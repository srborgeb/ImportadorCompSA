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rosendo\Desktop\"/>
    </mc:Choice>
  </mc:AlternateContent>
  <xr:revisionPtr revIDLastSave="0" documentId="13_ncr:1_{A0F06588-6ACD-4741-8E90-3B6EE5F3C6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SAPROV (2)" sheetId="4" r:id="rId2"/>
    <sheet name="Hoja2" sheetId="2" r:id="rId3"/>
  </sheets>
  <definedNames>
    <definedName name="DatosExternos_1" localSheetId="1" hidden="1">'SAPROV (2)'!$A$1:$B$76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" l="1"/>
  <c r="F12" i="1"/>
  <c r="F13" i="1"/>
  <c r="I12" i="1"/>
  <c r="I13" i="1"/>
  <c r="L12" i="1"/>
  <c r="L13" i="1"/>
  <c r="Q12" i="1"/>
  <c r="Q13" i="1"/>
  <c r="M12" i="1"/>
  <c r="M13" i="1"/>
  <c r="I11" i="1"/>
  <c r="L11" i="1"/>
  <c r="Q1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SAPROV (2)" description="Conexión a la consulta 'SAPROV (2)' en el libro." type="5" refreshedVersion="8" background="1" saveData="1">
    <dbPr connection="Provider=Microsoft.Mashup.OleDb.1;Data Source=$Workbook$;Location=&quot;SAPROV (2)&quot;;Extended Properties=&quot;&quot;" command="SELECT * FROM [SAPROV (2)]"/>
  </connection>
</connections>
</file>

<file path=xl/sharedStrings.xml><?xml version="1.0" encoding="utf-8"?>
<sst xmlns="http://schemas.openxmlformats.org/spreadsheetml/2006/main" count="1552" uniqueCount="1394">
  <si>
    <t>RESUMEN ANUAL</t>
  </si>
  <si>
    <t>FECHA</t>
  </si>
  <si>
    <t>REFERENCIA</t>
  </si>
  <si>
    <t>DESCRIPCIÓN</t>
  </si>
  <si>
    <t>MONTO BS</t>
  </si>
  <si>
    <t>D/C</t>
  </si>
  <si>
    <t>COD/CONT</t>
  </si>
  <si>
    <t>CONTABLE</t>
  </si>
  <si>
    <t>Columna2</t>
  </si>
  <si>
    <t>COD/SER</t>
  </si>
  <si>
    <t>SERVICIO</t>
  </si>
  <si>
    <t>Columna1</t>
  </si>
  <si>
    <t>TASA</t>
  </si>
  <si>
    <t>MONTO EN $</t>
  </si>
  <si>
    <t>BANCO</t>
  </si>
  <si>
    <t>OBSERVACIONES</t>
  </si>
  <si>
    <t>NªGASTO</t>
  </si>
  <si>
    <t>Nº</t>
  </si>
  <si>
    <t>CLASIFICACION</t>
  </si>
  <si>
    <t>SEDE</t>
  </si>
  <si>
    <t>CUENTAS POR PAGAR PROVEEDORES</t>
  </si>
  <si>
    <t>COMISIONES BANCARIAS</t>
  </si>
  <si>
    <t>GASTOS REPRESENTACION</t>
  </si>
  <si>
    <t>SENCAMER</t>
  </si>
  <si>
    <t>HONORARIOS PROFESIONALES</t>
  </si>
  <si>
    <t>CodProv</t>
  </si>
  <si>
    <t>66</t>
  </si>
  <si>
    <t>HANLEY MARTIN BORGE BALTODANO</t>
  </si>
  <si>
    <t>48</t>
  </si>
  <si>
    <t>001</t>
  </si>
  <si>
    <t>SEGURIDAD</t>
  </si>
  <si>
    <t>PROVEEDORES VARIOS</t>
  </si>
  <si>
    <t>003</t>
  </si>
  <si>
    <t>PROVEEDOR INTERNACIONAL</t>
  </si>
  <si>
    <t>02</t>
  </si>
  <si>
    <t>SENIAT</t>
  </si>
  <si>
    <t>03</t>
  </si>
  <si>
    <t>PARAFISCALES</t>
  </si>
  <si>
    <t>04</t>
  </si>
  <si>
    <t>05</t>
  </si>
  <si>
    <t>IMPUESTOS</t>
  </si>
  <si>
    <t>06</t>
  </si>
  <si>
    <t>07</t>
  </si>
  <si>
    <t>NOTARIAS</t>
  </si>
  <si>
    <t>08</t>
  </si>
  <si>
    <t>PERMISOS</t>
  </si>
  <si>
    <t>09</t>
  </si>
  <si>
    <t>ALCALDIA</t>
  </si>
  <si>
    <t>10</t>
  </si>
  <si>
    <t>SUNAGRO</t>
  </si>
  <si>
    <t>11</t>
  </si>
  <si>
    <t>VIATICO</t>
  </si>
  <si>
    <t>12</t>
  </si>
  <si>
    <t>COMBUSTIBLE</t>
  </si>
  <si>
    <t>13</t>
  </si>
  <si>
    <t>REFRIGERIOS</t>
  </si>
  <si>
    <t>14</t>
  </si>
  <si>
    <t>GASTOS PERSONALES</t>
  </si>
  <si>
    <t>15</t>
  </si>
  <si>
    <t>MAQUINARIAS</t>
  </si>
  <si>
    <t>16</t>
  </si>
  <si>
    <t>CAMIONES</t>
  </si>
  <si>
    <t>17</t>
  </si>
  <si>
    <t>VEHICULOS</t>
  </si>
  <si>
    <t>18</t>
  </si>
  <si>
    <t>19</t>
  </si>
  <si>
    <t>RUEDA DE NEGOCIOS</t>
  </si>
  <si>
    <t>20</t>
  </si>
  <si>
    <t>CONSTRUCCION</t>
  </si>
  <si>
    <t>21</t>
  </si>
  <si>
    <t>LANZAMIENTOS DE CAMPAÑA</t>
  </si>
  <si>
    <t>22</t>
  </si>
  <si>
    <t>PRODUCCION</t>
  </si>
  <si>
    <t>23</t>
  </si>
  <si>
    <t>TELECOMUNICACIONES</t>
  </si>
  <si>
    <t>24</t>
  </si>
  <si>
    <t>EQUIPOS DE TECNOLOGIAS U OFICINA</t>
  </si>
  <si>
    <t>25</t>
  </si>
  <si>
    <t>ARTICULOS DE OFICINA</t>
  </si>
  <si>
    <t>26</t>
  </si>
  <si>
    <t>INFORMATICA</t>
  </si>
  <si>
    <t>27</t>
  </si>
  <si>
    <t>CONTADOR</t>
  </si>
  <si>
    <t>28</t>
  </si>
  <si>
    <t>DAFNE</t>
  </si>
  <si>
    <t>29</t>
  </si>
  <si>
    <t>CORPOELEC</t>
  </si>
  <si>
    <t>30</t>
  </si>
  <si>
    <t>PUBLICIDAD</t>
  </si>
  <si>
    <t>31</t>
  </si>
  <si>
    <t>CONTAINER</t>
  </si>
  <si>
    <t>32</t>
  </si>
  <si>
    <t>TARJETA DE CREDITO</t>
  </si>
  <si>
    <t>33</t>
  </si>
  <si>
    <t>CAJA CHICA</t>
  </si>
  <si>
    <t>34</t>
  </si>
  <si>
    <t>PAGO EFECTIVO</t>
  </si>
  <si>
    <t>35</t>
  </si>
  <si>
    <t>DONACIONES</t>
  </si>
  <si>
    <t>36</t>
  </si>
  <si>
    <t>SUELDOS Y SALARIOS</t>
  </si>
  <si>
    <t>37</t>
  </si>
  <si>
    <t>ARTCULO DE LIMPIEZA</t>
  </si>
  <si>
    <t>38</t>
  </si>
  <si>
    <t>39</t>
  </si>
  <si>
    <t>FLETES</t>
  </si>
  <si>
    <t>40</t>
  </si>
  <si>
    <t>ORGANISMOS GUBERNAMENTALES</t>
  </si>
  <si>
    <t>41</t>
  </si>
  <si>
    <t>42</t>
  </si>
  <si>
    <t>GASTOS MEDCOS /EMPLEADOS</t>
  </si>
  <si>
    <t>43</t>
  </si>
  <si>
    <t>GASTOS MEDCOS /PERSONALES</t>
  </si>
  <si>
    <t>44</t>
  </si>
  <si>
    <t>BANCOS</t>
  </si>
  <si>
    <t>45</t>
  </si>
  <si>
    <t>CONDOMINIOS</t>
  </si>
  <si>
    <t>46</t>
  </si>
  <si>
    <t>PRESTAMOS</t>
  </si>
  <si>
    <t>47</t>
  </si>
  <si>
    <t>ADQUISION</t>
  </si>
  <si>
    <t>SISTEMA TMT</t>
  </si>
  <si>
    <t>49</t>
  </si>
  <si>
    <t>CXC TENDECIAS AB</t>
  </si>
  <si>
    <t>50</t>
  </si>
  <si>
    <t>CXC AGROTENDECIAS</t>
  </si>
  <si>
    <t>51</t>
  </si>
  <si>
    <t>CXC ALIMENTOS AGROTENDECIAS</t>
  </si>
  <si>
    <t>52</t>
  </si>
  <si>
    <t>CXC INDUSTRIAS AGROTENDECIAS</t>
  </si>
  <si>
    <t>53</t>
  </si>
  <si>
    <t>CXC AGUTI</t>
  </si>
  <si>
    <t>54</t>
  </si>
  <si>
    <t>CXC UTILISIMO AB</t>
  </si>
  <si>
    <t>55</t>
  </si>
  <si>
    <t>CUENTA POR COBRAR INVERSIONES AB 2000</t>
  </si>
  <si>
    <t>56</t>
  </si>
  <si>
    <t>CUENTAS XCOBRAR AB REPRESENTCIONES</t>
  </si>
  <si>
    <t>57</t>
  </si>
  <si>
    <t>CUENTA POR COBRAR RESGUARDO</t>
  </si>
  <si>
    <t>58</t>
  </si>
  <si>
    <t>CXC TRANSPORTE Y SERVCI</t>
  </si>
  <si>
    <t>59</t>
  </si>
  <si>
    <t>CXC AGREGADOS TENDECIAS</t>
  </si>
  <si>
    <t>60</t>
  </si>
  <si>
    <t>CXC HERAS NEW FASHION</t>
  </si>
  <si>
    <t>61</t>
  </si>
  <si>
    <t>CXC DIST &amp; IMPORT HJ</t>
  </si>
  <si>
    <t>62</t>
  </si>
  <si>
    <t>CXC SILOS AGROTENDECIAS</t>
  </si>
  <si>
    <t>63</t>
  </si>
  <si>
    <t>CXC AGROPCUARIA TENDENCIAS</t>
  </si>
  <si>
    <t>64</t>
  </si>
  <si>
    <t>CXC FARMATENDECIAS 1</t>
  </si>
  <si>
    <t>65</t>
  </si>
  <si>
    <t>CXC DROGUERIA TENDENCIAS</t>
  </si>
  <si>
    <t>CXC COMEC AGROTENDENCIA</t>
  </si>
  <si>
    <t>67</t>
  </si>
  <si>
    <t>CXC ASC.COOP. INETAR</t>
  </si>
  <si>
    <t>68</t>
  </si>
  <si>
    <t>CXC COMECIAL GLOBAL IMPORT</t>
  </si>
  <si>
    <t>69</t>
  </si>
  <si>
    <t>CXC TENDECIAS VENDE REALIDADES</t>
  </si>
  <si>
    <t>70</t>
  </si>
  <si>
    <t>DOTACION DE UNIFORME</t>
  </si>
  <si>
    <t>71</t>
  </si>
  <si>
    <t>ARACAL/CIARA</t>
  </si>
  <si>
    <t>72</t>
  </si>
  <si>
    <t>CAPACITACIONES</t>
  </si>
  <si>
    <t>73</t>
  </si>
  <si>
    <t>ANGEL SILVA/AGROTENDENCIAS</t>
  </si>
  <si>
    <t>Campaña</t>
  </si>
  <si>
    <t>Codigo Dep</t>
  </si>
  <si>
    <t>Deposito</t>
  </si>
  <si>
    <t>descrip</t>
  </si>
  <si>
    <t>ABACO EVOLUTION C.A</t>
  </si>
  <si>
    <t>J-40502765-7</t>
  </si>
  <si>
    <t>ACEROFERCA, C.A</t>
  </si>
  <si>
    <t>J-402857551</t>
  </si>
  <si>
    <t>AIKON SERVICIOS C.A</t>
  </si>
  <si>
    <t>J-40094113-0</t>
  </si>
  <si>
    <t>ALUMINIOS LA CRUZ C.A</t>
  </si>
  <si>
    <t>J-30069347-3</t>
  </si>
  <si>
    <t>ANIMPLAS C.A</t>
  </si>
  <si>
    <t>J-08515191-5</t>
  </si>
  <si>
    <t>ARCOSAN BARQUISIMETO C.A</t>
  </si>
  <si>
    <t>J-08518533-0</t>
  </si>
  <si>
    <t>ARGENIS JOSE GUAICARA ALVARADO</t>
  </si>
  <si>
    <t>V-12334434-7</t>
  </si>
  <si>
    <t>ARREGLOS FLORALES MIS DOS TESOROS</t>
  </si>
  <si>
    <t>V-18264024-3</t>
  </si>
  <si>
    <t>ASOCIACION COOPERATIVA "PS GOURMET", R.L</t>
  </si>
  <si>
    <t>J-40208814-0</t>
  </si>
  <si>
    <t>ASOCIACION COOPERATIVA EXTERMINIO S.R</t>
  </si>
  <si>
    <t>J-40315886-0</t>
  </si>
  <si>
    <t>ASOCIACION COOPERATIVA GRAFIVEN 870 RL</t>
  </si>
  <si>
    <t>J-31381222-6</t>
  </si>
  <si>
    <t>ASOCIACION COOPERATIVA SIMECA, R.L</t>
  </si>
  <si>
    <t>J-40251960-5</t>
  </si>
  <si>
    <t>BALDOCERAMIC, C.A</t>
  </si>
  <si>
    <t>J408089823</t>
  </si>
  <si>
    <t>BALDOLARA C.A</t>
  </si>
  <si>
    <t>J-30426773-8</t>
  </si>
  <si>
    <t>BANFRENOS RODRIVIL 2014 C.A</t>
  </si>
  <si>
    <t>J-406679526</t>
  </si>
  <si>
    <t>BARSAM QUIM, C.A</t>
  </si>
  <si>
    <t>J-41056741-4</t>
  </si>
  <si>
    <t>BAUDILIO PEREZ</t>
  </si>
  <si>
    <t>BAUDILIO</t>
  </si>
  <si>
    <t>CAFE DUCALE JIRAHARA C.A</t>
  </si>
  <si>
    <t>J-40425876-0</t>
  </si>
  <si>
    <t>CALBARY C.A</t>
  </si>
  <si>
    <t>J-29445261-2</t>
  </si>
  <si>
    <t>CANTON PEING EXPRESS C.A</t>
  </si>
  <si>
    <t>J-30940616-7</t>
  </si>
  <si>
    <t>CARLOS FREITEZ SERVICIO DE FRENOS EL CHOPO</t>
  </si>
  <si>
    <t>V-11596575-8</t>
  </si>
  <si>
    <t>CARPITODO, C.A.</t>
  </si>
  <si>
    <t>J-29829373-0</t>
  </si>
  <si>
    <t>CASTILLO DE LA FANTASIA HOTEL C.A</t>
  </si>
  <si>
    <t>J-09030111-9</t>
  </si>
  <si>
    <t>CAUCHERA "RENACER"</t>
  </si>
  <si>
    <t>RECIBO0002</t>
  </si>
  <si>
    <t>CAUCHOS PANAM S.A</t>
  </si>
  <si>
    <t>J-31722173-7</t>
  </si>
  <si>
    <t>CENTECPRO BARQUISIMETO SC</t>
  </si>
  <si>
    <t>J-30865093-5</t>
  </si>
  <si>
    <t>CENTRO DE REPARACION C.A</t>
  </si>
  <si>
    <t>J-31058124-0</t>
  </si>
  <si>
    <t>CENTRO OCCIDENTAL DE INVERSIONES S.C.S</t>
  </si>
  <si>
    <t>J-08503289-4</t>
  </si>
  <si>
    <t>CENTRO TURISTICO PIRITU C.A</t>
  </si>
  <si>
    <t>J-29616850-4</t>
  </si>
  <si>
    <t>CENTROBECO C.A</t>
  </si>
  <si>
    <t>J-00046517-7</t>
  </si>
  <si>
    <t>CERRAJERIA GRANADO</t>
  </si>
  <si>
    <t>V-07317668-5</t>
  </si>
  <si>
    <t>CHARTER CLUB RESORT C.A</t>
  </si>
  <si>
    <t>J-30722923-3</t>
  </si>
  <si>
    <t>CID INVESTMENTS, C.A.</t>
  </si>
  <si>
    <t>J-41000646-3</t>
  </si>
  <si>
    <t>CLASSE EVENTOS &amp; CONSULTORIA</t>
  </si>
  <si>
    <t>J-30807560-4</t>
  </si>
  <si>
    <t>COMERCIAL ANCON C.A</t>
  </si>
  <si>
    <t>J-29739665-9</t>
  </si>
  <si>
    <t>COMERCIAL BIONDI - BACCEI, C.A.</t>
  </si>
  <si>
    <t>J-29357107-3</t>
  </si>
  <si>
    <t>COMERCIAL CASTILLO, C.A</t>
  </si>
  <si>
    <t>J-08532046-6</t>
  </si>
  <si>
    <t>COMERCIAL FERRE MUNDO C.A</t>
  </si>
  <si>
    <t>J-295436203</t>
  </si>
  <si>
    <t>COMERCIAL GRAFICTEC C.A</t>
  </si>
  <si>
    <t>J-31463413-5</t>
  </si>
  <si>
    <t>COMERCIAL GRAN FUTURO WU</t>
  </si>
  <si>
    <t>E-82292710-9</t>
  </si>
  <si>
    <t>COMERCIAL GRAN MINDO LA 21, C.A</t>
  </si>
  <si>
    <t>J-296914567</t>
  </si>
  <si>
    <t>COMERCIAL GRECIA 2021,C.A</t>
  </si>
  <si>
    <t>J-293501261</t>
  </si>
  <si>
    <t>COMERCIAL K20 CENTER,C.A</t>
  </si>
  <si>
    <t>J-29682056-2</t>
  </si>
  <si>
    <t>COMERCIAL LUCKY LIFE C.A</t>
  </si>
  <si>
    <t>J-031736102-4</t>
  </si>
  <si>
    <t>COMERCIAL MEGA PLAZA, C.A</t>
  </si>
  <si>
    <t>J-29550068-8</t>
  </si>
  <si>
    <t>COMERCIAL TANG 21 C.A</t>
  </si>
  <si>
    <t>J-29367949-4</t>
  </si>
  <si>
    <t>COMERCIAL TOYS CENTER C.A</t>
  </si>
  <si>
    <t>J-29423564-6</t>
  </si>
  <si>
    <t>COMERCIAL URIEL C.A</t>
  </si>
  <si>
    <t>J-316633942</t>
  </si>
  <si>
    <t>COMERCIAL VICTORIA 2009 C.A</t>
  </si>
  <si>
    <t>J-29844881-4</t>
  </si>
  <si>
    <t>COMERCIAL VICTORIA HL C.A</t>
  </si>
  <si>
    <t>J-317194985</t>
  </si>
  <si>
    <t>COMERCIALIZADORA E IMPORTADORA AB DE VZLA</t>
  </si>
  <si>
    <t>J-29656964-9</t>
  </si>
  <si>
    <t>COMERCIALIZADORA SU MADERO, C.A.</t>
  </si>
  <si>
    <t>J-30868577-1</t>
  </si>
  <si>
    <t>COMERCIALIZADORA TODOLIMPIO, C.A.</t>
  </si>
  <si>
    <t>J-40990472-5</t>
  </si>
  <si>
    <t>COMERCIALIZADORA VICKY WU, C.A</t>
  </si>
  <si>
    <t>J-40713968-1</t>
  </si>
  <si>
    <t>COMPRA DE MERCANCIA</t>
  </si>
  <si>
    <t>SR</t>
  </si>
  <si>
    <t>COMPULIGHT TRINITARIAS C.A</t>
  </si>
  <si>
    <t>J-31357543-7</t>
  </si>
  <si>
    <t>CONCRETERA OL-BLO-CO S.R.L</t>
  </si>
  <si>
    <t>J-300148149</t>
  </si>
  <si>
    <t>CONESA C.A</t>
  </si>
  <si>
    <t>J-30771540-5</t>
  </si>
  <si>
    <t>CONSORCIO DI CAPUA C.A</t>
  </si>
  <si>
    <t>J-31493164-4</t>
  </si>
  <si>
    <t>CONSTRUAIRE J.I.G, C.A</t>
  </si>
  <si>
    <t>J-29793306-9</t>
  </si>
  <si>
    <t>CONSTRUCCIONES Y ELECTRIFICACIONES G.V., C.A.</t>
  </si>
  <si>
    <t>J-31348910-7</t>
  </si>
  <si>
    <t>CORES TECNOLOGIAS,C.A</t>
  </si>
  <si>
    <t>J-40627781-9</t>
  </si>
  <si>
    <t>CORONEL CASTILLO DOUGLAS EDUARDO</t>
  </si>
  <si>
    <t>V-18684957-0</t>
  </si>
  <si>
    <t>CORPORACION AORL, C.A</t>
  </si>
  <si>
    <t>J-29488284-6</t>
  </si>
  <si>
    <t>CORPORACION COLLS 2011, C.A</t>
  </si>
  <si>
    <t>J-31743930-9</t>
  </si>
  <si>
    <t>DATACELL COMPUTER C.A</t>
  </si>
  <si>
    <t>J-31515183-9</t>
  </si>
  <si>
    <t>DECORUSTICOS LARA C.A</t>
  </si>
  <si>
    <t>J-29719630-7</t>
  </si>
  <si>
    <t>DESARROLLO HOTELERO ALTO LLANO</t>
  </si>
  <si>
    <t>J-31669343-0</t>
  </si>
  <si>
    <t>DESARROLLO HOTELERO CARONI  D.H.C.  C.A</t>
  </si>
  <si>
    <t>J-31571182-6</t>
  </si>
  <si>
    <t>DESCARTAVEL´S C.A</t>
  </si>
  <si>
    <t>J-31765116-2</t>
  </si>
  <si>
    <t>DISTRIBUIDORA ACRICELL C.A</t>
  </si>
  <si>
    <t>J-317312783</t>
  </si>
  <si>
    <t>DISTRIBUIDORA BEST MEDIA 2007, C.A</t>
  </si>
  <si>
    <t>J-29425055-6</t>
  </si>
  <si>
    <t>DISTRIBUIDORA DE SANDALIAS LARA C.A</t>
  </si>
  <si>
    <t>J-30058914-5</t>
  </si>
  <si>
    <t>DISTRIBUIDORA DIAR,C.A</t>
  </si>
  <si>
    <t>J-29854068-0</t>
  </si>
  <si>
    <t>DISTRIBUIDORA FONSECA S.R.L</t>
  </si>
  <si>
    <t>J-30355248-0</t>
  </si>
  <si>
    <t>DISTRIBUIDORA LUMI 2010 C.A</t>
  </si>
  <si>
    <t>J-29906845-4</t>
  </si>
  <si>
    <t>DISTRIBUIDORA NAHYREN, C.A.</t>
  </si>
  <si>
    <t>J-29917503-0</t>
  </si>
  <si>
    <t>DISTRIBUIDORA VAL-PLAST C.A</t>
  </si>
  <si>
    <t>J-31042076-9</t>
  </si>
  <si>
    <t>DISTRIBUIDORA VEMACA C.A</t>
  </si>
  <si>
    <t>J-29891134-4</t>
  </si>
  <si>
    <t>DISTRICUEROS EL CANGURO C.A</t>
  </si>
  <si>
    <t>J-30856520-2</t>
  </si>
  <si>
    <t>DISTRINUIDORA RC 2000 C.A</t>
  </si>
  <si>
    <t>J-30841399-2</t>
  </si>
  <si>
    <t>DIVALPA PAPELERIA, C.A</t>
  </si>
  <si>
    <t>J-07587735-7</t>
  </si>
  <si>
    <t>DOCUMENTOS MERCANTILES S.A.DOMESA</t>
  </si>
  <si>
    <t>J-00091991-7</t>
  </si>
  <si>
    <t>DON WILLIAM/CONSOLIDADO</t>
  </si>
  <si>
    <t>005</t>
  </si>
  <si>
    <t>EDICSON BLADIMIR ORTIZ PACHECO</t>
  </si>
  <si>
    <t>V-14991330-7</t>
  </si>
  <si>
    <t>EDITORIAL LETRA VIVA</t>
  </si>
  <si>
    <t>J-40069295-4</t>
  </si>
  <si>
    <t>EL ESTUDIANTE 01 C.A</t>
  </si>
  <si>
    <t>J-40337808-8</t>
  </si>
  <si>
    <t>EL IMPULSO C.A</t>
  </si>
  <si>
    <t>J-00012371-3</t>
  </si>
  <si>
    <t>EL POLLO LICENCIADO C.A</t>
  </si>
  <si>
    <t>J-08521878-5</t>
  </si>
  <si>
    <t>ELECTRONICA EL ORIGINAL C.A</t>
  </si>
  <si>
    <t>J-306785191</t>
  </si>
  <si>
    <t>ER.SARDINERO C.A</t>
  </si>
  <si>
    <t>J-29862287-3</t>
  </si>
  <si>
    <t>ETI EXPRESS Y ALGO MAS DE VENEZUELA C.A</t>
  </si>
  <si>
    <t>J-40524577-8</t>
  </si>
  <si>
    <t>EVENTOS LECHE Y MIEL C.A</t>
  </si>
  <si>
    <t>J-40099932-4</t>
  </si>
  <si>
    <t>EVOLUCIONES JOLU C.A</t>
  </si>
  <si>
    <t>J-40443128-4</t>
  </si>
  <si>
    <t>EXCELLENCE HOTELS,C.A</t>
  </si>
  <si>
    <t>J-31218782</t>
  </si>
  <si>
    <t>EXTIN-CAT,C.A</t>
  </si>
  <si>
    <t>J-40591706-7</t>
  </si>
  <si>
    <t>fabio ciuffa</t>
  </si>
  <si>
    <t>000014</t>
  </si>
  <si>
    <t>FERRE BOMBA LA 43 S.R.L.</t>
  </si>
  <si>
    <t>J-30624115-9</t>
  </si>
  <si>
    <t>FERRE ELECTRONICA CHIVACOA, C.A</t>
  </si>
  <si>
    <t>J-799847429</t>
  </si>
  <si>
    <t>FERRE MATERIALES LA MATA C.A</t>
  </si>
  <si>
    <t>J-307061014</t>
  </si>
  <si>
    <t>FERREELECTRICA ESTE C.A</t>
  </si>
  <si>
    <t>J-29593193-0</t>
  </si>
  <si>
    <t>FERREINVERSIONES RCF,C.A</t>
  </si>
  <si>
    <t>J-40303556-3</t>
  </si>
  <si>
    <t>FERREMAQUINARIAS BRACHO,C.A.</t>
  </si>
  <si>
    <t>J-30802154-7</t>
  </si>
  <si>
    <t>FERREMARIALES LA MORENITA, C.A.</t>
  </si>
  <si>
    <t>J-29861064-6</t>
  </si>
  <si>
    <t>FERREMAYOR LOS RASTROJOS C.A</t>
  </si>
  <si>
    <t>J-308805831</t>
  </si>
  <si>
    <t>FERRETERIA CAMILA C.A</t>
  </si>
  <si>
    <t>J-31139857-0</t>
  </si>
  <si>
    <t>FERRETERIA CATALDO C.A</t>
  </si>
  <si>
    <t>V-30060085-8</t>
  </si>
  <si>
    <t>FERRETERIA EL RELAMPAGO SRL</t>
  </si>
  <si>
    <t>J-30171388-5</t>
  </si>
  <si>
    <t>FERRETERIA EPA, C.A</t>
  </si>
  <si>
    <t>J-00271144-2</t>
  </si>
  <si>
    <t>FERRETERIA ORNELARA C.A</t>
  </si>
  <si>
    <t>J-31322900-8</t>
  </si>
  <si>
    <t>FERRETERIA VARELA, C.A.</t>
  </si>
  <si>
    <t>J-30148654-4</t>
  </si>
  <si>
    <t>FERRETERIA Y MATERIALES ALEUI C.A</t>
  </si>
  <si>
    <t>J-30504202-0</t>
  </si>
  <si>
    <t>FERRETORNILLOS ARITALIE C.A</t>
  </si>
  <si>
    <t>J-40663086-1</t>
  </si>
  <si>
    <t>FERRETSA, C.A</t>
  </si>
  <si>
    <t>J-316854663</t>
  </si>
  <si>
    <t>FESTEJOS JUNIOR C.A</t>
  </si>
  <si>
    <t>J-31350921-3</t>
  </si>
  <si>
    <t>FM ACCESORIOS C.A</t>
  </si>
  <si>
    <t>J-298520485</t>
  </si>
  <si>
    <t>FRANCISCO JOSE GONZALEZ PINEDA</t>
  </si>
  <si>
    <t>V-09604933-8</t>
  </si>
  <si>
    <t>FRANCISCO JOSE PEREZ CAMACARO</t>
  </si>
  <si>
    <t>V-06603554-5</t>
  </si>
  <si>
    <t>FRENOS ULI C.A</t>
  </si>
  <si>
    <t>J30747711-3</t>
  </si>
  <si>
    <t>FRENOS Y REPUESTOS TRUMP C.A</t>
  </si>
  <si>
    <t>J-29754248-5</t>
  </si>
  <si>
    <t>FULLER INTERAMERICANA C.A</t>
  </si>
  <si>
    <t>J-000417350</t>
  </si>
  <si>
    <t>GABRIELA PIMENTEL</t>
  </si>
  <si>
    <t>V25527902</t>
  </si>
  <si>
    <t>GASTOS INTERNOS</t>
  </si>
  <si>
    <t>002</t>
  </si>
  <si>
    <t>GLOBAL VIAJES, C.A</t>
  </si>
  <si>
    <t>J-40360875-0</t>
  </si>
  <si>
    <t>GODE, C.A</t>
  </si>
  <si>
    <t>J-31735640-3</t>
  </si>
  <si>
    <t>GRAFICAS ALVARADO C.A</t>
  </si>
  <si>
    <t>J-29402044-5</t>
  </si>
  <si>
    <t>GRUPO F&amp;D.C.A</t>
  </si>
  <si>
    <t>J-040284330-5</t>
  </si>
  <si>
    <t>GUACHAROS PRODUCCIONES C.A</t>
  </si>
  <si>
    <t>J-31720583-9</t>
  </si>
  <si>
    <t>GUILLERMO COLMENAREZ</t>
  </si>
  <si>
    <t>01</t>
  </si>
  <si>
    <t>E-81942810-0</t>
  </si>
  <si>
    <t>HAPPY LAI CENTER C.A</t>
  </si>
  <si>
    <t>J-296558418</t>
  </si>
  <si>
    <t>HIERRO SANTOS R, C.A</t>
  </si>
  <si>
    <t>J-315994224</t>
  </si>
  <si>
    <t>HIERROS Y FERRETERIA CRIOLLA C.A</t>
  </si>
  <si>
    <t>J-08501959-6</t>
  </si>
  <si>
    <t>HOTEL CIMA BARINAS, C.A</t>
  </si>
  <si>
    <t>J-29554564-9</t>
  </si>
  <si>
    <t>HOTEL JARDIN C.A</t>
  </si>
  <si>
    <t>J-30088316-7</t>
  </si>
  <si>
    <t>HOTEL JIRAHARA C.A</t>
  </si>
  <si>
    <t>J-08506242-4</t>
  </si>
  <si>
    <t>HOTEL MICOTTI,C.A</t>
  </si>
  <si>
    <t>J-07514559-3</t>
  </si>
  <si>
    <t>HOTEL TRINITARIAS SUITES C.A</t>
  </si>
  <si>
    <t>J-31530024-9</t>
  </si>
  <si>
    <t>HOTELERA ALTO LLANO C.A</t>
  </si>
  <si>
    <t>J-31599009-1</t>
  </si>
  <si>
    <t>HYPER LIDER YARITAGUA C.A</t>
  </si>
  <si>
    <t>J-40217416-0</t>
  </si>
  <si>
    <t>IMPORTADORA ALEX TOOLS,C.A</t>
  </si>
  <si>
    <t>J-29919836-6</t>
  </si>
  <si>
    <t>IMPULSO EMPRESARIAL C.A</t>
  </si>
  <si>
    <t>J-29884957-6</t>
  </si>
  <si>
    <t>INDUSTRIA DEL MUEBLE MUSAMBO C.A</t>
  </si>
  <si>
    <t>J-08503575-3</t>
  </si>
  <si>
    <t>ING.SEHIACA C.A</t>
  </si>
  <si>
    <t>J-31033763-2</t>
  </si>
  <si>
    <t>INVERSIONES 105, C.A</t>
  </si>
  <si>
    <t>J-30096252-0</t>
  </si>
  <si>
    <t>INVERSIONES ALGU 1940 C.A</t>
  </si>
  <si>
    <t>J-29896894-0</t>
  </si>
  <si>
    <t>INVERSIONES CENTENAR C.A</t>
  </si>
  <si>
    <t>SINRIF</t>
  </si>
  <si>
    <t>INVERSIONES COMPUTOTAL C.A</t>
  </si>
  <si>
    <t>J-31385130-2</t>
  </si>
  <si>
    <t>INVERSIONES COPIKON C.A</t>
  </si>
  <si>
    <t>J-29750027-8</t>
  </si>
  <si>
    <t>INVERSIONES DARKYP MOTOS C.A</t>
  </si>
  <si>
    <t>J-29920579-6</t>
  </si>
  <si>
    <t>INVERSIONES ECO TURISTICA RORAIMA,C.A</t>
  </si>
  <si>
    <t>J-29350517-8</t>
  </si>
  <si>
    <t>INVERSIONES J&amp;J.COM, C.A</t>
  </si>
  <si>
    <t>J-40485813-0</t>
  </si>
  <si>
    <t>INVERSIONES J&amp;Z CENTRO OCCIDENTE, C.A</t>
  </si>
  <si>
    <t>J-40171301-7</t>
  </si>
  <si>
    <t>INVERSIONES JORDAY C.A</t>
  </si>
  <si>
    <t>J-40384362-7</t>
  </si>
  <si>
    <t>INVERSIONES LUBRI PARTS DIESEL C.A</t>
  </si>
  <si>
    <t>J-40672962-0</t>
  </si>
  <si>
    <t>INVERSIONES M.A.I.D C.A</t>
  </si>
  <si>
    <t>J-295174314</t>
  </si>
  <si>
    <t>INVERSIONES MEGAPIXEL, C.A</t>
  </si>
  <si>
    <t>J-29505798-9</t>
  </si>
  <si>
    <t>INVERSIONES MICOL C.A</t>
  </si>
  <si>
    <t>J-40712332-7</t>
  </si>
  <si>
    <t>INVERSIONES NOGUERA</t>
  </si>
  <si>
    <t>V-07590909-4</t>
  </si>
  <si>
    <t>INVERSIONES PEDRO MIGUEZ 2010,C.A</t>
  </si>
  <si>
    <t>J-29948563-2</t>
  </si>
  <si>
    <t>INVERSIONES PLASTIPRINT, C.A</t>
  </si>
  <si>
    <t>J-29392550-9</t>
  </si>
  <si>
    <t>INVERSIONES PORTALQUINCE C.A</t>
  </si>
  <si>
    <t>J-31723700-5</t>
  </si>
  <si>
    <t>INVERSIONES RAFAEL ARANGU G.</t>
  </si>
  <si>
    <t>V-07416325-2</t>
  </si>
  <si>
    <t>INVERSIONES TECOBAR C.A</t>
  </si>
  <si>
    <t>J-310260729</t>
  </si>
  <si>
    <t>INVERSIONES W.E.L.H C.A</t>
  </si>
  <si>
    <t>J-309276166</t>
  </si>
  <si>
    <t>INVERSIONES YOVIC, C. A.</t>
  </si>
  <si>
    <t>J-40306036-3</t>
  </si>
  <si>
    <t>INVERSIONES YULDER,C.A</t>
  </si>
  <si>
    <t>J-40725216-0</t>
  </si>
  <si>
    <t>ITALICA C.A</t>
  </si>
  <si>
    <t>J-29997449-8</t>
  </si>
  <si>
    <t>ITALMADERAS LA PIEDAD S.A.</t>
  </si>
  <si>
    <t>J-29860235-0</t>
  </si>
  <si>
    <t>JORGE LUIS TORREALBA</t>
  </si>
  <si>
    <t>V-09619059-6</t>
  </si>
  <si>
    <t>JOSE ALBERTO DE BARROS SOUSA</t>
  </si>
  <si>
    <t>V-04169325-4</t>
  </si>
  <si>
    <t>JOSE JACINTO RUIZ</t>
  </si>
  <si>
    <t>V-07677628-4</t>
  </si>
  <si>
    <t>JOSE REALZA</t>
  </si>
  <si>
    <t>MERCADOLIBRE1</t>
  </si>
  <si>
    <t>KERLIS MANUEL HUIZZI NIEVES</t>
  </si>
  <si>
    <t>V-15798208-3</t>
  </si>
  <si>
    <t>LA CASA DE LAS PINTURAS M&amp;C, C.A</t>
  </si>
  <si>
    <t>J-295015115</t>
  </si>
  <si>
    <t>LA CASA DEL CONTRAENCHAPADO C.A</t>
  </si>
  <si>
    <t>J-08504817-0</t>
  </si>
  <si>
    <t>LA COMPAÑIA GUIPUZCOANA, C.A</t>
  </si>
  <si>
    <t>J-08513326-7</t>
  </si>
  <si>
    <t>LA PRENSA C.A</t>
  </si>
  <si>
    <t>J-31526020-4</t>
  </si>
  <si>
    <t>LARA GRAFICA C.A</t>
  </si>
  <si>
    <t>J-40404984-3</t>
  </si>
  <si>
    <t>LARAPLAST C.A</t>
  </si>
  <si>
    <t>J-40139388-8</t>
  </si>
  <si>
    <t>LARATEL FARMACIA C.A</t>
  </si>
  <si>
    <t>J-30986209-0</t>
  </si>
  <si>
    <t>LAS PALMAS HOTEL BOUTIQUE C.A</t>
  </si>
  <si>
    <t>J-29369459-0</t>
  </si>
  <si>
    <t>MADERAS DEL CENTRO LARA, C.A</t>
  </si>
  <si>
    <t>J-402133677</t>
  </si>
  <si>
    <t>MADERAS HERMECA DEL OESTE C.A</t>
  </si>
  <si>
    <t>J-313333697</t>
  </si>
  <si>
    <t>MADERERA IMECA BARQUISIMETO, C.A</t>
  </si>
  <si>
    <t>J-07540970-1</t>
  </si>
  <si>
    <t>MARCOS ANTONIO ROSALES GARCIA</t>
  </si>
  <si>
    <t>V-11648378-1</t>
  </si>
  <si>
    <t>MARIAN NOLIBETH URIBE TORREALBA</t>
  </si>
  <si>
    <t>V21127136</t>
  </si>
  <si>
    <t>MATERIALES CARECH,C.A</t>
  </si>
  <si>
    <t>J-40568642-1</t>
  </si>
  <si>
    <t>MATERIALES CHANYU C.A</t>
  </si>
  <si>
    <t>J305486395</t>
  </si>
  <si>
    <t>MATERIALES EL RELAMPAGO, C.A.</t>
  </si>
  <si>
    <t>J-30948876-7</t>
  </si>
  <si>
    <t>MATERIALES SANTA LUCIA, C.A</t>
  </si>
  <si>
    <t>J-30912060-3</t>
  </si>
  <si>
    <t>MATERIALES SOCI RINO SOCI YACOCI</t>
  </si>
  <si>
    <t>V-096121829</t>
  </si>
  <si>
    <t>MERCADO LIBRE, C.A</t>
  </si>
  <si>
    <t>J-30684267-5</t>
  </si>
  <si>
    <t>MERCANTIL 868, C.A</t>
  </si>
  <si>
    <t>J-294135285</t>
  </si>
  <si>
    <t>MERCANTIL ELENA C.A</t>
  </si>
  <si>
    <t>J-40339260-9</t>
  </si>
  <si>
    <t>MERCANTIL FABULOSO C.A</t>
  </si>
  <si>
    <t>J-29868331-7</t>
  </si>
  <si>
    <t>MERCANTIL NUEVO SIGLO,C.A</t>
  </si>
  <si>
    <t>J-30660507-0</t>
  </si>
  <si>
    <t>MERCANTIL SURTIVEN C.A</t>
  </si>
  <si>
    <t>J-29935159-8</t>
  </si>
  <si>
    <t>MERCERIA EL OBELISCO, C.A.</t>
  </si>
  <si>
    <t>J-30092925-6</t>
  </si>
  <si>
    <t>MERCERIA HOREB 2013 C.A</t>
  </si>
  <si>
    <t>J-40282809-8</t>
  </si>
  <si>
    <t>MERCERIA SAMIA C.A</t>
  </si>
  <si>
    <t>J-309234137</t>
  </si>
  <si>
    <t>MERCERIA Y VARIEDADES LEENTLE, C.A</t>
  </si>
  <si>
    <t>J-29780254-1</t>
  </si>
  <si>
    <t>METALFER, C.A</t>
  </si>
  <si>
    <t>J-40642037-9</t>
  </si>
  <si>
    <t>MULTI TIENDA STAR CENTER C.A</t>
  </si>
  <si>
    <t>J-401010326</t>
  </si>
  <si>
    <t>MULTICAMIONES DE KOREA, C.A</t>
  </si>
  <si>
    <t>J-29382944-5</t>
  </si>
  <si>
    <t>MUNDODIGITAL,C.A</t>
  </si>
  <si>
    <t>J-40678035-9</t>
  </si>
  <si>
    <t>NIKAI,C.A</t>
  </si>
  <si>
    <t>J-30938142-3</t>
  </si>
  <si>
    <t>OBI,C.A</t>
  </si>
  <si>
    <t>J-400420920</t>
  </si>
  <si>
    <t>OFERTODO AV.20, C.A</t>
  </si>
  <si>
    <t>J-30827725-8</t>
  </si>
  <si>
    <t>OPERADORA PASEO, C.A</t>
  </si>
  <si>
    <t>J-30640337-0</t>
  </si>
  <si>
    <t>OSCAR LAMON</t>
  </si>
  <si>
    <t>000009</t>
  </si>
  <si>
    <t>OSCAR MANRIQUE MERCADO LIBRE</t>
  </si>
  <si>
    <t>MERCADOLIBRE</t>
  </si>
  <si>
    <t>OTRAS COMPRAS</t>
  </si>
  <si>
    <t>FACT000001</t>
  </si>
  <si>
    <t>PANADERIA  PASTELERIA Y DELICATESES ARCO IRIS C.A</t>
  </si>
  <si>
    <t>J-085111646</t>
  </si>
  <si>
    <t>PANADERIA FLOR DEL ESTE,C.A</t>
  </si>
  <si>
    <t>J-302215528</t>
  </si>
  <si>
    <t>PANADERIA PERLA PRINCE C.A</t>
  </si>
  <si>
    <t>J-08522313-4</t>
  </si>
  <si>
    <t>PANADERIA Y PASTELERIA FORTUNA DELI C.A</t>
  </si>
  <si>
    <t>J-313061301</t>
  </si>
  <si>
    <t>PANADERIA Y PASTELERIA VASCO DA GAMA C.A</t>
  </si>
  <si>
    <t>J-307414375</t>
  </si>
  <si>
    <t>PANIFICADORA TRES ESQUINAS C.A</t>
  </si>
  <si>
    <t>J-317687850</t>
  </si>
  <si>
    <t>PAPELERIA LA NUBE AZUL VALENCIA, C.A</t>
  </si>
  <si>
    <t>J-30701649-3</t>
  </si>
  <si>
    <t>PAPELERIA MAYOR GRESA,C.A</t>
  </si>
  <si>
    <t>J-08528048-0</t>
  </si>
  <si>
    <t>PIGGOZ USA LLC</t>
  </si>
  <si>
    <t>004</t>
  </si>
  <si>
    <t>PINTURAS BENAVIDES, S.A</t>
  </si>
  <si>
    <t>J-295991916</t>
  </si>
  <si>
    <t>PIÑA PUBLICIDAD</t>
  </si>
  <si>
    <t>V-02537610-9</t>
  </si>
  <si>
    <t>PLASILCA CABUDARE C.A</t>
  </si>
  <si>
    <t>J-31082265-4</t>
  </si>
  <si>
    <t>POLLO SABROSO C.A</t>
  </si>
  <si>
    <t>J-85166670</t>
  </si>
  <si>
    <t>PORTUMANIA, C.A.</t>
  </si>
  <si>
    <t>J-40037478-2</t>
  </si>
  <si>
    <t>PREDEVEN SUMINISTROS Y SERVICIOS, C.A</t>
  </si>
  <si>
    <t>J-40280557-8</t>
  </si>
  <si>
    <t>PRIMER AVENIDA SUITES, C.A</t>
  </si>
  <si>
    <t>J-40068049-2</t>
  </si>
  <si>
    <t>PROLICOR DE MARGARITA C.A</t>
  </si>
  <si>
    <t>J-301139852</t>
  </si>
  <si>
    <t>PRONTO SELLO LARA C.A</t>
  </si>
  <si>
    <t>J-085007768</t>
  </si>
  <si>
    <t>PROVEEDOR PREMIOS</t>
  </si>
  <si>
    <t>PR</t>
  </si>
  <si>
    <t>PROVEEDORES VARIOS TENDENCIA</t>
  </si>
  <si>
    <t>0001</t>
  </si>
  <si>
    <t>PROYECTOS SOLUCIONES ELECTRONVOLT C.A</t>
  </si>
  <si>
    <t>J-31175826-7</t>
  </si>
  <si>
    <t>PUBLISERVICE C.A</t>
  </si>
  <si>
    <t>J-29699937-6</t>
  </si>
  <si>
    <t>QUIMAX,C.A</t>
  </si>
  <si>
    <t>J-08531724-4</t>
  </si>
  <si>
    <t>QUINCALLERIA LARA C.A</t>
  </si>
  <si>
    <t>J-29429828-1</t>
  </si>
  <si>
    <t>RADIO SOLUCIONES MYC, C.A</t>
  </si>
  <si>
    <t>J-40308148-4</t>
  </si>
  <si>
    <t>RAFAEL ANGEL DROEZ MOGOLLON</t>
  </si>
  <si>
    <t>V-13842095-3</t>
  </si>
  <si>
    <t>RAFAEL PEREYRA</t>
  </si>
  <si>
    <t>MERCADOLIBRE2</t>
  </si>
  <si>
    <t>RAMON LARA</t>
  </si>
  <si>
    <t>V-15447713</t>
  </si>
  <si>
    <t>REFRIVARGAS AUTOMOTRIZ 2000,C.A</t>
  </si>
  <si>
    <t>J-40528590-7</t>
  </si>
  <si>
    <t>REGALOS Y DECORACIONES LIBRA C.A</t>
  </si>
  <si>
    <t>J-31165862-9</t>
  </si>
  <si>
    <t>REINALDO A.QUILEN BUENO</t>
  </si>
  <si>
    <t>V-10348472-0</t>
  </si>
  <si>
    <t>REPARABRISAS</t>
  </si>
  <si>
    <t>RECIBO0001</t>
  </si>
  <si>
    <t>REPRESENTACIONES RYS, C.A</t>
  </si>
  <si>
    <t>J-31253887-2</t>
  </si>
  <si>
    <t>REPRESENTACIONES VIRGINIA BIENES RAICES C.A</t>
  </si>
  <si>
    <t>J-08533615-0</t>
  </si>
  <si>
    <t>REPUESTO HOGAR, C.A</t>
  </si>
  <si>
    <t>J-30706107-3</t>
  </si>
  <si>
    <t>REPUESTOS AMARO C.A</t>
  </si>
  <si>
    <t>J-29366585-0</t>
  </si>
  <si>
    <t>REPUESTOS ANTONIO LOPEZ C.A</t>
  </si>
  <si>
    <t>J-30505191-7</t>
  </si>
  <si>
    <t>REPUESTOS ELECTRONIC`S CABUDARE C.A</t>
  </si>
  <si>
    <t>J-40540312-8</t>
  </si>
  <si>
    <t>RESTAURANT LA SABROSA C.A</t>
  </si>
  <si>
    <t>J-297198920</t>
  </si>
  <si>
    <t>RINES Y RESORTES CONTEMPLO,C.A</t>
  </si>
  <si>
    <t>J-31589302-9</t>
  </si>
  <si>
    <t>ROSEDT ZENAHIR SANCHEZ BLANCO</t>
  </si>
  <si>
    <t>V13645879</t>
  </si>
  <si>
    <t>SC MENDEZ ANZOLA &amp; ASOCIADOS</t>
  </si>
  <si>
    <t>J-30623788-7</t>
  </si>
  <si>
    <t>SCAPE TRAVEL MARKETING</t>
  </si>
  <si>
    <t>J-31217468-4</t>
  </si>
  <si>
    <t>SERMELEC C.A</t>
  </si>
  <si>
    <t>J-40446538-3</t>
  </si>
  <si>
    <t>SERPACA,C.A.</t>
  </si>
  <si>
    <t>J-31530071-0</t>
  </si>
  <si>
    <t>SERVI-AUTO SAN JOSE</t>
  </si>
  <si>
    <t>V-07314858-4</t>
  </si>
  <si>
    <t>SERVICIOS ARANGU 2008</t>
  </si>
  <si>
    <t>V-07416819-8</t>
  </si>
  <si>
    <t>SERVIPINTURAS CABUDARE,C.A</t>
  </si>
  <si>
    <t>J-31437907-0</t>
  </si>
  <si>
    <t>SIADVEN R.S</t>
  </si>
  <si>
    <t>J-29720065-7</t>
  </si>
  <si>
    <t>SISTELVEN C.A.</t>
  </si>
  <si>
    <t>J-30667828-4</t>
  </si>
  <si>
    <t>SKAY C.A</t>
  </si>
  <si>
    <t>J-300756963</t>
  </si>
  <si>
    <t>SNAPSEAL GROUP, C.A</t>
  </si>
  <si>
    <t>J-40473770-7</t>
  </si>
  <si>
    <t>SOCI YACONI RINO "MATERIALES SOCI"</t>
  </si>
  <si>
    <t>V-96121829</t>
  </si>
  <si>
    <t>SUMINISTROS CHAMARIAPA 1974 C.A</t>
  </si>
  <si>
    <t>J-40403315-7</t>
  </si>
  <si>
    <t>SUMINISTROS E INSTALACIONES EL CONDOR C.A</t>
  </si>
  <si>
    <t>J-31457753-0</t>
  </si>
  <si>
    <t>SUPER PIÑATA LA MATA C.A</t>
  </si>
  <si>
    <t>J-30900473-5</t>
  </si>
  <si>
    <t>SUPER VEN LA 31 C.A</t>
  </si>
  <si>
    <t>J-31573341-2</t>
  </si>
  <si>
    <t>SUPERMERCADO PLAZA CHINA DE CABUDARE C.A</t>
  </si>
  <si>
    <t>J-30924752-2</t>
  </si>
  <si>
    <t>SUPLIMARQ C.A</t>
  </si>
  <si>
    <t>J-08531010-0</t>
  </si>
  <si>
    <t>SUPPLY DIGITAL 3.1,C.A</t>
  </si>
  <si>
    <t>J-40540237-7</t>
  </si>
  <si>
    <t>SUPPLY TINTA C.A</t>
  </si>
  <si>
    <t>J-296938750</t>
  </si>
  <si>
    <t>TABICA OCCIDENTE C.A</t>
  </si>
  <si>
    <t>J-303328849</t>
  </si>
  <si>
    <t>TECHOS Y DIVISIONES BARQUISIMETO, C.A</t>
  </si>
  <si>
    <t>J-31131234-0</t>
  </si>
  <si>
    <t>TELEPILA CENTER C.A</t>
  </si>
  <si>
    <t>J-31558886-2</t>
  </si>
  <si>
    <t>TELOMAS C.A</t>
  </si>
  <si>
    <t>J-09029081-8</t>
  </si>
  <si>
    <t>TEODULO JOSE ARANGO PEREZ</t>
  </si>
  <si>
    <t>V-16385915-3</t>
  </si>
  <si>
    <t>TODO ELECTRONICS C.A</t>
  </si>
  <si>
    <t>J-40648201-3</t>
  </si>
  <si>
    <t>TODO IMPRESION</t>
  </si>
  <si>
    <t>V-17034187-9</t>
  </si>
  <si>
    <t>TODO TICKET PRODUCTO ALIMENTACION</t>
  </si>
  <si>
    <t>J-31286704-3</t>
  </si>
  <si>
    <t>TOYOESTE 3000 C.A</t>
  </si>
  <si>
    <t>J-31129087-7</t>
  </si>
  <si>
    <t>TRANSFERENCIAS Y ENCOMIENDAS ANGULO LOPEZ C.A</t>
  </si>
  <si>
    <t>J-00220608-0</t>
  </si>
  <si>
    <t>UNICAUCHOS LARA, C.A</t>
  </si>
  <si>
    <t>J-29624460-0</t>
  </si>
  <si>
    <t>UTENSILIOS Y EQUIPOS DE COCINA UTECO C.A</t>
  </si>
  <si>
    <t>J-29354893-4</t>
  </si>
  <si>
    <t>VEMACO HIDRAULICA VEMHIDRA C.A</t>
  </si>
  <si>
    <t>J-30548617-4</t>
  </si>
  <si>
    <t>VENEZOLANA DE MATERIALES DE CONSTRUCCION C.A</t>
  </si>
  <si>
    <t>J-30039785-8</t>
  </si>
  <si>
    <t>VENTISQUERO C.A</t>
  </si>
  <si>
    <t>J-40236813-5</t>
  </si>
  <si>
    <t>VILORIA IMPLASTIC FP</t>
  </si>
  <si>
    <t>V-21299441-0</t>
  </si>
  <si>
    <t>WAROKIANDO C.A</t>
  </si>
  <si>
    <t>J-40081188-0</t>
  </si>
  <si>
    <t>WILMER MENDEZ</t>
  </si>
  <si>
    <t>V-15242527</t>
  </si>
  <si>
    <t>WU,YINYING COMERCIAL 228</t>
  </si>
  <si>
    <t>E-82246138-0</t>
  </si>
  <si>
    <t>YOHANGELA BEATRIZ ALVARADO Y</t>
  </si>
  <si>
    <t>V16641954</t>
  </si>
  <si>
    <t>ZHONGBAO WU</t>
  </si>
  <si>
    <t>E-843733916</t>
  </si>
  <si>
    <t>ZOOM INTERNACIONAL SERVICES, C.A</t>
  </si>
  <si>
    <t>J-00102174-4</t>
  </si>
  <si>
    <t>codigo</t>
  </si>
  <si>
    <t>PRINCIPAL</t>
  </si>
  <si>
    <t>C01-2026</t>
  </si>
  <si>
    <t>C01-2025</t>
  </si>
  <si>
    <t>C02-2025</t>
  </si>
  <si>
    <t>C03-2025</t>
  </si>
  <si>
    <t>C02-2026</t>
  </si>
  <si>
    <t>C03-2026</t>
  </si>
  <si>
    <t>PROVEEDOR</t>
  </si>
  <si>
    <t>?ADQUISICION BIENES CASA</t>
  </si>
  <si>
    <t>SERV0056</t>
  </si>
  <si>
    <t>SERV0056E</t>
  </si>
  <si>
    <t>?ADQUISICION BIENES EDIFICIO</t>
  </si>
  <si>
    <t>SERV0082</t>
  </si>
  <si>
    <t>SERV0082E</t>
  </si>
  <si>
    <t>?ADQUISICION BIENES GALPON</t>
  </si>
  <si>
    <t>SERV0083</t>
  </si>
  <si>
    <t>SERV0083E</t>
  </si>
  <si>
    <t>?ADQUISICION MOBILIARIO</t>
  </si>
  <si>
    <t>SERV0055</t>
  </si>
  <si>
    <t>SERV0055E</t>
  </si>
  <si>
    <t>?ADQUISION DE HERRAMIENTAS</t>
  </si>
  <si>
    <t>SERV0142</t>
  </si>
  <si>
    <t>SERV0142E</t>
  </si>
  <si>
    <t>?BENEFICIO ALIMENTICIO</t>
  </si>
  <si>
    <t>SERV0159</t>
  </si>
  <si>
    <t>SERV0159E</t>
  </si>
  <si>
    <t>?COMISION IMPUESTO IGTF(PAGO EN DIVISAS)</t>
  </si>
  <si>
    <t>SERV0127E</t>
  </si>
  <si>
    <t>?COMISIONES BANCARIAS</t>
  </si>
  <si>
    <t>SERV0060</t>
  </si>
  <si>
    <t>SERV0060E</t>
  </si>
  <si>
    <t>?COMISIONES ESPECIALES</t>
  </si>
  <si>
    <t>SERV0068</t>
  </si>
  <si>
    <t>SERV0068E</t>
  </si>
  <si>
    <t>?COMISIONES VENDEDORES E</t>
  </si>
  <si>
    <t>SERV0110</t>
  </si>
  <si>
    <t>SERV110E</t>
  </si>
  <si>
    <t>?COMPRA VEHICULO/ACTIVO</t>
  </si>
  <si>
    <t>SERV0066</t>
  </si>
  <si>
    <t>SERV0066E</t>
  </si>
  <si>
    <t>?COMPRAS DE TERRENO (E)</t>
  </si>
  <si>
    <t>SERV0081E</t>
  </si>
  <si>
    <t>?COMPRAS DE TERRENOS</t>
  </si>
  <si>
    <t>SERV0081</t>
  </si>
  <si>
    <t>?CONSTRUCCION CASA/RIBEÑERA</t>
  </si>
  <si>
    <t>SERV0131</t>
  </si>
  <si>
    <t>SERV0131E</t>
  </si>
  <si>
    <t>?CONSTRUCCION INSTALACIONES CASA</t>
  </si>
  <si>
    <t>SERV0084</t>
  </si>
  <si>
    <t>SERV0084E</t>
  </si>
  <si>
    <t>?CONSTRUCCION INSTALACIONES GALPON</t>
  </si>
  <si>
    <t>SERV0003</t>
  </si>
  <si>
    <t>?CONSTRUCCION/ MANTEN. INSTAL.(E) EDIF</t>
  </si>
  <si>
    <t>SERV0085</t>
  </si>
  <si>
    <t>SERV0085E</t>
  </si>
  <si>
    <t>?CONSTRUCCION/MANTEN.(E) GALPON</t>
  </si>
  <si>
    <t>SERV0003E</t>
  </si>
  <si>
    <t>?CONSUMIBLES EQUIPOS IMPRESORAS</t>
  </si>
  <si>
    <t>SERV0074</t>
  </si>
  <si>
    <t>SERV0074E</t>
  </si>
  <si>
    <t>?CUENTA POR COBRAR F5</t>
  </si>
  <si>
    <t>SERV0150</t>
  </si>
  <si>
    <t>SERV0150E</t>
  </si>
  <si>
    <t>?CUENTA POR COBRAR HERAS NEW FASHION</t>
  </si>
  <si>
    <t>SERV0151</t>
  </si>
  <si>
    <t>SERV0151E</t>
  </si>
  <si>
    <t>?CUENTA POR COBRAR INVERSIONES AB 2000</t>
  </si>
  <si>
    <t>SERV0149</t>
  </si>
  <si>
    <t>SERV0149E</t>
  </si>
  <si>
    <t>?CUENTAS POR COBRAR AGREGADOS TENDENCIAS</t>
  </si>
  <si>
    <t>SERV0099</t>
  </si>
  <si>
    <t>SERV0099E</t>
  </si>
  <si>
    <t>?CUENTAS POR COBRAR AGRICOLA &amp; LEGUMINOS</t>
  </si>
  <si>
    <t>SERV0155</t>
  </si>
  <si>
    <t>SERV0155E</t>
  </si>
  <si>
    <t>?CUENTAS POR COBRAR AGROPECUARIA TENDENC</t>
  </si>
  <si>
    <t>SERV0115</t>
  </si>
  <si>
    <t>SERV0115E</t>
  </si>
  <si>
    <t>?CUENTAS POR COBRAR AGROTENDENCIAS</t>
  </si>
  <si>
    <t>SERV0160</t>
  </si>
  <si>
    <t>SERV0160E</t>
  </si>
  <si>
    <t>?CUENTAS POR COBRAR ALIMENTOS AGROTENDEN</t>
  </si>
  <si>
    <t>SERV0112</t>
  </si>
  <si>
    <t>SERV0112E</t>
  </si>
  <si>
    <t>?CUENTAS POR COBRAR COMERC AGROTENDENCIA</t>
  </si>
  <si>
    <t>SERV0118</t>
  </si>
  <si>
    <t>SERV0118E</t>
  </si>
  <si>
    <t>?CUENTAS POR COBRAR COMERCIAL GLOBAL IMP</t>
  </si>
  <si>
    <t>SERV0152</t>
  </si>
  <si>
    <t>SERV0152E</t>
  </si>
  <si>
    <t>?CUENTAS POR COBRAR COOPERATIVA RESGUARD</t>
  </si>
  <si>
    <t>SERV00105</t>
  </si>
  <si>
    <t>SERV00105E</t>
  </si>
  <si>
    <t>?CUENTAS POR COBRAR DEISY</t>
  </si>
  <si>
    <t>SERV0117</t>
  </si>
  <si>
    <t>SERV0117E</t>
  </si>
  <si>
    <t>?CUENTAS POR COBRAR DROGUERIA TENDENCIAS</t>
  </si>
  <si>
    <t>SERV0111</t>
  </si>
  <si>
    <t>SERV0111E</t>
  </si>
  <si>
    <t>?CUENTAS POR COBRAR EMPLEADOS</t>
  </si>
  <si>
    <t>SERV0070</t>
  </si>
  <si>
    <t>SERV0070E</t>
  </si>
  <si>
    <t>?CUENTAS POR COBRAR FARMATENDENCIAS 1</t>
  </si>
  <si>
    <t>SERV0114</t>
  </si>
  <si>
    <t>SERV0114E</t>
  </si>
  <si>
    <t>?CUENTAS POR COBRAR GENERAL FACTORY</t>
  </si>
  <si>
    <t>SERV0156</t>
  </si>
  <si>
    <t>SERV0156E</t>
  </si>
  <si>
    <t>?CUENTAS POR COBRAR GL/GJ</t>
  </si>
  <si>
    <t>SERV0162</t>
  </si>
  <si>
    <t>SERV0162E</t>
  </si>
  <si>
    <t>?CUENTAS POR COBRAR INDUSTRIAS AGROTENDE</t>
  </si>
  <si>
    <t>SERV0113</t>
  </si>
  <si>
    <t>SERV0113E</t>
  </si>
  <si>
    <t>?CUENTAS POR COBRAR SALUD</t>
  </si>
  <si>
    <t>SERV0161</t>
  </si>
  <si>
    <t>SERV0161E</t>
  </si>
  <si>
    <t>?CUENTAS POR COBRAR SILOS AGROTENDENCIAS</t>
  </si>
  <si>
    <t>SERV0116</t>
  </si>
  <si>
    <t>SERV116E</t>
  </si>
  <si>
    <t>?CUENTAS POR COBRAR TENDENCIAS AB</t>
  </si>
  <si>
    <t>SERV0098</t>
  </si>
  <si>
    <t>SERV0098E</t>
  </si>
  <si>
    <t>?CUENTAS POR COBRAR TENDENCIAS VENDE REA</t>
  </si>
  <si>
    <t>SERV00104</t>
  </si>
  <si>
    <t>SERV00104E</t>
  </si>
  <si>
    <t>?CUENTAS POR COBRAR TRANSPORTE Y SERVICI</t>
  </si>
  <si>
    <t>SERV0119</t>
  </si>
  <si>
    <t>SERV0119E</t>
  </si>
  <si>
    <t>?CUENTAS POR COBRAR UTILISIMO AB</t>
  </si>
  <si>
    <t>SERV00103</t>
  </si>
  <si>
    <t>SERV00103E</t>
  </si>
  <si>
    <t>?CUENTAS X COBRAR AB REPRESENTACIONES</t>
  </si>
  <si>
    <t>SERV0128</t>
  </si>
  <si>
    <t>SERV0128E</t>
  </si>
  <si>
    <t>?CUENTAS X COBRAR COMERCIALIZADORA E IMP</t>
  </si>
  <si>
    <t>SERV0126</t>
  </si>
  <si>
    <t>SERV0126E</t>
  </si>
  <si>
    <t>?DONACIONES</t>
  </si>
  <si>
    <t>SERV0005</t>
  </si>
  <si>
    <t>SERV0005E</t>
  </si>
  <si>
    <t>?DOTACION UNIFORMES</t>
  </si>
  <si>
    <t>SERV0034</t>
  </si>
  <si>
    <t>SERV0034E</t>
  </si>
  <si>
    <t>?EQUIPOS DE TECNOLOGIA</t>
  </si>
  <si>
    <t>SERV0007</t>
  </si>
  <si>
    <t>SERV0007E</t>
  </si>
  <si>
    <t>?EVENTOS CORPORATIVOS/FIESTAS</t>
  </si>
  <si>
    <t>SERV0062</t>
  </si>
  <si>
    <t>SERV0062E</t>
  </si>
  <si>
    <t>?FLETES Y ENCOMIENDAS</t>
  </si>
  <si>
    <t>SERV0049</t>
  </si>
  <si>
    <t>SERV0049E</t>
  </si>
  <si>
    <t>?GASTOS ADICIONALES POR CAMPAÑA</t>
  </si>
  <si>
    <t>SERV0097</t>
  </si>
  <si>
    <t>SERV0097E</t>
  </si>
  <si>
    <t>?GASTOS ADMINISTRATIVOS CONTADOR LLC</t>
  </si>
  <si>
    <t>SERV0121</t>
  </si>
  <si>
    <t>SERV0121E</t>
  </si>
  <si>
    <t>?GASTOS AGUA POTABLE/CISTERNA</t>
  </si>
  <si>
    <t>SERV0065</t>
  </si>
  <si>
    <t>SERV0065E</t>
  </si>
  <si>
    <t>?GASTOS ASEO</t>
  </si>
  <si>
    <t>SERV0071</t>
  </si>
  <si>
    <t>SERV0071E</t>
  </si>
  <si>
    <t>?GASTOS CATASTRO</t>
  </si>
  <si>
    <t>SERV0109</t>
  </si>
  <si>
    <t>SERV0109E</t>
  </si>
  <si>
    <t>?GASTOS COMBUSTIBLE/ GASOIL</t>
  </si>
  <si>
    <t>SERV0037</t>
  </si>
  <si>
    <t>SERV0037E</t>
  </si>
  <si>
    <t>?GASTOS COMBUSTIBLE/ GASOLINA</t>
  </si>
  <si>
    <t>SERV0038</t>
  </si>
  <si>
    <t>SERV0038E</t>
  </si>
  <si>
    <t>?GASTOS CONDOMINIO</t>
  </si>
  <si>
    <t>SERV0078</t>
  </si>
  <si>
    <t>SERV0078E</t>
  </si>
  <si>
    <t>?GASTOS CONTADOR</t>
  </si>
  <si>
    <t>SERV0040</t>
  </si>
  <si>
    <t>SERV0040E</t>
  </si>
  <si>
    <t>?GASTOS CONTAINER</t>
  </si>
  <si>
    <t>SERV0047</t>
  </si>
  <si>
    <t>SERV0047E</t>
  </si>
  <si>
    <t>?GASTOS CURSOS/ CAPACITACION PERSONAL</t>
  </si>
  <si>
    <t>SERV0035</t>
  </si>
  <si>
    <t>SERV0035E</t>
  </si>
  <si>
    <t>?GASTOS DE NACIONALIZACION</t>
  </si>
  <si>
    <t>SERV0046</t>
  </si>
  <si>
    <t>SERV0046E</t>
  </si>
  <si>
    <t>?GASTOS DIRECTIVA</t>
  </si>
  <si>
    <t>SERV0080</t>
  </si>
  <si>
    <t>SERV0080E</t>
  </si>
  <si>
    <t>?GASTOS DOCUMENTOS ROCT</t>
  </si>
  <si>
    <t>SERV0090</t>
  </si>
  <si>
    <t>SERV0090E</t>
  </si>
  <si>
    <t>?GASTOS DOCUMENTOS VEHICULOS PROPIOS</t>
  </si>
  <si>
    <t>SERV0094</t>
  </si>
  <si>
    <t>SERV0094E</t>
  </si>
  <si>
    <t>?GASTOS DOCUMENTOS VEHICULOS PROPIOS/CAM</t>
  </si>
  <si>
    <t>SERV0057</t>
  </si>
  <si>
    <t>SERV0057E</t>
  </si>
  <si>
    <t>?GASTOS EMPRESA</t>
  </si>
  <si>
    <t>SERV0030</t>
  </si>
  <si>
    <t>SERV0030E</t>
  </si>
  <si>
    <t>?GASTOS ENERGIA ELECTRICA/CORPOELEC</t>
  </si>
  <si>
    <t>SERV0067</t>
  </si>
  <si>
    <t>SERV0067E</t>
  </si>
  <si>
    <t>?GASTOS ENTREGA DE RETOS/LIDERES</t>
  </si>
  <si>
    <t>SERV0018</t>
  </si>
  <si>
    <t>SERV0018E</t>
  </si>
  <si>
    <t>?GASTOS EQUIPOS MARKETING</t>
  </si>
  <si>
    <t>SERV0015</t>
  </si>
  <si>
    <t>SERV0015E</t>
  </si>
  <si>
    <t>?GASTOS INTERNET/ TELECOMUNICACIONES</t>
  </si>
  <si>
    <t>SERV0031</t>
  </si>
  <si>
    <t>SERV0031E</t>
  </si>
  <si>
    <t>?GASTOS LANZAMIENTOS/ CAMPAÑAS</t>
  </si>
  <si>
    <t>SERV0016</t>
  </si>
  <si>
    <t>SERV0016E</t>
  </si>
  <si>
    <t>?GASTOS LIMPIEZA Y MANTENIMIENTO/INSUMOS</t>
  </si>
  <si>
    <t>SERV0032</t>
  </si>
  <si>
    <t>SERV0032E</t>
  </si>
  <si>
    <t>?GASTOS MANTENIMIENTO EQUI. PRODUCCION</t>
  </si>
  <si>
    <t>SERV0091</t>
  </si>
  <si>
    <t>SERV0091E</t>
  </si>
  <si>
    <t>?GASTOS MEDICINA LABORAL</t>
  </si>
  <si>
    <t>SERV00101</t>
  </si>
  <si>
    <t>SERV00101E</t>
  </si>
  <si>
    <t>?GASTOS MEDICOS EMPLEADO</t>
  </si>
  <si>
    <t>SERV0069</t>
  </si>
  <si>
    <t>SERV0069E</t>
  </si>
  <si>
    <t>?GASTOS MEDICOS/JAVIER ALEMAN</t>
  </si>
  <si>
    <t>SERV0125</t>
  </si>
  <si>
    <t>SERV0125E</t>
  </si>
  <si>
    <t>?GASTOS MEDICOS/WILIANS ALEMAN</t>
  </si>
  <si>
    <t>SERV0124</t>
  </si>
  <si>
    <t>SERV0124E</t>
  </si>
  <si>
    <t>?GASTOS MINTRA</t>
  </si>
  <si>
    <t>SERV0107</t>
  </si>
  <si>
    <t>SERV0107E</t>
  </si>
  <si>
    <t>?GASTOS PARAFISCALES FAOV</t>
  </si>
  <si>
    <t>SERV0086</t>
  </si>
  <si>
    <t>SERV0086E</t>
  </si>
  <si>
    <t>?GASTOS PARAFISCALES INCES</t>
  </si>
  <si>
    <t>SERV0087</t>
  </si>
  <si>
    <t>SERV0087E</t>
  </si>
  <si>
    <t>?GASTOS PARAFISCALES SSO</t>
  </si>
  <si>
    <t>SERV0043</t>
  </si>
  <si>
    <t>SERV0043E</t>
  </si>
  <si>
    <t>?GASTOS PATENTE</t>
  </si>
  <si>
    <t>SERV0108</t>
  </si>
  <si>
    <t>SERV0108E</t>
  </si>
  <si>
    <t>?GASTOS PERSONALES/CASA</t>
  </si>
  <si>
    <t>SERV0044</t>
  </si>
  <si>
    <t>SERV0044E</t>
  </si>
  <si>
    <t>?GASTOS PERSONALES/DANIEL ALEMAN</t>
  </si>
  <si>
    <t>SERV0163</t>
  </si>
  <si>
    <t>SERV0163E</t>
  </si>
  <si>
    <t>?GASTOS PERSONALES/DEISY</t>
  </si>
  <si>
    <t>SERV0129</t>
  </si>
  <si>
    <t>SERV0129E</t>
  </si>
  <si>
    <t>?GASTOS PERSONALES/JAVIER ALEMAN</t>
  </si>
  <si>
    <t>SERV0123</t>
  </si>
  <si>
    <t>SERV0123E</t>
  </si>
  <si>
    <t>?GASTOS PERSONALES/MEDICOS</t>
  </si>
  <si>
    <t>SERV0045</t>
  </si>
  <si>
    <t>SERV0045E</t>
  </si>
  <si>
    <t>?GASTOS PERSONALES/SUJHEI</t>
  </si>
  <si>
    <t>SERV0130</t>
  </si>
  <si>
    <t>SERV0130E</t>
  </si>
  <si>
    <t>?GASTOS PERSONALES/WILIANS ALEMAN</t>
  </si>
  <si>
    <t>SERV0122</t>
  </si>
  <si>
    <t>SERV0122E</t>
  </si>
  <si>
    <t>?GASTOS REFRIGERIOS/EMPRESA</t>
  </si>
  <si>
    <t>SERV0033</t>
  </si>
  <si>
    <t>SERV0033E</t>
  </si>
  <si>
    <t>?GASTOS RUEDAS DE NEGOCIOS</t>
  </si>
  <si>
    <t>SERV0017</t>
  </si>
  <si>
    <t>SERV0017E</t>
  </si>
  <si>
    <t>?GASTOS SENCAMER</t>
  </si>
  <si>
    <t>SERV0075</t>
  </si>
  <si>
    <t>SERV0075E</t>
  </si>
  <si>
    <t>?GASTOS SENIAT</t>
  </si>
  <si>
    <t>SERV0050</t>
  </si>
  <si>
    <t>SERV0050E</t>
  </si>
  <si>
    <t>?GASTOS SERVICIO DE FLETE NACIONAL</t>
  </si>
  <si>
    <t>SERV0133</t>
  </si>
  <si>
    <t>SERV0133E</t>
  </si>
  <si>
    <t>?GASTOS TRAMITE NOTARIA</t>
  </si>
  <si>
    <t>SERV0092</t>
  </si>
  <si>
    <t>SERV0092E</t>
  </si>
  <si>
    <t>?GASTOS TRAMITE SAPI</t>
  </si>
  <si>
    <t>SERV0093</t>
  </si>
  <si>
    <t>SERV0093E</t>
  </si>
  <si>
    <t>?GASTOS TRAMITES BOMBEROS</t>
  </si>
  <si>
    <t>SERV0154</t>
  </si>
  <si>
    <t>SERV0154E</t>
  </si>
  <si>
    <t>?GASTOS TRAMITES IMPUESTOS ALCALDIA</t>
  </si>
  <si>
    <t>SERV0042</t>
  </si>
  <si>
    <t>SERV0042E</t>
  </si>
  <si>
    <t>?GASTOS TRAMITES PERMISOS SANIDAD</t>
  </si>
  <si>
    <t>SERV0041</t>
  </si>
  <si>
    <t>SERV0041E</t>
  </si>
  <si>
    <t>?GASTOS VARIOS SIN IDENTIFICAR</t>
  </si>
  <si>
    <t>SERV0072</t>
  </si>
  <si>
    <t>SERV0072E</t>
  </si>
  <si>
    <t>?GASTOS VEHICULOS</t>
  </si>
  <si>
    <t>SERV0025</t>
  </si>
  <si>
    <t>SERV0025E</t>
  </si>
  <si>
    <t>?GASTOS VIAJES DE NEGOCIOS</t>
  </si>
  <si>
    <t>SERV0008</t>
  </si>
  <si>
    <t>SERV0008E</t>
  </si>
  <si>
    <t>?GASTOS VIATICOS/DESPACHOS COLECCIONES</t>
  </si>
  <si>
    <t>SERV0036</t>
  </si>
  <si>
    <t>SERV0036E</t>
  </si>
  <si>
    <t>?GASTOS VIGILANCIA/RESGUARDO</t>
  </si>
  <si>
    <t>SERV0132</t>
  </si>
  <si>
    <t>SERV0132E</t>
  </si>
  <si>
    <t>?GASTOS VISITA GERENTES</t>
  </si>
  <si>
    <t>SERV0073</t>
  </si>
  <si>
    <t>SERV0073E</t>
  </si>
  <si>
    <t>?HONORARIOS PROFESIONALES</t>
  </si>
  <si>
    <t>SERV0039</t>
  </si>
  <si>
    <t>SERV0039E</t>
  </si>
  <si>
    <t>?IMPLEMENTOS/INSUMOS DE SEGURIDAD</t>
  </si>
  <si>
    <t>SERV0079</t>
  </si>
  <si>
    <t>SERV0079E</t>
  </si>
  <si>
    <t>?IMPUESTO A LAS GRANDES TRANSACCIONES FI</t>
  </si>
  <si>
    <t>SERV0143</t>
  </si>
  <si>
    <t>SERV0143E</t>
  </si>
  <si>
    <t>?INSUMOS  NACIONALES PRODUCCION</t>
  </si>
  <si>
    <t>SERV0001</t>
  </si>
  <si>
    <t>SERV0001E</t>
  </si>
  <si>
    <t>?INSUMOS ARTICULOS DE  OFICINA</t>
  </si>
  <si>
    <t>SERV0010</t>
  </si>
  <si>
    <t>SERV0010E</t>
  </si>
  <si>
    <t>?INSUMOS MARKETING</t>
  </si>
  <si>
    <t>SERV0014</t>
  </si>
  <si>
    <t>SERV0014E</t>
  </si>
  <si>
    <t>?INTERESES POR CREDITO BANCARIO</t>
  </si>
  <si>
    <t>SERV0144</t>
  </si>
  <si>
    <t>SERV0144E</t>
  </si>
  <si>
    <t>?INTERESES POR TITULO DE COBERTURA</t>
  </si>
  <si>
    <t>SERV0145</t>
  </si>
  <si>
    <t>SERV0145E</t>
  </si>
  <si>
    <t>?INVESTIGACION Y DESARROLLO</t>
  </si>
  <si>
    <t>SERV0006</t>
  </si>
  <si>
    <t>SERV0006E</t>
  </si>
  <si>
    <t>?MANO OBRA CONSTR INST. GALPON</t>
  </si>
  <si>
    <t>SERV0004</t>
  </si>
  <si>
    <t>?MANO OBRA CONSTR. Y INSTAL.(E) CASA</t>
  </si>
  <si>
    <t>SERV0088</t>
  </si>
  <si>
    <t>SERV0088E</t>
  </si>
  <si>
    <t>?MANO OBRA CONSTR. Y MANT.(E) GALPON</t>
  </si>
  <si>
    <t>SERV0004E</t>
  </si>
  <si>
    <t>?MANO OBRA CONSTRUCCION Y INST. EDIF</t>
  </si>
  <si>
    <t>SERV0089</t>
  </si>
  <si>
    <t>SERV0089E</t>
  </si>
  <si>
    <t>?MANTENIMIENTO INSTALACIONES</t>
  </si>
  <si>
    <t>SERV0058</t>
  </si>
  <si>
    <t>?MANTENIMIENTO INSTALACIONES (E)</t>
  </si>
  <si>
    <t>SERV0058E</t>
  </si>
  <si>
    <t>?NOMINA ASESORES</t>
  </si>
  <si>
    <t>SERV0059</t>
  </si>
  <si>
    <t>?NOMINA ASESORES MARKETING (E)</t>
  </si>
  <si>
    <t>SERV0059E</t>
  </si>
  <si>
    <t>?NOMINA PRODUCCION</t>
  </si>
  <si>
    <t>SERV0002</t>
  </si>
  <si>
    <t>SERV0002E</t>
  </si>
  <si>
    <t>?NOMINA SEGURIDAD</t>
  </si>
  <si>
    <t>SERV0061</t>
  </si>
  <si>
    <t>?NOMINA SEGURIDAD (E)</t>
  </si>
  <si>
    <t>SERV0061E</t>
  </si>
  <si>
    <t>?PAGO ISLR/ ADELANTOS</t>
  </si>
  <si>
    <t>SERV0053</t>
  </si>
  <si>
    <t>SERV0053E</t>
  </si>
  <si>
    <t>?PAGO IVA/ ADELANTOS</t>
  </si>
  <si>
    <t>SERV0054</t>
  </si>
  <si>
    <t>SERV0054E</t>
  </si>
  <si>
    <t>?PLANILLAS SIDUNEA</t>
  </si>
  <si>
    <t>SERV0048</t>
  </si>
  <si>
    <t>SERV0048E</t>
  </si>
  <si>
    <t>?POLIZA DE SEGURO AMBIENTAL (PLANTA ELEC</t>
  </si>
  <si>
    <t>SERV0158</t>
  </si>
  <si>
    <t>SERV0158E</t>
  </si>
  <si>
    <t>?POLIZA DE SEGURO DE CAMIONES</t>
  </si>
  <si>
    <t>SERV0157</t>
  </si>
  <si>
    <t>SERV0157E</t>
  </si>
  <si>
    <t>?POLIZA DE SEGURO DE EMPLEADOS</t>
  </si>
  <si>
    <t>SERV0153</t>
  </si>
  <si>
    <t>SERV0153E</t>
  </si>
  <si>
    <t>?POLIZA DE SEGURO DE INFRAESCTRUCTURA</t>
  </si>
  <si>
    <t>SERV0136</t>
  </si>
  <si>
    <t>SERV0136E</t>
  </si>
  <si>
    <t>?POLIZA DE SEGURO DE VEHICULO</t>
  </si>
  <si>
    <t>SERV0135</t>
  </si>
  <si>
    <t>SERV0135E</t>
  </si>
  <si>
    <t>?POLIZA DE SEGURO PERSONAL</t>
  </si>
  <si>
    <t>SERV0137</t>
  </si>
  <si>
    <t>SERV0137E</t>
  </si>
  <si>
    <t>?PREMIOS LIDERES/CAMPAÑA</t>
  </si>
  <si>
    <t>SERV0023</t>
  </si>
  <si>
    <t>SERV0023E</t>
  </si>
  <si>
    <t>?PRESTAMOS A TERCEROS</t>
  </si>
  <si>
    <t>SERV0077</t>
  </si>
  <si>
    <t>SERV0077E</t>
  </si>
  <si>
    <t>?PRESTAMOS BANCARIOS</t>
  </si>
  <si>
    <t>SERV0147</t>
  </si>
  <si>
    <t>SERV0147E</t>
  </si>
  <si>
    <t>?PROTECCION A LAS PENSIONES</t>
  </si>
  <si>
    <t>SERV0148</t>
  </si>
  <si>
    <t>SERV0148E</t>
  </si>
  <si>
    <t>?REGALOS LIDERES/CAMPAÑA</t>
  </si>
  <si>
    <t>SERV0024</t>
  </si>
  <si>
    <t>SERV0024E</t>
  </si>
  <si>
    <t>?REPAR. VEHI. TRANSPORTE/INSUMOS</t>
  </si>
  <si>
    <t>SERV0064</t>
  </si>
  <si>
    <t>SERV0064E</t>
  </si>
  <si>
    <t>?REPAR. Y MANT VEHI. PERSO. MANO OBRA (E</t>
  </si>
  <si>
    <t>SERV0028E</t>
  </si>
  <si>
    <t>?REPAR. Y MANT. VEHI. TRANSP. MANO OBRA</t>
  </si>
  <si>
    <t>SERV0063</t>
  </si>
  <si>
    <t>SERV0063E</t>
  </si>
  <si>
    <t>?REPAR. Y MANTEN VEHIC. PERSO. MANO OBRA</t>
  </si>
  <si>
    <t>SERV0028</t>
  </si>
  <si>
    <t>?REPAR. Y MANTEN. CAMIONES MANO DE OBRA</t>
  </si>
  <si>
    <t>SERV0026</t>
  </si>
  <si>
    <t>?REPAR. Y MANTEN. CAMIONES MANO OBRA(E)</t>
  </si>
  <si>
    <t>SERV0026E</t>
  </si>
  <si>
    <t>?REPAR. Y MANTEN. CAMIONES/INSUMOS</t>
  </si>
  <si>
    <t>SERV0027</t>
  </si>
  <si>
    <t>?REPAR. Y MANTEN. CAMIONES/INSUMOS(E)</t>
  </si>
  <si>
    <t>SERV0027E</t>
  </si>
  <si>
    <t>?REPAR. Y MANTEN. EQUIPOS TECN.</t>
  </si>
  <si>
    <t>SERV0009</t>
  </si>
  <si>
    <t>?REPAR. Y MANTEN. EQUIPOS TECNOL.(E)</t>
  </si>
  <si>
    <t>SERV0009E</t>
  </si>
  <si>
    <t>?REPAR. Y MANTEN. VEHI. PERS./INSUMOS(E)</t>
  </si>
  <si>
    <t>SERV0029E</t>
  </si>
  <si>
    <t>?REPAR. Y MANTEN. VEHIC. PERSO./INSUMOS</t>
  </si>
  <si>
    <t>SERV0029</t>
  </si>
  <si>
    <t>?RETENCIONES ISLR</t>
  </si>
  <si>
    <t>SERV0052</t>
  </si>
  <si>
    <t>SERV0052E</t>
  </si>
  <si>
    <t>?RETENCIONES IVA</t>
  </si>
  <si>
    <t>SERV0051</t>
  </si>
  <si>
    <t>SERV0051E</t>
  </si>
  <si>
    <t>?RETOS CAMPAÑA DISTRIBUIDORES</t>
  </si>
  <si>
    <t>SERV0095</t>
  </si>
  <si>
    <t>SERV0095E</t>
  </si>
  <si>
    <t>?RETOS CAMPAÑA GERENTES</t>
  </si>
  <si>
    <t>SERV0096</t>
  </si>
  <si>
    <t>SERV0096E</t>
  </si>
  <si>
    <t>?RETOS CAMPAÑA/LIDERES</t>
  </si>
  <si>
    <t>SERV0022</t>
  </si>
  <si>
    <t>SERV0022E</t>
  </si>
  <si>
    <t>?RETOS EFECTIVO</t>
  </si>
  <si>
    <t>SERV0076</t>
  </si>
  <si>
    <t>?RETOS EFECTIVO (E)</t>
  </si>
  <si>
    <t>SERV0076E</t>
  </si>
  <si>
    <t>?RETOS MOVILIDAD/ AVEOS REPARACIONES</t>
  </si>
  <si>
    <t>SERV0019</t>
  </si>
  <si>
    <t>SERV0019E</t>
  </si>
  <si>
    <t>?RETOS MOVILIDAD/COMPRA AVEOS</t>
  </si>
  <si>
    <t>SERV0020</t>
  </si>
  <si>
    <t>SERV0020E</t>
  </si>
  <si>
    <t>?RETOS MOVILIDAD/COMPRA MOTOS</t>
  </si>
  <si>
    <t>SERV0021</t>
  </si>
  <si>
    <t>SERV0021E</t>
  </si>
  <si>
    <t>?SERVICIO DE COBRANZA</t>
  </si>
  <si>
    <t>SERV00106</t>
  </si>
  <si>
    <t>SERV00106E</t>
  </si>
  <si>
    <t>?SERVICIO MENSAJERIA DIGITEL O INTERNACI</t>
  </si>
  <si>
    <t>SERV0134</t>
  </si>
  <si>
    <t>SERV0134E</t>
  </si>
  <si>
    <t>?SERVICIOS E INSTALACIONES TRACKER</t>
  </si>
  <si>
    <t>SERV00102</t>
  </si>
  <si>
    <t>SERV00102E</t>
  </si>
  <si>
    <t>?SISTEMA/ SAINT</t>
  </si>
  <si>
    <t>SERV0012</t>
  </si>
  <si>
    <t>SERV0012E</t>
  </si>
  <si>
    <t>?SISTEMA/TENDENCIAS</t>
  </si>
  <si>
    <t>SERV0013</t>
  </si>
  <si>
    <t>SERV0013E</t>
  </si>
  <si>
    <t>?SUELDOS Y SALARIOS</t>
  </si>
  <si>
    <t>SERV0011</t>
  </si>
  <si>
    <t>SERV0011E</t>
  </si>
  <si>
    <t>?TAXES LLC</t>
  </si>
  <si>
    <t>SERV0120</t>
  </si>
  <si>
    <t>SERV0120E</t>
  </si>
  <si>
    <t>?TITULO DE COBERTURA</t>
  </si>
  <si>
    <t>SERV0146</t>
  </si>
  <si>
    <t>SERV0146E</t>
  </si>
  <si>
    <t>?UNIDAD DE MEDICINA LABORAL</t>
  </si>
  <si>
    <t>SERV00100</t>
  </si>
  <si>
    <t>SERV00100E</t>
  </si>
  <si>
    <t>servicios</t>
  </si>
  <si>
    <t>cod servicio</t>
  </si>
  <si>
    <t>CAJA PUENTE TRANSITORIA</t>
  </si>
  <si>
    <t>CUENTAS POR COBRAR CLIENTES</t>
  </si>
  <si>
    <t>EFECTOS POR COBRAR</t>
  </si>
  <si>
    <t>CUENTAS POR COBRAR EMPLEADOS</t>
  </si>
  <si>
    <t>ANTICIPO PROVEDORES</t>
  </si>
  <si>
    <t>INVENTARIO DE MERCANCIA</t>
  </si>
  <si>
    <t>DECLARACION ESTIMADA I.S.L.R</t>
  </si>
  <si>
    <t>ANTCIPO DE I.S.L.R</t>
  </si>
  <si>
    <t>MOBILIARIO Y EQUIPOS DE OFICINA</t>
  </si>
  <si>
    <t>DEPRECIACION ACUMULADA MOBILIARIOS Y EQUIPOS</t>
  </si>
  <si>
    <t>VEHICULO</t>
  </si>
  <si>
    <t>DEPRECIACION ACUMULADA VEHICULO</t>
  </si>
  <si>
    <t>CUENTAS POR PAGAR BANCOS BANESCO</t>
  </si>
  <si>
    <t>CUENTAS POR PAGAR BANCO MERCANTIL</t>
  </si>
  <si>
    <t>CUENTAS POR PAGAR BANCO BFC</t>
  </si>
  <si>
    <t>CUENTAS POR PAGAR BANCO CARONI</t>
  </si>
  <si>
    <t>CUENTAS POR PAGAR BANCO SOFITASA</t>
  </si>
  <si>
    <t>CUENTAS POR PAGAR BANCO BNC</t>
  </si>
  <si>
    <t>I.G.V. POR PAGAR (DEBITO FISCAL)</t>
  </si>
  <si>
    <t>I.G.V. POR PAGAR (CREDITO FISCAL)</t>
  </si>
  <si>
    <t>RETENCIONES IVA ACUMULADAS POR DESCONTAR</t>
  </si>
  <si>
    <t>EXCEDENTES</t>
  </si>
  <si>
    <t>RETENCIONES IVA DEL PERIODO</t>
  </si>
  <si>
    <t>EXCEDENTE DE CREDITO FISCAL</t>
  </si>
  <si>
    <t>I.V.A. POR PAGAR</t>
  </si>
  <si>
    <t>I.S.L.R. DEL EJERCICIO POR PAGAR</t>
  </si>
  <si>
    <t>DECLARACION ESTIMADA</t>
  </si>
  <si>
    <t>RETENCION ISLR POR PAGAR</t>
  </si>
  <si>
    <t>RETENCIONES LPH POR PAGAR EMPLEADOS</t>
  </si>
  <si>
    <t>RETENCIONES IVSS POR PAGAR EMPLEADOS</t>
  </si>
  <si>
    <t>RETENCIONES SPF POR PAGAR EMPLEADOS</t>
  </si>
  <si>
    <t>RETENCION INCE</t>
  </si>
  <si>
    <t>INCES 1/2 % TRABAJADOR</t>
  </si>
  <si>
    <t>INCES INTERESES</t>
  </si>
  <si>
    <t>RETENCION COMPRAS 75%</t>
  </si>
  <si>
    <t>SUELDOS Y SALARIOS POR PAGAR</t>
  </si>
  <si>
    <t>SEGURO SOCIAL POR PAGAR</t>
  </si>
  <si>
    <t>BANAVIH POR PAGAR</t>
  </si>
  <si>
    <t>CAPITAL SUSCRITO Y PAGADO</t>
  </si>
  <si>
    <t>AUMENTO DE CAPITAL</t>
  </si>
  <si>
    <t>UTILIDAD DEL EJERCICIO</t>
  </si>
  <si>
    <t>UTILIDAD DEL EJERCICIO POR INFLACION</t>
  </si>
  <si>
    <t>PERDIDA DEL EJERCICIO</t>
  </si>
  <si>
    <t>PERDIDA ACUMULADA POR INFLACION</t>
  </si>
  <si>
    <t>PERDIDA DEL EJERCICIO POR INFLACION</t>
  </si>
  <si>
    <t>UTILIDADES ACUMULADAS</t>
  </si>
  <si>
    <t>PERDIDAS ACUMULADAS</t>
  </si>
  <si>
    <t>UTILIDAD ACUMULADA POR INFLACION</t>
  </si>
  <si>
    <t>RESERVA LEGAL</t>
  </si>
  <si>
    <t>APORTE POR CAPITALIZAR</t>
  </si>
  <si>
    <t>INGRESOS POR VENTAS</t>
  </si>
  <si>
    <t>DEVOLUCIONES EN VENTAS CON IVA</t>
  </si>
  <si>
    <t>INGRESOS POR INTERESES BANCARIOS</t>
  </si>
  <si>
    <t>COMPRAS INSUMO PRODUCCION</t>
  </si>
  <si>
    <t>COMPRAS GENERALES</t>
  </si>
  <si>
    <t>COMPRAS EXENTAS</t>
  </si>
  <si>
    <t>COMPRAS IMPORTADAS</t>
  </si>
  <si>
    <t>GASTOS DE ADUANA</t>
  </si>
  <si>
    <t>DESCUENTOS Y DEVOLUCIONES EN COMPRAS</t>
  </si>
  <si>
    <t>DESCUENTO POR PRONTO PAGO</t>
  </si>
  <si>
    <t>VACACIONES</t>
  </si>
  <si>
    <t>UTILIDADES</t>
  </si>
  <si>
    <t>PRESTACIONES Y LIQUIDACIONES</t>
  </si>
  <si>
    <t>BONO LIBERALIDAD PATRONAL</t>
  </si>
  <si>
    <t>BONO ALIMENTACION</t>
  </si>
  <si>
    <t>APORTE PATRONAL SSO</t>
  </si>
  <si>
    <t>APORTE PATRONAL SPF</t>
  </si>
  <si>
    <t>APORTE PATRONAL FAOV</t>
  </si>
  <si>
    <t>APORTE PATRONAL INCES</t>
  </si>
  <si>
    <t>FLETES Y ENCOMIENDAS</t>
  </si>
  <si>
    <t>GASTOS TELECOMUNICACIONES/INTERNET</t>
  </si>
  <si>
    <t>REPARACION Y MANTENIMIENTO DE EQUIPOS</t>
  </si>
  <si>
    <t>PATENTE DE INDUSTRIA Y COMERCIO</t>
  </si>
  <si>
    <t>GASTOS DE PUBLICIDAD</t>
  </si>
  <si>
    <t>MANTENIMIENTO DE INFRAESTRUCTURA</t>
  </si>
  <si>
    <t>ARTICULOS DE LIMPIEZA</t>
  </si>
  <si>
    <t>SERVICIO DE AGUA POTABLE</t>
  </si>
  <si>
    <t>SERVICIO DE ASEO</t>
  </si>
  <si>
    <t>SERVICIO DE ENERGIA ELECTRICA</t>
  </si>
  <si>
    <t>GASTOS TRAMITES IMPUESTO ALCALDIA</t>
  </si>
  <si>
    <t>GASTOS TRAMITES PERMISOS SANIDAD/SAPI</t>
  </si>
  <si>
    <t>GASTOS CONDOMINIO</t>
  </si>
  <si>
    <t>GASTOS SERVICIOS MEDICOS</t>
  </si>
  <si>
    <t>GASTOS DE SEGURIDAD</t>
  </si>
  <si>
    <t>GASTOS DE INSUMOS/IMPLEMENTOS DE SEGURIDAD</t>
  </si>
  <si>
    <t>GASTOS POLIZA DE SEGURO</t>
  </si>
  <si>
    <t>INTERESES POR PRESTAMOS BANCARIOS</t>
  </si>
  <si>
    <t>IMPUESTO A LAS GRANDES TRANSACCIONES FINANCIERAS</t>
  </si>
  <si>
    <t>EQUIPOS CONTRA INCENDIO</t>
  </si>
  <si>
    <t>REPARACIONES SISTEMA DE COMPUTACION</t>
  </si>
  <si>
    <t>S.A. TECNICA DE CONSERVACION AMBIENTAL</t>
  </si>
  <si>
    <t>CAPACITACION Y DESARROLLO</t>
  </si>
  <si>
    <t>FUMIGACION</t>
  </si>
  <si>
    <t>GASTOS NO DEDUCIBLES</t>
  </si>
  <si>
    <t>FONDO NACIONAL DEL DEPORTE</t>
  </si>
  <si>
    <t>GASTOS DE UNIFORME</t>
  </si>
  <si>
    <t>AJUSTES CONTABILIDAD</t>
  </si>
  <si>
    <t>PLANILLAS SIDUNEA</t>
  </si>
  <si>
    <t>ANTICIPO CLIENTE</t>
  </si>
  <si>
    <t>ANTIGUEDAD POR PAGAR</t>
  </si>
  <si>
    <t>INTERESES SSO</t>
  </si>
  <si>
    <t>BONO ADICIONAL</t>
  </si>
  <si>
    <t>BONO ADICIONAL POR PAGAR</t>
  </si>
  <si>
    <t>BONO GUERRA ECONOMICA</t>
  </si>
  <si>
    <t>CAJA PRINCIPAL</t>
  </si>
  <si>
    <t>CARGOS TRANSITORIOS TRASPASO</t>
  </si>
  <si>
    <t>CREDITO FISCAL DIFERENCIA MANIFIESTOS</t>
  </si>
  <si>
    <t>CUENTA POR PAGAR INTERCOMPAÑIAS</t>
  </si>
  <si>
    <t>CUENTAS POR COBRAR INTERCOMPAÑIAS</t>
  </si>
  <si>
    <t>CUENTAS POR PAGAR AHORRO</t>
  </si>
  <si>
    <t>FONDO NACIONAL DE CIENCIA Y TECNOLOGIA (FONACIT)</t>
  </si>
  <si>
    <t>COMPLEMENTO BONO ALIMENTARIO TRABAJADORES</t>
  </si>
  <si>
    <t>GASTOS DE FLETE</t>
  </si>
  <si>
    <t>GASTOS DE MARKETING</t>
  </si>
  <si>
    <t>IGTF POT PAGAR</t>
  </si>
  <si>
    <t>INVENTARIO INICIAL DE MERCANCIA</t>
  </si>
  <si>
    <t>MANTENIMIENTO DE VEHICULOS</t>
  </si>
  <si>
    <t>PROTECCION A LAS PENSIONES</t>
  </si>
  <si>
    <t>SERVICIO ADMINISTRATIVO TODO TICKET</t>
  </si>
  <si>
    <t>SUELDOS Y SALARIOS DIRECTIVOS</t>
  </si>
  <si>
    <t>SUELDOS Y SALARIOS DIRECTIVOS POR PAGAR</t>
  </si>
  <si>
    <t>TERRENO</t>
  </si>
  <si>
    <t>TITULO DE COBERTURA BANESCO</t>
  </si>
  <si>
    <t>TITULO DE COBERTURA BANPLUS</t>
  </si>
  <si>
    <t>TITULO DE COBERTURA BNC</t>
  </si>
  <si>
    <t>TITULO DE COBERTURA MERCANTIL</t>
  </si>
  <si>
    <t>INGRESO RETRAOCTIVO SSO</t>
  </si>
  <si>
    <t>GASTOS SEMCAMER</t>
  </si>
  <si>
    <t>cuenta contable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</si>
</sst>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/>
      <top style="medium">
        <color rgb="FF284E3F"/>
      </top>
      <bottom style="medium">
        <color rgb="FF284E3F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/>
    <xf numFmtId="164" fontId="0" fillId="0" borderId="0" xfId="1" applyFont="1" applyBorder="1"/>
    <xf numFmtId="0" fontId="3" fillId="0" borderId="1" xfId="0" applyFont="1" applyBorder="1" applyAlignment="1">
      <alignment vertical="center"/>
    </xf>
    <xf numFmtId="14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3" fillId="0" borderId="1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2" borderId="2" xfId="0" applyFont="1" applyFill="1" applyBorder="1" applyAlignment="1">
      <alignment wrapText="1"/>
    </xf>
    <xf numFmtId="0" fontId="5" fillId="2" borderId="3" xfId="0" applyFont="1" applyFill="1" applyBorder="1" applyAlignment="1">
      <alignment horizontal="right" wrapText="1"/>
    </xf>
    <xf numFmtId="0" fontId="5" fillId="2" borderId="3" xfId="0" applyFont="1" applyFill="1" applyBorder="1" applyAlignment="1">
      <alignment wrapText="1"/>
    </xf>
    <xf numFmtId="0" fontId="5" fillId="2" borderId="3" xfId="0" applyFont="1" applyFill="1" applyBorder="1" applyAlignment="1">
      <alignment horizontal="left" wrapText="1"/>
    </xf>
    <xf numFmtId="0" fontId="5" fillId="2" borderId="4" xfId="0" applyFont="1" applyFill="1" applyBorder="1" applyAlignment="1">
      <alignment wrapText="1"/>
    </xf>
    <xf numFmtId="0" fontId="5" fillId="2" borderId="0" xfId="0" applyFont="1" applyFill="1" applyAlignment="1">
      <alignment wrapText="1"/>
    </xf>
    <xf numFmtId="0" fontId="5" fillId="2" borderId="0" xfId="0" applyFont="1" applyFill="1" applyAlignment="1">
      <alignment horizontal="center" wrapText="1"/>
    </xf>
    <xf numFmtId="164" fontId="5" fillId="2" borderId="0" xfId="1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5" fillId="2" borderId="6" xfId="0" applyFont="1" applyFill="1" applyBorder="1" applyAlignment="1">
      <alignment wrapText="1"/>
    </xf>
    <xf numFmtId="14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49" fontId="0" fillId="0" borderId="0" xfId="0" applyNumberFormat="1"/>
    <xf numFmtId="0" fontId="0" fillId="3" borderId="0" xfId="0" applyFill="1" applyAlignment="1">
      <alignment wrapText="1"/>
    </xf>
    <xf numFmtId="14" fontId="1" fillId="0" borderId="0" xfId="0" applyNumberFormat="1" applyFont="1"/>
    <xf numFmtId="4" fontId="1" fillId="0" borderId="0" xfId="0" applyNumberFormat="1" applyFont="1" applyAlignment="1">
      <alignment horizontal="right"/>
    </xf>
    <xf numFmtId="164" fontId="7" fillId="0" borderId="0" xfId="1" applyFont="1" applyBorder="1"/>
    <xf numFmtId="0" fontId="7" fillId="0" borderId="0" xfId="0" applyFont="1"/>
    <xf numFmtId="0" fontId="4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5" formatCode="d/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3" displayName="Tabla3" ref="A10:W13" totalsRowShown="0" headerRowDxfId="12">
  <autoFilter ref="A10:W13" xr:uid="{00000000-0009-0000-0100-000001000000}"/>
  <tableColumns count="23">
    <tableColumn id="1" xr3:uid="{00000000-0010-0000-0000-000001000000}" name="FECHA" dataDxfId="11"/>
    <tableColumn id="2" xr3:uid="{00000000-0010-0000-0000-000002000000}" name="REFERENCIA" dataDxfId="10"/>
    <tableColumn id="3" xr3:uid="{00000000-0010-0000-0000-000003000000}" name="DESCRIPCIÓN"/>
    <tableColumn id="4" xr3:uid="{00000000-0010-0000-0000-000004000000}" name="MONTO BS" dataDxfId="9"/>
    <tableColumn id="5" xr3:uid="{00000000-0010-0000-0000-000005000000}" name="D/C"/>
    <tableColumn id="6" xr3:uid="{00000000-0010-0000-0000-000006000000}" name="COD/CONT" dataDxfId="8">
      <calculatedColumnFormula>VLOOKUP(Tabla3[[#This Row],[CONTABLE]],'SAPROV (2)'!L:M,2,FALSE)</calculatedColumnFormula>
    </tableColumn>
    <tableColumn id="7" xr3:uid="{00000000-0010-0000-0000-000007000000}" name="CONTABLE" dataDxfId="7"/>
    <tableColumn id="21" xr3:uid="{00000000-0010-0000-0000-000015000000}" name="Deposito" dataDxfId="6"/>
    <tableColumn id="22" xr3:uid="{00000000-0010-0000-0000-000016000000}" name="Codigo Dep" dataDxfId="5">
      <calculatedColumnFormula>VLOOKUP(Tabla3[[#This Row],[Deposito]],'SAPROV (2)'!D:E,2,FALSE)</calculatedColumnFormula>
    </tableColumn>
    <tableColumn id="23" xr3:uid="{00000000-0010-0000-0000-000017000000}" name="Campaña" dataDxfId="4"/>
    <tableColumn id="20" xr3:uid="{00000000-0010-0000-0000-000014000000}" name="PROVEEDOR" dataDxfId="3"/>
    <tableColumn id="19" xr3:uid="{00000000-0010-0000-0000-000013000000}" name="Columna2" dataDxfId="2">
      <calculatedColumnFormula>VLOOKUP(Tabla3[[#This Row],[PROVEEDOR]],'SAPROV (2)'!A:B,2,FALSE)</calculatedColumnFormula>
    </tableColumn>
    <tableColumn id="8" xr3:uid="{00000000-0010-0000-0000-000008000000}" name="COD/SER">
      <calculatedColumnFormula>VLOOKUP(Tabla3[[#This Row],[SERVICIO]],'SAPROV (2)'!I:J,2,FALSE)</calculatedColumnFormula>
    </tableColumn>
    <tableColumn id="9" xr3:uid="{00000000-0010-0000-0000-000009000000}" name="SERVICIO"/>
    <tableColumn id="18" xr3:uid="{00000000-0010-0000-0000-000012000000}" name="Columna1"/>
    <tableColumn id="10" xr3:uid="{00000000-0010-0000-0000-00000A000000}" name="TASA"/>
    <tableColumn id="11" xr3:uid="{00000000-0010-0000-0000-00000B000000}" name="MONTO EN $" dataDxfId="1" dataCellStyle="Millares">
      <calculatedColumnFormula>D11/P11</calculatedColumnFormula>
    </tableColumn>
    <tableColumn id="12" xr3:uid="{00000000-0010-0000-0000-00000C000000}" name="BANCO" dataDxfId="0"/>
    <tableColumn id="13" xr3:uid="{00000000-0010-0000-0000-00000D000000}" name="OBSERVACIONES"/>
    <tableColumn id="14" xr3:uid="{00000000-0010-0000-0000-00000E000000}" name="NªGASTO"/>
    <tableColumn id="15" xr3:uid="{00000000-0010-0000-0000-00000F000000}" name="Nº"/>
    <tableColumn id="16" xr3:uid="{00000000-0010-0000-0000-000010000000}" name="CLASIFICACION"/>
    <tableColumn id="17" xr3:uid="{00000000-0010-0000-0000-000011000000}" name="SEDE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W13"/>
  <sheetViews>
    <sheetView tabSelected="1" workbookViewId="0">
      <selection activeCell="M5" sqref="M5"/>
    </sheetView>
  </sheetViews>
  <sheetFormatPr baseColWidth="10" defaultRowHeight="15" x14ac:dyDescent="0.25"/>
  <cols>
    <col min="1" max="1" width="11.140625" customWidth="1"/>
    <col min="2" max="2" width="13.7109375" style="1" customWidth="1"/>
    <col min="3" max="3" width="27.85546875" customWidth="1"/>
    <col min="4" max="4" width="12.140625" style="1" customWidth="1"/>
    <col min="5" max="5" width="6.5703125" customWidth="1"/>
    <col min="6" max="6" width="13" style="2" customWidth="1"/>
    <col min="7" max="10" width="12.7109375" style="2" customWidth="1"/>
    <col min="11" max="11" width="30.42578125" style="2" customWidth="1"/>
    <col min="12" max="12" width="12.7109375" style="2" customWidth="1"/>
    <col min="13" max="13" width="29.5703125" customWidth="1"/>
    <col min="14" max="14" width="46.5703125" customWidth="1"/>
    <col min="15" max="15" width="15.42578125" customWidth="1"/>
    <col min="16" max="16" width="11.42578125" customWidth="1"/>
    <col min="17" max="17" width="10.42578125" style="4" customWidth="1"/>
    <col min="19" max="19" width="30.5703125" customWidth="1"/>
    <col min="20" max="20" width="11.42578125" customWidth="1"/>
    <col min="21" max="21" width="5.85546875" customWidth="1"/>
    <col min="22" max="22" width="28" customWidth="1"/>
    <col min="23" max="23" width="28.42578125" customWidth="1"/>
  </cols>
  <sheetData>
    <row r="4" spans="1:23" ht="15.75" thickBot="1" x14ac:dyDescent="0.3">
      <c r="M4" s="3"/>
    </row>
    <row r="5" spans="1:23" ht="15.75" thickBot="1" x14ac:dyDescent="0.3">
      <c r="A5" s="5"/>
      <c r="G5" s="6"/>
      <c r="H5" s="6"/>
      <c r="I5" s="6"/>
      <c r="J5" s="6"/>
      <c r="K5" s="6"/>
      <c r="L5" s="1"/>
      <c r="M5" s="7"/>
      <c r="N5" s="27"/>
      <c r="O5" s="27"/>
    </row>
    <row r="6" spans="1:23" ht="15.75" thickBot="1" x14ac:dyDescent="0.3">
      <c r="A6" s="5"/>
      <c r="G6" s="1"/>
      <c r="H6" s="1"/>
      <c r="I6" s="1"/>
      <c r="J6" s="1"/>
      <c r="K6" s="1"/>
      <c r="L6" s="1"/>
    </row>
    <row r="7" spans="1:23" ht="15.75" thickBot="1" x14ac:dyDescent="0.3">
      <c r="A7" s="5"/>
    </row>
    <row r="8" spans="1:23" ht="28.5" thickBot="1" x14ac:dyDescent="0.45">
      <c r="A8" s="8"/>
      <c r="C8" s="32" t="s">
        <v>0</v>
      </c>
      <c r="D8" s="32"/>
      <c r="E8" s="32"/>
      <c r="F8" s="32"/>
      <c r="G8" s="32"/>
      <c r="H8" s="9"/>
      <c r="I8" s="9"/>
      <c r="J8" s="9"/>
      <c r="K8" s="9"/>
      <c r="L8" s="9"/>
      <c r="M8" s="10"/>
      <c r="N8" s="10"/>
      <c r="O8" s="10"/>
    </row>
    <row r="9" spans="1:23" ht="15.75" thickBot="1" x14ac:dyDescent="0.3"/>
    <row r="10" spans="1:23" ht="26.25" customHeight="1" thickBot="1" x14ac:dyDescent="0.3">
      <c r="A10" s="11" t="s">
        <v>1</v>
      </c>
      <c r="B10" s="12" t="s">
        <v>2</v>
      </c>
      <c r="C10" s="13" t="s">
        <v>3</v>
      </c>
      <c r="D10" s="12" t="s">
        <v>4</v>
      </c>
      <c r="E10" s="13" t="s">
        <v>5</v>
      </c>
      <c r="F10" s="14" t="s">
        <v>6</v>
      </c>
      <c r="G10" s="14" t="s">
        <v>7</v>
      </c>
      <c r="H10" s="14" t="s">
        <v>173</v>
      </c>
      <c r="I10" s="14" t="s">
        <v>172</v>
      </c>
      <c r="J10" s="14" t="s">
        <v>171</v>
      </c>
      <c r="K10" s="14" t="s">
        <v>774</v>
      </c>
      <c r="L10" s="14" t="s">
        <v>8</v>
      </c>
      <c r="M10" s="13" t="s">
        <v>9</v>
      </c>
      <c r="N10" s="15" t="s">
        <v>10</v>
      </c>
      <c r="O10" s="16" t="s">
        <v>11</v>
      </c>
      <c r="P10" s="17" t="s">
        <v>12</v>
      </c>
      <c r="Q10" s="18" t="s">
        <v>13</v>
      </c>
      <c r="R10" s="16" t="s">
        <v>14</v>
      </c>
      <c r="S10" s="16" t="s">
        <v>15</v>
      </c>
      <c r="T10" s="16" t="s">
        <v>16</v>
      </c>
      <c r="U10" s="19" t="s">
        <v>17</v>
      </c>
      <c r="V10" s="19" t="s">
        <v>18</v>
      </c>
      <c r="W10" s="20" t="s">
        <v>19</v>
      </c>
    </row>
    <row r="11" spans="1:23" x14ac:dyDescent="0.25">
      <c r="A11" s="21"/>
      <c r="B11"/>
      <c r="D11" s="22"/>
      <c r="F11" s="2" t="e">
        <f>VLOOKUP(Tabla3[[#This Row],[CONTABLE]],'SAPROV (2)'!L:M,2,FALSE)</f>
        <v>#N/A</v>
      </c>
      <c r="I11" s="2" t="e">
        <f>VLOOKUP(Tabla3[[#This Row],[Deposito]],'SAPROV (2)'!D:E,2,FALSE)</f>
        <v>#N/A</v>
      </c>
      <c r="L11" s="2" t="e">
        <f>VLOOKUP(Tabla3[[#This Row],[PROVEEDOR]],'SAPROV (2)'!A:B,2,FALSE)</f>
        <v>#N/A</v>
      </c>
      <c r="Q11" s="4" t="e">
        <f>D11/P11</f>
        <v>#DIV/0!</v>
      </c>
    </row>
    <row r="12" spans="1:23" x14ac:dyDescent="0.25">
      <c r="A12" s="28"/>
      <c r="B12" s="23"/>
      <c r="C12" s="24"/>
      <c r="D12" s="29"/>
      <c r="E12" s="24"/>
      <c r="F12" s="25" t="e">
        <f>VLOOKUP(Tabla3[[#This Row],[CONTABLE]],'SAPROV (2)'!L:M,2,FALSE)</f>
        <v>#N/A</v>
      </c>
      <c r="G12" s="25"/>
      <c r="H12" s="25"/>
      <c r="I12" s="25" t="e">
        <f>VLOOKUP(Tabla3[[#This Row],[Deposito]],'SAPROV (2)'!D:E,2,FALSE)</f>
        <v>#N/A</v>
      </c>
      <c r="J12" s="25"/>
      <c r="K12" s="25"/>
      <c r="L12" s="25" t="e">
        <f>VLOOKUP(Tabla3[[#This Row],[PROVEEDOR]],'SAPROV (2)'!A:B,2,FALSE)</f>
        <v>#N/A</v>
      </c>
      <c r="M12" t="e">
        <f>VLOOKUP(Tabla3[[#This Row],[SERVICIO]],'SAPROV (2)'!I:J,2,FALSE)</f>
        <v>#N/A</v>
      </c>
      <c r="N12" s="24"/>
      <c r="O12" s="24"/>
      <c r="P12" s="24"/>
      <c r="Q12" s="30" t="e">
        <f t="shared" ref="Q12:Q13" si="0">D12/P12</f>
        <v>#DIV/0!</v>
      </c>
      <c r="R12" s="31"/>
    </row>
    <row r="13" spans="1:23" x14ac:dyDescent="0.25">
      <c r="A13" s="28"/>
      <c r="B13" s="23"/>
      <c r="C13" s="24"/>
      <c r="D13" s="29"/>
      <c r="E13" s="24"/>
      <c r="F13" s="25" t="e">
        <f>VLOOKUP(Tabla3[[#This Row],[CONTABLE]],'SAPROV (2)'!L:M,2,FALSE)</f>
        <v>#N/A</v>
      </c>
      <c r="G13" s="25"/>
      <c r="H13" s="25"/>
      <c r="I13" s="25" t="e">
        <f>VLOOKUP(Tabla3[[#This Row],[Deposito]],'SAPROV (2)'!D:E,2,FALSE)</f>
        <v>#N/A</v>
      </c>
      <c r="J13" s="25"/>
      <c r="K13" s="25"/>
      <c r="L13" s="25" t="e">
        <f>VLOOKUP(Tabla3[[#This Row],[PROVEEDOR]],'SAPROV (2)'!A:B,2,FALSE)</f>
        <v>#N/A</v>
      </c>
      <c r="M13" t="e">
        <f>VLOOKUP(Tabla3[[#This Row],[SERVICIO]],'SAPROV (2)'!I:J,2,FALSE)</f>
        <v>#N/A</v>
      </c>
      <c r="N13" s="24"/>
      <c r="O13" s="24"/>
      <c r="P13" s="24"/>
      <c r="Q13" s="30" t="e">
        <f t="shared" si="0"/>
        <v>#DIV/0!</v>
      </c>
      <c r="R13" s="31"/>
    </row>
  </sheetData>
  <mergeCells count="1">
    <mergeCell ref="C8:G8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'SAPROV (2)'!$A:$A</xm:f>
          </x14:formula1>
          <xm:sqref>K1:K1048576</xm:sqref>
        </x14:dataValidation>
        <x14:dataValidation type="list" allowBlank="1" showInputMessage="1" showErrorMessage="1" xr:uid="{97EC474C-035F-47A5-97D2-D4052D8D38EA}">
          <x14:formula1>
            <xm:f>'SAPROV (2)'!$D:$D</xm:f>
          </x14:formula1>
          <xm:sqref>H1:H1048576</xm:sqref>
        </x14:dataValidation>
        <x14:dataValidation type="list" allowBlank="1" showInputMessage="1" showErrorMessage="1" xr:uid="{68E350B7-147D-4BF1-BDB6-3B09870F0A26}">
          <x14:formula1>
            <xm:f>'SAPROV (2)'!$G:$G</xm:f>
          </x14:formula1>
          <xm:sqref>J1:J1048576</xm:sqref>
        </x14:dataValidation>
        <x14:dataValidation type="list" allowBlank="1" showInputMessage="1" showErrorMessage="1" xr:uid="{AC2BDD32-D482-4BBC-907F-FBC6D5EB749E}">
          <x14:formula1>
            <xm:f>'SAPROV (2)'!$I:$I</xm:f>
          </x14:formula1>
          <xm:sqref>N1:N1048576</xm:sqref>
        </x14:dataValidation>
        <x14:dataValidation type="list" allowBlank="1" showInputMessage="1" showErrorMessage="1" xr:uid="{E2281B49-7A8D-4207-869A-6C817B82843B}">
          <x14:formula1>
            <xm:f>'SAPROV (2)'!$L:$L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1"/>
  <sheetViews>
    <sheetView workbookViewId="0">
      <selection activeCell="M2" sqref="M2"/>
    </sheetView>
  </sheetViews>
  <sheetFormatPr baseColWidth="10" defaultRowHeight="15" x14ac:dyDescent="0.25"/>
  <cols>
    <col min="1" max="1" width="38.28515625" bestFit="1" customWidth="1"/>
    <col min="2" max="2" width="11.7109375" style="26" bestFit="1" customWidth="1"/>
    <col min="3" max="3" width="3.28515625" customWidth="1"/>
    <col min="5" max="5" width="11.5703125" style="26"/>
    <col min="6" max="6" width="3.28515625" customWidth="1"/>
    <col min="8" max="8" width="5" customWidth="1"/>
    <col min="9" max="9" width="32.7109375" customWidth="1"/>
    <col min="11" max="11" width="6.28515625" customWidth="1"/>
    <col min="12" max="12" width="22.5703125" customWidth="1"/>
  </cols>
  <sheetData>
    <row r="1" spans="1:13" x14ac:dyDescent="0.25">
      <c r="A1" t="s">
        <v>174</v>
      </c>
      <c r="B1" s="26" t="s">
        <v>25</v>
      </c>
      <c r="D1" t="s">
        <v>173</v>
      </c>
      <c r="E1" s="26" t="s">
        <v>766</v>
      </c>
      <c r="G1" t="s">
        <v>171</v>
      </c>
      <c r="I1" t="s">
        <v>1263</v>
      </c>
      <c r="J1" t="s">
        <v>1264</v>
      </c>
      <c r="L1" t="s">
        <v>1393</v>
      </c>
      <c r="M1" t="s">
        <v>766</v>
      </c>
    </row>
    <row r="2" spans="1:13" x14ac:dyDescent="0.25">
      <c r="A2" t="s">
        <v>175</v>
      </c>
      <c r="B2" s="26" t="s">
        <v>176</v>
      </c>
      <c r="D2" t="s">
        <v>767</v>
      </c>
      <c r="E2" s="26" t="s">
        <v>432</v>
      </c>
      <c r="G2" t="s">
        <v>769</v>
      </c>
      <c r="I2" t="s">
        <v>775</v>
      </c>
      <c r="J2" t="s">
        <v>776</v>
      </c>
      <c r="L2" t="s">
        <v>1361</v>
      </c>
      <c r="M2">
        <v>610198001</v>
      </c>
    </row>
    <row r="3" spans="1:13" x14ac:dyDescent="0.25">
      <c r="A3" t="s">
        <v>177</v>
      </c>
      <c r="B3" s="26" t="s">
        <v>178</v>
      </c>
      <c r="G3" t="s">
        <v>770</v>
      </c>
      <c r="I3" t="s">
        <v>775</v>
      </c>
      <c r="J3" t="s">
        <v>777</v>
      </c>
      <c r="L3" t="s">
        <v>1272</v>
      </c>
      <c r="M3">
        <v>110125002</v>
      </c>
    </row>
    <row r="4" spans="1:13" x14ac:dyDescent="0.25">
      <c r="A4" t="s">
        <v>120</v>
      </c>
      <c r="B4" s="26" t="s">
        <v>119</v>
      </c>
      <c r="G4" t="s">
        <v>771</v>
      </c>
      <c r="I4" t="s">
        <v>778</v>
      </c>
      <c r="J4" t="s">
        <v>779</v>
      </c>
      <c r="L4" t="s">
        <v>1363</v>
      </c>
      <c r="M4">
        <v>213301001</v>
      </c>
    </row>
    <row r="5" spans="1:13" x14ac:dyDescent="0.25">
      <c r="A5" t="s">
        <v>179</v>
      </c>
      <c r="B5" s="26" t="s">
        <v>180</v>
      </c>
      <c r="G5" t="s">
        <v>768</v>
      </c>
      <c r="I5" t="s">
        <v>778</v>
      </c>
      <c r="J5" t="s">
        <v>780</v>
      </c>
      <c r="L5" t="s">
        <v>1269</v>
      </c>
      <c r="M5">
        <v>110114001</v>
      </c>
    </row>
    <row r="6" spans="1:13" x14ac:dyDescent="0.25">
      <c r="A6" t="s">
        <v>47</v>
      </c>
      <c r="B6" s="26" t="s">
        <v>46</v>
      </c>
      <c r="G6" t="s">
        <v>772</v>
      </c>
      <c r="I6" t="s">
        <v>781</v>
      </c>
      <c r="J6" t="s">
        <v>782</v>
      </c>
      <c r="L6" t="s">
        <v>1364</v>
      </c>
      <c r="M6">
        <v>211501001</v>
      </c>
    </row>
    <row r="7" spans="1:13" x14ac:dyDescent="0.25">
      <c r="A7" t="s">
        <v>181</v>
      </c>
      <c r="B7" s="26" t="s">
        <v>182</v>
      </c>
      <c r="G7" t="s">
        <v>773</v>
      </c>
      <c r="I7" t="s">
        <v>781</v>
      </c>
      <c r="J7" t="s">
        <v>783</v>
      </c>
      <c r="L7" t="s">
        <v>1332</v>
      </c>
      <c r="M7">
        <v>610102003</v>
      </c>
    </row>
    <row r="8" spans="1:13" x14ac:dyDescent="0.25">
      <c r="A8" t="s">
        <v>170</v>
      </c>
      <c r="B8" s="26" t="s">
        <v>169</v>
      </c>
      <c r="I8" t="s">
        <v>784</v>
      </c>
      <c r="J8" t="s">
        <v>785</v>
      </c>
      <c r="L8" t="s">
        <v>1333</v>
      </c>
      <c r="M8">
        <v>610102004</v>
      </c>
    </row>
    <row r="9" spans="1:13" x14ac:dyDescent="0.25">
      <c r="A9" t="s">
        <v>183</v>
      </c>
      <c r="B9" s="26" t="s">
        <v>184</v>
      </c>
      <c r="I9" t="s">
        <v>784</v>
      </c>
      <c r="J9" t="s">
        <v>786</v>
      </c>
      <c r="L9" t="s">
        <v>1365</v>
      </c>
      <c r="M9">
        <v>610102005</v>
      </c>
    </row>
    <row r="10" spans="1:13" x14ac:dyDescent="0.25">
      <c r="A10" t="s">
        <v>166</v>
      </c>
      <c r="B10" s="26" t="s">
        <v>165</v>
      </c>
      <c r="I10" t="s">
        <v>787</v>
      </c>
      <c r="J10" t="s">
        <v>788</v>
      </c>
      <c r="L10" t="s">
        <v>1331</v>
      </c>
      <c r="M10">
        <v>610102002</v>
      </c>
    </row>
    <row r="11" spans="1:13" x14ac:dyDescent="0.25">
      <c r="A11" t="s">
        <v>185</v>
      </c>
      <c r="B11" s="26" t="s">
        <v>186</v>
      </c>
      <c r="I11" t="s">
        <v>787</v>
      </c>
      <c r="J11" t="s">
        <v>789</v>
      </c>
      <c r="L11" t="s">
        <v>1330</v>
      </c>
      <c r="M11">
        <v>610102001</v>
      </c>
    </row>
    <row r="12" spans="1:13" x14ac:dyDescent="0.25">
      <c r="A12" t="s">
        <v>187</v>
      </c>
      <c r="B12" s="26" t="s">
        <v>188</v>
      </c>
      <c r="I12" t="s">
        <v>790</v>
      </c>
      <c r="J12" t="s">
        <v>791</v>
      </c>
      <c r="L12" t="s">
        <v>1314</v>
      </c>
      <c r="M12">
        <v>312001001</v>
      </c>
    </row>
    <row r="13" spans="1:13" x14ac:dyDescent="0.25">
      <c r="A13" t="s">
        <v>189</v>
      </c>
      <c r="B13" s="26" t="s">
        <v>190</v>
      </c>
      <c r="I13" t="s">
        <v>790</v>
      </c>
      <c r="J13" t="s">
        <v>792</v>
      </c>
      <c r="L13" t="s">
        <v>1340</v>
      </c>
      <c r="M13">
        <v>610120001</v>
      </c>
    </row>
    <row r="14" spans="1:13" x14ac:dyDescent="0.25">
      <c r="A14" t="s">
        <v>102</v>
      </c>
      <c r="B14" s="26" t="s">
        <v>101</v>
      </c>
      <c r="I14" t="s">
        <v>793</v>
      </c>
      <c r="J14" t="s">
        <v>794</v>
      </c>
      <c r="L14" t="s">
        <v>78</v>
      </c>
      <c r="M14">
        <v>610107001</v>
      </c>
    </row>
    <row r="15" spans="1:13" x14ac:dyDescent="0.25">
      <c r="A15" t="s">
        <v>78</v>
      </c>
      <c r="B15" s="26" t="s">
        <v>77</v>
      </c>
      <c r="I15" t="s">
        <v>795</v>
      </c>
      <c r="J15" t="s">
        <v>796</v>
      </c>
      <c r="L15" t="s">
        <v>1304</v>
      </c>
      <c r="M15">
        <v>310101002</v>
      </c>
    </row>
    <row r="16" spans="1:13" x14ac:dyDescent="0.25">
      <c r="A16" t="s">
        <v>191</v>
      </c>
      <c r="B16" s="26" t="s">
        <v>192</v>
      </c>
      <c r="I16" t="s">
        <v>795</v>
      </c>
      <c r="J16" t="s">
        <v>797</v>
      </c>
      <c r="L16" t="s">
        <v>1302</v>
      </c>
      <c r="M16">
        <v>213201001</v>
      </c>
    </row>
    <row r="17" spans="1:13" x14ac:dyDescent="0.25">
      <c r="A17" t="s">
        <v>193</v>
      </c>
      <c r="B17" s="26" t="s">
        <v>194</v>
      </c>
      <c r="I17" t="s">
        <v>798</v>
      </c>
      <c r="J17" t="s">
        <v>799</v>
      </c>
      <c r="L17" t="s">
        <v>1366</v>
      </c>
      <c r="M17">
        <v>610101002</v>
      </c>
    </row>
    <row r="18" spans="1:13" x14ac:dyDescent="0.25">
      <c r="A18" t="s">
        <v>195</v>
      </c>
      <c r="B18" s="26" t="s">
        <v>196</v>
      </c>
      <c r="I18" t="s">
        <v>798</v>
      </c>
      <c r="J18" t="s">
        <v>800</v>
      </c>
      <c r="L18" t="s">
        <v>1367</v>
      </c>
      <c r="M18">
        <v>212801001</v>
      </c>
    </row>
    <row r="19" spans="1:13" x14ac:dyDescent="0.25">
      <c r="A19" t="s">
        <v>197</v>
      </c>
      <c r="B19" s="26" t="s">
        <v>198</v>
      </c>
      <c r="I19" t="s">
        <v>801</v>
      </c>
      <c r="J19" t="s">
        <v>802</v>
      </c>
      <c r="L19" t="s">
        <v>1329</v>
      </c>
      <c r="M19">
        <v>610101007</v>
      </c>
    </row>
    <row r="20" spans="1:13" x14ac:dyDescent="0.25">
      <c r="A20" t="s">
        <v>199</v>
      </c>
      <c r="B20" s="26" t="s">
        <v>200</v>
      </c>
      <c r="I20" t="s">
        <v>801</v>
      </c>
      <c r="J20" t="s">
        <v>803</v>
      </c>
      <c r="L20" t="s">
        <v>1368</v>
      </c>
      <c r="M20">
        <v>610104001</v>
      </c>
    </row>
    <row r="21" spans="1:13" x14ac:dyDescent="0.25">
      <c r="A21" t="s">
        <v>201</v>
      </c>
      <c r="B21" s="26" t="s">
        <v>202</v>
      </c>
      <c r="I21" t="s">
        <v>804</v>
      </c>
      <c r="J21" t="s">
        <v>805</v>
      </c>
      <c r="L21" t="s">
        <v>1328</v>
      </c>
      <c r="M21">
        <v>610101006</v>
      </c>
    </row>
    <row r="22" spans="1:13" x14ac:dyDescent="0.25">
      <c r="A22" t="s">
        <v>114</v>
      </c>
      <c r="B22" s="26" t="s">
        <v>113</v>
      </c>
      <c r="I22" t="s">
        <v>804</v>
      </c>
      <c r="J22" t="s">
        <v>806</v>
      </c>
      <c r="L22" t="s">
        <v>1369</v>
      </c>
      <c r="M22">
        <v>110101002</v>
      </c>
    </row>
    <row r="23" spans="1:13" x14ac:dyDescent="0.25">
      <c r="A23" t="s">
        <v>203</v>
      </c>
      <c r="B23" s="26" t="s">
        <v>204</v>
      </c>
      <c r="I23" t="s">
        <v>807</v>
      </c>
      <c r="J23" t="s">
        <v>808</v>
      </c>
      <c r="L23" t="s">
        <v>1265</v>
      </c>
      <c r="M23">
        <v>110101001</v>
      </c>
    </row>
    <row r="24" spans="1:13" x14ac:dyDescent="0.25">
      <c r="A24" t="s">
        <v>205</v>
      </c>
      <c r="B24" s="26" t="s">
        <v>206</v>
      </c>
      <c r="I24" t="s">
        <v>809</v>
      </c>
      <c r="J24" t="s">
        <v>810</v>
      </c>
      <c r="L24" t="s">
        <v>1356</v>
      </c>
      <c r="M24">
        <v>610156001</v>
      </c>
    </row>
    <row r="25" spans="1:13" x14ac:dyDescent="0.25">
      <c r="A25" t="s">
        <v>207</v>
      </c>
      <c r="B25" s="26" t="s">
        <v>208</v>
      </c>
      <c r="I25" t="s">
        <v>811</v>
      </c>
      <c r="J25" t="s">
        <v>812</v>
      </c>
      <c r="L25" t="s">
        <v>1303</v>
      </c>
      <c r="M25">
        <v>310101001</v>
      </c>
    </row>
    <row r="26" spans="1:13" x14ac:dyDescent="0.25">
      <c r="A26" t="s">
        <v>209</v>
      </c>
      <c r="B26" s="26" t="s">
        <v>210</v>
      </c>
      <c r="I26" t="s">
        <v>811</v>
      </c>
      <c r="J26" t="s">
        <v>813</v>
      </c>
      <c r="L26" t="s">
        <v>1370</v>
      </c>
      <c r="M26">
        <v>110101003</v>
      </c>
    </row>
    <row r="27" spans="1:13" x14ac:dyDescent="0.25">
      <c r="A27" t="s">
        <v>94</v>
      </c>
      <c r="B27" s="26" t="s">
        <v>93</v>
      </c>
      <c r="I27" t="s">
        <v>814</v>
      </c>
      <c r="J27" t="s">
        <v>815</v>
      </c>
      <c r="L27" t="s">
        <v>21</v>
      </c>
      <c r="M27">
        <v>610148001</v>
      </c>
    </row>
    <row r="28" spans="1:13" x14ac:dyDescent="0.25">
      <c r="A28" t="s">
        <v>211</v>
      </c>
      <c r="B28" s="26" t="s">
        <v>212</v>
      </c>
      <c r="I28" t="s">
        <v>814</v>
      </c>
      <c r="J28" t="s">
        <v>816</v>
      </c>
      <c r="L28" t="s">
        <v>283</v>
      </c>
      <c r="M28">
        <v>510101003</v>
      </c>
    </row>
    <row r="29" spans="1:13" x14ac:dyDescent="0.25">
      <c r="A29" t="s">
        <v>61</v>
      </c>
      <c r="B29" s="26" t="s">
        <v>60</v>
      </c>
      <c r="I29" t="s">
        <v>817</v>
      </c>
      <c r="J29" t="s">
        <v>818</v>
      </c>
      <c r="L29" t="s">
        <v>1320</v>
      </c>
      <c r="M29">
        <v>510101004</v>
      </c>
    </row>
    <row r="30" spans="1:13" x14ac:dyDescent="0.25">
      <c r="A30" t="s">
        <v>213</v>
      </c>
      <c r="B30" s="26" t="s">
        <v>214</v>
      </c>
      <c r="I30" t="s">
        <v>819</v>
      </c>
      <c r="J30" t="s">
        <v>820</v>
      </c>
      <c r="L30" t="s">
        <v>1319</v>
      </c>
      <c r="M30">
        <v>510101002</v>
      </c>
    </row>
    <row r="31" spans="1:13" x14ac:dyDescent="0.25">
      <c r="A31" t="s">
        <v>168</v>
      </c>
      <c r="B31" s="26" t="s">
        <v>167</v>
      </c>
      <c r="I31" t="s">
        <v>819</v>
      </c>
      <c r="J31" t="s">
        <v>821</v>
      </c>
      <c r="L31" t="s">
        <v>1321</v>
      </c>
      <c r="M31">
        <v>510101007</v>
      </c>
    </row>
    <row r="32" spans="1:13" x14ac:dyDescent="0.25">
      <c r="A32" t="s">
        <v>215</v>
      </c>
      <c r="B32" s="26" t="s">
        <v>216</v>
      </c>
      <c r="I32" t="s">
        <v>822</v>
      </c>
      <c r="J32" t="s">
        <v>823</v>
      </c>
      <c r="L32" t="s">
        <v>1318</v>
      </c>
      <c r="M32">
        <v>510101001</v>
      </c>
    </row>
    <row r="33" spans="1:13" x14ac:dyDescent="0.25">
      <c r="A33" t="s">
        <v>217</v>
      </c>
      <c r="B33" s="26" t="s">
        <v>218</v>
      </c>
      <c r="I33" t="s">
        <v>824</v>
      </c>
      <c r="J33" t="s">
        <v>825</v>
      </c>
      <c r="L33" t="s">
        <v>1371</v>
      </c>
      <c r="M33">
        <v>210407001</v>
      </c>
    </row>
    <row r="34" spans="1:13" x14ac:dyDescent="0.25">
      <c r="A34" t="s">
        <v>219</v>
      </c>
      <c r="B34" s="26" t="s">
        <v>220</v>
      </c>
      <c r="I34" t="s">
        <v>824</v>
      </c>
      <c r="J34" t="s">
        <v>826</v>
      </c>
      <c r="L34" t="s">
        <v>1372</v>
      </c>
      <c r="M34">
        <v>210115001</v>
      </c>
    </row>
    <row r="35" spans="1:13" x14ac:dyDescent="0.25">
      <c r="A35" t="s">
        <v>221</v>
      </c>
      <c r="B35" s="26" t="s">
        <v>222</v>
      </c>
      <c r="I35" t="s">
        <v>827</v>
      </c>
      <c r="J35" t="s">
        <v>828</v>
      </c>
      <c r="L35" t="s">
        <v>1266</v>
      </c>
      <c r="M35">
        <v>110106001</v>
      </c>
    </row>
    <row r="36" spans="1:13" x14ac:dyDescent="0.25">
      <c r="A36" t="s">
        <v>223</v>
      </c>
      <c r="B36" s="26" t="s">
        <v>224</v>
      </c>
      <c r="I36" t="s">
        <v>827</v>
      </c>
      <c r="J36" t="s">
        <v>829</v>
      </c>
      <c r="L36" t="s">
        <v>1268</v>
      </c>
      <c r="M36">
        <v>110113001</v>
      </c>
    </row>
    <row r="37" spans="1:13" x14ac:dyDescent="0.25">
      <c r="A37" t="s">
        <v>225</v>
      </c>
      <c r="B37" s="26" t="s">
        <v>226</v>
      </c>
      <c r="I37" t="s">
        <v>830</v>
      </c>
      <c r="J37" t="s">
        <v>831</v>
      </c>
      <c r="L37" t="s">
        <v>1373</v>
      </c>
      <c r="M37">
        <v>110108001</v>
      </c>
    </row>
    <row r="38" spans="1:13" x14ac:dyDescent="0.25">
      <c r="A38" t="s">
        <v>227</v>
      </c>
      <c r="B38" s="26" t="s">
        <v>228</v>
      </c>
      <c r="I38" t="s">
        <v>830</v>
      </c>
      <c r="J38" t="s">
        <v>832</v>
      </c>
      <c r="L38" t="s">
        <v>1374</v>
      </c>
      <c r="M38">
        <v>210301001</v>
      </c>
    </row>
    <row r="39" spans="1:13" x14ac:dyDescent="0.25">
      <c r="A39" t="s">
        <v>229</v>
      </c>
      <c r="B39" s="26" t="s">
        <v>230</v>
      </c>
      <c r="I39" t="s">
        <v>833</v>
      </c>
      <c r="J39" t="s">
        <v>834</v>
      </c>
      <c r="L39" t="s">
        <v>1279</v>
      </c>
      <c r="M39">
        <v>210201006</v>
      </c>
    </row>
    <row r="40" spans="1:13" x14ac:dyDescent="0.25">
      <c r="A40" t="s">
        <v>231</v>
      </c>
      <c r="B40" s="26" t="s">
        <v>232</v>
      </c>
      <c r="I40" t="s">
        <v>833</v>
      </c>
      <c r="J40" t="s">
        <v>835</v>
      </c>
      <c r="L40" t="s">
        <v>1282</v>
      </c>
      <c r="M40">
        <v>210201009</v>
      </c>
    </row>
    <row r="41" spans="1:13" x14ac:dyDescent="0.25">
      <c r="A41" t="s">
        <v>233</v>
      </c>
      <c r="B41" s="26" t="s">
        <v>234</v>
      </c>
      <c r="I41" t="s">
        <v>836</v>
      </c>
      <c r="J41" t="s">
        <v>837</v>
      </c>
      <c r="L41" t="s">
        <v>1280</v>
      </c>
      <c r="M41">
        <v>210201007</v>
      </c>
    </row>
    <row r="42" spans="1:13" x14ac:dyDescent="0.25">
      <c r="A42" t="s">
        <v>235</v>
      </c>
      <c r="B42" s="26" t="s">
        <v>236</v>
      </c>
      <c r="I42" t="s">
        <v>836</v>
      </c>
      <c r="J42" t="s">
        <v>838</v>
      </c>
      <c r="L42" t="s">
        <v>1278</v>
      </c>
      <c r="M42">
        <v>210201004</v>
      </c>
    </row>
    <row r="43" spans="1:13" x14ac:dyDescent="0.25">
      <c r="A43" t="s">
        <v>237</v>
      </c>
      <c r="B43" s="26" t="s">
        <v>238</v>
      </c>
      <c r="I43" t="s">
        <v>839</v>
      </c>
      <c r="J43" t="s">
        <v>840</v>
      </c>
      <c r="L43" t="s">
        <v>1281</v>
      </c>
      <c r="M43">
        <v>210201008</v>
      </c>
    </row>
    <row r="44" spans="1:13" x14ac:dyDescent="0.25">
      <c r="A44" t="s">
        <v>239</v>
      </c>
      <c r="B44" s="26" t="s">
        <v>240</v>
      </c>
      <c r="I44" t="s">
        <v>839</v>
      </c>
      <c r="J44" t="s">
        <v>841</v>
      </c>
      <c r="L44" t="s">
        <v>1277</v>
      </c>
      <c r="M44">
        <v>210201001</v>
      </c>
    </row>
    <row r="45" spans="1:13" x14ac:dyDescent="0.25">
      <c r="A45" t="s">
        <v>241</v>
      </c>
      <c r="B45" s="26" t="s">
        <v>242</v>
      </c>
      <c r="I45" t="s">
        <v>842</v>
      </c>
      <c r="J45" t="s">
        <v>843</v>
      </c>
      <c r="L45" t="s">
        <v>20</v>
      </c>
      <c r="M45">
        <v>210101001</v>
      </c>
    </row>
    <row r="46" spans="1:13" x14ac:dyDescent="0.25">
      <c r="A46" t="s">
        <v>53</v>
      </c>
      <c r="B46" s="26" t="s">
        <v>52</v>
      </c>
      <c r="I46" t="s">
        <v>842</v>
      </c>
      <c r="J46" t="s">
        <v>844</v>
      </c>
      <c r="L46" t="s">
        <v>1291</v>
      </c>
      <c r="M46">
        <v>210501002</v>
      </c>
    </row>
    <row r="47" spans="1:13" x14ac:dyDescent="0.25">
      <c r="A47" t="s">
        <v>243</v>
      </c>
      <c r="B47" s="26" t="s">
        <v>244</v>
      </c>
      <c r="I47" t="s">
        <v>845</v>
      </c>
      <c r="J47" t="s">
        <v>846</v>
      </c>
      <c r="L47" t="s">
        <v>1271</v>
      </c>
      <c r="M47">
        <v>110125001</v>
      </c>
    </row>
    <row r="48" spans="1:13" x14ac:dyDescent="0.25">
      <c r="A48" t="s">
        <v>245</v>
      </c>
      <c r="B48" s="26" t="s">
        <v>246</v>
      </c>
      <c r="I48" t="s">
        <v>845</v>
      </c>
      <c r="J48" t="s">
        <v>847</v>
      </c>
      <c r="L48" t="s">
        <v>1274</v>
      </c>
      <c r="M48">
        <v>120101002</v>
      </c>
    </row>
    <row r="49" spans="1:13" x14ac:dyDescent="0.25">
      <c r="A49" t="s">
        <v>247</v>
      </c>
      <c r="B49" s="26" t="s">
        <v>248</v>
      </c>
      <c r="I49" t="s">
        <v>848</v>
      </c>
      <c r="J49" t="s">
        <v>849</v>
      </c>
      <c r="L49" t="s">
        <v>1276</v>
      </c>
      <c r="M49">
        <v>120104002</v>
      </c>
    </row>
    <row r="50" spans="1:13" x14ac:dyDescent="0.25">
      <c r="A50" t="s">
        <v>249</v>
      </c>
      <c r="B50" s="26" t="s">
        <v>250</v>
      </c>
      <c r="I50" t="s">
        <v>848</v>
      </c>
      <c r="J50" t="s">
        <v>850</v>
      </c>
      <c r="L50" t="s">
        <v>1324</v>
      </c>
      <c r="M50">
        <v>510202002</v>
      </c>
    </row>
    <row r="51" spans="1:13" x14ac:dyDescent="0.25">
      <c r="A51" t="s">
        <v>251</v>
      </c>
      <c r="B51" s="26" t="s">
        <v>252</v>
      </c>
      <c r="I51" t="s">
        <v>851</v>
      </c>
      <c r="J51" t="s">
        <v>852</v>
      </c>
      <c r="L51" t="s">
        <v>1323</v>
      </c>
      <c r="M51">
        <v>510202001</v>
      </c>
    </row>
    <row r="52" spans="1:13" x14ac:dyDescent="0.25">
      <c r="A52" t="s">
        <v>253</v>
      </c>
      <c r="B52" s="26" t="s">
        <v>254</v>
      </c>
      <c r="I52" t="s">
        <v>851</v>
      </c>
      <c r="J52" t="s">
        <v>853</v>
      </c>
      <c r="L52" t="s">
        <v>1316</v>
      </c>
      <c r="M52">
        <v>410202001</v>
      </c>
    </row>
    <row r="53" spans="1:13" x14ac:dyDescent="0.25">
      <c r="A53" t="s">
        <v>255</v>
      </c>
      <c r="B53" s="26" t="s">
        <v>256</v>
      </c>
      <c r="I53" t="s">
        <v>854</v>
      </c>
      <c r="J53" t="s">
        <v>855</v>
      </c>
      <c r="L53" t="s">
        <v>1267</v>
      </c>
      <c r="M53">
        <v>110110001</v>
      </c>
    </row>
    <row r="54" spans="1:13" x14ac:dyDescent="0.25">
      <c r="A54" t="s">
        <v>257</v>
      </c>
      <c r="B54" s="26" t="s">
        <v>258</v>
      </c>
      <c r="I54" t="s">
        <v>854</v>
      </c>
      <c r="J54" t="s">
        <v>856</v>
      </c>
      <c r="L54" t="s">
        <v>1353</v>
      </c>
      <c r="M54">
        <v>610149001</v>
      </c>
    </row>
    <row r="55" spans="1:13" x14ac:dyDescent="0.25">
      <c r="A55" t="s">
        <v>259</v>
      </c>
      <c r="B55" s="26" t="s">
        <v>260</v>
      </c>
      <c r="I55" t="s">
        <v>857</v>
      </c>
      <c r="J55" t="s">
        <v>858</v>
      </c>
      <c r="L55" t="s">
        <v>1288</v>
      </c>
      <c r="M55">
        <v>210405001</v>
      </c>
    </row>
    <row r="56" spans="1:13" x14ac:dyDescent="0.25">
      <c r="A56" t="s">
        <v>261</v>
      </c>
      <c r="B56" s="26" t="s">
        <v>262</v>
      </c>
      <c r="I56" t="s">
        <v>857</v>
      </c>
      <c r="J56" t="s">
        <v>859</v>
      </c>
      <c r="L56" t="s">
        <v>1286</v>
      </c>
      <c r="M56">
        <v>210403002</v>
      </c>
    </row>
    <row r="57" spans="1:13" x14ac:dyDescent="0.25">
      <c r="A57" t="s">
        <v>263</v>
      </c>
      <c r="B57" s="26" t="s">
        <v>264</v>
      </c>
      <c r="I57" t="s">
        <v>860</v>
      </c>
      <c r="J57" t="s">
        <v>861</v>
      </c>
      <c r="L57" t="s">
        <v>1334</v>
      </c>
      <c r="M57">
        <v>610106001</v>
      </c>
    </row>
    <row r="58" spans="1:13" x14ac:dyDescent="0.25">
      <c r="A58" t="s">
        <v>265</v>
      </c>
      <c r="B58" s="26" t="s">
        <v>266</v>
      </c>
      <c r="I58" t="s">
        <v>860</v>
      </c>
      <c r="J58" t="s">
        <v>862</v>
      </c>
      <c r="L58" t="s">
        <v>1375</v>
      </c>
      <c r="M58">
        <v>610158001</v>
      </c>
    </row>
    <row r="59" spans="1:13" x14ac:dyDescent="0.25">
      <c r="A59" t="s">
        <v>267</v>
      </c>
      <c r="B59" s="26" t="s">
        <v>268</v>
      </c>
      <c r="I59" t="s">
        <v>863</v>
      </c>
      <c r="J59" t="s">
        <v>864</v>
      </c>
      <c r="L59" t="s">
        <v>1359</v>
      </c>
      <c r="M59">
        <v>610159001</v>
      </c>
    </row>
    <row r="60" spans="1:13" x14ac:dyDescent="0.25">
      <c r="A60" t="s">
        <v>269</v>
      </c>
      <c r="B60" s="26" t="s">
        <v>270</v>
      </c>
      <c r="I60" t="s">
        <v>863</v>
      </c>
      <c r="J60" t="s">
        <v>865</v>
      </c>
      <c r="L60" t="s">
        <v>1357</v>
      </c>
      <c r="M60">
        <v>610157001</v>
      </c>
    </row>
    <row r="61" spans="1:13" x14ac:dyDescent="0.25">
      <c r="A61" t="s">
        <v>271</v>
      </c>
      <c r="B61" s="26" t="s">
        <v>272</v>
      </c>
      <c r="I61" t="s">
        <v>866</v>
      </c>
      <c r="J61" t="s">
        <v>867</v>
      </c>
      <c r="L61" t="s">
        <v>1376</v>
      </c>
      <c r="M61">
        <v>610112001</v>
      </c>
    </row>
    <row r="62" spans="1:13" x14ac:dyDescent="0.25">
      <c r="A62" t="s">
        <v>273</v>
      </c>
      <c r="B62" s="26" t="s">
        <v>274</v>
      </c>
      <c r="I62" t="s">
        <v>866</v>
      </c>
      <c r="J62" t="s">
        <v>868</v>
      </c>
      <c r="L62" t="s">
        <v>1346</v>
      </c>
      <c r="M62">
        <v>610122006</v>
      </c>
    </row>
    <row r="63" spans="1:13" x14ac:dyDescent="0.25">
      <c r="A63" t="s">
        <v>275</v>
      </c>
      <c r="B63" s="26" t="s">
        <v>276</v>
      </c>
      <c r="I63" t="s">
        <v>869</v>
      </c>
      <c r="J63" t="s">
        <v>870</v>
      </c>
      <c r="L63" t="s">
        <v>1322</v>
      </c>
      <c r="M63">
        <v>510101008</v>
      </c>
    </row>
    <row r="64" spans="1:13" x14ac:dyDescent="0.25">
      <c r="A64" t="s">
        <v>277</v>
      </c>
      <c r="B64" s="26" t="s">
        <v>278</v>
      </c>
      <c r="I64" t="s">
        <v>869</v>
      </c>
      <c r="J64" t="s">
        <v>871</v>
      </c>
      <c r="L64" t="s">
        <v>1377</v>
      </c>
      <c r="M64">
        <v>510101012</v>
      </c>
    </row>
    <row r="65" spans="1:13" x14ac:dyDescent="0.25">
      <c r="A65" t="s">
        <v>279</v>
      </c>
      <c r="B65" s="26" t="s">
        <v>280</v>
      </c>
      <c r="I65" t="s">
        <v>872</v>
      </c>
      <c r="J65" t="s">
        <v>873</v>
      </c>
      <c r="L65" t="s">
        <v>1349</v>
      </c>
      <c r="M65">
        <v>610132002</v>
      </c>
    </row>
    <row r="66" spans="1:13" x14ac:dyDescent="0.25">
      <c r="A66" t="s">
        <v>281</v>
      </c>
      <c r="B66" s="26" t="s">
        <v>282</v>
      </c>
      <c r="I66" t="s">
        <v>872</v>
      </c>
      <c r="J66" t="s">
        <v>874</v>
      </c>
      <c r="L66" t="s">
        <v>1378</v>
      </c>
      <c r="M66">
        <v>610201001</v>
      </c>
    </row>
    <row r="67" spans="1:13" x14ac:dyDescent="0.25">
      <c r="A67" t="s">
        <v>21</v>
      </c>
      <c r="B67" s="26" t="s">
        <v>38</v>
      </c>
      <c r="I67" t="s">
        <v>875</v>
      </c>
      <c r="J67" t="s">
        <v>876</v>
      </c>
      <c r="L67" t="s">
        <v>1338</v>
      </c>
      <c r="M67">
        <v>610114001</v>
      </c>
    </row>
    <row r="68" spans="1:13" x14ac:dyDescent="0.25">
      <c r="A68" t="s">
        <v>283</v>
      </c>
      <c r="B68" s="26" t="s">
        <v>284</v>
      </c>
      <c r="I68" t="s">
        <v>875</v>
      </c>
      <c r="J68" t="s">
        <v>877</v>
      </c>
      <c r="L68" t="s">
        <v>1348</v>
      </c>
      <c r="M68">
        <v>610132001</v>
      </c>
    </row>
    <row r="69" spans="1:13" x14ac:dyDescent="0.25">
      <c r="A69" t="s">
        <v>285</v>
      </c>
      <c r="B69" s="26" t="s">
        <v>286</v>
      </c>
      <c r="I69" t="s">
        <v>878</v>
      </c>
      <c r="J69" t="s">
        <v>879</v>
      </c>
      <c r="L69" t="s">
        <v>1360</v>
      </c>
      <c r="M69">
        <v>610190001</v>
      </c>
    </row>
    <row r="70" spans="1:13" x14ac:dyDescent="0.25">
      <c r="A70" t="s">
        <v>287</v>
      </c>
      <c r="B70" s="26" t="s">
        <v>288</v>
      </c>
      <c r="I70" t="s">
        <v>878</v>
      </c>
      <c r="J70" t="s">
        <v>880</v>
      </c>
      <c r="L70" t="s">
        <v>1358</v>
      </c>
      <c r="M70">
        <v>610180001</v>
      </c>
    </row>
    <row r="71" spans="1:13" x14ac:dyDescent="0.25">
      <c r="A71" t="s">
        <v>116</v>
      </c>
      <c r="B71" s="26" t="s">
        <v>115</v>
      </c>
      <c r="I71" t="s">
        <v>881</v>
      </c>
      <c r="J71" t="s">
        <v>882</v>
      </c>
      <c r="L71" t="s">
        <v>1350</v>
      </c>
      <c r="M71">
        <v>610146001</v>
      </c>
    </row>
    <row r="72" spans="1:13" x14ac:dyDescent="0.25">
      <c r="A72" t="s">
        <v>289</v>
      </c>
      <c r="B72" s="26" t="s">
        <v>290</v>
      </c>
      <c r="I72" t="s">
        <v>881</v>
      </c>
      <c r="J72" t="s">
        <v>883</v>
      </c>
      <c r="L72" t="s">
        <v>1347</v>
      </c>
      <c r="M72">
        <v>610126001</v>
      </c>
    </row>
    <row r="73" spans="1:13" x14ac:dyDescent="0.25">
      <c r="A73" t="s">
        <v>291</v>
      </c>
      <c r="B73" s="26" t="s">
        <v>292</v>
      </c>
      <c r="I73" t="s">
        <v>884</v>
      </c>
      <c r="J73" t="s">
        <v>885</v>
      </c>
      <c r="L73" t="s">
        <v>1335</v>
      </c>
      <c r="M73">
        <v>610108001</v>
      </c>
    </row>
    <row r="74" spans="1:13" x14ac:dyDescent="0.25">
      <c r="A74" t="s">
        <v>293</v>
      </c>
      <c r="B74" s="26" t="s">
        <v>294</v>
      </c>
      <c r="I74" t="s">
        <v>884</v>
      </c>
      <c r="J74" t="s">
        <v>886</v>
      </c>
      <c r="L74" t="s">
        <v>1344</v>
      </c>
      <c r="M74">
        <v>610122004</v>
      </c>
    </row>
    <row r="75" spans="1:13" x14ac:dyDescent="0.25">
      <c r="A75" t="s">
        <v>68</v>
      </c>
      <c r="B75" s="26" t="s">
        <v>67</v>
      </c>
      <c r="I75" t="s">
        <v>887</v>
      </c>
      <c r="J75" t="s">
        <v>888</v>
      </c>
      <c r="L75" t="s">
        <v>1345</v>
      </c>
      <c r="M75">
        <v>610122005</v>
      </c>
    </row>
    <row r="76" spans="1:13" x14ac:dyDescent="0.25">
      <c r="A76" t="s">
        <v>295</v>
      </c>
      <c r="B76" s="26" t="s">
        <v>296</v>
      </c>
      <c r="I76" t="s">
        <v>887</v>
      </c>
      <c r="J76" t="s">
        <v>889</v>
      </c>
      <c r="L76" t="s">
        <v>24</v>
      </c>
      <c r="M76">
        <v>610125001</v>
      </c>
    </row>
    <row r="77" spans="1:13" x14ac:dyDescent="0.25">
      <c r="A77" t="s">
        <v>82</v>
      </c>
      <c r="B77" s="26" t="s">
        <v>81</v>
      </c>
      <c r="I77" t="s">
        <v>890</v>
      </c>
      <c r="J77" t="s">
        <v>891</v>
      </c>
      <c r="L77" t="s">
        <v>1284</v>
      </c>
      <c r="M77">
        <v>210402001</v>
      </c>
    </row>
    <row r="78" spans="1:13" x14ac:dyDescent="0.25">
      <c r="A78" t="s">
        <v>90</v>
      </c>
      <c r="B78" s="26" t="s">
        <v>89</v>
      </c>
      <c r="I78" t="s">
        <v>890</v>
      </c>
      <c r="J78" t="s">
        <v>892</v>
      </c>
      <c r="L78" t="s">
        <v>1283</v>
      </c>
      <c r="M78">
        <v>210401001</v>
      </c>
    </row>
    <row r="79" spans="1:13" x14ac:dyDescent="0.25">
      <c r="A79" t="s">
        <v>297</v>
      </c>
      <c r="B79" s="26" t="s">
        <v>298</v>
      </c>
      <c r="I79" t="s">
        <v>893</v>
      </c>
      <c r="J79" t="s">
        <v>894</v>
      </c>
      <c r="L79" t="s">
        <v>1290</v>
      </c>
      <c r="M79">
        <v>210501001</v>
      </c>
    </row>
    <row r="80" spans="1:13" x14ac:dyDescent="0.25">
      <c r="A80" t="s">
        <v>299</v>
      </c>
      <c r="B80" s="26" t="s">
        <v>300</v>
      </c>
      <c r="I80" t="s">
        <v>893</v>
      </c>
      <c r="J80" t="s">
        <v>895</v>
      </c>
      <c r="L80" t="s">
        <v>1289</v>
      </c>
      <c r="M80">
        <v>210406001</v>
      </c>
    </row>
    <row r="81" spans="1:13" x14ac:dyDescent="0.25">
      <c r="A81" t="s">
        <v>86</v>
      </c>
      <c r="B81" s="26" t="s">
        <v>85</v>
      </c>
      <c r="I81" t="s">
        <v>896</v>
      </c>
      <c r="J81" t="s">
        <v>897</v>
      </c>
      <c r="L81" t="s">
        <v>1379</v>
      </c>
      <c r="M81">
        <v>610180004</v>
      </c>
    </row>
    <row r="82" spans="1:13" x14ac:dyDescent="0.25">
      <c r="A82" t="s">
        <v>301</v>
      </c>
      <c r="B82" s="26" t="s">
        <v>302</v>
      </c>
      <c r="I82" t="s">
        <v>896</v>
      </c>
      <c r="J82" t="s">
        <v>898</v>
      </c>
      <c r="L82" t="s">
        <v>1352</v>
      </c>
      <c r="M82">
        <v>610180002</v>
      </c>
    </row>
    <row r="83" spans="1:13" x14ac:dyDescent="0.25">
      <c r="A83" t="s">
        <v>303</v>
      </c>
      <c r="B83" s="26" t="s">
        <v>304</v>
      </c>
      <c r="I83" t="s">
        <v>899</v>
      </c>
      <c r="J83" t="s">
        <v>900</v>
      </c>
      <c r="L83" t="s">
        <v>1297</v>
      </c>
      <c r="M83">
        <v>211001002</v>
      </c>
    </row>
    <row r="84" spans="1:13" x14ac:dyDescent="0.25">
      <c r="A84" t="s">
        <v>135</v>
      </c>
      <c r="B84" s="26" t="s">
        <v>134</v>
      </c>
      <c r="I84" t="s">
        <v>899</v>
      </c>
      <c r="J84" t="s">
        <v>901</v>
      </c>
      <c r="L84" t="s">
        <v>1298</v>
      </c>
      <c r="M84">
        <v>211001003</v>
      </c>
    </row>
    <row r="85" spans="1:13" x14ac:dyDescent="0.25">
      <c r="A85" t="s">
        <v>139</v>
      </c>
      <c r="B85" s="26" t="s">
        <v>138</v>
      </c>
      <c r="I85" t="s">
        <v>902</v>
      </c>
      <c r="J85" t="s">
        <v>903</v>
      </c>
      <c r="L85" t="s">
        <v>1317</v>
      </c>
      <c r="M85">
        <v>420101001</v>
      </c>
    </row>
    <row r="86" spans="1:13" x14ac:dyDescent="0.25">
      <c r="A86" t="s">
        <v>137</v>
      </c>
      <c r="B86" s="26" t="s">
        <v>136</v>
      </c>
      <c r="I86" t="s">
        <v>902</v>
      </c>
      <c r="J86" t="s">
        <v>904</v>
      </c>
      <c r="L86" t="s">
        <v>1315</v>
      </c>
      <c r="M86">
        <v>410101001</v>
      </c>
    </row>
    <row r="87" spans="1:13" x14ac:dyDescent="0.25">
      <c r="A87" t="s">
        <v>143</v>
      </c>
      <c r="B87" s="26" t="s">
        <v>142</v>
      </c>
      <c r="I87" t="s">
        <v>905</v>
      </c>
      <c r="J87" t="s">
        <v>906</v>
      </c>
      <c r="L87" t="s">
        <v>1351</v>
      </c>
      <c r="M87">
        <v>610147000</v>
      </c>
    </row>
    <row r="88" spans="1:13" x14ac:dyDescent="0.25">
      <c r="A88" t="s">
        <v>151</v>
      </c>
      <c r="B88" s="26" t="s">
        <v>150</v>
      </c>
      <c r="I88" t="s">
        <v>905</v>
      </c>
      <c r="J88" t="s">
        <v>907</v>
      </c>
      <c r="L88" t="s">
        <v>1270</v>
      </c>
      <c r="M88">
        <v>110120001</v>
      </c>
    </row>
    <row r="89" spans="1:13" x14ac:dyDescent="0.25">
      <c r="A89" t="s">
        <v>125</v>
      </c>
      <c r="B89" s="26" t="s">
        <v>124</v>
      </c>
      <c r="I89" t="s">
        <v>908</v>
      </c>
      <c r="J89" t="s">
        <v>909</v>
      </c>
      <c r="L89" t="s">
        <v>1380</v>
      </c>
      <c r="M89">
        <v>510101021</v>
      </c>
    </row>
    <row r="90" spans="1:13" x14ac:dyDescent="0.25">
      <c r="A90" t="s">
        <v>131</v>
      </c>
      <c r="B90" s="26" t="s">
        <v>130</v>
      </c>
      <c r="I90" t="s">
        <v>908</v>
      </c>
      <c r="J90" t="s">
        <v>910</v>
      </c>
      <c r="L90" t="s">
        <v>1339</v>
      </c>
      <c r="M90">
        <v>610116001</v>
      </c>
    </row>
    <row r="91" spans="1:13" x14ac:dyDescent="0.25">
      <c r="A91" t="s">
        <v>127</v>
      </c>
      <c r="B91" s="26" t="s">
        <v>126</v>
      </c>
      <c r="I91" t="s">
        <v>911</v>
      </c>
      <c r="J91" t="s">
        <v>912</v>
      </c>
      <c r="L91" t="s">
        <v>1381</v>
      </c>
      <c r="M91">
        <v>610124001</v>
      </c>
    </row>
    <row r="92" spans="1:13" x14ac:dyDescent="0.25">
      <c r="A92" t="s">
        <v>158</v>
      </c>
      <c r="B92" s="26" t="s">
        <v>157</v>
      </c>
      <c r="I92" t="s">
        <v>911</v>
      </c>
      <c r="J92" t="s">
        <v>913</v>
      </c>
      <c r="L92" t="s">
        <v>1273</v>
      </c>
      <c r="M92">
        <v>120101001</v>
      </c>
    </row>
    <row r="93" spans="1:13" x14ac:dyDescent="0.25">
      <c r="A93" t="s">
        <v>156</v>
      </c>
      <c r="B93" s="26" t="s">
        <v>26</v>
      </c>
      <c r="I93" t="s">
        <v>914</v>
      </c>
      <c r="J93" t="s">
        <v>915</v>
      </c>
      <c r="L93" t="s">
        <v>1337</v>
      </c>
      <c r="M93">
        <v>610113001</v>
      </c>
    </row>
    <row r="94" spans="1:13" x14ac:dyDescent="0.25">
      <c r="A94" t="s">
        <v>160</v>
      </c>
      <c r="B94" s="26" t="s">
        <v>159</v>
      </c>
      <c r="I94" t="s">
        <v>914</v>
      </c>
      <c r="J94" t="s">
        <v>916</v>
      </c>
      <c r="L94" t="s">
        <v>1308</v>
      </c>
      <c r="M94">
        <v>310302001</v>
      </c>
    </row>
    <row r="95" spans="1:13" x14ac:dyDescent="0.25">
      <c r="A95" t="s">
        <v>147</v>
      </c>
      <c r="B95" s="26" t="s">
        <v>146</v>
      </c>
      <c r="I95" t="s">
        <v>917</v>
      </c>
      <c r="J95" t="s">
        <v>918</v>
      </c>
      <c r="L95" t="s">
        <v>1307</v>
      </c>
      <c r="M95">
        <v>310301001</v>
      </c>
    </row>
    <row r="96" spans="1:13" x14ac:dyDescent="0.25">
      <c r="A96" t="s">
        <v>155</v>
      </c>
      <c r="B96" s="26" t="s">
        <v>154</v>
      </c>
      <c r="I96" t="s">
        <v>917</v>
      </c>
      <c r="J96" t="s">
        <v>919</v>
      </c>
      <c r="L96" t="s">
        <v>1309</v>
      </c>
      <c r="M96">
        <v>310303001</v>
      </c>
    </row>
    <row r="97" spans="1:13" x14ac:dyDescent="0.25">
      <c r="A97" t="s">
        <v>153</v>
      </c>
      <c r="B97" s="26" t="s">
        <v>152</v>
      </c>
      <c r="I97" t="s">
        <v>920</v>
      </c>
      <c r="J97" t="s">
        <v>921</v>
      </c>
      <c r="L97" t="s">
        <v>1311</v>
      </c>
      <c r="M97">
        <v>310402001</v>
      </c>
    </row>
    <row r="98" spans="1:13" x14ac:dyDescent="0.25">
      <c r="A98" t="s">
        <v>145</v>
      </c>
      <c r="B98" s="26" t="s">
        <v>144</v>
      </c>
      <c r="I98" t="s">
        <v>920</v>
      </c>
      <c r="J98" t="s">
        <v>922</v>
      </c>
      <c r="L98" t="s">
        <v>1311</v>
      </c>
      <c r="M98">
        <v>310601001</v>
      </c>
    </row>
    <row r="99" spans="1:13" x14ac:dyDescent="0.25">
      <c r="A99" t="s">
        <v>129</v>
      </c>
      <c r="B99" s="26" t="s">
        <v>128</v>
      </c>
      <c r="I99" t="s">
        <v>923</v>
      </c>
      <c r="J99" t="s">
        <v>924</v>
      </c>
      <c r="L99" t="s">
        <v>1362</v>
      </c>
      <c r="M99">
        <v>510101011</v>
      </c>
    </row>
    <row r="100" spans="1:13" x14ac:dyDescent="0.25">
      <c r="A100" t="s">
        <v>149</v>
      </c>
      <c r="B100" s="26" t="s">
        <v>148</v>
      </c>
      <c r="I100" t="s">
        <v>923</v>
      </c>
      <c r="J100" t="s">
        <v>925</v>
      </c>
      <c r="L100" t="s">
        <v>1327</v>
      </c>
      <c r="M100">
        <v>610101005</v>
      </c>
    </row>
    <row r="101" spans="1:13" x14ac:dyDescent="0.25">
      <c r="A101" t="s">
        <v>123</v>
      </c>
      <c r="B101" s="26" t="s">
        <v>122</v>
      </c>
      <c r="I101" t="s">
        <v>926</v>
      </c>
      <c r="J101" t="s">
        <v>927</v>
      </c>
      <c r="L101" t="s">
        <v>1382</v>
      </c>
      <c r="M101">
        <v>213401001</v>
      </c>
    </row>
    <row r="102" spans="1:13" x14ac:dyDescent="0.25">
      <c r="A102" t="s">
        <v>162</v>
      </c>
      <c r="B102" s="26" t="s">
        <v>161</v>
      </c>
      <c r="I102" t="s">
        <v>926</v>
      </c>
      <c r="J102" t="s">
        <v>928</v>
      </c>
      <c r="L102" t="s">
        <v>1382</v>
      </c>
      <c r="M102">
        <v>610130001</v>
      </c>
    </row>
    <row r="103" spans="1:13" x14ac:dyDescent="0.25">
      <c r="A103" t="s">
        <v>141</v>
      </c>
      <c r="B103" s="26" t="s">
        <v>140</v>
      </c>
      <c r="I103" t="s">
        <v>929</v>
      </c>
      <c r="J103" t="s">
        <v>930</v>
      </c>
      <c r="L103" t="s">
        <v>1336</v>
      </c>
      <c r="M103">
        <v>610109001</v>
      </c>
    </row>
    <row r="104" spans="1:13" x14ac:dyDescent="0.25">
      <c r="A104" t="s">
        <v>133</v>
      </c>
      <c r="B104" s="26" t="s">
        <v>132</v>
      </c>
      <c r="I104" t="s">
        <v>929</v>
      </c>
      <c r="J104" t="s">
        <v>931</v>
      </c>
      <c r="L104" t="s">
        <v>1354</v>
      </c>
      <c r="M104">
        <v>610151001</v>
      </c>
    </row>
    <row r="105" spans="1:13" x14ac:dyDescent="0.25">
      <c r="A105" t="s">
        <v>84</v>
      </c>
      <c r="B105" s="26" t="s">
        <v>83</v>
      </c>
      <c r="I105" t="s">
        <v>932</v>
      </c>
      <c r="J105" t="s">
        <v>933</v>
      </c>
      <c r="L105" t="s">
        <v>1313</v>
      </c>
      <c r="M105">
        <v>310801001</v>
      </c>
    </row>
    <row r="106" spans="1:13" x14ac:dyDescent="0.25">
      <c r="A106" t="s">
        <v>305</v>
      </c>
      <c r="B106" s="26" t="s">
        <v>306</v>
      </c>
      <c r="I106" t="s">
        <v>932</v>
      </c>
      <c r="J106" t="s">
        <v>934</v>
      </c>
      <c r="L106" t="s">
        <v>1299</v>
      </c>
      <c r="M106">
        <v>212601001</v>
      </c>
    </row>
    <row r="107" spans="1:13" x14ac:dyDescent="0.25">
      <c r="A107" t="s">
        <v>307</v>
      </c>
      <c r="B107" s="26" t="s">
        <v>308</v>
      </c>
      <c r="I107" t="s">
        <v>935</v>
      </c>
      <c r="J107" t="s">
        <v>936</v>
      </c>
      <c r="L107" t="s">
        <v>1296</v>
      </c>
      <c r="M107">
        <v>211001001</v>
      </c>
    </row>
    <row r="108" spans="1:13" x14ac:dyDescent="0.25">
      <c r="A108" t="s">
        <v>309</v>
      </c>
      <c r="B108" s="26" t="s">
        <v>310</v>
      </c>
      <c r="I108" t="s">
        <v>935</v>
      </c>
      <c r="J108" t="s">
        <v>937</v>
      </c>
      <c r="L108" t="s">
        <v>1292</v>
      </c>
      <c r="M108">
        <v>210601001</v>
      </c>
    </row>
    <row r="109" spans="1:13" x14ac:dyDescent="0.25">
      <c r="A109" t="s">
        <v>311</v>
      </c>
      <c r="B109" s="26" t="s">
        <v>312</v>
      </c>
      <c r="I109" t="s">
        <v>938</v>
      </c>
      <c r="J109" t="s">
        <v>939</v>
      </c>
      <c r="L109" t="s">
        <v>1285</v>
      </c>
      <c r="M109">
        <v>210403001</v>
      </c>
    </row>
    <row r="110" spans="1:13" x14ac:dyDescent="0.25">
      <c r="A110" t="s">
        <v>313</v>
      </c>
      <c r="B110" s="26" t="s">
        <v>314</v>
      </c>
      <c r="I110" t="s">
        <v>938</v>
      </c>
      <c r="J110" t="s">
        <v>940</v>
      </c>
      <c r="L110" t="s">
        <v>1287</v>
      </c>
      <c r="M110">
        <v>210404001</v>
      </c>
    </row>
    <row r="111" spans="1:13" x14ac:dyDescent="0.25">
      <c r="A111" t="s">
        <v>315</v>
      </c>
      <c r="B111" s="26" t="s">
        <v>316</v>
      </c>
      <c r="I111" t="s">
        <v>941</v>
      </c>
      <c r="J111" t="s">
        <v>942</v>
      </c>
      <c r="L111" t="s">
        <v>1294</v>
      </c>
      <c r="M111">
        <v>210801001</v>
      </c>
    </row>
    <row r="112" spans="1:13" x14ac:dyDescent="0.25">
      <c r="A112" t="s">
        <v>317</v>
      </c>
      <c r="B112" s="26" t="s">
        <v>318</v>
      </c>
      <c r="I112" t="s">
        <v>941</v>
      </c>
      <c r="J112" t="s">
        <v>943</v>
      </c>
      <c r="L112" t="s">
        <v>1293</v>
      </c>
      <c r="M112">
        <v>210701001</v>
      </c>
    </row>
    <row r="113" spans="1:13" x14ac:dyDescent="0.25">
      <c r="A113" t="s">
        <v>319</v>
      </c>
      <c r="B113" s="26" t="s">
        <v>320</v>
      </c>
      <c r="I113" t="s">
        <v>944</v>
      </c>
      <c r="J113" t="s">
        <v>945</v>
      </c>
      <c r="L113" t="s">
        <v>1295</v>
      </c>
      <c r="M113">
        <v>210801002</v>
      </c>
    </row>
    <row r="114" spans="1:13" x14ac:dyDescent="0.25">
      <c r="A114" t="s">
        <v>321</v>
      </c>
      <c r="B114" s="26" t="s">
        <v>322</v>
      </c>
      <c r="I114" t="s">
        <v>944</v>
      </c>
      <c r="J114" t="s">
        <v>946</v>
      </c>
      <c r="L114" t="s">
        <v>1355</v>
      </c>
      <c r="M114">
        <v>610153001</v>
      </c>
    </row>
    <row r="115" spans="1:13" x14ac:dyDescent="0.25">
      <c r="A115" t="s">
        <v>323</v>
      </c>
      <c r="B115" s="26" t="s">
        <v>324</v>
      </c>
      <c r="I115" t="s">
        <v>947</v>
      </c>
      <c r="J115" t="s">
        <v>948</v>
      </c>
      <c r="L115" t="s">
        <v>1301</v>
      </c>
      <c r="M115">
        <v>213101001</v>
      </c>
    </row>
    <row r="116" spans="1:13" x14ac:dyDescent="0.25">
      <c r="A116" t="s">
        <v>325</v>
      </c>
      <c r="B116" s="26" t="s">
        <v>326</v>
      </c>
      <c r="I116" t="s">
        <v>947</v>
      </c>
      <c r="J116" t="s">
        <v>949</v>
      </c>
      <c r="L116" t="s">
        <v>1383</v>
      </c>
      <c r="M116">
        <v>610103001</v>
      </c>
    </row>
    <row r="117" spans="1:13" x14ac:dyDescent="0.25">
      <c r="A117" t="s">
        <v>327</v>
      </c>
      <c r="B117" s="26" t="s">
        <v>328</v>
      </c>
      <c r="I117" t="s">
        <v>950</v>
      </c>
      <c r="J117" t="s">
        <v>951</v>
      </c>
      <c r="L117" t="s">
        <v>1341</v>
      </c>
      <c r="M117">
        <v>610122001</v>
      </c>
    </row>
    <row r="118" spans="1:13" x14ac:dyDescent="0.25">
      <c r="A118" t="s">
        <v>329</v>
      </c>
      <c r="B118" s="26" t="s">
        <v>330</v>
      </c>
      <c r="I118" t="s">
        <v>950</v>
      </c>
      <c r="J118" t="s">
        <v>952</v>
      </c>
      <c r="L118" t="s">
        <v>1342</v>
      </c>
      <c r="M118">
        <v>610122002</v>
      </c>
    </row>
    <row r="119" spans="1:13" x14ac:dyDescent="0.25">
      <c r="A119" t="s">
        <v>331</v>
      </c>
      <c r="B119" s="26" t="s">
        <v>332</v>
      </c>
      <c r="I119" t="s">
        <v>953</v>
      </c>
      <c r="J119" t="s">
        <v>954</v>
      </c>
      <c r="L119" t="s">
        <v>1343</v>
      </c>
      <c r="M119">
        <v>610122003</v>
      </c>
    </row>
    <row r="120" spans="1:13" x14ac:dyDescent="0.25">
      <c r="A120" t="s">
        <v>333</v>
      </c>
      <c r="B120" s="26" t="s">
        <v>334</v>
      </c>
      <c r="I120" t="s">
        <v>953</v>
      </c>
      <c r="J120" t="s">
        <v>955</v>
      </c>
      <c r="L120" t="s">
        <v>100</v>
      </c>
      <c r="M120">
        <v>610101001</v>
      </c>
    </row>
    <row r="121" spans="1:13" x14ac:dyDescent="0.25">
      <c r="A121" t="s">
        <v>335</v>
      </c>
      <c r="B121" s="26" t="s">
        <v>336</v>
      </c>
      <c r="I121" t="s">
        <v>956</v>
      </c>
      <c r="J121" t="s">
        <v>957</v>
      </c>
      <c r="L121" t="s">
        <v>1384</v>
      </c>
      <c r="M121">
        <v>610105001</v>
      </c>
    </row>
    <row r="122" spans="1:13" x14ac:dyDescent="0.25">
      <c r="A122" t="s">
        <v>337</v>
      </c>
      <c r="B122" s="26" t="s">
        <v>338</v>
      </c>
      <c r="I122" t="s">
        <v>956</v>
      </c>
      <c r="J122" t="s">
        <v>958</v>
      </c>
      <c r="L122" t="s">
        <v>1385</v>
      </c>
      <c r="M122">
        <v>213001001</v>
      </c>
    </row>
    <row r="123" spans="1:13" x14ac:dyDescent="0.25">
      <c r="A123" t="s">
        <v>339</v>
      </c>
      <c r="B123" s="26" t="s">
        <v>340</v>
      </c>
      <c r="I123" t="s">
        <v>959</v>
      </c>
      <c r="J123" t="s">
        <v>960</v>
      </c>
      <c r="L123" t="s">
        <v>1300</v>
      </c>
      <c r="M123">
        <v>212901001</v>
      </c>
    </row>
    <row r="124" spans="1:13" x14ac:dyDescent="0.25">
      <c r="A124" t="s">
        <v>341</v>
      </c>
      <c r="B124" s="26" t="s">
        <v>342</v>
      </c>
      <c r="I124" t="s">
        <v>959</v>
      </c>
      <c r="J124" t="s">
        <v>961</v>
      </c>
      <c r="L124" t="s">
        <v>1386</v>
      </c>
      <c r="M124">
        <v>120103001</v>
      </c>
    </row>
    <row r="125" spans="1:13" x14ac:dyDescent="0.25">
      <c r="A125" t="s">
        <v>98</v>
      </c>
      <c r="B125" s="26" t="s">
        <v>97</v>
      </c>
      <c r="I125" t="s">
        <v>962</v>
      </c>
      <c r="J125" t="s">
        <v>963</v>
      </c>
      <c r="L125" t="s">
        <v>1387</v>
      </c>
      <c r="M125">
        <v>110105001</v>
      </c>
    </row>
    <row r="126" spans="1:13" x14ac:dyDescent="0.25">
      <c r="A126" t="s">
        <v>164</v>
      </c>
      <c r="B126" s="26" t="s">
        <v>163</v>
      </c>
      <c r="I126" t="s">
        <v>962</v>
      </c>
      <c r="J126" t="s">
        <v>964</v>
      </c>
      <c r="L126" t="s">
        <v>1388</v>
      </c>
      <c r="M126">
        <v>110105003</v>
      </c>
    </row>
    <row r="127" spans="1:13" x14ac:dyDescent="0.25">
      <c r="A127" t="s">
        <v>343</v>
      </c>
      <c r="B127" s="26" t="s">
        <v>344</v>
      </c>
      <c r="I127" t="s">
        <v>965</v>
      </c>
      <c r="J127" t="s">
        <v>966</v>
      </c>
      <c r="L127" t="s">
        <v>1389</v>
      </c>
      <c r="M127">
        <v>110105007</v>
      </c>
    </row>
    <row r="128" spans="1:13" x14ac:dyDescent="0.25">
      <c r="A128" t="s">
        <v>345</v>
      </c>
      <c r="B128" s="26" t="s">
        <v>346</v>
      </c>
      <c r="I128" t="s">
        <v>965</v>
      </c>
      <c r="J128" t="s">
        <v>967</v>
      </c>
      <c r="L128" t="s">
        <v>1390</v>
      </c>
      <c r="M128">
        <v>110105002</v>
      </c>
    </row>
    <row r="129" spans="1:13" x14ac:dyDescent="0.25">
      <c r="A129" t="s">
        <v>347</v>
      </c>
      <c r="B129" s="26" t="s">
        <v>348</v>
      </c>
      <c r="I129" t="s">
        <v>968</v>
      </c>
      <c r="J129" t="s">
        <v>969</v>
      </c>
      <c r="L129" t="s">
        <v>1312</v>
      </c>
      <c r="M129">
        <v>310403001</v>
      </c>
    </row>
    <row r="130" spans="1:13" x14ac:dyDescent="0.25">
      <c r="A130" t="s">
        <v>349</v>
      </c>
      <c r="B130" s="26" t="s">
        <v>350</v>
      </c>
      <c r="I130" t="s">
        <v>968</v>
      </c>
      <c r="J130" t="s">
        <v>970</v>
      </c>
      <c r="L130" t="s">
        <v>1305</v>
      </c>
      <c r="M130">
        <v>310201001</v>
      </c>
    </row>
    <row r="131" spans="1:13" x14ac:dyDescent="0.25">
      <c r="A131" t="s">
        <v>351</v>
      </c>
      <c r="B131" s="26" t="s">
        <v>352</v>
      </c>
      <c r="I131" t="s">
        <v>971</v>
      </c>
      <c r="J131" t="s">
        <v>972</v>
      </c>
      <c r="L131" t="s">
        <v>1306</v>
      </c>
      <c r="M131">
        <v>310202001</v>
      </c>
    </row>
    <row r="132" spans="1:13" x14ac:dyDescent="0.25">
      <c r="A132" t="s">
        <v>353</v>
      </c>
      <c r="B132" s="26" t="s">
        <v>354</v>
      </c>
      <c r="I132" t="s">
        <v>971</v>
      </c>
      <c r="J132" t="s">
        <v>973</v>
      </c>
      <c r="L132" t="s">
        <v>1326</v>
      </c>
      <c r="M132">
        <v>610101004</v>
      </c>
    </row>
    <row r="133" spans="1:13" x14ac:dyDescent="0.25">
      <c r="A133" t="s">
        <v>76</v>
      </c>
      <c r="B133" s="26" t="s">
        <v>75</v>
      </c>
      <c r="I133" t="s">
        <v>974</v>
      </c>
      <c r="J133" t="s">
        <v>975</v>
      </c>
      <c r="L133" t="s">
        <v>1310</v>
      </c>
      <c r="M133">
        <v>310401001</v>
      </c>
    </row>
    <row r="134" spans="1:13" x14ac:dyDescent="0.25">
      <c r="A134" t="s">
        <v>355</v>
      </c>
      <c r="B134" s="26" t="s">
        <v>356</v>
      </c>
      <c r="I134" t="s">
        <v>974</v>
      </c>
      <c r="J134" t="s">
        <v>976</v>
      </c>
      <c r="L134" t="s">
        <v>1325</v>
      </c>
      <c r="M134">
        <v>610101003</v>
      </c>
    </row>
    <row r="135" spans="1:13" x14ac:dyDescent="0.25">
      <c r="A135" t="s">
        <v>357</v>
      </c>
      <c r="B135" s="26" t="s">
        <v>358</v>
      </c>
      <c r="I135" t="s">
        <v>977</v>
      </c>
      <c r="J135" t="s">
        <v>978</v>
      </c>
      <c r="L135" t="s">
        <v>1275</v>
      </c>
      <c r="M135">
        <v>120104001</v>
      </c>
    </row>
    <row r="136" spans="1:13" x14ac:dyDescent="0.25">
      <c r="A136" t="s">
        <v>359</v>
      </c>
      <c r="B136" s="26" t="s">
        <v>360</v>
      </c>
      <c r="I136" t="s">
        <v>977</v>
      </c>
      <c r="J136" t="s">
        <v>979</v>
      </c>
      <c r="L136" t="s">
        <v>1391</v>
      </c>
      <c r="M136">
        <v>420101002</v>
      </c>
    </row>
    <row r="137" spans="1:13" x14ac:dyDescent="0.25">
      <c r="A137" t="s">
        <v>361</v>
      </c>
      <c r="B137" s="26" t="s">
        <v>362</v>
      </c>
      <c r="I137" t="s">
        <v>980</v>
      </c>
      <c r="J137" t="s">
        <v>981</v>
      </c>
      <c r="L137" t="s">
        <v>1392</v>
      </c>
      <c r="M137">
        <v>510101023</v>
      </c>
    </row>
    <row r="138" spans="1:13" x14ac:dyDescent="0.25">
      <c r="A138" t="s">
        <v>363</v>
      </c>
      <c r="B138" s="26" t="s">
        <v>364</v>
      </c>
      <c r="I138" t="s">
        <v>980</v>
      </c>
      <c r="J138" t="s">
        <v>982</v>
      </c>
      <c r="L138" t="s">
        <v>1378</v>
      </c>
      <c r="M138">
        <v>610160001</v>
      </c>
    </row>
    <row r="139" spans="1:13" x14ac:dyDescent="0.25">
      <c r="A139" t="s">
        <v>365</v>
      </c>
      <c r="B139" s="26" t="s">
        <v>366</v>
      </c>
      <c r="I139" t="s">
        <v>983</v>
      </c>
      <c r="J139" t="s">
        <v>984</v>
      </c>
    </row>
    <row r="140" spans="1:13" x14ac:dyDescent="0.25">
      <c r="A140" t="s">
        <v>367</v>
      </c>
      <c r="B140" s="26" t="s">
        <v>368</v>
      </c>
      <c r="I140" t="s">
        <v>983</v>
      </c>
      <c r="J140" t="s">
        <v>985</v>
      </c>
    </row>
    <row r="141" spans="1:13" x14ac:dyDescent="0.25">
      <c r="A141" t="s">
        <v>369</v>
      </c>
      <c r="B141" s="26" t="s">
        <v>370</v>
      </c>
      <c r="I141" t="s">
        <v>986</v>
      </c>
      <c r="J141" t="s">
        <v>987</v>
      </c>
    </row>
    <row r="142" spans="1:13" x14ac:dyDescent="0.25">
      <c r="A142" t="s">
        <v>371</v>
      </c>
      <c r="B142" s="26" t="s">
        <v>372</v>
      </c>
      <c r="I142" t="s">
        <v>986</v>
      </c>
      <c r="J142" t="s">
        <v>988</v>
      </c>
    </row>
    <row r="143" spans="1:13" x14ac:dyDescent="0.25">
      <c r="A143" t="s">
        <v>373</v>
      </c>
      <c r="B143" s="26" t="s">
        <v>374</v>
      </c>
      <c r="I143" t="s">
        <v>989</v>
      </c>
      <c r="J143" t="s">
        <v>990</v>
      </c>
    </row>
    <row r="144" spans="1:13" x14ac:dyDescent="0.25">
      <c r="A144" t="s">
        <v>375</v>
      </c>
      <c r="B144" s="26" t="s">
        <v>376</v>
      </c>
      <c r="I144" t="s">
        <v>989</v>
      </c>
      <c r="J144" t="s">
        <v>991</v>
      </c>
    </row>
    <row r="145" spans="1:10" x14ac:dyDescent="0.25">
      <c r="A145" t="s">
        <v>377</v>
      </c>
      <c r="B145" s="26" t="s">
        <v>378</v>
      </c>
      <c r="I145" t="s">
        <v>992</v>
      </c>
      <c r="J145" t="s">
        <v>993</v>
      </c>
    </row>
    <row r="146" spans="1:10" x14ac:dyDescent="0.25">
      <c r="A146" t="s">
        <v>379</v>
      </c>
      <c r="B146" s="26" t="s">
        <v>380</v>
      </c>
      <c r="I146" t="s">
        <v>992</v>
      </c>
      <c r="J146" t="s">
        <v>994</v>
      </c>
    </row>
    <row r="147" spans="1:10" x14ac:dyDescent="0.25">
      <c r="A147" t="s">
        <v>381</v>
      </c>
      <c r="B147" s="26" t="s">
        <v>382</v>
      </c>
      <c r="I147" t="s">
        <v>995</v>
      </c>
      <c r="J147" t="s">
        <v>996</v>
      </c>
    </row>
    <row r="148" spans="1:10" x14ac:dyDescent="0.25">
      <c r="A148" t="s">
        <v>383</v>
      </c>
      <c r="B148" s="26" t="s">
        <v>384</v>
      </c>
      <c r="I148" t="s">
        <v>995</v>
      </c>
      <c r="J148" t="s">
        <v>997</v>
      </c>
    </row>
    <row r="149" spans="1:10" x14ac:dyDescent="0.25">
      <c r="A149" t="s">
        <v>385</v>
      </c>
      <c r="B149" s="26" t="s">
        <v>386</v>
      </c>
      <c r="I149" t="s">
        <v>998</v>
      </c>
      <c r="J149" t="s">
        <v>999</v>
      </c>
    </row>
    <row r="150" spans="1:10" x14ac:dyDescent="0.25">
      <c r="A150" t="s">
        <v>387</v>
      </c>
      <c r="B150" s="26" t="s">
        <v>388</v>
      </c>
      <c r="I150" t="s">
        <v>998</v>
      </c>
      <c r="J150" t="s">
        <v>1000</v>
      </c>
    </row>
    <row r="151" spans="1:10" x14ac:dyDescent="0.25">
      <c r="A151" t="s">
        <v>389</v>
      </c>
      <c r="B151" s="26" t="s">
        <v>390</v>
      </c>
      <c r="I151" t="s">
        <v>1001</v>
      </c>
      <c r="J151" t="s">
        <v>1002</v>
      </c>
    </row>
    <row r="152" spans="1:10" x14ac:dyDescent="0.25">
      <c r="A152" t="s">
        <v>391</v>
      </c>
      <c r="B152" s="26" t="s">
        <v>392</v>
      </c>
      <c r="I152" t="s">
        <v>1001</v>
      </c>
      <c r="J152" t="s">
        <v>1003</v>
      </c>
    </row>
    <row r="153" spans="1:10" x14ac:dyDescent="0.25">
      <c r="A153" t="s">
        <v>393</v>
      </c>
      <c r="B153" s="26" t="s">
        <v>394</v>
      </c>
      <c r="I153" t="s">
        <v>1004</v>
      </c>
      <c r="J153" t="s">
        <v>1005</v>
      </c>
    </row>
    <row r="154" spans="1:10" x14ac:dyDescent="0.25">
      <c r="A154" t="s">
        <v>395</v>
      </c>
      <c r="B154" s="26" t="s">
        <v>396</v>
      </c>
      <c r="I154" t="s">
        <v>1004</v>
      </c>
      <c r="J154" t="s">
        <v>1006</v>
      </c>
    </row>
    <row r="155" spans="1:10" x14ac:dyDescent="0.25">
      <c r="A155" t="s">
        <v>397</v>
      </c>
      <c r="B155" s="26" t="s">
        <v>398</v>
      </c>
      <c r="I155" t="s">
        <v>1007</v>
      </c>
      <c r="J155" t="s">
        <v>1008</v>
      </c>
    </row>
    <row r="156" spans="1:10" x14ac:dyDescent="0.25">
      <c r="A156" t="s">
        <v>399</v>
      </c>
      <c r="B156" s="26" t="s">
        <v>400</v>
      </c>
      <c r="I156" t="s">
        <v>1007</v>
      </c>
      <c r="J156" t="s">
        <v>1009</v>
      </c>
    </row>
    <row r="157" spans="1:10" x14ac:dyDescent="0.25">
      <c r="A157" t="s">
        <v>401</v>
      </c>
      <c r="B157" s="26" t="s">
        <v>402</v>
      </c>
      <c r="I157" t="s">
        <v>1010</v>
      </c>
      <c r="J157" t="s">
        <v>1011</v>
      </c>
    </row>
    <row r="158" spans="1:10" x14ac:dyDescent="0.25">
      <c r="A158" t="s">
        <v>403</v>
      </c>
      <c r="B158" s="26" t="s">
        <v>404</v>
      </c>
      <c r="I158" t="s">
        <v>1010</v>
      </c>
      <c r="J158" t="s">
        <v>1012</v>
      </c>
    </row>
    <row r="159" spans="1:10" x14ac:dyDescent="0.25">
      <c r="A159" t="s">
        <v>105</v>
      </c>
      <c r="B159" s="26" t="s">
        <v>104</v>
      </c>
      <c r="I159" t="s">
        <v>1013</v>
      </c>
      <c r="J159" t="s">
        <v>1014</v>
      </c>
    </row>
    <row r="160" spans="1:10" x14ac:dyDescent="0.25">
      <c r="A160" t="s">
        <v>405</v>
      </c>
      <c r="B160" s="26" t="s">
        <v>406</v>
      </c>
      <c r="I160" t="s">
        <v>1013</v>
      </c>
      <c r="J160" t="s">
        <v>1015</v>
      </c>
    </row>
    <row r="161" spans="1:10" x14ac:dyDescent="0.25">
      <c r="A161" t="s">
        <v>407</v>
      </c>
      <c r="B161" s="26" t="s">
        <v>408</v>
      </c>
      <c r="I161" t="s">
        <v>1016</v>
      </c>
      <c r="J161" t="s">
        <v>1017</v>
      </c>
    </row>
    <row r="162" spans="1:10" x14ac:dyDescent="0.25">
      <c r="A162" t="s">
        <v>409</v>
      </c>
      <c r="B162" s="26" t="s">
        <v>410</v>
      </c>
      <c r="I162" t="s">
        <v>1016</v>
      </c>
      <c r="J162" t="s">
        <v>1018</v>
      </c>
    </row>
    <row r="163" spans="1:10" x14ac:dyDescent="0.25">
      <c r="A163" t="s">
        <v>411</v>
      </c>
      <c r="B163" s="26" t="s">
        <v>412</v>
      </c>
      <c r="I163" t="s">
        <v>1019</v>
      </c>
      <c r="J163" t="s">
        <v>1020</v>
      </c>
    </row>
    <row r="164" spans="1:10" x14ac:dyDescent="0.25">
      <c r="A164" t="s">
        <v>413</v>
      </c>
      <c r="B164" s="26" t="s">
        <v>414</v>
      </c>
      <c r="I164" t="s">
        <v>1019</v>
      </c>
      <c r="J164" t="s">
        <v>1021</v>
      </c>
    </row>
    <row r="165" spans="1:10" x14ac:dyDescent="0.25">
      <c r="A165" t="s">
        <v>415</v>
      </c>
      <c r="B165" s="26" t="s">
        <v>416</v>
      </c>
      <c r="I165" t="s">
        <v>1022</v>
      </c>
      <c r="J165" t="s">
        <v>1023</v>
      </c>
    </row>
    <row r="166" spans="1:10" x14ac:dyDescent="0.25">
      <c r="A166" t="s">
        <v>417</v>
      </c>
      <c r="B166" s="26" t="s">
        <v>418</v>
      </c>
      <c r="I166" t="s">
        <v>1022</v>
      </c>
      <c r="J166" t="s">
        <v>1024</v>
      </c>
    </row>
    <row r="167" spans="1:10" x14ac:dyDescent="0.25">
      <c r="A167" t="s">
        <v>419</v>
      </c>
      <c r="B167" s="26" t="s">
        <v>420</v>
      </c>
      <c r="I167" t="s">
        <v>1025</v>
      </c>
      <c r="J167" t="s">
        <v>1026</v>
      </c>
    </row>
    <row r="168" spans="1:10" x14ac:dyDescent="0.25">
      <c r="A168" t="s">
        <v>110</v>
      </c>
      <c r="B168" s="26" t="s">
        <v>109</v>
      </c>
      <c r="I168" t="s">
        <v>1025</v>
      </c>
      <c r="J168" t="s">
        <v>1027</v>
      </c>
    </row>
    <row r="169" spans="1:10" x14ac:dyDescent="0.25">
      <c r="A169" t="s">
        <v>112</v>
      </c>
      <c r="B169" s="26" t="s">
        <v>111</v>
      </c>
      <c r="I169" t="s">
        <v>1028</v>
      </c>
      <c r="J169" t="s">
        <v>1029</v>
      </c>
    </row>
    <row r="170" spans="1:10" x14ac:dyDescent="0.25">
      <c r="A170" t="s">
        <v>57</v>
      </c>
      <c r="B170" s="26" t="s">
        <v>56</v>
      </c>
      <c r="I170" t="s">
        <v>1028</v>
      </c>
      <c r="J170" t="s">
        <v>1030</v>
      </c>
    </row>
    <row r="171" spans="1:10" x14ac:dyDescent="0.25">
      <c r="A171" t="s">
        <v>22</v>
      </c>
      <c r="B171" s="26" t="s">
        <v>64</v>
      </c>
      <c r="I171" t="s">
        <v>1031</v>
      </c>
      <c r="J171" t="s">
        <v>1032</v>
      </c>
    </row>
    <row r="172" spans="1:10" x14ac:dyDescent="0.25">
      <c r="A172" t="s">
        <v>421</v>
      </c>
      <c r="B172" s="26" t="s">
        <v>422</v>
      </c>
      <c r="I172" t="s">
        <v>1031</v>
      </c>
      <c r="J172" t="s">
        <v>1033</v>
      </c>
    </row>
    <row r="173" spans="1:10" x14ac:dyDescent="0.25">
      <c r="A173" t="s">
        <v>423</v>
      </c>
      <c r="B173" s="26" t="s">
        <v>424</v>
      </c>
      <c r="I173" t="s">
        <v>1034</v>
      </c>
      <c r="J173" t="s">
        <v>1035</v>
      </c>
    </row>
    <row r="174" spans="1:10" x14ac:dyDescent="0.25">
      <c r="A174" t="s">
        <v>425</v>
      </c>
      <c r="B174" s="26" t="s">
        <v>426</v>
      </c>
      <c r="I174" t="s">
        <v>1034</v>
      </c>
      <c r="J174" t="s">
        <v>1036</v>
      </c>
    </row>
    <row r="175" spans="1:10" x14ac:dyDescent="0.25">
      <c r="A175" t="s">
        <v>427</v>
      </c>
      <c r="B175" s="26" t="s">
        <v>428</v>
      </c>
      <c r="I175" t="s">
        <v>1037</v>
      </c>
      <c r="J175" t="s">
        <v>1038</v>
      </c>
    </row>
    <row r="176" spans="1:10" x14ac:dyDescent="0.25">
      <c r="A176" t="s">
        <v>429</v>
      </c>
      <c r="B176" s="26" t="s">
        <v>430</v>
      </c>
      <c r="I176" t="s">
        <v>1037</v>
      </c>
      <c r="J176" t="s">
        <v>1039</v>
      </c>
    </row>
    <row r="177" spans="1:10" x14ac:dyDescent="0.25">
      <c r="A177" t="s">
        <v>431</v>
      </c>
      <c r="B177" s="26" t="s">
        <v>432</v>
      </c>
      <c r="I177" t="s">
        <v>1040</v>
      </c>
      <c r="J177" t="s">
        <v>1041</v>
      </c>
    </row>
    <row r="178" spans="1:10" x14ac:dyDescent="0.25">
      <c r="A178" t="s">
        <v>27</v>
      </c>
      <c r="B178" s="26" t="s">
        <v>433</v>
      </c>
      <c r="I178" t="s">
        <v>1040</v>
      </c>
      <c r="J178" t="s">
        <v>1042</v>
      </c>
    </row>
    <row r="179" spans="1:10" x14ac:dyDescent="0.25">
      <c r="A179" t="s">
        <v>434</v>
      </c>
      <c r="B179" s="26" t="s">
        <v>435</v>
      </c>
      <c r="I179" t="s">
        <v>1043</v>
      </c>
      <c r="J179" t="s">
        <v>1044</v>
      </c>
    </row>
    <row r="180" spans="1:10" x14ac:dyDescent="0.25">
      <c r="A180" t="s">
        <v>436</v>
      </c>
      <c r="B180" s="26" t="s">
        <v>437</v>
      </c>
      <c r="I180" t="s">
        <v>1043</v>
      </c>
      <c r="J180" t="s">
        <v>1045</v>
      </c>
    </row>
    <row r="181" spans="1:10" x14ac:dyDescent="0.25">
      <c r="A181" t="s">
        <v>438</v>
      </c>
      <c r="B181" s="26" t="s">
        <v>439</v>
      </c>
      <c r="I181" t="s">
        <v>1046</v>
      </c>
      <c r="J181" t="s">
        <v>1047</v>
      </c>
    </row>
    <row r="182" spans="1:10" x14ac:dyDescent="0.25">
      <c r="A182" t="s">
        <v>24</v>
      </c>
      <c r="B182" s="26" t="s">
        <v>103</v>
      </c>
      <c r="I182" t="s">
        <v>1046</v>
      </c>
      <c r="J182" t="s">
        <v>1048</v>
      </c>
    </row>
    <row r="183" spans="1:10" x14ac:dyDescent="0.25">
      <c r="A183" t="s">
        <v>440</v>
      </c>
      <c r="B183" s="26" t="s">
        <v>441</v>
      </c>
      <c r="I183" t="s">
        <v>1049</v>
      </c>
      <c r="J183" t="s">
        <v>1050</v>
      </c>
    </row>
    <row r="184" spans="1:10" x14ac:dyDescent="0.25">
      <c r="A184" t="s">
        <v>442</v>
      </c>
      <c r="B184" s="26" t="s">
        <v>443</v>
      </c>
      <c r="I184" t="s">
        <v>1049</v>
      </c>
      <c r="J184" t="s">
        <v>1051</v>
      </c>
    </row>
    <row r="185" spans="1:10" x14ac:dyDescent="0.25">
      <c r="A185" t="s">
        <v>444</v>
      </c>
      <c r="B185" s="26" t="s">
        <v>445</v>
      </c>
      <c r="I185" t="s">
        <v>1052</v>
      </c>
      <c r="J185" t="s">
        <v>1053</v>
      </c>
    </row>
    <row r="186" spans="1:10" x14ac:dyDescent="0.25">
      <c r="A186" t="s">
        <v>446</v>
      </c>
      <c r="B186" s="26" t="s">
        <v>447</v>
      </c>
      <c r="I186" t="s">
        <v>1052</v>
      </c>
      <c r="J186" t="s">
        <v>1054</v>
      </c>
    </row>
    <row r="187" spans="1:10" x14ac:dyDescent="0.25">
      <c r="A187" t="s">
        <v>448</v>
      </c>
      <c r="B187" s="26" t="s">
        <v>449</v>
      </c>
      <c r="I187" t="s">
        <v>1055</v>
      </c>
      <c r="J187" t="s">
        <v>1056</v>
      </c>
    </row>
    <row r="188" spans="1:10" x14ac:dyDescent="0.25">
      <c r="A188" t="s">
        <v>450</v>
      </c>
      <c r="B188" s="26" t="s">
        <v>451</v>
      </c>
      <c r="I188" t="s">
        <v>1055</v>
      </c>
      <c r="J188" t="s">
        <v>1057</v>
      </c>
    </row>
    <row r="189" spans="1:10" x14ac:dyDescent="0.25">
      <c r="A189" t="s">
        <v>452</v>
      </c>
      <c r="B189" s="26" t="s">
        <v>453</v>
      </c>
      <c r="I189" t="s">
        <v>1058</v>
      </c>
      <c r="J189" t="s">
        <v>1059</v>
      </c>
    </row>
    <row r="190" spans="1:10" x14ac:dyDescent="0.25">
      <c r="A190" t="s">
        <v>454</v>
      </c>
      <c r="B190" s="26" t="s">
        <v>455</v>
      </c>
      <c r="I190" t="s">
        <v>1058</v>
      </c>
      <c r="J190" t="s">
        <v>1060</v>
      </c>
    </row>
    <row r="191" spans="1:10" x14ac:dyDescent="0.25">
      <c r="A191" t="s">
        <v>40</v>
      </c>
      <c r="B191" s="26" t="s">
        <v>39</v>
      </c>
      <c r="I191" t="s">
        <v>1061</v>
      </c>
      <c r="J191" t="s">
        <v>1062</v>
      </c>
    </row>
    <row r="192" spans="1:10" x14ac:dyDescent="0.25">
      <c r="A192" t="s">
        <v>456</v>
      </c>
      <c r="B192" s="26" t="s">
        <v>457</v>
      </c>
      <c r="I192" t="s">
        <v>1061</v>
      </c>
      <c r="J192" t="s">
        <v>1063</v>
      </c>
    </row>
    <row r="193" spans="1:10" x14ac:dyDescent="0.25">
      <c r="A193" t="s">
        <v>458</v>
      </c>
      <c r="B193" s="26" t="s">
        <v>459</v>
      </c>
      <c r="I193" t="s">
        <v>1064</v>
      </c>
      <c r="J193" t="s">
        <v>1065</v>
      </c>
    </row>
    <row r="194" spans="1:10" x14ac:dyDescent="0.25">
      <c r="A194" t="s">
        <v>80</v>
      </c>
      <c r="B194" s="26" t="s">
        <v>79</v>
      </c>
      <c r="I194" t="s">
        <v>1064</v>
      </c>
      <c r="J194" t="s">
        <v>1066</v>
      </c>
    </row>
    <row r="195" spans="1:10" x14ac:dyDescent="0.25">
      <c r="A195" t="s">
        <v>460</v>
      </c>
      <c r="B195" s="26" t="s">
        <v>461</v>
      </c>
      <c r="I195" t="s">
        <v>1067</v>
      </c>
      <c r="J195" t="s">
        <v>1068</v>
      </c>
    </row>
    <row r="196" spans="1:10" x14ac:dyDescent="0.25">
      <c r="A196" t="s">
        <v>462</v>
      </c>
      <c r="B196" s="26" t="s">
        <v>463</v>
      </c>
      <c r="I196" t="s">
        <v>1067</v>
      </c>
      <c r="J196" t="s">
        <v>1069</v>
      </c>
    </row>
    <row r="197" spans="1:10" x14ac:dyDescent="0.25">
      <c r="A197" t="s">
        <v>464</v>
      </c>
      <c r="B197" s="26" t="s">
        <v>465</v>
      </c>
      <c r="I197" t="s">
        <v>1070</v>
      </c>
      <c r="J197" t="s">
        <v>1071</v>
      </c>
    </row>
    <row r="198" spans="1:10" x14ac:dyDescent="0.25">
      <c r="A198" t="s">
        <v>466</v>
      </c>
      <c r="B198" s="26" t="s">
        <v>467</v>
      </c>
      <c r="I198" t="s">
        <v>1070</v>
      </c>
      <c r="J198" t="s">
        <v>1072</v>
      </c>
    </row>
    <row r="199" spans="1:10" x14ac:dyDescent="0.25">
      <c r="A199" t="s">
        <v>468</v>
      </c>
      <c r="B199" s="26" t="s">
        <v>469</v>
      </c>
      <c r="I199" t="s">
        <v>1073</v>
      </c>
      <c r="J199" t="s">
        <v>1074</v>
      </c>
    </row>
    <row r="200" spans="1:10" x14ac:dyDescent="0.25">
      <c r="A200" t="s">
        <v>470</v>
      </c>
      <c r="B200" s="26" t="s">
        <v>471</v>
      </c>
      <c r="I200" t="s">
        <v>1073</v>
      </c>
      <c r="J200" t="s">
        <v>1075</v>
      </c>
    </row>
    <row r="201" spans="1:10" x14ac:dyDescent="0.25">
      <c r="A201" t="s">
        <v>472</v>
      </c>
      <c r="B201" s="26" t="s">
        <v>473</v>
      </c>
      <c r="I201" t="s">
        <v>1076</v>
      </c>
      <c r="J201" t="s">
        <v>1077</v>
      </c>
    </row>
    <row r="202" spans="1:10" x14ac:dyDescent="0.25">
      <c r="A202" t="s">
        <v>474</v>
      </c>
      <c r="B202" s="26" t="s">
        <v>475</v>
      </c>
      <c r="I202" t="s">
        <v>1076</v>
      </c>
      <c r="J202" t="s">
        <v>1078</v>
      </c>
    </row>
    <row r="203" spans="1:10" x14ac:dyDescent="0.25">
      <c r="A203" t="s">
        <v>476</v>
      </c>
      <c r="B203" s="26" t="s">
        <v>477</v>
      </c>
      <c r="I203" t="s">
        <v>1079</v>
      </c>
      <c r="J203" t="s">
        <v>1080</v>
      </c>
    </row>
    <row r="204" spans="1:10" x14ac:dyDescent="0.25">
      <c r="A204" t="s">
        <v>478</v>
      </c>
      <c r="B204" s="26" t="s">
        <v>479</v>
      </c>
      <c r="I204" t="s">
        <v>1079</v>
      </c>
      <c r="J204" t="s">
        <v>1081</v>
      </c>
    </row>
    <row r="205" spans="1:10" x14ac:dyDescent="0.25">
      <c r="A205" t="s">
        <v>480</v>
      </c>
      <c r="B205" s="26" t="s">
        <v>481</v>
      </c>
      <c r="I205" t="s">
        <v>1082</v>
      </c>
      <c r="J205" t="s">
        <v>1083</v>
      </c>
    </row>
    <row r="206" spans="1:10" x14ac:dyDescent="0.25">
      <c r="A206" t="s">
        <v>482</v>
      </c>
      <c r="B206" s="26" t="s">
        <v>483</v>
      </c>
      <c r="I206" t="s">
        <v>1082</v>
      </c>
      <c r="J206" t="s">
        <v>1084</v>
      </c>
    </row>
    <row r="207" spans="1:10" x14ac:dyDescent="0.25">
      <c r="A207" t="s">
        <v>484</v>
      </c>
      <c r="B207" s="26" t="s">
        <v>485</v>
      </c>
      <c r="I207" t="s">
        <v>1085</v>
      </c>
      <c r="J207" t="s">
        <v>1086</v>
      </c>
    </row>
    <row r="208" spans="1:10" x14ac:dyDescent="0.25">
      <c r="A208" t="s">
        <v>486</v>
      </c>
      <c r="B208" s="26" t="s">
        <v>487</v>
      </c>
      <c r="I208" t="s">
        <v>1085</v>
      </c>
      <c r="J208" t="s">
        <v>1087</v>
      </c>
    </row>
    <row r="209" spans="1:10" x14ac:dyDescent="0.25">
      <c r="A209" t="s">
        <v>488</v>
      </c>
      <c r="B209" s="26" t="s">
        <v>489</v>
      </c>
      <c r="I209" t="s">
        <v>1088</v>
      </c>
      <c r="J209" t="s">
        <v>1089</v>
      </c>
    </row>
    <row r="210" spans="1:10" x14ac:dyDescent="0.25">
      <c r="A210" t="s">
        <v>490</v>
      </c>
      <c r="B210" s="26" t="s">
        <v>491</v>
      </c>
      <c r="I210" t="s">
        <v>1088</v>
      </c>
      <c r="J210" t="s">
        <v>1090</v>
      </c>
    </row>
    <row r="211" spans="1:10" x14ac:dyDescent="0.25">
      <c r="A211" t="s">
        <v>492</v>
      </c>
      <c r="B211" s="26" t="s">
        <v>493</v>
      </c>
      <c r="I211" t="s">
        <v>1091</v>
      </c>
      <c r="J211" t="s">
        <v>1092</v>
      </c>
    </row>
    <row r="212" spans="1:10" x14ac:dyDescent="0.25">
      <c r="A212" t="s">
        <v>494</v>
      </c>
      <c r="B212" s="26" t="s">
        <v>495</v>
      </c>
      <c r="I212" t="s">
        <v>1091</v>
      </c>
      <c r="J212" t="s">
        <v>1093</v>
      </c>
    </row>
    <row r="213" spans="1:10" x14ac:dyDescent="0.25">
      <c r="A213" t="s">
        <v>496</v>
      </c>
      <c r="B213" s="26" t="s">
        <v>497</v>
      </c>
      <c r="I213" t="s">
        <v>1094</v>
      </c>
      <c r="J213" t="s">
        <v>1095</v>
      </c>
    </row>
    <row r="214" spans="1:10" x14ac:dyDescent="0.25">
      <c r="A214" t="s">
        <v>498</v>
      </c>
      <c r="B214" s="26" t="s">
        <v>499</v>
      </c>
      <c r="I214" t="s">
        <v>1094</v>
      </c>
      <c r="J214" t="s">
        <v>1096</v>
      </c>
    </row>
    <row r="215" spans="1:10" x14ac:dyDescent="0.25">
      <c r="A215" t="s">
        <v>500</v>
      </c>
      <c r="B215" s="26" t="s">
        <v>501</v>
      </c>
      <c r="I215" t="s">
        <v>1097</v>
      </c>
      <c r="J215" t="s">
        <v>1098</v>
      </c>
    </row>
    <row r="216" spans="1:10" x14ac:dyDescent="0.25">
      <c r="A216" t="s">
        <v>502</v>
      </c>
      <c r="B216" s="26" t="s">
        <v>503</v>
      </c>
      <c r="I216" t="s">
        <v>1097</v>
      </c>
      <c r="J216" t="s">
        <v>1099</v>
      </c>
    </row>
    <row r="217" spans="1:10" x14ac:dyDescent="0.25">
      <c r="A217" t="s">
        <v>504</v>
      </c>
      <c r="B217" s="26" t="s">
        <v>505</v>
      </c>
      <c r="I217" t="s">
        <v>1100</v>
      </c>
      <c r="J217" t="s">
        <v>1101</v>
      </c>
    </row>
    <row r="218" spans="1:10" x14ac:dyDescent="0.25">
      <c r="A218" t="s">
        <v>506</v>
      </c>
      <c r="B218" s="26" t="s">
        <v>507</v>
      </c>
      <c r="I218" t="s">
        <v>1100</v>
      </c>
      <c r="J218" t="s">
        <v>1102</v>
      </c>
    </row>
    <row r="219" spans="1:10" x14ac:dyDescent="0.25">
      <c r="A219" t="s">
        <v>508</v>
      </c>
      <c r="B219" s="26" t="s">
        <v>509</v>
      </c>
      <c r="I219" t="s">
        <v>1103</v>
      </c>
      <c r="J219" t="s">
        <v>1104</v>
      </c>
    </row>
    <row r="220" spans="1:10" x14ac:dyDescent="0.25">
      <c r="A220" t="s">
        <v>510</v>
      </c>
      <c r="B220" s="26" t="s">
        <v>511</v>
      </c>
      <c r="I220" t="s">
        <v>1103</v>
      </c>
      <c r="J220" t="s">
        <v>1105</v>
      </c>
    </row>
    <row r="221" spans="1:10" x14ac:dyDescent="0.25">
      <c r="A221" t="s">
        <v>512</v>
      </c>
      <c r="B221" s="26" t="s">
        <v>513</v>
      </c>
      <c r="I221" t="s">
        <v>1106</v>
      </c>
      <c r="J221" t="s">
        <v>1107</v>
      </c>
    </row>
    <row r="222" spans="1:10" x14ac:dyDescent="0.25">
      <c r="A222" t="s">
        <v>514</v>
      </c>
      <c r="B222" s="26" t="s">
        <v>515</v>
      </c>
      <c r="I222" t="s">
        <v>1106</v>
      </c>
      <c r="J222" t="s">
        <v>1108</v>
      </c>
    </row>
    <row r="223" spans="1:10" x14ac:dyDescent="0.25">
      <c r="A223" t="s">
        <v>516</v>
      </c>
      <c r="B223" s="26" t="s">
        <v>517</v>
      </c>
      <c r="I223" t="s">
        <v>1109</v>
      </c>
      <c r="J223" t="s">
        <v>1110</v>
      </c>
    </row>
    <row r="224" spans="1:10" x14ac:dyDescent="0.25">
      <c r="A224" t="s">
        <v>518</v>
      </c>
      <c r="B224" s="26" t="s">
        <v>519</v>
      </c>
      <c r="I224" t="s">
        <v>1109</v>
      </c>
      <c r="J224" t="s">
        <v>1111</v>
      </c>
    </row>
    <row r="225" spans="1:10" x14ac:dyDescent="0.25">
      <c r="A225" t="s">
        <v>520</v>
      </c>
      <c r="B225" s="26" t="s">
        <v>521</v>
      </c>
      <c r="I225" t="s">
        <v>1112</v>
      </c>
      <c r="J225" t="s">
        <v>1113</v>
      </c>
    </row>
    <row r="226" spans="1:10" x14ac:dyDescent="0.25">
      <c r="A226" t="s">
        <v>522</v>
      </c>
      <c r="B226" s="26" t="s">
        <v>523</v>
      </c>
      <c r="I226" t="s">
        <v>1112</v>
      </c>
      <c r="J226" t="s">
        <v>1114</v>
      </c>
    </row>
    <row r="227" spans="1:10" x14ac:dyDescent="0.25">
      <c r="A227" t="s">
        <v>524</v>
      </c>
      <c r="B227" s="26" t="s">
        <v>525</v>
      </c>
      <c r="I227" t="s">
        <v>1115</v>
      </c>
      <c r="J227" t="s">
        <v>1116</v>
      </c>
    </row>
    <row r="228" spans="1:10" x14ac:dyDescent="0.25">
      <c r="A228" t="s">
        <v>526</v>
      </c>
      <c r="B228" s="26" t="s">
        <v>527</v>
      </c>
      <c r="I228" t="s">
        <v>1117</v>
      </c>
      <c r="J228" t="s">
        <v>1118</v>
      </c>
    </row>
    <row r="229" spans="1:10" x14ac:dyDescent="0.25">
      <c r="A229" t="s">
        <v>528</v>
      </c>
      <c r="B229" s="26" t="s">
        <v>529</v>
      </c>
      <c r="I229" t="s">
        <v>1117</v>
      </c>
      <c r="J229" t="s">
        <v>1119</v>
      </c>
    </row>
    <row r="230" spans="1:10" x14ac:dyDescent="0.25">
      <c r="A230" t="s">
        <v>70</v>
      </c>
      <c r="B230" s="26" t="s">
        <v>69</v>
      </c>
      <c r="I230" t="s">
        <v>1120</v>
      </c>
      <c r="J230" t="s">
        <v>1121</v>
      </c>
    </row>
    <row r="231" spans="1:10" x14ac:dyDescent="0.25">
      <c r="A231" t="s">
        <v>530</v>
      </c>
      <c r="B231" s="26" t="s">
        <v>531</v>
      </c>
      <c r="I231" t="s">
        <v>1122</v>
      </c>
      <c r="J231" t="s">
        <v>1123</v>
      </c>
    </row>
    <row r="232" spans="1:10" x14ac:dyDescent="0.25">
      <c r="A232" t="s">
        <v>532</v>
      </c>
      <c r="B232" s="26" t="s">
        <v>533</v>
      </c>
      <c r="I232" t="s">
        <v>1122</v>
      </c>
      <c r="J232" t="s">
        <v>1124</v>
      </c>
    </row>
    <row r="233" spans="1:10" x14ac:dyDescent="0.25">
      <c r="A233" t="s">
        <v>534</v>
      </c>
      <c r="B233" s="26" t="s">
        <v>535</v>
      </c>
      <c r="I233" t="s">
        <v>1125</v>
      </c>
      <c r="J233" t="s">
        <v>1126</v>
      </c>
    </row>
    <row r="234" spans="1:10" x14ac:dyDescent="0.25">
      <c r="A234" t="s">
        <v>536</v>
      </c>
      <c r="B234" s="26" t="s">
        <v>537</v>
      </c>
      <c r="I234" t="s">
        <v>1127</v>
      </c>
      <c r="J234" t="s">
        <v>1128</v>
      </c>
    </row>
    <row r="235" spans="1:10" x14ac:dyDescent="0.25">
      <c r="A235" t="s">
        <v>538</v>
      </c>
      <c r="B235" s="26" t="s">
        <v>539</v>
      </c>
      <c r="I235" t="s">
        <v>1129</v>
      </c>
      <c r="J235" t="s">
        <v>1130</v>
      </c>
    </row>
    <row r="236" spans="1:10" x14ac:dyDescent="0.25">
      <c r="A236" t="s">
        <v>540</v>
      </c>
      <c r="B236" s="26" t="s">
        <v>541</v>
      </c>
      <c r="I236" t="s">
        <v>1131</v>
      </c>
      <c r="J236" t="s">
        <v>1132</v>
      </c>
    </row>
    <row r="237" spans="1:10" x14ac:dyDescent="0.25">
      <c r="A237" t="s">
        <v>542</v>
      </c>
      <c r="B237" s="26" t="s">
        <v>543</v>
      </c>
      <c r="I237" t="s">
        <v>1133</v>
      </c>
      <c r="J237" t="s">
        <v>1134</v>
      </c>
    </row>
    <row r="238" spans="1:10" x14ac:dyDescent="0.25">
      <c r="A238" t="s">
        <v>59</v>
      </c>
      <c r="B238" s="26" t="s">
        <v>58</v>
      </c>
      <c r="I238" t="s">
        <v>1133</v>
      </c>
      <c r="J238" t="s">
        <v>1135</v>
      </c>
    </row>
    <row r="239" spans="1:10" x14ac:dyDescent="0.25">
      <c r="A239" t="s">
        <v>544</v>
      </c>
      <c r="B239" s="26" t="s">
        <v>545</v>
      </c>
      <c r="I239" t="s">
        <v>1136</v>
      </c>
      <c r="J239" t="s">
        <v>1137</v>
      </c>
    </row>
    <row r="240" spans="1:10" x14ac:dyDescent="0.25">
      <c r="A240" t="s">
        <v>546</v>
      </c>
      <c r="B240" s="26" t="s">
        <v>547</v>
      </c>
      <c r="I240" t="s">
        <v>1138</v>
      </c>
      <c r="J240" t="s">
        <v>1139</v>
      </c>
    </row>
    <row r="241" spans="1:10" x14ac:dyDescent="0.25">
      <c r="A241" t="s">
        <v>548</v>
      </c>
      <c r="B241" s="26" t="s">
        <v>549</v>
      </c>
      <c r="I241" t="s">
        <v>1140</v>
      </c>
      <c r="J241" t="s">
        <v>1141</v>
      </c>
    </row>
    <row r="242" spans="1:10" x14ac:dyDescent="0.25">
      <c r="A242" t="s">
        <v>550</v>
      </c>
      <c r="B242" s="26" t="s">
        <v>551</v>
      </c>
      <c r="I242" t="s">
        <v>1140</v>
      </c>
      <c r="J242" t="s">
        <v>1142</v>
      </c>
    </row>
    <row r="243" spans="1:10" x14ac:dyDescent="0.25">
      <c r="A243" t="s">
        <v>552</v>
      </c>
      <c r="B243" s="26" t="s">
        <v>553</v>
      </c>
      <c r="I243" t="s">
        <v>1143</v>
      </c>
      <c r="J243" t="s">
        <v>1144</v>
      </c>
    </row>
    <row r="244" spans="1:10" x14ac:dyDescent="0.25">
      <c r="A244" t="s">
        <v>554</v>
      </c>
      <c r="B244" s="26" t="s">
        <v>555</v>
      </c>
      <c r="I244" t="s">
        <v>1143</v>
      </c>
      <c r="J244" t="s">
        <v>1145</v>
      </c>
    </row>
    <row r="245" spans="1:10" x14ac:dyDescent="0.25">
      <c r="A245" t="s">
        <v>556</v>
      </c>
      <c r="B245" s="26" t="s">
        <v>557</v>
      </c>
      <c r="I245" t="s">
        <v>1146</v>
      </c>
      <c r="J245" t="s">
        <v>1147</v>
      </c>
    </row>
    <row r="246" spans="1:10" x14ac:dyDescent="0.25">
      <c r="A246" t="s">
        <v>558</v>
      </c>
      <c r="B246" s="26" t="s">
        <v>559</v>
      </c>
      <c r="I246" t="s">
        <v>1146</v>
      </c>
      <c r="J246" t="s">
        <v>1148</v>
      </c>
    </row>
    <row r="247" spans="1:10" x14ac:dyDescent="0.25">
      <c r="A247" t="s">
        <v>560</v>
      </c>
      <c r="B247" s="26" t="s">
        <v>561</v>
      </c>
      <c r="I247" t="s">
        <v>1149</v>
      </c>
      <c r="J247" t="s">
        <v>1150</v>
      </c>
    </row>
    <row r="248" spans="1:10" x14ac:dyDescent="0.25">
      <c r="A248" t="s">
        <v>562</v>
      </c>
      <c r="B248" s="26" t="s">
        <v>563</v>
      </c>
      <c r="I248" t="s">
        <v>1149</v>
      </c>
      <c r="J248" t="s">
        <v>1151</v>
      </c>
    </row>
    <row r="249" spans="1:10" x14ac:dyDescent="0.25">
      <c r="A249" t="s">
        <v>564</v>
      </c>
      <c r="B249" s="26" t="s">
        <v>565</v>
      </c>
      <c r="I249" t="s">
        <v>1152</v>
      </c>
      <c r="J249" t="s">
        <v>1153</v>
      </c>
    </row>
    <row r="250" spans="1:10" x14ac:dyDescent="0.25">
      <c r="A250" t="s">
        <v>566</v>
      </c>
      <c r="B250" s="26" t="s">
        <v>567</v>
      </c>
      <c r="I250" t="s">
        <v>1152</v>
      </c>
      <c r="J250" t="s">
        <v>1154</v>
      </c>
    </row>
    <row r="251" spans="1:10" x14ac:dyDescent="0.25">
      <c r="A251" t="s">
        <v>568</v>
      </c>
      <c r="B251" s="26" t="s">
        <v>569</v>
      </c>
      <c r="I251" t="s">
        <v>1155</v>
      </c>
      <c r="J251" t="s">
        <v>1156</v>
      </c>
    </row>
    <row r="252" spans="1:10" x14ac:dyDescent="0.25">
      <c r="A252" t="s">
        <v>570</v>
      </c>
      <c r="B252" s="26" t="s">
        <v>571</v>
      </c>
      <c r="I252" t="s">
        <v>1155</v>
      </c>
      <c r="J252" t="s">
        <v>1157</v>
      </c>
    </row>
    <row r="253" spans="1:10" x14ac:dyDescent="0.25">
      <c r="A253" t="s">
        <v>572</v>
      </c>
      <c r="B253" s="26" t="s">
        <v>573</v>
      </c>
      <c r="I253" t="s">
        <v>1158</v>
      </c>
      <c r="J253" t="s">
        <v>1159</v>
      </c>
    </row>
    <row r="254" spans="1:10" x14ac:dyDescent="0.25">
      <c r="A254" t="s">
        <v>574</v>
      </c>
      <c r="B254" s="26" t="s">
        <v>575</v>
      </c>
      <c r="I254" t="s">
        <v>1158</v>
      </c>
      <c r="J254" t="s">
        <v>1160</v>
      </c>
    </row>
    <row r="255" spans="1:10" x14ac:dyDescent="0.25">
      <c r="A255" t="s">
        <v>576</v>
      </c>
      <c r="B255" s="26" t="s">
        <v>577</v>
      </c>
      <c r="I255" t="s">
        <v>1161</v>
      </c>
      <c r="J255" t="s">
        <v>1162</v>
      </c>
    </row>
    <row r="256" spans="1:10" x14ac:dyDescent="0.25">
      <c r="A256" t="s">
        <v>578</v>
      </c>
      <c r="B256" s="26" t="s">
        <v>579</v>
      </c>
      <c r="I256" t="s">
        <v>1161</v>
      </c>
      <c r="J256" t="s">
        <v>1163</v>
      </c>
    </row>
    <row r="257" spans="1:10" x14ac:dyDescent="0.25">
      <c r="A257" t="s">
        <v>580</v>
      </c>
      <c r="B257" s="26" t="s">
        <v>581</v>
      </c>
      <c r="I257" t="s">
        <v>1164</v>
      </c>
      <c r="J257" t="s">
        <v>1165</v>
      </c>
    </row>
    <row r="258" spans="1:10" x14ac:dyDescent="0.25">
      <c r="A258" t="s">
        <v>582</v>
      </c>
      <c r="B258" s="26" t="s">
        <v>583</v>
      </c>
      <c r="I258" t="s">
        <v>1164</v>
      </c>
      <c r="J258" t="s">
        <v>1166</v>
      </c>
    </row>
    <row r="259" spans="1:10" x14ac:dyDescent="0.25">
      <c r="A259" t="s">
        <v>584</v>
      </c>
      <c r="B259" s="26" t="s">
        <v>585</v>
      </c>
      <c r="I259" t="s">
        <v>1167</v>
      </c>
      <c r="J259" t="s">
        <v>1168</v>
      </c>
    </row>
    <row r="260" spans="1:10" x14ac:dyDescent="0.25">
      <c r="A260" t="s">
        <v>586</v>
      </c>
      <c r="B260" s="26" t="s">
        <v>587</v>
      </c>
      <c r="I260" t="s">
        <v>1167</v>
      </c>
      <c r="J260" t="s">
        <v>1169</v>
      </c>
    </row>
    <row r="261" spans="1:10" x14ac:dyDescent="0.25">
      <c r="A261" t="s">
        <v>43</v>
      </c>
      <c r="B261" s="26" t="s">
        <v>42</v>
      </c>
      <c r="I261" t="s">
        <v>1170</v>
      </c>
      <c r="J261" t="s">
        <v>1171</v>
      </c>
    </row>
    <row r="262" spans="1:10" x14ac:dyDescent="0.25">
      <c r="A262" t="s">
        <v>588</v>
      </c>
      <c r="B262" s="26" t="s">
        <v>589</v>
      </c>
      <c r="I262" t="s">
        <v>1170</v>
      </c>
      <c r="J262" t="s">
        <v>1172</v>
      </c>
    </row>
    <row r="263" spans="1:10" x14ac:dyDescent="0.25">
      <c r="A263" t="s">
        <v>590</v>
      </c>
      <c r="B263" s="26" t="s">
        <v>591</v>
      </c>
      <c r="I263" t="s">
        <v>1173</v>
      </c>
      <c r="J263" t="s">
        <v>1174</v>
      </c>
    </row>
    <row r="264" spans="1:10" x14ac:dyDescent="0.25">
      <c r="A264" t="s">
        <v>592</v>
      </c>
      <c r="B264" s="26" t="s">
        <v>593</v>
      </c>
      <c r="I264" t="s">
        <v>1173</v>
      </c>
      <c r="J264" t="s">
        <v>1175</v>
      </c>
    </row>
    <row r="265" spans="1:10" x14ac:dyDescent="0.25">
      <c r="A265" t="s">
        <v>107</v>
      </c>
      <c r="B265" s="26" t="s">
        <v>106</v>
      </c>
      <c r="I265" t="s">
        <v>1176</v>
      </c>
      <c r="J265" t="s">
        <v>1177</v>
      </c>
    </row>
    <row r="266" spans="1:10" x14ac:dyDescent="0.25">
      <c r="A266" t="s">
        <v>594</v>
      </c>
      <c r="B266" s="26" t="s">
        <v>595</v>
      </c>
      <c r="I266" t="s">
        <v>1176</v>
      </c>
      <c r="J266" t="s">
        <v>1178</v>
      </c>
    </row>
    <row r="267" spans="1:10" x14ac:dyDescent="0.25">
      <c r="A267" t="s">
        <v>596</v>
      </c>
      <c r="B267" s="26" t="s">
        <v>597</v>
      </c>
      <c r="I267" t="s">
        <v>1179</v>
      </c>
      <c r="J267" t="s">
        <v>1180</v>
      </c>
    </row>
    <row r="268" spans="1:10" x14ac:dyDescent="0.25">
      <c r="A268" t="s">
        <v>598</v>
      </c>
      <c r="B268" s="26" t="s">
        <v>599</v>
      </c>
      <c r="I268" t="s">
        <v>1179</v>
      </c>
      <c r="J268" t="s">
        <v>1181</v>
      </c>
    </row>
    <row r="269" spans="1:10" x14ac:dyDescent="0.25">
      <c r="A269" t="s">
        <v>96</v>
      </c>
      <c r="B269" s="26" t="s">
        <v>95</v>
      </c>
      <c r="I269" t="s">
        <v>1182</v>
      </c>
      <c r="J269" t="s">
        <v>1183</v>
      </c>
    </row>
    <row r="270" spans="1:10" x14ac:dyDescent="0.25">
      <c r="A270" t="s">
        <v>600</v>
      </c>
      <c r="B270" s="26" t="s">
        <v>601</v>
      </c>
      <c r="I270" t="s">
        <v>1182</v>
      </c>
      <c r="J270" t="s">
        <v>1184</v>
      </c>
    </row>
    <row r="271" spans="1:10" x14ac:dyDescent="0.25">
      <c r="A271" t="s">
        <v>602</v>
      </c>
      <c r="B271" s="26" t="s">
        <v>603</v>
      </c>
      <c r="I271" t="s">
        <v>1185</v>
      </c>
      <c r="J271" t="s">
        <v>1186</v>
      </c>
    </row>
    <row r="272" spans="1:10" x14ac:dyDescent="0.25">
      <c r="A272" t="s">
        <v>604</v>
      </c>
      <c r="B272" s="26" t="s">
        <v>605</v>
      </c>
      <c r="I272" t="s">
        <v>1187</v>
      </c>
      <c r="J272" t="s">
        <v>1188</v>
      </c>
    </row>
    <row r="273" spans="1:10" x14ac:dyDescent="0.25">
      <c r="A273" t="s">
        <v>606</v>
      </c>
      <c r="B273" s="26" t="s">
        <v>607</v>
      </c>
      <c r="I273" t="s">
        <v>1187</v>
      </c>
      <c r="J273" t="s">
        <v>1189</v>
      </c>
    </row>
    <row r="274" spans="1:10" x14ac:dyDescent="0.25">
      <c r="A274" t="s">
        <v>608</v>
      </c>
      <c r="B274" s="26" t="s">
        <v>609</v>
      </c>
      <c r="I274" t="s">
        <v>1190</v>
      </c>
      <c r="J274" t="s">
        <v>1191</v>
      </c>
    </row>
    <row r="275" spans="1:10" x14ac:dyDescent="0.25">
      <c r="A275" t="s">
        <v>610</v>
      </c>
      <c r="B275" s="26" t="s">
        <v>611</v>
      </c>
      <c r="I275" t="s">
        <v>1192</v>
      </c>
      <c r="J275" t="s">
        <v>1193</v>
      </c>
    </row>
    <row r="276" spans="1:10" x14ac:dyDescent="0.25">
      <c r="A276" t="s">
        <v>612</v>
      </c>
      <c r="B276" s="26" t="s">
        <v>613</v>
      </c>
      <c r="I276" t="s">
        <v>1194</v>
      </c>
      <c r="J276" t="s">
        <v>1195</v>
      </c>
    </row>
    <row r="277" spans="1:10" x14ac:dyDescent="0.25">
      <c r="A277" t="s">
        <v>614</v>
      </c>
      <c r="B277" s="26" t="s">
        <v>615</v>
      </c>
      <c r="I277" t="s">
        <v>1196</v>
      </c>
      <c r="J277" t="s">
        <v>1197</v>
      </c>
    </row>
    <row r="278" spans="1:10" x14ac:dyDescent="0.25">
      <c r="A278" t="s">
        <v>37</v>
      </c>
      <c r="B278" s="26" t="s">
        <v>36</v>
      </c>
      <c r="I278" t="s">
        <v>1198</v>
      </c>
      <c r="J278" t="s">
        <v>1199</v>
      </c>
    </row>
    <row r="279" spans="1:10" x14ac:dyDescent="0.25">
      <c r="A279" t="s">
        <v>45</v>
      </c>
      <c r="B279" s="26" t="s">
        <v>44</v>
      </c>
      <c r="I279" t="s">
        <v>1200</v>
      </c>
      <c r="J279" t="s">
        <v>1201</v>
      </c>
    </row>
    <row r="280" spans="1:10" x14ac:dyDescent="0.25">
      <c r="A280" t="s">
        <v>616</v>
      </c>
      <c r="B280" s="26" t="s">
        <v>617</v>
      </c>
      <c r="I280" t="s">
        <v>1202</v>
      </c>
      <c r="J280" t="s">
        <v>1203</v>
      </c>
    </row>
    <row r="281" spans="1:10" x14ac:dyDescent="0.25">
      <c r="A281" t="s">
        <v>618</v>
      </c>
      <c r="B281" s="26" t="s">
        <v>619</v>
      </c>
      <c r="I281" t="s">
        <v>1204</v>
      </c>
      <c r="J281" t="s">
        <v>1205</v>
      </c>
    </row>
    <row r="282" spans="1:10" x14ac:dyDescent="0.25">
      <c r="A282" t="s">
        <v>620</v>
      </c>
      <c r="B282" s="26" t="s">
        <v>621</v>
      </c>
      <c r="I282" t="s">
        <v>1206</v>
      </c>
      <c r="J282" t="s">
        <v>1207</v>
      </c>
    </row>
    <row r="283" spans="1:10" x14ac:dyDescent="0.25">
      <c r="A283" t="s">
        <v>622</v>
      </c>
      <c r="B283" s="26" t="s">
        <v>623</v>
      </c>
      <c r="I283" t="s">
        <v>1208</v>
      </c>
      <c r="J283" t="s">
        <v>1209</v>
      </c>
    </row>
    <row r="284" spans="1:10" x14ac:dyDescent="0.25">
      <c r="A284" t="s">
        <v>624</v>
      </c>
      <c r="B284" s="26" t="s">
        <v>625</v>
      </c>
      <c r="I284" t="s">
        <v>1208</v>
      </c>
      <c r="J284" t="s">
        <v>1210</v>
      </c>
    </row>
    <row r="285" spans="1:10" x14ac:dyDescent="0.25">
      <c r="A285" t="s">
        <v>626</v>
      </c>
      <c r="B285" s="26" t="s">
        <v>627</v>
      </c>
      <c r="I285" t="s">
        <v>1211</v>
      </c>
      <c r="J285" t="s">
        <v>1212</v>
      </c>
    </row>
    <row r="286" spans="1:10" x14ac:dyDescent="0.25">
      <c r="A286" t="s">
        <v>628</v>
      </c>
      <c r="B286" s="26" t="s">
        <v>629</v>
      </c>
      <c r="I286" t="s">
        <v>1211</v>
      </c>
      <c r="J286" t="s">
        <v>1213</v>
      </c>
    </row>
    <row r="287" spans="1:10" x14ac:dyDescent="0.25">
      <c r="A287" t="s">
        <v>118</v>
      </c>
      <c r="B287" s="26" t="s">
        <v>117</v>
      </c>
      <c r="I287" t="s">
        <v>1214</v>
      </c>
      <c r="J287" t="s">
        <v>1215</v>
      </c>
    </row>
    <row r="288" spans="1:10" x14ac:dyDescent="0.25">
      <c r="A288" t="s">
        <v>630</v>
      </c>
      <c r="B288" s="26" t="s">
        <v>631</v>
      </c>
      <c r="I288" t="s">
        <v>1214</v>
      </c>
      <c r="J288" t="s">
        <v>1216</v>
      </c>
    </row>
    <row r="289" spans="1:10" x14ac:dyDescent="0.25">
      <c r="A289" t="s">
        <v>72</v>
      </c>
      <c r="B289" s="26" t="s">
        <v>71</v>
      </c>
      <c r="I289" t="s">
        <v>1217</v>
      </c>
      <c r="J289" t="s">
        <v>1218</v>
      </c>
    </row>
    <row r="290" spans="1:10" x14ac:dyDescent="0.25">
      <c r="A290" t="s">
        <v>632</v>
      </c>
      <c r="B290" s="26" t="s">
        <v>633</v>
      </c>
      <c r="I290" t="s">
        <v>1217</v>
      </c>
      <c r="J290" t="s">
        <v>1219</v>
      </c>
    </row>
    <row r="291" spans="1:10" x14ac:dyDescent="0.25">
      <c r="A291" t="s">
        <v>634</v>
      </c>
      <c r="B291" s="26" t="s">
        <v>635</v>
      </c>
      <c r="I291" t="s">
        <v>1220</v>
      </c>
      <c r="J291" t="s">
        <v>1221</v>
      </c>
    </row>
    <row r="292" spans="1:10" x14ac:dyDescent="0.25">
      <c r="A292" t="s">
        <v>33</v>
      </c>
      <c r="B292" s="26" t="s">
        <v>32</v>
      </c>
      <c r="I292" t="s">
        <v>1220</v>
      </c>
      <c r="J292" t="s">
        <v>1222</v>
      </c>
    </row>
    <row r="293" spans="1:10" x14ac:dyDescent="0.25">
      <c r="A293" t="s">
        <v>636</v>
      </c>
      <c r="B293" s="26" t="s">
        <v>637</v>
      </c>
      <c r="I293" t="s">
        <v>1223</v>
      </c>
      <c r="J293" t="s">
        <v>1224</v>
      </c>
    </row>
    <row r="294" spans="1:10" x14ac:dyDescent="0.25">
      <c r="A294" t="s">
        <v>31</v>
      </c>
      <c r="B294" s="26" t="s">
        <v>29</v>
      </c>
      <c r="I294" t="s">
        <v>1225</v>
      </c>
      <c r="J294" t="s">
        <v>1226</v>
      </c>
    </row>
    <row r="295" spans="1:10" x14ac:dyDescent="0.25">
      <c r="A295" t="s">
        <v>638</v>
      </c>
      <c r="B295" s="26" t="s">
        <v>639</v>
      </c>
      <c r="I295" t="s">
        <v>1227</v>
      </c>
      <c r="J295" t="s">
        <v>1228</v>
      </c>
    </row>
    <row r="296" spans="1:10" x14ac:dyDescent="0.25">
      <c r="A296" t="s">
        <v>640</v>
      </c>
      <c r="B296" s="26" t="s">
        <v>641</v>
      </c>
      <c r="I296" t="s">
        <v>1227</v>
      </c>
      <c r="J296" t="s">
        <v>1229</v>
      </c>
    </row>
    <row r="297" spans="1:10" x14ac:dyDescent="0.25">
      <c r="A297" t="s">
        <v>88</v>
      </c>
      <c r="B297" s="26" t="s">
        <v>87</v>
      </c>
      <c r="I297" t="s">
        <v>1230</v>
      </c>
      <c r="J297" t="s">
        <v>1231</v>
      </c>
    </row>
    <row r="298" spans="1:10" x14ac:dyDescent="0.25">
      <c r="A298" t="s">
        <v>642</v>
      </c>
      <c r="B298" s="26" t="s">
        <v>643</v>
      </c>
      <c r="I298" t="s">
        <v>1230</v>
      </c>
      <c r="J298" t="s">
        <v>1232</v>
      </c>
    </row>
    <row r="299" spans="1:10" x14ac:dyDescent="0.25">
      <c r="A299" t="s">
        <v>644</v>
      </c>
      <c r="B299" s="26" t="s">
        <v>645</v>
      </c>
      <c r="I299" t="s">
        <v>1233</v>
      </c>
      <c r="J299" t="s">
        <v>1234</v>
      </c>
    </row>
    <row r="300" spans="1:10" x14ac:dyDescent="0.25">
      <c r="A300" t="s">
        <v>646</v>
      </c>
      <c r="B300" s="26" t="s">
        <v>647</v>
      </c>
      <c r="I300" t="s">
        <v>1233</v>
      </c>
      <c r="J300" t="s">
        <v>1235</v>
      </c>
    </row>
    <row r="301" spans="1:10" x14ac:dyDescent="0.25">
      <c r="A301" t="s">
        <v>648</v>
      </c>
      <c r="B301" s="26" t="s">
        <v>649</v>
      </c>
      <c r="I301" t="s">
        <v>1236</v>
      </c>
      <c r="J301" t="s">
        <v>1237</v>
      </c>
    </row>
    <row r="302" spans="1:10" x14ac:dyDescent="0.25">
      <c r="A302" t="s">
        <v>650</v>
      </c>
      <c r="B302" s="26" t="s">
        <v>651</v>
      </c>
      <c r="I302" t="s">
        <v>1236</v>
      </c>
      <c r="J302" t="s">
        <v>1238</v>
      </c>
    </row>
    <row r="303" spans="1:10" x14ac:dyDescent="0.25">
      <c r="A303" t="s">
        <v>652</v>
      </c>
      <c r="B303" s="26" t="s">
        <v>653</v>
      </c>
      <c r="I303" t="s">
        <v>1239</v>
      </c>
      <c r="J303" t="s">
        <v>1240</v>
      </c>
    </row>
    <row r="304" spans="1:10" x14ac:dyDescent="0.25">
      <c r="A304" t="s">
        <v>654</v>
      </c>
      <c r="B304" s="26" t="s">
        <v>655</v>
      </c>
      <c r="I304" t="s">
        <v>1239</v>
      </c>
      <c r="J304" t="s">
        <v>1241</v>
      </c>
    </row>
    <row r="305" spans="1:10" x14ac:dyDescent="0.25">
      <c r="A305" t="s">
        <v>55</v>
      </c>
      <c r="B305" s="26" t="s">
        <v>54</v>
      </c>
      <c r="I305" t="s">
        <v>1242</v>
      </c>
      <c r="J305" t="s">
        <v>1243</v>
      </c>
    </row>
    <row r="306" spans="1:10" x14ac:dyDescent="0.25">
      <c r="A306" t="s">
        <v>656</v>
      </c>
      <c r="B306" s="26" t="s">
        <v>657</v>
      </c>
      <c r="I306" t="s">
        <v>1242</v>
      </c>
      <c r="J306" t="s">
        <v>1244</v>
      </c>
    </row>
    <row r="307" spans="1:10" x14ac:dyDescent="0.25">
      <c r="A307" t="s">
        <v>658</v>
      </c>
      <c r="B307" s="26" t="s">
        <v>659</v>
      </c>
      <c r="I307" t="s">
        <v>1245</v>
      </c>
      <c r="J307" t="s">
        <v>1246</v>
      </c>
    </row>
    <row r="308" spans="1:10" x14ac:dyDescent="0.25">
      <c r="A308" t="s">
        <v>660</v>
      </c>
      <c r="B308" s="26" t="s">
        <v>661</v>
      </c>
      <c r="I308" t="s">
        <v>1245</v>
      </c>
      <c r="J308" t="s">
        <v>1247</v>
      </c>
    </row>
    <row r="309" spans="1:10" x14ac:dyDescent="0.25">
      <c r="A309" t="s">
        <v>662</v>
      </c>
      <c r="B309" s="26" t="s">
        <v>663</v>
      </c>
      <c r="I309" t="s">
        <v>1248</v>
      </c>
      <c r="J309" t="s">
        <v>1249</v>
      </c>
    </row>
    <row r="310" spans="1:10" x14ac:dyDescent="0.25">
      <c r="A310" t="s">
        <v>664</v>
      </c>
      <c r="B310" s="26" t="s">
        <v>665</v>
      </c>
      <c r="I310" t="s">
        <v>1248</v>
      </c>
      <c r="J310" t="s">
        <v>1250</v>
      </c>
    </row>
    <row r="311" spans="1:10" x14ac:dyDescent="0.25">
      <c r="A311" t="s">
        <v>666</v>
      </c>
      <c r="B311" s="26" t="s">
        <v>667</v>
      </c>
      <c r="I311" t="s">
        <v>1251</v>
      </c>
      <c r="J311" t="s">
        <v>1252</v>
      </c>
    </row>
    <row r="312" spans="1:10" x14ac:dyDescent="0.25">
      <c r="A312" t="s">
        <v>668</v>
      </c>
      <c r="B312" s="26" t="s">
        <v>669</v>
      </c>
      <c r="I312" t="s">
        <v>1251</v>
      </c>
      <c r="J312" t="s">
        <v>1253</v>
      </c>
    </row>
    <row r="313" spans="1:10" x14ac:dyDescent="0.25">
      <c r="A313" t="s">
        <v>670</v>
      </c>
      <c r="B313" s="26" t="s">
        <v>671</v>
      </c>
      <c r="I313" t="s">
        <v>1254</v>
      </c>
      <c r="J313" t="s">
        <v>1255</v>
      </c>
    </row>
    <row r="314" spans="1:10" x14ac:dyDescent="0.25">
      <c r="A314" t="s">
        <v>672</v>
      </c>
      <c r="B314" s="26" t="s">
        <v>673</v>
      </c>
      <c r="I314" t="s">
        <v>1254</v>
      </c>
      <c r="J314" t="s">
        <v>1256</v>
      </c>
    </row>
    <row r="315" spans="1:10" x14ac:dyDescent="0.25">
      <c r="A315" t="s">
        <v>674</v>
      </c>
      <c r="B315" s="26" t="s">
        <v>675</v>
      </c>
      <c r="I315" t="s">
        <v>1257</v>
      </c>
      <c r="J315" t="s">
        <v>1258</v>
      </c>
    </row>
    <row r="316" spans="1:10" x14ac:dyDescent="0.25">
      <c r="A316" t="s">
        <v>676</v>
      </c>
      <c r="B316" s="26" t="s">
        <v>677</v>
      </c>
      <c r="I316" t="s">
        <v>1257</v>
      </c>
      <c r="J316" t="s">
        <v>1259</v>
      </c>
    </row>
    <row r="317" spans="1:10" x14ac:dyDescent="0.25">
      <c r="A317" t="s">
        <v>678</v>
      </c>
      <c r="B317" s="26" t="s">
        <v>679</v>
      </c>
      <c r="I317" t="s">
        <v>1260</v>
      </c>
      <c r="J317" t="s">
        <v>1261</v>
      </c>
    </row>
    <row r="318" spans="1:10" x14ac:dyDescent="0.25">
      <c r="A318" t="s">
        <v>680</v>
      </c>
      <c r="B318" s="26" t="s">
        <v>681</v>
      </c>
      <c r="I318" t="s">
        <v>1260</v>
      </c>
      <c r="J318" t="s">
        <v>1262</v>
      </c>
    </row>
    <row r="319" spans="1:10" x14ac:dyDescent="0.25">
      <c r="A319" t="s">
        <v>66</v>
      </c>
      <c r="B319" s="26" t="s">
        <v>65</v>
      </c>
    </row>
    <row r="320" spans="1:10" x14ac:dyDescent="0.25">
      <c r="A320" t="s">
        <v>682</v>
      </c>
      <c r="B320" s="26" t="s">
        <v>683</v>
      </c>
    </row>
    <row r="321" spans="1:2" x14ac:dyDescent="0.25">
      <c r="A321" t="s">
        <v>684</v>
      </c>
      <c r="B321" s="26" t="s">
        <v>685</v>
      </c>
    </row>
    <row r="322" spans="1:2" x14ac:dyDescent="0.25">
      <c r="A322" t="s">
        <v>30</v>
      </c>
      <c r="B322" s="26" t="s">
        <v>108</v>
      </c>
    </row>
    <row r="323" spans="1:2" x14ac:dyDescent="0.25">
      <c r="A323" t="s">
        <v>23</v>
      </c>
      <c r="B323" s="26" t="s">
        <v>41</v>
      </c>
    </row>
    <row r="324" spans="1:2" x14ac:dyDescent="0.25">
      <c r="A324" t="s">
        <v>35</v>
      </c>
      <c r="B324" s="26" t="s">
        <v>34</v>
      </c>
    </row>
    <row r="325" spans="1:2" x14ac:dyDescent="0.25">
      <c r="A325" t="s">
        <v>686</v>
      </c>
      <c r="B325" s="26" t="s">
        <v>687</v>
      </c>
    </row>
    <row r="326" spans="1:2" x14ac:dyDescent="0.25">
      <c r="A326" t="s">
        <v>688</v>
      </c>
      <c r="B326" s="26" t="s">
        <v>689</v>
      </c>
    </row>
    <row r="327" spans="1:2" x14ac:dyDescent="0.25">
      <c r="A327" t="s">
        <v>690</v>
      </c>
      <c r="B327" s="26" t="s">
        <v>691</v>
      </c>
    </row>
    <row r="328" spans="1:2" x14ac:dyDescent="0.25">
      <c r="A328" t="s">
        <v>692</v>
      </c>
      <c r="B328" s="26" t="s">
        <v>693</v>
      </c>
    </row>
    <row r="329" spans="1:2" x14ac:dyDescent="0.25">
      <c r="A329" t="s">
        <v>694</v>
      </c>
      <c r="B329" s="26" t="s">
        <v>695</v>
      </c>
    </row>
    <row r="330" spans="1:2" x14ac:dyDescent="0.25">
      <c r="A330" t="s">
        <v>696</v>
      </c>
      <c r="B330" s="26" t="s">
        <v>697</v>
      </c>
    </row>
    <row r="331" spans="1:2" x14ac:dyDescent="0.25">
      <c r="A331" t="s">
        <v>698</v>
      </c>
      <c r="B331" s="26" t="s">
        <v>699</v>
      </c>
    </row>
    <row r="332" spans="1:2" x14ac:dyDescent="0.25">
      <c r="A332" t="s">
        <v>121</v>
      </c>
      <c r="B332" s="26" t="s">
        <v>28</v>
      </c>
    </row>
    <row r="333" spans="1:2" x14ac:dyDescent="0.25">
      <c r="A333" t="s">
        <v>700</v>
      </c>
      <c r="B333" s="26" t="s">
        <v>701</v>
      </c>
    </row>
    <row r="334" spans="1:2" x14ac:dyDescent="0.25">
      <c r="A334" t="s">
        <v>702</v>
      </c>
      <c r="B334" s="26" t="s">
        <v>703</v>
      </c>
    </row>
    <row r="335" spans="1:2" x14ac:dyDescent="0.25">
      <c r="A335" t="s">
        <v>704</v>
      </c>
      <c r="B335" s="26" t="s">
        <v>705</v>
      </c>
    </row>
    <row r="336" spans="1:2" x14ac:dyDescent="0.25">
      <c r="A336" t="s">
        <v>100</v>
      </c>
      <c r="B336" s="26" t="s">
        <v>99</v>
      </c>
    </row>
    <row r="337" spans="1:2" x14ac:dyDescent="0.25">
      <c r="A337" t="s">
        <v>706</v>
      </c>
      <c r="B337" s="26" t="s">
        <v>707</v>
      </c>
    </row>
    <row r="338" spans="1:2" x14ac:dyDescent="0.25">
      <c r="A338" t="s">
        <v>708</v>
      </c>
      <c r="B338" s="26" t="s">
        <v>709</v>
      </c>
    </row>
    <row r="339" spans="1:2" x14ac:dyDescent="0.25">
      <c r="A339" t="s">
        <v>49</v>
      </c>
      <c r="B339" s="26" t="s">
        <v>48</v>
      </c>
    </row>
    <row r="340" spans="1:2" x14ac:dyDescent="0.25">
      <c r="A340" t="s">
        <v>710</v>
      </c>
      <c r="B340" s="26" t="s">
        <v>711</v>
      </c>
    </row>
    <row r="341" spans="1:2" x14ac:dyDescent="0.25">
      <c r="A341" t="s">
        <v>712</v>
      </c>
      <c r="B341" s="26" t="s">
        <v>713</v>
      </c>
    </row>
    <row r="342" spans="1:2" x14ac:dyDescent="0.25">
      <c r="A342" t="s">
        <v>714</v>
      </c>
      <c r="B342" s="26" t="s">
        <v>715</v>
      </c>
    </row>
    <row r="343" spans="1:2" x14ac:dyDescent="0.25">
      <c r="A343" t="s">
        <v>716</v>
      </c>
      <c r="B343" s="26" t="s">
        <v>717</v>
      </c>
    </row>
    <row r="344" spans="1:2" x14ac:dyDescent="0.25">
      <c r="A344" t="s">
        <v>718</v>
      </c>
      <c r="B344" s="26" t="s">
        <v>719</v>
      </c>
    </row>
    <row r="345" spans="1:2" x14ac:dyDescent="0.25">
      <c r="A345" t="s">
        <v>720</v>
      </c>
      <c r="B345" s="26" t="s">
        <v>721</v>
      </c>
    </row>
    <row r="346" spans="1:2" x14ac:dyDescent="0.25">
      <c r="A346" t="s">
        <v>722</v>
      </c>
      <c r="B346" s="26" t="s">
        <v>723</v>
      </c>
    </row>
    <row r="347" spans="1:2" x14ac:dyDescent="0.25">
      <c r="A347" t="s">
        <v>92</v>
      </c>
      <c r="B347" s="26" t="s">
        <v>91</v>
      </c>
    </row>
    <row r="348" spans="1:2" x14ac:dyDescent="0.25">
      <c r="A348" t="s">
        <v>724</v>
      </c>
      <c r="B348" s="26" t="s">
        <v>725</v>
      </c>
    </row>
    <row r="349" spans="1:2" x14ac:dyDescent="0.25">
      <c r="A349" t="s">
        <v>74</v>
      </c>
      <c r="B349" s="26" t="s">
        <v>73</v>
      </c>
    </row>
    <row r="350" spans="1:2" x14ac:dyDescent="0.25">
      <c r="A350" t="s">
        <v>726</v>
      </c>
      <c r="B350" s="26" t="s">
        <v>727</v>
      </c>
    </row>
    <row r="351" spans="1:2" x14ac:dyDescent="0.25">
      <c r="A351" t="s">
        <v>728</v>
      </c>
      <c r="B351" s="26" t="s">
        <v>729</v>
      </c>
    </row>
    <row r="352" spans="1:2" x14ac:dyDescent="0.25">
      <c r="A352" t="s">
        <v>730</v>
      </c>
      <c r="B352" s="26" t="s">
        <v>731</v>
      </c>
    </row>
    <row r="353" spans="1:2" x14ac:dyDescent="0.25">
      <c r="A353" t="s">
        <v>732</v>
      </c>
      <c r="B353" s="26" t="s">
        <v>733</v>
      </c>
    </row>
    <row r="354" spans="1:2" x14ac:dyDescent="0.25">
      <c r="A354" t="s">
        <v>734</v>
      </c>
      <c r="B354" s="26" t="s">
        <v>735</v>
      </c>
    </row>
    <row r="355" spans="1:2" x14ac:dyDescent="0.25">
      <c r="A355" t="s">
        <v>736</v>
      </c>
      <c r="B355" s="26" t="s">
        <v>737</v>
      </c>
    </row>
    <row r="356" spans="1:2" x14ac:dyDescent="0.25">
      <c r="A356" t="s">
        <v>738</v>
      </c>
      <c r="B356" s="26" t="s">
        <v>739</v>
      </c>
    </row>
    <row r="357" spans="1:2" x14ac:dyDescent="0.25">
      <c r="A357" t="s">
        <v>740</v>
      </c>
      <c r="B357" s="26" t="s">
        <v>741</v>
      </c>
    </row>
    <row r="358" spans="1:2" x14ac:dyDescent="0.25">
      <c r="A358" t="s">
        <v>742</v>
      </c>
      <c r="B358" s="26" t="s">
        <v>743</v>
      </c>
    </row>
    <row r="359" spans="1:2" x14ac:dyDescent="0.25">
      <c r="A359" t="s">
        <v>744</v>
      </c>
      <c r="B359" s="26" t="s">
        <v>745</v>
      </c>
    </row>
    <row r="360" spans="1:2" x14ac:dyDescent="0.25">
      <c r="A360" t="s">
        <v>63</v>
      </c>
      <c r="B360" s="26" t="s">
        <v>62</v>
      </c>
    </row>
    <row r="361" spans="1:2" x14ac:dyDescent="0.25">
      <c r="A361" t="s">
        <v>746</v>
      </c>
      <c r="B361" s="26" t="s">
        <v>747</v>
      </c>
    </row>
    <row r="362" spans="1:2" x14ac:dyDescent="0.25">
      <c r="A362" t="s">
        <v>748</v>
      </c>
      <c r="B362" s="26" t="s">
        <v>749</v>
      </c>
    </row>
    <row r="363" spans="1:2" x14ac:dyDescent="0.25">
      <c r="A363" t="s">
        <v>750</v>
      </c>
      <c r="B363" s="26" t="s">
        <v>751</v>
      </c>
    </row>
    <row r="364" spans="1:2" x14ac:dyDescent="0.25">
      <c r="A364" t="s">
        <v>51</v>
      </c>
      <c r="B364" s="26" t="s">
        <v>50</v>
      </c>
    </row>
    <row r="365" spans="1:2" x14ac:dyDescent="0.25">
      <c r="A365" t="s">
        <v>752</v>
      </c>
      <c r="B365" s="26" t="s">
        <v>753</v>
      </c>
    </row>
    <row r="366" spans="1:2" x14ac:dyDescent="0.25">
      <c r="A366" t="s">
        <v>754</v>
      </c>
      <c r="B366" s="26" t="s">
        <v>755</v>
      </c>
    </row>
    <row r="367" spans="1:2" x14ac:dyDescent="0.25">
      <c r="A367" t="s">
        <v>756</v>
      </c>
      <c r="B367" s="26" t="s">
        <v>757</v>
      </c>
    </row>
    <row r="368" spans="1:2" x14ac:dyDescent="0.25">
      <c r="A368" t="s">
        <v>758</v>
      </c>
      <c r="B368" s="26" t="s">
        <v>759</v>
      </c>
    </row>
    <row r="369" spans="1:2" x14ac:dyDescent="0.25">
      <c r="A369" t="s">
        <v>760</v>
      </c>
      <c r="B369" s="26" t="s">
        <v>761</v>
      </c>
    </row>
    <row r="370" spans="1:2" x14ac:dyDescent="0.25">
      <c r="A370" t="s">
        <v>762</v>
      </c>
      <c r="B370" s="26" t="s">
        <v>763</v>
      </c>
    </row>
    <row r="371" spans="1:2" x14ac:dyDescent="0.25">
      <c r="A371" t="s">
        <v>764</v>
      </c>
      <c r="B371" s="26" t="s">
        <v>765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8" sqref="B8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AD71C2-CBCE-4865-8528-1AFACE54DE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SAPROV (2)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hanley borge</dc:creator>
  <cp:lastModifiedBy>Genesis Rosendo</cp:lastModifiedBy>
  <dcterms:created xsi:type="dcterms:W3CDTF">2025-12-13T13:57:11Z</dcterms:created>
  <dcterms:modified xsi:type="dcterms:W3CDTF">2026-02-19T14:50:51Z</dcterms:modified>
</cp:coreProperties>
</file>