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Codigos\C#\ImportadorCompSA\Archivos\"/>
    </mc:Choice>
  </mc:AlternateContent>
  <xr:revisionPtr revIDLastSave="0" documentId="13_ncr:1_{01F62DFF-2988-47CF-B4F3-DE5ACD455B33}" xr6:coauthVersionLast="36" xr6:coauthVersionMax="47" xr10:uidLastSave="{00000000-0000-0000-0000-000000000000}"/>
  <bookViews>
    <workbookView xWindow="-105" yWindow="-105" windowWidth="23250" windowHeight="12450" xr2:uid="{BE258300-FB73-4356-8F11-BA1797E54D88}"/>
  </bookViews>
  <sheets>
    <sheet name="Hoja1" sheetId="1" r:id="rId1"/>
    <sheet name="SAPROV (2)" sheetId="4" r:id="rId2"/>
    <sheet name="Hoja2" sheetId="2" r:id="rId3"/>
  </sheets>
  <externalReferences>
    <externalReference r:id="rId4"/>
    <externalReference r:id="rId5"/>
    <externalReference r:id="rId6"/>
  </externalReferences>
  <definedNames>
    <definedName name="DatosExternos_1" localSheetId="1" hidden="1">'SAPROV (2)'!$A$1:$B$76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P8705" i="1"/>
  <c r="Q8705" i="1" s="1"/>
  <c r="P8704" i="1"/>
  <c r="Q8704" i="1" s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W7535" i="1"/>
  <c r="V7535" i="1"/>
  <c r="Q7535" i="1"/>
  <c r="W7534" i="1"/>
  <c r="V7534" i="1"/>
  <c r="Q7534" i="1"/>
  <c r="W7533" i="1"/>
  <c r="V7533" i="1"/>
  <c r="Q7533" i="1"/>
  <c r="W7532" i="1"/>
  <c r="V7532" i="1"/>
  <c r="Q7532" i="1"/>
  <c r="W7531" i="1"/>
  <c r="V7531" i="1"/>
  <c r="Q7531" i="1"/>
  <c r="W7530" i="1"/>
  <c r="V7530" i="1"/>
  <c r="Q7530" i="1"/>
  <c r="W7529" i="1"/>
  <c r="V7529" i="1"/>
  <c r="Q7529" i="1"/>
  <c r="W7528" i="1"/>
  <c r="V7528" i="1"/>
  <c r="Q7528" i="1"/>
  <c r="W7527" i="1"/>
  <c r="V7527" i="1"/>
  <c r="Q7527" i="1"/>
  <c r="W7526" i="1"/>
  <c r="V7526" i="1"/>
  <c r="Q7526" i="1"/>
  <c r="W7525" i="1"/>
  <c r="V7525" i="1"/>
  <c r="Q7525" i="1"/>
  <c r="W7524" i="1"/>
  <c r="Q7524" i="1"/>
  <c r="W7523" i="1"/>
  <c r="V7523" i="1"/>
  <c r="Q7523" i="1"/>
  <c r="W7522" i="1"/>
  <c r="Q7522" i="1"/>
  <c r="W7521" i="1"/>
  <c r="V7521" i="1"/>
  <c r="Q7521" i="1"/>
  <c r="W7520" i="1"/>
  <c r="V7520" i="1"/>
  <c r="Q7520" i="1"/>
  <c r="W7519" i="1"/>
  <c r="V7519" i="1"/>
  <c r="Q7519" i="1"/>
  <c r="W7518" i="1"/>
  <c r="V7518" i="1"/>
  <c r="Q7518" i="1"/>
  <c r="W7517" i="1"/>
  <c r="V7517" i="1"/>
  <c r="Q7517" i="1"/>
  <c r="W7516" i="1"/>
  <c r="Q7516" i="1"/>
  <c r="W7515" i="1"/>
  <c r="V7515" i="1"/>
  <c r="Q7515" i="1"/>
  <c r="W7514" i="1"/>
  <c r="V7514" i="1"/>
  <c r="Q7514" i="1"/>
  <c r="W7513" i="1"/>
  <c r="V7513" i="1"/>
  <c r="Q7513" i="1"/>
  <c r="W7512" i="1"/>
  <c r="V7512" i="1"/>
  <c r="Q7512" i="1"/>
  <c r="W7511" i="1"/>
  <c r="V7511" i="1"/>
  <c r="Q7511" i="1"/>
  <c r="W7510" i="1"/>
  <c r="V7510" i="1"/>
  <c r="Q7510" i="1"/>
  <c r="W7509" i="1"/>
  <c r="V7509" i="1"/>
  <c r="Q7509" i="1"/>
  <c r="W7508" i="1"/>
  <c r="V7508" i="1"/>
  <c r="Q7508" i="1"/>
  <c r="W7507" i="1"/>
  <c r="V7507" i="1"/>
  <c r="Q7507" i="1"/>
  <c r="W7506" i="1"/>
  <c r="V7506" i="1"/>
  <c r="Q7506" i="1"/>
  <c r="W7505" i="1"/>
  <c r="V7505" i="1"/>
  <c r="Q7505" i="1"/>
  <c r="W7504" i="1"/>
  <c r="V7504" i="1"/>
  <c r="Q7504" i="1"/>
  <c r="W7503" i="1"/>
  <c r="V7503" i="1"/>
  <c r="Q7503" i="1"/>
  <c r="W7502" i="1"/>
  <c r="V7502" i="1"/>
  <c r="Q7502" i="1"/>
  <c r="W7501" i="1"/>
  <c r="V7501" i="1"/>
  <c r="Q7501" i="1"/>
  <c r="W7500" i="1"/>
  <c r="V7500" i="1"/>
  <c r="Q7500" i="1"/>
  <c r="W7499" i="1"/>
  <c r="V7499" i="1"/>
  <c r="Q7499" i="1"/>
  <c r="W7498" i="1"/>
  <c r="V7498" i="1"/>
  <c r="Q7498" i="1"/>
  <c r="W7497" i="1"/>
  <c r="V7497" i="1"/>
  <c r="Q7497" i="1"/>
  <c r="W7496" i="1"/>
  <c r="V7496" i="1"/>
  <c r="Q7496" i="1"/>
  <c r="W7495" i="1"/>
  <c r="V7495" i="1"/>
  <c r="Q7495" i="1"/>
  <c r="W7494" i="1"/>
  <c r="V7494" i="1"/>
  <c r="Q7494" i="1"/>
  <c r="W7493" i="1"/>
  <c r="V7493" i="1"/>
  <c r="Q7493" i="1"/>
  <c r="W7492" i="1"/>
  <c r="V7492" i="1"/>
  <c r="Q7492" i="1"/>
  <c r="W7491" i="1"/>
  <c r="V7491" i="1"/>
  <c r="Q7491" i="1"/>
  <c r="W7490" i="1"/>
  <c r="V7490" i="1"/>
  <c r="Q7490" i="1"/>
  <c r="W7489" i="1"/>
  <c r="V7489" i="1"/>
  <c r="Q7489" i="1"/>
  <c r="W7488" i="1"/>
  <c r="Q7488" i="1"/>
  <c r="W7487" i="1"/>
  <c r="V7487" i="1"/>
  <c r="Q7487" i="1"/>
  <c r="W7486" i="1"/>
  <c r="Q7486" i="1"/>
  <c r="W7485" i="1"/>
  <c r="V7485" i="1"/>
  <c r="Q7485" i="1"/>
  <c r="W7484" i="1"/>
  <c r="V7484" i="1"/>
  <c r="Q7484" i="1"/>
  <c r="W7483" i="1"/>
  <c r="V7483" i="1"/>
  <c r="Q7483" i="1"/>
  <c r="W7482" i="1"/>
  <c r="V7482" i="1"/>
  <c r="Q7482" i="1"/>
  <c r="W7481" i="1"/>
  <c r="Q7481" i="1"/>
  <c r="W7480" i="1"/>
  <c r="V7480" i="1"/>
  <c r="Q7480" i="1"/>
  <c r="W7479" i="1"/>
  <c r="V7479" i="1"/>
  <c r="Q7479" i="1"/>
  <c r="W7478" i="1"/>
  <c r="V7478" i="1"/>
  <c r="Q7478" i="1"/>
  <c r="W7477" i="1"/>
  <c r="V7477" i="1"/>
  <c r="Q7477" i="1"/>
  <c r="W7476" i="1"/>
  <c r="V7476" i="1"/>
  <c r="Q7476" i="1"/>
  <c r="W7475" i="1"/>
  <c r="V7475" i="1"/>
  <c r="Q7475" i="1"/>
  <c r="W7474" i="1"/>
  <c r="V7474" i="1"/>
  <c r="Q7474" i="1"/>
  <c r="W7473" i="1"/>
  <c r="V7473" i="1"/>
  <c r="Q7473" i="1"/>
  <c r="W7472" i="1"/>
  <c r="V7472" i="1"/>
  <c r="Q7472" i="1"/>
  <c r="W7471" i="1"/>
  <c r="V7471" i="1"/>
  <c r="Q7471" i="1"/>
  <c r="W7470" i="1"/>
  <c r="V7470" i="1"/>
  <c r="Q7470" i="1"/>
  <c r="W7469" i="1"/>
  <c r="V7469" i="1"/>
  <c r="Q7469" i="1"/>
  <c r="W7468" i="1"/>
  <c r="V7468" i="1"/>
  <c r="Q7468" i="1"/>
  <c r="W7467" i="1"/>
  <c r="V7467" i="1"/>
  <c r="Q7467" i="1"/>
  <c r="W7466" i="1"/>
  <c r="V7466" i="1"/>
  <c r="Q7466" i="1"/>
  <c r="W7465" i="1"/>
  <c r="V7465" i="1"/>
  <c r="Q7465" i="1"/>
  <c r="W7464" i="1"/>
  <c r="Q7464" i="1"/>
  <c r="W7463" i="1"/>
  <c r="Q7463" i="1"/>
  <c r="W7462" i="1"/>
  <c r="V7462" i="1"/>
  <c r="Q7462" i="1"/>
  <c r="W7461" i="1"/>
  <c r="V7461" i="1"/>
  <c r="Q7461" i="1"/>
  <c r="W7460" i="1"/>
  <c r="V7460" i="1"/>
  <c r="Q7460" i="1"/>
  <c r="W7459" i="1"/>
  <c r="V7459" i="1"/>
  <c r="Q7459" i="1"/>
  <c r="W7458" i="1"/>
  <c r="V7458" i="1"/>
  <c r="Q7458" i="1"/>
  <c r="W7457" i="1"/>
  <c r="V7457" i="1"/>
  <c r="Q7457" i="1"/>
  <c r="W7456" i="1"/>
  <c r="V7456" i="1"/>
  <c r="Q7456" i="1"/>
  <c r="W7455" i="1"/>
  <c r="V7455" i="1"/>
  <c r="Q7455" i="1"/>
  <c r="W7454" i="1"/>
  <c r="V7454" i="1"/>
  <c r="Q7454" i="1"/>
  <c r="W7453" i="1"/>
  <c r="V7453" i="1"/>
  <c r="Q7453" i="1"/>
  <c r="W7452" i="1"/>
  <c r="V7452" i="1"/>
  <c r="Q7452" i="1"/>
  <c r="W7451" i="1"/>
  <c r="V7451" i="1"/>
  <c r="Q7451" i="1"/>
  <c r="W7450" i="1"/>
  <c r="V7450" i="1"/>
  <c r="Q7450" i="1"/>
  <c r="W7449" i="1"/>
  <c r="Q7449" i="1"/>
  <c r="W7448" i="1"/>
  <c r="V7448" i="1"/>
  <c r="Q7448" i="1"/>
  <c r="W7447" i="1"/>
  <c r="V7447" i="1"/>
  <c r="Q7447" i="1"/>
  <c r="W7446" i="1"/>
  <c r="Q7446" i="1"/>
  <c r="W7445" i="1"/>
  <c r="V7445" i="1"/>
  <c r="Q7445" i="1"/>
  <c r="W7444" i="1"/>
  <c r="V7444" i="1"/>
  <c r="Q7444" i="1"/>
  <c r="W7443" i="1"/>
  <c r="V7443" i="1"/>
  <c r="Q7443" i="1"/>
  <c r="W7442" i="1"/>
  <c r="V7442" i="1"/>
  <c r="Q7442" i="1"/>
  <c r="W7441" i="1"/>
  <c r="Q7441" i="1"/>
  <c r="W7440" i="1"/>
  <c r="V7440" i="1"/>
  <c r="Q7440" i="1"/>
  <c r="W7439" i="1"/>
  <c r="V7439" i="1"/>
  <c r="Q7439" i="1"/>
  <c r="W7438" i="1"/>
  <c r="V7438" i="1"/>
  <c r="Q7438" i="1"/>
  <c r="W7437" i="1"/>
  <c r="V7437" i="1"/>
  <c r="Q7437" i="1"/>
  <c r="W7436" i="1"/>
  <c r="V7436" i="1"/>
  <c r="Q7436" i="1"/>
  <c r="W7435" i="1"/>
  <c r="V7435" i="1"/>
  <c r="Q7435" i="1"/>
  <c r="W7434" i="1"/>
  <c r="V7434" i="1"/>
  <c r="Q7434" i="1"/>
  <c r="W7433" i="1"/>
  <c r="V7433" i="1"/>
  <c r="Q7433" i="1"/>
  <c r="W7432" i="1"/>
  <c r="V7432" i="1"/>
  <c r="Q7432" i="1"/>
  <c r="W7431" i="1"/>
  <c r="V7431" i="1"/>
  <c r="Q7431" i="1"/>
  <c r="W7430" i="1"/>
  <c r="V7430" i="1"/>
  <c r="Q7430" i="1"/>
  <c r="W7429" i="1"/>
  <c r="V7429" i="1"/>
  <c r="Q7429" i="1"/>
  <c r="W7428" i="1"/>
  <c r="V7428" i="1"/>
  <c r="Q7428" i="1"/>
  <c r="W7427" i="1"/>
  <c r="V7427" i="1"/>
  <c r="Q7427" i="1"/>
  <c r="W7426" i="1"/>
  <c r="V7426" i="1"/>
  <c r="Q7426" i="1"/>
  <c r="Q7425" i="1"/>
  <c r="Q7424" i="1"/>
  <c r="Q7423" i="1"/>
  <c r="W7422" i="1"/>
  <c r="V7422" i="1"/>
  <c r="Q7422" i="1"/>
  <c r="W7421" i="1"/>
  <c r="V7421" i="1"/>
  <c r="Q7421" i="1"/>
  <c r="W7420" i="1"/>
  <c r="V7420" i="1"/>
  <c r="Q7420" i="1"/>
  <c r="W7419" i="1"/>
  <c r="V7419" i="1"/>
  <c r="Q7419" i="1"/>
  <c r="W7418" i="1"/>
  <c r="V7418" i="1"/>
  <c r="Q7418" i="1"/>
  <c r="W7417" i="1"/>
  <c r="Q7417" i="1"/>
  <c r="W7416" i="1"/>
  <c r="V7416" i="1"/>
  <c r="Q7416" i="1"/>
  <c r="W7415" i="1"/>
  <c r="V7415" i="1"/>
  <c r="Q7415" i="1"/>
  <c r="W7414" i="1"/>
  <c r="V7414" i="1"/>
  <c r="Q7414" i="1"/>
  <c r="W7413" i="1"/>
  <c r="V7413" i="1"/>
  <c r="Q7413" i="1"/>
  <c r="W7412" i="1"/>
  <c r="V7412" i="1"/>
  <c r="Q7412" i="1"/>
  <c r="W7411" i="1"/>
  <c r="V7411" i="1"/>
  <c r="Q7411" i="1"/>
  <c r="W7410" i="1"/>
  <c r="V7410" i="1"/>
  <c r="Q7410" i="1"/>
  <c r="W7409" i="1"/>
  <c r="V7409" i="1"/>
  <c r="Q7409" i="1"/>
  <c r="W7408" i="1"/>
  <c r="V7408" i="1"/>
  <c r="Q7408" i="1"/>
  <c r="W7407" i="1"/>
  <c r="V7407" i="1"/>
  <c r="Q7407" i="1"/>
  <c r="W7406" i="1"/>
  <c r="V7406" i="1"/>
  <c r="Q7406" i="1"/>
  <c r="W7405" i="1"/>
  <c r="V7405" i="1"/>
  <c r="Q7405" i="1"/>
  <c r="W7404" i="1"/>
  <c r="V7404" i="1"/>
  <c r="Q7404" i="1"/>
  <c r="Q7403" i="1"/>
  <c r="Q7402" i="1"/>
  <c r="Q7401" i="1"/>
  <c r="Q7400" i="1"/>
  <c r="Q7399" i="1"/>
  <c r="Q7398" i="1"/>
  <c r="Q7397" i="1"/>
  <c r="Q7396" i="1"/>
  <c r="Q7395" i="1"/>
  <c r="W7394" i="1"/>
  <c r="V7394" i="1"/>
  <c r="Q7394" i="1"/>
  <c r="W7393" i="1"/>
  <c r="V7393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W7199" i="1"/>
  <c r="V7199" i="1"/>
  <c r="Q7199" i="1"/>
  <c r="W7198" i="1"/>
  <c r="V7198" i="1"/>
  <c r="Q7198" i="1"/>
  <c r="W7197" i="1"/>
  <c r="V7197" i="1"/>
  <c r="Q7197" i="1"/>
  <c r="W7196" i="1"/>
  <c r="V7196" i="1"/>
  <c r="Q7196" i="1"/>
  <c r="W7195" i="1"/>
  <c r="V7195" i="1"/>
  <c r="Q7195" i="1"/>
  <c r="W7194" i="1"/>
  <c r="V7194" i="1"/>
  <c r="Q7194" i="1"/>
  <c r="W7193" i="1"/>
  <c r="V7193" i="1"/>
  <c r="Q7193" i="1"/>
  <c r="W7192" i="1"/>
  <c r="V7192" i="1"/>
  <c r="Q7192" i="1"/>
  <c r="W7191" i="1"/>
  <c r="V7191" i="1"/>
  <c r="Q7191" i="1"/>
  <c r="W7190" i="1"/>
  <c r="V7190" i="1"/>
  <c r="Q7190" i="1"/>
  <c r="W7189" i="1"/>
  <c r="Q7189" i="1"/>
  <c r="W7188" i="1"/>
  <c r="V7188" i="1"/>
  <c r="Q7188" i="1"/>
  <c r="W7187" i="1"/>
  <c r="V7187" i="1"/>
  <c r="Q7187" i="1"/>
  <c r="W7186" i="1"/>
  <c r="Q7186" i="1"/>
  <c r="W7185" i="1"/>
  <c r="V7185" i="1"/>
  <c r="Q7185" i="1"/>
  <c r="W7184" i="1"/>
  <c r="V7184" i="1"/>
  <c r="Q7184" i="1"/>
  <c r="W7183" i="1"/>
  <c r="V7183" i="1"/>
  <c r="Q7183" i="1"/>
  <c r="W7182" i="1"/>
  <c r="Q7182" i="1"/>
  <c r="W7181" i="1"/>
  <c r="V7181" i="1"/>
  <c r="Q7181" i="1"/>
  <c r="W7180" i="1"/>
  <c r="V7180" i="1"/>
  <c r="Q7180" i="1"/>
  <c r="W7179" i="1"/>
  <c r="V7179" i="1"/>
  <c r="Q7179" i="1"/>
  <c r="W7178" i="1"/>
  <c r="V7178" i="1"/>
  <c r="Q7178" i="1"/>
  <c r="W7177" i="1"/>
  <c r="V7177" i="1"/>
  <c r="Q7177" i="1"/>
  <c r="W7176" i="1"/>
  <c r="V7176" i="1"/>
  <c r="Q7176" i="1"/>
  <c r="W7175" i="1"/>
  <c r="V7175" i="1"/>
  <c r="Q7175" i="1"/>
  <c r="W7174" i="1"/>
  <c r="V7174" i="1"/>
  <c r="Q7174" i="1"/>
  <c r="W7173" i="1"/>
  <c r="V7173" i="1"/>
  <c r="Q7173" i="1"/>
  <c r="W7172" i="1"/>
  <c r="V7172" i="1"/>
  <c r="Q7172" i="1"/>
  <c r="W7171" i="1"/>
  <c r="V7171" i="1"/>
  <c r="Q7171" i="1"/>
  <c r="W7170" i="1"/>
  <c r="V7170" i="1"/>
  <c r="Q7170" i="1"/>
  <c r="W7169" i="1"/>
  <c r="V7169" i="1"/>
  <c r="Q7169" i="1"/>
  <c r="W7168" i="1"/>
  <c r="V7168" i="1"/>
  <c r="Q7168" i="1"/>
  <c r="W7167" i="1"/>
  <c r="V7167" i="1"/>
  <c r="Q7167" i="1"/>
  <c r="W7166" i="1"/>
  <c r="V7166" i="1"/>
  <c r="Q7166" i="1"/>
  <c r="W7165" i="1"/>
  <c r="V7165" i="1"/>
  <c r="Q7165" i="1"/>
  <c r="W7164" i="1"/>
  <c r="V7164" i="1"/>
  <c r="Q7164" i="1"/>
  <c r="W7163" i="1"/>
  <c r="V7163" i="1"/>
  <c r="Q7163" i="1"/>
  <c r="W7162" i="1"/>
  <c r="V7162" i="1"/>
  <c r="Q7162" i="1"/>
  <c r="W7161" i="1"/>
  <c r="V7161" i="1"/>
  <c r="Q7161" i="1"/>
  <c r="W7160" i="1"/>
  <c r="V7160" i="1"/>
  <c r="Q7160" i="1"/>
  <c r="W7159" i="1"/>
  <c r="V7159" i="1"/>
  <c r="Q7159" i="1"/>
  <c r="W7158" i="1"/>
  <c r="V7158" i="1"/>
  <c r="Q7158" i="1"/>
  <c r="W7157" i="1"/>
  <c r="V7157" i="1"/>
  <c r="Q7157" i="1"/>
  <c r="W7156" i="1"/>
  <c r="V7156" i="1"/>
  <c r="Q7156" i="1"/>
  <c r="W7155" i="1"/>
  <c r="V7155" i="1"/>
  <c r="Q7155" i="1"/>
  <c r="W7154" i="1"/>
  <c r="Q7154" i="1"/>
  <c r="W7153" i="1"/>
  <c r="V7153" i="1"/>
  <c r="Q7153" i="1"/>
  <c r="W7152" i="1"/>
  <c r="V7152" i="1"/>
  <c r="Q7152" i="1"/>
  <c r="W7151" i="1"/>
  <c r="V7151" i="1"/>
  <c r="Q7151" i="1"/>
  <c r="W7150" i="1"/>
  <c r="Q7150" i="1"/>
  <c r="W7149" i="1"/>
  <c r="V7149" i="1"/>
  <c r="Q7149" i="1"/>
  <c r="W7148" i="1"/>
  <c r="V7148" i="1"/>
  <c r="Q7148" i="1"/>
  <c r="W7147" i="1"/>
  <c r="V7147" i="1"/>
  <c r="Q7147" i="1"/>
  <c r="W7146" i="1"/>
  <c r="Q7146" i="1"/>
  <c r="W7145" i="1"/>
  <c r="V7145" i="1"/>
  <c r="Q7145" i="1"/>
  <c r="W7144" i="1"/>
  <c r="V7144" i="1"/>
  <c r="Q7144" i="1"/>
  <c r="W7143" i="1"/>
  <c r="V7143" i="1"/>
  <c r="Q7143" i="1"/>
  <c r="W7142" i="1"/>
  <c r="V7142" i="1"/>
  <c r="Q7142" i="1"/>
  <c r="W7141" i="1"/>
  <c r="V7141" i="1"/>
  <c r="Q7141" i="1"/>
  <c r="W7140" i="1"/>
  <c r="V7140" i="1"/>
  <c r="Q7140" i="1"/>
  <c r="W7139" i="1"/>
  <c r="V7139" i="1"/>
  <c r="Q7139" i="1"/>
  <c r="W7138" i="1"/>
  <c r="V7138" i="1"/>
  <c r="Q7138" i="1"/>
  <c r="W7137" i="1"/>
  <c r="V7137" i="1"/>
  <c r="Q7137" i="1"/>
  <c r="W7136" i="1"/>
  <c r="V7136" i="1"/>
  <c r="Q7136" i="1"/>
  <c r="W7135" i="1"/>
  <c r="V7135" i="1"/>
  <c r="Q7135" i="1"/>
  <c r="W7134" i="1"/>
  <c r="V7134" i="1"/>
  <c r="Q7134" i="1"/>
  <c r="W7133" i="1"/>
  <c r="V7133" i="1"/>
  <c r="Q7133" i="1"/>
  <c r="W7132" i="1"/>
  <c r="V7132" i="1"/>
  <c r="Q7132" i="1"/>
  <c r="W7131" i="1"/>
  <c r="V7131" i="1"/>
  <c r="Q7131" i="1"/>
  <c r="W7130" i="1"/>
  <c r="V7130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N6533" i="1"/>
  <c r="G6533" i="1"/>
  <c r="Q6532" i="1"/>
  <c r="Q6531" i="1"/>
  <c r="Q6530" i="1"/>
  <c r="Q6529" i="1"/>
  <c r="W6528" i="1"/>
  <c r="V6528" i="1"/>
  <c r="Q6528" i="1"/>
  <c r="W6527" i="1"/>
  <c r="V6527" i="1"/>
  <c r="Q6527" i="1"/>
  <c r="W6526" i="1"/>
  <c r="V6526" i="1"/>
  <c r="Q6526" i="1"/>
  <c r="W6525" i="1"/>
  <c r="V6525" i="1"/>
  <c r="Q6525" i="1"/>
  <c r="W6524" i="1"/>
  <c r="V6524" i="1"/>
  <c r="Q6524" i="1"/>
  <c r="W6523" i="1"/>
  <c r="V6523" i="1"/>
  <c r="Q6523" i="1"/>
  <c r="W6522" i="1"/>
  <c r="V6522" i="1"/>
  <c r="Q6522" i="1"/>
  <c r="W6521" i="1"/>
  <c r="V6521" i="1"/>
  <c r="Q6521" i="1"/>
  <c r="W6520" i="1"/>
  <c r="V6520" i="1"/>
  <c r="Q6520" i="1"/>
  <c r="W6519" i="1"/>
  <c r="V6519" i="1"/>
  <c r="Q6519" i="1"/>
  <c r="W6518" i="1"/>
  <c r="V6518" i="1"/>
  <c r="Q6518" i="1"/>
  <c r="W6517" i="1"/>
  <c r="V6517" i="1"/>
  <c r="Q6517" i="1"/>
  <c r="W6516" i="1"/>
  <c r="V6516" i="1"/>
  <c r="Q6516" i="1"/>
  <c r="W6515" i="1"/>
  <c r="V6515" i="1"/>
  <c r="Q6515" i="1"/>
  <c r="W6514" i="1"/>
  <c r="V6514" i="1"/>
  <c r="Q6514" i="1"/>
  <c r="W6513" i="1"/>
  <c r="V6513" i="1"/>
  <c r="Q6513" i="1"/>
  <c r="W6512" i="1"/>
  <c r="V6512" i="1"/>
  <c r="Q6512" i="1"/>
  <c r="W6511" i="1"/>
  <c r="V6511" i="1"/>
  <c r="Q6511" i="1"/>
  <c r="W6510" i="1"/>
  <c r="V6510" i="1"/>
  <c r="Q6510" i="1"/>
  <c r="W6509" i="1"/>
  <c r="V6509" i="1"/>
  <c r="Q6509" i="1"/>
  <c r="W6508" i="1"/>
  <c r="V6508" i="1"/>
  <c r="Q6508" i="1"/>
  <c r="W6507" i="1"/>
  <c r="V6507" i="1"/>
  <c r="Q6507" i="1"/>
  <c r="W6506" i="1"/>
  <c r="V6506" i="1"/>
  <c r="Q6506" i="1"/>
  <c r="W6505" i="1"/>
  <c r="V6505" i="1"/>
  <c r="Q6505" i="1"/>
  <c r="W6504" i="1"/>
  <c r="V6504" i="1"/>
  <c r="Q6504" i="1"/>
  <c r="W6503" i="1"/>
  <c r="V6503" i="1"/>
  <c r="Q6503" i="1"/>
  <c r="W6502" i="1"/>
  <c r="V6502" i="1"/>
  <c r="Q6502" i="1"/>
  <c r="W6501" i="1"/>
  <c r="V6501" i="1"/>
  <c r="Q6501" i="1"/>
  <c r="W6500" i="1"/>
  <c r="V6500" i="1"/>
  <c r="Q6500" i="1"/>
  <c r="W6499" i="1"/>
  <c r="V6499" i="1"/>
  <c r="Q6499" i="1"/>
  <c r="W6498" i="1"/>
  <c r="V6498" i="1"/>
  <c r="Q6498" i="1"/>
  <c r="W6497" i="1"/>
  <c r="V6497" i="1"/>
  <c r="Q6497" i="1"/>
  <c r="W6496" i="1"/>
  <c r="V6496" i="1"/>
  <c r="Q6496" i="1"/>
  <c r="W6495" i="1"/>
  <c r="V6495" i="1"/>
  <c r="Q6495" i="1"/>
  <c r="W6494" i="1"/>
  <c r="V6494" i="1"/>
  <c r="Q6494" i="1"/>
  <c r="W6493" i="1"/>
  <c r="V6493" i="1"/>
  <c r="Q6493" i="1"/>
  <c r="W6492" i="1"/>
  <c r="V6492" i="1"/>
  <c r="Q6492" i="1"/>
  <c r="W6491" i="1"/>
  <c r="V6491" i="1"/>
  <c r="Q6491" i="1"/>
  <c r="W6490" i="1"/>
  <c r="V6490" i="1"/>
  <c r="Q6490" i="1"/>
  <c r="W6489" i="1"/>
  <c r="V6489" i="1"/>
  <c r="Q6489" i="1"/>
  <c r="W6488" i="1"/>
  <c r="V6488" i="1"/>
  <c r="Q6488" i="1"/>
  <c r="W6487" i="1"/>
  <c r="V6487" i="1"/>
  <c r="Q6487" i="1"/>
  <c r="W6486" i="1"/>
  <c r="V6486" i="1"/>
  <c r="Q6486" i="1"/>
  <c r="W6485" i="1"/>
  <c r="V6485" i="1"/>
  <c r="Q6485" i="1"/>
  <c r="W6484" i="1"/>
  <c r="V6484" i="1"/>
  <c r="Q6484" i="1"/>
  <c r="W6483" i="1"/>
  <c r="V6483" i="1"/>
  <c r="Q6483" i="1"/>
  <c r="W6482" i="1"/>
  <c r="V6482" i="1"/>
  <c r="Q6482" i="1"/>
  <c r="W6481" i="1"/>
  <c r="V6481" i="1"/>
  <c r="Q6481" i="1"/>
  <c r="W6480" i="1"/>
  <c r="V6480" i="1"/>
  <c r="Q6480" i="1"/>
  <c r="W6479" i="1"/>
  <c r="V6479" i="1"/>
  <c r="Q6479" i="1"/>
  <c r="W6478" i="1"/>
  <c r="V6478" i="1"/>
  <c r="Q6478" i="1"/>
  <c r="W6477" i="1"/>
  <c r="V6477" i="1"/>
  <c r="Q6477" i="1"/>
  <c r="W6476" i="1"/>
  <c r="V6476" i="1"/>
  <c r="Q6476" i="1"/>
  <c r="W6475" i="1"/>
  <c r="V6475" i="1"/>
  <c r="Q6475" i="1"/>
  <c r="W6474" i="1"/>
  <c r="V6474" i="1"/>
  <c r="Q6474" i="1"/>
  <c r="W6473" i="1"/>
  <c r="V6473" i="1"/>
  <c r="Q6473" i="1"/>
  <c r="W6472" i="1"/>
  <c r="V6472" i="1"/>
  <c r="Q6472" i="1"/>
  <c r="W6471" i="1"/>
  <c r="V6471" i="1"/>
  <c r="Q6471" i="1"/>
  <c r="W6470" i="1"/>
  <c r="V6470" i="1"/>
  <c r="Q6470" i="1"/>
  <c r="W6469" i="1"/>
  <c r="V6469" i="1"/>
  <c r="Q6469" i="1"/>
  <c r="W6468" i="1"/>
  <c r="V6468" i="1"/>
  <c r="Q6468" i="1"/>
  <c r="W6467" i="1"/>
  <c r="V6467" i="1"/>
  <c r="Q6467" i="1"/>
  <c r="W6466" i="1"/>
  <c r="V6466" i="1"/>
  <c r="Q6466" i="1"/>
  <c r="W6465" i="1"/>
  <c r="V6465" i="1"/>
  <c r="Q6465" i="1"/>
  <c r="W6464" i="1"/>
  <c r="V6464" i="1"/>
  <c r="Q6464" i="1"/>
  <c r="W6463" i="1"/>
  <c r="V6463" i="1"/>
  <c r="Q6463" i="1"/>
  <c r="W6462" i="1"/>
  <c r="V6462" i="1"/>
  <c r="Q6462" i="1"/>
  <c r="W6461" i="1"/>
  <c r="V6461" i="1"/>
  <c r="Q6461" i="1"/>
  <c r="W6460" i="1"/>
  <c r="V6460" i="1"/>
  <c r="Q6460" i="1"/>
  <c r="W6459" i="1"/>
  <c r="V6459" i="1"/>
  <c r="Q6459" i="1"/>
  <c r="W6458" i="1"/>
  <c r="V6458" i="1"/>
  <c r="Q6458" i="1"/>
  <c r="W6457" i="1"/>
  <c r="V6457" i="1"/>
  <c r="Q6457" i="1"/>
  <c r="W6456" i="1"/>
  <c r="V6456" i="1"/>
  <c r="Q6456" i="1"/>
  <c r="W6455" i="1"/>
  <c r="V6455" i="1"/>
  <c r="Q6455" i="1"/>
  <c r="W6454" i="1"/>
  <c r="V6454" i="1"/>
  <c r="Q6454" i="1"/>
  <c r="W6453" i="1"/>
  <c r="V6453" i="1"/>
  <c r="Q6453" i="1"/>
  <c r="W6452" i="1"/>
  <c r="V6452" i="1"/>
  <c r="Q6452" i="1"/>
  <c r="W6451" i="1"/>
  <c r="V6451" i="1"/>
  <c r="Q6451" i="1"/>
  <c r="W6450" i="1"/>
  <c r="V6450" i="1"/>
  <c r="Q6450" i="1"/>
  <c r="W6449" i="1"/>
  <c r="V6449" i="1"/>
  <c r="Q6449" i="1"/>
  <c r="W6448" i="1"/>
  <c r="V6448" i="1"/>
  <c r="Q6448" i="1"/>
  <c r="W6447" i="1"/>
  <c r="V6447" i="1"/>
  <c r="Q6447" i="1"/>
  <c r="W6446" i="1"/>
  <c r="V6446" i="1"/>
  <c r="Q6446" i="1"/>
  <c r="W6445" i="1"/>
  <c r="V6445" i="1"/>
  <c r="Q6445" i="1"/>
  <c r="W6444" i="1"/>
  <c r="V6444" i="1"/>
  <c r="Q6444" i="1"/>
  <c r="W6443" i="1"/>
  <c r="V6443" i="1"/>
  <c r="Q6443" i="1"/>
  <c r="W6442" i="1"/>
  <c r="V6442" i="1"/>
  <c r="Q6442" i="1"/>
  <c r="W6441" i="1"/>
  <c r="V6441" i="1"/>
  <c r="Q6441" i="1"/>
  <c r="W6440" i="1"/>
  <c r="V6440" i="1"/>
  <c r="Q6440" i="1"/>
  <c r="W6439" i="1"/>
  <c r="V6439" i="1"/>
  <c r="Q6439" i="1"/>
  <c r="W6438" i="1"/>
  <c r="V6438" i="1"/>
  <c r="Q6438" i="1"/>
  <c r="W6437" i="1"/>
  <c r="V6437" i="1"/>
  <c r="Q6437" i="1"/>
  <c r="W6436" i="1"/>
  <c r="V6436" i="1"/>
  <c r="Q6436" i="1"/>
  <c r="W6435" i="1"/>
  <c r="V6435" i="1"/>
  <c r="Q6435" i="1"/>
  <c r="W6434" i="1"/>
  <c r="V6434" i="1"/>
  <c r="Q6434" i="1"/>
  <c r="W6433" i="1"/>
  <c r="V6433" i="1"/>
  <c r="Q6433" i="1"/>
  <c r="W6432" i="1"/>
  <c r="V6432" i="1"/>
  <c r="Q6432" i="1"/>
  <c r="W6431" i="1"/>
  <c r="V6431" i="1"/>
  <c r="Q6431" i="1"/>
  <c r="W6430" i="1"/>
  <c r="V6430" i="1"/>
  <c r="Q6430" i="1"/>
  <c r="W6429" i="1"/>
  <c r="V6429" i="1"/>
  <c r="Q6429" i="1"/>
  <c r="W6428" i="1"/>
  <c r="V6428" i="1"/>
  <c r="Q6428" i="1"/>
  <c r="W6427" i="1"/>
  <c r="V6427" i="1"/>
  <c r="Q6427" i="1"/>
  <c r="W6426" i="1"/>
  <c r="V6426" i="1"/>
  <c r="Q6426" i="1"/>
  <c r="W6425" i="1"/>
  <c r="V6425" i="1"/>
  <c r="Q6425" i="1"/>
  <c r="W6424" i="1"/>
  <c r="V6424" i="1"/>
  <c r="Q6424" i="1"/>
  <c r="W6423" i="1"/>
  <c r="V6423" i="1"/>
  <c r="Q6423" i="1"/>
  <c r="W6422" i="1"/>
  <c r="V6422" i="1"/>
  <c r="Q6422" i="1"/>
  <c r="W6421" i="1"/>
  <c r="V6421" i="1"/>
  <c r="Q6421" i="1"/>
  <c r="W6420" i="1"/>
  <c r="V6420" i="1"/>
  <c r="Q6420" i="1"/>
  <c r="W6419" i="1"/>
  <c r="V6419" i="1"/>
  <c r="Q6419" i="1"/>
  <c r="W6418" i="1"/>
  <c r="V6418" i="1"/>
  <c r="Q6418" i="1"/>
  <c r="W6417" i="1"/>
  <c r="V6417" i="1"/>
  <c r="Q6417" i="1"/>
  <c r="W6416" i="1"/>
  <c r="V6416" i="1"/>
  <c r="Q6416" i="1"/>
  <c r="W6415" i="1"/>
  <c r="V6415" i="1"/>
  <c r="Q6415" i="1"/>
  <c r="W6414" i="1"/>
  <c r="V6414" i="1"/>
  <c r="Q6414" i="1"/>
  <c r="W6413" i="1"/>
  <c r="V6413" i="1"/>
  <c r="Q6413" i="1"/>
  <c r="W6412" i="1"/>
  <c r="V6412" i="1"/>
  <c r="Q6412" i="1"/>
  <c r="W6411" i="1"/>
  <c r="V6411" i="1"/>
  <c r="Q6411" i="1"/>
  <c r="W6410" i="1"/>
  <c r="V6410" i="1"/>
  <c r="Q6410" i="1"/>
  <c r="W6409" i="1"/>
  <c r="V6409" i="1"/>
  <c r="Q6409" i="1"/>
  <c r="W6408" i="1"/>
  <c r="V6408" i="1"/>
  <c r="Q6408" i="1"/>
  <c r="W6407" i="1"/>
  <c r="V6407" i="1"/>
  <c r="Q6407" i="1"/>
  <c r="W6406" i="1"/>
  <c r="V6406" i="1"/>
  <c r="Q6406" i="1"/>
  <c r="W6405" i="1"/>
  <c r="V6405" i="1"/>
  <c r="Q6405" i="1"/>
  <c r="W6404" i="1"/>
  <c r="V6404" i="1"/>
  <c r="Q6404" i="1"/>
  <c r="W6403" i="1"/>
  <c r="V6403" i="1"/>
  <c r="Q6403" i="1"/>
  <c r="W6402" i="1"/>
  <c r="V6402" i="1"/>
  <c r="Q6402" i="1"/>
  <c r="W6401" i="1"/>
  <c r="V6401" i="1"/>
  <c r="Q6401" i="1"/>
  <c r="W6400" i="1"/>
  <c r="V6400" i="1"/>
  <c r="Q6400" i="1"/>
  <c r="Q6399" i="1"/>
  <c r="Q6398" i="1"/>
  <c r="Q6397" i="1"/>
  <c r="N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N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W6186" i="1"/>
  <c r="V6186" i="1"/>
  <c r="Q6186" i="1"/>
  <c r="W6185" i="1"/>
  <c r="V6185" i="1"/>
  <c r="Q6185" i="1"/>
  <c r="Q6184" i="1"/>
  <c r="Q6183" i="1"/>
  <c r="W6182" i="1"/>
  <c r="V6182" i="1"/>
  <c r="Q6182" i="1"/>
  <c r="W6181" i="1"/>
  <c r="V6181" i="1"/>
  <c r="Q6181" i="1"/>
  <c r="W6180" i="1"/>
  <c r="V6180" i="1"/>
  <c r="Q6180" i="1"/>
  <c r="W6179" i="1"/>
  <c r="V6179" i="1"/>
  <c r="Q6179" i="1"/>
  <c r="W6178" i="1"/>
  <c r="V6178" i="1"/>
  <c r="Q6178" i="1"/>
  <c r="W6177" i="1"/>
  <c r="V6177" i="1"/>
  <c r="Q6177" i="1"/>
  <c r="W6176" i="1"/>
  <c r="V6176" i="1"/>
  <c r="Q6176" i="1"/>
  <c r="W6175" i="1"/>
  <c r="V6175" i="1"/>
  <c r="Q6175" i="1"/>
  <c r="W6174" i="1"/>
  <c r="V6174" i="1"/>
  <c r="Q6174" i="1"/>
  <c r="W6173" i="1"/>
  <c r="V6173" i="1"/>
  <c r="Q6173" i="1"/>
  <c r="W6172" i="1"/>
  <c r="V6172" i="1"/>
  <c r="Q6172" i="1"/>
  <c r="W6171" i="1"/>
  <c r="V6171" i="1"/>
  <c r="Q6171" i="1"/>
  <c r="W6170" i="1"/>
  <c r="V6170" i="1"/>
  <c r="Q6170" i="1"/>
  <c r="W6169" i="1"/>
  <c r="V6169" i="1"/>
  <c r="Q6169" i="1"/>
  <c r="W6168" i="1"/>
  <c r="V6168" i="1"/>
  <c r="Q6168" i="1"/>
  <c r="W6167" i="1"/>
  <c r="V6167" i="1"/>
  <c r="Q6167" i="1"/>
  <c r="W6166" i="1"/>
  <c r="V6166" i="1"/>
  <c r="Q6166" i="1"/>
  <c r="W6165" i="1"/>
  <c r="V6165" i="1"/>
  <c r="Q6165" i="1"/>
  <c r="W6164" i="1"/>
  <c r="V6164" i="1"/>
  <c r="Q6164" i="1"/>
  <c r="W6163" i="1"/>
  <c r="V6163" i="1"/>
  <c r="Q6163" i="1"/>
  <c r="W6162" i="1"/>
  <c r="V6162" i="1"/>
  <c r="Q6162" i="1"/>
  <c r="W6161" i="1"/>
  <c r="V6161" i="1"/>
  <c r="Q6161" i="1"/>
  <c r="W6160" i="1"/>
  <c r="V6160" i="1"/>
  <c r="Q6160" i="1"/>
  <c r="W6159" i="1"/>
  <c r="V6159" i="1"/>
  <c r="Q6159" i="1"/>
  <c r="W6158" i="1"/>
  <c r="V6158" i="1"/>
  <c r="Q6158" i="1"/>
  <c r="W6157" i="1"/>
  <c r="V6157" i="1"/>
  <c r="Q6157" i="1"/>
  <c r="W6156" i="1"/>
  <c r="V6156" i="1"/>
  <c r="Q6156" i="1"/>
  <c r="W6155" i="1"/>
  <c r="V6155" i="1"/>
  <c r="Q6155" i="1"/>
  <c r="W6154" i="1"/>
  <c r="V6154" i="1"/>
  <c r="Q6154" i="1"/>
  <c r="W6153" i="1"/>
  <c r="V6153" i="1"/>
  <c r="Q6153" i="1"/>
  <c r="W6152" i="1"/>
  <c r="V6152" i="1"/>
  <c r="Q6152" i="1"/>
  <c r="W6151" i="1"/>
  <c r="V6151" i="1"/>
  <c r="Q6151" i="1"/>
  <c r="W6150" i="1"/>
  <c r="V6150" i="1"/>
  <c r="Q6150" i="1"/>
  <c r="W6149" i="1"/>
  <c r="V6149" i="1"/>
  <c r="Q6149" i="1"/>
  <c r="W6148" i="1"/>
  <c r="V6148" i="1"/>
  <c r="Q6148" i="1"/>
  <c r="W6147" i="1"/>
  <c r="V6147" i="1"/>
  <c r="Q6147" i="1"/>
  <c r="W6146" i="1"/>
  <c r="V6146" i="1"/>
  <c r="Q6146" i="1"/>
  <c r="W6145" i="1"/>
  <c r="V6145" i="1"/>
  <c r="Q6145" i="1"/>
  <c r="W6144" i="1"/>
  <c r="V6144" i="1"/>
  <c r="Q6144" i="1"/>
  <c r="W6143" i="1"/>
  <c r="V6143" i="1"/>
  <c r="Q6143" i="1"/>
  <c r="W6142" i="1"/>
  <c r="V6142" i="1"/>
  <c r="Q6142" i="1"/>
  <c r="W6141" i="1"/>
  <c r="V6141" i="1"/>
  <c r="Q6141" i="1"/>
  <c r="W6140" i="1"/>
  <c r="V6140" i="1"/>
  <c r="Q6140" i="1"/>
  <c r="W6139" i="1"/>
  <c r="V6139" i="1"/>
  <c r="Q6139" i="1"/>
  <c r="W6138" i="1"/>
  <c r="V6138" i="1"/>
  <c r="Q6138" i="1"/>
  <c r="W6137" i="1"/>
  <c r="V6137" i="1"/>
  <c r="Q6137" i="1"/>
  <c r="W6136" i="1"/>
  <c r="V6136" i="1"/>
  <c r="Q6136" i="1"/>
  <c r="W6135" i="1"/>
  <c r="V6135" i="1"/>
  <c r="Q6135" i="1"/>
  <c r="W6134" i="1"/>
  <c r="V6134" i="1"/>
  <c r="Q6134" i="1"/>
  <c r="W6133" i="1"/>
  <c r="V6133" i="1"/>
  <c r="Q6133" i="1"/>
  <c r="W6132" i="1"/>
  <c r="V6132" i="1"/>
  <c r="Q6132" i="1"/>
  <c r="W6131" i="1"/>
  <c r="V6131" i="1"/>
  <c r="Q6131" i="1"/>
  <c r="W6130" i="1"/>
  <c r="V6130" i="1"/>
  <c r="Q6130" i="1"/>
  <c r="W6129" i="1"/>
  <c r="V6129" i="1"/>
  <c r="Q6129" i="1"/>
  <c r="W6128" i="1"/>
  <c r="V6128" i="1"/>
  <c r="Q6128" i="1"/>
  <c r="W6127" i="1"/>
  <c r="V6127" i="1"/>
  <c r="Q6127" i="1"/>
  <c r="W6126" i="1"/>
  <c r="V6126" i="1"/>
  <c r="Q6126" i="1"/>
  <c r="W6125" i="1"/>
  <c r="V6125" i="1"/>
  <c r="Q6125" i="1"/>
  <c r="W6124" i="1"/>
  <c r="V6124" i="1"/>
  <c r="Q6124" i="1"/>
  <c r="W6123" i="1"/>
  <c r="V6123" i="1"/>
  <c r="Q6123" i="1"/>
  <c r="W6122" i="1"/>
  <c r="Q6122" i="1"/>
  <c r="W6121" i="1"/>
  <c r="V6121" i="1"/>
  <c r="Q6121" i="1"/>
  <c r="W6120" i="1"/>
  <c r="Q6120" i="1"/>
  <c r="W6119" i="1"/>
  <c r="V6119" i="1"/>
  <c r="Q6119" i="1"/>
  <c r="W6118" i="1"/>
  <c r="V6118" i="1"/>
  <c r="Q6118" i="1"/>
  <c r="W6117" i="1"/>
  <c r="Q6117" i="1"/>
  <c r="W6116" i="1"/>
  <c r="Q6116" i="1"/>
  <c r="W6115" i="1"/>
  <c r="V6115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W5497" i="1"/>
  <c r="V5497" i="1"/>
  <c r="Q5497" i="1"/>
  <c r="W5496" i="1"/>
  <c r="V5496" i="1"/>
  <c r="Q5496" i="1"/>
  <c r="W5495" i="1"/>
  <c r="V5495" i="1"/>
  <c r="Q5495" i="1"/>
  <c r="Q5494" i="1"/>
  <c r="Q5493" i="1"/>
  <c r="W5492" i="1"/>
  <c r="V5492" i="1"/>
  <c r="Q5492" i="1"/>
  <c r="W5491" i="1"/>
  <c r="V5491" i="1"/>
  <c r="Q5491" i="1"/>
  <c r="W5490" i="1"/>
  <c r="V5490" i="1"/>
  <c r="Q5490" i="1"/>
  <c r="W5489" i="1"/>
  <c r="V5489" i="1"/>
  <c r="Q5489" i="1"/>
  <c r="W5488" i="1"/>
  <c r="V5488" i="1"/>
  <c r="Q5488" i="1"/>
  <c r="W5487" i="1"/>
  <c r="V5487" i="1"/>
  <c r="Q5487" i="1"/>
  <c r="W5486" i="1"/>
  <c r="V5486" i="1"/>
  <c r="Q5486" i="1"/>
  <c r="W5485" i="1"/>
  <c r="V5485" i="1"/>
  <c r="Q5485" i="1"/>
  <c r="W5484" i="1"/>
  <c r="V5484" i="1"/>
  <c r="Q5484" i="1"/>
  <c r="W5483" i="1"/>
  <c r="V5483" i="1"/>
  <c r="Q5483" i="1"/>
  <c r="W5482" i="1"/>
  <c r="V5482" i="1"/>
  <c r="Q5482" i="1"/>
  <c r="W5481" i="1"/>
  <c r="V5481" i="1"/>
  <c r="Q5481" i="1"/>
  <c r="W5480" i="1"/>
  <c r="V5480" i="1"/>
  <c r="Q5480" i="1"/>
  <c r="W5479" i="1"/>
  <c r="V5479" i="1"/>
  <c r="Q5479" i="1"/>
  <c r="W5478" i="1"/>
  <c r="V5478" i="1"/>
  <c r="Q5478" i="1"/>
  <c r="W5477" i="1"/>
  <c r="V5477" i="1"/>
  <c r="Q5477" i="1"/>
  <c r="W5476" i="1"/>
  <c r="V5476" i="1"/>
  <c r="Q5476" i="1"/>
  <c r="W5475" i="1"/>
  <c r="V5475" i="1"/>
  <c r="Q5475" i="1"/>
  <c r="W5474" i="1"/>
  <c r="V5474" i="1"/>
  <c r="Q5474" i="1"/>
  <c r="W5473" i="1"/>
  <c r="V5473" i="1"/>
  <c r="Q5473" i="1"/>
  <c r="W5472" i="1"/>
  <c r="V5472" i="1"/>
  <c r="Q5472" i="1"/>
  <c r="W5471" i="1"/>
  <c r="V5471" i="1"/>
  <c r="Q5471" i="1"/>
  <c r="W5470" i="1"/>
  <c r="V5470" i="1"/>
  <c r="Q5470" i="1"/>
  <c r="W5469" i="1"/>
  <c r="V5469" i="1"/>
  <c r="Q5469" i="1"/>
  <c r="W5468" i="1"/>
  <c r="V5468" i="1"/>
  <c r="Q5468" i="1"/>
  <c r="W5467" i="1"/>
  <c r="V5467" i="1"/>
  <c r="Q5467" i="1"/>
  <c r="W5466" i="1"/>
  <c r="V5466" i="1"/>
  <c r="Q5466" i="1"/>
  <c r="W5465" i="1"/>
  <c r="V5465" i="1"/>
  <c r="Q5465" i="1"/>
  <c r="W5464" i="1"/>
  <c r="V5464" i="1"/>
  <c r="Q5464" i="1"/>
  <c r="W5463" i="1"/>
  <c r="V5463" i="1"/>
  <c r="Q5463" i="1"/>
  <c r="W5462" i="1"/>
  <c r="V5462" i="1"/>
  <c r="Q5462" i="1"/>
  <c r="W5461" i="1"/>
  <c r="V5461" i="1"/>
  <c r="Q5461" i="1"/>
  <c r="W5460" i="1"/>
  <c r="V5460" i="1"/>
  <c r="Q5460" i="1"/>
  <c r="W5459" i="1"/>
  <c r="V5459" i="1"/>
  <c r="Q5459" i="1"/>
  <c r="W5458" i="1"/>
  <c r="V5458" i="1"/>
  <c r="Q5458" i="1"/>
  <c r="W5457" i="1"/>
  <c r="V5457" i="1"/>
  <c r="Q5457" i="1"/>
  <c r="W5456" i="1"/>
  <c r="V5456" i="1"/>
  <c r="Q5456" i="1"/>
  <c r="W5455" i="1"/>
  <c r="V5455" i="1"/>
  <c r="Q5455" i="1"/>
  <c r="W5454" i="1"/>
  <c r="V5454" i="1"/>
  <c r="Q5454" i="1"/>
  <c r="W5453" i="1"/>
  <c r="V5453" i="1"/>
  <c r="Q5453" i="1"/>
  <c r="W5452" i="1"/>
  <c r="V5452" i="1"/>
  <c r="Q5452" i="1"/>
  <c r="W5451" i="1"/>
  <c r="V5451" i="1"/>
  <c r="Q5451" i="1"/>
  <c r="W5450" i="1"/>
  <c r="V5450" i="1"/>
  <c r="Q5450" i="1"/>
  <c r="W5449" i="1"/>
  <c r="V5449" i="1"/>
  <c r="Q5449" i="1"/>
  <c r="W5448" i="1"/>
  <c r="V5448" i="1"/>
  <c r="Q5448" i="1"/>
  <c r="W5447" i="1"/>
  <c r="V5447" i="1"/>
  <c r="Q5447" i="1"/>
  <c r="W5446" i="1"/>
  <c r="V5446" i="1"/>
  <c r="Q5446" i="1"/>
  <c r="W5445" i="1"/>
  <c r="V5445" i="1"/>
  <c r="Q5445" i="1"/>
  <c r="W5444" i="1"/>
  <c r="V5444" i="1"/>
  <c r="Q5444" i="1"/>
  <c r="W5443" i="1"/>
  <c r="V5443" i="1"/>
  <c r="Q5443" i="1"/>
  <c r="W5442" i="1"/>
  <c r="V5442" i="1"/>
  <c r="Q5442" i="1"/>
  <c r="W5441" i="1"/>
  <c r="V5441" i="1"/>
  <c r="Q5441" i="1"/>
  <c r="W5440" i="1"/>
  <c r="V5440" i="1"/>
  <c r="Q5440" i="1"/>
  <c r="W5439" i="1"/>
  <c r="V5439" i="1"/>
  <c r="Q5439" i="1"/>
  <c r="W5438" i="1"/>
  <c r="V5438" i="1"/>
  <c r="Q5438" i="1"/>
  <c r="W5437" i="1"/>
  <c r="V5437" i="1"/>
  <c r="Q5437" i="1"/>
  <c r="W5436" i="1"/>
  <c r="V5436" i="1"/>
  <c r="Q5436" i="1"/>
  <c r="W5435" i="1"/>
  <c r="V5435" i="1"/>
  <c r="Q5435" i="1"/>
  <c r="W5434" i="1"/>
  <c r="V5434" i="1"/>
  <c r="Q5434" i="1"/>
  <c r="W5433" i="1"/>
  <c r="V5433" i="1"/>
  <c r="Q5433" i="1"/>
  <c r="W5432" i="1"/>
  <c r="V5432" i="1"/>
  <c r="Q5432" i="1"/>
  <c r="W5431" i="1"/>
  <c r="V5431" i="1"/>
  <c r="Q5431" i="1"/>
  <c r="W5430" i="1"/>
  <c r="V5430" i="1"/>
  <c r="Q5430" i="1"/>
  <c r="W5429" i="1"/>
  <c r="V5429" i="1"/>
  <c r="Q5429" i="1"/>
  <c r="W5428" i="1"/>
  <c r="V5428" i="1"/>
  <c r="Q5428" i="1"/>
  <c r="W5427" i="1"/>
  <c r="V5427" i="1"/>
  <c r="Q5427" i="1"/>
  <c r="W5426" i="1"/>
  <c r="V5426" i="1"/>
  <c r="Q5426" i="1"/>
  <c r="W5425" i="1"/>
  <c r="V5425" i="1"/>
  <c r="Q5425" i="1"/>
  <c r="W5424" i="1"/>
  <c r="V5424" i="1"/>
  <c r="Q5424" i="1"/>
  <c r="W5423" i="1"/>
  <c r="V5423" i="1"/>
  <c r="Q5423" i="1"/>
  <c r="W5422" i="1"/>
  <c r="V5422" i="1"/>
  <c r="Q5422" i="1"/>
  <c r="W5421" i="1"/>
  <c r="V5421" i="1"/>
  <c r="Q5421" i="1"/>
  <c r="W5420" i="1"/>
  <c r="V5420" i="1"/>
  <c r="Q5420" i="1"/>
  <c r="W5419" i="1"/>
  <c r="V5419" i="1"/>
  <c r="Q5419" i="1"/>
  <c r="W5418" i="1"/>
  <c r="V5418" i="1"/>
  <c r="Q5418" i="1"/>
  <c r="W5417" i="1"/>
  <c r="V5417" i="1"/>
  <c r="Q5417" i="1"/>
  <c r="W5416" i="1"/>
  <c r="V5416" i="1"/>
  <c r="Q5416" i="1"/>
  <c r="W5415" i="1"/>
  <c r="V5415" i="1"/>
  <c r="Q5415" i="1"/>
  <c r="W5414" i="1"/>
  <c r="V5414" i="1"/>
  <c r="Q5414" i="1"/>
  <c r="W5413" i="1"/>
  <c r="V5413" i="1"/>
  <c r="Q5413" i="1"/>
  <c r="W5412" i="1"/>
  <c r="V5412" i="1"/>
  <c r="Q5412" i="1"/>
  <c r="W5411" i="1"/>
  <c r="V5411" i="1"/>
  <c r="Q5411" i="1"/>
  <c r="W5410" i="1"/>
  <c r="V5410" i="1"/>
  <c r="Q5410" i="1"/>
  <c r="W5409" i="1"/>
  <c r="V5409" i="1"/>
  <c r="Q5409" i="1"/>
  <c r="W5408" i="1"/>
  <c r="V5408" i="1"/>
  <c r="Q5408" i="1"/>
  <c r="W5407" i="1"/>
  <c r="V5407" i="1"/>
  <c r="Q5407" i="1"/>
  <c r="W5406" i="1"/>
  <c r="V5406" i="1"/>
  <c r="Q5406" i="1"/>
  <c r="W5405" i="1"/>
  <c r="V5405" i="1"/>
  <c r="Q5405" i="1"/>
  <c r="W5404" i="1"/>
  <c r="V5404" i="1"/>
  <c r="Q5404" i="1"/>
  <c r="W5403" i="1"/>
  <c r="V5403" i="1"/>
  <c r="Q5403" i="1"/>
  <c r="W5402" i="1"/>
  <c r="V5402" i="1"/>
  <c r="Q5402" i="1"/>
  <c r="W5401" i="1"/>
  <c r="V5401" i="1"/>
  <c r="Q5401" i="1"/>
  <c r="W5400" i="1"/>
  <c r="V5400" i="1"/>
  <c r="Q5400" i="1"/>
  <c r="W5399" i="1"/>
  <c r="V5399" i="1"/>
  <c r="Q5399" i="1"/>
  <c r="W5398" i="1"/>
  <c r="V5398" i="1"/>
  <c r="Q5398" i="1"/>
  <c r="W5397" i="1"/>
  <c r="V5397" i="1"/>
  <c r="Q5397" i="1"/>
  <c r="W5396" i="1"/>
  <c r="V5396" i="1"/>
  <c r="Q5396" i="1"/>
  <c r="W5395" i="1"/>
  <c r="V5395" i="1"/>
  <c r="Q5395" i="1"/>
  <c r="W5394" i="1"/>
  <c r="V5394" i="1"/>
  <c r="Q5394" i="1"/>
  <c r="W5393" i="1"/>
  <c r="V5393" i="1"/>
  <c r="Q5393" i="1"/>
  <c r="W5392" i="1"/>
  <c r="V5392" i="1"/>
  <c r="Q5392" i="1"/>
  <c r="W5391" i="1"/>
  <c r="V5391" i="1"/>
  <c r="Q5391" i="1"/>
  <c r="W5390" i="1"/>
  <c r="V5390" i="1"/>
  <c r="Q5390" i="1"/>
  <c r="W5389" i="1"/>
  <c r="V5389" i="1"/>
  <c r="Q5389" i="1"/>
  <c r="W5388" i="1"/>
  <c r="V5388" i="1"/>
  <c r="Q5388" i="1"/>
  <c r="W5387" i="1"/>
  <c r="V5387" i="1"/>
  <c r="Q5387" i="1"/>
  <c r="W5386" i="1"/>
  <c r="V5386" i="1"/>
  <c r="Q5386" i="1"/>
  <c r="W5385" i="1"/>
  <c r="V5385" i="1"/>
  <c r="Q5385" i="1"/>
  <c r="W5384" i="1"/>
  <c r="V5384" i="1"/>
  <c r="Q5384" i="1"/>
  <c r="W5383" i="1"/>
  <c r="V5383" i="1"/>
  <c r="Q5383" i="1"/>
  <c r="W5382" i="1"/>
  <c r="V5382" i="1"/>
  <c r="Q5382" i="1"/>
  <c r="W5381" i="1"/>
  <c r="V5381" i="1"/>
  <c r="Q5381" i="1"/>
  <c r="W5380" i="1"/>
  <c r="V5380" i="1"/>
  <c r="Q5380" i="1"/>
  <c r="W5379" i="1"/>
  <c r="V5379" i="1"/>
  <c r="Q5379" i="1"/>
  <c r="W5378" i="1"/>
  <c r="V5378" i="1"/>
  <c r="Q5378" i="1"/>
  <c r="W5377" i="1"/>
  <c r="V5377" i="1"/>
  <c r="Q5377" i="1"/>
  <c r="W5376" i="1"/>
  <c r="V5376" i="1"/>
  <c r="Q5376" i="1"/>
  <c r="W5375" i="1"/>
  <c r="V5375" i="1"/>
  <c r="Q5375" i="1"/>
  <c r="W5374" i="1"/>
  <c r="V5374" i="1"/>
  <c r="Q5374" i="1"/>
  <c r="W5373" i="1"/>
  <c r="V5373" i="1"/>
  <c r="Q5373" i="1"/>
  <c r="W5372" i="1"/>
  <c r="V5372" i="1"/>
  <c r="Q5372" i="1"/>
  <c r="W5371" i="1"/>
  <c r="V5371" i="1"/>
  <c r="Q5371" i="1"/>
  <c r="W5370" i="1"/>
  <c r="V5370" i="1"/>
  <c r="Q5370" i="1"/>
  <c r="W5369" i="1"/>
  <c r="V5369" i="1"/>
  <c r="Q5369" i="1"/>
  <c r="W5368" i="1"/>
  <c r="V5368" i="1"/>
  <c r="Q5368" i="1"/>
  <c r="W5367" i="1"/>
  <c r="V5367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W5080" i="1"/>
  <c r="V5080" i="1"/>
  <c r="Q5080" i="1"/>
  <c r="W5079" i="1"/>
  <c r="V5079" i="1"/>
  <c r="Q5079" i="1"/>
  <c r="W5078" i="1"/>
  <c r="V5078" i="1"/>
  <c r="Q5078" i="1"/>
  <c r="W5077" i="1"/>
  <c r="V5077" i="1"/>
  <c r="Q5077" i="1"/>
  <c r="W5076" i="1"/>
  <c r="V5076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W4996" i="1"/>
  <c r="V4996" i="1"/>
  <c r="Q4996" i="1"/>
  <c r="W4995" i="1"/>
  <c r="V4995" i="1"/>
  <c r="Q4995" i="1"/>
  <c r="W4994" i="1"/>
  <c r="V4994" i="1"/>
  <c r="Q4994" i="1"/>
  <c r="W4993" i="1"/>
  <c r="V4993" i="1"/>
  <c r="Q4993" i="1"/>
  <c r="W4992" i="1"/>
  <c r="V4992" i="1"/>
  <c r="Q4992" i="1"/>
  <c r="W4991" i="1"/>
  <c r="V4991" i="1"/>
  <c r="Q4991" i="1"/>
  <c r="W4990" i="1"/>
  <c r="V4990" i="1"/>
  <c r="Q4990" i="1"/>
  <c r="W4989" i="1"/>
  <c r="V4989" i="1"/>
  <c r="Q4989" i="1"/>
  <c r="W4988" i="1"/>
  <c r="V4988" i="1"/>
  <c r="Q4988" i="1"/>
  <c r="W4987" i="1"/>
  <c r="V4987" i="1"/>
  <c r="Q4987" i="1"/>
  <c r="W4986" i="1"/>
  <c r="V4986" i="1"/>
  <c r="Q4986" i="1"/>
  <c r="W4985" i="1"/>
  <c r="V4985" i="1"/>
  <c r="Q4985" i="1"/>
  <c r="W4984" i="1"/>
  <c r="V4984" i="1"/>
  <c r="Q4984" i="1"/>
  <c r="W4983" i="1"/>
  <c r="V4983" i="1"/>
  <c r="Q4983" i="1"/>
  <c r="W4982" i="1"/>
  <c r="V4982" i="1"/>
  <c r="Q4982" i="1"/>
  <c r="W4981" i="1"/>
  <c r="V4981" i="1"/>
  <c r="Q4981" i="1"/>
  <c r="W4980" i="1"/>
  <c r="V4980" i="1"/>
  <c r="Q4980" i="1"/>
  <c r="W4979" i="1"/>
  <c r="V4979" i="1"/>
  <c r="Q4979" i="1"/>
  <c r="W4978" i="1"/>
  <c r="V4978" i="1"/>
  <c r="Q4978" i="1"/>
  <c r="W4977" i="1"/>
  <c r="V4977" i="1"/>
  <c r="Q4977" i="1"/>
  <c r="W4976" i="1"/>
  <c r="V4976" i="1"/>
  <c r="Q4976" i="1"/>
  <c r="W4975" i="1"/>
  <c r="V4975" i="1"/>
  <c r="Q4975" i="1"/>
  <c r="W4974" i="1"/>
  <c r="V4974" i="1"/>
  <c r="Q4974" i="1"/>
  <c r="W4973" i="1"/>
  <c r="V4973" i="1"/>
  <c r="Q4973" i="1"/>
  <c r="W4972" i="1"/>
  <c r="V4972" i="1"/>
  <c r="Q4972" i="1"/>
  <c r="W4971" i="1"/>
  <c r="V4971" i="1"/>
  <c r="Q4971" i="1"/>
  <c r="W4970" i="1"/>
  <c r="V4970" i="1"/>
  <c r="Q4970" i="1"/>
  <c r="W4969" i="1"/>
  <c r="V4969" i="1"/>
  <c r="Q4969" i="1"/>
  <c r="W4968" i="1"/>
  <c r="V4968" i="1"/>
  <c r="Q4968" i="1"/>
  <c r="W4967" i="1"/>
  <c r="V4967" i="1"/>
  <c r="Q4967" i="1"/>
  <c r="W4966" i="1"/>
  <c r="V4966" i="1"/>
  <c r="Q4966" i="1"/>
  <c r="W4965" i="1"/>
  <c r="V4965" i="1"/>
  <c r="Q4965" i="1"/>
  <c r="W4964" i="1"/>
  <c r="V4964" i="1"/>
  <c r="Q4964" i="1"/>
  <c r="W4963" i="1"/>
  <c r="V4963" i="1"/>
  <c r="Q4963" i="1"/>
  <c r="W4962" i="1"/>
  <c r="V4962" i="1"/>
  <c r="Q4962" i="1"/>
  <c r="W4961" i="1"/>
  <c r="V4961" i="1"/>
  <c r="Q4961" i="1"/>
  <c r="W4960" i="1"/>
  <c r="V4960" i="1"/>
  <c r="Q4960" i="1"/>
  <c r="W4959" i="1"/>
  <c r="V4959" i="1"/>
  <c r="Q4959" i="1"/>
  <c r="W4958" i="1"/>
  <c r="V4958" i="1"/>
  <c r="Q4958" i="1"/>
  <c r="W4957" i="1"/>
  <c r="V4957" i="1"/>
  <c r="Q4957" i="1"/>
  <c r="W4956" i="1"/>
  <c r="V4956" i="1"/>
  <c r="Q4956" i="1"/>
  <c r="W4955" i="1"/>
  <c r="V4955" i="1"/>
  <c r="Q4955" i="1"/>
  <c r="W4954" i="1"/>
  <c r="V4954" i="1"/>
  <c r="Q4954" i="1"/>
  <c r="W4953" i="1"/>
  <c r="V4953" i="1"/>
  <c r="Q4953" i="1"/>
  <c r="W4952" i="1"/>
  <c r="V4952" i="1"/>
  <c r="Q4952" i="1"/>
  <c r="W4951" i="1"/>
  <c r="V4951" i="1"/>
  <c r="Q4951" i="1"/>
  <c r="W4950" i="1"/>
  <c r="V4950" i="1"/>
  <c r="Q4950" i="1"/>
  <c r="W4949" i="1"/>
  <c r="V4949" i="1"/>
  <c r="Q4949" i="1"/>
  <c r="W4948" i="1"/>
  <c r="V4948" i="1"/>
  <c r="Q4948" i="1"/>
  <c r="W4947" i="1"/>
  <c r="V4947" i="1"/>
  <c r="Q4947" i="1"/>
  <c r="W4946" i="1"/>
  <c r="V4946" i="1"/>
  <c r="Q4946" i="1"/>
  <c r="W4945" i="1"/>
  <c r="V4945" i="1"/>
  <c r="Q4945" i="1"/>
  <c r="W4944" i="1"/>
  <c r="V4944" i="1"/>
  <c r="Q4944" i="1"/>
  <c r="W4943" i="1"/>
  <c r="V4943" i="1"/>
  <c r="Q4943" i="1"/>
  <c r="W4942" i="1"/>
  <c r="V4942" i="1"/>
  <c r="Q4942" i="1"/>
  <c r="W4941" i="1"/>
  <c r="V4941" i="1"/>
  <c r="Q4941" i="1"/>
  <c r="W4940" i="1"/>
  <c r="V4940" i="1"/>
  <c r="Q4940" i="1"/>
  <c r="W4939" i="1"/>
  <c r="V4939" i="1"/>
  <c r="Q4939" i="1"/>
  <c r="W4938" i="1"/>
  <c r="V4938" i="1"/>
  <c r="Q4938" i="1"/>
  <c r="W4937" i="1"/>
  <c r="V4937" i="1"/>
  <c r="Q4937" i="1"/>
  <c r="W4936" i="1"/>
  <c r="V4936" i="1"/>
  <c r="Q4936" i="1"/>
  <c r="W4935" i="1"/>
  <c r="V4935" i="1"/>
  <c r="Q4935" i="1"/>
  <c r="W4934" i="1"/>
  <c r="V4934" i="1"/>
  <c r="Q4934" i="1"/>
  <c r="W4933" i="1"/>
  <c r="V4933" i="1"/>
  <c r="Q4933" i="1"/>
  <c r="W4932" i="1"/>
  <c r="V4932" i="1"/>
  <c r="Q4932" i="1"/>
  <c r="W4931" i="1"/>
  <c r="V4931" i="1"/>
  <c r="Q4931" i="1"/>
  <c r="W4930" i="1"/>
  <c r="V4930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W4634" i="1"/>
  <c r="V4634" i="1"/>
  <c r="Q4634" i="1"/>
  <c r="W4633" i="1"/>
  <c r="V4633" i="1"/>
  <c r="Q4633" i="1"/>
  <c r="Q4632" i="1"/>
  <c r="W4631" i="1"/>
  <c r="V4631" i="1"/>
  <c r="Q4631" i="1"/>
  <c r="W4630" i="1"/>
  <c r="V4630" i="1"/>
  <c r="Q4630" i="1"/>
  <c r="W4629" i="1"/>
  <c r="V4629" i="1"/>
  <c r="Q4629" i="1"/>
  <c r="W4628" i="1"/>
  <c r="V4628" i="1"/>
  <c r="Q4628" i="1"/>
  <c r="W4627" i="1"/>
  <c r="V4627" i="1"/>
  <c r="Q4627" i="1"/>
  <c r="W4626" i="1"/>
  <c r="V4626" i="1"/>
  <c r="Q4626" i="1"/>
  <c r="W4625" i="1"/>
  <c r="V4625" i="1"/>
  <c r="Q4625" i="1"/>
  <c r="W4624" i="1"/>
  <c r="V4624" i="1"/>
  <c r="Q4624" i="1"/>
  <c r="W4623" i="1"/>
  <c r="V4623" i="1"/>
  <c r="Q4623" i="1"/>
  <c r="W4622" i="1"/>
  <c r="V4622" i="1"/>
  <c r="Q4622" i="1"/>
  <c r="W4621" i="1"/>
  <c r="V4621" i="1"/>
  <c r="Q4621" i="1"/>
  <c r="W4620" i="1"/>
  <c r="V4620" i="1"/>
  <c r="Q4620" i="1"/>
  <c r="W4619" i="1"/>
  <c r="V4619" i="1"/>
  <c r="Q4619" i="1"/>
  <c r="W4618" i="1"/>
  <c r="V4618" i="1"/>
  <c r="Q4618" i="1"/>
  <c r="W4617" i="1"/>
  <c r="V4617" i="1"/>
  <c r="Q4617" i="1"/>
  <c r="W4616" i="1"/>
  <c r="V4616" i="1"/>
  <c r="Q4616" i="1"/>
  <c r="W4615" i="1"/>
  <c r="V4615" i="1"/>
  <c r="Q4615" i="1"/>
  <c r="W4614" i="1"/>
  <c r="V4614" i="1"/>
  <c r="Q4614" i="1"/>
  <c r="W4613" i="1"/>
  <c r="V4613" i="1"/>
  <c r="Q4613" i="1"/>
  <c r="W4612" i="1"/>
  <c r="V4612" i="1"/>
  <c r="Q4612" i="1"/>
  <c r="W4611" i="1"/>
  <c r="V4611" i="1"/>
  <c r="Q4611" i="1"/>
  <c r="W4610" i="1"/>
  <c r="V4610" i="1"/>
  <c r="Q4610" i="1"/>
  <c r="W4609" i="1"/>
  <c r="V4609" i="1"/>
  <c r="Q4609" i="1"/>
  <c r="W4608" i="1"/>
  <c r="V4608" i="1"/>
  <c r="Q4608" i="1"/>
  <c r="W4607" i="1"/>
  <c r="V4607" i="1"/>
  <c r="Q4607" i="1"/>
  <c r="W4606" i="1"/>
  <c r="V4606" i="1"/>
  <c r="Q4606" i="1"/>
  <c r="W4605" i="1"/>
  <c r="V4605" i="1"/>
  <c r="Q4605" i="1"/>
  <c r="W4604" i="1"/>
  <c r="V4604" i="1"/>
  <c r="Q4604" i="1"/>
  <c r="W4603" i="1"/>
  <c r="V4603" i="1"/>
  <c r="Q4603" i="1"/>
  <c r="W4602" i="1"/>
  <c r="V4602" i="1"/>
  <c r="Q4602" i="1"/>
  <c r="W4601" i="1"/>
  <c r="V4601" i="1"/>
  <c r="Q4601" i="1"/>
  <c r="W4600" i="1"/>
  <c r="V4600" i="1"/>
  <c r="Q4600" i="1"/>
  <c r="W4599" i="1"/>
  <c r="V4599" i="1"/>
  <c r="Q4599" i="1"/>
  <c r="W4598" i="1"/>
  <c r="V4598" i="1"/>
  <c r="Q4598" i="1"/>
  <c r="W4597" i="1"/>
  <c r="V4597" i="1"/>
  <c r="Q4597" i="1"/>
  <c r="W4596" i="1"/>
  <c r="V4596" i="1"/>
  <c r="Q4596" i="1"/>
  <c r="W4595" i="1"/>
  <c r="V4595" i="1"/>
  <c r="Q4595" i="1"/>
  <c r="W4594" i="1"/>
  <c r="V4594" i="1"/>
  <c r="Q4594" i="1"/>
  <c r="W4593" i="1"/>
  <c r="V4593" i="1"/>
  <c r="Q4593" i="1"/>
  <c r="W4592" i="1"/>
  <c r="V4592" i="1"/>
  <c r="Q4592" i="1"/>
  <c r="W4591" i="1"/>
  <c r="V4591" i="1"/>
  <c r="Q4591" i="1"/>
  <c r="W4590" i="1"/>
  <c r="V4590" i="1"/>
  <c r="Q4590" i="1"/>
  <c r="W4589" i="1"/>
  <c r="V4589" i="1"/>
  <c r="Q4589" i="1"/>
  <c r="W4588" i="1"/>
  <c r="V4588" i="1"/>
  <c r="Q4588" i="1"/>
  <c r="W4587" i="1"/>
  <c r="V4587" i="1"/>
  <c r="Q4587" i="1"/>
  <c r="W4586" i="1"/>
  <c r="V4586" i="1"/>
  <c r="Q4586" i="1"/>
  <c r="W4585" i="1"/>
  <c r="V4585" i="1"/>
  <c r="Q4585" i="1"/>
  <c r="W4584" i="1"/>
  <c r="V4584" i="1"/>
  <c r="Q4584" i="1"/>
  <c r="W4583" i="1"/>
  <c r="V4583" i="1"/>
  <c r="Q4583" i="1"/>
  <c r="W4582" i="1"/>
  <c r="V4582" i="1"/>
  <c r="Q4582" i="1"/>
  <c r="W4581" i="1"/>
  <c r="V4581" i="1"/>
  <c r="Q4581" i="1"/>
  <c r="W4580" i="1"/>
  <c r="V4580" i="1"/>
  <c r="Q4580" i="1"/>
  <c r="W4579" i="1"/>
  <c r="V4579" i="1"/>
  <c r="Q4579" i="1"/>
  <c r="W4578" i="1"/>
  <c r="V4578" i="1"/>
  <c r="Q4578" i="1"/>
  <c r="W4577" i="1"/>
  <c r="V4577" i="1"/>
  <c r="Q4577" i="1"/>
  <c r="W4576" i="1"/>
  <c r="V4576" i="1"/>
  <c r="Q4576" i="1"/>
  <c r="W4575" i="1"/>
  <c r="V4575" i="1"/>
  <c r="Q4575" i="1"/>
  <c r="W4574" i="1"/>
  <c r="V4574" i="1"/>
  <c r="Q4574" i="1"/>
  <c r="W4573" i="1"/>
  <c r="V4573" i="1"/>
  <c r="Q4573" i="1"/>
  <c r="W4572" i="1"/>
  <c r="V4572" i="1"/>
  <c r="Q4572" i="1"/>
  <c r="W4571" i="1"/>
  <c r="V4571" i="1"/>
  <c r="Q4571" i="1"/>
  <c r="W4570" i="1"/>
  <c r="V4570" i="1"/>
  <c r="Q4570" i="1"/>
  <c r="W4569" i="1"/>
  <c r="V4569" i="1"/>
  <c r="Q4569" i="1"/>
  <c r="W4568" i="1"/>
  <c r="V4568" i="1"/>
  <c r="Q4568" i="1"/>
  <c r="W4567" i="1"/>
  <c r="V4567" i="1"/>
  <c r="Q4567" i="1"/>
  <c r="W4566" i="1"/>
  <c r="V4566" i="1"/>
  <c r="Q4566" i="1"/>
  <c r="W4565" i="1"/>
  <c r="V4565" i="1"/>
  <c r="Q4565" i="1"/>
  <c r="W4564" i="1"/>
  <c r="V4564" i="1"/>
  <c r="Q4564" i="1"/>
  <c r="W4563" i="1"/>
  <c r="V4563" i="1"/>
  <c r="Q4563" i="1"/>
  <c r="W4562" i="1"/>
  <c r="V4562" i="1"/>
  <c r="Q4562" i="1"/>
  <c r="Q4561" i="1"/>
  <c r="W4560" i="1"/>
  <c r="V4560" i="1"/>
  <c r="Q4560" i="1"/>
  <c r="W4559" i="1"/>
  <c r="V4559" i="1"/>
  <c r="Q4559" i="1"/>
  <c r="W4558" i="1"/>
  <c r="V4558" i="1"/>
  <c r="Q4558" i="1"/>
  <c r="W4557" i="1"/>
  <c r="V4557" i="1"/>
  <c r="Q4557" i="1"/>
  <c r="W4556" i="1"/>
  <c r="V4556" i="1"/>
  <c r="Q4556" i="1"/>
  <c r="W4555" i="1"/>
  <c r="V4555" i="1"/>
  <c r="Q4555" i="1"/>
  <c r="W4554" i="1"/>
  <c r="V4554" i="1"/>
  <c r="Q4554" i="1"/>
  <c r="W4553" i="1"/>
  <c r="V4553" i="1"/>
  <c r="Q4553" i="1"/>
  <c r="W4552" i="1"/>
  <c r="V4552" i="1"/>
  <c r="Q4552" i="1"/>
  <c r="W4551" i="1"/>
  <c r="V4551" i="1"/>
  <c r="Q4551" i="1"/>
  <c r="W4550" i="1"/>
  <c r="V4550" i="1"/>
  <c r="Q4550" i="1"/>
  <c r="W4549" i="1"/>
  <c r="V4549" i="1"/>
  <c r="Q4549" i="1"/>
  <c r="W4548" i="1"/>
  <c r="V4548" i="1"/>
  <c r="Q4548" i="1"/>
  <c r="W4547" i="1"/>
  <c r="V4547" i="1"/>
  <c r="Q4547" i="1"/>
  <c r="W4546" i="1"/>
  <c r="V4546" i="1"/>
  <c r="Q4546" i="1"/>
  <c r="W4545" i="1"/>
  <c r="V4545" i="1"/>
  <c r="Q4545" i="1"/>
  <c r="W4544" i="1"/>
  <c r="V4544" i="1"/>
  <c r="Q4544" i="1"/>
  <c r="W4543" i="1"/>
  <c r="V4543" i="1"/>
  <c r="Q4543" i="1"/>
  <c r="W4542" i="1"/>
  <c r="V4542" i="1"/>
  <c r="Q4542" i="1"/>
  <c r="W4541" i="1"/>
  <c r="V4541" i="1"/>
  <c r="Q4541" i="1"/>
  <c r="W4540" i="1"/>
  <c r="V4540" i="1"/>
  <c r="Q4540" i="1"/>
  <c r="W4539" i="1"/>
  <c r="V4539" i="1"/>
  <c r="Q4539" i="1"/>
  <c r="W4538" i="1"/>
  <c r="V4538" i="1"/>
  <c r="Q4538" i="1"/>
  <c r="W4537" i="1"/>
  <c r="V4537" i="1"/>
  <c r="Q4537" i="1"/>
  <c r="W4536" i="1"/>
  <c r="V4536" i="1"/>
  <c r="Q4536" i="1"/>
  <c r="W4535" i="1"/>
  <c r="V4535" i="1"/>
  <c r="Q4535" i="1"/>
  <c r="W4534" i="1"/>
  <c r="V4534" i="1"/>
  <c r="Q4534" i="1"/>
  <c r="W4533" i="1"/>
  <c r="V4533" i="1"/>
  <c r="Q4533" i="1"/>
  <c r="W4532" i="1"/>
  <c r="V4532" i="1"/>
  <c r="Q4532" i="1"/>
  <c r="W4531" i="1"/>
  <c r="V4531" i="1"/>
  <c r="Q4531" i="1"/>
  <c r="W4530" i="1"/>
  <c r="V4530" i="1"/>
  <c r="Q4530" i="1"/>
  <c r="W4529" i="1"/>
  <c r="V4529" i="1"/>
  <c r="Q4529" i="1"/>
  <c r="W4528" i="1"/>
  <c r="V4528" i="1"/>
  <c r="Q4528" i="1"/>
  <c r="W4527" i="1"/>
  <c r="V4527" i="1"/>
  <c r="Q4527" i="1"/>
  <c r="W4526" i="1"/>
  <c r="V4526" i="1"/>
  <c r="Q4526" i="1"/>
  <c r="W4525" i="1"/>
  <c r="V4525" i="1"/>
  <c r="Q4525" i="1"/>
  <c r="W4524" i="1"/>
  <c r="V4524" i="1"/>
  <c r="Q4524" i="1"/>
  <c r="W4523" i="1"/>
  <c r="V4523" i="1"/>
  <c r="Q4523" i="1"/>
  <c r="W4522" i="1"/>
  <c r="V4522" i="1"/>
  <c r="Q4522" i="1"/>
  <c r="W4521" i="1"/>
  <c r="V4521" i="1"/>
  <c r="Q4521" i="1"/>
  <c r="W4520" i="1"/>
  <c r="V4520" i="1"/>
  <c r="Q4520" i="1"/>
  <c r="W4519" i="1"/>
  <c r="V4519" i="1"/>
  <c r="Q4519" i="1"/>
  <c r="W4518" i="1"/>
  <c r="V4518" i="1"/>
  <c r="Q4518" i="1"/>
  <c r="W4517" i="1"/>
  <c r="V4517" i="1"/>
  <c r="Q4517" i="1"/>
  <c r="W4516" i="1"/>
  <c r="V4516" i="1"/>
  <c r="Q4516" i="1"/>
  <c r="W4515" i="1"/>
  <c r="V4515" i="1"/>
  <c r="Q4515" i="1"/>
  <c r="W4514" i="1"/>
  <c r="V4514" i="1"/>
  <c r="Q4514" i="1"/>
  <c r="W4513" i="1"/>
  <c r="V4513" i="1"/>
  <c r="Q4513" i="1"/>
  <c r="W4512" i="1"/>
  <c r="V4512" i="1"/>
  <c r="Q4512" i="1"/>
  <c r="W4511" i="1"/>
  <c r="V4511" i="1"/>
  <c r="Q4511" i="1"/>
  <c r="W4510" i="1"/>
  <c r="V4510" i="1"/>
  <c r="Q4510" i="1"/>
  <c r="W4509" i="1"/>
  <c r="V4509" i="1"/>
  <c r="Q4509" i="1"/>
  <c r="W4508" i="1"/>
  <c r="V4508" i="1"/>
  <c r="Q4508" i="1"/>
  <c r="W4507" i="1"/>
  <c r="V4507" i="1"/>
  <c r="Q4507" i="1"/>
  <c r="W4506" i="1"/>
  <c r="V4506" i="1"/>
  <c r="Q4506" i="1"/>
  <c r="W4505" i="1"/>
  <c r="V4505" i="1"/>
  <c r="Q4505" i="1"/>
  <c r="W4504" i="1"/>
  <c r="V4504" i="1"/>
  <c r="Q4504" i="1"/>
  <c r="W4503" i="1"/>
  <c r="V4503" i="1"/>
  <c r="Q4503" i="1"/>
  <c r="Q4502" i="1"/>
  <c r="W4501" i="1"/>
  <c r="V4501" i="1"/>
  <c r="Q4501" i="1"/>
  <c r="W4500" i="1"/>
  <c r="V4500" i="1"/>
  <c r="Q4500" i="1"/>
  <c r="W4499" i="1"/>
  <c r="V4499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W3809" i="1"/>
  <c r="V3809" i="1"/>
  <c r="Q3809" i="1"/>
  <c r="W3808" i="1"/>
  <c r="V3808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W3709" i="1"/>
  <c r="V3709" i="1"/>
  <c r="Q3709" i="1"/>
  <c r="W3708" i="1"/>
  <c r="V3708" i="1"/>
  <c r="Q3708" i="1"/>
  <c r="W3707" i="1"/>
  <c r="V3707" i="1"/>
  <c r="Q3707" i="1"/>
  <c r="W3706" i="1"/>
  <c r="V3706" i="1"/>
  <c r="Q3706" i="1"/>
  <c r="W3705" i="1"/>
  <c r="V3705" i="1"/>
  <c r="Q3705" i="1"/>
  <c r="W3704" i="1"/>
  <c r="V3704" i="1"/>
  <c r="Q3704" i="1"/>
  <c r="W3703" i="1"/>
  <c r="V3703" i="1"/>
  <c r="Q3703" i="1"/>
  <c r="W3702" i="1"/>
  <c r="V3702" i="1"/>
  <c r="Q3702" i="1"/>
  <c r="W3701" i="1"/>
  <c r="V3701" i="1"/>
  <c r="Q3701" i="1"/>
  <c r="W3700" i="1"/>
  <c r="V3700" i="1"/>
  <c r="Q3700" i="1"/>
  <c r="W3699" i="1"/>
  <c r="V3699" i="1"/>
  <c r="Q3699" i="1"/>
  <c r="W3698" i="1"/>
  <c r="V3698" i="1"/>
  <c r="Q3698" i="1"/>
  <c r="W3697" i="1"/>
  <c r="V3697" i="1"/>
  <c r="Q3697" i="1"/>
  <c r="W3696" i="1"/>
  <c r="V3696" i="1"/>
  <c r="Q3696" i="1"/>
  <c r="W3695" i="1"/>
  <c r="V3695" i="1"/>
  <c r="Q3695" i="1"/>
  <c r="W3694" i="1"/>
  <c r="V3694" i="1"/>
  <c r="Q3694" i="1"/>
  <c r="W3693" i="1"/>
  <c r="V3693" i="1"/>
  <c r="Q3693" i="1"/>
  <c r="W3692" i="1"/>
  <c r="V3692" i="1"/>
  <c r="Q3692" i="1"/>
  <c r="W3691" i="1"/>
  <c r="V3691" i="1"/>
  <c r="Q3691" i="1"/>
  <c r="W3690" i="1"/>
  <c r="V3690" i="1"/>
  <c r="Q3690" i="1"/>
  <c r="W3689" i="1"/>
  <c r="V3689" i="1"/>
  <c r="Q3689" i="1"/>
  <c r="W3688" i="1"/>
  <c r="V3688" i="1"/>
  <c r="Q3688" i="1"/>
  <c r="W3687" i="1"/>
  <c r="V3687" i="1"/>
  <c r="Q3687" i="1"/>
  <c r="W3686" i="1"/>
  <c r="V3686" i="1"/>
  <c r="Q3686" i="1"/>
  <c r="W3685" i="1"/>
  <c r="V3685" i="1"/>
  <c r="Q3685" i="1"/>
  <c r="W3684" i="1"/>
  <c r="V3684" i="1"/>
  <c r="Q3684" i="1"/>
  <c r="W3683" i="1"/>
  <c r="V3683" i="1"/>
  <c r="Q3683" i="1"/>
  <c r="W3682" i="1"/>
  <c r="V3682" i="1"/>
  <c r="Q3682" i="1"/>
  <c r="W3681" i="1"/>
  <c r="V3681" i="1"/>
  <c r="Q3681" i="1"/>
  <c r="W3680" i="1"/>
  <c r="V3680" i="1"/>
  <c r="Q3680" i="1"/>
  <c r="W3679" i="1"/>
  <c r="V3679" i="1"/>
  <c r="Q3679" i="1"/>
  <c r="W3678" i="1"/>
  <c r="V3678" i="1"/>
  <c r="Q3678" i="1"/>
  <c r="W3677" i="1"/>
  <c r="V3677" i="1"/>
  <c r="Q3677" i="1"/>
  <c r="W3676" i="1"/>
  <c r="V3676" i="1"/>
  <c r="Q3676" i="1"/>
  <c r="W3675" i="1"/>
  <c r="V3675" i="1"/>
  <c r="Q3675" i="1"/>
  <c r="W3674" i="1"/>
  <c r="V3674" i="1"/>
  <c r="Q3674" i="1"/>
  <c r="W3673" i="1"/>
  <c r="V3673" i="1"/>
  <c r="Q3673" i="1"/>
  <c r="W3672" i="1"/>
  <c r="V3672" i="1"/>
  <c r="Q3672" i="1"/>
  <c r="W3671" i="1"/>
  <c r="V3671" i="1"/>
  <c r="Q3671" i="1"/>
  <c r="W3670" i="1"/>
  <c r="V3670" i="1"/>
  <c r="Q3670" i="1"/>
  <c r="W3669" i="1"/>
  <c r="V3669" i="1"/>
  <c r="Q3669" i="1"/>
  <c r="W3668" i="1"/>
  <c r="V3668" i="1"/>
  <c r="Q3668" i="1"/>
  <c r="W3667" i="1"/>
  <c r="V3667" i="1"/>
  <c r="Q3667" i="1"/>
  <c r="W3666" i="1"/>
  <c r="V3666" i="1"/>
  <c r="Q3666" i="1"/>
  <c r="W3665" i="1"/>
  <c r="V3665" i="1"/>
  <c r="Q3665" i="1"/>
  <c r="W3664" i="1"/>
  <c r="V3664" i="1"/>
  <c r="Q3664" i="1"/>
  <c r="W3663" i="1"/>
  <c r="V3663" i="1"/>
  <c r="Q3663" i="1"/>
  <c r="W3662" i="1"/>
  <c r="V3662" i="1"/>
  <c r="Q3662" i="1"/>
  <c r="W3661" i="1"/>
  <c r="V3661" i="1"/>
  <c r="Q3661" i="1"/>
  <c r="W3660" i="1"/>
  <c r="V3660" i="1"/>
  <c r="Q3660" i="1"/>
  <c r="W3659" i="1"/>
  <c r="V3659" i="1"/>
  <c r="Q3659" i="1"/>
  <c r="W3658" i="1"/>
  <c r="V3658" i="1"/>
  <c r="Q3658" i="1"/>
  <c r="W3657" i="1"/>
  <c r="V3657" i="1"/>
  <c r="Q3657" i="1"/>
  <c r="W3656" i="1"/>
  <c r="V3656" i="1"/>
  <c r="Q3656" i="1"/>
  <c r="W3655" i="1"/>
  <c r="V3655" i="1"/>
  <c r="Q3655" i="1"/>
  <c r="W3654" i="1"/>
  <c r="V3654" i="1"/>
  <c r="Q3654" i="1"/>
  <c r="W3653" i="1"/>
  <c r="V3653" i="1"/>
  <c r="Q3653" i="1"/>
  <c r="W3652" i="1"/>
  <c r="V3652" i="1"/>
  <c r="Q3652" i="1"/>
  <c r="W3651" i="1"/>
  <c r="V3651" i="1"/>
  <c r="Q3651" i="1"/>
  <c r="W3650" i="1"/>
  <c r="V3650" i="1"/>
  <c r="Q3650" i="1"/>
  <c r="W3649" i="1"/>
  <c r="V3649" i="1"/>
  <c r="Q3649" i="1"/>
  <c r="W3648" i="1"/>
  <c r="V3648" i="1"/>
  <c r="Q3648" i="1"/>
  <c r="W3647" i="1"/>
  <c r="V3647" i="1"/>
  <c r="Q3647" i="1"/>
  <c r="W3646" i="1"/>
  <c r="V3646" i="1"/>
  <c r="Q3646" i="1"/>
  <c r="W3645" i="1"/>
  <c r="V3645" i="1"/>
  <c r="Q3645" i="1"/>
  <c r="W3644" i="1"/>
  <c r="V3644" i="1"/>
  <c r="Q3644" i="1"/>
  <c r="W3643" i="1"/>
  <c r="V3643" i="1"/>
  <c r="Q3643" i="1"/>
  <c r="W3642" i="1"/>
  <c r="V3642" i="1"/>
  <c r="Q3642" i="1"/>
  <c r="W3641" i="1"/>
  <c r="V3641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W3068" i="1"/>
  <c r="V3068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W3046" i="1"/>
  <c r="V3046" i="1"/>
  <c r="Q3046" i="1"/>
  <c r="Q3045" i="1"/>
  <c r="Q3044" i="1"/>
  <c r="W3043" i="1"/>
  <c r="V3043" i="1"/>
  <c r="Q3043" i="1"/>
  <c r="W3042" i="1"/>
  <c r="V3042" i="1"/>
  <c r="Q3042" i="1"/>
  <c r="W3041" i="1"/>
  <c r="V3041" i="1"/>
  <c r="Q3041" i="1"/>
  <c r="Q3040" i="1"/>
  <c r="W3039" i="1"/>
  <c r="V3039" i="1"/>
  <c r="Q3039" i="1"/>
  <c r="W3038" i="1"/>
  <c r="V3038" i="1"/>
  <c r="Q3038" i="1"/>
  <c r="W3037" i="1"/>
  <c r="V3037" i="1"/>
  <c r="Q3037" i="1"/>
  <c r="W3036" i="1"/>
  <c r="V3036" i="1"/>
  <c r="Q3036" i="1"/>
  <c r="W3035" i="1"/>
  <c r="V3035" i="1"/>
  <c r="Q3035" i="1"/>
  <c r="W3034" i="1"/>
  <c r="V3034" i="1"/>
  <c r="Q3034" i="1"/>
  <c r="W3033" i="1"/>
  <c r="V3033" i="1"/>
  <c r="Q3033" i="1"/>
  <c r="W3032" i="1"/>
  <c r="V3032" i="1"/>
  <c r="Q3032" i="1"/>
  <c r="W3031" i="1"/>
  <c r="V3031" i="1"/>
  <c r="Q3031" i="1"/>
  <c r="W3030" i="1"/>
  <c r="V3030" i="1"/>
  <c r="Q3030" i="1"/>
  <c r="W3029" i="1"/>
  <c r="V3029" i="1"/>
  <c r="Q3029" i="1"/>
  <c r="W3028" i="1"/>
  <c r="V3028" i="1"/>
  <c r="Q3028" i="1"/>
  <c r="W3027" i="1"/>
  <c r="V3027" i="1"/>
  <c r="Q3027" i="1"/>
  <c r="W3026" i="1"/>
  <c r="V3026" i="1"/>
  <c r="Q3026" i="1"/>
  <c r="W3025" i="1"/>
  <c r="V3025" i="1"/>
  <c r="Q3025" i="1"/>
  <c r="W3024" i="1"/>
  <c r="V3024" i="1"/>
  <c r="Q3024" i="1"/>
  <c r="W3023" i="1"/>
  <c r="V3023" i="1"/>
  <c r="Q3023" i="1"/>
  <c r="W3022" i="1"/>
  <c r="V3022" i="1"/>
  <c r="Q3022" i="1"/>
  <c r="W3021" i="1"/>
  <c r="V3021" i="1"/>
  <c r="Q3021" i="1"/>
  <c r="W3020" i="1"/>
  <c r="V3020" i="1"/>
  <c r="Q3020" i="1"/>
  <c r="W3019" i="1"/>
  <c r="V3019" i="1"/>
  <c r="Q3019" i="1"/>
  <c r="W3018" i="1"/>
  <c r="V3018" i="1"/>
  <c r="Q3018" i="1"/>
  <c r="W3017" i="1"/>
  <c r="V3017" i="1"/>
  <c r="Q3017" i="1"/>
  <c r="W3016" i="1"/>
  <c r="V3016" i="1"/>
  <c r="Q3016" i="1"/>
  <c r="W3015" i="1"/>
  <c r="V3015" i="1"/>
  <c r="Q3015" i="1"/>
  <c r="W3014" i="1"/>
  <c r="V3014" i="1"/>
  <c r="Q3014" i="1"/>
  <c r="W3013" i="1"/>
  <c r="V3013" i="1"/>
  <c r="Q3013" i="1"/>
  <c r="W3012" i="1"/>
  <c r="V3012" i="1"/>
  <c r="Q3012" i="1"/>
  <c r="W3011" i="1"/>
  <c r="V3011" i="1"/>
  <c r="Q3011" i="1"/>
  <c r="W3010" i="1"/>
  <c r="V3010" i="1"/>
  <c r="Q3010" i="1"/>
  <c r="W3009" i="1"/>
  <c r="V3009" i="1"/>
  <c r="Q3009" i="1"/>
  <c r="W3008" i="1"/>
  <c r="V3008" i="1"/>
  <c r="Q3008" i="1"/>
  <c r="W3007" i="1"/>
  <c r="V3007" i="1"/>
  <c r="Q3007" i="1"/>
  <c r="W3006" i="1"/>
  <c r="V3006" i="1"/>
  <c r="Q3006" i="1"/>
  <c r="W3005" i="1"/>
  <c r="V3005" i="1"/>
  <c r="Q3005" i="1"/>
  <c r="W3004" i="1"/>
  <c r="V3004" i="1"/>
  <c r="Q3004" i="1"/>
  <c r="W3003" i="1"/>
  <c r="V3003" i="1"/>
  <c r="Q3003" i="1"/>
  <c r="W3002" i="1"/>
  <c r="V3002" i="1"/>
  <c r="Q3002" i="1"/>
  <c r="W3001" i="1"/>
  <c r="V3001" i="1"/>
  <c r="Q3001" i="1"/>
  <c r="W3000" i="1"/>
  <c r="V3000" i="1"/>
  <c r="Q3000" i="1"/>
  <c r="W2999" i="1"/>
  <c r="V2999" i="1"/>
  <c r="Q2999" i="1"/>
  <c r="W2998" i="1"/>
  <c r="V2998" i="1"/>
  <c r="Q2998" i="1"/>
  <c r="W2997" i="1"/>
  <c r="V2997" i="1"/>
  <c r="Q2997" i="1"/>
  <c r="W2996" i="1"/>
  <c r="V2996" i="1"/>
  <c r="Q2996" i="1"/>
  <c r="W2995" i="1"/>
  <c r="V2995" i="1"/>
  <c r="Q2995" i="1"/>
  <c r="W2994" i="1"/>
  <c r="V2994" i="1"/>
  <c r="Q2994" i="1"/>
  <c r="W2993" i="1"/>
  <c r="V2993" i="1"/>
  <c r="Q2993" i="1"/>
  <c r="W2992" i="1"/>
  <c r="V2992" i="1"/>
  <c r="Q2992" i="1"/>
  <c r="W2991" i="1"/>
  <c r="V2991" i="1"/>
  <c r="Q2991" i="1"/>
  <c r="W2990" i="1"/>
  <c r="V2990" i="1"/>
  <c r="Q2990" i="1"/>
  <c r="W2989" i="1"/>
  <c r="V2989" i="1"/>
  <c r="Q2989" i="1"/>
  <c r="W2988" i="1"/>
  <c r="V2988" i="1"/>
  <c r="Q2988" i="1"/>
  <c r="W2987" i="1"/>
  <c r="V2987" i="1"/>
  <c r="Q2987" i="1"/>
  <c r="W2986" i="1"/>
  <c r="V2986" i="1"/>
  <c r="Q2986" i="1"/>
  <c r="W2985" i="1"/>
  <c r="V2985" i="1"/>
  <c r="Q2985" i="1"/>
  <c r="W2984" i="1"/>
  <c r="V2984" i="1"/>
  <c r="Q2984" i="1"/>
  <c r="W2983" i="1"/>
  <c r="V2983" i="1"/>
  <c r="Q2983" i="1"/>
  <c r="W2982" i="1"/>
  <c r="V2982" i="1"/>
  <c r="Q2982" i="1"/>
  <c r="W2981" i="1"/>
  <c r="V2981" i="1"/>
  <c r="Q2981" i="1"/>
  <c r="W2980" i="1"/>
  <c r="V2980" i="1"/>
  <c r="Q2980" i="1"/>
  <c r="W2979" i="1"/>
  <c r="V2979" i="1"/>
  <c r="Q2979" i="1"/>
  <c r="W2978" i="1"/>
  <c r="V2978" i="1"/>
  <c r="Q2978" i="1"/>
  <c r="W2977" i="1"/>
  <c r="V2977" i="1"/>
  <c r="Q2977" i="1"/>
  <c r="W2976" i="1"/>
  <c r="V2976" i="1"/>
  <c r="Q2976" i="1"/>
  <c r="W2975" i="1"/>
  <c r="V2975" i="1"/>
  <c r="Q2975" i="1"/>
  <c r="W2974" i="1"/>
  <c r="V2974" i="1"/>
  <c r="Q2974" i="1"/>
  <c r="W2973" i="1"/>
  <c r="V2973" i="1"/>
  <c r="Q2973" i="1"/>
  <c r="W2972" i="1"/>
  <c r="V2972" i="1"/>
  <c r="Q2972" i="1"/>
  <c r="W2971" i="1"/>
  <c r="V2971" i="1"/>
  <c r="Q2971" i="1"/>
  <c r="W2970" i="1"/>
  <c r="V2970" i="1"/>
  <c r="Q2970" i="1"/>
  <c r="W2969" i="1"/>
  <c r="V2969" i="1"/>
  <c r="Q2969" i="1"/>
  <c r="W2968" i="1"/>
  <c r="V2968" i="1"/>
  <c r="Q2968" i="1"/>
  <c r="W2967" i="1"/>
  <c r="V2967" i="1"/>
  <c r="Q2967" i="1"/>
  <c r="W2966" i="1"/>
  <c r="V2966" i="1"/>
  <c r="Q2966" i="1"/>
  <c r="W2965" i="1"/>
  <c r="V2965" i="1"/>
  <c r="Q2965" i="1"/>
  <c r="W2964" i="1"/>
  <c r="V2964" i="1"/>
  <c r="Q2964" i="1"/>
  <c r="W2963" i="1"/>
  <c r="V2963" i="1"/>
  <c r="Q2963" i="1"/>
  <c r="W2962" i="1"/>
  <c r="V2962" i="1"/>
  <c r="Q2962" i="1"/>
  <c r="W2961" i="1"/>
  <c r="V2961" i="1"/>
  <c r="Q2961" i="1"/>
  <c r="W2960" i="1"/>
  <c r="V2960" i="1"/>
  <c r="Q2960" i="1"/>
  <c r="W2959" i="1"/>
  <c r="V2959" i="1"/>
  <c r="Q2959" i="1"/>
  <c r="W2958" i="1"/>
  <c r="V2958" i="1"/>
  <c r="Q2958" i="1"/>
  <c r="W2957" i="1"/>
  <c r="V2957" i="1"/>
  <c r="Q2957" i="1"/>
  <c r="W2956" i="1"/>
  <c r="V2956" i="1"/>
  <c r="Q2956" i="1"/>
  <c r="W2955" i="1"/>
  <c r="V2955" i="1"/>
  <c r="Q2955" i="1"/>
  <c r="W2954" i="1"/>
  <c r="V2954" i="1"/>
  <c r="Q2954" i="1"/>
  <c r="W2953" i="1"/>
  <c r="V2953" i="1"/>
  <c r="Q2953" i="1"/>
  <c r="W2952" i="1"/>
  <c r="V2952" i="1"/>
  <c r="Q2952" i="1"/>
  <c r="W2951" i="1"/>
  <c r="V2951" i="1"/>
  <c r="Q2951" i="1"/>
  <c r="W2950" i="1"/>
  <c r="V2950" i="1"/>
  <c r="Q2950" i="1"/>
  <c r="W2949" i="1"/>
  <c r="V2949" i="1"/>
  <c r="Q2949" i="1"/>
  <c r="W2948" i="1"/>
  <c r="V2948" i="1"/>
  <c r="Q2948" i="1"/>
  <c r="W2947" i="1"/>
  <c r="V2947" i="1"/>
  <c r="Q2947" i="1"/>
  <c r="W2946" i="1"/>
  <c r="V2946" i="1"/>
  <c r="Q2946" i="1"/>
  <c r="W2945" i="1"/>
  <c r="V2945" i="1"/>
  <c r="Q2945" i="1"/>
  <c r="W2944" i="1"/>
  <c r="V2944" i="1"/>
  <c r="Q2944" i="1"/>
  <c r="W2943" i="1"/>
  <c r="V2943" i="1"/>
  <c r="Q2943" i="1"/>
  <c r="W2942" i="1"/>
  <c r="V2942" i="1"/>
  <c r="Q2942" i="1"/>
  <c r="W2941" i="1"/>
  <c r="V2941" i="1"/>
  <c r="Q2941" i="1"/>
  <c r="W2940" i="1"/>
  <c r="V2940" i="1"/>
  <c r="Q2940" i="1"/>
  <c r="W2939" i="1"/>
  <c r="V2939" i="1"/>
  <c r="Q2939" i="1"/>
  <c r="W2938" i="1"/>
  <c r="V2938" i="1"/>
  <c r="Q2938" i="1"/>
  <c r="W2937" i="1"/>
  <c r="V2937" i="1"/>
  <c r="Q2937" i="1"/>
  <c r="W2936" i="1"/>
  <c r="V2936" i="1"/>
  <c r="Q2936" i="1"/>
  <c r="W2935" i="1"/>
  <c r="V2935" i="1"/>
  <c r="Q2935" i="1"/>
  <c r="W2934" i="1"/>
  <c r="V2934" i="1"/>
  <c r="Q2934" i="1"/>
  <c r="W2933" i="1"/>
  <c r="V2933" i="1"/>
  <c r="Q2933" i="1"/>
  <c r="W2932" i="1"/>
  <c r="V2932" i="1"/>
  <c r="Q2932" i="1"/>
  <c r="W2931" i="1"/>
  <c r="V2931" i="1"/>
  <c r="Q2931" i="1"/>
  <c r="W2930" i="1"/>
  <c r="V2930" i="1"/>
  <c r="Q2930" i="1"/>
  <c r="W2929" i="1"/>
  <c r="V2929" i="1"/>
  <c r="Q2929" i="1"/>
  <c r="W2928" i="1"/>
  <c r="V2928" i="1"/>
  <c r="Q2928" i="1"/>
  <c r="W2927" i="1"/>
  <c r="V2927" i="1"/>
  <c r="Q2927" i="1"/>
  <c r="W2926" i="1"/>
  <c r="V2926" i="1"/>
  <c r="Q2926" i="1"/>
  <c r="W2925" i="1"/>
  <c r="V2925" i="1"/>
  <c r="Q2925" i="1"/>
  <c r="W2924" i="1"/>
  <c r="V2924" i="1"/>
  <c r="Q2924" i="1"/>
  <c r="W2923" i="1"/>
  <c r="V2923" i="1"/>
  <c r="Q2923" i="1"/>
  <c r="W2922" i="1"/>
  <c r="V2922" i="1"/>
  <c r="Q2922" i="1"/>
  <c r="W2921" i="1"/>
  <c r="V2921" i="1"/>
  <c r="Q2921" i="1"/>
  <c r="W2920" i="1"/>
  <c r="V2920" i="1"/>
  <c r="Q2920" i="1"/>
  <c r="W2919" i="1"/>
  <c r="V2919" i="1"/>
  <c r="Q2919" i="1"/>
  <c r="W2918" i="1"/>
  <c r="V2918" i="1"/>
  <c r="Q2918" i="1"/>
  <c r="W2917" i="1"/>
  <c r="V2917" i="1"/>
  <c r="Q2917" i="1"/>
  <c r="W2916" i="1"/>
  <c r="V2916" i="1"/>
  <c r="Q2916" i="1"/>
  <c r="W2915" i="1"/>
  <c r="V2915" i="1"/>
  <c r="Q2915" i="1"/>
  <c r="W2914" i="1"/>
  <c r="V2914" i="1"/>
  <c r="Q2914" i="1"/>
  <c r="W2913" i="1"/>
  <c r="V2913" i="1"/>
  <c r="Q2913" i="1"/>
  <c r="W2912" i="1"/>
  <c r="V2912" i="1"/>
  <c r="Q2912" i="1"/>
  <c r="W2911" i="1"/>
  <c r="V2911" i="1"/>
  <c r="Q2911" i="1"/>
  <c r="W2910" i="1"/>
  <c r="V2910" i="1"/>
  <c r="Q2910" i="1"/>
  <c r="W2909" i="1"/>
  <c r="V2909" i="1"/>
  <c r="Q2909" i="1"/>
  <c r="W2908" i="1"/>
  <c r="V2908" i="1"/>
  <c r="Q2908" i="1"/>
  <c r="W2907" i="1"/>
  <c r="V2907" i="1"/>
  <c r="Q2907" i="1"/>
  <c r="W2906" i="1"/>
  <c r="V2906" i="1"/>
  <c r="Q2906" i="1"/>
  <c r="W2905" i="1"/>
  <c r="V2905" i="1"/>
  <c r="Q2905" i="1"/>
  <c r="W2904" i="1"/>
  <c r="V2904" i="1"/>
  <c r="Q2904" i="1"/>
  <c r="W2903" i="1"/>
  <c r="V2903" i="1"/>
  <c r="Q2903" i="1"/>
  <c r="W2902" i="1"/>
  <c r="V2902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W2866" i="1"/>
  <c r="V2866" i="1"/>
  <c r="Q2866" i="1"/>
  <c r="Q2865" i="1"/>
  <c r="Q2864" i="1"/>
  <c r="Q2863" i="1"/>
  <c r="W2862" i="1"/>
  <c r="V2862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W2709" i="1"/>
  <c r="V2709" i="1"/>
  <c r="Q2709" i="1"/>
  <c r="W2708" i="1"/>
  <c r="V2708" i="1"/>
  <c r="Q2708" i="1"/>
  <c r="W2707" i="1"/>
  <c r="V2707" i="1"/>
  <c r="Q2707" i="1"/>
  <c r="W2706" i="1"/>
  <c r="V2706" i="1"/>
  <c r="Q2706" i="1"/>
  <c r="W2705" i="1"/>
  <c r="V2705" i="1"/>
  <c r="Q2705" i="1"/>
  <c r="W2704" i="1"/>
  <c r="V2704" i="1"/>
  <c r="Q2704" i="1"/>
  <c r="W2703" i="1"/>
  <c r="V2703" i="1"/>
  <c r="Q2703" i="1"/>
  <c r="W2702" i="1"/>
  <c r="V2702" i="1"/>
  <c r="Q2702" i="1"/>
  <c r="W2701" i="1"/>
  <c r="V2701" i="1"/>
  <c r="Q2701" i="1"/>
  <c r="W2700" i="1"/>
  <c r="V2700" i="1"/>
  <c r="Q2700" i="1"/>
  <c r="W2699" i="1"/>
  <c r="V2699" i="1"/>
  <c r="Q2699" i="1"/>
  <c r="W2698" i="1"/>
  <c r="V2698" i="1"/>
  <c r="Q2698" i="1"/>
  <c r="W2697" i="1"/>
  <c r="V2697" i="1"/>
  <c r="Q2697" i="1"/>
  <c r="W2696" i="1"/>
  <c r="V2696" i="1"/>
  <c r="Q2696" i="1"/>
  <c r="W2695" i="1"/>
  <c r="V2695" i="1"/>
  <c r="Q2695" i="1"/>
  <c r="W2694" i="1"/>
  <c r="V2694" i="1"/>
  <c r="Q2694" i="1"/>
  <c r="W2693" i="1"/>
  <c r="V2693" i="1"/>
  <c r="Q2693" i="1"/>
  <c r="W2692" i="1"/>
  <c r="V2692" i="1"/>
  <c r="Q2692" i="1"/>
  <c r="W2691" i="1"/>
  <c r="V2691" i="1"/>
  <c r="Q2691" i="1"/>
  <c r="W2690" i="1"/>
  <c r="V2690" i="1"/>
  <c r="Q2690" i="1"/>
  <c r="W2689" i="1"/>
  <c r="V2689" i="1"/>
  <c r="Q2689" i="1"/>
  <c r="W2688" i="1"/>
  <c r="V2688" i="1"/>
  <c r="Q2688" i="1"/>
  <c r="W2687" i="1"/>
  <c r="V2687" i="1"/>
  <c r="Q2687" i="1"/>
  <c r="W2686" i="1"/>
  <c r="V2686" i="1"/>
  <c r="Q2686" i="1"/>
  <c r="W2685" i="1"/>
  <c r="V2685" i="1"/>
  <c r="Q2685" i="1"/>
  <c r="W2684" i="1"/>
  <c r="V2684" i="1"/>
  <c r="Q2684" i="1"/>
  <c r="W2683" i="1"/>
  <c r="V2683" i="1"/>
  <c r="Q2683" i="1"/>
  <c r="W2682" i="1"/>
  <c r="V2682" i="1"/>
  <c r="Q2682" i="1"/>
  <c r="W2681" i="1"/>
  <c r="V2681" i="1"/>
  <c r="Q2681" i="1"/>
  <c r="W2680" i="1"/>
  <c r="V2680" i="1"/>
  <c r="Q2680" i="1"/>
  <c r="W2679" i="1"/>
  <c r="V2679" i="1"/>
  <c r="Q2679" i="1"/>
  <c r="W2678" i="1"/>
  <c r="V2678" i="1"/>
  <c r="Q2678" i="1"/>
  <c r="W2677" i="1"/>
  <c r="V2677" i="1"/>
  <c r="Q2677" i="1"/>
  <c r="W2676" i="1"/>
  <c r="V2676" i="1"/>
  <c r="Q2676" i="1"/>
  <c r="W2675" i="1"/>
  <c r="V2675" i="1"/>
  <c r="Q2675" i="1"/>
  <c r="W2674" i="1"/>
  <c r="V2674" i="1"/>
  <c r="Q2674" i="1"/>
  <c r="W2673" i="1"/>
  <c r="V2673" i="1"/>
  <c r="Q2673" i="1"/>
  <c r="W2672" i="1"/>
  <c r="V2672" i="1"/>
  <c r="Q2672" i="1"/>
  <c r="W2671" i="1"/>
  <c r="V2671" i="1"/>
  <c r="Q2671" i="1"/>
  <c r="W2670" i="1"/>
  <c r="V2670" i="1"/>
  <c r="Q2670" i="1"/>
  <c r="W2669" i="1"/>
  <c r="V2669" i="1"/>
  <c r="Q2669" i="1"/>
  <c r="W2668" i="1"/>
  <c r="V2668" i="1"/>
  <c r="Q2668" i="1"/>
  <c r="W2667" i="1"/>
  <c r="V2667" i="1"/>
  <c r="Q2667" i="1"/>
  <c r="W2666" i="1"/>
  <c r="V2666" i="1"/>
  <c r="Q2666" i="1"/>
  <c r="W2665" i="1"/>
  <c r="V2665" i="1"/>
  <c r="Q2665" i="1"/>
  <c r="W2664" i="1"/>
  <c r="V2664" i="1"/>
  <c r="Q2664" i="1"/>
  <c r="W2663" i="1"/>
  <c r="V2663" i="1"/>
  <c r="Q2663" i="1"/>
  <c r="W2662" i="1"/>
  <c r="V2662" i="1"/>
  <c r="Q2662" i="1"/>
  <c r="W2661" i="1"/>
  <c r="V2661" i="1"/>
  <c r="Q2661" i="1"/>
  <c r="W2660" i="1"/>
  <c r="V2660" i="1"/>
  <c r="Q2660" i="1"/>
  <c r="W2659" i="1"/>
  <c r="V2659" i="1"/>
  <c r="Q2659" i="1"/>
  <c r="W2658" i="1"/>
  <c r="V2658" i="1"/>
  <c r="Q2658" i="1"/>
  <c r="W2657" i="1"/>
  <c r="V2657" i="1"/>
  <c r="Q2657" i="1"/>
  <c r="W2656" i="1"/>
  <c r="V2656" i="1"/>
  <c r="Q2656" i="1"/>
  <c r="W2655" i="1"/>
  <c r="V2655" i="1"/>
  <c r="Q2655" i="1"/>
  <c r="W2654" i="1"/>
  <c r="V2654" i="1"/>
  <c r="Q2654" i="1"/>
  <c r="W2653" i="1"/>
  <c r="V2653" i="1"/>
  <c r="Q2653" i="1"/>
  <c r="W2652" i="1"/>
  <c r="V2652" i="1"/>
  <c r="Q2652" i="1"/>
  <c r="W2651" i="1"/>
  <c r="V2651" i="1"/>
  <c r="Q2651" i="1"/>
  <c r="W2650" i="1"/>
  <c r="V2650" i="1"/>
  <c r="Q2650" i="1"/>
  <c r="W2649" i="1"/>
  <c r="V2649" i="1"/>
  <c r="Q2649" i="1"/>
  <c r="W2648" i="1"/>
  <c r="V2648" i="1"/>
  <c r="Q2648" i="1"/>
  <c r="W2647" i="1"/>
  <c r="V2647" i="1"/>
  <c r="Q2647" i="1"/>
  <c r="W2646" i="1"/>
  <c r="V2646" i="1"/>
  <c r="Q2646" i="1"/>
  <c r="W2645" i="1"/>
  <c r="V2645" i="1"/>
  <c r="Q2645" i="1"/>
  <c r="W2644" i="1"/>
  <c r="V2644" i="1"/>
  <c r="Q2644" i="1"/>
  <c r="W2643" i="1"/>
  <c r="V2643" i="1"/>
  <c r="Q2643" i="1"/>
  <c r="W2642" i="1"/>
  <c r="V2642" i="1"/>
  <c r="Q2642" i="1"/>
  <c r="W2641" i="1"/>
  <c r="V2641" i="1"/>
  <c r="Q2641" i="1"/>
  <c r="W2640" i="1"/>
  <c r="V2640" i="1"/>
  <c r="Q2640" i="1"/>
  <c r="W2639" i="1"/>
  <c r="V2639" i="1"/>
  <c r="Q2639" i="1"/>
  <c r="W2638" i="1"/>
  <c r="V2638" i="1"/>
  <c r="Q2638" i="1"/>
  <c r="W2637" i="1"/>
  <c r="V2637" i="1"/>
  <c r="Q2637" i="1"/>
  <c r="W2636" i="1"/>
  <c r="V2636" i="1"/>
  <c r="Q2636" i="1"/>
  <c r="W2635" i="1"/>
  <c r="V2635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W2384" i="1"/>
  <c r="V2384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W1900" i="1"/>
  <c r="V1900" i="1"/>
  <c r="Q1900" i="1"/>
  <c r="W1899" i="1"/>
  <c r="V1899" i="1"/>
  <c r="Q1899" i="1"/>
  <c r="W1898" i="1"/>
  <c r="V1898" i="1"/>
  <c r="Q1898" i="1"/>
  <c r="W1897" i="1"/>
  <c r="V1897" i="1"/>
  <c r="Q1897" i="1"/>
  <c r="W1896" i="1"/>
  <c r="V1896" i="1"/>
  <c r="Q1896" i="1"/>
  <c r="Q1895" i="1"/>
  <c r="Q1894" i="1"/>
  <c r="W1893" i="1"/>
  <c r="V1893" i="1"/>
  <c r="Q1893" i="1"/>
  <c r="Q1892" i="1"/>
  <c r="W1891" i="1"/>
  <c r="V1891" i="1"/>
  <c r="Q1891" i="1"/>
  <c r="W1890" i="1"/>
  <c r="V1890" i="1"/>
  <c r="Q1890" i="1"/>
  <c r="W1889" i="1"/>
  <c r="V1889" i="1"/>
  <c r="Q1889" i="1"/>
  <c r="W1888" i="1"/>
  <c r="V1888" i="1"/>
  <c r="Q1888" i="1"/>
  <c r="W1887" i="1"/>
  <c r="V1887" i="1"/>
  <c r="Q1887" i="1"/>
  <c r="W1886" i="1"/>
  <c r="V1886" i="1"/>
  <c r="Q1886" i="1"/>
  <c r="W1885" i="1"/>
  <c r="V1885" i="1"/>
  <c r="Q1885" i="1"/>
  <c r="W1884" i="1"/>
  <c r="V1884" i="1"/>
  <c r="Q1884" i="1"/>
  <c r="W1883" i="1"/>
  <c r="V1883" i="1"/>
  <c r="Q1883" i="1"/>
  <c r="W1882" i="1"/>
  <c r="V1882" i="1"/>
  <c r="Q1882" i="1"/>
  <c r="W1881" i="1"/>
  <c r="V1881" i="1"/>
  <c r="Q1881" i="1"/>
  <c r="W1880" i="1"/>
  <c r="V1880" i="1"/>
  <c r="Q1880" i="1"/>
  <c r="W1879" i="1"/>
  <c r="V1879" i="1"/>
  <c r="Q1879" i="1"/>
  <c r="W1878" i="1"/>
  <c r="V1878" i="1"/>
  <c r="Q1878" i="1"/>
  <c r="W1877" i="1"/>
  <c r="V1877" i="1"/>
  <c r="Q1877" i="1"/>
  <c r="W1876" i="1"/>
  <c r="V1876" i="1"/>
  <c r="Q1876" i="1"/>
  <c r="W1875" i="1"/>
  <c r="V1875" i="1"/>
  <c r="Q1875" i="1"/>
  <c r="W1874" i="1"/>
  <c r="V1874" i="1"/>
  <c r="Q1874" i="1"/>
  <c r="W1873" i="1"/>
  <c r="V1873" i="1"/>
  <c r="Q1873" i="1"/>
  <c r="W1872" i="1"/>
  <c r="V1872" i="1"/>
  <c r="Q1872" i="1"/>
  <c r="W1871" i="1"/>
  <c r="V1871" i="1"/>
  <c r="Q1871" i="1"/>
  <c r="W1870" i="1"/>
  <c r="V1870" i="1"/>
  <c r="Q1870" i="1"/>
  <c r="W1869" i="1"/>
  <c r="V1869" i="1"/>
  <c r="Q1869" i="1"/>
  <c r="W1868" i="1"/>
  <c r="V1868" i="1"/>
  <c r="Q1868" i="1"/>
  <c r="W1867" i="1"/>
  <c r="V1867" i="1"/>
  <c r="Q1867" i="1"/>
  <c r="W1866" i="1"/>
  <c r="V1866" i="1"/>
  <c r="Q1866" i="1"/>
  <c r="W1865" i="1"/>
  <c r="V1865" i="1"/>
  <c r="Q1865" i="1"/>
  <c r="W1864" i="1"/>
  <c r="V1864" i="1"/>
  <c r="Q1864" i="1"/>
  <c r="W1863" i="1"/>
  <c r="V1863" i="1"/>
  <c r="Q1863" i="1"/>
  <c r="W1862" i="1"/>
  <c r="V1862" i="1"/>
  <c r="Q1862" i="1"/>
  <c r="W1861" i="1"/>
  <c r="V1861" i="1"/>
  <c r="Q1861" i="1"/>
  <c r="W1860" i="1"/>
  <c r="V1860" i="1"/>
  <c r="Q1860" i="1"/>
  <c r="W1859" i="1"/>
  <c r="V1859" i="1"/>
  <c r="Q1859" i="1"/>
  <c r="W1858" i="1"/>
  <c r="V1858" i="1"/>
  <c r="Q1858" i="1"/>
  <c r="W1857" i="1"/>
  <c r="V1857" i="1"/>
  <c r="Q1857" i="1"/>
  <c r="W1856" i="1"/>
  <c r="V1856" i="1"/>
  <c r="Q1856" i="1"/>
  <c r="W1855" i="1"/>
  <c r="V1855" i="1"/>
  <c r="Q1855" i="1"/>
  <c r="W1854" i="1"/>
  <c r="V1854" i="1"/>
  <c r="Q1854" i="1"/>
  <c r="W1853" i="1"/>
  <c r="V1853" i="1"/>
  <c r="Q1853" i="1"/>
  <c r="W1852" i="1"/>
  <c r="V1852" i="1"/>
  <c r="Q1852" i="1"/>
  <c r="W1851" i="1"/>
  <c r="V1851" i="1"/>
  <c r="Q1851" i="1"/>
  <c r="W1850" i="1"/>
  <c r="V1850" i="1"/>
  <c r="Q1850" i="1"/>
  <c r="W1849" i="1"/>
  <c r="V1849" i="1"/>
  <c r="Q1849" i="1"/>
  <c r="W1848" i="1"/>
  <c r="V1848" i="1"/>
  <c r="Q1848" i="1"/>
  <c r="W1847" i="1"/>
  <c r="V1847" i="1"/>
  <c r="Q1847" i="1"/>
  <c r="W1846" i="1"/>
  <c r="V1846" i="1"/>
  <c r="Q1846" i="1"/>
  <c r="W1845" i="1"/>
  <c r="V1845" i="1"/>
  <c r="Q1845" i="1"/>
  <c r="W1844" i="1"/>
  <c r="V1844" i="1"/>
  <c r="Q1844" i="1"/>
  <c r="W1843" i="1"/>
  <c r="V1843" i="1"/>
  <c r="Q1843" i="1"/>
  <c r="W1842" i="1"/>
  <c r="V1842" i="1"/>
  <c r="Q1842" i="1"/>
  <c r="W1841" i="1"/>
  <c r="V1841" i="1"/>
  <c r="Q1841" i="1"/>
  <c r="W1840" i="1"/>
  <c r="V1840" i="1"/>
  <c r="Q1840" i="1"/>
  <c r="W1839" i="1"/>
  <c r="V1839" i="1"/>
  <c r="Q1839" i="1"/>
  <c r="W1838" i="1"/>
  <c r="V1838" i="1"/>
  <c r="Q1838" i="1"/>
  <c r="W1837" i="1"/>
  <c r="V1837" i="1"/>
  <c r="Q1837" i="1"/>
  <c r="W1836" i="1"/>
  <c r="V1836" i="1"/>
  <c r="Q1836" i="1"/>
  <c r="W1835" i="1"/>
  <c r="V1835" i="1"/>
  <c r="Q1835" i="1"/>
  <c r="W1834" i="1"/>
  <c r="V1834" i="1"/>
  <c r="Q1834" i="1"/>
  <c r="W1833" i="1"/>
  <c r="V1833" i="1"/>
  <c r="Q1833" i="1"/>
  <c r="W1832" i="1"/>
  <c r="V1832" i="1"/>
  <c r="Q1832" i="1"/>
  <c r="W1831" i="1"/>
  <c r="V1831" i="1"/>
  <c r="Q1831" i="1"/>
  <c r="W1830" i="1"/>
  <c r="V1830" i="1"/>
  <c r="Q1830" i="1"/>
  <c r="W1829" i="1"/>
  <c r="V1829" i="1"/>
  <c r="Q1829" i="1"/>
  <c r="W1828" i="1"/>
  <c r="V1828" i="1"/>
  <c r="Q1828" i="1"/>
  <c r="W1827" i="1"/>
  <c r="V1827" i="1"/>
  <c r="Q1827" i="1"/>
  <c r="W1826" i="1"/>
  <c r="V1826" i="1"/>
  <c r="Q1826" i="1"/>
  <c r="W1825" i="1"/>
  <c r="V1825" i="1"/>
  <c r="Q1825" i="1"/>
  <c r="W1824" i="1"/>
  <c r="V1824" i="1"/>
  <c r="Q1824" i="1"/>
  <c r="W1823" i="1"/>
  <c r="V1823" i="1"/>
  <c r="Q1823" i="1"/>
  <c r="W1822" i="1"/>
  <c r="V1822" i="1"/>
  <c r="Q1822" i="1"/>
  <c r="W1821" i="1"/>
  <c r="V1821" i="1"/>
  <c r="Q1821" i="1"/>
  <c r="W1820" i="1"/>
  <c r="V1820" i="1"/>
  <c r="Q1820" i="1"/>
  <c r="W1819" i="1"/>
  <c r="V1819" i="1"/>
  <c r="Q1819" i="1"/>
  <c r="W1818" i="1"/>
  <c r="V1818" i="1"/>
  <c r="Q1818" i="1"/>
  <c r="W1817" i="1"/>
  <c r="V1817" i="1"/>
  <c r="Q1817" i="1"/>
  <c r="W1816" i="1"/>
  <c r="V1816" i="1"/>
  <c r="Q1816" i="1"/>
  <c r="W1815" i="1"/>
  <c r="V1815" i="1"/>
  <c r="Q1815" i="1"/>
  <c r="W1814" i="1"/>
  <c r="V1814" i="1"/>
  <c r="Q1814" i="1"/>
  <c r="W1813" i="1"/>
  <c r="V1813" i="1"/>
  <c r="Q1813" i="1"/>
  <c r="W1812" i="1"/>
  <c r="V1812" i="1"/>
  <c r="Q1812" i="1"/>
  <c r="W1811" i="1"/>
  <c r="V1811" i="1"/>
  <c r="Q1811" i="1"/>
  <c r="W1810" i="1"/>
  <c r="V1810" i="1"/>
  <c r="Q1810" i="1"/>
  <c r="W1809" i="1"/>
  <c r="V1809" i="1"/>
  <c r="Q1809" i="1"/>
  <c r="W1808" i="1"/>
  <c r="V1808" i="1"/>
  <c r="Q1808" i="1"/>
  <c r="W1807" i="1"/>
  <c r="V1807" i="1"/>
  <c r="Q1807" i="1"/>
  <c r="W1806" i="1"/>
  <c r="V1806" i="1"/>
  <c r="Q1806" i="1"/>
  <c r="W1805" i="1"/>
  <c r="V1805" i="1"/>
  <c r="Q1805" i="1"/>
  <c r="W1804" i="1"/>
  <c r="V1804" i="1"/>
  <c r="Q1804" i="1"/>
  <c r="W1803" i="1"/>
  <c r="V1803" i="1"/>
  <c r="Q1803" i="1"/>
  <c r="W1802" i="1"/>
  <c r="V1802" i="1"/>
  <c r="Q1802" i="1"/>
  <c r="W1801" i="1"/>
  <c r="V1801" i="1"/>
  <c r="Q1801" i="1"/>
  <c r="W1800" i="1"/>
  <c r="V1800" i="1"/>
  <c r="Q1800" i="1"/>
  <c r="W1799" i="1"/>
  <c r="V1799" i="1"/>
  <c r="Q1799" i="1"/>
  <c r="W1798" i="1"/>
  <c r="V1798" i="1"/>
  <c r="Q1798" i="1"/>
  <c r="W1797" i="1"/>
  <c r="V1797" i="1"/>
  <c r="Q1797" i="1"/>
  <c r="W1796" i="1"/>
  <c r="V1796" i="1"/>
  <c r="Q1796" i="1"/>
  <c r="W1795" i="1"/>
  <c r="V1795" i="1"/>
  <c r="Q1795" i="1"/>
  <c r="W1794" i="1"/>
  <c r="V1794" i="1"/>
  <c r="Q1794" i="1"/>
  <c r="W1793" i="1"/>
  <c r="V1793" i="1"/>
  <c r="Q1793" i="1"/>
  <c r="W1792" i="1"/>
  <c r="V1792" i="1"/>
  <c r="Q1792" i="1"/>
  <c r="W1791" i="1"/>
  <c r="V1791" i="1"/>
  <c r="Q1791" i="1"/>
  <c r="W1790" i="1"/>
  <c r="V1790" i="1"/>
  <c r="Q1790" i="1"/>
  <c r="W1789" i="1"/>
  <c r="V1789" i="1"/>
  <c r="Q1789" i="1"/>
  <c r="W1788" i="1"/>
  <c r="V1788" i="1"/>
  <c r="Q1788" i="1"/>
  <c r="W1787" i="1"/>
  <c r="V1787" i="1"/>
  <c r="Q1787" i="1"/>
  <c r="W1786" i="1"/>
  <c r="V1786" i="1"/>
  <c r="Q1786" i="1"/>
  <c r="W1785" i="1"/>
  <c r="V1785" i="1"/>
  <c r="Q1785" i="1"/>
  <c r="W1784" i="1"/>
  <c r="V1784" i="1"/>
  <c r="Q1784" i="1"/>
  <c r="W1783" i="1"/>
  <c r="V1783" i="1"/>
  <c r="Q1783" i="1"/>
  <c r="W1782" i="1"/>
  <c r="V1782" i="1"/>
  <c r="Q1782" i="1"/>
  <c r="W1781" i="1"/>
  <c r="V1781" i="1"/>
  <c r="Q1781" i="1"/>
  <c r="W1780" i="1"/>
  <c r="V1780" i="1"/>
  <c r="Q1780" i="1"/>
  <c r="W1779" i="1"/>
  <c r="V1779" i="1"/>
  <c r="Q1779" i="1"/>
  <c r="W1778" i="1"/>
  <c r="V1778" i="1"/>
  <c r="Q1778" i="1"/>
  <c r="W1777" i="1"/>
  <c r="V1777" i="1"/>
  <c r="Q1777" i="1"/>
  <c r="W1776" i="1"/>
  <c r="V1776" i="1"/>
  <c r="Q1776" i="1"/>
  <c r="W1775" i="1"/>
  <c r="V1775" i="1"/>
  <c r="Q1775" i="1"/>
  <c r="W1774" i="1"/>
  <c r="V1774" i="1"/>
  <c r="Q1774" i="1"/>
  <c r="W1773" i="1"/>
  <c r="V1773" i="1"/>
  <c r="Q1773" i="1"/>
  <c r="W1772" i="1"/>
  <c r="V1772" i="1"/>
  <c r="Q1772" i="1"/>
  <c r="W1771" i="1"/>
  <c r="V1771" i="1"/>
  <c r="Q1771" i="1"/>
  <c r="W1770" i="1"/>
  <c r="V1770" i="1"/>
  <c r="Q1770" i="1"/>
  <c r="W1769" i="1"/>
  <c r="V1769" i="1"/>
  <c r="Q1769" i="1"/>
  <c r="W1768" i="1"/>
  <c r="V1768" i="1"/>
  <c r="Q1768" i="1"/>
  <c r="W1767" i="1"/>
  <c r="V1767" i="1"/>
  <c r="Q1767" i="1"/>
  <c r="W1766" i="1"/>
  <c r="V1766" i="1"/>
  <c r="Q1766" i="1"/>
  <c r="W1765" i="1"/>
  <c r="V1765" i="1"/>
  <c r="Q1765" i="1"/>
  <c r="W1764" i="1"/>
  <c r="V1764" i="1"/>
  <c r="Q1764" i="1"/>
  <c r="W1763" i="1"/>
  <c r="V1763" i="1"/>
  <c r="Q1763" i="1"/>
  <c r="W1762" i="1"/>
  <c r="V1762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W1611" i="1"/>
  <c r="V1611" i="1"/>
  <c r="Q1611" i="1"/>
  <c r="W1610" i="1"/>
  <c r="V1610" i="1"/>
  <c r="Q1610" i="1"/>
  <c r="W1609" i="1"/>
  <c r="V1609" i="1"/>
  <c r="Q1609" i="1"/>
  <c r="W1608" i="1"/>
  <c r="V1608" i="1"/>
  <c r="Q1608" i="1"/>
  <c r="W1607" i="1"/>
  <c r="V1607" i="1"/>
  <c r="Q1607" i="1"/>
  <c r="W1606" i="1"/>
  <c r="V1606" i="1"/>
  <c r="Q1606" i="1"/>
  <c r="W1605" i="1"/>
  <c r="V1605" i="1"/>
  <c r="Q1605" i="1"/>
  <c r="W1604" i="1"/>
  <c r="V1604" i="1"/>
  <c r="Q1604" i="1"/>
  <c r="W1603" i="1"/>
  <c r="V1603" i="1"/>
  <c r="Q1603" i="1"/>
  <c r="W1602" i="1"/>
  <c r="V1602" i="1"/>
  <c r="Q1602" i="1"/>
  <c r="W1601" i="1"/>
  <c r="V1601" i="1"/>
  <c r="Q1601" i="1"/>
  <c r="W1600" i="1"/>
  <c r="V1600" i="1"/>
  <c r="Q1600" i="1"/>
  <c r="W1599" i="1"/>
  <c r="V1599" i="1"/>
  <c r="Q1599" i="1"/>
  <c r="W1598" i="1"/>
  <c r="V1598" i="1"/>
  <c r="Q1598" i="1"/>
  <c r="W1597" i="1"/>
  <c r="V1597" i="1"/>
  <c r="Q1597" i="1"/>
  <c r="W1596" i="1"/>
  <c r="V1596" i="1"/>
  <c r="Q1596" i="1"/>
  <c r="W1595" i="1"/>
  <c r="V1595" i="1"/>
  <c r="Q1595" i="1"/>
  <c r="W1594" i="1"/>
  <c r="V1594" i="1"/>
  <c r="Q1594" i="1"/>
  <c r="W1593" i="1"/>
  <c r="V1593" i="1"/>
  <c r="Q1593" i="1"/>
  <c r="W1592" i="1"/>
  <c r="V1592" i="1"/>
  <c r="Q1592" i="1"/>
  <c r="W1591" i="1"/>
  <c r="V1591" i="1"/>
  <c r="Q1591" i="1"/>
  <c r="W1590" i="1"/>
  <c r="V1590" i="1"/>
  <c r="Q1590" i="1"/>
  <c r="W1589" i="1"/>
  <c r="V1589" i="1"/>
  <c r="Q1589" i="1"/>
  <c r="W1588" i="1"/>
  <c r="V1588" i="1"/>
  <c r="Q1588" i="1"/>
  <c r="W1587" i="1"/>
  <c r="V1587" i="1"/>
  <c r="Q1587" i="1"/>
  <c r="W1586" i="1"/>
  <c r="V1586" i="1"/>
  <c r="Q1586" i="1"/>
  <c r="W1585" i="1"/>
  <c r="V1585" i="1"/>
  <c r="Q1585" i="1"/>
  <c r="W1584" i="1"/>
  <c r="V1584" i="1"/>
  <c r="Q1584" i="1"/>
  <c r="W1583" i="1"/>
  <c r="V1583" i="1"/>
  <c r="Q1583" i="1"/>
  <c r="W1582" i="1"/>
  <c r="V1582" i="1"/>
  <c r="Q1582" i="1"/>
  <c r="W1581" i="1"/>
  <c r="V1581" i="1"/>
  <c r="Q1581" i="1"/>
  <c r="W1580" i="1"/>
  <c r="V1580" i="1"/>
  <c r="Q1580" i="1"/>
  <c r="W1579" i="1"/>
  <c r="V1579" i="1"/>
  <c r="Q1579" i="1"/>
  <c r="W1578" i="1"/>
  <c r="V1578" i="1"/>
  <c r="Q1578" i="1"/>
  <c r="W1577" i="1"/>
  <c r="V1577" i="1"/>
  <c r="Q1577" i="1"/>
  <c r="W1576" i="1"/>
  <c r="V1576" i="1"/>
  <c r="Q1576" i="1"/>
  <c r="W1575" i="1"/>
  <c r="V1575" i="1"/>
  <c r="Q1575" i="1"/>
  <c r="W1574" i="1"/>
  <c r="V1574" i="1"/>
  <c r="Q1574" i="1"/>
  <c r="W1573" i="1"/>
  <c r="V1573" i="1"/>
  <c r="Q1573" i="1"/>
  <c r="W1572" i="1"/>
  <c r="V1572" i="1"/>
  <c r="Q1572" i="1"/>
  <c r="W1571" i="1"/>
  <c r="V1571" i="1"/>
  <c r="Q1571" i="1"/>
  <c r="W1570" i="1"/>
  <c r="V1570" i="1"/>
  <c r="Q1570" i="1"/>
  <c r="W1569" i="1"/>
  <c r="V1569" i="1"/>
  <c r="Q1569" i="1"/>
  <c r="W1568" i="1"/>
  <c r="V1568" i="1"/>
  <c r="Q1568" i="1"/>
  <c r="W1567" i="1"/>
  <c r="V1567" i="1"/>
  <c r="Q1567" i="1"/>
  <c r="W1566" i="1"/>
  <c r="V1566" i="1"/>
  <c r="Q1566" i="1"/>
  <c r="W1565" i="1"/>
  <c r="V1565" i="1"/>
  <c r="Q1565" i="1"/>
  <c r="W1564" i="1"/>
  <c r="V1564" i="1"/>
  <c r="Q1564" i="1"/>
  <c r="W1563" i="1"/>
  <c r="V1563" i="1"/>
  <c r="Q1563" i="1"/>
  <c r="W1562" i="1"/>
  <c r="V1562" i="1"/>
  <c r="Q1562" i="1"/>
  <c r="W1561" i="1"/>
  <c r="V1561" i="1"/>
  <c r="Q1561" i="1"/>
  <c r="W1560" i="1"/>
  <c r="V1560" i="1"/>
  <c r="Q1560" i="1"/>
  <c r="W1559" i="1"/>
  <c r="V1559" i="1"/>
  <c r="Q1559" i="1"/>
  <c r="W1558" i="1"/>
  <c r="V1558" i="1"/>
  <c r="Q1558" i="1"/>
  <c r="W1557" i="1"/>
  <c r="V1557" i="1"/>
  <c r="Q1557" i="1"/>
  <c r="W1556" i="1"/>
  <c r="V1556" i="1"/>
  <c r="Q1556" i="1"/>
  <c r="W1555" i="1"/>
  <c r="V1555" i="1"/>
  <c r="Q1555" i="1"/>
  <c r="W1554" i="1"/>
  <c r="V1554" i="1"/>
  <c r="Q1554" i="1"/>
  <c r="W1553" i="1"/>
  <c r="V1553" i="1"/>
  <c r="Q1553" i="1"/>
  <c r="W1552" i="1"/>
  <c r="V1552" i="1"/>
  <c r="Q1552" i="1"/>
  <c r="W1551" i="1"/>
  <c r="V1551" i="1"/>
  <c r="Q1551" i="1"/>
  <c r="W1550" i="1"/>
  <c r="V1550" i="1"/>
  <c r="Q1550" i="1"/>
  <c r="W1549" i="1"/>
  <c r="V1549" i="1"/>
  <c r="Q1549" i="1"/>
  <c r="W1548" i="1"/>
  <c r="V1548" i="1"/>
  <c r="Q1548" i="1"/>
  <c r="W1547" i="1"/>
  <c r="V1547" i="1"/>
  <c r="Q1547" i="1"/>
  <c r="W1546" i="1"/>
  <c r="V1546" i="1"/>
  <c r="Q1546" i="1"/>
  <c r="W1545" i="1"/>
  <c r="V1545" i="1"/>
  <c r="Q1545" i="1"/>
  <c r="W1544" i="1"/>
  <c r="V1544" i="1"/>
  <c r="Q1544" i="1"/>
  <c r="W1543" i="1"/>
  <c r="V1543" i="1"/>
  <c r="Q1543" i="1"/>
  <c r="W1542" i="1"/>
  <c r="V1542" i="1"/>
  <c r="Q1542" i="1"/>
  <c r="W1541" i="1"/>
  <c r="V1541" i="1"/>
  <c r="Q1541" i="1"/>
  <c r="W1540" i="1"/>
  <c r="V1540" i="1"/>
  <c r="Q1540" i="1"/>
  <c r="W1539" i="1"/>
  <c r="V1539" i="1"/>
  <c r="Q1539" i="1"/>
  <c r="W1538" i="1"/>
  <c r="V1538" i="1"/>
  <c r="Q1538" i="1"/>
  <c r="W1537" i="1"/>
  <c r="V1537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W1203" i="1"/>
  <c r="V1203" i="1"/>
  <c r="Q1203" i="1"/>
  <c r="W1202" i="1"/>
  <c r="V1202" i="1"/>
  <c r="Q1202" i="1"/>
  <c r="W1201" i="1"/>
  <c r="V1201" i="1"/>
  <c r="Q1201" i="1"/>
  <c r="W1200" i="1"/>
  <c r="V1200" i="1"/>
  <c r="Q1200" i="1"/>
  <c r="W1199" i="1"/>
  <c r="V1199" i="1"/>
  <c r="Q1199" i="1"/>
  <c r="W1198" i="1"/>
  <c r="V1198" i="1"/>
  <c r="Q1198" i="1"/>
  <c r="W1197" i="1"/>
  <c r="V1197" i="1"/>
  <c r="Q1197" i="1"/>
  <c r="W1196" i="1"/>
  <c r="V1196" i="1"/>
  <c r="Q1196" i="1"/>
  <c r="W1195" i="1"/>
  <c r="V1195" i="1"/>
  <c r="Q1195" i="1"/>
  <c r="W1194" i="1"/>
  <c r="V1194" i="1"/>
  <c r="Q1194" i="1"/>
  <c r="W1193" i="1"/>
  <c r="V1193" i="1"/>
  <c r="Q1193" i="1"/>
  <c r="W1192" i="1"/>
  <c r="V1192" i="1"/>
  <c r="Q1192" i="1"/>
  <c r="W1191" i="1"/>
  <c r="V1191" i="1"/>
  <c r="Q1191" i="1"/>
  <c r="W1190" i="1"/>
  <c r="V1190" i="1"/>
  <c r="Q1190" i="1"/>
  <c r="W1189" i="1"/>
  <c r="V1189" i="1"/>
  <c r="Q1189" i="1"/>
  <c r="W1188" i="1"/>
  <c r="V1188" i="1"/>
  <c r="Q1188" i="1"/>
  <c r="W1187" i="1"/>
  <c r="V1187" i="1"/>
  <c r="Q1187" i="1"/>
  <c r="W1186" i="1"/>
  <c r="V1186" i="1"/>
  <c r="Q1186" i="1"/>
  <c r="W1185" i="1"/>
  <c r="V1185" i="1"/>
  <c r="Q1185" i="1"/>
  <c r="W1184" i="1"/>
  <c r="V1184" i="1"/>
  <c r="Q1184" i="1"/>
  <c r="W1183" i="1"/>
  <c r="V1183" i="1"/>
  <c r="Q1183" i="1"/>
  <c r="W1182" i="1"/>
  <c r="V1182" i="1"/>
  <c r="Q1182" i="1"/>
  <c r="W1181" i="1"/>
  <c r="V1181" i="1"/>
  <c r="Q1181" i="1"/>
  <c r="W1180" i="1"/>
  <c r="V1180" i="1"/>
  <c r="Q1180" i="1"/>
  <c r="W1179" i="1"/>
  <c r="V1179" i="1"/>
  <c r="Q1179" i="1"/>
  <c r="W1178" i="1"/>
  <c r="V1178" i="1"/>
  <c r="Q1178" i="1"/>
  <c r="W1177" i="1"/>
  <c r="V1177" i="1"/>
  <c r="Q1177" i="1"/>
  <c r="W1176" i="1"/>
  <c r="V1176" i="1"/>
  <c r="Q1176" i="1"/>
  <c r="W1175" i="1"/>
  <c r="V1175" i="1"/>
  <c r="Q1175" i="1"/>
  <c r="W1174" i="1"/>
  <c r="V1174" i="1"/>
  <c r="Q1174" i="1"/>
  <c r="W1173" i="1"/>
  <c r="V1173" i="1"/>
  <c r="Q1173" i="1"/>
  <c r="W1172" i="1"/>
  <c r="V1172" i="1"/>
  <c r="Q1172" i="1"/>
  <c r="W1171" i="1"/>
  <c r="V1171" i="1"/>
  <c r="Q1171" i="1"/>
  <c r="W1170" i="1"/>
  <c r="V1170" i="1"/>
  <c r="Q1170" i="1"/>
  <c r="W1169" i="1"/>
  <c r="V1169" i="1"/>
  <c r="Q1169" i="1"/>
  <c r="W1168" i="1"/>
  <c r="V1168" i="1"/>
  <c r="Q1168" i="1"/>
  <c r="W1167" i="1"/>
  <c r="V1167" i="1"/>
  <c r="Q1167" i="1"/>
  <c r="W1166" i="1"/>
  <c r="V1166" i="1"/>
  <c r="Q1166" i="1"/>
  <c r="W1165" i="1"/>
  <c r="V1165" i="1"/>
  <c r="Q1165" i="1"/>
  <c r="W1164" i="1"/>
  <c r="V1164" i="1"/>
  <c r="Q1164" i="1"/>
  <c r="W1163" i="1"/>
  <c r="V1163" i="1"/>
  <c r="Q1163" i="1"/>
  <c r="W1162" i="1"/>
  <c r="V1162" i="1"/>
  <c r="Q1162" i="1"/>
  <c r="W1161" i="1"/>
  <c r="V1161" i="1"/>
  <c r="Q1161" i="1"/>
  <c r="W1160" i="1"/>
  <c r="V1160" i="1"/>
  <c r="Q1160" i="1"/>
  <c r="W1159" i="1"/>
  <c r="V1159" i="1"/>
  <c r="Q1159" i="1"/>
  <c r="W1158" i="1"/>
  <c r="V1158" i="1"/>
  <c r="Q1158" i="1"/>
  <c r="W1157" i="1"/>
  <c r="V1157" i="1"/>
  <c r="Q1157" i="1"/>
  <c r="W1156" i="1"/>
  <c r="V1156" i="1"/>
  <c r="Q1156" i="1"/>
  <c r="W1155" i="1"/>
  <c r="V1155" i="1"/>
  <c r="Q1155" i="1"/>
  <c r="W1154" i="1"/>
  <c r="V1154" i="1"/>
  <c r="Q1154" i="1"/>
  <c r="W1153" i="1"/>
  <c r="V1153" i="1"/>
  <c r="Q1153" i="1"/>
  <c r="W1152" i="1"/>
  <c r="V1152" i="1"/>
  <c r="Q1152" i="1"/>
  <c r="W1151" i="1"/>
  <c r="V1151" i="1"/>
  <c r="Q1151" i="1"/>
  <c r="W1150" i="1"/>
  <c r="V1150" i="1"/>
  <c r="Q1150" i="1"/>
  <c r="W1149" i="1"/>
  <c r="V1149" i="1"/>
  <c r="Q1149" i="1"/>
  <c r="W1148" i="1"/>
  <c r="V1148" i="1"/>
  <c r="Q1148" i="1"/>
  <c r="W1147" i="1"/>
  <c r="V1147" i="1"/>
  <c r="Q1147" i="1"/>
  <c r="W1146" i="1"/>
  <c r="V1146" i="1"/>
  <c r="Q1146" i="1"/>
  <c r="W1145" i="1"/>
  <c r="V1145" i="1"/>
  <c r="Q1145" i="1"/>
  <c r="W1144" i="1"/>
  <c r="V1144" i="1"/>
  <c r="Q1144" i="1"/>
  <c r="W1143" i="1"/>
  <c r="V1143" i="1"/>
  <c r="Q1143" i="1"/>
  <c r="W1142" i="1"/>
  <c r="V1142" i="1"/>
  <c r="Q1142" i="1"/>
  <c r="W1141" i="1"/>
  <c r="V1141" i="1"/>
  <c r="Q1141" i="1"/>
  <c r="W1140" i="1"/>
  <c r="V1140" i="1"/>
  <c r="Q1140" i="1"/>
  <c r="W1139" i="1"/>
  <c r="V1139" i="1"/>
  <c r="Q1139" i="1"/>
  <c r="W1138" i="1"/>
  <c r="V1138" i="1"/>
  <c r="Q1138" i="1"/>
  <c r="W1137" i="1"/>
  <c r="V1137" i="1"/>
  <c r="Q1137" i="1"/>
  <c r="W1136" i="1"/>
  <c r="V1136" i="1"/>
  <c r="Q1136" i="1"/>
  <c r="W1135" i="1"/>
  <c r="V1135" i="1"/>
  <c r="Q1135" i="1"/>
  <c r="W1134" i="1"/>
  <c r="V1134" i="1"/>
  <c r="Q1134" i="1"/>
  <c r="W1133" i="1"/>
  <c r="V1133" i="1"/>
  <c r="Q1133" i="1"/>
  <c r="Q1132" i="1"/>
  <c r="Q1131" i="1"/>
  <c r="W1130" i="1"/>
  <c r="V1130" i="1"/>
  <c r="Q1130" i="1"/>
  <c r="W1129" i="1"/>
  <c r="V1129" i="1"/>
  <c r="Q1129" i="1"/>
  <c r="W1128" i="1"/>
  <c r="V1128" i="1"/>
  <c r="Q1128" i="1"/>
  <c r="W1127" i="1"/>
  <c r="V1127" i="1"/>
  <c r="Q1127" i="1"/>
  <c r="Q1126" i="1"/>
  <c r="W1125" i="1"/>
  <c r="V1125" i="1"/>
  <c r="Q1125" i="1"/>
  <c r="W1124" i="1"/>
  <c r="V1124" i="1"/>
  <c r="Q1124" i="1"/>
  <c r="W1123" i="1"/>
  <c r="V1123" i="1"/>
  <c r="Q1123" i="1"/>
  <c r="W1122" i="1"/>
  <c r="V1122" i="1"/>
  <c r="Q1122" i="1"/>
  <c r="W1121" i="1"/>
  <c r="V1121" i="1"/>
  <c r="Q1121" i="1"/>
  <c r="W1120" i="1"/>
  <c r="V1120" i="1"/>
  <c r="Q1120" i="1"/>
  <c r="W1119" i="1"/>
  <c r="V1119" i="1"/>
  <c r="Q1119" i="1"/>
  <c r="W1118" i="1"/>
  <c r="V1118" i="1"/>
  <c r="Q1118" i="1"/>
  <c r="W1117" i="1"/>
  <c r="V1117" i="1"/>
  <c r="Q1117" i="1"/>
  <c r="W1116" i="1"/>
  <c r="V1116" i="1"/>
  <c r="Q1116" i="1"/>
  <c r="W1115" i="1"/>
  <c r="V1115" i="1"/>
  <c r="Q1115" i="1"/>
  <c r="W1114" i="1"/>
  <c r="V1114" i="1"/>
  <c r="Q1114" i="1"/>
  <c r="W1113" i="1"/>
  <c r="V1113" i="1"/>
  <c r="Q1113" i="1"/>
  <c r="W1112" i="1"/>
  <c r="V1112" i="1"/>
  <c r="Q1112" i="1"/>
  <c r="W1111" i="1"/>
  <c r="V1111" i="1"/>
  <c r="Q1111" i="1"/>
  <c r="W1110" i="1"/>
  <c r="V1110" i="1"/>
  <c r="Q1110" i="1"/>
  <c r="W1109" i="1"/>
  <c r="V1109" i="1"/>
  <c r="Q1109" i="1"/>
  <c r="W1108" i="1"/>
  <c r="V1108" i="1"/>
  <c r="Q1108" i="1"/>
  <c r="W1107" i="1"/>
  <c r="V1107" i="1"/>
  <c r="Q1107" i="1"/>
  <c r="W1106" i="1"/>
  <c r="V1106" i="1"/>
  <c r="Q1106" i="1"/>
  <c r="W1105" i="1"/>
  <c r="V1105" i="1"/>
  <c r="Q1105" i="1"/>
  <c r="W1104" i="1"/>
  <c r="V1104" i="1"/>
  <c r="Q1104" i="1"/>
  <c r="W1103" i="1"/>
  <c r="V1103" i="1"/>
  <c r="Q1103" i="1"/>
  <c r="W1102" i="1"/>
  <c r="V1102" i="1"/>
  <c r="Q1102" i="1"/>
  <c r="W1101" i="1"/>
  <c r="V1101" i="1"/>
  <c r="Q1101" i="1"/>
  <c r="W1100" i="1"/>
  <c r="V1100" i="1"/>
  <c r="Q1100" i="1"/>
  <c r="W1099" i="1"/>
  <c r="V1099" i="1"/>
  <c r="Q1099" i="1"/>
  <c r="W1098" i="1"/>
  <c r="V1098" i="1"/>
  <c r="Q1098" i="1"/>
  <c r="W1097" i="1"/>
  <c r="V1097" i="1"/>
  <c r="Q1097" i="1"/>
  <c r="W1096" i="1"/>
  <c r="V1096" i="1"/>
  <c r="Q1096" i="1"/>
  <c r="W1095" i="1"/>
  <c r="V1095" i="1"/>
  <c r="Q1095" i="1"/>
  <c r="W1094" i="1"/>
  <c r="V1094" i="1"/>
  <c r="Q1094" i="1"/>
  <c r="W1093" i="1"/>
  <c r="V1093" i="1"/>
  <c r="Q1093" i="1"/>
  <c r="W1092" i="1"/>
  <c r="V1092" i="1"/>
  <c r="Q1092" i="1"/>
  <c r="W1091" i="1"/>
  <c r="V1091" i="1"/>
  <c r="Q1091" i="1"/>
  <c r="W1090" i="1"/>
  <c r="V1090" i="1"/>
  <c r="Q1090" i="1"/>
  <c r="W1089" i="1"/>
  <c r="V1089" i="1"/>
  <c r="Q1089" i="1"/>
  <c r="W1088" i="1"/>
  <c r="V1088" i="1"/>
  <c r="Q1088" i="1"/>
  <c r="W1087" i="1"/>
  <c r="V1087" i="1"/>
  <c r="Q1087" i="1"/>
  <c r="W1086" i="1"/>
  <c r="V1086" i="1"/>
  <c r="Q1086" i="1"/>
  <c r="W1085" i="1"/>
  <c r="V1085" i="1"/>
  <c r="Q1085" i="1"/>
  <c r="W1084" i="1"/>
  <c r="V1084" i="1"/>
  <c r="Q1084" i="1"/>
  <c r="W1083" i="1"/>
  <c r="V1083" i="1"/>
  <c r="Q1083" i="1"/>
  <c r="W1082" i="1"/>
  <c r="V1082" i="1"/>
  <c r="Q1082" i="1"/>
  <c r="W1081" i="1"/>
  <c r="V1081" i="1"/>
  <c r="Q1081" i="1"/>
  <c r="W1080" i="1"/>
  <c r="V1080" i="1"/>
  <c r="Q1080" i="1"/>
  <c r="W1079" i="1"/>
  <c r="V1079" i="1"/>
  <c r="Q1079" i="1"/>
  <c r="W1078" i="1"/>
  <c r="V1078" i="1"/>
  <c r="Q1078" i="1"/>
  <c r="W1077" i="1"/>
  <c r="V1077" i="1"/>
  <c r="Q1077" i="1"/>
  <c r="W1076" i="1"/>
  <c r="V1076" i="1"/>
  <c r="Q1076" i="1"/>
  <c r="W1075" i="1"/>
  <c r="V1075" i="1"/>
  <c r="Q1075" i="1"/>
  <c r="W1074" i="1"/>
  <c r="V1074" i="1"/>
  <c r="Q1074" i="1"/>
  <c r="W1073" i="1"/>
  <c r="V1073" i="1"/>
  <c r="Q1073" i="1"/>
  <c r="W1072" i="1"/>
  <c r="V1072" i="1"/>
  <c r="Q1072" i="1"/>
  <c r="W1071" i="1"/>
  <c r="V1071" i="1"/>
  <c r="Q1071" i="1"/>
  <c r="W1070" i="1"/>
  <c r="V1070" i="1"/>
  <c r="Q1070" i="1"/>
  <c r="W1069" i="1"/>
  <c r="V1069" i="1"/>
  <c r="Q1069" i="1"/>
  <c r="W1068" i="1"/>
  <c r="V1068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W810" i="1"/>
  <c r="V810" i="1"/>
  <c r="Q810" i="1"/>
  <c r="W809" i="1"/>
  <c r="V809" i="1"/>
  <c r="Q809" i="1"/>
  <c r="W808" i="1"/>
  <c r="V808" i="1"/>
  <c r="Q808" i="1"/>
  <c r="W807" i="1"/>
  <c r="V807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W632" i="1"/>
  <c r="V632" i="1"/>
  <c r="Q632" i="1"/>
  <c r="W631" i="1"/>
  <c r="V631" i="1"/>
  <c r="Q631" i="1"/>
  <c r="W630" i="1"/>
  <c r="V630" i="1"/>
  <c r="Q630" i="1"/>
  <c r="W629" i="1"/>
  <c r="V629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W502" i="1"/>
  <c r="V502" i="1"/>
  <c r="Q502" i="1"/>
  <c r="Q501" i="1"/>
  <c r="W500" i="1"/>
  <c r="V500" i="1"/>
  <c r="Q500" i="1"/>
  <c r="W499" i="1"/>
  <c r="V499" i="1"/>
  <c r="Q499" i="1"/>
  <c r="W498" i="1"/>
  <c r="V498" i="1"/>
  <c r="Q498" i="1"/>
  <c r="W497" i="1"/>
  <c r="V497" i="1"/>
  <c r="Q497" i="1"/>
  <c r="W496" i="1"/>
  <c r="V496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BF573-B6F3-419E-85DC-04C8D8B0BE43}" keepAlive="1" name="Consulta - SAPROV (2)" description="Conexión a la consulta 'SAPROV (2)' en el libro." type="5" refreshedVersion="8" background="1" saveData="1">
    <dbPr connection="Provider=Microsoft.Mashup.OleDb.1;Data Source=$Workbook$;Location=&quot;SAPROV (2)&quot;;Extended Properties=&quot;&quot;" command="SELECT * FROM [SAPROV (2)]"/>
  </connection>
</connections>
</file>

<file path=xl/sharedStrings.xml><?xml version="1.0" encoding="utf-8"?>
<sst xmlns="http://schemas.openxmlformats.org/spreadsheetml/2006/main" count="66486" uniqueCount="16070">
  <si>
    <t xml:space="preserve">DRIVE SR ALFONZO S/FAC </t>
  </si>
  <si>
    <t>ENERO-SEPTIEMBRE</t>
  </si>
  <si>
    <t>3188732,86 BS</t>
  </si>
  <si>
    <t>REVISADO CON COMERCIALIZADORA HASTA JUNIO.CUADRADO</t>
  </si>
  <si>
    <t>OCTUBRE</t>
  </si>
  <si>
    <t>RESUMEN ANUAL</t>
  </si>
  <si>
    <t>DESCRIP2</t>
  </si>
  <si>
    <t>DESCRIP3</t>
  </si>
  <si>
    <t>DESCRIP1</t>
  </si>
  <si>
    <t>DESCRIP5</t>
  </si>
  <si>
    <t>CODPROV</t>
  </si>
  <si>
    <t>CODITEM</t>
  </si>
  <si>
    <t>DESCRIP4</t>
  </si>
  <si>
    <t>MONTO</t>
  </si>
  <si>
    <t>DESCRIP6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</si>
  <si>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</si>
  <si>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</si>
  <si>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</si>
  <si>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</si>
  <si>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</si>
  <si>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</si>
  <si>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</si>
  <si>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</si>
  <si>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</si>
  <si>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</si>
  <si>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</si>
  <si>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</si>
  <si>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</si>
  <si>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</si>
  <si>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</si>
  <si>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</si>
  <si>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</si>
  <si>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</si>
  <si>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</si>
  <si>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Inversiones y materiales parra/fact 719/3 perfiles-Inversión Galpón de Tolva de Alimentación de Molino de Materia Prima</t>
  </si>
  <si>
    <t>D</t>
  </si>
  <si>
    <t>CUENTAS POR PAGAR PROVEEDORES</t>
  </si>
  <si>
    <t>01-0001</t>
  </si>
  <si>
    <t>SERVL005</t>
  </si>
  <si>
    <t>GASTOS MEJORAS DE LA PLANTA</t>
  </si>
  <si>
    <t>MERCANTIL</t>
  </si>
  <si>
    <t xml:space="preserve">OP.CRED.DIRT. CLTE-CLTE PJ  ELECTRON  </t>
  </si>
  <si>
    <t>COMISIONES BANCARIAS</t>
  </si>
  <si>
    <t>SERVB001E</t>
  </si>
  <si>
    <t>04-310125</t>
  </si>
  <si>
    <t>COMERCIALIZADORA/INVERSION DE CAPITAL/MERCANTIL</t>
  </si>
  <si>
    <t>C</t>
  </si>
  <si>
    <t>CUENTAS POR PAGAR INTERCOMPAÑIAS</t>
  </si>
  <si>
    <t xml:space="preserve">EMISION CARTA DE REFERENCIA BANCARIA  </t>
  </si>
  <si>
    <t>EMISION EDO. DE CTA. MONEDA NAC. EXT.</t>
  </si>
  <si>
    <t xml:space="preserve">TARIFA MANTENIMIENTO DE CUENTA   </t>
  </si>
  <si>
    <t xml:space="preserve">COMIS. CR.I OB          </t>
  </si>
  <si>
    <t>01-0008</t>
  </si>
  <si>
    <t>PROVINCIAL</t>
  </si>
  <si>
    <t>FARELIZ ARRIECHE/GASOLINA VEHICULO GERENTE</t>
  </si>
  <si>
    <t>GASTO COMBUSTIBLE GASOLINA</t>
  </si>
  <si>
    <t>01-0009</t>
  </si>
  <si>
    <t>SERVA041E</t>
  </si>
  <si>
    <t>GASTOS COMBUSTIBLES PERSONAL</t>
  </si>
  <si>
    <t>S/FACT</t>
  </si>
  <si>
    <t>12-100125</t>
  </si>
  <si>
    <t>COMERCIALIZADORA INVERION DE CAPITAL/TESORO</t>
  </si>
  <si>
    <t>01-0010</t>
  </si>
  <si>
    <t>01-0011</t>
  </si>
  <si>
    <t>JOSE RAFAEL MORALES GUARECUCO/BONIFICCAION 1ERA QUINCENA</t>
  </si>
  <si>
    <t>BONO COMPLEMENTARIO POR PAGAR</t>
  </si>
  <si>
    <t>01-0012</t>
  </si>
  <si>
    <t>SERVC006E</t>
  </si>
  <si>
    <t>SUELDOS Y SALARIOS/BONO ALIMENTACION</t>
  </si>
  <si>
    <t>TENDENCIAS/INVERSION DE CAPITAL/PROVINCIAL</t>
  </si>
  <si>
    <t>01-0013</t>
  </si>
  <si>
    <t>01-0014</t>
  </si>
  <si>
    <t>01-0015</t>
  </si>
  <si>
    <t>12-170125</t>
  </si>
  <si>
    <t>COMERCIALIZADORA INVERION DE CAPITAL/PROVINCIAL</t>
  </si>
  <si>
    <t>01-0016</t>
  </si>
  <si>
    <t>01-0017</t>
  </si>
  <si>
    <t>01-0018</t>
  </si>
  <si>
    <t>12-240125</t>
  </si>
  <si>
    <t>01-0019</t>
  </si>
  <si>
    <t>01-0020</t>
  </si>
  <si>
    <t>JOSE RAFAEL MORALES GUARECUCO/BONIFICCAION 2DA QUINCENA ENERO</t>
  </si>
  <si>
    <t>01-0021</t>
  </si>
  <si>
    <t>01-0022</t>
  </si>
  <si>
    <t xml:space="preserve">COM.EM.EDO.CTA          </t>
  </si>
  <si>
    <t>01-0023</t>
  </si>
  <si>
    <t xml:space="preserve">COM.MTTO.CTA.           </t>
  </si>
  <si>
    <t>01-0024</t>
  </si>
  <si>
    <t xml:space="preserve">COM TRF TERCERO PB      </t>
  </si>
  <si>
    <t>01-0025</t>
  </si>
  <si>
    <t>OLGA OROZCO/RESIDENCIA OPERADOR</t>
  </si>
  <si>
    <t>CAPACITACION Y DESARROLLO</t>
  </si>
  <si>
    <t>01-0026</t>
  </si>
  <si>
    <t>SERVA048E</t>
  </si>
  <si>
    <t>GASTOS CONDOMINIO</t>
  </si>
  <si>
    <t>45-310125</t>
  </si>
  <si>
    <t>01-0027</t>
  </si>
  <si>
    <t>01-0028</t>
  </si>
  <si>
    <t>12-310125</t>
  </si>
  <si>
    <t>01-0029</t>
  </si>
  <si>
    <t>FARELIZ/MTTO VEHICULO GERENTE</t>
  </si>
  <si>
    <t>MANTENIMIENTO VEHICULOS PERS. M/O</t>
  </si>
  <si>
    <t>01-0030</t>
  </si>
  <si>
    <t>SERVA012E</t>
  </si>
  <si>
    <t>GASTOS MANTENIMIENTO VEHICULOS</t>
  </si>
  <si>
    <t>17-310125</t>
  </si>
  <si>
    <t>01-0031</t>
  </si>
  <si>
    <t>COMERCIALIZADORA/INVERSION DE CAPITAL/TESORO</t>
  </si>
  <si>
    <t>01-0032</t>
  </si>
  <si>
    <t>TESORO</t>
  </si>
  <si>
    <t>FERRETERIA Y MATERIALES OBRA GRIS 2021 C/FACT 233/PLANTA CEMENTO</t>
  </si>
  <si>
    <t>01-0033</t>
  </si>
  <si>
    <t>DIOSANNY ALVAREZ/FACT 104/correspondiente a la semana 23/12 al 27/12/24 de comida, en la campaña del yeso de Camunare.</t>
  </si>
  <si>
    <t>01-0034</t>
  </si>
  <si>
    <t>SERVA021</t>
  </si>
  <si>
    <t>GASTOS VIATICOS</t>
  </si>
  <si>
    <t>FERRETERIA Y MATERIALES OBRA GRIS 2021/FACT 234/PLANTA CEMENTO</t>
  </si>
  <si>
    <t>01-0035</t>
  </si>
  <si>
    <t>COMISION PAGO A PROVEE OTROS B</t>
  </si>
  <si>
    <t>01-0036</t>
  </si>
  <si>
    <t>HECTOR/GOBERNACION DEL 23/12 AL 29/12</t>
  </si>
  <si>
    <t>SUELDOS Y SALARIOS POR PAGAR</t>
  </si>
  <si>
    <t>01-0037</t>
  </si>
  <si>
    <t>COMISION USO CANAL IB</t>
  </si>
  <si>
    <t>01-0038</t>
  </si>
  <si>
    <t>PROTECCION DE LAS PENSIONES/PERIODO DICIEMBRE 2024</t>
  </si>
  <si>
    <t>PROTECCION A LA PENSIONES POR PAGAR</t>
  </si>
  <si>
    <t>01-0039</t>
  </si>
  <si>
    <t>SERVC011E</t>
  </si>
  <si>
    <t>PROTECCION A LAS PENSIONES</t>
  </si>
  <si>
    <t>02-03125</t>
  </si>
  <si>
    <t>COMERCIALIZADORA/INVERSION DE CAPITAL/BANESCO</t>
  </si>
  <si>
    <t>01-0040</t>
  </si>
  <si>
    <t>01-0041</t>
  </si>
  <si>
    <t>12-010125</t>
  </si>
  <si>
    <t xml:space="preserve">ALBERTO PERNALETE/FACTURA 000005/reembolso correspondiente a la semana 30/12 al 03/01/25 campaña yeso comunare FACTURA 000005 </t>
  </si>
  <si>
    <t>01-0042</t>
  </si>
  <si>
    <t>AURELIANO LEON/07 DIAS/personal que laboro en la campaña de yeso la semana del 30/12 al 05/01/25</t>
  </si>
  <si>
    <t>01-0043</t>
  </si>
  <si>
    <t>FREDDY MENDOZA/2 DIAS/personal que laboro en la campaña de yeso la semana del 30/12 al 05/01/25</t>
  </si>
  <si>
    <t>01-0044</t>
  </si>
  <si>
    <t>LINO FLOREZ/01 DIAS/personal que laboro en la campaña de yeso la semana del 30/12 al 05/01/25</t>
  </si>
  <si>
    <t>01-0045</t>
  </si>
  <si>
    <t>JOSE LUIS CASTILLOS/05 DIAS/personal que laboro en la campaña de yeso la semana del 30/12 al 05/01/25</t>
  </si>
  <si>
    <t>01-0046</t>
  </si>
  <si>
    <t>LEONARDO CHIRINO/pago bono para operador aprobado por Wilians Aleman-20$/CAMION</t>
  </si>
  <si>
    <t>01-0047</t>
  </si>
  <si>
    <t>JEFFERSON DAVILA/pago bono para operador aprobado por Wilians Aleman-20$/operador de excavador</t>
  </si>
  <si>
    <t>01-0048</t>
  </si>
  <si>
    <t>ROBER ARIAS/pago bono para operador aprobado por Wilians Aleman-20$/operador de tractor</t>
  </si>
  <si>
    <t>01-0049</t>
  </si>
  <si>
    <t>01-0050</t>
  </si>
  <si>
    <t>01-0051</t>
  </si>
  <si>
    <t>Brunito Segundo Cordero/Eventual agregado-30/12/2024 AL 05/01/2025</t>
  </si>
  <si>
    <t>01-0052</t>
  </si>
  <si>
    <t>Delios Adolfo Ferrara/Eventual agregado-30/12/2024 AL 05/01/2025</t>
  </si>
  <si>
    <t>01-0053</t>
  </si>
  <si>
    <t>Eliomar Jesús Escalona/Eventual agregado-30/12/2024 AL 05/01/2025</t>
  </si>
  <si>
    <t>01-0054</t>
  </si>
  <si>
    <t>José Guillermo Cortez/Eventual agregado-30/12/2024 AL 05/01/2025</t>
  </si>
  <si>
    <t>01-0055</t>
  </si>
  <si>
    <t>Darwuin Jesús Bullones/Eventual agregado-30/12/2024 AL 05/01/2025</t>
  </si>
  <si>
    <t>01-0056</t>
  </si>
  <si>
    <t>Frank Armando García/Eventual agregado-30/12/2024 AL 05/01/2025</t>
  </si>
  <si>
    <t>01-0057</t>
  </si>
  <si>
    <t>Alberto Luis Rojas/Eventual agregado-30/12/2024 AL 05/01/2025</t>
  </si>
  <si>
    <t>01-0058</t>
  </si>
  <si>
    <t>Naiker Alexander Jimenez/Eventual agregado-30/12/2024 AL 05/01/2025</t>
  </si>
  <si>
    <t>01-0059</t>
  </si>
  <si>
    <t>José Gregorio Perez/Eventual agregado-30/12/2024 AL 05/01/2025</t>
  </si>
  <si>
    <t>01-0060</t>
  </si>
  <si>
    <t>Carlos Daniel Rodriguez/Eventual agregado-30/12/2024 AL 05/01/2025</t>
  </si>
  <si>
    <t>01-0061</t>
  </si>
  <si>
    <t>Alejandro Morales/Eventual agregado-30/12/2024 AL 05/01/2025</t>
  </si>
  <si>
    <t>01-0062</t>
  </si>
  <si>
    <t>Euber José Juarez/Eventual agregado-30/12/2024 AL 05/01/2025</t>
  </si>
  <si>
    <t>01-0063</t>
  </si>
  <si>
    <t>Ali Alberto Bullones/Eventual agregado-30/12/2024 AL 05/01/2025</t>
  </si>
  <si>
    <t>01-0064</t>
  </si>
  <si>
    <t>Alberto Ali Bullones/Eventual agregado-30/12/2024 AL 05/01/2025</t>
  </si>
  <si>
    <t>01-0065</t>
  </si>
  <si>
    <t>Fernando José Rodriguez/Eventual agregado-30/12/2024 AL 05/01/2025</t>
  </si>
  <si>
    <t>01-0066</t>
  </si>
  <si>
    <t>Bruno Ali Cordero Bullones/Eventual agregado-30/12/2024 AL 05/01/2025</t>
  </si>
  <si>
    <t>01-0067</t>
  </si>
  <si>
    <t>Justiniano Rodriguez/Eventual agregado-30/12/2024 AL 05/01/2025</t>
  </si>
  <si>
    <t>01-0068</t>
  </si>
  <si>
    <t>Carlos Lopez/Eventual agregado-30/12/2024 AL 05/01/2025</t>
  </si>
  <si>
    <t>01-0069</t>
  </si>
  <si>
    <t>Estebez Maramara/Eventual agregado-30/12/2024 AL 05/01/2025</t>
  </si>
  <si>
    <t>01-0070</t>
  </si>
  <si>
    <t>Armando Lopez/Eventual agregado-30/12/2024 AL 05/01/2025</t>
  </si>
  <si>
    <t>01-0071</t>
  </si>
  <si>
    <t>Froilan Lopez/Eventual agregado-30/12/2024 AL 05/01/2025</t>
  </si>
  <si>
    <t>01-0072</t>
  </si>
  <si>
    <t>Ramón Quintero/Eventual agregado-30/12/2024 AL 05/01/2025</t>
  </si>
  <si>
    <t>01-0073</t>
  </si>
  <si>
    <t>JESUS RAMOS/EVENTUAL GOBERNACION-30/12/2024 AL 05/01/2025</t>
  </si>
  <si>
    <t>01-0074</t>
  </si>
  <si>
    <t>EXSON RODRIGUEZ/EVENTUAL GOBERNACION-30/12/2024 AL 05/01/2025</t>
  </si>
  <si>
    <t>01-0075</t>
  </si>
  <si>
    <t>DOUGLAS PIMENTEL/EVENTUAL GOBERNACION-30/12/2024 AL 05/01/2025</t>
  </si>
  <si>
    <t>01-0076</t>
  </si>
  <si>
    <t>PEDRO CASTILLO/EVENTUAL GOBERNACION-30/12/2024 AL 05/01/2025</t>
  </si>
  <si>
    <t>01-0077</t>
  </si>
  <si>
    <t>MIGUEL TORRES/EVENTUAL GOBERNACION-30/12/2024 AL 05/01/2025</t>
  </si>
  <si>
    <t>01-0078</t>
  </si>
  <si>
    <t>WENDY GIMENEZ/EVENTUAL GOBERNACION-30/12/2024 AL 05/01/2025</t>
  </si>
  <si>
    <t>01-0079</t>
  </si>
  <si>
    <t>NICOLAS ALVAREZ/EVENTUAL GOBERNACION-30/12/2024 AL 05/01/2025</t>
  </si>
  <si>
    <t>01-0080</t>
  </si>
  <si>
    <t>RAFAEL PUERTAS/EVENTUAL GOBERNACION-30/12/2024 AL 05/01/2025</t>
  </si>
  <si>
    <t>01-0081</t>
  </si>
  <si>
    <t>CARLOS PACHECO/EVENTUAL GOBERNACION-30/12/2024 AL 05/01/2025</t>
  </si>
  <si>
    <t>01-0082</t>
  </si>
  <si>
    <t>ANDRÉS ARMELLA/EVENTUAL GOBERNACION-30/12/2024 AL 05/01/2025</t>
  </si>
  <si>
    <t>01-0083</t>
  </si>
  <si>
    <t>JUAN LOPEZ/Eventual agregado-30/12/2024 AL 05/01/2025</t>
  </si>
  <si>
    <t>01-0084</t>
  </si>
  <si>
    <t>JOSE TOLEDO/EVENTUAL GOBERNACION-30/12/2024 AL 05/01/2025</t>
  </si>
  <si>
    <t>01-0085</t>
  </si>
  <si>
    <t>JUAN PINTO/EVENTUAL GOBERNACION-30/12/2024 AL 05/01/2025</t>
  </si>
  <si>
    <t>01-0086</t>
  </si>
  <si>
    <t>EDWIN ROJAS/EVENTUAL GOBERNACION-30/12/2024 AL 05/01/2025</t>
  </si>
  <si>
    <t>01-0087</t>
  </si>
  <si>
    <t>FARELIZ ARRIECHE/EVENTUAL GOBERNACION-30/12/2024 AL 05/01/2025</t>
  </si>
  <si>
    <t>01-0088</t>
  </si>
  <si>
    <t>HENRRY VALERA/EVENTUAL GOBERNACION-30/12/2024 AL 05/01/2025</t>
  </si>
  <si>
    <t>01-0089</t>
  </si>
  <si>
    <t>ALIRIO PARRA/EVENTUAL GOBERNACION-30/12/2024 AL 05/01/2025</t>
  </si>
  <si>
    <t>01-0090</t>
  </si>
  <si>
    <t>FEDERICO FANEITE/EVENTUAL GOBERNACION-30/12/2024 AL 05/01/2025</t>
  </si>
  <si>
    <t>01-0091</t>
  </si>
  <si>
    <t>RAFAEL QUIROZ/EVENTUAL GOBERNACION-30/12/2024 AL 05/01/2025</t>
  </si>
  <si>
    <t>01-0092</t>
  </si>
  <si>
    <t>HECTOR/EVENTUAL GOBERNACION-30/12/2024 AL 05/01/2025</t>
  </si>
  <si>
    <t>01-0093</t>
  </si>
  <si>
    <t>NORYS RAMOS/EVENTUAL GOBERNACION-30/12/2024 AL 05/01/2025</t>
  </si>
  <si>
    <t>01-0094</t>
  </si>
  <si>
    <t>ANGEL CALDERA/EVENTUAL GOBERNACION-30/12/2024 AL 05/01/2025</t>
  </si>
  <si>
    <t>01-0095</t>
  </si>
  <si>
    <t>ARGENIS FLORES/EVENTUAL MEGATECH-30/12/2024 AL 05/01/2025</t>
  </si>
  <si>
    <t>01-0096</t>
  </si>
  <si>
    <t>PITTER PUERTA/EVENTUAL MEGATECH-30/12/2024 AL 05/01/2025</t>
  </si>
  <si>
    <t>01-0097</t>
  </si>
  <si>
    <t>WALNER OVIEDO/EVENTUAL MEGATECH-30/12/2024 AL 05/01/2025</t>
  </si>
  <si>
    <t>01-0098</t>
  </si>
  <si>
    <t>YONNY CASTILLO/EVENTUAL MEGATECH-30/12/2024 AL 05/01/2025</t>
  </si>
  <si>
    <t>01-0099</t>
  </si>
  <si>
    <t>FRANCISCO CASTILLO/EVENTUAL MEGATECH-30/12/2024 AL 05/01/2025</t>
  </si>
  <si>
    <t>01-0100</t>
  </si>
  <si>
    <t>ANTONIO CASTILLO/EVENTUAL MEGATECH-30/12/2024 AL 05/01/2025</t>
  </si>
  <si>
    <t>01-0101</t>
  </si>
  <si>
    <t>JOSE GUEVARA/EVENTUAL MEGATECH-30/12/2024 AL 05/01/2025</t>
  </si>
  <si>
    <t>01-0102</t>
  </si>
  <si>
    <t>JOSE CASTILLO/EVENTUAL MEGATECH-30/12/2024 AL 05/01/2025</t>
  </si>
  <si>
    <t>01-0103</t>
  </si>
  <si>
    <t>ELVIS VALLES/EVENTUAL MEGATECH-30/12/2024 AL 05/01/2025</t>
  </si>
  <si>
    <t>01-0104</t>
  </si>
  <si>
    <t>01-0105</t>
  </si>
  <si>
    <t>OMAR TORREALBA/EVENTUAL MEGATECH-30/12/2024 AL 05/01/2025</t>
  </si>
  <si>
    <t>01-0106</t>
  </si>
  <si>
    <t>CARLOS CASTILLO/EVENTUAL MEGATECH-30/12/2024 AL 05/01/2025</t>
  </si>
  <si>
    <t>01-0107</t>
  </si>
  <si>
    <t>JULIAN GUEDEZ/EVENTUAL MEGATECH-30/12/2024 AL 05/01/2025</t>
  </si>
  <si>
    <t>01-0108</t>
  </si>
  <si>
    <t>YORDIS ALMAO/EVENTUAL MEGATECH-30/12/2024 AL 05/01/2025</t>
  </si>
  <si>
    <t>01-0109</t>
  </si>
  <si>
    <t>VICTOR MENDEZ/EVENTUAL MEGATECH-30/12/2024 AL 05/01/2025</t>
  </si>
  <si>
    <t>01-0110</t>
  </si>
  <si>
    <t>CARLOS LOYO/EVENTUAL MEGATECH-30/12/2024 AL 05/01/2025</t>
  </si>
  <si>
    <t>01-0111</t>
  </si>
  <si>
    <t>ALBERTO LOYO/EVENTUAL MEGATECH-30/12/2024 AL 05/01/2025</t>
  </si>
  <si>
    <t>01-0112</t>
  </si>
  <si>
    <t>EDWUARD ALMEIDA/EVENTUAL MEGATECH-30/12/2024 AL 05/01/2025</t>
  </si>
  <si>
    <t>01-0113</t>
  </si>
  <si>
    <t>YERRY RODRÍGUEZ/EVENTUAL MEGATECH-30/12/2024 AL 05/01/2025</t>
  </si>
  <si>
    <t>01-0114</t>
  </si>
  <si>
    <t>ALEXANDER CASTILLO/EVENTUAL MEGATECH-30/12/2024 AL 05/01/2025</t>
  </si>
  <si>
    <t>01-0115</t>
  </si>
  <si>
    <t>ELIO MALPICA/EVENTUAL MEGATECH-30/12/2024 AL 05/01/2025</t>
  </si>
  <si>
    <t>01-0116</t>
  </si>
  <si>
    <t>ALIRIO PARRA/EVENTUAL MEGATECH-30/12/2024 AL 05/01/2025</t>
  </si>
  <si>
    <t>01-0117</t>
  </si>
  <si>
    <t>EMPERATRIZ LEON/EVENTUAL MEGATECH-30/12/2024 AL 05/01/2025</t>
  </si>
  <si>
    <t>01-0118</t>
  </si>
  <si>
    <t>NORYS RAMOS/EVENTUAL MEGATECH-30/12/2024 AL 05/01/2025</t>
  </si>
  <si>
    <t>01-0119</t>
  </si>
  <si>
    <t>FARELIZ ARRIECHE/EVENTUAL MEGATECH-30/12/2024 AL 05/01/2025</t>
  </si>
  <si>
    <t>01-0120</t>
  </si>
  <si>
    <t>RUBEN RIVAS/EVENTUAL MEGATECH-30/12/2024 AL 05/01/2025</t>
  </si>
  <si>
    <t>01-0121</t>
  </si>
  <si>
    <t>FARES ARRIECHE/EVENTUAL MEGATECH-30/12/2024 AL 05/01/2025</t>
  </si>
  <si>
    <t>01-0122</t>
  </si>
  <si>
    <t>INGRID REYES/EVENTUAL MEGATECH-30/12/2024 AL 05/01/2025</t>
  </si>
  <si>
    <t>01-0123</t>
  </si>
  <si>
    <t>COMISION PAGO A PROVEE MISMO B</t>
  </si>
  <si>
    <t>01-0124</t>
  </si>
  <si>
    <t>01-0125</t>
  </si>
  <si>
    <t>01-0126</t>
  </si>
  <si>
    <t>GLOBAL ACEROS, C.A/FACT 34/Inversión -Galpón de Tolva de Alimentación de Molino de Materia Prima -</t>
  </si>
  <si>
    <t>ANTICIPO PROVEDORES</t>
  </si>
  <si>
    <t>01-0127</t>
  </si>
  <si>
    <t>SERVL013</t>
  </si>
  <si>
    <t>INSUMOS MANTENIMIENTOS</t>
  </si>
  <si>
    <t>PROCESADA EN FEBRERO</t>
  </si>
  <si>
    <t>COMIS.PAGO INMEDIATO</t>
  </si>
  <si>
    <t>01-0128</t>
  </si>
  <si>
    <t>01-0129</t>
  </si>
  <si>
    <t>01-0130</t>
  </si>
  <si>
    <t>HECTOR/GOBERNACION DEL 23/12 AL 29/12/DEV ERROR DEL BANCO</t>
  </si>
  <si>
    <t>01-0131</t>
  </si>
  <si>
    <t>01-0132</t>
  </si>
  <si>
    <t>01-0133</t>
  </si>
  <si>
    <t>MATERIALES PARRAS/FACT 731/Inversión  Para Galpón de Generadores</t>
  </si>
  <si>
    <t>01-0134</t>
  </si>
  <si>
    <t>01-0135</t>
  </si>
  <si>
    <t>INVERSIONES Y MATERIALES PARRA C.A/FACT 723/Inversión Cuartones de Madera Construcción de Dique para tanque de Combustible para Generadores--Perfil Estructural Galpón de Generadores</t>
  </si>
  <si>
    <t>01-0136</t>
  </si>
  <si>
    <t>01-0137</t>
  </si>
  <si>
    <t>ARGENIS FLORES/EVENTUAL MEGATECH-RECHAZADOS DICIEMBRE</t>
  </si>
  <si>
    <t>01-0138</t>
  </si>
  <si>
    <t>ELVIS VALLES/EVENTUAL MEGATECH-RECHAZADOS DICIEMBRE</t>
  </si>
  <si>
    <t>01-0139</t>
  </si>
  <si>
    <t>ALEXANDER CASTILLO/EVENTUAL MEGATECH-RECHAZADOS DICIEMBRE</t>
  </si>
  <si>
    <t>01-0140</t>
  </si>
  <si>
    <t>01-0141</t>
  </si>
  <si>
    <t>01-0142</t>
  </si>
  <si>
    <t>Willam Rivas/05 DIAS/personal que laboro en la campaña de yeso la semana del 06-01 al 12-01</t>
  </si>
  <si>
    <t>01-0143</t>
  </si>
  <si>
    <t>Dayana Azuaje/07 DIAS/personal que laboro en la campaña de yeso la semana del 06-01 al 12-01</t>
  </si>
  <si>
    <t>01-0144</t>
  </si>
  <si>
    <t>FREDDY MENDOZA/4 DIAS/personal que laboro en la campaña de yeso la semana del 06-01 al 12-01</t>
  </si>
  <si>
    <t>01-0145</t>
  </si>
  <si>
    <t>Leonardo Chirinos/pago bono para operador aprobado por Wilians Aleman/OPERADOR CAMION</t>
  </si>
  <si>
    <t>01-0146</t>
  </si>
  <si>
    <t>JEFFESON DAVILA/pago bono para operador aprobado por Wilians Aleman/EXCAVADOR</t>
  </si>
  <si>
    <t>01-0147</t>
  </si>
  <si>
    <t xml:space="preserve">
Lino flores - 01 DIAS/personal que laboro en la campaña de yeso la semana del 06-01 al 12-01</t>
  </si>
  <si>
    <t>01-0148</t>
  </si>
  <si>
    <t>BEATRIZ CASTILLOS/pago bono para operador aprobado por Wilians Aleman/TRACTOR</t>
  </si>
  <si>
    <t>01-0149</t>
  </si>
  <si>
    <t>01-0150</t>
  </si>
  <si>
    <t>01-0151</t>
  </si>
  <si>
    <t>Brunito Segundo Cordero/Eventual agregado-06/01/2025 AL 12/01/2025</t>
  </si>
  <si>
    <t>01-0152</t>
  </si>
  <si>
    <t>Delios Adolfo Ferrara/Eventual agregado-06/01/2025 AL 12/01/2025</t>
  </si>
  <si>
    <t>01-0153</t>
  </si>
  <si>
    <t>Eliomar Jesús Escalona/Eventual agregado-06/01/2025 AL 12/01/2025</t>
  </si>
  <si>
    <t>01-0154</t>
  </si>
  <si>
    <t>José Guillermo Cortez/Eventual agregado-06/01/2025 AL 12/01/2025</t>
  </si>
  <si>
    <t>01-0155</t>
  </si>
  <si>
    <t>Darwuin Jesús Bullones/Eventual agregado-06/01/2025 AL 12/01/2025</t>
  </si>
  <si>
    <t>01-0156</t>
  </si>
  <si>
    <t>Frank Armando García/Eventual agregado-06/01/2025 AL 12/01/2025</t>
  </si>
  <si>
    <t>01-0157</t>
  </si>
  <si>
    <t>Alberto Luis Rojas/Eventual agregado-06/01/2025 AL 12/01/2025</t>
  </si>
  <si>
    <t>01-0158</t>
  </si>
  <si>
    <t>Naiker Alexander Jimenez/Eventual agregado-06/01/2025 AL 12/01/2025</t>
  </si>
  <si>
    <t>01-0159</t>
  </si>
  <si>
    <t>José Gregorio Perez/Eventual agregado-06/01/2025 AL 12/01/2025</t>
  </si>
  <si>
    <t>01-0160</t>
  </si>
  <si>
    <t>Carlos Daniel Rodriguez/Eventual agregado-06/01/2025 AL 12/01/2025</t>
  </si>
  <si>
    <t>01-0161</t>
  </si>
  <si>
    <t>Alejandro Morales/Eventual agregado-06/01/2025 AL 12/01/2025</t>
  </si>
  <si>
    <t>01-0162</t>
  </si>
  <si>
    <t>Euber José Juarez/Eventual agregado-06/01/2025 AL 12/01/2025</t>
  </si>
  <si>
    <t>01-0163</t>
  </si>
  <si>
    <t>Ali Alberto Bullones/Eventual agregado-06/01/2025 AL 12/01/2025</t>
  </si>
  <si>
    <t>01-0164</t>
  </si>
  <si>
    <t>Alberto Ali Bullones/Eventual agregado-06/01/2025 AL 12/01/2025</t>
  </si>
  <si>
    <t>01-0165</t>
  </si>
  <si>
    <t>Fernando José Rodriguez/Eventual agregado-06/01/2025 AL 12/01/2025</t>
  </si>
  <si>
    <t>01-0166</t>
  </si>
  <si>
    <t>Bruno Ali Cordero Bullones/Eventual agregado-06/01/2025 AL 12/01/2025</t>
  </si>
  <si>
    <t>01-0167</t>
  </si>
  <si>
    <t>Carlos Lopez/Eventual agregado-06/01/2025 AL 12/01/2025</t>
  </si>
  <si>
    <t>01-0168</t>
  </si>
  <si>
    <t>Justiniano Rodriguez/Eventual agregado-06/01/2025 AL 12/01/2025</t>
  </si>
  <si>
    <t>01-0169</t>
  </si>
  <si>
    <t>Armando Lopez/Eventual agregado-06/01/2025 AL 12/01/2025</t>
  </si>
  <si>
    <t>01-0170</t>
  </si>
  <si>
    <t>Froilan Lopez/Eventual agregado-06/01/2025 AL 12/01/2025</t>
  </si>
  <si>
    <t>01-0171</t>
  </si>
  <si>
    <t>Ramón Quintero/Eventual agregado-06/01/2025 AL 12/01/2025</t>
  </si>
  <si>
    <t>01-0172</t>
  </si>
  <si>
    <t>Estebez Maramara/Eventual agregado-06/01/2025 AL 12/01/2025</t>
  </si>
  <si>
    <t>01-0173</t>
  </si>
  <si>
    <t>JUAN LOPEZ/Eventual agregado-06/01/2025 AL 12/01/2025</t>
  </si>
  <si>
    <t>01-0174</t>
  </si>
  <si>
    <t>JESUS RAMOS/EVENTUAL GOBERNACION-06/01/2025 AL 12/01/2025</t>
  </si>
  <si>
    <t>01-0175</t>
  </si>
  <si>
    <t>DOUGLAS PIMENTEL/EVENTUAL GOBERNACION-06/01/2025 AL 12/01/2025</t>
  </si>
  <si>
    <t>01-0176</t>
  </si>
  <si>
    <t>PEDRO CASTILLO/EVENTUAL GOBERNACION-06/01/2025 AL 12/01/2025</t>
  </si>
  <si>
    <t>01-0177</t>
  </si>
  <si>
    <t>EXSON RODRIGUEZ/EVENTUAL GOBERNACION-06/01/2025 AL 12/01/2025</t>
  </si>
  <si>
    <t>01-0178</t>
  </si>
  <si>
    <t>MIGUEL TORRES/EVENTUAL GOBERNACION-06/01/2025 AL 12/01/2025</t>
  </si>
  <si>
    <t>01-0179</t>
  </si>
  <si>
    <t>LUIS SILVEIRO COLON OJEDA/Eventual agregado-06/01/2025 AL 12/01/2025</t>
  </si>
  <si>
    <t>01-0180</t>
  </si>
  <si>
    <t>WENDY GIMENEZ/EVENTUAL GOBERNACION-06/01/2025 AL 12/01/2025</t>
  </si>
  <si>
    <t>01-0181</t>
  </si>
  <si>
    <t>NICOLAS ALVAREZ/EVENTUAL GOBERNACION-06/01/2025 AL 12/01/2025</t>
  </si>
  <si>
    <t>01-0182</t>
  </si>
  <si>
    <t>RAFAEL PUERTAS/EVENTUAL GOBERNACION-06/01/2025 AL 12/01/2025</t>
  </si>
  <si>
    <t>01-0183</t>
  </si>
  <si>
    <t>CARLOS PACHECO/EVENTUAL GOBERNACION-06/01/2025 AL 12/01/2025</t>
  </si>
  <si>
    <t>01-0184</t>
  </si>
  <si>
    <t>ANDRÉS ARMELLA/EVENTUAL GOBERNACION-06/01/2025 AL 12/01/2025</t>
  </si>
  <si>
    <t>01-0185</t>
  </si>
  <si>
    <t>JOSE TOLEDO/EVENTUAL GOBERNACION-06/01/2025 AL 12/01/2025</t>
  </si>
  <si>
    <t>01-0186</t>
  </si>
  <si>
    <t>JUAN PINTO/EVENTUAL GOBERNACION-06/01/2025 AL 12/01/2025</t>
  </si>
  <si>
    <t>01-0187</t>
  </si>
  <si>
    <t>EDWIN ROJAS/EVENTUAL GOBERNACION-06/01/2025 AL 12/01/2025</t>
  </si>
  <si>
    <t>01-0188</t>
  </si>
  <si>
    <t>HENRRY VALERA/EVENTUAL GOBERNACION-06/01/2025 AL 12/01/2025</t>
  </si>
  <si>
    <t>01-0189</t>
  </si>
  <si>
    <t>FARELIZ ARRIECHE/EVENTUAL GOBERNACION-06/01/2025 AL 12/01/2025</t>
  </si>
  <si>
    <t>01-0190</t>
  </si>
  <si>
    <t>RAFAEL QUIROZ/EVENTUAL GOBERNACION-06/01/2025 AL 12/01/2025</t>
  </si>
  <si>
    <t>01-0191</t>
  </si>
  <si>
    <t>FEDERICO FANEITE/EVENTUAL GOBERNACION-06/01/2025 AL 12/01/2025</t>
  </si>
  <si>
    <t>01-0192</t>
  </si>
  <si>
    <t>NORYS RAMOS/EVENTUAL GOBERNACION-06/01/2025 AL 12/01/2025</t>
  </si>
  <si>
    <t>01-0193</t>
  </si>
  <si>
    <t>ALIRIO PARRA/EVENTUAL GOBERNACION-06/01/2025 AL 12/01/2025</t>
  </si>
  <si>
    <t>01-0194</t>
  </si>
  <si>
    <t>HECTOR/EVENTUAL GOBERNACION-06/01/2025 AL 12/01/2025</t>
  </si>
  <si>
    <t>01-0195</t>
  </si>
  <si>
    <t>ARGENIS FLORES/EVENTUAL MEGATECH-06/01/2025 AL 12/01/2025</t>
  </si>
  <si>
    <t>01-0196</t>
  </si>
  <si>
    <t>ANGEL CALDERA/EVENTUAL GOBERNACION-06/01/2025 AL 12/01/2025</t>
  </si>
  <si>
    <t>01-0197</t>
  </si>
  <si>
    <t>PITTER PUERTA/EVENTUAL MEGATECH-06/01/2025 AL 12/01/2025</t>
  </si>
  <si>
    <t>01-0198</t>
  </si>
  <si>
    <t>ANTONIO CASTILLO/EVENTUAL MEGATECH-06/01/2025 AL 12/01/2025</t>
  </si>
  <si>
    <t>01-0199</t>
  </si>
  <si>
    <t>WALNER OVIEDO/EVENTUAL MEGATECH-06/01/2025 AL 12/01/2025</t>
  </si>
  <si>
    <t>01-0200</t>
  </si>
  <si>
    <t>YONNY CASTILLO/EVENTUAL MEGATECH-06/01/2025 AL 12/01/2025</t>
  </si>
  <si>
    <t>01-0201</t>
  </si>
  <si>
    <t>FRANCISCO CASTILLO/EVENTUAL MEGATECH-06/01/2025 AL 12/01/2025</t>
  </si>
  <si>
    <t>01-0202</t>
  </si>
  <si>
    <t>JOSE GUEVARA/EVENTUAL MEGATECH-06/01/2025 AL 12/01/2025</t>
  </si>
  <si>
    <t>01-0203</t>
  </si>
  <si>
    <t>JOSE CASTILLO/EVENTUAL MEGATECH-06/01/2025 AL 12/01/2025</t>
  </si>
  <si>
    <t>01-0204</t>
  </si>
  <si>
    <t>ELVIS VALLES/EVENTUAL MEGATECH-06/01/2025 AL 12/01/2025</t>
  </si>
  <si>
    <t>01-0205</t>
  </si>
  <si>
    <t>01-0206</t>
  </si>
  <si>
    <t>OMAR TORREALBA/EVENTUAL MEGATECH-06/01/2025 AL 12/01/2025</t>
  </si>
  <si>
    <t>01-0207</t>
  </si>
  <si>
    <t>CARLOS CASTILLO/EVENTUAL MEGATECH-06/01/2025 AL 12/01/2025</t>
  </si>
  <si>
    <t>01-0208</t>
  </si>
  <si>
    <t>JULIAN GUEDEZ/EVENTUAL MEGATECH-06/01/2025 AL 12/01/2025</t>
  </si>
  <si>
    <t>01-0209</t>
  </si>
  <si>
    <t>YORDIS ALMAO/EVENTUAL MEGATECH-06/01/2025 AL 12/01/2025</t>
  </si>
  <si>
    <t>01-0210</t>
  </si>
  <si>
    <t>VICTOR MENDEZ/EVENTUAL MEGATECH-06/01/2025 AL 12/01/2025</t>
  </si>
  <si>
    <t>01-0211</t>
  </si>
  <si>
    <t>CARLOS LOYO/EVENTUAL MEGATECH-06/01/2025 AL 12/01/2025</t>
  </si>
  <si>
    <t>01-0212</t>
  </si>
  <si>
    <t>EDWUARD ALMEIDA/EVENTUAL MEGATECH-06/01/2025 AL 12/01/2025</t>
  </si>
  <si>
    <t>01-0213</t>
  </si>
  <si>
    <t>YERRY RODRÍGUEZ/EVENTUAL MEGATECH-06/01/2025 AL 12/01/2025</t>
  </si>
  <si>
    <t>01-0214</t>
  </si>
  <si>
    <t>ELIO MALPICA/EVENTUAL MEGATECH-06/01/2025 AL 12/01/2025</t>
  </si>
  <si>
    <t>01-0215</t>
  </si>
  <si>
    <t>ALBERTO LOYO/EVENTUAL MEGATECH-06/01/2025 AL 12/01/2025</t>
  </si>
  <si>
    <t>01-0216</t>
  </si>
  <si>
    <t>RUBEN RIVAS/EVENTUAL MEGATECH-06/01/2025 AL 12/01/2025</t>
  </si>
  <si>
    <t>01-0217</t>
  </si>
  <si>
    <t>ALIRIO PARRA/EVENTUAL MEGATECH-06/01/2025 AL 12/01/2025</t>
  </si>
  <si>
    <t>01-0218</t>
  </si>
  <si>
    <t>FARELIZ ARRIECHE/EVENTUAL MEGATECH-06/01/2025 AL 12/01/2025</t>
  </si>
  <si>
    <t>01-0219</t>
  </si>
  <si>
    <t>ALEXANDER CASTILLO/EVENTUAL MEGATECH-06/01/2025 AL 12/01/2025</t>
  </si>
  <si>
    <t>01-0220</t>
  </si>
  <si>
    <t>NORYS RAMOS/EVENTUAL MEGATECH-06/01/2025 AL 12/01/2025</t>
  </si>
  <si>
    <t>01-0221</t>
  </si>
  <si>
    <t>FARES ARRIECHE/EVENTUAL MEGATECH-06/01/2025 AL 12/01/2025</t>
  </si>
  <si>
    <t>01-0222</t>
  </si>
  <si>
    <t>EMPERATRIZ LEON/EVENTUAL MEGATECH-06/01/2025 AL 12/01/2025</t>
  </si>
  <si>
    <t>01-0223</t>
  </si>
  <si>
    <t>INGRID REYES/EVENTUAL MEGATECH-06/01/2025 AL 12/01/2025</t>
  </si>
  <si>
    <t>01-0224</t>
  </si>
  <si>
    <t>01-0225</t>
  </si>
  <si>
    <t>01-0226</t>
  </si>
  <si>
    <t>01-0227</t>
  </si>
  <si>
    <t>01-0228</t>
  </si>
  <si>
    <t>ISLR/PERIODO DICIEMBRE 2024</t>
  </si>
  <si>
    <t>RETENCION ISLR POR PAGAR</t>
  </si>
  <si>
    <t>01-0229</t>
  </si>
  <si>
    <t>SERVC003E</t>
  </si>
  <si>
    <t>RETENCIONES ISLR</t>
  </si>
  <si>
    <t>02-10125</t>
  </si>
  <si>
    <t>01-0230</t>
  </si>
  <si>
    <t>EMPRENDIMIENTO DIOSANNY ALVAREZ/FACT 122/consumo de comida correspondiente a los operadores de Camunare desayuno, almuerzo y cena</t>
  </si>
  <si>
    <t>01-0231</t>
  </si>
  <si>
    <t xml:space="preserve">
ALBERTO PERNALETE/ FACTURA 000005/PAGO REINTEGRO VIATICOS COMUNARE </t>
  </si>
  <si>
    <t>01-0232</t>
  </si>
  <si>
    <t>EMPRENDIMIENTO DIOSANNY ALVAREZ/FACT 121/ALMUERZOS SR GUSTAVO VIATICOS COMUNARE</t>
  </si>
  <si>
    <t>01-0233</t>
  </si>
  <si>
    <t>INVERSIONES Y SERVICIOS J.J GONZALEZ, C.A/FACT 80/confeccion de estructura para cerramiento de edificio hornos verticales</t>
  </si>
  <si>
    <t>01-0234</t>
  </si>
  <si>
    <t>01-0235</t>
  </si>
  <si>
    <t>50$-FACTURA 129 DIOSANNY y abono a FACTURA 000005 ALBERTO PERNALETE/pago solicitud viaticos comunare/ALMUERZOS</t>
  </si>
  <si>
    <t>01-0236</t>
  </si>
  <si>
    <t>01-0237</t>
  </si>
  <si>
    <t>01-0238</t>
  </si>
  <si>
    <t xml:space="preserve">GLOBAL ACEROS, C.A/FACT 33/12 laminas lisas 1,20-Inversión-Requerimiento para el personal INDU  </t>
  </si>
  <si>
    <t>01-0239</t>
  </si>
  <si>
    <t>01-0240</t>
  </si>
  <si>
    <t>01-0241</t>
  </si>
  <si>
    <t>01-0242</t>
  </si>
  <si>
    <t>01-0243</t>
  </si>
  <si>
    <t>VULCANIZADORA YARITAGUA MANUEL MOGOLL/FACT 1526/inmediato se enecesita retirar el caucho - esto es del camion Kamaz que se está recuperando por convenio  son de Yaracuy Bonito</t>
  </si>
  <si>
    <t>01-0244</t>
  </si>
  <si>
    <t>SERVL019</t>
  </si>
  <si>
    <t>GASTOS MANTENIMIENTO CAMIONES/MANO DE OBRA</t>
  </si>
  <si>
    <t>01-0245</t>
  </si>
  <si>
    <t>01-0246</t>
  </si>
  <si>
    <t>FERRENOVA 2014 C.A/FACT1614/Requerimiento para el personal INDU</t>
  </si>
  <si>
    <t>01-0247</t>
  </si>
  <si>
    <t>01-0248</t>
  </si>
  <si>
    <t>01-0249</t>
  </si>
  <si>
    <t xml:space="preserve">FERRE ELECTRIC JM, C.A/FACT 0704/cerradura cajas y gabinetes -Inversión Requerimiento para Energización de la Planta </t>
  </si>
  <si>
    <t>01-0250</t>
  </si>
  <si>
    <t>01-0251</t>
  </si>
  <si>
    <t>CORPORACION EP C.A/FACT 5512/filtro gasolina y puente cardan-Repuestos para Hilux Kavak 2007</t>
  </si>
  <si>
    <t>01-0252</t>
  </si>
  <si>
    <t>SERVA049</t>
  </si>
  <si>
    <t>GASTOS DE VEHICULOS/INSUMO</t>
  </si>
  <si>
    <t>01-0253</t>
  </si>
  <si>
    <t>01-0254</t>
  </si>
  <si>
    <t>Maria elena figueredo/FACT 20253/PAGO ERRADO/ERA DE LA EMPRESA AGUTI</t>
  </si>
  <si>
    <t>01-0255</t>
  </si>
  <si>
    <t>PAGO ERRADO/REINTREGO</t>
  </si>
  <si>
    <t>INVERSIONES Y MATERIALES PARRA C.A/FACT 732/15 laminas lisas-Requerimiento para el personal INDU</t>
  </si>
  <si>
    <t>01-0256</t>
  </si>
  <si>
    <t>01-0257</t>
  </si>
  <si>
    <t>COMERCIALIZADORA/INVERSION DE CAPITAL/VZLA</t>
  </si>
  <si>
    <t>01-0258</t>
  </si>
  <si>
    <t>Brunito Segundo Cordero/Eventual agregado-13/01/2025 AL 19/01/2025</t>
  </si>
  <si>
    <t>01-0259</t>
  </si>
  <si>
    <t>Delios Adolfo Ferrara/Eventual agregado-13/01/2025 AL 19/01/2025</t>
  </si>
  <si>
    <t>01-0260</t>
  </si>
  <si>
    <t>Eliomar Jesús Escalona/Eventual agregado-13/01/2025 AL 19/01/2025</t>
  </si>
  <si>
    <t>01-0261</t>
  </si>
  <si>
    <t>José Guillermo Cortez/Eventual agregado-13/01/2025 AL 19/01/2025</t>
  </si>
  <si>
    <t>01-0262</t>
  </si>
  <si>
    <t>Darwuin Jesús Bullones/Eventual agregado-13/01/2025 AL 19/01/2025</t>
  </si>
  <si>
    <t>01-0263</t>
  </si>
  <si>
    <t>Frank Armando García/Eventual agregado-13/01/2025 AL 19/01/2025</t>
  </si>
  <si>
    <t>01-0264</t>
  </si>
  <si>
    <t>Alberto Luis Rojas/Eventual agregado-13/01/2025 AL 19/01/2025</t>
  </si>
  <si>
    <t>01-0265</t>
  </si>
  <si>
    <t>Naiker Alexander Jimenez/Eventual agregado-13/01/2025 AL 19/01/2025</t>
  </si>
  <si>
    <t>01-0266</t>
  </si>
  <si>
    <t>José Gregorio Perez/Eventual agregado-13/01/2025 AL 19/01/2025</t>
  </si>
  <si>
    <t>01-0267</t>
  </si>
  <si>
    <t>Carlos Daniel Rodriguez/Eventual agregado-13/01/2025 AL 19/01/2025</t>
  </si>
  <si>
    <t>01-0268</t>
  </si>
  <si>
    <t>Alejandro Morales/Eventual agregado-13/01/2025 AL 19/01/2025</t>
  </si>
  <si>
    <t>01-0269</t>
  </si>
  <si>
    <t>Euber José Juarez/Eventual agregado-13/01/2025 AL 19/01/2025</t>
  </si>
  <si>
    <t>01-0270</t>
  </si>
  <si>
    <t>Ali Alberto Bullones/Eventual agregado-13/01/2025 AL 19/01/2025</t>
  </si>
  <si>
    <t>01-0271</t>
  </si>
  <si>
    <t>Alberto Ali Bullones/Eventual agregado-13/01/2025 AL 19/01/2025</t>
  </si>
  <si>
    <t>01-0272</t>
  </si>
  <si>
    <t>Fernando José Rodriguez/Eventual agregado-13/01/2025 AL 19/01/2025</t>
  </si>
  <si>
    <t>01-0273</t>
  </si>
  <si>
    <t>Bruno Ali Cordero Bullones/Eventual agregado-13/01/2025 AL 19/01/2025</t>
  </si>
  <si>
    <t>01-0274</t>
  </si>
  <si>
    <t>Justiniano Rodriguez/Eventual agregado-13/01/2025 AL 19/01/2025</t>
  </si>
  <si>
    <t>01-0275</t>
  </si>
  <si>
    <t>Estebez Maramara/Eventual agregado-13/01/2025 AL 19/01/2025</t>
  </si>
  <si>
    <t>01-0276</t>
  </si>
  <si>
    <t>Armando Lopez/Eventual agregado-13/01/2025 AL 19/01/2025</t>
  </si>
  <si>
    <t>01-0277</t>
  </si>
  <si>
    <t>Carlos Lopez/Eventual agregado-13/01/2025 AL 19/01/2025</t>
  </si>
  <si>
    <t>01-0278</t>
  </si>
  <si>
    <t>Froilan Lopez/Eventual agregado-13/01/2025 AL 19/01/2025</t>
  </si>
  <si>
    <t>01-0279</t>
  </si>
  <si>
    <t>JESUS RAMOS/EVENTUAL GOBERNACION-13/01/2025 AL 19/01/2025</t>
  </si>
  <si>
    <t>01-0280</t>
  </si>
  <si>
    <t>Ramón Quintero/Eventual agregado-13/01/2025 AL 19/01/2025</t>
  </si>
  <si>
    <t>01-0281</t>
  </si>
  <si>
    <t>JUAN LOPEZ/Eventual agregado-13/01/2025 AL 19/01/2025</t>
  </si>
  <si>
    <t>01-0282</t>
  </si>
  <si>
    <t>PEDRO CASTILLO/EVENTUAL GOBERNACION-13/01/2025 AL 19/01/2025</t>
  </si>
  <si>
    <t>01-0283</t>
  </si>
  <si>
    <t>EXSON RODRIGUEZ/EVENTUAL GOBERNACION-13/01/2025 AL 19/01/2025</t>
  </si>
  <si>
    <t>01-0284</t>
  </si>
  <si>
    <t>DOUGLAS PIMENTEL/EVENTUAL GOBERNACION-13/01/2025 AL 19/01/2025</t>
  </si>
  <si>
    <t>01-0285</t>
  </si>
  <si>
    <t>LUIS SILVEIRO COLON OJEDA/Eventual agregado-13/01/2025 AL 19/01/2025</t>
  </si>
  <si>
    <t>01-0286</t>
  </si>
  <si>
    <t>NICOLAS ALVAREZ/EVENTUAL GOBERNACION-13/01/2025 AL 19/01/2025</t>
  </si>
  <si>
    <t>01-0287</t>
  </si>
  <si>
    <t>RAFAEL PUERTAS/EVENTUAL GOBERNACION-13/01/2025 AL 19/01/2025</t>
  </si>
  <si>
    <t>01-0288</t>
  </si>
  <si>
    <t>CARLOS PACHECO/EVENTUAL GOBERNACION-13/01/2025 AL 19/01/2025</t>
  </si>
  <si>
    <t>01-0289</t>
  </si>
  <si>
    <t>ANDRÉS ARMELLA/EVENTUAL GOBERNACION-13/01/2025 AL 19/01/2025</t>
  </si>
  <si>
    <t>01-0290</t>
  </si>
  <si>
    <t>MIGUEL TORRES/EVENTUAL GOBERNACION-13/01/2025 AL 19/01/2025</t>
  </si>
  <si>
    <t>01-0291</t>
  </si>
  <si>
    <t>JOSE TOLEDO/EVENTUAL GOBERNACION-13/01/2025 AL 19/01/2025</t>
  </si>
  <si>
    <t>01-0292</t>
  </si>
  <si>
    <t>JUAN PINTO/EVENTUAL GOBERNACION-13/01/2025 AL 19/01/2025</t>
  </si>
  <si>
    <t>01-0293</t>
  </si>
  <si>
    <t>HENRRY VALERA/EVENTUAL GOBERNACION-13/01/2025 AL 19/01/2025</t>
  </si>
  <si>
    <t>01-0294</t>
  </si>
  <si>
    <t>ALIRIO PARRA/EVENTUAL GOBERNACION-13/01/2025 AL 19/01/2025</t>
  </si>
  <si>
    <t>01-0295</t>
  </si>
  <si>
    <t>EDWIN ROJAS/EVENTUAL GOBERNACION-13/01/2025 AL 19/01/2025</t>
  </si>
  <si>
    <t>01-0296</t>
  </si>
  <si>
    <t>WENDY GIMENEZ/EVENTUAL GOBERNACION-13/01/2025 AL 19/01/2025</t>
  </si>
  <si>
    <t>01-0297</t>
  </si>
  <si>
    <t>NORYS RAMOS/EVENTUAL GOBERNACION-13/01/2025 AL 19/01/2025</t>
  </si>
  <si>
    <t>01-0298</t>
  </si>
  <si>
    <t>FARELIZ ARRIECHE/EVENTUAL GOBERNACION-13/01/2025 AL 19/01/2025</t>
  </si>
  <si>
    <t>01-0299</t>
  </si>
  <si>
    <t>HECTOR/EVENTUAL GOBERNACION-13/01/2025 AL 19/01/2025</t>
  </si>
  <si>
    <t>01-0300</t>
  </si>
  <si>
    <t>FEDERICO FANEITE/EVENTUAL GOBERNACION-13/01/2025 AL 19/01/2025</t>
  </si>
  <si>
    <t>01-0301</t>
  </si>
  <si>
    <t>ARGENIS FLORES/EVENTUAL MEGATECH-13/01/2025 AL 19/01/2025</t>
  </si>
  <si>
    <t>01-0302</t>
  </si>
  <si>
    <t>ANGEL CALDERA/EVENTUAL GOBERNACION-13/01/2025 AL 19/01/2025</t>
  </si>
  <si>
    <t>01-0303</t>
  </si>
  <si>
    <t>RAFAEL QUIROZ/EVENTUAL GOBERNACION-13/01/2025 AL 19/01/2025</t>
  </si>
  <si>
    <t>01-0304</t>
  </si>
  <si>
    <t>PITTER PUERTA/EVENTUAL MEGATECH-13/01/2025 AL 19/01/2025</t>
  </si>
  <si>
    <t>01-0305</t>
  </si>
  <si>
    <t>WALNER OVIEDO/EVENTUAL MEGATECH-13/01/2025 AL 19/01/2025</t>
  </si>
  <si>
    <t>01-0306</t>
  </si>
  <si>
    <t>YONNY CASTILLO/EVENTUAL MEGATECH-13/01/2025 AL 19/01/2025</t>
  </si>
  <si>
    <t>01-0307</t>
  </si>
  <si>
    <t>FRANCISCO CASTILLO/EVENTUAL MEGATECH-13/01/2025 AL 19/01/2025</t>
  </si>
  <si>
    <t>01-0308</t>
  </si>
  <si>
    <t>ANTONIO CASTILLO/EVENTUAL MEGATECH-13/01/2025 AL 19/01/2025</t>
  </si>
  <si>
    <t>01-0309</t>
  </si>
  <si>
    <t>JOSE GUEVARA/EVENTUAL MEGATECH-13/01/2025 AL 19/01/2025</t>
  </si>
  <si>
    <t>01-0310</t>
  </si>
  <si>
    <t>JOSE CASTILLO/EVENTUAL MEGATECH-13/01/2025 AL 19/01/2025</t>
  </si>
  <si>
    <t>01-0311</t>
  </si>
  <si>
    <t>ELVIS VALLES/EVENTUAL MEGATECH-13/01/2025 AL 19/01/2025</t>
  </si>
  <si>
    <t>01-0312</t>
  </si>
  <si>
    <t>JULIAN GUEDEZ/EVENTUAL MEGATECH-13/01/2025 AL 19/01/2025</t>
  </si>
  <si>
    <t>01-0313</t>
  </si>
  <si>
    <t>01-0314</t>
  </si>
  <si>
    <t>YORDIS ALMAO/EVENTUAL MEGATECH-13/01/2025 AL 19/01/2025</t>
  </si>
  <si>
    <t>01-0315</t>
  </si>
  <si>
    <t>OMAR TORREALBA/EVENTUAL MEGATECH-13/01/2025 AL 19/01/2025</t>
  </si>
  <si>
    <t>01-0316</t>
  </si>
  <si>
    <t>CARLOS CASTILLO/EVENTUAL MEGATECH-13/01/2025 AL 19/01/2025</t>
  </si>
  <si>
    <t>01-0317</t>
  </si>
  <si>
    <t>ALEXANDER CASTILLO/EVENTUAL MEGATECH-13/01/2025 AL 19/01/2025</t>
  </si>
  <si>
    <t>01-0318</t>
  </si>
  <si>
    <t>EDWUARD ALMEIDA/EVENTUAL MEGATECH-13/01/2025 AL 19/01/2025</t>
  </si>
  <si>
    <t>01-0319</t>
  </si>
  <si>
    <t>YERRY RODRÍGUEZ/EVENTUAL MEGATECH-13/01/2025 AL 19/01/2025</t>
  </si>
  <si>
    <t>01-0320</t>
  </si>
  <si>
    <t>ELIO MALPICA/EVENTUAL MEGATECH-13/01/2025 AL 19/01/2025</t>
  </si>
  <si>
    <t>01-0321</t>
  </si>
  <si>
    <t>ALBERTO LOYO/EVENTUAL MEGATECH-13/01/2025 AL 19/01/2025</t>
  </si>
  <si>
    <t>01-0322</t>
  </si>
  <si>
    <t>VICTOR MENDEZ/EVENTUAL MEGATECH-13/01/2025 AL 19/01/2025</t>
  </si>
  <si>
    <t>01-0323</t>
  </si>
  <si>
    <t>ALIRIO PARRA/EVENTUAL MEGATECH-13/01/2025 AL 19/01/2025</t>
  </si>
  <si>
    <t>01-0324</t>
  </si>
  <si>
    <t>FARELIZ ARRIECHE/EVENTUAL MEGATECH-13/01/2025 AL 19/01/2025</t>
  </si>
  <si>
    <t>01-0325</t>
  </si>
  <si>
    <t>NORYS RAMOS/EVENTUAL MEGATECH-13/01/2025 AL 19/01/2025</t>
  </si>
  <si>
    <t>01-0326</t>
  </si>
  <si>
    <t>CARLOS LOYO/EVENTUAL MEGATECH-13/01/2025 AL 19/01/2025</t>
  </si>
  <si>
    <t>01-0327</t>
  </si>
  <si>
    <t>RUBEN RIVAS/EVENTUAL MEGATECH-13/01/2025 AL 19/01/2025</t>
  </si>
  <si>
    <t>01-0328</t>
  </si>
  <si>
    <t>FARES ARRIECHE/EVENTUAL MEGATECH-13/01/2025 AL 19/01/2025</t>
  </si>
  <si>
    <t>01-0329</t>
  </si>
  <si>
    <t>EMPERATRIZ LEON/EVENTUAL MEGATECH-13/01/2025 AL 19/01/2025</t>
  </si>
  <si>
    <t>01-0330</t>
  </si>
  <si>
    <t>INGRID REYES/EVENTUAL MEGATECH-13/01/2025 AL 19/01/2025</t>
  </si>
  <si>
    <t>01-0331</t>
  </si>
  <si>
    <t>01-0332</t>
  </si>
  <si>
    <t>01-0333</t>
  </si>
  <si>
    <t>COMERCIALIZADORA/INVERSION DE CAPITAL/PROVINCIAL</t>
  </si>
  <si>
    <t>01-0334</t>
  </si>
  <si>
    <t>01-0335</t>
  </si>
  <si>
    <t>EDC AUTOPARTS, C.A/FACT 206/repuestos Hilux asiganada a Gustavo-3 crucetas-1 juego de empaque tapa valvula-1 kit sellos</t>
  </si>
  <si>
    <t>01-0336</t>
  </si>
  <si>
    <t>SERVA012</t>
  </si>
  <si>
    <t xml:space="preserve">R &amp; A CONSTRUCCIONES E INVERSIONES 24, C/FACT 04/cierre tipo pantalla en galpon de molino de cemento  y fabricacion de perfiles  tipo esquinero en galpon de molino de crudo  y galpon de clinker </t>
  </si>
  <si>
    <t>01-0337</t>
  </si>
  <si>
    <t>AURELIANO LEON/07 DIAS/personal que laboro en la campaña de yeso semana del 13-01 al 19-01-25</t>
  </si>
  <si>
    <t>01-0338</t>
  </si>
  <si>
    <t>FREDDY MENDOZA/4 DIAS/personal que laboro en la campaña de yeso semana del 13-01 al 19-01-25</t>
  </si>
  <si>
    <t>01-0339</t>
  </si>
  <si>
    <t>JULIAN CASTILLO/05 DIAS/personal que laboro en la campaña de yeso semana del 13-01 al 19-01-25</t>
  </si>
  <si>
    <t>01-0340</t>
  </si>
  <si>
    <t>01-0341</t>
  </si>
  <si>
    <t>LINO FLOREZ/01 DIAS/personal que laboro en la campaña de yeso semana del 13-01 al 19-01-25</t>
  </si>
  <si>
    <t>01-0342</t>
  </si>
  <si>
    <t>ELIDA MENDOZA/01 DIAS/personal que laboro en la campaña de yeso semana del 13-01 al 19-01-25</t>
  </si>
  <si>
    <t>01-0343</t>
  </si>
  <si>
    <t>TALLER AGROINDUSTRIAL MOLI, C.A/FACT 2601/reparación de la herramienta de trabajo de un martillo percutor que se está usando en la extracción  de yeso</t>
  </si>
  <si>
    <t>01-0344</t>
  </si>
  <si>
    <t>SERVL002</t>
  </si>
  <si>
    <t>GASTOS MANTENIENTO MAQUINARIA</t>
  </si>
  <si>
    <t>01-0345</t>
  </si>
  <si>
    <t>01-0346</t>
  </si>
  <si>
    <t>01-0347</t>
  </si>
  <si>
    <t>01-0348</t>
  </si>
  <si>
    <t xml:space="preserve">INDUSTRIA FERRE AMERICA C.A/FACT 820/LAMINAS DE HIERRO Requerimiento para el personal INDU </t>
  </si>
  <si>
    <t>01-0349</t>
  </si>
  <si>
    <t>01-0350</t>
  </si>
  <si>
    <t>INVERGRAF 2099, CA/FACTURA 02670/IMPRESION Y CORTE DE STICKERS - TOPPERS PARA TORTA-INVERGRAF 2099, CA</t>
  </si>
  <si>
    <t>01-0351</t>
  </si>
  <si>
    <t>SERVA015</t>
  </si>
  <si>
    <t>GASTOS PAPELERIA</t>
  </si>
  <si>
    <t>CASTRO CORPORATION.CA/FACT 509/Servicio de activacion de office-para laptop de Gustavo Rangel</t>
  </si>
  <si>
    <t>01-0352</t>
  </si>
  <si>
    <t>SERVA011</t>
  </si>
  <si>
    <t>GASTOS MANTENIMIENTO INFORMATICOS</t>
  </si>
  <si>
    <t>DIOSANNY ALVAREZ/FACT 130/consumo de comida correspondiente a los operadores de Camunare desayuno, almuerzo y cena</t>
  </si>
  <si>
    <t>01-0353</t>
  </si>
  <si>
    <t>01-0354</t>
  </si>
  <si>
    <t xml:space="preserve">
ALBERTO PERNALETE/FACTURA 000005/pago diferencia viaticos comunare y abono </t>
  </si>
  <si>
    <t>01-0355</t>
  </si>
  <si>
    <t>01-0356</t>
  </si>
  <si>
    <t>EMPRENDIMIENTO DIOSANNY ALVAREZ/FACT 142/ALMUZOS DESDE 17/01/25 AL 24/01/2025</t>
  </si>
  <si>
    <t>01-0357</t>
  </si>
  <si>
    <t>01-0358</t>
  </si>
  <si>
    <t>ALIMENTOS AGROTENDENCIAS, C.A/FACT 20766/harina y cafe  empleados DESPACHO DEL -06-01 al 10-01</t>
  </si>
  <si>
    <t>01-0359</t>
  </si>
  <si>
    <t>SERVE001E</t>
  </si>
  <si>
    <t>CUENTAS POR COBRAR EMPLEADOS</t>
  </si>
  <si>
    <t>TENDENCIAS/INVERSION DE CAPITAL/TESORO</t>
  </si>
  <si>
    <t>01-0360</t>
  </si>
  <si>
    <t>EDC AUTOPARTS, C.A/FACT 207/repuestos Hilux asiganada a Gustavo-1 pastilla freno ceramica</t>
  </si>
  <si>
    <t>01-0361</t>
  </si>
  <si>
    <t>01-0362</t>
  </si>
  <si>
    <t>CASTRO CORPORATION.CA/FACT 512/Servicio Mensual de Internet Satelital Empresarial-planta cemento</t>
  </si>
  <si>
    <t>01-0363</t>
  </si>
  <si>
    <t>SERVA030</t>
  </si>
  <si>
    <t>GASTOS TELECOMUNICACIONES/INTERNET</t>
  </si>
  <si>
    <t>01-0364</t>
  </si>
  <si>
    <t>01-0365</t>
  </si>
  <si>
    <t>DIESEL INYECCION BARQUISIMETO S A/FACT 5438/reparación de 2 inyectores de la grúa</t>
  </si>
  <si>
    <t>01-0366</t>
  </si>
  <si>
    <t>01-0367</t>
  </si>
  <si>
    <t xml:space="preserve">FERRETERIA CAMILA, CA/FACT 30448/palustra raton-Inversión Herramienta de trabajo </t>
  </si>
  <si>
    <t>01-0368</t>
  </si>
  <si>
    <t>SERVL012</t>
  </si>
  <si>
    <t>ADQUISICION DE HERRAMIENTAS</t>
  </si>
  <si>
    <t>01-0369</t>
  </si>
  <si>
    <t>01-0370</t>
  </si>
  <si>
    <t>MPP ECOSOCIALISMO/pago tramite minet piedra caliza de garantia</t>
  </si>
  <si>
    <t>GASTOS TRAMITES PERMISOS SANIDAD/SAPI</t>
  </si>
  <si>
    <t>01-0371</t>
  </si>
  <si>
    <t>SERVA032E</t>
  </si>
  <si>
    <t>GASTOS PERMISOS MINEC</t>
  </si>
  <si>
    <t>08-220125</t>
  </si>
  <si>
    <t>DAFNE PEÑA/FACT 75/TRAMITE ACTUALIZACION RUPDAE</t>
  </si>
  <si>
    <t>01-0372</t>
  </si>
  <si>
    <t>SERVA007</t>
  </si>
  <si>
    <t>GASTOS HONORARIO PROFESIONALES</t>
  </si>
  <si>
    <t>01-0373</t>
  </si>
  <si>
    <t>01-0374</t>
  </si>
  <si>
    <t>EDWUARD ALMEIDA/EVENTUAL MEGATECH-20/01/2025 al 26/01/2025</t>
  </si>
  <si>
    <t>01-0375</t>
  </si>
  <si>
    <t xml:space="preserve">REPUESTOS Y SERVIVIOS KR CARS/FACT 1379/para mant de la vibradora de concreto y compactadora de terreno </t>
  </si>
  <si>
    <t>01-0376</t>
  </si>
  <si>
    <t>EMPRENDIMIENTO DIOSANNY ALVAREZ/FACT 140/correspondiente a la semana del 20-01 al 24-01-25 de comida, en la campaña del yeso de Camunare.</t>
  </si>
  <si>
    <t>01-0377</t>
  </si>
  <si>
    <t>JESUS RAMOS/EVENTUAL GOBERNACION-20/01/2025 al 26/01/2025</t>
  </si>
  <si>
    <t>01-0378</t>
  </si>
  <si>
    <t>YERRY RODRÍGUEZ/EVENTUAL MEGATECH-20/01/2025 al 26/01/2025</t>
  </si>
  <si>
    <t>01-0379</t>
  </si>
  <si>
    <t>PROMICAR/FACT0954/Reparacion de manguera del gato hidraulico de la retro excavadora</t>
  </si>
  <si>
    <t>01-0380</t>
  </si>
  <si>
    <t>SERVL017</t>
  </si>
  <si>
    <t>INSUMOS MAQUINARIAS</t>
  </si>
  <si>
    <t>ELIA MENDOZA/Elida Mendoza - 01 día/personal que laboro en la campaña de yeso la semana del 20-01 al 26-01-25</t>
  </si>
  <si>
    <t>01-0381</t>
  </si>
  <si>
    <t>ELIO MALPICA/EVENTUAL MEGATECH-20/01/2025 al 26/01/2025</t>
  </si>
  <si>
    <t>01-0382</t>
  </si>
  <si>
    <t>ARGENIS FLORES/EVENTUAL MEGATECH-20/01/2025 al 26/01/2025</t>
  </si>
  <si>
    <t>01-0383</t>
  </si>
  <si>
    <t>pago solicitud de viaticos comunare correspondiente a la semana del 20 al 26-01-25- 50$ RESTANTE  fact 142 diosanny- FACT 403 JULIO IGLESIAS Y  FACTURA 000005 ALBERTO PERNALETE (en espera del cambio de factura de diosanny)</t>
  </si>
  <si>
    <t>01-0384</t>
  </si>
  <si>
    <t>DIESEL INYECCION BARQUISIMETO S A/FACT 5439/camisas para 2 inyectores de la grúa</t>
  </si>
  <si>
    <t>01-0385</t>
  </si>
  <si>
    <t>FREDDY MENDOZA/Fredy Mendoza - 02 días de 12$ y 02 días de 15$-total 54$/personal que laboro en la campaña de yeso la semana del 20-01 al 26-01-25</t>
  </si>
  <si>
    <t>01-0386</t>
  </si>
  <si>
    <t>Lino flores - 01 dias/personal que laboro en la campaña de yeso la semana del 20-01 al 26-01-25</t>
  </si>
  <si>
    <t>01-0387</t>
  </si>
  <si>
    <t>01-0388</t>
  </si>
  <si>
    <t>01-0389</t>
  </si>
  <si>
    <t>Brunito Segundo Cordero/Eventual agregado-20/01/2025 al 26/01/2025</t>
  </si>
  <si>
    <t>01-0390</t>
  </si>
  <si>
    <t>Delios Adolfo Ferrara/Eventual agregado-20/01/2025 al 26/01/2025</t>
  </si>
  <si>
    <t>01-0391</t>
  </si>
  <si>
    <t>Eliomar Jesús Escalona/Eventual agregado-20/01/2025 al 26/01/2025</t>
  </si>
  <si>
    <t>01-0392</t>
  </si>
  <si>
    <t>José Guillermo Cortez/Eventual agregado-20/01/2025 al 26/01/2025</t>
  </si>
  <si>
    <t>01-0393</t>
  </si>
  <si>
    <t>Darwuin Jesús Bullones/Eventual agregado-20/01/2025 al 26/01/2025</t>
  </si>
  <si>
    <t>01-0394</t>
  </si>
  <si>
    <t>Frank Armando García/Eventual agregado-20/01/2025 al 26/01/2025</t>
  </si>
  <si>
    <t>01-0395</t>
  </si>
  <si>
    <t>Alberto Luis Rojas/Eventual agregado-20/01/2025 al 26/01/2025</t>
  </si>
  <si>
    <t>01-0396</t>
  </si>
  <si>
    <t>Naiker Alexander Jimenez/Eventual agregado-20/01/2025 al 26/01/2025</t>
  </si>
  <si>
    <t>01-0397</t>
  </si>
  <si>
    <t>José Gregorio Perez/Eventual agregado-20/01/2025 al 26/01/2025</t>
  </si>
  <si>
    <t>01-0398</t>
  </si>
  <si>
    <t>Carlos Daniel Rodriguez/Eventual agregado-20/01/2025 al 26/01/2025</t>
  </si>
  <si>
    <t>01-0399</t>
  </si>
  <si>
    <t>Alejandro Morales/Eventual agregado-20/01/2025 al 26/01/2025</t>
  </si>
  <si>
    <t>01-0400</t>
  </si>
  <si>
    <t>Euber José Juarez/Eventual agregado-20/01/2025 al 26/01/2025</t>
  </si>
  <si>
    <t>01-0401</t>
  </si>
  <si>
    <t>Ali Alberto Bullones/Eventual agregado-20/01/2025 al 26/01/2025</t>
  </si>
  <si>
    <t>01-0402</t>
  </si>
  <si>
    <t>Alberto Ali Bullones/Eventual agregado-20/01/2025 al 26/01/2025</t>
  </si>
  <si>
    <t>01-0403</t>
  </si>
  <si>
    <t>Justiniano Rodriguez/Eventual agregado-20/01/2025 al 26/01/2025</t>
  </si>
  <si>
    <t>01-0404</t>
  </si>
  <si>
    <t>Fernando José Rodriguez/Eventual agregado-20/01/2025 al 26/01/2025</t>
  </si>
  <si>
    <t>01-0405</t>
  </si>
  <si>
    <t>Armando Lopez/Eventual agregado-20/01/2025 al 26/01/2025</t>
  </si>
  <si>
    <t>01-0406</t>
  </si>
  <si>
    <t>Carlos Lopez/Eventual agregado-20/01/2025 al 26/01/2025</t>
  </si>
  <si>
    <t>01-0407</t>
  </si>
  <si>
    <t>Froilan Lopez/Eventual agregado-20/01/2025 al 26/01/2025</t>
  </si>
  <si>
    <t>01-0408</t>
  </si>
  <si>
    <t>Estebez Maramara/Eventual agregado-20/01/2025 al 26/01/2025</t>
  </si>
  <si>
    <t>01-0409</t>
  </si>
  <si>
    <t>Ramón Quintero/Eventual agregado-20/01/2025 al 26/01/2025</t>
  </si>
  <si>
    <t>01-0410</t>
  </si>
  <si>
    <t>JUAN LOPEZ/Eventual agregado-20/01/2025 al 26/01/2025</t>
  </si>
  <si>
    <t>01-0411</t>
  </si>
  <si>
    <t>EXSON RODRIGUEZ/EVENTUAL GOBERNACION-20/01/2025 al 26/01/2025</t>
  </si>
  <si>
    <t>01-0412</t>
  </si>
  <si>
    <t>DOUGLAS PIMENTEL/EVENTUAL GOBERNACION-20/01/2025 al 26/01/2025</t>
  </si>
  <si>
    <t>01-0413</t>
  </si>
  <si>
    <t>PEDRO CASTILLO/EVENTUAL GOBERNACION-20/01/2025 al 26/01/2025</t>
  </si>
  <si>
    <t>01-0414</t>
  </si>
  <si>
    <t>MIGUEL TORRES/EVENTUAL GOBERNACION-20/01/2025 al 26/01/2025</t>
  </si>
  <si>
    <t>01-0415</t>
  </si>
  <si>
    <t>WENDY GIMENEZ/EVENTUAL GOBERNACION-20/01/2025 al 26/01/2025</t>
  </si>
  <si>
    <t>01-0416</t>
  </si>
  <si>
    <t>YONNY CASTILLO/EVENTUAL MEGATECH-20/01/2025 al 26/01/2025</t>
  </si>
  <si>
    <t>01-0417</t>
  </si>
  <si>
    <t>NICOLAS ALVAREZ/EVENTUAL GOBERNACION-20/01/2025 al 26/01/2025</t>
  </si>
  <si>
    <t>01-0418</t>
  </si>
  <si>
    <t>LUIS SILVEIRO COLON OJEDA/Eventual agregado-20/01/2025 al 26/01/2025</t>
  </si>
  <si>
    <t>01-0419</t>
  </si>
  <si>
    <t>RAFAEL PUERTAS/EVENTUAL GOBERNACION-20/01/2025 al 26/01/2025</t>
  </si>
  <si>
    <t>01-0420</t>
  </si>
  <si>
    <t>CARLOS PACHECO/EVENTUAL GOBERNACION-20/01/2025 al 26/01/2025</t>
  </si>
  <si>
    <t>01-0421</t>
  </si>
  <si>
    <t>ANDRÉS ARMELLA/EVENTUAL GOBERNACION-20/01/2025 al 26/01/2025</t>
  </si>
  <si>
    <t>01-0422</t>
  </si>
  <si>
    <t>JOSE TOLEDO/EVENTUAL GOBERNACION-20/01/2025 al 26/01/2025</t>
  </si>
  <si>
    <t>01-0423</t>
  </si>
  <si>
    <t>JUAN PINTO/EVENTUAL GOBERNACION-20/01/2025 al 26/01/2025</t>
  </si>
  <si>
    <t>01-0424</t>
  </si>
  <si>
    <t>HENRRY VALERA/EVENTUAL GOBERNACION-20/01/2025 al 26/01/2025</t>
  </si>
  <si>
    <t>01-0425</t>
  </si>
  <si>
    <t>HECTOR/EVENTUAL GOBERNACION-20/01/2025 al 26/01/2025</t>
  </si>
  <si>
    <t>01-0426</t>
  </si>
  <si>
    <t>RAFAEL QUIROZ/EVENTUAL GOBERNACION-20/01/2025 al 26/01/2025</t>
  </si>
  <si>
    <t>01-0427</t>
  </si>
  <si>
    <t>ALIRIO PARRA/EVENTUAL GOBERNACION-20/01/2025 al 26/01/2025</t>
  </si>
  <si>
    <t>01-0428</t>
  </si>
  <si>
    <t>EDWIN ROJAS/EVENTUAL GOBERNACION-20/01/2025 al 26/01/2025</t>
  </si>
  <si>
    <t>01-0429</t>
  </si>
  <si>
    <t>FEDERICO FANEITE/EVENTUAL GOBERNACION-20/01/2025 al 26/01/2025</t>
  </si>
  <si>
    <t>01-0430</t>
  </si>
  <si>
    <t>PITTER PUERTA/EVENTUAL MEGATECH-20/01/2025 al 26/01/2025</t>
  </si>
  <si>
    <t>01-0431</t>
  </si>
  <si>
    <t>ANGEL CALDERA/EVENTUAL GOBERNACION-20/01/2025 al 26/01/2025</t>
  </si>
  <si>
    <t>01-0432</t>
  </si>
  <si>
    <t>WALNER OVIEDO/EVENTUAL MEGATECH-20/01/2025 al 26/01/2025</t>
  </si>
  <si>
    <t>01-0433</t>
  </si>
  <si>
    <t>Dayana Azuaje/07 dias de 10$/personal que laboro en la campaña de yeso la semana del 20-01 al 26-01-25</t>
  </si>
  <si>
    <t>01-0434</t>
  </si>
  <si>
    <t>FRANCISCO CASTILLO/EVENTUAL MEGATECH-20/01/2025 al 26/01/2025</t>
  </si>
  <si>
    <t>01-0435</t>
  </si>
  <si>
    <t>ANTONIO CASTILLO/EVENTUAL MEGATECH-20/01/2025 al 26/01/2025</t>
  </si>
  <si>
    <t>01-0436</t>
  </si>
  <si>
    <t>FARELIZ ARRIECHE/EVENTUAL GOBERNACION-20/01/2025 al 26/01/2025</t>
  </si>
  <si>
    <t>01-0437</t>
  </si>
  <si>
    <t>Bruno Ali Cordero Bullones/Eventual agregado-20/01/2025 al 26/01/2025</t>
  </si>
  <si>
    <t>01-0438</t>
  </si>
  <si>
    <t>JOSE GUEVARA/EVENTUAL MEGATECH-20/01/2025 al 26/01/2025</t>
  </si>
  <si>
    <t>01-0439</t>
  </si>
  <si>
    <t>ELVIS VALLES/EVENTUAL MEGATECH-20/01/2025 al 26/01/2025</t>
  </si>
  <si>
    <t>01-0440</t>
  </si>
  <si>
    <t>JOSE CASTILLO/EVENTUAL MEGATECH-20/01/2025 al 26/01/2025</t>
  </si>
  <si>
    <t>01-0441</t>
  </si>
  <si>
    <t>01-0442</t>
  </si>
  <si>
    <t>OMAR TORREALBA/EVENTUAL MEGATECH-20/01/2025 al 26/01/2025</t>
  </si>
  <si>
    <t>01-0443</t>
  </si>
  <si>
    <t>CARLOS CASTILLO/EVENTUAL MEGATECH-20/01/2025 al 26/01/2025</t>
  </si>
  <si>
    <t>01-0444</t>
  </si>
  <si>
    <t>YORDIS ALMAO/EVENTUAL MEGATECH-20/01/2025 al 26/01/2025</t>
  </si>
  <si>
    <t>01-0445</t>
  </si>
  <si>
    <t>VICTOR MENDEZ/EVENTUAL MEGATECH-20/01/2025 al 26/01/2025</t>
  </si>
  <si>
    <t>01-0446</t>
  </si>
  <si>
    <t>CARLOS LOYO/EVENTUAL MEGATECH-20/01/2025 al 26/01/2025</t>
  </si>
  <si>
    <t>01-0447</t>
  </si>
  <si>
    <t>JULIAN GUEDEZ/EVENTUAL MEGATECH-20/01/2025 al 26/01/2025</t>
  </si>
  <si>
    <t>01-0448</t>
  </si>
  <si>
    <t>ALBERTO LOYO/EVENTUAL MEGATECH-20/01/2025 al 26/01/2025</t>
  </si>
  <si>
    <t>01-0449</t>
  </si>
  <si>
    <t>WILLIAM RIVAS/Willam Rivas - 05 días de 10$ personal que laboro en la campaña de yeso la semana del 20-01 al 26-01-25</t>
  </si>
  <si>
    <t>01-0450</t>
  </si>
  <si>
    <t>NORYS RAMOS/EVENTUAL GOBERNACION-20/01/2025 al 26/01/2025</t>
  </si>
  <si>
    <t>01-0451</t>
  </si>
  <si>
    <t>RUBEN RIVAS/EVENTUAL MEGATECH-20/01/2025 al 26/01/2025</t>
  </si>
  <si>
    <t>01-0452</t>
  </si>
  <si>
    <t>01-0453</t>
  </si>
  <si>
    <t>01-0454</t>
  </si>
  <si>
    <t>ALEXANDER CASTILLO/EVENTUAL MEGATECH-20/01/2025 al 26/01/2025</t>
  </si>
  <si>
    <t>01-0455</t>
  </si>
  <si>
    <t>NORYS RAMOS/EVENTUAL MEGATECH-20/01/2025 al 26/01/2025</t>
  </si>
  <si>
    <t>01-0456</t>
  </si>
  <si>
    <t>EMPERATRIZ LEON/EVENTUAL MEGATECH-20/01/2025 al 26/01/2025</t>
  </si>
  <si>
    <t>01-0457</t>
  </si>
  <si>
    <t>RAMONC QUIROGAS/pago bono para operador aprobado por Wilians Aleman-20$/operador de tractor</t>
  </si>
  <si>
    <t>01-0458</t>
  </si>
  <si>
    <t>ALIRIO PARRA/EVENTUAL MEGATECH-20/01/2025 al 26/01/2025</t>
  </si>
  <si>
    <t>01-0459</t>
  </si>
  <si>
    <t>FARELIZ ARRIECHE/EVENTUAL MEGATECH-20/01/2025 al 26/01/2025</t>
  </si>
  <si>
    <t>01-0460</t>
  </si>
  <si>
    <t>FARES ARRIECHE/EVENTUAL MEGATECH-20/01/2025 al 26/01/2025</t>
  </si>
  <si>
    <t>01-0461</t>
  </si>
  <si>
    <t>INGRID REYES/EVENTUAL MEGATECH-20/01/2025 al 26/01/2025</t>
  </si>
  <si>
    <t>01-0462</t>
  </si>
  <si>
    <t>01-0463</t>
  </si>
  <si>
    <t>01-0464</t>
  </si>
  <si>
    <t>01-0465</t>
  </si>
  <si>
    <t>MATERIALES SANTA LUCIA/ FACT 00004670/PLANTA CEMENTO-NE 255429-255430-255431-255444</t>
  </si>
  <si>
    <t>01-0466</t>
  </si>
  <si>
    <t>01-0467</t>
  </si>
  <si>
    <t>01-0468</t>
  </si>
  <si>
    <t>DIGASMALAR/FACT 55006/Oxígeno para equipos de oxicorte</t>
  </si>
  <si>
    <t>01-0469</t>
  </si>
  <si>
    <t>01-0470</t>
  </si>
  <si>
    <t>01-0471</t>
  </si>
  <si>
    <t>ALBERTO PERNALETE/ fact 000005 /solictud viaticos gustavo rangel -50$ pago fact  diosanny y abono</t>
  </si>
  <si>
    <t>01-0472</t>
  </si>
  <si>
    <t>FALTA PROCESAR LA FACT DE DIOSANNY</t>
  </si>
  <si>
    <t>01-0473</t>
  </si>
  <si>
    <t>JULIO IGLESIAS/ FACT 406/grasa excavador yaracuy bonito</t>
  </si>
  <si>
    <t>01-0474</t>
  </si>
  <si>
    <t>01-0475</t>
  </si>
  <si>
    <t>COMIS USO CANAL INT BANK X CTA</t>
  </si>
  <si>
    <t>01-0476</t>
  </si>
  <si>
    <t>01-0477</t>
  </si>
  <si>
    <t>01-0478</t>
  </si>
  <si>
    <t>SERV AMBIT P/ECOSOCIALISMO/obtención del permiso de afectación - caliza</t>
  </si>
  <si>
    <t>01-0479</t>
  </si>
  <si>
    <t>08-280125</t>
  </si>
  <si>
    <t>ARIEDDY ROSELY GARRIDO URDANETA/FACT 19/análisis realizados a las muestras de yeso enviadas por ustedes a nuestra unidad de Análisis Instrumental.</t>
  </si>
  <si>
    <t>01-0480</t>
  </si>
  <si>
    <t>SERVA009</t>
  </si>
  <si>
    <t>GASTOS INVESTIGACION Y DESARROLLO</t>
  </si>
  <si>
    <t>01-0481</t>
  </si>
  <si>
    <t>01-0482</t>
  </si>
  <si>
    <t>INVERSIONES Y MATERIALES PARRA C.A/FACT 717/Requerimiento para el personal INDU</t>
  </si>
  <si>
    <t>01-0483</t>
  </si>
  <si>
    <t>01-0484</t>
  </si>
  <si>
    <t>01-0485</t>
  </si>
  <si>
    <t>VIELMA GONZALEZ, CARLEN ALONSO/BONO COMPLEMENTARIO 31-01-2025</t>
  </si>
  <si>
    <t>01-0486</t>
  </si>
  <si>
    <t>RANGEL PEREZ, GUSTAVO ALONSO/BONO COMPLEMENTARIO 31-01-2025</t>
  </si>
  <si>
    <t>01-0487</t>
  </si>
  <si>
    <t>RANGEL PEREZ,GUSTAVO ALONSO/NOMINA 31-01-2025</t>
  </si>
  <si>
    <t>01-0488</t>
  </si>
  <si>
    <t>RANGEL PEREZ,GUSTAVO ALONSO/CESTA TICKET 31-01-2025</t>
  </si>
  <si>
    <t>01-0489</t>
  </si>
  <si>
    <t>VIELMA GONZALEZ, CARLEN ALFONSO/CESTA TICKET 31-01-2025</t>
  </si>
  <si>
    <t>01-0490</t>
  </si>
  <si>
    <t>JOSE ARRIETA/BONIFICACION ESPECIAL GOBERNACION 2DA QUINCENA</t>
  </si>
  <si>
    <t>01-0491</t>
  </si>
  <si>
    <t>VIELMA GONZALEZ, CARLEN ALFONSO/NOMINA 31-01-2025</t>
  </si>
  <si>
    <t>01-0492</t>
  </si>
  <si>
    <t>CARLOS RODRIGUEZ/BONIFICACION ESPECIAL GOBERNACION 2DA QUINCENA</t>
  </si>
  <si>
    <t>01-0493</t>
  </si>
  <si>
    <t>ARMANDO VILLEGA/BONIFICACION ESPECIAL GOBERNACION 2DA QUINCENA</t>
  </si>
  <si>
    <t>01-0494</t>
  </si>
  <si>
    <t>01-0495</t>
  </si>
  <si>
    <t>01-0496</t>
  </si>
  <si>
    <t>LISO, C.A/FACT 591/suministro vigas de madera soporte de tritura de mandibula-insumo es equerido por los Hindú para las pruebas que se realizarán la semana entrante</t>
  </si>
  <si>
    <t>01-0497</t>
  </si>
  <si>
    <t>01-0498</t>
  </si>
  <si>
    <t>01-0499</t>
  </si>
  <si>
    <t>Brunito Segundo Cordero/Eventual agregado-27/01/2025 AL 02/02/2025</t>
  </si>
  <si>
    <t>01-0500</t>
  </si>
  <si>
    <t>Delios Adolfo Ferrara/Eventual agregado-27/01/2025 AL 02/02/2025</t>
  </si>
  <si>
    <t>01-0501</t>
  </si>
  <si>
    <t>Eliomar Jesús Escalona/Eventual agregado-27/01/2025 AL 02/02/2025</t>
  </si>
  <si>
    <t>01-0502</t>
  </si>
  <si>
    <t>José Guillermo Cortez/Eventual agregado-27/01/2025 AL 02/02/2025</t>
  </si>
  <si>
    <t>01-0503</t>
  </si>
  <si>
    <t>Darwuin Jesús Bullones/Eventual agregado-27/01/2025 AL 02/02/2025</t>
  </si>
  <si>
    <t>01-0504</t>
  </si>
  <si>
    <t>01-0505</t>
  </si>
  <si>
    <t>Alberto Luis Rojas/Eventual agregado-27/01/2025 AL 02/02/2025</t>
  </si>
  <si>
    <t>01-0506</t>
  </si>
  <si>
    <t>Naiker Alexander Jimenez/Eventual agregado-27/01/2025 AL 02/02/2025</t>
  </si>
  <si>
    <t>01-0507</t>
  </si>
  <si>
    <t>José Gregorio Perez/Eventual agregado-27/01/2025 AL 02/02/2025</t>
  </si>
  <si>
    <t>01-0508</t>
  </si>
  <si>
    <t>Carlos Daniel Rodriguez/Eventual agregado-27/01/2025 AL 02/02/2025</t>
  </si>
  <si>
    <t>01-0509</t>
  </si>
  <si>
    <t>Alejandro Morales/Eventual agregado-27/01/2025 AL 02/02/2025</t>
  </si>
  <si>
    <t>01-0510</t>
  </si>
  <si>
    <t>Euber José Juarez/Eventual agregado-27/01/2025 AL 02/02/2025</t>
  </si>
  <si>
    <t>01-0511</t>
  </si>
  <si>
    <t>Ali Alberto Bullones/Eventual agregado-27/01/2025 AL 02/02/2025</t>
  </si>
  <si>
    <t>01-0512</t>
  </si>
  <si>
    <t>Alberto Ali Bullones/Eventual agregado-27/01/2025 AL 02/02/2025</t>
  </si>
  <si>
    <t>01-0513</t>
  </si>
  <si>
    <t>Fernando José Rodriguez/Eventual agregado-27/01/2025 AL 02/02/2025</t>
  </si>
  <si>
    <t>01-0514</t>
  </si>
  <si>
    <t>Justiniano Rodriguez/Eventual agregado-27/01/2025 AL 02/02/2025</t>
  </si>
  <si>
    <t>01-0515</t>
  </si>
  <si>
    <t>Bruno Ali Cordero Bullones/Eventual agregado-27/01/2025 AL 02/02/2025</t>
  </si>
  <si>
    <t>01-0516</t>
  </si>
  <si>
    <t>Carlos Lopez/Eventual agregado-27/01/2025 AL 02/02/2025</t>
  </si>
  <si>
    <t>01-0517</t>
  </si>
  <si>
    <t>Armando Lopez/Eventual agregado-27/01/2025 AL 02/02/2025</t>
  </si>
  <si>
    <t>01-0518</t>
  </si>
  <si>
    <t>Froilan Lopez/Eventual agregado-27/01/2025 AL 02/02/2025</t>
  </si>
  <si>
    <t>01-0519</t>
  </si>
  <si>
    <t>Ramón Quintero/Eventual agregado-27/01/2025 AL 02/02/2025</t>
  </si>
  <si>
    <t>01-0520</t>
  </si>
  <si>
    <t>Estebez Maramara/Eventual agregado-27/01/2025 AL 02/02/2025</t>
  </si>
  <si>
    <t>01-0521</t>
  </si>
  <si>
    <t>JUAN LOPEZ/Eventual agregado-27/01/2025 AL 02/02/2025</t>
  </si>
  <si>
    <t>01-0522</t>
  </si>
  <si>
    <t>JESUS RAMOS/EVENTUAL GOBERNACION-27/01/2025 AL 02/02/2025</t>
  </si>
  <si>
    <t>01-0523</t>
  </si>
  <si>
    <t>LUIS SILVEIRO COLON OJEDA/Eventual agregado-27/01/2025 AL 02/02/2025</t>
  </si>
  <si>
    <t>01-0524</t>
  </si>
  <si>
    <t>DOUGLAS PIMENTEL/EVENTUAL GOBERNACION-27/01/2025 AL 02/02/2025</t>
  </si>
  <si>
    <t>01-0525</t>
  </si>
  <si>
    <t>EXSON RODRIGUEZ/EVENTUAL GOBERNACION-27/01/2025 AL 02/02/2025</t>
  </si>
  <si>
    <t>01-0526</t>
  </si>
  <si>
    <t>PEDRO CASTILLO/EVENTUAL GOBERNACION-27/01/2025 AL 02/02/2025</t>
  </si>
  <si>
    <t>01-0527</t>
  </si>
  <si>
    <t>MIGUEL TORRES/EVENTUAL GOBERNACION-27/01/2025 AL 02/02/2025</t>
  </si>
  <si>
    <t>01-0528</t>
  </si>
  <si>
    <t>01-0529</t>
  </si>
  <si>
    <t>01-0530</t>
  </si>
  <si>
    <t>CARLOS PACHECO/EVENTUAL GOBERNACION-27/01/2025 AL 02/02/2025</t>
  </si>
  <si>
    <t>01-0531</t>
  </si>
  <si>
    <t>ANDRÉS ARMELLA/EVENTUAL GOBERNACION-27/01/2025 AL 02/02/2025</t>
  </si>
  <si>
    <t>01-0532</t>
  </si>
  <si>
    <t>JOSE TOLEDO/EVENTUAL GOBERNACION-27/01/2025 AL 02/02/2025</t>
  </si>
  <si>
    <t>01-0533</t>
  </si>
  <si>
    <t>JUAN PINTO/EVENTUAL GOBERNACION-27/01/2025 AL 02/02/2025</t>
  </si>
  <si>
    <t>01-0534</t>
  </si>
  <si>
    <t>EDWIN ROJAS/EVENTUAL GOBERNACION-27/01/2025 AL 02/02/2025</t>
  </si>
  <si>
    <t>01-0535</t>
  </si>
  <si>
    <t>HENRRY VALERA/EVENTUAL GOBERNACION-27/01/2025 AL 02/02/2025</t>
  </si>
  <si>
    <t>01-0536</t>
  </si>
  <si>
    <t>WENDY GIMENEZ/EVENTUAL GOBERNACION-27/01/2025 AL 02/02/2025</t>
  </si>
  <si>
    <t>01-0537</t>
  </si>
  <si>
    <t>ALIRIO PARRA/EVENTUAL GOBERNACION-27/01/2025 AL 02/02/2025</t>
  </si>
  <si>
    <t>01-0538</t>
  </si>
  <si>
    <t>HECTOR/EVENTUAL GOBERNACION-27/01/2025 AL 02/02/2025</t>
  </si>
  <si>
    <t>01-0539</t>
  </si>
  <si>
    <t>FARELIZ ARRIECHE/EVENTUAL GOBERNACION-27/01/2025 AL 02/02/2025</t>
  </si>
  <si>
    <t>01-0540</t>
  </si>
  <si>
    <t>NORYS RAMOS/EVENTUAL GOBERNACION-27/01/2025 AL 02/02/2025</t>
  </si>
  <si>
    <t>01-0541</t>
  </si>
  <si>
    <t>RAFAEL QUIROZ/EVENTUAL GOBERNACION-27/01/2025 AL 02/02/2025</t>
  </si>
  <si>
    <t>01-0542</t>
  </si>
  <si>
    <t>ANGEL CALDERA/EVENTUAL GOBERNACION-27/01/2025 AL 02/02/2025</t>
  </si>
  <si>
    <t>01-0543</t>
  </si>
  <si>
    <t>ARGENIS FLORES/EVENTUAL MEGATECH-27/01/2025 AL 02/02/2025</t>
  </si>
  <si>
    <t>01-0544</t>
  </si>
  <si>
    <t>FEDERICO FANEITE/EVENTUAL GOBERNACION-27/01/2025 AL 02/02/2025</t>
  </si>
  <si>
    <t>01-0545</t>
  </si>
  <si>
    <t>PITTER PUERTA/EVENTUAL MEGATECH-27/01/2025 AL 02/02/2025</t>
  </si>
  <si>
    <t>01-0546</t>
  </si>
  <si>
    <t>YONNY CASTILLO/EVENTUAL MEGATECH-27/01/2025 AL 02/02/2025</t>
  </si>
  <si>
    <t>01-0547</t>
  </si>
  <si>
    <t>WALNER OVIEDO/EVENTUAL MEGATECH-27/01/2025 AL 02/02/2025</t>
  </si>
  <si>
    <t>01-0548</t>
  </si>
  <si>
    <t>FRANCISCO CASTILLO/EVENTUAL MEGATECH-27/01/2025 AL 02/02/2025</t>
  </si>
  <si>
    <t>01-0549</t>
  </si>
  <si>
    <t>ANTONIO CASTILLO/EVENTUAL MEGATECH-27/01/2025 AL 02/02/2025</t>
  </si>
  <si>
    <t>01-0550</t>
  </si>
  <si>
    <t>JOSE GUEVARA/EVENTUAL MEGATECH-27/01/2025 AL 02/02/2025</t>
  </si>
  <si>
    <t>01-0551</t>
  </si>
  <si>
    <t>JOSE CASTILLO/EVENTUAL MEGATECH-27/01/2025 AL 02/02/2025</t>
  </si>
  <si>
    <t>01-0552</t>
  </si>
  <si>
    <t>ELVIS VALLES/EVENTUAL MEGATECH-27/01/2025 AL 02/02/2025</t>
  </si>
  <si>
    <t>01-0553</t>
  </si>
  <si>
    <t>01-0554</t>
  </si>
  <si>
    <t>OMAR TORREALBA/EVENTUAL MEGATECH-27/01/2025 AL 02/02/2025</t>
  </si>
  <si>
    <t>01-0555</t>
  </si>
  <si>
    <t>CARLOS CASTILLO/EVENTUAL MEGATECH-27/01/2025 AL 02/02/2025</t>
  </si>
  <si>
    <t>01-0556</t>
  </si>
  <si>
    <t>JULIAN GUEDEZ/EVENTUAL MEGATECH-27/01/2025 AL 02/02/2025</t>
  </si>
  <si>
    <t>01-0557</t>
  </si>
  <si>
    <t>YORDIS ALMAO/EVENTUAL MEGATECH-27/01/2025 AL 02/02/2025</t>
  </si>
  <si>
    <t>01-0558</t>
  </si>
  <si>
    <t>VICTOR MENDEZ/EVENTUAL MEGATECH-27/01/2025 AL 02/02/2025</t>
  </si>
  <si>
    <t>01-0559</t>
  </si>
  <si>
    <t>CARLOS LOYO/EVENTUAL MEGATECH-27/01/2025 AL 02/02/2025</t>
  </si>
  <si>
    <t>01-0560</t>
  </si>
  <si>
    <t>ALBERTO LOYO/EVENTUAL MEGATECH-27/01/2025 AL 02/02/2025</t>
  </si>
  <si>
    <t>01-0561</t>
  </si>
  <si>
    <t>EDWUARD ALMEIDA/EVENTUAL MEGATECH-27/01/2025 AL 02/02/2025</t>
  </si>
  <si>
    <t>01-0562</t>
  </si>
  <si>
    <t>YERRY RODRÍGUEZ/EVENTUAL MEGATECH-27/01/2025 AL 02/02/2025</t>
  </si>
  <si>
    <t>01-0563</t>
  </si>
  <si>
    <t>ALEXANDER CASTILLO/EVENTUAL MEGATECH-27/01/2025 AL 02/02/2025</t>
  </si>
  <si>
    <t>01-0564</t>
  </si>
  <si>
    <t>ELIO MALPICA/EVENTUAL MEGATECH-27/01/2025 AL 02/02/2025</t>
  </si>
  <si>
    <t>01-0565</t>
  </si>
  <si>
    <t>RUBEN RIVAS/EVENTUAL MEGATECH-27/01/2025 AL 02/02/2025</t>
  </si>
  <si>
    <t>01-0566</t>
  </si>
  <si>
    <t>NORYS RAMOS/EVENTUAL MEGATECH-27/01/2025 AL 02/02/2025</t>
  </si>
  <si>
    <t>01-0567</t>
  </si>
  <si>
    <t>ALIRIO PARRA/EVENTUAL MEGATECH-27/01/2025 AL 02/02/2025</t>
  </si>
  <si>
    <t>01-0568</t>
  </si>
  <si>
    <t>EMPERATRIZ LEON/EVENTUAL MEGATECH-27/01/2025 AL 02/02/2025</t>
  </si>
  <si>
    <t>01-0569</t>
  </si>
  <si>
    <t>FARELIZ ARRIECHE/EVENTUAL MEGATECH-27/01/2025 AL 02/02/2025</t>
  </si>
  <si>
    <t>01-0570</t>
  </si>
  <si>
    <t>FARES ARRIECHE/EVENTUAL MEGATECH-27/01/2025 AL 02/02/2025</t>
  </si>
  <si>
    <t>01-0571</t>
  </si>
  <si>
    <t>INGRID REYES/EVENTUAL MEGATECH-27/01/2025 AL 02/02/2025</t>
  </si>
  <si>
    <t>01-0572</t>
  </si>
  <si>
    <t>01-0573</t>
  </si>
  <si>
    <t>01-0574</t>
  </si>
  <si>
    <t>Repuestos HRN 2020 CA/ fact 1564/Correa para Trompo Mezclador de Concreto</t>
  </si>
  <si>
    <t>01-0575</t>
  </si>
  <si>
    <t>01-0576</t>
  </si>
  <si>
    <t>Repuestos y servicios KR cars ca/FACT 1388/Correa y Aceite para Rana Compactadora</t>
  </si>
  <si>
    <t>01-0577</t>
  </si>
  <si>
    <t>01-0578</t>
  </si>
  <si>
    <t>DIOSANNY ALAVREZ/FACT 150/pago almuerzos Consumos de comidas del 27/01 al 31/01/25</t>
  </si>
  <si>
    <t>01-0579</t>
  </si>
  <si>
    <t>Aureliano León  - 70$/
pago personal que laboro en la campaña del yeso semana 27-01 al 31-01-2025</t>
  </si>
  <si>
    <t>01-0580</t>
  </si>
  <si>
    <t>Fredy Mendoza -48$/pago personal que laboro en la campaña del yeso semana 27-01 al 31-01-2025</t>
  </si>
  <si>
    <t>01-0581</t>
  </si>
  <si>
    <t>Leonardo Chirinos - 20$/pago bono para operador aprobado por Wilians Aleman-20$/CAMION</t>
  </si>
  <si>
    <t>01-0582</t>
  </si>
  <si>
    <t>Lino flore - 65$/pago personal que laboro en la campaña del yeso semana 27-01 al 31-01-2025</t>
  </si>
  <si>
    <t>01-0583</t>
  </si>
  <si>
    <t>Julian Castillo - 50$/pago personal que laboro en la campaña del yeso semana 27-01 al 31-01-2025</t>
  </si>
  <si>
    <t>01-0584</t>
  </si>
  <si>
    <t>Elida Mendoza - 10$/pago personal que laboro en la campaña del yeso semana 27-01 al 31-01-2025</t>
  </si>
  <si>
    <t>01-0585</t>
  </si>
  <si>
    <t>Jeferson Davila - 20$/pago bono para operador aprobado por Wilians Aleman/EXCAVADOR</t>
  </si>
  <si>
    <t>01-0586</t>
  </si>
  <si>
    <t>Beatriz Castillo - 20$/pago bono para operador aprobado por Wilians Aleman/TRACTOR</t>
  </si>
  <si>
    <t>01-0587</t>
  </si>
  <si>
    <t>ferrenova 2014/Fact 01659/Techado de dique Tanque Diesel para Generadores</t>
  </si>
  <si>
    <t>01-0588</t>
  </si>
  <si>
    <t xml:space="preserve"> ALBERTO PERNALETE/FACT 000005/REINTEGRO DIFERENCIA VIATCOS SR GUSTAVO</t>
  </si>
  <si>
    <t>01-0589</t>
  </si>
  <si>
    <t>01-0590</t>
  </si>
  <si>
    <t>Ramon Quirogas - 20$/pago bono para operador aprobado por Wilians Aleman-20$/operador de tractor</t>
  </si>
  <si>
    <t>01-0591</t>
  </si>
  <si>
    <t>01-0592</t>
  </si>
  <si>
    <t>TRANSPORTE  Y SERVICIO TDC/FACT 0051/SERVICIO DICIEMBRE 2024</t>
  </si>
  <si>
    <t>01-0593</t>
  </si>
  <si>
    <t>SERVA005</t>
  </si>
  <si>
    <t>GASTOS FLETES Y ENCOMIENDA</t>
  </si>
  <si>
    <t>01-0594</t>
  </si>
  <si>
    <t>MATERIALES SANTA LUCIA/FACT 00004716/PLANTA CEMENTO-NE 255507-255508-255469-255479-255480</t>
  </si>
  <si>
    <t>01-0595</t>
  </si>
  <si>
    <t>01-0596</t>
  </si>
  <si>
    <t>BELOW MINIMUM BALANCE CHARGES</t>
  </si>
  <si>
    <t>01-0597</t>
  </si>
  <si>
    <t>STAMENT SERVICE</t>
  </si>
  <si>
    <t>01-0598</t>
  </si>
  <si>
    <t>0329235598968</t>
  </si>
  <si>
    <t>01-0599</t>
  </si>
  <si>
    <t>VENEZUELA</t>
  </si>
  <si>
    <t>0598114204262</t>
  </si>
  <si>
    <t xml:space="preserve">SAPI/planillas fm02/la marca  Minerales AB   </t>
  </si>
  <si>
    <t>01-0600</t>
  </si>
  <si>
    <t>SERVA031E</t>
  </si>
  <si>
    <t>GASTOS PERMISOS SAPI</t>
  </si>
  <si>
    <t>08-070125</t>
  </si>
  <si>
    <t>9884807012025</t>
  </si>
  <si>
    <t xml:space="preserve">COM PAGO OTRAS CTAS JUR GUB   </t>
  </si>
  <si>
    <t>01-0601</t>
  </si>
  <si>
    <t>0329200000001</t>
  </si>
  <si>
    <t xml:space="preserve">ALBERTO PERNALETTE/FACT 05/pago reembolso de lavado de vehiculo de la empresa </t>
  </si>
  <si>
    <t>01-0602</t>
  </si>
  <si>
    <t>0329200000002</t>
  </si>
  <si>
    <t>Digasmalar/fact 00054879/oxígeno para equipos de oxicorte solicitado por ing fareliz</t>
  </si>
  <si>
    <t>01-0603</t>
  </si>
  <si>
    <t>0329200000003</t>
  </si>
  <si>
    <t>SERVICIOS RODRIGUEZ C.A/FACT 3873/correspondiente a la evaluación de materiales en campo para ser usados en el montaje de la trituración primaria</t>
  </si>
  <si>
    <t>01-0604</t>
  </si>
  <si>
    <t>0329200000004</t>
  </si>
  <si>
    <t>SERVICIOSRODRIGUEZ C.A/FACT 3873/correspondiente a la evaluación de materiales en campo para ser usados en el montaje de la trituración primaria</t>
  </si>
  <si>
    <t>01-0605</t>
  </si>
  <si>
    <t>0676200000004</t>
  </si>
  <si>
    <t xml:space="preserve">COMISION PAGO A PROVEEDORES   </t>
  </si>
  <si>
    <t>01-0606</t>
  </si>
  <si>
    <t>0676200000001</t>
  </si>
  <si>
    <t>01-0607</t>
  </si>
  <si>
    <t>0676200000003</t>
  </si>
  <si>
    <t>01-0608</t>
  </si>
  <si>
    <t>0676200000002</t>
  </si>
  <si>
    <t>01-0609</t>
  </si>
  <si>
    <t>0329235602002</t>
  </si>
  <si>
    <t>01-0610</t>
  </si>
  <si>
    <t>0598114207916</t>
  </si>
  <si>
    <t>01-0611</t>
  </si>
  <si>
    <t>01-0612</t>
  </si>
  <si>
    <t>0329235789840</t>
  </si>
  <si>
    <t>01-0613</t>
  </si>
  <si>
    <t>0329276063563</t>
  </si>
  <si>
    <t>HILDAMAR ANTONIETTA ADAN RODRIGUEZ/FACT 103/comidas personal que laboro en la campaña de yeso- desayunos 19-12 al 03-01- almuerzos del 19-12 al 03-01- cena del 19-12 al 02-01</t>
  </si>
  <si>
    <t>01-0614</t>
  </si>
  <si>
    <t>SERVA017</t>
  </si>
  <si>
    <t>GASTOS REFRIGERIOS</t>
  </si>
  <si>
    <t>0676276063563</t>
  </si>
  <si>
    <t>01-0615</t>
  </si>
  <si>
    <t>0828607231644</t>
  </si>
  <si>
    <t xml:space="preserve">BANAVIH/PERIODO DICIEMBRE 2024          </t>
  </si>
  <si>
    <t>BANAVIH POR PAGAR</t>
  </si>
  <si>
    <t>01-0616</t>
  </si>
  <si>
    <t>SERVC007E</t>
  </si>
  <si>
    <t>GASTOS PARAFISCALES FAOV</t>
  </si>
  <si>
    <t>03-080125</t>
  </si>
  <si>
    <t>0100707234961</t>
  </si>
  <si>
    <t xml:space="preserve">IVSS/PERIODO DICIEMBRE 2024              </t>
  </si>
  <si>
    <t>SEGURO SOCIAL POR PAGAR</t>
  </si>
  <si>
    <t>01-0617</t>
  </si>
  <si>
    <t>SERVC008E</t>
  </si>
  <si>
    <t>GASTOS PARAFISCALES SSO</t>
  </si>
  <si>
    <t>03-08125</t>
  </si>
  <si>
    <t>0329237917016</t>
  </si>
  <si>
    <t>COMERCIALIZADOR/INVERSION DE CAPITAL/VZLA</t>
  </si>
  <si>
    <t>01-0618</t>
  </si>
  <si>
    <t>RANGEL PEREZ, GUSTAVO ALONSO/BONO COMPLEMENTARIO  15/01/2025</t>
  </si>
  <si>
    <t>01-0619</t>
  </si>
  <si>
    <t>RANGEL PEREZ, GUSTAVO ALONSO/NOMINA 15/01/2025</t>
  </si>
  <si>
    <t>01-0620</t>
  </si>
  <si>
    <t>VIELMA GONZALEZ, CARLEN ALFONZO/BONO COMPLENTARIO 15/01/2025</t>
  </si>
  <si>
    <t>01-0621</t>
  </si>
  <si>
    <t>VIELMA GONZALEZ, CARLEN ALFONZO/NOMINA 15/01/2025</t>
  </si>
  <si>
    <t>01-0622</t>
  </si>
  <si>
    <t>01-0623</t>
  </si>
  <si>
    <t>01-0624</t>
  </si>
  <si>
    <t>01-0625</t>
  </si>
  <si>
    <t>01-0626</t>
  </si>
  <si>
    <t>0329245241860</t>
  </si>
  <si>
    <t>01-0627</t>
  </si>
  <si>
    <t>0329277561940</t>
  </si>
  <si>
    <t xml:space="preserve"> DERECHO/ALMACENAJE/CONTENE/GASTO/IMPORT- MANEJO, DESPACHO, SEGURIDAD CONTENEDOR /PLANTA DE CEMENTO ORDEN DE PAGO 2536-2025</t>
  </si>
  <si>
    <t>EFECTOS POR COBRAR</t>
  </si>
  <si>
    <t>01-0628</t>
  </si>
  <si>
    <t>SERVA044</t>
  </si>
  <si>
    <t>GASTOS CONTAINER</t>
  </si>
  <si>
    <t>EN ESPERA DE REPUESTA DE COMPRAS-20/02/2025</t>
  </si>
  <si>
    <t>31-270125</t>
  </si>
  <si>
    <t>0676277561940</t>
  </si>
  <si>
    <t>01-0629</t>
  </si>
  <si>
    <t>0329245315252</t>
  </si>
  <si>
    <t>01-0630</t>
  </si>
  <si>
    <t>0329277581418</t>
  </si>
  <si>
    <t>COSCO LOGISTICS, C.A./CONTENEDOR CON EQUIPOS P/ PLANTA DE CEMENTO GASTO DE IMPORTACION 795,60$</t>
  </si>
  <si>
    <t>01-0631</t>
  </si>
  <si>
    <t>EN ESPERA DE REPUESTA DE COMPRAS</t>
  </si>
  <si>
    <t>0676277581418</t>
  </si>
  <si>
    <t>01-0632</t>
  </si>
  <si>
    <t xml:space="preserve"> Dulcemente Cabudare/-Factura 1128/MERIENDA SOLICITADA REUNIONES 06-11 DE SALON USO MULTIPLES ALFONSO</t>
  </si>
  <si>
    <t>01-0633</t>
  </si>
  <si>
    <t>PROCESADAS EN FEBRERO</t>
  </si>
  <si>
    <t xml:space="preserve"> Dulcemente Cabudare/-Factura 1127/MERIENDA SOLICITADA REUNIONES 06-11 DE SALON USO MULTIPLES ALFONSO</t>
  </si>
  <si>
    <t>01-0634</t>
  </si>
  <si>
    <t>01-0635</t>
  </si>
  <si>
    <t>01-0636</t>
  </si>
  <si>
    <t>0329245612665</t>
  </si>
  <si>
    <t>01-0637</t>
  </si>
  <si>
    <t>0597318825238</t>
  </si>
  <si>
    <t>SOGEBUSA C.A/pago ELEVADORA CONTENEDOR CON EQUIPOS PARA LA PLANTA DE CEMENTO-357$/OP 2548-2025</t>
  </si>
  <si>
    <t>01-0638</t>
  </si>
  <si>
    <t>31-290125</t>
  </si>
  <si>
    <t xml:space="preserve">COM PAGO OTR BCOS JUR JUR     </t>
  </si>
  <si>
    <t>01-0639</t>
  </si>
  <si>
    <t>0597318838547</t>
  </si>
  <si>
    <t>SOGEBUSA C.A/pago SERVICIO LAVADO QUIMICO CONTENEDOR CON EQUIPOS PARA LA PLANTA DE CEMENTO-92,80$/ OP 2551-2025-</t>
  </si>
  <si>
    <t>01-0640</t>
  </si>
  <si>
    <t>01-0641</t>
  </si>
  <si>
    <t xml:space="preserve">EMISION EDO. DE CTA. MONEDA NAC. EXT. </t>
  </si>
  <si>
    <t>01-0642</t>
  </si>
  <si>
    <t>04-280225</t>
  </si>
  <si>
    <t xml:space="preserve">TARIFA MANTENIMIENTO DE CUENTA    </t>
  </si>
  <si>
    <t>01-0643</t>
  </si>
  <si>
    <t xml:space="preserve">Hanley Borge/FACT 697/servidor lenovo-monitor xiaomi-ph rk 1000-bateria 12-100 gel-impresora hp 111-teclado y mouse-sede ,minerales (arenera) </t>
  </si>
  <si>
    <t>01-0644</t>
  </si>
  <si>
    <t>SERVA022</t>
  </si>
  <si>
    <t>GASTOS ADQUISICION EQUIPOS INFORMATICOS</t>
  </si>
  <si>
    <t>PROCESADO EN MARZO</t>
  </si>
  <si>
    <t xml:space="preserve">OP.CRED.DIRT. CLTE-CLTE PJ  ELECTRON   </t>
  </si>
  <si>
    <t>01-0645</t>
  </si>
  <si>
    <t>Hanley Borge/FACT 696/instalacion y conf servidor-instal SQL, saint, modulo ventas-conf migracion ventas a sede principal-instal vpn-sede minerales (arenera)</t>
  </si>
  <si>
    <t>01-0646</t>
  </si>
  <si>
    <t>SERVA001</t>
  </si>
  <si>
    <t>GASTOS ASESORIA INFORMATICA/MANTENIMIEN</t>
  </si>
  <si>
    <t>01-0647</t>
  </si>
  <si>
    <t>Hanley Borge/FACT 700/licencia saint sede Minerales-arenera</t>
  </si>
  <si>
    <t>01-0648</t>
  </si>
  <si>
    <t>01-0649</t>
  </si>
  <si>
    <t>MATERIALES PARRAS/FACT 735/Para Galpón de Tolva de Alimentación de Molino de Materia Prima-inmediato</t>
  </si>
  <si>
    <t>01-0650</t>
  </si>
  <si>
    <t>01-0651</t>
  </si>
  <si>
    <t>01-0652</t>
  </si>
  <si>
    <t>01-0653</t>
  </si>
  <si>
    <t>01-0654</t>
  </si>
  <si>
    <t>TENDENCIAS AB/INVERSION DE CAPITAL/MERCANTIL</t>
  </si>
  <si>
    <t>01-0655</t>
  </si>
  <si>
    <t>01-0656</t>
  </si>
  <si>
    <t>01-0657</t>
  </si>
  <si>
    <t>12-070225</t>
  </si>
  <si>
    <t>01-0658</t>
  </si>
  <si>
    <t>JOSE RAFAEL MORALES/BONIFICACION 1RA QUINCENAS</t>
  </si>
  <si>
    <t>01-0659</t>
  </si>
  <si>
    <t>01-0660</t>
  </si>
  <si>
    <t>01-0661</t>
  </si>
  <si>
    <t>01-0662</t>
  </si>
  <si>
    <t>12-140225</t>
  </si>
  <si>
    <t>01-0663</t>
  </si>
  <si>
    <t>01-0664</t>
  </si>
  <si>
    <t xml:space="preserve">DAFNE PEÑA/FACT82/redaccion y tramite de acta de asamblea aumento de capital </t>
  </si>
  <si>
    <t>01-0665</t>
  </si>
  <si>
    <t>PROCESADA EN MARZO</t>
  </si>
  <si>
    <t>01-0666</t>
  </si>
  <si>
    <t>01-0667</t>
  </si>
  <si>
    <t>01-0668</t>
  </si>
  <si>
    <t>12-210225</t>
  </si>
  <si>
    <t>01-0669</t>
  </si>
  <si>
    <t>01-0670</t>
  </si>
  <si>
    <t>JOSE RAFAEL MORALES/BONIFICACION 2DA QUINCENAS</t>
  </si>
  <si>
    <t>01-0671</t>
  </si>
  <si>
    <t>01-0672</t>
  </si>
  <si>
    <t>01-0673</t>
  </si>
  <si>
    <t>01-0674</t>
  </si>
  <si>
    <t>ALIMENTOS AGROTENDENCIAS, C.A/FACT 22039/harina y cafe  empleados DESPACHO DEL -20-01 al 24-01</t>
  </si>
  <si>
    <t>01-0675</t>
  </si>
  <si>
    <t>01-0676</t>
  </si>
  <si>
    <t>FERRENOVA 2014 C.A/FACT 01660/2 tubo estructural-Techado de dique Tanque Diesel para Generadores</t>
  </si>
  <si>
    <t>01-0677</t>
  </si>
  <si>
    <t>01-0678</t>
  </si>
  <si>
    <t>01-0679</t>
  </si>
  <si>
    <t>INVERSIONES Y MATERIALES PARRA C.A/FACT 727/100 mts Gomas para Sellado de Compuertas de Recolectores de Polvo-Requerimiento Hindú</t>
  </si>
  <si>
    <t>01-0680</t>
  </si>
  <si>
    <t>LISO, C.A/FACT 592/alquiler martillo rotopercutor neumatico-en explotación  de yeso</t>
  </si>
  <si>
    <t>01-0681</t>
  </si>
  <si>
    <t>SERVA047</t>
  </si>
  <si>
    <t>ALQUILER DE EQUIPOS/HERRAMIENTAS</t>
  </si>
  <si>
    <t>MARIA DEL CARMEN MOGOLLON ALVARADO/FACT 0465/POLVORA PIEDRA</t>
  </si>
  <si>
    <t>01-0682</t>
  </si>
  <si>
    <t>SERVP006</t>
  </si>
  <si>
    <t>INSUMOS DE EXPLOTACION DE MATERIA PRIMA</t>
  </si>
  <si>
    <t>01-0683</t>
  </si>
  <si>
    <t>01-0684</t>
  </si>
  <si>
    <t>EMPRENDIMIENTO DIOSANNY ALVAREZ/FACT 161/ALMUERZO/semana del 03-02 al 09-02-25</t>
  </si>
  <si>
    <t>01-0685</t>
  </si>
  <si>
    <t>DIESEL INYECCION BARQUISIMETO S A/FACT 5440/reparacion de inyectores de la grua-solicitud Fareliz</t>
  </si>
  <si>
    <t>01-0686</t>
  </si>
  <si>
    <t>AMERICANA DE TORNILLOS, C.A/FACT 10056/Para Sistema de Escape de Generadores</t>
  </si>
  <si>
    <t>01-0687</t>
  </si>
  <si>
    <t>01-0688</t>
  </si>
  <si>
    <t>01-0689</t>
  </si>
  <si>
    <t>GLOBAL ACEROS, C.A/FACT 0036/7 laminas lisas-Para Sistema de Escape de Generadores</t>
  </si>
  <si>
    <t>01-0690</t>
  </si>
  <si>
    <t>01-0691</t>
  </si>
  <si>
    <t>01-0692</t>
  </si>
  <si>
    <t>Brunito Segundo Cordero/Eventual Agregados 03/02/205 Al 09/02/2025</t>
  </si>
  <si>
    <t>01-0693</t>
  </si>
  <si>
    <t>Delios Adolfo Ferrara/Eventual Agregados 03/02/205 Al 09/02/2025</t>
  </si>
  <si>
    <t>01-0694</t>
  </si>
  <si>
    <t>Eliomar Jesús Escalona/Eventual Agregados 03/02/205 Al 09/02/2025</t>
  </si>
  <si>
    <t>01-0695</t>
  </si>
  <si>
    <t>José Guillermo Cortez/Eventual Agregados 03/02/205 Al 09/02/2025</t>
  </si>
  <si>
    <t>01-0696</t>
  </si>
  <si>
    <t>Darwuin Jesús Bullones/Eventual Agregados 03/02/205 Al 09/02/2025</t>
  </si>
  <si>
    <t>01-0697</t>
  </si>
  <si>
    <t>Frank Armando García/Eventual Agregados 03/02/205 Al 09/02/2025</t>
  </si>
  <si>
    <t>01-0698</t>
  </si>
  <si>
    <t>Alberto Luis Rojas/Eventual Agregados 03/02/205 Al 09/02/2025</t>
  </si>
  <si>
    <t>01-0699</t>
  </si>
  <si>
    <t>Naiker Alexander Jimenez/Eventual Agregados 03/02/205 Al 09/02/2025</t>
  </si>
  <si>
    <t>01-0700</t>
  </si>
  <si>
    <t>José Gregorio Perez/Eventual Agregados 03/02/205 Al 09/02/2025</t>
  </si>
  <si>
    <t>01-0701</t>
  </si>
  <si>
    <t>Carlos Daniel Rodriguez/Eventual Agregados 03/02/205 Al 09/02/2025</t>
  </si>
  <si>
    <t>01-0702</t>
  </si>
  <si>
    <t>Alejandro Morales/Eventual Agregados 03/02/205 Al 09/02/2025</t>
  </si>
  <si>
    <t>01-0703</t>
  </si>
  <si>
    <t>Euber José Juarez/Eventual Agregados 03/02/205 Al 09/02/2025</t>
  </si>
  <si>
    <t>01-0704</t>
  </si>
  <si>
    <t>Ali Alberto Bullones/Eventual Agregados 03/02/205 Al 09/02/2025</t>
  </si>
  <si>
    <t>01-0705</t>
  </si>
  <si>
    <t>Alberto Ali Bullones/Eventual Agregados 03/02/205 Al 09/02/2025</t>
  </si>
  <si>
    <t>01-0706</t>
  </si>
  <si>
    <t>Federico Faneite/Eventual Gobernacion 03/02/205 Al 09/02/2025</t>
  </si>
  <si>
    <t>01-0707</t>
  </si>
  <si>
    <t>Fernando José Rodriguez/Eventual Agregados 03/02/205 Al 09/02/2025</t>
  </si>
  <si>
    <t>01-0708</t>
  </si>
  <si>
    <t>Bruno Ali Cordero Bullones/Eventual Agregados 03/02/205 Al 09/02/2025</t>
  </si>
  <si>
    <t>01-0709</t>
  </si>
  <si>
    <t>Justiniano Rodriguez/Eventual Agregados 03/02/205 Al 09/02/2025</t>
  </si>
  <si>
    <t>01-0710</t>
  </si>
  <si>
    <t>Henrry Valera/Eventual Gobernacion 03/02/205 Al 09/02/2025</t>
  </si>
  <si>
    <t>01-0711</t>
  </si>
  <si>
    <t>Fareliz Arrieche/Eventual Gobernacion 03/02/205 Al 09/02/2025</t>
  </si>
  <si>
    <t>01-0712</t>
  </si>
  <si>
    <t>Armando Lopez /Eventual Agregados 03/02/205 Al 09/02/2025</t>
  </si>
  <si>
    <t>01-0713</t>
  </si>
  <si>
    <t>Froilan Lopez/Eventual Agregados 03/02/205 Al 09/02/2025</t>
  </si>
  <si>
    <t>01-0714</t>
  </si>
  <si>
    <t>Ramón Quintero/Eventual Agregados 03/02/205 Al 09/02/2025</t>
  </si>
  <si>
    <t>01-0715</t>
  </si>
  <si>
    <t>Juan López/Eventual Agregados 03/02/205 Al 09/02/2025</t>
  </si>
  <si>
    <t>01-0716</t>
  </si>
  <si>
    <t>Jesus Ramos/Eventual Gobernacion 03/02/205 Al 09/02/2025</t>
  </si>
  <si>
    <t>01-0717</t>
  </si>
  <si>
    <t>Exson Rodriguez/Eventual Gobernacion 03/02/205 Al 09/02/2025</t>
  </si>
  <si>
    <t>01-0718</t>
  </si>
  <si>
    <t>Douglas Pimentel/Eventual Gobernacion 03/02/205 Al 09/02/2025</t>
  </si>
  <si>
    <t>01-0719</t>
  </si>
  <si>
    <t>Pedro Castillo/Eventual Gobernacion 03/02/205 Al 09/02/2025</t>
  </si>
  <si>
    <t>01-0720</t>
  </si>
  <si>
    <t>Miguel Torres/Eventual Gobernacion 03/02/205 Al 09/02/2025</t>
  </si>
  <si>
    <t>01-0721</t>
  </si>
  <si>
    <t>Wendy Gimenez/Eventual Gobernacion 03/02/205 Al 09/02/2025</t>
  </si>
  <si>
    <t>01-0722</t>
  </si>
  <si>
    <t>Nicolas Alvarez/Eventual Gobernacion 03/02/205 Al 09/02/2025</t>
  </si>
  <si>
    <t>01-0723</t>
  </si>
  <si>
    <t>Rafael Puertas/Eventual Gobernacion 03/02/205 Al 09/02/2025</t>
  </si>
  <si>
    <t>01-0724</t>
  </si>
  <si>
    <t>Carlos Pacheco/Eventual Gobernacion 03/02/205 Al 09/02/2025</t>
  </si>
  <si>
    <t>01-0725</t>
  </si>
  <si>
    <t>Andrés Armella/Eventual Gobernacion 03/02/205 Al 09/02/2025</t>
  </si>
  <si>
    <t>01-0726</t>
  </si>
  <si>
    <t>Jose Toledo/Eventual Gobernacion 03/02/205 Al 09/02/2025</t>
  </si>
  <si>
    <t>01-0727</t>
  </si>
  <si>
    <t>Juan Pinto/Eventual Gobernacion 03/02/205 Al 09/02/2025</t>
  </si>
  <si>
    <t>01-0728</t>
  </si>
  <si>
    <t>Edwin Rojas/Eventual Gobernacion 03/02/205 Al 09/02/2025</t>
  </si>
  <si>
    <t>01-0729</t>
  </si>
  <si>
    <t>Alirio Parra/Eventual Gobernacion 03/02/205 Al 09/02/2025</t>
  </si>
  <si>
    <t>01-0730</t>
  </si>
  <si>
    <t>Angel Caldera/Eventual Gobernacion 03/02/205 Al 09/02/2025</t>
  </si>
  <si>
    <t>01-0731</t>
  </si>
  <si>
    <t>Luis Silveiro Colon Ojeda/Eventual Agregados 03/02/205 Al 09/02/2025</t>
  </si>
  <si>
    <t>01-0732</t>
  </si>
  <si>
    <t>Carlos Lopez/Eventual Agregados 03/02/205 Al 09/02/2025</t>
  </si>
  <si>
    <t>01-0733</t>
  </si>
  <si>
    <t>Norys Ramos/Eventual Gobernacion 03/02/205 Al 09/02/2025</t>
  </si>
  <si>
    <t>01-0734</t>
  </si>
  <si>
    <t>Hector/Eventual Gobernacion 03/02/205 Al 09/02/2025</t>
  </si>
  <si>
    <t>01-0735</t>
  </si>
  <si>
    <t>Rafael Quiroz/Eventual Gobernacion 03/02/205 Al 09/02/2025</t>
  </si>
  <si>
    <t>01-0736</t>
  </si>
  <si>
    <t>Argenis Flores/Eventual Megatech 03/02/205 Al 09/02/2025</t>
  </si>
  <si>
    <t>01-0737</t>
  </si>
  <si>
    <t>Estebez Maramara/Eventual Agregados 03/02/205 Al 09/02/2025</t>
  </si>
  <si>
    <t>01-0738</t>
  </si>
  <si>
    <t>Pitter Puerta/Eventual Megatech 03/02/205 Al 09/02/2025</t>
  </si>
  <si>
    <t>01-0739</t>
  </si>
  <si>
    <t>Walner Oviedo/Eventual Megatech 03/02/205 Al 09/02/2025</t>
  </si>
  <si>
    <t>01-0740</t>
  </si>
  <si>
    <t>Yonny Castillo/Eventual Megatech 03/02/205 Al 09/02/2025</t>
  </si>
  <si>
    <t>01-0741</t>
  </si>
  <si>
    <t>Francisco Castillo/Eventual Megatech 03/02/205 Al 09/02/2025</t>
  </si>
  <si>
    <t>01-0742</t>
  </si>
  <si>
    <t>Jose Guevara/Eventual Megatech 03/02/205 Al 09/02/2025</t>
  </si>
  <si>
    <t>01-0743</t>
  </si>
  <si>
    <t>Antonio Castillo/Eventual Megatech 03/02/205 Al 09/02/2025</t>
  </si>
  <si>
    <t>01-0744</t>
  </si>
  <si>
    <t>Jose Castillo/Eventual Megatech 03/02/205 Al 09/02/2025</t>
  </si>
  <si>
    <t>01-0745</t>
  </si>
  <si>
    <t>Elvis Valles/Eventual Megatech 03/02/205 Al 09/02/2025</t>
  </si>
  <si>
    <t>01-0746</t>
  </si>
  <si>
    <t>Julian Guedez/Eventual Megatech 03/02/205 Al 09/02/2025</t>
  </si>
  <si>
    <t>01-0747</t>
  </si>
  <si>
    <t>01-0748</t>
  </si>
  <si>
    <t>Omar Torrealba/Eventual Megatech 03/02/205 Al 09/02/2025</t>
  </si>
  <si>
    <t>01-0749</t>
  </si>
  <si>
    <t>Carlos Castillo/Eventual Megatech 03/02/205 Al 09/02/2025</t>
  </si>
  <si>
    <t>01-0750</t>
  </si>
  <si>
    <t>Victor Mendez/Eventual Megatech 03/02/205 Al 09/02/2025</t>
  </si>
  <si>
    <t>01-0751</t>
  </si>
  <si>
    <t>Carlos Loyo/Eventual Megatech 03/02/205 Al 09/02/2025</t>
  </si>
  <si>
    <t>01-0752</t>
  </si>
  <si>
    <t>Edwuard Almeida/Eventual Megatech 03/02/205 Al 09/02/2025</t>
  </si>
  <si>
    <t>01-0753</t>
  </si>
  <si>
    <t>Yordis Almao/Eventual Megatech 03/02/205 Al 09/02/2025</t>
  </si>
  <si>
    <t>01-0754</t>
  </si>
  <si>
    <t>Yerry Rodríguez/Eventual Megatech 03/02/205 Al 09/02/2025</t>
  </si>
  <si>
    <t>01-0755</t>
  </si>
  <si>
    <t>Alberto Loyo/Eventual Megatech 03/02/205 Al 09/02/2025</t>
  </si>
  <si>
    <t>01-0756</t>
  </si>
  <si>
    <t>Alirio Parra/Eventual Megatech 03/02/205 Al 09/02/2025</t>
  </si>
  <si>
    <t>01-0757</t>
  </si>
  <si>
    <t>Elio Malpica/Eventual Megatech 03/02/205 Al 09/02/2025</t>
  </si>
  <si>
    <t>01-0758</t>
  </si>
  <si>
    <t>Alexander Castillo/Eventual Megatech 03/02/205 Al 09/02/2025</t>
  </si>
  <si>
    <t>01-0759</t>
  </si>
  <si>
    <t>Norys Ramos/Eventual Megatech 03/02/205 Al 09/02/2025</t>
  </si>
  <si>
    <t>01-0760</t>
  </si>
  <si>
    <t>Ruben Rivas/Eventual Megatech 03/02/205 Al 09/02/2025</t>
  </si>
  <si>
    <t>01-0761</t>
  </si>
  <si>
    <t>Fareliz Arrieche/Eventual Megatech 03/02/205 Al 09/02/2025</t>
  </si>
  <si>
    <t>01-0762</t>
  </si>
  <si>
    <t>Fares Arrieche/Eventual Megatech 03/02/205 Al 09/02/2025</t>
  </si>
  <si>
    <t>01-0763</t>
  </si>
  <si>
    <t>Emperatriz Leon/Eventual Megatech 03/02/205 Al 09/02/2025</t>
  </si>
  <si>
    <t>01-0764</t>
  </si>
  <si>
    <t>Ingrid Reyes/Eventual Megatech 03/02/205 Al 09/02/2025</t>
  </si>
  <si>
    <t>01-0765</t>
  </si>
  <si>
    <t>01-0766</t>
  </si>
  <si>
    <t>01-0767</t>
  </si>
  <si>
    <t>01-0768</t>
  </si>
  <si>
    <t xml:space="preserve">Willam Rivas/pago relacion de personal que laboro en la campaña de yeso la semana del 03/02 al 07/02/25  </t>
  </si>
  <si>
    <t>01-0769</t>
  </si>
  <si>
    <t xml:space="preserve">EMPRENDIMIENTO DIOSANNY ALVAREZ/FACT 160/pago almuerzos Consumos de comidas del 03/02 al  07/02/25 </t>
  </si>
  <si>
    <t>01-0770</t>
  </si>
  <si>
    <t xml:space="preserve">Fredy Mendoza/pago relacion de personal que laboro en la campaña de yeso la semana del 03/02 al 07/02/25  </t>
  </si>
  <si>
    <t>01-0771</t>
  </si>
  <si>
    <t xml:space="preserve">J.Luis Castillo/pago relacion de personal que laboro en la campaña de yeso la semana del 03/02 al 07/02/25  </t>
  </si>
  <si>
    <t>01-0772</t>
  </si>
  <si>
    <t xml:space="preserve">Lino floreS/pago relacion de personal que laboro en la campaña de yeso la semana del 03/02 al 07/02/25  </t>
  </si>
  <si>
    <t>01-0773</t>
  </si>
  <si>
    <t>Robert  Arias/pago relacion de personal que laboro en la campaña de yeso la semana del 03/02 al 07/02/25  -Bono de operador 20$</t>
  </si>
  <si>
    <t>01-0774</t>
  </si>
  <si>
    <t>Jeferson Davila/pago relacion de personal que laboro en la campaña de yeso la semana del 03/02 al 07/02/25  -Bono de operador 20$</t>
  </si>
  <si>
    <t>01-0775</t>
  </si>
  <si>
    <t>Ramon Quirogas/pago relacion de personal que laboro en la campaña de yeso la semana del 03/02 al 07/02/25  -Bono de operador 20$</t>
  </si>
  <si>
    <t>01-0776</t>
  </si>
  <si>
    <t>Beatriz Castillo/pago relacion de personal que laboro en la campaña de yeso la semana del 03/02 al 07/02/25  -Bono de operador 20$</t>
  </si>
  <si>
    <t>01-0777</t>
  </si>
  <si>
    <t>ALBERTO PERNALETE C.A/FACT 006/VIATICOS MES DE FEBRERO</t>
  </si>
  <si>
    <t>01-0778</t>
  </si>
  <si>
    <t>01-0779</t>
  </si>
  <si>
    <t>COMIS.RECHAZO PAGO INMEDIATO</t>
  </si>
  <si>
    <t>01-0780</t>
  </si>
  <si>
    <t>01-0781</t>
  </si>
  <si>
    <t xml:space="preserve">Dayana Azuaje/pago relacion de personal que laboro en la campaña de yeso la semana del 03/02 al 07/02/25  </t>
  </si>
  <si>
    <t>01-0782</t>
  </si>
  <si>
    <t>MATERIALES SANTA LUCIAS/FACT 4763/PLANTA CEMENTO</t>
  </si>
  <si>
    <t>01-0783</t>
  </si>
  <si>
    <t>01-0784</t>
  </si>
  <si>
    <t>01-0785</t>
  </si>
  <si>
    <t>01-0786</t>
  </si>
  <si>
    <t xml:space="preserve">ALBERTO PERNALETE/FACT 000006/pago reintegro viaticos gustavo rangel gastos correspondientes a viaje realizado  para el estado Cojedes. gasolina </t>
  </si>
  <si>
    <t>01-0787</t>
  </si>
  <si>
    <t>01-0788</t>
  </si>
  <si>
    <t>01-0789</t>
  </si>
  <si>
    <t>INVERSIONES Y SERVICIOS J.J GONZALEZ, C.A/FACT 82/confeccion e instalacion estructura metalica para instalacion de techo</t>
  </si>
  <si>
    <t>01-0790</t>
  </si>
  <si>
    <t>MULTISERVICIOS JR 2016, C.A/FACT 93/cambio pila y filtro gasolina-limpieza inyectores-cambio empaccadura crucetas pastillas y cuerpo aceleracion-camioneta Hilux asignada a Gustavo Rangel</t>
  </si>
  <si>
    <t>01-0791</t>
  </si>
  <si>
    <t>01-0792</t>
  </si>
  <si>
    <t>01-0793</t>
  </si>
  <si>
    <t>EMPRENDIMIENTO DIOSANNY ALVAREZ/FACT 167/ALMUERZOS-ALBERTO PERNALETTE/FACT 006/VIATICOS MES DE FEBRERO</t>
  </si>
  <si>
    <t>01-0794</t>
  </si>
  <si>
    <t>01-0795</t>
  </si>
  <si>
    <t>01-0796</t>
  </si>
  <si>
    <t>CARLEN VIELMA/BONO COMPLEMENTARIO 15/02/2025</t>
  </si>
  <si>
    <t>01-0797</t>
  </si>
  <si>
    <t>GUSTAVO RANGEL/BONO COMPLEMENTARIO 15/02/2025</t>
  </si>
  <si>
    <t>01-0798</t>
  </si>
  <si>
    <t>GUSTAVO RANGEL/NOMINA 15/02/2025</t>
  </si>
  <si>
    <t>01-0799</t>
  </si>
  <si>
    <t>CARLEN VIELMA/NOMINA 15/02/2025</t>
  </si>
  <si>
    <t>01-0800</t>
  </si>
  <si>
    <t>01-0801</t>
  </si>
  <si>
    <t>HOME CARE, C.A/FACT 8950/PRODUCTOS Limpieza EN LA  cementera (JABON MULTIUSO/CERA AUTOBRILLANTER GALON)</t>
  </si>
  <si>
    <t>01-0802</t>
  </si>
  <si>
    <t>SERVA008</t>
  </si>
  <si>
    <t>GASTOS INSUMOS LIMPIEZA</t>
  </si>
  <si>
    <t>01-0803</t>
  </si>
  <si>
    <t>01-0804</t>
  </si>
  <si>
    <t>Brunito Segundo Cordero/Eventual Agregados 10/02/2025 AL 16/02/2025</t>
  </si>
  <si>
    <t>01-0805</t>
  </si>
  <si>
    <t>Delios Adolfo Ferrara/Eventual Agregados 10/02/2025 AL 16/02/2025</t>
  </si>
  <si>
    <t>01-0806</t>
  </si>
  <si>
    <t>Eliomar Jesús Escalona/Eventual Agregados 10/02/2025 AL 16/02/2025</t>
  </si>
  <si>
    <t>01-0807</t>
  </si>
  <si>
    <t>José Guillermo Cortez/Eventual Agregados 10/02/2025 AL 16/02/2025</t>
  </si>
  <si>
    <t>01-0808</t>
  </si>
  <si>
    <t>Darwuin Jesús Bullones/Eventual Agregados 10/02/2025 AL 16/02/2025</t>
  </si>
  <si>
    <t>01-0809</t>
  </si>
  <si>
    <t>Frank Armando García/Eventual Agregados 10/02/2025 AL 16/02/2025</t>
  </si>
  <si>
    <t>01-0810</t>
  </si>
  <si>
    <t>Alberto Luis Rojas/Eventual Agregados 10/02/2025 AL 16/02/2025</t>
  </si>
  <si>
    <t>01-0811</t>
  </si>
  <si>
    <t>Naiker Alexander Jimenez/Eventual Agregados 10/02/2025 AL 16/02/2025</t>
  </si>
  <si>
    <t>01-0812</t>
  </si>
  <si>
    <t>José Gregorio Perez/Eventual Agregados 10/02/2025 AL 16/02/2025</t>
  </si>
  <si>
    <t>01-0813</t>
  </si>
  <si>
    <t>Carlos Daniel Rodriguez/Eventual Agregados 10/02/2025 AL 16/02/2025</t>
  </si>
  <si>
    <t>01-0814</t>
  </si>
  <si>
    <t>Alejandro Morales/Eventual Agregados 10/02/2025 AL 16/02/2025</t>
  </si>
  <si>
    <t>01-0815</t>
  </si>
  <si>
    <t>Euber José Juarez/Eventual Agregados 10/02/2025 AL 16/02/2025</t>
  </si>
  <si>
    <t>01-0816</t>
  </si>
  <si>
    <t>Ali Alberto Bullones/Eventual Agregados 10/02/2025 AL 16/02/2025</t>
  </si>
  <si>
    <t>01-0817</t>
  </si>
  <si>
    <t>Alberto Ali Bullones/Eventual Agregados 10/02/2025 AL 16/02/2025</t>
  </si>
  <si>
    <t>01-0818</t>
  </si>
  <si>
    <t>Fernando José Rodriguez/Eventual Agregados 10/02/2025 AL 16/02/2025</t>
  </si>
  <si>
    <t>01-0819</t>
  </si>
  <si>
    <t>Bruno Ali Cordero Bullones/Eventual Agregados 10/02/2025 AL 16/02/2025</t>
  </si>
  <si>
    <t>01-0820</t>
  </si>
  <si>
    <t>Jesus Ramos/Eventual Gobernacion 10/02/2025 AL 16/02/2025</t>
  </si>
  <si>
    <t>01-0821</t>
  </si>
  <si>
    <t>Federico Faneite/Eventual Gobernacion 10/02/2025 AL 16/02/2025</t>
  </si>
  <si>
    <t>01-0822</t>
  </si>
  <si>
    <t>Justiniano Rodriguez/Eventual Agregados 10/02/2025 AL 16/02/2025</t>
  </si>
  <si>
    <t>01-0823</t>
  </si>
  <si>
    <t>Armando Lopez /Eventual Agregados 10/02/2025 AL 16/02/2025</t>
  </si>
  <si>
    <t>01-0824</t>
  </si>
  <si>
    <t>Froilan Lopez/Eventual Agregados 10/02/2025 AL 16/02/2025</t>
  </si>
  <si>
    <t>01-0825</t>
  </si>
  <si>
    <t>Ramón Quintero/Eventual Agregados 10/02/2025 AL 16/02/2025</t>
  </si>
  <si>
    <t>01-0826</t>
  </si>
  <si>
    <t>Exson Rodriguez/Eventual Gobernacion 10/02/2025 AL 16/02/2025</t>
  </si>
  <si>
    <t>01-0827</t>
  </si>
  <si>
    <t>Fareliz Arrieche/Eventual Gobernacion 10/02/2025 AL 16/02/2025</t>
  </si>
  <si>
    <t>01-0828</t>
  </si>
  <si>
    <t>Henrry Valera/Eventual Gobernacion 10/02/2025 AL 16/02/2025</t>
  </si>
  <si>
    <t>01-0829</t>
  </si>
  <si>
    <t>Juan López/Eventual Agregados 10/02/2025 AL 16/02/2025</t>
  </si>
  <si>
    <t>01-0830</t>
  </si>
  <si>
    <t>Douglas Pimentel/Eventual Gobernacion 10/02/2025 AL 16/02/2025</t>
  </si>
  <si>
    <t>01-0831</t>
  </si>
  <si>
    <t>Nicolas Alvarez/Eventual Gobernacion 10/02/2025 AL 16/02/2025</t>
  </si>
  <si>
    <t>01-0832</t>
  </si>
  <si>
    <t>Rafael Puertas/Eventual Gobernacion 10/02/2025 AL 16/02/2025</t>
  </si>
  <si>
    <t>01-0833</t>
  </si>
  <si>
    <t>Pedro Castillo/Eventual Gobernacion 10/02/2025 AL 16/02/2025</t>
  </si>
  <si>
    <t>01-0834</t>
  </si>
  <si>
    <t>Miguel Torres/Eventual Gobernacion 10/02/2025 AL 16/02/2025</t>
  </si>
  <si>
    <t>01-0835</t>
  </si>
  <si>
    <t>Wendy Gimenez/Eventual Gobernacion 10/02/2025 AL 16/02/2025</t>
  </si>
  <si>
    <t>01-0836</t>
  </si>
  <si>
    <t>Carlos Pacheco/Eventual Gobernacion 10/02/2025 AL 16/02/2025</t>
  </si>
  <si>
    <t>01-0837</t>
  </si>
  <si>
    <t>Andrés Armella/Eventual Gobernacion 10/02/2025 AL 16/02/2025</t>
  </si>
  <si>
    <t>01-0838</t>
  </si>
  <si>
    <t>Jose Toledo/Eventual Gobernacion 10/02/2025 AL 16/02/2025</t>
  </si>
  <si>
    <t>01-0839</t>
  </si>
  <si>
    <t>Juan Pinto/Eventual Gobernacion 10/02/2025 AL 16/02/2025</t>
  </si>
  <si>
    <t>01-0840</t>
  </si>
  <si>
    <t>Alirio Parra/Eventual Gobernacion 10/02/2025 AL 16/02/2025</t>
  </si>
  <si>
    <t>01-0841</t>
  </si>
  <si>
    <t>Edwin Rojas/Eventual Gobernacion 10/02/2025 AL 16/02/2025</t>
  </si>
  <si>
    <t>01-0842</t>
  </si>
  <si>
    <t>Angel Caldera/Eventual Gobernacion 10/02/2025 AL 16/02/2025</t>
  </si>
  <si>
    <t>01-0843</t>
  </si>
  <si>
    <t>Luis Silveiro Colon Ojeda/Eventual Agregados 10/02/2025 AL 16/02/2025</t>
  </si>
  <si>
    <t>01-0844</t>
  </si>
  <si>
    <t>Carlos Lopez/Eventual Agregados 10/02/2025 AL 16/02/2025</t>
  </si>
  <si>
    <t>01-0845</t>
  </si>
  <si>
    <t>Rafael Quiroz/Eventual Gobernacion 10/02/2025 AL 16/02/2025</t>
  </si>
  <si>
    <t>01-0846</t>
  </si>
  <si>
    <t>Hector/Eventual Gobernacion 10/02/2025 AL 16/02/2025</t>
  </si>
  <si>
    <t>01-0847</t>
  </si>
  <si>
    <t>Argenis Flores/Eventual Megatech 10/02/2025 AL 16/02/2025</t>
  </si>
  <si>
    <t>01-0848</t>
  </si>
  <si>
    <t>Estebez Maramara/Eventual Agregados 10/02/2025 AL 16/02/2025</t>
  </si>
  <si>
    <t>01-0849</t>
  </si>
  <si>
    <t>Norys Ramos/Eventual Gobernacion 10/02/2025 AL 16/02/2025</t>
  </si>
  <si>
    <t>01-0850</t>
  </si>
  <si>
    <t>Pitter Puerta/Eventual Megatech 10/02/2025 AL 16/02/2025</t>
  </si>
  <si>
    <t>01-0851</t>
  </si>
  <si>
    <t>Walner Oviedo/Eventual Megatech 10/02/2025 AL 16/02/2025</t>
  </si>
  <si>
    <t>01-0852</t>
  </si>
  <si>
    <t>Francisco Castillo/Eventual Megatech 10/02/2025 AL 16/02/2025</t>
  </si>
  <si>
    <t>01-0853</t>
  </si>
  <si>
    <t>Antonio Castillo/Eventual Megatech 10/02/2025 AL 16/02/2025</t>
  </si>
  <si>
    <t>01-0854</t>
  </si>
  <si>
    <t>Jose Guevara/Eventual Megatech 10/02/2025 AL 16/02/2025</t>
  </si>
  <si>
    <t>01-0855</t>
  </si>
  <si>
    <t>Jose Castillo/Eventual Megatech 10/02/2025 AL 16/02/2025</t>
  </si>
  <si>
    <t>01-0856</t>
  </si>
  <si>
    <t>Elvis Valles/Eventual Megatech 10/02/2025 AL 16/02/2025</t>
  </si>
  <si>
    <t>01-0857</t>
  </si>
  <si>
    <t>01-0858</t>
  </si>
  <si>
    <t>Julian Guedez/Eventual Megatech 10/02/2025 AL 16/02/2025</t>
  </si>
  <si>
    <t>01-0859</t>
  </si>
  <si>
    <t>Omar Torrealba/Eventual Megatech 10/02/2025 AL 16/02/2025</t>
  </si>
  <si>
    <t>01-0860</t>
  </si>
  <si>
    <t>Carlos Castillo/Eventual Megatech 10/02/2025 AL 16/02/2025</t>
  </si>
  <si>
    <t>01-0861</t>
  </si>
  <si>
    <t>Yordis Almao/Eventual Megatech 10/02/2025 AL 16/02/2025</t>
  </si>
  <si>
    <t>01-0862</t>
  </si>
  <si>
    <t>Victor Mendez/Eventual Megatech 10/02/2025 AL 16/02/2025</t>
  </si>
  <si>
    <t>01-0863</t>
  </si>
  <si>
    <t>Carlos Loyo/Eventual Megatech 10/02/2025 AL 16/02/2025</t>
  </si>
  <si>
    <t>01-0864</t>
  </si>
  <si>
    <t>Alberto Loyo/Eventual Megatech 10/02/2025 AL 16/02/2025</t>
  </si>
  <si>
    <t>01-0865</t>
  </si>
  <si>
    <t>YONNY CASTILLOS/Eventual Megatech 10/02/2025 AL 16/02/2025</t>
  </si>
  <si>
    <t>01-0866</t>
  </si>
  <si>
    <t>Edwuard Almeida/Eventual Megatech 10/02/2025 AL 16/02/2025</t>
  </si>
  <si>
    <t>01-0867</t>
  </si>
  <si>
    <t>Yerry Rodríguez/Eventual Megatech 10/02/2025 AL 16/02/2025</t>
  </si>
  <si>
    <t>01-0868</t>
  </si>
  <si>
    <t>Elio Malpica/Eventual Megatech 10/02/2025 AL 16/02/2025</t>
  </si>
  <si>
    <t>01-0869</t>
  </si>
  <si>
    <t>Alirio Parra/Eventual Megatech 10/02/2025 AL 16/02/2025</t>
  </si>
  <si>
    <t>01-0870</t>
  </si>
  <si>
    <t>Fareliz Arrieche/Eventual Megatech 10/02/2025 AL 16/02/2025</t>
  </si>
  <si>
    <t>01-0871</t>
  </si>
  <si>
    <t>Ruben Rivas/Eventual Megatech 10/02/2025 AL 16/02/2025</t>
  </si>
  <si>
    <t>01-0872</t>
  </si>
  <si>
    <t>Emperatriz Leon/Eventual Megatech 10/02/2025 AL 16/02/2025</t>
  </si>
  <si>
    <t>01-0873</t>
  </si>
  <si>
    <t>Fares Arrieche/Eventual Megatech 10/02/2025 AL 16/02/2025</t>
  </si>
  <si>
    <t>01-0874</t>
  </si>
  <si>
    <t>Norys Ramos/Eventual Megatech 10/02/2025 AL 16/02/2025</t>
  </si>
  <si>
    <t>01-0875</t>
  </si>
  <si>
    <t>Alexander Castillo/Eventual Megatech 10/02/2025 AL 16/02/2025</t>
  </si>
  <si>
    <t>01-0876</t>
  </si>
  <si>
    <t>Ingrid Reyes/Eventual Megatech 10/02/2025 AL 16/02/2025</t>
  </si>
  <si>
    <t>01-0877</t>
  </si>
  <si>
    <t>01-0878</t>
  </si>
  <si>
    <t>01-0879</t>
  </si>
  <si>
    <t>01-0880</t>
  </si>
  <si>
    <t>Diosanny Alvarez/FACT 166/Consumos de comidas del 03/01 al 14/01/25 personal del yeso</t>
  </si>
  <si>
    <t>01-0881</t>
  </si>
  <si>
    <t>MATERIALES SANTA LUCIAS/FACT 4818/PLANTA CEMENTO</t>
  </si>
  <si>
    <t>01-0882</t>
  </si>
  <si>
    <t xml:space="preserve">Julian Castillo/pago relacion de personal que laboro en la campaña de yeso la semana del 10/02 al 14/02/25  </t>
  </si>
  <si>
    <t>01-0883</t>
  </si>
  <si>
    <t xml:space="preserve">Aureliano León/pago relacion de personal que laboro en la campaña de yeso la semana del 10/02 al 14/02/25  </t>
  </si>
  <si>
    <t>01-0884</t>
  </si>
  <si>
    <t xml:space="preserve">Lisandro Milla- 20$/pago relacion de personal que laboro en la campaña de yeso la semana del 10/02 al 14/02/25  </t>
  </si>
  <si>
    <t>01-0885</t>
  </si>
  <si>
    <t xml:space="preserve">Fredy Mendoza/pago relacion de personal que laboro en la campaña de yeso la semana del 10/02 al 14/02/25  </t>
  </si>
  <si>
    <t>01-0886</t>
  </si>
  <si>
    <t xml:space="preserve">Jeferson Davila/pago relacion de personal que laboro en la campaña de yeso la semana del 10/02 al 14/02/25  </t>
  </si>
  <si>
    <t>01-0887</t>
  </si>
  <si>
    <t xml:space="preserve">Beatriz Castillo/pago relacion de personal que laboro en la campaña de yeso la semana del 10/02 al 14/02/25  </t>
  </si>
  <si>
    <t>01-0888</t>
  </si>
  <si>
    <t xml:space="preserve">Lino flore - 30$-Dinamitero/pago relacion de personal que laboro en la campaña de yeso la semana del 10/02 al 14/02/25  </t>
  </si>
  <si>
    <t>01-0889</t>
  </si>
  <si>
    <t>01-0890</t>
  </si>
  <si>
    <t xml:space="preserve">Ramon Quirogas/pago relacion de personal que laboro en la campaña de yeso la semana del 10/02 al 14/02/25  </t>
  </si>
  <si>
    <t>01-0891</t>
  </si>
  <si>
    <t>01-0892</t>
  </si>
  <si>
    <t>01-0893</t>
  </si>
  <si>
    <t>FERRETERIA Y MATERIALES OBRA GRIS 2021 C/FACT 243/MATERIALES PLANTA CEMENTO</t>
  </si>
  <si>
    <t>01-0894</t>
  </si>
  <si>
    <t>01-0895</t>
  </si>
  <si>
    <t>01-0896</t>
  </si>
  <si>
    <t>ALBERTO PERNALETTE/FACT 06/VIATICOS FEBREROS</t>
  </si>
  <si>
    <t>01-0897</t>
  </si>
  <si>
    <t>01-0898</t>
  </si>
  <si>
    <t>ARIEDDY ROSELY GARRIDO URDANETA/FACT 20/análisis realizados a las muestras de yeso enviadas por ustedes a nuestra unidad de Análisis Instrumental.</t>
  </si>
  <si>
    <t>01-0899</t>
  </si>
  <si>
    <t>CASTRO CORPORATION.CA/FACT 520/BATERIA LAPTO/ING CARLEN</t>
  </si>
  <si>
    <t>01-0900</t>
  </si>
  <si>
    <t>01-0901</t>
  </si>
  <si>
    <t>AMERICANA DE TORNILLOS, C.A/FACT 10132/Requerimiento para el personal INDU</t>
  </si>
  <si>
    <t>01-0902</t>
  </si>
  <si>
    <t>01-0903</t>
  </si>
  <si>
    <t>01-0904</t>
  </si>
  <si>
    <t>CASTRO CORPORATION.CA/FACT 522/servicio de software y hardware laptop ingeniero Carlem Vielman</t>
  </si>
  <si>
    <t>01-0905</t>
  </si>
  <si>
    <t>01-0906</t>
  </si>
  <si>
    <t>CASTRO CORPORACION/FACT 523/antena y mensualidad empresarial starlink-sede fabrica</t>
  </si>
  <si>
    <t>01-0907</t>
  </si>
  <si>
    <t>EDC AUTOPARTS, C.A/FACT 215/CUERPO ACELERACION-HILUX</t>
  </si>
  <si>
    <t>01-0908</t>
  </si>
  <si>
    <t>01-0909</t>
  </si>
  <si>
    <t>01-0910</t>
  </si>
  <si>
    <t>DMASEIN C.A/FACT 213/Planta de cemento - Inversión - sistema de generación de energía</t>
  </si>
  <si>
    <t>01-0911</t>
  </si>
  <si>
    <t>Viauto ca/fact 00000288/parabrisa Camioneta Hilux y mano de obra-INMEDIATO</t>
  </si>
  <si>
    <t>01-0912</t>
  </si>
  <si>
    <t>01-0913</t>
  </si>
  <si>
    <t>01-0914</t>
  </si>
  <si>
    <t>01-0915</t>
  </si>
  <si>
    <t>TALONARIOS 10/pago diferencia de talonarios guias de circulacion</t>
  </si>
  <si>
    <t>01-0916</t>
  </si>
  <si>
    <t>SERVL015E</t>
  </si>
  <si>
    <t>GASTOS DE GUIA DE TRASLADO</t>
  </si>
  <si>
    <t>EN ESPERA P/CAMBIAR LA CUENTA</t>
  </si>
  <si>
    <t>08-200225</t>
  </si>
  <si>
    <t>01-0917</t>
  </si>
  <si>
    <t>EL MIO CARRO, C. A/FACT 04566/2 tambores de engranaje-Requerimiento Hindú-</t>
  </si>
  <si>
    <t>01-0918</t>
  </si>
  <si>
    <t>COMPRA DICES QUE ES ALGO DE LAS MAQUINARIAS DE LA GOBERNACION</t>
  </si>
  <si>
    <t>EL MIO CARRO, C. A/FACT 4565/10 pailas de grasa azul -Requerimiento Hindú</t>
  </si>
  <si>
    <t>01-0919</t>
  </si>
  <si>
    <t>GRAFICO VENEZUELA/3758 talonarios forma libre agregados sede arenera</t>
  </si>
  <si>
    <t>01-0920</t>
  </si>
  <si>
    <t>01-0921</t>
  </si>
  <si>
    <t>01-0922</t>
  </si>
  <si>
    <t>Gobernacion del estado yaracuy/pago tiembre fiscales agregados -  minerales</t>
  </si>
  <si>
    <t>01-0923</t>
  </si>
  <si>
    <t>SERVA038E</t>
  </si>
  <si>
    <t>ARANCELES Y PLANILLAS/NOTARIA/REGISTRO</t>
  </si>
  <si>
    <t>07-210225</t>
  </si>
  <si>
    <t>01-0924</t>
  </si>
  <si>
    <t>01-0925</t>
  </si>
  <si>
    <t>AUTO PARTES BONSAI, C.A/FACT 378/trampa de agua-filtros de gasoil, aceite,elemento,combustible-Fabrica arenera</t>
  </si>
  <si>
    <t>01-0926</t>
  </si>
  <si>
    <t>AUTO PARTES BONSAI, C.A/FACT 380/tambor-pailas de hidraulico, valvulina y grasa-Fabrica arenera</t>
  </si>
  <si>
    <t>01-0927</t>
  </si>
  <si>
    <t xml:space="preserve">Fredy Mendoza-4 dias a 12$- total 48$/pago relacion de personal que laboro en la campaña de yeso la semana del 24-02 al 28-02-25  </t>
  </si>
  <si>
    <t>01-0928</t>
  </si>
  <si>
    <t>Exson Rodriguez/Eventual Gobernacion 17/02/2025 AL 23/02/2025</t>
  </si>
  <si>
    <t>01-0929</t>
  </si>
  <si>
    <t>AUTO PARTES BONSAI, C.A/FACT 382/pailas diesel- filtros de combustible, aceite-Fabrica arenera</t>
  </si>
  <si>
    <t>01-0930</t>
  </si>
  <si>
    <t xml:space="preserve">Elia Mendoza-10$/pago relacion de personal que laboro en la campaña de yeso la semana del 17/02 al 23/02/25  </t>
  </si>
  <si>
    <t>01-0931</t>
  </si>
  <si>
    <t>Argenis Flores/Eventual Megatech 17/02/2025 AL 23/02/2025</t>
  </si>
  <si>
    <t>01-0932</t>
  </si>
  <si>
    <t>Edwuard Almeida/Eventual Megatech 17/02/2025 AL 23/02/2025</t>
  </si>
  <si>
    <t>01-0933</t>
  </si>
  <si>
    <t>Yerry Rodríguez/Eventual Megatech 17/02/2025 AL 23/02/2025</t>
  </si>
  <si>
    <t>01-0934</t>
  </si>
  <si>
    <t xml:space="preserve">Lino flore - 65$-Dinamitero/pago relacion de personal que laboro en la campaña de yeso la semana del 17/02 al 23/02/25  </t>
  </si>
  <si>
    <t>01-0935</t>
  </si>
  <si>
    <t>Elio Malpica/Eventual Megatech 17/02/2025 AL 23/02/2025</t>
  </si>
  <si>
    <t>01-0936</t>
  </si>
  <si>
    <t>Ruben Rivas/Eventual Megatech 17/02/2025 AL 23/02/2025</t>
  </si>
  <si>
    <t>01-0937</t>
  </si>
  <si>
    <t>Valeracars 2023 ca/fact 100/montura de silenciadores y soportes escape y reparacion-Hilux</t>
  </si>
  <si>
    <t>01-0938</t>
  </si>
  <si>
    <t>01-0939</t>
  </si>
  <si>
    <t>HUMBERTO FRANCO/FACT 186/Actuacion de sistema electrico instalacion cielo raso y aires acondicionados laboratorio quimico y sala de reuniones</t>
  </si>
  <si>
    <t>01-0940</t>
  </si>
  <si>
    <t>EMPRENDIMIENTO DIOSANNY ALVAREZ/FACT 175/Consumos de comidas del 17/02 al 21/02/25 personal del yeso</t>
  </si>
  <si>
    <t>01-0941</t>
  </si>
  <si>
    <t>EMPRENDIMIENTO DIOSANNY ALVAREZ/FACT 176/campaña yeso sr gustavo-ALBERTO PERNALETTE FACT 006</t>
  </si>
  <si>
    <t>01-0942</t>
  </si>
  <si>
    <t>01-0943</t>
  </si>
  <si>
    <t xml:space="preserve"> Roda mangueras chivacoa ca/fact 1340/correspondiente a la compra de un repuesto para un camión volteo Kamaz perteneciente a la sede de Chivacoa-ARENERA</t>
  </si>
  <si>
    <t>01-0944</t>
  </si>
  <si>
    <t>SERVL018</t>
  </si>
  <si>
    <t>GASTOS CAMIONES/INSUMOS</t>
  </si>
  <si>
    <t xml:space="preserve"> Vulcanizadora Yaritagua Manuel Mogollon/fact 1563/Reparación de Caucho Retroexcavadora</t>
  </si>
  <si>
    <t>01-0945</t>
  </si>
  <si>
    <t>01-0946</t>
  </si>
  <si>
    <t>01-0947</t>
  </si>
  <si>
    <t>08-210225</t>
  </si>
  <si>
    <t>01-0948</t>
  </si>
  <si>
    <t>01-0949</t>
  </si>
  <si>
    <t>Brunito Segundo Cordero/Eventual Agregados 17/02/2025 AL 23/02/2025</t>
  </si>
  <si>
    <t>01-0950</t>
  </si>
  <si>
    <t>Delios Adolfo Ferrara/Eventual Agregados 17/02/2025 AL 23/02/2025</t>
  </si>
  <si>
    <t>01-0951</t>
  </si>
  <si>
    <t>Eliomar Jesús Escalona/Eventual Agregados 17/02/2025 AL 23/02/2025</t>
  </si>
  <si>
    <t>01-0952</t>
  </si>
  <si>
    <t>José Guillermo Cortez/Eventual Agregados 17/02/2025 AL 23/02/2025</t>
  </si>
  <si>
    <t>01-0953</t>
  </si>
  <si>
    <t>Darwuin Jesús Bullones/Eventual Agregados 17/02/2025 AL 23/02/2025</t>
  </si>
  <si>
    <t>01-0954</t>
  </si>
  <si>
    <t>Frank Armando García/Eventual Agregados 17/02/2025 AL 23/02/2025</t>
  </si>
  <si>
    <t>01-0955</t>
  </si>
  <si>
    <t>Alberto Luis Rojas/Eventual Agregados 17/02/2025 AL 23/02/2025</t>
  </si>
  <si>
    <t>01-0956</t>
  </si>
  <si>
    <t>Naiker Alexander Jimenez/Eventual Agregados 17/02/2025 AL 23/02/2025</t>
  </si>
  <si>
    <t>01-0957</t>
  </si>
  <si>
    <t>José Gregorio Perez/Eventual Agregados 17/02/2025 AL 23/02/2025</t>
  </si>
  <si>
    <t>01-0958</t>
  </si>
  <si>
    <t>Carlos Daniel Rodriguez/Eventual Agregados 17/02/2025 AL 23/02/2025</t>
  </si>
  <si>
    <t>01-0959</t>
  </si>
  <si>
    <t>Douglas Pimentel/Eventual Gobernacion 17/02/2025 AL 23/02/2025</t>
  </si>
  <si>
    <t>01-0960</t>
  </si>
  <si>
    <t>Federico Faneite/Eventual Gobernacion 17/02/2025 AL 23/02/2025</t>
  </si>
  <si>
    <t>01-0961</t>
  </si>
  <si>
    <t>Justiniano Rodriguez/Eventual Agregados 17/02/2025 AL 23/02/2025</t>
  </si>
  <si>
    <t>01-0962</t>
  </si>
  <si>
    <t>Fareliz Arrieche/Eventual Gobernacion 17/02/2025 AL 23/02/2025</t>
  </si>
  <si>
    <t>01-0963</t>
  </si>
  <si>
    <t>Pedro Castillo/Eventual Gobernacion 17/02/2025 AL 23/02/2025</t>
  </si>
  <si>
    <t>01-0964</t>
  </si>
  <si>
    <t>Miguel Torres/Eventual Gobernacion 17/02/2025 AL 23/02/2025</t>
  </si>
  <si>
    <t>01-0965</t>
  </si>
  <si>
    <t>Julian Guedez/Eventual Megatech 17/02/2025 AL 23/02/2025</t>
  </si>
  <si>
    <t>01-0966</t>
  </si>
  <si>
    <t>Nicolas Alvarez/Eventual Gobernacion 17/02/2025 AL 23/02/2025</t>
  </si>
  <si>
    <t>01-0967</t>
  </si>
  <si>
    <t>Carlos Lopez/Eventual Agregados 17/02/2025 AL 23/02/2025</t>
  </si>
  <si>
    <t>01-0968</t>
  </si>
  <si>
    <t>Alejandro Morales/Eventual Agregados 17/02/2025 AL 23/02/2025</t>
  </si>
  <si>
    <t>01-0969</t>
  </si>
  <si>
    <t>Armando Lopez /Eventual Agregados 17/02/2025 AL 23/02/2025</t>
  </si>
  <si>
    <t>01-0970</t>
  </si>
  <si>
    <t>Froilan Lopez/Eventual Agregados 17/02/2025 AL 23/02/2025</t>
  </si>
  <si>
    <t>01-0971</t>
  </si>
  <si>
    <t>Euber José Juarez/Eventual Agregados 17/02/2025 AL 23/02/2025</t>
  </si>
  <si>
    <t>01-0972</t>
  </si>
  <si>
    <t>Rafael Puertas/Eventual Gobernacion 17/02/2025 AL 23/02/2025</t>
  </si>
  <si>
    <t>01-0973</t>
  </si>
  <si>
    <t>Hector/Eventual Gobernacion 17/02/2025 AL 23/02/2025</t>
  </si>
  <si>
    <t>01-0974</t>
  </si>
  <si>
    <t>Rafael Quiroz/Eventual Gobernacion 17/02/2025 AL 23/02/2025</t>
  </si>
  <si>
    <t>01-0975</t>
  </si>
  <si>
    <t>Jesus Ramos/Eventual Gobernacion 17/02/2025 AL 23/02/2025</t>
  </si>
  <si>
    <t>01-0976</t>
  </si>
  <si>
    <t>Wendy Gimenez/Eventual Gobernacion 17/02/2025 AL 23/02/2025</t>
  </si>
  <si>
    <t>01-0977</t>
  </si>
  <si>
    <t>Yonny Castillo/Eventual Megatech 17/02/2025 AL 23/02/2025</t>
  </si>
  <si>
    <t>01-0978</t>
  </si>
  <si>
    <t>Francisco Castillo/Eventual Megatech 17/02/2025 AL 23/02/2025</t>
  </si>
  <si>
    <t>01-0979</t>
  </si>
  <si>
    <t>Antonio Castillo/Eventual Megatech 17/02/2025 AL 23/02/2025</t>
  </si>
  <si>
    <t>01-0980</t>
  </si>
  <si>
    <t>Henrry Valera/Eventual Gobernacion 17/02/2025 AL 23/02/2025</t>
  </si>
  <si>
    <t>01-0981</t>
  </si>
  <si>
    <t>Jose Guevara/Eventual Megatech 17/02/2025 AL 23/02/2025</t>
  </si>
  <si>
    <t>01-0982</t>
  </si>
  <si>
    <t>Carlos Pacheco/Eventual Gobernacion 17/02/2025 AL 23/02/2025</t>
  </si>
  <si>
    <t>01-0983</t>
  </si>
  <si>
    <t>Jose Castillo/Eventual Megatech 17/02/2025 AL 23/02/2025</t>
  </si>
  <si>
    <t>01-0984</t>
  </si>
  <si>
    <t>Elvis Valles/Eventual Megatech 17/02/2025 AL 23/02/2025</t>
  </si>
  <si>
    <t>01-0985</t>
  </si>
  <si>
    <t>Alirio Parra/Eventual Gobernacion 17/02/2025 AL 23/02/2025</t>
  </si>
  <si>
    <t>01-0986</t>
  </si>
  <si>
    <t>Alberto Loyo/Eventual Megatech 17/02/2025 AL 23/02/2025</t>
  </si>
  <si>
    <t>01-0987</t>
  </si>
  <si>
    <t>01-0988</t>
  </si>
  <si>
    <t>Angel Caldera/Eventual Gobernacion 17/02/2025 AL 23/02/2025</t>
  </si>
  <si>
    <t>01-0989</t>
  </si>
  <si>
    <t xml:space="preserve">Lisandro Milla- 20$/pago relacion de personal que laboro en la campaña de yeso la semana del 17/02 al 23/02/25  </t>
  </si>
  <si>
    <t>01-0990</t>
  </si>
  <si>
    <t>Ramón Quintero/Eventual Agregados 17/02/2025 AL 23/02/2025</t>
  </si>
  <si>
    <t>01-0991</t>
  </si>
  <si>
    <t>Omar Torrealba/Eventual Megatech 17/02/2025 AL 23/02/2025</t>
  </si>
  <si>
    <t>01-0992</t>
  </si>
  <si>
    <t>Fareliz Arrieche/Eventual Megatech 17/02/2025 AL 23/02/2025</t>
  </si>
  <si>
    <t>01-0993</t>
  </si>
  <si>
    <t xml:space="preserve">Jeferson Davila - 20$/pago relacion de personal que laboro en la campaña de yeso la semana del 17/02 al 23/02/25  </t>
  </si>
  <si>
    <t>01-0994</t>
  </si>
  <si>
    <t>Pitter Puerta/Eventual Megatech 17/02/2025 AL 23/02/2025</t>
  </si>
  <si>
    <t>01-0995</t>
  </si>
  <si>
    <t>Ali Alberto Bullones/Eventual Agregados 17/02/2025 AL 23/02/2025</t>
  </si>
  <si>
    <t>01-0996</t>
  </si>
  <si>
    <t xml:space="preserve">Ramon Quirogas - 20$/pago relacion de personal que laboro en la campaña de yeso la semana del 17/02 al 23/02/25  </t>
  </si>
  <si>
    <t>01-0997</t>
  </si>
  <si>
    <t>Estebez Maramara/Eventual Agregados 17/02/2025 AL 23/02/2025</t>
  </si>
  <si>
    <t>01-0998</t>
  </si>
  <si>
    <t xml:space="preserve">Beatriz Castillo - 20$/pago relacion de personal que laboro en la campaña de yeso la semana del 17/02 al 23/02/25  </t>
  </si>
  <si>
    <t>01-0999</t>
  </si>
  <si>
    <t>Walner Oviedo/Eventual Megatech 17/02/2025 AL 23/02/2025</t>
  </si>
  <si>
    <t>01-1000</t>
  </si>
  <si>
    <t>Alberto Ali Bullones/Eventual Agregados 17/02/2025 AL 23/02/2025</t>
  </si>
  <si>
    <t>01-1001</t>
  </si>
  <si>
    <t>Andrés Armella/Eventual Gobernacion 17/02/2025 AL 23/02/2025</t>
  </si>
  <si>
    <t>01-1002</t>
  </si>
  <si>
    <t>Carlos Castillo/Eventual Megatech 17/02/2025 AL 23/02/2025</t>
  </si>
  <si>
    <t>01-1003</t>
  </si>
  <si>
    <t>Norys Ramos/Eventual Megatech 17/02/2025 AL 23/02/2025</t>
  </si>
  <si>
    <t>01-1004</t>
  </si>
  <si>
    <t>Juan López/Eventual Agregados 17/02/2025 AL 23/02/2025</t>
  </si>
  <si>
    <t>01-1005</t>
  </si>
  <si>
    <t>Jose Toledo/Eventual Gobernacion 17/02/2025 AL 23/02/2025</t>
  </si>
  <si>
    <t>01-1006</t>
  </si>
  <si>
    <t>Fernando José Rodriguez/Eventual Agregados 17/02/2025 AL 23/02/2025</t>
  </si>
  <si>
    <t>01-1007</t>
  </si>
  <si>
    <t>Juan Pinto/Eventual Gobernacion 17/02/2025 AL 23/02/2025</t>
  </si>
  <si>
    <t>01-1008</t>
  </si>
  <si>
    <t>Bruno Ali Cordero Bullones/Eventual Agregados 17/02/2025 AL 23/02/2025</t>
  </si>
  <si>
    <t>01-1009</t>
  </si>
  <si>
    <t>Yordis Almao/Eventual Megatech 17/02/2025 AL 23/02/2025</t>
  </si>
  <si>
    <t>01-1010</t>
  </si>
  <si>
    <t>Edwin Rojas/Eventual Gobernacion 17/02/2025 AL 23/02/2025</t>
  </si>
  <si>
    <t>01-1011</t>
  </si>
  <si>
    <t>Victor Mendez/Eventual Megatech 17/02/2025 AL 23/02/2025</t>
  </si>
  <si>
    <t>01-1012</t>
  </si>
  <si>
    <t>Luis Silveiro Colon Ojeda/Eventual Agregados 17/02/2025 AL 23/02/2025</t>
  </si>
  <si>
    <t>01-1013</t>
  </si>
  <si>
    <t>Norys Ramos/Eventual Gobernacion 17/02/2025 AL 23/02/2025</t>
  </si>
  <si>
    <t>01-1014</t>
  </si>
  <si>
    <t xml:space="preserve">Dayana Azuaje - 70$/pago relacion de personal que laboro en la campaña de yeso la semana del 17/02 al 23/02/25  </t>
  </si>
  <si>
    <t>01-1015</t>
  </si>
  <si>
    <t>Carlos Loyo/Eventual Megatech 17/02/2025 AL 23/02/2025</t>
  </si>
  <si>
    <t>01-1016</t>
  </si>
  <si>
    <t>Fares Arrieche/Eventual Megatech 17/02/2025 AL 23/02/2025</t>
  </si>
  <si>
    <t>01-1017</t>
  </si>
  <si>
    <t>Emperatriz Leon/Eventual Megatech 17/02/2025 AL 23/02/2025</t>
  </si>
  <si>
    <t>01-1018</t>
  </si>
  <si>
    <t>Alirio Parra/Eventual Megatech 17/02/2025 AL 23/02/2025</t>
  </si>
  <si>
    <t>01-1019</t>
  </si>
  <si>
    <t>Alexander Castillo/Eventual Megatech 17/02/2025 AL 23/02/2025</t>
  </si>
  <si>
    <t>01-1020</t>
  </si>
  <si>
    <t xml:space="preserve">Willam Rivas - 50$/pago relacion de personal que laboro en la campaña de yeso la semana del 17/02 al 23/02/25  </t>
  </si>
  <si>
    <t>01-1021</t>
  </si>
  <si>
    <t>Ingrid Reyes/Eventual Megatech 17/02/2025 AL 23/02/2025</t>
  </si>
  <si>
    <t>01-1022</t>
  </si>
  <si>
    <t>01-1023</t>
  </si>
  <si>
    <t>01-1024</t>
  </si>
  <si>
    <t>ferrenova 2014/fact 01680/tablero de madera de 1,20x60-Obras Civiles Romana</t>
  </si>
  <si>
    <t>01-1025</t>
  </si>
  <si>
    <t>MATERIALES SANTA LUCIA/FACT 00004871/PLANTA CEMENTO</t>
  </si>
  <si>
    <t>01-1026</t>
  </si>
  <si>
    <t xml:space="preserve">EMPRENDIMIENTO OLGA HAVRILUK/FACT 07/25 botellones sede Arenera </t>
  </si>
  <si>
    <t>01-1027</t>
  </si>
  <si>
    <t>SERVA023</t>
  </si>
  <si>
    <t>GASTOS ADQUISICION EQUIPOS/MOBILIARIO</t>
  </si>
  <si>
    <t>AMERICANA DE TORNILLOS, C.A/FACT 10156/Requerimiento para el personal INDU</t>
  </si>
  <si>
    <t>01-1028</t>
  </si>
  <si>
    <t>01-1029</t>
  </si>
  <si>
    <t>MATER C.A/FACT 01/VENTA DE ARENA CERNIDA</t>
  </si>
  <si>
    <t>CUENTAS POR COBRAR CLIENTES</t>
  </si>
  <si>
    <t>01-1030</t>
  </si>
  <si>
    <t>VENTA DE ARENA CERNIDA</t>
  </si>
  <si>
    <t>COM.PAT APP-0163 4125907628</t>
  </si>
  <si>
    <t>01-1031</t>
  </si>
  <si>
    <t>01-1032</t>
  </si>
  <si>
    <t>01-1033</t>
  </si>
  <si>
    <t>01-1034</t>
  </si>
  <si>
    <t>01-1035</t>
  </si>
  <si>
    <t>01-1036</t>
  </si>
  <si>
    <t>01-1037</t>
  </si>
  <si>
    <t>JOSE ANDRES CASTRO LOPEZ/FACT 03/Servicio Mensual de Internet Satelital Empresarial-planta cemento</t>
  </si>
  <si>
    <t>01-1038</t>
  </si>
  <si>
    <t xml:space="preserve">MULTISERVICIOS JR 2016, C.A/FACT 94/cambio de aceite-Hilux asignada a Ing Gustavo Rangel </t>
  </si>
  <si>
    <t>01-1039</t>
  </si>
  <si>
    <t>01-1040</t>
  </si>
  <si>
    <t>DIGASMALAR/FACT 55221/Oxígeno para equipos de oxicorte</t>
  </si>
  <si>
    <t>01-1041</t>
  </si>
  <si>
    <t>01-1042</t>
  </si>
  <si>
    <t>Vulcanizadora Yaritagua Manuel Mogollon/fact 1566/Mantenimiento de Caucho Retroexcavadora</t>
  </si>
  <si>
    <t>01-1043</t>
  </si>
  <si>
    <t>01-1044</t>
  </si>
  <si>
    <t>CONSTRUFE DEL ESTE, C.A/FACT 05/VENTA DE ARENA CERNIDA-FACT DE VENTAS</t>
  </si>
  <si>
    <t>01-1045</t>
  </si>
  <si>
    <t>01-1046</t>
  </si>
  <si>
    <t>Castro Corporation, C.A/fact 528/router sede chivacoa arenera</t>
  </si>
  <si>
    <t>01-1047</t>
  </si>
  <si>
    <t>Castro Corporation, C.A/fact 527/router sede chivacoa arenera</t>
  </si>
  <si>
    <t>01-1048</t>
  </si>
  <si>
    <t>01-1049</t>
  </si>
  <si>
    <t>01-1050</t>
  </si>
  <si>
    <t>LUBRICAR MOTOS/ADELANT FACT/PAILA DE ACEITE Y BATERIA BRAZO PIGMAN/SOLICITADO POR ING FARELIZ</t>
  </si>
  <si>
    <t>01-1051</t>
  </si>
  <si>
    <t xml:space="preserve">potumania del este/ Fact 00001911/silla de oficina Sala de Reuniones Edificio Administrativo  - planta cemento </t>
  </si>
  <si>
    <t>01-1052</t>
  </si>
  <si>
    <t>01-1053</t>
  </si>
  <si>
    <t>RODA MANGUERA/FACT 1332/4 ring para excavador</t>
  </si>
  <si>
    <t>01-1054</t>
  </si>
  <si>
    <t>01-1055</t>
  </si>
  <si>
    <t>ADJAM HOMEDAM/FACT 000063/Bomba de Transferencia Diesel, Trasegado</t>
  </si>
  <si>
    <t>01-1056</t>
  </si>
  <si>
    <t>01-1057</t>
  </si>
  <si>
    <t>ALEJOS, RODOLFO/NOMINA 28-02-2025/OPER</t>
  </si>
  <si>
    <t>01-1058</t>
  </si>
  <si>
    <t>ALVARADO, EDDY/NOMINA 28-02-2025/OPER</t>
  </si>
  <si>
    <t>01-1059</t>
  </si>
  <si>
    <t>BASTIDAS, JOSE/NOMINA 28-02-2025/OPER</t>
  </si>
  <si>
    <t>01-1060</t>
  </si>
  <si>
    <t>BRACHO, LUIS/NOMINA 28-02-2025/OPER</t>
  </si>
  <si>
    <t>01-1061</t>
  </si>
  <si>
    <t>CHIRINOS, RAFAEL/NOMINA 28-02-2025/OPER</t>
  </si>
  <si>
    <t>01-1062</t>
  </si>
  <si>
    <t>DAZA, VICTOR/NOMINA 28-02-2025/OPER</t>
  </si>
  <si>
    <t>01-1063</t>
  </si>
  <si>
    <t>GALEANO, FRANCISCO/NOMINA 28-02-2025/OPER</t>
  </si>
  <si>
    <t>01-1064</t>
  </si>
  <si>
    <t>GARCIA, JASON/NOMINA 28-02-2025/OPER</t>
  </si>
  <si>
    <t>01-1065</t>
  </si>
  <si>
    <t>ZERPA, WISTON/NOMINA 28-02-2025/OPER</t>
  </si>
  <si>
    <t>01-1066</t>
  </si>
  <si>
    <t>GUEDEZ JOSE/NOMINA 28-02-2025/OPER</t>
  </si>
  <si>
    <t>01-1067</t>
  </si>
  <si>
    <t>GUILLEN, LUIS/NOMINA 28-02-2025/OPER</t>
  </si>
  <si>
    <t>01-1068</t>
  </si>
  <si>
    <t>GUTIERREZ, PRESCILIANO/NOMINA 28-02-2025/OPER</t>
  </si>
  <si>
    <t>01-1069</t>
  </si>
  <si>
    <t>GUTIERREZ,RODOLFO/NOMINA 28-02-2025/ADM</t>
  </si>
  <si>
    <t>01-1070</t>
  </si>
  <si>
    <t>LINAREZ, PEDRO/NOMINA 28-02-2025/OPER</t>
  </si>
  <si>
    <t>01-1071</t>
  </si>
  <si>
    <t>LINAREZ, SANTIAGO/NOMINA 28-02-2025/OPER</t>
  </si>
  <si>
    <t>01-1072</t>
  </si>
  <si>
    <t>LOPEZ ,MANOLO/NOMINA 28-02-2025/ADM</t>
  </si>
  <si>
    <t>01-1073</t>
  </si>
  <si>
    <t>MANZO, JESMAIYELIT/NOMINA 28-02-2025/ADM</t>
  </si>
  <si>
    <t>01-1074</t>
  </si>
  <si>
    <t>MARTINEZ JUAN/NOMINA 28-02-2025/OPER</t>
  </si>
  <si>
    <t>01-1075</t>
  </si>
  <si>
    <t>PEREZ CARLOS/NOMINA 28-02-2025/OPER</t>
  </si>
  <si>
    <t>01-1076</t>
  </si>
  <si>
    <t>PEREZ, ROLANDO/NOMINA 28-02-2025/OPER</t>
  </si>
  <si>
    <t>01-1077</t>
  </si>
  <si>
    <t>POLANCO, FRANKLIN/NOMINA 28-02-2025/OPER</t>
  </si>
  <si>
    <t>01-1078</t>
  </si>
  <si>
    <t>PUERTAS, TEODORO/NOMINA 28-02-2025/OPER</t>
  </si>
  <si>
    <t>01-1079</t>
  </si>
  <si>
    <t>QUERALES ,EDIXON/NOMINA 28-02-2025/OPER</t>
  </si>
  <si>
    <t>01-1080</t>
  </si>
  <si>
    <t>QUERALES, HERMES/NOMINA 28-02-2025/OPER</t>
  </si>
  <si>
    <t>01-1081</t>
  </si>
  <si>
    <t>RAGA NELIDO/NOMINA 28-02-2025/ADM</t>
  </si>
  <si>
    <t>01-1082</t>
  </si>
  <si>
    <t>RANGEL GUSTAVO/NOMINA 28-02-2025/ADM</t>
  </si>
  <si>
    <t>01-1083</t>
  </si>
  <si>
    <t>REVERON, RAMON/NOMINA 28-02-2025/OPER</t>
  </si>
  <si>
    <t>01-1084</t>
  </si>
  <si>
    <t>RIVERO, JORGE/NOMINA 28-02-2025/OPER</t>
  </si>
  <si>
    <t>01-1085</t>
  </si>
  <si>
    <t>RODRIGUEZ ANSONNY/NOMINA 28-02-2025/OPER</t>
  </si>
  <si>
    <t>01-1086</t>
  </si>
  <si>
    <t>ROJAS MARIA/NOMINA 28-02-2025/OPER</t>
  </si>
  <si>
    <t>01-1087</t>
  </si>
  <si>
    <t>SEGURA ,WAILEN/NOMINA 28-02-2025/OPER</t>
  </si>
  <si>
    <t>01-1088</t>
  </si>
  <si>
    <t>SOTELDO, LUSMAR/NOMINA 28-02-2025/OPER</t>
  </si>
  <si>
    <t>01-1089</t>
  </si>
  <si>
    <t>SUAREZ, RAFAEL/NOMINA 28-02-2025/OPER</t>
  </si>
  <si>
    <t>01-1090</t>
  </si>
  <si>
    <t>VALLE, GERARDO/NOMINA 28-02-2025/OPER</t>
  </si>
  <si>
    <t>01-1091</t>
  </si>
  <si>
    <t>VETANCOURT, BLIXANDER/NOMINA 28-02-2025/ADM</t>
  </si>
  <si>
    <t>01-1092</t>
  </si>
  <si>
    <t>VIELMA CARLEN/NOMINA 28-02-2025/ADM</t>
  </si>
  <si>
    <t>01-1093</t>
  </si>
  <si>
    <t>REVERON,RAMON/BONO SUBSIDIO 28-02-2025-OPER</t>
  </si>
  <si>
    <t>01-1094</t>
  </si>
  <si>
    <t>RANGEL,GUSTAVO/BONO SUBSIDIADO 28/02/2025-ADM</t>
  </si>
  <si>
    <t>01-1095</t>
  </si>
  <si>
    <t>PUERTAS,TEODORO/BONO SUBSIDIO 28-02-2025-OPER</t>
  </si>
  <si>
    <t>01-1096</t>
  </si>
  <si>
    <t>GUILLEN,LUIS/BONO SUBSIDIO 28-02-2025-OPER</t>
  </si>
  <si>
    <t>01-1097</t>
  </si>
  <si>
    <t>ZERPA,WISTON/BONO SUBSIDIO 28-02-2025-OPER</t>
  </si>
  <si>
    <t>01-1098</t>
  </si>
  <si>
    <t>MARTINEZ,JUAN /BONO SUBSIDIO 28-02-2025-OPER</t>
  </si>
  <si>
    <t>01-1099</t>
  </si>
  <si>
    <t>GARCIA,JASON /BONO SUBSIDIO 28-02-2025-OPER</t>
  </si>
  <si>
    <t>01-1100</t>
  </si>
  <si>
    <t>DAZA,VICTOR ADOLFREDO/BONO SUBSIDIO 28-02-2025-OPER</t>
  </si>
  <si>
    <t>01-1101</t>
  </si>
  <si>
    <t>SEGURA,WAILEN/BONO SUBSIDIO 28-02-2025-OPER</t>
  </si>
  <si>
    <t>01-1102</t>
  </si>
  <si>
    <t>LINAREZ,PEDRO/BONO SUBSIDIO 28-02-2025-OPER</t>
  </si>
  <si>
    <t>01-1103</t>
  </si>
  <si>
    <t>MANZO,JESMAIYELIT/BONO SUBSIDIO 28-02/2025-ADM</t>
  </si>
  <si>
    <t>01-1104</t>
  </si>
  <si>
    <t>VIELMA,CARLEN ALFONSO/BONO SUBSIDIO 28/02/2025-ADM</t>
  </si>
  <si>
    <t>01-1105</t>
  </si>
  <si>
    <t>GUTIERREZ,PRESCILIANO/BONO SUBSIDIO 28-02-2025-OPER</t>
  </si>
  <si>
    <t>01-1106</t>
  </si>
  <si>
    <t>RAGA,NELIDO/BONO SUBSIDIO 28-02-2025-OPER</t>
  </si>
  <si>
    <t>01-1107</t>
  </si>
  <si>
    <t>SUAREZ,LEONARDO RAFAEL/BONO SUBSIDIO 28-02-2025-OPER</t>
  </si>
  <si>
    <t>01-1108</t>
  </si>
  <si>
    <t>RIVERO,JORGE/BONO SUBSIDIO 28-02-2025-OPER</t>
  </si>
  <si>
    <t>01-1109</t>
  </si>
  <si>
    <t>VETANCOURT,BLIXANDER/BONO SUBSIDIO 28-02-2025-OPER</t>
  </si>
  <si>
    <t>01-1110</t>
  </si>
  <si>
    <t>GIMENEZ,PABLO/BONO SUBSIDIO 28-02-2025-OPER</t>
  </si>
  <si>
    <t>01-1111</t>
  </si>
  <si>
    <t>VALLE,LUIS GERARDO/BONO SUBSIDIO 28-02-2025-OPER</t>
  </si>
  <si>
    <t>01-1112</t>
  </si>
  <si>
    <t>LINAREZ,SANTIAGO/BONO SUBSIDIO 28-02-2025-OPER</t>
  </si>
  <si>
    <t>01-1113</t>
  </si>
  <si>
    <t>BASTIDAS,JOSE/BONO SUBSIDIO 28-02-2025-OPER</t>
  </si>
  <si>
    <t>01-1114</t>
  </si>
  <si>
    <t>CHIRINOS,RAFAEL/BONO SUBSIDIO 28-02-2025-OPER</t>
  </si>
  <si>
    <t>01-1115</t>
  </si>
  <si>
    <t>JOSE ARRIETA/BONIFICACION 2DA QUINCENA GOBERNACION</t>
  </si>
  <si>
    <t>01-1116</t>
  </si>
  <si>
    <t>GALEANO,FRANCISCO/BONO SUBSIDIO 28-02-2025-OPER</t>
  </si>
  <si>
    <t>01-1117</t>
  </si>
  <si>
    <t>ALEJOS, RODOLFO/BONO COMPLEMENTARIO 28-02-2025/OPER</t>
  </si>
  <si>
    <t>01-1118</t>
  </si>
  <si>
    <t>ALEJOS,RODOLFO/BONO SUBSIDIO 28-02-2025-OPER</t>
  </si>
  <si>
    <t>01-1119</t>
  </si>
  <si>
    <t>BRACHO,LUIS ALBERTO/BONO SUBSIDIO 28-02-2025-OPER</t>
  </si>
  <si>
    <t>01-1120</t>
  </si>
  <si>
    <t>CARLOS RODRIGUEZ/BONIFICACION 2DA QUINCENA GOBERNACION</t>
  </si>
  <si>
    <t>01-1121</t>
  </si>
  <si>
    <t>ARMANDO VILLEGAS/BONIFICACION 2DA QUINCENA GOBERNACION</t>
  </si>
  <si>
    <t>01-1122</t>
  </si>
  <si>
    <t>ALVARADO, EDDY/BONO COMPLEMENTARIO 28-02-2025/OPER</t>
  </si>
  <si>
    <t>01-1123</t>
  </si>
  <si>
    <t>BASTIDAS, JOSE/BONO COMPLEMENTARIO 28-02-2025/OPER</t>
  </si>
  <si>
    <t>01-1124</t>
  </si>
  <si>
    <t>BRACHO, LUIS/BONO COMPLEMENTARIO 28-02-2025/OPER</t>
  </si>
  <si>
    <t>01-1125</t>
  </si>
  <si>
    <t>CHIRINOS, RAFAEL/BONO COMPLEMENTARIO 28-02-2025/OPER</t>
  </si>
  <si>
    <t>01-1126</t>
  </si>
  <si>
    <t>DAZA, VICTOR/BONO COMPLEMENTARIO 28-02-2025/OPER</t>
  </si>
  <si>
    <t>01-1127</t>
  </si>
  <si>
    <t>GUILLEN, LUIS/BONO COMPLEMENTARIO 28-02-2025/OPER</t>
  </si>
  <si>
    <t>01-1128</t>
  </si>
  <si>
    <t>GALEANO, FRANCISCO/BONO COMPLEMENTARIO 28-02-2025/OPER</t>
  </si>
  <si>
    <t>01-1129</t>
  </si>
  <si>
    <t>LINAREZ, PEDRO/BONO COMPLEMENTARIO 28-02-2025/OPER</t>
  </si>
  <si>
    <t>01-1130</t>
  </si>
  <si>
    <t>GUTIERREZ, PRESCILIANO/BONO COMPLEMENTARIO 28-02-2025/OPER</t>
  </si>
  <si>
    <t>01-1131</t>
  </si>
  <si>
    <t>LINAREZ, SANTIAGO/BONO COMPLEMENTARIO 28-02-2025/OPER</t>
  </si>
  <si>
    <t>01-1132</t>
  </si>
  <si>
    <t>GARCIA, JASON/BONO COMPLEMENTARIO 28-02-2025/OPER</t>
  </si>
  <si>
    <t>01-1133</t>
  </si>
  <si>
    <t>GUTIERREZ,RODOLFO/BONO COMPLEMENTARIO 28-02-2025/ADM</t>
  </si>
  <si>
    <t>01-1134</t>
  </si>
  <si>
    <t>GUEDEZ JOSE/BONO COMPLEMENTARIO 28-02-2025/OPER</t>
  </si>
  <si>
    <t>01-1135</t>
  </si>
  <si>
    <t>MANZO, JESMAIYELIT/BONO COMPLEMENTARIO 28-02-2025/ADM</t>
  </si>
  <si>
    <t>01-1136</t>
  </si>
  <si>
    <t>LOPEZ ,MANOLO/BONO COMPLEMENTARIO 28-02-2025/ADM</t>
  </si>
  <si>
    <t>01-1137</t>
  </si>
  <si>
    <t>MARTINEZ JUAN/BONO COMPLEMENTARIO 28-02-2025/OPER</t>
  </si>
  <si>
    <t>01-1138</t>
  </si>
  <si>
    <t>PUERTAS, TEODORO/BONO COMPLEMENTARIO 28-02-2025/OPER</t>
  </si>
  <si>
    <t>01-1139</t>
  </si>
  <si>
    <t>PEREZ, ROLANDO/BONO COMPLEMENTARIO 28-02-2025/OPER</t>
  </si>
  <si>
    <t>01-1140</t>
  </si>
  <si>
    <t>PEREZ CARLOS/BONO COMPLEMENTARIO 28-02-2025/OPER</t>
  </si>
  <si>
    <t>01-1141</t>
  </si>
  <si>
    <t>POLANCO, FRANKLIN/BONO COMPLEMENTARIO 28-02-2025/OPER</t>
  </si>
  <si>
    <t>01-1142</t>
  </si>
  <si>
    <t>QUERALES ,EDIXON/BONO COMPLEMENTARIO 28-02-2025/OPER</t>
  </si>
  <si>
    <t>01-1143</t>
  </si>
  <si>
    <t>QUERALES, HERMES/BONO COMPLEMENTARIO 28-02-2025/OPER</t>
  </si>
  <si>
    <t>01-1144</t>
  </si>
  <si>
    <t>REVERON, RAMON/BONO COMPLEMENTARIO 28-02-2025/OPER</t>
  </si>
  <si>
    <t>01-1145</t>
  </si>
  <si>
    <t>RAGA NELIDO/BONO COMPLEMENTARIO 28-02-2025/ADM</t>
  </si>
  <si>
    <t>01-1146</t>
  </si>
  <si>
    <t>RODRIGUEZ ANSONNY/BONO COMPLEMENTARIO 28-02-2025/OPER</t>
  </si>
  <si>
    <t>01-1147</t>
  </si>
  <si>
    <t>ROJAS MARIA/BONO COMPLEMENTARIO 28-02-2025/OPER</t>
  </si>
  <si>
    <t>01-1148</t>
  </si>
  <si>
    <t>RANGEL GUSTAVO/BONO COMPLEMENTARIO 28-02-2025/ADM</t>
  </si>
  <si>
    <t>01-1149</t>
  </si>
  <si>
    <t>RIVERO, JORGE/BONO COMPLEMENTARIO 28-02-2025/OPER</t>
  </si>
  <si>
    <t>01-1150</t>
  </si>
  <si>
    <t>SOTELDO, LUSMAR/BONO COMPLEMENTARIO 28-02-2025/OPER</t>
  </si>
  <si>
    <t>01-1151</t>
  </si>
  <si>
    <t>SUAREZ, RAFAEL/BONO COMPLEMENTARIO 28-02-2025/OPER</t>
  </si>
  <si>
    <t>01-1152</t>
  </si>
  <si>
    <t>SEGURA ,WAILEN/BONO COMPLEMENTARIO 28-02-2025/OPER</t>
  </si>
  <si>
    <t>01-1153</t>
  </si>
  <si>
    <t>VALLE, GERARDO/BONO COMPLEMENTARIO 28-02-2025/OPER</t>
  </si>
  <si>
    <t>01-1154</t>
  </si>
  <si>
    <t>VIELMA CARLEN/BONO COMPLEMENTARIO 28-02-2025/ADM</t>
  </si>
  <si>
    <t>01-1155</t>
  </si>
  <si>
    <t>ALEJOS, RODOLFO/CESTA TICKET FEBRERO 28-02-2025/OPER</t>
  </si>
  <si>
    <t>01-1156</t>
  </si>
  <si>
    <t>ALVARADO, EDDY/CESTA TICKET FEBRERO 28-02-2025/OPER</t>
  </si>
  <si>
    <t>01-1157</t>
  </si>
  <si>
    <t>VETANCOURT, BLIXANDER/BONO COMPLEMENTARIO 28-02-2025/ADM</t>
  </si>
  <si>
    <t>01-1158</t>
  </si>
  <si>
    <t>ZERPA, WISTON/BONO COMPLEMENTARIO 28-02-2025/OPER</t>
  </si>
  <si>
    <t>01-1159</t>
  </si>
  <si>
    <t>BASTIDAS, JOSE/CESTA TICKET FEBRERO 28-02-2025/OPER</t>
  </si>
  <si>
    <t>01-1160</t>
  </si>
  <si>
    <t>BRACHO, LUIS/CESTA TICKET FEBRERO 28-02-2025/OPER</t>
  </si>
  <si>
    <t>01-1161</t>
  </si>
  <si>
    <t>CHIRINOS, RAFAEL/CESTA TICKET FEBRERO 28-02-2025/OPER</t>
  </si>
  <si>
    <t>01-1162</t>
  </si>
  <si>
    <t>DAZA, VICTOR/CESTA TICKET FEBRERO 28-02-2025/OPER</t>
  </si>
  <si>
    <t>01-1163</t>
  </si>
  <si>
    <t>GALEANO, FRANCISCO/CESTA TICKET FEBRERO 28-02-2025/OPER</t>
  </si>
  <si>
    <t>01-1164</t>
  </si>
  <si>
    <t>GARCIA, JASON/CESTA TICKET FEBRERO 28-02-2025/OPER</t>
  </si>
  <si>
    <t>01-1165</t>
  </si>
  <si>
    <t>GUEDEZ JOSE/CESTA TICKET FEBRERO 28-02-2025/OPER</t>
  </si>
  <si>
    <t>01-1166</t>
  </si>
  <si>
    <t>GUILLEN, LUIS/CESTA TICKET FEBRERO 28-02-2025/OPER</t>
  </si>
  <si>
    <t>01-1167</t>
  </si>
  <si>
    <t>GUTIERREZ, PRESCILIANO/CESTA TICKET FEBRERO 28-02-2025/OPER</t>
  </si>
  <si>
    <t>01-1168</t>
  </si>
  <si>
    <t>ZERPA, WISTON/CESTA TICKET FEBRERO 28-02-2025/OPER</t>
  </si>
  <si>
    <t>01-1169</t>
  </si>
  <si>
    <t>LINAREZ, PEDRO/CESTA TICKET FEBRERO 28-02-2025/OPER</t>
  </si>
  <si>
    <t>01-1170</t>
  </si>
  <si>
    <t>LINAREZ, SANTIAGO/CESTA TICKET FEBRERO 28-02-2025/OPER</t>
  </si>
  <si>
    <t>01-1171</t>
  </si>
  <si>
    <t>LOPEZ ,MANOLO/CESTA TICKET FEBRERO 28-02-2025/ADM</t>
  </si>
  <si>
    <t>01-1172</t>
  </si>
  <si>
    <t>MANZO, JESMAIYELIT/CESTA TICKET FEBRERO 28-02-2025/ADM</t>
  </si>
  <si>
    <t>01-1173</t>
  </si>
  <si>
    <t>MARTINEZ JUAN/CESTA TICKET FEBRERO 28-02-2025/OPER</t>
  </si>
  <si>
    <t>01-1174</t>
  </si>
  <si>
    <t>PEREZ CARLOS/CESTA TICKET FEBRERO 28-02-2025/OPER</t>
  </si>
  <si>
    <t>01-1175</t>
  </si>
  <si>
    <t>PEREZ, ROLANDO/CESTA TICKET FEBRERO 28-02-2025/OPER</t>
  </si>
  <si>
    <t>01-1176</t>
  </si>
  <si>
    <t>POLANCO, FRANKLIN/CESTA TICKET FEBRERO 28-02-2025/OPER</t>
  </si>
  <si>
    <t>01-1177</t>
  </si>
  <si>
    <t>PUERTAS, TEODORO/CESTA TICKET FEBRERO 28-02-2025/OPER</t>
  </si>
  <si>
    <t>01-1178</t>
  </si>
  <si>
    <t>RANGEL GUSTAVO/CESTA TICKET FEBRERO 28-02-2025/ADM</t>
  </si>
  <si>
    <t>01-1179</t>
  </si>
  <si>
    <t>QUERALES ,EDIXON/CESTA TICKET FEBRERO 28-02-2025/OPER</t>
  </si>
  <si>
    <t>01-1180</t>
  </si>
  <si>
    <t>QUERALES, HERMES/CESTA TICKET FEBRERO 28-02-2025/OPER</t>
  </si>
  <si>
    <t>01-1181</t>
  </si>
  <si>
    <t>RAGA NELIDO/CESTA TICKET FEBRERO 28-02-2025/ADM</t>
  </si>
  <si>
    <t>01-1182</t>
  </si>
  <si>
    <t>REVERON, RAMON/CESTA TICKET FEBRERO 28-02-2025/OPER</t>
  </si>
  <si>
    <t>01-1183</t>
  </si>
  <si>
    <t>RIVERO, JORGE/CESTA TICKET FEBRERO 28-02-2025/OPER</t>
  </si>
  <si>
    <t>01-1184</t>
  </si>
  <si>
    <t>RODRIGUEZ ANSONNY/CESTA TICKET FEBRERO 28-02-2025/OPER</t>
  </si>
  <si>
    <t>01-1185</t>
  </si>
  <si>
    <t>ROJAS MARIA/CESTA TICKET FEBRERO 28-02-2025/OPER</t>
  </si>
  <si>
    <t>01-1186</t>
  </si>
  <si>
    <t>SEGURA ,WAILEN/CESTA TICKET FEBRERO 28-02-2025/OPER</t>
  </si>
  <si>
    <t>01-1187</t>
  </si>
  <si>
    <t>SOTELDO, LUSMAR/CESTA TICKET FEBRERO 28-02-2025/OPER</t>
  </si>
  <si>
    <t>01-1188</t>
  </si>
  <si>
    <t>SUAREZ, RAFAEL/CESTA TICKET FEBRERO 28-02-2025/OPER</t>
  </si>
  <si>
    <t>01-1189</t>
  </si>
  <si>
    <t>VIELMA CARLEN/CESTA TICKET FEBRERO 28-02-2025/ADM</t>
  </si>
  <si>
    <t>01-1190</t>
  </si>
  <si>
    <t>VALLE, GERARDO/CESTA TICKET FEBRERO 28-02-2025/OPER</t>
  </si>
  <si>
    <t>01-1191</t>
  </si>
  <si>
    <t>VETANCOURT, BLIXANDER/CESTA TICKET FEBRERO 28-02-2025/ADM</t>
  </si>
  <si>
    <t>01-1192</t>
  </si>
  <si>
    <t>GIMENEZ, PABLO/NOMINA-BONO-CESTA TICKET-28-02-2025</t>
  </si>
  <si>
    <t>01-1193</t>
  </si>
  <si>
    <t>01-1194</t>
  </si>
  <si>
    <t>01-1195</t>
  </si>
  <si>
    <t>01-1196</t>
  </si>
  <si>
    <t>AMERICA TORNILLO/REINTEGRO/FACT 00010156</t>
  </si>
  <si>
    <t>01-1197</t>
  </si>
  <si>
    <t>REINTEGRO</t>
  </si>
  <si>
    <t>01-1198</t>
  </si>
  <si>
    <t>01-1199</t>
  </si>
  <si>
    <t>12-280225</t>
  </si>
  <si>
    <t>HUMBERTO FRANCO/FACT 187/Actuacion de sistema electrico instalacion cielo raso y aires acondicionados laboratorio quimico y sala de reuniones</t>
  </si>
  <si>
    <t>01-1200</t>
  </si>
  <si>
    <t>01-1201</t>
  </si>
  <si>
    <t xml:space="preserve">OLGA OROZCO/PAGO RESIDENCIA OPERADOR - 120$/PAGO MENSUAL </t>
  </si>
  <si>
    <t>01-1202</t>
  </si>
  <si>
    <t>45-280225</t>
  </si>
  <si>
    <t>Hector/Eventual Gobernacion 24/02/2025 AL 02/03/2025</t>
  </si>
  <si>
    <t>01-1203</t>
  </si>
  <si>
    <t xml:space="preserve">Lino flore-3 dias a 35$- total 105$-Dinamitero/pago relacion de personal que laboro en la campaña de yeso la semana del 24-02 al 28-02-25  </t>
  </si>
  <si>
    <t>01-1204</t>
  </si>
  <si>
    <t xml:space="preserve">Lisandro Milla- bono operador 20$/pago relacion de personal que laboro en la campaña de yeso la semana del 24-02 al 28-02-25  </t>
  </si>
  <si>
    <t>01-1205</t>
  </si>
  <si>
    <t>01-1206</t>
  </si>
  <si>
    <t>ferre materiales miller/ADELANT FACT/Electrodo 6013 utilizados para trabajos de fabricación , áreas activas molienda de cemento, hornos verticales, salida túnel de materia prima solicitado ing fareliz</t>
  </si>
  <si>
    <t>01-1207</t>
  </si>
  <si>
    <t>01-1208</t>
  </si>
  <si>
    <t>17-280225</t>
  </si>
  <si>
    <t xml:space="preserve">Julian Castillo-5 dias a 10$- total 50$/pago relacion de personal que laboro en la campaña de yeso la semana del 24-02 al 28-02-25  </t>
  </si>
  <si>
    <t>01-1209</t>
  </si>
  <si>
    <t xml:space="preserve">FERRENOVA 14/FACT 01692/laminas-union -vigas-hindú (cementera) </t>
  </si>
  <si>
    <t>01-1210</t>
  </si>
  <si>
    <t xml:space="preserve">Jeferson Davila- bono operador 20$/pago relacion de personal que laboro en la campaña de yeso la semana del 24-02 al 28-02-25  </t>
  </si>
  <si>
    <t>01-1211</t>
  </si>
  <si>
    <t>01-1212</t>
  </si>
  <si>
    <t xml:space="preserve">Beatriz Castillo- bono operador 20$/pago relacion de personal que laboro en la campaña de yeso la semana del 24-02 al 28-02-25  </t>
  </si>
  <si>
    <t>01-1213</t>
  </si>
  <si>
    <t xml:space="preserve">Ramon Quirogas- bono operador 20$/pago relacion de personal que laboro en la campaña de yeso la semana del 24-02 al 28-02-25  </t>
  </si>
  <si>
    <t>01-1214</t>
  </si>
  <si>
    <t>01-1215</t>
  </si>
  <si>
    <t>01-1216</t>
  </si>
  <si>
    <t>01-1217</t>
  </si>
  <si>
    <t>01-1218</t>
  </si>
  <si>
    <t>01-1219</t>
  </si>
  <si>
    <t>Henrry Valera/Eventual Gobernacion 24/02/2025 AL 02/03/2025</t>
  </si>
  <si>
    <t>01-1220</t>
  </si>
  <si>
    <t>Brunito Segundo Cordero/Eventual Agregados 24/02/2025 AL 02/03/2025</t>
  </si>
  <si>
    <t>01-1221</t>
  </si>
  <si>
    <t>Delios Adolfo Ferrara/Eventual Agregados 24/02/2025 AL 02/03/2025</t>
  </si>
  <si>
    <t>01-1222</t>
  </si>
  <si>
    <t>Eliomar Jesús Escalona/Eventual Agregados 24/02/2025 AL 02/03/2025</t>
  </si>
  <si>
    <t>01-1223</t>
  </si>
  <si>
    <t>José Guillermo Cortez/Eventual Agregados 24/02/2025 AL 02/03/2025</t>
  </si>
  <si>
    <t>01-1224</t>
  </si>
  <si>
    <t>Darwuin Jesús Bullones/Eventual Agregados 24/02/2025 AL 02/03/2025</t>
  </si>
  <si>
    <t>01-1225</t>
  </si>
  <si>
    <t>Frank Armando García/Eventual Agregados 24/02/2025 AL 02/03/2025</t>
  </si>
  <si>
    <t>01-1226</t>
  </si>
  <si>
    <t>Alberto Luis Rojas/Eventual Agregados 24/02/2025 AL 02/03/2025</t>
  </si>
  <si>
    <t>01-1227</t>
  </si>
  <si>
    <t>Naiker Alexander Jimenez/Eventual Agregados 24/02/2025 AL 02/03/2025</t>
  </si>
  <si>
    <t>01-1228</t>
  </si>
  <si>
    <t>José Gregorio Perez/Eventual Agregados 24/02/2025 AL 02/03/2025</t>
  </si>
  <si>
    <t>01-1229</t>
  </si>
  <si>
    <t>Carlos Daniel Rodriguez/Eventual Agregados 24/02/2025 AL 02/03/2025</t>
  </si>
  <si>
    <t>01-1230</t>
  </si>
  <si>
    <t>Alejandro Morales/Eventual Agregados 24/02/2025 AL 02/03/2025</t>
  </si>
  <si>
    <t>01-1231</t>
  </si>
  <si>
    <t>Euber José Juarez/Eventual Agregados 24/02/2025 AL 02/03/2025</t>
  </si>
  <si>
    <t>01-1232</t>
  </si>
  <si>
    <t>Ali Alberto Bullones/Eventual Agregados 24/02/2025 AL 02/03/2025</t>
  </si>
  <si>
    <t>01-1233</t>
  </si>
  <si>
    <t>Alberto Ali Bullones/Eventual Agregados 24/02/2025 AL 02/03/2025</t>
  </si>
  <si>
    <t>01-1234</t>
  </si>
  <si>
    <t>Fernando José Rodriguez/Eventual Agregados 24/02/2025 AL 02/03/2025</t>
  </si>
  <si>
    <t>01-1235</t>
  </si>
  <si>
    <t>Federico Faneite/Eventual Gobernacion 24/02/2025 AL 02/03/2025</t>
  </si>
  <si>
    <t>01-1236</t>
  </si>
  <si>
    <t>Justiniano Rodriguez/Eventual Agregados 24/02/2025 AL 02/03/2025</t>
  </si>
  <si>
    <t>01-1237</t>
  </si>
  <si>
    <t>Fareliz Arrieche/Eventual Gobernacion 24/02/2025 AL 02/03/2025</t>
  </si>
  <si>
    <t>01-1238</t>
  </si>
  <si>
    <t>Armando Lopez /Eventual Agregados 24/02/2025 AL 02/03/2025</t>
  </si>
  <si>
    <t>01-1239</t>
  </si>
  <si>
    <t>Alirio Parra/Eventual Gobernacion 24/02/2025 AL 02/03/2025</t>
  </si>
  <si>
    <t>01-1240</t>
  </si>
  <si>
    <t>Froilan Lopez/Eventual Agregados 24/02/2025 AL 02/03/2025</t>
  </si>
  <si>
    <t>01-1241</t>
  </si>
  <si>
    <t>Jesus Ramos/Eventual Gobernacion 24/02/2025 AL 02/03/2025</t>
  </si>
  <si>
    <t>01-1242</t>
  </si>
  <si>
    <t>Ramón Quintero/Eventual Agregados 24/02/2025 AL 02/03/2025</t>
  </si>
  <si>
    <t>01-1243</t>
  </si>
  <si>
    <t>Exson Rodriguez/Eventual Gobernacion 24/02/2025 AL 02/03/2025</t>
  </si>
  <si>
    <t>01-1244</t>
  </si>
  <si>
    <t>Miguel Torres/Eventual Gobernacion 24/02/2025 AL 02/03/2025</t>
  </si>
  <si>
    <t>01-1245</t>
  </si>
  <si>
    <t>Douglas Pimentel/Eventual Gobernacion 24/02/2025 AL 02/03/2025</t>
  </si>
  <si>
    <t>01-1246</t>
  </si>
  <si>
    <t>Pedro Castillo/Eventual Gobernacion 24/02/2025 AL 02/03/2025</t>
  </si>
  <si>
    <t>01-1247</t>
  </si>
  <si>
    <t>Juan López/Eventual Agregados 24/02/2025 AL 02/03/2025</t>
  </si>
  <si>
    <t>01-1248</t>
  </si>
  <si>
    <t>Nicolas Alvarez/Eventual Gobernacion 24/02/2025 AL 02/03/2025</t>
  </si>
  <si>
    <t>01-1249</t>
  </si>
  <si>
    <t>Wendy Gimenez/Eventual Gobernacion 24/02/2025 AL 02/03/2025</t>
  </si>
  <si>
    <t>01-1250</t>
  </si>
  <si>
    <t>Rafael Puertas/Eventual Gobernacion 24/02/2025 AL 02/03/2025</t>
  </si>
  <si>
    <t>01-1251</t>
  </si>
  <si>
    <t>Carlos Pacheco/Eventual Gobernacion 24/02/2025 AL 02/03/2025</t>
  </si>
  <si>
    <t>01-1252</t>
  </si>
  <si>
    <t>Andrés Armella/Eventual Gobernacion 24/02/2025 AL 02/03/2025</t>
  </si>
  <si>
    <t>01-1253</t>
  </si>
  <si>
    <t>Jose Toledo/Eventual Gobernacion 24/02/2025 AL 02/03/2025</t>
  </si>
  <si>
    <t>01-1254</t>
  </si>
  <si>
    <t>Juan Pinto/Eventual Gobernacion 24/02/2025 AL 02/03/2025</t>
  </si>
  <si>
    <t>01-1255</t>
  </si>
  <si>
    <t>Bruno Ali Cordero Bullones/Eventual Agregados 24/02/2025 AL 02/03/2025</t>
  </si>
  <si>
    <t>01-1256</t>
  </si>
  <si>
    <t>Carlos Lopez/Eventual Agregados 24/02/2025 AL 02/03/2025</t>
  </si>
  <si>
    <t>01-1257</t>
  </si>
  <si>
    <t>Fares Arrieche/Eventual Megatech 24/02/2025 AL 02/03/2025</t>
  </si>
  <si>
    <t>01-1258</t>
  </si>
  <si>
    <t>Angel Caldera/Eventual Gobernacion 24/02/2025 AL 02/03/2025</t>
  </si>
  <si>
    <t>01-1259</t>
  </si>
  <si>
    <t>Estebez Maramara/Eventual Agregados 24/02/2025 AL 02/03/2025</t>
  </si>
  <si>
    <t>01-1260</t>
  </si>
  <si>
    <t>Norys Ramos/Eventual Gobernacion 24/02/2025 AL 02/03/2025</t>
  </si>
  <si>
    <t>01-1261</t>
  </si>
  <si>
    <t>Edwin Rojas/Eventual Gobernacion 24/02/2025 AL 02/03/2025</t>
  </si>
  <si>
    <t>01-1262</t>
  </si>
  <si>
    <t>Rafael Quiroz/Eventual Gobernacion 24/02/2025 AL 02/03/2025</t>
  </si>
  <si>
    <t>01-1263</t>
  </si>
  <si>
    <t>Luis Silveiro Colon Ojeda/Eventual Agregados 24/02/2025 AL 02/03/2025</t>
  </si>
  <si>
    <t>01-1264</t>
  </si>
  <si>
    <t>Argenis Flores/Eventual Megatech 24/02/2025 AL 02/03/2025</t>
  </si>
  <si>
    <t>01-1265</t>
  </si>
  <si>
    <t>Pitter Puerta/Eventual Megatech 24/02/2025 AL 02/03/2025</t>
  </si>
  <si>
    <t>01-1266</t>
  </si>
  <si>
    <t>Yonny Castillo/Eventual Megatech 24/02/2025 AL 02/03/2025</t>
  </si>
  <si>
    <t>01-1267</t>
  </si>
  <si>
    <t>Francisco Castillo/Eventual Megatech 24/02/2025 AL 02/03/2025</t>
  </si>
  <si>
    <t>01-1268</t>
  </si>
  <si>
    <t>Walner Oviedo/Eventual Megatech 24/02/2025 AL 02/03/2025</t>
  </si>
  <si>
    <t>01-1269</t>
  </si>
  <si>
    <t>Antonio Castillo/Eventual Megatech 24/02/2025 AL 02/03/2025</t>
  </si>
  <si>
    <t>01-1270</t>
  </si>
  <si>
    <t>Jose Guevara/Eventual Megatech 24/02/2025 AL 02/03/2025</t>
  </si>
  <si>
    <t>01-1271</t>
  </si>
  <si>
    <t>Jose Castillo/Eventual Megatech 24/02/2025 AL 02/03/2025</t>
  </si>
  <si>
    <t>01-1272</t>
  </si>
  <si>
    <t>Elvis Valles/Eventual Megatech 24/02/2025 AL 02/03/2025</t>
  </si>
  <si>
    <t>01-1273</t>
  </si>
  <si>
    <t>01-1274</t>
  </si>
  <si>
    <t>Omar Torrealba/Eventual Megatech 24/02/2025 AL 02/03/2025</t>
  </si>
  <si>
    <t>01-1275</t>
  </si>
  <si>
    <t>Carlos Castillo/Eventual Megatech 24/02/2025 AL 02/03/2025</t>
  </si>
  <si>
    <t>01-1276</t>
  </si>
  <si>
    <t>Julian Guedez/Eventual Megatech 24/02/2025 AL 02/03/2025</t>
  </si>
  <si>
    <t>01-1277</t>
  </si>
  <si>
    <t>Yordis Almao/Eventual Megatech 24/02/2025 AL 02/03/2025</t>
  </si>
  <si>
    <t>01-1278</t>
  </si>
  <si>
    <t>Victor Mendez/Eventual Megatech 24/02/2025 AL 02/03/2025</t>
  </si>
  <si>
    <t>01-1279</t>
  </si>
  <si>
    <t>Carlos Loyo/Eventual Megatech 24/02/2025 AL 02/03/2025</t>
  </si>
  <si>
    <t>01-1280</t>
  </si>
  <si>
    <t>Edwuard Almeida/Eventual Megatech 24/02/2025 AL 02/03/2025</t>
  </si>
  <si>
    <t>01-1281</t>
  </si>
  <si>
    <t>Yerry Rodríguez/Eventual Megatech 24/02/2025 AL 02/03/2025</t>
  </si>
  <si>
    <t>01-1282</t>
  </si>
  <si>
    <t>Alberto Loyo/Eventual Megatech 24/02/2025 AL 02/03/2025</t>
  </si>
  <si>
    <t>01-1283</t>
  </si>
  <si>
    <t>Norys Ramos/Eventual Megatech 24/02/2025 AL 02/03/2025</t>
  </si>
  <si>
    <t>01-1284</t>
  </si>
  <si>
    <t>Fareliz Arrieche/Eventual Megatech 24/02/2025 AL 02/03/2025</t>
  </si>
  <si>
    <t>01-1285</t>
  </si>
  <si>
    <t>Alirio Parra/Eventual Megatech 24/02/2025 AL 02/03/2025</t>
  </si>
  <si>
    <t>01-1286</t>
  </si>
  <si>
    <t>Emperatriz Leon/Eventual Megatech 24/02/2025 AL 02/03/2025</t>
  </si>
  <si>
    <t>01-1287</t>
  </si>
  <si>
    <t>Elio Malpica/Eventual Megatech 24/02/2025 AL 02/03/2025</t>
  </si>
  <si>
    <t>01-1288</t>
  </si>
  <si>
    <t>Alexander Castillo/Eventual Megatech 24/02/2025 AL 02/03/2025</t>
  </si>
  <si>
    <t>01-1289</t>
  </si>
  <si>
    <t>Ruben Rivas/Eventual Megatech 24/02/2025 AL 02/03/2025</t>
  </si>
  <si>
    <t>01-1290</t>
  </si>
  <si>
    <t xml:space="preserve">Aureliano León-7 dias a 10$- total 70$/pago relacion de personal que laboro en la campaña de yeso la semana del 24-02 al 28-02-25  </t>
  </si>
  <si>
    <t>01-1291</t>
  </si>
  <si>
    <t>Ingrid Reyes/Eventual Megatech 24/02/2025 AL 02/03/2025</t>
  </si>
  <si>
    <t>01-1292</t>
  </si>
  <si>
    <t>01-1293</t>
  </si>
  <si>
    <t>01-1294</t>
  </si>
  <si>
    <t>01-1295</t>
  </si>
  <si>
    <t>01-1296</t>
  </si>
  <si>
    <t>0120200000427</t>
  </si>
  <si>
    <t xml:space="preserve">COM MANTENIMIENTO DE CUENTA   </t>
  </si>
  <si>
    <t>01-1297</t>
  </si>
  <si>
    <t>0329249186848</t>
  </si>
  <si>
    <t>01-1298</t>
  </si>
  <si>
    <t>0592352247793</t>
  </si>
  <si>
    <t>PROTECCION A LAS PENSIONES/PERIODO ENERO 2025</t>
  </si>
  <si>
    <t>01-1299</t>
  </si>
  <si>
    <t>02-040225</t>
  </si>
  <si>
    <t>01-1300</t>
  </si>
  <si>
    <t xml:space="preserve">Constructora AJR CA/ADELANT FACT/ACONDI BASE/AREAS INTERNAS PLANTA DE CEMENTO </t>
  </si>
  <si>
    <t>01-1301</t>
  </si>
  <si>
    <t>S/PROCESAR</t>
  </si>
  <si>
    <t>DURANGO C.A/FACT285/procura de barras de cobre para selda de sincronizacion de central de generacion</t>
  </si>
  <si>
    <t>01-1302</t>
  </si>
  <si>
    <t>01-1303</t>
  </si>
  <si>
    <t>01-1304</t>
  </si>
  <si>
    <t>01-1305</t>
  </si>
  <si>
    <t>0828654503593</t>
  </si>
  <si>
    <t xml:space="preserve">BANAVIH/PERIODO ENERO 2025            </t>
  </si>
  <si>
    <t>01-1306</t>
  </si>
  <si>
    <t>03-050225</t>
  </si>
  <si>
    <t>0100754506374</t>
  </si>
  <si>
    <t xml:space="preserve">IVSS/PERIODO ENERO 2025                     </t>
  </si>
  <si>
    <t>01-1307</t>
  </si>
  <si>
    <t>0592356868620</t>
  </si>
  <si>
    <t xml:space="preserve">ISLR/PERIODO ENERO 2025 </t>
  </si>
  <si>
    <t>01-1308</t>
  </si>
  <si>
    <t>02-060225</t>
  </si>
  <si>
    <t>0329251427834</t>
  </si>
  <si>
    <t>01-1309</t>
  </si>
  <si>
    <t>01-1310</t>
  </si>
  <si>
    <t>0329200000006</t>
  </si>
  <si>
    <t>01-1311</t>
  </si>
  <si>
    <t>0329200000005</t>
  </si>
  <si>
    <t>HENCAR CONSTRUCCIONES/FACT 595/Adecuacion y armado de sistema de escape para 05 grupos electrogenos de 1250 kva</t>
  </si>
  <si>
    <t>01-1312</t>
  </si>
  <si>
    <t>PROCESADO EN ABRIL</t>
  </si>
  <si>
    <t>01-1313</t>
  </si>
  <si>
    <t>01-1314</t>
  </si>
  <si>
    <t>01-1315</t>
  </si>
  <si>
    <t>01-1316</t>
  </si>
  <si>
    <t>01-1317</t>
  </si>
  <si>
    <t>0676200000005</t>
  </si>
  <si>
    <t>01-1318</t>
  </si>
  <si>
    <t>01-1319</t>
  </si>
  <si>
    <t>0676200000006</t>
  </si>
  <si>
    <t>01-1320</t>
  </si>
  <si>
    <t>01-1321</t>
  </si>
  <si>
    <t>0329253825718</t>
  </si>
  <si>
    <t>01-1322</t>
  </si>
  <si>
    <t>0329279700270</t>
  </si>
  <si>
    <t>01-1323</t>
  </si>
  <si>
    <t>0676279700270</t>
  </si>
  <si>
    <t>01-1324</t>
  </si>
  <si>
    <t>0329254052707</t>
  </si>
  <si>
    <t>01-1325</t>
  </si>
  <si>
    <t>0329279786021</t>
  </si>
  <si>
    <t>HENCAD/FACT 615/TABLERO MECANICO/SISTEM SINCRONIZACION</t>
  </si>
  <si>
    <t>01-1326</t>
  </si>
  <si>
    <t>PROCESADA EN JULIO</t>
  </si>
  <si>
    <t>0676279786021</t>
  </si>
  <si>
    <t>01-1327</t>
  </si>
  <si>
    <t>0329279828885</t>
  </si>
  <si>
    <t>RODA MANGUERAS CHIVACOA/FACT 1329/manguera Corresponde a maquinaria que esta en el yeso</t>
  </si>
  <si>
    <t>01-1328</t>
  </si>
  <si>
    <t>0676279828885</t>
  </si>
  <si>
    <t>01-1329</t>
  </si>
  <si>
    <t>0590562302010</t>
  </si>
  <si>
    <t>FERREMATERIALES Y OBRAS GRIS/FACT 03/ARENA CERDIDA FACT DE VENTA</t>
  </si>
  <si>
    <t>01-1330</t>
  </si>
  <si>
    <t>VENTA DE ARENA CERDIDA</t>
  </si>
  <si>
    <t>0599116078878</t>
  </si>
  <si>
    <t>SIN FRONTERA RJL, C.A./FACT 004/VENTA DE CONCRETO PREMEZCLADO RC 210</t>
  </si>
  <si>
    <t>01-1331</t>
  </si>
  <si>
    <t>VENTA DE CONCRETO PREMEZCLADO RC 210</t>
  </si>
  <si>
    <t>0590562847321</t>
  </si>
  <si>
    <t>FERRETERIA Y MATERIALES OBRA GRIS 2021 C.A/FACT 06/VENTA DE ARENA CERNIDA/FACTURAS DE VENTAS</t>
  </si>
  <si>
    <t>01-1332</t>
  </si>
  <si>
    <t>0590562847391</t>
  </si>
  <si>
    <t>FERRETERIA Y MATERIALES OBRA GRIS 2021 C.A/FACT 21 /VENTA DE ARENA CERNIDA</t>
  </si>
  <si>
    <t>01-1333</t>
  </si>
  <si>
    <t>el cliente transfirio doble y se le abono este monto a la fact 21 del mes de marzo</t>
  </si>
  <si>
    <t>TIMBRES FISCALES P/GESTION PERMISO BOMBEROS/CEMENTERA</t>
  </si>
  <si>
    <t>01-1334</t>
  </si>
  <si>
    <t>08-270225</t>
  </si>
  <si>
    <t>MARIA MOGOLLON/FACT 467/30 kg de polvora para piedra-Para ser usada en la extracción del Yeso</t>
  </si>
  <si>
    <t>01-1335</t>
  </si>
  <si>
    <t>ALBERTO PERNALETTE/FACT 0008/pago viaticos traslado de Falcon a Yaracuy/INSPECCION</t>
  </si>
  <si>
    <t>01-1336</t>
  </si>
  <si>
    <t>SERVA021E</t>
  </si>
  <si>
    <t>01-1337</t>
  </si>
  <si>
    <t>01-1338</t>
  </si>
  <si>
    <t>01-1339</t>
  </si>
  <si>
    <t>RESGUARDO/FACT 0174/2da qna Febrero-MINERALES</t>
  </si>
  <si>
    <t>01-1340</t>
  </si>
  <si>
    <t>SERVA026</t>
  </si>
  <si>
    <t>GASTOS SEGURIDAD /RESGUARDO</t>
  </si>
  <si>
    <t>01-1341</t>
  </si>
  <si>
    <t>0329262868948</t>
  </si>
  <si>
    <t>01-1342</t>
  </si>
  <si>
    <t>0329262871351</t>
  </si>
  <si>
    <t>01-1343</t>
  </si>
  <si>
    <t>01-1344</t>
  </si>
  <si>
    <t>INVERSIONES VENEZOLANOS DE TRANSPORTE/FACT A-000003/Minerales chivacoa - gasto - transporte y descarga de carga de cemento a granel</t>
  </si>
  <si>
    <t>01-1345</t>
  </si>
  <si>
    <t>SERVA005E</t>
  </si>
  <si>
    <t>MATERIALES SANTA LUCIA/ FACT 00004928/PLANTA CEMENTO</t>
  </si>
  <si>
    <t>01-1346</t>
  </si>
  <si>
    <t>GRAFICOS VENEZUELA/FACT 3693/3 talonarios de fact en quimico-3 talonarios de nota en quimico-sede minerales arenera</t>
  </si>
  <si>
    <t>01-1347</t>
  </si>
  <si>
    <t>DIOSANNY ALVAREZ/FACT 183/Consumos de comidas del 24-02 al 28-02-25 personal del yeso</t>
  </si>
  <si>
    <t>01-1348</t>
  </si>
  <si>
    <t>01-1349</t>
  </si>
  <si>
    <t>01-1350</t>
  </si>
  <si>
    <t>01-1351</t>
  </si>
  <si>
    <t>01-1352</t>
  </si>
  <si>
    <t>01-1353</t>
  </si>
  <si>
    <t>01-1354</t>
  </si>
  <si>
    <t>04-310325</t>
  </si>
  <si>
    <t xml:space="preserve">JOSE, MORALES/BONIFICACION ESPECIAL </t>
  </si>
  <si>
    <t>01-1355</t>
  </si>
  <si>
    <t>01-1356</t>
  </si>
  <si>
    <t>01-1357</t>
  </si>
  <si>
    <t>JOSE MORALES/BONOFICACION ESPECIAL/AGREG</t>
  </si>
  <si>
    <t>01-1358</t>
  </si>
  <si>
    <t>01-1359</t>
  </si>
  <si>
    <t>01-1360</t>
  </si>
  <si>
    <t>01-1361</t>
  </si>
  <si>
    <t>01-1362</t>
  </si>
  <si>
    <t>TRANSPORTE Y COMERCIALIZADORA NJG, C.A/FACT 757/Requerimientos para Minerales-PRODUCTOS LIMPIENZAS</t>
  </si>
  <si>
    <t>01-1363</t>
  </si>
  <si>
    <t>ALIMENTOS AGROTENDENCIAS/FACT 23848/HARINA Y CAFÉ EMPLEADOS</t>
  </si>
  <si>
    <t>01-1364</t>
  </si>
  <si>
    <t>01-1365</t>
  </si>
  <si>
    <t>01-1366</t>
  </si>
  <si>
    <t>01-1367</t>
  </si>
  <si>
    <t>TIENDAS DAKA/FACT 27129/electrodomesticos minerales</t>
  </si>
  <si>
    <t>01-1368</t>
  </si>
  <si>
    <t>01-1369</t>
  </si>
  <si>
    <t>GOBIERNO BOLIVARIANO DEL ESTADO YARACUY/compra de cemento materia prima</t>
  </si>
  <si>
    <t>01-1370</t>
  </si>
  <si>
    <t>CEMENTO MATERIA PRIMA</t>
  </si>
  <si>
    <t>01-1371</t>
  </si>
  <si>
    <t>DISTRIBUIDORA DIAR/FACT 640/Arenera - Gasto de mantenimiento - Mini Cargador</t>
  </si>
  <si>
    <t>01-1372</t>
  </si>
  <si>
    <t xml:space="preserve">FREDDY MENDOZA/2 dias/pago relacion de personal que laboro en la campaña de yeso la semana del 05-03 al 07-03-25  </t>
  </si>
  <si>
    <t>01-1373</t>
  </si>
  <si>
    <t>Exson Rodriguez/Eventual Gobernacion 03/03 AL 09/03</t>
  </si>
  <si>
    <t>01-1374</t>
  </si>
  <si>
    <t>Brunito Segundo Cordero/Eventual Agregados 03/03 AL 09/03</t>
  </si>
  <si>
    <t>01-1375</t>
  </si>
  <si>
    <t>Edwuard Almeida/Eventual Megatech 03/03 AL 09/03</t>
  </si>
  <si>
    <t>01-1376</t>
  </si>
  <si>
    <t>Yerry Rodríguez/Eventual Megatech 03/03 AL 09/03</t>
  </si>
  <si>
    <t>01-1377</t>
  </si>
  <si>
    <t>Elio Malpica/Eventual Megatech 03/03 AL 09/03</t>
  </si>
  <si>
    <t>01-1378</t>
  </si>
  <si>
    <t>Ruben Rivas/Eventual Megatech 03/03 AL 09/03</t>
  </si>
  <si>
    <t>01-1379</t>
  </si>
  <si>
    <t xml:space="preserve">EMPREND DIOSANNY ALVAREZ/FACT 197/ALMUERZOS PERSONAL en la campaña de yeso la semana del 05-03 al 07-03-25  </t>
  </si>
  <si>
    <t>01-1380</t>
  </si>
  <si>
    <t>01-1381</t>
  </si>
  <si>
    <t>12-070325</t>
  </si>
  <si>
    <t>DIOSANNY ALVAREZ/FACT 199/JULIO IGL FACT 430</t>
  </si>
  <si>
    <t>01-1382</t>
  </si>
  <si>
    <t>01-1383</t>
  </si>
  <si>
    <t>01-1384</t>
  </si>
  <si>
    <t>01-1385</t>
  </si>
  <si>
    <t>PROTECCION A LAS PENSIONES/PERIODO FEBRERO 2025</t>
  </si>
  <si>
    <t>01-1386</t>
  </si>
  <si>
    <t>02-070325</t>
  </si>
  <si>
    <t>01-1387</t>
  </si>
  <si>
    <t>VICTOR MARTINEZ/FACT 159/FLETE MESA DE REUNION</t>
  </si>
  <si>
    <t>01-1388</t>
  </si>
  <si>
    <t>MOBILIARQ'/FACT 2470/Mesa de reunion para Agregados</t>
  </si>
  <si>
    <t>01-1389</t>
  </si>
  <si>
    <t>MAC INFINITE/FACT 48/RECTIFICADO TABLEROS CABLEADOS -PLANTA CEMENTO</t>
  </si>
  <si>
    <t>01-1390</t>
  </si>
  <si>
    <t>Argenis Flores/Eventual Megatech 03/03 AL 09/03</t>
  </si>
  <si>
    <t>01-1391</t>
  </si>
  <si>
    <t>VECONINTER/ORDEN PAGO 2683-2025/GASTO DE IMPORTACION</t>
  </si>
  <si>
    <t>01-1392</t>
  </si>
  <si>
    <t>SERVA044E</t>
  </si>
  <si>
    <t>31-070325</t>
  </si>
  <si>
    <t>MAC INIFINITE ENERGY/FACT 49/PRUEBAS FUNCIONALES DE OPERACION PLANTA DE CEMENTO</t>
  </si>
  <si>
    <t>01-1393</t>
  </si>
  <si>
    <t>PROCESADA EN ABRIL</t>
  </si>
  <si>
    <t>MAC INFINITE ENERGY/FACT47/MTTO CELDAS/BAJA TENSION-PLANTA DE CEMENTO</t>
  </si>
  <si>
    <t>01-1394</t>
  </si>
  <si>
    <t>01-1395</t>
  </si>
  <si>
    <t>01-1396</t>
  </si>
  <si>
    <t>01-1397</t>
  </si>
  <si>
    <t>01-1398</t>
  </si>
  <si>
    <t>Delios Adolfo Ferrara/Eventual Agregados 03/03 AL 09/03</t>
  </si>
  <si>
    <t>01-1399</t>
  </si>
  <si>
    <t>Eliomar Jesús Escalona/Eventual Agregados 03/03 AL 09/03</t>
  </si>
  <si>
    <t>01-1400</t>
  </si>
  <si>
    <t>José Guillermo Cortez/Eventual Agregados 03/03 AL 09/03</t>
  </si>
  <si>
    <t>01-1401</t>
  </si>
  <si>
    <t>Darwuin Jesús Bullones/Eventual Agregados 03/03 AL 09/03</t>
  </si>
  <si>
    <t>01-1402</t>
  </si>
  <si>
    <t>Frank Armando García/Eventual Agregados 03/03 AL 09/03</t>
  </si>
  <si>
    <t>01-1403</t>
  </si>
  <si>
    <t>Alberto Luis Rojas/Eventual Agregados 03/03 AL 09/03</t>
  </si>
  <si>
    <t>01-1404</t>
  </si>
  <si>
    <t>Naiker Alexander Jimenez/Eventual Agregados 03/03 AL 09/03</t>
  </si>
  <si>
    <t>01-1405</t>
  </si>
  <si>
    <t>José Gregorio Perez/Eventual Agregados 03/03 AL 09/03</t>
  </si>
  <si>
    <t>01-1406</t>
  </si>
  <si>
    <t>Carlos Daniel Rodriguez/Eventual Agregados 03/03 AL 09/03</t>
  </si>
  <si>
    <t>01-1407</t>
  </si>
  <si>
    <t>Alejandro Morales/Eventual Agregados 03/03 AL 09/03</t>
  </si>
  <si>
    <t>01-1408</t>
  </si>
  <si>
    <t>Ali Alberto Bullones/Eventual Agregados 03/03 AL 09/03</t>
  </si>
  <si>
    <t>01-1409</t>
  </si>
  <si>
    <t>Alberto Ali Bullones/Eventual Agregados 03/03 AL 09/03</t>
  </si>
  <si>
    <t>01-1410</t>
  </si>
  <si>
    <t>Fernando José Rodriguez/Eventual Agregados 03/03 AL 09/03</t>
  </si>
  <si>
    <t>01-1411</t>
  </si>
  <si>
    <t>Bruno Ali Cordero Bullones/Eventual Agregados 03/03 AL 09/03</t>
  </si>
  <si>
    <t>01-1412</t>
  </si>
  <si>
    <t xml:space="preserve">Lino flore-2 dias/campaña de yeso la semana del 05-03 al 07-03-25  </t>
  </si>
  <si>
    <t>01-1413</t>
  </si>
  <si>
    <t>Euber José Juarez/Eventual Agregados 03/03 AL 09/03</t>
  </si>
  <si>
    <t>01-1414</t>
  </si>
  <si>
    <t>Fareliz Arrieche/Eventual Gobernacion 03/03 AL 09/03</t>
  </si>
  <si>
    <t>01-1415</t>
  </si>
  <si>
    <t>Federico Faneite/Eventual Gobernacion 03/03 AL 09/03</t>
  </si>
  <si>
    <t>01-1416</t>
  </si>
  <si>
    <t>Justiniano Rodriguez/Eventual Agregados 03/03 AL 09/03</t>
  </si>
  <si>
    <t>01-1417</t>
  </si>
  <si>
    <t>Henrry Valera/Eventual Gobernacion 03/03 AL 09/03</t>
  </si>
  <si>
    <t>01-1418</t>
  </si>
  <si>
    <t>Armando Lopez /Eventual Agregados 03/03 AL 09/03</t>
  </si>
  <si>
    <t>01-1419</t>
  </si>
  <si>
    <t>Froilan Lopez/Eventual Agregados 03/03 AL 09/03</t>
  </si>
  <si>
    <t>01-1420</t>
  </si>
  <si>
    <t>Ramón Quintero/Eventual Agregados 03/03 AL 09/03</t>
  </si>
  <si>
    <t>01-1421</t>
  </si>
  <si>
    <t>Juan López/Eventual Agregados 03/03 AL 09/03</t>
  </si>
  <si>
    <t>01-1422</t>
  </si>
  <si>
    <t>Douglas Pimentel/Eventual Gobernacion 03/03 AL 09/03</t>
  </si>
  <si>
    <t>01-1423</t>
  </si>
  <si>
    <t>Jesus Ramos/Eventual Gobernacion 03/03 AL 09/03</t>
  </si>
  <si>
    <t>01-1424</t>
  </si>
  <si>
    <t>Pedro Castillo/Eventual Gobernacion 03/03 AL 09/03</t>
  </si>
  <si>
    <t>01-1425</t>
  </si>
  <si>
    <t>Miguel Torres/Eventual Gobernacion 03/03 AL 09/03</t>
  </si>
  <si>
    <t>01-1426</t>
  </si>
  <si>
    <t>Wendy Gimenez/Eventual Gobernacion 03/03 AL 09/03</t>
  </si>
  <si>
    <t>01-1427</t>
  </si>
  <si>
    <t>Nicolas Alvarez/Eventual Gobernacion 03/03 AL 09/03</t>
  </si>
  <si>
    <t>01-1428</t>
  </si>
  <si>
    <t>Yonny Castillo/Eventual Megatech 03/03 AL 09/03</t>
  </si>
  <si>
    <t>01-1429</t>
  </si>
  <si>
    <t>Rafael Puertas/Eventual Gobernacion 03/03 AL 09/03</t>
  </si>
  <si>
    <t>01-1430</t>
  </si>
  <si>
    <t>Carlos Pacheco/Eventual Gobernacion 03/03 AL 09/03</t>
  </si>
  <si>
    <t>01-1431</t>
  </si>
  <si>
    <t>Andrés Armella/Eventual Gobernacion 03/03 AL 09/03</t>
  </si>
  <si>
    <t>01-1432</t>
  </si>
  <si>
    <t>Jose Toledo/Eventual Gobernacion 03/03 AL 09/03</t>
  </si>
  <si>
    <t>01-1433</t>
  </si>
  <si>
    <t>Juan Pinto/Eventual Gobernacion 03/03 AL 09/03</t>
  </si>
  <si>
    <t>01-1434</t>
  </si>
  <si>
    <t>Edwin Rojas/Eventual Gobernacion 03/03 AL 09/03</t>
  </si>
  <si>
    <t>01-1435</t>
  </si>
  <si>
    <t>Alirio Parra/Eventual Gobernacion 03/03 AL 09/03</t>
  </si>
  <si>
    <t>01-1436</t>
  </si>
  <si>
    <t>Angel Caldera/Eventual Gobernacion 03/03 AL 09/03</t>
  </si>
  <si>
    <t>01-1437</t>
  </si>
  <si>
    <t>Hector/Eventual Gobernacion 03/03 AL 09/03</t>
  </si>
  <si>
    <t>01-1438</t>
  </si>
  <si>
    <t>Carlos Lopez/Eventual Agregados 03/03 AL 09/03</t>
  </si>
  <si>
    <t>01-1439</t>
  </si>
  <si>
    <t>Estebez Maramara/Eventual Agregados 03/03 AL 09/03</t>
  </si>
  <si>
    <t>01-1440</t>
  </si>
  <si>
    <t>Luis Silveiro Colon Ojeda/Eventual Agregados 03/03 AL 09/03</t>
  </si>
  <si>
    <t>01-1441</t>
  </si>
  <si>
    <t>Rafael Quiroz/Eventual Gobernacion 03/03 AL 09/03</t>
  </si>
  <si>
    <t>01-1442</t>
  </si>
  <si>
    <t>Pitter Puerta/Eventual Megatech 03/03 AL 09/03</t>
  </si>
  <si>
    <t>01-1443</t>
  </si>
  <si>
    <t>Walner Oviedo/Eventual Megatech 03/03 AL 09/03</t>
  </si>
  <si>
    <t>01-1444</t>
  </si>
  <si>
    <t>Norys Ramos/Eventual Gobernacion 03/03 AL 09/03</t>
  </si>
  <si>
    <t>01-1445</t>
  </si>
  <si>
    <t xml:space="preserve">DAYANA AZUAJE -7 dias/campaña de yeso la semana del 05-03 al 07-03-25  </t>
  </si>
  <si>
    <t>01-1446</t>
  </si>
  <si>
    <t>Francisco Castillo/Eventual Megatech 03/03 AL 09/03</t>
  </si>
  <si>
    <t>01-1447</t>
  </si>
  <si>
    <t>Antonio Castillo/Eventual Megatech 03/03 AL 09/03</t>
  </si>
  <si>
    <t>01-1448</t>
  </si>
  <si>
    <t>Jose Guevara/Eventual Megatech 03/03 AL 09/03</t>
  </si>
  <si>
    <t>01-1449</t>
  </si>
  <si>
    <t>Jose Castillo/Eventual Megatech 03/03 AL 09/03</t>
  </si>
  <si>
    <t>01-1450</t>
  </si>
  <si>
    <t>Elvis Valles/Eventual Megatech 03/03 AL 09/03</t>
  </si>
  <si>
    <t>01-1451</t>
  </si>
  <si>
    <t>01-1452</t>
  </si>
  <si>
    <t>Omar Torrealba/Eventual Megatech 03/03 AL 09/03</t>
  </si>
  <si>
    <t>01-1453</t>
  </si>
  <si>
    <t>Carlos Castillo/Eventual Megatech 03/03 AL 09/03</t>
  </si>
  <si>
    <t>01-1454</t>
  </si>
  <si>
    <t>Julian Guedez/Eventual Megatech 03/03 AL 09/03</t>
  </si>
  <si>
    <t>01-1455</t>
  </si>
  <si>
    <t>Yordis Almao/Eventual Megatech 03/03 AL 09/03</t>
  </si>
  <si>
    <t>01-1456</t>
  </si>
  <si>
    <t>Victor Mendez/Eventual Megatech 03/03 AL 09/03</t>
  </si>
  <si>
    <t>01-1457</t>
  </si>
  <si>
    <t>Carlos Loyo/Eventual Megatech 03/03 AL 09/03</t>
  </si>
  <si>
    <t>01-1458</t>
  </si>
  <si>
    <t>Alberto Loyo/Eventual Megatech 03/03 AL 09/03</t>
  </si>
  <si>
    <t>01-1459</t>
  </si>
  <si>
    <t>Alexander Castillo/Eventual Megatech 03/03 AL 09/03</t>
  </si>
  <si>
    <t>01-1460</t>
  </si>
  <si>
    <t xml:space="preserve">WILLIAN RIVAS-5 dias/campaña de yeso la semana del 05-03 al 07-03-25  </t>
  </si>
  <si>
    <t>01-1461</t>
  </si>
  <si>
    <t xml:space="preserve">Lisandro Milla- bono operador 20$/campaña de yeso la semana del 05-03 al 07-03-25  </t>
  </si>
  <si>
    <t>01-1462</t>
  </si>
  <si>
    <t xml:space="preserve">Jeferson Davila- bono operador 20$/campaña de yeso la semana del 05-03 al 07-03-25  </t>
  </si>
  <si>
    <t>01-1463</t>
  </si>
  <si>
    <t xml:space="preserve">Ramon Quirogas- bono operador 20$/campaña de yeso la semana del 05-03 al 07-03-25  </t>
  </si>
  <si>
    <t>01-1464</t>
  </si>
  <si>
    <t xml:space="preserve">Beatriz Castillo- bono operador 20$/campaña de yeso la semana del 05-03 al 07-03-25  </t>
  </si>
  <si>
    <t>01-1465</t>
  </si>
  <si>
    <t>Alirio Parra/Eventual Megatech 03/03 AL 09/03</t>
  </si>
  <si>
    <t>01-1466</t>
  </si>
  <si>
    <t>Fareliz Arrieche/Eventual Megatech 03/03 AL 09/03</t>
  </si>
  <si>
    <t>01-1467</t>
  </si>
  <si>
    <t>Fares Arrieche/Eventual Megatech 03/03 AL 09/03</t>
  </si>
  <si>
    <t>01-1468</t>
  </si>
  <si>
    <t>Norys Ramos/Eventual Megatech 03/03 AL 09/03</t>
  </si>
  <si>
    <t>01-1469</t>
  </si>
  <si>
    <t>Emperatriz Leon/Eventual Megatech 03/03 AL 09/03</t>
  </si>
  <si>
    <t>01-1470</t>
  </si>
  <si>
    <t>Ingrid Reyes/Eventual Megatech 03/03 AL 09/03</t>
  </si>
  <si>
    <t>01-1471</t>
  </si>
  <si>
    <t>01-1472</t>
  </si>
  <si>
    <t>01-1473</t>
  </si>
  <si>
    <t>MATERIALES SANTA LUCIA/4984/MATERIALES P/MTTO</t>
  </si>
  <si>
    <t>01-1474</t>
  </si>
  <si>
    <t>01-1475</t>
  </si>
  <si>
    <t>01-1476</t>
  </si>
  <si>
    <t>MATERIALES OBRAS GRIS/FACT 246/MATERIALES planta de cemento</t>
  </si>
  <si>
    <t>01-1477</t>
  </si>
  <si>
    <t>01-1478</t>
  </si>
  <si>
    <t>01-1479</t>
  </si>
  <si>
    <t>01-1480</t>
  </si>
  <si>
    <t>TALLER AGROINDUSTRIAL MOLI/FACT 2621/Reparación Transmisión Grúa Telescópica de 100 ton</t>
  </si>
  <si>
    <t>01-1481</t>
  </si>
  <si>
    <t>01-1482</t>
  </si>
  <si>
    <t>01-1483</t>
  </si>
  <si>
    <t>GRUPO PARIATA/FACT 481889/Eslingas de izamiento para planta de cemento- Inmediato</t>
  </si>
  <si>
    <t>01-1484</t>
  </si>
  <si>
    <t>01-1485</t>
  </si>
  <si>
    <t>01-1486</t>
  </si>
  <si>
    <t>01-1487</t>
  </si>
  <si>
    <t>ISLR/PERIODO FEBRERO 2024</t>
  </si>
  <si>
    <t>01-1488</t>
  </si>
  <si>
    <t>02-100325</t>
  </si>
  <si>
    <t>01-1489</t>
  </si>
  <si>
    <t>INVER Y SERV/FACT 83/ABO 50%/ESTRUCT METALICA-TOLVA MOLINO</t>
  </si>
  <si>
    <t>01-1490</t>
  </si>
  <si>
    <t>TALLER AGROINDUSTRIAL MOLI/FACT 2623/MINERALES - GASTO-Equipo MINI CARGADOR</t>
  </si>
  <si>
    <t>01-1491</t>
  </si>
  <si>
    <t xml:space="preserve">JULIO IGLESIAS/FACT433/una paila de aceite para es escavador </t>
  </si>
  <si>
    <t>01-1492</t>
  </si>
  <si>
    <t>DIGASMALAR, C.A/FACT 55391/Oxígeno para equipos de oxicorte</t>
  </si>
  <si>
    <t>01-1493</t>
  </si>
  <si>
    <t xml:space="preserve">VEVAL SUMINISTROS, C.A/FACT 6253/5 cajas tapaboca 3M, 02 conos grandes para minerales </t>
  </si>
  <si>
    <t>01-1494</t>
  </si>
  <si>
    <t>SERVA019</t>
  </si>
  <si>
    <t>GASTOS IMPLEMENTOS DE SEGURIDAD</t>
  </si>
  <si>
    <t>01-1495</t>
  </si>
  <si>
    <t>01-1496</t>
  </si>
  <si>
    <t>01-1497</t>
  </si>
  <si>
    <t>01-1498</t>
  </si>
  <si>
    <t>DMASEIN/FACT 213/Planta de cemento - Inversión - sistema de generación de energía</t>
  </si>
  <si>
    <t>01-1499</t>
  </si>
  <si>
    <t>01-1500</t>
  </si>
  <si>
    <t>01-1501</t>
  </si>
  <si>
    <t>FERRETERIA CAMILA/FACT 3174/20 kl electrodos/CANDADOS MINERALES</t>
  </si>
  <si>
    <t>01-1502</t>
  </si>
  <si>
    <t>01-1503</t>
  </si>
  <si>
    <t>01-1504</t>
  </si>
  <si>
    <t>RAUL SANZ/FACT 07/CONCRETO PLEMEZCLADO</t>
  </si>
  <si>
    <t>01-1505</t>
  </si>
  <si>
    <t>VENTA DE CONCRETO PLEMEZCLADO</t>
  </si>
  <si>
    <t>COM.PAT SMS-0163 4125907628</t>
  </si>
  <si>
    <t>01-1506</t>
  </si>
  <si>
    <t>01-1507</t>
  </si>
  <si>
    <t>DR. TORNILLO, C.A/FACT 9566/2897-ORING LINEA 200- MINIRALES EQUIPO MINI CARGADOR</t>
  </si>
  <si>
    <t>01-1508</t>
  </si>
  <si>
    <t>GOBERNACION DEL ESTADO YARACUY/EXTRACCION DE GRANZON-2500$</t>
  </si>
  <si>
    <t>01-1509</t>
  </si>
  <si>
    <t>08-120325</t>
  </si>
  <si>
    <t xml:space="preserve">CORPORACION ERDS INDUST/FACT 1635/02 regletas de 06 puertos para minerales </t>
  </si>
  <si>
    <t>01-1510</t>
  </si>
  <si>
    <t>TALONARIO/GUIAS CIRCULACION/ACARREOS/PLANTA MINERALES</t>
  </si>
  <si>
    <t>01-1511</t>
  </si>
  <si>
    <t>08-1203251</t>
  </si>
  <si>
    <t>01-1512</t>
  </si>
  <si>
    <t xml:space="preserve">TOTAL TOOLS BQTO/FACT 2306/Taladro eléctrico, Gato de 10ton, Juego de dados,Juegos de llaves en mm para minerales  </t>
  </si>
  <si>
    <t>01-1513</t>
  </si>
  <si>
    <t>01-1514</t>
  </si>
  <si>
    <t>01-1515</t>
  </si>
  <si>
    <t>01-1516</t>
  </si>
  <si>
    <t>TIMBRE FISCAL POR REGALIA</t>
  </si>
  <si>
    <t>01-1517</t>
  </si>
  <si>
    <t>07-130325</t>
  </si>
  <si>
    <t>01-1518</t>
  </si>
  <si>
    <t>TIMBRE FISCAL POR GUIA</t>
  </si>
  <si>
    <t>01-1519</t>
  </si>
  <si>
    <t>01-1520</t>
  </si>
  <si>
    <t>TRANSPORTE/FACT 54/SERV TRASLADO NIVEL NACIONAL</t>
  </si>
  <si>
    <t>01-1521</t>
  </si>
  <si>
    <t>RESGUARDO/FACT 181/ 1ER QNA/MINERALES/TESORO</t>
  </si>
  <si>
    <t>01-1522</t>
  </si>
  <si>
    <t>FERRETANQUE`S/FACT 3699/BOMBA  DE 1/2HP PARA MINERALES</t>
  </si>
  <si>
    <t>01-1523</t>
  </si>
  <si>
    <t>01-1524</t>
  </si>
  <si>
    <t>01-1525</t>
  </si>
  <si>
    <t>TRANSPORTE TDC/FACT 59/SERVICIO DE TRASLADO A NIVEL NACIONAL</t>
  </si>
  <si>
    <t>01-1526</t>
  </si>
  <si>
    <t>ALEJOS, RODOLFO/BONO COMPL15-03-2025/OPER</t>
  </si>
  <si>
    <t>01-1527</t>
  </si>
  <si>
    <t>ALVARADO, EDDY/BONO COMPL15-03-2025/OPER</t>
  </si>
  <si>
    <t>01-1528</t>
  </si>
  <si>
    <t>BASTIDAS, JOSE/BONO COMPL15-03-2025/OPER</t>
  </si>
  <si>
    <t>01-1529</t>
  </si>
  <si>
    <t>CHIRINOS, RAFAEL/BONO COMPL15-03-2025/OPER</t>
  </si>
  <si>
    <t>01-1530</t>
  </si>
  <si>
    <t>GALEANO, FRANCISCO/BONO COMPL15-03-2025/OPER</t>
  </si>
  <si>
    <t>01-1531</t>
  </si>
  <si>
    <t>BRACHO, LUIS/BONO COMPL15-03-2025/OPER</t>
  </si>
  <si>
    <t>01-1532</t>
  </si>
  <si>
    <t>DAZA, VICTOR/BONO COMPL15-03-2025/OPER</t>
  </si>
  <si>
    <t>01-1533</t>
  </si>
  <si>
    <t>GUEDEZ JOSE/BONO COMPL15-03-2025/OPER</t>
  </si>
  <si>
    <t>01-1534</t>
  </si>
  <si>
    <t>GARCIA, JASON/BONO COMPL15-03-2025/OPER</t>
  </si>
  <si>
    <t>01-1535</t>
  </si>
  <si>
    <t>GUILLEN, LUIS/BONO COMPL15-03-2025/OPER</t>
  </si>
  <si>
    <t>01-1536</t>
  </si>
  <si>
    <t>GUTIERREZ, PRESCILIANO/BONO COMPL15-03-2025/OPER</t>
  </si>
  <si>
    <t>01-1537</t>
  </si>
  <si>
    <t>GUTIERREZ,RODOLFO/BONO COMPL15-03-2025/ADM</t>
  </si>
  <si>
    <t>01-1538</t>
  </si>
  <si>
    <t>LINAREZ, PEDRO/BONO COMPL15-03-2025/OPER</t>
  </si>
  <si>
    <t>01-1539</t>
  </si>
  <si>
    <t>LINAREZ, SANTIAGO/BONO COMPL15-03-2025/OPER</t>
  </si>
  <si>
    <t>01-1540</t>
  </si>
  <si>
    <t>LOPEZ ,MANOLO/BONO COMPL15-03-2025/ADM</t>
  </si>
  <si>
    <t>01-1541</t>
  </si>
  <si>
    <t>PEREZ, ROLANDO/BONO COMPL15-03-2025/OPER</t>
  </si>
  <si>
    <t>01-1542</t>
  </si>
  <si>
    <t>MARTINEZ JUAN/BONO COMPL15-03-2025/OPER</t>
  </si>
  <si>
    <t>01-1543</t>
  </si>
  <si>
    <t>MANZO, JESMAIYELIT/BONO COMPL15-03-2025/ADM</t>
  </si>
  <si>
    <t>01-1544</t>
  </si>
  <si>
    <t>POLANCO, FRANKLIN/BONO COMPL15-03-2025/OPER</t>
  </si>
  <si>
    <t>01-1545</t>
  </si>
  <si>
    <t>PEREZ, CARLOS/BONO COMPL15-03-2025/OPER</t>
  </si>
  <si>
    <t>01-1546</t>
  </si>
  <si>
    <t>PUERTAS, TEODORO/BONO COMPL15-03-2025/OPER</t>
  </si>
  <si>
    <t>01-1547</t>
  </si>
  <si>
    <t>QUERALES ,EDIXON/BONO COMPL15-03-2025/OPER</t>
  </si>
  <si>
    <t>01-1548</t>
  </si>
  <si>
    <t>QUERALES, HERMES/BONO COMPL15-03-2025/OPER</t>
  </si>
  <si>
    <t>01-1549</t>
  </si>
  <si>
    <t>RANGEL GUSTAVO/BONO COMPL15-03-2025/ADM</t>
  </si>
  <si>
    <t>01-1550</t>
  </si>
  <si>
    <t>REVERON, RAMON/BONO COMPL15-03-2025/OPER</t>
  </si>
  <si>
    <t>01-1551</t>
  </si>
  <si>
    <t>RAGA NELIDO/BONO COMPL15-03-2025/ADM</t>
  </si>
  <si>
    <t>01-1552</t>
  </si>
  <si>
    <t>RIVERO, JORGE/BONO COMPL15-03-2025/OPER</t>
  </si>
  <si>
    <t>01-1553</t>
  </si>
  <si>
    <t>RODRIGUEZ ANSONNY/BONO COMPL15-03-2025/OPER</t>
  </si>
  <si>
    <t>01-1554</t>
  </si>
  <si>
    <t>RODRIGUEZ, MIGUEL/BONO COMPL15-03-2025/OPER</t>
  </si>
  <si>
    <t>01-1555</t>
  </si>
  <si>
    <t>SEGURA ,WAILEN/BONO COMPL15-03-2025/OPER</t>
  </si>
  <si>
    <t>01-1556</t>
  </si>
  <si>
    <t>ROJAS MARIA/BONO COMPL15-03-2025/OPER</t>
  </si>
  <si>
    <t>01-1557</t>
  </si>
  <si>
    <t>SOTELDO, LUSMAR/BONO COMPL15-03-2025/OPER</t>
  </si>
  <si>
    <t>01-1558</t>
  </si>
  <si>
    <t>SUAREZ, RAFAEL/BONO COMPL15-03-2025/OPER</t>
  </si>
  <si>
    <t>01-1559</t>
  </si>
  <si>
    <t>VIELMA CARLEN/BONO COMPL15-03-2025/ADM</t>
  </si>
  <si>
    <t>01-1560</t>
  </si>
  <si>
    <t>VALLE, GERARDO/BONO COMPL15-03-2025/OPER</t>
  </si>
  <si>
    <t>01-1561</t>
  </si>
  <si>
    <t>VETANCOURT, BLIXANDER/BONO COMPL15-03-2025/ADM</t>
  </si>
  <si>
    <t>01-1562</t>
  </si>
  <si>
    <t>ALEJOS, RODOLFO/NOMINA 15-03-2025/OPER</t>
  </si>
  <si>
    <t>01-1563</t>
  </si>
  <si>
    <t>ZERPA, WISTON/BONO COMPL15-03-2025/OPER</t>
  </si>
  <si>
    <t>01-1564</t>
  </si>
  <si>
    <t>ALVARADO, EDDY/NOMINA 15-03-2025/OPER</t>
  </si>
  <si>
    <t>01-1565</t>
  </si>
  <si>
    <t>BASTIDAS, JOSE/NOMINA 15-03-2025/OPER</t>
  </si>
  <si>
    <t>01-1566</t>
  </si>
  <si>
    <t>BRACHO, LUIS/NOMINA 15-03-2025/OPER</t>
  </si>
  <si>
    <t>01-1567</t>
  </si>
  <si>
    <t>CHIRINOS, RAFAEL/NOMINA 15-03-2025/OPER</t>
  </si>
  <si>
    <t>01-1568</t>
  </si>
  <si>
    <t>DAZA, VICTOR/NOMINA 15-03-2025/OPER</t>
  </si>
  <si>
    <t>01-1569</t>
  </si>
  <si>
    <t>GALEANO, FRANCISCO/NOMINA 15-03-2025/OPER</t>
  </si>
  <si>
    <t>01-1570</t>
  </si>
  <si>
    <t>GARCIA, JASON/NOMINA 15-03-2025/OPER</t>
  </si>
  <si>
    <t>01-1571</t>
  </si>
  <si>
    <t>ZERPA, WISTON/NOMINA 15-03-2025/OPER</t>
  </si>
  <si>
    <t>01-1572</t>
  </si>
  <si>
    <t>GUEDEZ JOSE/NOMINA 15-03-2025/OPER</t>
  </si>
  <si>
    <t>01-1573</t>
  </si>
  <si>
    <t>GUILLEN, LUIS/NOMINA 15-03-2025/OPER</t>
  </si>
  <si>
    <t>01-1574</t>
  </si>
  <si>
    <t>GUTIERREZ, PRESCILIANO/NOMINA 15-03-2025/OPER</t>
  </si>
  <si>
    <t>01-1575</t>
  </si>
  <si>
    <t>GUTIERREZ,RODOLFO/NOMINA 15-03-2025/ADM</t>
  </si>
  <si>
    <t>01-1576</t>
  </si>
  <si>
    <t>LINAREZ, PEDRO/NOMINA 15-03-2025/OPER</t>
  </si>
  <si>
    <t>01-1577</t>
  </si>
  <si>
    <t>LINAREZ, SANTIAGO/NOMINA 15-03-2025/OPER</t>
  </si>
  <si>
    <t>01-1578</t>
  </si>
  <si>
    <t>LOPEZ ,MANOLO/NOMINA 15-03-2025/ADM</t>
  </si>
  <si>
    <t>01-1579</t>
  </si>
  <si>
    <t>MANZO, JESMAIYELIT/NOMINA 15-03-2025/ADM</t>
  </si>
  <si>
    <t>01-1580</t>
  </si>
  <si>
    <t>MARTINEZ JUAN/NOMINA 15-03-2025/OPER</t>
  </si>
  <si>
    <t>01-1581</t>
  </si>
  <si>
    <t>PEREZ, ROLANDO/NOMINA 15-03-2025/OPER</t>
  </si>
  <si>
    <t>01-1582</t>
  </si>
  <si>
    <t>PEREZ, CARLOS/NOMINA 15-03-2025/OPER</t>
  </si>
  <si>
    <t>01-1583</t>
  </si>
  <si>
    <t>POLANCO, FRANKLIN/NOMINA 15-03-2025/OPER</t>
  </si>
  <si>
    <t>01-1584</t>
  </si>
  <si>
    <t>PUERTAS, TEODORO/NOMINA 15-03-2025/OPER</t>
  </si>
  <si>
    <t>01-1585</t>
  </si>
  <si>
    <t>QUERALES ,EDIXON/NOMINA 15-03-2025/OPER</t>
  </si>
  <si>
    <t>01-1586</t>
  </si>
  <si>
    <t>QUERALES, HERMES/NOMINA 15-03-2025/OPER</t>
  </si>
  <si>
    <t>01-1587</t>
  </si>
  <si>
    <t>01-1588</t>
  </si>
  <si>
    <t>RANGEL GUSTAVO/NOMINA 15-03-2025/ADM</t>
  </si>
  <si>
    <t>01-1589</t>
  </si>
  <si>
    <t>REVERON, RAMON/NOMINA 15-03-2025/OPER</t>
  </si>
  <si>
    <t>01-1590</t>
  </si>
  <si>
    <t>RIVERO, JORGE/NOMINA 15-03-2025/OPER</t>
  </si>
  <si>
    <t>01-1591</t>
  </si>
  <si>
    <t>RODRIGUEZ ANSONNY/NOMINA 15-03-2025/OPER</t>
  </si>
  <si>
    <t>01-1592</t>
  </si>
  <si>
    <t>RODRIGUEZ, MIGUEL/NOMINA 15-03-2025/OPER</t>
  </si>
  <si>
    <t>01-1593</t>
  </si>
  <si>
    <t>ROJAS MARIA/NOMINA 15-03-2025/OPER</t>
  </si>
  <si>
    <t>01-1594</t>
  </si>
  <si>
    <t>SEGURA ,WAILEN/NOMINA 15-03-2025/OPER</t>
  </si>
  <si>
    <t>01-1595</t>
  </si>
  <si>
    <t>SOTELDO, LUSMAR/NOMINA 15-03-2025/OPER</t>
  </si>
  <si>
    <t>01-1596</t>
  </si>
  <si>
    <t>SUAREZ, RAFAEL/NOMINA 15-03-2025/OPER</t>
  </si>
  <si>
    <t>01-1597</t>
  </si>
  <si>
    <t>VALLE, GERARDO/NOMINA 15-03-2025/OPER</t>
  </si>
  <si>
    <t>01-1598</t>
  </si>
  <si>
    <t>VETANCOURT, BLIXANDER/NOMINA 15-03-2025/ADM</t>
  </si>
  <si>
    <t>01-1599</t>
  </si>
  <si>
    <t>VIELMA CARLEN/NOMINA 15-03-2025/ADM</t>
  </si>
  <si>
    <t>01-1600</t>
  </si>
  <si>
    <t>GIMENEZ,PABLO/NOMINA 15-03-25/OPER</t>
  </si>
  <si>
    <t>01-1601</t>
  </si>
  <si>
    <t>01-1602</t>
  </si>
  <si>
    <t>01-1603</t>
  </si>
  <si>
    <t>01-1604</t>
  </si>
  <si>
    <t>REPUESTOS H.R.N/FACT 1597/Valvula de Freno 4 Vías para Grúa Telescópica de 100 Toneladas</t>
  </si>
  <si>
    <t>01-1605</t>
  </si>
  <si>
    <t>01-1606</t>
  </si>
  <si>
    <t>BALANZA VZLA/FACT 1145/2 Balanza plataforma 200kg- para minerales</t>
  </si>
  <si>
    <t>01-1607</t>
  </si>
  <si>
    <t>01-1608</t>
  </si>
  <si>
    <t xml:space="preserve">ARRIEDY GARRIDO/FACT 21/análisis MUETSRA/YESO </t>
  </si>
  <si>
    <t>01-1609</t>
  </si>
  <si>
    <t>01-1610</t>
  </si>
  <si>
    <t>01-1611</t>
  </si>
  <si>
    <t>01-1612</t>
  </si>
  <si>
    <t>PORTUMANIA/FACT 2355/Sillas para oficina (cementera)</t>
  </si>
  <si>
    <t>01-1613</t>
  </si>
  <si>
    <t>HERNCARD CONSTRUCCIONES/FACT 595/ADECUACIO-ARMADO-SISTEM ESCAP-ELECTROGENO</t>
  </si>
  <si>
    <t>01-1614</t>
  </si>
  <si>
    <t>01-1615</t>
  </si>
  <si>
    <t xml:space="preserve">Corporacion albij shinE/FACT 1728/Requerimientos planta de cemento </t>
  </si>
  <si>
    <t>01-1616</t>
  </si>
  <si>
    <t>Multiservicios el Baquero/FACT 0233/Vulcanizacion  Minerales</t>
  </si>
  <si>
    <t>01-1617</t>
  </si>
  <si>
    <t>01-1618</t>
  </si>
  <si>
    <t>ROBIN IANNELLI./FACT 4973/Valvula check y adaptador macho (Para tanque de suminstro de agua en la bloquera</t>
  </si>
  <si>
    <t>01-1619</t>
  </si>
  <si>
    <t>01-1620</t>
  </si>
  <si>
    <t>01-1621</t>
  </si>
  <si>
    <t>01-1622</t>
  </si>
  <si>
    <t>ACOMULADORA DUNCA/FACT 833/Baterias P/Grúa -Telescópica-100 TN (Cemetera)</t>
  </si>
  <si>
    <t>01-1623</t>
  </si>
  <si>
    <t>ACOMULADORA DUNCA/FACT 832/Baterias P/camiones KAMAZ  P/compresor ingersol rand  (Minerales)</t>
  </si>
  <si>
    <t>01-1624</t>
  </si>
  <si>
    <t>PROCESADA EN MAYO</t>
  </si>
  <si>
    <t>01-1625</t>
  </si>
  <si>
    <t>TRANSPORTE Y COMERCIA/FACT 770/papelera y kit marcadores-Requerimientos para sala de reunion Agregados</t>
  </si>
  <si>
    <t>01-1626</t>
  </si>
  <si>
    <t xml:space="preserve">FLORICOLOR/FACT 1384/Inversion de Minerales Yaracuy Pintura en general de las instalaciones </t>
  </si>
  <si>
    <t>01-1627</t>
  </si>
  <si>
    <t>Jose Castro/fact 000011/Servicio Mensual de Internet Satelital Empresarial-planta cemento</t>
  </si>
  <si>
    <t>01-1628</t>
  </si>
  <si>
    <t xml:space="preserve">TOTAL TOOLS/FACT 2356/compra de 50 disco de corte 4, 20 disco de desbaste 4, 20, disco de corte de 7 para minerales </t>
  </si>
  <si>
    <t>01-1629</t>
  </si>
  <si>
    <t>01-1630</t>
  </si>
  <si>
    <t>SIN FRONTERA RJL/FACT 09/ CONCRETO PREMEZCLADO</t>
  </si>
  <si>
    <t>01-1631</t>
  </si>
  <si>
    <t xml:space="preserve">VENTA CONCRETO PREMEZCLADO RC </t>
  </si>
  <si>
    <t>01-1632</t>
  </si>
  <si>
    <t>SIN FRONTERA RJL/FACT 09 CONCRETO PREMEZCLADO</t>
  </si>
  <si>
    <t>01-1633</t>
  </si>
  <si>
    <t>01-1634</t>
  </si>
  <si>
    <t>01-1635</t>
  </si>
  <si>
    <t>01-1636</t>
  </si>
  <si>
    <t>Brunito Segundo Cordero/Eventual Agregados 17/03 AL 23/03</t>
  </si>
  <si>
    <t>01-1637</t>
  </si>
  <si>
    <t>Delios Adolfo Ferrara/Eventual Agregados 17/03 AL 23/03</t>
  </si>
  <si>
    <t>01-1638</t>
  </si>
  <si>
    <t>Eliomar Jesús Escalona/Eventual Agregados 17/03 AL 23/03</t>
  </si>
  <si>
    <t>01-1639</t>
  </si>
  <si>
    <t>José Guillermo Cortez/Eventual Agregados 17/03 AL 23/03</t>
  </si>
  <si>
    <t>01-1640</t>
  </si>
  <si>
    <t>Darwuin Jesús Bullones/Eventual Agregados 17/03 AL 23/03</t>
  </si>
  <si>
    <t>01-1641</t>
  </si>
  <si>
    <t>Frank Armando García/Eventual Agregados 17/03 AL 23/03</t>
  </si>
  <si>
    <t>01-1642</t>
  </si>
  <si>
    <t>Alberto Luis Rojas/Eventual Agregados 17/03 AL 23/03</t>
  </si>
  <si>
    <t>01-1643</t>
  </si>
  <si>
    <t>Naiker Alexander Jimenez/Eventual Agregados 17/03 AL 23/03</t>
  </si>
  <si>
    <t>01-1644</t>
  </si>
  <si>
    <t>José Gregorio Perez/Eventual Agregados 17/03 AL 23/03</t>
  </si>
  <si>
    <t>01-1645</t>
  </si>
  <si>
    <t>Carlos Daniel Rodriguez/Eventual Agregados 17/03 AL 23/03</t>
  </si>
  <si>
    <t>01-1646</t>
  </si>
  <si>
    <t>Alejandro Morales/Eventual Agregados 17/03 AL 23/03</t>
  </si>
  <si>
    <t>01-1647</t>
  </si>
  <si>
    <t>Euber José Juarez/Eventual Agregados 17/03 AL 23/03</t>
  </si>
  <si>
    <t>01-1648</t>
  </si>
  <si>
    <t>Ali Alberto Bullones/Eventual Agregados 17/03 AL 23/03</t>
  </si>
  <si>
    <t>01-1649</t>
  </si>
  <si>
    <t>Alberto Ali Bullones/Eventual Agregados 17/03 AL 23/03</t>
  </si>
  <si>
    <t>01-1650</t>
  </si>
  <si>
    <t>Fernando José Rodriguez/Eventual Agregados 17/03 AL 23/03</t>
  </si>
  <si>
    <t>01-1651</t>
  </si>
  <si>
    <t>Fareliz Arrieche/Eventual Gobernacion 17/03 AL 23/03</t>
  </si>
  <si>
    <t>01-1652</t>
  </si>
  <si>
    <t>Bruno Ali Cordero Bullones/Eventual Agregados 17/03 AL 23/03</t>
  </si>
  <si>
    <t>01-1653</t>
  </si>
  <si>
    <t>Federico Faneite/Eventual Gobernacion 17/03 AL 23/03</t>
  </si>
  <si>
    <t>01-1654</t>
  </si>
  <si>
    <t>Henrry Valera/Eventual Gobernacion 17/03 AL 23/03</t>
  </si>
  <si>
    <t>01-1655</t>
  </si>
  <si>
    <t>Justiniano Rodriguez/Eventual Agregados 17/03 AL 23/03</t>
  </si>
  <si>
    <t>01-1656</t>
  </si>
  <si>
    <t>Armando Lopez /Eventual Agregados 17/03 AL 23/03</t>
  </si>
  <si>
    <t>01-1657</t>
  </si>
  <si>
    <t>Froilan Lopez/Eventual Agregados 17/03 AL 23/03</t>
  </si>
  <si>
    <t>01-1658</t>
  </si>
  <si>
    <t>Ramón Quintero/Eventual Agregados 17/03 AL 23/03</t>
  </si>
  <si>
    <t>01-1659</t>
  </si>
  <si>
    <t>Juan López/Eventual Agregados 17/03 AL 23/03</t>
  </si>
  <si>
    <t>01-1660</t>
  </si>
  <si>
    <t>Jesus Ramos/Eventual Gobernacion 17/03 AL 23/03</t>
  </si>
  <si>
    <t>01-1661</t>
  </si>
  <si>
    <t>Exson Rodriguez/Eventual Gobernacion 17/03 AL 23/03</t>
  </si>
  <si>
    <t>01-1662</t>
  </si>
  <si>
    <t>Douglas Pimentel/Eventual Gobernacion 17/03 AL 23/03</t>
  </si>
  <si>
    <t>01-1663</t>
  </si>
  <si>
    <t>Pedro Castillo/Eventual Gobernacion 17/03 AL 23/03</t>
  </si>
  <si>
    <t>01-1664</t>
  </si>
  <si>
    <t>Miguel Torres/Eventual Gobernacion 17/03 AL 23/03</t>
  </si>
  <si>
    <t>01-1665</t>
  </si>
  <si>
    <t>Wendy Gimenez/Eventual Gobernacion 17/03 AL 23/03</t>
  </si>
  <si>
    <t>01-1666</t>
  </si>
  <si>
    <t>Nicolas Alvarez/Eventual Gobernacion 17/03 AL 23/03</t>
  </si>
  <si>
    <t>01-1667</t>
  </si>
  <si>
    <t>Rafael Puertas/Eventual Gobernacion 17/03 AL 23/03</t>
  </si>
  <si>
    <t>01-1668</t>
  </si>
  <si>
    <t>Carlos Pacheco/Eventual Gobernacion 17/03 AL 23/03</t>
  </si>
  <si>
    <t>01-1669</t>
  </si>
  <si>
    <t>Andrés Armella/Eventual Gobernacion 17/03 AL 23/03</t>
  </si>
  <si>
    <t>01-1670</t>
  </si>
  <si>
    <t>Jose Toledo/Eventual Gobernacion 17/03 AL 23/03</t>
  </si>
  <si>
    <t>01-1671</t>
  </si>
  <si>
    <t>Juan Pinto/Eventual Gobernacion 17/03 AL 23/03</t>
  </si>
  <si>
    <t>01-1672</t>
  </si>
  <si>
    <t>Edwin Rojas/Eventual Gobernacion 17/03 AL 23/03</t>
  </si>
  <si>
    <t>01-1673</t>
  </si>
  <si>
    <t>Alirio Parra/Eventual Gobernacion 17/03 AL 23/03</t>
  </si>
  <si>
    <t>01-1674</t>
  </si>
  <si>
    <t>Angel Caldera/Eventual Gobernacion 17/03 AL 23/03</t>
  </si>
  <si>
    <t>01-1675</t>
  </si>
  <si>
    <t>Carlos Lopez/Eventual Agregados 17/03 AL 23/03</t>
  </si>
  <si>
    <t>01-1676</t>
  </si>
  <si>
    <t>Rafael Quiroz/Eventual Gobernacion 17/03 AL 23/03</t>
  </si>
  <si>
    <t>01-1677</t>
  </si>
  <si>
    <t>Hector/Eventual Gobernacion 17/03 AL 23/03</t>
  </si>
  <si>
    <t>01-1678</t>
  </si>
  <si>
    <t>Estebez Maramara/Eventual Agregados 17/03 AL 23/03</t>
  </si>
  <si>
    <t>01-1679</t>
  </si>
  <si>
    <t>Luis Silveiro Colon Ojeda/Eventual Agregados 17/03 AL 23/03</t>
  </si>
  <si>
    <t>01-1680</t>
  </si>
  <si>
    <t>Norys Ramos/Eventual Gobernacion 17/03 AL 23/03</t>
  </si>
  <si>
    <t>01-1681</t>
  </si>
  <si>
    <t>Yonny Castillo/Eventual Megatech 17/03 AL 23/03</t>
  </si>
  <si>
    <t>01-1682</t>
  </si>
  <si>
    <t>Walner Oviedo/Eventual Megatech 17/03 AL 23/03</t>
  </si>
  <si>
    <t>01-1683</t>
  </si>
  <si>
    <t>Argenis Flores/Eventual Megatech 17/03 AL 23/03</t>
  </si>
  <si>
    <t>01-1684</t>
  </si>
  <si>
    <t>Francisco Castillo/Eventual Megatech 17/03 AL 23/03</t>
  </si>
  <si>
    <t>01-1685</t>
  </si>
  <si>
    <t>Antonio Castillo/Eventual Megatech 17/03 AL 23/03</t>
  </si>
  <si>
    <t>01-1686</t>
  </si>
  <si>
    <t>Pitter Puerta/Eventual Megatech 17/03 AL 23/03</t>
  </si>
  <si>
    <t>01-1687</t>
  </si>
  <si>
    <t>Jose Guevara/Eventual Megatech 17/03 AL 23/03</t>
  </si>
  <si>
    <t>01-1688</t>
  </si>
  <si>
    <t>Elvis Valles/Eventual Megatech 17/03 AL 23/03</t>
  </si>
  <si>
    <t>01-1689</t>
  </si>
  <si>
    <t>Jose Castillo/Eventual Megatech 17/03 AL 23/03</t>
  </si>
  <si>
    <t>01-1690</t>
  </si>
  <si>
    <t>01-1691</t>
  </si>
  <si>
    <t>Omar Torrealba/Eventual Megatech 17/03 AL 23/03</t>
  </si>
  <si>
    <t>01-1692</t>
  </si>
  <si>
    <t>Julian Guedez/Eventual Megatech 17/03 AL 23/03</t>
  </si>
  <si>
    <t>01-1693</t>
  </si>
  <si>
    <t>Carlos Castillo/Eventual Megatech 17/03 AL 23/03</t>
  </si>
  <si>
    <t>01-1694</t>
  </si>
  <si>
    <t>Yordis Almao/Eventual Megatech 17/03 AL 23/03</t>
  </si>
  <si>
    <t>01-1695</t>
  </si>
  <si>
    <t>Victor Mendez/Eventual Megatech 17/03 AL 23/03</t>
  </si>
  <si>
    <t>01-1696</t>
  </si>
  <si>
    <t>Carlos Loyo/Eventual Megatech 17/03 AL 23/03</t>
  </si>
  <si>
    <t>01-1697</t>
  </si>
  <si>
    <t>Alberto Loyo/Eventual Megatech 17/03 AL 23/03</t>
  </si>
  <si>
    <t>01-1698</t>
  </si>
  <si>
    <t>Alexander Castillo/Eventual Megatech 17/03 AL 23/03</t>
  </si>
  <si>
    <t>01-1699</t>
  </si>
  <si>
    <t>Edwuard Almeida/Eventual Megatech 17/03 AL 23/03</t>
  </si>
  <si>
    <t>01-1700</t>
  </si>
  <si>
    <t>Yerry Rodríguez/Eventual Megatech 17/03 AL 23/03</t>
  </si>
  <si>
    <t>01-1701</t>
  </si>
  <si>
    <t>Alirio Parra/Eventual Megatech 17/03 AL 23/03</t>
  </si>
  <si>
    <t>01-1702</t>
  </si>
  <si>
    <t>Fareliz Arrieche/Eventual Megatech 17/03 AL 23/03</t>
  </si>
  <si>
    <t>01-1703</t>
  </si>
  <si>
    <t>Emperatriz Leon/Eventual Megatech 17/03 AL 23/03</t>
  </si>
  <si>
    <t>01-1704</t>
  </si>
  <si>
    <t>Elio Malpica/Eventual Megatech 17/03 AL 23/03</t>
  </si>
  <si>
    <t>01-1705</t>
  </si>
  <si>
    <t>Norys Ramos/Eventual Megatech 17/03 AL 23/03</t>
  </si>
  <si>
    <t>01-1706</t>
  </si>
  <si>
    <t>Fares Arrieche/Eventual Megatech 17/03 AL 23/03</t>
  </si>
  <si>
    <t>01-1707</t>
  </si>
  <si>
    <t>Ruben Rivas/Eventual Megatech 17/03 AL 23/03</t>
  </si>
  <si>
    <t>01-1708</t>
  </si>
  <si>
    <t>Ingrid Reyes/Eventual Megatech 17/03 AL 23/03</t>
  </si>
  <si>
    <t>01-1709</t>
  </si>
  <si>
    <t>01-1710</t>
  </si>
  <si>
    <t>01-1711</t>
  </si>
  <si>
    <t>Ebenezer El Anca/pago peaje -14 mts de Arena/Granzon para el grupo Ebenezer en un sitio llamado el Anca-Minerales AB- inmediato</t>
  </si>
  <si>
    <t>01-1712</t>
  </si>
  <si>
    <t>11-240325</t>
  </si>
  <si>
    <t>01-1713</t>
  </si>
  <si>
    <t>FERRE LOS CEPEDAS/FACT 3734/Inversion Pintura general para Mineras Yaracuy</t>
  </si>
  <si>
    <t>01-1714</t>
  </si>
  <si>
    <t>01-1715</t>
  </si>
  <si>
    <t xml:space="preserve">HUMBERTO FRANCO/FACT 187/LLENADO TANQUE-AUTOMAT-5MIL LTS </t>
  </si>
  <si>
    <t>01-1716</t>
  </si>
  <si>
    <t>01-1717</t>
  </si>
  <si>
    <t>ALIMENTOS AGRO/FACT25536/BENEFICIO CORRES MES MAZO</t>
  </si>
  <si>
    <t>01-1718</t>
  </si>
  <si>
    <t>SERVC012E</t>
  </si>
  <si>
    <t>BENEFICIO ALIMENTICIO</t>
  </si>
  <si>
    <t xml:space="preserve"> MATER/FACT 13/VENTA ARENA CERNIDA</t>
  </si>
  <si>
    <t>01-1719</t>
  </si>
  <si>
    <t>VENTA ARENA CERNIDA</t>
  </si>
  <si>
    <t>01-1720</t>
  </si>
  <si>
    <t>01-1721</t>
  </si>
  <si>
    <t>01-1722</t>
  </si>
  <si>
    <t>MATER/FACT 14/VENTA ARENA CERNIDA</t>
  </si>
  <si>
    <t>01-1723</t>
  </si>
  <si>
    <t>01-1724</t>
  </si>
  <si>
    <t>COMERCIAL GLOBAL IMP/FACT 29/repuestos de alternador de la cernidora de arena</t>
  </si>
  <si>
    <t>01-1725</t>
  </si>
  <si>
    <t>01-1726</t>
  </si>
  <si>
    <t>MATER/FACT 15/VENTA ARENA CERNIDA</t>
  </si>
  <si>
    <t>01-1727</t>
  </si>
  <si>
    <t>01-1728</t>
  </si>
  <si>
    <t>MATERIALES PARRAS/FACT 741/Llaves/estrias MTTO/trompos premezclado (Minerales)</t>
  </si>
  <si>
    <t>01-1729</t>
  </si>
  <si>
    <t>01-1730</t>
  </si>
  <si>
    <t>DISTRIBUIDORA DIAR/FACT659/aceites/hidráulico P/tractor/calizas Shantui-motor/Camión Kamaz/reparación</t>
  </si>
  <si>
    <t>01-1731</t>
  </si>
  <si>
    <t>01-1732</t>
  </si>
  <si>
    <t>DIAR/FACT 648/relay-Para el excavador del yeso</t>
  </si>
  <si>
    <t>01-1733</t>
  </si>
  <si>
    <t>01-1734</t>
  </si>
  <si>
    <t xml:space="preserve">INTERELECTRONIC/FACT 373/Inver/instalac grales/Minerales Yaracuy </t>
  </si>
  <si>
    <t>01-1735</t>
  </si>
  <si>
    <t>01-1736</t>
  </si>
  <si>
    <t>FERREBOMBA 38/FACT 1682/Bomba centrifuga P/ tanque BAÑOS (minerales)</t>
  </si>
  <si>
    <t>01-1737</t>
  </si>
  <si>
    <t>01-1738</t>
  </si>
  <si>
    <t>DIOSANNY/FACT 220/ALBERTO PERNALETTE/FACT 09/ correspondientes a la semana del 24/03 al 28/03/25 campaña de yesos Camunare</t>
  </si>
  <si>
    <t>01-1739</t>
  </si>
  <si>
    <t>01-1740</t>
  </si>
  <si>
    <t>01-1741</t>
  </si>
  <si>
    <t>ROLANDO BAQUERO/FACT 0234/REP CAUCHO TROMPO MACK</t>
  </si>
  <si>
    <t>01-1742</t>
  </si>
  <si>
    <t>GASTOS MANTENIMIENTO CAMIONES/MANO DE O</t>
  </si>
  <si>
    <t>01-1743</t>
  </si>
  <si>
    <t>MATERIALES E INSUMOS VZLA/FACT 16/</t>
  </si>
  <si>
    <t>01-1744</t>
  </si>
  <si>
    <t>01-1745</t>
  </si>
  <si>
    <t>COMERCIALIZDORA/INVERSION DE CAPITAL/TESORO</t>
  </si>
  <si>
    <t>01-1746</t>
  </si>
  <si>
    <t>Electrica 2003/FACT 3461/Inv HERRAM P/USO GERAL MINERALES YARACUY</t>
  </si>
  <si>
    <t>01-1747</t>
  </si>
  <si>
    <t>01-1748</t>
  </si>
  <si>
    <t>01-1749</t>
  </si>
  <si>
    <t>RESGUARDO/FACT 187/SERV VIG 2DA QNA MARZO</t>
  </si>
  <si>
    <t>01-1750</t>
  </si>
  <si>
    <t>01-1751</t>
  </si>
  <si>
    <t>RANGEL GUSTAVO/BONO ADICIONAL 31-03-2025/ADM</t>
  </si>
  <si>
    <t>01-1752</t>
  </si>
  <si>
    <t>RODRIGUEZ, MIGUEL/BONO ADICIONAL 31-03-2025/OPER</t>
  </si>
  <si>
    <t>01-1753</t>
  </si>
  <si>
    <t>VIELMA CARLEN/BONO ADICIONAL 31-03-2025/ADM</t>
  </si>
  <si>
    <t>01-1754</t>
  </si>
  <si>
    <t>RANGEL GUSTAVO/CESTA TICKET MARZO/ADM</t>
  </si>
  <si>
    <t>01-1755</t>
  </si>
  <si>
    <t>REVERON, RAMON/CESTA TICKET MARZO/OPER</t>
  </si>
  <si>
    <t>01-1756</t>
  </si>
  <si>
    <t>PEREZ, ROLANDO/CESTA TICKET MARZO/OPER</t>
  </si>
  <si>
    <t>01-1757</t>
  </si>
  <si>
    <t>ZERPA, WISTON/CESTA TICKET MARZO/OPER</t>
  </si>
  <si>
    <t>01-1758</t>
  </si>
  <si>
    <t>PUERTAS, TEODORO/CESTA TICKET MARZO/OPER</t>
  </si>
  <si>
    <t>01-1759</t>
  </si>
  <si>
    <t>GUILLEN, LUIS/CESTA TICKET MARZO/OPER</t>
  </si>
  <si>
    <t>01-1760</t>
  </si>
  <si>
    <t>LOPEZ ,MANOLO/CESTA TICKET MARZO/ADM</t>
  </si>
  <si>
    <t>01-1761</t>
  </si>
  <si>
    <t>SEGURA ,WAILEN/CESTA TICKET MARZO/OPER</t>
  </si>
  <si>
    <t>01-1762</t>
  </si>
  <si>
    <t>MARTINEZ JUAN/CESTA TICKET MARZO/OPER</t>
  </si>
  <si>
    <t>01-1763</t>
  </si>
  <si>
    <t>GARCIA, JASON/CESTA TICKET MARZO/OPER</t>
  </si>
  <si>
    <t>01-1764</t>
  </si>
  <si>
    <t>PEREZ, CARLOS/CESTA TICKET MARZO/OPER</t>
  </si>
  <si>
    <t>01-1765</t>
  </si>
  <si>
    <t>ALVARADO, EDDY/CESTA TICKET MARZO/OPER</t>
  </si>
  <si>
    <t>01-1766</t>
  </si>
  <si>
    <t>LINAREZ, PEDRO/CESTA TICKET MARZO/OPER</t>
  </si>
  <si>
    <t>01-1767</t>
  </si>
  <si>
    <t>GUTIERREZ, PRESCILIANO/CESTA TICKET MARZO/OPER</t>
  </si>
  <si>
    <t>01-1768</t>
  </si>
  <si>
    <t>VIELMA CARLEN/CESTA TICKET MARZO/ADM</t>
  </si>
  <si>
    <t>01-1769</t>
  </si>
  <si>
    <t>NOGUERA, OSCAR/BONO ADICIONAL 31-03-2025/OPER</t>
  </si>
  <si>
    <t>01-1770</t>
  </si>
  <si>
    <t>GUEDEZ JOSE/CESTA TICKET MARZO/OPER</t>
  </si>
  <si>
    <t>01-1771</t>
  </si>
  <si>
    <t>MANZO, JESMAIYELIT/CESTA TICKET MARZO/ADM</t>
  </si>
  <si>
    <t>01-1772</t>
  </si>
  <si>
    <t>RAGA NELIDO/CESTA TICKET MARZO/ADM</t>
  </si>
  <si>
    <t>01-1773</t>
  </si>
  <si>
    <t>SUAREZ, RAFAEL/CESTA TICKET MARZO/OPER</t>
  </si>
  <si>
    <t>01-1774</t>
  </si>
  <si>
    <t>RIVERO, JORGE/CESTA TICKET MARZO/OPER</t>
  </si>
  <si>
    <t>01-1775</t>
  </si>
  <si>
    <t>VETANCOURT, BLIXANDER/CESTA TICKET MARZO/ADM</t>
  </si>
  <si>
    <t>01-1776</t>
  </si>
  <si>
    <t>RODRIGUEZ, MIGUEL/CESTA TICKET MARZO/OPER</t>
  </si>
  <si>
    <t>01-1777</t>
  </si>
  <si>
    <t>RODRIGUEZ ANSONNY/CESTA TICKET MARZO/OPER</t>
  </si>
  <si>
    <t>01-1778</t>
  </si>
  <si>
    <t>SOTELDO, LUSMAR/CESTA TICKET MARZO/OPER</t>
  </si>
  <si>
    <t>01-1779</t>
  </si>
  <si>
    <t>POLANCO, FRANKLIN/CESTA TICKET MARZO/OPER</t>
  </si>
  <si>
    <t>01-1780</t>
  </si>
  <si>
    <t>ROJAS MARIA/CESTA TICKET MARZO/OPER</t>
  </si>
  <si>
    <t>01-1781</t>
  </si>
  <si>
    <t>QUERALES ,EDIXON/CESTA TICKET MARZO/OPER</t>
  </si>
  <si>
    <t>01-1782</t>
  </si>
  <si>
    <t>QUERALES, HERMES/CESTA TICKET MARZO/OPER</t>
  </si>
  <si>
    <t>01-1783</t>
  </si>
  <si>
    <t>VALLE, GERARDO/CESTA TICKET MARZO/OPER</t>
  </si>
  <si>
    <t>01-1784</t>
  </si>
  <si>
    <t>LINAREZ, SANTIAGO/CESTA TICKET MARZO/OPER</t>
  </si>
  <si>
    <t>01-1785</t>
  </si>
  <si>
    <t>CHIRINOS, RAFAEL/CESTA TICKET MARZO/OPER</t>
  </si>
  <si>
    <t>01-1786</t>
  </si>
  <si>
    <t>ALEJOS, RODOLFO/NOMINA 31-03-2025/OPER</t>
  </si>
  <si>
    <t>01-1787</t>
  </si>
  <si>
    <t>GALEANO, FRANCISCO/CESTA TICKET MARZO/OPER</t>
  </si>
  <si>
    <t>01-1788</t>
  </si>
  <si>
    <t>ALEJOS, RODOLFO/CESTA TICKET MARZO/OPER</t>
  </si>
  <si>
    <t>01-1789</t>
  </si>
  <si>
    <t>ALVARADO, EDDY/NOMINA 31-03-2025/OPER</t>
  </si>
  <si>
    <t>01-1790</t>
  </si>
  <si>
    <t>CHIRINOS, RAFAEL/NOMINA 31-03-2025/OPER</t>
  </si>
  <si>
    <t>01-1791</t>
  </si>
  <si>
    <t>DAZA, VICTOR/NOMINA 31-03-2025/OPER</t>
  </si>
  <si>
    <t>01-1792</t>
  </si>
  <si>
    <t>GALEANO, FRANCISCO/NOMINA 31-03-2025/OPER</t>
  </si>
  <si>
    <t>01-1793</t>
  </si>
  <si>
    <t>GARCIA, JASON/NOMINA 31-03-2025/OPER</t>
  </si>
  <si>
    <t>01-1794</t>
  </si>
  <si>
    <t>GUEDEZ JOSE/NOMINA 31-03-2025/OPER</t>
  </si>
  <si>
    <t>01-1795</t>
  </si>
  <si>
    <t>01-1796</t>
  </si>
  <si>
    <t>GUTIERREZ, PRESCILIANO/NOMINA 31-03-2025/OPER</t>
  </si>
  <si>
    <t>01-1797</t>
  </si>
  <si>
    <t>LINAREZ, PEDRO/NOMINA 31-03-2025/OPER</t>
  </si>
  <si>
    <t>01-1798</t>
  </si>
  <si>
    <t>LINAREZ, SANTIAGO/NOMINA 31-03-2025/OPER</t>
  </si>
  <si>
    <t>01-1799</t>
  </si>
  <si>
    <t>LOPEZ ,MANOLO/NOMINA 31-03-2025/ADM</t>
  </si>
  <si>
    <t>01-1800</t>
  </si>
  <si>
    <t>MANZO, JESMAIYELIT/NOMINA 31-03-2025/ADM</t>
  </si>
  <si>
    <t>01-1801</t>
  </si>
  <si>
    <t>MARTINEZ JUAN/NOMINA 31-03-2025/OPER</t>
  </si>
  <si>
    <t>01-1802</t>
  </si>
  <si>
    <t>NOGUERA, OSCAR/NOMINA 31-03-2025/OPER</t>
  </si>
  <si>
    <t>01-1803</t>
  </si>
  <si>
    <t>PEREZ, CARLOS/NOMINA 31-03-2025/OPER</t>
  </si>
  <si>
    <t>01-1804</t>
  </si>
  <si>
    <t>PEREZ, ROLANDO/NOMINA 31-03-2025/OPER</t>
  </si>
  <si>
    <t>01-1805</t>
  </si>
  <si>
    <t>POLANCO, FRANKLIN/NOMINA 31-03-2025/OPER</t>
  </si>
  <si>
    <t>01-1806</t>
  </si>
  <si>
    <t>PUERTAS, TEODORO/NOMINA 31-03-2025/OPER</t>
  </si>
  <si>
    <t>01-1807</t>
  </si>
  <si>
    <t>QUERALES ,EDIXON/NOMINA 31-03-2025/OPER</t>
  </si>
  <si>
    <t>01-1808</t>
  </si>
  <si>
    <t>QUERALES, HERMES/NOMINA 31-03-2025/OPER</t>
  </si>
  <si>
    <t>01-1809</t>
  </si>
  <si>
    <t>RAGA NELIDO/NOMINA 31-03-2025/ADM</t>
  </si>
  <si>
    <t>01-1810</t>
  </si>
  <si>
    <t>RANGEL GUSTAVO/NOMINA 31-03-2025/ADM</t>
  </si>
  <si>
    <t>01-1811</t>
  </si>
  <si>
    <t>REVERON, RAMON/NOMINA 31-03-2025/OPER</t>
  </si>
  <si>
    <t>01-1812</t>
  </si>
  <si>
    <t>RIVERO, JORGE/NOMINA 31-03-2025/OPER</t>
  </si>
  <si>
    <t>01-1813</t>
  </si>
  <si>
    <t>RODRIGUEZ ANSONNY/NOMINA 31-03-2025/OPER</t>
  </si>
  <si>
    <t>01-1814</t>
  </si>
  <si>
    <t>RODRIGUEZ, MIGUEL/NOMINA 31-03-2025/OPER</t>
  </si>
  <si>
    <t>01-1815</t>
  </si>
  <si>
    <t>ROJAS MARIA/NOMINA 31-03-2025/OPER</t>
  </si>
  <si>
    <t>01-1816</t>
  </si>
  <si>
    <t>SEGURA ,WAILEN/NOMINA 31-03-2025/OPER</t>
  </si>
  <si>
    <t>01-1817</t>
  </si>
  <si>
    <t>SOTELDO, LUSMAR/NOMINA 31-03-2025/OPER</t>
  </si>
  <si>
    <t>01-1818</t>
  </si>
  <si>
    <t>SUAREZ, RAFAEL/NOMINA 31-03-2025/OPER</t>
  </si>
  <si>
    <t>01-1819</t>
  </si>
  <si>
    <t>01-1820</t>
  </si>
  <si>
    <t>VETANCOURT, BLIXANDER/NOMINA 31-03-2025/ADM</t>
  </si>
  <si>
    <t>01-1821</t>
  </si>
  <si>
    <t>ALEJOS, RODOLFO/BONO COMPLE 31-03-2025/OPER</t>
  </si>
  <si>
    <t>01-1822</t>
  </si>
  <si>
    <t>VIELMA CARLEN/NOMINA 31-03-2025/ADM</t>
  </si>
  <si>
    <t>01-1823</t>
  </si>
  <si>
    <t>ZERPA, WISTON/NOMINA 31-03-2025/OPER</t>
  </si>
  <si>
    <t>01-1824</t>
  </si>
  <si>
    <t>ALVARADO, EDDY/BONO COMPLE 31-03-2025/OPER</t>
  </si>
  <si>
    <t>01-1825</t>
  </si>
  <si>
    <t>CHIRINOS, RAFAEL/BONO COMPLE 31-03-2025/OPER</t>
  </si>
  <si>
    <t>01-1826</t>
  </si>
  <si>
    <t>DAZA, VICTOR/BONO COMPLE 31-03-2025/OPER</t>
  </si>
  <si>
    <t>01-1827</t>
  </si>
  <si>
    <t>GALEANO, FRANCISCO/BONO COMPLE 31-03-2025/OPER</t>
  </si>
  <si>
    <t>01-1828</t>
  </si>
  <si>
    <t>GARCIA, JASON/BONO COMPLE 31-03-2025/OPER</t>
  </si>
  <si>
    <t>01-1829</t>
  </si>
  <si>
    <t>GUEDEZ JOSE/BONO COMPLE 31-03-2025/OPER</t>
  </si>
  <si>
    <t>01-1830</t>
  </si>
  <si>
    <t>GUILLEN, LUIS/BONO COMPLE 31-03-2025/OPER</t>
  </si>
  <si>
    <t>01-1831</t>
  </si>
  <si>
    <t>GUTIERREZ, PRESCILIANO/BONO COMPLE 31-03-2025/OPER</t>
  </si>
  <si>
    <t>01-1832</t>
  </si>
  <si>
    <t>LINAREZ, PEDRO/BONO COMPLE 31-03-2025/OPER</t>
  </si>
  <si>
    <t>01-1833</t>
  </si>
  <si>
    <t>LINAREZ, SANTIAGO/BONO COMPLE 31-03-2025/OPER</t>
  </si>
  <si>
    <t>01-1834</t>
  </si>
  <si>
    <t>LOPEZ ,MANOLO/BONO COMPLE 31-03-2025/ADM</t>
  </si>
  <si>
    <t>01-1835</t>
  </si>
  <si>
    <t>MARTINEZ JUAN/BONO COMPLE 31-03-2025/OPER</t>
  </si>
  <si>
    <t>01-1836</t>
  </si>
  <si>
    <t>NOGUERA, OSCAR/BONO COMPLE 31-03-2025/OPER</t>
  </si>
  <si>
    <t>01-1837</t>
  </si>
  <si>
    <t>PEREZ, CARLOS/BONO COMPLE 31-03-2025/OPER</t>
  </si>
  <si>
    <t>01-1838</t>
  </si>
  <si>
    <t>MANZO, JESMAIYELIT/BONO COMPLE 31-03-2025/ADM</t>
  </si>
  <si>
    <t>01-1839</t>
  </si>
  <si>
    <t>PEREZ, ROLANDO/BONO COMPLE 31-03-2025/OPER</t>
  </si>
  <si>
    <t>01-1840</t>
  </si>
  <si>
    <t>POLANCO, FRANKLIN/BONO COMPLE 31-03-2025/OPER</t>
  </si>
  <si>
    <t>01-1841</t>
  </si>
  <si>
    <t>PUERTAS, TEODORO/BONO COMPLE 31-03-2025/OPER</t>
  </si>
  <si>
    <t>01-1842</t>
  </si>
  <si>
    <t>QUERALES ,EDIXON/BONO COMPLE 31-03-2025/OPER</t>
  </si>
  <si>
    <t>01-1843</t>
  </si>
  <si>
    <t>ROJAS MARIA/BONO COMPLE 31-03-2025/OPER</t>
  </si>
  <si>
    <t>01-1844</t>
  </si>
  <si>
    <t>QUERALES, HERMES/BONO COMPLE 31-03-2025/OPER</t>
  </si>
  <si>
    <t>01-1845</t>
  </si>
  <si>
    <t>RAGA NELIDO/BONO COMPLE 31-03-2025/ADM</t>
  </si>
  <si>
    <t>01-1846</t>
  </si>
  <si>
    <t>RANGEL GUSTAVO/BONO COMPLE 31-03-2025/ADM</t>
  </si>
  <si>
    <t>01-1847</t>
  </si>
  <si>
    <t>REVERON, RAMON/BONO COMPLE 31-03-2025/OPER</t>
  </si>
  <si>
    <t>01-1848</t>
  </si>
  <si>
    <t>RIVERO, JORGE/BONO COMPLE 31-03-2025/OPER</t>
  </si>
  <si>
    <t>01-1849</t>
  </si>
  <si>
    <t>RODRIGUEZ ANSONNY/BONO COMPLE 31-03-2025/OPER</t>
  </si>
  <si>
    <t>01-1850</t>
  </si>
  <si>
    <t>RODRIGUEZ, MIGUEL/BONO COMPLE 31-03-2025/OPER</t>
  </si>
  <si>
    <t>01-1851</t>
  </si>
  <si>
    <t>SEGURA ,WAILEN/BONO COMPLE 31-03-2025/OPER</t>
  </si>
  <si>
    <t>01-1852</t>
  </si>
  <si>
    <t>SOTELDO, LUSMAR/BONO COMPLE 31-03-2025/OPER</t>
  </si>
  <si>
    <t>01-1853</t>
  </si>
  <si>
    <t>SUAREZ, RAFAEL/BONO COMPLE 31-03-2025/OPER</t>
  </si>
  <si>
    <t>01-1854</t>
  </si>
  <si>
    <t>VALLE, GERARDO/BONO COMPLE 31-03-2025/OPER</t>
  </si>
  <si>
    <t>01-1855</t>
  </si>
  <si>
    <t>VETANCOURT, BLIXANDER/BONO COMPLE 31-03-2025/ADM</t>
  </si>
  <si>
    <t>01-1856</t>
  </si>
  <si>
    <t>REVERON, RAMON/BONO SUBSIDIO 31-03-2025/OPER</t>
  </si>
  <si>
    <t>01-1857</t>
  </si>
  <si>
    <t>VIELMA CARLEN/BONO COMPLE 31-03-2025/ADM</t>
  </si>
  <si>
    <t>01-1858</t>
  </si>
  <si>
    <t>ZERPA, WISTON/BONO COMPLE 31-03-2025/OPER</t>
  </si>
  <si>
    <t>01-1859</t>
  </si>
  <si>
    <t>PUERTAS, TEODORO/BONO SUBSIDIO 31-03-2025/OPER</t>
  </si>
  <si>
    <t>01-1860</t>
  </si>
  <si>
    <t>RANGEL GUSTAVO/BONO SUBSIDIO 31-03-2025/ADM</t>
  </si>
  <si>
    <t>01-1861</t>
  </si>
  <si>
    <t>GUILLEN, LUIS/BONO SUBSIDIO 31-03-2025/OPER</t>
  </si>
  <si>
    <t>01-1862</t>
  </si>
  <si>
    <t>MARTINEZ JUAN/BONO SUBSIDIO 31-03-2025/OPER</t>
  </si>
  <si>
    <t>01-1863</t>
  </si>
  <si>
    <t>ZERPA, WISTON/BONO SUBSIDIO 31-03-2025/OPER</t>
  </si>
  <si>
    <t>01-1864</t>
  </si>
  <si>
    <t>SEGURA ,WAILEN/BONO SUBSIDIO 31-03-2025/OPER</t>
  </si>
  <si>
    <t>01-1865</t>
  </si>
  <si>
    <t>GARCIA, JASON/BONO SUBSIDIO 31-03-2025/OPER</t>
  </si>
  <si>
    <t>01-1866</t>
  </si>
  <si>
    <t>PEREZ, CARLOS/BONO SUBSIDIO 31-03-2025/OPER</t>
  </si>
  <si>
    <t>01-1867</t>
  </si>
  <si>
    <t>LINAREZ, PEDRO/BONO SUBSIDIO 31-03-2025/OPER</t>
  </si>
  <si>
    <t>01-1868</t>
  </si>
  <si>
    <t>VIELMA CARLEN/BONO SUBSIDIO 31-03-2025/ADM</t>
  </si>
  <si>
    <t>01-1869</t>
  </si>
  <si>
    <t>MANZO, JESMAIYELIT/BONO SUBSIDIO 31-03-2025/ADM</t>
  </si>
  <si>
    <t>01-1870</t>
  </si>
  <si>
    <t>GUTIERREZ, PRESCILIANO/BONO SUBSIDIO 31-03-2025/OPER</t>
  </si>
  <si>
    <t>01-1871</t>
  </si>
  <si>
    <t>RAGA NELIDO/BONO SUBSIDIO 31-03-2025/ADM</t>
  </si>
  <si>
    <t>01-1872</t>
  </si>
  <si>
    <t>SUAREZ, RAFAEL/BONO SUBSIDIO 31-03-2025/OPER</t>
  </si>
  <si>
    <t>01-1873</t>
  </si>
  <si>
    <t>RODRIGUEZ, MIGUEL/BONO SUBSIDIO 31-03-2025/OPER</t>
  </si>
  <si>
    <t>01-1874</t>
  </si>
  <si>
    <t>RIVERO, JORGE/BONO SUBSIDIO 31-03-2025/OPER</t>
  </si>
  <si>
    <t>01-1875</t>
  </si>
  <si>
    <t>VETANCOURT, BLIXANDER/BONO SUBSIDIO 31-03-2025/ADM</t>
  </si>
  <si>
    <t>01-1876</t>
  </si>
  <si>
    <t>VALLE, GERARDO/BONO SUBSIDIO 31-03-2025/OPER</t>
  </si>
  <si>
    <t>01-1877</t>
  </si>
  <si>
    <t>LINAREZ, SANTIAGO/BONO SUBSIDIO 31-03-2025/OPER</t>
  </si>
  <si>
    <t>01-1878</t>
  </si>
  <si>
    <t>CHIRINOS, RAFAEL/BONO SUBSIDIO 31-03-2025/OPER</t>
  </si>
  <si>
    <t>01-1879</t>
  </si>
  <si>
    <t>GALEANO, FRANCISCO/BONO SUBSIDIO 31-03-2025/OPER</t>
  </si>
  <si>
    <t>01-1880</t>
  </si>
  <si>
    <t>ALEJOS, RODOLFO/BONO SUBSIDIO 31-03-2025/OPER</t>
  </si>
  <si>
    <t>01-1881</t>
  </si>
  <si>
    <t>JOSE ARRIETA/BONIFICACION ESPECIAL GOBERNACION MES DE MARZO</t>
  </si>
  <si>
    <t>01-1882</t>
  </si>
  <si>
    <t>DAZA, VICTOR/BONO SUBSIDIO 31-03-2025/OPER</t>
  </si>
  <si>
    <t>01-1883</t>
  </si>
  <si>
    <t>CARLOS RODRIGUEZ/BONIFICACION ESPECIAL GOBERNACION MES DE MARZO</t>
  </si>
  <si>
    <t>01-1884</t>
  </si>
  <si>
    <t>ARMANDO VILLEGA/BONIFICACION ESPECIAL GOBERNACION MES DE MARZO</t>
  </si>
  <si>
    <t>01-1885</t>
  </si>
  <si>
    <t>NOGUERA, OSCAR/CESTAT TICKET MARZO</t>
  </si>
  <si>
    <t>01-1886</t>
  </si>
  <si>
    <t>DAZA, VICTOR/CESTA TICKET MARZO/OPER</t>
  </si>
  <si>
    <t>01-1887</t>
  </si>
  <si>
    <t>BASTIDA, JOSE/CESTA TICKET MARZO/OPER</t>
  </si>
  <si>
    <t>01-1888</t>
  </si>
  <si>
    <t>BRACHO LUIS/CESTA TICKET MARZO/OPER</t>
  </si>
  <si>
    <t>01-1889</t>
  </si>
  <si>
    <t>GIMENEZ, PABLO/NOMINA BONO COMB BONO SUBSIDIO CESTA TICKET MARZO-31-03-2025/OPER</t>
  </si>
  <si>
    <t>01-1890</t>
  </si>
  <si>
    <t>01-1891</t>
  </si>
  <si>
    <t>01-1892</t>
  </si>
  <si>
    <t>01-1893</t>
  </si>
  <si>
    <t xml:space="preserve"> EDUAR MARTINEZ/FACT 17/ARENA CERNIDA</t>
  </si>
  <si>
    <t>01-1894</t>
  </si>
  <si>
    <t>01-1895</t>
  </si>
  <si>
    <t>01-1896</t>
  </si>
  <si>
    <t>01-1897</t>
  </si>
  <si>
    <t>01-1898</t>
  </si>
  <si>
    <t>Federico Faneite/Eventual Gobernacion 24/03 al 30/03</t>
  </si>
  <si>
    <t>01-1899</t>
  </si>
  <si>
    <t>OLGA OROZCO/PAGO RESIDENCIA OPERADOR</t>
  </si>
  <si>
    <t>01-1900</t>
  </si>
  <si>
    <t>45-280325</t>
  </si>
  <si>
    <t>Henrry Valera/Eventual Gobernacion 24/03 al 30/03</t>
  </si>
  <si>
    <t>01-1901</t>
  </si>
  <si>
    <t>Hector/Eventual Gobernacion 24/03 al 30/03</t>
  </si>
  <si>
    <t>01-1902</t>
  </si>
  <si>
    <t>ALBERTO PERNALETTE/FACT 009/VIATICOS MES DE MARZO</t>
  </si>
  <si>
    <t>01-1903</t>
  </si>
  <si>
    <t xml:space="preserve">FREDDY MENDOZA/CAMPAÑA YESO SEMANA  24-03 al 28-03-25  </t>
  </si>
  <si>
    <t>01-1904</t>
  </si>
  <si>
    <t>ELIA MENDOZA/CAMPAÑA YESO 24-03 AL 28-03</t>
  </si>
  <si>
    <t>01-1905</t>
  </si>
  <si>
    <t>LEONARDO CHIRINO/OPERADOR CAMPAÑA YESO 24-03 AL 28-03</t>
  </si>
  <si>
    <t>01-1906</t>
  </si>
  <si>
    <t>JEFFERSON DAVILA/OPERADOR CAMPAÑA YESO 24-03 AL 28-03</t>
  </si>
  <si>
    <t>01-1907</t>
  </si>
  <si>
    <t>ROBERT ARIAS/OPERADOR CAMPAÑA YESO 24-03 AL 28-03</t>
  </si>
  <si>
    <t>01-1908</t>
  </si>
  <si>
    <t>DIOSANNY ALVAREZ/FACT 219/CONSUMO/COMIDA 24/03 AL 28/03</t>
  </si>
  <si>
    <t>01-1909</t>
  </si>
  <si>
    <t>RAMON QUIROGAS/OPERADOR CAMPAÑA YESO 24-03 AL 28-03</t>
  </si>
  <si>
    <t>01-1910</t>
  </si>
  <si>
    <t>Construcciones e inversiones 24/FACT 07/INST TECHO-CANALES GALPON GENERADORES</t>
  </si>
  <si>
    <t>01-1911</t>
  </si>
  <si>
    <t>VZLANO PESAJE VEINPECA/FACT 13017/SERV METROLOGICO AJUSTE CERO-TOLVA</t>
  </si>
  <si>
    <t>01-1912</t>
  </si>
  <si>
    <t>Edwuard Almeida/Eventual Megatech 24/03 al 30/03</t>
  </si>
  <si>
    <t>01-1913</t>
  </si>
  <si>
    <t>Julian Castillo -5 dias/CAMPAÑA DE YESO 24/03 AL 28/03</t>
  </si>
  <si>
    <t>01-1914</t>
  </si>
  <si>
    <t>BEATRIZ CASTILLO/OPERADOR CAMPAÑA YESO 24-03 AL 28-03</t>
  </si>
  <si>
    <t>01-1915</t>
  </si>
  <si>
    <t>01-1916</t>
  </si>
  <si>
    <t>01-1917</t>
  </si>
  <si>
    <t>Brunito Segundo Cordero/Eventual Agregados 24/03 al 30/03</t>
  </si>
  <si>
    <t>01-1918</t>
  </si>
  <si>
    <t>Delios Adolfo Ferrara/Eventual Agregados 24/03 al 30/03</t>
  </si>
  <si>
    <t>01-1919</t>
  </si>
  <si>
    <t>Eliomar Jesús Escalona/Eventual Agregados 24/03 al 30/03</t>
  </si>
  <si>
    <t>01-1920</t>
  </si>
  <si>
    <t>José Guillermo Cortez/Eventual Agregados 24/03 al 30/03</t>
  </si>
  <si>
    <t>01-1921</t>
  </si>
  <si>
    <t>Darwuin Jesús Bullones/Eventual Agregados 24/03 al 30/03</t>
  </si>
  <si>
    <t>01-1922</t>
  </si>
  <si>
    <t>Frank Armando García/Eventual Agregados 24/03 al 30/03</t>
  </si>
  <si>
    <t>01-1923</t>
  </si>
  <si>
    <t>Alberto Luis Rojas/Eventual Agregados 24/03 al 30/03</t>
  </si>
  <si>
    <t>01-1924</t>
  </si>
  <si>
    <t>Naiker Alexander Jimenez/Eventual Agregados 24/03 al 30/03</t>
  </si>
  <si>
    <t>01-1925</t>
  </si>
  <si>
    <t>José Gregorio Perez/Eventual Agregados 24/03 al 30/03</t>
  </si>
  <si>
    <t>01-1926</t>
  </si>
  <si>
    <t>Carlos Daniel Rodriguez/Eventual Agregados 24/03 al 30/03</t>
  </si>
  <si>
    <t>01-1927</t>
  </si>
  <si>
    <t>Alejandro Morales/Eventual Agregados 24/03 al 30/03</t>
  </si>
  <si>
    <t>01-1928</t>
  </si>
  <si>
    <t>Euber José Juarez/Eventual Agregados 24/03 al 30/03</t>
  </si>
  <si>
    <t>01-1929</t>
  </si>
  <si>
    <t>Ali Alberto Bullones/Eventual Agregados 24/03 al 30/03</t>
  </si>
  <si>
    <t>01-1930</t>
  </si>
  <si>
    <t>Alberto Ali Bullones/Eventual Agregados 24/03 al 30/03</t>
  </si>
  <si>
    <t>01-1931</t>
  </si>
  <si>
    <t>Fernando José Rodriguez/Eventual Agregados 24/03 al 30/03</t>
  </si>
  <si>
    <t>01-1932</t>
  </si>
  <si>
    <t>Bruno Ali Cordero Bullones/Eventual Agregados 24/03 al 30/03</t>
  </si>
  <si>
    <t>01-1933</t>
  </si>
  <si>
    <t>Justiniano Rodriguez/Eventual Agregados 24/03 al 30/03</t>
  </si>
  <si>
    <t>01-1934</t>
  </si>
  <si>
    <t>Fareliz Arrieche/Eventual Gobernacion 24/03 al 30/03</t>
  </si>
  <si>
    <t>01-1935</t>
  </si>
  <si>
    <t>Armando Lopez /Eventual Agregados 24/03 al 30/03</t>
  </si>
  <si>
    <t>01-1936</t>
  </si>
  <si>
    <t>Froilan Lopez/Eventual Agregados 24/03 al 30/03</t>
  </si>
  <si>
    <t>01-1937</t>
  </si>
  <si>
    <t>Alirio Parra/Eventual Gobernacion 24/03 al 30/03</t>
  </si>
  <si>
    <t>01-1938</t>
  </si>
  <si>
    <t>Ramón Quintero/Eventual Agregados 24/03 al 30/03</t>
  </si>
  <si>
    <t>01-1939</t>
  </si>
  <si>
    <t>Juan López/Eventual Agregados 24/03 al 30/03</t>
  </si>
  <si>
    <t>01-1940</t>
  </si>
  <si>
    <t>Luis Silveiro Colon Ojeda/Eventual Agregados 24/03 al 30/03</t>
  </si>
  <si>
    <t>01-1941</t>
  </si>
  <si>
    <t>Exson Rodriguez/Eventual Gobernacion 24/03 al 30/03</t>
  </si>
  <si>
    <t>01-1942</t>
  </si>
  <si>
    <t>Douglas Pimentel/Eventual Gobernacion 24/03 al 30/03</t>
  </si>
  <si>
    <t>01-1943</t>
  </si>
  <si>
    <t>Miguel Torres/Eventual Gobernacion 24/03 al 30/03</t>
  </si>
  <si>
    <t>01-1944</t>
  </si>
  <si>
    <t>Jesus Ramos/Eventual Gobernacion 24/03 al 30/03</t>
  </si>
  <si>
    <t>01-1945</t>
  </si>
  <si>
    <t>Wendy Gimenez/Eventual Gobernacion 24/03 al 30/03</t>
  </si>
  <si>
    <t>01-1946</t>
  </si>
  <si>
    <t>Yonny Castillo/Eventual Megatech 24/03 al 30/03</t>
  </si>
  <si>
    <t>01-1947</t>
  </si>
  <si>
    <t>Nicolas Alvarez/Eventual Gobernacion 24/03 al 30/03</t>
  </si>
  <si>
    <t>01-1948</t>
  </si>
  <si>
    <t>Rafael Puertas/Eventual Gobernacion 24/03 al 30/03</t>
  </si>
  <si>
    <t>01-1949</t>
  </si>
  <si>
    <t>Carlos Pacheco/Eventual Gobernacion 24/03 al 30/03</t>
  </si>
  <si>
    <t>01-1950</t>
  </si>
  <si>
    <t>Carlos Lopez/Eventual Agregados 24/03 al 30/03</t>
  </si>
  <si>
    <t>01-1951</t>
  </si>
  <si>
    <t>Andrés Armella/Eventual Gobernacion 24/03 al 30/03</t>
  </si>
  <si>
    <t>01-1952</t>
  </si>
  <si>
    <t>Alirio Parra/Eventual Megatech 24/03 al 30/03</t>
  </si>
  <si>
    <t>01-1953</t>
  </si>
  <si>
    <t>Jose Toledo/Eventual Gobernacion 24/03 al 30/03</t>
  </si>
  <si>
    <t>01-1954</t>
  </si>
  <si>
    <t>Angel Caldera/Eventual Gobernacion 24/03 al 30/03</t>
  </si>
  <si>
    <t>01-1955</t>
  </si>
  <si>
    <t>Juan Pinto/Eventual Gobernacion 24/03 al 30/03</t>
  </si>
  <si>
    <t>01-1956</t>
  </si>
  <si>
    <t>Edwin Rojas/Eventual Gobernacion 24/03 al 30/03</t>
  </si>
  <si>
    <t>01-1957</t>
  </si>
  <si>
    <t>Estebez Maramara/Eventual Agregados 24/03 al 30/03</t>
  </si>
  <si>
    <t>01-1958</t>
  </si>
  <si>
    <t>Fares Arrieche/Eventual Megatech 24/03 al 30/03</t>
  </si>
  <si>
    <t>01-1959</t>
  </si>
  <si>
    <t>Norys Ramos/Eventual Gobernacion 24/03 al 30/03</t>
  </si>
  <si>
    <t>01-1960</t>
  </si>
  <si>
    <t>Rafael Quiroz/Eventual Gobernacion 24/03 al 30/03</t>
  </si>
  <si>
    <t>01-1961</t>
  </si>
  <si>
    <t>Norys Ramos/Eventual Megatech 24/03 al 30/03</t>
  </si>
  <si>
    <t>01-1962</t>
  </si>
  <si>
    <t>Argenis Flores/Eventual Megatech 24/03 al 30/03</t>
  </si>
  <si>
    <t>01-1963</t>
  </si>
  <si>
    <t>Pitter Puerta/Eventual Megatech 24/03 al 30/03</t>
  </si>
  <si>
    <t>01-1964</t>
  </si>
  <si>
    <t>Walner Oviedo/Eventual Megatech 24/03 al 30/03</t>
  </si>
  <si>
    <t>01-1965</t>
  </si>
  <si>
    <t>Francisco Castillo/Eventual Megatech 24/03 al 30/03</t>
  </si>
  <si>
    <t>01-1966</t>
  </si>
  <si>
    <t>Antonio Castillo/Eventual Megatech 24/03 al 30/03</t>
  </si>
  <si>
    <t>01-1967</t>
  </si>
  <si>
    <t>Jose Guevara/Eventual Megatech 24/03 al 30/03</t>
  </si>
  <si>
    <t>01-1968</t>
  </si>
  <si>
    <t>Jose Castillo/Eventual Megatech 24/03 al 30/03</t>
  </si>
  <si>
    <t>01-1969</t>
  </si>
  <si>
    <t>Elvis Valles/Eventual Megatech 24/03 al 30/03</t>
  </si>
  <si>
    <t>01-1970</t>
  </si>
  <si>
    <t>01-1971</t>
  </si>
  <si>
    <t>Omar Torrealba/Eventual Megatech 24/03 al 30/03</t>
  </si>
  <si>
    <t>01-1972</t>
  </si>
  <si>
    <t>Carlos Castillo/Eventual Megatech 24/03 al 30/03</t>
  </si>
  <si>
    <t>01-1973</t>
  </si>
  <si>
    <t>Julian Guedez/Eventual Megatech 24/03 al 30/03</t>
  </si>
  <si>
    <t>01-1974</t>
  </si>
  <si>
    <t>Yordis Almao/Eventual Megatech 24/03 al 30/03</t>
  </si>
  <si>
    <t>01-1975</t>
  </si>
  <si>
    <t>Victor Mendez/Eventual Megatech 24/03 al 30/03</t>
  </si>
  <si>
    <t>01-1976</t>
  </si>
  <si>
    <t>Carlos Loyo/Eventual Megatech 24/03 al 30/03</t>
  </si>
  <si>
    <t>01-1977</t>
  </si>
  <si>
    <t>Alberto Loyo/Eventual Megatech 24/03 al 30/03</t>
  </si>
  <si>
    <t>01-1978</t>
  </si>
  <si>
    <t>Alexander Castillo/Eventual Megatech 24/03 al 30/03</t>
  </si>
  <si>
    <t>01-1979</t>
  </si>
  <si>
    <t>PEDRO CASTILLO/EVENTUAL GOBERNACION 24/03 AL 30/03</t>
  </si>
  <si>
    <t>01-1980</t>
  </si>
  <si>
    <t>MULTISERVICIOS ARW/FACT 2099/MANTENIMIENTO VEHICULO GERENTE</t>
  </si>
  <si>
    <t>01-1981</t>
  </si>
  <si>
    <t>Yerry Rodríguez/Eventual Megatech 24/03 al 30/03</t>
  </si>
  <si>
    <t>01-1982</t>
  </si>
  <si>
    <t>Elio Malpica/Eventual Megatech 24/03 al 30/03</t>
  </si>
  <si>
    <t>01-1983</t>
  </si>
  <si>
    <t>Ruben Rivas/Eventual Megatech 24/03 al 30/03</t>
  </si>
  <si>
    <t>01-1984</t>
  </si>
  <si>
    <t>Fareliz Arrieche/Eventual Megatech 24/03 al 30/03</t>
  </si>
  <si>
    <t>01-1985</t>
  </si>
  <si>
    <t>LINO FLOREZ/CAMPAÑA YESO 24-03 AL 28-03</t>
  </si>
  <si>
    <t>01-1986</t>
  </si>
  <si>
    <t>01-1987</t>
  </si>
  <si>
    <t>12-280325</t>
  </si>
  <si>
    <t xml:space="preserve">AURELIANO LEON/CAMPAÑA YESO 24-03 al 28-03-25  </t>
  </si>
  <si>
    <t>01-1988</t>
  </si>
  <si>
    <t>Emperatriz Leon/Eventual Megatech 24/03 al 30/03</t>
  </si>
  <si>
    <t>01-1989</t>
  </si>
  <si>
    <t>Ingrid Reyes/Eventual Megatech 24/03 al 30/03</t>
  </si>
  <si>
    <t>01-1990</t>
  </si>
  <si>
    <t>01-1991</t>
  </si>
  <si>
    <t>01-1992</t>
  </si>
  <si>
    <t xml:space="preserve">VZLANO PESAJE VEINPECA/FACT 13017/ERROR PAGO DOBLE </t>
  </si>
  <si>
    <t>01-1993</t>
  </si>
  <si>
    <t>PAGO ERRADO</t>
  </si>
  <si>
    <t>01-1994</t>
  </si>
  <si>
    <t>01-1995</t>
  </si>
  <si>
    <t>Repuet y Servi C Parra/Fact 2281/Stock D/REPUEST CAMIONES-MINERALES YARACUY</t>
  </si>
  <si>
    <t>01-1996</t>
  </si>
  <si>
    <t>SERVA018</t>
  </si>
  <si>
    <t>GASTOS REPRESENTACION</t>
  </si>
  <si>
    <t>01-1997</t>
  </si>
  <si>
    <t>Electrica 2003/FACT 3463/USO MINERALES YARACUY</t>
  </si>
  <si>
    <t>01-1998</t>
  </si>
  <si>
    <t>01-1999</t>
  </si>
  <si>
    <t>01-2000</t>
  </si>
  <si>
    <t>Castro Corporation/FACT 535/Accesss Point-Minerales</t>
  </si>
  <si>
    <t>01-2001</t>
  </si>
  <si>
    <t>01-2002</t>
  </si>
  <si>
    <t>01-2003</t>
  </si>
  <si>
    <t>EL RELAMPAGO/FACT 1002/COMPRESOR YESO CAMUNARE</t>
  </si>
  <si>
    <t>01-2004</t>
  </si>
  <si>
    <t>RODA MANGUERA/FACT 1553/COMPRESOR YESO CAMUNARE</t>
  </si>
  <si>
    <t>01-2005</t>
  </si>
  <si>
    <t>Ferretería EPA/ADELANT FACT/ESCRITORIOS OFI ADMI</t>
  </si>
  <si>
    <t>01-2006</t>
  </si>
  <si>
    <t>01-2007</t>
  </si>
  <si>
    <t>01-2008</t>
  </si>
  <si>
    <t>EDUAR MARTINEZ/FACT 18/VENTA ARENA CERNIDA</t>
  </si>
  <si>
    <t>01-2009</t>
  </si>
  <si>
    <t>01-2010</t>
  </si>
  <si>
    <t>CARLOS PERNALETTE/FACT 09/VIATICOS 10/03 AL 14/03 DIF</t>
  </si>
  <si>
    <t>01-2011</t>
  </si>
  <si>
    <t>01-2012</t>
  </si>
  <si>
    <t>01-2013</t>
  </si>
  <si>
    <t>01-2014</t>
  </si>
  <si>
    <t>0120200000484</t>
  </si>
  <si>
    <t>01-2015</t>
  </si>
  <si>
    <t>0828606987644</t>
  </si>
  <si>
    <t xml:space="preserve">BANAVIH/PERIODO FEBRERO  2025         </t>
  </si>
  <si>
    <t>01-2016</t>
  </si>
  <si>
    <t>03-050325</t>
  </si>
  <si>
    <t>0100706989705</t>
  </si>
  <si>
    <t xml:space="preserve">IVSS/PERIODO FEBRERO                   </t>
  </si>
  <si>
    <t>01-2017</t>
  </si>
  <si>
    <t>0329265679179</t>
  </si>
  <si>
    <t>01-2018</t>
  </si>
  <si>
    <t>YAMILA COLMENAREZ/FACT 182/COMPRESOR MARCA INGERSON RAND MODELO 1999 SERIA L 306395UKJ221-minerales</t>
  </si>
  <si>
    <t>01-2019</t>
  </si>
  <si>
    <t>YAMILA/FACT 183/COMPRESOR RAND 99E-PLANTA</t>
  </si>
  <si>
    <t>01-2020</t>
  </si>
  <si>
    <t>VICTOR BARRIO/FACT 446/REVIS-EVALU-TECNICA 3CARGADORES FRONTA-MINERALES</t>
  </si>
  <si>
    <t>01-2021</t>
  </si>
  <si>
    <t>01-2022</t>
  </si>
  <si>
    <t>01-2023</t>
  </si>
  <si>
    <t>01-2024</t>
  </si>
  <si>
    <t>LISO/FACT 596/ALQUILER/MARTILLO-otopercutor neumatico-EXPLOT YESO</t>
  </si>
  <si>
    <t>01-2025</t>
  </si>
  <si>
    <t>01-2026</t>
  </si>
  <si>
    <t>01-2027</t>
  </si>
  <si>
    <t>01-2028</t>
  </si>
  <si>
    <t>01-2029</t>
  </si>
  <si>
    <t>01-2030</t>
  </si>
  <si>
    <t>01-2031</t>
  </si>
  <si>
    <t>01-2032</t>
  </si>
  <si>
    <t>0329265917918</t>
  </si>
  <si>
    <t>01-2033</t>
  </si>
  <si>
    <t>0329265925051</t>
  </si>
  <si>
    <t>01-2034</t>
  </si>
  <si>
    <t>0329200000013</t>
  </si>
  <si>
    <t>DIOSANNY ALVAREZ/FACT 201/ALMUERZOS 10/03 AL 14/03</t>
  </si>
  <si>
    <t>01-2035</t>
  </si>
  <si>
    <t>0329200000016</t>
  </si>
  <si>
    <t>DISTR DIAR/FACT 650/Valvulina P/Trans Grúa Teles de 100 TN</t>
  </si>
  <si>
    <t>01-2036</t>
  </si>
  <si>
    <t>Norys Ramos/Eventual Megatech 10/03 AL 16/03</t>
  </si>
  <si>
    <t>01-2037</t>
  </si>
  <si>
    <t>Argenis Flores/Eventual Megatech 10/03 AL 16/03</t>
  </si>
  <si>
    <t>01-2038</t>
  </si>
  <si>
    <t>0329200000008</t>
  </si>
  <si>
    <t>LINO FLOREZ/CAMPAÑA DE YESO 10/03 AL 14/03</t>
  </si>
  <si>
    <t>01-2039</t>
  </si>
  <si>
    <t>0329200000012</t>
  </si>
  <si>
    <t>Edwuard Almeida/Eventual Megatech 10/03 AL 16/03</t>
  </si>
  <si>
    <t>01-2040</t>
  </si>
  <si>
    <t>0329200000007</t>
  </si>
  <si>
    <t>ELIA MENDOZA/CAMPAÑA DE YESO 10/03 AL 14/03</t>
  </si>
  <si>
    <t>01-2041</t>
  </si>
  <si>
    <t>0329200000010</t>
  </si>
  <si>
    <t>Yerry Rodríguez/Eventual Megatech 10/03 AL 16/03</t>
  </si>
  <si>
    <t>01-2042</t>
  </si>
  <si>
    <t>0329200000014</t>
  </si>
  <si>
    <t>DIOSANNY ALVAREZ/FACT 202/(2.720,20BS) EL RESTO VA SER ABONAD A UNA NVA FACTU</t>
  </si>
  <si>
    <t>01-2043</t>
  </si>
  <si>
    <t>HUMBERTO FRANCO/FACT 189/ADECUA/SISTEMA ELECTRICO PARA A-A Y VENTILACION DE LABORATORIO</t>
  </si>
  <si>
    <t>01-2044</t>
  </si>
  <si>
    <t>Exson Rodriguez/Eventual Gobernacion 10/03 AL 16/03</t>
  </si>
  <si>
    <t>01-2045</t>
  </si>
  <si>
    <t>0329200000011</t>
  </si>
  <si>
    <t>Elio Malpica/Eventual Megatech 10/03 AL 16/03</t>
  </si>
  <si>
    <t>01-2046</t>
  </si>
  <si>
    <t>01-2047</t>
  </si>
  <si>
    <t>FREDDY MENDOZA/CAMPAÑA YESO 10/03 AL 14/03</t>
  </si>
  <si>
    <t>01-2048</t>
  </si>
  <si>
    <t>0329200000015</t>
  </si>
  <si>
    <t>DIAR/FACT 649/Aceite Retroexcavadora y Trompo Mezclador</t>
  </si>
  <si>
    <t>01-2049</t>
  </si>
  <si>
    <t>0329200000009</t>
  </si>
  <si>
    <t>Ruben Rivas/Eventual Megatech 10/03 AL 16/03</t>
  </si>
  <si>
    <t>01-2050</t>
  </si>
  <si>
    <t>0676200000015</t>
  </si>
  <si>
    <t>01-2051</t>
  </si>
  <si>
    <t>01-2052</t>
  </si>
  <si>
    <t>0676200000009</t>
  </si>
  <si>
    <t>01-2053</t>
  </si>
  <si>
    <t>0676200000012</t>
  </si>
  <si>
    <t>01-2054</t>
  </si>
  <si>
    <t>0676200000013</t>
  </si>
  <si>
    <t>01-2055</t>
  </si>
  <si>
    <t>01-2056</t>
  </si>
  <si>
    <t>0676200000008</t>
  </si>
  <si>
    <t>01-2057</t>
  </si>
  <si>
    <t>0676200000010</t>
  </si>
  <si>
    <t>01-2058</t>
  </si>
  <si>
    <t>0676200000007</t>
  </si>
  <si>
    <t>01-2059</t>
  </si>
  <si>
    <t>01-2060</t>
  </si>
  <si>
    <t>01-2061</t>
  </si>
  <si>
    <t>0676200000014</t>
  </si>
  <si>
    <t>01-2062</t>
  </si>
  <si>
    <t>01-2063</t>
  </si>
  <si>
    <t>01-2064</t>
  </si>
  <si>
    <t>0676200000011</t>
  </si>
  <si>
    <t>01-2065</t>
  </si>
  <si>
    <t>0676200000016</t>
  </si>
  <si>
    <t>01-2066</t>
  </si>
  <si>
    <t>0329267505113</t>
  </si>
  <si>
    <t>01-2067</t>
  </si>
  <si>
    <t>MATERIALES PARRAS/FACT 718/Cadena INDUSTRIAL MINIERAL(Para activación de la otra línea de bloquera)</t>
  </si>
  <si>
    <t>01-2068</t>
  </si>
  <si>
    <t>DURANGO/FACT 285/PLETINAS COBRES</t>
  </si>
  <si>
    <t>01-2069</t>
  </si>
  <si>
    <t>01-2070</t>
  </si>
  <si>
    <t>PROCESADA EN MARZO-EL RESTO FUE PAGADO EN FEBRERO BCO VZLA</t>
  </si>
  <si>
    <t>01-2071</t>
  </si>
  <si>
    <t>MATERIALES SANTA LUCIA/FACT 5035/PLANTA DE CEMENTO</t>
  </si>
  <si>
    <t>01-2072</t>
  </si>
  <si>
    <t>01-2073</t>
  </si>
  <si>
    <t>CASTRO CORPORATION/FACT 531/Ups para minerales</t>
  </si>
  <si>
    <t>01-2074</t>
  </si>
  <si>
    <t>01-2075</t>
  </si>
  <si>
    <t>01-2076</t>
  </si>
  <si>
    <t>01-2077</t>
  </si>
  <si>
    <t>01-2078</t>
  </si>
  <si>
    <t>01-2079</t>
  </si>
  <si>
    <t>01-2080</t>
  </si>
  <si>
    <t>01-2081</t>
  </si>
  <si>
    <t>0329267526220</t>
  </si>
  <si>
    <t>01-2082</t>
  </si>
  <si>
    <t>0329200000073</t>
  </si>
  <si>
    <t>Nicolas Alvarez/Eventual Gobernacion 10/03 AL 16/03</t>
  </si>
  <si>
    <t>01-2083</t>
  </si>
  <si>
    <t>Brunito Segundo Cordero/Eventual Agregados 10/03 AL 16/03</t>
  </si>
  <si>
    <t>01-2084</t>
  </si>
  <si>
    <t>Delios Adolfo Ferrara/Eventual Agregados 10/03 AL 16/03</t>
  </si>
  <si>
    <t>01-2085</t>
  </si>
  <si>
    <t>Eliomar Jesús Escalona/Eventual Agregados 10/03 AL 16/03</t>
  </si>
  <si>
    <t>01-2086</t>
  </si>
  <si>
    <t>José Guillermo Cortez/Eventual Agregados 10/03 AL 16/03</t>
  </si>
  <si>
    <t>01-2087</t>
  </si>
  <si>
    <t>0329200000029</t>
  </si>
  <si>
    <t>Douglas Pimentel/Eventual Gobernacion 10/03 AL 16/03</t>
  </si>
  <si>
    <t>01-2088</t>
  </si>
  <si>
    <t>0329200000021</t>
  </si>
  <si>
    <t>Federico Faneite/Eventual Gobernacion 10/03 AL 16/03</t>
  </si>
  <si>
    <t>01-2089</t>
  </si>
  <si>
    <t>0329200000022</t>
  </si>
  <si>
    <t>Justiniano Rodriguez/Eventual Agregados 10/03 AL 16/03</t>
  </si>
  <si>
    <t>01-2090</t>
  </si>
  <si>
    <t>0329200000031</t>
  </si>
  <si>
    <t>Rafael Puertas/Eventual Gobernacion 10/03 AL 16/03</t>
  </si>
  <si>
    <t>01-2091</t>
  </si>
  <si>
    <t>0329200000043</t>
  </si>
  <si>
    <t>Armando Lopez /Eventual Agregados 10/03 AL 16/03</t>
  </si>
  <si>
    <t>01-2092</t>
  </si>
  <si>
    <t>0329200000070</t>
  </si>
  <si>
    <t>Fareliz Arrieche/Eventual Megatech 10/03 AL 16/03</t>
  </si>
  <si>
    <t>01-2093</t>
  </si>
  <si>
    <t>0329200000072</t>
  </si>
  <si>
    <t>Hector/Eventual Gobernacion 10/03 AL 16/03</t>
  </si>
  <si>
    <t>01-2094</t>
  </si>
  <si>
    <t>Darwuin Jesús Bullones/Eventual Agregados 10/03 AL 16/03</t>
  </si>
  <si>
    <t>01-2095</t>
  </si>
  <si>
    <t>Frank Armando García/Eventual Agregados 10/03 AL 16/03</t>
  </si>
  <si>
    <t>01-2096</t>
  </si>
  <si>
    <t>Alberto Luis Rojas/Eventual Agregados 10/03 AL 16/03</t>
  </si>
  <si>
    <t>01-2097</t>
  </si>
  <si>
    <t>Naiker Alexander Jimenez/Eventual Agregados 10/03 AL 16/03</t>
  </si>
  <si>
    <t>01-2098</t>
  </si>
  <si>
    <t>José Gregorio Perez/Eventual Agregados 10/03 AL 16/03</t>
  </si>
  <si>
    <t>01-2099</t>
  </si>
  <si>
    <t>0329200000024</t>
  </si>
  <si>
    <t>Froilan Lopez/Eventual Agregados 10/03 AL 16/03</t>
  </si>
  <si>
    <t>01-2100</t>
  </si>
  <si>
    <t>0329200000025</t>
  </si>
  <si>
    <t>Jesus Ramos/Eventual Gobernacion 10/03 AL 16/03</t>
  </si>
  <si>
    <t>01-2101</t>
  </si>
  <si>
    <t>0329200000027</t>
  </si>
  <si>
    <t>Pedro Castillo/Eventual Gobernacion 10/03 AL 16/03</t>
  </si>
  <si>
    <t>01-2102</t>
  </si>
  <si>
    <t>0329200000033</t>
  </si>
  <si>
    <t>Carlos Pacheco/Eventual Gobernacion 10/03 AL 16/03</t>
  </si>
  <si>
    <t>01-2103</t>
  </si>
  <si>
    <t>0329200000035</t>
  </si>
  <si>
    <t>Andrés Armella/Eventual Gobernacion 10/03 AL 16/03</t>
  </si>
  <si>
    <t>01-2104</t>
  </si>
  <si>
    <t>0329200000040</t>
  </si>
  <si>
    <t>Fareliz Arrieche/Eventual Gobernacion 10/03 AL 16/03</t>
  </si>
  <si>
    <t>01-2105</t>
  </si>
  <si>
    <t>0329200000058</t>
  </si>
  <si>
    <t>Miguel Torres/Eventual Gobernacion 10/03 AL 16/03</t>
  </si>
  <si>
    <t>01-2106</t>
  </si>
  <si>
    <t>0329200000062</t>
  </si>
  <si>
    <t>Wendy Gimenez/Eventual Gobernacion 10/03 AL 16/03</t>
  </si>
  <si>
    <t>01-2107</t>
  </si>
  <si>
    <t>0329200000032</t>
  </si>
  <si>
    <t>Jose Toledo/Eventual Gobernacion 10/03 AL 16/03</t>
  </si>
  <si>
    <t>01-2108</t>
  </si>
  <si>
    <t>0329200000042</t>
  </si>
  <si>
    <t>Rafael Quiroz/Eventual Gobernacion 10/03 AL 16/03</t>
  </si>
  <si>
    <t>01-2109</t>
  </si>
  <si>
    <t>0329200000045</t>
  </si>
  <si>
    <t>Norys Ramos/Eventual Gobernacion 10/03 AL 16/03</t>
  </si>
  <si>
    <t>01-2110</t>
  </si>
  <si>
    <t>0329200000055</t>
  </si>
  <si>
    <t>Yonny Castillo/Eventual Megatech 10/03 AL 16/03</t>
  </si>
  <si>
    <t>01-2111</t>
  </si>
  <si>
    <t>0329200000064</t>
  </si>
  <si>
    <t>LISANDRO MILLA/OPERADOR 10/03 AL 14/03</t>
  </si>
  <si>
    <t>01-2112</t>
  </si>
  <si>
    <t>0329200000065</t>
  </si>
  <si>
    <t>JEFFERSON DAVILA/OPERADOR 10/03 AL 14/03</t>
  </si>
  <si>
    <t>01-2113</t>
  </si>
  <si>
    <t>0329200000018</t>
  </si>
  <si>
    <t>Henrry Valera/Eventual Gobernacion 10/03 AL 16/03</t>
  </si>
  <si>
    <t>01-2114</t>
  </si>
  <si>
    <t>0329200000023</t>
  </si>
  <si>
    <t>Ramón Quintero/Eventual Agregados 10/03 AL 16/03</t>
  </si>
  <si>
    <t>01-2115</t>
  </si>
  <si>
    <t>0329200000026</t>
  </si>
  <si>
    <t>Francisco Castillo/Eventual Megatech 10/03 AL 16/03</t>
  </si>
  <si>
    <t>01-2116</t>
  </si>
  <si>
    <t>0329200000039</t>
  </si>
  <si>
    <t>Alirio Parra/Eventual Gobernacion 10/03 AL 16/03</t>
  </si>
  <si>
    <t>01-2117</t>
  </si>
  <si>
    <t>0329200000057</t>
  </si>
  <si>
    <t>Antonio Castillo/Eventual Megatech 10/03 AL 16/03</t>
  </si>
  <si>
    <t>01-2118</t>
  </si>
  <si>
    <t>0329200000060</t>
  </si>
  <si>
    <t>Jose Castillo/Eventual Megatech 10/03 AL 16/03</t>
  </si>
  <si>
    <t>01-2119</t>
  </si>
  <si>
    <t>Carlos Daniel Rodriguez/Eventual Agregados 10/03 AL 16/03</t>
  </si>
  <si>
    <t>01-2120</t>
  </si>
  <si>
    <t>0329200000017</t>
  </si>
  <si>
    <t>Carlos Lopez/Eventual Agregados 10/03 AL 16/03</t>
  </si>
  <si>
    <t>01-2121</t>
  </si>
  <si>
    <t>0329200000028</t>
  </si>
  <si>
    <t>Elvis Valles/Eventual Megatech 10/03 AL 16/03</t>
  </si>
  <si>
    <t>01-2122</t>
  </si>
  <si>
    <t>0329200000030</t>
  </si>
  <si>
    <t>01-2123</t>
  </si>
  <si>
    <t>0329200000034</t>
  </si>
  <si>
    <t>Juan Pinto/Eventual Gobernacion 10/03 AL 16/03</t>
  </si>
  <si>
    <t>01-2124</t>
  </si>
  <si>
    <t>0329200000046</t>
  </si>
  <si>
    <t>Pitter Puerta/Eventual Megatech 10/03 AL 16/03</t>
  </si>
  <si>
    <t>01-2125</t>
  </si>
  <si>
    <t>0329200000054</t>
  </si>
  <si>
    <t>Omar Torrealba/Eventual Megatech 10/03 AL 16/03</t>
  </si>
  <si>
    <t>01-2126</t>
  </si>
  <si>
    <t>Alejandro Morales/Eventual Agregados 10/03 AL 16/03</t>
  </si>
  <si>
    <t>01-2127</t>
  </si>
  <si>
    <t>0329200000019</t>
  </si>
  <si>
    <t>Juan López/Eventual Agregados 10/03 AL 16/03</t>
  </si>
  <si>
    <t>01-2128</t>
  </si>
  <si>
    <t>0329200000037</t>
  </si>
  <si>
    <t>Edwin Rojas/Eventual Gobernacion 10/03 AL 16/03</t>
  </si>
  <si>
    <t>01-2129</t>
  </si>
  <si>
    <t>0329200000038</t>
  </si>
  <si>
    <t>Angel Caldera/Eventual Gobernacion 10/03 AL 16/03</t>
  </si>
  <si>
    <t>01-2130</t>
  </si>
  <si>
    <t>0329200000047</t>
  </si>
  <si>
    <t>Walner Oviedo/Eventual Megatech 10/03 AL 16/03</t>
  </si>
  <si>
    <t>01-2131</t>
  </si>
  <si>
    <t>0329200000056</t>
  </si>
  <si>
    <t>Carlos Castillo/Eventual Megatech 10/03 AL 16/03</t>
  </si>
  <si>
    <t>01-2132</t>
  </si>
  <si>
    <t>0329200000059</t>
  </si>
  <si>
    <t>Julian Guedez/Eventual Megatech 10/03 AL 16/03</t>
  </si>
  <si>
    <t>01-2133</t>
  </si>
  <si>
    <t>0329200000066</t>
  </si>
  <si>
    <t>BEATRIZ CASTILLO/OPERADOR 10/03 AL 14/03</t>
  </si>
  <si>
    <t>01-2134</t>
  </si>
  <si>
    <t>0329200000063</t>
  </si>
  <si>
    <t>Yordis Almao/Eventual Megatech 10/03 AL 16/03</t>
  </si>
  <si>
    <t>01-2135</t>
  </si>
  <si>
    <t>0329200000069</t>
  </si>
  <si>
    <t>Estebez Maramara/Eventual Agregados 10/03 AL 16/03</t>
  </si>
  <si>
    <t>01-2136</t>
  </si>
  <si>
    <t>0329200000071</t>
  </si>
  <si>
    <t>01-2137</t>
  </si>
  <si>
    <t>12-140325</t>
  </si>
  <si>
    <t>Euber José Juarez/Eventual Agregados 10/03 AL 16/03</t>
  </si>
  <si>
    <t>01-2138</t>
  </si>
  <si>
    <t>Ali Alberto Bullones/Eventual Agregados 10/03 AL 16/03</t>
  </si>
  <si>
    <t>01-2139</t>
  </si>
  <si>
    <t>0329200000020</t>
  </si>
  <si>
    <t>Luis Silveiro Colon Ojeda/Eventual Agregados 10/03 AL 16/03</t>
  </si>
  <si>
    <t>01-2140</t>
  </si>
  <si>
    <t>0329200000036</t>
  </si>
  <si>
    <t>Emperatriz Leon/Eventual Megatech 10/03 AL 16/03</t>
  </si>
  <si>
    <t>01-2141</t>
  </si>
  <si>
    <t>0329200000044</t>
  </si>
  <si>
    <t>Alirio Parra/Eventual Megatech 10/03 AL 16/03</t>
  </si>
  <si>
    <t>01-2142</t>
  </si>
  <si>
    <t>0329200000050</t>
  </si>
  <si>
    <t>Victor Mendez/Eventual Megatech 10/03 AL 16/03</t>
  </si>
  <si>
    <t>01-2143</t>
  </si>
  <si>
    <t>0329200000052</t>
  </si>
  <si>
    <t>Jose Guevara/Eventual Megatech 10/03 AL 16/03</t>
  </si>
  <si>
    <t>01-2144</t>
  </si>
  <si>
    <t>0329200000061</t>
  </si>
  <si>
    <t>Carlos Loyo/Eventual Megatech 10/03 AL 16/03</t>
  </si>
  <si>
    <t>01-2145</t>
  </si>
  <si>
    <t>Alberto Ali Bullones/Eventual Agregados 10/03 AL 16/03</t>
  </si>
  <si>
    <t>01-2146</t>
  </si>
  <si>
    <t>Fernando José Rodriguez/Eventual Agregados 10/03 AL 16/03</t>
  </si>
  <si>
    <t>01-2147</t>
  </si>
  <si>
    <t>Bruno Ali Cordero Bullones/Eventual Agregados 10/03 AL 16/03</t>
  </si>
  <si>
    <t>01-2148</t>
  </si>
  <si>
    <t>0329200000041</t>
  </si>
  <si>
    <t>Fares Arrieche/Eventual Megatech 10/03 AL 16/03</t>
  </si>
  <si>
    <t>01-2149</t>
  </si>
  <si>
    <t>0329200000048</t>
  </si>
  <si>
    <t>AURELIANO LEO/CAMPAÑA DE YESO 10/03 AL 14/03</t>
  </si>
  <si>
    <t>01-2150</t>
  </si>
  <si>
    <t>0329200000049</t>
  </si>
  <si>
    <t>Alberto Loyo/Eventual Megatech 10/03 AL 16/03</t>
  </si>
  <si>
    <t>01-2151</t>
  </si>
  <si>
    <t>0329200000051</t>
  </si>
  <si>
    <t>Alexander Castillo/Eventual Megatech 10/03 AL 16/03</t>
  </si>
  <si>
    <t>01-2152</t>
  </si>
  <si>
    <t>0329200000053</t>
  </si>
  <si>
    <t>JULIAN CASTILLO/CAMPAÑA DE YESO 10/03 AL 14/03</t>
  </si>
  <si>
    <t>01-2153</t>
  </si>
  <si>
    <t>0329200000067</t>
  </si>
  <si>
    <t>RAMON QUIROGAS/OPERADOR 10/03 AL 14/03</t>
  </si>
  <si>
    <t>01-2154</t>
  </si>
  <si>
    <t>0329200000068</t>
  </si>
  <si>
    <t>Ingrid Reyes/Eventual Megatech 10/03 AL 16/03</t>
  </si>
  <si>
    <t>01-2155</t>
  </si>
  <si>
    <t>0676200000057</t>
  </si>
  <si>
    <t>01-2156</t>
  </si>
  <si>
    <t>0676200000067</t>
  </si>
  <si>
    <t>01-2157</t>
  </si>
  <si>
    <t>0676200000070</t>
  </si>
  <si>
    <t>01-2158</t>
  </si>
  <si>
    <t>0676200000073</t>
  </si>
  <si>
    <t>01-2159</t>
  </si>
  <si>
    <t>01-2160</t>
  </si>
  <si>
    <t>01-2161</t>
  </si>
  <si>
    <t>01-2162</t>
  </si>
  <si>
    <t>0676200000023</t>
  </si>
  <si>
    <t>01-2163</t>
  </si>
  <si>
    <t>0676200000024</t>
  </si>
  <si>
    <t>01-2164</t>
  </si>
  <si>
    <t>0676200000026</t>
  </si>
  <si>
    <t>01-2165</t>
  </si>
  <si>
    <t>0676200000042</t>
  </si>
  <si>
    <t>01-2166</t>
  </si>
  <si>
    <t>0676200000033</t>
  </si>
  <si>
    <t>01-2167</t>
  </si>
  <si>
    <t>0676200000034</t>
  </si>
  <si>
    <t>01-2168</t>
  </si>
  <si>
    <t>0676200000038</t>
  </si>
  <si>
    <t>01-2169</t>
  </si>
  <si>
    <t>0676200000040</t>
  </si>
  <si>
    <t>01-2170</t>
  </si>
  <si>
    <t>0676200000055</t>
  </si>
  <si>
    <t>01-2171</t>
  </si>
  <si>
    <t>0676200000056</t>
  </si>
  <si>
    <t>01-2172</t>
  </si>
  <si>
    <t>0676200000072</t>
  </si>
  <si>
    <t>01-2173</t>
  </si>
  <si>
    <t>01-2174</t>
  </si>
  <si>
    <t>0676200000018</t>
  </si>
  <si>
    <t>01-2175</t>
  </si>
  <si>
    <t>0676200000021</t>
  </si>
  <si>
    <t>01-2176</t>
  </si>
  <si>
    <t>0676200000028</t>
  </si>
  <si>
    <t>01-2177</t>
  </si>
  <si>
    <t>0676200000046</t>
  </si>
  <si>
    <t>01-2178</t>
  </si>
  <si>
    <t>01-2179</t>
  </si>
  <si>
    <t>0676200000017</t>
  </si>
  <si>
    <t>01-2180</t>
  </si>
  <si>
    <t>0676200000051</t>
  </si>
  <si>
    <t>01-2181</t>
  </si>
  <si>
    <t>0676200000052</t>
  </si>
  <si>
    <t>01-2182</t>
  </si>
  <si>
    <t>0676200000053</t>
  </si>
  <si>
    <t>01-2183</t>
  </si>
  <si>
    <t>01-2184</t>
  </si>
  <si>
    <t>0676200000032</t>
  </si>
  <si>
    <t>01-2185</t>
  </si>
  <si>
    <t>0676200000035</t>
  </si>
  <si>
    <t>01-2186</t>
  </si>
  <si>
    <t>0676200000037</t>
  </si>
  <si>
    <t>01-2187</t>
  </si>
  <si>
    <t>0676200000041</t>
  </si>
  <si>
    <t>01-2188</t>
  </si>
  <si>
    <t>0676200000043</t>
  </si>
  <si>
    <t>01-2189</t>
  </si>
  <si>
    <t>0676200000049</t>
  </si>
  <si>
    <t>01-2190</t>
  </si>
  <si>
    <t>0676200000064</t>
  </si>
  <si>
    <t>01-2191</t>
  </si>
  <si>
    <t>0676200000065</t>
  </si>
  <si>
    <t>01-2192</t>
  </si>
  <si>
    <t>0676200000071</t>
  </si>
  <si>
    <t>01-2193</t>
  </si>
  <si>
    <t>01-2194</t>
  </si>
  <si>
    <t>01-2195</t>
  </si>
  <si>
    <t>01-2196</t>
  </si>
  <si>
    <t>01-2197</t>
  </si>
  <si>
    <t>01-2198</t>
  </si>
  <si>
    <t>0676200000045</t>
  </si>
  <si>
    <t>01-2199</t>
  </si>
  <si>
    <t>01-2200</t>
  </si>
  <si>
    <t>0676200000019</t>
  </si>
  <si>
    <t>01-2201</t>
  </si>
  <si>
    <t>0676200000030</t>
  </si>
  <si>
    <t>01-2202</t>
  </si>
  <si>
    <t>0676200000047</t>
  </si>
  <si>
    <t>01-2203</t>
  </si>
  <si>
    <t>0676200000059</t>
  </si>
  <si>
    <t>01-2204</t>
  </si>
  <si>
    <t>0676200000060</t>
  </si>
  <si>
    <t>01-2205</t>
  </si>
  <si>
    <t>0676200000062</t>
  </si>
  <si>
    <t>01-2206</t>
  </si>
  <si>
    <t>01-2207</t>
  </si>
  <si>
    <t>0676200000050</t>
  </si>
  <si>
    <t>01-2208</t>
  </si>
  <si>
    <t>0676200000054</t>
  </si>
  <si>
    <t>01-2209</t>
  </si>
  <si>
    <t>0676200000058</t>
  </si>
  <si>
    <t>01-2210</t>
  </si>
  <si>
    <t>0676200000061</t>
  </si>
  <si>
    <t>01-2211</t>
  </si>
  <si>
    <t>0676200000066</t>
  </si>
  <si>
    <t>01-2212</t>
  </si>
  <si>
    <t>0676200000069</t>
  </si>
  <si>
    <t>01-2213</t>
  </si>
  <si>
    <t>0676200000020</t>
  </si>
  <si>
    <t>01-2214</t>
  </si>
  <si>
    <t>0676200000022</t>
  </si>
  <si>
    <t>01-2215</t>
  </si>
  <si>
    <t>0676200000027</t>
  </si>
  <si>
    <t>01-2216</t>
  </si>
  <si>
    <t>0676200000029</t>
  </si>
  <si>
    <t>01-2217</t>
  </si>
  <si>
    <t>0676200000036</t>
  </si>
  <si>
    <t>01-2218</t>
  </si>
  <si>
    <t>0676200000039</t>
  </si>
  <si>
    <t>01-2219</t>
  </si>
  <si>
    <t>0676200000044</t>
  </si>
  <si>
    <t>01-2220</t>
  </si>
  <si>
    <t>0676200000048</t>
  </si>
  <si>
    <t>01-2221</t>
  </si>
  <si>
    <t>0676200000063</t>
  </si>
  <si>
    <t>01-2222</t>
  </si>
  <si>
    <t>0676200000068</t>
  </si>
  <si>
    <t>01-2223</t>
  </si>
  <si>
    <t>01-2224</t>
  </si>
  <si>
    <t>01-2225</t>
  </si>
  <si>
    <t>01-2226</t>
  </si>
  <si>
    <t>0676200000025</t>
  </si>
  <si>
    <t>01-2227</t>
  </si>
  <si>
    <t>0676200000031</t>
  </si>
  <si>
    <t>01-2228</t>
  </si>
  <si>
    <t>0329268856343</t>
  </si>
  <si>
    <t>01-2229</t>
  </si>
  <si>
    <t>E&amp;E CUSTOMBROKERS/TRAMITE-CONTENEDOR-MAQUI PLANTA DE CEMENTO</t>
  </si>
  <si>
    <t>01-2230</t>
  </si>
  <si>
    <t>ORDEN DE PAGO 2728-2025 - AGREGADOS TENDENCIAS -PLANTA DE CEMENTO</t>
  </si>
  <si>
    <t>31-180325</t>
  </si>
  <si>
    <t xml:space="preserve">AGROINSUMOS MATA CAÑA/FACT 53/Reqto de Minerales(Aceites y Grasa) </t>
  </si>
  <si>
    <t>01-2231</t>
  </si>
  <si>
    <t>01-2232</t>
  </si>
  <si>
    <t>01-2233</t>
  </si>
  <si>
    <t>01-2234</t>
  </si>
  <si>
    <t>01-2235</t>
  </si>
  <si>
    <t>01-2236</t>
  </si>
  <si>
    <t>01-2237</t>
  </si>
  <si>
    <t>01-2238</t>
  </si>
  <si>
    <t>DM ASEIN CA/FACT 218/TRASLADO 5 TANQ 250 LTS gasoil</t>
  </si>
  <si>
    <t>01-2239</t>
  </si>
  <si>
    <t>0597319447805</t>
  </si>
  <si>
    <t>SENCAMER/FACT RG3-CF8356/GESTION PERMISO CPE CEMENTO</t>
  </si>
  <si>
    <t>01-2240</t>
  </si>
  <si>
    <t>SERVA027</t>
  </si>
  <si>
    <t>SENCAMER</t>
  </si>
  <si>
    <t>01-2241</t>
  </si>
  <si>
    <t>0597319447832</t>
  </si>
  <si>
    <t>SENCAMER/INSCRIP EMPRESA MANUFACTURERA</t>
  </si>
  <si>
    <t>01-2242</t>
  </si>
  <si>
    <t>01-2243</t>
  </si>
  <si>
    <t>01-2244</t>
  </si>
  <si>
    <t>01-2245</t>
  </si>
  <si>
    <t>01-2246</t>
  </si>
  <si>
    <t>01-2247</t>
  </si>
  <si>
    <t>01-2248</t>
  </si>
  <si>
    <t>01-2249</t>
  </si>
  <si>
    <t>01-2250</t>
  </si>
  <si>
    <t>01-2251</t>
  </si>
  <si>
    <t>01-2252</t>
  </si>
  <si>
    <t>01-2253</t>
  </si>
  <si>
    <t>0329268888634</t>
  </si>
  <si>
    <t>01-2254</t>
  </si>
  <si>
    <t>INVERSIONES Y SERV JJ/FACT 83/ESTRUCTURA METALICA TOLVA MOLINO</t>
  </si>
  <si>
    <t>01-2255</t>
  </si>
  <si>
    <t>NR.INDUSTRIAL/FACT 5992/01 CAJA TAPABOCA</t>
  </si>
  <si>
    <t>01-2256</t>
  </si>
  <si>
    <t>RODA MANGUERAS/FACT 1460/Bornes de bateria para una de los camiones trompo (Minerales)</t>
  </si>
  <si>
    <t>01-2257</t>
  </si>
  <si>
    <t>01-2258</t>
  </si>
  <si>
    <t>01-2259</t>
  </si>
  <si>
    <t>01-2260</t>
  </si>
  <si>
    <t>0590572599762</t>
  </si>
  <si>
    <t>WILLIAMS AVILA/FACT10/CONCRETO PREMEZCLADO</t>
  </si>
  <si>
    <t>01-2261</t>
  </si>
  <si>
    <t>CONCRETO PREMEZCLADO</t>
  </si>
  <si>
    <t>0329269236753</t>
  </si>
  <si>
    <t>01-2262</t>
  </si>
  <si>
    <t xml:space="preserve">DIOSANNY ALVAREZ/FACT 210/SERV DE ALMUERZO/CENA/DESAYUNO CAMPAÑA YESO </t>
  </si>
  <si>
    <t>01-2263</t>
  </si>
  <si>
    <t>LEONARDO CHIRINO/OPERADORES CAMPAÑA YESO 17/03 AL 21/03</t>
  </si>
  <si>
    <t>01-2264</t>
  </si>
  <si>
    <t>JEFFERSON DAVILA/OPERADORES CAMPAÑA YESO 17/03 AL 21/03</t>
  </si>
  <si>
    <t>01-2265</t>
  </si>
  <si>
    <t>01-2266</t>
  </si>
  <si>
    <t>12-210325</t>
  </si>
  <si>
    <t>ROBERT ARIAS/OPERADORES CAMPAÑA YESO 17/03 AL 21/03</t>
  </si>
  <si>
    <t>01-2267</t>
  </si>
  <si>
    <t>RAMON QUIROGAS/OPERADORES CAMPAÑA YESO 17/03 AL 21/03</t>
  </si>
  <si>
    <t>01-2268</t>
  </si>
  <si>
    <t>HUMBERTO FRANCO/FACT 190/suministro varios e instalacion de cable</t>
  </si>
  <si>
    <t>01-2269</t>
  </si>
  <si>
    <t xml:space="preserve">
EDUARMI RUMBO/CONTRIBUCCION POR TRAMITES CPE PLANTA DE CEMENTO</t>
  </si>
  <si>
    <t>01-2270</t>
  </si>
  <si>
    <t>08-210325</t>
  </si>
  <si>
    <t>PAGO FACT 211 DIOSANNY (O) , FACT 435 JULIO IGLESIA (O) Y ABONO FACT</t>
  </si>
  <si>
    <t>01-2271</t>
  </si>
  <si>
    <t xml:space="preserve">NR INDUSTRIAL/FACT 6018/12 teipe 3m, 6 cepillo de alambre, 10 hojas de seguetes, 2 arcos de seguetas para Minerales </t>
  </si>
  <si>
    <t>01-2272</t>
  </si>
  <si>
    <t>BEATRIZ CASTILLO/OPERADORES CAMPAÑA YESO 17/03 AL 21/03</t>
  </si>
  <si>
    <t>01-2273</t>
  </si>
  <si>
    <t>WILLIAM RIVAS/CAMPAÑA YESO 17/03 AL 21/03</t>
  </si>
  <si>
    <t>01-2274</t>
  </si>
  <si>
    <t>FREDDY MENDOZA/CAMPAÑA YESO 17/03 AL 21/03</t>
  </si>
  <si>
    <t>01-2275</t>
  </si>
  <si>
    <t>01-2276</t>
  </si>
  <si>
    <t xml:space="preserve">INTERELECTRONIC INDUSTRIAL/FACT 371/Inversion Cableado General para Minerales Yaracuy </t>
  </si>
  <si>
    <t>01-2277</t>
  </si>
  <si>
    <t>01-2278</t>
  </si>
  <si>
    <t>01-2279</t>
  </si>
  <si>
    <t>01-2280</t>
  </si>
  <si>
    <t>01-2281</t>
  </si>
  <si>
    <t>01-2282</t>
  </si>
  <si>
    <t>01-2283</t>
  </si>
  <si>
    <t>01-2284</t>
  </si>
  <si>
    <t>01-2285</t>
  </si>
  <si>
    <t>01-2286</t>
  </si>
  <si>
    <t>01-2287</t>
  </si>
  <si>
    <t>01-2288</t>
  </si>
  <si>
    <t>01-2289</t>
  </si>
  <si>
    <t>01-2290</t>
  </si>
  <si>
    <t>01-2291</t>
  </si>
  <si>
    <t>01-2292</t>
  </si>
  <si>
    <t>0329269394041</t>
  </si>
  <si>
    <t>01-2293</t>
  </si>
  <si>
    <t>DAYANA AZUAJE/CAMPAÑA YESO 17/03 AL 21/03</t>
  </si>
  <si>
    <t>01-2294</t>
  </si>
  <si>
    <t>MATERIALES SANTA LUCIAS/FACT 5097/MINERALES</t>
  </si>
  <si>
    <t>01-2295</t>
  </si>
  <si>
    <t>MATERIALES SANTA LUCIA/FACT 5101/PLANTA CEMENTO</t>
  </si>
  <si>
    <t>01-2296</t>
  </si>
  <si>
    <t>MATERIALES SANTA LUCIA/FACT 5102/PLNATA DE CEMENTO</t>
  </si>
  <si>
    <t>01-2297</t>
  </si>
  <si>
    <t>01-2298</t>
  </si>
  <si>
    <t>01-2299</t>
  </si>
  <si>
    <t>01-2300</t>
  </si>
  <si>
    <t>01-2301</t>
  </si>
  <si>
    <t>0329269410502</t>
  </si>
  <si>
    <t>CONSTRUCTORA RENACER 2024/FACT 11/GRANZON MT3</t>
  </si>
  <si>
    <t>01-2302</t>
  </si>
  <si>
    <t>GRANZON MT3</t>
  </si>
  <si>
    <t>GLOBAL ACERO/FACT 37/INV TRABAJOS GRALES MINERIA YARACUY (ANGULO-LAMINA)</t>
  </si>
  <si>
    <t>01-2303</t>
  </si>
  <si>
    <t>ERDS INDUS/FACT 1654/20kl de Elect/Aceite formula mecanica para minerales</t>
  </si>
  <si>
    <t>01-2304</t>
  </si>
  <si>
    <t>JOSE CASTRO/FACT 000016/servicio antena satelital empresarial -minerales</t>
  </si>
  <si>
    <t>01-2305</t>
  </si>
  <si>
    <t>ERDS INDUSTRIAL/FACT 1656/prescontrol es para llenado de baños y La manguera para hidrojet (Minerales)</t>
  </si>
  <si>
    <t>01-2306</t>
  </si>
  <si>
    <t xml:space="preserve">INDUSTRIALES OESTE/FACT 36/Inver CABLDO/GRAL/mineras Yaracuy </t>
  </si>
  <si>
    <t>01-2307</t>
  </si>
  <si>
    <t>01-2308</t>
  </si>
  <si>
    <t>01-2309</t>
  </si>
  <si>
    <t>01-2310</t>
  </si>
  <si>
    <t>01-2311</t>
  </si>
  <si>
    <t>01-2312</t>
  </si>
  <si>
    <t>0590573776230</t>
  </si>
  <si>
    <t xml:space="preserve">FERRET Y MATERIALES  OBRA GRIS/fact 21/ARENA CERNIDA	</t>
  </si>
  <si>
    <t>01-2313</t>
  </si>
  <si>
    <t>ARENA CERNIDA</t>
  </si>
  <si>
    <t>0329283001680</t>
  </si>
  <si>
    <t>MAXIPARTES.G.&amp;.CFACT 1855/prescontrol es para llenado de baños y La manguera para hidrojet (Minerales)</t>
  </si>
  <si>
    <t>01-2314</t>
  </si>
  <si>
    <t>0676283001680</t>
  </si>
  <si>
    <t>01-2315</t>
  </si>
  <si>
    <t>Comercializadora NJG/FACT 772/PAQT VASOS-BANDEJ PLASTICO-ATENC VISITAS</t>
  </si>
  <si>
    <t>01-2316</t>
  </si>
  <si>
    <t xml:space="preserve">Interelectronic Industrial/FACT 372/cable st 3x10- Inv/Taller de Minerales Yaracuy </t>
  </si>
  <si>
    <t>01-2317</t>
  </si>
  <si>
    <t>HUMBERTO FRANCO/FACT 191/MATERIALES DE CONSTRUCCION</t>
  </si>
  <si>
    <t>01-2318</t>
  </si>
  <si>
    <t>SERVL05</t>
  </si>
  <si>
    <t>MRJORA DE PLANTA</t>
  </si>
  <si>
    <t>MADETO GROUP/FACT 10882/disco c-sierra 10"</t>
  </si>
  <si>
    <t>01-2319</t>
  </si>
  <si>
    <t>01-2320</t>
  </si>
  <si>
    <t>01-2321</t>
  </si>
  <si>
    <t>01-2322</t>
  </si>
  <si>
    <t>01-2323</t>
  </si>
  <si>
    <t xml:space="preserve">REPUESTOS PARRAS/FACT 2279/FILTROS -Stock de REPTOS/CAMIONES/Minerales </t>
  </si>
  <si>
    <t>01-2324</t>
  </si>
  <si>
    <t>MATERIALES PARRAS/FACT 740/MATTO/CAUCHOS CAMIONES/TROMPOS PREMEZCLADORA/ MINERALES</t>
  </si>
  <si>
    <t>01-2325</t>
  </si>
  <si>
    <t>01-2326</t>
  </si>
  <si>
    <t>01-2327</t>
  </si>
  <si>
    <t>0329269617999</t>
  </si>
  <si>
    <t>01-2328</t>
  </si>
  <si>
    <t>DURANGO/FACT 288/INTERRUPTOR DE POTENCIA 3-4000 AMP STECK REF SACBH401-inmediato Planta de cemento - Inversión - sistema de generacion de energía</t>
  </si>
  <si>
    <t>01-2329</t>
  </si>
  <si>
    <t>01-2330</t>
  </si>
  <si>
    <t>01-2331</t>
  </si>
  <si>
    <t>01-2332</t>
  </si>
  <si>
    <t>01-2333</t>
  </si>
  <si>
    <t>01-2334</t>
  </si>
  <si>
    <t>01-2335</t>
  </si>
  <si>
    <t>01-2336</t>
  </si>
  <si>
    <t>01-2337</t>
  </si>
  <si>
    <t>01-2338</t>
  </si>
  <si>
    <t>01-2339</t>
  </si>
  <si>
    <t>01-2340</t>
  </si>
  <si>
    <t>0329272509544</t>
  </si>
  <si>
    <t>01-2341</t>
  </si>
  <si>
    <t xml:space="preserve">TOTAL TOOLS/FACT 2386/Esmeril-mandarria-copa de alambre/REPAR/Minerales </t>
  </si>
  <si>
    <t>01-2342</t>
  </si>
  <si>
    <t xml:space="preserve">INVER Y SERV GONZALEZ/FACT 85/conf E instal ipe330 galpon </t>
  </si>
  <si>
    <t>01-2343</t>
  </si>
  <si>
    <t>01-2344</t>
  </si>
  <si>
    <t>01-2345</t>
  </si>
  <si>
    <t>0329272547731</t>
  </si>
  <si>
    <t>01-2346</t>
  </si>
  <si>
    <t>01-2347</t>
  </si>
  <si>
    <t>01-2348</t>
  </si>
  <si>
    <t>0329272622529</t>
  </si>
  <si>
    <t>01-2349</t>
  </si>
  <si>
    <t>VEINPECA/FACT 103014/SERV METROLOG-CERO-BALANZA</t>
  </si>
  <si>
    <t>01-2350</t>
  </si>
  <si>
    <t>YAMILA COLMENAREZ/FACT 185/revision-motor 8cilindros-cambio/aceite filtro/gasoil-Planta de cemento</t>
  </si>
  <si>
    <t>01-2351</t>
  </si>
  <si>
    <t>TALLER MOLI/FACT 2629/MAQUINA/ACOPLE P/REDUCTOR/MOLINO Planta de cemento - inversión - horno1</t>
  </si>
  <si>
    <t>01-2352</t>
  </si>
  <si>
    <t>01-2353</t>
  </si>
  <si>
    <t>01-2354</t>
  </si>
  <si>
    <t>01-2355</t>
  </si>
  <si>
    <t>0329272655294</t>
  </si>
  <si>
    <t>01-2356</t>
  </si>
  <si>
    <t xml:space="preserve">CASTRO CORPORACION/FACT 534/BIOMETRICO DETECCION FACIAL-MINERALES </t>
  </si>
  <si>
    <t>01-2357</t>
  </si>
  <si>
    <t>MATERIALES PARRAS/FACT 742/ACOPLE P/COMPRESOR AIRE DESCARGA CEMENTO-MINERALES</t>
  </si>
  <si>
    <t>01-2358</t>
  </si>
  <si>
    <t>TOTAL TOOLS/FACT 2391/PINZA/ALICATE ELECTRICIDAD/PIQUETA-MINERALES</t>
  </si>
  <si>
    <t>01-2359</t>
  </si>
  <si>
    <t xml:space="preserve">CORPORACION ERDS/FACT 1665/HERRAM USO GENERAL-MINERALES </t>
  </si>
  <si>
    <t>01-2360</t>
  </si>
  <si>
    <t>01-2361</t>
  </si>
  <si>
    <t>01-2362</t>
  </si>
  <si>
    <t>01-2363</t>
  </si>
  <si>
    <t>01-2364</t>
  </si>
  <si>
    <t>0429674715513</t>
  </si>
  <si>
    <t>VEINPECA/REINTEGRO PAGO DOBLE</t>
  </si>
  <si>
    <t>01-2365</t>
  </si>
  <si>
    <t>0429674919730</t>
  </si>
  <si>
    <t>TALLER MOLI/REINTEGRO FACT 2629/RETENCION</t>
  </si>
  <si>
    <t>01-2366</t>
  </si>
  <si>
    <t>01-2367</t>
  </si>
  <si>
    <t>01-2368</t>
  </si>
  <si>
    <t>01-2369</t>
  </si>
  <si>
    <t>04-300425</t>
  </si>
  <si>
    <t>JOSE MORALES/BONIFI ESPE ABRIL</t>
  </si>
  <si>
    <t>01-2370</t>
  </si>
  <si>
    <t>01-2371</t>
  </si>
  <si>
    <t>01-2372</t>
  </si>
  <si>
    <t>01-2373</t>
  </si>
  <si>
    <t>CARLEN VIELMA/REINTEGRO EXCEDENDEN NOMINA</t>
  </si>
  <si>
    <t>01-2374</t>
  </si>
  <si>
    <t>TRANSPORTE TDC/FACT 21/VENTAS</t>
  </si>
  <si>
    <t>01-2375</t>
  </si>
  <si>
    <t>VENTAS DE ARENA/BLOQUE/GRANZO</t>
  </si>
  <si>
    <t>INTERELECTRONIC/FACT 376/REFLECTOR 100W-MINERALES YARACUY</t>
  </si>
  <si>
    <t>01-2376</t>
  </si>
  <si>
    <t>01-2377</t>
  </si>
  <si>
    <t xml:space="preserve">AGRO TENDENCIAS/FACT 20/VENTAS </t>
  </si>
  <si>
    <t>01-2378</t>
  </si>
  <si>
    <t>01-2379</t>
  </si>
  <si>
    <t>PROTECCION A LAS PENSIONES/MARZO 2025</t>
  </si>
  <si>
    <t>01-2380</t>
  </si>
  <si>
    <t>02-010425</t>
  </si>
  <si>
    <t>01-2381</t>
  </si>
  <si>
    <t>INTERELECTRONIC/FACT 377/ILUMINACION GRAL-MINIERALES YARACUY</t>
  </si>
  <si>
    <t>01-2382</t>
  </si>
  <si>
    <t>JBARAH/FACT 954/DISPENSADOR P/AGUA/CEMENTERA</t>
  </si>
  <si>
    <t>01-2383</t>
  </si>
  <si>
    <t>SUMINISTROS/FACT 45/REFLECTORES 200W-MINERALES YARACUY</t>
  </si>
  <si>
    <t>01-2384</t>
  </si>
  <si>
    <t>EL GALPON DEL TORNILLO/FACT 9536/MERCANC P/TRACTOR SD32/CALIZAS</t>
  </si>
  <si>
    <t>01-2385</t>
  </si>
  <si>
    <t>COMPUSHOP/1091/PC P/OFICINA-MINERALES</t>
  </si>
  <si>
    <t>01-2386</t>
  </si>
  <si>
    <t>AMERICANA TORNILLOS/FACT 10350/TORNILLOS-HUNDUS</t>
  </si>
  <si>
    <t>01-2387</t>
  </si>
  <si>
    <t xml:space="preserve">EL MIO CARRO/FACT 005202/CAUCHO SUNWIDE1200/GRUA P/CEMENTO   </t>
  </si>
  <si>
    <t>01-2388</t>
  </si>
  <si>
    <t>TOTAL TOOLS/ FACT 2432/CARETA P/SOLDAR/DESTORNILLADOR-MINERALES</t>
  </si>
  <si>
    <t>01-2389</t>
  </si>
  <si>
    <t>EMPRENDIMIENTO DIOSANNY/FACT 227/VIATICOS CAMPAÑA/YESO</t>
  </si>
  <si>
    <t>01-2390</t>
  </si>
  <si>
    <t>01-2391</t>
  </si>
  <si>
    <t>01-2392</t>
  </si>
  <si>
    <t>DISTRIBUIDORA DIAR/FACT 667/ACEITE DIESEL P/TRACTOR CALIZA</t>
  </si>
  <si>
    <t>01-2393</t>
  </si>
  <si>
    <t>DISTRIBUIDORA DIAR/668/ACEITE DEXRON-MINERALES/PAYLOADER</t>
  </si>
  <si>
    <t>01-2394</t>
  </si>
  <si>
    <t xml:space="preserve">EXPERTO FERRETERO/FACT 442/ZUNCHO FILTRO-MINERALES </t>
  </si>
  <si>
    <t>01-2395</t>
  </si>
  <si>
    <t>DISTRIBUIDORA DIAR/FACT 669/ SILICON GRIS/MINERALES</t>
  </si>
  <si>
    <t>01-2396</t>
  </si>
  <si>
    <t>DISTRIBUIDORA DIAR/FACT 670/LIJA 803M/MINERALES</t>
  </si>
  <si>
    <t>01-2397</t>
  </si>
  <si>
    <t>01-2398</t>
  </si>
  <si>
    <t>01-2399</t>
  </si>
  <si>
    <t>01-2400</t>
  </si>
  <si>
    <t>SUMINISTROS INDUSTRIALES/FACT 46/ REFLECTORES/MINERALES YARACUY</t>
  </si>
  <si>
    <t>01-2401</t>
  </si>
  <si>
    <t>CORPORACION ERDS/FACT 1685/CINCEL,PRENSA/MINERALES</t>
  </si>
  <si>
    <t>01-2402</t>
  </si>
  <si>
    <t>01-2403</t>
  </si>
  <si>
    <t>01-2404</t>
  </si>
  <si>
    <t>TRANSPORTE NJG/FACT 785/GALON JABON LIQUIDO/DISENFECTANTE/PLANTA DE CEMENTO</t>
  </si>
  <si>
    <t>01-2405</t>
  </si>
  <si>
    <t>01-2406</t>
  </si>
  <si>
    <t>01-2407</t>
  </si>
  <si>
    <t>MATERIALES SANTA LUCIA/FACT 5170/ MATERIALES P/CONSTRUCCION-PLANTA CEMENTO</t>
  </si>
  <si>
    <t>01-2408</t>
  </si>
  <si>
    <t>01-2409</t>
  </si>
  <si>
    <t>01-2410</t>
  </si>
  <si>
    <t>01-2411</t>
  </si>
  <si>
    <t>MATE INSUMOS VZLA/FACT 22/ VENTA ARENA</t>
  </si>
  <si>
    <t>01-2412</t>
  </si>
  <si>
    <t>VENTA ARENA</t>
  </si>
  <si>
    <t>01-2413</t>
  </si>
  <si>
    <t>EDUAR MARTINEZ/FACT 23/VENTA ARENA CERNIDA</t>
  </si>
  <si>
    <t>01-2414</t>
  </si>
  <si>
    <t>01-2415</t>
  </si>
  <si>
    <t>01-2416</t>
  </si>
  <si>
    <t>KLEIBER RODRIFUEZ /FACT 0008/INSTALACION DE CARTELERAS-PLANTA CEMENTO</t>
  </si>
  <si>
    <t>01-2417</t>
  </si>
  <si>
    <t>KLEIBER RODRIFUEZ /FACT 0009/INSTALACION DE CARTELERAS-MINERALES</t>
  </si>
  <si>
    <t>01-2418</t>
  </si>
  <si>
    <t>01-2419</t>
  </si>
  <si>
    <t>01-2420</t>
  </si>
  <si>
    <t>Federico Faneite/Eventual Gobernacion31/03/2025 AL 06/04/2025</t>
  </si>
  <si>
    <t>01-2421</t>
  </si>
  <si>
    <t>Eliomar Jesús Escalona/Eventual Agregados31/03/2025 AL 06/04/2025</t>
  </si>
  <si>
    <t>01-2422</t>
  </si>
  <si>
    <t>José Guillermo Cortez/Eventual Agregados31/03/2025 AL 06/04/2025</t>
  </si>
  <si>
    <t>01-2423</t>
  </si>
  <si>
    <t>Hector/Eventual Gobernacion31/03/2025 AL 06/04/2025</t>
  </si>
  <si>
    <t>01-2424</t>
  </si>
  <si>
    <t>Darwuin Jesús Bullones/Eventual Agregados31/03/2025 AL 06/04/2025</t>
  </si>
  <si>
    <t>01-2425</t>
  </si>
  <si>
    <t>Frank Armando García/Eventual Agregados31/03/2025 AL 06/04/2025</t>
  </si>
  <si>
    <t>01-2426</t>
  </si>
  <si>
    <t>Alberto Luis Rojas/Eventual Agregados31/03/2025 AL 06/04/2025</t>
  </si>
  <si>
    <t>01-2427</t>
  </si>
  <si>
    <t>Naiker Alexander Jimenez/Eventual Agregados31/03/2025 AL 06/04/2025</t>
  </si>
  <si>
    <t>01-2428</t>
  </si>
  <si>
    <t>José Gregorio Perez/Eventual Agregados31/03/2025 AL 06/04/2025</t>
  </si>
  <si>
    <t>01-2429</t>
  </si>
  <si>
    <t>Carlos Daniel Rodriguez/Eventual Agregados31/03/2025 AL 06/04/2025</t>
  </si>
  <si>
    <t>01-2430</t>
  </si>
  <si>
    <t>Alejandro Morales/Eventual Agregados31/03/2025 AL 06/04/2025</t>
  </si>
  <si>
    <t>01-2431</t>
  </si>
  <si>
    <t>Euber José Juarez/Eventual Agregados31/03/2025 AL 06/04/2025</t>
  </si>
  <si>
    <t>01-2432</t>
  </si>
  <si>
    <t>Ali Alberto Bullones/Eventual Agregados31/03/2025 AL 06/04/2025</t>
  </si>
  <si>
    <t>01-2433</t>
  </si>
  <si>
    <t>Alberto Ali Bullones/Eventual Agregados31/03/2025 AL 06/04/2025</t>
  </si>
  <si>
    <t>01-2434</t>
  </si>
  <si>
    <t>Fernando José Rodriguez/Eventual Agregados31/03/2025 AL 06/04/2025</t>
  </si>
  <si>
    <t>01-2435</t>
  </si>
  <si>
    <t>Brunito Segundo Cordero/Eventual Agregados31/03/2025 AL 06/04/2025</t>
  </si>
  <si>
    <t>01-2436</t>
  </si>
  <si>
    <t>Henrry Valera/Eventual Gobernacion31/03/2025 AL 06/04/2025</t>
  </si>
  <si>
    <t>01-2437</t>
  </si>
  <si>
    <t>Fareliz Arrieche/Eventual Gobernacion31/03/2025 AL 06/04/2025</t>
  </si>
  <si>
    <t>01-2438</t>
  </si>
  <si>
    <t>Justiniano Rodriguez/Eventual Agregados31/03/2025 AL 06/04/2025</t>
  </si>
  <si>
    <t>01-2439</t>
  </si>
  <si>
    <t>Bruno Ali Cordero Bullones/Eventual Agregados31/03/2025 AL 06/04/2025</t>
  </si>
  <si>
    <t>01-2440</t>
  </si>
  <si>
    <t>Armando Lopez /Eventual Agregados31/03/2025 AL 06/04/2025</t>
  </si>
  <si>
    <t>01-2441</t>
  </si>
  <si>
    <t>Froilan Lopez/Eventual Agregados31/03/2025 AL 06/04/2025</t>
  </si>
  <si>
    <t>01-2442</t>
  </si>
  <si>
    <t>Ramón Quintero/Eventual Agregados31/03/2025 AL 06/04/2025</t>
  </si>
  <si>
    <t>01-2443</t>
  </si>
  <si>
    <t>Juan López/Eventual Agregados31/03/2025 AL 06/04/2025</t>
  </si>
  <si>
    <t>01-2444</t>
  </si>
  <si>
    <t>Exson Rodriguez/Eventual Gobernacion31/03/2025 AL 06/04/2025</t>
  </si>
  <si>
    <t>01-2445</t>
  </si>
  <si>
    <t>Douglas Pimentel/Eventual Gobernacion31/03/2025 AL 06/04/2025</t>
  </si>
  <si>
    <t>01-2446</t>
  </si>
  <si>
    <t>Jesus Ramos/Eventual Gobernacion31/03/2025 AL 06/04/2025</t>
  </si>
  <si>
    <t>01-2447</t>
  </si>
  <si>
    <t>Pedro Castillo/Eventual Gobernacion31/03/2025 AL 06/04/2025</t>
  </si>
  <si>
    <t>01-2448</t>
  </si>
  <si>
    <t>Miguel Torres/Eventual Gobernacion31/03/2025 AL 06/04/2025</t>
  </si>
  <si>
    <t>01-2449</t>
  </si>
  <si>
    <t>Wendy Gimenez/Eventual Gobernacion31/03/2025 AL 06/04/2025</t>
  </si>
  <si>
    <t>01-2450</t>
  </si>
  <si>
    <t>Nicolas Alvarez/Eventual Gobernacion31/03/2025 AL 06/04/2025</t>
  </si>
  <si>
    <t>01-2451</t>
  </si>
  <si>
    <t>Rafael Puertas/Eventual Gobernacion31/03/2025 AL 06/04/2025</t>
  </si>
  <si>
    <t>01-2452</t>
  </si>
  <si>
    <t>Carlos Pacheco/Eventual Gobernacion31/03/2025 AL 06/04/2025</t>
  </si>
  <si>
    <t>01-2453</t>
  </si>
  <si>
    <t>Carlos Lopez/Eventual Agregados31/03/2025 AL 06/04/2025</t>
  </si>
  <si>
    <t>01-2454</t>
  </si>
  <si>
    <t>Andrés Armella/Eventual Gobernacion31/03/2025 AL 06/04/2025</t>
  </si>
  <si>
    <t>01-2455</t>
  </si>
  <si>
    <t>Alirio Parra/Eventual Gobernacion31/03/2025 AL 06/04/2025</t>
  </si>
  <si>
    <t>01-2456</t>
  </si>
  <si>
    <t>Jose Toledo/Eventual Gobernacion31/03/2025 AL 06/04/2025</t>
  </si>
  <si>
    <t>01-2457</t>
  </si>
  <si>
    <t>Norys Ramos/Eventual Gobernacion31/03/2025 AL 06/04/2025</t>
  </si>
  <si>
    <t>01-2458</t>
  </si>
  <si>
    <t>Juan Pinto/Eventual Gobernacion31/03/2025 AL 06/04/2025</t>
  </si>
  <si>
    <t>01-2459</t>
  </si>
  <si>
    <t>Angel Caldera/Eventual Gobernacion31/03/2025 AL 06/04/2025</t>
  </si>
  <si>
    <t>01-2460</t>
  </si>
  <si>
    <t>Estebez Maramara/Eventual Agregados31/03/2025 AL 06/04/2025</t>
  </si>
  <si>
    <t>01-2461</t>
  </si>
  <si>
    <t>Luis Silveiro Colon Ojeda/Eventual Agregados31/03/2025 AL 06/04/2025</t>
  </si>
  <si>
    <t>01-2462</t>
  </si>
  <si>
    <t>Delios Adolfo Ferrara/Eventual Agregados31/03/2025 AL 06/04/2025</t>
  </si>
  <si>
    <t>01-2463</t>
  </si>
  <si>
    <t>Rafael Quiroz/Eventual Gobernacion31/03/2025 AL 06/04/2025</t>
  </si>
  <si>
    <t>01-2464</t>
  </si>
  <si>
    <t>Edwin Rojas/Eventual Gobernacion31/03/2025 AL 06/04/2025</t>
  </si>
  <si>
    <t>01-2465</t>
  </si>
  <si>
    <t>Argenis Flores/Eventual Megatech31/03/2025 AL 06/04/2025</t>
  </si>
  <si>
    <t>01-2466</t>
  </si>
  <si>
    <t>Pitter Puerta/Eventual Megatech31/03/2025 AL 06/04/2025</t>
  </si>
  <si>
    <t>01-2467</t>
  </si>
  <si>
    <t>Walner Oviedo/Eventual Megatech31/03/2025 AL 06/04/2025</t>
  </si>
  <si>
    <t>01-2468</t>
  </si>
  <si>
    <t>Yonny Castillo/Eventual Megatech31/03/2025 AL 06/04/2025</t>
  </si>
  <si>
    <t>01-2469</t>
  </si>
  <si>
    <t>Francisco Castillo/Eventual Megatech31/03/2025 AL 06/04/2025</t>
  </si>
  <si>
    <t>01-2470</t>
  </si>
  <si>
    <t>Antonio Castillo/Eventual Megatech31/03/2025 AL 06/04/2025</t>
  </si>
  <si>
    <t>01-2471</t>
  </si>
  <si>
    <t>Jose Guevara/Eventual Megatech31/03/2025 AL 06/04/2025</t>
  </si>
  <si>
    <t>01-2472</t>
  </si>
  <si>
    <t>Jose Castillo/Eventual Megatech31/03/2025 AL 06/04/2025</t>
  </si>
  <si>
    <t>01-2473</t>
  </si>
  <si>
    <t>Elvis Valles/Eventual Megatech31/03/2025 AL 06/04/2025</t>
  </si>
  <si>
    <t>01-2474</t>
  </si>
  <si>
    <t>01-2475</t>
  </si>
  <si>
    <t>Omar Torrealba/Eventual Megatech31/03/2025 AL 06/04/2025</t>
  </si>
  <si>
    <t>01-2476</t>
  </si>
  <si>
    <t>Carlos Castillo/Eventual Megatech31/03/2025 AL 06/04/2025</t>
  </si>
  <si>
    <t>01-2477</t>
  </si>
  <si>
    <t>Julian Guedez/Eventual Megatech31/03/2025 AL 06/04/2025</t>
  </si>
  <si>
    <t>01-2478</t>
  </si>
  <si>
    <t>Yordis Almao/Eventual Megatech31/03/2025 AL 06/04/2025</t>
  </si>
  <si>
    <t>01-2479</t>
  </si>
  <si>
    <t>Victor Mendez/Eventual Megatech31/03/2025 AL 06/04/2025</t>
  </si>
  <si>
    <t>01-2480</t>
  </si>
  <si>
    <t>Carlos Loyo/Eventual Megatech31/03/2025 AL 06/04/2025</t>
  </si>
  <si>
    <t>01-2481</t>
  </si>
  <si>
    <t>Alberto Loyo/Eventual Megatech31/03/2025 AL 06/04/2025</t>
  </si>
  <si>
    <t>01-2482</t>
  </si>
  <si>
    <t>Alexander Castillo/Eventual Megatech31/03/2025 AL 06/04/2025</t>
  </si>
  <si>
    <t>01-2483</t>
  </si>
  <si>
    <t>Edwuard Almeida/Eventual Megatech31/03/2025 AL 06/04/2025</t>
  </si>
  <si>
    <t>01-2484</t>
  </si>
  <si>
    <t>Alirio Parra/Eventual Megatech31/03/2025 AL 06/04/2025</t>
  </si>
  <si>
    <t>01-2485</t>
  </si>
  <si>
    <t>Yerry Rodríguez/Eventual Megatech31/03/2025 AL 06/04/2025</t>
  </si>
  <si>
    <t>01-2486</t>
  </si>
  <si>
    <t>Elio Malpica/Eventual Megatech31/03/2025 AL 06/04/2025</t>
  </si>
  <si>
    <t>01-2487</t>
  </si>
  <si>
    <t>Ruben Rivas/Eventual Megatech31/03/2025 AL 06/04/2025</t>
  </si>
  <si>
    <t>01-2488</t>
  </si>
  <si>
    <t>Fareliz Arrieche/Eventual Megatech31/03/2025 AL 06/04/2025</t>
  </si>
  <si>
    <t>01-2489</t>
  </si>
  <si>
    <t>Norys Ramos/Eventual Megatech31/03/2025 AL 06/04/2025</t>
  </si>
  <si>
    <t>01-2490</t>
  </si>
  <si>
    <t>Emperatriz Leon/Eventual Megatech31/03/2025 AL 06/04/2025</t>
  </si>
  <si>
    <t>01-2491</t>
  </si>
  <si>
    <t>Fares Arrieche/Eventual Megatech31/03/2025 AL 06/04/2025</t>
  </si>
  <si>
    <t>01-2492</t>
  </si>
  <si>
    <t>Ingrid Reyes/Eventual Megatech31/03/2025 AL 06/04/2025</t>
  </si>
  <si>
    <t>01-2493</t>
  </si>
  <si>
    <t>01-2494</t>
  </si>
  <si>
    <t>01-2495</t>
  </si>
  <si>
    <t>01-2496</t>
  </si>
  <si>
    <t>MATERIALES SANTA LUCIA/FACT 5182/ MATERIALES P/CONSTRUCCION-PLANTA CEMENTO</t>
  </si>
  <si>
    <t>01-2497</t>
  </si>
  <si>
    <t>01-2498</t>
  </si>
  <si>
    <t>01-2499</t>
  </si>
  <si>
    <t xml:space="preserve">INVERTRAVI/FACT 007257/TRANSP-DESCARG CEMENTO GRANEL </t>
  </si>
  <si>
    <t>01-2500</t>
  </si>
  <si>
    <t>TRANSPORTE/ FACT 21/REINTEGR RETEN IVA</t>
  </si>
  <si>
    <t>01-2501</t>
  </si>
  <si>
    <t>01-2502</t>
  </si>
  <si>
    <t>01-2503</t>
  </si>
  <si>
    <t>VALROCA/FACT A-1205/FILTRO Y ACEITE-RETROEXCAVADORA</t>
  </si>
  <si>
    <t>01-2504</t>
  </si>
  <si>
    <t>01-2505</t>
  </si>
  <si>
    <t>FERRE NIRGUA/FACT 26/VENTA ARENA CERNIDA</t>
  </si>
  <si>
    <t>01-2506</t>
  </si>
  <si>
    <t>01-2507</t>
  </si>
  <si>
    <t>LUBRICARMOTOR/FACT 793/PAILA DIESEL-RETROEXCAVADORA</t>
  </si>
  <si>
    <t>01-2508</t>
  </si>
  <si>
    <t>01-2509</t>
  </si>
  <si>
    <t>01-2510</t>
  </si>
  <si>
    <t>EDUAR MARTINEZ/FACT 31/VENTA ARENA CERNIDA</t>
  </si>
  <si>
    <t>01-2511</t>
  </si>
  <si>
    <t>01-2512</t>
  </si>
  <si>
    <t>ERDS/FACT 1701/HERRAMIENTAS/MINERALES YARACUY</t>
  </si>
  <si>
    <t>01-2513</t>
  </si>
  <si>
    <t>01-2514</t>
  </si>
  <si>
    <t>COOP LOS GUERREROS/FACT 32/VENTA ARENA CERNIDA</t>
  </si>
  <si>
    <t>01-2515</t>
  </si>
  <si>
    <t>01-2516</t>
  </si>
  <si>
    <t>EMPRENDIMIENTO DIOSANNY/FACT 235/ VIATICOS</t>
  </si>
  <si>
    <t>01-2517</t>
  </si>
  <si>
    <t>01-2518</t>
  </si>
  <si>
    <t>VALMORE COLMENAREZ/FACT 34/VENTA ARENA CERNIDA</t>
  </si>
  <si>
    <t>01-2519</t>
  </si>
  <si>
    <t>01-2520</t>
  </si>
  <si>
    <t>REPUESTO Y SERV PARRA/FACT 2302/FILTRO Y ACEITE/STOCK/MINERALES YARACUY</t>
  </si>
  <si>
    <t>01-2521</t>
  </si>
  <si>
    <t>01-2522</t>
  </si>
  <si>
    <t>COOP/LA MILAGROSA/VENTA ARENA CERNIDA</t>
  </si>
  <si>
    <t>01-2523</t>
  </si>
  <si>
    <t>01-2524</t>
  </si>
  <si>
    <t>01-2525</t>
  </si>
  <si>
    <t>01-2526</t>
  </si>
  <si>
    <t>UNIVERSAL REPUESTO/FACT 0399/Minerales - inversión - Payloader volvo</t>
  </si>
  <si>
    <t>01-2527</t>
  </si>
  <si>
    <t>01-2528</t>
  </si>
  <si>
    <t>MULTISERVICIO EL VAQUERO/FACT 0233/ REPA Y COCIDO CAUCHOS</t>
  </si>
  <si>
    <t>01-2529</t>
  </si>
  <si>
    <t>01-2530</t>
  </si>
  <si>
    <t>MULTISERVICIO EL VAQUERO/FACT 0234/ REPA Y COCIDO CAUCHOS</t>
  </si>
  <si>
    <t>01-2531</t>
  </si>
  <si>
    <t>01-2532</t>
  </si>
  <si>
    <t>VULCANIZADORA/FACT 1606/CAMBIO CAUCHO GRUA TELESCOPICA</t>
  </si>
  <si>
    <t>01-2533</t>
  </si>
  <si>
    <t>01-2534</t>
  </si>
  <si>
    <t>RODA MANGUERA/FACT 1627/CORREAS CARGADOR FRONTAL-MINERALES</t>
  </si>
  <si>
    <t>01-2535</t>
  </si>
  <si>
    <t>01-2536</t>
  </si>
  <si>
    <t>AMERICA TORNILLO/FACT 10386/TUERCAS Y TORNILLOS/PLANTA CEMENTO</t>
  </si>
  <si>
    <t>01-2537</t>
  </si>
  <si>
    <t>T EXPRESS 2018/FACT 1012/ BOTELLON PET 19 LTS 4 AROS</t>
  </si>
  <si>
    <t>01-2538</t>
  </si>
  <si>
    <t>01-2539</t>
  </si>
  <si>
    <t>01-2540</t>
  </si>
  <si>
    <t>Eliomar Jesús Escalona/Eventual Agregados 07/04/2025 AL 13/04/2025</t>
  </si>
  <si>
    <t>01-2541</t>
  </si>
  <si>
    <t>Hector/Eventual Gobernacion 07/04/2025 AL 13/04/2025</t>
  </si>
  <si>
    <t>01-2542</t>
  </si>
  <si>
    <t>José Guillermo Cortez/Eventual Agregados 07/04/2025 AL 13/04/2025</t>
  </si>
  <si>
    <t>01-2543</t>
  </si>
  <si>
    <t>Federico Faneite/Eventual Gobernacion 07/04/2025 AL 13/04/2025</t>
  </si>
  <si>
    <t>01-2544</t>
  </si>
  <si>
    <t>Darwuin Jesús Bullones/Eventual Agregados 07/04/2025 AL 13/04/2025</t>
  </si>
  <si>
    <t>01-2545</t>
  </si>
  <si>
    <t>Frank Armando García/Eventual Agregados 07/04/2025 AL 13/04/2025</t>
  </si>
  <si>
    <t>01-2546</t>
  </si>
  <si>
    <t>Alberto Luis Rojas/Eventual Agregados 07/04/2025 AL 13/04/2025</t>
  </si>
  <si>
    <t>01-2547</t>
  </si>
  <si>
    <t>Naiker Alexander Jimenez/Eventual Agregados 07/04/2025 AL 13/04/2025</t>
  </si>
  <si>
    <t>01-2548</t>
  </si>
  <si>
    <t>José Gregorio Perez/Eventual Agregados 07/04/2025 AL 13/04/2025</t>
  </si>
  <si>
    <t>01-2549</t>
  </si>
  <si>
    <t>Carlos Daniel Rodriguez/Eventual Agregados 07/04/2025 AL 13/04/2025</t>
  </si>
  <si>
    <t>01-2550</t>
  </si>
  <si>
    <t>Alejandro Morales/Eventual Agregados 07/04/2025 AL 13/04/2025</t>
  </si>
  <si>
    <t>01-2551</t>
  </si>
  <si>
    <t>Euber José Juarez/Eventual Agregados 07/04/2025 AL 13/04/2025</t>
  </si>
  <si>
    <t>01-2552</t>
  </si>
  <si>
    <t>Ali Alberto Bullones/Eventual Agregados 07/04/2025 AL 13/04/2025</t>
  </si>
  <si>
    <t>01-2553</t>
  </si>
  <si>
    <t>Alberto Ali Bullones/Eventual Agregados 07/04/2025 AL 13/04/2025</t>
  </si>
  <si>
    <t>01-2554</t>
  </si>
  <si>
    <t>Fernando José Rodriguez/Eventual Agregados 07/04/2025 AL 13/04/2025</t>
  </si>
  <si>
    <t>01-2555</t>
  </si>
  <si>
    <t>Bruno Ali Cordero Bullones/Eventual Agregados 07/04/2025 AL 13/04/2025</t>
  </si>
  <si>
    <t>01-2556</t>
  </si>
  <si>
    <t>Brunito Segundo Cordero/Eventual Agregados 07/04/2025 AL 13/04/2025</t>
  </si>
  <si>
    <t>01-2557</t>
  </si>
  <si>
    <t>Fareliz Arrieche/Eventual Gobernacion 07/04/2025 AL 13/04/2025</t>
  </si>
  <si>
    <t>01-2558</t>
  </si>
  <si>
    <t>Justiniano Rodriguez/Eventual Agregados 07/04/2025 AL 13/04/2025</t>
  </si>
  <si>
    <t>01-2559</t>
  </si>
  <si>
    <t>Henrry Valera/Eventual Gobernacion 07/04/2025 AL 13/04/2025</t>
  </si>
  <si>
    <t>01-2560</t>
  </si>
  <si>
    <t>Armando Lopez /Eventual Agregados 07/04/2025 AL 13/04/2025</t>
  </si>
  <si>
    <t>01-2561</t>
  </si>
  <si>
    <t>Froilan Lopez/Eventual Agregados 07/04/2025 AL 13/04/2025</t>
  </si>
  <si>
    <t>01-2562</t>
  </si>
  <si>
    <t>Ramón Quintero/Eventual Agregados 07/04/2025 AL 13/04/2025</t>
  </si>
  <si>
    <t>01-2563</t>
  </si>
  <si>
    <t>Juan López/Eventual Agregados 07/04/2025 AL 13/04/2025</t>
  </si>
  <si>
    <t>01-2564</t>
  </si>
  <si>
    <t>Exson Rodriguez/Eventual Gobernacion 07/04/2025 AL 13/04/2025</t>
  </si>
  <si>
    <t>01-2565</t>
  </si>
  <si>
    <t>Jesus Ramos/Eventual Gobernacion 07/04/2025 AL 13/04/2025</t>
  </si>
  <si>
    <t>01-2566</t>
  </si>
  <si>
    <t>Pedro Castillo/Eventual Gobernacion 07/04/2025 AL 13/04/2025</t>
  </si>
  <si>
    <t>01-2567</t>
  </si>
  <si>
    <t>Douglas Pimentel/Eventual Gobernacion 07/04/2025 AL 13/04/2025</t>
  </si>
  <si>
    <t>01-2568</t>
  </si>
  <si>
    <t>Miguel Torres/Eventual Gobernacion 07/04/2025 AL 13/04/2025</t>
  </si>
  <si>
    <t>01-2569</t>
  </si>
  <si>
    <t>Nicolas Alvarez/Eventual Gobernacion 07/04/2025 AL 13/04/2025</t>
  </si>
  <si>
    <t>01-2570</t>
  </si>
  <si>
    <t>Rafael Puertas/Eventual Gobernacion 07/04/2025 AL 13/04/2025</t>
  </si>
  <si>
    <t>01-2571</t>
  </si>
  <si>
    <t>Carlos Pacheco/Eventual Gobernacion 07/04/2025 AL 13/04/2025</t>
  </si>
  <si>
    <t>01-2572</t>
  </si>
  <si>
    <t>Andrés Armella/Eventual Gobernacion 07/04/2025 AL 13/04/2025</t>
  </si>
  <si>
    <t>01-2573</t>
  </si>
  <si>
    <t>Wendy Gimenez/Eventual Gobernacion 07/04/2025 AL 13/04/2025</t>
  </si>
  <si>
    <t>01-2574</t>
  </si>
  <si>
    <t>Jose Toledo/Eventual Gobernacion 07/04/2025 AL 13/04/2025</t>
  </si>
  <si>
    <t>01-2575</t>
  </si>
  <si>
    <t>Juan Pinto/Eventual Gobernacion 07/04/2025 AL 13/04/2025</t>
  </si>
  <si>
    <t>01-2576</t>
  </si>
  <si>
    <t>Edwin Rojas/Eventual Gobernacion 07/04/2025 AL 13/04/2025</t>
  </si>
  <si>
    <t>01-2577</t>
  </si>
  <si>
    <t>Alirio Parra/Eventual Gobernacion 07/04/2025 AL 13/04/2025</t>
  </si>
  <si>
    <t>01-2578</t>
  </si>
  <si>
    <t>Carlos Lopez/Eventual Agregados 07/04/2025 AL 13/04/2025</t>
  </si>
  <si>
    <t>01-2579</t>
  </si>
  <si>
    <t>Angel Caldera/Eventual Gobernacion 07/04/2025 AL 13/04/2025</t>
  </si>
  <si>
    <t>01-2580</t>
  </si>
  <si>
    <t>Delios Adolfo Ferrara/Eventual Agregados 07/04/2025 AL 13/04/2025</t>
  </si>
  <si>
    <t>01-2581</t>
  </si>
  <si>
    <t>Rafael Quiroz/Eventual Gobernacion 07/04/2025 AL 13/04/2025</t>
  </si>
  <si>
    <t>01-2582</t>
  </si>
  <si>
    <t>Estebez Maramara/Eventual Agregados 07/04/2025 AL 13/04/2025</t>
  </si>
  <si>
    <t>01-2583</t>
  </si>
  <si>
    <t>Norys Ramos/Eventual Gobernacion 07/04/2025 AL 13/04/2025</t>
  </si>
  <si>
    <t>01-2584</t>
  </si>
  <si>
    <t>Luis Silveiro Colon Ojeda/Eventual Agregados 07/04/2025 AL 13/04/2025</t>
  </si>
  <si>
    <t>01-2585</t>
  </si>
  <si>
    <t>Argenis Flores/Eventual Megatech 07/04/2025 AL 13/04/2025</t>
  </si>
  <si>
    <t>01-2586</t>
  </si>
  <si>
    <t>Pitter Puerta/Eventual Megatech 07/04/2025 AL 13/04/2025</t>
  </si>
  <si>
    <t>01-2587</t>
  </si>
  <si>
    <t>Walner Oviedo/Eventual Megatech 07/04/2025 AL 13/04/2025</t>
  </si>
  <si>
    <t>01-2588</t>
  </si>
  <si>
    <t>Francisco Castillo/Eventual Megatech 07/04/2025 AL 13/04/2025</t>
  </si>
  <si>
    <t>01-2589</t>
  </si>
  <si>
    <t>Yonny Castillo/Eventual Megatech 07/04/2025 AL 13/04/2025</t>
  </si>
  <si>
    <t>01-2590</t>
  </si>
  <si>
    <t>Antonio Castillo/Eventual Megatech 07/04/2025 AL 13/04/2025</t>
  </si>
  <si>
    <t>01-2591</t>
  </si>
  <si>
    <t>Jose Castillo/Eventual Megatech 07/04/2025 AL 13/04/2025</t>
  </si>
  <si>
    <t>01-2592</t>
  </si>
  <si>
    <t>Elvis Valles/Eventual Megatech 07/04/2025 AL 13/04/2025</t>
  </si>
  <si>
    <t>01-2593</t>
  </si>
  <si>
    <t>Jose Guevara/Eventual Megatech 07/04/2025 AL 13/04/2025</t>
  </si>
  <si>
    <t>01-2594</t>
  </si>
  <si>
    <t>01-2595</t>
  </si>
  <si>
    <t>Omar Torrealba/Eventual Megatech 07/04/2025 AL 13/04/2025</t>
  </si>
  <si>
    <t>01-2596</t>
  </si>
  <si>
    <t>Carlos Castillo/Eventual Megatech 07/04/2025 AL 13/04/2025</t>
  </si>
  <si>
    <t>01-2597</t>
  </si>
  <si>
    <t>Julian Guedez/Eventual Megatech 07/04/2025 AL 13/04/2025</t>
  </si>
  <si>
    <t>01-2598</t>
  </si>
  <si>
    <t>Yordis Almao/Eventual Megatech 07/04/2025 AL 13/04/2025</t>
  </si>
  <si>
    <t>01-2599</t>
  </si>
  <si>
    <t>Victor Mendez/Eventual Megatech 07/04/2025 AL 13/04/2025</t>
  </si>
  <si>
    <t>01-2600</t>
  </si>
  <si>
    <t>Carlos Loyo/Eventual Megatech 07/04/2025 AL 13/04/2025</t>
  </si>
  <si>
    <t>01-2601</t>
  </si>
  <si>
    <t>Alberto Loyo/Eventual Megatech 07/04/2025 AL 13/04/2025</t>
  </si>
  <si>
    <t>01-2602</t>
  </si>
  <si>
    <t>Alexander Castillo/Eventual Megatech 07/04/2025 AL 13/04/2025</t>
  </si>
  <si>
    <t>01-2603</t>
  </si>
  <si>
    <t>Edwuard Almeida/Eventual Megatech 07/04/2025 AL 13/04/2025</t>
  </si>
  <si>
    <t>01-2604</t>
  </si>
  <si>
    <t>Yerry Rodríguez/Eventual Megatech 07/04/2025 AL 13/04/2025</t>
  </si>
  <si>
    <t>01-2605</t>
  </si>
  <si>
    <t>Alirio Parra/Eventual Megatech 07/04/2025 AL 13/04/2025</t>
  </si>
  <si>
    <t>01-2606</t>
  </si>
  <si>
    <t>Elio Malpica/Eventual Megatech 07/04/2025 AL 13/04/2025</t>
  </si>
  <si>
    <t>01-2607</t>
  </si>
  <si>
    <t>Ruben Rivas/Eventual Megatech 07/04/2025 AL 13/04/2025</t>
  </si>
  <si>
    <t>01-2608</t>
  </si>
  <si>
    <t>Fareliz Arrieche/Eventual Megatech 07/04/2025 AL 13/04/2025</t>
  </si>
  <si>
    <t>01-2609</t>
  </si>
  <si>
    <t>Norys Ramos/Eventual Megatech 07/04/2025 AL 13/04/2025</t>
  </si>
  <si>
    <t>01-2610</t>
  </si>
  <si>
    <t>Emperatriz Leon/Eventual Megatech 07/04/2025 AL 13/04/2025</t>
  </si>
  <si>
    <t>01-2611</t>
  </si>
  <si>
    <t>Fares Arrieche/Eventual Megatech 07/04/2025 AL 13/04/2025</t>
  </si>
  <si>
    <t>01-2612</t>
  </si>
  <si>
    <t>Ingrid Reyes/Eventual Megatech 07/04/2025 AL 13/04/2025</t>
  </si>
  <si>
    <t>01-2613</t>
  </si>
  <si>
    <t>01-2614</t>
  </si>
  <si>
    <t>01-2615</t>
  </si>
  <si>
    <t>01-2616</t>
  </si>
  <si>
    <t>MATERIALES SANTA LUCIA/FACT 5227/PLANTA DE CEMENTO</t>
  </si>
  <si>
    <t>01-2617</t>
  </si>
  <si>
    <t xml:space="preserve">JOSE CASTILLO/PERSONAL CAMPAÑA DE YESO </t>
  </si>
  <si>
    <t>01-2618</t>
  </si>
  <si>
    <t>GUSTAVO RANGEL/LAVAD VEHICULO+GASOLINA</t>
  </si>
  <si>
    <t>01-2619</t>
  </si>
  <si>
    <t>01-2620</t>
  </si>
  <si>
    <t>VALMORE COLMENAREZ/FACT 36/VENTA ARENA-CANTO</t>
  </si>
  <si>
    <t>01-2621</t>
  </si>
  <si>
    <t>VENTA ARENA-CANTO</t>
  </si>
  <si>
    <t>01-2622</t>
  </si>
  <si>
    <t xml:space="preserve">ALIMENTO/FACT 26807/CAFÉ CONSUMO INTERNO-MINERALES </t>
  </si>
  <si>
    <t xml:space="preserve"> CUENTAS POR PAGAR PROVEEDORES</t>
  </si>
  <si>
    <t>01-2623</t>
  </si>
  <si>
    <t>SERVA017E</t>
  </si>
  <si>
    <t>01-2624</t>
  </si>
  <si>
    <t>ALEJOS, RODOLFO/BONO COMPL 15-04-25/OPER</t>
  </si>
  <si>
    <t>01-2625</t>
  </si>
  <si>
    <t>ALVARADO, EDDY/BONO COMPL 15-04-25/OPER</t>
  </si>
  <si>
    <t>01-2626</t>
  </si>
  <si>
    <t>BASTIDA, JOSE/BONO COMPL 15-04-25/OPER</t>
  </si>
  <si>
    <t>01-2627</t>
  </si>
  <si>
    <t>DAZA, VICTOR/BONO COMPL 15-04-25/OPER</t>
  </si>
  <si>
    <t>01-2628</t>
  </si>
  <si>
    <t>BRACHO, LUIS/BONO COMPL 15-04-25/OPER</t>
  </si>
  <si>
    <t>01-2629</t>
  </si>
  <si>
    <t>CHIRINOS, RAFAEL/BONO COMPL 15-04-25/OPER</t>
  </si>
  <si>
    <t>01-2630</t>
  </si>
  <si>
    <t>GARCIA, JASON/BONO COMPL 15-04-25/OPER</t>
  </si>
  <si>
    <t>01-2631</t>
  </si>
  <si>
    <t>GALEANO, FRANCISCO/BONO COMPL 15-04-25/OPER</t>
  </si>
  <si>
    <t>01-2632</t>
  </si>
  <si>
    <t>GUTIERREZ, PRESCILIANO/BONO COMPL 15-04-25/OPER</t>
  </si>
  <si>
    <t>01-2633</t>
  </si>
  <si>
    <t>GUEDEZ JOSE/BONO COMPL 15-04-25/OPER</t>
  </si>
  <si>
    <t>01-2634</t>
  </si>
  <si>
    <t>GUILLEN, LUIS/BONO COMPL 15-04-25/OPER</t>
  </si>
  <si>
    <t>01-2635</t>
  </si>
  <si>
    <t>LINAREZ, PEDRO/BONO COMPL 15-04-25/OPER</t>
  </si>
  <si>
    <t>01-2636</t>
  </si>
  <si>
    <t>LOPEZ ,MANOLO/BONO COMPL 15-04-25/ADM</t>
  </si>
  <si>
    <t>01-2637</t>
  </si>
  <si>
    <t>LINAREZ, SANTIAGO/BONO COMPL 15-04-25/OPER</t>
  </si>
  <si>
    <t>01-2638</t>
  </si>
  <si>
    <t>MANZO, JESMAIYELIT/BONO COMPL 15-04-25/ADM</t>
  </si>
  <si>
    <t>01-2639</t>
  </si>
  <si>
    <t>NOGUERA, OSCAR/BONO COMPL 15-04-25/OPER</t>
  </si>
  <si>
    <t>01-2640</t>
  </si>
  <si>
    <t>MARTINEZ JUAN/BONO COMPL 15-04-25/OPER</t>
  </si>
  <si>
    <t>01-2641</t>
  </si>
  <si>
    <t>PEREZ, CARLOS/BONO COMPL 15-04-25/OPER</t>
  </si>
  <si>
    <t>01-2642</t>
  </si>
  <si>
    <t>PEREZ, ROLANDO/BONO COMPL 15-04-25/OPER</t>
  </si>
  <si>
    <t>01-2643</t>
  </si>
  <si>
    <t>PUERTAS, TEODORO/BONO COMPL 15-04-25/OPER</t>
  </si>
  <si>
    <t>01-2644</t>
  </si>
  <si>
    <t>POLANCO, FRANKLIN/BONO COMPL 15-04-25/OPER</t>
  </si>
  <si>
    <t>01-2645</t>
  </si>
  <si>
    <t>QUERALES ,EDIXON/BONO COMPL 15-04-25/OPER</t>
  </si>
  <si>
    <t>01-2646</t>
  </si>
  <si>
    <t>QUERALES, HERMES/BONO COMPL 15-04-25/OPER</t>
  </si>
  <si>
    <t>01-2647</t>
  </si>
  <si>
    <t>RAGA NELIDO/BONO COMPL 15-04-25/ADM</t>
  </si>
  <si>
    <t>01-2648</t>
  </si>
  <si>
    <t>RANGEL GUSTAVO/BONO COMPL 15-04-25/ADM</t>
  </si>
  <si>
    <t>01-2649</t>
  </si>
  <si>
    <t>REVERON, RAMON/BONO COMPL 15-04-25/OPER</t>
  </si>
  <si>
    <t>01-2650</t>
  </si>
  <si>
    <t>RODRIGUEZ, MIGUEL/BONO COMPL 15-04-25/OPER</t>
  </si>
  <si>
    <t>01-2651</t>
  </si>
  <si>
    <t>SEGURA ,WAILEN/BONO COMPL 15-04-25/OPER</t>
  </si>
  <si>
    <t>01-2652</t>
  </si>
  <si>
    <t>RIVERO, JORGE/BONO COMPL 15-04-25/OPER</t>
  </si>
  <si>
    <t>01-2653</t>
  </si>
  <si>
    <t>VALLE, GERARDO/BONO COMPL 15-04-25/OPER</t>
  </si>
  <si>
    <t>01-2654</t>
  </si>
  <si>
    <t>SOTELDO, LUSMAR/BONO COMPL 15-04-25/OPER</t>
  </si>
  <si>
    <t>01-2655</t>
  </si>
  <si>
    <t>SUAREZ, RAFAEL/BONO COMPL 15-04-25/OPER</t>
  </si>
  <si>
    <t>01-2656</t>
  </si>
  <si>
    <t>ALEJOS, RODOLFO/NOMINA 15-04-25/OPER</t>
  </si>
  <si>
    <t>01-2657</t>
  </si>
  <si>
    <t>VETANCOURT, BLIXANDER/BONO COMPL 15-04-25/ADM</t>
  </si>
  <si>
    <t>01-2658</t>
  </si>
  <si>
    <t>VIELMA CARLEN/BONO COMPL 15-04-25/ADM</t>
  </si>
  <si>
    <t>01-2659</t>
  </si>
  <si>
    <t>RODRIGUEZ ANSONNY/BONO COMPL 15-04-25/OPER</t>
  </si>
  <si>
    <t>01-2660</t>
  </si>
  <si>
    <t>ZERPA, WISTON/BONO COMPL 15-04-25/OPER</t>
  </si>
  <si>
    <t>01-2661</t>
  </si>
  <si>
    <t>ALVARADO, EDDY/NOMINA 15-04-25/OPER</t>
  </si>
  <si>
    <t>01-2662</t>
  </si>
  <si>
    <t>CHIRINOS, RAFAEL/NOMINA 15-04-25/OPER</t>
  </si>
  <si>
    <t>01-2663</t>
  </si>
  <si>
    <t>BASTIDA, JOSE/NOMINA 15-04-25/OPER</t>
  </si>
  <si>
    <t>01-2664</t>
  </si>
  <si>
    <t>DAZA, VICTOR/NOMINA 15-04-25/OPER</t>
  </si>
  <si>
    <t>01-2665</t>
  </si>
  <si>
    <t>BRACHO, LUIS/NOMINA 15-04-25/OPER</t>
  </si>
  <si>
    <t>01-2666</t>
  </si>
  <si>
    <t>ROJAS MARIA/BONO COMPLE 30-04-25/OPER</t>
  </si>
  <si>
    <t>01-2667</t>
  </si>
  <si>
    <t>GALEANO, FRANCISCO/NOMINA 15-04-25/OPER</t>
  </si>
  <si>
    <t>01-2668</t>
  </si>
  <si>
    <t>GARCIA, JASON/NOMINA 15-04-25/OPER</t>
  </si>
  <si>
    <t>01-2669</t>
  </si>
  <si>
    <t>VIELMA CARLEN/NOMINA 15-04-25/ADM</t>
  </si>
  <si>
    <t>01-2670</t>
  </si>
  <si>
    <t>GUEDEZ JOSE/NOMINA 15-04-25/OPER</t>
  </si>
  <si>
    <t>01-2671</t>
  </si>
  <si>
    <t>GUILLEN, LUIS/NOMINA 15-04-25/OPER</t>
  </si>
  <si>
    <t>01-2672</t>
  </si>
  <si>
    <t>GUTIERREZ, PRESCILIANO/NOMINA 15-04-25/OPER</t>
  </si>
  <si>
    <t>01-2673</t>
  </si>
  <si>
    <t>LINAREZ, PEDRO/NOMINA 15-04-25/OPER</t>
  </si>
  <si>
    <t>01-2674</t>
  </si>
  <si>
    <t>LINAREZ, SANTIAGO/NOMINA 15-04-25/OPER</t>
  </si>
  <si>
    <t>01-2675</t>
  </si>
  <si>
    <t>LOPEZ ,MANOLO/NOMINA 15-04-25/ADM</t>
  </si>
  <si>
    <t>01-2676</t>
  </si>
  <si>
    <t>MANZO, JESMAIYELIT/NOMINA 15-04-25/ADM</t>
  </si>
  <si>
    <t>01-2677</t>
  </si>
  <si>
    <t>MARTINEZ JUAN/NOMINA 15-04-25/OPER</t>
  </si>
  <si>
    <t>01-2678</t>
  </si>
  <si>
    <t>NOGUERA, OSCAR/NOMINA 15-04-25/OPER</t>
  </si>
  <si>
    <t>01-2679</t>
  </si>
  <si>
    <t>PEREZ, CARLOS/NOMINA 15-04-25/OPER</t>
  </si>
  <si>
    <t>01-2680</t>
  </si>
  <si>
    <t>PEREZ, ROLANDO/NOMINA 15-04-25/OPER</t>
  </si>
  <si>
    <t>01-2681</t>
  </si>
  <si>
    <t>POLANCO, FRANKLIN/NOMINA 15-04-25/OPER</t>
  </si>
  <si>
    <t>01-2682</t>
  </si>
  <si>
    <t>PUERTAS, TEODORO/NOMINA 15-04-25/OPER</t>
  </si>
  <si>
    <t>01-2683</t>
  </si>
  <si>
    <t>QUERALES ,EDIXON/NOMINA 15-04-25/OPER</t>
  </si>
  <si>
    <t>01-2684</t>
  </si>
  <si>
    <t>QUERALES, HERMES/NOMINA 15-04-25/OPER</t>
  </si>
  <si>
    <t>01-2685</t>
  </si>
  <si>
    <t>RAGA NELIDO/NOMINA 15-04-25/ADM</t>
  </si>
  <si>
    <t>01-2686</t>
  </si>
  <si>
    <t>RANGEL GUSTAVO/NOMINA 15-04-25/ADM</t>
  </si>
  <si>
    <t>01-2687</t>
  </si>
  <si>
    <t>REVERON, RAMON/NOMINA 15-04-25/OPER</t>
  </si>
  <si>
    <t>01-2688</t>
  </si>
  <si>
    <t>RIVERO, JORGE/NOMINA 15-04-25/OPER</t>
  </si>
  <si>
    <t>01-2689</t>
  </si>
  <si>
    <t>RODRIGUEZ ANSONNY/NOMINA 15-04-25/OPER</t>
  </si>
  <si>
    <t>01-2690</t>
  </si>
  <si>
    <t>RODRIGUEZ, MIGUEL/NOMINA 15-04-25/OPER</t>
  </si>
  <si>
    <t>01-2691</t>
  </si>
  <si>
    <t>ROJAS MARIA/NOMINA 15-04-25/OPER</t>
  </si>
  <si>
    <t>01-2692</t>
  </si>
  <si>
    <t>SEGURA ,WAILEN/NOMINA 15-04-25/OPER</t>
  </si>
  <si>
    <t>01-2693</t>
  </si>
  <si>
    <t>SOTELDO, LUSMAR/NOMINA 15-04-25/OPER</t>
  </si>
  <si>
    <t>01-2694</t>
  </si>
  <si>
    <t>SUAREZ, RAFAEL/NOMINA 15-04-25/OPER</t>
  </si>
  <si>
    <t>01-2695</t>
  </si>
  <si>
    <t>VALLE, GERARDO/NOMINA 15-04-25/OPER</t>
  </si>
  <si>
    <t>01-2696</t>
  </si>
  <si>
    <t>VETANCOURT, BLIXANDER/NOMINA 15-04-25/ADM</t>
  </si>
  <si>
    <t>01-2697</t>
  </si>
  <si>
    <t>01-2698</t>
  </si>
  <si>
    <t>GIMENEZ, PABLO/NOMINA BONO COMPL 15-04-25/OPER</t>
  </si>
  <si>
    <t>01-2699</t>
  </si>
  <si>
    <t>01-2700</t>
  </si>
  <si>
    <t>01-2701</t>
  </si>
  <si>
    <t>01-2702</t>
  </si>
  <si>
    <t>HERNCARD CONSTRUCCIONES/ FACT595/ADECUACIO-ARMADO-SISTEM ESCAP-ELECTROGENO</t>
  </si>
  <si>
    <t>01-2703</t>
  </si>
  <si>
    <t>PROCESADA ABRIL</t>
  </si>
  <si>
    <t>CORPOMUEBLES/FACT84/ARCHIVADOR 4 GAVETA SALA</t>
  </si>
  <si>
    <t>01-2704</t>
  </si>
  <si>
    <t>DR TORNILLO/FACT 9619/SELLO P/MINICARGADOR-REPUES MAQU</t>
  </si>
  <si>
    <t>01-2705</t>
  </si>
  <si>
    <t>01-2706</t>
  </si>
  <si>
    <t>01-2707</t>
  </si>
  <si>
    <t>MINERALES YARACUY/4TN CEMENTO GRIS</t>
  </si>
  <si>
    <t>01-2708</t>
  </si>
  <si>
    <t>01-2709</t>
  </si>
  <si>
    <t>REPUEST SERV PARRA 2020/FACT 2311/STOCK REPUESTO P/CAMIONES-MINERALES</t>
  </si>
  <si>
    <t>01-2710</t>
  </si>
  <si>
    <t>TRACTO AUTO/FACT 7648/ STOCK REPUEST CAMIONES-MINERALES YARACUY</t>
  </si>
  <si>
    <t>01-2711</t>
  </si>
  <si>
    <t>CASTRO/FACT 0547/UPS OFICINA MINERALES</t>
  </si>
  <si>
    <t>01-2712</t>
  </si>
  <si>
    <t>01-2713</t>
  </si>
  <si>
    <t>MATER/FACT 39/VENTA ARENA CERNIDA</t>
  </si>
  <si>
    <t>01-2714</t>
  </si>
  <si>
    <t>01-2715</t>
  </si>
  <si>
    <t>MATERIALES PARRA/FACT2314/FILTRO MOROCHO/MINERALES YARACUY</t>
  </si>
  <si>
    <t>01-2716</t>
  </si>
  <si>
    <t>01-2717</t>
  </si>
  <si>
    <t>01-2718</t>
  </si>
  <si>
    <t>01-2719</t>
  </si>
  <si>
    <t>Exson Rodriguez/Eventual Gobernacion 14/04/2025 AL 17/04/2025</t>
  </si>
  <si>
    <t>01-2720</t>
  </si>
  <si>
    <t>FREDDY MENDOZA/CAMPAÑA YESO 14-04 AL 20-04</t>
  </si>
  <si>
    <t>01-2721</t>
  </si>
  <si>
    <t>Argenis Flores/Eventual Megatech 14/04/2025 AL 17/04/2025</t>
  </si>
  <si>
    <t>01-2722</t>
  </si>
  <si>
    <t>Edwuard Almeida/Eventual Megatech 14/04/2025 AL 17/04/2025</t>
  </si>
  <si>
    <t>01-2723</t>
  </si>
  <si>
    <t>Yerry Rodríguez/Eventual Megatech 14/04/2025 AL 17/04/2025</t>
  </si>
  <si>
    <t>01-2724</t>
  </si>
  <si>
    <t>Elio Malpica/Eventual Megatech 14/04/2025 AL 17/04/2025</t>
  </si>
  <si>
    <t>01-2725</t>
  </si>
  <si>
    <t>Ruben Rivas/Eventual Megatech 14/04/2025 AL 17/04/2025</t>
  </si>
  <si>
    <t>01-2726</t>
  </si>
  <si>
    <t>01-2727</t>
  </si>
  <si>
    <t>12-160425</t>
  </si>
  <si>
    <t>01-2728</t>
  </si>
  <si>
    <t>01-2729</t>
  </si>
  <si>
    <t>01-2730</t>
  </si>
  <si>
    <t>01-2731</t>
  </si>
  <si>
    <t>01-2732</t>
  </si>
  <si>
    <t>01-2733</t>
  </si>
  <si>
    <t>01-2734</t>
  </si>
  <si>
    <t>01-2735</t>
  </si>
  <si>
    <t>01-2736</t>
  </si>
  <si>
    <t>01-2737</t>
  </si>
  <si>
    <t>01-2738</t>
  </si>
  <si>
    <t>01-2739</t>
  </si>
  <si>
    <t>01-2740</t>
  </si>
  <si>
    <t>01-2741</t>
  </si>
  <si>
    <t>01-2742</t>
  </si>
  <si>
    <t>01-2743</t>
  </si>
  <si>
    <t>01-2744</t>
  </si>
  <si>
    <t>01-2745</t>
  </si>
  <si>
    <t>01-2746</t>
  </si>
  <si>
    <t>01-2747</t>
  </si>
  <si>
    <t>01-2748</t>
  </si>
  <si>
    <t>01-2749</t>
  </si>
  <si>
    <t>01-2750</t>
  </si>
  <si>
    <t>01-2751</t>
  </si>
  <si>
    <t>01-2752</t>
  </si>
  <si>
    <t>01-2753</t>
  </si>
  <si>
    <t>01-2754</t>
  </si>
  <si>
    <t>01-2755</t>
  </si>
  <si>
    <t>01-2756</t>
  </si>
  <si>
    <t>01-2757</t>
  </si>
  <si>
    <t>01-2758</t>
  </si>
  <si>
    <t>01-2759</t>
  </si>
  <si>
    <t>01-2760</t>
  </si>
  <si>
    <t>01-2761</t>
  </si>
  <si>
    <t>01-2762</t>
  </si>
  <si>
    <t>01-2763</t>
  </si>
  <si>
    <t>01-2764</t>
  </si>
  <si>
    <t>01-2765</t>
  </si>
  <si>
    <t>01-2766</t>
  </si>
  <si>
    <t>01-2767</t>
  </si>
  <si>
    <t>01-2768</t>
  </si>
  <si>
    <t>01-2769</t>
  </si>
  <si>
    <t>01-2770</t>
  </si>
  <si>
    <t>01-2771</t>
  </si>
  <si>
    <t>01-2772</t>
  </si>
  <si>
    <t>01-2773</t>
  </si>
  <si>
    <t>01-2774</t>
  </si>
  <si>
    <t>01-2775</t>
  </si>
  <si>
    <t>01-2776</t>
  </si>
  <si>
    <t>01-2777</t>
  </si>
  <si>
    <t>01-2778</t>
  </si>
  <si>
    <t>01-2779</t>
  </si>
  <si>
    <t>01-2780</t>
  </si>
  <si>
    <t>01-2781</t>
  </si>
  <si>
    <t>01-2782</t>
  </si>
  <si>
    <t>01-2783</t>
  </si>
  <si>
    <t>01-2784</t>
  </si>
  <si>
    <t>01-2785</t>
  </si>
  <si>
    <t>01-2786</t>
  </si>
  <si>
    <t>01-2787</t>
  </si>
  <si>
    <t>01-2788</t>
  </si>
  <si>
    <t>01-2789</t>
  </si>
  <si>
    <t>01-2790</t>
  </si>
  <si>
    <t>01-2791</t>
  </si>
  <si>
    <t>01-2792</t>
  </si>
  <si>
    <t>01-2793</t>
  </si>
  <si>
    <t>01-2794</t>
  </si>
  <si>
    <t>01-2795</t>
  </si>
  <si>
    <t>01-2796</t>
  </si>
  <si>
    <t>01-2797</t>
  </si>
  <si>
    <t>01-2798</t>
  </si>
  <si>
    <t>01-2799</t>
  </si>
  <si>
    <t>01-2800</t>
  </si>
  <si>
    <t>01-2801</t>
  </si>
  <si>
    <t>01-2802</t>
  </si>
  <si>
    <t>01-2803</t>
  </si>
  <si>
    <t>01-2804</t>
  </si>
  <si>
    <t>01-2805</t>
  </si>
  <si>
    <t>01-2806</t>
  </si>
  <si>
    <t>01-2807</t>
  </si>
  <si>
    <t>01-2808</t>
  </si>
  <si>
    <t>01-2809</t>
  </si>
  <si>
    <t>01-2810</t>
  </si>
  <si>
    <t>01-2811</t>
  </si>
  <si>
    <t>01-2812</t>
  </si>
  <si>
    <t>01-2813</t>
  </si>
  <si>
    <t>01-2814</t>
  </si>
  <si>
    <t>01-2815</t>
  </si>
  <si>
    <t>01-2816</t>
  </si>
  <si>
    <t>01-2817</t>
  </si>
  <si>
    <t>01-2818</t>
  </si>
  <si>
    <t>01-2819</t>
  </si>
  <si>
    <t>01-2820</t>
  </si>
  <si>
    <t>INSUMOS MANTENIMIENTOS/PLANTA</t>
  </si>
  <si>
    <t>01-2821</t>
  </si>
  <si>
    <t>01-2822</t>
  </si>
  <si>
    <t>01-2823</t>
  </si>
  <si>
    <t>PROCESADA EN JUNIO</t>
  </si>
  <si>
    <t>01-2824</t>
  </si>
  <si>
    <t>01-2825</t>
  </si>
  <si>
    <t>01-2826</t>
  </si>
  <si>
    <t>01-2827</t>
  </si>
  <si>
    <t>01-2828</t>
  </si>
  <si>
    <t>01-2829</t>
  </si>
  <si>
    <t>01-2830</t>
  </si>
  <si>
    <t>01-2831</t>
  </si>
  <si>
    <t>01-2832</t>
  </si>
  <si>
    <t>01-2833</t>
  </si>
  <si>
    <t>01-2834</t>
  </si>
  <si>
    <t>01-2835</t>
  </si>
  <si>
    <t>01-2836</t>
  </si>
  <si>
    <t>01-2837</t>
  </si>
  <si>
    <t>SERVA010</t>
  </si>
  <si>
    <t>GASTOS MANT. EQUIPOS/MOBILIARIO OFICINA</t>
  </si>
  <si>
    <t>01-2838</t>
  </si>
  <si>
    <t>01-2839</t>
  </si>
  <si>
    <t>01-2840</t>
  </si>
  <si>
    <t>01-2841</t>
  </si>
  <si>
    <t>01-2842</t>
  </si>
  <si>
    <t>01-2843</t>
  </si>
  <si>
    <t>01-2844</t>
  </si>
  <si>
    <t>01-2845</t>
  </si>
  <si>
    <t>01-2846</t>
  </si>
  <si>
    <t>01-2847</t>
  </si>
  <si>
    <t>01-2848</t>
  </si>
  <si>
    <t>01-2849</t>
  </si>
  <si>
    <t>01-2850</t>
  </si>
  <si>
    <t>01-2851</t>
  </si>
  <si>
    <t>01-2852</t>
  </si>
  <si>
    <t>01-2853</t>
  </si>
  <si>
    <t>01-2854</t>
  </si>
  <si>
    <t>01-2855</t>
  </si>
  <si>
    <t>01-2856</t>
  </si>
  <si>
    <t>01-2857</t>
  </si>
  <si>
    <t>01-2858</t>
  </si>
  <si>
    <t>01-2859</t>
  </si>
  <si>
    <t>01-2860</t>
  </si>
  <si>
    <t>01-2861</t>
  </si>
  <si>
    <t>01-2862</t>
  </si>
  <si>
    <t>01-2863</t>
  </si>
  <si>
    <t>01-2864</t>
  </si>
  <si>
    <t>01-2865</t>
  </si>
  <si>
    <t>01-2866</t>
  </si>
  <si>
    <t>01-2867</t>
  </si>
  <si>
    <t>01-2868</t>
  </si>
  <si>
    <t>01-2869</t>
  </si>
  <si>
    <t>01-2870</t>
  </si>
  <si>
    <t>01-2871</t>
  </si>
  <si>
    <t>01-2872</t>
  </si>
  <si>
    <t>01-2873</t>
  </si>
  <si>
    <t>01-2874</t>
  </si>
  <si>
    <t>01-2875</t>
  </si>
  <si>
    <t>01-2876</t>
  </si>
  <si>
    <t>01-2877</t>
  </si>
  <si>
    <t>01-2878</t>
  </si>
  <si>
    <t>01-2879</t>
  </si>
  <si>
    <t>01-2880</t>
  </si>
  <si>
    <t>01-2881</t>
  </si>
  <si>
    <t>01-2882</t>
  </si>
  <si>
    <t>01-2883</t>
  </si>
  <si>
    <t>01-2884</t>
  </si>
  <si>
    <t>01-2885</t>
  </si>
  <si>
    <t>01-2886</t>
  </si>
  <si>
    <t>01-2887</t>
  </si>
  <si>
    <t>01-2888</t>
  </si>
  <si>
    <t>01-2889</t>
  </si>
  <si>
    <t>01-2890</t>
  </si>
  <si>
    <t>01-2891</t>
  </si>
  <si>
    <t>01-2892</t>
  </si>
  <si>
    <t>01-2893</t>
  </si>
  <si>
    <t>01-2894</t>
  </si>
  <si>
    <t>01-2895</t>
  </si>
  <si>
    <t>01-2896</t>
  </si>
  <si>
    <t>01-2897</t>
  </si>
  <si>
    <t>01-2898</t>
  </si>
  <si>
    <t>01-2899</t>
  </si>
  <si>
    <t>01-2900</t>
  </si>
  <si>
    <t>01-2901</t>
  </si>
  <si>
    <t>01-2902</t>
  </si>
  <si>
    <t>01-2903</t>
  </si>
  <si>
    <t>01-2904</t>
  </si>
  <si>
    <t>01-2905</t>
  </si>
  <si>
    <t>01-2906</t>
  </si>
  <si>
    <t>01-2907</t>
  </si>
  <si>
    <t>01-2908</t>
  </si>
  <si>
    <t>01-2909</t>
  </si>
  <si>
    <t>01-2910</t>
  </si>
  <si>
    <t>01-2911</t>
  </si>
  <si>
    <t>01-2912</t>
  </si>
  <si>
    <t>01-2913</t>
  </si>
  <si>
    <t>01-2914</t>
  </si>
  <si>
    <t>01-2915</t>
  </si>
  <si>
    <t>01-2916</t>
  </si>
  <si>
    <t>01-2917</t>
  </si>
  <si>
    <t>01-2918</t>
  </si>
  <si>
    <t>01-2919</t>
  </si>
  <si>
    <t>01-2920</t>
  </si>
  <si>
    <t>01-2921</t>
  </si>
  <si>
    <t>01-2922</t>
  </si>
  <si>
    <t>01-2923</t>
  </si>
  <si>
    <t>01-2924</t>
  </si>
  <si>
    <t>01-2925</t>
  </si>
  <si>
    <t>01-2926</t>
  </si>
  <si>
    <t>01-2927</t>
  </si>
  <si>
    <t>01-2928</t>
  </si>
  <si>
    <t>01-2929</t>
  </si>
  <si>
    <t>01-2930</t>
  </si>
  <si>
    <t>01-2931</t>
  </si>
  <si>
    <t>01-2932</t>
  </si>
  <si>
    <t>01-2933</t>
  </si>
  <si>
    <t>01-2934</t>
  </si>
  <si>
    <t>01-2935</t>
  </si>
  <si>
    <t>01-2936</t>
  </si>
  <si>
    <t>01-2937</t>
  </si>
  <si>
    <t>01-2938</t>
  </si>
  <si>
    <t>01-2939</t>
  </si>
  <si>
    <t>01-2940</t>
  </si>
  <si>
    <t>01-2941</t>
  </si>
  <si>
    <t>01-2942</t>
  </si>
  <si>
    <t>01-2943</t>
  </si>
  <si>
    <t>01-2944</t>
  </si>
  <si>
    <t>01-2945</t>
  </si>
  <si>
    <t>01-2946</t>
  </si>
  <si>
    <t>01-2947</t>
  </si>
  <si>
    <t>01-2948</t>
  </si>
  <si>
    <t>01-2949</t>
  </si>
  <si>
    <t>01-2950</t>
  </si>
  <si>
    <t>01-2951</t>
  </si>
  <si>
    <t>01-2952</t>
  </si>
  <si>
    <t>01-2953</t>
  </si>
  <si>
    <t>01-2954</t>
  </si>
  <si>
    <t>01-2955</t>
  </si>
  <si>
    <t>01-2956</t>
  </si>
  <si>
    <t>01-2957</t>
  </si>
  <si>
    <t>01-2958</t>
  </si>
  <si>
    <t>01-2959</t>
  </si>
  <si>
    <t>01-2960</t>
  </si>
  <si>
    <t>01-2961</t>
  </si>
  <si>
    <t>01-2962</t>
  </si>
  <si>
    <t>01-2963</t>
  </si>
  <si>
    <t>01-2964</t>
  </si>
  <si>
    <t>01-2965</t>
  </si>
  <si>
    <t>01-2966</t>
  </si>
  <si>
    <t>01-2967</t>
  </si>
  <si>
    <t>01-2968</t>
  </si>
  <si>
    <t>01-2969</t>
  </si>
  <si>
    <t>01-2970</t>
  </si>
  <si>
    <t>01-2971</t>
  </si>
  <si>
    <t>01-2972</t>
  </si>
  <si>
    <t>01-2973</t>
  </si>
  <si>
    <t>01-2974</t>
  </si>
  <si>
    <t>01-2975</t>
  </si>
  <si>
    <t>01-2976</t>
  </si>
  <si>
    <t>01-2977</t>
  </si>
  <si>
    <t>01-2978</t>
  </si>
  <si>
    <t>01-2979</t>
  </si>
  <si>
    <t>01-2980</t>
  </si>
  <si>
    <t>01-2981</t>
  </si>
  <si>
    <t>01-2982</t>
  </si>
  <si>
    <t>01-2983</t>
  </si>
  <si>
    <t>01-2984</t>
  </si>
  <si>
    <t>01-2985</t>
  </si>
  <si>
    <t>01-2986</t>
  </si>
  <si>
    <t>01-2987</t>
  </si>
  <si>
    <t>01-2988</t>
  </si>
  <si>
    <t>01-2989</t>
  </si>
  <si>
    <t>01-2990</t>
  </si>
  <si>
    <t>01-2991</t>
  </si>
  <si>
    <t>01-2992</t>
  </si>
  <si>
    <t>01-2993</t>
  </si>
  <si>
    <t>01-2994</t>
  </si>
  <si>
    <t>01-2995</t>
  </si>
  <si>
    <t>01-2996</t>
  </si>
  <si>
    <t>01-2997</t>
  </si>
  <si>
    <t>01-2998</t>
  </si>
  <si>
    <t>01-2999</t>
  </si>
  <si>
    <t>01-3000</t>
  </si>
  <si>
    <t>01-3001</t>
  </si>
  <si>
    <t>01-3002</t>
  </si>
  <si>
    <t>01-3003</t>
  </si>
  <si>
    <t>01-3004</t>
  </si>
  <si>
    <t>01-3005</t>
  </si>
  <si>
    <t>01-3006</t>
  </si>
  <si>
    <t>01-3007</t>
  </si>
  <si>
    <t>01-3008</t>
  </si>
  <si>
    <t>01-3009</t>
  </si>
  <si>
    <t>01-3010</t>
  </si>
  <si>
    <t>01-3011</t>
  </si>
  <si>
    <t>01-3012</t>
  </si>
  <si>
    <t>01-3013</t>
  </si>
  <si>
    <t>01-3014</t>
  </si>
  <si>
    <t>01-3015</t>
  </si>
  <si>
    <t>01-3016</t>
  </si>
  <si>
    <t>01-3017</t>
  </si>
  <si>
    <t>01-3018</t>
  </si>
  <si>
    <t>01-3019</t>
  </si>
  <si>
    <t>01-3020</t>
  </si>
  <si>
    <t>01-3021</t>
  </si>
  <si>
    <t>01-3022</t>
  </si>
  <si>
    <t>01-3023</t>
  </si>
  <si>
    <t>01-3024</t>
  </si>
  <si>
    <t>01-3025</t>
  </si>
  <si>
    <t>01-3026</t>
  </si>
  <si>
    <t>01-3027</t>
  </si>
  <si>
    <t>01-3028</t>
  </si>
  <si>
    <t>01-3029</t>
  </si>
  <si>
    <t>01-3030</t>
  </si>
  <si>
    <t>01-3031</t>
  </si>
  <si>
    <t>01-3032</t>
  </si>
  <si>
    <t>01-3033</t>
  </si>
  <si>
    <t>01-3034</t>
  </si>
  <si>
    <t>01-3035</t>
  </si>
  <si>
    <t>01-3036</t>
  </si>
  <si>
    <t>01-3037</t>
  </si>
  <si>
    <t>01-3038</t>
  </si>
  <si>
    <t>01-3039</t>
  </si>
  <si>
    <t>01-3040</t>
  </si>
  <si>
    <t>17-300425</t>
  </si>
  <si>
    <t>01-3041</t>
  </si>
  <si>
    <t>45-300425</t>
  </si>
  <si>
    <t>01-3042</t>
  </si>
  <si>
    <t>01-3043</t>
  </si>
  <si>
    <t>01-3044</t>
  </si>
  <si>
    <t>01-3045</t>
  </si>
  <si>
    <t>0120200000836</t>
  </si>
  <si>
    <t>01-3046</t>
  </si>
  <si>
    <t>0329276349985</t>
  </si>
  <si>
    <t>01-3047</t>
  </si>
  <si>
    <t>01-3048</t>
  </si>
  <si>
    <t>01-3049</t>
  </si>
  <si>
    <t>01-3050</t>
  </si>
  <si>
    <t>01-3051</t>
  </si>
  <si>
    <t>01-3052</t>
  </si>
  <si>
    <t>01-3053</t>
  </si>
  <si>
    <t>01-3054</t>
  </si>
  <si>
    <t>01-3055</t>
  </si>
  <si>
    <t>01-3056</t>
  </si>
  <si>
    <t>01-3057</t>
  </si>
  <si>
    <t>01-3058</t>
  </si>
  <si>
    <t>reintegro de dinero,  debido a fallas de reportes por sistema en la nómina 2da quincena del mes de marzo 2025 se canceló doble el  bono adicional de 40$ con la tasa 68.70.</t>
  </si>
  <si>
    <t>0329277269955</t>
  </si>
  <si>
    <t>01-3059</t>
  </si>
  <si>
    <t>TRAMITE CONTENEDOR/MAQU PLANTA CEMENTO</t>
  </si>
  <si>
    <t xml:space="preserve"> EFECTOS POR COBRAR</t>
  </si>
  <si>
    <t>01-3060</t>
  </si>
  <si>
    <t>31-0304251</t>
  </si>
  <si>
    <t>01-3061</t>
  </si>
  <si>
    <t>01-3062</t>
  </si>
  <si>
    <t>01-3063</t>
  </si>
  <si>
    <t>01-3064</t>
  </si>
  <si>
    <t>01-3065</t>
  </si>
  <si>
    <t>01-3066</t>
  </si>
  <si>
    <t>01-3067</t>
  </si>
  <si>
    <t>01-3068</t>
  </si>
  <si>
    <t>01-3069</t>
  </si>
  <si>
    <t>0828662885640</t>
  </si>
  <si>
    <t>01-3070</t>
  </si>
  <si>
    <t>03-040425</t>
  </si>
  <si>
    <t>0100762893241</t>
  </si>
  <si>
    <t>01-3071</t>
  </si>
  <si>
    <t>0598117520236</t>
  </si>
  <si>
    <t>RETENCION INCE</t>
  </si>
  <si>
    <t>01-3072</t>
  </si>
  <si>
    <t>SERVC010E</t>
  </si>
  <si>
    <t>GASTOS PARAFISCALES INCES</t>
  </si>
  <si>
    <t>9884804042025</t>
  </si>
  <si>
    <t>01-3073</t>
  </si>
  <si>
    <t>0329277403803</t>
  </si>
  <si>
    <t>01-3074</t>
  </si>
  <si>
    <t>01-3075</t>
  </si>
  <si>
    <t>01-3076</t>
  </si>
  <si>
    <t>01-3077</t>
  </si>
  <si>
    <t>01-3078</t>
  </si>
  <si>
    <t>45-040425</t>
  </si>
  <si>
    <t>01-3079</t>
  </si>
  <si>
    <t>01-3080</t>
  </si>
  <si>
    <t>01-3081</t>
  </si>
  <si>
    <t>01-3082</t>
  </si>
  <si>
    <t>01-3083</t>
  </si>
  <si>
    <t>12-040425</t>
  </si>
  <si>
    <t>01-3084</t>
  </si>
  <si>
    <t>01-3085</t>
  </si>
  <si>
    <t>01-3086</t>
  </si>
  <si>
    <t>01-3087</t>
  </si>
  <si>
    <t>01-3088</t>
  </si>
  <si>
    <t>01-3089</t>
  </si>
  <si>
    <t>01-3090</t>
  </si>
  <si>
    <t>01-3091</t>
  </si>
  <si>
    <t>01-3092</t>
  </si>
  <si>
    <t>01-3093</t>
  </si>
  <si>
    <t>01-3094</t>
  </si>
  <si>
    <t>01-3095</t>
  </si>
  <si>
    <t>01-3096</t>
  </si>
  <si>
    <t>01-3097</t>
  </si>
  <si>
    <t>01-3098</t>
  </si>
  <si>
    <t>01-3099</t>
  </si>
  <si>
    <t>01-3100</t>
  </si>
  <si>
    <t>01-3101</t>
  </si>
  <si>
    <t>01-3102</t>
  </si>
  <si>
    <t>01-3103</t>
  </si>
  <si>
    <t>01-3104</t>
  </si>
  <si>
    <t>01-3105</t>
  </si>
  <si>
    <t>01-3106</t>
  </si>
  <si>
    <t>01-3107</t>
  </si>
  <si>
    <t>01-3108</t>
  </si>
  <si>
    <t>01-3109</t>
  </si>
  <si>
    <t>01-3110</t>
  </si>
  <si>
    <t>01-3111</t>
  </si>
  <si>
    <t>01-3112</t>
  </si>
  <si>
    <t>01-3113</t>
  </si>
  <si>
    <t>01-3114</t>
  </si>
  <si>
    <t>01-3115</t>
  </si>
  <si>
    <t>01-3116</t>
  </si>
  <si>
    <t>0329277408693</t>
  </si>
  <si>
    <t>01-3117</t>
  </si>
  <si>
    <t>0592363138043</t>
  </si>
  <si>
    <t>01-3118</t>
  </si>
  <si>
    <t>02-040425</t>
  </si>
  <si>
    <t>0590578934513</t>
  </si>
  <si>
    <t>01-3119</t>
  </si>
  <si>
    <t>0599117608135</t>
  </si>
  <si>
    <t>01-3120</t>
  </si>
  <si>
    <t>VENTA DE CONCRETO</t>
  </si>
  <si>
    <t>0329277669736</t>
  </si>
  <si>
    <t>01-3121</t>
  </si>
  <si>
    <t>01-3122</t>
  </si>
  <si>
    <t>01-3123</t>
  </si>
  <si>
    <t>01-3124</t>
  </si>
  <si>
    <t>01-3125</t>
  </si>
  <si>
    <t>01-3126</t>
  </si>
  <si>
    <t>01-3127</t>
  </si>
  <si>
    <t>01-3128</t>
  </si>
  <si>
    <t>01-3129</t>
  </si>
  <si>
    <t>01-3130</t>
  </si>
  <si>
    <t>01-3131</t>
  </si>
  <si>
    <t>01-3132</t>
  </si>
  <si>
    <t>01-3133</t>
  </si>
  <si>
    <t>01-3134</t>
  </si>
  <si>
    <t>01-3135</t>
  </si>
  <si>
    <t>01-3136</t>
  </si>
  <si>
    <t>01-3137</t>
  </si>
  <si>
    <t>01-3138</t>
  </si>
  <si>
    <t>01-3139</t>
  </si>
  <si>
    <t>01-3140</t>
  </si>
  <si>
    <t>01-3141</t>
  </si>
  <si>
    <t>01-3142</t>
  </si>
  <si>
    <t>01-3143</t>
  </si>
  <si>
    <t>01-3144</t>
  </si>
  <si>
    <t>01-3145</t>
  </si>
  <si>
    <t>01-3146</t>
  </si>
  <si>
    <t>01-3147</t>
  </si>
  <si>
    <t>01-3148</t>
  </si>
  <si>
    <t>01-3149</t>
  </si>
  <si>
    <t>01-3150</t>
  </si>
  <si>
    <t>01-3151</t>
  </si>
  <si>
    <t>0271313400001</t>
  </si>
  <si>
    <t>01-3152</t>
  </si>
  <si>
    <t>VENTA ARENA/BLOQUE</t>
  </si>
  <si>
    <t>0271318500001</t>
  </si>
  <si>
    <t>01-3153</t>
  </si>
  <si>
    <t>0271327600001</t>
  </si>
  <si>
    <t>01-3154</t>
  </si>
  <si>
    <t>VENTA CERNIDA</t>
  </si>
  <si>
    <t>0271323200001</t>
  </si>
  <si>
    <t>01-3155</t>
  </si>
  <si>
    <t>0590580273478</t>
  </si>
  <si>
    <t>01-3156</t>
  </si>
  <si>
    <t>0329277748990</t>
  </si>
  <si>
    <t>01-3157</t>
  </si>
  <si>
    <t>0329277893879</t>
  </si>
  <si>
    <t>01-3158</t>
  </si>
  <si>
    <t>01-3159</t>
  </si>
  <si>
    <t>01-3160</t>
  </si>
  <si>
    <t>01-3161</t>
  </si>
  <si>
    <t>01-3162</t>
  </si>
  <si>
    <t>01-3163</t>
  </si>
  <si>
    <t>01-3164</t>
  </si>
  <si>
    <t>01-3165</t>
  </si>
  <si>
    <t>01-3166</t>
  </si>
  <si>
    <t>01-3167</t>
  </si>
  <si>
    <t>01-3168</t>
  </si>
  <si>
    <t>01-3169</t>
  </si>
  <si>
    <t>01-3170</t>
  </si>
  <si>
    <t>0329278009669</t>
  </si>
  <si>
    <t>01-3171</t>
  </si>
  <si>
    <t>01-3172</t>
  </si>
  <si>
    <t>01-3173</t>
  </si>
  <si>
    <t>01-3174</t>
  </si>
  <si>
    <t>01-3175</t>
  </si>
  <si>
    <t>01-3176</t>
  </si>
  <si>
    <t>01-3177</t>
  </si>
  <si>
    <t>01-3178</t>
  </si>
  <si>
    <t>01-3179</t>
  </si>
  <si>
    <t>01-3180</t>
  </si>
  <si>
    <t>01-3181</t>
  </si>
  <si>
    <t>01-3182</t>
  </si>
  <si>
    <t>01-3183</t>
  </si>
  <si>
    <t>01-3184</t>
  </si>
  <si>
    <t>01-3185</t>
  </si>
  <si>
    <t>01-3186</t>
  </si>
  <si>
    <t>01-3187</t>
  </si>
  <si>
    <t>0329281466944</t>
  </si>
  <si>
    <t>01-3188</t>
  </si>
  <si>
    <t>01-3189</t>
  </si>
  <si>
    <t>01-3190</t>
  </si>
  <si>
    <t>01-3191</t>
  </si>
  <si>
    <t>01-3192</t>
  </si>
  <si>
    <t>01-3193</t>
  </si>
  <si>
    <t>01-3194</t>
  </si>
  <si>
    <t>01-3195</t>
  </si>
  <si>
    <t>01-3196</t>
  </si>
  <si>
    <t>12-110425</t>
  </si>
  <si>
    <t>01-3197</t>
  </si>
  <si>
    <t>01-3198</t>
  </si>
  <si>
    <t>01-3199</t>
  </si>
  <si>
    <t>01-3200</t>
  </si>
  <si>
    <t>01-3201</t>
  </si>
  <si>
    <t>01-3202</t>
  </si>
  <si>
    <t>01-3203</t>
  </si>
  <si>
    <t>01-3204</t>
  </si>
  <si>
    <t>01-3205</t>
  </si>
  <si>
    <t>01-3206</t>
  </si>
  <si>
    <t>01-3207</t>
  </si>
  <si>
    <t>01-3208</t>
  </si>
  <si>
    <t>01-3209</t>
  </si>
  <si>
    <t>01-3210</t>
  </si>
  <si>
    <t>01-3211</t>
  </si>
  <si>
    <t>01-3212</t>
  </si>
  <si>
    <t>01-3213</t>
  </si>
  <si>
    <t>01-3214</t>
  </si>
  <si>
    <t>0590582298108</t>
  </si>
  <si>
    <t>01-3215</t>
  </si>
  <si>
    <t>01-3216</t>
  </si>
  <si>
    <t>ELEIZER NICOLIELLO/HONORARIOS/INSPECC SINELEC-ELEVADOR</t>
  </si>
  <si>
    <t>HONORARIOS PROFESIONALES</t>
  </si>
  <si>
    <t>01-3217</t>
  </si>
  <si>
    <t>38-140425</t>
  </si>
  <si>
    <t>01-3218</t>
  </si>
  <si>
    <t>01-3219</t>
  </si>
  <si>
    <t>0329284490577</t>
  </si>
  <si>
    <t>01-3220</t>
  </si>
  <si>
    <t>01-3221</t>
  </si>
  <si>
    <t>01-3222</t>
  </si>
  <si>
    <t>01-3223</t>
  </si>
  <si>
    <t>01-3224</t>
  </si>
  <si>
    <t>0766825138662</t>
  </si>
  <si>
    <t>01-3225</t>
  </si>
  <si>
    <t>REINTEGRO/FACT 43 P/ERROR</t>
  </si>
  <si>
    <t>0329285285018</t>
  </si>
  <si>
    <t>01-3226</t>
  </si>
  <si>
    <t>0329285303117</t>
  </si>
  <si>
    <t>01-3227</t>
  </si>
  <si>
    <t>0429611820942</t>
  </si>
  <si>
    <t>01-3228</t>
  </si>
  <si>
    <t>01-3229</t>
  </si>
  <si>
    <t>01-3230</t>
  </si>
  <si>
    <t>01-3231</t>
  </si>
  <si>
    <t>01-3232</t>
  </si>
  <si>
    <t>SERVA004</t>
  </si>
  <si>
    <t>GASTOS CONTADOR</t>
  </si>
  <si>
    <t>01-3233</t>
  </si>
  <si>
    <t>01-3234</t>
  </si>
  <si>
    <t>SERVA015E</t>
  </si>
  <si>
    <t>01-3235</t>
  </si>
  <si>
    <t>01-3236</t>
  </si>
  <si>
    <t>01-3237</t>
  </si>
  <si>
    <t>01-3238</t>
  </si>
  <si>
    <t>01-3239</t>
  </si>
  <si>
    <t>01-3240</t>
  </si>
  <si>
    <t>01-3241</t>
  </si>
  <si>
    <t>01-3242</t>
  </si>
  <si>
    <t>01-3243</t>
  </si>
  <si>
    <t>01-3244</t>
  </si>
  <si>
    <t>01-3245</t>
  </si>
  <si>
    <t>01-3246</t>
  </si>
  <si>
    <t>0329285391207</t>
  </si>
  <si>
    <t>01-3247</t>
  </si>
  <si>
    <t>01-3248</t>
  </si>
  <si>
    <t>01-3249</t>
  </si>
  <si>
    <t>01-3250</t>
  </si>
  <si>
    <t>01-3251</t>
  </si>
  <si>
    <t>01-3252</t>
  </si>
  <si>
    <t>01-3253</t>
  </si>
  <si>
    <t>01-3254</t>
  </si>
  <si>
    <t>01-3255</t>
  </si>
  <si>
    <t>Argenis Flores/Eventual Megatech 21/04 AL 27/04</t>
  </si>
  <si>
    <t>01-3256</t>
  </si>
  <si>
    <t xml:space="preserve">CASTRO/FACT 552/INSTLA INTERNET P/OFICINA PLANTA CEMENTO </t>
  </si>
  <si>
    <t>01-3257</t>
  </si>
  <si>
    <t>FRANK MOSQUERA/FACT 302/MTTO CUARTOS ELECTR/LABO/REUNIONES-PLANTA CEMENTO</t>
  </si>
  <si>
    <t>01-3258</t>
  </si>
  <si>
    <t>Jesus Ramos/Eventual Gobernacion 21/04 AL 27/04</t>
  </si>
  <si>
    <t>01-3259</t>
  </si>
  <si>
    <t>LINO FLORE/CAMPAÑA YESO 21/04 AL 26/04</t>
  </si>
  <si>
    <t>01-3260</t>
  </si>
  <si>
    <t>JOSE CASTILLO/CAMPAÑA YESO 21/04 AL 26/04</t>
  </si>
  <si>
    <t>01-3261</t>
  </si>
  <si>
    <t>DIOSANNY ALVAREZ/FACT 248/ALMUERZO CAMPAÑA YESO</t>
  </si>
  <si>
    <t>01-3262</t>
  </si>
  <si>
    <t xml:space="preserve">MATERIALES SANTA LUCIA/FACT 5276/MINERALES </t>
  </si>
  <si>
    <t>01-3263</t>
  </si>
  <si>
    <t>MATERIALES SANTA LUCIA/FACT 5277/PLANTA CEMENTO</t>
  </si>
  <si>
    <t>01-3264</t>
  </si>
  <si>
    <t>RODA MANGUERA/FACT 1701/2CORREAS EXCAVADOR</t>
  </si>
  <si>
    <t>01-3265</t>
  </si>
  <si>
    <t>Elio Malpica/Eventual Megatech 21/04 AL 27/04</t>
  </si>
  <si>
    <t>01-3266</t>
  </si>
  <si>
    <t>Ruben Rivas/Eventual Megatech 21/04 AL 27/04</t>
  </si>
  <si>
    <t>01-3267</t>
  </si>
  <si>
    <t>Walner Oviedo/Eventual Megatech 21/04 AL 27/04</t>
  </si>
  <si>
    <t>01-3268</t>
  </si>
  <si>
    <t>ELIA MENDOZA/CAMPAÑA YESO 21/04 AL 26/04</t>
  </si>
  <si>
    <t>01-3269</t>
  </si>
  <si>
    <t>CORPORACION EP/FACT 5557/STOCK REPUEST CAMIONES-MINERALES</t>
  </si>
  <si>
    <t>01-3270</t>
  </si>
  <si>
    <t>01-3271</t>
  </si>
  <si>
    <t>01-3272</t>
  </si>
  <si>
    <t>01-3273</t>
  </si>
  <si>
    <t>01-3274</t>
  </si>
  <si>
    <t>01-3275</t>
  </si>
  <si>
    <t>01-3276</t>
  </si>
  <si>
    <t>01-3277</t>
  </si>
  <si>
    <t>01-3278</t>
  </si>
  <si>
    <t>01-3279</t>
  </si>
  <si>
    <t>01-3280</t>
  </si>
  <si>
    <t>01-3281</t>
  </si>
  <si>
    <t>01-3282</t>
  </si>
  <si>
    <t>01-3283</t>
  </si>
  <si>
    <t>01-3284</t>
  </si>
  <si>
    <t>01-3285</t>
  </si>
  <si>
    <t>01-3286</t>
  </si>
  <si>
    <t>01-3287</t>
  </si>
  <si>
    <t>01-3288</t>
  </si>
  <si>
    <t>01-3289</t>
  </si>
  <si>
    <t>01-3290</t>
  </si>
  <si>
    <t>01-3291</t>
  </si>
  <si>
    <t>01-3292</t>
  </si>
  <si>
    <t>01-3293</t>
  </si>
  <si>
    <t>0329288389927</t>
  </si>
  <si>
    <t>01-3294</t>
  </si>
  <si>
    <t>Douglas Pimentel/Eventual Gobernacion 21/04 AL 27/04</t>
  </si>
  <si>
    <t>01-3295</t>
  </si>
  <si>
    <t>Delios Adolfo Ferrara/Eventual Agregados 21/04 AL 27/04</t>
  </si>
  <si>
    <t>01-3296</t>
  </si>
  <si>
    <t>Miguel Torres/Eventual Gobernacion 21/04 AL 27/04</t>
  </si>
  <si>
    <t>01-3297</t>
  </si>
  <si>
    <t>Eliomar Jesús Escalona/Eventual Agregados 21/04 AL 27/04</t>
  </si>
  <si>
    <t>01-3298</t>
  </si>
  <si>
    <t>José Guillermo Cortez/Eventual Agregados 21/04 AL 27/04</t>
  </si>
  <si>
    <t>01-3299</t>
  </si>
  <si>
    <t>Darwuin Jesús Bullones/Eventual Agregados 21/04 AL 27/04</t>
  </si>
  <si>
    <t>01-3300</t>
  </si>
  <si>
    <t>Frank Armando García/Eventual Agregados 21/04 AL 27/04</t>
  </si>
  <si>
    <t>01-3301</t>
  </si>
  <si>
    <t>Federico Faneite/Eventual Gobernacion 21/04 AL 27/04</t>
  </si>
  <si>
    <t>01-3302</t>
  </si>
  <si>
    <t>Nicolas Alvarez/Eventual Gobernacion 21/04 AL 27/04</t>
  </si>
  <si>
    <t>01-3303</t>
  </si>
  <si>
    <t>Henrry Valera/Eventual Gobernacion 21/04 AL 27/04</t>
  </si>
  <si>
    <t>01-3304</t>
  </si>
  <si>
    <t>Pitter Puerta/Eventual Megatech 21/04 AL 27/04</t>
  </si>
  <si>
    <t>01-3305</t>
  </si>
  <si>
    <t>Wendy Gimenez/Eventual Gobernacion 21/04 AL 27/04</t>
  </si>
  <si>
    <t>01-3306</t>
  </si>
  <si>
    <t>Alirio Parra/Eventual Gobernacion 21/04 AL 27/04</t>
  </si>
  <si>
    <t>01-3307</t>
  </si>
  <si>
    <t>Brunito Segundo Cordero/Eventual Agregados 21/04 AL 27/04</t>
  </si>
  <si>
    <t>01-3308</t>
  </si>
  <si>
    <t>Alberto Luis Rojas/Eventual Agregados 21/04 AL 27/04</t>
  </si>
  <si>
    <t>01-3309</t>
  </si>
  <si>
    <t>Naiker Alexander Jimenez/Eventual Agregados 21/04 AL 27/04</t>
  </si>
  <si>
    <t>01-3310</t>
  </si>
  <si>
    <t>Angel Caldera/Eventual Gobernacion 21/04 AL 27/04</t>
  </si>
  <si>
    <t>01-3311</t>
  </si>
  <si>
    <t>Yonny Castillo/Eventual Megatech 21/04 AL 27/04</t>
  </si>
  <si>
    <t>01-3312</t>
  </si>
  <si>
    <t>Rafael Puertas/Eventual Gobernacion 21/04 AL 27/04</t>
  </si>
  <si>
    <t>01-3313</t>
  </si>
  <si>
    <t>Justiniano Rodriguez/Eventual Agregados 21/04 AL 27/04</t>
  </si>
  <si>
    <t>01-3314</t>
  </si>
  <si>
    <t>Francisco Castillo/Eventual Megatech 21/04 AL 27/04</t>
  </si>
  <si>
    <t>01-3315</t>
  </si>
  <si>
    <t>Jose Guevara/Eventual Megatech 21/04 AL 27/04</t>
  </si>
  <si>
    <t>01-3316</t>
  </si>
  <si>
    <t>Jose Castillo/Eventual Megatech 21/04 AL 27/04</t>
  </si>
  <si>
    <t>01-3317</t>
  </si>
  <si>
    <t>Armando Lopez /Eventual Agregados 21/04 AL 27/04</t>
  </si>
  <si>
    <t>01-3318</t>
  </si>
  <si>
    <t>Froilan Lopez/Eventual Agregados 21/04 AL 27/04</t>
  </si>
  <si>
    <t>01-3319</t>
  </si>
  <si>
    <t>Elvis Valles/Eventual Megatech 21/04 AL 27/04</t>
  </si>
  <si>
    <t>01-3320</t>
  </si>
  <si>
    <t>Estebez Maramara/Eventual Agregados 21/04 AL 27/04</t>
  </si>
  <si>
    <t>01-3321</t>
  </si>
  <si>
    <t>Rafael Quiroz/Eventual Gobernacion 21/04 AL 27/04</t>
  </si>
  <si>
    <t>01-3322</t>
  </si>
  <si>
    <t>01-3323</t>
  </si>
  <si>
    <t>Exson Rodriguez/Eventual Gobernacion 21/04 AL 27/04</t>
  </si>
  <si>
    <t>01-3324</t>
  </si>
  <si>
    <t>Omar Torrealba/Eventual Megatech 21/04 AL 27/04</t>
  </si>
  <si>
    <t>01-3325</t>
  </si>
  <si>
    <t>LEONARDO CHIRINO/OPERADORES 21/04 AL 26/04</t>
  </si>
  <si>
    <t>01-3326</t>
  </si>
  <si>
    <t>José Gregorio Perez/Eventual Agregados 21/04 AL 27/04</t>
  </si>
  <si>
    <t>01-3327</t>
  </si>
  <si>
    <t>Fareliz Arrieche/Eventual Gobernacion 21/04 AL 27/04</t>
  </si>
  <si>
    <t>01-3328</t>
  </si>
  <si>
    <t>Ramón Quintero/Eventual Agregados 21/04 AL 27/04</t>
  </si>
  <si>
    <t>01-3329</t>
  </si>
  <si>
    <t>Carlos Pacheco/Eventual Gobernacion 21/04 AL 27/04</t>
  </si>
  <si>
    <t>01-3330</t>
  </si>
  <si>
    <t>Andrés Armella/Eventual Gobernacion 21/04 AL 27/04</t>
  </si>
  <si>
    <t>01-3331</t>
  </si>
  <si>
    <t>Carlos Lopez/Eventual Agregados 21/04 AL 27/04</t>
  </si>
  <si>
    <t>01-3332</t>
  </si>
  <si>
    <t>Pedro Castillo/Eventual Gobernacion 21/04 AL 27/04</t>
  </si>
  <si>
    <t>01-3333</t>
  </si>
  <si>
    <t>Hector/Eventual Gobernacion 21/04 AL 27/04</t>
  </si>
  <si>
    <t>01-3334</t>
  </si>
  <si>
    <t>Antonio Castillo/Eventual Megatech 21/04 AL 27/04</t>
  </si>
  <si>
    <t>01-3335</t>
  </si>
  <si>
    <t>Julian Guedez/Eventual Megatech 21/04 AL 27/04</t>
  </si>
  <si>
    <t>01-3336</t>
  </si>
  <si>
    <t>JEFFERSON DAVILA/OPERADORES 21/04 AL 26/04</t>
  </si>
  <si>
    <t>01-3337</t>
  </si>
  <si>
    <t>Ingrid Reyes/Eventual Megatech 21/04 AL 27/04</t>
  </si>
  <si>
    <t>01-3338</t>
  </si>
  <si>
    <t>Carlos Daniel Rodriguez/Eventual Agregados 21/04 AL 27/04</t>
  </si>
  <si>
    <t>01-3339</t>
  </si>
  <si>
    <t>Carlos Castillo/Eventual Megatech 21/04 AL 27/04</t>
  </si>
  <si>
    <t>01-3340</t>
  </si>
  <si>
    <t>Alirio Parra/Eventual Megatech 21/04 AL 27/04</t>
  </si>
  <si>
    <t>01-3341</t>
  </si>
  <si>
    <t>Norys Ramos/Eventual Gobernacion 21/04 AL 27/04</t>
  </si>
  <si>
    <t>01-3342</t>
  </si>
  <si>
    <t>FREDY MENDOZA/CAMPAÑA YESO 21/04 AL 26/04</t>
  </si>
  <si>
    <t>01-3343</t>
  </si>
  <si>
    <t>BEATRIZ CASTILLO/OPERADORES 21/04 AL 26/04</t>
  </si>
  <si>
    <t>01-3344</t>
  </si>
  <si>
    <t>RAMON QUIROA/OPERADORES 21/04 AL 26/04</t>
  </si>
  <si>
    <t>01-3345</t>
  </si>
  <si>
    <t>Yordis Almao/Eventual Megatech 21/04 AL 27/04</t>
  </si>
  <si>
    <t>01-3346</t>
  </si>
  <si>
    <t>Victor Mendez/Eventual Megatech 21/04 AL 27/04</t>
  </si>
  <si>
    <t>01-3347</t>
  </si>
  <si>
    <t>Norys Ramos/Eventual Megatech 21/04 AL 27/04</t>
  </si>
  <si>
    <t>01-3348</t>
  </si>
  <si>
    <t>Fares Arrieche/Eventual Megatech 21/04 AL 27/04</t>
  </si>
  <si>
    <t>01-3349</t>
  </si>
  <si>
    <t>Alejandro Morales/Eventual Agregados 21/04 AL 27/04</t>
  </si>
  <si>
    <t>01-3350</t>
  </si>
  <si>
    <t>Euber José Juarez/Eventual Agregados 21/04 AL 27/04</t>
  </si>
  <si>
    <t>01-3351</t>
  </si>
  <si>
    <t>Ali Alberto Bullones/Eventual Agregados 21/04 AL 27/04</t>
  </si>
  <si>
    <t>01-3352</t>
  </si>
  <si>
    <t>Alberto Ali Bullones/Eventual Agregados 21/04 AL 27/04</t>
  </si>
  <si>
    <t>01-3353</t>
  </si>
  <si>
    <t>Jose Toledo/Eventual Gobernacion 21/04 AL 27/04</t>
  </si>
  <si>
    <t>01-3354</t>
  </si>
  <si>
    <t>Carlos Loyo/Eventual Megatech 21/04 AL 27/04</t>
  </si>
  <si>
    <t>01-3355</t>
  </si>
  <si>
    <t>Alberto Loyo/Eventual Megatech 21/04 AL 27/04</t>
  </si>
  <si>
    <t>01-3356</t>
  </si>
  <si>
    <t>Fareliz Arrieche/Eventual Megatech 21/04 AL 27/04</t>
  </si>
  <si>
    <t>01-3357</t>
  </si>
  <si>
    <t>Juan Pinto/Eventual Gobernacion 21/04 AL 27/04</t>
  </si>
  <si>
    <t>01-3358</t>
  </si>
  <si>
    <t>Fernando José Rodriguez/Eventual Agregados 21/04 AL 27/04</t>
  </si>
  <si>
    <t>01-3359</t>
  </si>
  <si>
    <t>Bruno Ali Cordero Bullones/Eventual Agregados 21/04 AL 27/04</t>
  </si>
  <si>
    <t>01-3360</t>
  </si>
  <si>
    <t>Juan López/Eventual Agregados 21/04 AL 27/04</t>
  </si>
  <si>
    <t>01-3361</t>
  </si>
  <si>
    <t>Luis Silveiro Colon Ojeda/Eventual Agregados 21/04 AL 27/04</t>
  </si>
  <si>
    <t>01-3362</t>
  </si>
  <si>
    <t>Alexander Castillo/Eventual Megatech 21/04 AL 27/04</t>
  </si>
  <si>
    <t>01-3363</t>
  </si>
  <si>
    <t>Edwin Rojas/Eventual Gobernacion 21/04 AL 27/04</t>
  </si>
  <si>
    <t>01-3364</t>
  </si>
  <si>
    <t>Emperatriz Leon/Eventual Megatech 21/04 AL 27/04</t>
  </si>
  <si>
    <t>01-3365</t>
  </si>
  <si>
    <t>AURELIANO/CAMPAÑA YESO 21/04 AL 26/04</t>
  </si>
  <si>
    <t>01-3366</t>
  </si>
  <si>
    <t>JULIAN CASTILLO/CAMPAÑA YESO 21/04 26/04</t>
  </si>
  <si>
    <t>01-3367</t>
  </si>
  <si>
    <t>01-3368</t>
  </si>
  <si>
    <t>01-3369</t>
  </si>
  <si>
    <t>01-3370</t>
  </si>
  <si>
    <t>01-3371</t>
  </si>
  <si>
    <t>01-3372</t>
  </si>
  <si>
    <t>01-3373</t>
  </si>
  <si>
    <t>01-3374</t>
  </si>
  <si>
    <t>01-3375</t>
  </si>
  <si>
    <t>01-3376</t>
  </si>
  <si>
    <t>01-3377</t>
  </si>
  <si>
    <t>01-3378</t>
  </si>
  <si>
    <t>01-3379</t>
  </si>
  <si>
    <t>01-3380</t>
  </si>
  <si>
    <t>01-3381</t>
  </si>
  <si>
    <t>01-3382</t>
  </si>
  <si>
    <t>01-3383</t>
  </si>
  <si>
    <t>01-3384</t>
  </si>
  <si>
    <t>01-3385</t>
  </si>
  <si>
    <t>01-3386</t>
  </si>
  <si>
    <t>01-3387</t>
  </si>
  <si>
    <t>01-3388</t>
  </si>
  <si>
    <t>01-3389</t>
  </si>
  <si>
    <t>01-3390</t>
  </si>
  <si>
    <t>01-3391</t>
  </si>
  <si>
    <t>01-3392</t>
  </si>
  <si>
    <t>01-3393</t>
  </si>
  <si>
    <t>01-3394</t>
  </si>
  <si>
    <t>01-3395</t>
  </si>
  <si>
    <t>01-3396</t>
  </si>
  <si>
    <t>01-3397</t>
  </si>
  <si>
    <t>01-3398</t>
  </si>
  <si>
    <t>01-3399</t>
  </si>
  <si>
    <t>01-3400</t>
  </si>
  <si>
    <t>01-3401</t>
  </si>
  <si>
    <t>01-3402</t>
  </si>
  <si>
    <t>01-3403</t>
  </si>
  <si>
    <t>01-3404</t>
  </si>
  <si>
    <t>01-3405</t>
  </si>
  <si>
    <t>01-3406</t>
  </si>
  <si>
    <t>01-3407</t>
  </si>
  <si>
    <t>01-3408</t>
  </si>
  <si>
    <t>01-3409</t>
  </si>
  <si>
    <t>01-3410</t>
  </si>
  <si>
    <t>01-3411</t>
  </si>
  <si>
    <t>01-3412</t>
  </si>
  <si>
    <t>01-3413</t>
  </si>
  <si>
    <t>01-3414</t>
  </si>
  <si>
    <t>01-3415</t>
  </si>
  <si>
    <t>01-3416</t>
  </si>
  <si>
    <t>01-3417</t>
  </si>
  <si>
    <t>01-3418</t>
  </si>
  <si>
    <t>01-3419</t>
  </si>
  <si>
    <t>01-3420</t>
  </si>
  <si>
    <t>01-3421</t>
  </si>
  <si>
    <t>01-3422</t>
  </si>
  <si>
    <t>01-3423</t>
  </si>
  <si>
    <t>01-3424</t>
  </si>
  <si>
    <t>01-3425</t>
  </si>
  <si>
    <t>01-3426</t>
  </si>
  <si>
    <t>01-3427</t>
  </si>
  <si>
    <t>01-3428</t>
  </si>
  <si>
    <t>01-3429</t>
  </si>
  <si>
    <t>01-3430</t>
  </si>
  <si>
    <t>01-3431</t>
  </si>
  <si>
    <t>01-3432</t>
  </si>
  <si>
    <t>01-3433</t>
  </si>
  <si>
    <t>01-3434</t>
  </si>
  <si>
    <t>01-3435</t>
  </si>
  <si>
    <t>01-3436</t>
  </si>
  <si>
    <t>01-3437</t>
  </si>
  <si>
    <t>01-3438</t>
  </si>
  <si>
    <t>01-3439</t>
  </si>
  <si>
    <t>01-3440</t>
  </si>
  <si>
    <t>0590588238488</t>
  </si>
  <si>
    <t>MATERIALES OBRAS GRIS/FACT 43/VENTA ARENA CERNIDA</t>
  </si>
  <si>
    <t>01-3441</t>
  </si>
  <si>
    <t>0329288669068</t>
  </si>
  <si>
    <t>01-3442</t>
  </si>
  <si>
    <t>CORPORACION EP/FACT 5559/STOCK REPUEST CAMIONES-MINERALES</t>
  </si>
  <si>
    <t>01-3443</t>
  </si>
  <si>
    <t>ALBERTO PERNALETTE/FACT 12/VIATICOS 28/04 AL 02/05</t>
  </si>
  <si>
    <t>01-3444</t>
  </si>
  <si>
    <t>INVER MATER PARRAS/752/INVE P/BARANDAS-CEMENTERA</t>
  </si>
  <si>
    <t>01-3445</t>
  </si>
  <si>
    <t xml:space="preserve">ALIMENTO AGRO/FACT 27682/BENEFICIOS MES ABRIL </t>
  </si>
  <si>
    <t>01-3446</t>
  </si>
  <si>
    <t>01-3447</t>
  </si>
  <si>
    <t>01-3448</t>
  </si>
  <si>
    <t>01-3449</t>
  </si>
  <si>
    <t>01-3450</t>
  </si>
  <si>
    <t>0329288799686</t>
  </si>
  <si>
    <t>01-3451</t>
  </si>
  <si>
    <t>VULCANIZADORA YARITAGUA/FACT 1624/REPAR CAUCHOS</t>
  </si>
  <si>
    <t>01-3452</t>
  </si>
  <si>
    <t>INVER MATERIALES PARRA/FACT 754/INVER TECHO EDIF HORNO</t>
  </si>
  <si>
    <t>01-3453</t>
  </si>
  <si>
    <t>01-3454</t>
  </si>
  <si>
    <t>01-3455</t>
  </si>
  <si>
    <t>PAMPA INDUSTRIAL/FACT 18522/BOTA LARGA NEGRA</t>
  </si>
  <si>
    <t>01-3456</t>
  </si>
  <si>
    <t>01-3457</t>
  </si>
  <si>
    <t>PEDRERA SANTA ROSA/FACT 37/VENTA ARENA CERNIDA</t>
  </si>
  <si>
    <t>01-3458</t>
  </si>
  <si>
    <t>PEDRERA SANTA ROSA/FACT 41/VENTA ARENA CERNIDA</t>
  </si>
  <si>
    <t>01-3459</t>
  </si>
  <si>
    <t>PEDRERA SANTA ROSA/FACT 53/VENTA ARENA CERNIDA</t>
  </si>
  <si>
    <t>01-3460</t>
  </si>
  <si>
    <t>01-3461</t>
  </si>
  <si>
    <t>01-3462</t>
  </si>
  <si>
    <t>01-3463</t>
  </si>
  <si>
    <t>04-310525</t>
  </si>
  <si>
    <t>JOSE MORALES/BONIFICACION ESPECIAL 15/05</t>
  </si>
  <si>
    <t>01-3464</t>
  </si>
  <si>
    <t>01-3465</t>
  </si>
  <si>
    <t>01-3466</t>
  </si>
  <si>
    <t>JOSE MORALES/BONIFICACION ESPECIAL 31/05</t>
  </si>
  <si>
    <t>01-3467</t>
  </si>
  <si>
    <t>01-3468</t>
  </si>
  <si>
    <t>01-3469</t>
  </si>
  <si>
    <t>01-3470</t>
  </si>
  <si>
    <t>DR. TORNILLO, C.A./FACT 9639 /TORNILLO MAQ. DE HACER  BLOQUES</t>
  </si>
  <si>
    <t>01-3471</t>
  </si>
  <si>
    <t>01-3472</t>
  </si>
  <si>
    <t>RODA MANGUERAS CHIVACOA C.A./ FACT 1736/ CONEXIONES MINERALES</t>
  </si>
  <si>
    <t>01-3473</t>
  </si>
  <si>
    <t>01-3474</t>
  </si>
  <si>
    <t xml:space="preserve">TRANSPORTE TDC/FACT56/VENTAS MATERIALES </t>
  </si>
  <si>
    <t>01-3475</t>
  </si>
  <si>
    <t>VENTA CEMENTOP-GRANZO-BLOQUES</t>
  </si>
  <si>
    <t>Edwuard Almeida/Eventual Megatech 26/05/25 AL 01/06/25</t>
  </si>
  <si>
    <t>01-3476</t>
  </si>
  <si>
    <t xml:space="preserve">EMPRENDIMIENTO DIOSANNY ALVAREZ/FACT 260/ ALMUERZOS CAMPAÑA DE YESO </t>
  </si>
  <si>
    <t>01-3477</t>
  </si>
  <si>
    <t>01-3478</t>
  </si>
  <si>
    <t>01-3479</t>
  </si>
  <si>
    <t>Henrry Valera/Eventual Gobernacion 28/04/25 AL 04/05/25</t>
  </si>
  <si>
    <t>01-3480</t>
  </si>
  <si>
    <t>Brunito Segundo Cordero/Eventual Agregados 28/04/25 AL 04/05/25</t>
  </si>
  <si>
    <t>01-3481</t>
  </si>
  <si>
    <t>Delios Adolfo Ferrara/Eventual Agregados 28/04/25 AL 04/05/25</t>
  </si>
  <si>
    <t>01-3482</t>
  </si>
  <si>
    <t>Eliomar Jesús Escalona/Eventual Agregados 28/04/25 AL 04/05/25</t>
  </si>
  <si>
    <t>01-3483</t>
  </si>
  <si>
    <t>José Guillermo Cortez/Eventual Agregados 28/04/25 AL 04/05/25</t>
  </si>
  <si>
    <t>01-3484</t>
  </si>
  <si>
    <t>Darwuin Jesús Bullones/Eventual Agregados 28/04/25 AL 04/05/25</t>
  </si>
  <si>
    <t>01-3485</t>
  </si>
  <si>
    <t>Frank Armando García/Eventual Agregados 28/04/25 AL 04/05/25</t>
  </si>
  <si>
    <t>01-3486</t>
  </si>
  <si>
    <t>Alberto Luis Rojas/Eventual Agregados 28/04/25 AL 04/05/25</t>
  </si>
  <si>
    <t>01-3487</t>
  </si>
  <si>
    <t>Naiker Alexander Jimenez/Eventual Agregados 28/04/25 AL 04/05/25</t>
  </si>
  <si>
    <t>01-3488</t>
  </si>
  <si>
    <t>José Gregorio Perez/Eventual Agregados 28/04/25 AL 04/05/25</t>
  </si>
  <si>
    <t>01-3489</t>
  </si>
  <si>
    <t>Carlos Daniel Rodriguez/Eventual Agregados 28/04/25 AL 04/05/25</t>
  </si>
  <si>
    <t>01-3490</t>
  </si>
  <si>
    <t>Alejandro Morales/Eventual Agregados 28/04/25 AL 04/05/25</t>
  </si>
  <si>
    <t>01-3491</t>
  </si>
  <si>
    <t>Euber José Juarez/Eventual Agregados 28/04/25 AL 04/05/25</t>
  </si>
  <si>
    <t>01-3492</t>
  </si>
  <si>
    <t>Ali Alberto Bullones/Eventual Agregados 28/04/25 AL 04/05/25</t>
  </si>
  <si>
    <t>01-3493</t>
  </si>
  <si>
    <t>Alberto Ali Bullones/Eventual Agregados 28/04/25 AL 04/05/25</t>
  </si>
  <si>
    <t>01-3494</t>
  </si>
  <si>
    <t>Fernando José Rodriguez/Eventual Agregados 28/04/25 AL 04/05/25</t>
  </si>
  <si>
    <t>01-3495</t>
  </si>
  <si>
    <t>Federico Faneite/Eventual Gobernacion 28/04/25 AL 04/05/25</t>
  </si>
  <si>
    <t>01-3496</t>
  </si>
  <si>
    <t>Fareliz Arrieche/Eventual Gobernacion 28/04/25 AL 04/05/25</t>
  </si>
  <si>
    <t>01-3497</t>
  </si>
  <si>
    <t>Alirio Parra/Eventual Gobernacion 28/04/25 AL 04/05/25</t>
  </si>
  <si>
    <t>01-3498</t>
  </si>
  <si>
    <t>Justiniano Rodriguez/Eventual Agregados 28/04/25 AL 04/05/25</t>
  </si>
  <si>
    <t>01-3499</t>
  </si>
  <si>
    <t>Armando Lopez /Eventual Agregados 28/04/25 AL 04/05/25</t>
  </si>
  <si>
    <t>01-3500</t>
  </si>
  <si>
    <t>Froilan Lopez/Eventual Agregados 28/04/25 AL 04/05/25</t>
  </si>
  <si>
    <t>01-3501</t>
  </si>
  <si>
    <t>Ramón Quintero/Eventual Agregados 28/04/25 AL 04/05/25</t>
  </si>
  <si>
    <t>01-3502</t>
  </si>
  <si>
    <t>Juan López/Eventual Agregados 28/04/25 AL 04/05/25</t>
  </si>
  <si>
    <t>01-3503</t>
  </si>
  <si>
    <t>Jesus Ramos/Eventual Gobernacion 28/04/25 AL 04/05/25</t>
  </si>
  <si>
    <t>01-3504</t>
  </si>
  <si>
    <t>Exson Rodriguez/Eventual Gobernacion 28/04/25 AL 04/05/25</t>
  </si>
  <si>
    <t>01-3505</t>
  </si>
  <si>
    <t>Douglas Pimentel/Eventual Gobernacion 28/04/25 AL 04/05/25</t>
  </si>
  <si>
    <t>01-3506</t>
  </si>
  <si>
    <t>Pedro Castillo/Eventual Gobernacion 28/04/25 AL 04/05/25</t>
  </si>
  <si>
    <t>01-3507</t>
  </si>
  <si>
    <t>Miguel Torres/Eventual Gobernacion 28/04/25 AL 04/05/25</t>
  </si>
  <si>
    <t>01-3508</t>
  </si>
  <si>
    <t>Wendy Gimenez/Eventual Gobernacion 28/04/25 AL 04/05/25</t>
  </si>
  <si>
    <t>01-3509</t>
  </si>
  <si>
    <t>Nicolas Alvarez/Eventual Gobernacion 28/04/25 AL 04/05/25</t>
  </si>
  <si>
    <t>01-3510</t>
  </si>
  <si>
    <t>Rafael Puertas/Eventual Gobernacion 28/04/25 AL 04/05/25</t>
  </si>
  <si>
    <t>01-3511</t>
  </si>
  <si>
    <t>Carlos Pacheco/Eventual Gobernacion 28/04/25 AL 04/05/25</t>
  </si>
  <si>
    <t>01-3512</t>
  </si>
  <si>
    <t>Andrés Armella/Eventual Gobernacion 28/04/25 AL 04/05/25</t>
  </si>
  <si>
    <t>01-3513</t>
  </si>
  <si>
    <t>Jose Toledo/Eventual Gobernacion 28/04/25 AL 04/05/25</t>
  </si>
  <si>
    <t>01-3514</t>
  </si>
  <si>
    <t>Juan Pinto/Eventual Gobernacion 28/04/25 AL 04/05/25</t>
  </si>
  <si>
    <t>01-3515</t>
  </si>
  <si>
    <t>Angel Caldera/Eventual Gobernacion 28/04/25 AL 04/05/25</t>
  </si>
  <si>
    <t>01-3516</t>
  </si>
  <si>
    <t>Carlos Lopez/Eventual Agregados 28/04/25 AL 04/05/25</t>
  </si>
  <si>
    <t>01-3517</t>
  </si>
  <si>
    <t>Edwin Rojas/Eventual Gobernacion 28/04/25 AL 04/05/25</t>
  </si>
  <si>
    <t>01-3518</t>
  </si>
  <si>
    <t>Bruno Ali Cordero Bullones/Eventual Agregados 28/04/25 AL 04/05/25</t>
  </si>
  <si>
    <t>01-3519</t>
  </si>
  <si>
    <t>Hector/Eventual Gobernacion 28/04/25 AL 04/05/25</t>
  </si>
  <si>
    <t>01-3520</t>
  </si>
  <si>
    <t>Rafael Quiroz/Eventual Gobernacion 28/04/25 AL 04/05/25</t>
  </si>
  <si>
    <t>01-3521</t>
  </si>
  <si>
    <t>Estebez Maramara/Eventual Agregados 28/04/25 AL 04/05/25</t>
  </si>
  <si>
    <t>01-3522</t>
  </si>
  <si>
    <t>Argenis Flores/Eventual Megatech 28/04/25 AL 04/05/25</t>
  </si>
  <si>
    <t>01-3523</t>
  </si>
  <si>
    <t>Norys Ramos/Eventual Gobernacion 28/04/25 AL 04/05/25</t>
  </si>
  <si>
    <t>01-3524</t>
  </si>
  <si>
    <t>Luis Silveiro Colon Ojeda/Eventual Agregados 28/04/25 AL 04/05/25</t>
  </si>
  <si>
    <t>01-3525</t>
  </si>
  <si>
    <t>Pitter Puerta/Eventual Megatech 28/04/25 AL 04/05/25</t>
  </si>
  <si>
    <t>01-3526</t>
  </si>
  <si>
    <t>Walner Oviedo/Eventual Megatech 28/04/25 AL 04/05/25</t>
  </si>
  <si>
    <t>01-3527</t>
  </si>
  <si>
    <t>Yonny Castillo/Eventual Megatech 28/04/25 AL 04/05/25</t>
  </si>
  <si>
    <t>01-3528</t>
  </si>
  <si>
    <t>Francisco Castillo/Eventual Megatech 28/04/25 AL 04/05/25</t>
  </si>
  <si>
    <t>01-3529</t>
  </si>
  <si>
    <t>Antonio Castillo/Eventual Megatech 28/04/25 AL 04/05/25</t>
  </si>
  <si>
    <t>01-3530</t>
  </si>
  <si>
    <t>Jose Guevara/Eventual Megatech 28/04/25 AL 04/05/25</t>
  </si>
  <si>
    <t>01-3531</t>
  </si>
  <si>
    <t>Jose Castillo/Eventual Megatech 28/04/25 AL 04/05/25</t>
  </si>
  <si>
    <t>01-3532</t>
  </si>
  <si>
    <t>Elvis Valles/Eventual Megatech 28/04/25 AL 04/05/25</t>
  </si>
  <si>
    <t>01-3533</t>
  </si>
  <si>
    <t>01-3534</t>
  </si>
  <si>
    <t>Omar Torrealba/Eventual Megatech 28/04/25 AL 04/05/25</t>
  </si>
  <si>
    <t>01-3535</t>
  </si>
  <si>
    <t>Carlos Castillo/Eventual Megatech 28/04/25 AL 04/05/25</t>
  </si>
  <si>
    <t>01-3536</t>
  </si>
  <si>
    <t>Julian Guedez/Eventual Megatech 28/04/25 AL 04/05/25</t>
  </si>
  <si>
    <t>01-3537</t>
  </si>
  <si>
    <t>Yordis Almao/Eventual Megatech 28/04/25 AL 04/05/25</t>
  </si>
  <si>
    <t>01-3538</t>
  </si>
  <si>
    <t>Victor Mendez/Eventual Megatech 28/04/25 AL 04/05/25</t>
  </si>
  <si>
    <t>01-3539</t>
  </si>
  <si>
    <t>Carlos Loyo/Eventual Megatech 28/04/25 AL 04/05/25</t>
  </si>
  <si>
    <t>01-3540</t>
  </si>
  <si>
    <t>Alberto Loyo/Eventual Megatech 28/04/25 AL 04/05/25</t>
  </si>
  <si>
    <t>01-3541</t>
  </si>
  <si>
    <t>Yerry Rodríguez/Eventual Megatech 28/04/25 AL 04/05/25</t>
  </si>
  <si>
    <t>01-3542</t>
  </si>
  <si>
    <t>Elio Malpica/Eventual Megatech 28/04/25 AL 04/05/25</t>
  </si>
  <si>
    <t>01-3543</t>
  </si>
  <si>
    <t>Alexander Castillo/Eventual Megatech 28/04/25 AL 04/05/25</t>
  </si>
  <si>
    <t>01-3544</t>
  </si>
  <si>
    <t>Fareliz Arrieche/Eventual Megatech 28/04/25 AL 04/05/25</t>
  </si>
  <si>
    <t>01-3545</t>
  </si>
  <si>
    <t>Ruben Rivas/Eventual Megatech 28/04/25 AL 04/05/25</t>
  </si>
  <si>
    <t>01-3546</t>
  </si>
  <si>
    <t>NORYS RAMOS/RESFRIGERIO TOPOGRAFO CAMPAÑA 21/04 AL 25/04</t>
  </si>
  <si>
    <t>01-3547</t>
  </si>
  <si>
    <t>13-020525</t>
  </si>
  <si>
    <t>Alirio Parra/Eventual Megatech 28/04/25 AL 04/05/25</t>
  </si>
  <si>
    <t>01-3548</t>
  </si>
  <si>
    <t>Fares Arrieche/Eventual Megatech 28/04/25 AL 04/05/25</t>
  </si>
  <si>
    <t>01-3549</t>
  </si>
  <si>
    <t>Norys Ramos/Eventual Megatech 28/04/25 AL 04/05/25</t>
  </si>
  <si>
    <t>01-3550</t>
  </si>
  <si>
    <t>Emperatriz Leon/Eventual Megatech 28/04/25 AL 04/05/25</t>
  </si>
  <si>
    <t>01-3551</t>
  </si>
  <si>
    <t>Ingrid Reyes/Eventual Megatech 28/04/25 AL 04/05/25</t>
  </si>
  <si>
    <t>01-3552</t>
  </si>
  <si>
    <t>01-3553</t>
  </si>
  <si>
    <t>01-3554</t>
  </si>
  <si>
    <t>Brunito Segundo Cordero/Eventual Agregados 28/04/25 AL 04/05/25-DIFE</t>
  </si>
  <si>
    <t>01-3555</t>
  </si>
  <si>
    <t>01-3556</t>
  </si>
  <si>
    <t>01-3557</t>
  </si>
  <si>
    <t xml:space="preserve">CORPORCACION ERDS/FACT 1759/INVER P/TECHOS-MINERALES YARACUY </t>
  </si>
  <si>
    <t>01-3558</t>
  </si>
  <si>
    <t xml:space="preserve">TRANSPORTE Y COMERCIALIZADORA NJG/FACT 829/ARTI. DE OFICINA </t>
  </si>
  <si>
    <t>01-3559</t>
  </si>
  <si>
    <t xml:space="preserve">DISTRIBUIDORA FLORICOLOR DEL OESTE, C.A/FACT 1460/MINERALES YARACUY </t>
  </si>
  <si>
    <t>01-3560</t>
  </si>
  <si>
    <t>PAGO A PROVEEDOR OTROS BCO</t>
  </si>
  <si>
    <t>01-3561</t>
  </si>
  <si>
    <t>01-3562</t>
  </si>
  <si>
    <t>CORPOELEC/FACT 2258/31-12-24 AL 29-01-25</t>
  </si>
  <si>
    <t>SERVICIO DE ENERGIA ELECTRICA</t>
  </si>
  <si>
    <t>01-3563</t>
  </si>
  <si>
    <t>SERVL003</t>
  </si>
  <si>
    <t>GASTOS ELECTRICIDAD</t>
  </si>
  <si>
    <t>29-050525</t>
  </si>
  <si>
    <t>CORPOELEC/FACT 68081/31-01-25 AL 28-02-25</t>
  </si>
  <si>
    <t>01-3564</t>
  </si>
  <si>
    <t>CORPOELEC/FACT 99207/01-03-25 AL 31-03-25</t>
  </si>
  <si>
    <t>01-3565</t>
  </si>
  <si>
    <t>CORPOELEC/FACT 52078/01-04-25 AL 11-04-25</t>
  </si>
  <si>
    <t>01-3566</t>
  </si>
  <si>
    <t>INVERSIONES AB 2000/FACT 57/VENTA CONCRETO/CEMENTO.</t>
  </si>
  <si>
    <t>01-3567</t>
  </si>
  <si>
    <t>VENTA CONCRETO PREMEZCLADO/CEMENTO</t>
  </si>
  <si>
    <t>01-3568</t>
  </si>
  <si>
    <t>01-3569</t>
  </si>
  <si>
    <t>GEORMAN LEANDRO MOLINA RAMIREZ/FACT 257/ FLETE PALA MINERALES</t>
  </si>
  <si>
    <t>01-3570</t>
  </si>
  <si>
    <t>DISTRIBUIDORA FLORICOLOR DEL OESTE, C.A/FACT 1463/MINERALES YARACUY</t>
  </si>
  <si>
    <t>01-3571</t>
  </si>
  <si>
    <t xml:space="preserve">TRANSPORTE/FACT 56/REINTEGRO DE IVA </t>
  </si>
  <si>
    <t>01-3572</t>
  </si>
  <si>
    <t>REINTEGRO DE IVA</t>
  </si>
  <si>
    <t>el dia 02-05-25 transporte le cancelo la totalidad de esta fact agregados -agregados le reintegra a transporte la retención del iva</t>
  </si>
  <si>
    <t>01-3573</t>
  </si>
  <si>
    <t>01-3574</t>
  </si>
  <si>
    <t>TIMBRES FISCALES/TALONARIO ACARREO PLANTA MINERALES</t>
  </si>
  <si>
    <t>01-3575</t>
  </si>
  <si>
    <t>07-060525</t>
  </si>
  <si>
    <t>01-3576</t>
  </si>
  <si>
    <t>01-3577</t>
  </si>
  <si>
    <t>CORPOMUEBLES OFFICE C.A/FACT A-00096/Mesas para sala de reuniones (cementera)</t>
  </si>
  <si>
    <t>01-3578</t>
  </si>
  <si>
    <t>01-3579</t>
  </si>
  <si>
    <t>01-3580</t>
  </si>
  <si>
    <t>01-3581</t>
  </si>
  <si>
    <t>FREDY MENDOZA/CAMPAÑA YESO 05/05 AL 09/05</t>
  </si>
  <si>
    <t>01-3582</t>
  </si>
  <si>
    <t>JULIAN CASTILLO/CAMPAÑA DE YESO 05/05 AL 09/05</t>
  </si>
  <si>
    <t>01-3583</t>
  </si>
  <si>
    <t>AUREALEANO LEON/CAMPAÑA YESO 05/05 AL 09/05</t>
  </si>
  <si>
    <t>01-3584</t>
  </si>
  <si>
    <t>ELIA MENDOZA/CAMPAÑA YESO 05/05 AL 09/05</t>
  </si>
  <si>
    <t>01-3585</t>
  </si>
  <si>
    <t>JEFERSON DAVILA/CAMPAÑA YESO 05/05 AL 09/05</t>
  </si>
  <si>
    <t>01-3586</t>
  </si>
  <si>
    <t>BEATRIZ/CAMPAÑA YESO 05/05 AL 09/05</t>
  </si>
  <si>
    <t>01-3587</t>
  </si>
  <si>
    <t>RAMON QUIROGAS/CAMPAÑA YESO 05/05 AL 09/05</t>
  </si>
  <si>
    <t>01-3588</t>
  </si>
  <si>
    <t>LEONARDO CHIRINOS/CAMPAÑA YESO 05/05 AL 09/05</t>
  </si>
  <si>
    <t>01-3589</t>
  </si>
  <si>
    <t>NORYS RAMOS/COMIDA TOPOGRAFO CAMPAÑA DE YESO 05/05 AL 09/05</t>
  </si>
  <si>
    <t>01-3590</t>
  </si>
  <si>
    <t>13-090525</t>
  </si>
  <si>
    <t>OLGA OROZCO/HOSPEDAJE CALIZA 05/05 AL 09/05</t>
  </si>
  <si>
    <t>01-3591</t>
  </si>
  <si>
    <t>45-090525</t>
  </si>
  <si>
    <t>EMPRENDIMIENTO DIOSANNY ALVAREZ/FACT 5320/ DESAYUNOS, ALMUERZO CAMP.YESO</t>
  </si>
  <si>
    <t>01-3592</t>
  </si>
  <si>
    <t xml:space="preserve">EMPRENDIMIENTO DIOSANNY ALVAREZ/FACT 275/ ALMUERZOS Y VIATOCOS </t>
  </si>
  <si>
    <t>01-3593</t>
  </si>
  <si>
    <t>DISTRIBUIDORA DIAR, C.A./FACT 723/sociada al excavador del yeso</t>
  </si>
  <si>
    <t>01-3594</t>
  </si>
  <si>
    <t>MIGUEL RODRIGUEZ/REPOSICION CAJA CHICA</t>
  </si>
  <si>
    <t>CAJA PRINCIPAL</t>
  </si>
  <si>
    <t>01-3595</t>
  </si>
  <si>
    <t>REPOSICION CAJA CHICA</t>
  </si>
  <si>
    <t>MATERIALES SANTA LUCIA, C.A./FACT 5320/DONATIVO</t>
  </si>
  <si>
    <t>01-3596</t>
  </si>
  <si>
    <t>SERVA043</t>
  </si>
  <si>
    <t>DONATIVO</t>
  </si>
  <si>
    <t>MATERIALES SANTA LUCIA, C.A./FACT 5319/PLANTA DE CEMENTO</t>
  </si>
  <si>
    <t>01-3597</t>
  </si>
  <si>
    <t>01-3598</t>
  </si>
  <si>
    <t>12-090525</t>
  </si>
  <si>
    <t>01-3599</t>
  </si>
  <si>
    <t>01-3600</t>
  </si>
  <si>
    <t>01-3601</t>
  </si>
  <si>
    <t>01-3602</t>
  </si>
  <si>
    <t>ISLR/PERIODO ABRIL 2025</t>
  </si>
  <si>
    <t>01-3603</t>
  </si>
  <si>
    <t>02-090525</t>
  </si>
  <si>
    <t>01-3604</t>
  </si>
  <si>
    <t>TALONARIO GUIAS ACARREOS P/EXTRACCION MATERIAL</t>
  </si>
  <si>
    <t>01-3605</t>
  </si>
  <si>
    <t>08-120525</t>
  </si>
  <si>
    <t>01-3606</t>
  </si>
  <si>
    <t>2DA COUTAS REGALIA TALONARIO GUIAS ACARREOS  P/EXTRACCION MATERIAL</t>
  </si>
  <si>
    <t>01-3607</t>
  </si>
  <si>
    <t>01-3608</t>
  </si>
  <si>
    <t>01-3609</t>
  </si>
  <si>
    <t>01-3610</t>
  </si>
  <si>
    <t>01-3611</t>
  </si>
  <si>
    <t>MAQUINARIAS LORENZI C A/FACT 30847/Dientes 4 para la retroescabadora</t>
  </si>
  <si>
    <t>01-3612</t>
  </si>
  <si>
    <t>01-3613</t>
  </si>
  <si>
    <t>VULCANIZADORA YARITAGUA MANUEL MOGOLLON, C.A./FACT 1628/pago reparacion de Camión Cava de Tendencias</t>
  </si>
  <si>
    <t>01-3614</t>
  </si>
  <si>
    <t>01-3615</t>
  </si>
  <si>
    <t>PAGO DIFE TASA/TALONARIOS/MINERALES</t>
  </si>
  <si>
    <t>01-3616</t>
  </si>
  <si>
    <t>08-140525</t>
  </si>
  <si>
    <t>01-3617</t>
  </si>
  <si>
    <t>PAGO TIMBRE FISCALES/MINERALES</t>
  </si>
  <si>
    <t>01-3618</t>
  </si>
  <si>
    <t>07-140525</t>
  </si>
  <si>
    <t>01-3619</t>
  </si>
  <si>
    <t>PAGO TIMBRE FISCALES/MINERALES 4TA REGALIA</t>
  </si>
  <si>
    <t>01-3620</t>
  </si>
  <si>
    <t>01-3621</t>
  </si>
  <si>
    <t>01-3622</t>
  </si>
  <si>
    <t xml:space="preserve">GLOBAL ACERO/FACT 52/INVER PLETINA P/PERSONAL HINDU PLANTA CEMENTO </t>
  </si>
  <si>
    <t>01-3623</t>
  </si>
  <si>
    <t>01-3624</t>
  </si>
  <si>
    <t xml:space="preserve">RESGUARDO AB, R./FACT 208/ 1QNA MAYO MINERALES </t>
  </si>
  <si>
    <t>01-3625</t>
  </si>
  <si>
    <t>01-3626</t>
  </si>
  <si>
    <t>TRANSPORTE Y SERVICIO TDC C.A/FACT  00000068/ GASTOS DE NOMINA MINERALES</t>
  </si>
  <si>
    <t>01-3627</t>
  </si>
  <si>
    <t>01-3628</t>
  </si>
  <si>
    <t>INVERSIONES AB/FACT 33/INSUMOS CONSTRUCCION PLANTA CEMENTO</t>
  </si>
  <si>
    <t>01-3629</t>
  </si>
  <si>
    <t>MOVIMINETO NECESARIO</t>
  </si>
  <si>
    <t>01-3630</t>
  </si>
  <si>
    <t>ALEJOS, RODOLFO/BONO COMPL 15-05-25/OPER</t>
  </si>
  <si>
    <t>01-3631</t>
  </si>
  <si>
    <t>BASTIDA, JOSE/BONO COMPL 15-05-25/OPER</t>
  </si>
  <si>
    <t>01-3632</t>
  </si>
  <si>
    <t>CHIRINOS, RAFAEL/BONO COMPL 15-05-25/OPER</t>
  </si>
  <si>
    <t>01-3633</t>
  </si>
  <si>
    <t>ALVARADO, EDDY/BONO COMPL 15-05-25/OPER</t>
  </si>
  <si>
    <t>01-3634</t>
  </si>
  <si>
    <t>DAZA, VICTOR/BONO COMPL 15-05-25/OPER</t>
  </si>
  <si>
    <t>01-3635</t>
  </si>
  <si>
    <t>GARCIA, JASON/BONO COMPL 15-05-25/OPER</t>
  </si>
  <si>
    <t>01-3636</t>
  </si>
  <si>
    <t>GALEANO, FRANCISCO/BONO COMPL 15-05-25/OPER</t>
  </si>
  <si>
    <t>01-3637</t>
  </si>
  <si>
    <t>LINAREZ, PEDRO/BONO COMPL 15-05-25/OPER</t>
  </si>
  <si>
    <t>01-3638</t>
  </si>
  <si>
    <t>MANZO, JESMAIYELIT/BONO COMPL 15-05-25/ADM</t>
  </si>
  <si>
    <t>01-3639</t>
  </si>
  <si>
    <t>GUTIERREZ, PRESCILIANO/BONO COMPL 15-05-25/OPER</t>
  </si>
  <si>
    <t>01-3640</t>
  </si>
  <si>
    <t>GUEDEZ JOSE/BONO COMPL 15-05-25/OPER</t>
  </si>
  <si>
    <t>01-3641</t>
  </si>
  <si>
    <t>LINAREZ, SANTIAGO/BONO COMPL 15-05-25/OPER</t>
  </si>
  <si>
    <t>01-3642</t>
  </si>
  <si>
    <t>PEREZ, JOSE ROLANDO/BONO COMPL 15-05-25/OPER</t>
  </si>
  <si>
    <t>01-3643</t>
  </si>
  <si>
    <t>LOPEZ ,MANOLO/BONO COMPL 15-05-25/ADM</t>
  </si>
  <si>
    <t>01-3644</t>
  </si>
  <si>
    <t>POLANCO, FRANKLIN/BONO COMPL 15-05-25/OPER</t>
  </si>
  <si>
    <t>01-3645</t>
  </si>
  <si>
    <t>MARTINEZ JUAN/BONO COMPL 15-05-25/OPER</t>
  </si>
  <si>
    <t>01-3646</t>
  </si>
  <si>
    <t>PEREZ, CARLOS/BONO COMPL 15-05-25/OPER</t>
  </si>
  <si>
    <t>01-3647</t>
  </si>
  <si>
    <t>NOGUERA, OSCAR/BONO COMPL 15-05-25/OPER</t>
  </si>
  <si>
    <t>01-3648</t>
  </si>
  <si>
    <t>QUERALES ,EDIXON/BONO COMPL 15-05-25/OPER</t>
  </si>
  <si>
    <t>01-3649</t>
  </si>
  <si>
    <t>PUERTAS, TEODORO/BONO COMPL 15-05-25/OPER</t>
  </si>
  <si>
    <t>01-3650</t>
  </si>
  <si>
    <t>QUERALES, HERMES/BONO COMPL 15-05-25/OPER</t>
  </si>
  <si>
    <t>01-3651</t>
  </si>
  <si>
    <t>RAGA NELIDO/BONO COMPL 15-05-25/ADM</t>
  </si>
  <si>
    <t>01-3652</t>
  </si>
  <si>
    <t>RANGEL GUSTAVO/BONO COMPL 15-05-25/ADM</t>
  </si>
  <si>
    <t>01-3653</t>
  </si>
  <si>
    <t>REVERON, RAMON/BONO COMPL 15-05-25/OPER</t>
  </si>
  <si>
    <t>01-3654</t>
  </si>
  <si>
    <t>RODRIGUEZ, MIGUEL/BONO COMPL 15-05-25/OPER</t>
  </si>
  <si>
    <t>01-3655</t>
  </si>
  <si>
    <t>SEGURA ,WAILEN/BONO COMPL 15-05-25/OPER</t>
  </si>
  <si>
    <t>01-3656</t>
  </si>
  <si>
    <t>RODRIGUEZ ANSONNY/BONO COMPL 15-05-25/OPER</t>
  </si>
  <si>
    <t>01-3657</t>
  </si>
  <si>
    <t>ROJAS MARIA/BONO COMPL 15-05-25/OPER</t>
  </si>
  <si>
    <t>01-3658</t>
  </si>
  <si>
    <t>RIVERO, JORGE/BONO COMPL 15-05-25/OPER</t>
  </si>
  <si>
    <t>01-3659</t>
  </si>
  <si>
    <t>SUAREZ, RAFAEL/BONO COMPL 15-05-25/OPER</t>
  </si>
  <si>
    <t>01-3660</t>
  </si>
  <si>
    <t>SOTELDO, LUSMAR/BONO COMPL 15-05-25/OPER</t>
  </si>
  <si>
    <t>01-3661</t>
  </si>
  <si>
    <t>VIELMA CARLEN/BONO COMPL 15-05-25/ADM</t>
  </si>
  <si>
    <t>01-3662</t>
  </si>
  <si>
    <t>VETANCOURT, BLIXANDER/BONO COMPL 15-05-25/ADM</t>
  </si>
  <si>
    <t>01-3663</t>
  </si>
  <si>
    <t>ALEJOS, RODOLFO/NOMINA 15-05-25/OPER</t>
  </si>
  <si>
    <t>01-3664</t>
  </si>
  <si>
    <t>ALVARADO, EDDY/NOMINA 15-05-25/OPER</t>
  </si>
  <si>
    <t>01-3665</t>
  </si>
  <si>
    <t>ZERPA, WISTON/BONO COMPL 15-05-25/OPER</t>
  </si>
  <si>
    <t>01-3666</t>
  </si>
  <si>
    <t>BASTIDA, JOSE/NOMINA 15-05-25/OPER</t>
  </si>
  <si>
    <t>01-3667</t>
  </si>
  <si>
    <t>CHIRINOS, RAFAEL/NOMINA 15-05-25/OPER</t>
  </si>
  <si>
    <t>01-3668</t>
  </si>
  <si>
    <t>DAZA, VICTOR/NOMINA 15-05-25/OPER</t>
  </si>
  <si>
    <t>01-3669</t>
  </si>
  <si>
    <t>GALEANO, FRANCISCO/NOMINA 15-05-25/OPER</t>
  </si>
  <si>
    <t>01-3670</t>
  </si>
  <si>
    <t>GUEDEZ JOSE/NOMINA 15-05-25/OPER</t>
  </si>
  <si>
    <t>01-3671</t>
  </si>
  <si>
    <t>GARCIA, JASON/NOMINA 15-05-25/OPER</t>
  </si>
  <si>
    <t>01-3672</t>
  </si>
  <si>
    <t>GUTIERREZ, PRESCILIANO/NOMINA 15-05-25/OPER</t>
  </si>
  <si>
    <t>01-3673</t>
  </si>
  <si>
    <t>LINAREZ, PEDRO/NOMINA 15-05-25/OPER</t>
  </si>
  <si>
    <t>01-3674</t>
  </si>
  <si>
    <t>LINAREZ, SANTIAGO/NOMINA 15-05-25/OPER</t>
  </si>
  <si>
    <t>01-3675</t>
  </si>
  <si>
    <t>LOPEZ ,MANOLO/NOMINA 15-05-25/ADM</t>
  </si>
  <si>
    <t>01-3676</t>
  </si>
  <si>
    <t>MANZO, JESMAIYELIT/NOMINA 15-05-25/ADM</t>
  </si>
  <si>
    <t>01-3677</t>
  </si>
  <si>
    <t>MARTINEZ JUAN/NOMINA 15-05-25/OPER</t>
  </si>
  <si>
    <t>01-3678</t>
  </si>
  <si>
    <t>NOGUERA, OSCAR/NOMINA 15-05-25/OPER</t>
  </si>
  <si>
    <t>01-3679</t>
  </si>
  <si>
    <t>PEREZ, JOSE ROLANDO/NOMINA 15-05-25/OPER</t>
  </si>
  <si>
    <t>01-3680</t>
  </si>
  <si>
    <t>POLANCO, FRANKLIN/NOMINA 15-05-25/OPER</t>
  </si>
  <si>
    <t>01-3681</t>
  </si>
  <si>
    <t>PEREZ, CARLOS/NOMINA 15-05-25/OPER</t>
  </si>
  <si>
    <t>01-3682</t>
  </si>
  <si>
    <t>PUERTAS, TEODORO/NOMINA 15-05-25/OPER</t>
  </si>
  <si>
    <t>01-3683</t>
  </si>
  <si>
    <t>QUERALES ,EDIXON/NOMINA 15-05-25/OPER</t>
  </si>
  <si>
    <t>01-3684</t>
  </si>
  <si>
    <t>QUERALES, HERMES/NOMINA 15-05-25/OPER</t>
  </si>
  <si>
    <t>01-3685</t>
  </si>
  <si>
    <t>RAGA NELIDO/NOMINA 15-05-25/ADM</t>
  </si>
  <si>
    <t>01-3686</t>
  </si>
  <si>
    <t>RANGEL GUSTAVO/NOMINA 15-05-25/ADM</t>
  </si>
  <si>
    <t>01-3687</t>
  </si>
  <si>
    <t>RIVERO, JORGE/NOMINA 15-05-25/OPER</t>
  </si>
  <si>
    <t>01-3688</t>
  </si>
  <si>
    <t>RODRIGUEZ ANSONNY/NOMINA 15-05-25/OPER</t>
  </si>
  <si>
    <t>01-3689</t>
  </si>
  <si>
    <t>RODRIGUEZ, MIGUEL/NOMINA 15-05-25/OPER</t>
  </si>
  <si>
    <t>01-3690</t>
  </si>
  <si>
    <t>REVERON, RAMON/NOMINA 15-05-25/OPER</t>
  </si>
  <si>
    <t>01-3691</t>
  </si>
  <si>
    <t>ROJAS MARIA/NOMINA 15-05-25/OPER</t>
  </si>
  <si>
    <t>01-3692</t>
  </si>
  <si>
    <t>SEGURA ,WAILEN/NOMINA 15-05-25/OPER</t>
  </si>
  <si>
    <t>01-3693</t>
  </si>
  <si>
    <t>SOTELDO, LUSMAR/NOMINA 15-05-25/OPER</t>
  </si>
  <si>
    <t>01-3694</t>
  </si>
  <si>
    <t>SUAREZ, RAFAEL/NOMINA 15-05-25/OPER</t>
  </si>
  <si>
    <t>01-3695</t>
  </si>
  <si>
    <t>VETANCOURT, BLIXANDER/NOMINA 15-05-25/ADM</t>
  </si>
  <si>
    <t>01-3696</t>
  </si>
  <si>
    <t>VIELMA CARLEN/NOMINA 15-05-25/ADM</t>
  </si>
  <si>
    <t>01-3697</t>
  </si>
  <si>
    <t>ZERPA, WISTON/NOMINA 15-05-25/OPER</t>
  </si>
  <si>
    <t>01-3698</t>
  </si>
  <si>
    <t>GIMENEZ,PABLO/BONO COMPL 15-05-25/OPER</t>
  </si>
  <si>
    <t>01-3699</t>
  </si>
  <si>
    <t>01-3700</t>
  </si>
  <si>
    <t>01-3701</t>
  </si>
  <si>
    <t>VALROCA/FACT A-1278/filtros/diesel-P/grúa telescópica-PLANTA CEMENTO</t>
  </si>
  <si>
    <t>01-3702</t>
  </si>
  <si>
    <t>01-3703</t>
  </si>
  <si>
    <t>01-3704</t>
  </si>
  <si>
    <t>01-3705</t>
  </si>
  <si>
    <t>01-3706</t>
  </si>
  <si>
    <t>Federico Faneite/Eventual Gobernacion 12/05/25 AL 18/05/25</t>
  </si>
  <si>
    <t>01-3707</t>
  </si>
  <si>
    <t>Delios Adolfo Ferrara/Eventual Agregados 12/05/25 AL 18/05/25</t>
  </si>
  <si>
    <t>01-3708</t>
  </si>
  <si>
    <t>Eliomar Jesús Escalona/Eventual Agregados 12/05/25 AL 18/05/25</t>
  </si>
  <si>
    <t>01-3709</t>
  </si>
  <si>
    <t>José Guillermo Cortez/Eventual Agregados 12/05/25 AL 18/05/25</t>
  </si>
  <si>
    <t>01-3710</t>
  </si>
  <si>
    <t>Darwuin Jesús Bullones/Eventual Agregados 12/05/25 AL 18/05/25</t>
  </si>
  <si>
    <t>01-3711</t>
  </si>
  <si>
    <t>Frank Armando García/Eventual Agregados 12/05/25 AL 18/05/25</t>
  </si>
  <si>
    <t>01-3712</t>
  </si>
  <si>
    <t>Alberto Luis Rojas/Eventual Agregados 12/05/25 AL 18/05/25</t>
  </si>
  <si>
    <t>01-3713</t>
  </si>
  <si>
    <t>Naiker Alexander Jimenez/Eventual Agregados 12/05/25 AL 18/05/25</t>
  </si>
  <si>
    <t>01-3714</t>
  </si>
  <si>
    <t>José Gregorio Perez/Eventual Agregados 12/05/25 AL 18/05/25</t>
  </si>
  <si>
    <t>01-3715</t>
  </si>
  <si>
    <t>Carlos Daniel Rodriguez/Eventual Agregados 12/05/25 AL 18/05/25</t>
  </si>
  <si>
    <t>01-3716</t>
  </si>
  <si>
    <t>Alejandro Morales/Eventual Agregados 12/05/25 AL 18/05/25</t>
  </si>
  <si>
    <t>01-3717</t>
  </si>
  <si>
    <t>Euber José Juarez/Eventual Agregados 12/05/25 AL 18/05/25</t>
  </si>
  <si>
    <t>01-3718</t>
  </si>
  <si>
    <t>Ali Alberto Bullones/Eventual Agregados 12/05/25 AL 18/05/25</t>
  </si>
  <si>
    <t>01-3719</t>
  </si>
  <si>
    <t>Alberto Ali Bullones/Eventual Agregados 12/05/25 AL 18/05/25</t>
  </si>
  <si>
    <t>01-3720</t>
  </si>
  <si>
    <t>Henrry Valera/Eventual Gobernacion 12/05/25 AL 18/05/25</t>
  </si>
  <si>
    <t>01-3721</t>
  </si>
  <si>
    <t>Fareliz Arrieche/Eventual Gobernacion 12/05/25 AL 18/05/25</t>
  </si>
  <si>
    <t>01-3722</t>
  </si>
  <si>
    <t>Fernando José Rodriguez/Eventual Agregados 12/05/25 AL 18/05/25</t>
  </si>
  <si>
    <t>01-3723</t>
  </si>
  <si>
    <t>Bruno Ali Cordero Bullones/Eventual Agregados 12/05/25 AL 18/05/25</t>
  </si>
  <si>
    <t>01-3724</t>
  </si>
  <si>
    <t>Brunito Segundo Cordero/Eventual Agregados 12/05/25 AL 18/05/25</t>
  </si>
  <si>
    <t>01-3725</t>
  </si>
  <si>
    <t>Justiniano Rodriguez/Eventual Agregados 12/05/25 AL 18/05/25</t>
  </si>
  <si>
    <t>01-3726</t>
  </si>
  <si>
    <t>Armando Lopez /Eventual Agregados 12/05/25 AL 18/05/25</t>
  </si>
  <si>
    <t>01-3727</t>
  </si>
  <si>
    <t>Froilan Lopez/Eventual Agregados 12/05/25 AL 18/05/25</t>
  </si>
  <si>
    <t>01-3728</t>
  </si>
  <si>
    <t>Ramón Quintero/Eventual Agregados 12/05/25 AL 18/05/25</t>
  </si>
  <si>
    <t>01-3729</t>
  </si>
  <si>
    <t>Exson Rodriguez/Eventual Gobernacion 12/05/25 AL 18/05/25</t>
  </si>
  <si>
    <t>01-3730</t>
  </si>
  <si>
    <t>Douglas Pimentel/Eventual Gobernacion 12/05/25 AL 18/05/25</t>
  </si>
  <si>
    <t>01-3731</t>
  </si>
  <si>
    <t>Pedro Castillo/Eventual Gobernacion 12/05/25 AL 18/05/25</t>
  </si>
  <si>
    <t>01-3732</t>
  </si>
  <si>
    <t>Juan López/Eventual Agregados 12/05/25 AL 18/05/25</t>
  </si>
  <si>
    <t>01-3733</t>
  </si>
  <si>
    <t>Jesus Ramos/Eventual Gobernacion 12/05/25 AL 18/05/25</t>
  </si>
  <si>
    <t>01-3734</t>
  </si>
  <si>
    <t>Miguel Torres/Eventual Gobernacion 12/05/25 AL 18/05/25</t>
  </si>
  <si>
    <t>01-3735</t>
  </si>
  <si>
    <t>Wendy Gimenez/Eventual Gobernacion 12/05/25 AL 18/05/25</t>
  </si>
  <si>
    <t>01-3736</t>
  </si>
  <si>
    <t>Nicolas Alvarez/Eventual Gobernacion 12/05/25 AL 18/05/25</t>
  </si>
  <si>
    <t>01-3737</t>
  </si>
  <si>
    <t>Rafael Puertas/Eventual Gobernacion 12/05/25 AL 18/05/25</t>
  </si>
  <si>
    <t>01-3738</t>
  </si>
  <si>
    <t>Carlos Pacheco/Eventual Gobernacion 12/05/25 AL 18/05/25</t>
  </si>
  <si>
    <t>01-3739</t>
  </si>
  <si>
    <t>Alirio Parra/Eventual Gobernacion 12/05/25 AL 18/05/25</t>
  </si>
  <si>
    <t>01-3740</t>
  </si>
  <si>
    <t>Andrés Armella/Eventual Gobernacion 12/05/25 AL 18/05/25</t>
  </si>
  <si>
    <t>01-3741</t>
  </si>
  <si>
    <t>Jose Toledo/Eventual Gobernacion 12/05/25 AL 18/05/25</t>
  </si>
  <si>
    <t>01-3742</t>
  </si>
  <si>
    <t>Juan Pinto/Eventual Gobernacion 12/05/25 AL 18/05/25</t>
  </si>
  <si>
    <t>01-3743</t>
  </si>
  <si>
    <t>Carlos Lopez/Eventual Agregados 12/05/25 AL 18/05/25</t>
  </si>
  <si>
    <t>01-3744</t>
  </si>
  <si>
    <t>Edwin Rojas/Eventual Gobernacion 12/05/25 AL 18/05/25</t>
  </si>
  <si>
    <t>01-3745</t>
  </si>
  <si>
    <t>Angel Caldera/Eventual Gobernacion 12/05/25 AL 18/05/25</t>
  </si>
  <si>
    <t>01-3746</t>
  </si>
  <si>
    <t>Rafael Quiroz/Eventual Gobernacion 12/05/25 AL 18/05/25</t>
  </si>
  <si>
    <t>01-3747</t>
  </si>
  <si>
    <t>Norys Ramos/Eventual Gobernacion 12/05/25 AL 18/05/25</t>
  </si>
  <si>
    <t>01-3748</t>
  </si>
  <si>
    <t>Argenis Flores/Eventual Megatech 12/05/25 AL 18/05/25</t>
  </si>
  <si>
    <t>01-3749</t>
  </si>
  <si>
    <t>Estebez Maramara/Eventual Agregados 12/05/25 AL 18/05/25</t>
  </si>
  <si>
    <t>01-3750</t>
  </si>
  <si>
    <t>Luis Silveiro Colon Ojeda/Eventual Agregados 12/05/25 AL 18/05/25</t>
  </si>
  <si>
    <t>01-3751</t>
  </si>
  <si>
    <t>Hector/Eventual Gobernacion 12/05/25 AL 18/05/25</t>
  </si>
  <si>
    <t>01-3752</t>
  </si>
  <si>
    <t>Pitter Puerta/Eventual Megatech 12/05/25 AL 18/05/25</t>
  </si>
  <si>
    <t>01-3753</t>
  </si>
  <si>
    <t>Yonny Castillo/Eventual Megatech 12/05/25 AL 18/05/25</t>
  </si>
  <si>
    <t>01-3754</t>
  </si>
  <si>
    <t>Walner Oviedo/Eventual Megatech 12/05/25 AL 18/05/25</t>
  </si>
  <si>
    <t>01-3755</t>
  </si>
  <si>
    <t>Francisco Castillo/Eventual Megatech 12/05/25 AL 18/05/25</t>
  </si>
  <si>
    <t>01-3756</t>
  </si>
  <si>
    <t>Antonio Castillo/Eventual Megatech 12/05/25 AL 18/05/25</t>
  </si>
  <si>
    <t>01-3757</t>
  </si>
  <si>
    <t>Jose Guevara/Eventual Megatech 12/05/25 AL 18/05/25</t>
  </si>
  <si>
    <t>01-3758</t>
  </si>
  <si>
    <t>Jose Castillo/Eventual Megatech 12/05/25 AL 18/05/25</t>
  </si>
  <si>
    <t>01-3759</t>
  </si>
  <si>
    <t>Elvis Valles/Eventual Megatech 12/05/25 AL 18/05/25</t>
  </si>
  <si>
    <t>01-3760</t>
  </si>
  <si>
    <t>01-3761</t>
  </si>
  <si>
    <t>Omar Torrealba/Eventual Megatech 12/05/25 AL 18/05/25</t>
  </si>
  <si>
    <t>01-3762</t>
  </si>
  <si>
    <t>Carlos Castillo/Eventual Megatech 12/05/25 AL 18/05/25</t>
  </si>
  <si>
    <t>01-3763</t>
  </si>
  <si>
    <t>Yordis Almao/Eventual Megatech 12/05/25 AL 18/05/25</t>
  </si>
  <si>
    <t>01-3764</t>
  </si>
  <si>
    <t>Edwuard Almeida/Eventual Megatech 12/05/25 AL 18/05/25</t>
  </si>
  <si>
    <t>01-3765</t>
  </si>
  <si>
    <t>Julian Guedez/Eventual Megatech 12/05/25 AL 18/05/25</t>
  </si>
  <si>
    <t>01-3766</t>
  </si>
  <si>
    <t>Victor Mendez/Eventual Megatech 12/05/25 AL 18/05/25</t>
  </si>
  <si>
    <t>01-3767</t>
  </si>
  <si>
    <t>Yerry Rodríguez/Eventual Megatech 12/05/25 AL 18/05/25</t>
  </si>
  <si>
    <t>01-3768</t>
  </si>
  <si>
    <t>Alberto Loyo/Eventual Megatech 12/05/25 AL 18/05/25</t>
  </si>
  <si>
    <t>01-3769</t>
  </si>
  <si>
    <t>Carlos Loyo/Eventual Megatech 12/05/25 AL 18/05/25</t>
  </si>
  <si>
    <t>01-3770</t>
  </si>
  <si>
    <t>Alirio Parra/Eventual Megatech 12/05/25 AL 18/05/25</t>
  </si>
  <si>
    <t>01-3771</t>
  </si>
  <si>
    <t>Alexander Castillo/Eventual Megatech 12/05/25 AL 18/05/25</t>
  </si>
  <si>
    <t>01-3772</t>
  </si>
  <si>
    <t>Norys Ramos/Eventual Megatech 12/05/25 AL 18/05/25</t>
  </si>
  <si>
    <t>01-3773</t>
  </si>
  <si>
    <t>Fareliz Arrieche/Eventual Megatech 12/05/25 AL 18/05/25</t>
  </si>
  <si>
    <t>01-3774</t>
  </si>
  <si>
    <t>Fares Arrieche/Eventual Megatech 12/05/25 AL 18/05/25</t>
  </si>
  <si>
    <t>01-3775</t>
  </si>
  <si>
    <t>Elio Malpica/Eventual Megatech 12/05/25 AL 18/05/25</t>
  </si>
  <si>
    <t>01-3776</t>
  </si>
  <si>
    <t>Ruben Rivas/Eventual Megatech 12/05/25 AL 18/05/25</t>
  </si>
  <si>
    <t>01-3777</t>
  </si>
  <si>
    <t>Emperatriz Leon/Eventual Megatech 12/05/25 AL 18/05/25</t>
  </si>
  <si>
    <t>01-3778</t>
  </si>
  <si>
    <t>Ingrid Reyes/Eventual Megatech 12/05/25 AL 18/05/25</t>
  </si>
  <si>
    <t>01-3779</t>
  </si>
  <si>
    <t>01-3780</t>
  </si>
  <si>
    <t>01-3781</t>
  </si>
  <si>
    <t>JULIO ZALAZAR/FACT 58/VENTA ARENA CERNIDA</t>
  </si>
  <si>
    <t>01-3782</t>
  </si>
  <si>
    <t>01-3783</t>
  </si>
  <si>
    <t>MATERIALES VZLA/FACT 59/VENTA ARENA CERNIDA</t>
  </si>
  <si>
    <t>01-3784</t>
  </si>
  <si>
    <t>01-3785</t>
  </si>
  <si>
    <t>JULIO ZALAZAR/FACT 60/VENTA ARENA CERNIDA</t>
  </si>
  <si>
    <t>01-3786</t>
  </si>
  <si>
    <t>01-3787</t>
  </si>
  <si>
    <t>INVE HC VZLA/FACT63/VENTA ARENA CERNIDA</t>
  </si>
  <si>
    <t>01-3788</t>
  </si>
  <si>
    <t>01-3789</t>
  </si>
  <si>
    <t>JULIO ZALAZAR/FACT 62/VENTA ARENA CERNIDA</t>
  </si>
  <si>
    <t>01-3790</t>
  </si>
  <si>
    <t>01-3791</t>
  </si>
  <si>
    <t>01-3792</t>
  </si>
  <si>
    <t>01-3793</t>
  </si>
  <si>
    <t>SIN FRONTERA RJL/REINTEGR NC04-DEV ARENA</t>
  </si>
  <si>
    <t>01-3794</t>
  </si>
  <si>
    <t>REINTEGRO NC04 P/LA FACT 25</t>
  </si>
  <si>
    <t>01-3795</t>
  </si>
  <si>
    <t>AGREGADOS/TRASPASO/MERCANTIL</t>
  </si>
  <si>
    <t>CARGOS TRANSITORIOS TRASPASOS</t>
  </si>
  <si>
    <t>01-3796</t>
  </si>
  <si>
    <t>AGREGADOS/TRASPASO/VZLA</t>
  </si>
  <si>
    <t>01-3797</t>
  </si>
  <si>
    <t>GUSTAVO RANGEL/VACACIONES</t>
  </si>
  <si>
    <t>01-3798</t>
  </si>
  <si>
    <t>36-2305251</t>
  </si>
  <si>
    <t>01-3799</t>
  </si>
  <si>
    <t>01-3800</t>
  </si>
  <si>
    <t>ANDRES MELENDEZ/CAMPAÑA YESO 19/05 AL 23/05</t>
  </si>
  <si>
    <t>01-3801</t>
  </si>
  <si>
    <t>01-3802</t>
  </si>
  <si>
    <t>01-3803</t>
  </si>
  <si>
    <t>Federico Faneite/Eventual Gobernacion 19/05/25 AL 25/05/25</t>
  </si>
  <si>
    <t>01-3804</t>
  </si>
  <si>
    <t>Delios Adolfo Ferrara/Eventual Agregados 19/05/25 AL 25/05/25</t>
  </si>
  <si>
    <t>01-3805</t>
  </si>
  <si>
    <t>Eliomar Jesús Escalona/Eventual Agregados 19/05/25 AL 25/05/25</t>
  </si>
  <si>
    <t>01-3806</t>
  </si>
  <si>
    <t>José Guillermo Cortez/Eventual Agregados 19/05/25 AL 25/05/25</t>
  </si>
  <si>
    <t>01-3807</t>
  </si>
  <si>
    <t>Darwuin Jesús Bullones/Eventual Agregados 19/05/25 AL 25/05/25</t>
  </si>
  <si>
    <t>01-3808</t>
  </si>
  <si>
    <t>Frank Armando García/Eventual Agregados 19/05/25 AL 25/05/25</t>
  </si>
  <si>
    <t>01-3809</t>
  </si>
  <si>
    <t>Alberto Luis Rojas/Eventual Agregados 19/05/25 AL 25/05/25</t>
  </si>
  <si>
    <t>01-3810</t>
  </si>
  <si>
    <t>Naiker Alexander Jimenez/Eventual Agregados 19/05/25 AL 25/05/25</t>
  </si>
  <si>
    <t>01-3811</t>
  </si>
  <si>
    <t>José Gregorio Perez/Eventual Agregados 19/05/25 AL 25/05/25</t>
  </si>
  <si>
    <t>01-3812</t>
  </si>
  <si>
    <t>Carlos Daniel Rodriguez/Eventual Agregados 19/05/25 AL 25/05/25</t>
  </si>
  <si>
    <t>01-3813</t>
  </si>
  <si>
    <t>Alejandro Morales/Eventual Agregados 19/05/25 AL 25/05/25</t>
  </si>
  <si>
    <t>01-3814</t>
  </si>
  <si>
    <t>Euber José Juarez/Eventual Agregados 19/05/25 AL 25/05/25</t>
  </si>
  <si>
    <t>01-3815</t>
  </si>
  <si>
    <t>Ali Alberto Bullones/Eventual Agregados 19/05/25 AL 25/05/25</t>
  </si>
  <si>
    <t>01-3816</t>
  </si>
  <si>
    <t>Alberto Ali Bullones/Eventual Agregados 19/05/25 AL 25/05/25</t>
  </si>
  <si>
    <t>01-3817</t>
  </si>
  <si>
    <t>Fernando José Rodriguez/Eventual Agregados 19/05/25 AL 25/05/25</t>
  </si>
  <si>
    <t>01-3818</t>
  </si>
  <si>
    <t>Bruno Ali Cordero Bullones/Eventual Agregados 19/05/25 AL 25/05/25</t>
  </si>
  <si>
    <t>01-3819</t>
  </si>
  <si>
    <t>Brunito Segundo Cordero/Eventual Agregados 19/05/25 AL 25/05/25</t>
  </si>
  <si>
    <t>01-3820</t>
  </si>
  <si>
    <t>Fareliz Arrieche/Eventual Gobernacion 19/05/25 AL 25/05/25</t>
  </si>
  <si>
    <t>01-3821</t>
  </si>
  <si>
    <t>Justiniano Rodriguez/Eventual Agregados 19/05/25 AL 25/05/25</t>
  </si>
  <si>
    <t>01-3822</t>
  </si>
  <si>
    <t>Armando Lopez /Eventual Agregados 19/05/25 AL 25/05/25</t>
  </si>
  <si>
    <t>01-3823</t>
  </si>
  <si>
    <t>Froilan Lopez/Eventual Agregados 19/05/25 AL 25/05/25</t>
  </si>
  <si>
    <t>01-3824</t>
  </si>
  <si>
    <t>Ramón Quintero/Eventual Agregados 19/05/25 AL 25/05/25</t>
  </si>
  <si>
    <t>01-3825</t>
  </si>
  <si>
    <t>Henrry Valera/Eventual Gobernacion 19/05/25 AL 25/05/25</t>
  </si>
  <si>
    <t>01-3826</t>
  </si>
  <si>
    <t>Juan López/Eventual Agregados 19/05/25 AL 25/05/25</t>
  </si>
  <si>
    <t>01-3827</t>
  </si>
  <si>
    <t>Exson Rodriguez/Eventual Gobernacion 19/05/25 AL 25/05/25</t>
  </si>
  <si>
    <t>01-3828</t>
  </si>
  <si>
    <t>Jesus Ramos/Eventual Gobernacion 19/05/25 AL 25/05/25</t>
  </si>
  <si>
    <t>01-3829</t>
  </si>
  <si>
    <t>Douglas Pimentel/Eventual Gobernacion 19/05/25 AL 25/05/25</t>
  </si>
  <si>
    <t>01-3830</t>
  </si>
  <si>
    <t>Miguel Torres/Eventual Gobernacion 19/05/25 AL 25/05/25</t>
  </si>
  <si>
    <t>01-3831</t>
  </si>
  <si>
    <t>Wendy Gimenez/Eventual Gobernacion 19/05/25 AL 25/05/25</t>
  </si>
  <si>
    <t>01-3832</t>
  </si>
  <si>
    <t>Pedro Castillo/Eventual Gobernacion 19/05/25 AL 25/05/25</t>
  </si>
  <si>
    <t>01-3833</t>
  </si>
  <si>
    <t>Nicolas Alvarez/Eventual Gobernacion 19/05/25 AL 25/05/25</t>
  </si>
  <si>
    <t>01-3834</t>
  </si>
  <si>
    <t>Rafael Puertas/Eventual Gobernacion 19/05/25 AL 25/05/25</t>
  </si>
  <si>
    <t>01-3835</t>
  </si>
  <si>
    <t>Carlos Pacheco/Eventual Gobernacion 19/05/25 AL 25/05/25</t>
  </si>
  <si>
    <t>01-3836</t>
  </si>
  <si>
    <t>Andrés Armella/Eventual Gobernacion 19/05/25 AL 25/05/25</t>
  </si>
  <si>
    <t>01-3837</t>
  </si>
  <si>
    <t>Alirio Parra/Eventual Gobernacion 19/05/25 AL 25/05/25</t>
  </si>
  <si>
    <t>01-3838</t>
  </si>
  <si>
    <t>Jose Toledo/Eventual Gobernacion 19/05/25 AL 25/05/25</t>
  </si>
  <si>
    <t>01-3839</t>
  </si>
  <si>
    <t>Juan Pinto/Eventual Gobernacion 19/05/25 AL 25/05/25</t>
  </si>
  <si>
    <t>01-3840</t>
  </si>
  <si>
    <t>Carlos Lopez/Eventual Agregados 19/05/25 AL 25/05/25</t>
  </si>
  <si>
    <t>01-3841</t>
  </si>
  <si>
    <t>Angel Caldera/Eventual Gobernacion 19/05/25 AL 25/05/25</t>
  </si>
  <si>
    <t>01-3842</t>
  </si>
  <si>
    <t>Edwin Rojas/Eventual Gobernacion 19/05/25 AL 25/05/25</t>
  </si>
  <si>
    <t>01-3843</t>
  </si>
  <si>
    <t>Hector/Eventual Gobernacion 19/05/25 AL 25/05/25</t>
  </si>
  <si>
    <t>01-3844</t>
  </si>
  <si>
    <t>Norys Ramos/Eventual Gobernacion 19/05/25 AL 25/05/25</t>
  </si>
  <si>
    <t>01-3845</t>
  </si>
  <si>
    <t>Luis Silveiro Colon Ojeda/Eventual Agregados 19/05/25 AL 25/05/25</t>
  </si>
  <si>
    <t>01-3846</t>
  </si>
  <si>
    <t>Estebez Maramara/Eventual Agregados 19/05/25 AL 25/05/25</t>
  </si>
  <si>
    <t>01-3847</t>
  </si>
  <si>
    <t>Rafael Quiroz/Eventual Gobernacion 19/05/25 AL 25/05/25</t>
  </si>
  <si>
    <t>01-3848</t>
  </si>
  <si>
    <t>Argenis Flores/Eventual Megatech 19/05/25 AL 25/05/25</t>
  </si>
  <si>
    <t>01-3849</t>
  </si>
  <si>
    <t>Pitter Puerta/Eventual Megatech 19/05/25 AL 25/05/25</t>
  </si>
  <si>
    <t>01-3850</t>
  </si>
  <si>
    <t>Walner Oviedo/Eventual Megatech 19/05/25 AL 25/05/25</t>
  </si>
  <si>
    <t>01-3851</t>
  </si>
  <si>
    <t>Yonny Castillo/Eventual Megatech 19/05/25 AL 25/05/25</t>
  </si>
  <si>
    <t>01-3852</t>
  </si>
  <si>
    <t>Francisco Castillo/Eventual Megatech 19/05/25 AL 25/05/25</t>
  </si>
  <si>
    <t>01-3853</t>
  </si>
  <si>
    <t>Antonio Castillo/Eventual Megatech 19/05/25 AL 25/05/25</t>
  </si>
  <si>
    <t>01-3854</t>
  </si>
  <si>
    <t>Jose Guevara/Eventual Megatech 19/05/25 AL 25/05/25</t>
  </si>
  <si>
    <t>01-3855</t>
  </si>
  <si>
    <t>Jose Castillo/Eventual Megatech 19/05/25 AL 25/05/25</t>
  </si>
  <si>
    <t>01-3856</t>
  </si>
  <si>
    <t>Elvis Valles/Eventual Megatech 19/05/25 AL 25/05/25</t>
  </si>
  <si>
    <t>01-3857</t>
  </si>
  <si>
    <t>01-3858</t>
  </si>
  <si>
    <t>Omar Torrealba/Eventual Megatech 19/05/25 AL 25/05/25</t>
  </si>
  <si>
    <t>01-3859</t>
  </si>
  <si>
    <t>Carlos Castillo/Eventual Megatech 19/05/25 AL 25/05/25</t>
  </si>
  <si>
    <t>01-3860</t>
  </si>
  <si>
    <t>Julian Guedez/Eventual Megatech 19/05/25 AL 25/05/25</t>
  </si>
  <si>
    <t>01-3861</t>
  </si>
  <si>
    <t>Yordis Almao/Eventual Megatech 19/05/25 AL 25/05/25</t>
  </si>
  <si>
    <t>01-3862</t>
  </si>
  <si>
    <t>Victor Mendez/Eventual Megatech 19/05/25 AL 25/05/25</t>
  </si>
  <si>
    <t>01-3863</t>
  </si>
  <si>
    <t>Carlos Loyo/Eventual Megatech 19/05/25 AL 25/05/25</t>
  </si>
  <si>
    <t>01-3864</t>
  </si>
  <si>
    <t>Alberto Loyo/Eventual Megatech 19/05/25 AL 25/05/25</t>
  </si>
  <si>
    <t>01-3865</t>
  </si>
  <si>
    <t>Edwuard Almeida/Eventual Megatech 19/05/25 AL 25/05/25</t>
  </si>
  <si>
    <t>01-3866</t>
  </si>
  <si>
    <t>Yerry Rodríguez/Eventual Megatech 19/05/25 AL 25/05/25</t>
  </si>
  <si>
    <t>01-3867</t>
  </si>
  <si>
    <t>Alexander Castillo/Eventual Megatech 19/05/25 AL 25/05/25</t>
  </si>
  <si>
    <t>01-3868</t>
  </si>
  <si>
    <t>Alirio Parra/Eventual Megatech 19/05/25 AL 25/05/25</t>
  </si>
  <si>
    <t>01-3869</t>
  </si>
  <si>
    <t>Elio Malpica/Eventual Megatech 19/05/25 AL 25/05/25</t>
  </si>
  <si>
    <t>01-3870</t>
  </si>
  <si>
    <t>Ruben Rivas/Eventual Megatech 19/05/25 AL 25/05/25</t>
  </si>
  <si>
    <t>01-3871</t>
  </si>
  <si>
    <t>Fareliz Arrieche/Eventual Megatech 19/05/25 AL 25/05/25</t>
  </si>
  <si>
    <t>01-3872</t>
  </si>
  <si>
    <t>Fares Arrieche/Eventual Megatech 19/05/25 AL 25/05/25</t>
  </si>
  <si>
    <t>01-3873</t>
  </si>
  <si>
    <t>Norys Ramos/Eventual Megatech 19/05/25 AL 25/05/25</t>
  </si>
  <si>
    <t>01-3874</t>
  </si>
  <si>
    <t>Emperatriz Leon/Eventual Megatech 19/05/25 AL 25/05/25</t>
  </si>
  <si>
    <t>01-3875</t>
  </si>
  <si>
    <t>Ingrid Reyes/Eventual Megatech 19/05/25 AL 25/05/25</t>
  </si>
  <si>
    <t>01-3876</t>
  </si>
  <si>
    <t>01-3877</t>
  </si>
  <si>
    <t>01-3878</t>
  </si>
  <si>
    <t>01-3879</t>
  </si>
  <si>
    <t>DIOSANNY ALVAREZ/FACT313/VIATICOS</t>
  </si>
  <si>
    <t>01-3880</t>
  </si>
  <si>
    <t>01-3881</t>
  </si>
  <si>
    <t>01-3882</t>
  </si>
  <si>
    <t>FERREMATERIALES MILLER/FACT 21057/ELECTRODOS-TRABAJO P/INDU</t>
  </si>
  <si>
    <t>01-3883</t>
  </si>
  <si>
    <t>IMPORCAUCHOS/FACT 211/CAUCHOS P/LAS PATRULLAS</t>
  </si>
  <si>
    <t>01-3884</t>
  </si>
  <si>
    <t>COLABORACIONES/DONACIONES</t>
  </si>
  <si>
    <t>ALIMENTOS/FACT 29574-29568-FUE PAGADO P/ERROR CTA TRANSPORTE-REALIZO EL REINTEGRO</t>
  </si>
  <si>
    <t>01-3885</t>
  </si>
  <si>
    <t>01-3886</t>
  </si>
  <si>
    <t>01-3887</t>
  </si>
  <si>
    <t>TRANSPORTE/ERROR DE PAGO/REINTEGRO</t>
  </si>
  <si>
    <t>01-3888</t>
  </si>
  <si>
    <t>REINTEGRO TRANSPORTES/ERROR DE PROVEREDOR</t>
  </si>
  <si>
    <t>01-3889</t>
  </si>
  <si>
    <t xml:space="preserve">TRANSPORTE TDC/FACT65/BLOQUES-GRANZON </t>
  </si>
  <si>
    <t>01-3890</t>
  </si>
  <si>
    <t>VENTA DE BLOQUES-GRANZON</t>
  </si>
  <si>
    <t>AGROPECUARIA/FACT64/VENTA GRAZON-ARENA-CANTO</t>
  </si>
  <si>
    <t>01-3891</t>
  </si>
  <si>
    <t>VENTA GRAZON MT3-ARENA CERNIDA</t>
  </si>
  <si>
    <t>01-3892</t>
  </si>
  <si>
    <t>01-3893</t>
  </si>
  <si>
    <t>TRANSPORTE NJG/FACT 0857/PRODUCTO LIMPIEZA-CEMENTERA</t>
  </si>
  <si>
    <t>01-3894</t>
  </si>
  <si>
    <t>MILLER/ADELANT FACT/MATERIAL HINDU</t>
  </si>
  <si>
    <t>01-3895</t>
  </si>
  <si>
    <t>PROCESADA EN SEPTIEMBRE</t>
  </si>
  <si>
    <t>NR INDUSTRIAL/FACT 6295/IMPLEMENTO SEGURIDAD-MINERALES</t>
  </si>
  <si>
    <t>01-3896</t>
  </si>
  <si>
    <t>PAMPA INDUSTRIAL/FACT18684/LENTES SEGURIDAD-MINERALES</t>
  </si>
  <si>
    <t>01-3897</t>
  </si>
  <si>
    <t>USSAIMPORT21/FACT 003/RADIO TRAMISION-P/COMUNICACIÓN-PLANTA GENERAL</t>
  </si>
  <si>
    <t>01-3898</t>
  </si>
  <si>
    <t>ALIMENTOS/FACT 568-574/BENEFICIO EMPLEADOS-DESCAPCHO</t>
  </si>
  <si>
    <t>01-3899</t>
  </si>
  <si>
    <t>01-3900</t>
  </si>
  <si>
    <t>01-3901</t>
  </si>
  <si>
    <t xml:space="preserve">ALIMENTOS/FACT29574/BENEFICIO MAYO </t>
  </si>
  <si>
    <t>01-3902</t>
  </si>
  <si>
    <t>ALIMENTOS/FACT29568/HARINA-CAFÉ-DESPAC 12/05 AL 16-05</t>
  </si>
  <si>
    <t>01-3903</t>
  </si>
  <si>
    <t>01-3904</t>
  </si>
  <si>
    <t>DIOSANNY ALVAREZ/FACT261/DIFE</t>
  </si>
  <si>
    <t>01-3905</t>
  </si>
  <si>
    <t>01-3906</t>
  </si>
  <si>
    <t>01-3907</t>
  </si>
  <si>
    <t>01-3908</t>
  </si>
  <si>
    <t>01-3909</t>
  </si>
  <si>
    <t>Federico Faneite/Eventual Gobernacion 26/05/25 AL 01/06/25</t>
  </si>
  <si>
    <t>01-3910</t>
  </si>
  <si>
    <t>Henrry Valera/Eventual Gobernacion 26/05/25 AL 01/06/25</t>
  </si>
  <si>
    <t>01-3911</t>
  </si>
  <si>
    <t>Delios Adolfo Ferrara/Eventual Agregados 26/05/25 AL 01/06/25</t>
  </si>
  <si>
    <t>01-3912</t>
  </si>
  <si>
    <t>Eliomar Jesús Escalona/Eventual Agregados 26/05/25 AL 01/06/25</t>
  </si>
  <si>
    <t>01-3913</t>
  </si>
  <si>
    <t>José Guillermo Cortez/Eventual Agregados 26/05/25 AL 01/06/25</t>
  </si>
  <si>
    <t>01-3914</t>
  </si>
  <si>
    <t>Darwuin Jesús Bullones/Eventual Agregados 26/05/25 AL 01/06/25</t>
  </si>
  <si>
    <t>01-3915</t>
  </si>
  <si>
    <t>Frank Armando García/Eventual Agregados 26/05/25 AL 01/06/25</t>
  </si>
  <si>
    <t>01-3916</t>
  </si>
  <si>
    <t>Alberto Luis Rojas/Eventual Agregados 26/05/25 AL 01/06/25</t>
  </si>
  <si>
    <t>01-3917</t>
  </si>
  <si>
    <t>Naiker Alexander Jimenez/Eventual Agregados 26/05/25 AL 01/06/25</t>
  </si>
  <si>
    <t>01-3918</t>
  </si>
  <si>
    <t>José Gregorio Perez/Eventual Agregados 26/05/25 AL 01/06/25</t>
  </si>
  <si>
    <t>01-3919</t>
  </si>
  <si>
    <t>Carlos Daniel Rodriguez/Eventual Agregados 26/05/25 AL 01/06/25</t>
  </si>
  <si>
    <t>01-3920</t>
  </si>
  <si>
    <t>Alejandro Morales/Eventual Agregados 26/05/25 AL 01/06/25</t>
  </si>
  <si>
    <t>01-3921</t>
  </si>
  <si>
    <t>Euber José Juarez/Eventual Agregados 26/05/25 AL 01/06/25</t>
  </si>
  <si>
    <t>01-3922</t>
  </si>
  <si>
    <t>Fareliz Arrieche/Eventual Gobernacion 26/05/25 AL 01/06/25</t>
  </si>
  <si>
    <t>01-3923</t>
  </si>
  <si>
    <t>Ali Alberto Bullones/Eventual Agregados 26/05/25 AL 01/06/25</t>
  </si>
  <si>
    <t>01-3924</t>
  </si>
  <si>
    <t>Brunito Segundo Cordero/Eventual Agregados 26/05/25 AL 01/06/25</t>
  </si>
  <si>
    <t>01-3925</t>
  </si>
  <si>
    <t>Justiniano Rodriguez/Eventual Agregados 26/05/25 AL 01/06/25</t>
  </si>
  <si>
    <t>01-3926</t>
  </si>
  <si>
    <t>Armando Lopez /Eventual Agregados 26/05/25 AL 01/06/25</t>
  </si>
  <si>
    <t>01-3927</t>
  </si>
  <si>
    <t>Froilan Lopez/Eventual Agregados 26/05/25 AL 01/06/25</t>
  </si>
  <si>
    <t>01-3928</t>
  </si>
  <si>
    <t>Ramón Quintero/Eventual Agregados 26/05/25 AL 01/06/25</t>
  </si>
  <si>
    <t>01-3929</t>
  </si>
  <si>
    <t>Alirio Parra/Eventual Gobernacion 26/05/25 AL 01/06/25</t>
  </si>
  <si>
    <t>01-3930</t>
  </si>
  <si>
    <t>Alberto Ali Bullones/Eventual Agregados 26/05/25 AL 01/06/25</t>
  </si>
  <si>
    <t>01-3931</t>
  </si>
  <si>
    <t>Fernando José Rodriguez/Eventual Agregados 26/05/25 AL 01/06/25</t>
  </si>
  <si>
    <t>01-3932</t>
  </si>
  <si>
    <t>Juan López/Eventual Agregados 26/05/25 AL 01/06/25</t>
  </si>
  <si>
    <t>01-3933</t>
  </si>
  <si>
    <t>Jesus Ramos/Eventual Gobernacion 26/05/25 AL 01/06/25</t>
  </si>
  <si>
    <t>01-3934</t>
  </si>
  <si>
    <t>Exson Rodriguez/Eventual Gobernacion 26/05/25 AL 01/06/25</t>
  </si>
  <si>
    <t>01-3935</t>
  </si>
  <si>
    <t>Douglas Pimentel/Eventual Gobernacion 26/05/25 AL 01/06/25</t>
  </si>
  <si>
    <t>01-3936</t>
  </si>
  <si>
    <t>Miguel Torres/Eventual Gobernacion 26/05/25 AL 01/06/25</t>
  </si>
  <si>
    <t>01-3937</t>
  </si>
  <si>
    <t>Nicolas Alvarez/Eventual Gobernacion 26/05/25 AL 01/06/25</t>
  </si>
  <si>
    <t>01-3938</t>
  </si>
  <si>
    <t>Pedro Castillo/Eventual Gobernacion 26/05/25 AL 01/06/25</t>
  </si>
  <si>
    <t>01-3939</t>
  </si>
  <si>
    <t>Rafael Puertas/Eventual Gobernacion 26/05/25 AL 01/06/25</t>
  </si>
  <si>
    <t>01-3940</t>
  </si>
  <si>
    <t>Carlos Pacheco/Eventual Gobernacion 26/05/25 AL 01/06/25</t>
  </si>
  <si>
    <t>01-3941</t>
  </si>
  <si>
    <t>Angel Caldera/Eventual Gobernacion 26/05/25 AL 01/06/25</t>
  </si>
  <si>
    <t>01-3942</t>
  </si>
  <si>
    <t>Andrés Armella/Eventual Gobernacion 26/05/25 AL 01/06/25</t>
  </si>
  <si>
    <t>01-3943</t>
  </si>
  <si>
    <t>Carlos Lopez/Eventual Agregados 26/05/25 AL 01/06/25</t>
  </si>
  <si>
    <t>01-3944</t>
  </si>
  <si>
    <t>Jose Toledo/Eventual Gobernacion 26/05/25 AL 01/06/25</t>
  </si>
  <si>
    <t>01-3945</t>
  </si>
  <si>
    <t>Juan Pinto/Eventual Gobernacion 26/05/25 AL 01/06/25</t>
  </si>
  <si>
    <t>01-3946</t>
  </si>
  <si>
    <t>Wendy Gimenez/Eventual Gobernacion 26/05/25 AL 01/06/25</t>
  </si>
  <si>
    <t>01-3947</t>
  </si>
  <si>
    <t>Estebez Maramara/Eventual Agregados 26/05/25 AL 01/06/25</t>
  </si>
  <si>
    <t>01-3948</t>
  </si>
  <si>
    <t>Edwin Rojas/Eventual Gobernacion 26/05/25 AL 01/06/25</t>
  </si>
  <si>
    <t>01-3949</t>
  </si>
  <si>
    <t>Bruno Ali Cordero Bullones/Eventual Agregados 26/05/25 AL 01/06/25</t>
  </si>
  <si>
    <t>01-3950</t>
  </si>
  <si>
    <t>Argenis Flores/Eventual Megatech 26/05/25 AL 01/06/25</t>
  </si>
  <si>
    <t>01-3951</t>
  </si>
  <si>
    <t>Rafael Quiroz/Eventual Gobernacion 26/05/25 AL 01/06/25</t>
  </si>
  <si>
    <t>01-3952</t>
  </si>
  <si>
    <t>Hector/Eventual Gobernacion 26/05/25 AL 01/06/25</t>
  </si>
  <si>
    <t>01-3953</t>
  </si>
  <si>
    <t>Norys Ramos/Eventual Gobernacion 26/05/25 AL 01/06/25</t>
  </si>
  <si>
    <t>01-3954</t>
  </si>
  <si>
    <t>Luis Silveiro Colon Ojeda/Eventual Agregados 26/05/25 AL 01/06/25</t>
  </si>
  <si>
    <t>01-3955</t>
  </si>
  <si>
    <t>Yonny Castillo/Eventual Megatech 26/05/25 AL 01/06/25</t>
  </si>
  <si>
    <t>01-3956</t>
  </si>
  <si>
    <t>Pitter Puerta/Eventual Megatech 26/05/25 AL 01/06/25</t>
  </si>
  <si>
    <t>01-3957</t>
  </si>
  <si>
    <t>Walner Oviedo/Eventual Megatech 26/05/25 AL 01/06/25</t>
  </si>
  <si>
    <t>01-3958</t>
  </si>
  <si>
    <t>Francisco Castillo/Eventual Megatech 26/05/25 AL 01/06/25</t>
  </si>
  <si>
    <t>01-3959</t>
  </si>
  <si>
    <t>Antonio Castillo/Eventual Megatech 26/05/25 AL 01/06/25</t>
  </si>
  <si>
    <t>01-3960</t>
  </si>
  <si>
    <t>Jose Guevara/Eventual Megatech 26/05/25 AL 01/06/25</t>
  </si>
  <si>
    <t>01-3961</t>
  </si>
  <si>
    <t>Jose Castillo/Eventual Megatech 26/05/25 AL 01/06/25</t>
  </si>
  <si>
    <t>01-3962</t>
  </si>
  <si>
    <t>Elvis Valles/Eventual Megatech 26/05/25 AL 01/06/25</t>
  </si>
  <si>
    <t>01-3963</t>
  </si>
  <si>
    <t>01-3964</t>
  </si>
  <si>
    <t>Omar Torrealba/Eventual Megatech 26/05/25 AL 01/06/25</t>
  </si>
  <si>
    <t>01-3965</t>
  </si>
  <si>
    <t>Carlos Castillo/Eventual Megatech 26/05/25 AL 01/06/25</t>
  </si>
  <si>
    <t>01-3966</t>
  </si>
  <si>
    <t>Julian Guedez/Eventual Megatech 26/05/25 AL 01/06/25</t>
  </si>
  <si>
    <t>01-3967</t>
  </si>
  <si>
    <t>Yordis Almao/Eventual Megatech 26/05/25 AL 01/06/25</t>
  </si>
  <si>
    <t>01-3968</t>
  </si>
  <si>
    <t>Alexander Castillo/Eventual Megatech 26/05/25 AL 01/06/25</t>
  </si>
  <si>
    <t>01-3969</t>
  </si>
  <si>
    <t>Victor Mendez/Eventual Megatech 26/05/25 AL 01/06/25</t>
  </si>
  <si>
    <t>01-3970</t>
  </si>
  <si>
    <t>01-3971</t>
  </si>
  <si>
    <t>Yerry Rodríguez/Eventual Megatech 26/05/25 AL 01/06/25</t>
  </si>
  <si>
    <t>01-3972</t>
  </si>
  <si>
    <t>Carlos Loyo/Eventual Megatech 26/05/25 AL 01/06/25</t>
  </si>
  <si>
    <t>01-3973</t>
  </si>
  <si>
    <t>Alberto Loyo/Eventual Megatech 26/05/25 AL 01/06/25</t>
  </si>
  <si>
    <t>01-3974</t>
  </si>
  <si>
    <t>Alirio Parra/Eventual Megatech 26/05/25 AL 01/06/25</t>
  </si>
  <si>
    <t>01-3975</t>
  </si>
  <si>
    <t>Elio Malpica/Eventual Megatech 26/05/25 AL 01/06/25</t>
  </si>
  <si>
    <t>01-3976</t>
  </si>
  <si>
    <t>Fareliz Arrieche/Eventual Megatech 26/05/25 AL 01/06/25</t>
  </si>
  <si>
    <t>01-3977</t>
  </si>
  <si>
    <t>Norys Ramos/Eventual Megatech 26/05/25 AL 01/06/25</t>
  </si>
  <si>
    <t>01-3978</t>
  </si>
  <si>
    <t>Ruben Rivas/Eventual Megatech 26/05/25 AL 01/06/25</t>
  </si>
  <si>
    <t>01-3979</t>
  </si>
  <si>
    <t>Emperatriz Leon/Eventual Megatech 26/05/25 AL 01/06/25</t>
  </si>
  <si>
    <t>01-3980</t>
  </si>
  <si>
    <t>Fares Arrieche/Eventual Megatech 26/05/25 AL 01/06/25</t>
  </si>
  <si>
    <t>01-3981</t>
  </si>
  <si>
    <t>Ingrid Reyes/Eventual Megatech 26/05/25 AL 01/06/25</t>
  </si>
  <si>
    <t>01-3982</t>
  </si>
  <si>
    <t>01-3983</t>
  </si>
  <si>
    <t>01-3984</t>
  </si>
  <si>
    <t>01-3985</t>
  </si>
  <si>
    <t>01-3986</t>
  </si>
  <si>
    <t>COMI MANTENIMIENTO DE CUENTA</t>
  </si>
  <si>
    <t>01-3987</t>
  </si>
  <si>
    <t>0329292345539</t>
  </si>
  <si>
    <t>01-3988</t>
  </si>
  <si>
    <t>0329292349156</t>
  </si>
  <si>
    <t>01-3989</t>
  </si>
  <si>
    <t>AGRO TENDENCIAS/FACT55/VENTA MATERIALES</t>
  </si>
  <si>
    <t>01-3990</t>
  </si>
  <si>
    <t>VENTA GRANZO-CONCRETO-CEMENTO</t>
  </si>
  <si>
    <t>WILLIAM RIVAS/CAMPAÑA YESO 14/05 AL 20/05</t>
  </si>
  <si>
    <t>01-3991</t>
  </si>
  <si>
    <t>LINO FLOREZ/CAMPAÑA YESO 14/05 AL 20/05</t>
  </si>
  <si>
    <t>01-3992</t>
  </si>
  <si>
    <t>LEONARDO CHIRINO/CAMPAÑA YESO 14/05 AL 20/05</t>
  </si>
  <si>
    <t>01-3993</t>
  </si>
  <si>
    <t>MATERIALES SANTA LUCIA, C.A./ FACT 5295/MINERALES</t>
  </si>
  <si>
    <t>01-3994</t>
  </si>
  <si>
    <t xml:space="preserve">OLGA OROZCO/OPERADOR TOPOGRAFICO </t>
  </si>
  <si>
    <t>01-3995</t>
  </si>
  <si>
    <t>45-020525</t>
  </si>
  <si>
    <t>AURELIANO LEON/CAMPAÑA YESO 14/05 AL 20/05</t>
  </si>
  <si>
    <t>01-3996</t>
  </si>
  <si>
    <t>MATERIALES SANTA LUCIA, C.A./FACT 5296/PLANTA DE CEMENTO</t>
  </si>
  <si>
    <t>01-3997</t>
  </si>
  <si>
    <t>01-3998</t>
  </si>
  <si>
    <t>12-020525</t>
  </si>
  <si>
    <t>PAGO ERRADO/NORYS RAMOS/RESFRIGERIO P/TOPOGRAFO 21/04 AL 30/04</t>
  </si>
  <si>
    <t>01-3999</t>
  </si>
  <si>
    <t>PAGO ERRADO/BANCO</t>
  </si>
  <si>
    <t>MIGUEL RODRIGUEZ/RECARGA CAJA CHICA-1</t>
  </si>
  <si>
    <t>01-4000</t>
  </si>
  <si>
    <t>R&amp;A CONSTRU/FACT 21/INSTA TECHO CERRAMIENTO-TOLVA</t>
  </si>
  <si>
    <t>01-4001</t>
  </si>
  <si>
    <t>FREDDY MENDOZA/CAMPAÑA YESO 14/05 AL 20/05</t>
  </si>
  <si>
    <t>01-4002</t>
  </si>
  <si>
    <t>DAYANA AZUAJE/CAMPAÑA YESO 14/05 AL 20/05</t>
  </si>
  <si>
    <t>01-4003</t>
  </si>
  <si>
    <t>01-4004</t>
  </si>
  <si>
    <t>JEFFERSON DAVILA/CAMPAÑA YESO 14/05 AL 20/05</t>
  </si>
  <si>
    <t>01-4005</t>
  </si>
  <si>
    <t>BEATRIZ CASTILLO/CAMPAÑA YESO 14/05 AL 20/05</t>
  </si>
  <si>
    <t>01-4006</t>
  </si>
  <si>
    <t>RAMON QUIROGAS/CAMPAÑA YESO 14/05 AL 20/05</t>
  </si>
  <si>
    <t>01-4007</t>
  </si>
  <si>
    <t>COMERCIAL SUPER VZLA/FACT 14377/BOMBONES D/MADRES</t>
  </si>
  <si>
    <t>01-4008</t>
  </si>
  <si>
    <t>01-4009</t>
  </si>
  <si>
    <t>0270900000013</t>
  </si>
  <si>
    <t xml:space="preserve">DEVUELTA NORYS RAMOS/RESFRIGERIO P/TOPOGRAFO 21/04 AL 30/04     </t>
  </si>
  <si>
    <t>01-4010</t>
  </si>
  <si>
    <t>01-4011</t>
  </si>
  <si>
    <t>01-4012</t>
  </si>
  <si>
    <t>01-4013</t>
  </si>
  <si>
    <t>01-4014</t>
  </si>
  <si>
    <t>01-4015</t>
  </si>
  <si>
    <t>01-4016</t>
  </si>
  <si>
    <t>01-4017</t>
  </si>
  <si>
    <t>01-4018</t>
  </si>
  <si>
    <t>01-4019</t>
  </si>
  <si>
    <t>01-4020</t>
  </si>
  <si>
    <t>01-4021</t>
  </si>
  <si>
    <t>01-4022</t>
  </si>
  <si>
    <t>01-4023</t>
  </si>
  <si>
    <t>01-4024</t>
  </si>
  <si>
    <t>01-4025</t>
  </si>
  <si>
    <t>01-4026</t>
  </si>
  <si>
    <t>01-4027</t>
  </si>
  <si>
    <t>01-4028</t>
  </si>
  <si>
    <t>01-4029</t>
  </si>
  <si>
    <t>0592318904326</t>
  </si>
  <si>
    <t>LA DECLARACION PENSIONES/PERIODO ABRIL 2025</t>
  </si>
  <si>
    <t>01-4030</t>
  </si>
  <si>
    <t>02-020525</t>
  </si>
  <si>
    <t>0828624515338</t>
  </si>
  <si>
    <t xml:space="preserve">BANAVIH/PERIODO ABRIL 2025              </t>
  </si>
  <si>
    <t>01-4031</t>
  </si>
  <si>
    <t>03-050525</t>
  </si>
  <si>
    <t>0100724517346</t>
  </si>
  <si>
    <t xml:space="preserve">IVSS/PERIODO ABRIL 2025                     </t>
  </si>
  <si>
    <t>01-4032</t>
  </si>
  <si>
    <t>0598118706665</t>
  </si>
  <si>
    <t>SAPI/REGISTRO MARCA MINERALES AB</t>
  </si>
  <si>
    <t>01-4033</t>
  </si>
  <si>
    <t>08-060525</t>
  </si>
  <si>
    <t>9884806052025</t>
  </si>
  <si>
    <t>01-4034</t>
  </si>
  <si>
    <t>0329287387609</t>
  </si>
  <si>
    <t>AUTO PREMIER/FACT 0119/20RINES P/CAMIONES PLANTA CEMENTO</t>
  </si>
  <si>
    <t>01-4035</t>
  </si>
  <si>
    <t>0676287387609</t>
  </si>
  <si>
    <t>01-4036</t>
  </si>
  <si>
    <t>0329292923451</t>
  </si>
  <si>
    <t>01-4037</t>
  </si>
  <si>
    <t xml:space="preserve">HUMBERTO FRANCO /FACT 197/Inversion Pintura general en planta de Minerales Yracuy </t>
  </si>
  <si>
    <t>01-4038</t>
  </si>
  <si>
    <t xml:space="preserve">VENFA/ FACT A-0077/ REPARACION DEL UNICO CARGADOR- VOLO  DIPONIBLE </t>
  </si>
  <si>
    <t>01-4039</t>
  </si>
  <si>
    <t>01-4040</t>
  </si>
  <si>
    <t>01-4041</t>
  </si>
  <si>
    <t>corporacion erds industrial/fact 1764/Nylon para desmalezadora (minerales)</t>
  </si>
  <si>
    <t>01-4042</t>
  </si>
  <si>
    <t>01-4043</t>
  </si>
  <si>
    <t xml:space="preserve">DISTRIBUIDORA FLORICOLOR DEL OESTE, C.A/ FACT 1465/ planta de Minerales Yracuy </t>
  </si>
  <si>
    <t>01-4044</t>
  </si>
  <si>
    <t>INVERSIONES Y MATERIALES PARRA C.A./FACT 755/ FOTOCELDA</t>
  </si>
  <si>
    <t>01-4045</t>
  </si>
  <si>
    <t>01-4046</t>
  </si>
  <si>
    <t xml:space="preserve">CORPORACION ERDS/FACT 1764/Inversion para area de empaque de Compresor en Minerales Yaracuy </t>
  </si>
  <si>
    <t>01-4047</t>
  </si>
  <si>
    <t>01-4048</t>
  </si>
  <si>
    <t>01-4049</t>
  </si>
  <si>
    <t>01-4050</t>
  </si>
  <si>
    <t>01-4051</t>
  </si>
  <si>
    <t>01-4052</t>
  </si>
  <si>
    <t>01-4053</t>
  </si>
  <si>
    <t>01-4054</t>
  </si>
  <si>
    <t>01-4055</t>
  </si>
  <si>
    <t>01-4056</t>
  </si>
  <si>
    <t>01-4057</t>
  </si>
  <si>
    <t>Justiniano Rodriguez/Eventual Agregados 05/05 AL 11/05</t>
  </si>
  <si>
    <t>01-4058</t>
  </si>
  <si>
    <t>Delios Adolfo Ferrara/Eventual Agregados 05/05 AL 11/05</t>
  </si>
  <si>
    <t>01-4059</t>
  </si>
  <si>
    <t>Naiker Alexander Jimenez/Eventual Agregados 05/05 AL 11/05</t>
  </si>
  <si>
    <t>01-4060</t>
  </si>
  <si>
    <t>Bruno Ali Cordero Bullones/Eventual Agregados 05/05 AL 11/05</t>
  </si>
  <si>
    <t>01-4061</t>
  </si>
  <si>
    <t>Euber José Juarez/Eventual Agregados 05/05 AL 11/05</t>
  </si>
  <si>
    <t>01-4062</t>
  </si>
  <si>
    <t>Ali Alberto Bullones/Eventual Agregados 05/05 AL 11/05</t>
  </si>
  <si>
    <t>01-4063</t>
  </si>
  <si>
    <t>Carlos Daniel Rodriguez/Eventual Agregados 05/05 AL 11/05</t>
  </si>
  <si>
    <t>01-4064</t>
  </si>
  <si>
    <t>Eliomar Jesús Escalona/Eventual Agregados 05/05 AL 11/05</t>
  </si>
  <si>
    <t>01-4065</t>
  </si>
  <si>
    <t>José Guillermo Cortez/Eventual Agregados 05/05 AL 11/05</t>
  </si>
  <si>
    <t>01-4066</t>
  </si>
  <si>
    <t>Frank Armando García/Eventual Agregados 05/05 AL 11/05</t>
  </si>
  <si>
    <t>01-4067</t>
  </si>
  <si>
    <t>Alberto Luis Rojas/Eventual Agregados 05/05 AL 11/05</t>
  </si>
  <si>
    <t>01-4068</t>
  </si>
  <si>
    <t>José Gregorio Perez/Eventual Agregados 05/05 AL 11/05</t>
  </si>
  <si>
    <t>01-4069</t>
  </si>
  <si>
    <t>Alberto Ali Bullones/Eventual Agregados 05/05 AL 11/05</t>
  </si>
  <si>
    <t>01-4070</t>
  </si>
  <si>
    <t>Fernando José Rodriguez/Eventual Agregados 05/05 AL 11/05</t>
  </si>
  <si>
    <t>01-4071</t>
  </si>
  <si>
    <t>Darwuin Jesús Bullones/Eventual Agregados 05/05 AL 11/05</t>
  </si>
  <si>
    <t>01-4072</t>
  </si>
  <si>
    <t>Alejandro Morales/Eventual Agregados 05/05 AL 11/05</t>
  </si>
  <si>
    <t>01-4073</t>
  </si>
  <si>
    <t>Carlos Lopez/Eventual Agregados 05/05 AL 11/05</t>
  </si>
  <si>
    <t>01-4074</t>
  </si>
  <si>
    <t>Henrry Valera/Eventual Gobernacion 05/05 AL 11/05</t>
  </si>
  <si>
    <t>01-4075</t>
  </si>
  <si>
    <t>Federico Faneite/Eventual Gobernacion 05/05 AL 11/05</t>
  </si>
  <si>
    <t>01-4076</t>
  </si>
  <si>
    <t>Juan López/Eventual Agregados 05/05 AL 11/05</t>
  </si>
  <si>
    <t>01-4077</t>
  </si>
  <si>
    <t>Armando Lopez /Eventual Agregados 05/05 AL 11/05</t>
  </si>
  <si>
    <t>01-4078</t>
  </si>
  <si>
    <t>Luis Silveiro Colon Ojeda/Eventual Agregados 05/05 AL 11/05</t>
  </si>
  <si>
    <t>01-4079</t>
  </si>
  <si>
    <t>Brunito Segundo Cordero/Eventual Agregados 05/05 AL 11/05</t>
  </si>
  <si>
    <t>01-4080</t>
  </si>
  <si>
    <t>Ramón Quintero/Eventual Agregados 05/05 AL 11/05</t>
  </si>
  <si>
    <t>01-4081</t>
  </si>
  <si>
    <t>Jesus Ramos/Eventual Gobernacion 05/05 AL 11/05</t>
  </si>
  <si>
    <t>01-4082</t>
  </si>
  <si>
    <t>Exson Rodriguez/Eventual Gobernacion 05/05 AL 11/05</t>
  </si>
  <si>
    <t>01-4083</t>
  </si>
  <si>
    <t>Victor Mendez/Eventual Megatech 05/05 AL 11/05</t>
  </si>
  <si>
    <t>01-4084</t>
  </si>
  <si>
    <t>Francisco Castillo/Eventual Megatech 05/05 AL 11/05</t>
  </si>
  <si>
    <t>01-4085</t>
  </si>
  <si>
    <t>Antonio Castillo/Eventual Megatech 05/05 AL 11/05</t>
  </si>
  <si>
    <t>01-4086</t>
  </si>
  <si>
    <t>Omar Torrealba/Eventual Megatech 05/05 AL 11/05</t>
  </si>
  <si>
    <t>01-4087</t>
  </si>
  <si>
    <t>Jose Toledo/Eventual Gobernacion 05/05 AL 11/05</t>
  </si>
  <si>
    <t>01-4088</t>
  </si>
  <si>
    <t>Nicolas Alvarez/Eventual Gobernacion 05/05 AL 11/05</t>
  </si>
  <si>
    <t>01-4089</t>
  </si>
  <si>
    <t>Rafael Puertas/Eventual Gobernacion 05/05 AL 11/05</t>
  </si>
  <si>
    <t>01-4090</t>
  </si>
  <si>
    <t>Juan Pinto/Eventual Gobernacion 05/05 AL 11/05</t>
  </si>
  <si>
    <t>01-4091</t>
  </si>
  <si>
    <t>Edwin Rojas/Eventual Gobernacion 05/05 AL 11/05</t>
  </si>
  <si>
    <t>01-4092</t>
  </si>
  <si>
    <t>Andrés Armella/Eventual Gobernacion 05/05 AL 11/05</t>
  </si>
  <si>
    <t>01-4093</t>
  </si>
  <si>
    <t>Emperatriz Leon/Eventual Megatech 05/05 AL 11/05</t>
  </si>
  <si>
    <t>01-4094</t>
  </si>
  <si>
    <t>Angel Caldera/Eventual Gobernacion 05/05 AL 11/05</t>
  </si>
  <si>
    <t>01-4095</t>
  </si>
  <si>
    <t>Alirio Parra/Eventual Megatech 05/05 AL 11/05</t>
  </si>
  <si>
    <t>01-4096</t>
  </si>
  <si>
    <t>Fareliz Arrieche/Eventual Gobernacion 05/05 AL 11/05</t>
  </si>
  <si>
    <t>01-4097</t>
  </si>
  <si>
    <t>Hector/Eventual Gobernacion 05/05 AL 11/05</t>
  </si>
  <si>
    <t>01-4098</t>
  </si>
  <si>
    <t>Rafael Quiroz/Eventual Gobernacion 05/05 AL 11/05</t>
  </si>
  <si>
    <t>01-4099</t>
  </si>
  <si>
    <t>Froilan Lopez/Eventual Agregados 05/05 AL 11/05</t>
  </si>
  <si>
    <t>01-4100</t>
  </si>
  <si>
    <t>Alirio Parra/Eventual Gobernacion 05/05 AL 11/05</t>
  </si>
  <si>
    <t>01-4101</t>
  </si>
  <si>
    <t>Norys Ramos/Eventual Gobernacion 05/05 AL 11/05</t>
  </si>
  <si>
    <t>01-4102</t>
  </si>
  <si>
    <t>Argenis Flores/Eventual Megatech 05/05 AL 11/05</t>
  </si>
  <si>
    <t>01-4103</t>
  </si>
  <si>
    <t>Pitter Puerta/Eventual Megatech 05/05 AL 11/05</t>
  </si>
  <si>
    <t>01-4104</t>
  </si>
  <si>
    <t>Walner Oviedo/Eventual Megatech 05/05 AL 11/05</t>
  </si>
  <si>
    <t>01-4105</t>
  </si>
  <si>
    <t>Pedro Castillo/Eventual Gobernacion 05/05 AL 11/05</t>
  </si>
  <si>
    <t>01-4106</t>
  </si>
  <si>
    <t>Jose Guevara/Eventual Megatech 05/05 AL 11/05</t>
  </si>
  <si>
    <t>01-4107</t>
  </si>
  <si>
    <t>Alberto Loyo/Eventual Megatech 05/05 AL 11/05</t>
  </si>
  <si>
    <t>01-4108</t>
  </si>
  <si>
    <t>Carlos Castillo/Eventual Megatech 05/05 AL 11/05</t>
  </si>
  <si>
    <t>01-4109</t>
  </si>
  <si>
    <t>Yordis Almao/Eventual Megatech 05/05 AL 11/05</t>
  </si>
  <si>
    <t>01-4110</t>
  </si>
  <si>
    <t>Yonny Castillo/Eventual Megatech 05/05 AL 11/05</t>
  </si>
  <si>
    <t>01-4111</t>
  </si>
  <si>
    <t>Alexander Castillo/Eventual Megatech 05/05 AL 11/05</t>
  </si>
  <si>
    <t>01-4112</t>
  </si>
  <si>
    <t>Julian Guedez/Eventual Megatech 05/05 AL 11/05</t>
  </si>
  <si>
    <t>01-4113</t>
  </si>
  <si>
    <t>01-4114</t>
  </si>
  <si>
    <t>Jose Castillo/Eventual Megatech 05/05 AL 11/05</t>
  </si>
  <si>
    <t>01-4115</t>
  </si>
  <si>
    <t>Miguel Torres/Eventual Gobernacion 05/05 AL 11/05</t>
  </si>
  <si>
    <t>01-4116</t>
  </si>
  <si>
    <t>Douglas Pimentel/Eventual Gobernacion 05/05 AL 11/05</t>
  </si>
  <si>
    <t>01-4117</t>
  </si>
  <si>
    <t>Wendy Gimenez/Eventual Gobernacion 05/05 AL 11/05</t>
  </si>
  <si>
    <t>01-4118</t>
  </si>
  <si>
    <t>Carlos Loyo/Eventual Megatech 05/05 AL 11/05</t>
  </si>
  <si>
    <t>01-4119</t>
  </si>
  <si>
    <t>Elvis Valles/Eventual Megatech 05/05 AL 11/05</t>
  </si>
  <si>
    <t>01-4120</t>
  </si>
  <si>
    <t>Elio Malpica/Eventual Megatech 05/05 AL 11/05</t>
  </si>
  <si>
    <t>01-4121</t>
  </si>
  <si>
    <t>Yerry Rodríguez/Eventual Megatech 05/05 AL 11/05</t>
  </si>
  <si>
    <t>01-4122</t>
  </si>
  <si>
    <t>Edwuard Almeida/Eventual Megatech 05/05 AL 11/05</t>
  </si>
  <si>
    <t>01-4123</t>
  </si>
  <si>
    <t>Ruben Rivas/Eventual Megatech 05/05 AL 11/05</t>
  </si>
  <si>
    <t>01-4124</t>
  </si>
  <si>
    <t>Ingrid Reyes/Eventual Megatech 05/05 AL 11/05</t>
  </si>
  <si>
    <t>01-4125</t>
  </si>
  <si>
    <t>Estebez Maramara/Eventual Agregados 05/05 AL 11/05</t>
  </si>
  <si>
    <t>01-4126</t>
  </si>
  <si>
    <t>Fareliz Arrieche/Eventual Megatech 05/05 AL 11/05</t>
  </si>
  <si>
    <t>01-4127</t>
  </si>
  <si>
    <t>Norys Ramos/Eventual Megatech 05/05 AL 11/05</t>
  </si>
  <si>
    <t>01-4128</t>
  </si>
  <si>
    <t>Fares Arrieche/Eventual Megatech 05/05 AL 11/05</t>
  </si>
  <si>
    <t>01-4129</t>
  </si>
  <si>
    <t>Carlos Pacheco/Eventual Gobernacion 05/05 AL 11/05</t>
  </si>
  <si>
    <t>01-4130</t>
  </si>
  <si>
    <t>0329293158455</t>
  </si>
  <si>
    <t>01-4131</t>
  </si>
  <si>
    <t>01-4132</t>
  </si>
  <si>
    <t>01-4133</t>
  </si>
  <si>
    <t>01-4134</t>
  </si>
  <si>
    <t>01-4135</t>
  </si>
  <si>
    <t>01-4136</t>
  </si>
  <si>
    <t>01-4137</t>
  </si>
  <si>
    <t>01-4138</t>
  </si>
  <si>
    <t>01-4139</t>
  </si>
  <si>
    <t>01-4140</t>
  </si>
  <si>
    <t>01-4141</t>
  </si>
  <si>
    <t>01-4142</t>
  </si>
  <si>
    <t>01-4143</t>
  </si>
  <si>
    <t>01-4144</t>
  </si>
  <si>
    <t>01-4145</t>
  </si>
  <si>
    <t>01-4146</t>
  </si>
  <si>
    <t>01-4147</t>
  </si>
  <si>
    <t>01-4148</t>
  </si>
  <si>
    <t>01-4149</t>
  </si>
  <si>
    <t>01-4150</t>
  </si>
  <si>
    <t>01-4151</t>
  </si>
  <si>
    <t>01-4152</t>
  </si>
  <si>
    <t>01-4153</t>
  </si>
  <si>
    <t>01-4154</t>
  </si>
  <si>
    <t>01-4155</t>
  </si>
  <si>
    <t>01-4156</t>
  </si>
  <si>
    <t>01-4157</t>
  </si>
  <si>
    <t>01-4158</t>
  </si>
  <si>
    <t>01-4159</t>
  </si>
  <si>
    <t>01-4160</t>
  </si>
  <si>
    <t>01-4161</t>
  </si>
  <si>
    <t>01-4162</t>
  </si>
  <si>
    <t>01-4163</t>
  </si>
  <si>
    <t>01-4164</t>
  </si>
  <si>
    <t>01-4165</t>
  </si>
  <si>
    <t>01-4166</t>
  </si>
  <si>
    <t>01-4167</t>
  </si>
  <si>
    <t>01-4168</t>
  </si>
  <si>
    <t>01-4169</t>
  </si>
  <si>
    <t>01-4170</t>
  </si>
  <si>
    <t>01-4171</t>
  </si>
  <si>
    <t>01-4172</t>
  </si>
  <si>
    <t>01-4173</t>
  </si>
  <si>
    <t>01-4174</t>
  </si>
  <si>
    <t>01-4175</t>
  </si>
  <si>
    <t>01-4176</t>
  </si>
  <si>
    <t>01-4177</t>
  </si>
  <si>
    <t>01-4178</t>
  </si>
  <si>
    <t>01-4179</t>
  </si>
  <si>
    <t>01-4180</t>
  </si>
  <si>
    <t>01-4181</t>
  </si>
  <si>
    <t>01-4182</t>
  </si>
  <si>
    <t>01-4183</t>
  </si>
  <si>
    <t>01-4184</t>
  </si>
  <si>
    <t>01-4185</t>
  </si>
  <si>
    <t>01-4186</t>
  </si>
  <si>
    <t>01-4187</t>
  </si>
  <si>
    <t>01-4188</t>
  </si>
  <si>
    <t>01-4189</t>
  </si>
  <si>
    <t>01-4190</t>
  </si>
  <si>
    <t>01-4191</t>
  </si>
  <si>
    <t>01-4192</t>
  </si>
  <si>
    <t>01-4193</t>
  </si>
  <si>
    <t>01-4194</t>
  </si>
  <si>
    <t>01-4195</t>
  </si>
  <si>
    <t>01-4196</t>
  </si>
  <si>
    <t>01-4197</t>
  </si>
  <si>
    <t>01-4198</t>
  </si>
  <si>
    <t>01-4199</t>
  </si>
  <si>
    <t>01-4200</t>
  </si>
  <si>
    <t>01-4201</t>
  </si>
  <si>
    <t>01-4202</t>
  </si>
  <si>
    <t>01-4203</t>
  </si>
  <si>
    <t>01-4204</t>
  </si>
  <si>
    <t>0329295805677</t>
  </si>
  <si>
    <t>01-4205</t>
  </si>
  <si>
    <t>01-4206</t>
  </si>
  <si>
    <t xml:space="preserve">PROMIRCA/FACT 000988/ MANGUERAS HIDRAULICAS </t>
  </si>
  <si>
    <t>01-4207</t>
  </si>
  <si>
    <t xml:space="preserve">ARIWDDY ROSELY GARRIDO/FACT 000033/ ANALISIS DE MUESTRA </t>
  </si>
  <si>
    <t>01-4208</t>
  </si>
  <si>
    <t>01-4209</t>
  </si>
  <si>
    <t>ALQUILER VALLA P/INFORM EXTRACCION GRANZON (MARZO/ABRIL 2025)</t>
  </si>
  <si>
    <t>01-4210</t>
  </si>
  <si>
    <t>08-1205251</t>
  </si>
  <si>
    <t>01-4211</t>
  </si>
  <si>
    <t>01-4212</t>
  </si>
  <si>
    <t>01-4213</t>
  </si>
  <si>
    <t>01-4214</t>
  </si>
  <si>
    <t>01-4215</t>
  </si>
  <si>
    <t>01-4216</t>
  </si>
  <si>
    <t>01-4217</t>
  </si>
  <si>
    <t>01-4218</t>
  </si>
  <si>
    <t>01-4219</t>
  </si>
  <si>
    <t>01-4220</t>
  </si>
  <si>
    <t>01-4221</t>
  </si>
  <si>
    <t>0329296168124</t>
  </si>
  <si>
    <t>01-4222</t>
  </si>
  <si>
    <t xml:space="preserve">FERRETERIA Y MATERIALES OBRA GRIS 2021 C.A/FACT 251/MATERIALES DE COSTRUCCION </t>
  </si>
  <si>
    <t>01-4223</t>
  </si>
  <si>
    <t>SUMINISTROS OFFITECNOLOGIES C.A./FACT 14718/ART. DE LA OFICINA</t>
  </si>
  <si>
    <t>01-4224</t>
  </si>
  <si>
    <t xml:space="preserve">LISO/FACT 609/CONFF INST ESTRUCTURA METALICA P/TECHADO  </t>
  </si>
  <si>
    <t>01-4225</t>
  </si>
  <si>
    <t>FERRETERIA Y MATERIALESOBRA GRIS 20/FACT 000252/ OBRA CIVILES /PLANTA CEMENTERA</t>
  </si>
  <si>
    <t>01-4226</t>
  </si>
  <si>
    <t>01-4227</t>
  </si>
  <si>
    <t>01-4228</t>
  </si>
  <si>
    <t>01-4229</t>
  </si>
  <si>
    <t>01-4230</t>
  </si>
  <si>
    <t>01-4231</t>
  </si>
  <si>
    <t>01-4232</t>
  </si>
  <si>
    <t>01-4233</t>
  </si>
  <si>
    <t>01-4234</t>
  </si>
  <si>
    <t>01-4235</t>
  </si>
  <si>
    <t>01-4236</t>
  </si>
  <si>
    <t>0329296307635</t>
  </si>
  <si>
    <t>01-4237</t>
  </si>
  <si>
    <t>INVERSIONES Y MATERIALES PARRA C.A./FACT 764/ ANGULOS P/PERSONAL/PLANTA DE CEMENTO</t>
  </si>
  <si>
    <t>01-4238</t>
  </si>
  <si>
    <t>TALLER MOLI/FACT 2646/REPA 4TERMINLES/4RODILLOS FRENOS-MINERALES</t>
  </si>
  <si>
    <t>01-4239</t>
  </si>
  <si>
    <t>EL MIO CARRO/FACT 5210/CAUCHOS PARA GRUA</t>
  </si>
  <si>
    <t>01-4240</t>
  </si>
  <si>
    <t>MULTISERVICIOS JR 2016, C.A/FACT 00095/REPUESTO VEHICULO</t>
  </si>
  <si>
    <t>01-4241</t>
  </si>
  <si>
    <t>NULTISERVICIO JR 2016/FACT 0099/PAGO SERVICIOS VARIOS HILUX AGREGADOS</t>
  </si>
  <si>
    <t>01-4242</t>
  </si>
  <si>
    <t>01-4243</t>
  </si>
  <si>
    <t>01-4244</t>
  </si>
  <si>
    <t>01-4245</t>
  </si>
  <si>
    <t>01-4246</t>
  </si>
  <si>
    <t>01-4247</t>
  </si>
  <si>
    <t>0329296574636</t>
  </si>
  <si>
    <t xml:space="preserve">COMERCIALIZADORA/INVERSION DE CAPITAL/VZLA </t>
  </si>
  <si>
    <t>01-4248</t>
  </si>
  <si>
    <t xml:space="preserve">MULTISERVICIOS GARQUIS/FACT 06/FABRICA INSTAC BARANDA SEGURIDAD </t>
  </si>
  <si>
    <t>01-4249</t>
  </si>
  <si>
    <t>SERVA046</t>
  </si>
  <si>
    <t>CONSTRUCCION/MANO DE OBRA</t>
  </si>
  <si>
    <t>01-4250</t>
  </si>
  <si>
    <t xml:space="preserve">CORPORACION ERDS INDUSTRIAL S.A/FACT  1788/CERRADURA </t>
  </si>
  <si>
    <t>01-4251</t>
  </si>
  <si>
    <t>01-4252</t>
  </si>
  <si>
    <t>01-4253</t>
  </si>
  <si>
    <t>01-4254</t>
  </si>
  <si>
    <t>0329299246351</t>
  </si>
  <si>
    <t>01-4255</t>
  </si>
  <si>
    <t>0329299249941</t>
  </si>
  <si>
    <t>01-4256</t>
  </si>
  <si>
    <t>OLGA OROZCO/HOSPEDAJE CALIZA 12/05 AL 16/05</t>
  </si>
  <si>
    <t>01-4257</t>
  </si>
  <si>
    <t>45-160525</t>
  </si>
  <si>
    <t>JOSE CASTILLO/CAMPAÑA YESO 12/05 AL 16/05</t>
  </si>
  <si>
    <t>01-4258</t>
  </si>
  <si>
    <t>MATERIALES SANTA LUCIA/ FACT 5346/ CEMENTERA</t>
  </si>
  <si>
    <t>01-4259</t>
  </si>
  <si>
    <t>LEONARDO CHIRINO /CAMPAÑA YESO 12/05 AL 16/05</t>
  </si>
  <si>
    <t>01-4260</t>
  </si>
  <si>
    <t>JEFERSON DAVILA /CAMPAÑA YESO 12/05 AL 16/05</t>
  </si>
  <si>
    <t>01-4261</t>
  </si>
  <si>
    <t>WILLIAN RIVAS/CAMPAÑA YESO 12/05 AL 16/05</t>
  </si>
  <si>
    <t>01-4262</t>
  </si>
  <si>
    <t>01-4263</t>
  </si>
  <si>
    <t>12-160525</t>
  </si>
  <si>
    <t>BEATRIZ CASTILLO/CAMPAÑA YESO 12/05 AL 16/05</t>
  </si>
  <si>
    <t>01-4264</t>
  </si>
  <si>
    <t xml:space="preserve">EMPRENDIMIENTO DIOSANNY ALVAREZ/ FACT 000095/ALMUERZOS </t>
  </si>
  <si>
    <t>01-4265</t>
  </si>
  <si>
    <t>GLOBAL ACERO/FACT0061/TUBOS HIERROS P/PERSONAL HINDU-P/CEMENTO</t>
  </si>
  <si>
    <t>01-4266</t>
  </si>
  <si>
    <t>FREDDY MENDOZA/CAMPAÑA YESO 12/05 AL 16/05</t>
  </si>
  <si>
    <t>01-4267</t>
  </si>
  <si>
    <t>01-4268</t>
  </si>
  <si>
    <t xml:space="preserve">EMPRENDIEMIENTO DIOSANNY /FACT 002833/ ALMUERZOS Y VIATICOS </t>
  </si>
  <si>
    <t>01-4269</t>
  </si>
  <si>
    <t>DAYANA ASUAJE/CAMPAÑA YESO 12/05 AL 16/05</t>
  </si>
  <si>
    <t>01-4270</t>
  </si>
  <si>
    <t>CREACIONES LO MAXIMO C A/ FACT FA00680109/BOTAS DE SEGURIDAD P/PERSONAL</t>
  </si>
  <si>
    <t>01-4271</t>
  </si>
  <si>
    <t>SERVA020</t>
  </si>
  <si>
    <t>GASTOS UNIFORME Y DOTACIONES</t>
  </si>
  <si>
    <t>DISTRIBUIDORA FLORICOLOR DEL ESTE /FACT 7731/SACOS Y BROCHAS/MINERALES</t>
  </si>
  <si>
    <t>01-4272</t>
  </si>
  <si>
    <t>01-4273</t>
  </si>
  <si>
    <t>RAMON QUIROGAS/CAMPAÑA YESO 12/05 AL 16/05</t>
  </si>
  <si>
    <t>01-4274</t>
  </si>
  <si>
    <t>ELIAN MENSOZA/CAMPAÑA YESO 12/05 AL 16/05</t>
  </si>
  <si>
    <t>01-4275</t>
  </si>
  <si>
    <t xml:space="preserve">YEAN CARLOS YARAURE/FACT 000039/VIAJE DE CISTERNA </t>
  </si>
  <si>
    <t>01-4276</t>
  </si>
  <si>
    <t>SERVL004E</t>
  </si>
  <si>
    <t xml:space="preserve">VIAJE DE AGUA CISTERNA </t>
  </si>
  <si>
    <t>NORYS RAMOS/RESFRIGERIO TOPOGRAFO 12/05 AL 16/05</t>
  </si>
  <si>
    <t>01-4277</t>
  </si>
  <si>
    <t>13-160525</t>
  </si>
  <si>
    <t>MIGUEL/REPOSICION DE CAJA CHICA</t>
  </si>
  <si>
    <t>01-4278</t>
  </si>
  <si>
    <t>REPOSICION DE CAJA CHICA</t>
  </si>
  <si>
    <t>01-4279</t>
  </si>
  <si>
    <t>01-4280</t>
  </si>
  <si>
    <t>01-4281</t>
  </si>
  <si>
    <t>01-4282</t>
  </si>
  <si>
    <t>01-4283</t>
  </si>
  <si>
    <t>01-4284</t>
  </si>
  <si>
    <t>01-4285</t>
  </si>
  <si>
    <t>01-4286</t>
  </si>
  <si>
    <t>01-4287</t>
  </si>
  <si>
    <t>01-4288</t>
  </si>
  <si>
    <t>01-4289</t>
  </si>
  <si>
    <t>01-4290</t>
  </si>
  <si>
    <t>01-4291</t>
  </si>
  <si>
    <t>01-4292</t>
  </si>
  <si>
    <t>01-4293</t>
  </si>
  <si>
    <t>01-4294</t>
  </si>
  <si>
    <t>01-4295</t>
  </si>
  <si>
    <t>01-4296</t>
  </si>
  <si>
    <t>01-4297</t>
  </si>
  <si>
    <t>01-4298</t>
  </si>
  <si>
    <t>01-4299</t>
  </si>
  <si>
    <t>01-4300</t>
  </si>
  <si>
    <t>0329299413210</t>
  </si>
  <si>
    <t>01-4301</t>
  </si>
  <si>
    <t>ELIGIO ANTONIO GONZALEZ/FACT 273/ EXPLORACION Y DELIMITACION</t>
  </si>
  <si>
    <t>01-4302</t>
  </si>
  <si>
    <t>MATERIALES OBRAS GRIS/FACT 256/CEMENTERA</t>
  </si>
  <si>
    <t>01-4303</t>
  </si>
  <si>
    <t>FERRETERIA Y MATERIALES OBRA GRIS 2021 C.A/ FACT 000256/CEMENTERA</t>
  </si>
  <si>
    <t>01-4304</t>
  </si>
  <si>
    <t>01-4305</t>
  </si>
  <si>
    <t>01-4306</t>
  </si>
  <si>
    <t>01-4307</t>
  </si>
  <si>
    <t>0329299558401</t>
  </si>
  <si>
    <t>01-4308</t>
  </si>
  <si>
    <t>INVER MATERIALES PARRA/FACT 766/ TUBOS 10" P/PERSONAL HINDU</t>
  </si>
  <si>
    <t>01-4309</t>
  </si>
  <si>
    <t>01-4310</t>
  </si>
  <si>
    <t>MULTITRASNPORTE/FACT 0258/FLETE PALA POLVO (MINERALES)</t>
  </si>
  <si>
    <t>01-4311</t>
  </si>
  <si>
    <t>01-4312</t>
  </si>
  <si>
    <t>01-4313</t>
  </si>
  <si>
    <t>01-4314</t>
  </si>
  <si>
    <t>01-4315</t>
  </si>
  <si>
    <t>01-4316</t>
  </si>
  <si>
    <t>0590596835459</t>
  </si>
  <si>
    <t>MATERIALES OBRAS/FACT 61/VENTA ARENA CERNIDA</t>
  </si>
  <si>
    <t>01-4317</t>
  </si>
  <si>
    <t>0329299869538</t>
  </si>
  <si>
    <t>01-4318</t>
  </si>
  <si>
    <t>JOSE ANDRES CASTRO LOPEZ/ FACT 00032/ SERV. ANTENA SATELITAL/PLANTA LEGUMINOSA</t>
  </si>
  <si>
    <t>01-4319</t>
  </si>
  <si>
    <t>FERRETERIA Y MATERIALES OBRA GRIS/ FACT 000257/CEMENTERA</t>
  </si>
  <si>
    <t>01-4320</t>
  </si>
  <si>
    <t>FERRETERIA Y MATERIALES OBRA GRIS 2021 C.A/ FACT 000258/CEMENTERA</t>
  </si>
  <si>
    <t>01-4321</t>
  </si>
  <si>
    <t>JOSE ANDRES CASTRO LOPEZ/ FACT 00037/ SERV. ANTENA SATELITAL/SERVICIOS GENERALES</t>
  </si>
  <si>
    <t>01-4322</t>
  </si>
  <si>
    <t>01-4323</t>
  </si>
  <si>
    <t>01-4324</t>
  </si>
  <si>
    <t>01-4325</t>
  </si>
  <si>
    <t>01-4326</t>
  </si>
  <si>
    <t>0329299997291</t>
  </si>
  <si>
    <t>01-4327</t>
  </si>
  <si>
    <t>SERV INDUST RODRIGUEZ/FACT 3874/SERV INDUSTRIAL P/PROYECTO SISTEMA SUB PRODUCTO-TRITURACION PIEDRA</t>
  </si>
  <si>
    <t>01-4328</t>
  </si>
  <si>
    <t>INVERSIONES Y MATERIALES PARRA C.A./ FACT 000767/PLANTA DE CEMENTO</t>
  </si>
  <si>
    <t>01-4329</t>
  </si>
  <si>
    <t>01-4330</t>
  </si>
  <si>
    <t>01-4331</t>
  </si>
  <si>
    <t>01-4332</t>
  </si>
  <si>
    <t>01-4333</t>
  </si>
  <si>
    <t xml:space="preserve">PRINT EXPRESS C.A./FACT 1945 /PLANOS TRITURACION PRIMARIA </t>
  </si>
  <si>
    <t>01-4334</t>
  </si>
  <si>
    <t>01-4335</t>
  </si>
  <si>
    <t>01-4336</t>
  </si>
  <si>
    <t>01-4337</t>
  </si>
  <si>
    <t>01-4338</t>
  </si>
  <si>
    <t>01-4339</t>
  </si>
  <si>
    <t>01-4340</t>
  </si>
  <si>
    <t>01-4341</t>
  </si>
  <si>
    <t>0328789198359</t>
  </si>
  <si>
    <t>AGREGADOS/TRASPASO/TESORO</t>
  </si>
  <si>
    <t>01-4342</t>
  </si>
  <si>
    <t>9500489198359</t>
  </si>
  <si>
    <t>COM PAGO A PROVEED CTAS PROPIA</t>
  </si>
  <si>
    <t>01-4343</t>
  </si>
  <si>
    <t>0329203285092</t>
  </si>
  <si>
    <t>01-4344</t>
  </si>
  <si>
    <t>MATERIALES SANTA LUCIA/FACT 5367/MATERIALES CEMENTERA</t>
  </si>
  <si>
    <t>01-4345</t>
  </si>
  <si>
    <t>ELIA MENDOZA/CAMPAÑA YESO 19/05 AL 23/05</t>
  </si>
  <si>
    <t>01-4346</t>
  </si>
  <si>
    <t>JULIAN CASTILLO/CAMPAÑA YESO 19/05 AL 23/05</t>
  </si>
  <si>
    <t>01-4347</t>
  </si>
  <si>
    <t>BEATRIZ/CAMPAÑA YESO 19/05 AL 23/05</t>
  </si>
  <si>
    <t>01-4348</t>
  </si>
  <si>
    <t>01-4349</t>
  </si>
  <si>
    <t>JOSE CASTILLO/CAMPAÑA YESO 19/05 AL 23/05</t>
  </si>
  <si>
    <t>01-4350</t>
  </si>
  <si>
    <t>01-4351</t>
  </si>
  <si>
    <t>01-4352</t>
  </si>
  <si>
    <t>EMPRENDIEMIENTO DIOSANNY/ FACT 294/ ALMUERZO Y CENAS CAMPAÑA DE YESO</t>
  </si>
  <si>
    <t>01-4353</t>
  </si>
  <si>
    <t>NORIZ RAMOS/REFRIGERIO P/TOPOGRAFO CAMPAÑA YESO 19/05 AL 23/05</t>
  </si>
  <si>
    <t>01-4354</t>
  </si>
  <si>
    <t>13-230525</t>
  </si>
  <si>
    <t>AURELIANO LEON/CAMPAÑA YESO 19/05 AL 23/05</t>
  </si>
  <si>
    <t>01-4355</t>
  </si>
  <si>
    <t>01-4356</t>
  </si>
  <si>
    <t>Diosanny Alvarez/FACT 0295/ABO ALBERTO PERNALETE/FACT 0014</t>
  </si>
  <si>
    <t>01-4357</t>
  </si>
  <si>
    <t>ONE PLASTIC/FACT 150/152</t>
  </si>
  <si>
    <t>01-4358</t>
  </si>
  <si>
    <t>PAGO A PROVEEDORES LOTE 000000030602601</t>
  </si>
  <si>
    <t>01-4359</t>
  </si>
  <si>
    <t>JEFERSON DAVILA/CAMPAÑA YESO 19/05 AL 23/05</t>
  </si>
  <si>
    <t>01-4360</t>
  </si>
  <si>
    <t>LEONARDO CHIRINO/CAMPAÑA YESO 19/05 AL 23/05</t>
  </si>
  <si>
    <t>01-4361</t>
  </si>
  <si>
    <t>LINO FLOREZ/CAMPAÑA YESO 19/05 AL 23/05</t>
  </si>
  <si>
    <t>01-4362</t>
  </si>
  <si>
    <t>WILLIAN RIVAS/CAMPAÑA YESO 19/05 AL 23/05</t>
  </si>
  <si>
    <t>01-4363</t>
  </si>
  <si>
    <t>OLGA OROZCO/4 NOCHES HOSPEDAJE CALIZA</t>
  </si>
  <si>
    <t>01-4364</t>
  </si>
  <si>
    <t>45-230525</t>
  </si>
  <si>
    <t>01-4365</t>
  </si>
  <si>
    <t>FREDDY MENDOZA/CAMPAÑA YESO 19/05 AL 23/05</t>
  </si>
  <si>
    <t>01-4366</t>
  </si>
  <si>
    <t>01-4367</t>
  </si>
  <si>
    <t>12-230525</t>
  </si>
  <si>
    <t>01-4368</t>
  </si>
  <si>
    <t>01-4369</t>
  </si>
  <si>
    <t>01-4370</t>
  </si>
  <si>
    <t>01-4371</t>
  </si>
  <si>
    <t>01-4372</t>
  </si>
  <si>
    <t>01-4373</t>
  </si>
  <si>
    <t>01-4374</t>
  </si>
  <si>
    <t>01-4375</t>
  </si>
  <si>
    <t>01-4376</t>
  </si>
  <si>
    <t>01-4377</t>
  </si>
  <si>
    <t>01-4378</t>
  </si>
  <si>
    <t>01-4379</t>
  </si>
  <si>
    <t>01-4380</t>
  </si>
  <si>
    <t>01-4381</t>
  </si>
  <si>
    <t>01-4382</t>
  </si>
  <si>
    <t>01-4383</t>
  </si>
  <si>
    <t>01-4384</t>
  </si>
  <si>
    <t>01-4385</t>
  </si>
  <si>
    <t>01-4386</t>
  </si>
  <si>
    <t>01-4387</t>
  </si>
  <si>
    <t>01-4388</t>
  </si>
  <si>
    <t>01-4389</t>
  </si>
  <si>
    <t>01-4390</t>
  </si>
  <si>
    <t>0329203904320</t>
  </si>
  <si>
    <t>01-4391</t>
  </si>
  <si>
    <t>FERRENOVA/FACT 2001/COMPRESOR DE AIRE-MINERALES YARACUY</t>
  </si>
  <si>
    <t>01-4392</t>
  </si>
  <si>
    <t xml:space="preserve">SINELECT/NOTA/CULMINACION TRANSFOMADOR </t>
  </si>
  <si>
    <t>01-4393</t>
  </si>
  <si>
    <t>SERVL005E</t>
  </si>
  <si>
    <t>01-4394</t>
  </si>
  <si>
    <t>01-4395</t>
  </si>
  <si>
    <t>0329203931266</t>
  </si>
  <si>
    <t>01-4396</t>
  </si>
  <si>
    <t xml:space="preserve">SINELEC/CULMINACION TRANSFORMADOR </t>
  </si>
  <si>
    <t>01-4397</t>
  </si>
  <si>
    <t>FLORICOLOR OESTE/FACT 1502/FONDO HERRERIA-MINERALES YARACUY</t>
  </si>
  <si>
    <t>01-4398</t>
  </si>
  <si>
    <t>DISGAMALAR/FACT56050/OXIGENOS P/EQUIPOS OXICORTES</t>
  </si>
  <si>
    <t>01-4399</t>
  </si>
  <si>
    <t>01-4400</t>
  </si>
  <si>
    <t>01-4401</t>
  </si>
  <si>
    <t>01-4402</t>
  </si>
  <si>
    <t>0329203932564</t>
  </si>
  <si>
    <t>01-4403</t>
  </si>
  <si>
    <t>GREMIO MOTOR/FACT09/MOTOR MINERALES</t>
  </si>
  <si>
    <t>01-4404</t>
  </si>
  <si>
    <t>GREMIO MOTOR/FACT08/MOTOR PLANTA CEMENTO</t>
  </si>
  <si>
    <t>01-4405</t>
  </si>
  <si>
    <t>01-4406</t>
  </si>
  <si>
    <t>01-4407</t>
  </si>
  <si>
    <t>01-4408</t>
  </si>
  <si>
    <t>01-4409</t>
  </si>
  <si>
    <t>01-4410</t>
  </si>
  <si>
    <t>01-4411</t>
  </si>
  <si>
    <t>01-4412</t>
  </si>
  <si>
    <t>01-4413</t>
  </si>
  <si>
    <t>01-4414</t>
  </si>
  <si>
    <t>01-4415</t>
  </si>
  <si>
    <t>0329203959827</t>
  </si>
  <si>
    <t>01-4416</t>
  </si>
  <si>
    <t>RESGUARDO/FACT 214/PAGO ERRADO</t>
  </si>
  <si>
    <t>01-4417</t>
  </si>
  <si>
    <t>SUMINISTROS INDUSTR/FACT 66/INSTALA ELECTRICAS-MINERALES YARACUY</t>
  </si>
  <si>
    <t>01-4418</t>
  </si>
  <si>
    <t>01-4419</t>
  </si>
  <si>
    <t>01-4420</t>
  </si>
  <si>
    <t>0270900000002</t>
  </si>
  <si>
    <t>01-4421</t>
  </si>
  <si>
    <t>0329204002574</t>
  </si>
  <si>
    <t>01-4422</t>
  </si>
  <si>
    <t>BEATRIZ CASTILLO/CAMPAÑA YESO 26/05 AL 30/05</t>
  </si>
  <si>
    <t>01-4423</t>
  </si>
  <si>
    <t>JERFERSON SALAS/CAMPAÑA YESO 26/05 AL 30/05</t>
  </si>
  <si>
    <t>01-4424</t>
  </si>
  <si>
    <t>FREDDY MENDOZA/CAMPAÑA YESO 26/05 AL 30/05</t>
  </si>
  <si>
    <t>01-4425</t>
  </si>
  <si>
    <t>LINO FLOREZ/CAMPAÑA YESO 26/05 AL 30/05</t>
  </si>
  <si>
    <t>01-4426</t>
  </si>
  <si>
    <t>JOSE CASTILLO/CAMPAÑA YESO 26/05 AL 30/05</t>
  </si>
  <si>
    <t>01-4427</t>
  </si>
  <si>
    <t>OLGA OROZCO/HOSPEDAJE CALIZA 26/05 AL 30/05</t>
  </si>
  <si>
    <t>01-4428</t>
  </si>
  <si>
    <t>ANDRES MELENDEZ/CAMPAÑA YESO 26/05 AL 30/05</t>
  </si>
  <si>
    <t>01-4429</t>
  </si>
  <si>
    <t>NORYS RAMO/REFRIGERIO TOPOGRAFO 26/05 AL 30/05</t>
  </si>
  <si>
    <t>01-4430</t>
  </si>
  <si>
    <t>13-300525</t>
  </si>
  <si>
    <t>DIOSANNY ALVAREZ/FACT 310/CAMPAÑA YESO 26/05 AL 30/05</t>
  </si>
  <si>
    <t>01-4431</t>
  </si>
  <si>
    <t>WILLIAN RIVAS/CAMPAÑA YESO 26/05 AL 30/05</t>
  </si>
  <si>
    <t>01-4432</t>
  </si>
  <si>
    <t>ALBERTO PERNALETTE/FACT 14/ABON DIOSANNY/FACT 313-COMIDA 26/05 AL 30/05</t>
  </si>
  <si>
    <t>01-4433</t>
  </si>
  <si>
    <t>LISO/FACT 611/CONFE INSTAL ESTRUCTURA METALICA</t>
  </si>
  <si>
    <t>01-4434</t>
  </si>
  <si>
    <t>LEONARDO CHIRINO/CAMPAÑA YESO 26/05 AL 30/05</t>
  </si>
  <si>
    <t>01-4435</t>
  </si>
  <si>
    <t>OLGA OROZCO/RESIDENCIA OPERADOR MENSUAL</t>
  </si>
  <si>
    <t>01-4436</t>
  </si>
  <si>
    <t>45-300525</t>
  </si>
  <si>
    <t>01-4437</t>
  </si>
  <si>
    <t>17-300525</t>
  </si>
  <si>
    <t>01-4438</t>
  </si>
  <si>
    <t>12-300525</t>
  </si>
  <si>
    <t>RESGUARDO/FACT 214/SERV VIGILANCIA 2DA QUINCENA MINERALES</t>
  </si>
  <si>
    <t>01-4439</t>
  </si>
  <si>
    <t>RAMON QUIROGAS/CAMPAÑA YESO 26/05 AL 30/05</t>
  </si>
  <si>
    <t>01-4440</t>
  </si>
  <si>
    <t>01-4441</t>
  </si>
  <si>
    <t>PAGO DOBLE</t>
  </si>
  <si>
    <t>DANNY URRUTIA/FACT 260/CAMPAÑA YESO 26/05 AL 30/05</t>
  </si>
  <si>
    <t>01-4442</t>
  </si>
  <si>
    <t>SUMINISTROS INDUS/FACT 67/INSTAL ELECTRICA-MINERALES YARACUY</t>
  </si>
  <si>
    <t>01-4443</t>
  </si>
  <si>
    <t>01-4444</t>
  </si>
  <si>
    <t>01-4445</t>
  </si>
  <si>
    <t>DAYANA AZUAJE/CAMPAÑA YESO 26/05 AL 30/05</t>
  </si>
  <si>
    <t>01-4446</t>
  </si>
  <si>
    <t>01-4447</t>
  </si>
  <si>
    <t>01-4448</t>
  </si>
  <si>
    <t>01-4449</t>
  </si>
  <si>
    <t>01-4450</t>
  </si>
  <si>
    <t>01-4451</t>
  </si>
  <si>
    <t>01-4452</t>
  </si>
  <si>
    <t>01-4453</t>
  </si>
  <si>
    <t>01-4454</t>
  </si>
  <si>
    <t>01-4455</t>
  </si>
  <si>
    <t>01-4456</t>
  </si>
  <si>
    <t>01-4457</t>
  </si>
  <si>
    <t>01-4458</t>
  </si>
  <si>
    <t>01-4459</t>
  </si>
  <si>
    <t>01-4460</t>
  </si>
  <si>
    <t>01-4461</t>
  </si>
  <si>
    <t>01-4462</t>
  </si>
  <si>
    <t>01-4463</t>
  </si>
  <si>
    <t>01-4464</t>
  </si>
  <si>
    <t>01-4465</t>
  </si>
  <si>
    <t>01-4466</t>
  </si>
  <si>
    <t>01-4467</t>
  </si>
  <si>
    <t>01-4468</t>
  </si>
  <si>
    <t>01-4469</t>
  </si>
  <si>
    <t>01-4470</t>
  </si>
  <si>
    <t>0270900000020</t>
  </si>
  <si>
    <t>OLGA OROZCO/HOSPEDAJE CALIZA 26/05 AL 30/05-PAGO DEVUELTO</t>
  </si>
  <si>
    <t>01-4471</t>
  </si>
  <si>
    <t>PAGO DEVUELTO</t>
  </si>
  <si>
    <t>0766803645336</t>
  </si>
  <si>
    <t>01-4472</t>
  </si>
  <si>
    <t>0329207509115</t>
  </si>
  <si>
    <t>01-4473</t>
  </si>
  <si>
    <t>01-4474</t>
  </si>
  <si>
    <t>MATERIALES SANTA LUCIA/FACT 5389/CEMENTERA</t>
  </si>
  <si>
    <t>01-4475</t>
  </si>
  <si>
    <t>MATERIALES OBRAS GRIS/FACT 259/Obras D/Generadores- CEMENTERA</t>
  </si>
  <si>
    <t>01-4476</t>
  </si>
  <si>
    <t>01-4477</t>
  </si>
  <si>
    <t>MATERIALES OBRAS GRIS/FACT 260/Obras D/Generadores- CEMENTERA</t>
  </si>
  <si>
    <t>01-4478</t>
  </si>
  <si>
    <t>ANGEL ROSALES/CAMPAÑA YESO 26/05 AL 30/05</t>
  </si>
  <si>
    <t>01-4479</t>
  </si>
  <si>
    <t>MATERIALES OBRAS GRIS/FACT 261/- MINERALES</t>
  </si>
  <si>
    <t>01-4480</t>
  </si>
  <si>
    <t>01-4481</t>
  </si>
  <si>
    <t>01-4482</t>
  </si>
  <si>
    <t>01-4483</t>
  </si>
  <si>
    <t>01-4484</t>
  </si>
  <si>
    <t>01-4485</t>
  </si>
  <si>
    <t>01-4486</t>
  </si>
  <si>
    <t>01-4487</t>
  </si>
  <si>
    <t>0329207524128</t>
  </si>
  <si>
    <t>01-4488</t>
  </si>
  <si>
    <t>RANGEL GUSTAVO/BONO SUBSIDIO 30-05-25/ADM</t>
  </si>
  <si>
    <t>01-4489</t>
  </si>
  <si>
    <t>ZERPA, WISTON/BONO SUBSIDIO 30-05-25/OPER</t>
  </si>
  <si>
    <t>01-4490</t>
  </si>
  <si>
    <t>REVERON, RAMON/BONO SUBSIDIO 30-05-25/OPER</t>
  </si>
  <si>
    <t>01-4491</t>
  </si>
  <si>
    <t>0329200000136</t>
  </si>
  <si>
    <t>JOSE ARRIETA/BONIFICACION ESPECIAL MAYO-GOBER</t>
  </si>
  <si>
    <t>01-4492</t>
  </si>
  <si>
    <t>0329200000076</t>
  </si>
  <si>
    <t>ALEJOS, RODOLFO/ NOMINA 30-05-25 /OPER</t>
  </si>
  <si>
    <t>01-4493</t>
  </si>
  <si>
    <t>0329200000083</t>
  </si>
  <si>
    <t>ALVARADO, EDDY/NOMINA 30-05-25/OPER</t>
  </si>
  <si>
    <t>01-4494</t>
  </si>
  <si>
    <t>0329200000095</t>
  </si>
  <si>
    <t>POLANCO, FRANKLIN/NOMINA 30-05-25/OPER</t>
  </si>
  <si>
    <t>01-4495</t>
  </si>
  <si>
    <t>0329200000100</t>
  </si>
  <si>
    <t>NOGUERA, OSCAR/BONO ADICIONAL 30-05-25/OPER</t>
  </si>
  <si>
    <t>01-4496</t>
  </si>
  <si>
    <t>0329200000109</t>
  </si>
  <si>
    <t>RANGEL GUSTAVO/BONO ADICIONAL 30-05-25/ADM</t>
  </si>
  <si>
    <t>01-4497</t>
  </si>
  <si>
    <t>RODRIGUEZ, MIGUEL/BONO ADICIONAL 30-05-25/OPER</t>
  </si>
  <si>
    <t>01-4498</t>
  </si>
  <si>
    <t>BASTIDA, JOSE/NOMINA 30-05-25/OPER</t>
  </si>
  <si>
    <t>01-4499</t>
  </si>
  <si>
    <t>CHIRINOS, RAFAEL/NOMINA 30-05-25/OPER</t>
  </si>
  <si>
    <t>01-4500</t>
  </si>
  <si>
    <t>0329200000084</t>
  </si>
  <si>
    <t>DAZA, VICTOR/NOMINA 30-05-25/OPER</t>
  </si>
  <si>
    <t>01-4501</t>
  </si>
  <si>
    <t>0329200000085</t>
  </si>
  <si>
    <t>GARCIA, JASON/NOMINA 30-05-25/OPER</t>
  </si>
  <si>
    <t>01-4502</t>
  </si>
  <si>
    <t>0329200000094</t>
  </si>
  <si>
    <t>GIMENEZ,PABLO/NOMINA 30-05-25/OPER</t>
  </si>
  <si>
    <t>01-4503</t>
  </si>
  <si>
    <t>0329200000103</t>
  </si>
  <si>
    <t>VIELMA CARLEN/BONO ADICIONAL 30-05-25/ADM</t>
  </si>
  <si>
    <t>01-4504</t>
  </si>
  <si>
    <t>0329200000108</t>
  </si>
  <si>
    <t>ALEJOS, RODOLFO/ CESTA TICKET 30-05-25 /OPER</t>
  </si>
  <si>
    <t>01-4505</t>
  </si>
  <si>
    <t>0329200000119</t>
  </si>
  <si>
    <t>ALVARADO, EDDY/CESTA TICKET 30-05-25/OPER</t>
  </si>
  <si>
    <t>01-4506</t>
  </si>
  <si>
    <t>0329200000125</t>
  </si>
  <si>
    <t>BASTIDA, JOSE/CESTA TICKET 30-05-25/OPER</t>
  </si>
  <si>
    <t>01-4507</t>
  </si>
  <si>
    <t>0329200000130</t>
  </si>
  <si>
    <t>CHIRINOS, RAFAEL/CESTA TICKET 30-05-25/OPER</t>
  </si>
  <si>
    <t>01-4508</t>
  </si>
  <si>
    <t>DAZA, VICTOR/BONO COMPLE 30-05-25/OPER</t>
  </si>
  <si>
    <t>01-4509</t>
  </si>
  <si>
    <t>GARCIA, JASON/BONO COMPLE 30-05-25/OPER</t>
  </si>
  <si>
    <t>01-4510</t>
  </si>
  <si>
    <t>0329200000122</t>
  </si>
  <si>
    <t>DAZA, VICTOR/CESTA TICKET 30-05-25/OPER</t>
  </si>
  <si>
    <t>01-4511</t>
  </si>
  <si>
    <t>0329200000131</t>
  </si>
  <si>
    <t>GALEANO, FRANCISCO/CESTA TICKET 30-05-25/OPER</t>
  </si>
  <si>
    <t>01-4512</t>
  </si>
  <si>
    <t>PUERTAS, TEODORO/BONO SUBSIDIO 30-05-25/OPER</t>
  </si>
  <si>
    <t>01-4513</t>
  </si>
  <si>
    <t>MARTINEZ JUAN/BONO SUBSIDIO 30-05-25/OPER</t>
  </si>
  <si>
    <t>01-4514</t>
  </si>
  <si>
    <t>0329200000074</t>
  </si>
  <si>
    <t>GUEDEZ JOSE/NOMINA 30-05-25/OPER</t>
  </si>
  <si>
    <t>01-4515</t>
  </si>
  <si>
    <t>0329200000105</t>
  </si>
  <si>
    <t>GARCIA, JASON/CESTA TICKET 30-05-25/OPER</t>
  </si>
  <si>
    <t>01-4516</t>
  </si>
  <si>
    <t>VIELMA CARLEN/BONO SUBSIDIO 30-05-25/ADM</t>
  </si>
  <si>
    <t>01-4517</t>
  </si>
  <si>
    <t>GARCIA, JASON/BONO SUBSIDIO 30-05-25/OPER</t>
  </si>
  <si>
    <t>01-4518</t>
  </si>
  <si>
    <t>PEREZ, CARLOS/BONO SUBSIDIO 30-05-25/OPER</t>
  </si>
  <si>
    <t>01-4519</t>
  </si>
  <si>
    <t>GUTIERREZ, PRESCILIANO/NOMINA 30-05-25/OPER</t>
  </si>
  <si>
    <t>01-4520</t>
  </si>
  <si>
    <t>LINAREZ, PEDRO/NOMINA 30-05-25/OPER</t>
  </si>
  <si>
    <t>01-4521</t>
  </si>
  <si>
    <t>LINAREZ, SANTIAGO/NOMINA 30-05-25/OPER</t>
  </si>
  <si>
    <t>01-4522</t>
  </si>
  <si>
    <t>LOPEZ ,MANOLO/NOMINA 30-05-25/ADM</t>
  </si>
  <si>
    <t>01-4523</t>
  </si>
  <si>
    <t>0329200000077</t>
  </si>
  <si>
    <t>MANZO, JESMAIYELIT/NOMINA 30-05-25/ADM</t>
  </si>
  <si>
    <t>01-4524</t>
  </si>
  <si>
    <t>0329200000086</t>
  </si>
  <si>
    <t>MARTINEZ JUAN/NOMINA 30-05-25/OPER</t>
  </si>
  <si>
    <t>01-4525</t>
  </si>
  <si>
    <t>0329200000101</t>
  </si>
  <si>
    <t>GIMENEZ,PABLO/CESTA TICKET 30-05-25/OPER</t>
  </si>
  <si>
    <t>01-4526</t>
  </si>
  <si>
    <t>0329200000111</t>
  </si>
  <si>
    <t>GUEDEZ JOSE/CESTA TICKET 30-05-25/OPER</t>
  </si>
  <si>
    <t>01-4527</t>
  </si>
  <si>
    <t>0329200000112</t>
  </si>
  <si>
    <t>GUTIERREZ, PRESCILIANO/CESTA TICKET 30-05-25/OPER</t>
  </si>
  <si>
    <t>01-4528</t>
  </si>
  <si>
    <t>0329200000113</t>
  </si>
  <si>
    <t>LINAREZ, PEDRO/CESTA TICKET 30-05-25/OPER</t>
  </si>
  <si>
    <t>01-4529</t>
  </si>
  <si>
    <t>0329200000116</t>
  </si>
  <si>
    <t>LINAREZ, SANTIAGO/CESTA TICKET 30-05-25/OPER</t>
  </si>
  <si>
    <t>01-4530</t>
  </si>
  <si>
    <t>0329200000127</t>
  </si>
  <si>
    <t>LOPEZ ,MANOLO/CESTA TICKET 30-05-25/OPER</t>
  </si>
  <si>
    <t>01-4531</t>
  </si>
  <si>
    <t>0329200000128</t>
  </si>
  <si>
    <t>MANZO, JESMAIYELIT/CESTA TICKET 30-05-25/ADM</t>
  </si>
  <si>
    <t>01-4532</t>
  </si>
  <si>
    <t>ALVARADO, EDDY/BONO COMPLE 30-05-25/OPER</t>
  </si>
  <si>
    <t>01-4533</t>
  </si>
  <si>
    <t>CHIRINOS, RAFAEL/BONO COMPLE 30-05-25/OPER</t>
  </si>
  <si>
    <t>01-4534</t>
  </si>
  <si>
    <t>GIMENEZ,PABLO/BONO COMPLE 30-05-25/OPER</t>
  </si>
  <si>
    <t>01-4535</t>
  </si>
  <si>
    <t>ALEJOS, RODOLFO/ BONO COMPLE 30-05-25 /OPER</t>
  </si>
  <si>
    <t>01-4536</t>
  </si>
  <si>
    <t>POLANCO, FRANKLIN/BONO COMPLE 30-05-25/OPER</t>
  </si>
  <si>
    <t>01-4537</t>
  </si>
  <si>
    <t>RIVERO, JORGE/BONO COMPLE 30-05-25/OPER</t>
  </si>
  <si>
    <t>01-4538</t>
  </si>
  <si>
    <t>SOTELDO, LUSMAR/BONO COMPLE 30-05-25/OPER</t>
  </si>
  <si>
    <t>01-4539</t>
  </si>
  <si>
    <t>VIELMA CARLEN/BONO COMPLE 30-05-25/ADM</t>
  </si>
  <si>
    <t>01-4540</t>
  </si>
  <si>
    <t>MARTINEZ JUAN/CESTA TICKET 30-05-25/OPER</t>
  </si>
  <si>
    <t>01-4541</t>
  </si>
  <si>
    <t>SEGURA ,WAILEN/BONO SUBSIDIO 30-05-25/OPER</t>
  </si>
  <si>
    <t>01-4542</t>
  </si>
  <si>
    <t>0329200000082</t>
  </si>
  <si>
    <t>NOGUERA, OSCAR/NOMINA 30-05-25/OPER</t>
  </si>
  <si>
    <t>01-4543</t>
  </si>
  <si>
    <t>0329200000096</t>
  </si>
  <si>
    <t>PEREZ, JOSE ROLANDO/NOMINA 30-05-25/OPER</t>
  </si>
  <si>
    <t>01-4544</t>
  </si>
  <si>
    <t>0329200000098</t>
  </si>
  <si>
    <t>PEREZ, CARLOS/NOMINA 30-05-25/OPER</t>
  </si>
  <si>
    <t>01-4545</t>
  </si>
  <si>
    <t>0329200000104</t>
  </si>
  <si>
    <t>NOGUERA, OSCAR/CESTA TICKET 30-05-25/OPER</t>
  </si>
  <si>
    <t>01-4546</t>
  </si>
  <si>
    <t>0329200000114</t>
  </si>
  <si>
    <t>PEREZ, JOSE ROLANDO/CESTA TICKET 30-05-25/OPER</t>
  </si>
  <si>
    <t>01-4547</t>
  </si>
  <si>
    <t>0329200000121</t>
  </si>
  <si>
    <t>PEREZ, CARLOS/CESTA TICKET 30-05-25/OPER</t>
  </si>
  <si>
    <t>01-4548</t>
  </si>
  <si>
    <t>0329200000124</t>
  </si>
  <si>
    <t>POLANCO, FRANKLIN/CESTA TICKET 30-05-25/OPER</t>
  </si>
  <si>
    <t>01-4549</t>
  </si>
  <si>
    <t>0329200000132</t>
  </si>
  <si>
    <t>PUERTAS, TEODORO/CESTA TICKET 30-05-25/OPER</t>
  </si>
  <si>
    <t>01-4550</t>
  </si>
  <si>
    <t>0329200000134</t>
  </si>
  <si>
    <t>CARLOS RODRIGUEZ/BONIFICACION ESPECIAL MAYO-GOBER</t>
  </si>
  <si>
    <t>01-4551</t>
  </si>
  <si>
    <t>LINAREZ, PEDRO/BONO COMPLE 30-05-25/OPER</t>
  </si>
  <si>
    <t>01-4552</t>
  </si>
  <si>
    <t>ROJAS MARIA/BONO COMPLE 30-05-25/OPER</t>
  </si>
  <si>
    <t>01-4553</t>
  </si>
  <si>
    <t>LINAREZ, PEDRO/BONO SUBSIDIO 30-05-25/OPER</t>
  </si>
  <si>
    <t>01-4554</t>
  </si>
  <si>
    <t>RAGA NELIDO/BONO COMPLE 30-05-25/ADM</t>
  </si>
  <si>
    <t>01-4555</t>
  </si>
  <si>
    <t>BASTIDA, JOSE/BONO COMPLE 30-05-25/OPER</t>
  </si>
  <si>
    <t>01-4556</t>
  </si>
  <si>
    <t>GUTIERREZ, PRESCILIANO/BONO SUBSIDIO 30-05-25/OPER</t>
  </si>
  <si>
    <t>01-4557</t>
  </si>
  <si>
    <t>MANZO, JESMAIYELIT/BONO SUBSIDIO 30-05-25/ADM</t>
  </si>
  <si>
    <t>01-4558</t>
  </si>
  <si>
    <t>RAGA NELIDO/BONO SUBSIDIO 30-05-25/ADM</t>
  </si>
  <si>
    <t>01-4559</t>
  </si>
  <si>
    <t>SUAREZ, RAFAEL/BONO SUBSIDIO 30-05-25/OPER</t>
  </si>
  <si>
    <t>01-4560</t>
  </si>
  <si>
    <t>PUERTAS, TEODORO/NOMINA 30-05-25/OPER</t>
  </si>
  <si>
    <t>01-4561</t>
  </si>
  <si>
    <t>QUERALES ,EDIXON/NOMINA 30-05-25/OPER</t>
  </si>
  <si>
    <t>01-4562</t>
  </si>
  <si>
    <t>LINAREZ, SANTIAGO/BONO COMPLE 30-05-25/OPER</t>
  </si>
  <si>
    <t>01-4563</t>
  </si>
  <si>
    <t>QUERALES, HERMES/BONO COMPLE 30-05-25/OPER</t>
  </si>
  <si>
    <t>01-4564</t>
  </si>
  <si>
    <t>RODRIGUEZ ANSONNY/BONO COMPLE 30-05-25/OPER</t>
  </si>
  <si>
    <t>01-4565</t>
  </si>
  <si>
    <t>RODRIGUEZ, MIGUEL/BONO COMPLE 30-05-25/OPER</t>
  </si>
  <si>
    <t>01-4566</t>
  </si>
  <si>
    <t>SEGURA ,WAILEN/BONO COMPLE 30-05-25/OPER</t>
  </si>
  <si>
    <t>01-4567</t>
  </si>
  <si>
    <t>ZERPA, WISTON/BONO COMPLE 30-05-25/OPER</t>
  </si>
  <si>
    <t>01-4568</t>
  </si>
  <si>
    <t>RIVERO, JORGE/BONO SUBSIDIO 30-05-25/OPER</t>
  </si>
  <si>
    <t>01-4569</t>
  </si>
  <si>
    <t>VETANCOURT, BLIXANDER/BONO SUBSIDIO 30-05-25/ADM</t>
  </si>
  <si>
    <t>01-4570</t>
  </si>
  <si>
    <t>0329200000079</t>
  </si>
  <si>
    <t>QUERALES, HERMES/NOMINA 30-05-25/OPER</t>
  </si>
  <si>
    <t>01-4571</t>
  </si>
  <si>
    <t>0329200000080</t>
  </si>
  <si>
    <t>RAGA NELIDO/NOMINA 30-05-25/ADM</t>
  </si>
  <si>
    <t>01-4572</t>
  </si>
  <si>
    <t>0329200000089</t>
  </si>
  <si>
    <t>RANGEL GUSTAVO/NOMINA 30-05-25/ADM</t>
  </si>
  <si>
    <t>01-4573</t>
  </si>
  <si>
    <t>0329200000106</t>
  </si>
  <si>
    <t>QUERALES ,EDIXON/CESTA TICKET 30-05-25/OPER</t>
  </si>
  <si>
    <t>01-4574</t>
  </si>
  <si>
    <t>0329200000107</t>
  </si>
  <si>
    <t>QUERALES, HERMES/CESTA TICKET 30-05-25/OPER</t>
  </si>
  <si>
    <t>01-4575</t>
  </si>
  <si>
    <t>0329200000110</t>
  </si>
  <si>
    <t>RAGA NELIDO/CESTA TICKET 30-05-25/ADM</t>
  </si>
  <si>
    <t>01-4576</t>
  </si>
  <si>
    <t>0329200000118</t>
  </si>
  <si>
    <t>RANGEL GUSTAVO/CESTA TICKET 30-05-25/ADM</t>
  </si>
  <si>
    <t>01-4577</t>
  </si>
  <si>
    <t>0329200000120</t>
  </si>
  <si>
    <t>REVERON, RAMON/CESTA TICKET 30-05-25/OPER</t>
  </si>
  <si>
    <t>01-4578</t>
  </si>
  <si>
    <t>0329200000133</t>
  </si>
  <si>
    <t>RIVERO, JORGE/CESTA TICKET 30-05-25/OPER</t>
  </si>
  <si>
    <t>01-4579</t>
  </si>
  <si>
    <t>REVERON, RAMON/NOMINA 30-05-25/OPER</t>
  </si>
  <si>
    <t>01-4580</t>
  </si>
  <si>
    <t>0329200000075</t>
  </si>
  <si>
    <t>RIVERO, JORGE/NOMINA 30-05-25/OPER</t>
  </si>
  <si>
    <t>01-4581</t>
  </si>
  <si>
    <t>0329200000078</t>
  </si>
  <si>
    <t>RODRIGUEZ ANSONNY/NOMINA 30-05-25/OPER</t>
  </si>
  <si>
    <t>01-4582</t>
  </si>
  <si>
    <t>0329200000087</t>
  </si>
  <si>
    <t>RODRIGUEZ, MIGUEL/NOMINA 30-05-25/OPER</t>
  </si>
  <si>
    <t>01-4583</t>
  </si>
  <si>
    <t>0329200000093</t>
  </si>
  <si>
    <t>ROJAS MARIA/NOMINA 30-05-25/OPER</t>
  </si>
  <si>
    <t>01-4584</t>
  </si>
  <si>
    <t>0329200000099</t>
  </si>
  <si>
    <t>RODRIGUEZ ANSONNY/CESTA TICKET 30-05-25/OPER</t>
  </si>
  <si>
    <t>01-4585</t>
  </si>
  <si>
    <t>0329200000102</t>
  </si>
  <si>
    <t>RODRIGUEZ, MIGUEL/CESTA TICKET 30-05-25/OPER</t>
  </si>
  <si>
    <t>01-4586</t>
  </si>
  <si>
    <t>0329200000126</t>
  </si>
  <si>
    <t>ROJAS MARIA/CESTA TICKET 30-05-25/OPER</t>
  </si>
  <si>
    <t>01-4587</t>
  </si>
  <si>
    <t>MARTINEZ JUAN/BONO COMPLE 30-05-25/OPER</t>
  </si>
  <si>
    <t>01-4588</t>
  </si>
  <si>
    <t>GUTIERREZ, PRESCILIANO/BONO COMPLE 30-05-25/OPER</t>
  </si>
  <si>
    <t>01-4589</t>
  </si>
  <si>
    <t>NOGUERA, OSCAR/BONO COMPLE 30-05-25/OPER</t>
  </si>
  <si>
    <t>01-4590</t>
  </si>
  <si>
    <t>PEREZ, JOSE ROLANDO/BONO COMPLE 30-05-25/OPER</t>
  </si>
  <si>
    <t>01-4591</t>
  </si>
  <si>
    <t>QUERALES ,EDIXON/BONO COMPLE 30-05-25/OPER</t>
  </si>
  <si>
    <t>01-4592</t>
  </si>
  <si>
    <t>VETANCOURT, BLIXANDER/BONO COMPLE 30-05-25/ADM</t>
  </si>
  <si>
    <t>01-4593</t>
  </si>
  <si>
    <t>REVERON, RAMON/BONO COMPLE 30-05-25/OPER</t>
  </si>
  <si>
    <t>01-4594</t>
  </si>
  <si>
    <t>GIMENEZ,PABLO/BONO SUBSIDIO 30-05-25/OPER</t>
  </si>
  <si>
    <t>01-4595</t>
  </si>
  <si>
    <t>RODRIGUEZ, MIGUEL/BONO SUBSIDIO 30-05-25/OPER</t>
  </si>
  <si>
    <t>01-4596</t>
  </si>
  <si>
    <t>LINAREZ, SANTIAGO/BONO SUBSIDIO 30-05-25/OPER</t>
  </si>
  <si>
    <t>01-4597</t>
  </si>
  <si>
    <t>BASTIDA, JOSE/BONO SUBSIDIO 30-05-25/OPER</t>
  </si>
  <si>
    <t>01-4598</t>
  </si>
  <si>
    <t>GALEANO, FRANCISCO/BONO COMPLE 30-05-25/OPER</t>
  </si>
  <si>
    <t>01-4599</t>
  </si>
  <si>
    <t>PEREZ, CARLOS/BONO COMPLE 30-05-25/OPER</t>
  </si>
  <si>
    <t>01-4600</t>
  </si>
  <si>
    <t>SUAREZ, RAFAEL/BONO COMPLE 30-05-25/OPER</t>
  </si>
  <si>
    <t>01-4601</t>
  </si>
  <si>
    <t>MANZO, JESMAIYELIT/BONO COMPLE 30-05-25/ADM</t>
  </si>
  <si>
    <t>01-4602</t>
  </si>
  <si>
    <t>PUERTAS, TEODORO/BONO COMPLE 30-05-25/OPER</t>
  </si>
  <si>
    <t>01-4603</t>
  </si>
  <si>
    <t>RANGEL GUSTAVO/BONO COMPLE 30-05-25/ADM</t>
  </si>
  <si>
    <t>01-4604</t>
  </si>
  <si>
    <t>SEGURA ,WAILEN/CESTA TICKET 30-05-25/OPER</t>
  </si>
  <si>
    <t>01-4605</t>
  </si>
  <si>
    <t>SOTELDO, LUSMAR/CESTA TICKET 30-05-25/OPER</t>
  </si>
  <si>
    <t>01-4606</t>
  </si>
  <si>
    <t>CHIRINOS, RAFAEL/BONO SUBSIDIO 30-05-25/OPER</t>
  </si>
  <si>
    <t>01-4607</t>
  </si>
  <si>
    <t>GALEANO, FRANCISCO/BONO SUBSIDIO 30-05-25/OPER</t>
  </si>
  <si>
    <t>01-4608</t>
  </si>
  <si>
    <t>ALEJOS, RODOLFO/ BONO SUBSIDIO 30-05-25 /OPER</t>
  </si>
  <si>
    <t>01-4609</t>
  </si>
  <si>
    <t>DAZA, VICTOR/BONO SUBSIDIO 30-05-25/OPER</t>
  </si>
  <si>
    <t>01-4610</t>
  </si>
  <si>
    <t>01-4611</t>
  </si>
  <si>
    <t>0329200000081</t>
  </si>
  <si>
    <t>SEGURA ,WAILEN/NOMINA 30-05-25/OPER</t>
  </si>
  <si>
    <t>01-4612</t>
  </si>
  <si>
    <t>0329200000088</t>
  </si>
  <si>
    <t>SOTELDO, LUSMAR/NOMINA 30-05-25/OPER</t>
  </si>
  <si>
    <t>01-4613</t>
  </si>
  <si>
    <t>0329200000090</t>
  </si>
  <si>
    <t>SUAREZ, RAFAEL/NOMINA 30-05-25/OPER</t>
  </si>
  <si>
    <t>01-4614</t>
  </si>
  <si>
    <t>0329200000091</t>
  </si>
  <si>
    <t>VETANCOURT, BLIXANDER/NOMINA 30-05-25/ADM</t>
  </si>
  <si>
    <t>01-4615</t>
  </si>
  <si>
    <t>0329200000092</t>
  </si>
  <si>
    <t>VIELMA CARLEN/NOMINA 30-05-25/ADM</t>
  </si>
  <si>
    <t>01-4616</t>
  </si>
  <si>
    <t>0329200000097</t>
  </si>
  <si>
    <t>ZERPA, WISTON/NOMINA 30-05-25/OPER</t>
  </si>
  <si>
    <t>01-4617</t>
  </si>
  <si>
    <t>0329200000115</t>
  </si>
  <si>
    <t>SUAREZ, RAFAEL/CESTA TICKET 30-05-25/OPER</t>
  </si>
  <si>
    <t>01-4618</t>
  </si>
  <si>
    <t>0329200000117</t>
  </si>
  <si>
    <t>VETANCOURT, BLIXANDER/CESTA TICKET 30-05-25/OPER</t>
  </si>
  <si>
    <t>01-4619</t>
  </si>
  <si>
    <t>0329200000123</t>
  </si>
  <si>
    <t>VIELMA CARLEN/CESTA TICKET 30-05-25/ADM</t>
  </si>
  <si>
    <t>01-4620</t>
  </si>
  <si>
    <t>0329200000129</t>
  </si>
  <si>
    <t>ZERPA, WISTON/CESTA TICKET 30-05-25/OPER</t>
  </si>
  <si>
    <t>01-4621</t>
  </si>
  <si>
    <t>0329200000135</t>
  </si>
  <si>
    <t>ARMANDO VILLEGAS/BONIFICACION ESPECIAL MAYO-GOBER</t>
  </si>
  <si>
    <t>01-4622</t>
  </si>
  <si>
    <t>GUEDEZ JOSE/BONO COMPLE 30-05-25/OPER</t>
  </si>
  <si>
    <t>01-4623</t>
  </si>
  <si>
    <t>LOPEZ ,MANOLO/BONO COMPLE 30-05-25/ADM</t>
  </si>
  <si>
    <t>01-4624</t>
  </si>
  <si>
    <t>01-4625</t>
  </si>
  <si>
    <t>01-4626</t>
  </si>
  <si>
    <t>0676200000090</t>
  </si>
  <si>
    <t>01-4627</t>
  </si>
  <si>
    <t>0676200000098</t>
  </si>
  <si>
    <t>01-4628</t>
  </si>
  <si>
    <t>0676200000104</t>
  </si>
  <si>
    <t>01-4629</t>
  </si>
  <si>
    <t>0676200000109</t>
  </si>
  <si>
    <t>01-4630</t>
  </si>
  <si>
    <t>0676200000117</t>
  </si>
  <si>
    <t>01-4631</t>
  </si>
  <si>
    <t>0676200000120</t>
  </si>
  <si>
    <t>01-4632</t>
  </si>
  <si>
    <t>0676200000134</t>
  </si>
  <si>
    <t>01-4633</t>
  </si>
  <si>
    <t>01-4634</t>
  </si>
  <si>
    <t>01-4635</t>
  </si>
  <si>
    <t>01-4636</t>
  </si>
  <si>
    <t>01-4637</t>
  </si>
  <si>
    <t>01-4638</t>
  </si>
  <si>
    <t>01-4639</t>
  </si>
  <si>
    <t>01-4640</t>
  </si>
  <si>
    <t>01-4641</t>
  </si>
  <si>
    <t>01-4642</t>
  </si>
  <si>
    <t>01-4643</t>
  </si>
  <si>
    <t>01-4644</t>
  </si>
  <si>
    <t>01-4645</t>
  </si>
  <si>
    <t>01-4646</t>
  </si>
  <si>
    <t>0676200000088</t>
  </si>
  <si>
    <t>01-4647</t>
  </si>
  <si>
    <t>0676200000095</t>
  </si>
  <si>
    <t>01-4648</t>
  </si>
  <si>
    <t>0676200000107</t>
  </si>
  <si>
    <t>01-4649</t>
  </si>
  <si>
    <t>0676200000113</t>
  </si>
  <si>
    <t>01-4650</t>
  </si>
  <si>
    <t>0676200000118</t>
  </si>
  <si>
    <t>01-4651</t>
  </si>
  <si>
    <t>01-4652</t>
  </si>
  <si>
    <t>01-4653</t>
  </si>
  <si>
    <t>01-4654</t>
  </si>
  <si>
    <t>01-4655</t>
  </si>
  <si>
    <t>01-4656</t>
  </si>
  <si>
    <t>01-4657</t>
  </si>
  <si>
    <t>01-4658</t>
  </si>
  <si>
    <t>01-4659</t>
  </si>
  <si>
    <t>0676200000082</t>
  </si>
  <si>
    <t>01-4660</t>
  </si>
  <si>
    <t>0676200000091</t>
  </si>
  <si>
    <t>01-4661</t>
  </si>
  <si>
    <t>0676200000093</t>
  </si>
  <si>
    <t>01-4662</t>
  </si>
  <si>
    <t>0676200000099</t>
  </si>
  <si>
    <t>01-4663</t>
  </si>
  <si>
    <t>0676200000100</t>
  </si>
  <si>
    <t>01-4664</t>
  </si>
  <si>
    <t>0676200000114</t>
  </si>
  <si>
    <t>01-4665</t>
  </si>
  <si>
    <t>0676200000122</t>
  </si>
  <si>
    <t>01-4666</t>
  </si>
  <si>
    <t>0676200000123</t>
  </si>
  <si>
    <t>01-4667</t>
  </si>
  <si>
    <t>0676200000127</t>
  </si>
  <si>
    <t>01-4668</t>
  </si>
  <si>
    <t>0676200000133</t>
  </si>
  <si>
    <t>01-4669</t>
  </si>
  <si>
    <t>0676200000135</t>
  </si>
  <si>
    <t>01-4670</t>
  </si>
  <si>
    <t>0676200000124</t>
  </si>
  <si>
    <t>01-4671</t>
  </si>
  <si>
    <t>0676200000130</t>
  </si>
  <si>
    <t>01-4672</t>
  </si>
  <si>
    <t>0676200000131</t>
  </si>
  <si>
    <t>01-4673</t>
  </si>
  <si>
    <t>01-4674</t>
  </si>
  <si>
    <t>01-4675</t>
  </si>
  <si>
    <t>01-4676</t>
  </si>
  <si>
    <t>01-4677</t>
  </si>
  <si>
    <t>01-4678</t>
  </si>
  <si>
    <t>01-4679</t>
  </si>
  <si>
    <t>01-4680</t>
  </si>
  <si>
    <t>01-4681</t>
  </si>
  <si>
    <t>01-4682</t>
  </si>
  <si>
    <t>01-4683</t>
  </si>
  <si>
    <t>0676200000101</t>
  </si>
  <si>
    <t>01-4684</t>
  </si>
  <si>
    <t>01-4685</t>
  </si>
  <si>
    <t>0676200000076</t>
  </si>
  <si>
    <t>01-4686</t>
  </si>
  <si>
    <t>0676200000077</t>
  </si>
  <si>
    <t>01-4687</t>
  </si>
  <si>
    <t>0676200000084</t>
  </si>
  <si>
    <t>01-4688</t>
  </si>
  <si>
    <t>0676200000087</t>
  </si>
  <si>
    <t>01-4689</t>
  </si>
  <si>
    <t>0676200000112</t>
  </si>
  <si>
    <t>01-4690</t>
  </si>
  <si>
    <t>0676200000121</t>
  </si>
  <si>
    <t>01-4691</t>
  </si>
  <si>
    <t>01-4692</t>
  </si>
  <si>
    <t>01-4693</t>
  </si>
  <si>
    <t>01-4694</t>
  </si>
  <si>
    <t>01-4695</t>
  </si>
  <si>
    <t>01-4696</t>
  </si>
  <si>
    <t>01-4697</t>
  </si>
  <si>
    <t>01-4698</t>
  </si>
  <si>
    <t>01-4699</t>
  </si>
  <si>
    <t>01-4700</t>
  </si>
  <si>
    <t>0676200000074</t>
  </si>
  <si>
    <t>01-4701</t>
  </si>
  <si>
    <t>0676200000078</t>
  </si>
  <si>
    <t>01-4702</t>
  </si>
  <si>
    <t>0676200000080</t>
  </si>
  <si>
    <t>01-4703</t>
  </si>
  <si>
    <t>0676200000089</t>
  </si>
  <si>
    <t>01-4704</t>
  </si>
  <si>
    <t>0676200000094</t>
  </si>
  <si>
    <t>01-4705</t>
  </si>
  <si>
    <t>0676200000102</t>
  </si>
  <si>
    <t>01-4706</t>
  </si>
  <si>
    <t>0676200000105</t>
  </si>
  <si>
    <t>01-4707</t>
  </si>
  <si>
    <t>0676200000106</t>
  </si>
  <si>
    <t>01-4708</t>
  </si>
  <si>
    <t>0676200000115</t>
  </si>
  <si>
    <t>01-4709</t>
  </si>
  <si>
    <t>0676200000116</t>
  </si>
  <si>
    <t>01-4710</t>
  </si>
  <si>
    <t>0676200000119</t>
  </si>
  <si>
    <t>01-4711</t>
  </si>
  <si>
    <t>0676200000128</t>
  </si>
  <si>
    <t>01-4712</t>
  </si>
  <si>
    <t>0676200000129</t>
  </si>
  <si>
    <t>01-4713</t>
  </si>
  <si>
    <t>01-4714</t>
  </si>
  <si>
    <t>01-4715</t>
  </si>
  <si>
    <t>01-4716</t>
  </si>
  <si>
    <t>01-4717</t>
  </si>
  <si>
    <t>01-4718</t>
  </si>
  <si>
    <t>01-4719</t>
  </si>
  <si>
    <t>01-4720</t>
  </si>
  <si>
    <t>01-4721</t>
  </si>
  <si>
    <t>01-4722</t>
  </si>
  <si>
    <t>01-4723</t>
  </si>
  <si>
    <t>0676200000081</t>
  </si>
  <si>
    <t>01-4724</t>
  </si>
  <si>
    <t>0676200000085</t>
  </si>
  <si>
    <t>01-4725</t>
  </si>
  <si>
    <t>0676200000086</t>
  </si>
  <si>
    <t>01-4726</t>
  </si>
  <si>
    <t>0676200000108</t>
  </si>
  <si>
    <t>01-4727</t>
  </si>
  <si>
    <t>0676200000111</t>
  </si>
  <si>
    <t>01-4728</t>
  </si>
  <si>
    <t>0676200000125</t>
  </si>
  <si>
    <t>01-4729</t>
  </si>
  <si>
    <t>0676200000132</t>
  </si>
  <si>
    <t>01-4730</t>
  </si>
  <si>
    <t>01-4731</t>
  </si>
  <si>
    <t>01-4732</t>
  </si>
  <si>
    <t>01-4733</t>
  </si>
  <si>
    <t>01-4734</t>
  </si>
  <si>
    <t>01-4735</t>
  </si>
  <si>
    <t>01-4736</t>
  </si>
  <si>
    <t>01-4737</t>
  </si>
  <si>
    <t>01-4738</t>
  </si>
  <si>
    <t>01-4739</t>
  </si>
  <si>
    <t>01-4740</t>
  </si>
  <si>
    <t>01-4741</t>
  </si>
  <si>
    <t>01-4742</t>
  </si>
  <si>
    <t>0676200000079</t>
  </si>
  <si>
    <t>01-4743</t>
  </si>
  <si>
    <t>0676200000083</t>
  </si>
  <si>
    <t>01-4744</t>
  </si>
  <si>
    <t>0676200000096</t>
  </si>
  <si>
    <t>01-4745</t>
  </si>
  <si>
    <t>0676200000097</t>
  </si>
  <si>
    <t>01-4746</t>
  </si>
  <si>
    <t>0676200000103</t>
  </si>
  <si>
    <t>01-4747</t>
  </si>
  <si>
    <t>0676200000110</t>
  </si>
  <si>
    <t>01-4748</t>
  </si>
  <si>
    <t>0676200000126</t>
  </si>
  <si>
    <t>01-4749</t>
  </si>
  <si>
    <t>0676200000136</t>
  </si>
  <si>
    <t>01-4750</t>
  </si>
  <si>
    <t>01-4751</t>
  </si>
  <si>
    <t>01-4752</t>
  </si>
  <si>
    <t>01-4753</t>
  </si>
  <si>
    <t>01-4754</t>
  </si>
  <si>
    <t>01-4755</t>
  </si>
  <si>
    <t>01-4756</t>
  </si>
  <si>
    <t>01-4757</t>
  </si>
  <si>
    <t>01-4758</t>
  </si>
  <si>
    <t>0676200000075</t>
  </si>
  <si>
    <t>01-4759</t>
  </si>
  <si>
    <t>0676200000092</t>
  </si>
  <si>
    <t>01-4760</t>
  </si>
  <si>
    <t xml:space="preserve">COMISION POR TRANSFERENCIA DE FONDOS  </t>
  </si>
  <si>
    <t>01-4761</t>
  </si>
  <si>
    <t>01-4762</t>
  </si>
  <si>
    <t>MATERIALES PARRA/REINTEGRO FACT 766/Materiales no aplicaron para el requerimiento solicitado.</t>
  </si>
  <si>
    <t>01-4763</t>
  </si>
  <si>
    <t>01-4764</t>
  </si>
  <si>
    <t>01-4765</t>
  </si>
  <si>
    <t>01-4766</t>
  </si>
  <si>
    <t>COMERCIALIZADORA/INV. DE CAPITAL/PROVINCIAL</t>
  </si>
  <si>
    <t>JOSE MORALES/BONIFICACION ESPECIAL</t>
  </si>
  <si>
    <t>01-4767</t>
  </si>
  <si>
    <t>01-4768</t>
  </si>
  <si>
    <t>01-4769</t>
  </si>
  <si>
    <t>ANYEBETH LEO/BONIFICACION ESPECIAL/MINERALES</t>
  </si>
  <si>
    <t>01-4770</t>
  </si>
  <si>
    <t>01-4771</t>
  </si>
  <si>
    <t>COMERCIALIZADORA/INV. DE CAPITAL/TESORO</t>
  </si>
  <si>
    <t>01-4772</t>
  </si>
  <si>
    <t>01-4773</t>
  </si>
  <si>
    <t>01-4774</t>
  </si>
  <si>
    <t>JOSE MORALES/BONIFICACION AGREGADOS</t>
  </si>
  <si>
    <t>01-4775</t>
  </si>
  <si>
    <t>01-4776</t>
  </si>
  <si>
    <t>01-4777</t>
  </si>
  <si>
    <t>01-4778</t>
  </si>
  <si>
    <t>DURANGO/FACT 307/INTERRUPTOR P/CEMENTO</t>
  </si>
  <si>
    <t>01-4779</t>
  </si>
  <si>
    <t>01-4780</t>
  </si>
  <si>
    <t>04-300625</t>
  </si>
  <si>
    <t>01-4781</t>
  </si>
  <si>
    <t>01-4782</t>
  </si>
  <si>
    <t>01-4783</t>
  </si>
  <si>
    <t>01-4784</t>
  </si>
  <si>
    <t>01-4785</t>
  </si>
  <si>
    <t>01-4786</t>
  </si>
  <si>
    <t>01-4787</t>
  </si>
  <si>
    <t>01-4788</t>
  </si>
  <si>
    <t>01-4789</t>
  </si>
  <si>
    <t>01-4790</t>
  </si>
  <si>
    <t>INVER SALEM/FACT 3194/MTTO GENERAL MINERALES</t>
  </si>
  <si>
    <t>01-4791</t>
  </si>
  <si>
    <t>01-4792</t>
  </si>
  <si>
    <t>01-4793</t>
  </si>
  <si>
    <t>01-4794</t>
  </si>
  <si>
    <t>01-4795</t>
  </si>
  <si>
    <t>YAMILA PASTORA COLMENAREZ/FACT 000202/REP.MOTOR PLANTA CERNIDORA</t>
  </si>
  <si>
    <t>01-4796</t>
  </si>
  <si>
    <t>01-4797</t>
  </si>
  <si>
    <t>01-4798</t>
  </si>
  <si>
    <t>01-4799</t>
  </si>
  <si>
    <t>01-4800</t>
  </si>
  <si>
    <t>01-4801</t>
  </si>
  <si>
    <t>01-4802</t>
  </si>
  <si>
    <t>MATERIALES SANTA LUCIA/ FACT 5427/MATERIALES</t>
  </si>
  <si>
    <t>01-4803</t>
  </si>
  <si>
    <t>MATERIALES SANTA LUCIA/ FACT 5426/MATERIALES</t>
  </si>
  <si>
    <t>01-4804</t>
  </si>
  <si>
    <t>DONACION</t>
  </si>
  <si>
    <t>01-4805</t>
  </si>
  <si>
    <t>01-4806</t>
  </si>
  <si>
    <t>Federico Faneite/Eventual Gobernacion 02/06/25 AL 08/06/25</t>
  </si>
  <si>
    <t>01-4807</t>
  </si>
  <si>
    <t>Delios Adolfo Ferrara/Eventual Agregados 02/06/25 AL 08/06/25</t>
  </si>
  <si>
    <t>01-4808</t>
  </si>
  <si>
    <t>Eliomar Jesús Escalona/Eventual Agregados 02/06/25 AL 08/06/25</t>
  </si>
  <si>
    <t>01-4809</t>
  </si>
  <si>
    <t>José Guillermo Cortez/Eventual Agregados 02/06/25 AL 08/06/25</t>
  </si>
  <si>
    <t>01-4810</t>
  </si>
  <si>
    <t>Darwuin Jesús Bullones/Eventual Agregados 02/06/25 AL 08/06/25</t>
  </si>
  <si>
    <t>01-4811</t>
  </si>
  <si>
    <t>Frank Armando García/Eventual Agregados 02/06/25 AL 08/06/25</t>
  </si>
  <si>
    <t>01-4812</t>
  </si>
  <si>
    <t>Alberto Luis Rojas/Eventual Agregados 02/06/25 AL 08/06/25</t>
  </si>
  <si>
    <t>01-4813</t>
  </si>
  <si>
    <t>Naiker Alexander Jimenez/Eventual Agregados 02/06/25 AL 08/06/25</t>
  </si>
  <si>
    <t>01-4814</t>
  </si>
  <si>
    <t>José Gregorio Perez/Eventual Agregados 02/06/25 AL 08/06/25</t>
  </si>
  <si>
    <t>01-4815</t>
  </si>
  <si>
    <t>Carlos Daniel Rodriguez/Eventual Agregados 02/06/25 AL 08/06/25</t>
  </si>
  <si>
    <t>01-4816</t>
  </si>
  <si>
    <t>Alejandro Morales/Eventual Agregados 02/06/25 AL 08/06/25</t>
  </si>
  <si>
    <t>01-4817</t>
  </si>
  <si>
    <t>Euber José Juarez/Eventual Agregados 02/06/25 AL 08/06/25</t>
  </si>
  <si>
    <t>01-4818</t>
  </si>
  <si>
    <t>Ali Alberto Bullones/Eventual Agregados 02/06/25 AL 08/06/25</t>
  </si>
  <si>
    <t>01-4819</t>
  </si>
  <si>
    <t>Alberto Ali Bullones/Eventual Agregados 02/06/25 AL 08/06/25</t>
  </si>
  <si>
    <t>01-4820</t>
  </si>
  <si>
    <t>Fernando José Rodriguez/Eventual Agregados 02/06/25 AL 08/06/25</t>
  </si>
  <si>
    <t>01-4821</t>
  </si>
  <si>
    <t>Bruno Ali Cordero Bullones/Eventual Agregados 02/06/25 AL 08/06/25</t>
  </si>
  <si>
    <t>01-4822</t>
  </si>
  <si>
    <t>Fareliz Arrieche/Eventual Gobernacion 02/06/25 AL 08/06/25</t>
  </si>
  <si>
    <t>01-4823</t>
  </si>
  <si>
    <t>Henrry Valera/Eventual Gobernacion 02/06/25 AL 08/06/25</t>
  </si>
  <si>
    <t>01-4824</t>
  </si>
  <si>
    <t>Brunito Segundo Cordero/Eventual Agregados 02/06/25 AL 08/06/25</t>
  </si>
  <si>
    <t>01-4825</t>
  </si>
  <si>
    <t>Justiniano Rodriguez/Eventual Agregados 02/06/25 AL 08/06/25</t>
  </si>
  <si>
    <t>01-4826</t>
  </si>
  <si>
    <t>Armando Lopez /Eventual Agregados 02/06/25 AL 08/06/25</t>
  </si>
  <si>
    <t>01-4827</t>
  </si>
  <si>
    <t>Froilan Lopez/Eventual Agregados 02/06/25 AL 08/06/25</t>
  </si>
  <si>
    <t>01-4828</t>
  </si>
  <si>
    <t>Ramón Quintero/Eventual Agregados 02/06/25 AL 08/06/25</t>
  </si>
  <si>
    <t>01-4829</t>
  </si>
  <si>
    <t>Jesus Ramos/Eventual Gobernacion 02/06/25 AL 08/06/25</t>
  </si>
  <si>
    <t>01-4830</t>
  </si>
  <si>
    <t>Exson Rodriguez/Eventual Gobernacion 02/06/25 AL 08/06/25</t>
  </si>
  <si>
    <t>01-4831</t>
  </si>
  <si>
    <t>Douglas Pimentel/Eventual Gobernacion 02/06/25 AL 08/06/25</t>
  </si>
  <si>
    <t>01-4832</t>
  </si>
  <si>
    <t>Juan López/Eventual Agregados 02/06/25 AL 08/06/25</t>
  </si>
  <si>
    <t>01-4833</t>
  </si>
  <si>
    <t>Pedro Castillo/Eventual Gobernacion 02/06/25 AL 08/06/25</t>
  </si>
  <si>
    <t>01-4834</t>
  </si>
  <si>
    <t>Miguel Torres/Eventual Gobernacion 02/06/25 AL 08/06/25</t>
  </si>
  <si>
    <t>01-4835</t>
  </si>
  <si>
    <t>Wendy Gimenez/Eventual Gobernacion 02/06/25 AL 08/06/25</t>
  </si>
  <si>
    <t>01-4836</t>
  </si>
  <si>
    <t>Nicolas Alvarez/Eventual Gobernacion 02/06/25 AL 08/06/25</t>
  </si>
  <si>
    <t>01-4837</t>
  </si>
  <si>
    <t>Rafael Puertas/Eventual Gobernacion 02/06/25 AL 08/06/25</t>
  </si>
  <si>
    <t>01-4838</t>
  </si>
  <si>
    <t>Carlos Pacheco/Eventual Gobernacion 02/06/25 AL 08/06/25</t>
  </si>
  <si>
    <t>01-4839</t>
  </si>
  <si>
    <t>Andrés Armella/Eventual Gobernacion 02/06/25 AL 08/06/25</t>
  </si>
  <si>
    <t>01-4840</t>
  </si>
  <si>
    <t>Jose Toledo/Eventual Gobernacion 02/06/25 AL 08/06/25</t>
  </si>
  <si>
    <t>01-4841</t>
  </si>
  <si>
    <t>Juan Pinto/Eventual Gobernacion 02/06/25 AL 08/06/25</t>
  </si>
  <si>
    <t>01-4842</t>
  </si>
  <si>
    <t>Edwin Rojas/Eventual Gobernacion 02/06/25 AL 08/06/25</t>
  </si>
  <si>
    <t>01-4843</t>
  </si>
  <si>
    <t>Alirio Parra/Eventual Gobernacion 02/06/25 AL 08/06/25</t>
  </si>
  <si>
    <t>01-4844</t>
  </si>
  <si>
    <t>Carlos Lopez/Eventual Agregados 02/06/25 AL 08/06/25</t>
  </si>
  <si>
    <t>01-4845</t>
  </si>
  <si>
    <t>Angel Caldera/Eventual Gobernacion 02/06/25 AL 08/06/25</t>
  </si>
  <si>
    <t>01-4846</t>
  </si>
  <si>
    <t>Hector/Eventual Gobernacion 02/06/25 AL 08/06/25</t>
  </si>
  <si>
    <t>01-4847</t>
  </si>
  <si>
    <t>Rafael Quiroz/Eventual Gobernacion 02/06/25 AL 08/06/25</t>
  </si>
  <si>
    <t>01-4848</t>
  </si>
  <si>
    <t>Estebez Maramara/Eventual Agregados 02/06/25 AL 08/06/25</t>
  </si>
  <si>
    <t>01-4849</t>
  </si>
  <si>
    <t>Luis Silveiro Colon Ojeda/Eventual Agregados 02/06/25 AL 08/06/25</t>
  </si>
  <si>
    <t>01-4850</t>
  </si>
  <si>
    <t>Argenis Flores/Eventual Megatech 02/06/25 AL 08/06/25</t>
  </si>
  <si>
    <t>01-4851</t>
  </si>
  <si>
    <t>Pitter Puerta/Eventual Megatech 02/06/25 AL 08/06/25</t>
  </si>
  <si>
    <t>01-4852</t>
  </si>
  <si>
    <t>Norys Ramos/Eventual Gobernacion 02/06/25 AL 08/06/25</t>
  </si>
  <si>
    <t>01-4853</t>
  </si>
  <si>
    <t>Yonny Castillo/Eventual Megatech 02/06/25 AL 08/06/25</t>
  </si>
  <si>
    <t>01-4854</t>
  </si>
  <si>
    <t>Walner Oviedo/Eventual Megatech 02/06/25 AL 08/06/25</t>
  </si>
  <si>
    <t>01-4855</t>
  </si>
  <si>
    <t>Antonio Castillo/Eventual Megatech 02/06/25 AL 08/06/25</t>
  </si>
  <si>
    <t>01-4856</t>
  </si>
  <si>
    <t>Jose Guevara/Eventual Megatech 02/06/25 AL 08/06/25</t>
  </si>
  <si>
    <t>01-4857</t>
  </si>
  <si>
    <t>Francisco Castillo/Eventual Megatech 02/06/25 AL 08/06/25</t>
  </si>
  <si>
    <t>01-4858</t>
  </si>
  <si>
    <t>Jose Castillo/Eventual Megatech 02/06/25 AL 08/06/25</t>
  </si>
  <si>
    <t>01-4859</t>
  </si>
  <si>
    <t>Elvis Valles/Eventual Megatech 02/06/25 AL 08/06/25</t>
  </si>
  <si>
    <t>01-4860</t>
  </si>
  <si>
    <t>01-4861</t>
  </si>
  <si>
    <t>Omar Torrealba/Eventual Megatech 02/06/25 AL 08/06/25</t>
  </si>
  <si>
    <t>01-4862</t>
  </si>
  <si>
    <t>Carlos Castillo/Eventual Megatech 02/06/25 AL 08/06/25</t>
  </si>
  <si>
    <t>01-4863</t>
  </si>
  <si>
    <t>Julian Guedez/Eventual Megatech 02/06/25 AL 08/06/25</t>
  </si>
  <si>
    <t>01-4864</t>
  </si>
  <si>
    <t>Yordis Almao/Eventual Megatech 02/06/25 AL 08/06/25</t>
  </si>
  <si>
    <t>01-4865</t>
  </si>
  <si>
    <t>Victor Mendez/Eventual Megatech 02/06/25 AL 08/06/25</t>
  </si>
  <si>
    <t>01-4866</t>
  </si>
  <si>
    <t>Carlos Loyo/Eventual Megatech 02/06/25 AL 08/06/25</t>
  </si>
  <si>
    <t>01-4867</t>
  </si>
  <si>
    <t>Alberto Loyo/Eventual Megatech 02/06/25 AL 08/06/25</t>
  </si>
  <si>
    <t>01-4868</t>
  </si>
  <si>
    <t>Edwuard Almeida/Eventual Megatech 02/06/25 AL 08/06/25</t>
  </si>
  <si>
    <t>01-4869</t>
  </si>
  <si>
    <t>Yerry Rodríguez/Eventual Megatech 02/06/25 AL 08/06/25</t>
  </si>
  <si>
    <t>01-4870</t>
  </si>
  <si>
    <t>Elio Malpica/Eventual Megatech 02/06/25 AL 08/06/25</t>
  </si>
  <si>
    <t>01-4871</t>
  </si>
  <si>
    <t>Alexander Castillo/Eventual Megatech 02/06/25 AL 08/06/25</t>
  </si>
  <si>
    <t>01-4872</t>
  </si>
  <si>
    <t>Alirio Parra/Eventual Megatech 02/06/25 AL 08/06/25</t>
  </si>
  <si>
    <t>01-4873</t>
  </si>
  <si>
    <t>Ruben Rivas/Eventual Megatech 02/06/25 AL 08/06/25</t>
  </si>
  <si>
    <t>01-4874</t>
  </si>
  <si>
    <t>Norys Ramos/Eventual Megatech 02/06/25 AL 08/06/25</t>
  </si>
  <si>
    <t>01-4875</t>
  </si>
  <si>
    <t>Fareliz Arrieche/Eventual Megatech 02/06/25 AL 08/06/25</t>
  </si>
  <si>
    <t>01-4876</t>
  </si>
  <si>
    <t>Fares Arrieche/Eventual Megatech 02/06/25 AL 08/06/25</t>
  </si>
  <si>
    <t>01-4877</t>
  </si>
  <si>
    <t>Emperatriz Leon/Eventual Megatech 02/06/25 AL 08/06/25</t>
  </si>
  <si>
    <t>01-4878</t>
  </si>
  <si>
    <t>Ingrid Reyes/Eventual Megatech 02/06/25 AL 08/06/25</t>
  </si>
  <si>
    <t>01-4879</t>
  </si>
  <si>
    <t>01-4880</t>
  </si>
  <si>
    <t>01-4881</t>
  </si>
  <si>
    <t>01-4882</t>
  </si>
  <si>
    <t>ELECTRICA 2003/FACT 3476/MECHA P/TALLER-CINTA ALUMINIO-LLAVE PASO-MINERALES</t>
  </si>
  <si>
    <t>01-4883</t>
  </si>
  <si>
    <t>01-4884</t>
  </si>
  <si>
    <t>01-4885</t>
  </si>
  <si>
    <t>DISTRIBUIDORA DIAR/ FACT 756-755/SUMINISTROS PARA CAMIONETA SILVERADO</t>
  </si>
  <si>
    <t>01-4886</t>
  </si>
  <si>
    <t>GLOBAL ACERO/ FACT 0048/REQUERIMIENTO TUBO /CEMENTERA</t>
  </si>
  <si>
    <t>01-4887</t>
  </si>
  <si>
    <t>FERRE MATERIALES REMI/FACT258/TUBO REDONDO-HINDU</t>
  </si>
  <si>
    <t>01-4888</t>
  </si>
  <si>
    <t>YEAN YARAURE/FACT 42/VIAJES CISTERNA DE AGUA</t>
  </si>
  <si>
    <t>01-4889</t>
  </si>
  <si>
    <t>INVER.GENERAL SERV'S/ FACT 000356/SERV.RESGUARDO DE MAQUINA</t>
  </si>
  <si>
    <t>01-4890</t>
  </si>
  <si>
    <t>TRACTO AUTO/FACT7727/REPUES/CAMIONES-TROMPO</t>
  </si>
  <si>
    <t>01-4891</t>
  </si>
  <si>
    <t>01-4892</t>
  </si>
  <si>
    <t>PRINT EXPRESS/FACT 1949/IMPRESIONES FORMATO A1 COLOR</t>
  </si>
  <si>
    <t>01-4893</t>
  </si>
  <si>
    <t>01-4894</t>
  </si>
  <si>
    <t>01-4895</t>
  </si>
  <si>
    <t>MULTISERVICIOS GARQUIS/FACT 51/40%/SOLICT ING CARLEN</t>
  </si>
  <si>
    <t>01-4896</t>
  </si>
  <si>
    <t>01-4897</t>
  </si>
  <si>
    <t>01-4898</t>
  </si>
  <si>
    <t>01-4899</t>
  </si>
  <si>
    <t>01-4900</t>
  </si>
  <si>
    <t>INVERSIONES SALEM/FACT 3202/MATERIAL P/TALLER MECANICO Y MTTO GRAL</t>
  </si>
  <si>
    <t>01-4901</t>
  </si>
  <si>
    <t>01-4902</t>
  </si>
  <si>
    <t>01-4903</t>
  </si>
  <si>
    <t>SANDRA JEANETTE VELASCO/ FACT 000236/KIT DEL DIA DEL PADRE</t>
  </si>
  <si>
    <t>01-4904</t>
  </si>
  <si>
    <t>01-4905</t>
  </si>
  <si>
    <t>SANDRA JEANETTE VELASCO/ FACT 00027/KIT DEL DIA DEL PADRE</t>
  </si>
  <si>
    <t>01-4906</t>
  </si>
  <si>
    <t>01-4907</t>
  </si>
  <si>
    <t>01-4908</t>
  </si>
  <si>
    <t>5719SION USO CANAL IB</t>
  </si>
  <si>
    <t>01-4909</t>
  </si>
  <si>
    <t>ISLR/PERIODO MAYO 2025</t>
  </si>
  <si>
    <t>01-4910</t>
  </si>
  <si>
    <t>02-100625</t>
  </si>
  <si>
    <t>01-4911</t>
  </si>
  <si>
    <t>FERRENOVA/FACT 2003/PNAL HINDU P/CEMENTO</t>
  </si>
  <si>
    <t>01-4912</t>
  </si>
  <si>
    <t>TELEPILA/FACT4674/BOLSO P/LAPTO P/CEMENTO (VIELMA)</t>
  </si>
  <si>
    <t>01-4913</t>
  </si>
  <si>
    <t>01-4914</t>
  </si>
  <si>
    <t>01-4915</t>
  </si>
  <si>
    <t>01-4916</t>
  </si>
  <si>
    <t>PROTECCION PENSIONES/PERIODO MAYO 2025</t>
  </si>
  <si>
    <t>01-4917</t>
  </si>
  <si>
    <t>02-110625</t>
  </si>
  <si>
    <t>01-4918</t>
  </si>
  <si>
    <t>TRANSPORTE TDC/FACT 74/SERV TRASLADO NIVEL NACIONAL</t>
  </si>
  <si>
    <t>01-4919</t>
  </si>
  <si>
    <t>ALEJOS, RODOLFO/NOMINA 15-06-25/OPER</t>
  </si>
  <si>
    <t>01-4920</t>
  </si>
  <si>
    <t>ALVARADO, EDDY/NOMINA 15-06-25/OPER</t>
  </si>
  <si>
    <t>01-4921</t>
  </si>
  <si>
    <t>BASTIDA, JOSE/NOMINA 15-06-25/OPER</t>
  </si>
  <si>
    <t>01-4922</t>
  </si>
  <si>
    <t>GUEDEZ JOSE/NOMINA 15-06-25/OPER</t>
  </si>
  <si>
    <t>01-4923</t>
  </si>
  <si>
    <t>CHIRINOS, RAFAEL/NOMINA 15-06-25/OPER</t>
  </si>
  <si>
    <t>01-4924</t>
  </si>
  <si>
    <t>DAZA, VICTOR/NOMINA 15-06-25/OPER</t>
  </si>
  <si>
    <t>01-4925</t>
  </si>
  <si>
    <t>GARCIA, JASON/NOMINA 15-06-25/OPER</t>
  </si>
  <si>
    <t>01-4926</t>
  </si>
  <si>
    <t>ZERPA, WISTON/NOMINA 15-06-25/OPER</t>
  </si>
  <si>
    <t>01-4927</t>
  </si>
  <si>
    <t>LINAREZ, PEDRO/NOMINA 15-06-25/OPER</t>
  </si>
  <si>
    <t>01-4928</t>
  </si>
  <si>
    <t>GUTIERREZ, PRESCILIANO/NOMINA 15-06-25/OPER</t>
  </si>
  <si>
    <t>01-4929</t>
  </si>
  <si>
    <t>LINAREZ, SANTIAGO/NOMINA 15-06-25/OPER</t>
  </si>
  <si>
    <t>01-4930</t>
  </si>
  <si>
    <t>LOPEZ ,MANOLO/NOMINA 15-06-25/ADM</t>
  </si>
  <si>
    <t>01-4931</t>
  </si>
  <si>
    <t>MANZO, JESMAIYELIT/NOMINA 15-06-25/ADM</t>
  </si>
  <si>
    <t>01-4932</t>
  </si>
  <si>
    <t>POLANCO, FRANKLIN/NOMINA 15-06-25/OPER</t>
  </si>
  <si>
    <t>01-4933</t>
  </si>
  <si>
    <t>MARTINEZ JUAN/NOMINA 15-06-25/OPER</t>
  </si>
  <si>
    <t>01-4934</t>
  </si>
  <si>
    <t>NOGUERA, OSCAR/NOMINA 15-06-25/OPER</t>
  </si>
  <si>
    <t>01-4935</t>
  </si>
  <si>
    <t>PEREZ, CARLOS/NOMINA 15-06-25/OPER</t>
  </si>
  <si>
    <t>01-4936</t>
  </si>
  <si>
    <t>PEREZ, JOSE ROLANDO/NOMINA 15-06-25/OPER</t>
  </si>
  <si>
    <t>01-4937</t>
  </si>
  <si>
    <t>PUERTAS, TEODORO/NOMINA 15-06-25/OPER</t>
  </si>
  <si>
    <t>01-4938</t>
  </si>
  <si>
    <t>QUERALES ,EDIXON/NOMINA 15-06-25/OPER</t>
  </si>
  <si>
    <t>01-4939</t>
  </si>
  <si>
    <t>QUERALES, HERMES/NOMINA 15-06-25/OPER</t>
  </si>
  <si>
    <t>01-4940</t>
  </si>
  <si>
    <t>REVERON, RAMON/NOMINA 15-06-25/OPER</t>
  </si>
  <si>
    <t>01-4941</t>
  </si>
  <si>
    <t>RAGA NELIDO/NOMINA 15-06-25/ADM</t>
  </si>
  <si>
    <t>01-4942</t>
  </si>
  <si>
    <t>RANGEL GUSTAVO/NOMINA 15-06-25/ADM</t>
  </si>
  <si>
    <t>01-4943</t>
  </si>
  <si>
    <t>RODRIGUEZ ANSONNY/NOMINA 15-06-25/OPER</t>
  </si>
  <si>
    <t>01-4944</t>
  </si>
  <si>
    <t>RIVERO, JORGE/NOMINA 15-06-25/OPER</t>
  </si>
  <si>
    <t>01-4945</t>
  </si>
  <si>
    <t>RODRIGUEZ, MIGUEL/NOMINA 15-06-25/OPER</t>
  </si>
  <si>
    <t>01-4946</t>
  </si>
  <si>
    <t>ROJAS MARIA/NOMINA 15-06-25/OPER</t>
  </si>
  <si>
    <t>01-4947</t>
  </si>
  <si>
    <t>SEGURA ,WAILEN/NOMINA 15-06-25/OPER</t>
  </si>
  <si>
    <t>01-4948</t>
  </si>
  <si>
    <t>SUAREZ, RAFAEL/NOMINA 15-06-25/OPER</t>
  </si>
  <si>
    <t>01-4949</t>
  </si>
  <si>
    <t>SOTELDO, LUSMAR/NOMINA 15-06-25/OPER</t>
  </si>
  <si>
    <t>01-4950</t>
  </si>
  <si>
    <t>VETANCOURT, BLIXANDER/NOMINA 15-06-25/ADM</t>
  </si>
  <si>
    <t>01-4951</t>
  </si>
  <si>
    <t>VIELMA CARLEN/NOMINA 15-06-25/ADM</t>
  </si>
  <si>
    <t>01-4952</t>
  </si>
  <si>
    <t>ALEJOS, RODOLFO/BONO COMP 15-06-25/OPER</t>
  </si>
  <si>
    <t>01-4953</t>
  </si>
  <si>
    <t>BASTIDA, JOSE/BONO COMP 15-06-25/OPER</t>
  </si>
  <si>
    <t>01-4954</t>
  </si>
  <si>
    <t>ALVARADO, EDDY/BONO COMP 15-06-25/OPER</t>
  </si>
  <si>
    <t>01-4955</t>
  </si>
  <si>
    <t>CHIRINOS, RAFAEL/BONO COMP 15-06-25/OPER</t>
  </si>
  <si>
    <t>01-4956</t>
  </si>
  <si>
    <t>DAZA, VICTOR/BONO COMP 15-06-25/OPER</t>
  </si>
  <si>
    <t>01-4957</t>
  </si>
  <si>
    <t>GARCIA, JASON/BONO COMP 15-06-25/OPER</t>
  </si>
  <si>
    <t>01-4958</t>
  </si>
  <si>
    <t>LINAREZ, PEDRO/BONO COMP 15-06-25/OPER</t>
  </si>
  <si>
    <t>01-4959</t>
  </si>
  <si>
    <t>LINAREZ, SANTIAGO/BONO COMP 15-06-25/OPER</t>
  </si>
  <si>
    <t>01-4960</t>
  </si>
  <si>
    <t>GUEDEZ JOSE/BONO COMP 15-06-25/OPER</t>
  </si>
  <si>
    <t>01-4961</t>
  </si>
  <si>
    <t>LOPEZ ,MANOLO/BONO COMP 15-06-25/ADM</t>
  </si>
  <si>
    <t>01-4962</t>
  </si>
  <si>
    <t>GUTIERREZ, PRESCILIANO/BONO COMP 15-06-25/OPER</t>
  </si>
  <si>
    <t>01-4963</t>
  </si>
  <si>
    <t>MANZO, JESMAIYELIT/BONO COMP 15-06-25/ADM</t>
  </si>
  <si>
    <t>01-4964</t>
  </si>
  <si>
    <t>MARTINEZ JUAN/BONO COMP 15-06-25/OPER</t>
  </si>
  <si>
    <t>01-4965</t>
  </si>
  <si>
    <t>NOGUERA, OSCAR/BONO COMP 15-06-25/OPER</t>
  </si>
  <si>
    <t>01-4966</t>
  </si>
  <si>
    <t>POLANCO, FRANKLIN/BONO COMP 15-06-25/OPER</t>
  </si>
  <si>
    <t>01-4967</t>
  </si>
  <si>
    <t>PEREZ, CARLOS/BONO COMP 15-06-25/OPER</t>
  </si>
  <si>
    <t>01-4968</t>
  </si>
  <si>
    <t>PEREZ, JOSE ROLANDO/BONO COMP 15-06-25/OPER</t>
  </si>
  <si>
    <t>01-4969</t>
  </si>
  <si>
    <t>PUERTAS, TEODORO/BONO COMP 15-06-25/OPER</t>
  </si>
  <si>
    <t>01-4970</t>
  </si>
  <si>
    <t>RAGA NELIDO/BONO COMP 15-06-25/ADM</t>
  </si>
  <si>
    <t>01-4971</t>
  </si>
  <si>
    <t>QUERALES ,EDIXON/BONO COMP 15-06-25/OPER</t>
  </si>
  <si>
    <t>01-4972</t>
  </si>
  <si>
    <t>QUERALES, HERMES/BONO COMP 15-06-25/OPER</t>
  </si>
  <si>
    <t>01-4973</t>
  </si>
  <si>
    <t>REVERON, RAMON/BONO COMP 15-06-25/OPER</t>
  </si>
  <si>
    <t>01-4974</t>
  </si>
  <si>
    <t>RANGEL GUSTAVO/BONO COMP 15-06-25/ADM</t>
  </si>
  <si>
    <t>01-4975</t>
  </si>
  <si>
    <t>RIVERO, JORGE/BONO COMP 15-06-25/OPER</t>
  </si>
  <si>
    <t>01-4976</t>
  </si>
  <si>
    <t>SEGURA ,WAILEN/BONO COMP 15-06-25/OPER</t>
  </si>
  <si>
    <t>01-4977</t>
  </si>
  <si>
    <t>ROJAS MARIA/BONO COMP 15-06-25/OPER</t>
  </si>
  <si>
    <t>01-4978</t>
  </si>
  <si>
    <t>RODRIGUEZ ANSONNY/BONO COMP 15-06-25/OPER</t>
  </si>
  <si>
    <t>01-4979</t>
  </si>
  <si>
    <t>RODRIGUEZ, MIGUEL/BONO COMP 15-06-25/OPER</t>
  </si>
  <si>
    <t>01-4980</t>
  </si>
  <si>
    <t>SOTELDO, LUSMAR/BONO COMP 15-06-25/OPER</t>
  </si>
  <si>
    <t>01-4981</t>
  </si>
  <si>
    <t>ZERPA, WISTON/BONO COMP 15-06-25/OPER</t>
  </si>
  <si>
    <t>01-4982</t>
  </si>
  <si>
    <t>VETANCOURT, BLIXANDER/BONO COMP 15-06-25/ADM</t>
  </si>
  <si>
    <t>01-4983</t>
  </si>
  <si>
    <t>SUAREZ, RAFAEL/BONO COMP 15-06-25/OPER</t>
  </si>
  <si>
    <t>01-4984</t>
  </si>
  <si>
    <t>VIELMA CARLEN/BONO COMP 15-06-25/ADM</t>
  </si>
  <si>
    <t>01-4985</t>
  </si>
  <si>
    <t>GIMENEZ,PABLO/BONO COMP/NOMINA  15-06-25/OPER</t>
  </si>
  <si>
    <t>01-4986</t>
  </si>
  <si>
    <t>01-4987</t>
  </si>
  <si>
    <t>01-4988</t>
  </si>
  <si>
    <t>01-4989</t>
  </si>
  <si>
    <t>Federico Faneite/Eventual Gobernacion 09/06/25 AL 15/06/25</t>
  </si>
  <si>
    <t>01-4990</t>
  </si>
  <si>
    <t>Delios Adolfo Ferrara/Eventual Agregados 09/06/25 AL 15/06/25</t>
  </si>
  <si>
    <t>01-4991</t>
  </si>
  <si>
    <t>Eliomar Jesús Escalona/Eventual Agregados 09/06/25 AL 15/06/25</t>
  </si>
  <si>
    <t>01-4992</t>
  </si>
  <si>
    <t>José Guillermo Cortez/Eventual Agregados 09/06/25 AL 15/06/25</t>
  </si>
  <si>
    <t>01-4993</t>
  </si>
  <si>
    <t>Darwuin Jesús Bullones/Eventual Agregados 09/06/25 AL 15/06/25</t>
  </si>
  <si>
    <t>01-4994</t>
  </si>
  <si>
    <t>Frank Armando García/Eventual Agregados 09/06/25 AL 15/06/25</t>
  </si>
  <si>
    <t>01-4995</t>
  </si>
  <si>
    <t>Alberto Luis Rojas/Eventual Agregados 09/06/25 AL 15/06/25</t>
  </si>
  <si>
    <t>01-4996</t>
  </si>
  <si>
    <t>Fareliz Arrieche/Eventual Gobernacion 09/06/25 AL 15/06/25</t>
  </si>
  <si>
    <t>01-4997</t>
  </si>
  <si>
    <t>Naiker Alexander Jimenez/Eventual Agregados 09/06/25 AL 15/06/25</t>
  </si>
  <si>
    <t>01-4998</t>
  </si>
  <si>
    <t>José Gregorio Perez/Eventual Agregados 09/06/25 AL 15/06/25</t>
  </si>
  <si>
    <t>01-4999</t>
  </si>
  <si>
    <t>Henrry Valera/Eventual Gobernacion 09/06/25 AL 15/06/25</t>
  </si>
  <si>
    <t>01-5000</t>
  </si>
  <si>
    <t>Carlos Daniel Rodriguez/Eventual Agregados 09/06/25 AL 15/06/25</t>
  </si>
  <si>
    <t>01-5001</t>
  </si>
  <si>
    <t>Brunito Segundo Cordero/Eventual Agregados 09/06/25 AL 15/06/25</t>
  </si>
  <si>
    <t>01-5002</t>
  </si>
  <si>
    <t>Justiniano Rodriguez/Eventual Agregados 09/06/25 AL 15/06/25</t>
  </si>
  <si>
    <t>01-5003</t>
  </si>
  <si>
    <t>Alejandro Morales/Eventual Agregados 09/06/25 AL 15/06/25</t>
  </si>
  <si>
    <t>01-5004</t>
  </si>
  <si>
    <t>Armando Lopez /Eventual Agregados 09/06/25 AL 15/06/25</t>
  </si>
  <si>
    <t>01-5005</t>
  </si>
  <si>
    <t>Euber José Juarez/Eventual Agregados 09/06/25 AL 15/06/25</t>
  </si>
  <si>
    <t>01-5006</t>
  </si>
  <si>
    <t>Ali Alberto Bullones/Eventual Agregados 09/06/25 AL 15/06/25</t>
  </si>
  <si>
    <t>01-5007</t>
  </si>
  <si>
    <t>Froilan Lopez/Eventual Agregados 09/06/25 AL 15/06/25</t>
  </si>
  <si>
    <t>01-5008</t>
  </si>
  <si>
    <t>Alberto Ali Bullones/Eventual Agregados 09/06/25 AL 15/06/25</t>
  </si>
  <si>
    <t>01-5009</t>
  </si>
  <si>
    <t>Fernando José Rodriguez/Eventual Agregados 09/06/25 AL 15/06/25</t>
  </si>
  <si>
    <t>01-5010</t>
  </si>
  <si>
    <t>Ramón Quintero/Eventual Agregados 09/06/25 AL 15/06/25</t>
  </si>
  <si>
    <t>01-5011</t>
  </si>
  <si>
    <t>Bruno Ali Cordero Bullones/Eventual Agregados 09/06/25 AL 15/06/25</t>
  </si>
  <si>
    <t>01-5012</t>
  </si>
  <si>
    <t>Juan López/Eventual Agregados 09/06/25 AL 15/06/25</t>
  </si>
  <si>
    <t>01-5013</t>
  </si>
  <si>
    <t>Jesus Ramos/Eventual Gobernacion 09/06/25 AL 15/06/25</t>
  </si>
  <si>
    <t>01-5014</t>
  </si>
  <si>
    <t>Exson Rodriguez/Eventual Gobernacion 09/06/25 AL 15/06/25</t>
  </si>
  <si>
    <t>01-5015</t>
  </si>
  <si>
    <t>Douglas Pimentel/Eventual Gobernacion 09/06/25 AL 15/06/25</t>
  </si>
  <si>
    <t>01-5016</t>
  </si>
  <si>
    <t>Pedro Castillo/Eventual Gobernacion 09/06/25 AL 15/06/25</t>
  </si>
  <si>
    <t>01-5017</t>
  </si>
  <si>
    <t>Nicolas Alvarez/Eventual Gobernacion 09/06/25 AL 15/06/25</t>
  </si>
  <si>
    <t>01-5018</t>
  </si>
  <si>
    <t>Miguel Torres/Eventual Gobernacion 09/06/25 AL 15/06/25</t>
  </si>
  <si>
    <t>01-5019</t>
  </si>
  <si>
    <t>Wendy Gimenez/Eventual Gobernacion 09/06/25 AL 15/06/25</t>
  </si>
  <si>
    <t>01-5020</t>
  </si>
  <si>
    <t>Rafael Puertas/Eventual Gobernacion 09/06/25 AL 15/06/25</t>
  </si>
  <si>
    <t>01-5021</t>
  </si>
  <si>
    <t>Carlos Pacheco/Eventual Gobernacion 09/06/25 AL 15/06/25</t>
  </si>
  <si>
    <t>01-5022</t>
  </si>
  <si>
    <t>Andrés Armella/Eventual Gobernacion 09/06/25 AL 15/06/25</t>
  </si>
  <si>
    <t>01-5023</t>
  </si>
  <si>
    <t>Jose Toledo/Eventual Gobernacion 09/06/25 AL 15/06/25</t>
  </si>
  <si>
    <t>01-5024</t>
  </si>
  <si>
    <t>Alirio Parra/Eventual Gobernacion 09/06/25 AL 15/06/25</t>
  </si>
  <si>
    <t>01-5025</t>
  </si>
  <si>
    <t>Juan Pinto/Eventual Gobernacion 09/06/25 AL 15/06/25</t>
  </si>
  <si>
    <t>01-5026</t>
  </si>
  <si>
    <t>Hector/Eventual Gobernacion 09/06/25 AL 15/06/25</t>
  </si>
  <si>
    <t>01-5027</t>
  </si>
  <si>
    <t>Edwin Rojas/Eventual Gobernacion 09/06/25 AL 15/06/25</t>
  </si>
  <si>
    <t>01-5028</t>
  </si>
  <si>
    <t>Carlos Lopez/Eventual Agregados 09/06/25 AL 15/06/25</t>
  </si>
  <si>
    <t>01-5029</t>
  </si>
  <si>
    <t>Angel Caldera/Eventual Gobernacion 09/06/25 AL 15/06/25</t>
  </si>
  <si>
    <t>01-5030</t>
  </si>
  <si>
    <t>Norys Ramos/Eventual Gobernacion 09/06/25 AL 15/06/25</t>
  </si>
  <si>
    <t>01-5031</t>
  </si>
  <si>
    <t>Pitter Puerta/Eventual Megatech 09/06/25 AL 15/06/25</t>
  </si>
  <si>
    <t>01-5032</t>
  </si>
  <si>
    <t>Luis Silveiro Colon Ojeda/Eventual Agregados 09/06/25 AL 15/06/25</t>
  </si>
  <si>
    <t>01-5033</t>
  </si>
  <si>
    <t>Argenis Flores/Eventual Megatech 09/06/25 AL 15/06/25</t>
  </si>
  <si>
    <t>01-5034</t>
  </si>
  <si>
    <t>Walner Oviedo/Eventual Megatech 09/06/25 AL 15/06/25</t>
  </si>
  <si>
    <t>01-5035</t>
  </si>
  <si>
    <t>Yonny Castillo/Eventual Megatech 09/06/25 AL 15/06/25</t>
  </si>
  <si>
    <t>01-5036</t>
  </si>
  <si>
    <t>Francisco Castillo/Eventual Megatech 09/06/25 AL 15/06/25</t>
  </si>
  <si>
    <t>01-5037</t>
  </si>
  <si>
    <t>Rafael Quiroz/Eventual Gobernacion 09/06/25 AL 15/06/25</t>
  </si>
  <si>
    <t>01-5038</t>
  </si>
  <si>
    <t>Estebez Maramara/Eventual Agregados 09/06/25 AL 15/06/25</t>
  </si>
  <si>
    <t>01-5039</t>
  </si>
  <si>
    <t>Antonio Castillo/Eventual Megatech 09/06/25 AL 15/06/25</t>
  </si>
  <si>
    <t>01-5040</t>
  </si>
  <si>
    <t>Jose Guevara/Eventual Megatech 09/06/25 AL 15/06/25</t>
  </si>
  <si>
    <t>01-5041</t>
  </si>
  <si>
    <t>Jose Castillo/Eventual Megatech 09/06/25 AL 15/06/25</t>
  </si>
  <si>
    <t>01-5042</t>
  </si>
  <si>
    <t>Elvis Valles/Eventual Megatech 09/06/25 AL 15/06/25</t>
  </si>
  <si>
    <t>01-5043</t>
  </si>
  <si>
    <t>Julian Guedez/Eventual Megatech 09/06/25 AL 15/06/25</t>
  </si>
  <si>
    <t>01-5044</t>
  </si>
  <si>
    <t>01-5045</t>
  </si>
  <si>
    <t>Omar Torrealba/Eventual Megatech 09/06/25 AL 15/06/25</t>
  </si>
  <si>
    <t>01-5046</t>
  </si>
  <si>
    <t>Carlos Castillo/Eventual Megatech 09/06/25 AL 15/06/25</t>
  </si>
  <si>
    <t>01-5047</t>
  </si>
  <si>
    <t>Yordis Almao/Eventual Megatech 09/06/25 AL 15/06/25</t>
  </si>
  <si>
    <t>01-5048</t>
  </si>
  <si>
    <t>Victor Mendez/Eventual Megatech 09/06/25 AL 15/06/25</t>
  </si>
  <si>
    <t>01-5049</t>
  </si>
  <si>
    <t>Carlos Loyo/Eventual Megatech 09/06/25 AL 15/06/25</t>
  </si>
  <si>
    <t>01-5050</t>
  </si>
  <si>
    <t>Edwuard Almeida/Eventual Megatech 09/06/25 AL 15/06/25</t>
  </si>
  <si>
    <t>01-5051</t>
  </si>
  <si>
    <t>Alexander Castillo/Eventual Megatech 09/06/25 AL 15/06/25</t>
  </si>
  <si>
    <t>01-5052</t>
  </si>
  <si>
    <t>Alberto Loyo/Eventual Megatech 09/06/25 AL 15/06/25</t>
  </si>
  <si>
    <t>01-5053</t>
  </si>
  <si>
    <t>Yerry Rodríguez/Eventual Megatech 09/06/25 AL 15/06/25</t>
  </si>
  <si>
    <t>01-5054</t>
  </si>
  <si>
    <t>Alirio Parra/Eventual Megatech 09/06/25 AL 15/06/25</t>
  </si>
  <si>
    <t>01-5055</t>
  </si>
  <si>
    <t>Elio Malpica/Eventual Megatech 09/06/25 AL 15/06/25</t>
  </si>
  <si>
    <t>01-5056</t>
  </si>
  <si>
    <t>Ruben Rivas/Eventual Megatech 09/06/25 AL 15/06/25</t>
  </si>
  <si>
    <t>01-5057</t>
  </si>
  <si>
    <t>Fareliz Arrieche/Eventual Megatech 09/06/25 AL 15/06/25</t>
  </si>
  <si>
    <t>01-5058</t>
  </si>
  <si>
    <t>Fares Arrieche/Eventual Megatech 09/06/25 AL 15/06/25</t>
  </si>
  <si>
    <t>01-5059</t>
  </si>
  <si>
    <t>Norys Ramos/Eventual Megatech 09/06/25 AL 15/06/25</t>
  </si>
  <si>
    <t>01-5060</t>
  </si>
  <si>
    <t>Emperatriz Leon/Eventual Megatech 09/06/25 AL 15/06/25</t>
  </si>
  <si>
    <t>01-5061</t>
  </si>
  <si>
    <t>Ingrid Reyes/Eventual Megatech 09/06/25 AL 15/06/25</t>
  </si>
  <si>
    <t>01-5062</t>
  </si>
  <si>
    <t>01-5063</t>
  </si>
  <si>
    <t>01-5064</t>
  </si>
  <si>
    <t>01-5065</t>
  </si>
  <si>
    <t>JESMAIYELIT MANZO/LIQUIDACION</t>
  </si>
  <si>
    <t>01-5066</t>
  </si>
  <si>
    <t>FRANKLIN POLANCO/LIQUIDACION</t>
  </si>
  <si>
    <t>01-5067</t>
  </si>
  <si>
    <t>WISTON ZERPA/LIQUIDACION</t>
  </si>
  <si>
    <t>01-5068</t>
  </si>
  <si>
    <t>TEODORO PUERTAS/LIQUIDACION</t>
  </si>
  <si>
    <t>01-5069</t>
  </si>
  <si>
    <t>PABLO GIMENEZ/LIQUIDACION</t>
  </si>
  <si>
    <t>01-5070</t>
  </si>
  <si>
    <t>01-5071</t>
  </si>
  <si>
    <t>01-5072</t>
  </si>
  <si>
    <t>01-5073</t>
  </si>
  <si>
    <t>CONSTRURAMA/FACT10765/FONDO CROMATO ZING GALON</t>
  </si>
  <si>
    <t>01-5074</t>
  </si>
  <si>
    <t>CLAUDICOLOR/FACT 0786/PINTURA ESCAMALTE-MINERALES</t>
  </si>
  <si>
    <t>01-5075</t>
  </si>
  <si>
    <t>FERRENOVA/FACT 2002/MANGUERA 1" P/TROMPO-MINERALES</t>
  </si>
  <si>
    <t>01-5076</t>
  </si>
  <si>
    <t>INDUSTRIALES OESTE/FACT 0072/MATERIALES ELECTRICOS P/USO GRAL-MINERALES</t>
  </si>
  <si>
    <t>01-5077</t>
  </si>
  <si>
    <t xml:space="preserve">CASTRO CORPORACION/FACT 562/LAPTOP CORE I5-Miguel Rodriguez  </t>
  </si>
  <si>
    <t>01-5078</t>
  </si>
  <si>
    <t>INVE SALEM/FACT 3204/MATERIALES-MINERALES</t>
  </si>
  <si>
    <t>01-5079</t>
  </si>
  <si>
    <t>01-5080</t>
  </si>
  <si>
    <t>01-5081</t>
  </si>
  <si>
    <t>01-5082</t>
  </si>
  <si>
    <t>VENFA/FACT 80/RENCONSTRUCCION PALA/CARGADOE FRONTAL HYUNDAI-MINERALES</t>
  </si>
  <si>
    <t>01-5083</t>
  </si>
  <si>
    <t>01-5084</t>
  </si>
  <si>
    <t>ERDS/FACT 1896/NIPLES P/TROMPOS-MINERALES</t>
  </si>
  <si>
    <t>01-5085</t>
  </si>
  <si>
    <t>ALBERTO PERNALETTE/FACT 15/VIATICOS</t>
  </si>
  <si>
    <t>01-5086</t>
  </si>
  <si>
    <t>01-5087</t>
  </si>
  <si>
    <t>01-5088</t>
  </si>
  <si>
    <t>HENCARD CONSTRUCCIONES/FACT 616/INSTAL,PROG SISTEMA CONTROL Y DISTRI CONTROL-CEMENTO</t>
  </si>
  <si>
    <t>01-5089</t>
  </si>
  <si>
    <t>01-5090</t>
  </si>
  <si>
    <t>01-5091</t>
  </si>
  <si>
    <t>01-5092</t>
  </si>
  <si>
    <t>01-5093</t>
  </si>
  <si>
    <t>INVE PEROZO/FACT 96748/MANGUERA P/EQUIP HYUNDAI 770</t>
  </si>
  <si>
    <t>01-5094</t>
  </si>
  <si>
    <t>AMERICA TORNILLO/FACT 10654/TORNILLO ARANDELA-TRATOR D9</t>
  </si>
  <si>
    <t>01-5095</t>
  </si>
  <si>
    <t>GLOBAL ACERO/FACT 0075/INV MATERIALES GASOIL-MINERALES</t>
  </si>
  <si>
    <t>01-5096</t>
  </si>
  <si>
    <t>01-5097</t>
  </si>
  <si>
    <t>LISO/FACT 613/ALQUILER MARTILLIO ROTOPERCUTOR/YESO</t>
  </si>
  <si>
    <t>01-5098</t>
  </si>
  <si>
    <t>01-5099</t>
  </si>
  <si>
    <t>01-5100</t>
  </si>
  <si>
    <t>FERRE REMI/FACT 272/REQUIR P/HUNDU P/CEMENTO LAMINAS DE HN</t>
  </si>
  <si>
    <t>01-5101</t>
  </si>
  <si>
    <t>01-5102</t>
  </si>
  <si>
    <t>01-5103</t>
  </si>
  <si>
    <t>FLACO RIVAS/FACT 206-204/REPA MTTO RADIADORES-CAMION KAMAZ</t>
  </si>
  <si>
    <t>01-5104</t>
  </si>
  <si>
    <t>PROCESADA EN AGOSTO</t>
  </si>
  <si>
    <t>COPIKAG GLOBAL/FACT 1894/CARTUCHO IMPRESORA LASER JET M111</t>
  </si>
  <si>
    <t>01-5105</t>
  </si>
  <si>
    <t>SERVA002</t>
  </si>
  <si>
    <t>GASTOS CONSUMIBLES/IMPRESORAS</t>
  </si>
  <si>
    <t>REPUEST H.R.N/FACT 1673/REPUEST P/MONTACARGA-RETROEXCAVADORA</t>
  </si>
  <si>
    <t>01-5106</t>
  </si>
  <si>
    <t>JOSE CASTRO/FACT 42/SERV ANTENA SATELITAL P/CEMENTO</t>
  </si>
  <si>
    <t>01-5107</t>
  </si>
  <si>
    <t>REPUEST CAMACAROS/FACT5903/REPUEST SILVERADO-SEDE MINERALES</t>
  </si>
  <si>
    <t>01-5108</t>
  </si>
  <si>
    <t>JOSE CASTRO/FACT 46/SERV ANTENA SATELITAL MINERALES</t>
  </si>
  <si>
    <t>01-5109</t>
  </si>
  <si>
    <t>GLOBAL ACEROS/FACT 76/INVER LAMINAS P/BASE TANQUE GASOIL-MINERALES</t>
  </si>
  <si>
    <t>01-5110</t>
  </si>
  <si>
    <t>01-5111</t>
  </si>
  <si>
    <t>01-5112</t>
  </si>
  <si>
    <t>01-5113</t>
  </si>
  <si>
    <t>12-200625</t>
  </si>
  <si>
    <t>01-5114</t>
  </si>
  <si>
    <t>JOSE CASTILLOS/OPERADORES DESARROLLO YESO/CALIZA 16/06 AL 20/06</t>
  </si>
  <si>
    <t>01-5115</t>
  </si>
  <si>
    <t>Edwuard Almeida/Eventual Megatech 16/06/25 AL 22/06//25</t>
  </si>
  <si>
    <t>01-5116</t>
  </si>
  <si>
    <t>Hector/Eventual Gobernacion 16/06/25 AL 22/06//25</t>
  </si>
  <si>
    <t>01-5117</t>
  </si>
  <si>
    <t>Yerry Rodríguez/Eventual Megatech 16/06/25 AL 22/06//25</t>
  </si>
  <si>
    <t>01-5118</t>
  </si>
  <si>
    <t>Elio Malpica/Eventual Megatech 16/06/25 AL 22/06//25</t>
  </si>
  <si>
    <t>01-5119</t>
  </si>
  <si>
    <t>Ruben Rivas/Eventual Megatech 16/06/25 AL 22/06//25</t>
  </si>
  <si>
    <t>01-5120</t>
  </si>
  <si>
    <t>ANDRES MELENDEZ/OPERADORES DESARROLLO YESO/CALIZA 16/06 AL 20/06</t>
  </si>
  <si>
    <t>01-5121</t>
  </si>
  <si>
    <t>YOHAN GUANIPA/BONO OPERADORES 16/06 AL 20/06</t>
  </si>
  <si>
    <t>01-5122</t>
  </si>
  <si>
    <t>Ingrid Reyes/Eventual Megatech 16/06/25 AL 22/06//25</t>
  </si>
  <si>
    <t>01-5123</t>
  </si>
  <si>
    <t>DOMINIO VIRGUEZ/OPERADORES DESARROLLO YESO/CALIZA 16/06 AL 20/06</t>
  </si>
  <si>
    <t>01-5124</t>
  </si>
  <si>
    <t>DANNY URRUTIA/CAMPAÑADESARROLLO YESO/CALIZA 16/06 AL</t>
  </si>
  <si>
    <t>01-5125</t>
  </si>
  <si>
    <t>R&amp;A CONSTRUCC/FACT 28/MTTO CANALES LLUVIAS-P/CEMENTO</t>
  </si>
  <si>
    <t>01-5126</t>
  </si>
  <si>
    <t>01-5127</t>
  </si>
  <si>
    <t>JEFFERSON DAVILA/BONO OPERADORES 16/06 AL 20/06</t>
  </si>
  <si>
    <t>01-5128</t>
  </si>
  <si>
    <t>01-5129</t>
  </si>
  <si>
    <t>01-5130</t>
  </si>
  <si>
    <t>01-5131</t>
  </si>
  <si>
    <t>Federico Faneite/Eventual Gobernacion 16/06/25 AL 22/06//25</t>
  </si>
  <si>
    <t>01-5132</t>
  </si>
  <si>
    <t>Delios Adolfo Ferrara/Eventual Agregados 16/06/25 AL 22/06//25</t>
  </si>
  <si>
    <t>01-5133</t>
  </si>
  <si>
    <t>Eliomar Jesús Escalona/Eventual Agregados 16/06/25 AL 22/06//25</t>
  </si>
  <si>
    <t>01-5134</t>
  </si>
  <si>
    <t>José Guillermo Cortez/Eventual Agregados 16/06/25 AL 22/06//25</t>
  </si>
  <si>
    <t>01-5135</t>
  </si>
  <si>
    <t>Darwuin Jesús Bullones/Eventual Agregados 16/06/25 AL 22/06//25</t>
  </si>
  <si>
    <t>01-5136</t>
  </si>
  <si>
    <t>Frank Armando García/Eventual Agregados 16/06/25 AL 22/06//25</t>
  </si>
  <si>
    <t>01-5137</t>
  </si>
  <si>
    <t>Alberto Luis Rojas/Eventual Agregados 16/06/25 AL 22/06//25</t>
  </si>
  <si>
    <t>01-5138</t>
  </si>
  <si>
    <t>Naiker Alexander Jimenez/Eventual Agregados 16/06/25 AL 22/06//25</t>
  </si>
  <si>
    <t>01-5139</t>
  </si>
  <si>
    <t>José Gregorio Perez/Eventual Agregados 16/06/25 AL 22/06//25</t>
  </si>
  <si>
    <t>01-5140</t>
  </si>
  <si>
    <t>Carlos Daniel Rodriguez/Eventual Agregados 16/06/25 AL 22/06//25</t>
  </si>
  <si>
    <t>01-5141</t>
  </si>
  <si>
    <t>Alejandro Morales/Eventual Agregados 16/06/25 AL 22/06//25</t>
  </si>
  <si>
    <t>01-5142</t>
  </si>
  <si>
    <t>Euber José Juarez/Eventual Agregados 16/06/25 AL 22/06//25</t>
  </si>
  <si>
    <t>01-5143</t>
  </si>
  <si>
    <t>Ali Alberto Bullones/Eventual Agregados 16/06/25 AL 22/06//25</t>
  </si>
  <si>
    <t>01-5144</t>
  </si>
  <si>
    <t>Alberto Ali Bullones/Eventual Agregados 16/06/25 AL 22/06//25</t>
  </si>
  <si>
    <t>01-5145</t>
  </si>
  <si>
    <t>Fernando José Rodriguez/Eventual Agregados 16/06/25 AL 22/06//25</t>
  </si>
  <si>
    <t>01-5146</t>
  </si>
  <si>
    <t>Bruno Ali Cordero Bullones/Eventual Agregados 16/06/25 AL 22/06//25</t>
  </si>
  <si>
    <t>01-5147</t>
  </si>
  <si>
    <t>Fareliz Arrieche/Eventual Gobernacion 16/06/25 AL 22/06//25</t>
  </si>
  <si>
    <t>01-5148</t>
  </si>
  <si>
    <t>Henrry Valera/Eventual Gobernacion 16/06/25 AL 22/06//25</t>
  </si>
  <si>
    <t>01-5149</t>
  </si>
  <si>
    <t>Brunito Segundo Cordero/Eventual Agregados 16/06/25 AL 22/06//25</t>
  </si>
  <si>
    <t>01-5150</t>
  </si>
  <si>
    <t>Justiniano Rodriguez/Eventual Agregados 16/06/25 AL 22/06//25</t>
  </si>
  <si>
    <t>01-5151</t>
  </si>
  <si>
    <t>Armando Lopez /Eventual Agregados 16/06/25 AL 22/06//25</t>
  </si>
  <si>
    <t>01-5152</t>
  </si>
  <si>
    <t>Froilan Lopez/Eventual Agregados 16/06/25 AL 22/06//25</t>
  </si>
  <si>
    <t>01-5153</t>
  </si>
  <si>
    <t>Ramón Quintero/Eventual Agregados 16/06/25 AL 22/06//25</t>
  </si>
  <si>
    <t>01-5154</t>
  </si>
  <si>
    <t>Juan López/Eventual Agregados 16/06/25 AL 22/06//25</t>
  </si>
  <si>
    <t>01-5155</t>
  </si>
  <si>
    <t>Jesus Ramos/Eventual Gobernacion 16/06/25 AL 22/06//25</t>
  </si>
  <si>
    <t>01-5156</t>
  </si>
  <si>
    <t>Exson Rodriguez/Eventual Gobernacion 16/06/25 AL 22/06//25</t>
  </si>
  <si>
    <t>01-5157</t>
  </si>
  <si>
    <t>Douglas Pimentel/Eventual Gobernacion 16/06/25 AL 22/06//25</t>
  </si>
  <si>
    <t>01-5158</t>
  </si>
  <si>
    <t>Pedro Castillo/Eventual Gobernacion 16/06/25 AL 22/06//25</t>
  </si>
  <si>
    <t>01-5159</t>
  </si>
  <si>
    <t>Miguel Torres/Eventual Gobernacion 16/06/25 AL 22/06//25</t>
  </si>
  <si>
    <t>01-5160</t>
  </si>
  <si>
    <t>Wendy Gimenez/Eventual Gobernacion 16/06/25 AL 22/06//25</t>
  </si>
  <si>
    <t>01-5161</t>
  </si>
  <si>
    <t>Nicolas Alvarez/Eventual Gobernacion 16/06/25 AL 22/06//25</t>
  </si>
  <si>
    <t>01-5162</t>
  </si>
  <si>
    <t>Rafael Puertas/Eventual Gobernacion 16/06/25 AL 22/06//25</t>
  </si>
  <si>
    <t>01-5163</t>
  </si>
  <si>
    <t>Carlos Pacheco/Eventual Gobernacion 16/06/25 AL 22/06//25</t>
  </si>
  <si>
    <t>01-5164</t>
  </si>
  <si>
    <t>Andrés Armella/Eventual Gobernacion 16/06/25 AL 22/06//25</t>
  </si>
  <si>
    <t>01-5165</t>
  </si>
  <si>
    <t>Jose Toledo/Eventual Gobernacion 16/06/25 AL 22/06//25</t>
  </si>
  <si>
    <t>01-5166</t>
  </si>
  <si>
    <t>Juan Pinto/Eventual Gobernacion 16/06/25 AL 22/06//25</t>
  </si>
  <si>
    <t>01-5167</t>
  </si>
  <si>
    <t>Edwin Rojas/Eventual Gobernacion 16/06/25 AL 22/06//25</t>
  </si>
  <si>
    <t>01-5168</t>
  </si>
  <si>
    <t>Carlos Lopez/Eventual Agregados 16/06/25 AL 22/06//25</t>
  </si>
  <si>
    <t>01-5169</t>
  </si>
  <si>
    <t>Alirio Parra/Eventual Gobernacion 16/06/25 AL 22/06//25</t>
  </si>
  <si>
    <t>01-5170</t>
  </si>
  <si>
    <t>Angel Caldera/Eventual Gobernacion 16/06/25 AL 22/06//25</t>
  </si>
  <si>
    <t>01-5171</t>
  </si>
  <si>
    <t>Luis Silveiro Colon Ojeda/Eventual Agregados 16/06/25 AL 22/06//25</t>
  </si>
  <si>
    <t>01-5172</t>
  </si>
  <si>
    <t>Norys Ramos/Eventual Megatech 16/06/25 AL 22/06//25</t>
  </si>
  <si>
    <t>01-5173</t>
  </si>
  <si>
    <t>Estebez Maramara/Eventual Agregados 16/06/25 AL 22/06//25</t>
  </si>
  <si>
    <t>01-5174</t>
  </si>
  <si>
    <t>Rafael Quiroz/Eventual Gobernacion 16/06/25 AL 22/06//25</t>
  </si>
  <si>
    <t>01-5175</t>
  </si>
  <si>
    <t>Pitter Puerta/Eventual Megatech 16/06/25 AL 22/06//25</t>
  </si>
  <si>
    <t>01-5176</t>
  </si>
  <si>
    <t>Francisco Castillo/Eventual Megatech 16/06/25 AL 22/06//25</t>
  </si>
  <si>
    <t>01-5177</t>
  </si>
  <si>
    <t>Yonny Castillo/Eventual Megatech 16/06/25 AL 22/06//25</t>
  </si>
  <si>
    <t>01-5178</t>
  </si>
  <si>
    <t>Jose Guevara/Eventual Megatech 16/06/25 AL 22/06//25</t>
  </si>
  <si>
    <t>01-5179</t>
  </si>
  <si>
    <t>Antonio Castillo/Eventual Megatech 16/06/25 AL 22/06//25</t>
  </si>
  <si>
    <t>01-5180</t>
  </si>
  <si>
    <t>Jose Castillo/Eventual Megatech 16/06/25 AL 22/06//25</t>
  </si>
  <si>
    <t>01-5181</t>
  </si>
  <si>
    <t>Elvis Valles/Eventual Megatech 16/06/25 AL 22/06//25</t>
  </si>
  <si>
    <t>01-5182</t>
  </si>
  <si>
    <t>Argenis Flores/Eventual Megatech 16/06/25 AL 22/06//25</t>
  </si>
  <si>
    <t>01-5183</t>
  </si>
  <si>
    <t>01-5184</t>
  </si>
  <si>
    <t>Walner Oviedo/Eventual Megatech 16/06/25 AL 22/06//25</t>
  </si>
  <si>
    <t>01-5185</t>
  </si>
  <si>
    <t>Carlos Castillo/Eventual Megatech 16/06/25 AL 22/06//25</t>
  </si>
  <si>
    <t>01-5186</t>
  </si>
  <si>
    <t>Omar Torrealba/Eventual Megatech 16/06/25 AL 22/06//25</t>
  </si>
  <si>
    <t>01-5187</t>
  </si>
  <si>
    <t>Julian Guedez/Eventual Megatech 16/06/25 AL 22/06//25</t>
  </si>
  <si>
    <t>01-5188</t>
  </si>
  <si>
    <t>Yordis Almao/Eventual Megatech 16/06/25 AL 22/06//25</t>
  </si>
  <si>
    <t>01-5189</t>
  </si>
  <si>
    <t>Victor Mendez/Eventual Megatech 16/06/25 AL 22/06//25</t>
  </si>
  <si>
    <t>01-5190</t>
  </si>
  <si>
    <t>Carlos Loyo/Eventual Megatech 16/06/25 AL 22/06//25</t>
  </si>
  <si>
    <t>01-5191</t>
  </si>
  <si>
    <t>Alberto Loyo/Eventual Megatech 16/06/25 AL 22/06//25</t>
  </si>
  <si>
    <t>01-5192</t>
  </si>
  <si>
    <t>Alexander Castillo/Eventual Megatech 16/06/25 AL 22/06//25</t>
  </si>
  <si>
    <t>01-5193</t>
  </si>
  <si>
    <t>RAMON QUIROGAS/BONO OPERADORES 16/06 AL 20/06</t>
  </si>
  <si>
    <t>01-5194</t>
  </si>
  <si>
    <t>ROBER ARIAS/BONO OPERADORES 16/06 AL 20/06</t>
  </si>
  <si>
    <t>01-5195</t>
  </si>
  <si>
    <t>Fareliz Arrieche/Eventual Megatech 16/06/25 AL 22/06//25</t>
  </si>
  <si>
    <t>01-5196</t>
  </si>
  <si>
    <t>BEATRIZ CASTILLO/BONO OPERADORES 16/06 AL 20/06</t>
  </si>
  <si>
    <t>01-5197</t>
  </si>
  <si>
    <t>HONORARIOS PROFESIONALES/INSPECC SINELEC-FABRICANTES TRANSFORMADOR</t>
  </si>
  <si>
    <t>01-5198</t>
  </si>
  <si>
    <t>38-200625</t>
  </si>
  <si>
    <t>Alirio Parra/Eventual Megatech 16/06/25 AL 22/06//25</t>
  </si>
  <si>
    <t>01-5199</t>
  </si>
  <si>
    <t>Fares Arrieche/Eventual Megatech 16/06/25 AL 22/06//25</t>
  </si>
  <si>
    <t>01-5200</t>
  </si>
  <si>
    <t>LINO FLOREZ/CAMPAÑA YESO 16/06 AL 20/06-OPERADORES</t>
  </si>
  <si>
    <t>01-5201</t>
  </si>
  <si>
    <t>OLGA OROZCO/HOSPEDAJE/CALIZA</t>
  </si>
  <si>
    <t>01-5202</t>
  </si>
  <si>
    <t>45-200625</t>
  </si>
  <si>
    <t>01-5203</t>
  </si>
  <si>
    <t>01-5204</t>
  </si>
  <si>
    <t>01-5205</t>
  </si>
  <si>
    <t>MATERIALES SANTA LUCIA/FACT 5505/MATERIALES CEMENTERA</t>
  </si>
  <si>
    <t>01-5206</t>
  </si>
  <si>
    <t>SANTA LUCIA/FACT 5503/CEMENTERA/DONATIVO</t>
  </si>
  <si>
    <t>01-5207</t>
  </si>
  <si>
    <t>GEORMAN MOLINA/FACT 262/SERV GRUA-PAYLOVER-PALA-HYUNDAI</t>
  </si>
  <si>
    <t>01-5208</t>
  </si>
  <si>
    <t>01-5209</t>
  </si>
  <si>
    <t>01-5210</t>
  </si>
  <si>
    <t>01-5211</t>
  </si>
  <si>
    <t>FERRE REMI/FACT 274/TUBOS ESTRUCTURALES-P/GALPON EMPAQ MOLINO CEMENTO</t>
  </si>
  <si>
    <t>01-5212</t>
  </si>
  <si>
    <t>01-5213</t>
  </si>
  <si>
    <t>01-5214</t>
  </si>
  <si>
    <t>01-5215</t>
  </si>
  <si>
    <t>01-5216</t>
  </si>
  <si>
    <t>TIENDA DAKA/FACT 33294/2 AIRES SPLIT OFIC MINERALES</t>
  </si>
  <si>
    <t>01-5217</t>
  </si>
  <si>
    <t>01-5218</t>
  </si>
  <si>
    <t>01-5219</t>
  </si>
  <si>
    <t>01-5220</t>
  </si>
  <si>
    <t>INVECEM S.A/COMPRA CEMENTO P/PLANTA MINERALES -FACT ESMY-TIENE EL CUPO DE DESPACHO</t>
  </si>
  <si>
    <t>01-5221</t>
  </si>
  <si>
    <t>01-5222</t>
  </si>
  <si>
    <t>01-5223</t>
  </si>
  <si>
    <t>01-5224</t>
  </si>
  <si>
    <t>01-5225</t>
  </si>
  <si>
    <t>01-5226</t>
  </si>
  <si>
    <t>01-5227</t>
  </si>
  <si>
    <t>01-5228</t>
  </si>
  <si>
    <t>01-5229</t>
  </si>
  <si>
    <t>MULTISERVICIOS W Y R/FACT 33/INSTALACION MOTOR CUNIS-MINERALES</t>
  </si>
  <si>
    <t>01-5230</t>
  </si>
  <si>
    <t>01-5231</t>
  </si>
  <si>
    <t xml:space="preserve">GEORMAN LEANDRO MOLINA/ FACT 000259/SERVICIO DE GRUA </t>
  </si>
  <si>
    <t>01-5232</t>
  </si>
  <si>
    <t>ALBERTO JOSE SUAREZ CASTRO/ FACT 002578/BOMBA DE INYECCION CERNIDORA DE ARENA</t>
  </si>
  <si>
    <t>01-5233</t>
  </si>
  <si>
    <t>LUZBARDO ESPINOSA/FACT 118/MATERIAL ELECTRICO -ING FARELIZ</t>
  </si>
  <si>
    <t>01-5234</t>
  </si>
  <si>
    <t>01-5235</t>
  </si>
  <si>
    <t>FERRE MATERIALES REMI/FACT 0277/INV P/CERRAMIENT-GALPON EMPAQUETADO-MOLINO CEMENTO</t>
  </si>
  <si>
    <t>01-5236</t>
  </si>
  <si>
    <t>REICARIS MANUEL RIVAS/ FACT 000200/MANT.RADIADOR</t>
  </si>
  <si>
    <t>01-5237</t>
  </si>
  <si>
    <t>01-5238</t>
  </si>
  <si>
    <t>01-5239</t>
  </si>
  <si>
    <t>VALLA INFOR-EXTRACCION GRANZON (MAYO/JUNIO)</t>
  </si>
  <si>
    <t>01-5240</t>
  </si>
  <si>
    <t>08-250625</t>
  </si>
  <si>
    <t>GLOBAL ACERO/FACT0058/P/CERRAMIENTO GALPON DE EMPAQUETADO/MOLINO CEMENTO</t>
  </si>
  <si>
    <t>01-5241</t>
  </si>
  <si>
    <t>01-5242</t>
  </si>
  <si>
    <t>01-5243</t>
  </si>
  <si>
    <t xml:space="preserve">ALIMENTOS/FACT 31488/CAFÉ CONSUMO INTERNO </t>
  </si>
  <si>
    <t>01-5244</t>
  </si>
  <si>
    <t>01-5245</t>
  </si>
  <si>
    <t>01-5246</t>
  </si>
  <si>
    <t>01-5247</t>
  </si>
  <si>
    <t>RODA MANGUERA/FACT 2108/MONTAJE CERNIDORA-MINERALES</t>
  </si>
  <si>
    <t>01-5248</t>
  </si>
  <si>
    <t>ALIMENTO FACT 31493-31507/BENFICIOS TRABAJADORES-EVENTUALES</t>
  </si>
  <si>
    <t>01-5249</t>
  </si>
  <si>
    <t>01-5250</t>
  </si>
  <si>
    <t>01-5251</t>
  </si>
  <si>
    <t>VICTOR VARLVERDE/FACT A-1281/FILTRO DE AIRE GRUA  TELESCOPICA</t>
  </si>
  <si>
    <t>01-5252</t>
  </si>
  <si>
    <t>01-5253</t>
  </si>
  <si>
    <t>COMERCIALIZADORA/INVERSION DE CAPITAL/BICENTENARIO</t>
  </si>
  <si>
    <t>01-5254</t>
  </si>
  <si>
    <t>01-5255</t>
  </si>
  <si>
    <t>01-5256</t>
  </si>
  <si>
    <t>01-5257</t>
  </si>
  <si>
    <t>DIAR/FACT 770/ACEITE HIDRAULICO-EXCAVADORES-CALIZAS-P/CEMENTERA</t>
  </si>
  <si>
    <t>01-5258</t>
  </si>
  <si>
    <t>FERRE REMI/FACT 281/P/PLATAFORMAS SEGURIDAD MOLINO-P/CEMENTO</t>
  </si>
  <si>
    <t>01-5259</t>
  </si>
  <si>
    <t>DIAR/FACT 768/ACEITE HIDRAULICO-EXCAVADORES-CALIZAS-P/CEMENTERA</t>
  </si>
  <si>
    <t>01-5260</t>
  </si>
  <si>
    <t>01-5261</t>
  </si>
  <si>
    <t>GLOBAL ACERO/FACT 0057/PLATAFORMAS SEGURIDAD MOLINO CRUDO P/CEMENTO</t>
  </si>
  <si>
    <t>01-5262</t>
  </si>
  <si>
    <t>01-5263</t>
  </si>
  <si>
    <t>01-5264</t>
  </si>
  <si>
    <t>Jesus Ramos/Eventual Gobernacion 23/06 AL 29/06</t>
  </si>
  <si>
    <t>01-5265</t>
  </si>
  <si>
    <t>Exson Rodriguez/Eventual Gobernacion 23/06 AL 29/06</t>
  </si>
  <si>
    <t>01-5266</t>
  </si>
  <si>
    <t>Douglas Pimentel/Eventual Gobernacion 23/06 AL 29/06</t>
  </si>
  <si>
    <t>01-5267</t>
  </si>
  <si>
    <t>Pedro Castillo/Eventual Gobernacion 23/06 AL 29/06</t>
  </si>
  <si>
    <t>01-5268</t>
  </si>
  <si>
    <t>Miguel Torres/Eventual Gobernacion 23/06 AL 29/06</t>
  </si>
  <si>
    <t>01-5269</t>
  </si>
  <si>
    <t>Wendy Gimenez/Eventual Gobernacion 23/06 AL 29/06</t>
  </si>
  <si>
    <t>01-5270</t>
  </si>
  <si>
    <t>01-5271</t>
  </si>
  <si>
    <t>Rafael Puertas/Eventual Gobernacion 23/06 AL 29/06</t>
  </si>
  <si>
    <t>01-5272</t>
  </si>
  <si>
    <t>Carlos Pacheco/Eventual Gobernacion 23/06 AL 29/06</t>
  </si>
  <si>
    <t>01-5273</t>
  </si>
  <si>
    <t>Andrés Armella/Eventual Gobernacion 23/06 AL 29/06</t>
  </si>
  <si>
    <t>01-5274</t>
  </si>
  <si>
    <t>Jose Toledo/Eventual Gobernacion 23/06 AL 29/06</t>
  </si>
  <si>
    <t>01-5275</t>
  </si>
  <si>
    <t>Henrry Valera/Eventual Gobernacion 23/06 AL 29/06</t>
  </si>
  <si>
    <t>01-5276</t>
  </si>
  <si>
    <t>Juan Pinto/Eventual Gobernacion 23/06 AL 29/06</t>
  </si>
  <si>
    <t>01-5277</t>
  </si>
  <si>
    <t>Edwin Rojas/Eventual Gobernacion 23/06 AL 29/06</t>
  </si>
  <si>
    <t>01-5278</t>
  </si>
  <si>
    <t>Alirio Parra/Eventual Gobernacion 23/06 AL 29/06</t>
  </si>
  <si>
    <t>01-5279</t>
  </si>
  <si>
    <t>Fareliz Arrieche/Eventual Gobernacion 23/06 AL 29/06</t>
  </si>
  <si>
    <t>01-5280</t>
  </si>
  <si>
    <t>Rafael Quiroz/Eventual Gobernacion 23/06 AL 29/06</t>
  </si>
  <si>
    <t>01-5281</t>
  </si>
  <si>
    <t>Federico Faneite/Eventual Gobernacion 23/06 AL 29/06</t>
  </si>
  <si>
    <t>01-5282</t>
  </si>
  <si>
    <t>Brunito Segundo Cordero/Eventual Agregados 23/06 AL 29/06</t>
  </si>
  <si>
    <t>01-5283</t>
  </si>
  <si>
    <t>Angel Caldera/Eventual Gobernacion 23/06 AL 29/06</t>
  </si>
  <si>
    <t>01-5284</t>
  </si>
  <si>
    <t>Delios Adolfo Ferrara/Eventual Agregados 23/06 AL 29/06</t>
  </si>
  <si>
    <t>01-5285</t>
  </si>
  <si>
    <t>Eliomar Jesús Escalona/Eventual Agregados 23/06 AL 29/06</t>
  </si>
  <si>
    <t>01-5286</t>
  </si>
  <si>
    <t>José Guillermo Cortez/Eventual Agregados 23/06 AL 29/06</t>
  </si>
  <si>
    <t>01-5287</t>
  </si>
  <si>
    <t>Darwuin Jesús Bullones/Eventual Agregados 23/06 AL 29/06</t>
  </si>
  <si>
    <t>01-5288</t>
  </si>
  <si>
    <t>Frank Armando García/Eventual Agregados 23/06 AL 29/06</t>
  </si>
  <si>
    <t>01-5289</t>
  </si>
  <si>
    <t>Alberto Luis Rojas/Eventual Agregados 23/06 AL 29/06</t>
  </si>
  <si>
    <t>01-5290</t>
  </si>
  <si>
    <t>Naiker Alexander Jimenez/Eventual Agregados 23/06 AL 29/06</t>
  </si>
  <si>
    <t>01-5291</t>
  </si>
  <si>
    <t>José Gregorio Perez/Eventual Agregados 23/06 AL 29/06</t>
  </si>
  <si>
    <t>01-5292</t>
  </si>
  <si>
    <t>Carlos Daniel Rodriguez/Eventual Agregados 23/06 AL 29/06</t>
  </si>
  <si>
    <t>01-5293</t>
  </si>
  <si>
    <t>Alejandro Morales/Eventual Agregados 23/06 AL 29/06</t>
  </si>
  <si>
    <t>01-5294</t>
  </si>
  <si>
    <t>Euber José Juarez/Eventual Agregados 23/06 AL 29/06</t>
  </si>
  <si>
    <t>01-5295</t>
  </si>
  <si>
    <t>Ali Alberto Bullones/Eventual Agregados 23/06 AL 29/06</t>
  </si>
  <si>
    <t>01-5296</t>
  </si>
  <si>
    <t>Alberto Ali Bullones/Eventual Agregados 23/06 AL 29/06</t>
  </si>
  <si>
    <t>01-5297</t>
  </si>
  <si>
    <t>Fernando José Rodriguez/Eventual Agregados 23/06 AL 29/06</t>
  </si>
  <si>
    <t>01-5298</t>
  </si>
  <si>
    <t>Bruno Ali Cordero Bullones/Eventual Agregados 23/06 AL 29/06</t>
  </si>
  <si>
    <t>01-5299</t>
  </si>
  <si>
    <t>Justiniano Rodriguez/Eventual Agregados 23/06 AL 29/06</t>
  </si>
  <si>
    <t>01-5300</t>
  </si>
  <si>
    <t>Estebez Maramara/Eventual Agregados 23/06 AL 29/06</t>
  </si>
  <si>
    <t>01-5301</t>
  </si>
  <si>
    <t>Carlos Lopez/Eventual Agregados 23/06 AL 29/06</t>
  </si>
  <si>
    <t>01-5302</t>
  </si>
  <si>
    <t>Armando Lopez /Eventual Agregados 23/06 AL 29/06</t>
  </si>
  <si>
    <t>01-5303</t>
  </si>
  <si>
    <t>Froilan Lopez/Eventual Agregados 23/06 AL 29/06</t>
  </si>
  <si>
    <t>01-5304</t>
  </si>
  <si>
    <t>Ramón Quintero/Eventual Agregados 23/06 AL 29/06</t>
  </si>
  <si>
    <t>01-5305</t>
  </si>
  <si>
    <t>Argenis Flores/Eventual Megatech 23/06 AL 29/06</t>
  </si>
  <si>
    <t>01-5306</t>
  </si>
  <si>
    <t>Juan López/Eventual Agregados 23/06 AL 29/06</t>
  </si>
  <si>
    <t>01-5307</t>
  </si>
  <si>
    <t>Luis Silveiro Colon Ojeda/Eventual Agregados 23/06 AL 29/06</t>
  </si>
  <si>
    <t>01-5308</t>
  </si>
  <si>
    <t>Pitter Puerta/Eventual Megatech 23/06 AL 29/06</t>
  </si>
  <si>
    <t>01-5309</t>
  </si>
  <si>
    <t>Walner Oviedo/Eventual Megatech 23/06 AL 29/06</t>
  </si>
  <si>
    <t>01-5310</t>
  </si>
  <si>
    <t>Yonny Castillo/Eventual Megatech 23/06 AL 29/06</t>
  </si>
  <si>
    <t>01-5311</t>
  </si>
  <si>
    <t>Antonio Castillo/Eventual Megatech 23/06 AL 29/06</t>
  </si>
  <si>
    <t>01-5312</t>
  </si>
  <si>
    <t>Jose Guevara/Eventual Megatech 23/06 AL 29/06</t>
  </si>
  <si>
    <t>01-5313</t>
  </si>
  <si>
    <t>Francisco Castillo/Eventual Megatech 23/06 AL 29/06</t>
  </si>
  <si>
    <t>01-5314</t>
  </si>
  <si>
    <t>Jose Castillo/Eventual Megatech 23/06 AL 29/06</t>
  </si>
  <si>
    <t>01-5315</t>
  </si>
  <si>
    <t>Elvis Valles/Eventual Megatech 23/06 AL 29/06</t>
  </si>
  <si>
    <t>01-5316</t>
  </si>
  <si>
    <t>01-5317</t>
  </si>
  <si>
    <t>Omar Torrealba/Eventual Megatech 23/06 AL 29/06</t>
  </si>
  <si>
    <t>01-5318</t>
  </si>
  <si>
    <t>Carlos Castillo/Eventual Megatech 23/06 AL 29/06</t>
  </si>
  <si>
    <t>01-5319</t>
  </si>
  <si>
    <t>Julian Guedez/Eventual Megatech 23/06 AL 29/06</t>
  </si>
  <si>
    <t>01-5320</t>
  </si>
  <si>
    <t>Yordis Almao/Eventual Megatech 23/06 AL 29/06</t>
  </si>
  <si>
    <t>01-5321</t>
  </si>
  <si>
    <t>Victor Mendez/Eventual Megatech 23/06 AL 29/06</t>
  </si>
  <si>
    <t>01-5322</t>
  </si>
  <si>
    <t>Carlos Loyo/Eventual Megatech 23/06 AL 29/06</t>
  </si>
  <si>
    <t>01-5323</t>
  </si>
  <si>
    <t>Alberto Loyo/Eventual Megatech 23/06 AL 29/06</t>
  </si>
  <si>
    <t>01-5324</t>
  </si>
  <si>
    <t>Edwuard Almeida/Eventual Megatech 23/06 AL 29/06</t>
  </si>
  <si>
    <t>01-5325</t>
  </si>
  <si>
    <t>Yerry Rodríguez/Eventual Megatech 23/06 AL 29/06</t>
  </si>
  <si>
    <t>01-5326</t>
  </si>
  <si>
    <t>Elio Malpica/Eventual Megatech 23/06 AL 29/06</t>
  </si>
  <si>
    <t>01-5327</t>
  </si>
  <si>
    <t>Alexander Castillo/Eventual Megatech 23/06 AL 29/06</t>
  </si>
  <si>
    <t>01-5328</t>
  </si>
  <si>
    <t>Ruben Rivas/Eventual Megatech 23/06 AL 29/06</t>
  </si>
  <si>
    <t>01-5329</t>
  </si>
  <si>
    <t>Norys Ramos/Eventual Megatech 23/06 AL 29/06</t>
  </si>
  <si>
    <t>01-5330</t>
  </si>
  <si>
    <t>Fareliz Arrieche/Eventual Megatech 23/06 AL 29/06</t>
  </si>
  <si>
    <t>01-5331</t>
  </si>
  <si>
    <t>Alirio Parra/Eventual Megatech 23/06 AL 29/06</t>
  </si>
  <si>
    <t>01-5332</t>
  </si>
  <si>
    <t>Emperatriz Leon/Eventual Megatech 23/06 AL 29/06</t>
  </si>
  <si>
    <t>01-5333</t>
  </si>
  <si>
    <t>Fares Arrieche/Eventual Megatech 23/06 AL 29/06</t>
  </si>
  <si>
    <t>01-5334</t>
  </si>
  <si>
    <t>Ingrid Reyes/Eventual Megatech 23/06 AL 29/06</t>
  </si>
  <si>
    <t>01-5335</t>
  </si>
  <si>
    <t>01-5336</t>
  </si>
  <si>
    <t>01-5337</t>
  </si>
  <si>
    <t>01-5338</t>
  </si>
  <si>
    <t>MAQUIMAT CASTILLO/FACT 666/GATO HIDRAULIVO P/HYUNDAI MINERALES</t>
  </si>
  <si>
    <t>01-5339</t>
  </si>
  <si>
    <t>MATERIALES SANTA LUCIAS/FACT 5534/CEMENTERA</t>
  </si>
  <si>
    <t>01-5340</t>
  </si>
  <si>
    <t>PORTUMANIA/FACT 3370/SILLAS CORDOBA/OFICINAS MINERALES</t>
  </si>
  <si>
    <t>01-5341</t>
  </si>
  <si>
    <t>01-5342</t>
  </si>
  <si>
    <t>RODA MANGUERA/FACT 2142/MANGUERA P/KAMAZ #16-CEMENTERA</t>
  </si>
  <si>
    <t>01-5343</t>
  </si>
  <si>
    <t>TRACTO AUTO/FACT 7756/BATERIAS P/KAMAZ-MINERALES</t>
  </si>
  <si>
    <t>01-5344</t>
  </si>
  <si>
    <t>QUITRONIC/FACT 2219/GATO 50T P/TALER-MINERALES</t>
  </si>
  <si>
    <t>01-5345</t>
  </si>
  <si>
    <t>01-5346</t>
  </si>
  <si>
    <t>01-5347</t>
  </si>
  <si>
    <t>RESGUARDO/FACT 227/2DA QNA junio-MINERALES</t>
  </si>
  <si>
    <t>01-5348</t>
  </si>
  <si>
    <t>01-5349</t>
  </si>
  <si>
    <t>TDC/INVERSION DE CAPITAL/PROVINCIAL</t>
  </si>
  <si>
    <t>01-5350</t>
  </si>
  <si>
    <t>01-5351</t>
  </si>
  <si>
    <t>01-5352</t>
  </si>
  <si>
    <t>01-5353</t>
  </si>
  <si>
    <t>JOSE ARRIETA/BONIFICACION GOBER MES JUNIO</t>
  </si>
  <si>
    <t>01-5354</t>
  </si>
  <si>
    <t>CARLOS RODRIGUEZ/BONIFICACION GOBER MES JUNIO</t>
  </si>
  <si>
    <t>01-5355</t>
  </si>
  <si>
    <t>ARMANDO VILLEGAS/BONIFICACION GOBER MES JUNIO</t>
  </si>
  <si>
    <t>01-5356</t>
  </si>
  <si>
    <t>ALEJOS, RODOLFO/BONO COMPLE 30-06-25/OPER</t>
  </si>
  <si>
    <t>01-5357</t>
  </si>
  <si>
    <t>ALMAO,GENESIS/BONO COMPLE 30-06-25/ADM</t>
  </si>
  <si>
    <t>01-5358</t>
  </si>
  <si>
    <t>CHIRINOS, RAFAEL/BONO COMPLE 30-06-25/OPER</t>
  </si>
  <si>
    <t>01-5359</t>
  </si>
  <si>
    <t>ALVARADO, EDID/BONO COMPLE 30-06-25/OPER</t>
  </si>
  <si>
    <t>01-5360</t>
  </si>
  <si>
    <t>BASTIDA, JOSE/BONO COMPLE 30-06-25/OPER</t>
  </si>
  <si>
    <t>01-5361</t>
  </si>
  <si>
    <t>DAZA, VICTOR/BONO COMPLE 30-06-25/OPER</t>
  </si>
  <si>
    <t>01-5362</t>
  </si>
  <si>
    <t>DURAN, MARIA/BONO COMPLE 30-06-25/OPER</t>
  </si>
  <si>
    <t>01-5363</t>
  </si>
  <si>
    <t>GARCIA, JASON/BONO COMPLE 30-06-25/OPER</t>
  </si>
  <si>
    <t>01-5364</t>
  </si>
  <si>
    <t>GUEDEZ,JOSE/BONO COMPLE 30-06-25/OPER</t>
  </si>
  <si>
    <t>01-5365</t>
  </si>
  <si>
    <t>GOMEZ,ARGENIS/BONO COMPLE 30-06-25/OPER</t>
  </si>
  <si>
    <t>01-5366</t>
  </si>
  <si>
    <t>LINAREZ, PEDRO/BONO COMPLE 30-06-25/OPER</t>
  </si>
  <si>
    <t>01-5367</t>
  </si>
  <si>
    <t>GUTIERREZ, PRESCILIANO/BONO COMPLE 30-06-25/OPER</t>
  </si>
  <si>
    <t>01-5368</t>
  </si>
  <si>
    <t>LOPEZ ,MANOLO/BONO COMPLE 30-06-25/ADM</t>
  </si>
  <si>
    <t>01-5369</t>
  </si>
  <si>
    <t>LINAREZ, SANTIAGO/BONO COMPLE 30-06-25/OPER</t>
  </si>
  <si>
    <t>01-5370</t>
  </si>
  <si>
    <t>MARTINEZ JUAN/BONO COMPLE 30-06-25/OPER</t>
  </si>
  <si>
    <t>01-5371</t>
  </si>
  <si>
    <t>GUEDEZ,YIRMER/BONO COMPLE 30-06-25/OPER</t>
  </si>
  <si>
    <t>01-5372</t>
  </si>
  <si>
    <t>PEREZ, JOSE ROLANDO/BONO COMPLE 30-06-25/OPER</t>
  </si>
  <si>
    <t>01-5373</t>
  </si>
  <si>
    <t>MENDOZA,ANTONY/BONO COMPLE 30-06-25/OPER</t>
  </si>
  <si>
    <t>01-5374</t>
  </si>
  <si>
    <t>NOGUERA, OSCAR/BONO COMPLE 30-06-25/OPER</t>
  </si>
  <si>
    <t>01-5375</t>
  </si>
  <si>
    <t>QUERALES ,EDIXON/BONO COMPLE 30-06-25/OPER</t>
  </si>
  <si>
    <t>01-5376</t>
  </si>
  <si>
    <t>PEREZ, CARLOS/BONO COMPLE 30-06-25/OPER</t>
  </si>
  <si>
    <t>01-5377</t>
  </si>
  <si>
    <t>RANGEL GUSTAVO/BONO COMPLE 30-06-25/ADM</t>
  </si>
  <si>
    <t>01-5378</t>
  </si>
  <si>
    <t>QUERALES, HERMES/BONO COMPLE 30-06-25/OPER</t>
  </si>
  <si>
    <t>01-5379</t>
  </si>
  <si>
    <t>REVERON, RAMON/BONO COMPLE 30-06-25/OPER</t>
  </si>
  <si>
    <t>01-5380</t>
  </si>
  <si>
    <t>RAGA NELIDO/BONO COMPLE 30-06-25/ADM</t>
  </si>
  <si>
    <t>01-5381</t>
  </si>
  <si>
    <t>ROJAS MARIA/BONO COMPLE 30-06-25/OPER</t>
  </si>
  <si>
    <t>01-5382</t>
  </si>
  <si>
    <t>SEGURA ,WAILEN/BONO COMPLE 30-06-25/OPER</t>
  </si>
  <si>
    <t>01-5383</t>
  </si>
  <si>
    <t>RODRIGUEZ ANSONNY/BONO COMPLE 30-06-25/OPER</t>
  </si>
  <si>
    <t>01-5384</t>
  </si>
  <si>
    <t>RIVERO, JORGE/BONO COMPLE 30-06-25/OPER</t>
  </si>
  <si>
    <t>01-5385</t>
  </si>
  <si>
    <t>RODRIGUEZ, MIGUEL/BONO COMPLE 30-06-25/OPER</t>
  </si>
  <si>
    <t>01-5386</t>
  </si>
  <si>
    <t>SUAREZ, RAFAEL/BONO COMPLE 30-06-25/OPER</t>
  </si>
  <si>
    <t>01-5387</t>
  </si>
  <si>
    <t>SOTELDO, LUSMAR/BONO COMPLE 30-06-25/OPER</t>
  </si>
  <si>
    <t>01-5388</t>
  </si>
  <si>
    <t>VIELMA CARLEN/BONO COMPLE 30-06-25/ADM</t>
  </si>
  <si>
    <t>01-5389</t>
  </si>
  <si>
    <t>VETANCOURT, BLIXANDER/BONO COMPLE 30-06-25/OPER</t>
  </si>
  <si>
    <t>01-5390</t>
  </si>
  <si>
    <t>NOGUERA, OSCAR/BONO ADICIONAL30-06-25/OPER</t>
  </si>
  <si>
    <t>01-5391</t>
  </si>
  <si>
    <t>RANGEL GUSTAVO/BONO ADICIONAL30-06-25/ADM</t>
  </si>
  <si>
    <t>01-5392</t>
  </si>
  <si>
    <t>RODRIGUEZ, MIGUEL/BONO ADICIONAL30-06-25/OPER</t>
  </si>
  <si>
    <t>01-5393</t>
  </si>
  <si>
    <t>VIELMA CARLEN/BONO ADICIONAL30-06-25/ADM</t>
  </si>
  <si>
    <t>01-5394</t>
  </si>
  <si>
    <t>ALEJOS, RODOLFO/CESTA TICKET JUNIO/OPER</t>
  </si>
  <si>
    <t>01-5395</t>
  </si>
  <si>
    <t>GUEDEZ,YIRMER/CESTA TICKET JUNIO/OPER</t>
  </si>
  <si>
    <t>01-5396</t>
  </si>
  <si>
    <t>CHIRINOS, RAFAEL/CESTA TICKET JUNIO/OPER</t>
  </si>
  <si>
    <t>01-5397</t>
  </si>
  <si>
    <t>ALVARADO, EDID/CESTA TICKET JUNIO/OPER</t>
  </si>
  <si>
    <t>01-5398</t>
  </si>
  <si>
    <t>BASTIDA, JOSE/CESTA TICKET JUNIO/OPER</t>
  </si>
  <si>
    <t>01-5399</t>
  </si>
  <si>
    <t>DAZA, VICTOR/CESTA TICKET JUNIO/OPER</t>
  </si>
  <si>
    <t>01-5400</t>
  </si>
  <si>
    <t>DURAN, MARIA/CESTA TICKET JUNIO/OPER</t>
  </si>
  <si>
    <t>01-5401</t>
  </si>
  <si>
    <t>GARCIA, JASON/CESTA TICKET JUNIO/OPER</t>
  </si>
  <si>
    <t>01-5402</t>
  </si>
  <si>
    <t>GOMEZ,ARGENIS/CESTA TICKET JUNIO/OPER</t>
  </si>
  <si>
    <t>01-5403</t>
  </si>
  <si>
    <t>GUEDEZ,JOSE/CESTA TICKET JUNIO/OPER</t>
  </si>
  <si>
    <t>01-5404</t>
  </si>
  <si>
    <t>01-5405</t>
  </si>
  <si>
    <t>GUTIERREZ, PRESCILIANO/CESTA TICKET JUNIO/OPER</t>
  </si>
  <si>
    <t>01-5406</t>
  </si>
  <si>
    <t>LINAREZ, PEDRO/CESTA TICKET JUNIO/OPER</t>
  </si>
  <si>
    <t>01-5407</t>
  </si>
  <si>
    <t>LINAREZ, SANTIAGO/CESTA TICKET JUNIO/OPER</t>
  </si>
  <si>
    <t>01-5408</t>
  </si>
  <si>
    <t>LOPEZ ,MANOLO/CESTA TICKET JUNIO/ADM</t>
  </si>
  <si>
    <t>01-5409</t>
  </si>
  <si>
    <t>MARTINEZ JUAN/CESTA TICKET JUNIO/OPER</t>
  </si>
  <si>
    <t>01-5410</t>
  </si>
  <si>
    <t>NOGUERA, OSCAR/CESTA TICKET JUNIO/OPER</t>
  </si>
  <si>
    <t>01-5411</t>
  </si>
  <si>
    <t>PEREZ, JOSE ROLANDO/CESTA TICKET JUNIO/OPER</t>
  </si>
  <si>
    <t>01-5412</t>
  </si>
  <si>
    <t>PARADA,KEIBY/CESTA TICKET JUNIO/OPER</t>
  </si>
  <si>
    <t>01-5413</t>
  </si>
  <si>
    <t>MENDOZA,ANTONY/CESTA TICKET JUNIO/OPER</t>
  </si>
  <si>
    <t>01-5414</t>
  </si>
  <si>
    <t>PEREZ, CARLOS/CESTA TICKET JUNIO/OPER</t>
  </si>
  <si>
    <t>01-5415</t>
  </si>
  <si>
    <t>QUERALES ,EDIXON/CESTA TICKET JUNIO/OPER</t>
  </si>
  <si>
    <t>01-5416</t>
  </si>
  <si>
    <t>QUERALES, HERMES/CESTA TICKET JUNIO/OPER</t>
  </si>
  <si>
    <t>01-5417</t>
  </si>
  <si>
    <t>RAGA NELIDO/CESTA TICKET JUNIO/ADM</t>
  </si>
  <si>
    <t>01-5418</t>
  </si>
  <si>
    <t>RANGEL GUSTAVO/CESTA TICKET JUNIO/ADM</t>
  </si>
  <si>
    <t>01-5419</t>
  </si>
  <si>
    <t>REVERON, RAMON/CESTA TICKET JUNIO/OPER</t>
  </si>
  <si>
    <t>01-5420</t>
  </si>
  <si>
    <t>RIVERO, JORGE/CESTA TICKET JUNIO/OPER</t>
  </si>
  <si>
    <t>01-5421</t>
  </si>
  <si>
    <t>RODRIGUEZ ANSONNY/CESTA TICKET JUNIO/OPER</t>
  </si>
  <si>
    <t>01-5422</t>
  </si>
  <si>
    <t>RODRIGUEZ, MIGUEL/CESTA TICKET JUNIO/OPER</t>
  </si>
  <si>
    <t>01-5423</t>
  </si>
  <si>
    <t>ROJAS MARIA/CESTA TICKET JUNIO/OPER</t>
  </si>
  <si>
    <t>01-5424</t>
  </si>
  <si>
    <t>SEGURA ,WAILEN/CESTA TICKET JUNIO/OPER</t>
  </si>
  <si>
    <t>01-5425</t>
  </si>
  <si>
    <t>SOTELDO, LUSMAR/CESTA TICKET JUNIO/OPER</t>
  </si>
  <si>
    <t>01-5426</t>
  </si>
  <si>
    <t>SUAREZ, RAFAEL/CESTA TICKET JUNIO/OPER</t>
  </si>
  <si>
    <t>01-5427</t>
  </si>
  <si>
    <t>VETANCOURT, BLIXANDER/CESTA TICKET JUNIO/ADM</t>
  </si>
  <si>
    <t>01-5428</t>
  </si>
  <si>
    <t>VIELMA CARLEN/CESTA TICKET JUNIO/ADM</t>
  </si>
  <si>
    <t>01-5429</t>
  </si>
  <si>
    <t>ALEJOS, RODOLFO/NOMINA 30-06-25/OPER</t>
  </si>
  <si>
    <t>01-5430</t>
  </si>
  <si>
    <t>ALMAO,GENESIS/NOMINA 30-06-25/ADM</t>
  </si>
  <si>
    <t>01-5431</t>
  </si>
  <si>
    <t>ALVARADO, EDID/NOMINA 30-06-25/OPER</t>
  </si>
  <si>
    <t>01-5432</t>
  </si>
  <si>
    <t>BASTIDA, JOSE/NOMINA 30-06-25/OPER</t>
  </si>
  <si>
    <t>01-5433</t>
  </si>
  <si>
    <t>CHIRINOS, RAFAEL/NOMINA 30-06-25/OPER</t>
  </si>
  <si>
    <t>01-5434</t>
  </si>
  <si>
    <t>DAZA, VICTOR/NOMINA 30-06-25/OPER</t>
  </si>
  <si>
    <t>01-5435</t>
  </si>
  <si>
    <t>GOMEZ,ARGENIS/NOMINA 30-06-25/OPER</t>
  </si>
  <si>
    <t>01-5436</t>
  </si>
  <si>
    <t>GARCIA, JASON/NOMINA 30-06-25/OPER</t>
  </si>
  <si>
    <t>01-5437</t>
  </si>
  <si>
    <t>DURAN, MARIA/NOMINA 30-06-25/OPER</t>
  </si>
  <si>
    <t>01-5438</t>
  </si>
  <si>
    <t>GUEDEZ,YIRMER/NOMINA 30-06-25/OPER</t>
  </si>
  <si>
    <t>01-5439</t>
  </si>
  <si>
    <t>GUTIERREZ, PRESCILIANO/NOMINA 30-06-25/OPER</t>
  </si>
  <si>
    <t>01-5440</t>
  </si>
  <si>
    <t>LINAREZ, PEDRO/NOMINA 30-06-25/OPER</t>
  </si>
  <si>
    <t>01-5441</t>
  </si>
  <si>
    <t>LINAREZ, SANTIAGO/NOMINA 30-06-25/OPER</t>
  </si>
  <si>
    <t>01-5442</t>
  </si>
  <si>
    <t>LOPEZ ,MANOLO/NOMINA 30-06-25/ADM</t>
  </si>
  <si>
    <t>01-5443</t>
  </si>
  <si>
    <t>MARTINEZ JUAN/NOMINA 30-06-25/OPER</t>
  </si>
  <si>
    <t>01-5444</t>
  </si>
  <si>
    <t>NOGUERA, OSCAR/NOMINA 30-06-25/OPER</t>
  </si>
  <si>
    <t>01-5445</t>
  </si>
  <si>
    <t>GUEDEZ,JOSE/NOMINA 30-06-25/OPER</t>
  </si>
  <si>
    <t>01-5446</t>
  </si>
  <si>
    <t>PEREZ, JOSE ROLANDO/NOMINA 30-06-25/OPER</t>
  </si>
  <si>
    <t>01-5447</t>
  </si>
  <si>
    <t>MENDOZA,ANTONY/NOMINA 30-06-25/OPER</t>
  </si>
  <si>
    <t>01-5448</t>
  </si>
  <si>
    <t>PEREZ, CARLOS/NOMINA 30-06-25/OPER</t>
  </si>
  <si>
    <t>01-5449</t>
  </si>
  <si>
    <t>QUERALES ,EDIXON/NOMINA 30-06-25/OPER</t>
  </si>
  <si>
    <t>01-5450</t>
  </si>
  <si>
    <t>PARADA,KEIBY/NOMINA 30-06-25/OPER</t>
  </si>
  <si>
    <t>01-5451</t>
  </si>
  <si>
    <t>QUERALES, HERMES/NOMINA 30-06-25/OPER</t>
  </si>
  <si>
    <t>01-5452</t>
  </si>
  <si>
    <t>RANGEL GUSTAVO/NOMINA 30-06-25/ADM</t>
  </si>
  <si>
    <t>01-5453</t>
  </si>
  <si>
    <t>REVERON, RAMON/NOMINA 30-06-25/OPER</t>
  </si>
  <si>
    <t>01-5454</t>
  </si>
  <si>
    <t>RIVERO, JORGE/NOMINA 30-06-25/OPER</t>
  </si>
  <si>
    <t>01-5455</t>
  </si>
  <si>
    <t>RODRIGUEZ ANSONNY/NOMINA 30-06-25/OPER</t>
  </si>
  <si>
    <t>01-5456</t>
  </si>
  <si>
    <t>RODRIGUEZ, MIGUEL/NOMINA 30-06-25/OPER</t>
  </si>
  <si>
    <t>01-5457</t>
  </si>
  <si>
    <t>ROJAS MARIA/NOMINA 30-06-25/OPER</t>
  </si>
  <si>
    <t>01-5458</t>
  </si>
  <si>
    <t>SEGURA ,WAILEN/NOMINA 30-06-25/OPER</t>
  </si>
  <si>
    <t>01-5459</t>
  </si>
  <si>
    <t>SOTELDO, LUSMAR/NOMINA 30-06-25/OPER</t>
  </si>
  <si>
    <t>01-5460</t>
  </si>
  <si>
    <t>SUAREZ, RAFAEL/NOMINA 30-06-25/OPER</t>
  </si>
  <si>
    <t>01-5461</t>
  </si>
  <si>
    <t>VETANCOURT, BLIXANDER/NOMINA 30-06-25/ADM</t>
  </si>
  <si>
    <t>01-5462</t>
  </si>
  <si>
    <t>VIELMA CARLEN/NOMINA 30-06-25/ADM</t>
  </si>
  <si>
    <t>01-5463</t>
  </si>
  <si>
    <t>RANGEL GUSTAVO/BONO SUBSIDIO 30-06-25/ADM</t>
  </si>
  <si>
    <t>01-5464</t>
  </si>
  <si>
    <t>REVERON, RAMON/BONO SUBSIDIO 30-06-25/OPER</t>
  </si>
  <si>
    <t>01-5465</t>
  </si>
  <si>
    <t>MARTINEZ JUAN/BONO SUBSIDIO 30-06-25/OPER</t>
  </si>
  <si>
    <t>01-5466</t>
  </si>
  <si>
    <t>GARCIA, JASON/BONO SUBSIDIO 30-06-25/OPER</t>
  </si>
  <si>
    <t>01-5467</t>
  </si>
  <si>
    <t>SEGURA ,WAILEN/BONO SUBSIDIO 30-06-25/OPER</t>
  </si>
  <si>
    <t>01-5468</t>
  </si>
  <si>
    <t>PEREZ, CARLOS/BONO SUBSIDIO 30-06-25/OPER</t>
  </si>
  <si>
    <t>01-5469</t>
  </si>
  <si>
    <t>LINAREZ, PEDRO/BONO SUBSIDIO 30-06-25/OPER</t>
  </si>
  <si>
    <t>01-5470</t>
  </si>
  <si>
    <t>VIELMA CARLEN/BONO SUBSIDIO 30-06-25/ADM</t>
  </si>
  <si>
    <t>01-5471</t>
  </si>
  <si>
    <t>GUTIERREZ, PRESCILIANO/BONO SUBSIDIO 30-06-25/OPER</t>
  </si>
  <si>
    <t>01-5472</t>
  </si>
  <si>
    <t>RAGA NELIDO/BONO SUBSIDIO 30-06-25/ADM</t>
  </si>
  <si>
    <t>01-5473</t>
  </si>
  <si>
    <t>SUAREZ, RAFAEL/BONO SUBSIDIO 30-06-25/OPER</t>
  </si>
  <si>
    <t>01-5474</t>
  </si>
  <si>
    <t>RIVERO, JORGE/BONO SUBSIDIO 30-06-25/OPER</t>
  </si>
  <si>
    <t>01-5475</t>
  </si>
  <si>
    <t>VETANCOURT, BLIXANDER/BONO SUBSIDIO 30-06-25/ADM</t>
  </si>
  <si>
    <t>01-5476</t>
  </si>
  <si>
    <t>RODRIGUEZ, MIGUEL/BONO SUBSIDIO 30-06-25/OPER</t>
  </si>
  <si>
    <t>01-5477</t>
  </si>
  <si>
    <t>LINAREZ, SANTIAGO/BONO SUBSIDIO 30-06-25/OPER</t>
  </si>
  <si>
    <t>01-5478</t>
  </si>
  <si>
    <t>BASTIDA, JOSE/BONO SUBSIDIO 30-06-25/OPER</t>
  </si>
  <si>
    <t>01-5479</t>
  </si>
  <si>
    <t>CHIRINOS, RAFAEL/BONO SUBSIDIO 30-06-25/OPER</t>
  </si>
  <si>
    <t>01-5480</t>
  </si>
  <si>
    <t>ALEJOS, RODOLFO/BONO SUBSIDIO 30-06-25/OPER</t>
  </si>
  <si>
    <t>01-5481</t>
  </si>
  <si>
    <t>DAZA, VICTOR/BONO SUBSIDIO 30-06-25/OPER</t>
  </si>
  <si>
    <t>01-5482</t>
  </si>
  <si>
    <t>01-5483</t>
  </si>
  <si>
    <t>01-5484</t>
  </si>
  <si>
    <t>PARADA,KEIBY/BONO COMPLE 30-06-25/OPER</t>
  </si>
  <si>
    <t>01-5485</t>
  </si>
  <si>
    <t>RAGA NELIDO/NOMINA 30-06-25/ADM</t>
  </si>
  <si>
    <t>01-5486</t>
  </si>
  <si>
    <t>ALMAO,GENESIS/CESTA TICKET JUNIO/ADM</t>
  </si>
  <si>
    <t>01-5487</t>
  </si>
  <si>
    <t>01-5488</t>
  </si>
  <si>
    <t>01-5489</t>
  </si>
  <si>
    <t>01-5490</t>
  </si>
  <si>
    <t>COM MANTENIMIENTO DE CUENTA</t>
  </si>
  <si>
    <t>01-5491</t>
  </si>
  <si>
    <t>0329207759698</t>
  </si>
  <si>
    <t>01-5492</t>
  </si>
  <si>
    <t>0329207799984</t>
  </si>
  <si>
    <t>01-5493</t>
  </si>
  <si>
    <t>LUCAS LOYO/ADELANT FACT/30RINES-CAMIONES KAMAZ</t>
  </si>
  <si>
    <t>01-5494</t>
  </si>
  <si>
    <t xml:space="preserve">INVERSIONES Y MATERIALES PARRA/ FACT 769/ REPUESTOS </t>
  </si>
  <si>
    <t>01-5495</t>
  </si>
  <si>
    <t>01-5496</t>
  </si>
  <si>
    <t>INTERELECTRONIC/FACT414/BOMBILLOS-CAMIONES MINERALES</t>
  </si>
  <si>
    <t>01-5497</t>
  </si>
  <si>
    <t>INTERELECTRONIC INDUSTRIAL /FACT 415/CABLE 2</t>
  </si>
  <si>
    <t>01-5498</t>
  </si>
  <si>
    <t>DUMINISTROS INDUSTRIALES DEL OESTE /FACT 069/CABLE 16</t>
  </si>
  <si>
    <t>01-5499</t>
  </si>
  <si>
    <t>01-5500</t>
  </si>
  <si>
    <t>01-5501</t>
  </si>
  <si>
    <t>01-5502</t>
  </si>
  <si>
    <t>01-5503</t>
  </si>
  <si>
    <t>01-5504</t>
  </si>
  <si>
    <t>01-5505</t>
  </si>
  <si>
    <t>0329208031482</t>
  </si>
  <si>
    <t>01-5506</t>
  </si>
  <si>
    <t>HUMBERTO FRANCO/FACT202/INSTALACION CABLE P/CEMENTO</t>
  </si>
  <si>
    <t>01-5507</t>
  </si>
  <si>
    <t>01-5508</t>
  </si>
  <si>
    <t>01-5509</t>
  </si>
  <si>
    <t xml:space="preserve">HENCARD CONSTRUCCIONE/FACT 616/INSTA-PROGRA-SISTEMA CONTROL P/SINCRONISMO Y DISTRIB </t>
  </si>
  <si>
    <t>01-5510</t>
  </si>
  <si>
    <t>01-5511</t>
  </si>
  <si>
    <t>LUZBARDO ANTONIO ESPINOZA GOYO/FACT 000116/MATERIALES ELCTRICOS</t>
  </si>
  <si>
    <t>01-5512</t>
  </si>
  <si>
    <t>01-5513</t>
  </si>
  <si>
    <t>01-5514</t>
  </si>
  <si>
    <t>01-5515</t>
  </si>
  <si>
    <t>01-5516</t>
  </si>
  <si>
    <t>01-5517</t>
  </si>
  <si>
    <t>01-5518</t>
  </si>
  <si>
    <t>GLOBAL ACEROS, C.A/FACT 0049/PLANTA DE CEMENTO</t>
  </si>
  <si>
    <t>01-5519</t>
  </si>
  <si>
    <t>01-5520</t>
  </si>
  <si>
    <t>CARLOS VALDEZ/ADELAN FACT/30 CAUCHOS MDDA 315</t>
  </si>
  <si>
    <t>01-5521</t>
  </si>
  <si>
    <t>01-5522</t>
  </si>
  <si>
    <t>PAGO A PROVEEDORES LOTE 000000030975903</t>
  </si>
  <si>
    <t>01-5523</t>
  </si>
  <si>
    <t>01-5524</t>
  </si>
  <si>
    <t>FERRENOVA/FACT2006/INV P/BARANDA,ESCALERAS,PLATA-SEGURIDAD,EDIF,MP Y MOLINO-PLANTA CEMENTO</t>
  </si>
  <si>
    <t>01-5525</t>
  </si>
  <si>
    <t>01-5526</t>
  </si>
  <si>
    <t>01-5527</t>
  </si>
  <si>
    <t>01-5528</t>
  </si>
  <si>
    <t>-8.055,98</t>
  </si>
  <si>
    <t>01-5529</t>
  </si>
  <si>
    <t>-500,00</t>
  </si>
  <si>
    <t>01-5530</t>
  </si>
  <si>
    <t>01-5531</t>
  </si>
  <si>
    <t>01-5532</t>
  </si>
  <si>
    <t>-135,67</t>
  </si>
  <si>
    <t>01-5533</t>
  </si>
  <si>
    <t>01-5534</t>
  </si>
  <si>
    <t>01-5535</t>
  </si>
  <si>
    <t>-20,13</t>
  </si>
  <si>
    <t>01-5536</t>
  </si>
  <si>
    <t>01-5537</t>
  </si>
  <si>
    <t>01-5538</t>
  </si>
  <si>
    <t>01-5539</t>
  </si>
  <si>
    <t>01-5540</t>
  </si>
  <si>
    <t>-38,71</t>
  </si>
  <si>
    <t>01-5541</t>
  </si>
  <si>
    <t>01-5542</t>
  </si>
  <si>
    <t>-64,16</t>
  </si>
  <si>
    <t>01-5543</t>
  </si>
  <si>
    <t>01-5544</t>
  </si>
  <si>
    <t>01-5545</t>
  </si>
  <si>
    <t>01-5546</t>
  </si>
  <si>
    <t>-491,02</t>
  </si>
  <si>
    <t>01-5547</t>
  </si>
  <si>
    <t>-160,00</t>
  </si>
  <si>
    <t>01-5548</t>
  </si>
  <si>
    <t>-435,69</t>
  </si>
  <si>
    <t>01-5549</t>
  </si>
  <si>
    <t>01-5550</t>
  </si>
  <si>
    <t>01-5551</t>
  </si>
  <si>
    <t>01-5552</t>
  </si>
  <si>
    <t>0329208179619</t>
  </si>
  <si>
    <t>01-5553</t>
  </si>
  <si>
    <t>LUCAS LOYO/20 RINES-CAMIONES KAMAZ-PLANTA CEMENTO</t>
  </si>
  <si>
    <t>01-5554</t>
  </si>
  <si>
    <t>GLOBAL ACERO/FACT 32/P/BARANDA-ESCALERA-PLATAFORMA-MATERIA PRIMA MOLINO</t>
  </si>
  <si>
    <t>01-5555</t>
  </si>
  <si>
    <t>01-5556</t>
  </si>
  <si>
    <t>CORPORACION ERDS INDUSTRIAL S.A/FACT 00001852/Inversiones, herramientas</t>
  </si>
  <si>
    <t>01-5557</t>
  </si>
  <si>
    <t>01-5558</t>
  </si>
  <si>
    <t>01-5559</t>
  </si>
  <si>
    <t>01-5560</t>
  </si>
  <si>
    <t>01-5561</t>
  </si>
  <si>
    <t>01-5562</t>
  </si>
  <si>
    <t>01-5563</t>
  </si>
  <si>
    <t>01-5564</t>
  </si>
  <si>
    <t>01-5565</t>
  </si>
  <si>
    <t>01-5566</t>
  </si>
  <si>
    <t>01-5567</t>
  </si>
  <si>
    <t>0828678760541</t>
  </si>
  <si>
    <t xml:space="preserve">BANAVIH/PERIODO MAYO 2025               </t>
  </si>
  <si>
    <t>01-5568</t>
  </si>
  <si>
    <t>03-040625</t>
  </si>
  <si>
    <t>0100778763771</t>
  </si>
  <si>
    <t xml:space="preserve">IVSS/PERIODO MAYO 2025                       </t>
  </si>
  <si>
    <t>01-5569</t>
  </si>
  <si>
    <t>0329208336943</t>
  </si>
  <si>
    <t>01-5570</t>
  </si>
  <si>
    <t>FERRE MATERIALES REMI C.A/FACT 000253/TUBOS PARA EL PERSONAL HINDU</t>
  </si>
  <si>
    <t>-92.995,12</t>
  </si>
  <si>
    <t>01-5571</t>
  </si>
  <si>
    <t>RODA MANGUERAS CHIVACOA C.A./ FACT0001965/MANGUERA Y ANILLOS</t>
  </si>
  <si>
    <t>-7.000,00</t>
  </si>
  <si>
    <t>01-5572</t>
  </si>
  <si>
    <t>TRACTO AUTO CA/FACT 000007718/BUJE/MINERLES</t>
  </si>
  <si>
    <t>-84.718,74</t>
  </si>
  <si>
    <t>01-5573</t>
  </si>
  <si>
    <t>MAQUIMAT CASTILLO/FACT 000661/ENGRANAJE</t>
  </si>
  <si>
    <t>-33.481,80</t>
  </si>
  <si>
    <t>01-5574</t>
  </si>
  <si>
    <t>-200.000,00</t>
  </si>
  <si>
    <t>01-5575</t>
  </si>
  <si>
    <t>-42.789,80</t>
  </si>
  <si>
    <t>01-5576</t>
  </si>
  <si>
    <t>-232,48</t>
  </si>
  <si>
    <t>01-5577</t>
  </si>
  <si>
    <t>-211,79</t>
  </si>
  <si>
    <t>01-5578</t>
  </si>
  <si>
    <t>-17,50</t>
  </si>
  <si>
    <t>01-5579</t>
  </si>
  <si>
    <t>01-5580</t>
  </si>
  <si>
    <t>-106,97</t>
  </si>
  <si>
    <t>01-5581</t>
  </si>
  <si>
    <t>-83,70</t>
  </si>
  <si>
    <t>01-5582</t>
  </si>
  <si>
    <t>0329208435580</t>
  </si>
  <si>
    <t>01-5583</t>
  </si>
  <si>
    <t>0329208436447</t>
  </si>
  <si>
    <t>01-5584</t>
  </si>
  <si>
    <t>0329208555850</t>
  </si>
  <si>
    <t>01-5585</t>
  </si>
  <si>
    <t>TRANSPORTE Y COMERCIALIAZADORA NJG/FACT 000871/INSUMOS DE LIMPIEZA</t>
  </si>
  <si>
    <t>01-5586</t>
  </si>
  <si>
    <t>EMPRENDIMIENTO DIOSANNY ALVAREZ/FACT 321/ALMUERZOS</t>
  </si>
  <si>
    <t>01-5587</t>
  </si>
  <si>
    <t>MULTISERVICIOS WYR/ADELANT FACT/INSTAL MOTOR CUMMIS CAMION VOLTEO-MINERALES</t>
  </si>
  <si>
    <t>01-5588</t>
  </si>
  <si>
    <t xml:space="preserve">LUZBARDO ESPINOZA/FACT 119/INSTALA ELECTRICA GALPON TOLVA Y MOLINA </t>
  </si>
  <si>
    <t>01-5589</t>
  </si>
  <si>
    <t>DANNY URRUTIA/CAMPAÑA YESO 02/06 AL 06/06 OPERADORES</t>
  </si>
  <si>
    <t>01-5590</t>
  </si>
  <si>
    <t>01-5591</t>
  </si>
  <si>
    <t>12-060625</t>
  </si>
  <si>
    <t>MI BRIWNIE/ FACT 2788-2791/TORTA DE CUMPLEAÑOS DEL MES</t>
  </si>
  <si>
    <t>01-5592</t>
  </si>
  <si>
    <t>TRACTO AUTO/FACT7722/INVER STOCK REPUEST MINERALES</t>
  </si>
  <si>
    <t>01-5593</t>
  </si>
  <si>
    <t>PROCESADO EN JULIO</t>
  </si>
  <si>
    <t>MAQUINA CASTILLO / FACT 00062/ BOMBA HIDRAULICA</t>
  </si>
  <si>
    <t>01-5594</t>
  </si>
  <si>
    <t>JEFFERSON DAVILA/CAMPAÑA YESO 02/06 AL 06/06 OPERADORES</t>
  </si>
  <si>
    <t>01-5595</t>
  </si>
  <si>
    <t>BEATRIZ CASTILLO/CAMPAÑA YESO 02/06 AL 06/06 OPERADORES</t>
  </si>
  <si>
    <t>01-5596</t>
  </si>
  <si>
    <t>01-5597</t>
  </si>
  <si>
    <t>RAMON QUIROGAS/CAMPAÑA YESO 02/06 AL 06/06 OPERADORES</t>
  </si>
  <si>
    <t>01-5598</t>
  </si>
  <si>
    <t>01-5599</t>
  </si>
  <si>
    <t>01-5600</t>
  </si>
  <si>
    <t>INVER REMI/FACT271/P/MTTO VEHICULO-MINERALES</t>
  </si>
  <si>
    <t>01-5601</t>
  </si>
  <si>
    <t xml:space="preserve">TOTAL TOOLS BARQUISIMETO /FACT 2753/ Herramienta para limpiar los trompos </t>
  </si>
  <si>
    <t>01-5602</t>
  </si>
  <si>
    <t>DR.TORNILLO/FACT00009686/SUMINISTROS DE TORNILLOS DE CAMION</t>
  </si>
  <si>
    <t>01-5603</t>
  </si>
  <si>
    <t>ANDRES MELENDEZ/CAMPAÑA YESO 02/06 AL 06/06-YESO CAMP ELIAS Y CALIZAS</t>
  </si>
  <si>
    <t>01-5604</t>
  </si>
  <si>
    <t>DOMINIO VIRGUEZ/CAMPAÑA YESO 02/06 AL 06/06-YESO CAMP ELIAS Y CALIZAS</t>
  </si>
  <si>
    <t>01-5605</t>
  </si>
  <si>
    <t>LINOS FLOREZ/CAMPAÑA YESO 02/06 AL 06/06-YESO CAMP ELIAS Y CALIZAS</t>
  </si>
  <si>
    <t>01-5606</t>
  </si>
  <si>
    <t>HONORARIOS PROFESIONALES SINELEC FABRICANTE TRANSFORMADOR ELEVADOR</t>
  </si>
  <si>
    <t>01-5607</t>
  </si>
  <si>
    <t>38-060625</t>
  </si>
  <si>
    <t>EMPRENDIMIENTO NEXI VELANDIA/FACT 000014/ REPARACION Y LAVADO</t>
  </si>
  <si>
    <t>01-5608</t>
  </si>
  <si>
    <t>TRANSPORTE Y COMERCIALIAZADORA NIG/FACT 000874/SEÑALIZACION DE EXTINTORES</t>
  </si>
  <si>
    <t>01-5609</t>
  </si>
  <si>
    <t>01-5610</t>
  </si>
  <si>
    <t>01-5611</t>
  </si>
  <si>
    <t>01-5612</t>
  </si>
  <si>
    <t>JOSE CASTILLO/CAMPAÑA YESO 02/06 AL 06/06-YESO CAMP ELIAS Y CALIZAS</t>
  </si>
  <si>
    <t>01-5613</t>
  </si>
  <si>
    <t>NORY RAMOS/RESFRIGERIO TOPOGRAFO/CAMPAÑA YESO 02/06 AL 06/06-YESO CAMP ELIAS Y CALIZAS</t>
  </si>
  <si>
    <t>01-5614</t>
  </si>
  <si>
    <t>13-060625</t>
  </si>
  <si>
    <t>SERVICIO Y MANTENIMIENTO INDUSTRIA/FACT 3875/ANALISIS DE MUESTRA DE SUELO</t>
  </si>
  <si>
    <t>01-5615</t>
  </si>
  <si>
    <t>01-5616</t>
  </si>
  <si>
    <t>01-5617</t>
  </si>
  <si>
    <t>ALBERTO JOSE SUAREZ CASTRO/ FACT 002578/BOMBA DE INYECCION</t>
  </si>
  <si>
    <t>01-5618</t>
  </si>
  <si>
    <t>OLGA OROZCO/HOSPEDAJE OPERADORES</t>
  </si>
  <si>
    <t>01-5619</t>
  </si>
  <si>
    <t>45-060625</t>
  </si>
  <si>
    <t>01-5620</t>
  </si>
  <si>
    <t>01-5621</t>
  </si>
  <si>
    <t>01-5622</t>
  </si>
  <si>
    <t>01-5623</t>
  </si>
  <si>
    <t>01-5624</t>
  </si>
  <si>
    <t>01-5625</t>
  </si>
  <si>
    <t>01-5626</t>
  </si>
  <si>
    <t>01-5627</t>
  </si>
  <si>
    <t>01-5628</t>
  </si>
  <si>
    <t>01-5629</t>
  </si>
  <si>
    <t>01-5630</t>
  </si>
  <si>
    <t>01-5631</t>
  </si>
  <si>
    <t>01-5632</t>
  </si>
  <si>
    <t>01-5633</t>
  </si>
  <si>
    <t>01-5634</t>
  </si>
  <si>
    <t>01-5635</t>
  </si>
  <si>
    <t>01-5636</t>
  </si>
  <si>
    <t>01-5637</t>
  </si>
  <si>
    <t>01-5638</t>
  </si>
  <si>
    <t>01-5639</t>
  </si>
  <si>
    <t>01-5640</t>
  </si>
  <si>
    <t>01-5641</t>
  </si>
  <si>
    <t>01-5642</t>
  </si>
  <si>
    <t>01-5643</t>
  </si>
  <si>
    <t>01-5644</t>
  </si>
  <si>
    <t>01-5645</t>
  </si>
  <si>
    <t>01-5646</t>
  </si>
  <si>
    <t>01-5647</t>
  </si>
  <si>
    <t>01-5648</t>
  </si>
  <si>
    <t>01-5649</t>
  </si>
  <si>
    <t>01-5650</t>
  </si>
  <si>
    <t>01-5651</t>
  </si>
  <si>
    <t>01-5652</t>
  </si>
  <si>
    <t>01-5653</t>
  </si>
  <si>
    <t>0329208715177</t>
  </si>
  <si>
    <t>01-5654</t>
  </si>
  <si>
    <t>HOME CARE/FACT 00009523/CERA NEUTRA</t>
  </si>
  <si>
    <t>01-5655</t>
  </si>
  <si>
    <t xml:space="preserve">DISTRIBUIDORA DIAR / FACT 00000754/ ACEITE RETRO EXCAVADORA </t>
  </si>
  <si>
    <t>01-5656</t>
  </si>
  <si>
    <t>LISO/FACT 000612/ALQUILER DE MARTILLO PROCESO DE YESO</t>
  </si>
  <si>
    <t>01-5657</t>
  </si>
  <si>
    <t>MAXIPARTES C&amp;G/BORNES P/CAMIONES-MINERALES</t>
  </si>
  <si>
    <t>01-5658</t>
  </si>
  <si>
    <t xml:space="preserve">MULTISERVICIOS WYR/FACT33/INSTLA MOTOR CUMMINS-CARGADOR FRONTAL HYUNDAI </t>
  </si>
  <si>
    <t>01-5659</t>
  </si>
  <si>
    <t xml:space="preserve">GRUPO NEZCO/FACT 2846/EXTINTORES P/MINERALES </t>
  </si>
  <si>
    <t>01-5660</t>
  </si>
  <si>
    <t>01-5661</t>
  </si>
  <si>
    <t>NR INDUSTRIAL /FACT 0000006351/EQUIPO DE PROTECCION</t>
  </si>
  <si>
    <t>01-5662</t>
  </si>
  <si>
    <t>01-5663</t>
  </si>
  <si>
    <t>01-5664</t>
  </si>
  <si>
    <t>01-5665</t>
  </si>
  <si>
    <t>01-5666</t>
  </si>
  <si>
    <t>01-5667</t>
  </si>
  <si>
    <t>01-5668</t>
  </si>
  <si>
    <t>01-5669</t>
  </si>
  <si>
    <t>01-5670</t>
  </si>
  <si>
    <t>01-5671</t>
  </si>
  <si>
    <t>01-5672</t>
  </si>
  <si>
    <t>0329210388234</t>
  </si>
  <si>
    <t>01-5673</t>
  </si>
  <si>
    <t>01-5674</t>
  </si>
  <si>
    <t>01-5675</t>
  </si>
  <si>
    <t>FERRE REMI/FACT260/Tubos-Hindu P/CEMENTO</t>
  </si>
  <si>
    <t>01-5676</t>
  </si>
  <si>
    <t>01-5677</t>
  </si>
  <si>
    <t xml:space="preserve">SULGAR/ADELAN FACT/SUMINIST INSTAL DUCTERIA LAMINAS GALVANIZADA CALIBRE 20-22-ANCLAJE-SISTEMA VENTILACION TUNEL MP TUNELCLINKER </t>
  </si>
  <si>
    <t>01-5678</t>
  </si>
  <si>
    <t>01-5679</t>
  </si>
  <si>
    <t>01-5680</t>
  </si>
  <si>
    <t>01-5681</t>
  </si>
  <si>
    <t>01-5682</t>
  </si>
  <si>
    <t>01-5683</t>
  </si>
  <si>
    <t>01-5684</t>
  </si>
  <si>
    <t>01-5685</t>
  </si>
  <si>
    <t>01-5686</t>
  </si>
  <si>
    <t>01-5687</t>
  </si>
  <si>
    <t>01-5688</t>
  </si>
  <si>
    <t>01-5689</t>
  </si>
  <si>
    <t>RENY PEREZ/FACT 6039/SIKAGROUT-HINDU-CEMENTERA</t>
  </si>
  <si>
    <t>01-5690</t>
  </si>
  <si>
    <t>01-5691</t>
  </si>
  <si>
    <t>EL MIO CARRO/FACT 5211/ACEITEA DEXRON-P/MINERALES</t>
  </si>
  <si>
    <t>01-5692</t>
  </si>
  <si>
    <t>01-5693</t>
  </si>
  <si>
    <t>01-5694</t>
  </si>
  <si>
    <t>01-5695</t>
  </si>
  <si>
    <t>01-5696</t>
  </si>
  <si>
    <t>01-5697</t>
  </si>
  <si>
    <t>01-5698</t>
  </si>
  <si>
    <t>01-5699</t>
  </si>
  <si>
    <t>01-5700</t>
  </si>
  <si>
    <t>01-5701</t>
  </si>
  <si>
    <t>01-5702</t>
  </si>
  <si>
    <t>01-5703</t>
  </si>
  <si>
    <t>01-5704</t>
  </si>
  <si>
    <t>01-5705</t>
  </si>
  <si>
    <t>01-5706</t>
  </si>
  <si>
    <t>01-5707</t>
  </si>
  <si>
    <t>01-5708</t>
  </si>
  <si>
    <t>01-5709</t>
  </si>
  <si>
    <t>01-5710</t>
  </si>
  <si>
    <t>01-5711</t>
  </si>
  <si>
    <t>01-5712</t>
  </si>
  <si>
    <t>01-5713</t>
  </si>
  <si>
    <t>01-5714</t>
  </si>
  <si>
    <t>01-5715</t>
  </si>
  <si>
    <t>01-5716</t>
  </si>
  <si>
    <t>01-5717</t>
  </si>
  <si>
    <t>0329210614668</t>
  </si>
  <si>
    <t>01-5718</t>
  </si>
  <si>
    <t xml:space="preserve">DIAR/FACT758/ACEITE Y FILTRO </t>
  </si>
  <si>
    <t>01-5719</t>
  </si>
  <si>
    <t>FERRENOVA/FACT 2004/REQUERI P/PERSONAL HINDU-P/CEMENTO</t>
  </si>
  <si>
    <t>01-5720</t>
  </si>
  <si>
    <t>DIAR/FACT 757/ACEITE 15W40 MONERAL</t>
  </si>
  <si>
    <t>01-5721</t>
  </si>
  <si>
    <t>01-5722</t>
  </si>
  <si>
    <t>PAMPA INDUSTRIAL/FACT18739/TEIPE NEGRO P/INSTALAC ELECTRICA CAMIONES-MINERALES</t>
  </si>
  <si>
    <t>01-5723</t>
  </si>
  <si>
    <t>RESGUARDO/FACT 221/SERV VIGILANCIA 1RA QUINCENA</t>
  </si>
  <si>
    <t>01-5724</t>
  </si>
  <si>
    <t>TRACTO AUTO/FACT 7732/Voltimetro P/camiones  (minerales)</t>
  </si>
  <si>
    <t>01-5725</t>
  </si>
  <si>
    <t>01-5726</t>
  </si>
  <si>
    <t>01-5727</t>
  </si>
  <si>
    <t>01-5728</t>
  </si>
  <si>
    <t>01-5729</t>
  </si>
  <si>
    <t>01-5730</t>
  </si>
  <si>
    <t>01-5731</t>
  </si>
  <si>
    <t>01-5732</t>
  </si>
  <si>
    <t>0329210853723</t>
  </si>
  <si>
    <t>01-5733</t>
  </si>
  <si>
    <t>0429614396128</t>
  </si>
  <si>
    <t>01-5734</t>
  </si>
  <si>
    <t>LINO FLOREZ/CAMPAÑA YESO 09/06 AL 13/06-CAMP ELIAS Y CALIZA PLANTA</t>
  </si>
  <si>
    <t>01-5735</t>
  </si>
  <si>
    <t xml:space="preserve">SERV INDUSTRIAL/FACT3876/INDUSTRIAL/P/CEMENTO PROYECCION ING-TRITURACION-DISCIPLINA CIVIL </t>
  </si>
  <si>
    <t>01-5736</t>
  </si>
  <si>
    <t>33 CON 30/FACT 152/PQTE CARAMELO-DIA DEL PADRE</t>
  </si>
  <si>
    <t>01-5737</t>
  </si>
  <si>
    <t>01-5738</t>
  </si>
  <si>
    <t>12-130625</t>
  </si>
  <si>
    <t>33 CON 30/PQTE CARAMELOS CAFÉ/DIA DEL PADRE</t>
  </si>
  <si>
    <t>01-5739</t>
  </si>
  <si>
    <t>OLGA OROZCO/HOSPEDAJE OPERADOR CALIZA 09/06 AL 13/06</t>
  </si>
  <si>
    <t>01-5740</t>
  </si>
  <si>
    <t>45-130625</t>
  </si>
  <si>
    <t>01-5741</t>
  </si>
  <si>
    <t>01-5742</t>
  </si>
  <si>
    <t>LUZBARDO ESPINOSA/FACT 117/MATERIAL ELECTRICO-PANELES ELECTRICOS-REQUI HINDU</t>
  </si>
  <si>
    <t>01-5743</t>
  </si>
  <si>
    <t>DANNY URRUTIA/CAMPAÑA YESO 09/06 AL 13/06-CAMP ELIAS Y CALIZA PLANTA</t>
  </si>
  <si>
    <t>01-5744</t>
  </si>
  <si>
    <t>JEFFERSON DAVILA/OPERADORES CAMPAÑA YESO 09/06 AL 13/06</t>
  </si>
  <si>
    <t>01-5745</t>
  </si>
  <si>
    <t>JOSE CASTILLOS/CAMPAÑA YESO 09/06 AL 13/06-CAMP ELIAS Y CALIZA PLANTA</t>
  </si>
  <si>
    <t>01-5746</t>
  </si>
  <si>
    <t>FERRENOVA/FACT 2005/INV VALVULAS REQUI-HINDI P/CEMENTO</t>
  </si>
  <si>
    <t>01-5747</t>
  </si>
  <si>
    <t>ANDRES MELENDEZ/CAMPAÑA YESO 09/06 AL 13/06-CAMP ELIAS Y CALIZA PLANTA</t>
  </si>
  <si>
    <t>01-5748</t>
  </si>
  <si>
    <t>DOMINIO VIRGUEZ/CAMPAÑA YESO 09/06 AL 13/06-CAMP ELIAS Y CALIZA PLANTA</t>
  </si>
  <si>
    <t>01-5749</t>
  </si>
  <si>
    <t>RODA MANGUERA/FACT 2031/2MANGUERA P/EL EQUIPO HYUNDAI-MR</t>
  </si>
  <si>
    <t>01-5750</t>
  </si>
  <si>
    <t>NORYS RAMOS/RESFRIGERIO-CAMPAÑA YESO 09/06 AL 13/06-CAMP ELIAS Y CALIZA PLANTA</t>
  </si>
  <si>
    <t>01-5751</t>
  </si>
  <si>
    <t>13-130625</t>
  </si>
  <si>
    <t>SANTA LUCIA/FACT 5460-5461/CEMENTERA-INSTAL PIEZAS SANITARIAS-EDIF ADM</t>
  </si>
  <si>
    <t>01-5752</t>
  </si>
  <si>
    <t>01-5753</t>
  </si>
  <si>
    <t>HONORARIOS PROFESIONALES/SINELEC FABRI  TRANSFOR ELEVADOR AREA GENERACION</t>
  </si>
  <si>
    <t>01-5754</t>
  </si>
  <si>
    <t>38-130625</t>
  </si>
  <si>
    <t>BEATRIZ CASTILLO/OPERADORES CAMPAÑA YESO 09/06 AL 13/06</t>
  </si>
  <si>
    <t>01-5755</t>
  </si>
  <si>
    <t>RAMON QUIROGAS/OPERADORES CAMPAÑA YESO 09/06 AL 13/06</t>
  </si>
  <si>
    <t>01-5756</t>
  </si>
  <si>
    <t>01-5757</t>
  </si>
  <si>
    <t>01-5758</t>
  </si>
  <si>
    <t>01-5759</t>
  </si>
  <si>
    <t>01-5760</t>
  </si>
  <si>
    <t>01-5761</t>
  </si>
  <si>
    <t>01-5762</t>
  </si>
  <si>
    <t>01-5763</t>
  </si>
  <si>
    <t>01-5764</t>
  </si>
  <si>
    <t>01-5765</t>
  </si>
  <si>
    <t>01-5766</t>
  </si>
  <si>
    <t>01-5767</t>
  </si>
  <si>
    <t>01-5768</t>
  </si>
  <si>
    <t>01-5769</t>
  </si>
  <si>
    <t>01-5770</t>
  </si>
  <si>
    <t>01-5771</t>
  </si>
  <si>
    <t>01-5772</t>
  </si>
  <si>
    <t>01-5773</t>
  </si>
  <si>
    <t>01-5774</t>
  </si>
  <si>
    <t>01-5775</t>
  </si>
  <si>
    <t>01-5776</t>
  </si>
  <si>
    <t>01-5777</t>
  </si>
  <si>
    <t>01-5778</t>
  </si>
  <si>
    <t>01-5779</t>
  </si>
  <si>
    <t>01-5780</t>
  </si>
  <si>
    <t>0329217742542</t>
  </si>
  <si>
    <t>GRUPO EBENEZER/FACT67-68-69-70-71-72-73-74-75-76-77/VENTA/BLOQUE/CONCRETO/GRANZO</t>
  </si>
  <si>
    <t>01-5781</t>
  </si>
  <si>
    <t>VENTAS</t>
  </si>
  <si>
    <t>0329218160397</t>
  </si>
  <si>
    <t>01-5782</t>
  </si>
  <si>
    <t>JEFFERSON DAVILA/OPERADORES-CAMPAÑA YESO 23/06 AL 27/06</t>
  </si>
  <si>
    <t>01-5783</t>
  </si>
  <si>
    <t>YOHAN GUANIPA/ALMUERZO-DESAY-CENA- OPERADORES CAMPAÑA YESO 23/06 AL 27/06</t>
  </si>
  <si>
    <t>01-5784</t>
  </si>
  <si>
    <t>13-270625</t>
  </si>
  <si>
    <t>LINO FLOREZ/CAMPAÑA YESO 23/06 AL 27/06 YESO CAMPO ELIAS-CALIZA PLANTA</t>
  </si>
  <si>
    <t>01-5785</t>
  </si>
  <si>
    <t>01-5786</t>
  </si>
  <si>
    <t>MULTISERVICIOS JR/FACT 98/5LTS ACEITE-CINTURON-FILTRO-CAMB ACEITE/HILUX</t>
  </si>
  <si>
    <t>01-5787</t>
  </si>
  <si>
    <t>DOMICIO VIRGUEZ/CAMPAÑA YESO 23/06 AL 27/06 YESO CAMPO ELIAS-CALIZA PLANTA</t>
  </si>
  <si>
    <t>01-5788</t>
  </si>
  <si>
    <t>01-5789</t>
  </si>
  <si>
    <t>12-270625</t>
  </si>
  <si>
    <t>01-5790</t>
  </si>
  <si>
    <t>YAMILA COLMENAREZ/FACT 206/MINERALES-CERNIDORA</t>
  </si>
  <si>
    <t>01-5791</t>
  </si>
  <si>
    <t>JOSE CASTILLO/CAMPAÑA YESO 23/06 AL 27/06 YESO CAMPO ELIAS-CALIZA PLANTA</t>
  </si>
  <si>
    <t>01-5792</t>
  </si>
  <si>
    <t>ANDRES MENDOZA/CAMPAÑA YESO 23/06 AL 27/06 YESO CAMPO ELIAS-CALIZA PLANTA</t>
  </si>
  <si>
    <t>01-5793</t>
  </si>
  <si>
    <t>ROBERT ARIAS/OPERADORES-CAMPAÑA YESO 23/06 AL 27/06</t>
  </si>
  <si>
    <t>01-5794</t>
  </si>
  <si>
    <t>RAMON QUIROGAS/OPERADORES-CAMPAÑA YESO 23/06 AL 27/06</t>
  </si>
  <si>
    <t>01-5795</t>
  </si>
  <si>
    <t>01-5796</t>
  </si>
  <si>
    <t>DANNY URRUTIA/CAMPAÑA YESO 23/06 AL 27/06 YESO CAMPO ELIAS-CALIZA PLANTA</t>
  </si>
  <si>
    <t>01-5797</t>
  </si>
  <si>
    <t>GLOBAL ACERO/FACT 57/PLATAFORMA SEGURIDAD MOLINO-P/CEMENTO</t>
  </si>
  <si>
    <t>01-5798</t>
  </si>
  <si>
    <t>OLGA OROZCO/HOSPEDAJE CALIZA</t>
  </si>
  <si>
    <t>01-5799</t>
  </si>
  <si>
    <t>45-270625</t>
  </si>
  <si>
    <t>01-5800</t>
  </si>
  <si>
    <t>01-5801</t>
  </si>
  <si>
    <t>01-5802</t>
  </si>
  <si>
    <t>01-5803</t>
  </si>
  <si>
    <t>01-5804</t>
  </si>
  <si>
    <t>01-5805</t>
  </si>
  <si>
    <t>01-5806</t>
  </si>
  <si>
    <t>01-5807</t>
  </si>
  <si>
    <t>01-5808</t>
  </si>
  <si>
    <t>01-5809</t>
  </si>
  <si>
    <t>01-5810</t>
  </si>
  <si>
    <t>01-5811</t>
  </si>
  <si>
    <t>01-5812</t>
  </si>
  <si>
    <t>01-5813</t>
  </si>
  <si>
    <t>01-5814</t>
  </si>
  <si>
    <t>01-5815</t>
  </si>
  <si>
    <t>01-5816</t>
  </si>
  <si>
    <t>01-5817</t>
  </si>
  <si>
    <t>01-5818</t>
  </si>
  <si>
    <t>0329222237545</t>
  </si>
  <si>
    <t xml:space="preserve">COMERCIALIZADORA/INVERSION DE CAPITAL/VZLA   </t>
  </si>
  <si>
    <t>01-5819</t>
  </si>
  <si>
    <t>01-5820</t>
  </si>
  <si>
    <t>TRACTO AUTO/FACT 7757/INVER BATERIA P/CAMIONES KAMAZ-MINERALES</t>
  </si>
  <si>
    <t>01-5821</t>
  </si>
  <si>
    <t>01-5822</t>
  </si>
  <si>
    <t>17-300625</t>
  </si>
  <si>
    <t>OLGA OROZCO/RESIDENCIA OPERADOR-MENSUAL</t>
  </si>
  <si>
    <t>01-5823</t>
  </si>
  <si>
    <t>45-300625</t>
  </si>
  <si>
    <t>TOTAL TOOLS/FACT 2891/SEÑORITA P/USO GRAL TALLER-MINERALES</t>
  </si>
  <si>
    <t>01-5824</t>
  </si>
  <si>
    <t>01-5825</t>
  </si>
  <si>
    <t>HONORARIOS PROFESIONALES/SINELEC FABRIC TRANSFOR ELEVADOR</t>
  </si>
  <si>
    <t>01-5826</t>
  </si>
  <si>
    <t>38-300625</t>
  </si>
  <si>
    <t>01-5827</t>
  </si>
  <si>
    <t>01-5828</t>
  </si>
  <si>
    <t>01-5829</t>
  </si>
  <si>
    <t>01-5830</t>
  </si>
  <si>
    <t>01-5831</t>
  </si>
  <si>
    <t>01-5832</t>
  </si>
  <si>
    <t>01-5833</t>
  </si>
  <si>
    <t>01-5834</t>
  </si>
  <si>
    <t>01-5835</t>
  </si>
  <si>
    <t>COMISION POR TRANSFERENCIA DE FONDOS</t>
  </si>
  <si>
    <t>-600,00</t>
  </si>
  <si>
    <t>01-5836</t>
  </si>
  <si>
    <t>04-310725</t>
  </si>
  <si>
    <t>01-5837</t>
  </si>
  <si>
    <t>COMERCIALIZADORA/INVERSIN DE CAPITAL/MERCANTIL</t>
  </si>
  <si>
    <t>240.000,00</t>
  </si>
  <si>
    <t>01-5838</t>
  </si>
  <si>
    <t>-3.000,00</t>
  </si>
  <si>
    <t>01-5839</t>
  </si>
  <si>
    <t>VENTA DE CEMENTO/WILLIANS ALEMAN-REINTEGRO POR GANDOLA CEMENTO</t>
  </si>
  <si>
    <t>01-5840</t>
  </si>
  <si>
    <t>VENTA DE CEMENTO</t>
  </si>
  <si>
    <t xml:space="preserve">DESIREE; REINTEGRO DE UNA GANDOLA DE CEMENTO </t>
  </si>
  <si>
    <t>01-5841</t>
  </si>
  <si>
    <t>01-5842</t>
  </si>
  <si>
    <t>01-5843</t>
  </si>
  <si>
    <t>01-5844</t>
  </si>
  <si>
    <t>01-5845</t>
  </si>
  <si>
    <t>01-5846</t>
  </si>
  <si>
    <t>01-5847</t>
  </si>
  <si>
    <t>01-5848</t>
  </si>
  <si>
    <t>01-5849</t>
  </si>
  <si>
    <t>01-5850</t>
  </si>
  <si>
    <t>-221,76</t>
  </si>
  <si>
    <t>01-5851</t>
  </si>
  <si>
    <t>RESGUARDO/FACT 0240/2DA QUINC JULIO MINERALES</t>
  </si>
  <si>
    <t>-73.921,75</t>
  </si>
  <si>
    <t>01-5852</t>
  </si>
  <si>
    <t>-62,44</t>
  </si>
  <si>
    <t>01-5853</t>
  </si>
  <si>
    <t>KLEIBER RODRIGUEZ/FACT 31/VALLA PUBLICITARIA-SEDE MINERALES</t>
  </si>
  <si>
    <t>-20.815,32</t>
  </si>
  <si>
    <t>01-5854</t>
  </si>
  <si>
    <t>SERVA016</t>
  </si>
  <si>
    <t>GASTOS PUBLICIDAD</t>
  </si>
  <si>
    <t>-11,05</t>
  </si>
  <si>
    <t>01-5855</t>
  </si>
  <si>
    <t>VALLAS MINERALES MES JULIO</t>
  </si>
  <si>
    <t>01-5856</t>
  </si>
  <si>
    <t>08-290725</t>
  </si>
  <si>
    <t>EMISION EDO. DE CTA. MONEDA NAC. / EXT.</t>
  </si>
  <si>
    <t>-0,50</t>
  </si>
  <si>
    <t>01-5857</t>
  </si>
  <si>
    <t>TARIFA MANTENIMIENTO DE CUENTA</t>
  </si>
  <si>
    <t>01-5858</t>
  </si>
  <si>
    <t>-300,00</t>
  </si>
  <si>
    <t>01-5859</t>
  </si>
  <si>
    <t>-100.000,00</t>
  </si>
  <si>
    <t>01-5860</t>
  </si>
  <si>
    <t>01-5861</t>
  </si>
  <si>
    <t>ANYBETH LEON/BONIFICACION ESPECIAL 1ERA QUINCENA</t>
  </si>
  <si>
    <t>01-5862</t>
  </si>
  <si>
    <t>01-5863</t>
  </si>
  <si>
    <t>JOSE MORALES/BONIFICACION ESPECIAL 1ERA QUINCENA</t>
  </si>
  <si>
    <t>01-5864</t>
  </si>
  <si>
    <t>01-5865</t>
  </si>
  <si>
    <t>01-5866</t>
  </si>
  <si>
    <t>ANYBETH LEON/BONIFICACION ESPECIAL 2DA QUINCENA</t>
  </si>
  <si>
    <t>01-5867</t>
  </si>
  <si>
    <t>01-5868</t>
  </si>
  <si>
    <t>JOSE MORALES/BONIFICACION ESPECIAL 2DA QUINCENA</t>
  </si>
  <si>
    <t>01-5869</t>
  </si>
  <si>
    <t>01-5870</t>
  </si>
  <si>
    <t>01-5871</t>
  </si>
  <si>
    <t>01-5872</t>
  </si>
  <si>
    <t>01-5873</t>
  </si>
  <si>
    <t>LISO/FACT 618/CERRAMIENTO GALPON-MOLINO P/CEMENTO</t>
  </si>
  <si>
    <t>01-5874</t>
  </si>
  <si>
    <t>01-5875</t>
  </si>
  <si>
    <t>01-5876</t>
  </si>
  <si>
    <t>01-5877</t>
  </si>
  <si>
    <t>01-5878</t>
  </si>
  <si>
    <t>GOBERNACION EDO YARACUY/LICENCIA MINERA-P/CHIVACOA</t>
  </si>
  <si>
    <t>01-5879</t>
  </si>
  <si>
    <t>01-5880</t>
  </si>
  <si>
    <t>01-5881</t>
  </si>
  <si>
    <t>01-5882</t>
  </si>
  <si>
    <t>DIAR/FACT 776/ACEITE P/EQUIPO HYNDAI 770</t>
  </si>
  <si>
    <t>01-5883</t>
  </si>
  <si>
    <t>01-5884</t>
  </si>
  <si>
    <t>DAYANA LOPEZ/HONORARIOS PROFESIONALES INSPECCION SINELEC</t>
  </si>
  <si>
    <t>01-5885</t>
  </si>
  <si>
    <t>38-010725</t>
  </si>
  <si>
    <t>01-5886</t>
  </si>
  <si>
    <t>01-5887</t>
  </si>
  <si>
    <t>CORPORACION EP/FACT 5591/CAMIONES  PAYLOVER-MINERALES</t>
  </si>
  <si>
    <t>01-5888</t>
  </si>
  <si>
    <t>CORPORACION EP/FACT 5592/CAMIONES  PAYLOVER-MINERALES</t>
  </si>
  <si>
    <t>01-5889</t>
  </si>
  <si>
    <t>01-5890</t>
  </si>
  <si>
    <t>01-5891</t>
  </si>
  <si>
    <t>01-5892</t>
  </si>
  <si>
    <t>GLOBAL ACERO/FACT 59/REQUERI P/HINDU</t>
  </si>
  <si>
    <t>01-5893</t>
  </si>
  <si>
    <t>FERRE REMI/FACT 284/REQUI P/HINDU P/CEMENTO</t>
  </si>
  <si>
    <t>01-5894</t>
  </si>
  <si>
    <t>01-5895</t>
  </si>
  <si>
    <t>01-5896</t>
  </si>
  <si>
    <t>01-5897</t>
  </si>
  <si>
    <t>DECLARACION DE LAS PENSIONES/PERIODO JUNIO 2025</t>
  </si>
  <si>
    <t>01-5898</t>
  </si>
  <si>
    <t>02-010725</t>
  </si>
  <si>
    <t>INVERSIONES AB/FACT 79/CANTO RODADO</t>
  </si>
  <si>
    <t>01-5899</t>
  </si>
  <si>
    <t>VENTA DE CANTO RODADO</t>
  </si>
  <si>
    <t>AGROPECUARIA/FACT78/GRANZON-CANTO RODADO-ARENA CERNIDA</t>
  </si>
  <si>
    <t>01-5900</t>
  </si>
  <si>
    <t>VENTA DE GRANZO-CANTO-ARENA CERNIDA</t>
  </si>
  <si>
    <t>01-5901</t>
  </si>
  <si>
    <t>DIGASMALAR/FACT 56328/OXIGENOS P/EQUIPOS OXICORTES-TRABAJ FABRIC/ENSAMB</t>
  </si>
  <si>
    <t>01-5902</t>
  </si>
  <si>
    <t>FERRENOVA/FACT 2007/TUBOS 2" P/PERSONAL HINDU-P/CEMENTO</t>
  </si>
  <si>
    <t>01-5903</t>
  </si>
  <si>
    <t>TRCATO AUTO/FACT 7762/BATERIA-BONER TRACTOR SD32 SAHNTUI P/EXPLOTACION CALIZA P/CEMENTO</t>
  </si>
  <si>
    <t>01-5904</t>
  </si>
  <si>
    <t xml:space="preserve">ARUCA MAQUINARIA/FACT 20210/CABEZAL COMPRESOR LINEAL P/TALLER-MINERALES </t>
  </si>
  <si>
    <t>01-5905</t>
  </si>
  <si>
    <t>CARLOS LEAL/FACT000115/CAUCHOS P/MONTACARGA-MINERALES</t>
  </si>
  <si>
    <t>01-5906</t>
  </si>
  <si>
    <t>01-5907</t>
  </si>
  <si>
    <t>COMERCILIZADORA/INVERSION DE CAPITAL/TESORO</t>
  </si>
  <si>
    <t>01-5908</t>
  </si>
  <si>
    <t>01-5909</t>
  </si>
  <si>
    <t>LINO BETANCOURT/FACT84/RETROVISORES P/CAMIONES KAMAZ-MINERALES</t>
  </si>
  <si>
    <t>01-5910</t>
  </si>
  <si>
    <t>INV PEROZO GARCIAS/FACT96743/CORREAS P/CERNIDORAS</t>
  </si>
  <si>
    <t>01-5911</t>
  </si>
  <si>
    <t>01-5912</t>
  </si>
  <si>
    <t>01-5913</t>
  </si>
  <si>
    <t>FERRE REMI/FACT 285/REQUI P/HINDU P/CEMENTO</t>
  </si>
  <si>
    <t>01-5914</t>
  </si>
  <si>
    <t>01-5915</t>
  </si>
  <si>
    <t>01-5916</t>
  </si>
  <si>
    <t>LINO FLOREZ/SEMANA 30/06 AL 04/07 CAMPAÑA CALIZA PLANTA</t>
  </si>
  <si>
    <t>01-5917</t>
  </si>
  <si>
    <t>MIGUEL RODRIGUEZ/REPOSICION DE CAJA CHICA MINERALES</t>
  </si>
  <si>
    <t>01-5918</t>
  </si>
  <si>
    <t>FARELIS ARRIECHE/GASOLINA VEHICULO GERENTE</t>
  </si>
  <si>
    <t>01-5919</t>
  </si>
  <si>
    <t>12-040725</t>
  </si>
  <si>
    <t>DANNY URRUTIA/SEMANA 30/06 AL 04/07 CAMPAÑA CALIZA PLANTA</t>
  </si>
  <si>
    <t>01-5920</t>
  </si>
  <si>
    <t>RESTAURANT AREPERA/FACT24629/CAFÉ GRANDE-GUSTAVO RANGEL</t>
  </si>
  <si>
    <t>01-5921</t>
  </si>
  <si>
    <t>Edwuard Almeida/Eventual Megatech28/07 AL 03/08</t>
  </si>
  <si>
    <t>01-5922</t>
  </si>
  <si>
    <t>Yerry Rodríguez/Eventual Megatech28/07 AL 03/08</t>
  </si>
  <si>
    <t>01-5923</t>
  </si>
  <si>
    <t>YOHAN GUANIPA/SEMANA 30/06 AL 04/07 CAMPAÑA CALIZA PLANTA</t>
  </si>
  <si>
    <t>01-5924</t>
  </si>
  <si>
    <t>Elio Malpica/Eventual Megatech28/07 AL 03/08</t>
  </si>
  <si>
    <t>01-5925</t>
  </si>
  <si>
    <t>Federico Faneite/Eventual Gobernacion28/07 AL 03/08</t>
  </si>
  <si>
    <t>01-5926</t>
  </si>
  <si>
    <t>01-5927</t>
  </si>
  <si>
    <t>01-5928</t>
  </si>
  <si>
    <t>Delios Adolfo Ferrara/Eventual Agregados28/07 AL 03/08</t>
  </si>
  <si>
    <t>01-5929</t>
  </si>
  <si>
    <t>Brunito Segundo Cordero/Eventual Agregados28/07 AL 03/08</t>
  </si>
  <si>
    <t>01-5930</t>
  </si>
  <si>
    <t>Eliomar Jesús Escalona/Eventual Agregados28/07 AL 03/08</t>
  </si>
  <si>
    <t>01-5931</t>
  </si>
  <si>
    <t>José Guillermo Cortez/Eventual Agregados28/07 AL 03/08</t>
  </si>
  <si>
    <t>01-5932</t>
  </si>
  <si>
    <t>Darwuin Jesús Bullones/Eventual Agregados28/07 AL 03/08</t>
  </si>
  <si>
    <t>01-5933</t>
  </si>
  <si>
    <t>Frank Armando García/Eventual Agregados28/07 AL 03/08</t>
  </si>
  <si>
    <t>01-5934</t>
  </si>
  <si>
    <t>Alberto Luis Rojas/Eventual Agregados28/07 AL 03/08</t>
  </si>
  <si>
    <t>01-5935</t>
  </si>
  <si>
    <t>Naiker Alexander Jimenez/Eventual Agregados28/07 AL 03/08</t>
  </si>
  <si>
    <t>01-5936</t>
  </si>
  <si>
    <t>José Gregorio Perez/Eventual Agregados28/07 AL 03/08</t>
  </si>
  <si>
    <t>01-5937</t>
  </si>
  <si>
    <t>Carlos Daniel Rodriguez/Eventual Agregados28/07 AL 03/08</t>
  </si>
  <si>
    <t>01-5938</t>
  </si>
  <si>
    <t>Alejandro Morales/Eventual Agregados28/07 AL 03/08</t>
  </si>
  <si>
    <t>01-5939</t>
  </si>
  <si>
    <t>Euber José Juarez/Eventual Agregados28/07 AL 03/08</t>
  </si>
  <si>
    <t>01-5940</t>
  </si>
  <si>
    <t>Ali Alberto Bullones/Eventual Agregados28/07 AL 03/08</t>
  </si>
  <si>
    <t>01-5941</t>
  </si>
  <si>
    <t>Alberto Ali Bullones/Eventual Agregados28/07 AL 03/08</t>
  </si>
  <si>
    <t>01-5942</t>
  </si>
  <si>
    <t>Fernando José Rodriguez/Eventual Agregados28/07 AL 03/08</t>
  </si>
  <si>
    <t>01-5943</t>
  </si>
  <si>
    <t>Bruno Ali Cordero Bullones/Eventual Agregados28/07 AL 03/08</t>
  </si>
  <si>
    <t>01-5944</t>
  </si>
  <si>
    <t>Fareliz Arrieche/Eventual Gobernacion28/07 AL 03/08</t>
  </si>
  <si>
    <t>01-5945</t>
  </si>
  <si>
    <t>Henrry Valera/Eventual Gobernacion28/07 AL 03/08</t>
  </si>
  <si>
    <t>01-5946</t>
  </si>
  <si>
    <t>Justiniano Rodriguez/Eventual Agregados28/07 AL 03/08</t>
  </si>
  <si>
    <t>01-5947</t>
  </si>
  <si>
    <t>Armando Lopez /Eventual Agregados28/07 AL 03/08</t>
  </si>
  <si>
    <t>01-5948</t>
  </si>
  <si>
    <t>Froilan Lopez/Eventual Agregados28/07 AL 03/08</t>
  </si>
  <si>
    <t>01-5949</t>
  </si>
  <si>
    <t>Ramón Quintero/Eventual Agregados28/07 AL 03/08</t>
  </si>
  <si>
    <t>01-5950</t>
  </si>
  <si>
    <t>Juan López/Eventual Agregados28/07 AL 03/08</t>
  </si>
  <si>
    <t>01-5951</t>
  </si>
  <si>
    <t>Jesus Ramos/Eventual Gobernacion28/07 AL 03/08</t>
  </si>
  <si>
    <t>01-5952</t>
  </si>
  <si>
    <t>Luis Silveiro Colon Ojeda/Eventual Agregados28/07 AL 03/08</t>
  </si>
  <si>
    <t>01-5953</t>
  </si>
  <si>
    <t>Exson Rodriguez/Eventual Gobernacion28/07 AL 03/08</t>
  </si>
  <si>
    <t>01-5954</t>
  </si>
  <si>
    <t>Douglas Pimentel/Eventual Gobernacion28/07 AL 03/08</t>
  </si>
  <si>
    <t>01-5955</t>
  </si>
  <si>
    <t>Miguel Torres/Eventual Gobernacion28/07 AL 03/08</t>
  </si>
  <si>
    <t>01-5956</t>
  </si>
  <si>
    <t>Nicolas Alvarez/Eventual Gobernacion28/07 AL 03/08</t>
  </si>
  <si>
    <t>01-5957</t>
  </si>
  <si>
    <t>Wendy Gimenez/Eventual Gobernacion28/07 AL 03/08</t>
  </si>
  <si>
    <t>01-5958</t>
  </si>
  <si>
    <t>Rafael Puertas/Eventual Gobernacion28/07 AL 03/08</t>
  </si>
  <si>
    <t>01-5959</t>
  </si>
  <si>
    <t>Carlos Pacheco/Eventual Gobernacion28/07 AL 03/08</t>
  </si>
  <si>
    <t>01-5960</t>
  </si>
  <si>
    <t>Andrés Armella/Eventual Gobernacion28/07 AL 03/08</t>
  </si>
  <si>
    <t>01-5961</t>
  </si>
  <si>
    <t>Jose Toledo/Eventual Gobernacion28/07 AL 03/08</t>
  </si>
  <si>
    <t>01-5962</t>
  </si>
  <si>
    <t>Juan Pinto/Eventual Gobernacion28/07 AL 03/08</t>
  </si>
  <si>
    <t>01-5963</t>
  </si>
  <si>
    <t>Edwin Rojas/Eventual Gobernacion28/07 AL 03/08</t>
  </si>
  <si>
    <t>01-5964</t>
  </si>
  <si>
    <t>Antonio Castillo/Eventual Megatech28/07 AL 03/08</t>
  </si>
  <si>
    <t>01-5965</t>
  </si>
  <si>
    <t>Rafael Quiroz/Eventual Gobernacion28/07 AL 03/08</t>
  </si>
  <si>
    <t>01-5966</t>
  </si>
  <si>
    <t>Alirio Parra/Eventual Gobernacion21/07 AL 27/07</t>
  </si>
  <si>
    <t>01-5967</t>
  </si>
  <si>
    <t>Angel Caldera/Eventual Gobernacion28/07 AL 03/08</t>
  </si>
  <si>
    <t>01-5968</t>
  </si>
  <si>
    <t>Argenis Flores/Eventual Megatech28/07 AL 03/08</t>
  </si>
  <si>
    <t>01-5969</t>
  </si>
  <si>
    <t>OLGA OROZCO/HOSPEDAJE 30/06 AL 04/07 CAMPAÑA CALIZA PLANTA</t>
  </si>
  <si>
    <t>01-5970</t>
  </si>
  <si>
    <t>45-040725</t>
  </si>
  <si>
    <t>Pitter Puerta/Eventual Megatech28/07 AL 03/08</t>
  </si>
  <si>
    <t>01-5971</t>
  </si>
  <si>
    <t>Carlos Lopez/Eventual Agregados28/07 AL 03/08</t>
  </si>
  <si>
    <t>01-5972</t>
  </si>
  <si>
    <t>Estebez Maramara/Eventual Agregados28/07 AL 03/08</t>
  </si>
  <si>
    <t>01-5973</t>
  </si>
  <si>
    <t>Walner Oviedo/Eventual Megatech28/07 AL 03/08</t>
  </si>
  <si>
    <t>01-5974</t>
  </si>
  <si>
    <t>Yonny Castillo/Eventual Megatech28/07 AL 03/08</t>
  </si>
  <si>
    <t>01-5975</t>
  </si>
  <si>
    <t>Jose Guevara/Eventual Megatech28/07 AL 03/08</t>
  </si>
  <si>
    <t>01-5976</t>
  </si>
  <si>
    <t>Jose Castillo/Eventual Megatech28/07 AL 03/08</t>
  </si>
  <si>
    <t>01-5977</t>
  </si>
  <si>
    <t>Francisco Castillo/Eventual Megatech28/07 AL 03/08</t>
  </si>
  <si>
    <t>01-5978</t>
  </si>
  <si>
    <t>Elvis Valles/Eventual Megatech28/07 AL 03/08</t>
  </si>
  <si>
    <t>01-5979</t>
  </si>
  <si>
    <t>Carlos Castillo/Eventual Megatech28/07 AL 03/08</t>
  </si>
  <si>
    <t>01-5980</t>
  </si>
  <si>
    <t>01-5981</t>
  </si>
  <si>
    <t>Omar Torrealba/Eventual Megatech28/07 AL 03/08</t>
  </si>
  <si>
    <t>01-5982</t>
  </si>
  <si>
    <t>Julian Guedez/Eventual Megatech28/07 AL 03/08</t>
  </si>
  <si>
    <t>01-5983</t>
  </si>
  <si>
    <t>Yordis Almao/Eventual Megatech28/07 AL 03/08</t>
  </si>
  <si>
    <t>01-5984</t>
  </si>
  <si>
    <t>Victor Mendez/Eventual Megatech28/07 AL 03/08</t>
  </si>
  <si>
    <t>01-5985</t>
  </si>
  <si>
    <t>Carlos Loyo/Eventual Megatech28/07 AL 03/08</t>
  </si>
  <si>
    <t>01-5986</t>
  </si>
  <si>
    <t>Alberto Loyo/Eventual Megatech28/07 AL 03/08</t>
  </si>
  <si>
    <t>01-5987</t>
  </si>
  <si>
    <t>Ruben Rivas/Eventual Megatech28/07 AL 03/08</t>
  </si>
  <si>
    <t>01-5988</t>
  </si>
  <si>
    <t>Alexander Castillo/Eventual Megatech28/07 AL 03/08</t>
  </si>
  <si>
    <t>01-5989</t>
  </si>
  <si>
    <t>PEDRO CASTILLO/Eventual Gobernacion28/07 AL 03/08</t>
  </si>
  <si>
    <t>01-5990</t>
  </si>
  <si>
    <t>JEFERSON DAVILA/SEMANA 30/06 AL 04/07 CAMPAÑA CALIZA PLANTA</t>
  </si>
  <si>
    <t>01-5991</t>
  </si>
  <si>
    <t>Norys Ramos/Eventual Megatech28/07 AL 03/08</t>
  </si>
  <si>
    <t>01-5992</t>
  </si>
  <si>
    <t>Fareliz Arrieche/Eventual Megatech28/07 AL 03/08</t>
  </si>
  <si>
    <t>01-5993</t>
  </si>
  <si>
    <t>RAMON QUIROGAS/SEMANA 30/06 AL 04/07 CAMPAÑA CALIZA PLANTA</t>
  </si>
  <si>
    <t>01-5994</t>
  </si>
  <si>
    <t>BAETRIZ CASTILLO/SEMANA 30/06 AL 04/07 CAMPAÑA CALIZA PLANTA</t>
  </si>
  <si>
    <t>01-5995</t>
  </si>
  <si>
    <t>Fares Arrieche/Eventual Megatech28/07 AL 03/08</t>
  </si>
  <si>
    <t>01-5996</t>
  </si>
  <si>
    <t>Alirio Parra/Eventual Megatech28/07 AL 03/08</t>
  </si>
  <si>
    <t>01-5997</t>
  </si>
  <si>
    <t>01-5998</t>
  </si>
  <si>
    <t>Ingrid Reyes/Eventual Megatech28/07 AL 03/08</t>
  </si>
  <si>
    <t>01-5999</t>
  </si>
  <si>
    <t>01-6000</t>
  </si>
  <si>
    <t>01-6001</t>
  </si>
  <si>
    <t>01-6002</t>
  </si>
  <si>
    <t>01-6003</t>
  </si>
  <si>
    <t>MATERIALES SANTA LUCIA/FACT5563/CEMENTERA</t>
  </si>
  <si>
    <t>01-6004</t>
  </si>
  <si>
    <t>01-6005</t>
  </si>
  <si>
    <t>01-6006</t>
  </si>
  <si>
    <t>01-6007</t>
  </si>
  <si>
    <t>01-6008</t>
  </si>
  <si>
    <t>JHONMER PERDOMO/FACT28/MTTO BOMBEADORA-P/CEMENTO</t>
  </si>
  <si>
    <t>01-6009</t>
  </si>
  <si>
    <t>01-6010</t>
  </si>
  <si>
    <t>01-6011</t>
  </si>
  <si>
    <t>ISLR/PERIODO JUNIO</t>
  </si>
  <si>
    <t>01-6012</t>
  </si>
  <si>
    <t>02-100725</t>
  </si>
  <si>
    <t>01-6013</t>
  </si>
  <si>
    <t>01-6014</t>
  </si>
  <si>
    <t>TRADING CHARRIS/FACT253/TORQUIMETRO HERRA-MINERALES</t>
  </si>
  <si>
    <t>01-6015</t>
  </si>
  <si>
    <t>01-6016</t>
  </si>
  <si>
    <t>01-6017</t>
  </si>
  <si>
    <t>Federico Faneite/Eventual Gobernacion07/07 AL 13/07</t>
  </si>
  <si>
    <t>01-6018</t>
  </si>
  <si>
    <t>Delios Adolfo Ferrara/Eventual Agregados07/07 AL 13/07</t>
  </si>
  <si>
    <t>01-6019</t>
  </si>
  <si>
    <t>Eliomar Jesús Escalona/Eventual Agregados07/07 AL 13/07</t>
  </si>
  <si>
    <t>01-6020</t>
  </si>
  <si>
    <t>José Guillermo Cortez/Eventual Agregados07/07 AL 13/07</t>
  </si>
  <si>
    <t>01-6021</t>
  </si>
  <si>
    <t>Darwuin Jesús Bullones/Eventual Agregados07/07 AL 13/07</t>
  </si>
  <si>
    <t>01-6022</t>
  </si>
  <si>
    <t>Fernando José Rodriguez/Eventual Agregados07/07 AL 13/07</t>
  </si>
  <si>
    <t>01-6023</t>
  </si>
  <si>
    <t>Alberto Luis Rojas/Eventual Agregados07/07 AL 13/07</t>
  </si>
  <si>
    <t>01-6024</t>
  </si>
  <si>
    <t>Naiker Alexander Jimenez/Eventual Agregados07/07 AL 13/07</t>
  </si>
  <si>
    <t>01-6025</t>
  </si>
  <si>
    <t>Bruno Ali Cordero Bullones/Eventual Agregados07/07 AL 13/07</t>
  </si>
  <si>
    <t>01-6026</t>
  </si>
  <si>
    <t>Carlos Daniel Rodriguez/Eventual Agregados07/07 AL 13/07</t>
  </si>
  <si>
    <t>01-6027</t>
  </si>
  <si>
    <t>Brunito Segundo Cordero/Eventual Agregados07/07 AL 13/07</t>
  </si>
  <si>
    <t>01-6028</t>
  </si>
  <si>
    <t>Fareliz Arrieche/Eventual Gobernacion07/07 AL 13/07</t>
  </si>
  <si>
    <t>01-6029</t>
  </si>
  <si>
    <t>Justiniano Rodriguez/Eventual Agregados07/07 AL 13/07</t>
  </si>
  <si>
    <t>01-6030</t>
  </si>
  <si>
    <t>Armando Lopez /Eventual Agregados07/07 AL 13/07</t>
  </si>
  <si>
    <t>01-6031</t>
  </si>
  <si>
    <t>Henrry Valera/Eventual Gobernacion07/07 AL 13/07</t>
  </si>
  <si>
    <t>01-6032</t>
  </si>
  <si>
    <t>Froilan Lopez/Eventual Agregados07/07 AL 13/07</t>
  </si>
  <si>
    <t>01-6033</t>
  </si>
  <si>
    <t>Ramón Quintero/Eventual Agregados07/07 AL 13/07</t>
  </si>
  <si>
    <t>01-6034</t>
  </si>
  <si>
    <t>Jesus Ramos/Eventual Gobernacion07/07 AL 13/07</t>
  </si>
  <si>
    <t>01-6035</t>
  </si>
  <si>
    <t>Alberto Loyo/Eventual Megatech07/07 AL 13/07</t>
  </si>
  <si>
    <t>01-6036</t>
  </si>
  <si>
    <t>Exson Rodriguez/Eventual Gobernacion07/07 AL 13/07</t>
  </si>
  <si>
    <t>01-6037</t>
  </si>
  <si>
    <t>Alexander Castillo/Eventual Megatech07/07 AL 13/07</t>
  </si>
  <si>
    <t>01-6038</t>
  </si>
  <si>
    <t>Juan Pinto/Eventual Gobernacion07/07 AL 13/07</t>
  </si>
  <si>
    <t>01-6039</t>
  </si>
  <si>
    <t>Rafael Puertas/Eventual Gobernacion07/07 AL 13/07</t>
  </si>
  <si>
    <t>01-6040</t>
  </si>
  <si>
    <t>Carlos Pacheco/Eventual Gobernacion07/07 AL 13/07</t>
  </si>
  <si>
    <t>01-6041</t>
  </si>
  <si>
    <t>Alejandro Morales/Eventual Agregados07/07 AL 13/07</t>
  </si>
  <si>
    <t>01-6042</t>
  </si>
  <si>
    <t>Euber José Juarez/Eventual Agregados07/07 AL 13/07</t>
  </si>
  <si>
    <t>01-6043</t>
  </si>
  <si>
    <t>Alirio Parra/Eventual Gobernacion07/07 AL 13/07</t>
  </si>
  <si>
    <t>01-6044</t>
  </si>
  <si>
    <t>Carlos Lopez/Eventual Agregados07/07 AL 13/07</t>
  </si>
  <si>
    <t>01-6045</t>
  </si>
  <si>
    <t>Angel Caldera/Eventual Gobernacion07/07 AL 13/07</t>
  </si>
  <si>
    <t>01-6046</t>
  </si>
  <si>
    <t>Argenis Flores/Eventual Megatech07/07 AL 13/07</t>
  </si>
  <si>
    <t>01-6047</t>
  </si>
  <si>
    <t>Pitter Puerta/Eventual Megatech07/07 AL 13/07</t>
  </si>
  <si>
    <t>01-6048</t>
  </si>
  <si>
    <t>Miguel Torres/Eventual Gobernacion07/07 AL 13/07</t>
  </si>
  <si>
    <t>01-6049</t>
  </si>
  <si>
    <t>Wendy Gimenez/Eventual Gobernacion07/07 AL 13/07</t>
  </si>
  <si>
    <t>01-6050</t>
  </si>
  <si>
    <t>Yordis Almao/Eventual Megatech07/07 AL 13/07</t>
  </si>
  <si>
    <t>01-6051</t>
  </si>
  <si>
    <t>Victor Mendez/Eventual Megatech07/07 AL 13/07</t>
  </si>
  <si>
    <t>01-6052</t>
  </si>
  <si>
    <t>Jose Guevara/Eventual Megatech07/07 AL 13/07</t>
  </si>
  <si>
    <t>01-6053</t>
  </si>
  <si>
    <t>Jose Castillo/Eventual Megatech07/07 AL 13/07</t>
  </si>
  <si>
    <t>01-6054</t>
  </si>
  <si>
    <t>Elvis Valles/Eventual Megatech07/07 AL 13/07</t>
  </si>
  <si>
    <t>01-6055</t>
  </si>
  <si>
    <t>Francisco Castillo/Eventual Megatech07/07 AL 13/07</t>
  </si>
  <si>
    <t>01-6056</t>
  </si>
  <si>
    <t>Edwuard Almeida/Eventual Megatech07/07 AL 13/07</t>
  </si>
  <si>
    <t>01-6057</t>
  </si>
  <si>
    <t>Omar Torrealba/Eventual Megatech07/07 AL 13/07</t>
  </si>
  <si>
    <t>01-6058</t>
  </si>
  <si>
    <t>Fareliz Arrieche/Eventual Megatech07/07 AL 13/07</t>
  </si>
  <si>
    <t>01-6059</t>
  </si>
  <si>
    <t>Ruben Rivas/Eventual Megatech07/07 AL 13/07</t>
  </si>
  <si>
    <t>01-6060</t>
  </si>
  <si>
    <t>Estebez Maramara/Eventual Agregados07/07 AL 13/07</t>
  </si>
  <si>
    <t>01-6061</t>
  </si>
  <si>
    <t>Fares Arrieche/Eventual Megatech07/07 AL 13/07</t>
  </si>
  <si>
    <t>01-6062</t>
  </si>
  <si>
    <t>Norys Ramos/Eventual Megatech07/07 AL 13/07</t>
  </si>
  <si>
    <t>01-6063</t>
  </si>
  <si>
    <t>Andrés Armella/Eventual Gobernacion07/07 AL 13/07</t>
  </si>
  <si>
    <t>01-6064</t>
  </si>
  <si>
    <t>01-6065</t>
  </si>
  <si>
    <t>Juan López/Eventual Agregados07/07 AL 13/07</t>
  </si>
  <si>
    <t>01-6066</t>
  </si>
  <si>
    <t>Emperatriz Leon/Eventual Megatech07/07 AL 13/07</t>
  </si>
  <si>
    <t>01-6067</t>
  </si>
  <si>
    <t>Ali Alberto Bullones/Eventual Agregados07/07 AL 13/07</t>
  </si>
  <si>
    <t>01-6068</t>
  </si>
  <si>
    <t>Elio Malpica/Eventual Megatech07/07 AL 13/07</t>
  </si>
  <si>
    <t>01-6069</t>
  </si>
  <si>
    <t>Carlos Loyo/Eventual Megatech07/07 AL 13/07</t>
  </si>
  <si>
    <t>01-6070</t>
  </si>
  <si>
    <t>Alirio Parra/Eventual Megatech07/07 AL 13/07</t>
  </si>
  <si>
    <t>01-6071</t>
  </si>
  <si>
    <t>Alberto Ali Bullones/Eventual Agregados07/07 AL 13/07</t>
  </si>
  <si>
    <t>01-6072</t>
  </si>
  <si>
    <t>Julian Guedez/Eventual Megatech07/07 AL 13/07</t>
  </si>
  <si>
    <t>01-6073</t>
  </si>
  <si>
    <t>Luis Silveiro Colon Ojeda/Eventual Agregados07/07 AL 13/07</t>
  </si>
  <si>
    <t>01-6074</t>
  </si>
  <si>
    <t>Ingrid Reyes/Eventual Megatech07/07 AL 13/07</t>
  </si>
  <si>
    <t>01-6075</t>
  </si>
  <si>
    <t>01-6076</t>
  </si>
  <si>
    <t>01-6077</t>
  </si>
  <si>
    <t>01-6078</t>
  </si>
  <si>
    <t>01-6079</t>
  </si>
  <si>
    <t>01-6080</t>
  </si>
  <si>
    <t>01-6081</t>
  </si>
  <si>
    <t>TALLER MOLI/FACT 2682/FABRI PERCUTOR 2682/ASICIADO COMPR PLANTA</t>
  </si>
  <si>
    <t>01-6082</t>
  </si>
  <si>
    <t>GLOBAL ACERO/FACT 60/PLATAFORMA SEGUR TOLVA CALIZA-HORNO Y PASARELA</t>
  </si>
  <si>
    <t>01-6083</t>
  </si>
  <si>
    <t>CONSTRUCCION SPIDER/FACT395/REPA RESTABLECER SERV ELECTRICO-MINERALES</t>
  </si>
  <si>
    <t>01-6084</t>
  </si>
  <si>
    <t>01-6085</t>
  </si>
  <si>
    <t>FERRE MATERIALES REMI/FACT282/REQUERI P/PERSONAL HINDI-P/CEMENTO</t>
  </si>
  <si>
    <t>01-6086</t>
  </si>
  <si>
    <t>PROMIRCA/FACT1015/MANGUERA HIDRAULICA/-GANCHO RETROEXCAVADORA-P/CEMENTO</t>
  </si>
  <si>
    <t>01-6087</t>
  </si>
  <si>
    <t>SUMINISTRO INDUSTR/FACT87/INVER REQUI CABLE ST 4X8 P/EL PERSONAL HINDU P/CEMENTO</t>
  </si>
  <si>
    <t>01-6088</t>
  </si>
  <si>
    <t>01-6089</t>
  </si>
  <si>
    <t>AGROP-PAGO ERRADO FACT 78/PAGADA 02/07/25-SE REINTEGRA</t>
  </si>
  <si>
    <t>01-6090</t>
  </si>
  <si>
    <t>RESGUARDO/FACT234/SERV VIGILANCIA 1ERA QUINCENA DE JULIO</t>
  </si>
  <si>
    <t>01-6091</t>
  </si>
  <si>
    <t>01-6092</t>
  </si>
  <si>
    <t>01-6093</t>
  </si>
  <si>
    <t>01-6094</t>
  </si>
  <si>
    <t>01-6095</t>
  </si>
  <si>
    <t>01-6096</t>
  </si>
  <si>
    <t>01-6097</t>
  </si>
  <si>
    <t>01-6098</t>
  </si>
  <si>
    <t>01-6099</t>
  </si>
  <si>
    <t>AGROPE-PAGO ERRRADO-REINTEGRO</t>
  </si>
  <si>
    <t>01-6100</t>
  </si>
  <si>
    <t>REINTEGRO P/ERRADO</t>
  </si>
  <si>
    <t>ASOCI CALURARACHICHE/FACT 253/SERV DESCARGA GANDOLA CEMENTO-MINERALES</t>
  </si>
  <si>
    <t>01-6101</t>
  </si>
  <si>
    <t>01-6102</t>
  </si>
  <si>
    <t>TRANSPORTE TDC/FACT82/TRASLADO A NIVEL NACIONAL</t>
  </si>
  <si>
    <t>01-6103</t>
  </si>
  <si>
    <t>01-6104</t>
  </si>
  <si>
    <t>ALEJOS, RODOLFO/BONO COMPLE 15-07-25/OPER</t>
  </si>
  <si>
    <t>01-6105</t>
  </si>
  <si>
    <t>ALMAO,GENESIS/BONO COMPLE 15-07-25/ADM</t>
  </si>
  <si>
    <t>01-6106</t>
  </si>
  <si>
    <t>OPERACIONES</t>
  </si>
  <si>
    <t>CHIRINOS, RAFAEL/BONO COMPLE 15-07-25/OPER</t>
  </si>
  <si>
    <t>01-6107</t>
  </si>
  <si>
    <t>ALVARADO, EDID/BONO COMPLE 15-07-25/OPER</t>
  </si>
  <si>
    <t>01-6108</t>
  </si>
  <si>
    <t>BASTIDA, JOSE/BONO COMPLE 15-07-25/OPER</t>
  </si>
  <si>
    <t>01-6109</t>
  </si>
  <si>
    <t>DURAN, MARIA/BONO COMPLE 15-07-25/OPER</t>
  </si>
  <si>
    <t>01-6110</t>
  </si>
  <si>
    <t>DAZA, VICTOR/BONO COMPLE 15-07-25/OPER</t>
  </si>
  <si>
    <t>01-6111</t>
  </si>
  <si>
    <t>GARCIA, JASON/BONO COMPLE 15-07-25/OPER</t>
  </si>
  <si>
    <t>01-6112</t>
  </si>
  <si>
    <t>GUEDEZ,YIRMER/BONO COMPLE 15-07-25/OPER</t>
  </si>
  <si>
    <t>01-6113</t>
  </si>
  <si>
    <t>GUTIERREZ, PRESCILIANO/BONO COMPLE 15-07-25/OPER</t>
  </si>
  <si>
    <t>01-6114</t>
  </si>
  <si>
    <t>GUEDEZ,JOSE/BONO COMPLE 15-07-25/OPER</t>
  </si>
  <si>
    <t>01-6115</t>
  </si>
  <si>
    <t>LINAREZ, PEDRO/BONO COMPLE 15-07-25/OPER</t>
  </si>
  <si>
    <t>01-6116</t>
  </si>
  <si>
    <t>LOPEZ ,MANOLO/BONO COMPLE 15-07-25/ADM</t>
  </si>
  <si>
    <t>01-6117</t>
  </si>
  <si>
    <t>LINAREZ, SANTIAGO/BONO COMPLE 15-07-25/OPER</t>
  </si>
  <si>
    <t>01-6118</t>
  </si>
  <si>
    <t>MENDOZA,ANTONY/BONO COMPLE 15-07-25/OPER</t>
  </si>
  <si>
    <t>01-6119</t>
  </si>
  <si>
    <t>MARTINEZ JUAN/BONO COMPLE 15-07-25/OPER</t>
  </si>
  <si>
    <t>01-6120</t>
  </si>
  <si>
    <t>NOGUERA, OSCAR/BONO COMPLE 15-07-25/OPER</t>
  </si>
  <si>
    <t>01-6121</t>
  </si>
  <si>
    <t>PEREZ, JOSE ROLANDO/BONO COMPLE 15-07-25/OPER</t>
  </si>
  <si>
    <t>01-6122</t>
  </si>
  <si>
    <t>PEREZ, CARLOS/BONO COMPLE 15-07-25/OPER</t>
  </si>
  <si>
    <t>01-6123</t>
  </si>
  <si>
    <t>PARADA,KEIBY/BONO COMPLE 15-07-25/OPER</t>
  </si>
  <si>
    <t>01-6124</t>
  </si>
  <si>
    <t>QUERALES ,EDIXON/BONO COMPLE 15-07-25/OPER</t>
  </si>
  <si>
    <t>01-6125</t>
  </si>
  <si>
    <t>RANGEL GUSTAVO/BONO COMPLE 15-07-25/ADM</t>
  </si>
  <si>
    <t>01-6126</t>
  </si>
  <si>
    <t>QUERALES, HERMES/BONO COMPLE 15-07-25/OPER</t>
  </si>
  <si>
    <t>01-6127</t>
  </si>
  <si>
    <t>RAGA NELIDO/BONO COMPLE 15-07-25/ADM</t>
  </si>
  <si>
    <t>01-6128</t>
  </si>
  <si>
    <t>REVERON, RAMON/BONO COMPLE 15-07-25/OPER</t>
  </si>
  <si>
    <t>01-6129</t>
  </si>
  <si>
    <t>RODRIGUEZ ANSONNY/BONO COMPLE 15-07-25/OPER</t>
  </si>
  <si>
    <t>01-6130</t>
  </si>
  <si>
    <t>ROJAS MARIA/BONO COMPLE 15-07-25/OPER</t>
  </si>
  <si>
    <t>01-6131</t>
  </si>
  <si>
    <t>RIVERO, JORGE/BONO COMPLE 15-07-25/OPER</t>
  </si>
  <si>
    <t>01-6132</t>
  </si>
  <si>
    <t>RODRIGUEZ, MIGUEL/BONO COMPLE 15-07-25/OPER</t>
  </si>
  <si>
    <t>01-6133</t>
  </si>
  <si>
    <t>SEGURA ,WAILEN/BONO COMPLE 15-07-25/OPER</t>
  </si>
  <si>
    <t>01-6134</t>
  </si>
  <si>
    <t>SOTELDO, LUSMAR/BONO COMPLE 15-07-25/OPER</t>
  </si>
  <si>
    <t>01-6135</t>
  </si>
  <si>
    <t>SUAREZ, RAFAEL/BONO COMPLE 15-07-25/OPER</t>
  </si>
  <si>
    <t>01-6136</t>
  </si>
  <si>
    <t>VIELMA CARLEN/BONO COMPLE 15-07-25/ADM</t>
  </si>
  <si>
    <t>01-6137</t>
  </si>
  <si>
    <t>ALEJOS, RODOLFO/NOMINA 15-07-25/OPER</t>
  </si>
  <si>
    <t>01-6138</t>
  </si>
  <si>
    <t>VETANCOURT, BLIXANDER/BONO COMPLE 15-07-25/ADM</t>
  </si>
  <si>
    <t>01-6139</t>
  </si>
  <si>
    <t>ALMAO,GENESIS/NOMINA 15-07-25/ADM</t>
  </si>
  <si>
    <t>01-6140</t>
  </si>
  <si>
    <t>ALVARADO, EDID/NOMINA 15-07-25/OPER</t>
  </si>
  <si>
    <t>01-6141</t>
  </si>
  <si>
    <t>BASTIDA, JOSE/NOMINA 15-07-25/OPER</t>
  </si>
  <si>
    <t>01-6142</t>
  </si>
  <si>
    <t>CHIRINOS, RAFAEL/NOMINA 15-07-25/OPER</t>
  </si>
  <si>
    <t>01-6143</t>
  </si>
  <si>
    <t>DAZA, VICTOR/NOMINA 15-07-25/OPER</t>
  </si>
  <si>
    <t>01-6144</t>
  </si>
  <si>
    <t>DURAN, MARIA/NOMINA 15-07-25/OPER</t>
  </si>
  <si>
    <t>01-6145</t>
  </si>
  <si>
    <t>GUEDEZ,JOSE/NOMINA 15-07-25/OPER</t>
  </si>
  <si>
    <t>01-6146</t>
  </si>
  <si>
    <t>GARCIA, JASON/NOMINA 15-07-25/OPER</t>
  </si>
  <si>
    <t>01-6147</t>
  </si>
  <si>
    <t>GOMEZ,ARGENIS/NOMINA 15-07-25/OPER</t>
  </si>
  <si>
    <t>01-6148</t>
  </si>
  <si>
    <t>GUEDEZ,YIRMER/NOMINA 15-07-25/OPER</t>
  </si>
  <si>
    <t>01-6149</t>
  </si>
  <si>
    <t>GUTIERREZ, PRESCILIANO/NOMINA 15-07-25/OPER</t>
  </si>
  <si>
    <t>01-6150</t>
  </si>
  <si>
    <t>LINAREZ, PEDRO/NOMINA 15-07-25/OPER</t>
  </si>
  <si>
    <t>01-6151</t>
  </si>
  <si>
    <t>LINAREZ, SANTIAGO/NOMINA 15-07-25/OPER</t>
  </si>
  <si>
    <t>01-6152</t>
  </si>
  <si>
    <t>LOPEZ ,MANOLO/NOMINA 15-07-25/ADM</t>
  </si>
  <si>
    <t>01-6153</t>
  </si>
  <si>
    <t>MARTINEZ JUAN/NOMINA 15-07-25/OPER</t>
  </si>
  <si>
    <t>01-6154</t>
  </si>
  <si>
    <t>MENDOZA,ANTONY/NOMINA 15-07-25/OPER</t>
  </si>
  <si>
    <t>01-6155</t>
  </si>
  <si>
    <t>PEREZ, CARLOS/NOMINA 15-07-25/OPER</t>
  </si>
  <si>
    <t>01-6156</t>
  </si>
  <si>
    <t>NOGUERA, OSCAR/NOMINA 15-07-25/OPER</t>
  </si>
  <si>
    <t>01-6157</t>
  </si>
  <si>
    <t>PARADA,KEIBY/NOMINA 15-07-25/OPER</t>
  </si>
  <si>
    <t>01-6158</t>
  </si>
  <si>
    <t>PEREZ, JOSE ROLANDO/NOMINA 15-07-25/OPER</t>
  </si>
  <si>
    <t>01-6159</t>
  </si>
  <si>
    <t>QUERALES ,EDIXON/NOMINA 15-07-25/OPER</t>
  </si>
  <si>
    <t>01-6160</t>
  </si>
  <si>
    <t>QUERALES, HERMES/NOMINA 15-07-25/OPER</t>
  </si>
  <si>
    <t>01-6161</t>
  </si>
  <si>
    <t>RAGA NELIDO/NOMINA 15-07-25/ADM</t>
  </si>
  <si>
    <t>01-6162</t>
  </si>
  <si>
    <t>RIVERO, JORGE/NOMINA 15-07-25/OPER</t>
  </si>
  <si>
    <t>01-6163</t>
  </si>
  <si>
    <t>RANGEL GUSTAVO/NOMINA 15-07-25/ADM</t>
  </si>
  <si>
    <t>01-6164</t>
  </si>
  <si>
    <t>REVERON, RAMON/NOMINA 15-07-25/OPER</t>
  </si>
  <si>
    <t>01-6165</t>
  </si>
  <si>
    <t>RODRIGUEZ ANSONNY/NOMINA 15-07-25/OPER</t>
  </si>
  <si>
    <t>01-6166</t>
  </si>
  <si>
    <t>RODRIGUEZ, MIGUEL/NOMINA 15-07-25/OPER</t>
  </si>
  <si>
    <t>01-6167</t>
  </si>
  <si>
    <t>ROJAS MARIA/NOMINA 15-07-25/OPER</t>
  </si>
  <si>
    <t>01-6168</t>
  </si>
  <si>
    <t>SEGURA ,WAILEN/NOMINA 15-07-25/OPER</t>
  </si>
  <si>
    <t>01-6169</t>
  </si>
  <si>
    <t>SOTELDO, LUSMAR/NOMINA 15-07-25/OPER</t>
  </si>
  <si>
    <t>01-6170</t>
  </si>
  <si>
    <t>SUAREZ, RAFAEL/NOMINA 15-07-25/OPER</t>
  </si>
  <si>
    <t>01-6171</t>
  </si>
  <si>
    <t>VETANCOURT, BLIXANDER/NOMINA 15-07-25/ADM</t>
  </si>
  <si>
    <t>01-6172</t>
  </si>
  <si>
    <t>01-6173</t>
  </si>
  <si>
    <t>01-6174</t>
  </si>
  <si>
    <t>VIELMA CARLEN/NOMINA 15-07-25/ADM</t>
  </si>
  <si>
    <t>01-6175</t>
  </si>
  <si>
    <t>GOMEZ,ARGENIS/BONO COMPLE 15-07-25/OPER</t>
  </si>
  <si>
    <t>01-6176</t>
  </si>
  <si>
    <t>01-6177</t>
  </si>
  <si>
    <t>01-6178</t>
  </si>
  <si>
    <t>01-6179</t>
  </si>
  <si>
    <t>01-6180</t>
  </si>
  <si>
    <t>CASTRO CORPORATION/FACT 566/SERV HARDWARE-REP LAPTOP CARLEN-P/CEMENTO</t>
  </si>
  <si>
    <t>01-6181</t>
  </si>
  <si>
    <t>NR INDUSTRIAL/FACT6510-6509/EQUIPOS P/PROTECCION-MINERALES CHIVACOA</t>
  </si>
  <si>
    <t>01-6182</t>
  </si>
  <si>
    <t>01-6183</t>
  </si>
  <si>
    <t>GAUYAS Y REPU/FACT3781/GUAYA SLECTORA/ING CARLEN</t>
  </si>
  <si>
    <t>01-6184</t>
  </si>
  <si>
    <t>MANUFACTURAS CEPILLO/FACT2722/TUBOS RECTAGUNGULO P/PERSONAL HINDU P/CEMENTO</t>
  </si>
  <si>
    <t>01-6185</t>
  </si>
  <si>
    <t>TRACTO AUTO/FACT7786/RELOJ ACEITE/TEMPERATURA P/DOS CAMIONES TROMPO-MINERALES</t>
  </si>
  <si>
    <t>01-6186</t>
  </si>
  <si>
    <t>INVER NISSI/FACT1519/SOBRE P/ENVIO MACHOS-MINERALES</t>
  </si>
  <si>
    <t>01-6187</t>
  </si>
  <si>
    <t>MULTISERVICIOS W&amp;R/FACT34/TRABAJ P/LA CERNIDORA-MINERALES</t>
  </si>
  <si>
    <t>01-6188</t>
  </si>
  <si>
    <t>01-6189</t>
  </si>
  <si>
    <t>INVERSIONES AB/FACT 36/CEMENTERA INSUM-CONSTRUCCION</t>
  </si>
  <si>
    <t>01-6190</t>
  </si>
  <si>
    <t>01-6191</t>
  </si>
  <si>
    <t>MILTISERVICIOS JR/FACT 112/VARIOS REPUESTO</t>
  </si>
  <si>
    <t>01-6192</t>
  </si>
  <si>
    <t>RODA MANGUERA/FACT2299/DIRRECION HIDRAULICA CAMION TROMPO 5000-MINERALES</t>
  </si>
  <si>
    <t>01-6193</t>
  </si>
  <si>
    <t>01-6194</t>
  </si>
  <si>
    <t>GLOBAL ACERO/FACT66/INV PLATAFORMA SEGURIDAD TOLVA/CALIZA-PASARE SILOS-HORNOS</t>
  </si>
  <si>
    <t>01-6195</t>
  </si>
  <si>
    <t>01-6196</t>
  </si>
  <si>
    <t>ITALMECANICA MOTORS/FACT181/EQUIPO P/EL CARGADOR FRONTAL VOLVO-MINERALES</t>
  </si>
  <si>
    <t>01-6197</t>
  </si>
  <si>
    <t>01-6198</t>
  </si>
  <si>
    <t>01-6199</t>
  </si>
  <si>
    <t>01-6200</t>
  </si>
  <si>
    <t>01-6201</t>
  </si>
  <si>
    <t>01-6202</t>
  </si>
  <si>
    <t>01-6203</t>
  </si>
  <si>
    <t>01-6204</t>
  </si>
  <si>
    <t>Frank Armando García/Eventual Agregados07/07 AL 13/07</t>
  </si>
  <si>
    <t>01-6205</t>
  </si>
  <si>
    <t>01-6206</t>
  </si>
  <si>
    <t>01-6207</t>
  </si>
  <si>
    <t>José Gregorio Perez/Eventual Agregados07/07 AL 13/07</t>
  </si>
  <si>
    <t>01-6208</t>
  </si>
  <si>
    <t>01-6209</t>
  </si>
  <si>
    <t>01-6210</t>
  </si>
  <si>
    <t>01-6211</t>
  </si>
  <si>
    <t>01-6212</t>
  </si>
  <si>
    <t>01-6213</t>
  </si>
  <si>
    <t>01-6214</t>
  </si>
  <si>
    <t>01-6215</t>
  </si>
  <si>
    <t>01-6216</t>
  </si>
  <si>
    <t>01-6217</t>
  </si>
  <si>
    <t>01-6218</t>
  </si>
  <si>
    <t>01-6219</t>
  </si>
  <si>
    <t>01-6220</t>
  </si>
  <si>
    <t>01-6221</t>
  </si>
  <si>
    <t>01-6222</t>
  </si>
  <si>
    <t>01-6223</t>
  </si>
  <si>
    <t>01-6224</t>
  </si>
  <si>
    <t>Douglas Pimentel/Eventual Gobernacion07/07 AL 13/07</t>
  </si>
  <si>
    <t>01-6225</t>
  </si>
  <si>
    <t>Pedro Castillo/Eventual Gobernacion07/07 AL 13/07</t>
  </si>
  <si>
    <t>01-6226</t>
  </si>
  <si>
    <t>01-6227</t>
  </si>
  <si>
    <t>01-6228</t>
  </si>
  <si>
    <t>Nicolas Alvarez/Eventual Gobernacion07/07 AL 13/07</t>
  </si>
  <si>
    <t>01-6229</t>
  </si>
  <si>
    <t>01-6230</t>
  </si>
  <si>
    <t>01-6231</t>
  </si>
  <si>
    <t>01-6232</t>
  </si>
  <si>
    <t>Jose Toledo/Eventual Gobernacion07/07 AL 13/07</t>
  </si>
  <si>
    <t>01-6233</t>
  </si>
  <si>
    <t>01-6234</t>
  </si>
  <si>
    <t>01-6235</t>
  </si>
  <si>
    <t>Edwin Rojas/Eventual Gobernacion07/07 AL 13/07</t>
  </si>
  <si>
    <t>01-6236</t>
  </si>
  <si>
    <t>01-6237</t>
  </si>
  <si>
    <t>01-6238</t>
  </si>
  <si>
    <t>Rafael Quiroz/Eventual Gobernacion07/07 AL 13/07</t>
  </si>
  <si>
    <t>01-6239</t>
  </si>
  <si>
    <t>01-6240</t>
  </si>
  <si>
    <t>01-6241</t>
  </si>
  <si>
    <t>01-6242</t>
  </si>
  <si>
    <t>01-6243</t>
  </si>
  <si>
    <t>Walner Oviedo/Eventual Megatech07/07 AL 13/07</t>
  </si>
  <si>
    <t>01-6244</t>
  </si>
  <si>
    <t>01-6245</t>
  </si>
  <si>
    <t>Yonny Castillo/Eventual Megatech07/07 AL 13/07</t>
  </si>
  <si>
    <t>01-6246</t>
  </si>
  <si>
    <t>Antonio Castillo/Eventual Megatech07/07 AL 13/07</t>
  </si>
  <si>
    <t>01-6247</t>
  </si>
  <si>
    <t>01-6248</t>
  </si>
  <si>
    <t>01-6249</t>
  </si>
  <si>
    <t>01-6250</t>
  </si>
  <si>
    <t>Carlos Castillo/Eventual Megatech07/07 AL 13/07</t>
  </si>
  <si>
    <t>01-6251</t>
  </si>
  <si>
    <t>01-6252</t>
  </si>
  <si>
    <t>01-6253</t>
  </si>
  <si>
    <t>01-6254</t>
  </si>
  <si>
    <t>01-6255</t>
  </si>
  <si>
    <t>01-6256</t>
  </si>
  <si>
    <t>01-6257</t>
  </si>
  <si>
    <t>01-6258</t>
  </si>
  <si>
    <t>01-6259</t>
  </si>
  <si>
    <t>01-6260</t>
  </si>
  <si>
    <t>01-6261</t>
  </si>
  <si>
    <t>Yerry Rodríguez/Eventual Megatech07/07 AL 13/07</t>
  </si>
  <si>
    <t>01-6262</t>
  </si>
  <si>
    <t>01-6263</t>
  </si>
  <si>
    <t>01-6264</t>
  </si>
  <si>
    <t>01-6265</t>
  </si>
  <si>
    <t>01-6266</t>
  </si>
  <si>
    <t>01-6267</t>
  </si>
  <si>
    <t>01-6268</t>
  </si>
  <si>
    <t>01-6269</t>
  </si>
  <si>
    <t>01-6270</t>
  </si>
  <si>
    <t>01-6271</t>
  </si>
  <si>
    <t>01-6272</t>
  </si>
  <si>
    <t>01-6273</t>
  </si>
  <si>
    <t>01-6274</t>
  </si>
  <si>
    <t>CORPOR ERDS/FACT1993/INV P/BARANDAS-ESCALERA SEGURIDAD-P/CEMENTO</t>
  </si>
  <si>
    <t>01-6275</t>
  </si>
  <si>
    <t>DM ASEIN/ADELANT FACT/TANQUE P/SEDE MINERALES</t>
  </si>
  <si>
    <t>01-6276</t>
  </si>
  <si>
    <t>SERVL016</t>
  </si>
  <si>
    <t>ADQUISICIÓN DE MAQUINARIAS</t>
  </si>
  <si>
    <t>OM AUTO/FACT 2698/ARRANQUE COMPRESOR DE AIRE-P/CEMENTO</t>
  </si>
  <si>
    <t>01-6277</t>
  </si>
  <si>
    <t>GLOBAL ACERO/FACT 0068/PLATAFORMA SEGURIDAD TOLVA CALIZA</t>
  </si>
  <si>
    <t>01-6278</t>
  </si>
  <si>
    <t>01-6279</t>
  </si>
  <si>
    <t>VIATICOS-TRADESUR/FACT 1207/DIOSANNY FACT408/ADELANT FACT16 ALBERTO PERNALETTE</t>
  </si>
  <si>
    <t>01-6280</t>
  </si>
  <si>
    <t>01-6281</t>
  </si>
  <si>
    <t>ITALMECANICA MOTOR/REINTEGRO FACT 181</t>
  </si>
  <si>
    <t>01-6282</t>
  </si>
  <si>
    <t>REINTEGRO FACT 181</t>
  </si>
  <si>
    <t>01-6283</t>
  </si>
  <si>
    <t>01-6284</t>
  </si>
  <si>
    <t>01-6285</t>
  </si>
  <si>
    <t>01-6286</t>
  </si>
  <si>
    <t>REPOSICION DE CAJA CHICA-MINERALES</t>
  </si>
  <si>
    <t>01-6287</t>
  </si>
  <si>
    <t>RYA/FACT 35/OBRA PLANTA CEMENTO</t>
  </si>
  <si>
    <t>01-6288</t>
  </si>
  <si>
    <t>01-6289</t>
  </si>
  <si>
    <t>12-250725</t>
  </si>
  <si>
    <t>JULIO PERNALETTE/FACT 16/VIATICOS</t>
  </si>
  <si>
    <t>01-6290</t>
  </si>
  <si>
    <t>Henrry Valera/Eventual Gobernacion21/07 AL 27/07</t>
  </si>
  <si>
    <t>01-6291</t>
  </si>
  <si>
    <t>Federico Faneite/Eventual Gobernacion21/07 AL 27/07</t>
  </si>
  <si>
    <t>01-6292</t>
  </si>
  <si>
    <t>Brunito Segundo Cordero/Eventual Agregados21/07 AL 27/07</t>
  </si>
  <si>
    <t>01-6293</t>
  </si>
  <si>
    <t>DANNY URRUTIA/SEMANA 21/07 AL 25/07 DESARROLLO YESO-CALIZA</t>
  </si>
  <si>
    <t>01-6294</t>
  </si>
  <si>
    <t>Edwuard Almeida/Eventual Megatech21/07 AL 27/07</t>
  </si>
  <si>
    <t>01-6295</t>
  </si>
  <si>
    <t>ANDRES MELENDEZ/SEMANA 21/07 AL 25/07 DESARROLLO YESO-CALIZA</t>
  </si>
  <si>
    <t>01-6296</t>
  </si>
  <si>
    <t>Yerry Rodríguez/Eventual Megatech21/07 AL 27/07</t>
  </si>
  <si>
    <t>01-6297</t>
  </si>
  <si>
    <t>OLGA OROZCO/HOSPEDAJE-SEMANA 21/07 AL 25/07 DESARROLLO YESO-CALIZA</t>
  </si>
  <si>
    <t>01-6298</t>
  </si>
  <si>
    <t>45-250725</t>
  </si>
  <si>
    <t>Elio Malpica/Eventual Megatech21/07 AL 27/07</t>
  </si>
  <si>
    <t>01-6299</t>
  </si>
  <si>
    <t>GLOBAL ACERO/FACT 69/CERRAMIENTO BANDAS TRANSPORTADORA CLINKER P/CEMENTO</t>
  </si>
  <si>
    <t>01-6300</t>
  </si>
  <si>
    <t>YOHAN GUANIPA/COMIDA-SEMANA 21/07 AL 25/07 DESARROLLO YESO-CALIZA</t>
  </si>
  <si>
    <t>01-6301</t>
  </si>
  <si>
    <t>13-250725</t>
  </si>
  <si>
    <t>MATERIALES STA LUCIA/FACT5673/CEMENTERA</t>
  </si>
  <si>
    <t>01-6302</t>
  </si>
  <si>
    <t>SUMINISTRO OESTE/FACT89/REQUERI CABLES ST 4X12 P/PERSONAL HINDU P/CEMENTO</t>
  </si>
  <si>
    <t>01-6303</t>
  </si>
  <si>
    <t>FERRE REMI/FACT306/CERRAMIENTO FOSAS D/ELEVADORES D/HORNOS P/CEMENTO</t>
  </si>
  <si>
    <t>01-6304</t>
  </si>
  <si>
    <t>Ruben Rivas/Eventual Megatech21/07 AL 27/07</t>
  </si>
  <si>
    <t>01-6305</t>
  </si>
  <si>
    <t>01-6306</t>
  </si>
  <si>
    <t>01-6307</t>
  </si>
  <si>
    <t>01-6308</t>
  </si>
  <si>
    <t>01-6309</t>
  </si>
  <si>
    <t>01-6310</t>
  </si>
  <si>
    <t>01-6311</t>
  </si>
  <si>
    <t>Justiniano Rodriguez/Eventual Agregados21/07 AL 27/07</t>
  </si>
  <si>
    <t>01-6312</t>
  </si>
  <si>
    <t>Delios Adolfo Ferrara/Eventual Agregados21/07 AL 27/07</t>
  </si>
  <si>
    <t>01-6313</t>
  </si>
  <si>
    <t>Eliomar Jesús Escalona/Eventual Agregados21/07 AL 27/07</t>
  </si>
  <si>
    <t>01-6314</t>
  </si>
  <si>
    <t>José Guillermo Cortez/Eventual Agregados21/07 AL 27/07</t>
  </si>
  <si>
    <t>01-6315</t>
  </si>
  <si>
    <t>Darwuin Jesús Bullones/Eventual Agregados21/07 AL 27/07</t>
  </si>
  <si>
    <t>01-6316</t>
  </si>
  <si>
    <t>Frank Armando García/Eventual Agregados21/07 AL 27/07</t>
  </si>
  <si>
    <t>01-6317</t>
  </si>
  <si>
    <t>Alberto Luis Rojas/Eventual Agregados21/07 AL 27/07</t>
  </si>
  <si>
    <t>01-6318</t>
  </si>
  <si>
    <t>Naiker Alexander Jimenez/Eventual Agregados21/07 AL 27/07</t>
  </si>
  <si>
    <t>01-6319</t>
  </si>
  <si>
    <t>José Gregorio Perez/Eventual Agregados21/07 AL 27/07</t>
  </si>
  <si>
    <t>01-6320</t>
  </si>
  <si>
    <t>Carlos Daniel Rodriguez/Eventual Agregados21/07 AL 27/07</t>
  </si>
  <si>
    <t>01-6321</t>
  </si>
  <si>
    <t>Alejandro Morales/Eventual Agregados21/07 AL 27/07</t>
  </si>
  <si>
    <t>01-6322</t>
  </si>
  <si>
    <t>Euber José Juarez/Eventual Agregados21/07 AL 27/07</t>
  </si>
  <si>
    <t>01-6323</t>
  </si>
  <si>
    <t>Ali Alberto Bullones/Eventual Agregados21/07 AL 27/07</t>
  </si>
  <si>
    <t>01-6324</t>
  </si>
  <si>
    <t>Alberto Ali Bullones/Eventual Agregados21/07 AL 27/07</t>
  </si>
  <si>
    <t>01-6325</t>
  </si>
  <si>
    <t>Fernando José Rodriguez/Eventual Agregados21/07 AL 27/07</t>
  </si>
  <si>
    <t>01-6326</t>
  </si>
  <si>
    <t>Bruno Ali Cordero Bullones/Eventual Agregados21/07 AL 27/07</t>
  </si>
  <si>
    <t>01-6327</t>
  </si>
  <si>
    <t>Fareliz Arrieche/Eventual Gobernacion21/07 AL 27/07</t>
  </si>
  <si>
    <t>01-6328</t>
  </si>
  <si>
    <t>01-6329</t>
  </si>
  <si>
    <t>Armando Lopez /Eventual Agregados21/07 AL 27/07</t>
  </si>
  <si>
    <t>01-6330</t>
  </si>
  <si>
    <t>Froilan Lopez/Eventual Agregados21/07 AL 27/07</t>
  </si>
  <si>
    <t>01-6331</t>
  </si>
  <si>
    <t>Ramón Quintero/Eventual Agregados21/07 AL 27/07</t>
  </si>
  <si>
    <t>01-6332</t>
  </si>
  <si>
    <t>Juan López/Eventual Agregados21/07 AL 27/07</t>
  </si>
  <si>
    <t>01-6333</t>
  </si>
  <si>
    <t>Luis Silveiro Colon Ojeda/Eventual Agregados21/07 AL 27/07</t>
  </si>
  <si>
    <t>01-6334</t>
  </si>
  <si>
    <t>RAFAEL MORILLO/SEMANA 21/07 AL 25/07 DESARROLLO YESO-CALIZA</t>
  </si>
  <si>
    <t>01-6335</t>
  </si>
  <si>
    <t>Jesus Ramos/Eventual Gobernacion21/07 AL 27/07</t>
  </si>
  <si>
    <t>01-6336</t>
  </si>
  <si>
    <t>Exson Rodriguez/Eventual Gobernacion21/07 AL 27/07</t>
  </si>
  <si>
    <t>01-6337</t>
  </si>
  <si>
    <t>Douglas Pimentel/Eventual Gobernacion21/07 AL 27/07</t>
  </si>
  <si>
    <t>01-6338</t>
  </si>
  <si>
    <t>Pedro Castillo/Eventual Gobernacion21/07 AL 27/07</t>
  </si>
  <si>
    <t>01-6339</t>
  </si>
  <si>
    <t>Miguel Torres/Eventual Gobernacion21/07 AL 27/07</t>
  </si>
  <si>
    <t>01-6340</t>
  </si>
  <si>
    <t>Wendy Gimenez/Eventual Gobernacion21/07 AL 27/07</t>
  </si>
  <si>
    <t>01-6341</t>
  </si>
  <si>
    <t>Nicolas Alvarez/Eventual Gobernacion21/07 AL 27/07</t>
  </si>
  <si>
    <t>01-6342</t>
  </si>
  <si>
    <t>Rafael Puertas/Eventual Gobernacion21/07 AL 27/07</t>
  </si>
  <si>
    <t>01-6343</t>
  </si>
  <si>
    <t>Carlos Pacheco/Eventual Gobernacion21/07 AL 27/07</t>
  </si>
  <si>
    <t>01-6344</t>
  </si>
  <si>
    <t>Andrés Armella/Eventual Gobernacion21/07 AL 27/07</t>
  </si>
  <si>
    <t>01-6345</t>
  </si>
  <si>
    <t>Angel Caldera/Eventual Gobernacion21/07 AL 27/07</t>
  </si>
  <si>
    <t>01-6346</t>
  </si>
  <si>
    <t>Jose Toledo/Eventual Gobernacion21/07 AL 27/07</t>
  </si>
  <si>
    <t>01-6347</t>
  </si>
  <si>
    <t>Juan Pinto/Eventual Gobernacion21/07 AL 27/07</t>
  </si>
  <si>
    <t>01-6348</t>
  </si>
  <si>
    <t>Edwin Rojas/Eventual Gobernacion21/07 AL 27/07</t>
  </si>
  <si>
    <t>01-6349</t>
  </si>
  <si>
    <t>Estebez Maramara/Eventual Agregados21/07 AL 27/07</t>
  </si>
  <si>
    <t>01-6350</t>
  </si>
  <si>
    <t>Carlos Lopez/Eventual Agregados21/07 AL 27/07</t>
  </si>
  <si>
    <t>01-6351</t>
  </si>
  <si>
    <t>Rafael Quiroz/Eventual Gobernacion21/07 AL 27/07</t>
  </si>
  <si>
    <t>01-6352</t>
  </si>
  <si>
    <t>Alirio Parra/Eventual Megatech21/07 AL 27/07</t>
  </si>
  <si>
    <t>01-6353</t>
  </si>
  <si>
    <t>Pitter Puerta/Eventual Megatech21/07 AL 27/07</t>
  </si>
  <si>
    <t>01-6354</t>
  </si>
  <si>
    <t>LINO FLOREZ/SEMANA 21/07 AL 25/07 DESARROLLO YESO-CALIZA</t>
  </si>
  <si>
    <t>01-6355</t>
  </si>
  <si>
    <t>Argenis Flores/Eventual Megatech21/07 AL 27/07</t>
  </si>
  <si>
    <t>01-6356</t>
  </si>
  <si>
    <t>Yonny Castillo/Eventual Megatech21/07 AL 27/07</t>
  </si>
  <si>
    <t>01-6357</t>
  </si>
  <si>
    <t>Walner Oviedo/Eventual Megatech21/07 AL 27/07</t>
  </si>
  <si>
    <t>01-6358</t>
  </si>
  <si>
    <t>Francisco Castillo/Eventual Megatech21/07 AL 27/07</t>
  </si>
  <si>
    <t>01-6359</t>
  </si>
  <si>
    <t>Antonio Castillo/Eventual Megatech21/07 AL 27/07</t>
  </si>
  <si>
    <t>01-6360</t>
  </si>
  <si>
    <t>Jose Guevara/Eventual Megatech21/07 AL 27/07</t>
  </si>
  <si>
    <t>01-6361</t>
  </si>
  <si>
    <t>Jose Castillo/Eventual Megatech21/07 AL 27/07</t>
  </si>
  <si>
    <t>01-6362</t>
  </si>
  <si>
    <t>Elvis Valles/Eventual Megatech21/07 AL 27/07</t>
  </si>
  <si>
    <t>01-6363</t>
  </si>
  <si>
    <t>01-6364</t>
  </si>
  <si>
    <t>Omar Torrealba/Eventual Megatech21/07 AL 27/07</t>
  </si>
  <si>
    <t>01-6365</t>
  </si>
  <si>
    <t>Carlos Castillo/Eventual Megatech21/07 AL 27/07</t>
  </si>
  <si>
    <t>01-6366</t>
  </si>
  <si>
    <t>Julian Guedez/Eventual Megatech21/07 AL 27/07</t>
  </si>
  <si>
    <t>01-6367</t>
  </si>
  <si>
    <t>Yordis Almao/Eventual Megatech21/07 AL 27/07</t>
  </si>
  <si>
    <t>01-6368</t>
  </si>
  <si>
    <t>Victor Mendez/Eventual Megatech21/07 AL 27/07</t>
  </si>
  <si>
    <t>01-6369</t>
  </si>
  <si>
    <t>Carlos Loyo/Eventual Megatech21/07 AL 27/07</t>
  </si>
  <si>
    <t>01-6370</t>
  </si>
  <si>
    <t>Alberto Loyo/Eventual Megatech21/07 AL 27/07</t>
  </si>
  <si>
    <t>01-6371</t>
  </si>
  <si>
    <t>Alexander Castillo/Eventual Megatech21/07 AL 27/07</t>
  </si>
  <si>
    <t>01-6372</t>
  </si>
  <si>
    <t>JEFERSON DAVILA/SEMANA 21/07 AL 25/07 DESARROLLO YESO-CALIZA</t>
  </si>
  <si>
    <t>01-6373</t>
  </si>
  <si>
    <t>ROBERT ARIAS/SEMANA 21/07 AL 25/07 DESARROLLO YESO-CALIZA</t>
  </si>
  <si>
    <t>01-6374</t>
  </si>
  <si>
    <t>RAMON QUIROGAS/SEMANA 21/07 AL 25/07 DESARROLLO YESO-CALIZA</t>
  </si>
  <si>
    <t>01-6375</t>
  </si>
  <si>
    <t>REAL SEGURO/RESPONSABILIDAD CIVIL+AMBIENTAL</t>
  </si>
  <si>
    <t>01-6376</t>
  </si>
  <si>
    <t>Fareliz Arrieche/Eventual Megatech21/07 AL 27/07</t>
  </si>
  <si>
    <t>01-6377</t>
  </si>
  <si>
    <t>BEATRIZ CASTILLO/SEMANA 21/07 AL 25/07 DESARROLLO YESO-CALIZA</t>
  </si>
  <si>
    <t>01-6378</t>
  </si>
  <si>
    <t>Norys Ramos/Eventual Megatech21/07 AL 27/07</t>
  </si>
  <si>
    <t>01-6379</t>
  </si>
  <si>
    <t>Emperatriz Leon/Eventual Megatech21/07 AL 27/07</t>
  </si>
  <si>
    <t>01-6380</t>
  </si>
  <si>
    <t>Fares Arrieche/Eventual Megatech21/07 AL 27/07</t>
  </si>
  <si>
    <t>01-6381</t>
  </si>
  <si>
    <t>Ingrid Reyes/Eventual Megatech21/07 AL 27/07</t>
  </si>
  <si>
    <t>01-6382</t>
  </si>
  <si>
    <t>01-6383</t>
  </si>
  <si>
    <t>01-6384</t>
  </si>
  <si>
    <t>01-6385</t>
  </si>
  <si>
    <t>01-6386</t>
  </si>
  <si>
    <t>PREMEZCLADO NIRGUA/FATC 381/CONCRETO PREMEZCLADO P/CEMENTO</t>
  </si>
  <si>
    <t>01-6387</t>
  </si>
  <si>
    <t xml:space="preserve">PROCESADA EN AGOSTO </t>
  </si>
  <si>
    <t>01-6388</t>
  </si>
  <si>
    <t>01-6389</t>
  </si>
  <si>
    <t>SEGURA ,WAILEN/BONO SUBSIDIO -OPER</t>
  </si>
  <si>
    <t>01-6390</t>
  </si>
  <si>
    <t>RANGEL GUSTAVO/CESTA TICKET JULIO/ADM</t>
  </si>
  <si>
    <t>01-6391</t>
  </si>
  <si>
    <t>REVERON, RAMON/BONO SUBSIDIO 31-07-25/OPER</t>
  </si>
  <si>
    <t>01-6392</t>
  </si>
  <si>
    <t>MARTINEZ JUAN/BONO SUBSIDIO 31-07-25/OPER</t>
  </si>
  <si>
    <t>01-6393</t>
  </si>
  <si>
    <t>GARCIA, JASON/BONO SUBSIDIO 31-07-25/OPER</t>
  </si>
  <si>
    <t>01-6394</t>
  </si>
  <si>
    <t>PEREZ, CARLOS/BONO SUBSIDIO 31-07-25/OPER</t>
  </si>
  <si>
    <t>01-6395</t>
  </si>
  <si>
    <t>LINAREZ, PEDRO/BONO SUBSIDIO 31-07-25/OPER</t>
  </si>
  <si>
    <t>01-6396</t>
  </si>
  <si>
    <t>GUTIERREZ, PRESCILIANO/BONO SUBSIDIO 31-07-25/OPER</t>
  </si>
  <si>
    <t>01-6397</t>
  </si>
  <si>
    <t>VIELMA CARLEN/CESTA TICKET JULIO/ADM</t>
  </si>
  <si>
    <t>01-6398</t>
  </si>
  <si>
    <t>RAGA NELIDO/BONO SUBSIDIO 31-07-25/ADM</t>
  </si>
  <si>
    <t>01-6399</t>
  </si>
  <si>
    <t>SUAREZ, RAFAEL/BONO SUBSIDIO 31-07-25/OPER</t>
  </si>
  <si>
    <t>01-6400</t>
  </si>
  <si>
    <t>RIVERO, JORGE/BONO SUBSIDIO 31-07-25/OPER</t>
  </si>
  <si>
    <t>01-6401</t>
  </si>
  <si>
    <t>RODRIGUEZ, MIGUEL/SUBSIDIO JULIO/OPER</t>
  </si>
  <si>
    <t>01-6402</t>
  </si>
  <si>
    <t>VETANCOURT, BLIXANDER/BONO SUBSIDIO 31-07-25/ADM</t>
  </si>
  <si>
    <t>01-6403</t>
  </si>
  <si>
    <t>LINAREZ, SANTIAGO/BONO SUBSIDIO 31-07-25/OPER</t>
  </si>
  <si>
    <t>01-6404</t>
  </si>
  <si>
    <t>BASTIDA, JOSE/BONO SUBSIDIO 31-07-25/OPER</t>
  </si>
  <si>
    <t>01-6405</t>
  </si>
  <si>
    <t>CHIRINOS, RAFAEL/BONO SUBSIDIO 31-07-25/OPER</t>
  </si>
  <si>
    <t>01-6406</t>
  </si>
  <si>
    <t>ALEJOS, RODOLFO/BONO SUBSIDIO 31-07-25/OPER</t>
  </si>
  <si>
    <t>01-6407</t>
  </si>
  <si>
    <t>RANGEL GUSTAVO/BONO COMPLE 31-07-25/ADM</t>
  </si>
  <si>
    <t>01-6408</t>
  </si>
  <si>
    <t>DAZA, VICTOR/BONO SUBSIDIO 31-07-25/OPER</t>
  </si>
  <si>
    <t>01-6409</t>
  </si>
  <si>
    <t>REVERON, RAMON/BONO COMPLE 31-07-25/OPER</t>
  </si>
  <si>
    <t>01-6410</t>
  </si>
  <si>
    <t>GUEDEZ,YIRMER/BONO COMPLE 31-07-25/OPER</t>
  </si>
  <si>
    <t>01-6411</t>
  </si>
  <si>
    <t>PEREZ, JOSE ROLANDO/BONO COMPLE 31-07-25/OPER</t>
  </si>
  <si>
    <t>01-6412</t>
  </si>
  <si>
    <t>LOPEZ ,MANOLO/BONO COMPLE 31-07-25/ADM</t>
  </si>
  <si>
    <t>01-6413</t>
  </si>
  <si>
    <t>SEGURA ,WAILEN/BONO COMPLE 31-07-25/OPER</t>
  </si>
  <si>
    <t>01-6414</t>
  </si>
  <si>
    <t>MARTINEZ JUAN/BONO COMPLE 31-07-25/OPER</t>
  </si>
  <si>
    <t>01-6415</t>
  </si>
  <si>
    <t>GARCIA, JASON/BONO COMPLE 31-07-25/OPER</t>
  </si>
  <si>
    <t>01-6416</t>
  </si>
  <si>
    <t>PEREZ, CARLOS/BONO COMPLE 31-07-25/OPER</t>
  </si>
  <si>
    <t>01-6417</t>
  </si>
  <si>
    <t>ALVARADO, EDID/BONO COMPLE 31-07-25/OPER</t>
  </si>
  <si>
    <t>01-6418</t>
  </si>
  <si>
    <t>LINAREZ, PEDRO/BONO COMPLE 31-07-25/OPER</t>
  </si>
  <si>
    <t>01-6419</t>
  </si>
  <si>
    <t>GUTIERREZ, PRESCILIANO/BONO COMPLE 31-07-25/OPER</t>
  </si>
  <si>
    <t>01-6420</t>
  </si>
  <si>
    <t>VIELMA CARLEN/BONO COMPLE 31-07-25/ADM</t>
  </si>
  <si>
    <t>01-6421</t>
  </si>
  <si>
    <t>GUEDEZ,JOSE/BONO COMPLE 31-07-25/OPER</t>
  </si>
  <si>
    <t>01-6422</t>
  </si>
  <si>
    <t>NOGUERA, OSCAR/BONO COMPLE 31-07-25/OPER</t>
  </si>
  <si>
    <t>01-6423</t>
  </si>
  <si>
    <t>RAGA NELIDO/BONO COMPLE 31-07-25/ADM</t>
  </si>
  <si>
    <t>01-6424</t>
  </si>
  <si>
    <t>GOMEZ,ARGENIS/BONO COMPLE 31-07-25/OPER</t>
  </si>
  <si>
    <t>01-6425</t>
  </si>
  <si>
    <t>SUAREZ, RAFAEL/BONO COMPLE 31-07-25/OPER</t>
  </si>
  <si>
    <t>01-6426</t>
  </si>
  <si>
    <t>RIVERO, JORGE/BONO COMPLE 31-07-25/OPER</t>
  </si>
  <si>
    <t>01-6427</t>
  </si>
  <si>
    <t>PARADA,KEIBY/BONO COMPLE 31-07-25/OPER</t>
  </si>
  <si>
    <t>01-6428</t>
  </si>
  <si>
    <t>RODRIGUEZ ANSONNY/BONO COMPLE 31-07-25/OPER</t>
  </si>
  <si>
    <t>01-6429</t>
  </si>
  <si>
    <t>RODRIGUEZ, MIGUEL/BONO COMPLE 31-07-25/OPER</t>
  </si>
  <si>
    <t>01-6430</t>
  </si>
  <si>
    <t>SOTELDO, LUSMAR/BONO COMPLE 31-07-25/OPER</t>
  </si>
  <si>
    <t>01-6431</t>
  </si>
  <si>
    <t>MENDOZA,ANTONY/BONO COMPLE 31-07-25/OPER</t>
  </si>
  <si>
    <t>01-6432</t>
  </si>
  <si>
    <t>ALMAO,GENESIS/BONO COMPLE 31-07-25/ADM</t>
  </si>
  <si>
    <t>01-6433</t>
  </si>
  <si>
    <t>QUERALES ,EDIXON/BONO COMPLE 31-07-25/OPER</t>
  </si>
  <si>
    <t>01-6434</t>
  </si>
  <si>
    <t>ROJAS MARIA/BONO COMPLE 31-07-25/OPER</t>
  </si>
  <si>
    <t>01-6435</t>
  </si>
  <si>
    <t>VETANCOURT, BLIXANDER/BONO COMPLE 31-07-25/ADM</t>
  </si>
  <si>
    <t>01-6436</t>
  </si>
  <si>
    <t>ALEJOS, RODOLFO/BONO COMPLE 31-07-25/OPER</t>
  </si>
  <si>
    <t>01-6437</t>
  </si>
  <si>
    <t>QUERALES, HERMES/BONO COMPLE 31-07-25/OPER</t>
  </si>
  <si>
    <t>01-6438</t>
  </si>
  <si>
    <t>DURAN, MARIA/BONO COMPLE 31-07-25/OPER</t>
  </si>
  <si>
    <t>01-6439</t>
  </si>
  <si>
    <t>CHIRINOS, RAFAEL/BONO COMPLE 31-07-25/OPER</t>
  </si>
  <si>
    <t>01-6440</t>
  </si>
  <si>
    <t>BASTIDA, JOSE/BONO COMPLE 31-07-25/OPER</t>
  </si>
  <si>
    <t>01-6441</t>
  </si>
  <si>
    <t>DAZA, VICTOR/BONO COMPLE 31-07-25/OPER</t>
  </si>
  <si>
    <t>01-6442</t>
  </si>
  <si>
    <t>LINAREZ, SANTIAGO/BONO COMPLE 31-07-25/OPER</t>
  </si>
  <si>
    <t>01-6443</t>
  </si>
  <si>
    <t>RANGEL GUSTAVO/BONO ADICIONAL 31-07-25/ADM</t>
  </si>
  <si>
    <t>01-6444</t>
  </si>
  <si>
    <t>VIELMA CARLEN/BONO ADICIONAL 31-07-25/ADM</t>
  </si>
  <si>
    <t>01-6445</t>
  </si>
  <si>
    <t>NOGUERA, OSCAR/BONO ADICIONAL 31-07-25/OPER</t>
  </si>
  <si>
    <t>01-6446</t>
  </si>
  <si>
    <t>RODRIGUEZ, MIGUEL/BONO ADICIONAL 31-07-25/OPER</t>
  </si>
  <si>
    <t>01-6447</t>
  </si>
  <si>
    <t>01-6448</t>
  </si>
  <si>
    <t>GUEDEZ,YIRMER/CESTA TICKET JULIO/OPER</t>
  </si>
  <si>
    <t>01-6449</t>
  </si>
  <si>
    <t>REVERON, RAMON/CESTA TICKET JULIO/OPER</t>
  </si>
  <si>
    <t>01-6450</t>
  </si>
  <si>
    <t>PEREZ, JOSE ROLANDO/CESTA TICKET JULIO/OPER</t>
  </si>
  <si>
    <t>01-6451</t>
  </si>
  <si>
    <t>LOPEZ ,MANOLO/CESTA TICKET JULIO/ADM</t>
  </si>
  <si>
    <t>01-6452</t>
  </si>
  <si>
    <t>SEGURA ,WAILEN/CESTA TICKET JULIO/OPER</t>
  </si>
  <si>
    <t>01-6453</t>
  </si>
  <si>
    <t>MARTINEZ JUAN/CESTA TICKET JULIO/OPER</t>
  </si>
  <si>
    <t>01-6454</t>
  </si>
  <si>
    <t>GARCIA, JASON/CESTA TICKET JULIO/OPER</t>
  </si>
  <si>
    <t>01-6455</t>
  </si>
  <si>
    <t>PEREZ, CARLOS/CESTA TICKET JULIO/OPER</t>
  </si>
  <si>
    <t>01-6456</t>
  </si>
  <si>
    <t>ALVARADO, EDID/CESTA TICKET JULIO/OPER</t>
  </si>
  <si>
    <t>01-6457</t>
  </si>
  <si>
    <t>LINAREZ, PEDRO/CESTA TICKET JULIO/OPER</t>
  </si>
  <si>
    <t>01-6458</t>
  </si>
  <si>
    <t>GUTIERREZ, PRESCILIANO/CESTA TICKET JULIO/OPER</t>
  </si>
  <si>
    <t>01-6459</t>
  </si>
  <si>
    <t>01-6460</t>
  </si>
  <si>
    <t>GUEDEZ,JOSE/CESTA TICKET JULIO/OPER</t>
  </si>
  <si>
    <t>01-6461</t>
  </si>
  <si>
    <t>RAGA NELIDO/CESTA TICKET JULIO/ADM</t>
  </si>
  <si>
    <t>01-6462</t>
  </si>
  <si>
    <t>NOGUERA, OSCAR/CESTA TICKET JULIO/OPER</t>
  </si>
  <si>
    <t>01-6463</t>
  </si>
  <si>
    <t>GOMEZ,ARGENIS/CESTA TICKET JULIO/OPER</t>
  </si>
  <si>
    <t>01-6464</t>
  </si>
  <si>
    <t>PARADA,KEIBY/CESTA TICKET JULIO/OPER</t>
  </si>
  <si>
    <t>01-6465</t>
  </si>
  <si>
    <t>SUAREZ, RAFAEL/CESTA TICKET JULIO/OPER</t>
  </si>
  <si>
    <t>01-6466</t>
  </si>
  <si>
    <t>RIVERO, JORGE/CESTA TICKET JULIO/OPER</t>
  </si>
  <si>
    <t>01-6467</t>
  </si>
  <si>
    <t>RODRIGUEZ, MIGUEL/CESTA TICKET JULIO/OPER</t>
  </si>
  <si>
    <t>01-6468</t>
  </si>
  <si>
    <t>RODRIGUEZ ANSONNY/CESTA TICKET JULIO/OPER</t>
  </si>
  <si>
    <t>01-6469</t>
  </si>
  <si>
    <t>SOTELDO, LUSMAR/CESTA TICKET JULIO/OPER</t>
  </si>
  <si>
    <t>01-6470</t>
  </si>
  <si>
    <t>MENDOZA,ANTONY/CESTA TICKET JULIO/OPER</t>
  </si>
  <si>
    <t>01-6471</t>
  </si>
  <si>
    <t>ALMAO,GENESIS/CESTA TICKET JULIO/ADM</t>
  </si>
  <si>
    <t>01-6472</t>
  </si>
  <si>
    <t>ROJAS MARIA/CESTA TICKET JULIO/OPER</t>
  </si>
  <si>
    <t>01-6473</t>
  </si>
  <si>
    <t>QUERALES ,EDIXON/CESTA TICKET JULIO/OPER</t>
  </si>
  <si>
    <t>01-6474</t>
  </si>
  <si>
    <t>VETANCOURT, BLIXANDER/CESTA TICKET JULIO/ADM</t>
  </si>
  <si>
    <t>01-6475</t>
  </si>
  <si>
    <t>DURAN, MARIA/CESTA TICKET JULIO/OPER</t>
  </si>
  <si>
    <t>01-6476</t>
  </si>
  <si>
    <t>QUERALES, HERMES/CESTA TICKET JULIO/OPER</t>
  </si>
  <si>
    <t>01-6477</t>
  </si>
  <si>
    <t>LINAREZ, SANTIAGO/CESTA TICKET JULIO/OPER</t>
  </si>
  <si>
    <t>01-6478</t>
  </si>
  <si>
    <t>BASTIDA, JOSE/CESTA TICKET JULIO/OPER</t>
  </si>
  <si>
    <t>01-6479</t>
  </si>
  <si>
    <t>CHIRINOS, RAFAEL/CESTA TICKET JULIO/OPER</t>
  </si>
  <si>
    <t>01-6480</t>
  </si>
  <si>
    <t>ALEJOS, RODOLFO/CESTA TICKET JULIO/OPER</t>
  </si>
  <si>
    <t>01-6481</t>
  </si>
  <si>
    <t>DAZA, VICTOR/CESTA TICKET JULIO/OPER</t>
  </si>
  <si>
    <t>01-6482</t>
  </si>
  <si>
    <t>GALEANO, FRANCISCO/CESTA TICKET JULIO/OPER</t>
  </si>
  <si>
    <t>01-6483</t>
  </si>
  <si>
    <t>RANGEL GUSTAVO/NOMINA 31-07-25/ADM</t>
  </si>
  <si>
    <t>01-6484</t>
  </si>
  <si>
    <t>GUEDEZ,YIRMER/NOMINA 31-07-25/OPER</t>
  </si>
  <si>
    <t>01-6485</t>
  </si>
  <si>
    <t>REVERON, RAMON/NOMINA 31-07-25/OPER</t>
  </si>
  <si>
    <t>01-6486</t>
  </si>
  <si>
    <t>PEREZ, JOSE ROLANDO/NOMINA 31-07-25/OPER</t>
  </si>
  <si>
    <t>01-6487</t>
  </si>
  <si>
    <t>LOPEZ ,MANOLO/NOMINA 31-07-25/ADM</t>
  </si>
  <si>
    <t>01-6488</t>
  </si>
  <si>
    <t>SEGURA ,WAILEN/NOMINA 31-07-25/OPER</t>
  </si>
  <si>
    <t>01-6489</t>
  </si>
  <si>
    <t>MARTINEZ JUAN/NOMINA 31-07-25/OPER</t>
  </si>
  <si>
    <t>01-6490</t>
  </si>
  <si>
    <t>GARCIA, JASON/NOMINA 31-07-25/OPER</t>
  </si>
  <si>
    <t>01-6491</t>
  </si>
  <si>
    <t>PEREZ, CARLOS/NOMINA 31-07-25/OPER</t>
  </si>
  <si>
    <t>01-6492</t>
  </si>
  <si>
    <t>ALVARADO, EDID/NOMINA 31-07-25/OPER</t>
  </si>
  <si>
    <t>01-6493</t>
  </si>
  <si>
    <t>LINAREZ, PEDRO/NOMINA 31-07-25/OPER</t>
  </si>
  <si>
    <t>01-6494</t>
  </si>
  <si>
    <t>GUTIERREZ, PRESCILIANO/NOMINA 31-07-25/OPER</t>
  </si>
  <si>
    <t>01-6495</t>
  </si>
  <si>
    <t>VIELMA CARLEN/NOMINA 31-07-25/ADM</t>
  </si>
  <si>
    <t>01-6496</t>
  </si>
  <si>
    <t>GUEDEZ,JOSE/NOMINA 31-07-25/OPER</t>
  </si>
  <si>
    <t>01-6497</t>
  </si>
  <si>
    <t>RAGA NELIDO/NOMINA 31-07-25/ADM</t>
  </si>
  <si>
    <t>01-6498</t>
  </si>
  <si>
    <t>NOGUERA, OSCAR/NOMINA 31-07-25/OPER</t>
  </si>
  <si>
    <t>01-6499</t>
  </si>
  <si>
    <t>GOMEZ,ARGENIS/NOMINA 31-07-25/OPER</t>
  </si>
  <si>
    <t>01-6500</t>
  </si>
  <si>
    <t>PARADA,KEIBY/NOMINA 31-07-25/OPER</t>
  </si>
  <si>
    <t>01-6501</t>
  </si>
  <si>
    <t>SUAREZ, RAFAEL/NOMINA 31-07-25/OPER</t>
  </si>
  <si>
    <t>01-6502</t>
  </si>
  <si>
    <t>RIVERO, JORGE/NOMINA 31-07-25/OPER</t>
  </si>
  <si>
    <t>01-6503</t>
  </si>
  <si>
    <t>RODRIGUEZ, MIGUEL/NOMINA 31-07-25/OPER</t>
  </si>
  <si>
    <t>01-6504</t>
  </si>
  <si>
    <t>RODRIGUEZ ANSONNY/NOMINA 31-07-25/OPER</t>
  </si>
  <si>
    <t>01-6505</t>
  </si>
  <si>
    <t>SOTELDO, LUSMAR/NOMINA 31-07-25/OPER</t>
  </si>
  <si>
    <t>01-6506</t>
  </si>
  <si>
    <t>MENDOZA,ANTONY/NOMINA 31-07-25/OPER</t>
  </si>
  <si>
    <t>01-6507</t>
  </si>
  <si>
    <t>ALMAO,GENESIS/NOMINA 31-07-25/ADM</t>
  </si>
  <si>
    <t>01-6508</t>
  </si>
  <si>
    <t>ROJAS MARIA/NOMINA 31-07-25/OPER</t>
  </si>
  <si>
    <t>01-6509</t>
  </si>
  <si>
    <t>QUERALES ,EDIXON/NOMINA 31-07-25/OPER</t>
  </si>
  <si>
    <t>01-6510</t>
  </si>
  <si>
    <t>VETANCOURT, BLIXANDER/NOMINA 31-07-25/ADM</t>
  </si>
  <si>
    <t>01-6511</t>
  </si>
  <si>
    <t>DURAN, MARIA/NOMINA 31-07-25/OPER</t>
  </si>
  <si>
    <t>01-6512</t>
  </si>
  <si>
    <t>QUERALES, HERMES/NOMINA 31-07-25/OPER</t>
  </si>
  <si>
    <t>01-6513</t>
  </si>
  <si>
    <t>LINAREZ, SANTIAGO/NOMINA 31-07-25/OPER</t>
  </si>
  <si>
    <t>01-6514</t>
  </si>
  <si>
    <t>BASTIDA, JOSE/NOMINA 31-07-25/OPER</t>
  </si>
  <si>
    <t>01-6515</t>
  </si>
  <si>
    <t>ALEJOS, RODOLFO/NOMINA 31-07-25/OPER</t>
  </si>
  <si>
    <t>01-6516</t>
  </si>
  <si>
    <t>DAZA, VICTOR/NOMINA 31-07-25/OPER</t>
  </si>
  <si>
    <t>01-6517</t>
  </si>
  <si>
    <t>CHIRINOS, RAFAEL/NOMINA  31-07-25/OPER</t>
  </si>
  <si>
    <t>01-6518</t>
  </si>
  <si>
    <t>JOSE ARRIETA/EVENTUAL GOBERNACION 2DA QUINCENA</t>
  </si>
  <si>
    <t>01-6519</t>
  </si>
  <si>
    <t>CARLOS RODRIGUEZ/EVENTUAL GOBERNACION 2DA QUINCENA</t>
  </si>
  <si>
    <t>01-6520</t>
  </si>
  <si>
    <t>ARMANDO VILLEGAS/EVENTUAL GOBERNACION 2DA QUINCENA</t>
  </si>
  <si>
    <t>01-6521</t>
  </si>
  <si>
    <t>01-6522</t>
  </si>
  <si>
    <t>FARELIZ ARRIECHE/MATTO VEHICULO GERENTE</t>
  </si>
  <si>
    <t>01-6523</t>
  </si>
  <si>
    <t>12-300725</t>
  </si>
  <si>
    <t>LAMINADOS/FACT 4087/DIF RETENCION</t>
  </si>
  <si>
    <t>01-6524</t>
  </si>
  <si>
    <t>01-6525</t>
  </si>
  <si>
    <t>01-6526</t>
  </si>
  <si>
    <t>01-6527</t>
  </si>
  <si>
    <t>INVERFILTRO/FACT 11268/FILTRO/GASOLINA P/TRACTOR D9</t>
  </si>
  <si>
    <t>01-6528</t>
  </si>
  <si>
    <t>KLEIBER RODRIGUEZ/FACT 32/VALLA PUBLICITARIA VINIL AUTOADHESIVO-SEDE MINERALES</t>
  </si>
  <si>
    <t>01-6529</t>
  </si>
  <si>
    <t>RESPUESTO Y SERV CARS/FACT 1553/BORNES P/BATERIA GRUA TELESCOPICA</t>
  </si>
  <si>
    <t>01-6530</t>
  </si>
  <si>
    <t>HONORARIOS PROFESIONALES/INSPECCION SINELEC FABRICANTE TRANSFORMACION</t>
  </si>
  <si>
    <t>01-6531</t>
  </si>
  <si>
    <t>38-310725</t>
  </si>
  <si>
    <t>GUSTAVO RANGEL/MUESTRA YESO P/ANALISIS UCAB</t>
  </si>
  <si>
    <t>01-6532</t>
  </si>
  <si>
    <t>01-6533</t>
  </si>
  <si>
    <t>01-6534</t>
  </si>
  <si>
    <t>01-6535</t>
  </si>
  <si>
    <t>0329222762141</t>
  </si>
  <si>
    <t>2.710.000,00</t>
  </si>
  <si>
    <t>01-6536</t>
  </si>
  <si>
    <t>VZLA</t>
  </si>
  <si>
    <t>01-6537</t>
  </si>
  <si>
    <t>01-6538</t>
  </si>
  <si>
    <t>01-6539</t>
  </si>
  <si>
    <t>LUZBARDO ESPINOSA/FACT 120/INSTAL ELECTRICA EDIFI HORNOS VERTICALES</t>
  </si>
  <si>
    <t>-178.761,75</t>
  </si>
  <si>
    <t>01-6540</t>
  </si>
  <si>
    <t>01-6541</t>
  </si>
  <si>
    <t>01-6542</t>
  </si>
  <si>
    <t>01-6543</t>
  </si>
  <si>
    <t>01-6544</t>
  </si>
  <si>
    <t>01-6545</t>
  </si>
  <si>
    <t>01-6546</t>
  </si>
  <si>
    <t>01-6547</t>
  </si>
  <si>
    <t>01-6548</t>
  </si>
  <si>
    <t>01-6549</t>
  </si>
  <si>
    <t>-126.330,00</t>
  </si>
  <si>
    <t>01-6550</t>
  </si>
  <si>
    <t>-446,90</t>
  </si>
  <si>
    <t>01-6551</t>
  </si>
  <si>
    <t>01-6552</t>
  </si>
  <si>
    <t>01-6553</t>
  </si>
  <si>
    <t>01-6554</t>
  </si>
  <si>
    <t>01-6555</t>
  </si>
  <si>
    <t>01-6556</t>
  </si>
  <si>
    <t>01-6557</t>
  </si>
  <si>
    <t>01-6558</t>
  </si>
  <si>
    <t>01-6559</t>
  </si>
  <si>
    <t>01-6560</t>
  </si>
  <si>
    <t>-315,82</t>
  </si>
  <si>
    <t>01-6561</t>
  </si>
  <si>
    <t>01-6562</t>
  </si>
  <si>
    <t>01-6563</t>
  </si>
  <si>
    <t>01-6564</t>
  </si>
  <si>
    <t>0598121002315</t>
  </si>
  <si>
    <t xml:space="preserve">INCES/ II TRIMESTRES      </t>
  </si>
  <si>
    <t>01-6565</t>
  </si>
  <si>
    <t>03-040725</t>
  </si>
  <si>
    <t>9884804072025</t>
  </si>
  <si>
    <t>01-6566</t>
  </si>
  <si>
    <t>0100733541066</t>
  </si>
  <si>
    <t xml:space="preserve">IVSS/PERIODO JUNIO 2025                      </t>
  </si>
  <si>
    <t>01-6567</t>
  </si>
  <si>
    <t>0828633543641</t>
  </si>
  <si>
    <t xml:space="preserve">BANAVIH/PERIODO JUNIO 2025                </t>
  </si>
  <si>
    <t>01-6568</t>
  </si>
  <si>
    <t>0329223485424</t>
  </si>
  <si>
    <t>2.010.000,00</t>
  </si>
  <si>
    <t>01-6569</t>
  </si>
  <si>
    <t>SUMINISTR OESTE/FACT88/SISTEMA GENERACION P/CEMENTO</t>
  </si>
  <si>
    <t>01-6570</t>
  </si>
  <si>
    <t>MI BROWNIE/FACT3094/CAKE VAINILLA CUMPLEAÑOS COLABORADORES</t>
  </si>
  <si>
    <t>01-6571</t>
  </si>
  <si>
    <t>VENFA/FACTA-084/CILINDRO HIDRAULICO-CARGADOR FRONTAL-MINERALES</t>
  </si>
  <si>
    <t>01-6572</t>
  </si>
  <si>
    <t>01-6573</t>
  </si>
  <si>
    <t>MI BROWNIE/FACT3095/CAKE CUMPLEAÑOS COLABORADORES</t>
  </si>
  <si>
    <t>01-6574</t>
  </si>
  <si>
    <t>NISSI/FACT1440/ENVIO CABEZAL P/COMPRESOR-MINERALES</t>
  </si>
  <si>
    <t>01-6575</t>
  </si>
  <si>
    <t>GEORMAN/FACT263/TRASLADO HYNDUAI DESDE TALLER-SEDE MINERALES</t>
  </si>
  <si>
    <t>01-6576</t>
  </si>
  <si>
    <t>MI BROWNIE/FACT3095/CAKE VAINILLA CUMPLEAÑOS COLABORADORES</t>
  </si>
  <si>
    <t>01-6577</t>
  </si>
  <si>
    <t>FERRE REMI/FACT 287/TUBO REDONDO P/BARANDA PLATAFORMA SEGUR-HORNO VERTICALES-P/CEMENTO</t>
  </si>
  <si>
    <t>01-6578</t>
  </si>
  <si>
    <t>01-6579</t>
  </si>
  <si>
    <t>01-6580</t>
  </si>
  <si>
    <t>01-6581</t>
  </si>
  <si>
    <t>01-6582</t>
  </si>
  <si>
    <t>01-6583</t>
  </si>
  <si>
    <t>01-6584</t>
  </si>
  <si>
    <t>01-6585</t>
  </si>
  <si>
    <t>GLOBAL ACEROS/FACT63/TUBOS P/BARANDA-PLATAFORMA-HORNOS VERTICALES</t>
  </si>
  <si>
    <t>-145.023,20</t>
  </si>
  <si>
    <t>01-6586</t>
  </si>
  <si>
    <t>-1,65</t>
  </si>
  <si>
    <t>01-6587</t>
  </si>
  <si>
    <t>01-6588</t>
  </si>
  <si>
    <t>-362,55</t>
  </si>
  <si>
    <t>01-6589</t>
  </si>
  <si>
    <t>-71,58</t>
  </si>
  <si>
    <t>01-6590</t>
  </si>
  <si>
    <t>01-6591</t>
  </si>
  <si>
    <t>01-6592</t>
  </si>
  <si>
    <t>-16,63</t>
  </si>
  <si>
    <t>01-6593</t>
  </si>
  <si>
    <t>-2,44</t>
  </si>
  <si>
    <t>01-6594</t>
  </si>
  <si>
    <t>01-6595</t>
  </si>
  <si>
    <t>01-6596</t>
  </si>
  <si>
    <t>01-6597</t>
  </si>
  <si>
    <t>-9,58</t>
  </si>
  <si>
    <t>01-6598</t>
  </si>
  <si>
    <t>01-6599</t>
  </si>
  <si>
    <t>01-6600</t>
  </si>
  <si>
    <t>-339,27</t>
  </si>
  <si>
    <t>01-6601</t>
  </si>
  <si>
    <t>-20,37</t>
  </si>
  <si>
    <t>01-6602</t>
  </si>
  <si>
    <t>01-6603</t>
  </si>
  <si>
    <t>0599021102055</t>
  </si>
  <si>
    <t>JHONMER PERDOMO/FACT30/MTTO-BOMBADERA-P/CEMENTO</t>
  </si>
  <si>
    <t>-71.999,33</t>
  </si>
  <si>
    <t>01-6604</t>
  </si>
  <si>
    <t>9705507072025</t>
  </si>
  <si>
    <t xml:space="preserve">COM PAGO OTRAS CTAS JUR NAT   </t>
  </si>
  <si>
    <t>-71,99</t>
  </si>
  <si>
    <t>01-6605</t>
  </si>
  <si>
    <t>0329223550078</t>
  </si>
  <si>
    <t>920.000,00</t>
  </si>
  <si>
    <t>01-6606</t>
  </si>
  <si>
    <t>0329223566602</t>
  </si>
  <si>
    <t>77.000,00</t>
  </si>
  <si>
    <t>01-6607</t>
  </si>
  <si>
    <t>ZIO EMPRESAS/FACT 0875/EXTRACTO D/TORNILLOS P/MINERALES</t>
  </si>
  <si>
    <t>-773,92</t>
  </si>
  <si>
    <t>01-6608</t>
  </si>
  <si>
    <t>VENFA/FACT 85/FABR BASE P/KING PIN-QUINTA RUEDA UND CARGA DE CEMENTO-MINERALES</t>
  </si>
  <si>
    <t>01-6609</t>
  </si>
  <si>
    <t>-9.042,21</t>
  </si>
  <si>
    <t>01-6610</t>
  </si>
  <si>
    <t>GLOBAL ACERO/FACT65/TUBO REDONDO P/BARANDAS-PLATAFORMA SEGUR-HORNOS VERTICALES-P/CEMENTO</t>
  </si>
  <si>
    <t>-145.860,72</t>
  </si>
  <si>
    <t>01-6611</t>
  </si>
  <si>
    <t>JULIO IGLESIAS/FACT492/ACEITES P/HYUNDAI 770/VALVULA P/SILVERADO</t>
  </si>
  <si>
    <t>-47.080,39</t>
  </si>
  <si>
    <t>01-6612</t>
  </si>
  <si>
    <t>TRACTO AUTO/FACT 7772/EMPACADURA-MULTIPLE-VOLVO-MINERALES</t>
  </si>
  <si>
    <t>-15.608,50</t>
  </si>
  <si>
    <t>01-6613</t>
  </si>
  <si>
    <t>FERRE REMI/FACT290/TUBO REDONDO P/BARANDA Y PLATAFORMA SEGUIR-HORNO VERTICAL-P/CEMENTO</t>
  </si>
  <si>
    <t>-136.562,16</t>
  </si>
  <si>
    <t>01-6614</t>
  </si>
  <si>
    <t>TRACTO AUTO/FACT7771/TORNILLOS, TUERCAS P/CAMARA VOLVO-MINERALES</t>
  </si>
  <si>
    <t>-14.047,65</t>
  </si>
  <si>
    <t>01-6615</t>
  </si>
  <si>
    <t>INVER TRANSPORTE/FACT 08/VIAJE CUMAREBO-YARITAGUA</t>
  </si>
  <si>
    <t>01-6616</t>
  </si>
  <si>
    <t>-14.015,54</t>
  </si>
  <si>
    <t>01-6617</t>
  </si>
  <si>
    <t>01-6618</t>
  </si>
  <si>
    <t>TRANSPORTE NJG/FACT 905/PRODUCT LIMPIEZA P/CEMENTO</t>
  </si>
  <si>
    <t>-4.887,08</t>
  </si>
  <si>
    <t>01-6619</t>
  </si>
  <si>
    <t>-1,93</t>
  </si>
  <si>
    <t>01-6620</t>
  </si>
  <si>
    <t>-12,21</t>
  </si>
  <si>
    <t>01-6621</t>
  </si>
  <si>
    <t>01-6622</t>
  </si>
  <si>
    <t>-117,70</t>
  </si>
  <si>
    <t>01-6623</t>
  </si>
  <si>
    <t>01-6624</t>
  </si>
  <si>
    <t>-35,03</t>
  </si>
  <si>
    <t>01-6625</t>
  </si>
  <si>
    <t>-35,11</t>
  </si>
  <si>
    <t>01-6626</t>
  </si>
  <si>
    <t>-341,40</t>
  </si>
  <si>
    <t>01-6627</t>
  </si>
  <si>
    <t>-39,02</t>
  </si>
  <si>
    <t>01-6628</t>
  </si>
  <si>
    <t>-364,65</t>
  </si>
  <si>
    <t>01-6629</t>
  </si>
  <si>
    <t>-22,60</t>
  </si>
  <si>
    <t>01-6630</t>
  </si>
  <si>
    <t>01-6631</t>
  </si>
  <si>
    <t>0329223759276</t>
  </si>
  <si>
    <t>725.000,00</t>
  </si>
  <si>
    <t>01-6632</t>
  </si>
  <si>
    <t>CORPORACION EP/FACT5589/TAMBOR ACEITE P/CAMIONES PAYLOVER-MINERALES YARACUY</t>
  </si>
  <si>
    <t>01-6633</t>
  </si>
  <si>
    <t>RODA MANGUERA/FACT2239/ANILLO P/MAQU-HYUNDAI 770</t>
  </si>
  <si>
    <t>-16.890,50</t>
  </si>
  <si>
    <t>01-6634</t>
  </si>
  <si>
    <t>DIAR/FACT787/ACEITE P/LA CAJA HYUNDAI 770</t>
  </si>
  <si>
    <t>-20.390,02</t>
  </si>
  <si>
    <t>01-6635</t>
  </si>
  <si>
    <t>01-6636</t>
  </si>
  <si>
    <t>SULGAR/ADELANT FACT/SUMINISTRO INSTAL DUCTERIA LAMINA GALVANIZADAS</t>
  </si>
  <si>
    <t>01-6637</t>
  </si>
  <si>
    <t>AMERICANA TORNILLO/FACT10783/RAMPLUG EXPANSIVO-BARANDA SEGUIR</t>
  </si>
  <si>
    <t>01-6638</t>
  </si>
  <si>
    <t>FERRE BOLIMOR/FACT449/JUEGO DE MACHOS-MINERALES</t>
  </si>
  <si>
    <t>01-6639</t>
  </si>
  <si>
    <t>01-6640</t>
  </si>
  <si>
    <t>01-6641</t>
  </si>
  <si>
    <t>01-6642</t>
  </si>
  <si>
    <t>01-6643</t>
  </si>
  <si>
    <t>01-6644</t>
  </si>
  <si>
    <t>01-6645</t>
  </si>
  <si>
    <t>01-6646</t>
  </si>
  <si>
    <t>01-6647</t>
  </si>
  <si>
    <t>01-6648</t>
  </si>
  <si>
    <t>0329223782924</t>
  </si>
  <si>
    <t>01-6649</t>
  </si>
  <si>
    <t>01-6650</t>
  </si>
  <si>
    <t>ALBERTO PERNALETTE/FACT16/VIATICOS MES DE JULIO</t>
  </si>
  <si>
    <t>01-6651</t>
  </si>
  <si>
    <t>01-6652</t>
  </si>
  <si>
    <t>JULIO IGLESIAS/FACT493/PAILA DIESEL/LIMPIA CARBURADOR-CARGADOL FRONTAL</t>
  </si>
  <si>
    <t>01-6653</t>
  </si>
  <si>
    <t>01-6654</t>
  </si>
  <si>
    <t>-158,31</t>
  </si>
  <si>
    <t>01-6655</t>
  </si>
  <si>
    <t>-162,19</t>
  </si>
  <si>
    <t>01-6656</t>
  </si>
  <si>
    <t>01-6657</t>
  </si>
  <si>
    <t>-12,78</t>
  </si>
  <si>
    <t>01-6658</t>
  </si>
  <si>
    <t>01-6659</t>
  </si>
  <si>
    <t>0329226036052</t>
  </si>
  <si>
    <t>1.130.000,00</t>
  </si>
  <si>
    <t>01-6660</t>
  </si>
  <si>
    <t>JULIO IGLESIAS/FACT494/ACEITE HIDRAULICO PAYLOVER-MINERALES</t>
  </si>
  <si>
    <t>-59.750,00</t>
  </si>
  <si>
    <t>01-6661</t>
  </si>
  <si>
    <t>RYA/FACT35/PRESUPUESTO P/CEMENTO</t>
  </si>
  <si>
    <t>01-6662</t>
  </si>
  <si>
    <t>PROCESADA EN AGOSTOS</t>
  </si>
  <si>
    <t>CORPORACION EP/FACT5590/ESTOPERA P/CAMIONES-MINERALES YARACUY</t>
  </si>
  <si>
    <t>-138.547,50</t>
  </si>
  <si>
    <t>01-6663</t>
  </si>
  <si>
    <t>01-6664</t>
  </si>
  <si>
    <t>01-6665</t>
  </si>
  <si>
    <t>01-6666</t>
  </si>
  <si>
    <t>01-6667</t>
  </si>
  <si>
    <t>-850,85</t>
  </si>
  <si>
    <t>01-6668</t>
  </si>
  <si>
    <t>-346,36</t>
  </si>
  <si>
    <t>01-6669</t>
  </si>
  <si>
    <t>-149,37</t>
  </si>
  <si>
    <t>01-6670</t>
  </si>
  <si>
    <t>01-6671</t>
  </si>
  <si>
    <t>01-6672</t>
  </si>
  <si>
    <t>0329226138226</t>
  </si>
  <si>
    <t>2.500.000,00</t>
  </si>
  <si>
    <t>01-6673</t>
  </si>
  <si>
    <t>YOHAN GUANIPA/COMIDA-CAMPAÑA YESO Y CALIZA 07/07 AL 11/07</t>
  </si>
  <si>
    <t>01-6674</t>
  </si>
  <si>
    <t>13-110725</t>
  </si>
  <si>
    <t>01-6675</t>
  </si>
  <si>
    <t>01-6676</t>
  </si>
  <si>
    <t>AMERICA TORNILLO/FACT10827/TUERCA-TORNILLOS Y ARANDELA-FIJACION COLUMNAS</t>
  </si>
  <si>
    <t>01-6677</t>
  </si>
  <si>
    <t>DANNY URRUTIA/CAMPAÑA YESO Y CALIZA 07/07 AL 11/07</t>
  </si>
  <si>
    <t>01-6678</t>
  </si>
  <si>
    <t>HUMBERTO FRANCO/FACT203/SUMIN INST CABLE/REVESTIDO P-PUESTA TIERRA MOTORES-CEMENTERA</t>
  </si>
  <si>
    <t>01-6679</t>
  </si>
  <si>
    <t>LINO FLOREZ/CAMPAÑA YESO Y CALIZA 07/07 AL 11/07</t>
  </si>
  <si>
    <t>01-6680</t>
  </si>
  <si>
    <t>01-6681</t>
  </si>
  <si>
    <t>01-6682</t>
  </si>
  <si>
    <t>01-6683</t>
  </si>
  <si>
    <t>TALLER MOLI/FACT2680/FABRI EXCAVADORA P/CEMENTO</t>
  </si>
  <si>
    <t>01-6684</t>
  </si>
  <si>
    <t>01-6685</t>
  </si>
  <si>
    <t>MATERIALES STA LUCIA/FACT5590/CEMENTERA</t>
  </si>
  <si>
    <t>01-6686</t>
  </si>
  <si>
    <t>01-6687</t>
  </si>
  <si>
    <t>01-6688</t>
  </si>
  <si>
    <t>01-6689</t>
  </si>
  <si>
    <t>01-6690</t>
  </si>
  <si>
    <t>01-6691</t>
  </si>
  <si>
    <t>TALLER MOLI/FACT 2681/REPAR GATOS HIDRAULICO AL/MONTACARGA P/CEMENTO</t>
  </si>
  <si>
    <t>01-6692</t>
  </si>
  <si>
    <t>01-6693</t>
  </si>
  <si>
    <t>01-6694</t>
  </si>
  <si>
    <t>01-6695</t>
  </si>
  <si>
    <t>RAMON QUIROGAS/CAMPAÑA YESO Y CALIZA 07/07 AL 11/07</t>
  </si>
  <si>
    <t>01-6696</t>
  </si>
  <si>
    <t>01-6697</t>
  </si>
  <si>
    <t>01-6698</t>
  </si>
  <si>
    <t>01-6699</t>
  </si>
  <si>
    <t>01-6700</t>
  </si>
  <si>
    <t>01-6701</t>
  </si>
  <si>
    <t>01-6702</t>
  </si>
  <si>
    <t>01-6703</t>
  </si>
  <si>
    <t>01-6704</t>
  </si>
  <si>
    <t>01-6705</t>
  </si>
  <si>
    <t>01-6706</t>
  </si>
  <si>
    <t>01-6707</t>
  </si>
  <si>
    <t>01-6708</t>
  </si>
  <si>
    <t>01-6709</t>
  </si>
  <si>
    <t>01-6710</t>
  </si>
  <si>
    <t>01-6711</t>
  </si>
  <si>
    <t>01-6712</t>
  </si>
  <si>
    <t>01-6713</t>
  </si>
  <si>
    <t>01-6714</t>
  </si>
  <si>
    <t>01-6715</t>
  </si>
  <si>
    <t>01-6716</t>
  </si>
  <si>
    <t>01-6717</t>
  </si>
  <si>
    <t>01-6718</t>
  </si>
  <si>
    <t>01-6719</t>
  </si>
  <si>
    <t>0429615043223</t>
  </si>
  <si>
    <t>01-6720</t>
  </si>
  <si>
    <t>01-6721</t>
  </si>
  <si>
    <t>01-6722</t>
  </si>
  <si>
    <t>01-6723</t>
  </si>
  <si>
    <t>BEATRIZ CASTILLO/CAMPAÑA YESO Y CALIZA 07/07 AL 11/07</t>
  </si>
  <si>
    <t>01-6724</t>
  </si>
  <si>
    <t>01-6725</t>
  </si>
  <si>
    <t>01-6726</t>
  </si>
  <si>
    <t>01-6727</t>
  </si>
  <si>
    <t>01-6728</t>
  </si>
  <si>
    <t>01-6729</t>
  </si>
  <si>
    <t>01-6730</t>
  </si>
  <si>
    <t>OLGA OROZCO/HOSPEDAJE-CAMPAÑA YESO Y CALIZA 07/07 AL 11/07</t>
  </si>
  <si>
    <t>01-6731</t>
  </si>
  <si>
    <t>45-110725</t>
  </si>
  <si>
    <t>01-6732</t>
  </si>
  <si>
    <t>01-6733</t>
  </si>
  <si>
    <t>01-6734</t>
  </si>
  <si>
    <t>01-6735</t>
  </si>
  <si>
    <t>01-6736</t>
  </si>
  <si>
    <t>01-6737</t>
  </si>
  <si>
    <t>01-6738</t>
  </si>
  <si>
    <t>01-6739</t>
  </si>
  <si>
    <t>01-6740</t>
  </si>
  <si>
    <t>01-6741</t>
  </si>
  <si>
    <t>01-6742</t>
  </si>
  <si>
    <t>01-6743</t>
  </si>
  <si>
    <t>01-6744</t>
  </si>
  <si>
    <t>01-6745</t>
  </si>
  <si>
    <t>01-6746</t>
  </si>
  <si>
    <t>0329226508696</t>
  </si>
  <si>
    <t>01-6747</t>
  </si>
  <si>
    <t>SANDRA VELAZCO/FACT272/TARJETA CUMPLEAÑOS</t>
  </si>
  <si>
    <t>01-6748</t>
  </si>
  <si>
    <t>FERRE REMI/FACT292/INV PLATAFORMA SEGURIDAD-TOLVA CALIZA</t>
  </si>
  <si>
    <t>01-6749</t>
  </si>
  <si>
    <t>CARLOS VALDEZ/ADELANT FACT/50 CAUCHOS 3-15-KAMAZ</t>
  </si>
  <si>
    <t>01-6750</t>
  </si>
  <si>
    <t>ARRIDDY GARRILLO/FACT 42/MUESTRA YESO/SULFATO/HUMEDAD Y PERDIDA POR CALCINACION</t>
  </si>
  <si>
    <t>01-6751</t>
  </si>
  <si>
    <t>01-6752</t>
  </si>
  <si>
    <t>01-6753</t>
  </si>
  <si>
    <t>01-6754</t>
  </si>
  <si>
    <t>01-6755</t>
  </si>
  <si>
    <t>01-6756</t>
  </si>
  <si>
    <t>01-6757</t>
  </si>
  <si>
    <t>0329230462752</t>
  </si>
  <si>
    <t>01-6758</t>
  </si>
  <si>
    <t>DIAR/FACT790/EXCAVADOR/TRACTO SD32 SHANTUI P/CEMENTO</t>
  </si>
  <si>
    <t>01-6759</t>
  </si>
  <si>
    <t>TALLER MOLI/FACT2686/SUMIN MANGUERA P/HYUNDAI REP GATO BOTELLA-MINERALES</t>
  </si>
  <si>
    <t>01-6760</t>
  </si>
  <si>
    <t>DAYANA LOPEZ/HONORARIOS PROFESIONALES INSPECCION AVANCE SINELEC FABRI TRASNFORMADOR</t>
  </si>
  <si>
    <t>01-6761</t>
  </si>
  <si>
    <t>38-160725</t>
  </si>
  <si>
    <t>FERRE REMI/FACT 294/TUBO REDONDO P-PERSONAL HINDU P/CEMENTO</t>
  </si>
  <si>
    <t>-127.380,52</t>
  </si>
  <si>
    <t>01-6762</t>
  </si>
  <si>
    <t>TALLER MOLI/FACT2685/TRABAJ REALI CAMION KAMAZ #16-P/CEMENTO</t>
  </si>
  <si>
    <t>-25.969,09</t>
  </si>
  <si>
    <t>01-6763</t>
  </si>
  <si>
    <t>MULTISERVICIOS GARQUIS/FACT 51/SOLICT ING CARLEN</t>
  </si>
  <si>
    <t>-912.883,99</t>
  </si>
  <si>
    <t>01-6764</t>
  </si>
  <si>
    <t>-64,92</t>
  </si>
  <si>
    <t>01-6765</t>
  </si>
  <si>
    <t>-318,45</t>
  </si>
  <si>
    <t>01-6766</t>
  </si>
  <si>
    <t>-2.282,20</t>
  </si>
  <si>
    <t>01-6767</t>
  </si>
  <si>
    <t>-62,78</t>
  </si>
  <si>
    <t>01-6768</t>
  </si>
  <si>
    <t>-51,93</t>
  </si>
  <si>
    <t>01-6769</t>
  </si>
  <si>
    <t>-5,84</t>
  </si>
  <si>
    <t>01-6770</t>
  </si>
  <si>
    <t>0329260506506</t>
  </si>
  <si>
    <t>1.300.000,00</t>
  </si>
  <si>
    <t>01-6771</t>
  </si>
  <si>
    <t>0329260927927</t>
  </si>
  <si>
    <t>COMPRA 50 CAUCHOS/ADELANT FACT/KAMAZ-</t>
  </si>
  <si>
    <t>-1.280.519,44</t>
  </si>
  <si>
    <t>01-6772</t>
  </si>
  <si>
    <t>0676260927927</t>
  </si>
  <si>
    <t>-3.201,29</t>
  </si>
  <si>
    <t>01-6773</t>
  </si>
  <si>
    <t>0329258697697</t>
  </si>
  <si>
    <t>1.480.000,00</t>
  </si>
  <si>
    <t>01-6774</t>
  </si>
  <si>
    <t>0329265454005</t>
  </si>
  <si>
    <t>ANDRES MELENDEZ/CAMPAÑA YESO Y CALIZA SEMANA 14/07 AL 18/07</t>
  </si>
  <si>
    <t>01-6775</t>
  </si>
  <si>
    <t>0676265454005</t>
  </si>
  <si>
    <t>01-6776</t>
  </si>
  <si>
    <t>0329265451003</t>
  </si>
  <si>
    <t>LINO FLOREZ/CAMPAÑA YESO Y CALIZA SEMANA 14/07 AL 18/07</t>
  </si>
  <si>
    <t>01-6777</t>
  </si>
  <si>
    <t>0676265451003</t>
  </si>
  <si>
    <t>01-6778</t>
  </si>
  <si>
    <t>0329265464015</t>
  </si>
  <si>
    <t>MATERIALES GRIS/FACT263/P/CEMENTO</t>
  </si>
  <si>
    <t>01-6779</t>
  </si>
  <si>
    <t>0676265464015</t>
  </si>
  <si>
    <t>01-6780</t>
  </si>
  <si>
    <t>0329265465016</t>
  </si>
  <si>
    <t>MATERIALES GRIS/FACT264/P/CEMENTO</t>
  </si>
  <si>
    <t>01-6781</t>
  </si>
  <si>
    <t>0676265465016</t>
  </si>
  <si>
    <t>01-6782</t>
  </si>
  <si>
    <t>0329265458009</t>
  </si>
  <si>
    <t>DANNY URRUTIA/CAMPAÑA YESO Y CALIZA SEMANA 14/07 AL 18/07</t>
  </si>
  <si>
    <t>01-6783</t>
  </si>
  <si>
    <t>0676265458009</t>
  </si>
  <si>
    <t>01-6784</t>
  </si>
  <si>
    <t>0329265456007</t>
  </si>
  <si>
    <t>JEFERSON DAVILA/CAMPAÑA YESO Y CALIZA SEMANA 14/07 AL 18/07</t>
  </si>
  <si>
    <t>01-6785</t>
  </si>
  <si>
    <t>0676265456007</t>
  </si>
  <si>
    <t>01-6786</t>
  </si>
  <si>
    <t>0329265459010</t>
  </si>
  <si>
    <t>YOHAN GUANIPA/COMIDA-CAMPAÑA YESO Y CALIZA SEMANA 14/07 AL 18/07</t>
  </si>
  <si>
    <t>01-6787</t>
  </si>
  <si>
    <t>13-180725</t>
  </si>
  <si>
    <t>0676265459010</t>
  </si>
  <si>
    <t>01-6788</t>
  </si>
  <si>
    <t>0329265461012</t>
  </si>
  <si>
    <t>ALBERTO PERNALETTE/FACT 16/VIATICOS MES JULIO</t>
  </si>
  <si>
    <t>01-6789</t>
  </si>
  <si>
    <t>0676265461012</t>
  </si>
  <si>
    <t>01-6790</t>
  </si>
  <si>
    <t>0676265449001</t>
  </si>
  <si>
    <t>01-6791</t>
  </si>
  <si>
    <t>0329265449001</t>
  </si>
  <si>
    <t>LUZBARDO/FACT120/INST ELECTRICA EDIF HORNOS VERTICALES</t>
  </si>
  <si>
    <t>01-6792</t>
  </si>
  <si>
    <t>0676265452004</t>
  </si>
  <si>
    <t>01-6793</t>
  </si>
  <si>
    <t>0329265452004</t>
  </si>
  <si>
    <t>RAMON QUIROGAS/CAMPAÑA YESO Y CALIZA SEMANA 14/07 AL 18/07</t>
  </si>
  <si>
    <t>01-6794</t>
  </si>
  <si>
    <t>0676265462013</t>
  </si>
  <si>
    <t>01-6795</t>
  </si>
  <si>
    <t>0329265462013</t>
  </si>
  <si>
    <t>AMERICA TORNILLO/FACT10827/TUERCA TORNILLO/ARANDELA-FIJACION COLUMNA</t>
  </si>
  <si>
    <t>01-6796</t>
  </si>
  <si>
    <t>0676265466017</t>
  </si>
  <si>
    <t>01-6797</t>
  </si>
  <si>
    <t>0329265466017</t>
  </si>
  <si>
    <t>MATERIALES STA LUCIA/FACT5627/CEMENTERA</t>
  </si>
  <si>
    <t>01-6798</t>
  </si>
  <si>
    <t>0676265450002</t>
  </si>
  <si>
    <t>01-6799</t>
  </si>
  <si>
    <t>0329265450002</t>
  </si>
  <si>
    <t>01-6800</t>
  </si>
  <si>
    <t>12-180725</t>
  </si>
  <si>
    <t>0676265455006</t>
  </si>
  <si>
    <t>01-6801</t>
  </si>
  <si>
    <t>0329265455006</t>
  </si>
  <si>
    <t>DOMICIO VIRGUEZ/CAMPAÑA YESO Y CALIZA SEMANA 14/07 AL 18/07</t>
  </si>
  <si>
    <t>01-6802</t>
  </si>
  <si>
    <t>0676265463014</t>
  </si>
  <si>
    <t>01-6803</t>
  </si>
  <si>
    <t>0329265463014</t>
  </si>
  <si>
    <t>REPOSICION CAJA CHICA-MINERALES</t>
  </si>
  <si>
    <t>01-6804</t>
  </si>
  <si>
    <t>0676265457008</t>
  </si>
  <si>
    <t>01-6805</t>
  </si>
  <si>
    <t>0329265457008</t>
  </si>
  <si>
    <t>BEATRIZ CASTILLO/CAMPAÑA YESO Y CALIZA SEMANA 14/07 AL 18/07</t>
  </si>
  <si>
    <t>01-6806</t>
  </si>
  <si>
    <t>0676265460011</t>
  </si>
  <si>
    <t>-35,48</t>
  </si>
  <si>
    <t>01-6807</t>
  </si>
  <si>
    <t>0329265460011</t>
  </si>
  <si>
    <t>OLGA OROZCO/HOSPEDAJE-CAMPAÑA YESO Y CALIZA SEMANA 14/07 AL 18/07</t>
  </si>
  <si>
    <t>01-6808</t>
  </si>
  <si>
    <t>45-180725</t>
  </si>
  <si>
    <t>0329290809809</t>
  </si>
  <si>
    <t>01-6809</t>
  </si>
  <si>
    <t>0676204747005</t>
  </si>
  <si>
    <t>01-6810</t>
  </si>
  <si>
    <t>0329204747005</t>
  </si>
  <si>
    <t>FERRE REMI/FACT301/PLATAFORMA SEGURIDAD TOLVA CALIZA PASARELA P/CEMENTO</t>
  </si>
  <si>
    <t>01-6811</t>
  </si>
  <si>
    <t>0676204745003</t>
  </si>
  <si>
    <t>01-6812</t>
  </si>
  <si>
    <t>0329204745003</t>
  </si>
  <si>
    <t>JOSE CASTRO/FACT48/SERV ANTENA SATELITAL P/CEMENTO</t>
  </si>
  <si>
    <t>01-6813</t>
  </si>
  <si>
    <t>0676204743001</t>
  </si>
  <si>
    <t>01-6814</t>
  </si>
  <si>
    <t>0329204743001</t>
  </si>
  <si>
    <t>LISO/FACT624/CONFECC E INSTAL ESTRUCTURA METALICA P/CERRAMIENTO GALPON EMPAQUETADO</t>
  </si>
  <si>
    <t>01-6815</t>
  </si>
  <si>
    <t>0676204746004</t>
  </si>
  <si>
    <t>01-6816</t>
  </si>
  <si>
    <t>0329204746004</t>
  </si>
  <si>
    <t>JOSE CASTRO/FACT49/SERV ANTENA SATELITAL P/CEMENTO</t>
  </si>
  <si>
    <t>01-6817</t>
  </si>
  <si>
    <t>0676204744002</t>
  </si>
  <si>
    <t>01-6818</t>
  </si>
  <si>
    <t>0329204744002</t>
  </si>
  <si>
    <t>LISO/FACT619/ALQUILER MARTILLO ROTOPERCURTOR P/CEMENTO</t>
  </si>
  <si>
    <t>01-6819</t>
  </si>
  <si>
    <t>0329286123123</t>
  </si>
  <si>
    <t>01-6820</t>
  </si>
  <si>
    <t>0676289193011</t>
  </si>
  <si>
    <t>01-6821</t>
  </si>
  <si>
    <t>0329289193011</t>
  </si>
  <si>
    <t>PAGO ERRADO/DEVUELTA P/BANCO</t>
  </si>
  <si>
    <t>01-6822</t>
  </si>
  <si>
    <t>0270989193011</t>
  </si>
  <si>
    <t>01-6823</t>
  </si>
  <si>
    <t>DEVOLUCION P/ERRADO ERROR BANCO</t>
  </si>
  <si>
    <t>0676289187005</t>
  </si>
  <si>
    <t>01-6824</t>
  </si>
  <si>
    <t>0329289187005</t>
  </si>
  <si>
    <t>01-6825</t>
  </si>
  <si>
    <t>0676289192010</t>
  </si>
  <si>
    <t>01-6826</t>
  </si>
  <si>
    <t>0329289192010</t>
  </si>
  <si>
    <t>01-6827</t>
  </si>
  <si>
    <t>0270989187005</t>
  </si>
  <si>
    <t>01-6828</t>
  </si>
  <si>
    <t>0270989192010</t>
  </si>
  <si>
    <t>01-6829</t>
  </si>
  <si>
    <t>0676289185003</t>
  </si>
  <si>
    <t>01-6830</t>
  </si>
  <si>
    <t>0329289185003</t>
  </si>
  <si>
    <t>01-6831</t>
  </si>
  <si>
    <t>0676289186004</t>
  </si>
  <si>
    <t>01-6832</t>
  </si>
  <si>
    <t>0329289186004</t>
  </si>
  <si>
    <t>CORPORACION ERDS/FACT 1998/BARANDAS-ESCALERA PLATAFORMA D/SEGURID-P/CEMENTO</t>
  </si>
  <si>
    <t>01-6833</t>
  </si>
  <si>
    <t>0270989185003</t>
  </si>
  <si>
    <t>01-6834</t>
  </si>
  <si>
    <t>0676289183001</t>
  </si>
  <si>
    <t>01-6835</t>
  </si>
  <si>
    <t>0329289183001</t>
  </si>
  <si>
    <t>LAMINADO NORBUEN/FACT 4087/FABR ROSCA P/PERNOS DE ANCLAJE FUNDACIONES P/CEMENTO</t>
  </si>
  <si>
    <t>01-6836</t>
  </si>
  <si>
    <t>0676289188006</t>
  </si>
  <si>
    <t>01-6837</t>
  </si>
  <si>
    <t>0329289188006</t>
  </si>
  <si>
    <t>01-6838</t>
  </si>
  <si>
    <t>0676289189007</t>
  </si>
  <si>
    <t>01-6839</t>
  </si>
  <si>
    <t>0329289189007</t>
  </si>
  <si>
    <t>01-6840</t>
  </si>
  <si>
    <t>0676289184002</t>
  </si>
  <si>
    <t>01-6841</t>
  </si>
  <si>
    <t>0329289184002</t>
  </si>
  <si>
    <t>MULTISERVICIOS GARQUIS/FACT 54/BARANDAS-PLATAFORMA-ESCALERA SEGURIDAD TOLVAS CALIZA-P/CEMENTO</t>
  </si>
  <si>
    <t>01-6842</t>
  </si>
  <si>
    <t>0676289190008</t>
  </si>
  <si>
    <t>01-6843</t>
  </si>
  <si>
    <t>0270989188006</t>
  </si>
  <si>
    <t>01-6844</t>
  </si>
  <si>
    <t>0329289190008</t>
  </si>
  <si>
    <t>01-6845</t>
  </si>
  <si>
    <t>0270989189007</t>
  </si>
  <si>
    <t>01-6846</t>
  </si>
  <si>
    <t>0676289191009</t>
  </si>
  <si>
    <t>01-6847</t>
  </si>
  <si>
    <t>0329289191009</t>
  </si>
  <si>
    <t>01-6848</t>
  </si>
  <si>
    <t>0270989190008</t>
  </si>
  <si>
    <t>01-6849</t>
  </si>
  <si>
    <t>0270989191009</t>
  </si>
  <si>
    <t>01-6850</t>
  </si>
  <si>
    <t>0676212299004</t>
  </si>
  <si>
    <t>01-6851</t>
  </si>
  <si>
    <t>0329212299004</t>
  </si>
  <si>
    <t>ELECTROLARA/FACT 3032/INVER P/CABLEADO POTENCIA SISTEMA D/GENERADORES P/CEMENTO</t>
  </si>
  <si>
    <t>01-6852</t>
  </si>
  <si>
    <t>0676212301006</t>
  </si>
  <si>
    <t>01-6853</t>
  </si>
  <si>
    <t>0329212301006</t>
  </si>
  <si>
    <t>01-6854</t>
  </si>
  <si>
    <t>0676212303007</t>
  </si>
  <si>
    <t>01-6855</t>
  </si>
  <si>
    <t>0329212303007</t>
  </si>
  <si>
    <t>01-6856</t>
  </si>
  <si>
    <t>0676212298003</t>
  </si>
  <si>
    <t>01-6857</t>
  </si>
  <si>
    <t>0329212298003</t>
  </si>
  <si>
    <t>01-6858</t>
  </si>
  <si>
    <t>0676212296001</t>
  </si>
  <si>
    <t>01-6859</t>
  </si>
  <si>
    <t>0329212296001</t>
  </si>
  <si>
    <t>01-6860</t>
  </si>
  <si>
    <t>0676212302007</t>
  </si>
  <si>
    <t>01-6861</t>
  </si>
  <si>
    <t>0329212302007</t>
  </si>
  <si>
    <t>01-6862</t>
  </si>
  <si>
    <t>0676212300005</t>
  </si>
  <si>
    <t>01-6863</t>
  </si>
  <si>
    <t>0329212300005</t>
  </si>
  <si>
    <t>01-6864</t>
  </si>
  <si>
    <t>0676212297002</t>
  </si>
  <si>
    <t>01-6865</t>
  </si>
  <si>
    <t>0329212297002</t>
  </si>
  <si>
    <t>01-6866</t>
  </si>
  <si>
    <t>0596700166642</t>
  </si>
  <si>
    <t>SAREN/PLANILLA SELLADO LIBROS CONTABLES</t>
  </si>
  <si>
    <t>01-6867</t>
  </si>
  <si>
    <t>07-280725</t>
  </si>
  <si>
    <t>0329220985985</t>
  </si>
  <si>
    <t>01-6868</t>
  </si>
  <si>
    <t>0329225423007</t>
  </si>
  <si>
    <t>ALIMENTOS/FACT 33304/BENEFICIOS EVENTUALES GOBERNACION</t>
  </si>
  <si>
    <t>01-6869</t>
  </si>
  <si>
    <t>0676225423007</t>
  </si>
  <si>
    <t>01-6870</t>
  </si>
  <si>
    <t>0329225422006</t>
  </si>
  <si>
    <t>ALIMENTOS/FACT 33303/BENEFICIOS EVENTUALES MEGATECH</t>
  </si>
  <si>
    <t>01-6871</t>
  </si>
  <si>
    <t>0676225422006</t>
  </si>
  <si>
    <t>01-6872</t>
  </si>
  <si>
    <t>0329225424007</t>
  </si>
  <si>
    <t>ALIMENTOS/FACT 33289/BENEFICIOS P/CEMENTO</t>
  </si>
  <si>
    <t>01-6873</t>
  </si>
  <si>
    <t>0676225424007</t>
  </si>
  <si>
    <t>01-6874</t>
  </si>
  <si>
    <t>0329225421005</t>
  </si>
  <si>
    <t>ALIMENTOS/FACT 33302/BENEFICIOS FIJOS P/CEMENTO</t>
  </si>
  <si>
    <t>01-6875</t>
  </si>
  <si>
    <t>0676225421005</t>
  </si>
  <si>
    <t>01-6876</t>
  </si>
  <si>
    <t>0329225425009</t>
  </si>
  <si>
    <t>ALIMENTOS/FACT 33290/BENEFICIOS SEDE MINERALES</t>
  </si>
  <si>
    <t>01-6877</t>
  </si>
  <si>
    <t>0676225425009</t>
  </si>
  <si>
    <t>01-6878</t>
  </si>
  <si>
    <t>0676225419003</t>
  </si>
  <si>
    <t>01-6879</t>
  </si>
  <si>
    <t>0329225419003</t>
  </si>
  <si>
    <t>VENFA/FACT 92/ARREGLOS CARGADOR FRONTAL-VOLVO-MINERALES</t>
  </si>
  <si>
    <t>01-6880</t>
  </si>
  <si>
    <t>0676225420004</t>
  </si>
  <si>
    <t>01-6881</t>
  </si>
  <si>
    <t>0329225420004</t>
  </si>
  <si>
    <t>VENFA/FACT A-0090/REPA SISTEMA ELECTRICO/CIRCUITO-MINERALES</t>
  </si>
  <si>
    <t>01-6882</t>
  </si>
  <si>
    <t>0676225418002</t>
  </si>
  <si>
    <t>01-6883</t>
  </si>
  <si>
    <t>0329225418002</t>
  </si>
  <si>
    <t>YAMILA COLMENAREZ/FACT208/COMPRESOR-REPA UNIDAD COMPRESORA-ING GUSTAVO</t>
  </si>
  <si>
    <t>01-6884</t>
  </si>
  <si>
    <t>0676225417001</t>
  </si>
  <si>
    <t>01-6885</t>
  </si>
  <si>
    <t>0329225417001</t>
  </si>
  <si>
    <t>MULTISERVICIOS LA MANDARRIA/FACT902/ALQUILER DIDROYECT ELECTRICO</t>
  </si>
  <si>
    <t>01-6886</t>
  </si>
  <si>
    <t>0329291614614</t>
  </si>
  <si>
    <t>01-6887</t>
  </si>
  <si>
    <t>0676204368001</t>
  </si>
  <si>
    <t>01-6888</t>
  </si>
  <si>
    <t>0329204368001</t>
  </si>
  <si>
    <t>LUZBARDO/FACT 120/INSTAL ELECTRICA EDIFICIOS HORNOS</t>
  </si>
  <si>
    <t>01-6889</t>
  </si>
  <si>
    <t>0329214835835</t>
  </si>
  <si>
    <t>01-6890</t>
  </si>
  <si>
    <t>0273011274514</t>
  </si>
  <si>
    <t>01-6891</t>
  </si>
  <si>
    <t>COM TRANSF LINEA OT BCOS CTA P</t>
  </si>
  <si>
    <t>01-6892</t>
  </si>
  <si>
    <t>0766883653878</t>
  </si>
  <si>
    <t>LAMINADOS NORBUEN/REINTEGRO FACT4087</t>
  </si>
  <si>
    <t>01-6893</t>
  </si>
  <si>
    <t>0598122019181</t>
  </si>
  <si>
    <t xml:space="preserve">REGISTRO RESQUIM/PERMISO P/MATERIALES EXPLOSIVO    </t>
  </si>
  <si>
    <t>01-6894</t>
  </si>
  <si>
    <t>08-310725</t>
  </si>
  <si>
    <t>9884831072025</t>
  </si>
  <si>
    <t>-0,13</t>
  </si>
  <si>
    <t>01-6895</t>
  </si>
  <si>
    <t>000010730487495</t>
  </si>
  <si>
    <t>-1.170,00</t>
  </si>
  <si>
    <t>01-6896</t>
  </si>
  <si>
    <t>04-310825</t>
  </si>
  <si>
    <t>000020430487495</t>
  </si>
  <si>
    <t>-390.000,00</t>
  </si>
  <si>
    <t>01-6897</t>
  </si>
  <si>
    <t>000071600000000</t>
  </si>
  <si>
    <t>01-6898</t>
  </si>
  <si>
    <t>000091577700000</t>
  </si>
  <si>
    <t>01-6899</t>
  </si>
  <si>
    <t>01-6900</t>
  </si>
  <si>
    <t>JOSE MORALES/BONIFICAVION ESPECIAL 15/08</t>
  </si>
  <si>
    <t>BONO COMPLE MENTARIO POR PAGAR</t>
  </si>
  <si>
    <t>01-6901</t>
  </si>
  <si>
    <t>01-6902</t>
  </si>
  <si>
    <t>ANYBETH LEON/BONIFICAVION ESPECIAL 15/08</t>
  </si>
  <si>
    <t>01-6903</t>
  </si>
  <si>
    <t>CUENTA POR PAGAR INTERCOMPAÑIAS</t>
  </si>
  <si>
    <t>01-6904</t>
  </si>
  <si>
    <t>01-6905</t>
  </si>
  <si>
    <t>ANYBETH LEON/BONIFICACION ESPECIAL 31/08</t>
  </si>
  <si>
    <t>01-6906</t>
  </si>
  <si>
    <t>01-6907</t>
  </si>
  <si>
    <t>JOSE MORALES/BONIFICACION ESPECIAL 31/08</t>
  </si>
  <si>
    <t>01-6908</t>
  </si>
  <si>
    <t>01-6909</t>
  </si>
  <si>
    <t>01-6910</t>
  </si>
  <si>
    <t>01-6911</t>
  </si>
  <si>
    <t>01-6912</t>
  </si>
  <si>
    <t>OLGA OROZCO/HOSPEDAJE-CAMPAÑA D/YESO CALIZA 28-07 AL 01/08</t>
  </si>
  <si>
    <t>01-6913</t>
  </si>
  <si>
    <t>45-010825</t>
  </si>
  <si>
    <t>01-6914</t>
  </si>
  <si>
    <t>MATERIALES SANTA LUCIA/FACT 5719/CEMENTERA</t>
  </si>
  <si>
    <t>01-6915</t>
  </si>
  <si>
    <t>HIELO, AGUA, BOLSA/P/TERMINAR LA JORNADA</t>
  </si>
  <si>
    <t>01-6916</t>
  </si>
  <si>
    <t>13-010825</t>
  </si>
  <si>
    <t>DANNY URRUTIA/CAMPAÑA D/YESO CALIZA 28-07 AL 01/08</t>
  </si>
  <si>
    <t>01-6917</t>
  </si>
  <si>
    <t>RAFAEL MORILLO/CAMPAÑA D/YESO CALIZA 28-07 AL 01/08</t>
  </si>
  <si>
    <t>01-6918</t>
  </si>
  <si>
    <t>LINO FLORES/CAMPAÑA D/YESO CALIZA 28-07 AL 01/08</t>
  </si>
  <si>
    <t>01-6919</t>
  </si>
  <si>
    <t>JEFERSON DAVILA/CAMPAÑA D/YESO CALIZA 28-07 AL 01/08</t>
  </si>
  <si>
    <t>01-6920</t>
  </si>
  <si>
    <t>ROBERT ARIAS/CAMPAÑA D/YESO CALIZA 28-07 AL 01/08</t>
  </si>
  <si>
    <t>01-6921</t>
  </si>
  <si>
    <t>RAMON QUIROGAS/CAMPAÑA D/YESO CALIZA 28-07 AL 01/08</t>
  </si>
  <si>
    <t>01-6922</t>
  </si>
  <si>
    <t>BEATRIZ CASTILLO/CAMPAÑA D/YESO CALIZA 28-07 AL 01/08</t>
  </si>
  <si>
    <t>01-6923</t>
  </si>
  <si>
    <t>RAFAEL QUIROZ/CAMPAÑA D/YESO CALIZA 28-07 AL 01/08-OPERADOR</t>
  </si>
  <si>
    <t>01-6924</t>
  </si>
  <si>
    <t>YOHAN GUANIPA/COMIDA-CAMPAÑA D/YESO CALIZA 28-07 AL 01/08</t>
  </si>
  <si>
    <t>01-6925</t>
  </si>
  <si>
    <t>01-6926</t>
  </si>
  <si>
    <t>01-6927</t>
  </si>
  <si>
    <t>01-6928</t>
  </si>
  <si>
    <t>CORPOELEC/FACT 963-6597-9319/MINERALES YARACUY</t>
  </si>
  <si>
    <t>01-6929</t>
  </si>
  <si>
    <t>SERVL003E</t>
  </si>
  <si>
    <t>29-010825</t>
  </si>
  <si>
    <t>01-6930</t>
  </si>
  <si>
    <t>01-6931</t>
  </si>
  <si>
    <t>Henrry Valera/Eventual Gobernacion 28/07 AL 03/08</t>
  </si>
  <si>
    <t>01-6932</t>
  </si>
  <si>
    <t>Federico Faneite/Eventual Gobernacion 28/07 AL 03/08</t>
  </si>
  <si>
    <t>01-6933</t>
  </si>
  <si>
    <t>Delios Adolfo Ferrara/Eventual Agregados 28/07 AL 03/08</t>
  </si>
  <si>
    <t>01-6934</t>
  </si>
  <si>
    <t>Eliomar Jesús Escalona/Eventual Agregados 28/07 AL 03/08</t>
  </si>
  <si>
    <t>01-6935</t>
  </si>
  <si>
    <t>José Guillermo Cortez/Eventual Agregados 28/07 AL 03/08</t>
  </si>
  <si>
    <t>01-6936</t>
  </si>
  <si>
    <t>Darwuin Jesús Bullones/Eventual Agregados 28/07 AL 03/08</t>
  </si>
  <si>
    <t>01-6937</t>
  </si>
  <si>
    <t>Frank Armando García/Eventual Agregados 28/07 AL 03/08</t>
  </si>
  <si>
    <t>01-6938</t>
  </si>
  <si>
    <t>Alberto Luis Rojas/Eventual Agregados 28/07 AL 03/08</t>
  </si>
  <si>
    <t>01-6939</t>
  </si>
  <si>
    <t>Naiker Alexander Jimenez/Eventual Agregados 28/07 AL 03/08</t>
  </si>
  <si>
    <t>01-6940</t>
  </si>
  <si>
    <t>José Gregorio Perez/Eventual Agregados 28/07 AL 03/08</t>
  </si>
  <si>
    <t>01-6941</t>
  </si>
  <si>
    <t>Carlos Daniel Rodriguez/Eventual Agregados 28/07 AL 03/08</t>
  </si>
  <si>
    <t>01-6942</t>
  </si>
  <si>
    <t>Alejandro Morales/Eventual Agregados 28/07 AL 03/08</t>
  </si>
  <si>
    <t>01-6943</t>
  </si>
  <si>
    <t>Euber José Juarez/Eventual Agregados 28/07 AL 03/08</t>
  </si>
  <si>
    <t>01-6944</t>
  </si>
  <si>
    <t>Ali Alberto Bullones/Eventual Agregados 28/07 AL 03/08</t>
  </si>
  <si>
    <t>01-6945</t>
  </si>
  <si>
    <t>Alberto Ali Bullones/Eventual Agregados 28/07 AL 03/08</t>
  </si>
  <si>
    <t>01-6946</t>
  </si>
  <si>
    <t>Fernando José Rodriguez/Eventual Agregados 28/07 AL 03/08</t>
  </si>
  <si>
    <t>01-6947</t>
  </si>
  <si>
    <t>Brunito Segundo Cordero/Eventual Agregados 28/07 AL 03/08</t>
  </si>
  <si>
    <t>01-6948</t>
  </si>
  <si>
    <t>Justiniano Rodriguez/Eventual Agregados 28/07 AL 03/08</t>
  </si>
  <si>
    <t>01-6949</t>
  </si>
  <si>
    <t>Fareliz Arrieche/Eventual Gobernacion 28/07 AL 03/08</t>
  </si>
  <si>
    <t>01-6950</t>
  </si>
  <si>
    <t>Armando Lopez /Eventual Agregados 28/07 AL 03/08</t>
  </si>
  <si>
    <t>01-6951</t>
  </si>
  <si>
    <t>Alirio Parra/Eventual Gobernacion 28/07 AL 03/08</t>
  </si>
  <si>
    <t>01-6952</t>
  </si>
  <si>
    <t>Froilan Lopez/Eventual Agregados 28/07 AL 03/08</t>
  </si>
  <si>
    <t>01-6953</t>
  </si>
  <si>
    <t>Ramón Quintero/Eventual Agregados 28/07 AL 03/08</t>
  </si>
  <si>
    <t>01-6954</t>
  </si>
  <si>
    <t>Juan López/Eventual Agregados 28/07 AL 03/08</t>
  </si>
  <si>
    <t>01-6955</t>
  </si>
  <si>
    <t>Jesus Ramos/Eventual Gobernacion 28/07 AL 03/08</t>
  </si>
  <si>
    <t>01-6956</t>
  </si>
  <si>
    <t>Exson Rodriguez/Eventual Gobernacion 28/07 AL 03/08</t>
  </si>
  <si>
    <t>01-6957</t>
  </si>
  <si>
    <t>Douglas Pimentel/Eventual Gobernacion 28/07 AL 03/08</t>
  </si>
  <si>
    <t>01-6958</t>
  </si>
  <si>
    <t>Pedro Castillo/Eventual Gobernacion 28/07 AL 03/08</t>
  </si>
  <si>
    <t>01-6959</t>
  </si>
  <si>
    <t>Miguel Torres/Eventual Gobernacion 28/07 AL 03/08</t>
  </si>
  <si>
    <t>01-6960</t>
  </si>
  <si>
    <t>Wendy Gimenez/Eventual Gobernacion 28/07 AL 03/08</t>
  </si>
  <si>
    <t>01-6961</t>
  </si>
  <si>
    <t>Nicolas Alvarez/Eventual Gobernacion 28/07 AL 03/08</t>
  </si>
  <si>
    <t>01-6962</t>
  </si>
  <si>
    <t>Rafael Puertas/Eventual Gobernacion 28/07 AL 03/08</t>
  </si>
  <si>
    <t>01-6963</t>
  </si>
  <si>
    <t>Carlos Pacheco/Eventual Gobernacion 28/07 AL 03/08</t>
  </si>
  <si>
    <t>01-6964</t>
  </si>
  <si>
    <t>Andrés Armella/Eventual Gobernacion 28/07 AL 03/08</t>
  </si>
  <si>
    <t>01-6965</t>
  </si>
  <si>
    <t>Jose Toledo/Eventual Gobernacion 28/07 AL 03/08</t>
  </si>
  <si>
    <t>01-6966</t>
  </si>
  <si>
    <t>Bruno Ali Cordero Bullones/Eventual Agregados 28/07 AL 03/08</t>
  </si>
  <si>
    <t>01-6967</t>
  </si>
  <si>
    <t>Juan Pinto/Eventual Gobernacion 28/07 AL 03/08</t>
  </si>
  <si>
    <t>01-6968</t>
  </si>
  <si>
    <t>Edwin Rojas/Eventual Gobernacion 28/07 AL 03/08</t>
  </si>
  <si>
    <t>01-6969</t>
  </si>
  <si>
    <t>Angel Caldera/Eventual Gobernacion 28/07 AL 03/08</t>
  </si>
  <si>
    <t>01-6970</t>
  </si>
  <si>
    <t>Carlos Lopez/Eventual Agregados 28/07 AL 03/08</t>
  </si>
  <si>
    <t>01-6971</t>
  </si>
  <si>
    <t>Rafael Quiroz/Eventual Gobernacion 28/07 AL 03/08</t>
  </si>
  <si>
    <t>01-6972</t>
  </si>
  <si>
    <t>Luis Silveiro Colon Ojeda/Eventual Agregados 28/07 AL 03/08</t>
  </si>
  <si>
    <t>01-6973</t>
  </si>
  <si>
    <t>Estebez Maramara/Eventual Agregados 28/07 AL 03/08</t>
  </si>
  <si>
    <t>01-6974</t>
  </si>
  <si>
    <t>Argenis Flores/Eventual Megatech 28/07 AL 03/08</t>
  </si>
  <si>
    <t>01-6975</t>
  </si>
  <si>
    <t>Walner Oviedo/Eventual Megatech 28/07 AL 03/08</t>
  </si>
  <si>
    <t>01-6976</t>
  </si>
  <si>
    <t>Yonny Castillo/Eventual Megatech 28/07 AL 03/08</t>
  </si>
  <si>
    <t>01-6977</t>
  </si>
  <si>
    <t>Antonio Castillo/Eventual Megatech 28/07 AL 03/08</t>
  </si>
  <si>
    <t>01-6978</t>
  </si>
  <si>
    <t>Jose Guevara/Eventual Megatech 28/07 AL 03/08</t>
  </si>
  <si>
    <t>01-6979</t>
  </si>
  <si>
    <t>Francisco Castillo/Eventual Megatech 28/07 AL 03/08</t>
  </si>
  <si>
    <t>01-6980</t>
  </si>
  <si>
    <t>Jose Castillo/Eventual Megatech 28/07 AL 03/08</t>
  </si>
  <si>
    <t>01-6981</t>
  </si>
  <si>
    <t>Elvis Valles/Eventual Megatech 28/07 AL 03/08</t>
  </si>
  <si>
    <t>01-6982</t>
  </si>
  <si>
    <t>01-6983</t>
  </si>
  <si>
    <t>Omar Torrealba/Eventual Megatech 28/07 AL 03/08</t>
  </si>
  <si>
    <t>01-6984</t>
  </si>
  <si>
    <t>Carlos Castillo/Eventual Megatech 28/07 AL 03/08</t>
  </si>
  <si>
    <t>01-6985</t>
  </si>
  <si>
    <t>Yordis Almao/Eventual Megatech 28/07 AL 03/08</t>
  </si>
  <si>
    <t>01-6986</t>
  </si>
  <si>
    <t>Victor Mendez/Eventual Megatech 28/07 AL 03/08</t>
  </si>
  <si>
    <t>01-6987</t>
  </si>
  <si>
    <t>Julian Guedez/Eventual Megatech 28/07 AL 03/08</t>
  </si>
  <si>
    <t>01-6988</t>
  </si>
  <si>
    <t>Carlos Loyo/Eventual Megatech 28/07 AL 03/08</t>
  </si>
  <si>
    <t>01-6989</t>
  </si>
  <si>
    <t>Alberto Loyo/Eventual Megatech 28/07 AL 03/08</t>
  </si>
  <si>
    <t>01-6990</t>
  </si>
  <si>
    <t>Edwuard Almeida/Eventual Megatech 28/07 AL 03/08</t>
  </si>
  <si>
    <t>01-6991</t>
  </si>
  <si>
    <t>Yerry Rodríguez/Eventual Megatech 28/07 AL 03/08</t>
  </si>
  <si>
    <t>01-6992</t>
  </si>
  <si>
    <t>Elio Malpica/Eventual Megatech 28/07 AL 03/08</t>
  </si>
  <si>
    <t>01-6993</t>
  </si>
  <si>
    <t>Alexander Castillo/Eventual Megatech 28/07 AL 03/08</t>
  </si>
  <si>
    <t>01-6994</t>
  </si>
  <si>
    <t>Fareliz Arrieche/Eventual Megatech 28/07 AL 03/08</t>
  </si>
  <si>
    <t>01-6995</t>
  </si>
  <si>
    <t>Ruben Rivas/Eventual Megatech 28/07 AL 03/08</t>
  </si>
  <si>
    <t>01-6996</t>
  </si>
  <si>
    <t>Alirio Parra/Eventual Megatech 28/07 AL 03/08</t>
  </si>
  <si>
    <t>01-6997</t>
  </si>
  <si>
    <t>Fares Arrieche/Eventual Megatech 28/07 AL 03/08</t>
  </si>
  <si>
    <t>01-6998</t>
  </si>
  <si>
    <t>Norys Ramos/Eventual Megatech 28/07 AL 03/08</t>
  </si>
  <si>
    <t>01-6999</t>
  </si>
  <si>
    <t>Emperatriz Leon/Eventual Megatech 28/07 AL 03/08</t>
  </si>
  <si>
    <t>01-7000</t>
  </si>
  <si>
    <t>Ingrid Reyes/Eventual Megatech 28/07 AL 03/08</t>
  </si>
  <si>
    <t>01-7001</t>
  </si>
  <si>
    <t>01-7002</t>
  </si>
  <si>
    <t>01-7003</t>
  </si>
  <si>
    <t>01-7004</t>
  </si>
  <si>
    <t>ALIMENTOS/FACT 33570/CAFÉ CARAOTA-DONACION RASDA</t>
  </si>
  <si>
    <t>01-7005</t>
  </si>
  <si>
    <t>SERVA043E</t>
  </si>
  <si>
    <t>ALIMENTOS/FACT 33571/CAFÉ CARAOTA-DONACION RASDA</t>
  </si>
  <si>
    <t>01-7006</t>
  </si>
  <si>
    <t>01-7007</t>
  </si>
  <si>
    <t xml:space="preserve">LISO/FACT 625/ALQUILER MARTILLO-PLANTA DEMOLICION </t>
  </si>
  <si>
    <t>01-7008</t>
  </si>
  <si>
    <t>01-7009</t>
  </si>
  <si>
    <t>CAUCHOS NAJAN/FACT 2696/SELLOS ORIGINALES P/RUEDA DEL EQUIPO VOLVO</t>
  </si>
  <si>
    <t>01-7010</t>
  </si>
  <si>
    <t>01-7011</t>
  </si>
  <si>
    <t>01-7012</t>
  </si>
  <si>
    <t>01-7013</t>
  </si>
  <si>
    <t>ISLR/PERIODO JULIO 2025</t>
  </si>
  <si>
    <t>01-7014</t>
  </si>
  <si>
    <t>02-070825</t>
  </si>
  <si>
    <t>01-7015</t>
  </si>
  <si>
    <t>Argenis Flores/Eventual Megatech 04/08 AL 10/08</t>
  </si>
  <si>
    <t>01-7016</t>
  </si>
  <si>
    <t>Jesus Ramos/Eventual Gobernacion 04/08 AL 10/08</t>
  </si>
  <si>
    <t>01-7017</t>
  </si>
  <si>
    <t>Walner Oviedo/Eventual Megatech 04/08 AL 10/08</t>
  </si>
  <si>
    <t>01-7018</t>
  </si>
  <si>
    <t>Exson Rodriguez/Eventual Gobernacion 04/08 AL 10/08</t>
  </si>
  <si>
    <t>01-7019</t>
  </si>
  <si>
    <t>Douglas Pimentel/Eventual Gobernacion 04/08 AL 10/08</t>
  </si>
  <si>
    <t>01-7020</t>
  </si>
  <si>
    <t>Francisco Castillo/Eventual Megatech 04/08 AL 10/08</t>
  </si>
  <si>
    <t>01-7021</t>
  </si>
  <si>
    <t>Miguel Torres/Eventual Gobernacion 04/08 AL 10/08</t>
  </si>
  <si>
    <t>01-7022</t>
  </si>
  <si>
    <t>Wendy Gimenez/Eventual Gobernacion 04/08 AL 10/08</t>
  </si>
  <si>
    <t>01-7023</t>
  </si>
  <si>
    <t>Yonny Castillo/Eventual Megatech 04/08 AL 10/08</t>
  </si>
  <si>
    <t>01-7024</t>
  </si>
  <si>
    <t>Pedro Castillo/Eventual Gobernacion 04/08 AL 10/08</t>
  </si>
  <si>
    <t>01-7025</t>
  </si>
  <si>
    <t>Antonio Castillo/Eventual Megatech 04/08 AL 10/08</t>
  </si>
  <si>
    <t>01-7026</t>
  </si>
  <si>
    <t>Jose Guevara/Eventual Megatech 04/08 AL 10/08</t>
  </si>
  <si>
    <t>01-7027</t>
  </si>
  <si>
    <t>Jose Castillo/Eventual Megatech 04/08 AL 10/08</t>
  </si>
  <si>
    <t>01-7028</t>
  </si>
  <si>
    <t>Elvis Valles/Eventual Megatech 04/08 AL 10/08</t>
  </si>
  <si>
    <t>01-7029</t>
  </si>
  <si>
    <t>01-7030</t>
  </si>
  <si>
    <t>Edwuard Almeida/Eventual Megatech 04/08 AL 10/08</t>
  </si>
  <si>
    <t>01-7031</t>
  </si>
  <si>
    <t>Omar Torrealba/Eventual Megatech 04/08 AL 10/08</t>
  </si>
  <si>
    <t>01-7032</t>
  </si>
  <si>
    <t>Julian Guedez/Eventual Megatech 04/08 AL 10/08</t>
  </si>
  <si>
    <t>01-7033</t>
  </si>
  <si>
    <t>Yerry Rodríguez/Eventual Megatech 04/08 AL 10/08</t>
  </si>
  <si>
    <t>01-7034</t>
  </si>
  <si>
    <t>Norys Ramos/Eventual Megatech 04/08 AL 10/08</t>
  </si>
  <si>
    <t>01-7035</t>
  </si>
  <si>
    <t>Fareliz Arrieche/Eventual Megatech 04/08 AL 10/08</t>
  </si>
  <si>
    <t>01-7036</t>
  </si>
  <si>
    <t>Henrry Valera/Eventual Gobernacion 04/08 AL 10/08</t>
  </si>
  <si>
    <t>01-7037</t>
  </si>
  <si>
    <t>Fares Arrieche/Eventual Megatech 04/08 AL 10/08</t>
  </si>
  <si>
    <t>01-7038</t>
  </si>
  <si>
    <t>Nicolas Alvarez/Eventual Gobernacion 04/08 AL 10/08</t>
  </si>
  <si>
    <t>01-7039</t>
  </si>
  <si>
    <t>Elio Malpica/Eventual Megatech 04/08 AL 10/08</t>
  </si>
  <si>
    <t>01-7040</t>
  </si>
  <si>
    <t>Ruben Rivas/Eventual Megatech 04/08 AL 10/08</t>
  </si>
  <si>
    <t>01-7041</t>
  </si>
  <si>
    <t>Federico Faneite/Eventual Gobernacion 04/08 AL 10/08</t>
  </si>
  <si>
    <t>01-7042</t>
  </si>
  <si>
    <t>Delios Adolfo Ferrara/Eventual Agregados 04/08 AL 10/08</t>
  </si>
  <si>
    <t>01-7043</t>
  </si>
  <si>
    <t>Eliomar Jesús Escalona/Eventual Agregados 04/08 AL 10/08</t>
  </si>
  <si>
    <t>01-7044</t>
  </si>
  <si>
    <t>José Guillermo Cortez/Eventual Agregados 04/08 AL 10/08</t>
  </si>
  <si>
    <t>01-7045</t>
  </si>
  <si>
    <t>Darwuin Jesús Bullones/Eventual Agregados 04/08 AL 10/08</t>
  </si>
  <si>
    <t>01-7046</t>
  </si>
  <si>
    <t>Frank Armando García/Eventual Agregados 04/08 AL 10/08</t>
  </si>
  <si>
    <t>01-7047</t>
  </si>
  <si>
    <t>Alberto Luis Rojas/Eventual Agregados 04/08 AL 10/08</t>
  </si>
  <si>
    <t>01-7048</t>
  </si>
  <si>
    <t>Naiker Alexander Jimenez/Eventual Agregados 04/08 AL 10/08</t>
  </si>
  <si>
    <t>01-7049</t>
  </si>
  <si>
    <t>José Gregorio Perez/Eventual Agregados 04/08 AL 10/08</t>
  </si>
  <si>
    <t>01-7050</t>
  </si>
  <si>
    <t>Carlos Daniel Rodriguez/Eventual Agregados 04/08 AL 10/08</t>
  </si>
  <si>
    <t>01-7051</t>
  </si>
  <si>
    <t>Alejandro Morales/Eventual Agregados 04/08 AL 10/08</t>
  </si>
  <si>
    <t>01-7052</t>
  </si>
  <si>
    <t>Euber José Juarez/Eventual Agregados 04/08 AL 10/08</t>
  </si>
  <si>
    <t>01-7053</t>
  </si>
  <si>
    <t>Ali Alberto Bullones/Eventual Agregados 04/08 AL 10/08</t>
  </si>
  <si>
    <t>01-7054</t>
  </si>
  <si>
    <t>Alberto Ali Bullones/Eventual Agregados 04/08 AL 10/08</t>
  </si>
  <si>
    <t>01-7055</t>
  </si>
  <si>
    <t>Fernando José Rodriguez/Eventual Agregados 04/08 AL 10/08</t>
  </si>
  <si>
    <t>01-7056</t>
  </si>
  <si>
    <t>Bruno Ali Cordero Bullones/Eventual Agregados 04/08 AL 10/08</t>
  </si>
  <si>
    <t>01-7057</t>
  </si>
  <si>
    <t>Alirio Parra/Eventual Gobernacion 04/08 AL 10/08</t>
  </si>
  <si>
    <t>01-7058</t>
  </si>
  <si>
    <t>Brunito Segundo Cordero/Eventual Agregados 04/08 AL 10/08</t>
  </si>
  <si>
    <t>01-7059</t>
  </si>
  <si>
    <t>Fareliz Arrieche/Eventual Gobernacion 04/08 AL 10/08</t>
  </si>
  <si>
    <t>01-7060</t>
  </si>
  <si>
    <t>Justiniano Rodriguez/Eventual Agregados 04/08 AL 10/08</t>
  </si>
  <si>
    <t>01-7061</t>
  </si>
  <si>
    <t>Armando Lopez /Eventual Agregados 04/08 AL 10/08</t>
  </si>
  <si>
    <t>01-7062</t>
  </si>
  <si>
    <t>Froilan Lopez/Eventual Agregados 04/08 AL 10/08</t>
  </si>
  <si>
    <t>01-7063</t>
  </si>
  <si>
    <t>Ramón Quintero/Eventual Agregados 04/08 AL 10/08</t>
  </si>
  <si>
    <t>01-7064</t>
  </si>
  <si>
    <t>Juan López/Eventual Agregados 04/08 AL 10/08</t>
  </si>
  <si>
    <t>01-7065</t>
  </si>
  <si>
    <t>Yordis Almao/Eventual Megatech 04/08 AL 10/08</t>
  </si>
  <si>
    <t>01-7066</t>
  </si>
  <si>
    <t>Victor Mendez/Eventual Megatech 04/08 AL 10/08</t>
  </si>
  <si>
    <t>01-7067</t>
  </si>
  <si>
    <t>Carlos Castillo/Eventual Megatech 04/08 AL 10/08</t>
  </si>
  <si>
    <t>01-7068</t>
  </si>
  <si>
    <t>Carlos Loyo/Eventual Megatech 04/08 AL 10/08</t>
  </si>
  <si>
    <t>01-7069</t>
  </si>
  <si>
    <t>Alberto Loyo/Eventual Megatech 04/08 AL 10/08</t>
  </si>
  <si>
    <t>01-7070</t>
  </si>
  <si>
    <t>Rafael Puertas/Eventual Gobernacion 04/08 AL 10/08</t>
  </si>
  <si>
    <t>01-7071</t>
  </si>
  <si>
    <t>Carlos Pacheco/Eventual Gobernacion 04/08 AL 10/08</t>
  </si>
  <si>
    <t>01-7072</t>
  </si>
  <si>
    <t>Andrés Armella/Eventual Gobernacion 04/08 AL 10/08</t>
  </si>
  <si>
    <t>01-7073</t>
  </si>
  <si>
    <t>Jose Toledo/Eventual Gobernacion 04/08 AL 10/08</t>
  </si>
  <si>
    <t>01-7074</t>
  </si>
  <si>
    <t>Juan Pinto/Eventual Gobernacion 04/08 AL 10/08</t>
  </si>
  <si>
    <t>01-7075</t>
  </si>
  <si>
    <t>Edwin Rojas/Eventual Gobernacion 04/08 AL 10/08</t>
  </si>
  <si>
    <t>01-7076</t>
  </si>
  <si>
    <t>Carlos Lopez/Eventual Agregados 04/08 AL 10/08</t>
  </si>
  <si>
    <t>01-7077</t>
  </si>
  <si>
    <t>Angel Caldera/Eventual Gobernacion 04/08 AL 10/08</t>
  </si>
  <si>
    <t>01-7078</t>
  </si>
  <si>
    <t>Estebez Maramara/Eventual Agregados 04/08 AL 10/08</t>
  </si>
  <si>
    <t>01-7079</t>
  </si>
  <si>
    <t>Alirio Parra/Eventual Megatech 04/08 AL 10/08</t>
  </si>
  <si>
    <t>01-7080</t>
  </si>
  <si>
    <t>Emperatriz Leon/Eventual Megatech 04/08 AL 10/08</t>
  </si>
  <si>
    <t>01-7081</t>
  </si>
  <si>
    <t>Rafael Quiroz/Eventual Gobernacion 04/08 AL 10/08</t>
  </si>
  <si>
    <t>01-7082</t>
  </si>
  <si>
    <t>Luis Silveiro Colon Ojeda/Eventual Agregados 04/08 AL 10/08</t>
  </si>
  <si>
    <t>01-7083</t>
  </si>
  <si>
    <t>Alexander Castillo/Eventual Megatech 04/08 AL 10/08</t>
  </si>
  <si>
    <t>01-7084</t>
  </si>
  <si>
    <t>Ingrid Reyes/Eventual Megatech 04/08 AL 10/08</t>
  </si>
  <si>
    <t>01-7085</t>
  </si>
  <si>
    <t>01-7086</t>
  </si>
  <si>
    <t>01-7087</t>
  </si>
  <si>
    <t>COMERCIALIZADORA/FACT 82/ARENA CERNIDA-CANTO RODADO</t>
  </si>
  <si>
    <t>01-7088</t>
  </si>
  <si>
    <t>VENTA ARENA CERNIDA/CANTO RODADO</t>
  </si>
  <si>
    <t>INVERSIONES AB/FACT 81/VENTA DE MATERIALES</t>
  </si>
  <si>
    <t>01-7089</t>
  </si>
  <si>
    <t>VENTA DE CANTO RODADO/CEMENTO GRANEL/GRANZON MT3/RIPIO PIEDRA DE GAVION/GRANZON MT3/ARENA CERNIDA</t>
  </si>
  <si>
    <t>TRANSPORTE TDC/FACT 83/VENTA CEMENTO GRANEL</t>
  </si>
  <si>
    <t>01-7090</t>
  </si>
  <si>
    <t>VENTA DE CEMENTO A GRANEL</t>
  </si>
  <si>
    <t>INVERSIONES AB/FACT 38/PLANTA CEMENTO</t>
  </si>
  <si>
    <t>01-7091</t>
  </si>
  <si>
    <t>01-7092</t>
  </si>
  <si>
    <t>AIR SYSTEM/FACT 234/FILTRO SEPARADOR DE ACEITE-FILTRO DE AIRE</t>
  </si>
  <si>
    <t>01-7093</t>
  </si>
  <si>
    <t>ITALMECANICA/FACT189/RECIFICACION-MEDIDAS TOLERANCIAS-SILVERADO</t>
  </si>
  <si>
    <t>01-7094</t>
  </si>
  <si>
    <t>MATERIALES SANTA LUCIA/FACT 5761/CEMENTERA</t>
  </si>
  <si>
    <t>01-7095</t>
  </si>
  <si>
    <t>01-7096</t>
  </si>
  <si>
    <t>01-7097</t>
  </si>
  <si>
    <t>01-7098</t>
  </si>
  <si>
    <t>AGROPECUARIA/FACT 80/VENTA GRANZO-ARENA CERNIDA-GRANZON</t>
  </si>
  <si>
    <t>01-7099</t>
  </si>
  <si>
    <t>VENTA DE GRANZON/ARENA CERNIDA/GRANZON</t>
  </si>
  <si>
    <t>01-7100</t>
  </si>
  <si>
    <t>01-7101</t>
  </si>
  <si>
    <t>PROTECCION PENSIONES/JULIO 2025</t>
  </si>
  <si>
    <t>01-7102</t>
  </si>
  <si>
    <t>02-110825</t>
  </si>
  <si>
    <t>01-7103</t>
  </si>
  <si>
    <t>ARIEDDY GARRIDO/FACT 44/SERV ANALISIS INSTRUMENTAL P/CEMENTO</t>
  </si>
  <si>
    <t>01-7104</t>
  </si>
  <si>
    <t>HENCARD/FACT 620/SISTEMA FIJACION  P/BANDEJAS PORTACABLE SALA GENERADORES-CEMENTERA</t>
  </si>
  <si>
    <t>01-7105</t>
  </si>
  <si>
    <t>01-7106</t>
  </si>
  <si>
    <t>PREMEZCLADO FERRE NIRGUA/FACT382/P/CEMENTO 7,5 M3</t>
  </si>
  <si>
    <t>01-7107</t>
  </si>
  <si>
    <t>RENOVADORA AZEM/FACT 1034/CAUCHOS P/RETROEXCAVADORA P/CEMENTO</t>
  </si>
  <si>
    <t>01-7108</t>
  </si>
  <si>
    <t>RODA MANGUERA/FACT 2492/10GOMAS 30/30 P/LOS FRENOS P/CAMIONES-MANGUERA M/CARGADOR-MINERALES</t>
  </si>
  <si>
    <t>01-7109</t>
  </si>
  <si>
    <t>01-7110</t>
  </si>
  <si>
    <t>01-7111</t>
  </si>
  <si>
    <t>COMERCIALIZADORA/INVERSION DE CAPITAL/TESOSO</t>
  </si>
  <si>
    <t>01-7112</t>
  </si>
  <si>
    <t>HANLEY BORGE/FACT 0711/LICENCIA SAINT</t>
  </si>
  <si>
    <t>01-7113</t>
  </si>
  <si>
    <t>01-7114</t>
  </si>
  <si>
    <t>RESGUARDO/FACT 247/1ERA QUINC AGOSTO</t>
  </si>
  <si>
    <t>01-7115</t>
  </si>
  <si>
    <t>REICARI RIVAS/FACT 206 DIF</t>
  </si>
  <si>
    <t>01-7116</t>
  </si>
  <si>
    <t>01-7117</t>
  </si>
  <si>
    <t>TRANSPORTE TDC/FACT 87/SERV TRASLAD A NIVEL NACIONAL</t>
  </si>
  <si>
    <t>01-7118</t>
  </si>
  <si>
    <t>01-7119</t>
  </si>
  <si>
    <t>RANGEL GUSTAVO/BONO COMPLE 15-08-25/ADM</t>
  </si>
  <si>
    <t>01-7120</t>
  </si>
  <si>
    <t>PEREZ, JOSE ROLANDO/BONO COMPLE 14-08-25/OPER</t>
  </si>
  <si>
    <t>01-7121</t>
  </si>
  <si>
    <t>BASTIDA, JOSE/BONO COMPL15-08-25/OPER</t>
  </si>
  <si>
    <t>01-7122</t>
  </si>
  <si>
    <t>GUEDEZ,YIRMER/BONO COMPLE 14-08-25/ADM</t>
  </si>
  <si>
    <t>01-7123</t>
  </si>
  <si>
    <t>GARCIA, JASON/BONO COMPLE 14-08-25/OPER</t>
  </si>
  <si>
    <t>01-7124</t>
  </si>
  <si>
    <t>LINAREZ, PEDRO/BONO COMPLE 14-08-25/OPER</t>
  </si>
  <si>
    <t>01-7125</t>
  </si>
  <si>
    <t>ALVARADO, EDID/BONO COMPLE 14-08-25/OPER</t>
  </si>
  <si>
    <t>01-7126</t>
  </si>
  <si>
    <t>MARTINEZ JUAN/BONO COMPLE 14-08-25/OPER</t>
  </si>
  <si>
    <t>01-7127</t>
  </si>
  <si>
    <t>LOPEZ ,MANOLO/BONO COMPLE 14-08-25/OPER</t>
  </si>
  <si>
    <t>01-7128</t>
  </si>
  <si>
    <t>PEREZ, CARLOS/BONO COMPLE 14-08-25/OPER</t>
  </si>
  <si>
    <t>01-7129</t>
  </si>
  <si>
    <t>VIELMA CARLEN/BONO COMPLE 15-08-25/ADM</t>
  </si>
  <si>
    <t>01-7130</t>
  </si>
  <si>
    <t>SEGURA ,WAILEN/BONO COMPLE 14-08-25/OPER</t>
  </si>
  <si>
    <t>01-7131</t>
  </si>
  <si>
    <t>GUTIERREZ, PRESCILIANO/BONO COMPLE 14-08-25/OPER</t>
  </si>
  <si>
    <t>01-7132</t>
  </si>
  <si>
    <t>RAGA NELIDO/BONO COMPLE 14-08-25/OPER</t>
  </si>
  <si>
    <t>01-7133</t>
  </si>
  <si>
    <t>GUEDEZ,JOSE/BONO COMPLE 14-08-25/OPER</t>
  </si>
  <si>
    <t>01-7134</t>
  </si>
  <si>
    <t>RIVERO, JORGE/BONO COMPLE 14-08-25/OPER</t>
  </si>
  <si>
    <t>01-7135</t>
  </si>
  <si>
    <t>NOGUERA, OSCAR/BONO COMPLE 14-08-25/OPER</t>
  </si>
  <si>
    <t>01-7136</t>
  </si>
  <si>
    <t>ADMINISTRATIVO</t>
  </si>
  <si>
    <t>SUAREZ, RAFAEL/BONO COMPLE 14-08-25/OPER</t>
  </si>
  <si>
    <t>01-7137</t>
  </si>
  <si>
    <t>GOMEZ,ARGENIS/BONO COMPLE 14-08-25/OPER</t>
  </si>
  <si>
    <t>01-7138</t>
  </si>
  <si>
    <t>PARADA,KEIBY/BONO COMPLE 14-08-25/OPER</t>
  </si>
  <si>
    <t>01-7139</t>
  </si>
  <si>
    <t>RODRIGUEZ, MIGUEL/BONO COMPLE 14-08-25/OPER</t>
  </si>
  <si>
    <t>01-7140</t>
  </si>
  <si>
    <t>ALMAO,GENESIS/BONO COMPLE 14-08-25/ADM</t>
  </si>
  <si>
    <t>01-7141</t>
  </si>
  <si>
    <t>MENDOZA,ANTONY/BONO COMPLE 14-08-25/OPER</t>
  </si>
  <si>
    <t>01-7142</t>
  </si>
  <si>
    <t>ROJAS MARIA/BONO COMPLE 14-08-25/ADM</t>
  </si>
  <si>
    <t>01-7143</t>
  </si>
  <si>
    <t>SOTELDO, LUSMAR/BONO COMPLE 14-08-25/OPER</t>
  </si>
  <si>
    <t>01-7144</t>
  </si>
  <si>
    <t>RODRIGUEZ ANSONNY/BONO COMPLE 14-08-25/OPER</t>
  </si>
  <si>
    <t>01-7145</t>
  </si>
  <si>
    <t>QUERALES ,EDIXON/BONO COMPLE 14-08-25/OPER</t>
  </si>
  <si>
    <t>01-7146</t>
  </si>
  <si>
    <t>DURAN, MARIA/BONO COMPLE 14-08-25/ADM</t>
  </si>
  <si>
    <t>01-7147</t>
  </si>
  <si>
    <t>LINAREZ, SANTIAGO/BONO COMPLE 14-08-25/OPER</t>
  </si>
  <si>
    <t>01-7148</t>
  </si>
  <si>
    <t>CHIRINOS, RAFAEL/BONO COMPLE 14-08-25/OPER</t>
  </si>
  <si>
    <t>01-7149</t>
  </si>
  <si>
    <t>ALEJOS, RODOLFO/BONO COMPLE 14-08-25/OPER</t>
  </si>
  <si>
    <t>01-7150</t>
  </si>
  <si>
    <t>REVERON, RAMON/BONO COMPLE 14-08-25/OPER</t>
  </si>
  <si>
    <t>01-7151</t>
  </si>
  <si>
    <t>VETANCOURT, BLIXANDER/BONO COMPLE 14-08-25/OPER</t>
  </si>
  <si>
    <t>01-7152</t>
  </si>
  <si>
    <t>DAZA, VICTOR/BONO COMPLE 14-08-25/OPER</t>
  </si>
  <si>
    <t>01-7153</t>
  </si>
  <si>
    <t>RANGEL GUSTAVO/NOMINA 15-08-25/ADM</t>
  </si>
  <si>
    <t>01-7154</t>
  </si>
  <si>
    <t>REVERON, RAMON/NOMINA 15-08-25/OPER</t>
  </si>
  <si>
    <t>01-7155</t>
  </si>
  <si>
    <t>GUEDEZ,YIRMER/NOMINA 15-08-25/OPER</t>
  </si>
  <si>
    <t>01-7156</t>
  </si>
  <si>
    <t>PEREZ, JOSE ROLANDO/NOMINA 15-08-25/OPER</t>
  </si>
  <si>
    <t>01-7157</t>
  </si>
  <si>
    <t>DAZA, VICTOR/NOMINA 15-08-25/OPER</t>
  </si>
  <si>
    <t>01-7158</t>
  </si>
  <si>
    <t>LOPEZ ,MANOLO/NOMINA 15-08-25/ADM</t>
  </si>
  <si>
    <t>01-7159</t>
  </si>
  <si>
    <t>PEREZ, CARLOS/NOMINA 15-08-25/OPER</t>
  </si>
  <si>
    <t>01-7160</t>
  </si>
  <si>
    <t>SEGURA ,WAILEN/NOMINA 15-08-25/OPER</t>
  </si>
  <si>
    <t>01-7161</t>
  </si>
  <si>
    <t>MARTINEZ JUAN/NOMINA 15-08-25/OPER</t>
  </si>
  <si>
    <t>01-7162</t>
  </si>
  <si>
    <t>GARCIA, JASON/NOMINA 15-08-25/OPER</t>
  </si>
  <si>
    <t>01-7163</t>
  </si>
  <si>
    <t>ALVARADO, EDID/NOMINA 15-08-25/OPER</t>
  </si>
  <si>
    <t>01-7164</t>
  </si>
  <si>
    <t>GUEDEZ,JOSE/NOMINA 15-08-25/OPER</t>
  </si>
  <si>
    <t>01-7165</t>
  </si>
  <si>
    <t>LINAREZ, PEDRO/NOMINA 15-08-25/OPER</t>
  </si>
  <si>
    <t>01-7166</t>
  </si>
  <si>
    <t>GUTIERREZ, PRESCILIANO/NOMINA 15-08-25/OPER</t>
  </si>
  <si>
    <t>01-7167</t>
  </si>
  <si>
    <t>VIELMA CARLEN/NOMINA 15-08-25/ADM</t>
  </si>
  <si>
    <t>01-7168</t>
  </si>
  <si>
    <t>RAGA NELIDO/NOMINA 15-08-25/ADM</t>
  </si>
  <si>
    <t>01-7169</t>
  </si>
  <si>
    <t>QUERALES, HERMES/BONO COMPLE 14-08-25/OPER</t>
  </si>
  <si>
    <t>01-7170</t>
  </si>
  <si>
    <t>GOMEZ,ARGENIS/NOMINA 15-08-25/OPER</t>
  </si>
  <si>
    <t>01-7171</t>
  </si>
  <si>
    <t>NOGUERA, OSCAR/NOMINA 15-08-25/OPER</t>
  </si>
  <si>
    <t>01-7172</t>
  </si>
  <si>
    <t>PARADA,KEIBY/NOMINA 15-08-25/OPER</t>
  </si>
  <si>
    <t>01-7173</t>
  </si>
  <si>
    <t>SUAREZ, RAFAEL/NOMINA 15-08-25/OPER</t>
  </si>
  <si>
    <t>01-7174</t>
  </si>
  <si>
    <t>RIVERO, JORGE/NOMINA 15-08-25/OPER</t>
  </si>
  <si>
    <t>01-7175</t>
  </si>
  <si>
    <t>RODRIGUEZ, MIGUEL/NOMINA 15-08-25/OPER</t>
  </si>
  <si>
    <t>01-7176</t>
  </si>
  <si>
    <t>RODRIGUEZ ANSONNY/NOMINA 15-08-25/OPER</t>
  </si>
  <si>
    <t>01-7177</t>
  </si>
  <si>
    <t>CHIRINOS, RAFAEL/NOMINA 15-08-25/OPER</t>
  </si>
  <si>
    <t>01-7178</t>
  </si>
  <si>
    <t>SOTELDO, LUSMAR/NOMINA 15-08-25/OPER</t>
  </si>
  <si>
    <t>01-7179</t>
  </si>
  <si>
    <t>MENDOZA,ANTONY/NOMINA 15-08-25/OPER</t>
  </si>
  <si>
    <t>01-7180</t>
  </si>
  <si>
    <t>ALMAO,GENESIS/NOMINA 15-08-25/ADM</t>
  </si>
  <si>
    <t>01-7181</t>
  </si>
  <si>
    <t>ROJAS MARIA/NOMINA 15-08-25/OPER</t>
  </si>
  <si>
    <t>01-7182</t>
  </si>
  <si>
    <t>QUERALES ,EDIXON/NOMINA 15-08-25/OPER</t>
  </si>
  <si>
    <t>01-7183</t>
  </si>
  <si>
    <t>VETANCOURT, BLIXANDER/NOMINA 15-08-25/ADM</t>
  </si>
  <si>
    <t>01-7184</t>
  </si>
  <si>
    <t>DURAN, MARIA/NOMINA 15-08-25/OPER</t>
  </si>
  <si>
    <t>01-7185</t>
  </si>
  <si>
    <t>QUERALES, HERMES/NOMINA 15-08-25/OPER</t>
  </si>
  <si>
    <t>01-7186</t>
  </si>
  <si>
    <t>LINAREZ, SANTIAGO/NOMINA 15-08-25/OPER</t>
  </si>
  <si>
    <t>01-7187</t>
  </si>
  <si>
    <t>BASTIDA, JOSE/NOMINA 15-08-25/OPER</t>
  </si>
  <si>
    <t>01-7188</t>
  </si>
  <si>
    <t>ALEJOS, RODOLFO/NOMINA 15-08-25/OPER</t>
  </si>
  <si>
    <t>01-7189</t>
  </si>
  <si>
    <t>01-7190</t>
  </si>
  <si>
    <t>01-7191</t>
  </si>
  <si>
    <t>Federico Faneite/Eventual Gobernacion 11/08 AL 17/08</t>
  </si>
  <si>
    <t>01-7192</t>
  </si>
  <si>
    <t>Delios Adolfo Ferrara/Eventual Agregados 11/08 AL 17/08</t>
  </si>
  <si>
    <t>01-7193</t>
  </si>
  <si>
    <t>Eliomar Jesús Escalona/Eventual Agregados 11/08 AL 17/08</t>
  </si>
  <si>
    <t>01-7194</t>
  </si>
  <si>
    <t>José Guillermo Cortez/Eventual Agregados 11/08 AL 17/08</t>
  </si>
  <si>
    <t>01-7195</t>
  </si>
  <si>
    <t>Darwuin Jesús Bullones/Eventual Agregados 11/08 AL 17/08</t>
  </si>
  <si>
    <t>01-7196</t>
  </si>
  <si>
    <t>Frank Armando García/Eventual Agregados 11/08 AL 17/08</t>
  </si>
  <si>
    <t>01-7197</t>
  </si>
  <si>
    <t>Alberto Luis Rojas/Eventual Agregados 11/08 AL 17/08</t>
  </si>
  <si>
    <t>01-7198</t>
  </si>
  <si>
    <t>Naiker Alexander Jimenez/Eventual Agregados 11/08 AL 17/08</t>
  </si>
  <si>
    <t>01-7199</t>
  </si>
  <si>
    <t>José Gregorio Perez/Eventual Agregados 11/08 AL 17/08</t>
  </si>
  <si>
    <t>01-7200</t>
  </si>
  <si>
    <t>Carlos Daniel Rodriguez/Eventual Agregados 11/08 AL 17/08</t>
  </si>
  <si>
    <t>01-7201</t>
  </si>
  <si>
    <t>Alejandro Morales/Eventual Agregados 11/08 AL 17/08</t>
  </si>
  <si>
    <t>01-7202</t>
  </si>
  <si>
    <t>Euber José Juarez/Eventual Agregados 11/08 AL 17/08</t>
  </si>
  <si>
    <t>01-7203</t>
  </si>
  <si>
    <t>Ali Alberto Bullones/Eventual Agregados 11/08 AL 17/08</t>
  </si>
  <si>
    <t>01-7204</t>
  </si>
  <si>
    <t>Alberto Ali Bullones/Eventual Agregados 11/08 AL 17/08</t>
  </si>
  <si>
    <t>01-7205</t>
  </si>
  <si>
    <t>Fareliz Arrieche/Eventual Gobernacion 11/08 AL 17/08</t>
  </si>
  <si>
    <t>01-7206</t>
  </si>
  <si>
    <t>Brunito Segundo Cordero/Eventual Agregados 11/08 AL 17/08</t>
  </si>
  <si>
    <t>01-7207</t>
  </si>
  <si>
    <t>Fernando José Rodriguez/Eventual Agregados 11/08 AL 17/08</t>
  </si>
  <si>
    <t>01-7208</t>
  </si>
  <si>
    <t>Henrry Valera/Eventual Gobernacion 11/08 AL 17/08</t>
  </si>
  <si>
    <t>01-7209</t>
  </si>
  <si>
    <t>Justiniano Rodriguez/Eventual Agregados 11/08 AL 17/08</t>
  </si>
  <si>
    <t>01-7210</t>
  </si>
  <si>
    <t>Armando Lopez /Eventual Agregados 11/08 AL 17/08</t>
  </si>
  <si>
    <t>01-7211</t>
  </si>
  <si>
    <t>Froilan Lopez/Eventual Agregados 11/08 AL 17/08</t>
  </si>
  <si>
    <t>01-7212</t>
  </si>
  <si>
    <t>Ramón Quintero/Eventual Agregados 11/08 AL 17/08</t>
  </si>
  <si>
    <t>01-7213</t>
  </si>
  <si>
    <t>Juan López/Eventual Agregados 11/08 AL 17/08</t>
  </si>
  <si>
    <t>01-7214</t>
  </si>
  <si>
    <t>Exson Rodriguez/Eventual Gobernacion 11/08 AL 17/08</t>
  </si>
  <si>
    <t>01-7215</t>
  </si>
  <si>
    <t>Jesus Ramos/Eventual Gobernacion 11/08 AL 17/08</t>
  </si>
  <si>
    <t>01-7216</t>
  </si>
  <si>
    <t>Douglas Pimentel/Eventual Gobernacion 11/08 AL 17/08</t>
  </si>
  <si>
    <t>01-7217</t>
  </si>
  <si>
    <t>Pedro Castillo/Eventual Gobernacion 11/08 AL 17/08</t>
  </si>
  <si>
    <t>01-7218</t>
  </si>
  <si>
    <t>Miguel Torres/Eventual Gobernacion 11/08 AL 17/08</t>
  </si>
  <si>
    <t>01-7219</t>
  </si>
  <si>
    <t>Wendy Gimenez/Eventual Gobernacion 11/08 AL 17/08</t>
  </si>
  <si>
    <t>01-7220</t>
  </si>
  <si>
    <t>Nicolas Alvarez/Eventual Gobernacion 11/08 AL 17/08</t>
  </si>
  <si>
    <t>01-7221</t>
  </si>
  <si>
    <t>Rafael Puertas/Eventual Gobernacion 11/08 AL 17/08</t>
  </si>
  <si>
    <t>01-7222</t>
  </si>
  <si>
    <t>Carlos Pacheco/Eventual Gobernacion 11/08 AL 17/08</t>
  </si>
  <si>
    <t>01-7223</t>
  </si>
  <si>
    <t>Andrés Armella/Eventual Gobernacion 11/08 AL 17/08</t>
  </si>
  <si>
    <t>01-7224</t>
  </si>
  <si>
    <t>Jose Toledo/Eventual Gobernacion 11/08 AL 17/08</t>
  </si>
  <si>
    <t>01-7225</t>
  </si>
  <si>
    <t>Carlos Lopez/Eventual Agregados 11/08 AL 17/08</t>
  </si>
  <si>
    <t>01-7226</t>
  </si>
  <si>
    <t>Alirio Parra/Eventual Gobernacion 11/08 AL 17/08</t>
  </si>
  <si>
    <t>01-7227</t>
  </si>
  <si>
    <t>Angel Caldera/Eventual Gobernacion 11/08 AL 17/08</t>
  </si>
  <si>
    <t>01-7228</t>
  </si>
  <si>
    <t>Juan Pinto/Eventual Gobernacion 11/08 AL 17/08</t>
  </si>
  <si>
    <t>01-7229</t>
  </si>
  <si>
    <t>Rafael Quiroz/Eventual Gobernacion 11/08 AL 17/08</t>
  </si>
  <si>
    <t>01-7230</t>
  </si>
  <si>
    <t>Edwin Rojas/Eventual Gobernacion 11/08 AL 17/08</t>
  </si>
  <si>
    <t>01-7231</t>
  </si>
  <si>
    <t>Estebez Maramara/Eventual Agregados 11/08 AL 17/08</t>
  </si>
  <si>
    <t>01-7232</t>
  </si>
  <si>
    <t>Argenis Flores/Eventual Megatech 11/08 AL 17/08</t>
  </si>
  <si>
    <t>01-7233</t>
  </si>
  <si>
    <t>Walner Oviedo/Eventual Megatech 11/08 AL 17/08</t>
  </si>
  <si>
    <t>01-7234</t>
  </si>
  <si>
    <t>Yonny Castillo/Eventual Megatech 11/08 AL 17/08</t>
  </si>
  <si>
    <t>01-7235</t>
  </si>
  <si>
    <t>Antonio Castillo/Eventual Megatech 11/08 AL 17/08</t>
  </si>
  <si>
    <t>01-7236</t>
  </si>
  <si>
    <t>Jose Guevara/Eventual Megatech 11/08 AL 17/08</t>
  </si>
  <si>
    <t>01-7237</t>
  </si>
  <si>
    <t>Jose Castillo/Eventual Megatech 11/08 AL 17/08</t>
  </si>
  <si>
    <t>01-7238</t>
  </si>
  <si>
    <t>Francisco Castillo/Eventual Megatech 11/08 AL 17/08</t>
  </si>
  <si>
    <t>01-7239</t>
  </si>
  <si>
    <t>Elvis Valles/Eventual Megatech 11/08 AL 17/08</t>
  </si>
  <si>
    <t>01-7240</t>
  </si>
  <si>
    <t>01-7241</t>
  </si>
  <si>
    <t>Omar Torrealba/Eventual Megatech 11/08 AL 17/08</t>
  </si>
  <si>
    <t>01-7242</t>
  </si>
  <si>
    <t>Carlos Castillo/Eventual Megatech 11/08 AL 17/08</t>
  </si>
  <si>
    <t>01-7243</t>
  </si>
  <si>
    <t>Julian Guedez/Eventual Megatech 11/08 AL 17/08</t>
  </si>
  <si>
    <t>01-7244</t>
  </si>
  <si>
    <t>Yordis Almao/Eventual Megatech 11/08 AL 17/08</t>
  </si>
  <si>
    <t>01-7245</t>
  </si>
  <si>
    <t>Victor Mendez/Eventual Megatech 11/08 AL 17/08</t>
  </si>
  <si>
    <t>01-7246</t>
  </si>
  <si>
    <t>Carlos Loyo/Eventual Megatech 11/08 AL 17/08</t>
  </si>
  <si>
    <t>01-7247</t>
  </si>
  <si>
    <t>Alberto Loyo/Eventual Megatech 11/08 AL 17/08</t>
  </si>
  <si>
    <t>01-7248</t>
  </si>
  <si>
    <t>Alexander Castillo/Eventual Megatech 11/08 AL 17/08</t>
  </si>
  <si>
    <t>01-7249</t>
  </si>
  <si>
    <t>Edwuard Almeida/Eventual Megatech 11/08 AL 17/08</t>
  </si>
  <si>
    <t>01-7250</t>
  </si>
  <si>
    <t>Luis Silveiro Colon Ojeda/Eventual Agregados 11/08 AL 17/08</t>
  </si>
  <si>
    <t>01-7251</t>
  </si>
  <si>
    <t>Yerry Rodríguez/Eventual Megatech 11/08 AL 17/08</t>
  </si>
  <si>
    <t>01-7252</t>
  </si>
  <si>
    <t>Elio Malpica/Eventual Megatech 11/08 AL 17/08</t>
  </si>
  <si>
    <t>01-7253</t>
  </si>
  <si>
    <t>Alirio Parra/Eventual Megatech 11/08 AL 17/08</t>
  </si>
  <si>
    <t>01-7254</t>
  </si>
  <si>
    <t>Fareliz Arrieche/Eventual Megatech 11/08 AL 17/08</t>
  </si>
  <si>
    <t>01-7255</t>
  </si>
  <si>
    <t>Norys Ramos/Eventual Megatech 11/08 AL 17/08</t>
  </si>
  <si>
    <t>01-7256</t>
  </si>
  <si>
    <t>Ruben Rivas/Eventual Megatech 11/08 AL 17/08</t>
  </si>
  <si>
    <t>01-7257</t>
  </si>
  <si>
    <t>Fares Arrieche/Eventual Megatech 11/08 AL 17/08</t>
  </si>
  <si>
    <t>01-7258</t>
  </si>
  <si>
    <t>Emperatriz Leon/Eventual Megatech 11/08 AL 17/08</t>
  </si>
  <si>
    <t>01-7259</t>
  </si>
  <si>
    <t>Ingrid Reyes/Eventual Megatech 11/08 AL 17/08</t>
  </si>
  <si>
    <t>01-7260</t>
  </si>
  <si>
    <t>01-7261</t>
  </si>
  <si>
    <t>01-7262</t>
  </si>
  <si>
    <t>01-7263</t>
  </si>
  <si>
    <t>Bruno Ali Cordero Bullones/Eventual Agregados 11/08 AL 17/08</t>
  </si>
  <si>
    <t>01-7264</t>
  </si>
  <si>
    <t>01-7265</t>
  </si>
  <si>
    <t>CORPOELEC/FACT 5644/MINERALES YARACUY</t>
  </si>
  <si>
    <t>01-7266</t>
  </si>
  <si>
    <t>29-190825</t>
  </si>
  <si>
    <t>COMERCIALIZADORA/INVERSION DE CAPITAL/PROV</t>
  </si>
  <si>
    <t>01-7267</t>
  </si>
  <si>
    <t>MATERIALES SANTA LUCIA/FACT 5796/CEMENTERA</t>
  </si>
  <si>
    <t>01-7268</t>
  </si>
  <si>
    <t>EMBOBINADO EL CATIRE/FACT 6725/MTTO MOTORES TUNELES MATERIA PRIMA P/CEMENTO</t>
  </si>
  <si>
    <t>01-7269</t>
  </si>
  <si>
    <t>REPUESTO RODICAR/FACT 2046/KIT P/COMPRESOR AIRE VEHICULO TROMPO MACK</t>
  </si>
  <si>
    <t>01-7270</t>
  </si>
  <si>
    <t>VULCANIZADORA YARITAGUA/FACT 1671/SERV MONTAJE CAUCHO -RETROEXCAVADORA</t>
  </si>
  <si>
    <t>01-7271</t>
  </si>
  <si>
    <t>01-7272</t>
  </si>
  <si>
    <t>COMERCIALIZADORA/INVERSION DE CAPITAL/BDT</t>
  </si>
  <si>
    <t>01-7273</t>
  </si>
  <si>
    <t>CORPORACION ERDS/FACT 2052/MTTO GRAL MINERALES YARACUY</t>
  </si>
  <si>
    <t>01-7274</t>
  </si>
  <si>
    <t>01-7275</t>
  </si>
  <si>
    <t>01-7276</t>
  </si>
  <si>
    <t>GLOBAL ACERO/FACT 70/INV P/TECHADO ESTRUCT TANQUE GASOIL</t>
  </si>
  <si>
    <t>01-7277</t>
  </si>
  <si>
    <t>01-7278</t>
  </si>
  <si>
    <t>01-7279</t>
  </si>
  <si>
    <t>01-7280</t>
  </si>
  <si>
    <t>01-7281</t>
  </si>
  <si>
    <t>01-7282</t>
  </si>
  <si>
    <t>01-7283</t>
  </si>
  <si>
    <t>JOSE CASTRO/FACT 114/SERV SATELITAL EMPRESARIAL-P/CEMENTO</t>
  </si>
  <si>
    <t>01-7284</t>
  </si>
  <si>
    <t>JOSE CASTRO/FACT 115/SERV SATELITAL EMPRESARIAL-MINERA</t>
  </si>
  <si>
    <t>01-7285</t>
  </si>
  <si>
    <t>MATERIALES SANTA LUCIA/FACT 5831/CEMENTERA</t>
  </si>
  <si>
    <t>01-7286</t>
  </si>
  <si>
    <t>MATERIALES SANTA LUCIA/FACT 5834/CEMENTERA</t>
  </si>
  <si>
    <t>01-7287</t>
  </si>
  <si>
    <t>MATERIALES SANTA LUCIA/FACT 5828/MEGATECH</t>
  </si>
  <si>
    <t>01-7288</t>
  </si>
  <si>
    <t>01-7289</t>
  </si>
  <si>
    <t>01-7290</t>
  </si>
  <si>
    <t>Federico Faneite/Eventual Gobernacion 18/08 AL 24/08</t>
  </si>
  <si>
    <t>01-7291</t>
  </si>
  <si>
    <t>Delios Adolfo Ferrara/Eventual Agregados 18/08 AL 24/08</t>
  </si>
  <si>
    <t>01-7292</t>
  </si>
  <si>
    <t>Eliomar Jesús Escalona/Eventual Agregados 18/08 AL 24/08</t>
  </si>
  <si>
    <t>01-7293</t>
  </si>
  <si>
    <t>José Guillermo Cortez/Eventual Agregados 18/08 AL 24/08</t>
  </si>
  <si>
    <t>01-7294</t>
  </si>
  <si>
    <t>Darwuin Jesús Bullones/Eventual Agregados 18/08 AL 24/08</t>
  </si>
  <si>
    <t>01-7295</t>
  </si>
  <si>
    <t>Frank Armando García/Eventual Agregados 18/08 AL 24/08</t>
  </si>
  <si>
    <t>01-7296</t>
  </si>
  <si>
    <t>Alberto Luis Rojas/Eventual Agregados 18/08 AL 24/08</t>
  </si>
  <si>
    <t>01-7297</t>
  </si>
  <si>
    <t>Naiker Alexander Jimenez/Eventual Agregados 18/08 AL 24/08</t>
  </si>
  <si>
    <t>01-7298</t>
  </si>
  <si>
    <t>José Gregorio Perez/Eventual Agregados 18/08 AL 24/08</t>
  </si>
  <si>
    <t>01-7299</t>
  </si>
  <si>
    <t>Carlos Daniel Rodriguez/Eventual Agregados 18/08 AL 24/08</t>
  </si>
  <si>
    <t>01-7300</t>
  </si>
  <si>
    <t>Alejandro Morales/Eventual Agregados 18/08 AL 24/08</t>
  </si>
  <si>
    <t>01-7301</t>
  </si>
  <si>
    <t>Euber José Juarez/Eventual Agregados 18/08 AL 24/08</t>
  </si>
  <si>
    <t>01-7302</t>
  </si>
  <si>
    <t>Ali Alberto Bullones/Eventual Agregados 18/08 AL 24/08</t>
  </si>
  <si>
    <t>01-7303</t>
  </si>
  <si>
    <t>Alberto Ali Bullones/Eventual Agregados 18/08 AL 24/08</t>
  </si>
  <si>
    <t>01-7304</t>
  </si>
  <si>
    <t>Fernando José Rodriguez/Eventual Agregados 18/08 AL 24/08</t>
  </si>
  <si>
    <t>01-7305</t>
  </si>
  <si>
    <t>Bruno Ali Cordero Bullones/Eventual Agregados 18/08 AL 24/08</t>
  </si>
  <si>
    <t>01-7306</t>
  </si>
  <si>
    <t>Fareliz Arrieche/Eventual Gobernacion 18/08 AL 24/08</t>
  </si>
  <si>
    <t>01-7307</t>
  </si>
  <si>
    <t>Brunito Segundo Cordero/Eventual Agregados 18/08 AL 24/08</t>
  </si>
  <si>
    <t>01-7308</t>
  </si>
  <si>
    <t>Henrry Valera/Eventual Gobernacion 18/08 AL 24/08</t>
  </si>
  <si>
    <t>01-7309</t>
  </si>
  <si>
    <t>Justiniano Rodriguez/Eventual Agregados 18/08 AL 24/08</t>
  </si>
  <si>
    <t>01-7310</t>
  </si>
  <si>
    <t>Armando Lopez /Eventual Agregados 18/08 AL 24/08</t>
  </si>
  <si>
    <t>01-7311</t>
  </si>
  <si>
    <t>Froilan Lopez/Eventual Agregados 18/08 AL 24/08</t>
  </si>
  <si>
    <t>01-7312</t>
  </si>
  <si>
    <t>Ramón Quintero/Eventual Agregados 18/08 AL 24/08</t>
  </si>
  <si>
    <t>01-7313</t>
  </si>
  <si>
    <t>Juan López/Eventual Agregados 18/08 AL 24/08</t>
  </si>
  <si>
    <t>01-7314</t>
  </si>
  <si>
    <t>Jesus Ramos/Eventual Gobernacion 18/08 AL 24/08</t>
  </si>
  <si>
    <t>01-7315</t>
  </si>
  <si>
    <t>Exson Rodriguez/Eventual Gobernacion 18/08 AL 24/08</t>
  </si>
  <si>
    <t>01-7316</t>
  </si>
  <si>
    <t>Douglas Pimentel/Eventual Gobernacion 18/08 AL 24/08</t>
  </si>
  <si>
    <t>01-7317</t>
  </si>
  <si>
    <t>Miguel Torres/Eventual Gobernacion 18/08 AL 24/08</t>
  </si>
  <si>
    <t>01-7318</t>
  </si>
  <si>
    <t>Wendy Gimenez/Eventual Gobernacion 18/08 AL 24/08</t>
  </si>
  <si>
    <t>01-7319</t>
  </si>
  <si>
    <t>Pedro Castillo/Eventual Gobernacion 18/08 AL 24/08</t>
  </si>
  <si>
    <t>01-7320</t>
  </si>
  <si>
    <t>Nicolas Alvarez/Eventual Gobernacion 18/08 AL 24/08</t>
  </si>
  <si>
    <t>01-7321</t>
  </si>
  <si>
    <t>Rafael Puertas/Eventual Gobernacion 18/08 AL 24/08</t>
  </si>
  <si>
    <t>01-7322</t>
  </si>
  <si>
    <t>Carlos Pacheco/Eventual Gobernacion 18/08 AL 24/08</t>
  </si>
  <si>
    <t>01-7323</t>
  </si>
  <si>
    <t>Andrés Armella/Eventual Gobernacion 18/08 AL 24/08</t>
  </si>
  <si>
    <t>01-7324</t>
  </si>
  <si>
    <t>Jose Toledo/Eventual Gobernacion 18/08 AL 24/08</t>
  </si>
  <si>
    <t>01-7325</t>
  </si>
  <si>
    <t>Juan Pinto/Eventual Gobernacion 18/08 AL 24/08</t>
  </si>
  <si>
    <t>01-7326</t>
  </si>
  <si>
    <t>Edwin Rojas/Eventual Gobernacion 18/08 AL 24/08</t>
  </si>
  <si>
    <t>01-7327</t>
  </si>
  <si>
    <t>Alirio Parra/Eventual Gobernacion 18/08 AL 24/08</t>
  </si>
  <si>
    <t>01-7328</t>
  </si>
  <si>
    <t>Carlos Lopez/Eventual Agregados 18/08 AL 24/08</t>
  </si>
  <si>
    <t>01-7329</t>
  </si>
  <si>
    <t>Angel Caldera/Eventual Gobernacion 18/08 AL 24/08</t>
  </si>
  <si>
    <t>01-7330</t>
  </si>
  <si>
    <t>Estebez Maramara/Eventual Agregados 18/08 AL 24/08</t>
  </si>
  <si>
    <t>01-7331</t>
  </si>
  <si>
    <t>Luis Silveiro Colon Ojeda/Eventual Agregados 18/08 AL 24/08</t>
  </si>
  <si>
    <t>01-7332</t>
  </si>
  <si>
    <t>Rafael Quiroz/Eventual Gobernacion 18/08 AL 24/08</t>
  </si>
  <si>
    <t>01-7333</t>
  </si>
  <si>
    <t>Argenis Flores/Eventual Megatech 18/08 AL 24/08</t>
  </si>
  <si>
    <t>01-7334</t>
  </si>
  <si>
    <t>Walner Oviedo/Eventual Megatech 18/08 AL 24/08</t>
  </si>
  <si>
    <t>01-7335</t>
  </si>
  <si>
    <t>Yonny Castillo/Eventual Megatech 18/08 AL 24/08</t>
  </si>
  <si>
    <t>01-7336</t>
  </si>
  <si>
    <t>Antonio Castillo/Eventual Megatech 18/08 AL 24/08</t>
  </si>
  <si>
    <t>01-7337</t>
  </si>
  <si>
    <t>Jose Guevara/Eventual Megatech 18/08 AL 24/08</t>
  </si>
  <si>
    <t>01-7338</t>
  </si>
  <si>
    <t>Francisco Castillo/Eventual Megatech 18/08 AL 24/08</t>
  </si>
  <si>
    <t>01-7339</t>
  </si>
  <si>
    <t>Jose Castillo/Eventual Megatech 18/08 AL 24/08</t>
  </si>
  <si>
    <t>01-7340</t>
  </si>
  <si>
    <t>Elvis Valles/Eventual Megatech 18/08 AL 24/08</t>
  </si>
  <si>
    <t>01-7341</t>
  </si>
  <si>
    <t>01-7342</t>
  </si>
  <si>
    <t>Omar Torrealba/Eventual Megatech 18/08 AL 24/08</t>
  </si>
  <si>
    <t>01-7343</t>
  </si>
  <si>
    <t>Carlos Castillo/Eventual Megatech 18/08 AL 24/08</t>
  </si>
  <si>
    <t>01-7344</t>
  </si>
  <si>
    <t>Julian Guedez/Eventual Megatech 18/08 AL 24/08</t>
  </si>
  <si>
    <t>01-7345</t>
  </si>
  <si>
    <t>Yordis Almao/Eventual Megatech 18/08 AL 24/08</t>
  </si>
  <si>
    <t>01-7346</t>
  </si>
  <si>
    <t>Victor Mendez/Eventual Megatech 18/08 AL 24/08</t>
  </si>
  <si>
    <t>01-7347</t>
  </si>
  <si>
    <t>Carlos Loyo/Eventual Megatech 18/08 AL 24/08</t>
  </si>
  <si>
    <t>01-7348</t>
  </si>
  <si>
    <t>Alberto Loyo/Eventual Megatech 18/08 AL 24/08</t>
  </si>
  <si>
    <t>01-7349</t>
  </si>
  <si>
    <t>Edwuard Almeida/Eventual Megatech 18/08 AL 24/08</t>
  </si>
  <si>
    <t>01-7350</t>
  </si>
  <si>
    <t>Yerry Rodríguez/Eventual Megatech 18/08 AL 24/08</t>
  </si>
  <si>
    <t>01-7351</t>
  </si>
  <si>
    <t>Alexander Castillo/Eventual Megatech 18/08 AL 24/08</t>
  </si>
  <si>
    <t>01-7352</t>
  </si>
  <si>
    <t>Elio Malpica/Eventual Megatech 18/08 AL 24/08</t>
  </si>
  <si>
    <t>01-7353</t>
  </si>
  <si>
    <t>Fareliz Arrieche/Eventual Megatech 18/08 AL 24/08</t>
  </si>
  <si>
    <t>01-7354</t>
  </si>
  <si>
    <t>Ruben Rivas/Eventual Megatech 18/08 AL 24/08</t>
  </si>
  <si>
    <t>01-7355</t>
  </si>
  <si>
    <t>Alirio Parra/Eventual Megatech 18/08 AL 24/08</t>
  </si>
  <si>
    <t>01-7356</t>
  </si>
  <si>
    <t>Fares Arrieche/Eventual Megatech 18/08 AL 24/08</t>
  </si>
  <si>
    <t>01-7357</t>
  </si>
  <si>
    <t>Norys Ramos/Eventual Megatech 18/08 AL 24/08</t>
  </si>
  <si>
    <t>01-7358</t>
  </si>
  <si>
    <t>Emperatriz Leon/Eventual Megatech 18/08 AL 24/08</t>
  </si>
  <si>
    <t>01-7359</t>
  </si>
  <si>
    <t>Ingrid Reyes/Eventual Megatech 18/08 AL 24/08</t>
  </si>
  <si>
    <t>01-7360</t>
  </si>
  <si>
    <t>01-7361</t>
  </si>
  <si>
    <t>01-7362</t>
  </si>
  <si>
    <t>01-7363</t>
  </si>
  <si>
    <t>01-7364</t>
  </si>
  <si>
    <t>01-7365</t>
  </si>
  <si>
    <t>01-7366</t>
  </si>
  <si>
    <t>01-7367</t>
  </si>
  <si>
    <t>01-7368</t>
  </si>
  <si>
    <t>01-7369</t>
  </si>
  <si>
    <t>DIAR/FACT839/FILTRO P/COMPRESOR</t>
  </si>
  <si>
    <t>01-7370</t>
  </si>
  <si>
    <t>EDWIN SILVA/FACT 136/SERV M/O REVISION LIZOF-INSTAL INYECTORES Y CHEQUEO P/DIAGNOSTICO</t>
  </si>
  <si>
    <t>01-7371</t>
  </si>
  <si>
    <t>GLOBAL ACERO/FACT 78/ARRIOSTRAMIENTO ESTRUCTURA P/CERRAMIENTO</t>
  </si>
  <si>
    <t>01-7372</t>
  </si>
  <si>
    <t>LUIS ENRIQUE/FACT 05/INVER TANQUE GASOIL/MINERALES</t>
  </si>
  <si>
    <t>01-7373</t>
  </si>
  <si>
    <t xml:space="preserve">ALIMENTOS/FACT 34794-34779-34778-34792-3493/BENEFICIOS </t>
  </si>
  <si>
    <t>01-7374</t>
  </si>
  <si>
    <t>01-7375</t>
  </si>
  <si>
    <t>01-7376</t>
  </si>
  <si>
    <t>01-7377</t>
  </si>
  <si>
    <t>EL MIO CARRO/FACT 5235/COMPRA 2 CAUCHOS P/CAMIONEA FARELIZ</t>
  </si>
  <si>
    <t>01-7378</t>
  </si>
  <si>
    <t>01-7379</t>
  </si>
  <si>
    <t>01-7380</t>
  </si>
  <si>
    <t>TIMBRE DE PAPEL SELLADO</t>
  </si>
  <si>
    <t>01-7381</t>
  </si>
  <si>
    <t>01-7382</t>
  </si>
  <si>
    <t>CARLEN VIELMA/VACACIONES</t>
  </si>
  <si>
    <t>01-7383</t>
  </si>
  <si>
    <t>01-7384</t>
  </si>
  <si>
    <t>01-7385</t>
  </si>
  <si>
    <t>01-7386</t>
  </si>
  <si>
    <t>01-7387</t>
  </si>
  <si>
    <t>TIENDA DAKA/FACT 35328/MICROODAS P/CEMENTO</t>
  </si>
  <si>
    <t>01-7388</t>
  </si>
  <si>
    <t>01-7389</t>
  </si>
  <si>
    <t>EWID SILVA/FACT 136/SERV M/O REVISION LIZOF 72435/ISNTA INYECTORES-MINERALES-VOLVO</t>
  </si>
  <si>
    <t>01-7390</t>
  </si>
  <si>
    <t>01-7391</t>
  </si>
  <si>
    <t>RESGUARDO/FACT 253/2DA QUINC MINERALES</t>
  </si>
  <si>
    <t>01-7392</t>
  </si>
  <si>
    <t>01-7393</t>
  </si>
  <si>
    <t>DAZA, VICTOR/BONO SUBSIDIO 30-08-25/OPER</t>
  </si>
  <si>
    <t>01-7394</t>
  </si>
  <si>
    <t>RANGEL GUSTAVO/BONO SUBSIDIO 30-08-25/ADM</t>
  </si>
  <si>
    <t>01-7395</t>
  </si>
  <si>
    <t>SEGURA ,WAILEN/BONO SUBSIDIO 30-08-25/OPER</t>
  </si>
  <si>
    <t>01-7396</t>
  </si>
  <si>
    <t>REVERON, RAMON/BONO SUBSIDIO 30-08-25/OPER</t>
  </si>
  <si>
    <t>01-7397</t>
  </si>
  <si>
    <t>MARTINEZ JUAN/BONO SUBSIDIO 30-08-25/OPER</t>
  </si>
  <si>
    <t>01-7398</t>
  </si>
  <si>
    <t>GARCIA, JASON/BONO SUBSIDIO 30-08-25/OPER</t>
  </si>
  <si>
    <t>01-7399</t>
  </si>
  <si>
    <t>PEREZ, CARLOS/BONO SUBSIDIO 30-08-25/OPER</t>
  </si>
  <si>
    <t>01-7400</t>
  </si>
  <si>
    <t>VIELMA CARLEN/BONO SUBSIDIO 30-08-25/ADM</t>
  </si>
  <si>
    <t>01-7401</t>
  </si>
  <si>
    <t>LINAREZ, PEDRO/BONO SUBSIDIO 30-08-25/OPER</t>
  </si>
  <si>
    <t>01-7402</t>
  </si>
  <si>
    <t>GUTIERREZ, PRESCILIANO/BONO SUBSIDIO 30-08-25/OPER</t>
  </si>
  <si>
    <t>01-7403</t>
  </si>
  <si>
    <t>RAGA NELIDO/BONO SUBSIDIO 30-08-25/ADM</t>
  </si>
  <si>
    <t>01-7404</t>
  </si>
  <si>
    <t>SUAREZ, RAFAEL/BONO SUBSIDIO 30-08-25/OPER</t>
  </si>
  <si>
    <t>01-7405</t>
  </si>
  <si>
    <t>RIVERO, JORGE/BONO SUBSIDIO 30-08-25/OPER</t>
  </si>
  <si>
    <t>01-7406</t>
  </si>
  <si>
    <t>RODRIGUEZ, MIGUEL/BONO SUBSIDIO 30-08-25/OPER</t>
  </si>
  <si>
    <t>01-7407</t>
  </si>
  <si>
    <t>VETANCOURT, BLIXANDER/BONO SUBSIDIO 30-08-25/ADM</t>
  </si>
  <si>
    <t>01-7408</t>
  </si>
  <si>
    <t>LINAREZ, SANTIAGO/BONO SUBSIDIO 30-08-25/OPER</t>
  </si>
  <si>
    <t>01-7409</t>
  </si>
  <si>
    <t>BASTIDA, JOSE/BONO SUBSIDIO 30-08-25/OPER</t>
  </si>
  <si>
    <t>01-7410</t>
  </si>
  <si>
    <t>CHIRINOS, RAFAEL/BONO SUBSIDIO 30-08-25/OPER</t>
  </si>
  <si>
    <t>01-7411</t>
  </si>
  <si>
    <t>ALEJOS, RODOLFO/BONO SUBSIDIO 30-08-25/OPER</t>
  </si>
  <si>
    <t>01-7412</t>
  </si>
  <si>
    <t>JOSE ARRIETA/BONIF GOBERN 2DA QUINC</t>
  </si>
  <si>
    <t>01-7413</t>
  </si>
  <si>
    <t>GREGORIO CASTILLO/BONIF GOBERN 2DA QUINC</t>
  </si>
  <si>
    <t>01-7414</t>
  </si>
  <si>
    <t>ARMNADO VILLEGA/BONIF GOBERN 2DA QUINC</t>
  </si>
  <si>
    <t>01-7415</t>
  </si>
  <si>
    <t>PEREZ, JOSE ROLANDO/BONO COMPLE 30-08-25/OPER</t>
  </si>
  <si>
    <t>01-7416</t>
  </si>
  <si>
    <t>GUEDEZ,YIRMER/BONO COMPLE 30-08-25/OPER</t>
  </si>
  <si>
    <t>01-7417</t>
  </si>
  <si>
    <t>BASTIDA, JOSE/BONO COMPLE 30-08-25/OPER</t>
  </si>
  <si>
    <t>01-7418</t>
  </si>
  <si>
    <t>RANGEL GUSTAVO/BONO COMPLE 30-08-25/ADM</t>
  </si>
  <si>
    <t>01-7419</t>
  </si>
  <si>
    <t>SEGURA ,WAILEN/BONO COMPLE 30-08-25/OPER</t>
  </si>
  <si>
    <t>01-7420</t>
  </si>
  <si>
    <t>LOPEZ ,MANOLO/BONO COMPLE 30-08-25/OPER</t>
  </si>
  <si>
    <t>01-7421</t>
  </si>
  <si>
    <t>MARTINEZ JUAN/BONO COMPLE 30-08-25/OPER</t>
  </si>
  <si>
    <t>01-7422</t>
  </si>
  <si>
    <t>GARCIA, JASON/BONO COMPLE 30-08-25/OPER</t>
  </si>
  <si>
    <t>01-7423</t>
  </si>
  <si>
    <t>PEREZ, CARLOS/BONO COMPLE 30-08-25/OPER</t>
  </si>
  <si>
    <t>01-7424</t>
  </si>
  <si>
    <t>LINAREZ, PEDRO/BONO COMPLE 30-08-25/OPER</t>
  </si>
  <si>
    <t>01-7425</t>
  </si>
  <si>
    <t>ALVARADO, EDID/BONO COMPLE 30-08-25/OPER</t>
  </si>
  <si>
    <t>01-7426</t>
  </si>
  <si>
    <t>VIELMA CARLEN/BONO COMPLE 30-08-25/ADM</t>
  </si>
  <si>
    <t>01-7427</t>
  </si>
  <si>
    <t>GUEDEZ,JOSE/BONO COMPLE 30-08-25/OPER</t>
  </si>
  <si>
    <t>01-7428</t>
  </si>
  <si>
    <t>GUTIERREZ, PRESCILIANO/BONO COMPLE 30-08-25/OPER</t>
  </si>
  <si>
    <t>01-7429</t>
  </si>
  <si>
    <t>RAGA NELIDO/BONO COMPLE 30-08-25/OPER</t>
  </si>
  <si>
    <t>01-7430</t>
  </si>
  <si>
    <t>NOGUERA, OSCAR/BONO COMPLE 30-08-25/OPER</t>
  </si>
  <si>
    <t>01-7431</t>
  </si>
  <si>
    <t>GOMEZ,ARGENIS/BONO COMPLE 30-08-25/OPER</t>
  </si>
  <si>
    <t>01-7432</t>
  </si>
  <si>
    <t>PARADA,KEIBY/BONO COMPLE 30-08-25/OPER</t>
  </si>
  <si>
    <t>01-7433</t>
  </si>
  <si>
    <t>RIVERO, JORGE/BONO COMPLE 30-08-25/OPER</t>
  </si>
  <si>
    <t>01-7434</t>
  </si>
  <si>
    <t>SUAREZ, RAFAEL/BONO COMPLE 30-08-25/OPER</t>
  </si>
  <si>
    <t>01-7435</t>
  </si>
  <si>
    <t>RODRIGUEZ, MIGUEL/BONO COMPLE 30-08-25/OPER</t>
  </si>
  <si>
    <t>01-7436</t>
  </si>
  <si>
    <t>ALMAO,GENESIS/BONO COMPLE 30-08-25/ADM</t>
  </si>
  <si>
    <t>01-7437</t>
  </si>
  <si>
    <t>MENDOZA,ANTONY/BONO COMPLE 30-08-25/OPER</t>
  </si>
  <si>
    <t>01-7438</t>
  </si>
  <si>
    <t>SOTELDO, LUSMAR/BONO COMPLE 30-08-25/OPER</t>
  </si>
  <si>
    <t>01-7439</t>
  </si>
  <si>
    <t>RODRIGUEZ ANSONNY/BONO COMPLE 30-08-25/OPER</t>
  </si>
  <si>
    <t>01-7440</t>
  </si>
  <si>
    <t>ROJAS MARIA/BONO COMPLE 30-08-25/ADM</t>
  </si>
  <si>
    <t>01-7441</t>
  </si>
  <si>
    <t>QUERALES ,EDIXON/BONO COMPLE 30-08-25/OPER</t>
  </si>
  <si>
    <t>01-7442</t>
  </si>
  <si>
    <t>VETANCOURT, BLIXANDER/BONO COMPLE 30-08-25/OPER</t>
  </si>
  <si>
    <t>01-7443</t>
  </si>
  <si>
    <t>LINAREZ, SANTIAGO/BONO COMPLE 30-08-25/OPER</t>
  </si>
  <si>
    <t>01-7444</t>
  </si>
  <si>
    <t>DURAN, MARIA/BONO COMPLE 30-08-25/OPER</t>
  </si>
  <si>
    <t>01-7445</t>
  </si>
  <si>
    <t>CHIRINOS, RAFAEL/BONO COMPLE 30-08-25/OPER</t>
  </si>
  <si>
    <t>01-7446</t>
  </si>
  <si>
    <t>QUERALES, HERMES/BONO COMPLE 30-08-25/OPER</t>
  </si>
  <si>
    <t>01-7447</t>
  </si>
  <si>
    <t>ALEJOS, RODOLFO/BONO COMPLE 30-08-25/OPER</t>
  </si>
  <si>
    <t>01-7448</t>
  </si>
  <si>
    <t>REVERON, RAMON/BONO COMPLE 30-08-25/OPER</t>
  </si>
  <si>
    <t>01-7449</t>
  </si>
  <si>
    <t>RANGEL GUSTAVO/BONO ADICIONAL 30-08-25/ADM</t>
  </si>
  <si>
    <t>01-7450</t>
  </si>
  <si>
    <t>DAZA, VICTOR/BONO COMPLE 30-08-25/OPER</t>
  </si>
  <si>
    <t>01-7451</t>
  </si>
  <si>
    <t>VIELMA CARLEN/BONO ADICIONAL 30-08-25/ADM</t>
  </si>
  <si>
    <t>01-7452</t>
  </si>
  <si>
    <t>NOGUERA, OSCAR/CESTA TICKET AGOSTO/OPER</t>
  </si>
  <si>
    <t>01-7453</t>
  </si>
  <si>
    <t>RODRIGUEZ, MIGUEL/CESTA TICKET AGOSTO/OPER</t>
  </si>
  <si>
    <t>01-7454</t>
  </si>
  <si>
    <t>RANGEL GUSTAVO/CESTA TICKET AGOSTO/ADM</t>
  </si>
  <si>
    <t>01-7455</t>
  </si>
  <si>
    <t>GALEANO, FRANCISCO/CESTA TICKET AGOSTO/OPER</t>
  </si>
  <si>
    <t>01-7456</t>
  </si>
  <si>
    <t>GUEDEZ,YIRMER/CESTA TICKET AGOSTO/OPER</t>
  </si>
  <si>
    <t>01-7457</t>
  </si>
  <si>
    <t>REVERON, RAMON/CESTA TICKET AGOSTO/OPER</t>
  </si>
  <si>
    <t>01-7458</t>
  </si>
  <si>
    <t>PEREZ, JOSE ROLANDO/CESTA TICKET AGOSTO/OPER</t>
  </si>
  <si>
    <t>01-7459</t>
  </si>
  <si>
    <t>LOPEZ ,MANOLO/CESTA TICKET AGOSTO/ADM</t>
  </si>
  <si>
    <t>01-7460</t>
  </si>
  <si>
    <t>SEGURA ,WAILEN/CESTA TICKET AGOSTO/OPER</t>
  </si>
  <si>
    <t>01-7461</t>
  </si>
  <si>
    <t>MARTINEZ JUAN/CESTA TICKET AGOSTO/OPER</t>
  </si>
  <si>
    <t>01-7462</t>
  </si>
  <si>
    <t>GARCIA, JASON/CESTA TICKET AGOSTO/OPER</t>
  </si>
  <si>
    <t>01-7463</t>
  </si>
  <si>
    <t>PEREZ, CARLOS/CESTA TICKET AGOSTO/OPER</t>
  </si>
  <si>
    <t>01-7464</t>
  </si>
  <si>
    <t>ALVARADO, EDID/CESTA TICKET AGOSTO/OPER</t>
  </si>
  <si>
    <t>01-7465</t>
  </si>
  <si>
    <t>LINAREZ, PEDRO/CESTA TICKET AGOSTO/OPER</t>
  </si>
  <si>
    <t>01-7466</t>
  </si>
  <si>
    <t>GUTIERREZ, PRESCILIANO/CESTA TICKET AGOSTO/OPER</t>
  </si>
  <si>
    <t>01-7467</t>
  </si>
  <si>
    <t>VIELMA CARLEN/CESTA TICKET AGOSTO/ADM</t>
  </si>
  <si>
    <t>01-7468</t>
  </si>
  <si>
    <t>GUEDEZ,JOSE/CESTA TICKET AGOSTO/OPER</t>
  </si>
  <si>
    <t>01-7469</t>
  </si>
  <si>
    <t>RAGA NELIDO/CESTA TICKET AGOSTO/ADM</t>
  </si>
  <si>
    <t>01-7470</t>
  </si>
  <si>
    <t>NOGUERA, OSCAR/BONO ADICIONAL 30-08-25/OPER</t>
  </si>
  <si>
    <t>01-7471</t>
  </si>
  <si>
    <t>GOMEZ,ARGENIS/CESTA TICKET AGOSTO/OPER</t>
  </si>
  <si>
    <t>01-7472</t>
  </si>
  <si>
    <t>PARADA,KEIBY/CESTA TICKET AGOSTO/OPER</t>
  </si>
  <si>
    <t>01-7473</t>
  </si>
  <si>
    <t>SUAREZ, RAFAEL/CESTA TICKET AGOSTO/OPER</t>
  </si>
  <si>
    <t>01-7474</t>
  </si>
  <si>
    <t>RIVERO, JORGE/CESTA TICKET AGOSTO/OPER</t>
  </si>
  <si>
    <t>01-7475</t>
  </si>
  <si>
    <t>RODRIGUEZ, MIGUEL/BONO ADICIONAL 30-08-25/OPER</t>
  </si>
  <si>
    <t>01-7476</t>
  </si>
  <si>
    <t>RODRIGUEZ ANSONNY/CESTA TICKET AGOSTO/OPER</t>
  </si>
  <si>
    <t>01-7477</t>
  </si>
  <si>
    <t>SOTELDO, LUSMAR/CESTA TICKET AGOSTO/OPER</t>
  </si>
  <si>
    <t>01-7478</t>
  </si>
  <si>
    <t>MENDOZA,ANTONY/CESTA TICKET AGOSTO/OPER</t>
  </si>
  <si>
    <t>01-7479</t>
  </si>
  <si>
    <t>ALMAO,GENESIS/CESTA TICKET AGOSTO/ADM</t>
  </si>
  <si>
    <t>01-7480</t>
  </si>
  <si>
    <t>ROJAS MARIA/CESTA TICKET AGOSTO/OPER</t>
  </si>
  <si>
    <t>01-7481</t>
  </si>
  <si>
    <t>QUERALES ,EDIXON/CESTA TICKET AGOSTO/OPER</t>
  </si>
  <si>
    <t>01-7482</t>
  </si>
  <si>
    <t>VETANCOURT, BLIXANDER/CESTA TICKET AGOSTO/ADM</t>
  </si>
  <si>
    <t>01-7483</t>
  </si>
  <si>
    <t>DURAN, MARIA/CESTA TICKET AGOSTO/OPER</t>
  </si>
  <si>
    <t>01-7484</t>
  </si>
  <si>
    <t>QUERALES, HERMES/CESTA TICKET AGOSTO/OPER</t>
  </si>
  <si>
    <t>01-7485</t>
  </si>
  <si>
    <t>LINAREZ, SANTIAGO/CESTA TICKET AGOSTO/OPER</t>
  </si>
  <si>
    <t>01-7486</t>
  </si>
  <si>
    <t>BASTIDA, JOSE/CESTA TICKET AGOSTO/OPER</t>
  </si>
  <si>
    <t>01-7487</t>
  </si>
  <si>
    <t>CHIRINOS, RAFAEL/CESTA TICKET AGOSTO/OPER</t>
  </si>
  <si>
    <t>01-7488</t>
  </si>
  <si>
    <t>ALEJOS, RODOLFO/CESTA TICKET AGOSTO/OPER</t>
  </si>
  <si>
    <t>01-7489</t>
  </si>
  <si>
    <t>RANGEL GUSTAVO/NOMINA 30-08-25/ADM</t>
  </si>
  <si>
    <t>01-7490</t>
  </si>
  <si>
    <t>DAZA, VICTOR/CESTA TICKET AGOSTO/OPER</t>
  </si>
  <si>
    <t>01-7491</t>
  </si>
  <si>
    <t>GUEDEZ,YIRMER/NOMINA 30-08-25/OPER</t>
  </si>
  <si>
    <t>01-7492</t>
  </si>
  <si>
    <t>REVERON, RAMON/NOMINA 30-08-25/OPER</t>
  </si>
  <si>
    <t>01-7493</t>
  </si>
  <si>
    <t>PEREZ, JOSE ROLANDO/NOMINA 30-08-25/OPER</t>
  </si>
  <si>
    <t>01-7494</t>
  </si>
  <si>
    <t>DAZA, VICTOR/NOMINA 30-08-25/OPER</t>
  </si>
  <si>
    <t>01-7495</t>
  </si>
  <si>
    <t>GUEDEZ,JOSE/NOMINA 30-08-25/OPER</t>
  </si>
  <si>
    <t>01-7496</t>
  </si>
  <si>
    <t>LOPEZ ,MANOLO/NOMINA 30-08-25/ADM</t>
  </si>
  <si>
    <t>01-7497</t>
  </si>
  <si>
    <t>SEGURA ,WAILEN/NOMINA 30-08-25/OPER</t>
  </si>
  <si>
    <t>01-7498</t>
  </si>
  <si>
    <t>PEREZ, CARLOS/NOMINA 30-08-25/OPER</t>
  </si>
  <si>
    <t>01-7499</t>
  </si>
  <si>
    <t>RAGA NELIDO/NOMINA 30-08-25/ADM</t>
  </si>
  <si>
    <t>01-7500</t>
  </si>
  <si>
    <t>ALVARADO, EDID/NOMINA 30-08-25/OPER</t>
  </si>
  <si>
    <t>01-7501</t>
  </si>
  <si>
    <t>LINAREZ, PEDRO/NOMINA 30-08-25/OPER</t>
  </si>
  <si>
    <t>01-7502</t>
  </si>
  <si>
    <t>ROJAS MARIA/NOMINA 30-08-25/OPER</t>
  </si>
  <si>
    <t>01-7503</t>
  </si>
  <si>
    <t>GUTIERREZ, PRESCILIANO/NOMINA 30-08-25/OPER</t>
  </si>
  <si>
    <t>01-7504</t>
  </si>
  <si>
    <t>VIELMA CARLEN/NOMINA 30-08-25/ADM</t>
  </si>
  <si>
    <t>01-7505</t>
  </si>
  <si>
    <t>NOGUERA, OSCAR/NOMINA 30-08-25/OPER</t>
  </si>
  <si>
    <t>01-7506</t>
  </si>
  <si>
    <t>MARTINEZ JUAN/NOMINA 30-08-25/OPER</t>
  </si>
  <si>
    <t>01-7507</t>
  </si>
  <si>
    <t>GOMEZ,ARGENIS/NOMINA 30-08-25/OPER</t>
  </si>
  <si>
    <t>01-7508</t>
  </si>
  <si>
    <t>PARADA,KEIBY/NOMINA 30-08-25/OPER</t>
  </si>
  <si>
    <t>01-7509</t>
  </si>
  <si>
    <t>SUAREZ, RAFAEL/NOMINA 30-08-25/OPER</t>
  </si>
  <si>
    <t>01-7510</t>
  </si>
  <si>
    <t>RIVERO, JORGE/NOMINA 30-08-25/OPER</t>
  </si>
  <si>
    <t>01-7511</t>
  </si>
  <si>
    <t>RODRIGUEZ, MIGUEL/NOMINA 30-08-25/OPER</t>
  </si>
  <si>
    <t>01-7512</t>
  </si>
  <si>
    <t>RODRIGUEZ ANSONNY/NOMINA 30-08-25/OPER</t>
  </si>
  <si>
    <t>01-7513</t>
  </si>
  <si>
    <t>SOTELDO, LUSMAR/NOMINA 30-08-25/OPER</t>
  </si>
  <si>
    <t>01-7514</t>
  </si>
  <si>
    <t>MENDOZA,ANTONY/NOMINA 30-08-25/OPER</t>
  </si>
  <si>
    <t>01-7515</t>
  </si>
  <si>
    <t>GARCIA, JASON/NOMINA 30-08-25/OPER</t>
  </si>
  <si>
    <t>01-7516</t>
  </si>
  <si>
    <t>ALMAO,GENESIS/NOMINA 30-08-25/ADM</t>
  </si>
  <si>
    <t>01-7517</t>
  </si>
  <si>
    <t>QUERALES ,EDIXON/NOMINA 30-08-25/OPER</t>
  </si>
  <si>
    <t>01-7518</t>
  </si>
  <si>
    <t>VETANCOURT, BLIXANDER/NOMINA 30-08-25/ADM</t>
  </si>
  <si>
    <t>01-7519</t>
  </si>
  <si>
    <t>DURAN, MARIA/NOMINA 30-08-25/OPER</t>
  </si>
  <si>
    <t>01-7520</t>
  </si>
  <si>
    <t>QUERALES, HERMES/NOMINA 30-08-25/OPER</t>
  </si>
  <si>
    <t>01-7521</t>
  </si>
  <si>
    <t>LINAREZ, SANTIAGO/NOMINA 30-08-25/OPER</t>
  </si>
  <si>
    <t>01-7522</t>
  </si>
  <si>
    <t>BASTIDA, JOSE/NOMINA 30-08-25/OPER</t>
  </si>
  <si>
    <t>01-7523</t>
  </si>
  <si>
    <t>CHIRINOS, RAFAEL/NOMINA 30-08-25/OPER</t>
  </si>
  <si>
    <t>01-7524</t>
  </si>
  <si>
    <t>ALEJOS, RODOLFO/NOMINA 30-08-25/OPER</t>
  </si>
  <si>
    <t>01-7525</t>
  </si>
  <si>
    <t>01-7526</t>
  </si>
  <si>
    <t>01-7527</t>
  </si>
  <si>
    <t>01-7528</t>
  </si>
  <si>
    <t>01-7529</t>
  </si>
  <si>
    <t>01-7530</t>
  </si>
  <si>
    <t>12-290825</t>
  </si>
  <si>
    <t xml:space="preserve">FARELIZ/MTTO VEHICULOS GERENTE </t>
  </si>
  <si>
    <t>01-7531</t>
  </si>
  <si>
    <t>17-290825</t>
  </si>
  <si>
    <t>DANNY URRUTIA/CAMPAÑA D/YESO CALIZA  25/08 AL 29/08</t>
  </si>
  <si>
    <t>01-7532</t>
  </si>
  <si>
    <t>RAFAEL MORILLO/CAMPAÑA D/YESO CALIZA  25/08 AL 29/08</t>
  </si>
  <si>
    <t>01-7533</t>
  </si>
  <si>
    <t>LINO FLORES/CAMPAÑA D/YESO CALIZA  25/08 AL 29/08</t>
  </si>
  <si>
    <t>01-7534</t>
  </si>
  <si>
    <t>JEFERSON DAVILA/CAMPAÑA D/YESO CALIZA  25/08 AL 29/08</t>
  </si>
  <si>
    <t>01-7535</t>
  </si>
  <si>
    <t>ROBERT ARIAS/CAMPAÑA D/YESO CALIZA  25/08 AL 29/08</t>
  </si>
  <si>
    <t>01-7536</t>
  </si>
  <si>
    <t>RAFAEL QUIROGAS/CAMPAÑA D/YESO CALIZA  25/08 AL 29/08</t>
  </si>
  <si>
    <t>01-7537</t>
  </si>
  <si>
    <t>YOHAN GUANIPA/COMIDA-CAMPAÑA D/YESO CALIZA  25/08 AL 29/08</t>
  </si>
  <si>
    <t>01-7538</t>
  </si>
  <si>
    <t>13-290825</t>
  </si>
  <si>
    <t>OLGA OROZCO/HOSPEDAJE CAMPAÑA YESO-CALIZA 25/08 AL 29/08</t>
  </si>
  <si>
    <t>01-7539</t>
  </si>
  <si>
    <t>45-290825</t>
  </si>
  <si>
    <t>01-7540</t>
  </si>
  <si>
    <t>BEATRIZ CASTILLO/CAMPAÑA D/YESO CALIZA  25/08 AL 29/08</t>
  </si>
  <si>
    <t>01-7541</t>
  </si>
  <si>
    <t>INVERSIONES HAACK/FACT 117/VIAJE CEMENTO-MINERALES</t>
  </si>
  <si>
    <t>01-7542</t>
  </si>
  <si>
    <t>01-7543</t>
  </si>
  <si>
    <t>01-7544</t>
  </si>
  <si>
    <t>MANUEL HERNANDEZ/FACT10971/REPA ARRANQUE-MINERALES</t>
  </si>
  <si>
    <t>01-7545</t>
  </si>
  <si>
    <t>01-7546</t>
  </si>
  <si>
    <t>01-7547</t>
  </si>
  <si>
    <t>01-7548</t>
  </si>
  <si>
    <t>01-7549</t>
  </si>
  <si>
    <t>01-7550</t>
  </si>
  <si>
    <t>01-7551</t>
  </si>
  <si>
    <t>01-7552</t>
  </si>
  <si>
    <t>Federico Faneite/Eventual Gobernacion 25/08 AL 31/08</t>
  </si>
  <si>
    <t>01-7553</t>
  </si>
  <si>
    <t>Henrry Valera/Eventual Gobernacion 25/08 AL 31/08</t>
  </si>
  <si>
    <t>01-7554</t>
  </si>
  <si>
    <t>Delios Adolfo Ferrara/Eventual Agregados 25/08 AL 31/08</t>
  </si>
  <si>
    <t>01-7555</t>
  </si>
  <si>
    <t>Eliomar Jesús Escalona/Eventual Agregados 25/08 AL 31/08</t>
  </si>
  <si>
    <t>01-7556</t>
  </si>
  <si>
    <t>José Guillermo Cortez/Eventual Agregados 25/08 AL 31/08</t>
  </si>
  <si>
    <t>01-7557</t>
  </si>
  <si>
    <t>Darwuin Jesús Bullones/Eventual Agregados 25/08 AL 31/08</t>
  </si>
  <si>
    <t>01-7558</t>
  </si>
  <si>
    <t>Frank Armando García/Eventual Agregados 25/08 AL 31/08</t>
  </si>
  <si>
    <t>01-7559</t>
  </si>
  <si>
    <t>Alberto Luis Rojas/Eventual Agregados 25/08 AL 31/08</t>
  </si>
  <si>
    <t>01-7560</t>
  </si>
  <si>
    <t>Naiker Alexander Jimenez/Eventual Agregados 25/08 AL 31/08</t>
  </si>
  <si>
    <t>01-7561</t>
  </si>
  <si>
    <t>José Gregorio Perez/Eventual Agregados 25/08 AL 31/08</t>
  </si>
  <si>
    <t>01-7562</t>
  </si>
  <si>
    <t>Carlos Daniel Rodriguez/Eventual Agregados 25/08 AL 31/08</t>
  </si>
  <si>
    <t>01-7563</t>
  </si>
  <si>
    <t>Alejandro Morales/Eventual Agregados 25/08 AL 31/08</t>
  </si>
  <si>
    <t>01-7564</t>
  </si>
  <si>
    <t>Euber José Juarez/Eventual Agregados 25/08 AL 31/08</t>
  </si>
  <si>
    <t>01-7565</t>
  </si>
  <si>
    <t>Ali Alberto Bullones/Eventual Agregados 25/08 AL 31/08</t>
  </si>
  <si>
    <t>01-7566</t>
  </si>
  <si>
    <t>Alberto Ali Bullones/Eventual Agregados 25/08 AL 31/08</t>
  </si>
  <si>
    <t>01-7567</t>
  </si>
  <si>
    <t>Fernando José Rodriguez/Eventual Agregados 25/08 AL 31/08</t>
  </si>
  <si>
    <t>01-7568</t>
  </si>
  <si>
    <t>Brunito Segundo Cordero/Eventual Agregados 25/08 AL 31/08</t>
  </si>
  <si>
    <t>01-7569</t>
  </si>
  <si>
    <t>Justiniano Rodriguez/Eventual Agregados 25/08 AL 31/08</t>
  </si>
  <si>
    <t>01-7570</t>
  </si>
  <si>
    <t>Armando Lopez /Eventual Agregados 25/08 AL 31/08</t>
  </si>
  <si>
    <t>01-7571</t>
  </si>
  <si>
    <t>Fareliz Arrieche/Eventual Gobernacion 25/08 AL 31/08</t>
  </si>
  <si>
    <t>01-7572</t>
  </si>
  <si>
    <t>Froilan Lopez/Eventual Agregados 25/08 AL 31/08</t>
  </si>
  <si>
    <t>01-7573</t>
  </si>
  <si>
    <t>Ramón Quintero/Eventual Agregados 25/08 AL 31/08</t>
  </si>
  <si>
    <t>01-7574</t>
  </si>
  <si>
    <t>Alirio Parra/Eventual Gobernacion 25/08 AL 31/08</t>
  </si>
  <si>
    <t>01-7575</t>
  </si>
  <si>
    <t>Juan López/Eventual Agregados 25/08 AL 31/08</t>
  </si>
  <si>
    <t>01-7576</t>
  </si>
  <si>
    <t>Jesus Ramos/Eventual Gobernacion 25/08 AL 31/08</t>
  </si>
  <si>
    <t>01-7577</t>
  </si>
  <si>
    <t>Douglas Pimentel/Eventual Gobernacion 25/08 AL 31/08</t>
  </si>
  <si>
    <t>01-7578</t>
  </si>
  <si>
    <t>Pedro Castillo/Eventual Gobernacion 25/08 AL 31/08</t>
  </si>
  <si>
    <t>01-7579</t>
  </si>
  <si>
    <t>Miguel Torres/Eventual Gobernacion 25/08 AL 31/08</t>
  </si>
  <si>
    <t>01-7580</t>
  </si>
  <si>
    <t>Wendy Gimenez/Eventual Gobernacion 25/08 AL 31/08</t>
  </si>
  <si>
    <t>01-7581</t>
  </si>
  <si>
    <t>Nicolas Alvarez/Eventual Gobernacion 25/08 AL 31/08</t>
  </si>
  <si>
    <t>01-7582</t>
  </si>
  <si>
    <t>Rafael Puertas/Eventual Gobernacion 25/08 AL 31/08</t>
  </si>
  <si>
    <t>01-7583</t>
  </si>
  <si>
    <t>Exson Rodriguez/Eventual Gobernacion 25/08 AL 31/08</t>
  </si>
  <si>
    <t>01-7584</t>
  </si>
  <si>
    <t>Carlos Pacheco/Eventual Gobernacion 25/08 AL 31/08</t>
  </si>
  <si>
    <t>01-7585</t>
  </si>
  <si>
    <t>Andrés Armella/Eventual Gobernacion 25/08 AL 31/08</t>
  </si>
  <si>
    <t>01-7586</t>
  </si>
  <si>
    <t>Jose Toledo/Eventual Gobernacion 25/08 AL 31/08</t>
  </si>
  <si>
    <t>01-7587</t>
  </si>
  <si>
    <t>Juan Pinto/Eventual Gobernacion 25/08 AL 31/08</t>
  </si>
  <si>
    <t>01-7588</t>
  </si>
  <si>
    <t>Angel Caldera/Eventual Gobernacion 25/08 AL 31/08</t>
  </si>
  <si>
    <t>01-7589</t>
  </si>
  <si>
    <t>Edwin Rojas/Eventual Gobernacion 25/08 AL 31/08</t>
  </si>
  <si>
    <t>01-7590</t>
  </si>
  <si>
    <t>Carlos Lopez/Eventual Agregados 25/08 AL 31/08</t>
  </si>
  <si>
    <t>01-7591</t>
  </si>
  <si>
    <t>Bruno Ali Cordero Bullones/Eventual Agregados 25/08 AL 31/08</t>
  </si>
  <si>
    <t>01-7592</t>
  </si>
  <si>
    <t>Estebez Maramara/Eventual Agregados 25/08 AL 31/08</t>
  </si>
  <si>
    <t>01-7593</t>
  </si>
  <si>
    <t>Rafael Quiroz/Eventual Gobernacion 25/08 AL 31/08</t>
  </si>
  <si>
    <t>01-7594</t>
  </si>
  <si>
    <t>Luis Silveiro Colon Ojeda/Eventual Agregados 25/08 AL 31/08</t>
  </si>
  <si>
    <t>01-7595</t>
  </si>
  <si>
    <t>Argenis Flores/Eventual Megatech 25/08 AL 31/08</t>
  </si>
  <si>
    <t>01-7596</t>
  </si>
  <si>
    <t>Walner Oviedo/Eventual Megatech 25/08 AL 31/08</t>
  </si>
  <si>
    <t>01-7597</t>
  </si>
  <si>
    <t>Yonny Castillo/Eventual Megatech 25/08 AL 31/08</t>
  </si>
  <si>
    <t>01-7598</t>
  </si>
  <si>
    <t>Antonio Castillo/Eventual Megatech 25/08 AL 31/08</t>
  </si>
  <si>
    <t>01-7599</t>
  </si>
  <si>
    <t>Jose Guevara/Eventual Megatech 25/08 AL 31/08</t>
  </si>
  <si>
    <t>01-7600</t>
  </si>
  <si>
    <t>Jose Castillo/Eventual Megatech 25/08 AL 31/08</t>
  </si>
  <si>
    <t>01-7601</t>
  </si>
  <si>
    <t>Elvis Valles/Eventual Megatech 25/08 AL 31/08</t>
  </si>
  <si>
    <t>01-7602</t>
  </si>
  <si>
    <t>Francisco Castillo/Eventual Megatech 25/08 AL 31/08</t>
  </si>
  <si>
    <t>01-7603</t>
  </si>
  <si>
    <t>Omar Torrealba/Eventual Megatech 25/08 AL 31/08</t>
  </si>
  <si>
    <t>01-7604</t>
  </si>
  <si>
    <t>Carlos Castillo/Eventual Megatech 25/08 AL 31/08</t>
  </si>
  <si>
    <t>01-7605</t>
  </si>
  <si>
    <t>Julian Guedez/Eventual Megatech 25/08 AL 31/08</t>
  </si>
  <si>
    <t>01-7606</t>
  </si>
  <si>
    <t>Yordis Almao/Eventual Megatech 25/08 AL 31/08</t>
  </si>
  <si>
    <t>01-7607</t>
  </si>
  <si>
    <t>Victor Mendez/Eventual Megatech 25/08 AL 31/08</t>
  </si>
  <si>
    <t>01-7608</t>
  </si>
  <si>
    <t>Carlos Loyo/Eventual Megatech 25/08 AL 31/08</t>
  </si>
  <si>
    <t>01-7609</t>
  </si>
  <si>
    <t>01-7610</t>
  </si>
  <si>
    <t>Alberto Loyo/Eventual Megatech 25/08 AL 31/08</t>
  </si>
  <si>
    <t>01-7611</t>
  </si>
  <si>
    <t>Edwuard Almeida/Eventual Megatech 25/08 AL 31/08</t>
  </si>
  <si>
    <t>01-7612</t>
  </si>
  <si>
    <t>Yerry Rodríguez/Eventual Megatech 25/08 AL 31/08</t>
  </si>
  <si>
    <t>01-7613</t>
  </si>
  <si>
    <t>Fareliz Arrieche/Eventual Megatech 25/08 AL 31/08</t>
  </si>
  <si>
    <t>01-7614</t>
  </si>
  <si>
    <t>Elio Malpica/Eventual Megatech 25/08 AL 31/08</t>
  </si>
  <si>
    <t>01-7615</t>
  </si>
  <si>
    <t>Alirio Parra/Eventual Megatech 25/08 AL 31/08</t>
  </si>
  <si>
    <t>01-7616</t>
  </si>
  <si>
    <t>Ruben Rivas/Eventual Megatech 25/08 AL 31/08</t>
  </si>
  <si>
    <t>01-7617</t>
  </si>
  <si>
    <t>Norys Ramos/Eventual Megatech 25/08 AL 31/08</t>
  </si>
  <si>
    <t>01-7618</t>
  </si>
  <si>
    <t>Emperatriz Leon/Eventual Megatech 25/08 AL 31/08</t>
  </si>
  <si>
    <t>01-7619</t>
  </si>
  <si>
    <t>Fares Arrieche/Eventual Megatech 25/08 AL 31/08</t>
  </si>
  <si>
    <t>01-7620</t>
  </si>
  <si>
    <t>Alexander Castillo/Eventual Megatech 25/08 AL 31/08</t>
  </si>
  <si>
    <t>01-7621</t>
  </si>
  <si>
    <t>Ingrid Reyes/Eventual Megatech 25/08 AL 31/08</t>
  </si>
  <si>
    <t>01-7622</t>
  </si>
  <si>
    <t>01-7623</t>
  </si>
  <si>
    <t>01-7624</t>
  </si>
  <si>
    <t>AGROTENDENCIAS/FACT 86/VENTA CONCRETO PREMEZCLADO</t>
  </si>
  <si>
    <t>01-7625</t>
  </si>
  <si>
    <t>VENTA CONCRETO PREMEZCLADO</t>
  </si>
  <si>
    <t>AGROPECUARIA/FACT 85/VENTA DE GRANZON MT3</t>
  </si>
  <si>
    <t>01-7626</t>
  </si>
  <si>
    <t>VENTA DE GRANZON MT3</t>
  </si>
  <si>
    <t>TRANSPORTE TDC/FACT 87/VENTA MATERIALES</t>
  </si>
  <si>
    <t>01-7627</t>
  </si>
  <si>
    <t>VENTA MATERIALES</t>
  </si>
  <si>
    <t>INVERSIONES AB/FACT 39/ARENA-CANTO-GRANZO-RIPIO-PIEDRA GAVION-CEMENTO GRANEL</t>
  </si>
  <si>
    <t>01-7628</t>
  </si>
  <si>
    <t>INVERSIONES AB/FACT 84/VENTA DE MATERIALES</t>
  </si>
  <si>
    <t>01-7629</t>
  </si>
  <si>
    <t>VENTA DE MATERIALES</t>
  </si>
  <si>
    <t>MATERIALES SANTA LUCIA/FACT 5866/ CEMENTERA</t>
  </si>
  <si>
    <t>01-7630</t>
  </si>
  <si>
    <t>01-7631</t>
  </si>
  <si>
    <t>01-7632</t>
  </si>
  <si>
    <t>01-7633</t>
  </si>
  <si>
    <t>0120200002726</t>
  </si>
  <si>
    <t>01-7634</t>
  </si>
  <si>
    <t>0329274372372</t>
  </si>
  <si>
    <t>1.070.000,00</t>
  </si>
  <si>
    <t>01-7635</t>
  </si>
  <si>
    <t>0329276803001</t>
  </si>
  <si>
    <t>CSC CPP CUMAREBO/45SACO CEMENTO GRIS GRANEL P/MINERALES</t>
  </si>
  <si>
    <t>-1.056.796,00</t>
  </si>
  <si>
    <t>01-7636</t>
  </si>
  <si>
    <t>EN ESPERAR DE CREAR CUENTAS</t>
  </si>
  <si>
    <t>0676276803001</t>
  </si>
  <si>
    <t>-2.641,99</t>
  </si>
  <si>
    <t>01-7637</t>
  </si>
  <si>
    <t>0329205772772</t>
  </si>
  <si>
    <t>2.800.000,00</t>
  </si>
  <si>
    <t>01-7638</t>
  </si>
  <si>
    <t>0329216562005</t>
  </si>
  <si>
    <t>INVERGRAF/FACT 2705/TOPPER CUMLE COLAB</t>
  </si>
  <si>
    <t>-1.390,80</t>
  </si>
  <si>
    <t>01-7639</t>
  </si>
  <si>
    <t>0676216562005</t>
  </si>
  <si>
    <t>-3,47</t>
  </si>
  <si>
    <t>01-7640</t>
  </si>
  <si>
    <t>0676216559002</t>
  </si>
  <si>
    <t>-2.500,00</t>
  </si>
  <si>
    <t>01-7641</t>
  </si>
  <si>
    <t>0329216559002</t>
  </si>
  <si>
    <t>HENCARD/ADELANT FACT/SUMINISTRO FABRIC CELDAS SINCRONICO-CEMENTERA</t>
  </si>
  <si>
    <t>01-7642</t>
  </si>
  <si>
    <t>0676216557001</t>
  </si>
  <si>
    <t>01-7643</t>
  </si>
  <si>
    <t>0329216557001</t>
  </si>
  <si>
    <t>01-7644</t>
  </si>
  <si>
    <t>0676216560003</t>
  </si>
  <si>
    <t>01-7645</t>
  </si>
  <si>
    <t>0329216560003</t>
  </si>
  <si>
    <t>01-7646</t>
  </si>
  <si>
    <t>0676216561004</t>
  </si>
  <si>
    <t>-236,47</t>
  </si>
  <si>
    <t>01-7647</t>
  </si>
  <si>
    <t>0329216561004</t>
  </si>
  <si>
    <t>-94.589,62</t>
  </si>
  <si>
    <t>01-7648</t>
  </si>
  <si>
    <t>0828688636812</t>
  </si>
  <si>
    <t xml:space="preserve">BANAVIH/PERIODO JULIO 2025               </t>
  </si>
  <si>
    <t>-176,72</t>
  </si>
  <si>
    <t>01-7649</t>
  </si>
  <si>
    <t>03-040825</t>
  </si>
  <si>
    <t>0329247586586</t>
  </si>
  <si>
    <t>410.000,00</t>
  </si>
  <si>
    <t>01-7650</t>
  </si>
  <si>
    <t>0676248054001</t>
  </si>
  <si>
    <t>-12,67</t>
  </si>
  <si>
    <t>01-7651</t>
  </si>
  <si>
    <t>0329248054001</t>
  </si>
  <si>
    <t>VULCANIZADORA YARITAGUA/FACT 1668/REPAR CAUCHO VOLTEO-KAMAZ</t>
  </si>
  <si>
    <t>-5.071,69</t>
  </si>
  <si>
    <t>01-7652</t>
  </si>
  <si>
    <t>0676248055002</t>
  </si>
  <si>
    <t>-1.125,99</t>
  </si>
  <si>
    <t>01-7653</t>
  </si>
  <si>
    <t>0329248055002</t>
  </si>
  <si>
    <t>FERRE REMI/FACT 316/REQUER HINDU-CEMENTERA</t>
  </si>
  <si>
    <t>-450.399,32</t>
  </si>
  <si>
    <t>01-7654</t>
  </si>
  <si>
    <t>0329286794794</t>
  </si>
  <si>
    <t>900.000,00</t>
  </si>
  <si>
    <t>01-7655</t>
  </si>
  <si>
    <t>0329287246004</t>
  </si>
  <si>
    <t>PANAD TULIPAN/FACT 45782/ATENCION PROVEE CARBON</t>
  </si>
  <si>
    <t>-2.099,21</t>
  </si>
  <si>
    <t>01-7656</t>
  </si>
  <si>
    <t>0676287246004</t>
  </si>
  <si>
    <t>-5,24</t>
  </si>
  <si>
    <t>01-7657</t>
  </si>
  <si>
    <t>0676287243001</t>
  </si>
  <si>
    <t>-2.094,25</t>
  </si>
  <si>
    <t>01-7658</t>
  </si>
  <si>
    <t>EL PROVE REALIZO REINTEGRO 19/08/2025 SE CANCELO 909305,89BS DEMAS</t>
  </si>
  <si>
    <t>0329287243001</t>
  </si>
  <si>
    <t>MULTISERVICIOS GARQUIS/FACT54/BARANDAS-PLATAFORMA-ESCALERA SEGURIDAD TOLVAS CALIZA-P/CEMENTO</t>
  </si>
  <si>
    <t>-837.702,15</t>
  </si>
  <si>
    <t>01-7659</t>
  </si>
  <si>
    <t>0676287245003</t>
  </si>
  <si>
    <t>-38,47</t>
  </si>
  <si>
    <t>01-7660</t>
  </si>
  <si>
    <t>0329287245003</t>
  </si>
  <si>
    <t>OLGA OROZCO/HOSPEDAJE-CAMPAÑA YESO-CALIZA 28/07 AL 01/08</t>
  </si>
  <si>
    <t>01-7661</t>
  </si>
  <si>
    <t>45-060825</t>
  </si>
  <si>
    <t>0676287244002</t>
  </si>
  <si>
    <t>01-7662</t>
  </si>
  <si>
    <t>0329287244002</t>
  </si>
  <si>
    <t>ARIEDDY GARRIDO/FACT 43/ANALISIS INSTRUMENTAL</t>
  </si>
  <si>
    <t>01-7663</t>
  </si>
  <si>
    <t>0676287247005</t>
  </si>
  <si>
    <t>01-7664</t>
  </si>
  <si>
    <t>0329287247005</t>
  </si>
  <si>
    <t>MANGOCENTER/FACT 46075/RAMPLUG EXPANSIV P/FIJACION BANDEJA-PORTACABLE REGENERADORES</t>
  </si>
  <si>
    <t>01-7665</t>
  </si>
  <si>
    <t>0329271100100</t>
  </si>
  <si>
    <t>01-7666</t>
  </si>
  <si>
    <t>0676273083002</t>
  </si>
  <si>
    <t>01-7667</t>
  </si>
  <si>
    <t>0329273083002</t>
  </si>
  <si>
    <t>LUZBARDO/FACT 121/INSTALA ELECTRICA VENTILACION TUNELES/REFUERZ-TRITURACION MTRIA PRIMA</t>
  </si>
  <si>
    <t>01-7668</t>
  </si>
  <si>
    <t>0676273082001</t>
  </si>
  <si>
    <t>01-7669</t>
  </si>
  <si>
    <t>0329273082001</t>
  </si>
  <si>
    <t>01-7670</t>
  </si>
  <si>
    <t>0676295580002</t>
  </si>
  <si>
    <t>01-7671</t>
  </si>
  <si>
    <t>0329295580002</t>
  </si>
  <si>
    <t>MI BROWNIEN/FACT 3461/CAKE COLABORADORES</t>
  </si>
  <si>
    <t>01-7672</t>
  </si>
  <si>
    <t>0676295579001</t>
  </si>
  <si>
    <t>01-7673</t>
  </si>
  <si>
    <t>0329295579001</t>
  </si>
  <si>
    <t>MI BROWNIEN/FACT 3460/CAKE COLABORADORES</t>
  </si>
  <si>
    <t>01-7674</t>
  </si>
  <si>
    <t>0329288905905</t>
  </si>
  <si>
    <t>01-7675</t>
  </si>
  <si>
    <t>0329289509001</t>
  </si>
  <si>
    <t>RAFAEL MORILLO/CAMPAÑA D/YESO CALIZA  04/08 al 08/08</t>
  </si>
  <si>
    <t>01-7676</t>
  </si>
  <si>
    <t>0676289509001</t>
  </si>
  <si>
    <t>01-7677</t>
  </si>
  <si>
    <t>0329289513005</t>
  </si>
  <si>
    <t>JEFERSON DAVILA/CAMPAÑA D/YESO CALIZA  04/08 al 08/08</t>
  </si>
  <si>
    <t>01-7678</t>
  </si>
  <si>
    <t>0676289513005</t>
  </si>
  <si>
    <t>01-7679</t>
  </si>
  <si>
    <t>0329289521013</t>
  </si>
  <si>
    <t>R&amp;A CONSTRUCC/FACT 45/CERRAMIENTO LAMINA SILO-GALPON EMPAQUE</t>
  </si>
  <si>
    <t>01-7680</t>
  </si>
  <si>
    <t>0676289521013</t>
  </si>
  <si>
    <t>01-7681</t>
  </si>
  <si>
    <t>0329289517009</t>
  </si>
  <si>
    <t>YOHAN GUANIPA/COMIDA-CAMPAÑA D/YESO CALIZA  04/08 al 08/08</t>
  </si>
  <si>
    <t>01-7682</t>
  </si>
  <si>
    <t>13-080825</t>
  </si>
  <si>
    <t>0676289517009</t>
  </si>
  <si>
    <t>01-7683</t>
  </si>
  <si>
    <t>0329289512004</t>
  </si>
  <si>
    <t>ROBERT ARIAS/CAMPAÑA D/YESO CALIZA  04/08 al 08/08</t>
  </si>
  <si>
    <t>01-7684</t>
  </si>
  <si>
    <t>0676289512004</t>
  </si>
  <si>
    <t>01-7685</t>
  </si>
  <si>
    <t>0329289515007</t>
  </si>
  <si>
    <t>RAMON QUIROGAS/CAMPAÑA D/YESO CALIZA  04/08 al 08/08</t>
  </si>
  <si>
    <t>01-7686</t>
  </si>
  <si>
    <t>0676289515007</t>
  </si>
  <si>
    <t>01-7687</t>
  </si>
  <si>
    <t>0329289510002</t>
  </si>
  <si>
    <t>LINO FLORES/CAMPAÑA D/YESO CALIZA  04/08 al 08/08</t>
  </si>
  <si>
    <t>01-7688</t>
  </si>
  <si>
    <t>0676289510002</t>
  </si>
  <si>
    <t>01-7689</t>
  </si>
  <si>
    <t>0329289516008</t>
  </si>
  <si>
    <t>BEATRIZ CASTILLO/CAMPAÑA D/YESO CALIZA  04/08 al 08/08</t>
  </si>
  <si>
    <t>01-7690</t>
  </si>
  <si>
    <t>0676289516008</t>
  </si>
  <si>
    <t>01-7691</t>
  </si>
  <si>
    <t>0676289520012</t>
  </si>
  <si>
    <t>01-7692</t>
  </si>
  <si>
    <t>0329289520012</t>
  </si>
  <si>
    <t>LISO/FACT 627/CONFEC INSTAL ESTRUCTURA METALICA CERRAMIENT</t>
  </si>
  <si>
    <t>01-7693</t>
  </si>
  <si>
    <t>0676289511003</t>
  </si>
  <si>
    <t>01-7694</t>
  </si>
  <si>
    <t>0329289511003</t>
  </si>
  <si>
    <t>DANNY URRUTIA/CAMPAÑA D/YESO CALIZA  04/08 al 08/08</t>
  </si>
  <si>
    <t>01-7695</t>
  </si>
  <si>
    <t>0676289514006</t>
  </si>
  <si>
    <t>01-7696</t>
  </si>
  <si>
    <t>0329289514006</t>
  </si>
  <si>
    <t>RAFAEL QUIROZ/CAMPAÑA D/YESO CALIZA  04/08 al 08/08-OPERADOR</t>
  </si>
  <si>
    <t>01-7697</t>
  </si>
  <si>
    <t>0676289518010</t>
  </si>
  <si>
    <t>01-7698</t>
  </si>
  <si>
    <t>0329289518010</t>
  </si>
  <si>
    <t>OLGA OROZCO/HOSPEDAJE-CAMPAÑA D/YESO CALIZA  04/08 al 08/08</t>
  </si>
  <si>
    <t>01-7699</t>
  </si>
  <si>
    <t>45-080825</t>
  </si>
  <si>
    <t>0676289522014</t>
  </si>
  <si>
    <t>01-7700</t>
  </si>
  <si>
    <t>0329289522014</t>
  </si>
  <si>
    <t>RESPUESTO VALENZUELA/FACT2369/CORREA UNICA RETROEXCAVADORA CEMENTERA</t>
  </si>
  <si>
    <t>01-7701</t>
  </si>
  <si>
    <t>0676289519011</t>
  </si>
  <si>
    <t>01-7702</t>
  </si>
  <si>
    <t>0329289519011</t>
  </si>
  <si>
    <t>01-7703</t>
  </si>
  <si>
    <t>12-080825</t>
  </si>
  <si>
    <t>0429632337191</t>
  </si>
  <si>
    <t>INVER TRANSPORTE/FACT A-08/REINTEGRO</t>
  </si>
  <si>
    <t>01-7704</t>
  </si>
  <si>
    <t>REINTEGRO FACT A-08</t>
  </si>
  <si>
    <t>0590540859984</t>
  </si>
  <si>
    <t>GANDOLA CEMENTO/SR ISRAEL</t>
  </si>
  <si>
    <t>01-7705</t>
  </si>
  <si>
    <t>EN ESPERA DE PREGUNTAR SOBRE LA CUENTA</t>
  </si>
  <si>
    <t>0100701230879</t>
  </si>
  <si>
    <t xml:space="preserve">IVSS/PERIODO JULIO 2025             </t>
  </si>
  <si>
    <t>01-7706</t>
  </si>
  <si>
    <t>03-110825</t>
  </si>
  <si>
    <t>0329263622622</t>
  </si>
  <si>
    <t>01-7707</t>
  </si>
  <si>
    <t>0676200713003</t>
  </si>
  <si>
    <t>01-7708</t>
  </si>
  <si>
    <t>0329200713003</t>
  </si>
  <si>
    <t>RODA MANGUERA/FACT 2476/SUMINISTRO MANGUERA P/BOMBEADORA DE CEMENTO</t>
  </si>
  <si>
    <t>01-7709</t>
  </si>
  <si>
    <t>0676200714001</t>
  </si>
  <si>
    <t>01-7710</t>
  </si>
  <si>
    <t>0329200714001</t>
  </si>
  <si>
    <t>MATERIALES SANTA LUCIA/FACT5772/CABILLAS ESTRIADA (TRITURACION PRIMARIA MURO MC-1)</t>
  </si>
  <si>
    <t>01-7711</t>
  </si>
  <si>
    <t>0676200711001</t>
  </si>
  <si>
    <t>01-7712</t>
  </si>
  <si>
    <t>0329200711001</t>
  </si>
  <si>
    <t>01-7713</t>
  </si>
  <si>
    <t>0676200715001</t>
  </si>
  <si>
    <t>01-7714</t>
  </si>
  <si>
    <t>0329200715001</t>
  </si>
  <si>
    <t>01-7715</t>
  </si>
  <si>
    <t>0676200712002</t>
  </si>
  <si>
    <t>01-7716</t>
  </si>
  <si>
    <t>0329200712002</t>
  </si>
  <si>
    <t>FERRETERIA CASA RECORD/FACT 16917/MANGUERA Y ABRAZADERA P/SISTEMA COMBUSTIBLE GENERADORES</t>
  </si>
  <si>
    <t>01-7717</t>
  </si>
  <si>
    <t>0329279908908</t>
  </si>
  <si>
    <t>01-7718</t>
  </si>
  <si>
    <t>0329282561002</t>
  </si>
  <si>
    <t>REPUEST LOS CAMACAROS/FACT 5915/INVER MINERALES-SILVERADO</t>
  </si>
  <si>
    <t>01-7719</t>
  </si>
  <si>
    <t>0676282561002</t>
  </si>
  <si>
    <t>01-7720</t>
  </si>
  <si>
    <t>0676282564001</t>
  </si>
  <si>
    <t>01-7721</t>
  </si>
  <si>
    <t>0329282564001</t>
  </si>
  <si>
    <t>DURANGO/ADELANT FACT/BOBINA MINIMA TENSION-P/CEMENTO</t>
  </si>
  <si>
    <t>01-7722</t>
  </si>
  <si>
    <t>0676282566001</t>
  </si>
  <si>
    <t>01-7723</t>
  </si>
  <si>
    <t>0329282566001</t>
  </si>
  <si>
    <t>SVF/FACT 6044/UNIDAD INTERRUPTOR ABB-CEMENTERA</t>
  </si>
  <si>
    <t>01-7724</t>
  </si>
  <si>
    <t>0676282563001</t>
  </si>
  <si>
    <t>01-7725</t>
  </si>
  <si>
    <t>0329282563001</t>
  </si>
  <si>
    <t>ARIEDDY GARRIDO/FACT 43/ANALISIS INSTRUMENTRAL</t>
  </si>
  <si>
    <t>01-7726</t>
  </si>
  <si>
    <t>0676282565006</t>
  </si>
  <si>
    <t>01-7727</t>
  </si>
  <si>
    <t>0329282565006</t>
  </si>
  <si>
    <t>INVER HAACK/FACT 113/VIAJE CEMENTO-MINERALES</t>
  </si>
  <si>
    <t>01-7728</t>
  </si>
  <si>
    <t>0676282560001</t>
  </si>
  <si>
    <t>01-7729</t>
  </si>
  <si>
    <t>0329282560001</t>
  </si>
  <si>
    <t>01-7730</t>
  </si>
  <si>
    <t>0676282562003</t>
  </si>
  <si>
    <t>01-7731</t>
  </si>
  <si>
    <t>0329282562003</t>
  </si>
  <si>
    <t>TRACTOR AUTO/FACT7839/BORNES P/3CAMIONES KAMAZ-INYECTORES P/VOLVO-MINERALES</t>
  </si>
  <si>
    <t>01-7732</t>
  </si>
  <si>
    <t>0329286844844</t>
  </si>
  <si>
    <t>01-7733</t>
  </si>
  <si>
    <t>0329287443443</t>
  </si>
  <si>
    <t>INVECEM/COMPRA 45 SACOS CEMENTO-34TN CEMEN GRIS-GRANEL-MINERALES</t>
  </si>
  <si>
    <t>01-7734</t>
  </si>
  <si>
    <t>EN ESPERA P/DEFINIR CUENTA</t>
  </si>
  <si>
    <t>45 SACOS CEMENTO GRIS ENSACADO x PALETA -34 TONELADASCEMENTO GRIS A GRANEL x GANDOLA - carga de cemento para planta de minerales chivacoa</t>
  </si>
  <si>
    <t>0676287443443</t>
  </si>
  <si>
    <t>01-7735</t>
  </si>
  <si>
    <t>0329299879879</t>
  </si>
  <si>
    <t>01-7736</t>
  </si>
  <si>
    <t>0676210311006</t>
  </si>
  <si>
    <t>01-7737</t>
  </si>
  <si>
    <t>0329210311006</t>
  </si>
  <si>
    <t>JEFERSON DAVILA/CAMPAÑA D/YESO CALIZA  11/08 AL 15/08</t>
  </si>
  <si>
    <t>01-7738</t>
  </si>
  <si>
    <t>0676210324013</t>
  </si>
  <si>
    <t>01-7739</t>
  </si>
  <si>
    <t>0329210324013</t>
  </si>
  <si>
    <t>OLGA OROZCO/HOSPEDAJE-CAMPAÑA D/YESO CALIZA  11/08 AL 15/08</t>
  </si>
  <si>
    <t>01-7740</t>
  </si>
  <si>
    <t>45-150825</t>
  </si>
  <si>
    <t>0329210303002</t>
  </si>
  <si>
    <t>LINO FLORES/CAMPAÑA D/YESO CALIZA  11/08 AL 15/08</t>
  </si>
  <si>
    <t>01-7741</t>
  </si>
  <si>
    <t>0676210303002</t>
  </si>
  <si>
    <t>01-7742</t>
  </si>
  <si>
    <t>0329210321011</t>
  </si>
  <si>
    <t>01-7743</t>
  </si>
  <si>
    <t>0676210321011</t>
  </si>
  <si>
    <t>01-7744</t>
  </si>
  <si>
    <t>0329210308001</t>
  </si>
  <si>
    <t>ROBERT ARIAS/CAMPAÑA D/YESO CALIZA  11/08 AL 15/08</t>
  </si>
  <si>
    <t>01-7745</t>
  </si>
  <si>
    <t>0676210308001</t>
  </si>
  <si>
    <t>01-7746</t>
  </si>
  <si>
    <t>0329210329015</t>
  </si>
  <si>
    <t>RAMON QUIROGAS/CAMPAÑA D/YESO CALIZA  11/08 AL 15/08</t>
  </si>
  <si>
    <t>01-7747</t>
  </si>
  <si>
    <t>0676210329015</t>
  </si>
  <si>
    <t>01-7748</t>
  </si>
  <si>
    <t>0329210306001</t>
  </si>
  <si>
    <t>BEATRIZ CASTILLO/CAMPAÑA D/YESO CALIZA  11/08 AL 15/08</t>
  </si>
  <si>
    <t>01-7749</t>
  </si>
  <si>
    <t>0676210306001</t>
  </si>
  <si>
    <t>01-7750</t>
  </si>
  <si>
    <t>0329210316009</t>
  </si>
  <si>
    <t>YOHAN GUANIPA/COMIDA-CAMPAÑA D/YESO CALIZA  11/08 AL 15/08</t>
  </si>
  <si>
    <t>01-7751</t>
  </si>
  <si>
    <t>13-150825</t>
  </si>
  <si>
    <t>0676210316009</t>
  </si>
  <si>
    <t>01-7752</t>
  </si>
  <si>
    <t>0676210323012</t>
  </si>
  <si>
    <t>01-7753</t>
  </si>
  <si>
    <t>0329210323012</t>
  </si>
  <si>
    <t>01-7754</t>
  </si>
  <si>
    <t>0329210314007</t>
  </si>
  <si>
    <t>RAFAEL QUIROZ/CAMPAÑA D/YESO CALIZA  11/08 AL 15/08-OPERADOR</t>
  </si>
  <si>
    <t>01-7755</t>
  </si>
  <si>
    <t>0676210314007</t>
  </si>
  <si>
    <t>01-7756</t>
  </si>
  <si>
    <t>0329210301001</t>
  </si>
  <si>
    <t>RAFAEL MORILLO/CAMPAÑA D/YESO CALIZA  11/08 AL 15/08</t>
  </si>
  <si>
    <t>01-7757</t>
  </si>
  <si>
    <t>0676210301001</t>
  </si>
  <si>
    <t>01-7758</t>
  </si>
  <si>
    <t>0329210313001</t>
  </si>
  <si>
    <t>HONORARIOS PROFESIONALES/FABR SINELEC P/CEMENTO</t>
  </si>
  <si>
    <t>01-7759</t>
  </si>
  <si>
    <t>SERVA007E</t>
  </si>
  <si>
    <t>38-150825</t>
  </si>
  <si>
    <t>0676210313001</t>
  </si>
  <si>
    <t>01-7760</t>
  </si>
  <si>
    <t>0676210318010</t>
  </si>
  <si>
    <t>01-7761</t>
  </si>
  <si>
    <t>0329210318010</t>
  </si>
  <si>
    <t>01-7762</t>
  </si>
  <si>
    <t>12-150825</t>
  </si>
  <si>
    <t>0676210305003</t>
  </si>
  <si>
    <t>01-7763</t>
  </si>
  <si>
    <t>0329210305003</t>
  </si>
  <si>
    <t>DANNY URRUTIA/CAMPAÑA D/YESO CALIZA  11/08 AL 15/08</t>
  </si>
  <si>
    <t>01-7764</t>
  </si>
  <si>
    <t>0676210326014</t>
  </si>
  <si>
    <t>01-7765</t>
  </si>
  <si>
    <t>0329210326014</t>
  </si>
  <si>
    <t>01-7766</t>
  </si>
  <si>
    <t>REPOSICION DE CAJA CHICA-</t>
  </si>
  <si>
    <t>0329277430430</t>
  </si>
  <si>
    <t>01-7767</t>
  </si>
  <si>
    <t>0676277536002</t>
  </si>
  <si>
    <t>01-7768</t>
  </si>
  <si>
    <t>0329277536002</t>
  </si>
  <si>
    <t>01-7769</t>
  </si>
  <si>
    <t>0676277535001</t>
  </si>
  <si>
    <t>01-7770</t>
  </si>
  <si>
    <t>0329277535001</t>
  </si>
  <si>
    <t>01-7771</t>
  </si>
  <si>
    <t>0429685299168</t>
  </si>
  <si>
    <t>MULTISERVICIOS GARQUIS/FACT54/REINTEGRO DE CANCELO DEMAS</t>
  </si>
  <si>
    <t>01-7772</t>
  </si>
  <si>
    <t xml:space="preserve">REINTEGRO/COMPRAS ERROR </t>
  </si>
  <si>
    <t>0329224415415</t>
  </si>
  <si>
    <t>01-7773</t>
  </si>
  <si>
    <t>0676225119001</t>
  </si>
  <si>
    <t>01-7774</t>
  </si>
  <si>
    <t>0329225119001</t>
  </si>
  <si>
    <t>DM ASEIN/FACT 17/TANQUE P/SEDE MINERALES</t>
  </si>
  <si>
    <t>01-7775</t>
  </si>
  <si>
    <t>ADQUISION DE MAQUINARIAS</t>
  </si>
  <si>
    <t>0676225122004</t>
  </si>
  <si>
    <t>01-7776</t>
  </si>
  <si>
    <t>0329225122004</t>
  </si>
  <si>
    <t>FERRENOVA/FACT 2023/TUBERIA P/ TANQUE GASOIL-MINERALES</t>
  </si>
  <si>
    <t>01-7777</t>
  </si>
  <si>
    <t>0676225120002</t>
  </si>
  <si>
    <t>01-7778</t>
  </si>
  <si>
    <t>0329225120002</t>
  </si>
  <si>
    <t>01-7779</t>
  </si>
  <si>
    <t>0676225123005</t>
  </si>
  <si>
    <t>01-7780</t>
  </si>
  <si>
    <t>0329225123005</t>
  </si>
  <si>
    <t>MI TIENDA VENEZUELA/FACT 1816/INV PINTURA CERCA PERIMETRAL</t>
  </si>
  <si>
    <t>01-7781</t>
  </si>
  <si>
    <t>0676225124006</t>
  </si>
  <si>
    <t>01-7782</t>
  </si>
  <si>
    <t>0329225124006</t>
  </si>
  <si>
    <t>MATERIALES PARRA/FACT 776/MATERIALES P/BARANDA-ESCALERA-PLATAFORMA D/SEGURIDAD CEMENTO</t>
  </si>
  <si>
    <t>01-7783</t>
  </si>
  <si>
    <t>0676225121003</t>
  </si>
  <si>
    <t>01-7784</t>
  </si>
  <si>
    <t>0329225121003</t>
  </si>
  <si>
    <t>DIGASMALAR/FACT 56819/OXIGENOS P/EQUIPOS OXICORTES-TRABAJ FABRI-ENSAMBLE-FARELIZ</t>
  </si>
  <si>
    <t>01-7785</t>
  </si>
  <si>
    <t>0598122728240</t>
  </si>
  <si>
    <t xml:space="preserve">SAPI/MARCA MINERALES-DERECHO+FORMULARIO        </t>
  </si>
  <si>
    <t>01-7786</t>
  </si>
  <si>
    <t>08-190825</t>
  </si>
  <si>
    <t>9884819082025</t>
  </si>
  <si>
    <t>01-7787</t>
  </si>
  <si>
    <t>0766885390227</t>
  </si>
  <si>
    <t>01-7788</t>
  </si>
  <si>
    <t>REINTEGRO/ERROR COMPRAS</t>
  </si>
  <si>
    <t>0766885390800</t>
  </si>
  <si>
    <t>01-7789</t>
  </si>
  <si>
    <t>0766885400970</t>
  </si>
  <si>
    <t>MULTISERVICIOS GARQUIS/FACT54/REINTEGRO-SE CANCELO DEMAS</t>
  </si>
  <si>
    <t>01-7790</t>
  </si>
  <si>
    <t>0329225970970</t>
  </si>
  <si>
    <t xml:space="preserve"> COMERCIALIZADORA/INVERSION DE CAPITAL/VZLA</t>
  </si>
  <si>
    <t>01-7791</t>
  </si>
  <si>
    <t>0676226072003</t>
  </si>
  <si>
    <t>01-7792</t>
  </si>
  <si>
    <t>0329226072003</t>
  </si>
  <si>
    <t>JOSE CASTRO/FACT 82/ACTIVACION REMOTA SOFWARE P/CEMENTO</t>
  </si>
  <si>
    <t>01-7793</t>
  </si>
  <si>
    <t>0676226071002</t>
  </si>
  <si>
    <t>01-7794</t>
  </si>
  <si>
    <t>0329226071002</t>
  </si>
  <si>
    <t>EL MIO CARRO/FACT 5234/CAICHOS P/VOLVO-COMPRESOR AIRE-CISTERNA</t>
  </si>
  <si>
    <t>01-7795</t>
  </si>
  <si>
    <t>0676226070001</t>
  </si>
  <si>
    <t>01-7796</t>
  </si>
  <si>
    <t>0329226070001</t>
  </si>
  <si>
    <t>01-7797</t>
  </si>
  <si>
    <t>0329288395395</t>
  </si>
  <si>
    <t>01-7798</t>
  </si>
  <si>
    <t>0676289488001</t>
  </si>
  <si>
    <t>01-7799</t>
  </si>
  <si>
    <t>0329289488001</t>
  </si>
  <si>
    <t>HENCARD CONSTRUCCIONES/ADELANT FACT/SUMINSTR FABR CELDA</t>
  </si>
  <si>
    <t>01-7800</t>
  </si>
  <si>
    <t>0676289490003</t>
  </si>
  <si>
    <t>01-7801</t>
  </si>
  <si>
    <t>0329289490003</t>
  </si>
  <si>
    <t>AMERICA TORNILLO/FACT 10973/FIJACION  PDESTAL Nº8 P/ESTRUCTURA</t>
  </si>
  <si>
    <t>01-7802</t>
  </si>
  <si>
    <t>0676289491001</t>
  </si>
  <si>
    <t>01-7803</t>
  </si>
  <si>
    <t>0329289491001</t>
  </si>
  <si>
    <t>TRACTO AUTO/FACT 7861/REPUEST P/EQUIP CARGADOIR FRONTAL MINERALES</t>
  </si>
  <si>
    <t>01-7804</t>
  </si>
  <si>
    <t>0676289489002</t>
  </si>
  <si>
    <t>01-7805</t>
  </si>
  <si>
    <t>0329289489002</t>
  </si>
  <si>
    <t>01-7806</t>
  </si>
  <si>
    <t>0329268708708</t>
  </si>
  <si>
    <t>01-7807</t>
  </si>
  <si>
    <t>0329269205004</t>
  </si>
  <si>
    <t>RAFAEL MORILLO/CAMPAÑA D/YESO CALIZA  18/08 AL 22/08</t>
  </si>
  <si>
    <t>01-7808</t>
  </si>
  <si>
    <t>0676269205004</t>
  </si>
  <si>
    <t>01-7809</t>
  </si>
  <si>
    <t>0676269207006</t>
  </si>
  <si>
    <t>01-7810</t>
  </si>
  <si>
    <t>0329269206005</t>
  </si>
  <si>
    <t>LINO FLORES/CAMPAÑA D/YESO CALIZA  18/08 AL 22/08</t>
  </si>
  <si>
    <t>01-7811</t>
  </si>
  <si>
    <t>0676269206005</t>
  </si>
  <si>
    <t>01-7812</t>
  </si>
  <si>
    <t>0329269211010</t>
  </si>
  <si>
    <t>JEFERSON DAVILA/CAMPAÑA D/YESO CALIZA  18/08 AL 22/08</t>
  </si>
  <si>
    <t>01-7813</t>
  </si>
  <si>
    <t>0676269211010</t>
  </si>
  <si>
    <t>01-7814</t>
  </si>
  <si>
    <t>0329269207006</t>
  </si>
  <si>
    <t>DANNY URRUTIA/CAMPAÑA D/YESO CALIZA  18/08 AL 22/08</t>
  </si>
  <si>
    <t>01-7815</t>
  </si>
  <si>
    <t>0676269217016</t>
  </si>
  <si>
    <t>01-7816</t>
  </si>
  <si>
    <t>0329269217016</t>
  </si>
  <si>
    <t>INVER GRAL SERVIC/FACT 359/RESGUARDO MAQUINA CERCA DEL SAQUE GRANZO-ING MIGUEL</t>
  </si>
  <si>
    <t>01-7817</t>
  </si>
  <si>
    <t>0329269209008</t>
  </si>
  <si>
    <t>ROBERT ARIAS/CAMPAÑA D/YESO CALIZA  18/08 AL 22/08</t>
  </si>
  <si>
    <t>01-7818</t>
  </si>
  <si>
    <t>0676269209008</t>
  </si>
  <si>
    <t>01-7819</t>
  </si>
  <si>
    <t>0329269212011</t>
  </si>
  <si>
    <t>YOHAN GUANIPA/COMIDA-CAMPAÑA D/YESO CALIZA  18/08 AL 22/08</t>
  </si>
  <si>
    <t>01-7820</t>
  </si>
  <si>
    <t>13-220825</t>
  </si>
  <si>
    <t>0676269212011</t>
  </si>
  <si>
    <t>01-7821</t>
  </si>
  <si>
    <t>0329269214013</t>
  </si>
  <si>
    <t>TORO GALLO/FACT 12281/COMPRA HIELO</t>
  </si>
  <si>
    <t>01-7822</t>
  </si>
  <si>
    <t>0676269214013</t>
  </si>
  <si>
    <t>01-7823</t>
  </si>
  <si>
    <t>0329269208007</t>
  </si>
  <si>
    <t>BEATRIZ CASTILLO/CAMPAÑA D/YESO CALIZA  18/08 AL 22/08</t>
  </si>
  <si>
    <t>01-7824</t>
  </si>
  <si>
    <t>0676269208007</t>
  </si>
  <si>
    <t>01-7825</t>
  </si>
  <si>
    <t>0329269210009</t>
  </si>
  <si>
    <t>RAFAEL QUIROZ/CAMPAÑA D/YESO CALIZA  18/08 AL 22/08-OPERADOR</t>
  </si>
  <si>
    <t>01-7826</t>
  </si>
  <si>
    <t>0676269210009</t>
  </si>
  <si>
    <t>01-7827</t>
  </si>
  <si>
    <t>0676269204003</t>
  </si>
  <si>
    <t>01-7828</t>
  </si>
  <si>
    <t>0329269204003</t>
  </si>
  <si>
    <t>OLGA OROZCO/HOSPEDAJE-CAMPAÑA D/YESO CALIZA  18/08 AL 22/08</t>
  </si>
  <si>
    <t>01-7829</t>
  </si>
  <si>
    <t>45-220825</t>
  </si>
  <si>
    <t>0676269202001</t>
  </si>
  <si>
    <t>01-7830</t>
  </si>
  <si>
    <t>0329269202001</t>
  </si>
  <si>
    <t>01-7831</t>
  </si>
  <si>
    <t>0676269215014</t>
  </si>
  <si>
    <t>01-7832</t>
  </si>
  <si>
    <t>0329269215014</t>
  </si>
  <si>
    <t>DISTRIBUIDOR DIAR/FACT 834/ACEITE P/TRACTOR-EXCAVADOR P/CEMENTO</t>
  </si>
  <si>
    <t>01-7833</t>
  </si>
  <si>
    <t>0676269216015</t>
  </si>
  <si>
    <t>01-7834</t>
  </si>
  <si>
    <t>0329269216015</t>
  </si>
  <si>
    <t>JULIO IGLESIA/FACT 514/REPUEST CAMIONETA SILVERADO</t>
  </si>
  <si>
    <t>01-7835</t>
  </si>
  <si>
    <t>0676269203002</t>
  </si>
  <si>
    <t>01-7836</t>
  </si>
  <si>
    <t>0329269203002</t>
  </si>
  <si>
    <t>01-7837</t>
  </si>
  <si>
    <t>0676269213012</t>
  </si>
  <si>
    <t>01-7838</t>
  </si>
  <si>
    <t>0329269213012</t>
  </si>
  <si>
    <t>01-7839</t>
  </si>
  <si>
    <t>12-220825</t>
  </si>
  <si>
    <t>0329230754754</t>
  </si>
  <si>
    <t>01-7840</t>
  </si>
  <si>
    <t>0329238035002</t>
  </si>
  <si>
    <t xml:space="preserve">RYA/FACT 60/CERRAMIENTO LAMINAS/MOLINO  CRUDO </t>
  </si>
  <si>
    <t>01-7841</t>
  </si>
  <si>
    <t>0676238035002</t>
  </si>
  <si>
    <t>01-7842</t>
  </si>
  <si>
    <t>0676238036003</t>
  </si>
  <si>
    <t>01-7843</t>
  </si>
  <si>
    <t>0329238036003</t>
  </si>
  <si>
    <t xml:space="preserve">GLOBAL ACERO/FACT 0079/INV P/ARRIOSTRAMIENTO ESTRUCTURA-TRANSPORTADORA </t>
  </si>
  <si>
    <t>01-7844</t>
  </si>
  <si>
    <t>0676238034001</t>
  </si>
  <si>
    <t>01-7845</t>
  </si>
  <si>
    <t>0329238034001</t>
  </si>
  <si>
    <t>AMPLIACIONES/FACT 6863/SERV GRUA TELESCOPICA-TANQUE GASOIL</t>
  </si>
  <si>
    <t>01-7846</t>
  </si>
  <si>
    <t>0329202852852</t>
  </si>
  <si>
    <t>01-7847</t>
  </si>
  <si>
    <t>0329222246246</t>
  </si>
  <si>
    <t>01-7848</t>
  </si>
  <si>
    <t>0676223888001</t>
  </si>
  <si>
    <t>01-7849</t>
  </si>
  <si>
    <t>0329223888001</t>
  </si>
  <si>
    <t>TRANSPORTE NJG/FACT 989/JABON-BOLSA BASURA P/ORDEN LIMPIEZA P/CEMENTO</t>
  </si>
  <si>
    <t>01-7850</t>
  </si>
  <si>
    <t>0676223886003</t>
  </si>
  <si>
    <t>01-7851</t>
  </si>
  <si>
    <t>0329223886003</t>
  </si>
  <si>
    <t xml:space="preserve">SUMINISTROS INDUSTR/FACT 114-113/INSTA ELECTRICA-MINERALES </t>
  </si>
  <si>
    <t>01-7852</t>
  </si>
  <si>
    <t>0676223885002</t>
  </si>
  <si>
    <t>01-7853</t>
  </si>
  <si>
    <t>0329223885002</t>
  </si>
  <si>
    <t>GLOBAL ACERO/FACT 80/ARRIOSTRAMIENTOS EESTRUCTURA P/CERRAMIENTO BANDAS</t>
  </si>
  <si>
    <t>01-7854</t>
  </si>
  <si>
    <t>0676223887001</t>
  </si>
  <si>
    <t>01-7855</t>
  </si>
  <si>
    <t>0329223887001</t>
  </si>
  <si>
    <t>SUMINISTRO INDUSTRIALES/FACT 115/INSTALACION ELECTRICA-MINERALES YARACUY</t>
  </si>
  <si>
    <t>01-7856</t>
  </si>
  <si>
    <t>0676223889006</t>
  </si>
  <si>
    <t>01-7857</t>
  </si>
  <si>
    <t>0329223889006</t>
  </si>
  <si>
    <t xml:space="preserve">ELIGIO GONZALEZ/FACT 260/ANALISIS MUETRA YESO-YACIMIENTO PERMUTE </t>
  </si>
  <si>
    <t>01-7858</t>
  </si>
  <si>
    <t>0329223884001</t>
  </si>
  <si>
    <t>HONORARIOS PROFESIONALES/CORRESP INSPECCION SINELEC-ELEVADOR-P/CEMENTO</t>
  </si>
  <si>
    <t>01-7859</t>
  </si>
  <si>
    <t>38-270825</t>
  </si>
  <si>
    <t>0676223884001</t>
  </si>
  <si>
    <t>-7,21</t>
  </si>
  <si>
    <t>01-7860</t>
  </si>
  <si>
    <t>0329274645645</t>
  </si>
  <si>
    <t>250.000,00</t>
  </si>
  <si>
    <t>01-7861</t>
  </si>
  <si>
    <t>0676275847001</t>
  </si>
  <si>
    <t>-274,73</t>
  </si>
  <si>
    <t>01-7862</t>
  </si>
  <si>
    <t>0329275847001</t>
  </si>
  <si>
    <t>GLOBAL ACERO/FACT 82/ARRIOSTRAMIENTO ESTRUCTURA P/CERRAMIENTO  BANDAS TRANSPORTADORA</t>
  </si>
  <si>
    <t>-109.895,50</t>
  </si>
  <si>
    <t>01-7863</t>
  </si>
  <si>
    <t>PROCESAD EN SEPTIEMBRE</t>
  </si>
  <si>
    <t>0676275848002</t>
  </si>
  <si>
    <t>-194,43</t>
  </si>
  <si>
    <t>01-7864</t>
  </si>
  <si>
    <t>0329275848002</t>
  </si>
  <si>
    <t>GLOBAL ACERO/FACT 81/ARRIOSTRAMIENTO ESTRUCTURA P/CERRAMIENTO  BANDAS TRANSPORTADORA</t>
  </si>
  <si>
    <t>-77.772,20</t>
  </si>
  <si>
    <t>01-7865</t>
  </si>
  <si>
    <t>0676275849003</t>
  </si>
  <si>
    <t>-131,25</t>
  </si>
  <si>
    <t>01-7866</t>
  </si>
  <si>
    <t>0329275849003</t>
  </si>
  <si>
    <t>HANLEY/FACT 0717/BATERIA CICLO PROFUNDO-MINERALES</t>
  </si>
  <si>
    <t>-52.501,60</t>
  </si>
  <si>
    <t>01-7867</t>
  </si>
  <si>
    <t>0676208742001</t>
  </si>
  <si>
    <t>-37,19</t>
  </si>
  <si>
    <t>01-7868</t>
  </si>
  <si>
    <t>0329208742001</t>
  </si>
  <si>
    <t xml:space="preserve">DISTRIBUIDORA DIAR/FACT 0833/EQUIPO CAMPO EXCAVADORA/TRACTOR </t>
  </si>
  <si>
    <t>-14.877,00</t>
  </si>
  <si>
    <t>01-7869</t>
  </si>
  <si>
    <t>MANUEL HERNANDEZ/FACT 10971/DIF RETENCION</t>
  </si>
  <si>
    <t>01-7870</t>
  </si>
  <si>
    <t>INVERSIONES LASKOWKI/FACT 2728/SERV COMPRESOR (ALQUILER) DESCARG CEMENTO-MINERALES</t>
  </si>
  <si>
    <t>01-7871</t>
  </si>
  <si>
    <t>ACOMULADORES YEPE/FACT 577/MTTO BATERIA JUMBO</t>
  </si>
  <si>
    <t>01-7872</t>
  </si>
  <si>
    <t>01-7873</t>
  </si>
  <si>
    <t>04-300925</t>
  </si>
  <si>
    <t>01-7874</t>
  </si>
  <si>
    <t>GLOBAL ACERO/FACT 77/VIGAS DE CARGAS/CERRAMIENTOS BANDAS TRANSPORTADORA P/CEMENTO</t>
  </si>
  <si>
    <t>01-7875</t>
  </si>
  <si>
    <t>01-7876</t>
  </si>
  <si>
    <t>AGREGADOS/TRASPAO/VZLA</t>
  </si>
  <si>
    <t>01-7877</t>
  </si>
  <si>
    <t>01-7878</t>
  </si>
  <si>
    <t>Federico Faneite/Eventual Gobernacion 01/09 AL 07/09</t>
  </si>
  <si>
    <t>01-7879</t>
  </si>
  <si>
    <t>Delios Adolfo Ferrara/Eventual Agregados 01/09 AL 07/09</t>
  </si>
  <si>
    <t>01-7880</t>
  </si>
  <si>
    <t>Eliomar Jesús Escalona/Eventual Agregados 01/09 AL 07/09</t>
  </si>
  <si>
    <t>01-7881</t>
  </si>
  <si>
    <t>José Guillermo Cortez/Eventual Agregados 01/09 AL 07/09</t>
  </si>
  <si>
    <t>01-7882</t>
  </si>
  <si>
    <t>Darwuin Jesús Bullones/Eventual Agregados 01/09 AL 07/09</t>
  </si>
  <si>
    <t>01-7883</t>
  </si>
  <si>
    <t>Frank Armando García/Eventual Agregados 01/09 AL 07/09</t>
  </si>
  <si>
    <t>01-7884</t>
  </si>
  <si>
    <t>Alberto Luis Rojas/Eventual Agregados 01/09 AL 07/09</t>
  </si>
  <si>
    <t>01-7885</t>
  </si>
  <si>
    <t>Naiker Alexander Jimenez/Eventual Agregados 01/09 AL 07/09</t>
  </si>
  <si>
    <t>01-7886</t>
  </si>
  <si>
    <t>José Gregorio Perez/Eventual Agregados 01/09 AL 07/09</t>
  </si>
  <si>
    <t>01-7887</t>
  </si>
  <si>
    <t>Carlos Daniel Rodriguez/Eventual Agregados 01/09 AL 07/09</t>
  </si>
  <si>
    <t>01-7888</t>
  </si>
  <si>
    <t>Alejandro Morales/Eventual Agregados 01/09 AL 07/09</t>
  </si>
  <si>
    <t>01-7889</t>
  </si>
  <si>
    <t>Euber José Juarez/Eventual Agregados 01/09 AL 07/09</t>
  </si>
  <si>
    <t>01-7890</t>
  </si>
  <si>
    <t>Ali Alberto Bullones/Eventual Agregados 01/09 AL 07/09</t>
  </si>
  <si>
    <t>01-7891</t>
  </si>
  <si>
    <t>Alberto Ali Bullones/Eventual Agregados 01/09 AL 07/09</t>
  </si>
  <si>
    <t>01-7892</t>
  </si>
  <si>
    <t>Fernando José Rodriguez/Eventual Agregados 01/09 AL 07/09</t>
  </si>
  <si>
    <t>01-7893</t>
  </si>
  <si>
    <t>Brunito Segundo Cordero/Eventual Agregados 01/09 AL 07/09</t>
  </si>
  <si>
    <t>01-7894</t>
  </si>
  <si>
    <t>Justiniano Rodriguez/Eventual Agregados 01/09 AL 07/09</t>
  </si>
  <si>
    <t>01-7895</t>
  </si>
  <si>
    <t>Armando Lopez /Eventual Agregados 01/09 AL 07/09</t>
  </si>
  <si>
    <t>01-7896</t>
  </si>
  <si>
    <t>Froilan Lopez/Eventual Agregados 01/09 AL 07/09</t>
  </si>
  <si>
    <t>01-7897</t>
  </si>
  <si>
    <t>Fareliz Arrieche/Eventual Gobernacion 01/09 AL 07/09</t>
  </si>
  <si>
    <t>01-7898</t>
  </si>
  <si>
    <t>Bruno Ali Cordero Bullones/Eventual Agregados 01/09 AL 07/09</t>
  </si>
  <si>
    <t>01-7899</t>
  </si>
  <si>
    <t>Ramón Quintero/Eventual Agregados 01/09 AL 07/09</t>
  </si>
  <si>
    <t>01-7900</t>
  </si>
  <si>
    <t>Henrry Valera/Eventual Gobernacion 01/09 AL 07/09</t>
  </si>
  <si>
    <t>01-7901</t>
  </si>
  <si>
    <t>Juan López/Eventual Agregados 01/09 AL 07/09</t>
  </si>
  <si>
    <t>01-7902</t>
  </si>
  <si>
    <t>Exson Rodriguez/Eventual Gobernacion 01/09 AL 07/09</t>
  </si>
  <si>
    <t>01-7903</t>
  </si>
  <si>
    <t>Douglas Pimentel/Eventual Gobernacion 01/09 AL 07/09</t>
  </si>
  <si>
    <t>01-7904</t>
  </si>
  <si>
    <t>Pedro Castillo/Eventual Gobernacion 01/09 AL 07/09</t>
  </si>
  <si>
    <t>01-7905</t>
  </si>
  <si>
    <t>Jesus Ramos/Eventual Gobernacion 01/09 AL 07/09</t>
  </si>
  <si>
    <t>01-7906</t>
  </si>
  <si>
    <t>Nicolas Alvarez/Eventual Gobernacion 01/09 AL 07/09</t>
  </si>
  <si>
    <t>01-7907</t>
  </si>
  <si>
    <t>Miguel Torres/Eventual Gobernacion 01/09 AL 07/09</t>
  </si>
  <si>
    <t>01-7908</t>
  </si>
  <si>
    <t>Wendy Gimenez/Eventual Gobernacion 01/09 AL 07/09</t>
  </si>
  <si>
    <t>01-7909</t>
  </si>
  <si>
    <t>Rafael Puertas/Eventual Gobernacion 01/09 AL 07/09</t>
  </si>
  <si>
    <t>01-7910</t>
  </si>
  <si>
    <t>Carlos Pacheco/Eventual Gobernacion 01/09 AL 07/09</t>
  </si>
  <si>
    <t>01-7911</t>
  </si>
  <si>
    <t>Andrés Armella/Eventual Gobernacion 01/09 AL 07/09</t>
  </si>
  <si>
    <t>01-7912</t>
  </si>
  <si>
    <t>Jose Toledo/Eventual Gobernacion 01/09 AL 07/09</t>
  </si>
  <si>
    <t>01-7913</t>
  </si>
  <si>
    <t>Juan Pinto/Eventual Gobernacion 01/09 AL 07/09</t>
  </si>
  <si>
    <t>01-7914</t>
  </si>
  <si>
    <t>Alirio Parra/Eventual Gobernacion 01/09 AL 07/09</t>
  </si>
  <si>
    <t>01-7915</t>
  </si>
  <si>
    <t>Edwin Rojas/Eventual Gobernacion 01/09 AL 07/09</t>
  </si>
  <si>
    <t>01-7916</t>
  </si>
  <si>
    <t>Rafael Quiroz/Eventual Gobernacion 01/09 AL 07/09</t>
  </si>
  <si>
    <t>01-7917</t>
  </si>
  <si>
    <t>Angel Caldera/Eventual Gobernacion 01/09 AL 07/09</t>
  </si>
  <si>
    <t>01-7918</t>
  </si>
  <si>
    <t>Carlos Lopez/Eventual Agregados 01/09 AL 07/09</t>
  </si>
  <si>
    <t>01-7919</t>
  </si>
  <si>
    <t>Estebez Maramara/Eventual Agregados 01/09 AL 07/09</t>
  </si>
  <si>
    <t>01-7920</t>
  </si>
  <si>
    <t>Luis Silveiro Colon Ojeda/Eventual Agregados 01/09 AL 07/09</t>
  </si>
  <si>
    <t>01-7921</t>
  </si>
  <si>
    <t>Walner Oviedo/Eventual Megatech 01/09 AL 07/09</t>
  </si>
  <si>
    <t>01-7922</t>
  </si>
  <si>
    <t>Argenis Flores/Eventual Megatech 01/09 AL 07/09</t>
  </si>
  <si>
    <t>01-7923</t>
  </si>
  <si>
    <t>01-7924</t>
  </si>
  <si>
    <t>Yonny Castillo/Eventual Megatech 01/09 AL 07/09</t>
  </si>
  <si>
    <t>01-7925</t>
  </si>
  <si>
    <t>Antonio Castillo/Eventual Megatech 01/09 AL 07/09</t>
  </si>
  <si>
    <t>01-7926</t>
  </si>
  <si>
    <t>Francisco Castillo/Eventual Megatech 01/09 AL 07/09</t>
  </si>
  <si>
    <t>01-7927</t>
  </si>
  <si>
    <t>Jose Guevara/Eventual Megatech 01/09 AL 07/09</t>
  </si>
  <si>
    <t>01-7928</t>
  </si>
  <si>
    <t>01-7929</t>
  </si>
  <si>
    <t>Jose Castillo/Eventual Megatech 01/09 AL 07/09</t>
  </si>
  <si>
    <t>01-7930</t>
  </si>
  <si>
    <t>Elvis Valles/Eventual Megatech 01/09 AL 07/09</t>
  </si>
  <si>
    <t>01-7931</t>
  </si>
  <si>
    <t>Omar Torrealba/Eventual Megatech 01/09 AL 07/09</t>
  </si>
  <si>
    <t>01-7932</t>
  </si>
  <si>
    <t>Carlos Castillo/Eventual Megatech 01/09 AL 07/09</t>
  </si>
  <si>
    <t>01-7933</t>
  </si>
  <si>
    <t>Julian Guedez/Eventual Megatech 01/09 AL 07/09</t>
  </si>
  <si>
    <t>01-7934</t>
  </si>
  <si>
    <t>Yordis Almao/Eventual Megatech 01/09 AL 07/09</t>
  </si>
  <si>
    <t>01-7935</t>
  </si>
  <si>
    <t>Victor Mendez/Eventual Megatech 01/09 AL 07/09</t>
  </si>
  <si>
    <t>01-7936</t>
  </si>
  <si>
    <t>Carlos Loyo/Eventual Megatech 01/09 AL 07/09</t>
  </si>
  <si>
    <t>01-7937</t>
  </si>
  <si>
    <t>Alberto Loyo/Eventual Megatech 01/09 AL 07/09</t>
  </si>
  <si>
    <t>01-7938</t>
  </si>
  <si>
    <t>Edwuard Almeida/Eventual Megatech 01/09 AL 07/09</t>
  </si>
  <si>
    <t>01-7939</t>
  </si>
  <si>
    <t>Yerry Rodríguez/Eventual Megatech 01/09 AL 07/09</t>
  </si>
  <si>
    <t>01-7940</t>
  </si>
  <si>
    <t>Elio Malpica/Eventual Megatech 01/09 AL 07/09</t>
  </si>
  <si>
    <t>01-7941</t>
  </si>
  <si>
    <t>Alirio Parra/Eventual Megatech 01/09 AL 07/09</t>
  </si>
  <si>
    <t>01-7942</t>
  </si>
  <si>
    <t>Ruben Rivas/Eventual Megatech 01/09 AL 07/09</t>
  </si>
  <si>
    <t>01-7943</t>
  </si>
  <si>
    <t>Fares Arrieche/Eventual Megatech 01/09 AL 07/09</t>
  </si>
  <si>
    <t>01-7944</t>
  </si>
  <si>
    <t>Norys Ramos/Eventual Megatech 01/09 AL 07/09</t>
  </si>
  <si>
    <t>01-7945</t>
  </si>
  <si>
    <t>Emperatriz Leon/Eventual Megatech 01/09 AL 07/09</t>
  </si>
  <si>
    <t>01-7946</t>
  </si>
  <si>
    <t>Fareliz Arrieche/Eventual Megatech 01/09 AL 07/09</t>
  </si>
  <si>
    <t>01-7947</t>
  </si>
  <si>
    <t>Ingrid Reyes/Eventual Megatech 22/09 AL 28/09</t>
  </si>
  <si>
    <t>01-7948</t>
  </si>
  <si>
    <t>01-7949</t>
  </si>
  <si>
    <t>01-7950</t>
  </si>
  <si>
    <t>01-7951</t>
  </si>
  <si>
    <t>01-7952</t>
  </si>
  <si>
    <t>DECLARACION PENSIONES/PERIODO AGOSTO 2025</t>
  </si>
  <si>
    <t>01-7953</t>
  </si>
  <si>
    <t>02-050925</t>
  </si>
  <si>
    <t>01-7954</t>
  </si>
  <si>
    <t>INVERSIONES NISSI/FACT 2248/ ENVIO FACTURAS EXTRACTORES</t>
  </si>
  <si>
    <t>01-7955</t>
  </si>
  <si>
    <t>REPUESTO H.R.N/FACT 1744/COMPRESON PORTATIL GARDNER DEMBER</t>
  </si>
  <si>
    <t>01-7956</t>
  </si>
  <si>
    <t>01-7957</t>
  </si>
  <si>
    <t>01-7958</t>
  </si>
  <si>
    <t>ITAL-BOMBA/FACT 21931/BOMBA P/INYECCION MOTOR CUMMINS-MINERALES</t>
  </si>
  <si>
    <t>01-7959</t>
  </si>
  <si>
    <t>01-7960</t>
  </si>
  <si>
    <t>01-7961</t>
  </si>
  <si>
    <t>REPUESTO H.R.N/FACT 1749/COMPRESOR PORTATIL GARDNER DEMBER-P/CEMENTO</t>
  </si>
  <si>
    <t>01-7962</t>
  </si>
  <si>
    <t xml:space="preserve">DISTRIBUIDORA DIAR/FACT 862/ACEITE P/EQUIPO MOVIL TRACTOR SHANTUI/EXCAVADOR </t>
  </si>
  <si>
    <t>01-7963</t>
  </si>
  <si>
    <t>01-7964</t>
  </si>
  <si>
    <t>01-7965</t>
  </si>
  <si>
    <t>01-7966</t>
  </si>
  <si>
    <t>ISLR/PERIODO AGOSTO 2025</t>
  </si>
  <si>
    <t>01-7967</t>
  </si>
  <si>
    <t>02-100925</t>
  </si>
  <si>
    <t>01-7968</t>
  </si>
  <si>
    <t>HENCARD/FACT0637/SUMINISTRO FABRIC CELDAS SINCRONICO-CEMENTERA</t>
  </si>
  <si>
    <t>01-7969</t>
  </si>
  <si>
    <t>ODP 99590875</t>
  </si>
  <si>
    <t>01-7970</t>
  </si>
  <si>
    <t>01-7971</t>
  </si>
  <si>
    <t>01-7972</t>
  </si>
  <si>
    <t>01-7973</t>
  </si>
  <si>
    <t>GUILLERMO BONILLA/FACT 776/ANALISIS MUESTRA YESO P/UCAB</t>
  </si>
  <si>
    <t>01-7974</t>
  </si>
  <si>
    <t>MATERIALES STA LUCIA/FACT 5960/CEMENTERA</t>
  </si>
  <si>
    <t>01-7975</t>
  </si>
  <si>
    <t>MATERIALES SANTA LUCIA/FACT 5961/MEGATECH</t>
  </si>
  <si>
    <t>01-7976</t>
  </si>
  <si>
    <t xml:space="preserve">DIOSANNY ALVAREZ/FACT 460/VIATICOS </t>
  </si>
  <si>
    <t>01-7977</t>
  </si>
  <si>
    <t>01-7978</t>
  </si>
  <si>
    <t>01-7979</t>
  </si>
  <si>
    <t>12-120925</t>
  </si>
  <si>
    <t>01-7980</t>
  </si>
  <si>
    <t>01-7981</t>
  </si>
  <si>
    <t>SIMECA/ANTI FACT/TIMBRES FISCALES TRAMITE OCUP TERRITORIO P/CEMENTO</t>
  </si>
  <si>
    <t>01-7982</t>
  </si>
  <si>
    <t>JOSE CASTILLO/CAMPAÑA D/YESO CALIZA  08/09 AL 12/09</t>
  </si>
  <si>
    <t>01-7983</t>
  </si>
  <si>
    <t>RAFAEL MORILLO/CAMPAÑA D/YESO CALIZA  08/09 AL 12/09</t>
  </si>
  <si>
    <t>01-7984</t>
  </si>
  <si>
    <t>DANNY URRUTIA/CAMPAÑA D/YESO CALIZA  08/09 AL 12/09</t>
  </si>
  <si>
    <t>01-7985</t>
  </si>
  <si>
    <t>LINO FLORES/CAMPAÑA D/YESO CALIZA  08/09 AL 12/09</t>
  </si>
  <si>
    <t>01-7986</t>
  </si>
  <si>
    <t>DOMICIO VIRGUEZ/CAMPAÑA D/YESO CALIZA  08/09 AL 12/09</t>
  </si>
  <si>
    <t>01-7987</t>
  </si>
  <si>
    <t>JEFERSON DAVILA/CAMPAÑA D/YESO CALIZA  08/09 AL 12/09</t>
  </si>
  <si>
    <t>01-7988</t>
  </si>
  <si>
    <t>ROBERT ARIAS/CAMPAÑA D/YESO CALIZA  08/09 AL 12/09</t>
  </si>
  <si>
    <t>01-7989</t>
  </si>
  <si>
    <t>BEATRIZ CASTILLO/CAMPAÑA D/YESO CALIZA  08/09 AL 12/09</t>
  </si>
  <si>
    <t>01-7990</t>
  </si>
  <si>
    <t>RAFAEL QUIROZ/CAMPAÑA D/YESO CALIZA  08/09 AL 12/09-OPERADOR</t>
  </si>
  <si>
    <t>01-7991</t>
  </si>
  <si>
    <t>OLGA OROZCO/HOSPEDAJE-CAMPAÑA D/YESO CALIZA  08/09 AL 12/09</t>
  </si>
  <si>
    <t>01-7992</t>
  </si>
  <si>
    <t>YOHAN GUANIPA/COMIDA-CAMPAÑA D/YESO CALIZA  08/09 AL 12/09</t>
  </si>
  <si>
    <t>01-7993</t>
  </si>
  <si>
    <t>01-7994</t>
  </si>
  <si>
    <t>TRANSPORTE/FACT 92/SERV TRASLAD NIVEL NACIONAL P/CEMENTO</t>
  </si>
  <si>
    <t>01-7995</t>
  </si>
  <si>
    <t>RESGUARDO/FACT 260/1RA QUINC SEPTIEMBRE</t>
  </si>
  <si>
    <t>01-7996</t>
  </si>
  <si>
    <t>01-7997</t>
  </si>
  <si>
    <t>PEREZ,JOSE/BONO COMPL 15-09-25/OPE MINER</t>
  </si>
  <si>
    <t>01-7998</t>
  </si>
  <si>
    <t>MINERALES</t>
  </si>
  <si>
    <t>REVERON,RAMON/BONO COMPL 15-09-25/OPE MINER</t>
  </si>
  <si>
    <t>01-7999</t>
  </si>
  <si>
    <t>RANGEL,GUSTAVO/BONO COMPL 15-09-25/ADM P-C</t>
  </si>
  <si>
    <t>01-8000</t>
  </si>
  <si>
    <t>CEMENTO</t>
  </si>
  <si>
    <t>LOPEZ,MANOLO/BONO COMPL 15-09-25/OPE MINER</t>
  </si>
  <si>
    <t>01-8001</t>
  </si>
  <si>
    <t>GUEDEZ,YIRMER/BONO COMPL 15-09-25/OPE MINER</t>
  </si>
  <si>
    <t>01-8002</t>
  </si>
  <si>
    <t>SEGURA,WAILEN/BONO COMPL 15-09-25/OPE MINER</t>
  </si>
  <si>
    <t>01-8003</t>
  </si>
  <si>
    <t>GARCIA,JASON /BONO COMPL 15-09-25/OPE MINER</t>
  </si>
  <si>
    <t>01-8004</t>
  </si>
  <si>
    <t>GOMEZ,ARGENIS/BONO COMPL 15-09-25/OPE MINER</t>
  </si>
  <si>
    <t>01-8005</t>
  </si>
  <si>
    <t>ALVARADO,EDID/BONO COMPL 15-09-25/OPE MINER</t>
  </si>
  <si>
    <t>01-8006</t>
  </si>
  <si>
    <t>NOGUERA,OSCAR/BONO COMPL 15-09-2025/ADM MINER</t>
  </si>
  <si>
    <t>01-8007</t>
  </si>
  <si>
    <t>SUAREZ,LEONARDO/BONO COMPL 15-09-25/OPE MINER</t>
  </si>
  <si>
    <t>01-8008</t>
  </si>
  <si>
    <t>GUEDEZ,JOSE/BONO COMPL 15-09-25/OPE MINER</t>
  </si>
  <si>
    <t>01-8009</t>
  </si>
  <si>
    <t>RODRIGUEZ,MIGUEL/BONO COMPL 15-09-25/OPE MINER</t>
  </si>
  <si>
    <t>01-8010</t>
  </si>
  <si>
    <t>PARADA,KEIBY/BONO COMPL 15-09-25/OPE MINER</t>
  </si>
  <si>
    <t>01-8011</t>
  </si>
  <si>
    <t>RIVERO,JORGE LUIS/BONO COMPL 15-09-2025/ADM MINER</t>
  </si>
  <si>
    <t>01-8012</t>
  </si>
  <si>
    <t>RODRIGUEZ,ANSONNY/BONO COMPL 15-09-2025/ADM MINER</t>
  </si>
  <si>
    <t>01-8013</t>
  </si>
  <si>
    <t>LINAREZ,PEDRO/BONO COMPL 15-09-25/OPE MINER</t>
  </si>
  <si>
    <t>01-8014</t>
  </si>
  <si>
    <t>SOTELDO,LUSMAR/BONO COMPL 15-09-25/OPE MINER</t>
  </si>
  <si>
    <t>01-8015</t>
  </si>
  <si>
    <t>ALMAO,GENESIS/BONO COMPL 15-09-2025/ADM MINER</t>
  </si>
  <si>
    <t>01-8016</t>
  </si>
  <si>
    <t>QUERALES,HERMES/BONO COMPL 15-09-25/OPE MINER</t>
  </si>
  <si>
    <t>01-8017</t>
  </si>
  <si>
    <t>VETANCOURT,BLIXANDER/BONO COMPL 15-09-2025/ADM MINER</t>
  </si>
  <si>
    <t>01-8018</t>
  </si>
  <si>
    <t>ROJAS,MARIA/BONO COMPL 15-09-25/OPE MINER</t>
  </si>
  <si>
    <t>01-8019</t>
  </si>
  <si>
    <t>MENDOZA,ANTONY/BONO COMPL 15-09-2025/ADM MINER</t>
  </si>
  <si>
    <t>01-8020</t>
  </si>
  <si>
    <t>QUERALES,EDIXON/BONO COMPL 15-09-25/OPE MINER</t>
  </si>
  <si>
    <t>01-8021</t>
  </si>
  <si>
    <t>DURAN,MARIA/BONO COMPL 15-09-2025/ADM MINER</t>
  </si>
  <si>
    <t>01-8022</t>
  </si>
  <si>
    <t>LINAREZ,SANTIAGO/BONO COMPL 15-09-25/OPE MINER</t>
  </si>
  <si>
    <t>01-8023</t>
  </si>
  <si>
    <t>RANGEL,GUSTAVO/NOMINA 15-09-25/ADM P-C</t>
  </si>
  <si>
    <t>01-8024</t>
  </si>
  <si>
    <t>GUEDEZ,YIRMER/NOMINA 15-09-25/OPE MINER</t>
  </si>
  <si>
    <t>01-8025</t>
  </si>
  <si>
    <t>BASTIDAS,JOSE/BONO COMPL 15-09-25/OPE MINER</t>
  </si>
  <si>
    <t>01-8026</t>
  </si>
  <si>
    <t>CHIRINOS,RAFAEL/BONO COMPL 15-09-25/OPE MINER</t>
  </si>
  <si>
    <t>01-8027</t>
  </si>
  <si>
    <t>REVERON,RAMON/NOMINA 15-09-25/OPE MINER</t>
  </si>
  <si>
    <t>01-8028</t>
  </si>
  <si>
    <t>PEREZ,JOSE/NOMINA 15-09-25/OPE MINER</t>
  </si>
  <si>
    <t>01-8029</t>
  </si>
  <si>
    <t>GUTIERREZ,PRESCILIANO/BONO COMPL 15-09-25/OPE MINER</t>
  </si>
  <si>
    <t>01-8030</t>
  </si>
  <si>
    <t>LOPEZ,MANOLO/NOMINA 15-09-25/OPE MINER</t>
  </si>
  <si>
    <t>01-8031</t>
  </si>
  <si>
    <t>SEGURA,WAILEN/NOMINA 15-09-25/OPE MINER</t>
  </si>
  <si>
    <t>01-8032</t>
  </si>
  <si>
    <t>PEREZ,CARLOS/NOMINA 15-09-25/OPE MINER</t>
  </si>
  <si>
    <t>01-8033</t>
  </si>
  <si>
    <t>MARTINEZ,JUAN RAMON/NOMINA 15-09-25/OPE MINER</t>
  </si>
  <si>
    <t>01-8034</t>
  </si>
  <si>
    <t>VIELMA,CARLEN/BONO COMPL 15-09-25/ADM CEMENT</t>
  </si>
  <si>
    <t>01-8035</t>
  </si>
  <si>
    <t>GARCIA,JASON /NOMINA 15-09-25/OPE MINER</t>
  </si>
  <si>
    <t>01-8036</t>
  </si>
  <si>
    <t>PEREZ,CARLOS/BONO COMPL 15-09-25/OPE MINER</t>
  </si>
  <si>
    <t>01-8037</t>
  </si>
  <si>
    <t>ALEJOS,RODOLFO /BONO COMPL 15-09-25/OPE MINER</t>
  </si>
  <si>
    <t>01-8038</t>
  </si>
  <si>
    <t>MARTINEZ,JUAN RAMON/BONO COMPL 15-09-25/OPE MINER</t>
  </si>
  <si>
    <t>01-8039</t>
  </si>
  <si>
    <t>ALVARADO,EDID/NOMINA 15-09-25/OPE MINER</t>
  </si>
  <si>
    <t>01-8040</t>
  </si>
  <si>
    <t>LINAREZ,PEDRO/NOMINA 15-09-25/OPE MINER</t>
  </si>
  <si>
    <t>01-8041</t>
  </si>
  <si>
    <t>GUTIERREZ,PRESCILIANO/NOMINA 15-09-25/OPE MINER</t>
  </si>
  <si>
    <t>01-8042</t>
  </si>
  <si>
    <t>VIELMA,CARLEN/NOMINA 15-09-25/ADM CEMENT</t>
  </si>
  <si>
    <t>01-8043</t>
  </si>
  <si>
    <t>RAGA,NELIDO/NOMINA 15-09-2025/ADM MINER</t>
  </si>
  <si>
    <t>01-8044</t>
  </si>
  <si>
    <t>NOGUERA,OSCAR/NOMINA 15-09-2025/ADM MINER</t>
  </si>
  <si>
    <t>01-8045</t>
  </si>
  <si>
    <t>DAZA,VICTOR /BONO COMPL 15-09-25/OPE MINER</t>
  </si>
  <si>
    <t>01-8046</t>
  </si>
  <si>
    <t>RAGA,NELIDO/BONO COMPL 15-09-2025/ADM MINER</t>
  </si>
  <si>
    <t>01-8047</t>
  </si>
  <si>
    <t>GOMEZ,ARGENIS/NOMINA 15-09-25/OPE MINER</t>
  </si>
  <si>
    <t>01-8048</t>
  </si>
  <si>
    <t>PARADA,KEIBY/NOMINA 15-09-25/OPE MINER</t>
  </si>
  <si>
    <t>01-8049</t>
  </si>
  <si>
    <t>GUEDEZ,JOSE/NOMINA 15-09-25/OPE MINER</t>
  </si>
  <si>
    <t>01-8050</t>
  </si>
  <si>
    <t>RIVERO,JORGE LUIS/NOMINA 15-09-2025/ADM MINER</t>
  </si>
  <si>
    <t>01-8051</t>
  </si>
  <si>
    <t>RODRIGUEZ,MIGUEL/NOMINA 15-09-25/OPE MINER</t>
  </si>
  <si>
    <t>01-8052</t>
  </si>
  <si>
    <t>RODRIGUEZ,ANSONNY/NOMINA 15-09-2025/ADM MINER</t>
  </si>
  <si>
    <t>01-8053</t>
  </si>
  <si>
    <t>SOTELDO,LUSMAR/NOMINA 15-09-25/OPE MINER</t>
  </si>
  <si>
    <t>01-8054</t>
  </si>
  <si>
    <t>MENDOZA,ANTONY/NOMINA 15-09-2025/ADM MINER</t>
  </si>
  <si>
    <t>01-8055</t>
  </si>
  <si>
    <t>SUAREZ,LEONARDO/NOMINA 15-09-25/OPE MINER</t>
  </si>
  <si>
    <t>01-8056</t>
  </si>
  <si>
    <t>ALMAO,GENESIS/NOMINA 15-09-2025/ADM MINER</t>
  </si>
  <si>
    <t>01-8057</t>
  </si>
  <si>
    <t>ROJAS,MARIA/NOMINA 15-09-25/OPE MINER</t>
  </si>
  <si>
    <t>01-8058</t>
  </si>
  <si>
    <t>QUERALES,EDIXON/NOMINA 15-09-25/OPE MINER</t>
  </si>
  <si>
    <t>01-8059</t>
  </si>
  <si>
    <t>VETANCOURT,BLIXANDER/NOMINA 15-09-2025/ADM MINER</t>
  </si>
  <si>
    <t>01-8060</t>
  </si>
  <si>
    <t>DURAN,MARIA/NOMINA 15-09-2025/ADM MINER</t>
  </si>
  <si>
    <t>01-8061</t>
  </si>
  <si>
    <t>QUERALES,HERMES/NOMINA 15-09-25/OPE MINER</t>
  </si>
  <si>
    <t>01-8062</t>
  </si>
  <si>
    <t>LINAREZ,SANTIAGO/NOMINA 15-09-25/OPE MINER</t>
  </si>
  <si>
    <t>01-8063</t>
  </si>
  <si>
    <t>BASTIDAS,JOSE/NOMINA 15-09-25/OPE MINER</t>
  </si>
  <si>
    <t>01-8064</t>
  </si>
  <si>
    <t>CHIRINOS,RAFAEL/NOMINA 15-09-25/OPE MINER</t>
  </si>
  <si>
    <t>01-8065</t>
  </si>
  <si>
    <t>ALEJOS,RODOLFO /NOMINA 15-09-25/OPE MINER</t>
  </si>
  <si>
    <t>01-8066</t>
  </si>
  <si>
    <t>DAZA,VICTOR /NOMINA 15-09-25/OPE MINER</t>
  </si>
  <si>
    <t>01-8067</t>
  </si>
  <si>
    <t>01-8068</t>
  </si>
  <si>
    <t>01-8069</t>
  </si>
  <si>
    <t>LISO/FACT 629/COFECC/INSTALACION ESTRUCTURA METALICA</t>
  </si>
  <si>
    <t>01-8070</t>
  </si>
  <si>
    <t>01-8071</t>
  </si>
  <si>
    <t>01-8072</t>
  </si>
  <si>
    <t>01-8073</t>
  </si>
  <si>
    <t>SIMECA/ADELANT FACT/PERMISO BOMBEROS-MINERALES</t>
  </si>
  <si>
    <t>01-8074</t>
  </si>
  <si>
    <t>R&amp;A/FACT 60/CIERR D/PANTALLA/FABRICACION BANDEJA</t>
  </si>
  <si>
    <t>01-8075</t>
  </si>
  <si>
    <t>01-8076</t>
  </si>
  <si>
    <t>01-8077</t>
  </si>
  <si>
    <t>Federico Faneite/Eventual Gobernacion 15/09 AL 21/09</t>
  </si>
  <si>
    <t>01-8078</t>
  </si>
  <si>
    <t>Delios Adolfo Ferrara/Eventual Agregados 15/09 AL 21/09</t>
  </si>
  <si>
    <t>01-8079</t>
  </si>
  <si>
    <t>Eliomar Jesús Escalona/Eventual Agregados 15/09 AL 21/09</t>
  </si>
  <si>
    <t>01-8080</t>
  </si>
  <si>
    <t>José Guillermo Cortez/Eventual Agregados 15/09 AL 21/09</t>
  </si>
  <si>
    <t>01-8081</t>
  </si>
  <si>
    <t>Darwuin Jesús Bullones/Eventual Agregados 15/09 AL 21/09</t>
  </si>
  <si>
    <t>01-8082</t>
  </si>
  <si>
    <t>Frank Armando García/Eventual Agregados 15/09 AL 21/09</t>
  </si>
  <si>
    <t>01-8083</t>
  </si>
  <si>
    <t>Alberto Luis Rojas/Eventual Agregados 15/09 AL 21/09</t>
  </si>
  <si>
    <t>01-8084</t>
  </si>
  <si>
    <t>Naiker Alexander Jimenez/Eventual Agregados 15/09 AL 21/09</t>
  </si>
  <si>
    <t>01-8085</t>
  </si>
  <si>
    <t>José Gregorio Perez/Eventual Agregados 15/09 AL 21/09</t>
  </si>
  <si>
    <t>01-8086</t>
  </si>
  <si>
    <t>Carlos Daniel Rodriguez/Eventual Agregados 15/09 AL 21/09</t>
  </si>
  <si>
    <t>01-8087</t>
  </si>
  <si>
    <t>Alejandro Morales/Eventual Agregados 15/09 AL 21/09</t>
  </si>
  <si>
    <t>01-8088</t>
  </si>
  <si>
    <t>Euber José Juarez/Eventual Agregados 15/09 AL 21/09</t>
  </si>
  <si>
    <t>01-8089</t>
  </si>
  <si>
    <t>Ali Alberto Bullones/Eventual Agregados 15/09 AL 21/09</t>
  </si>
  <si>
    <t>01-8090</t>
  </si>
  <si>
    <t>Alberto Ali Bullones/Eventual Agregados 15/09 AL 21/09</t>
  </si>
  <si>
    <t>01-8091</t>
  </si>
  <si>
    <t>Fernando José Rodriguez/Eventual Agregados 15/09 AL 21/09</t>
  </si>
  <si>
    <t>01-8092</t>
  </si>
  <si>
    <t>Bruno Ali Cordero Bullones/Eventual Agregados 15/09 AL 21/09</t>
  </si>
  <si>
    <t>01-8093</t>
  </si>
  <si>
    <t>Brunito Segundo Cordero/Eventual Agregados 15/09 AL 21/09</t>
  </si>
  <si>
    <t>01-8094</t>
  </si>
  <si>
    <t>Fareliz Arrieche/Eventual Gobernacion 15/09 AL 21/09</t>
  </si>
  <si>
    <t>01-8095</t>
  </si>
  <si>
    <t>Justiniano Rodriguez/Eventual Agregados 15/09 AL 21/09</t>
  </si>
  <si>
    <t>01-8096</t>
  </si>
  <si>
    <t>Armando Lopez /Eventual Agregados 15/09 AL 21/09</t>
  </si>
  <si>
    <t>01-8097</t>
  </si>
  <si>
    <t>Froilan Lopez/Eventual Agregados 15/09 AL 21/09</t>
  </si>
  <si>
    <t>01-8098</t>
  </si>
  <si>
    <t>Jesus Ramos/Eventual Gobernacion 15/09 AL 21/09</t>
  </si>
  <si>
    <t>01-8099</t>
  </si>
  <si>
    <t>Ramón Quintero/Eventual Agregados 15/09 AL 21/09</t>
  </si>
  <si>
    <t>01-8100</t>
  </si>
  <si>
    <t>Henrry Valera/Eventual Gobernacion 15/09 AL 21/09</t>
  </si>
  <si>
    <t>01-8101</t>
  </si>
  <si>
    <t>Juan López/Eventual Agregados 15/09 AL 21/09</t>
  </si>
  <si>
    <t>01-8102</t>
  </si>
  <si>
    <t>Exson Rodriguez/Eventual Gobernacion 15/09 AL 21/09</t>
  </si>
  <si>
    <t>01-8103</t>
  </si>
  <si>
    <t>Douglas Pimentel/Eventual Gobernacion 15/09 AL 21/09</t>
  </si>
  <si>
    <t>01-8104</t>
  </si>
  <si>
    <t>Pedro Castillo/Eventual Gobernacion 15/09 AL 21/09</t>
  </si>
  <si>
    <t>01-8105</t>
  </si>
  <si>
    <t>Miguel Torres/Eventual Gobernacion 15/09 AL 21/09</t>
  </si>
  <si>
    <t>01-8106</t>
  </si>
  <si>
    <t>Wendy Gimenez/Eventual Gobernacion 15/09 AL 21/09</t>
  </si>
  <si>
    <t>01-8107</t>
  </si>
  <si>
    <t>Nicolas Alvarez/Eventual Gobernacion 15/09 AL 21/09</t>
  </si>
  <si>
    <t>01-8108</t>
  </si>
  <si>
    <t>Rafael Puertas/Eventual Gobernacion 15/09 AL 21/09</t>
  </si>
  <si>
    <t>01-8109</t>
  </si>
  <si>
    <t>Carlos Pacheco/Eventual Gobernacion 15/09 AL 21/09</t>
  </si>
  <si>
    <t>01-8110</t>
  </si>
  <si>
    <t>Andrés Armella/Eventual Gobernacion 15/09 AL 21/09</t>
  </si>
  <si>
    <t>01-8111</t>
  </si>
  <si>
    <t>Jose Toledo/Eventual Gobernacion 15/09 AL 21/09</t>
  </si>
  <si>
    <t>01-8112</t>
  </si>
  <si>
    <t>Juan Pinto/Eventual Gobernacion 15/09 AL 21/09</t>
  </si>
  <si>
    <t>01-8113</t>
  </si>
  <si>
    <t>Edwin Rojas/Eventual Gobernacion 15/09 AL 21/09</t>
  </si>
  <si>
    <t>01-8114</t>
  </si>
  <si>
    <t>Argenis Flores/Eventual Megatech 15/09 AL 21/09</t>
  </si>
  <si>
    <t>01-8115</t>
  </si>
  <si>
    <t>Walner Oviedo/Eventual Megatech 15/09 AL 21/09</t>
  </si>
  <si>
    <t>01-8116</t>
  </si>
  <si>
    <t>Alirio Parra/Eventual Gobernacion 15/09 AL 21/09</t>
  </si>
  <si>
    <t>01-8117</t>
  </si>
  <si>
    <t>Yonny Castillo/Eventual Megatech 15/09 AL 21/09</t>
  </si>
  <si>
    <t>01-8118</t>
  </si>
  <si>
    <t>Francisco Castillo/Eventual Megatech 15/09 AL 21/09</t>
  </si>
  <si>
    <t>01-8119</t>
  </si>
  <si>
    <t>Antonio Castillo/Eventual Megatech 15/09 AL 21/09</t>
  </si>
  <si>
    <t>01-8120</t>
  </si>
  <si>
    <t>Jose Guevara/Eventual Megatech 15/09 AL 21/09</t>
  </si>
  <si>
    <t>01-8121</t>
  </si>
  <si>
    <t>Edwuard Almeida/Eventual Megatech 15/09 AL 21/09</t>
  </si>
  <si>
    <t>01-8122</t>
  </si>
  <si>
    <t>Angel Caldera/Eventual Gobernacion 15/09 AL 21/09</t>
  </si>
  <si>
    <t>01-8123</t>
  </si>
  <si>
    <t>Jose Castillo/Eventual Megatech 15/09 AL 21/09</t>
  </si>
  <si>
    <t>01-8124</t>
  </si>
  <si>
    <t>Fares Arrieche/Eventual Megatech 15/09 AL 21/09</t>
  </si>
  <si>
    <t>01-8125</t>
  </si>
  <si>
    <t>Carlos Lopez/Eventual Agregados 15/09 AL 21/09</t>
  </si>
  <si>
    <t>01-8126</t>
  </si>
  <si>
    <t>Elvis Valles/Eventual Megatech 15/09 AL 21/09</t>
  </si>
  <si>
    <t>01-8127</t>
  </si>
  <si>
    <t>Estebez Maramara/Eventual Agregados 15/09 AL 21/09</t>
  </si>
  <si>
    <t>01-8128</t>
  </si>
  <si>
    <t>Rafael Quiroz/Eventual Gobernacion 15/09 AL 21/09</t>
  </si>
  <si>
    <t>01-8129</t>
  </si>
  <si>
    <t>Luis Silveiro Colon Ojeda/Eventual Agregados 15/09 AL 21/09</t>
  </si>
  <si>
    <t>01-8130</t>
  </si>
  <si>
    <t>Emperatriz Leon/Eventual Megatech 15/09 AL 21/09</t>
  </si>
  <si>
    <t>01-8131</t>
  </si>
  <si>
    <t>01-8132</t>
  </si>
  <si>
    <t>Omar Torrealba/Eventual Megatech 15/09 AL 21/09</t>
  </si>
  <si>
    <t>01-8133</t>
  </si>
  <si>
    <t>Carlos Castillo/Eventual Megatech 15/09 AL 21/09</t>
  </si>
  <si>
    <t>01-8134</t>
  </si>
  <si>
    <t>Julian Guedez/Eventual Megatech 15/09 AL 21/09</t>
  </si>
  <si>
    <t>01-8135</t>
  </si>
  <si>
    <t>Norys Ramos/Eventual Megatech 15/09 AL 21/09</t>
  </si>
  <si>
    <t>01-8136</t>
  </si>
  <si>
    <t>Yordis Almao/Eventual Megatech 15/09 AL 21/09</t>
  </si>
  <si>
    <t>01-8137</t>
  </si>
  <si>
    <t>Alirio Parra/Eventual Megatech 15/09 AL 21/09</t>
  </si>
  <si>
    <t>01-8138</t>
  </si>
  <si>
    <t>Victor Mendez/Eventual Megatech 15/09 AL 21/09</t>
  </si>
  <si>
    <t>01-8139</t>
  </si>
  <si>
    <t>Carlos Loyo/Eventual Megatech 15/09 AL 21/09</t>
  </si>
  <si>
    <t>01-8140</t>
  </si>
  <si>
    <t>Yerry Rodríguez/Eventual Megatech 15/09 AL 21/09</t>
  </si>
  <si>
    <t>01-8141</t>
  </si>
  <si>
    <t>Fareliz Arrieche/Eventual Megatech 15/09 AL 21/09</t>
  </si>
  <si>
    <t>01-8142</t>
  </si>
  <si>
    <t>Alberto Loyo/Eventual Megatech 15/09 AL 21/09</t>
  </si>
  <si>
    <t>01-8143</t>
  </si>
  <si>
    <t>Elio Malpica/Eventual Megatech 15/09 AL 21/09</t>
  </si>
  <si>
    <t>01-8144</t>
  </si>
  <si>
    <t>Ruben Rivas/Eventual Megatech 15/09 AL 21/09</t>
  </si>
  <si>
    <t>01-8145</t>
  </si>
  <si>
    <t>Alexander Castillo/Eventual Megatech 15/09 AL 21/09</t>
  </si>
  <si>
    <t>01-8146</t>
  </si>
  <si>
    <t>Ingrid Reyes/Eventual Megatech 15/09 AL 21/09</t>
  </si>
  <si>
    <t>01-8147</t>
  </si>
  <si>
    <t>01-8148</t>
  </si>
  <si>
    <t>01-8149</t>
  </si>
  <si>
    <t>01-8150</t>
  </si>
  <si>
    <t>MATERIALES STA LUCIA/FACT 6009/CEMENTERO-PISO DE CONCRETO</t>
  </si>
  <si>
    <t>01-8151</t>
  </si>
  <si>
    <t>FARELIS/GASOLINA VEHICULO GERENTE</t>
  </si>
  <si>
    <t>01-8152</t>
  </si>
  <si>
    <t>12-190925</t>
  </si>
  <si>
    <t>01-8153</t>
  </si>
  <si>
    <t>RAFAEL MORILLO/CAMPAÑA D/YESO CALIZA  15/09 AL 19/09</t>
  </si>
  <si>
    <t>01-8154</t>
  </si>
  <si>
    <t>LINO FLORES/CAMPAÑA D/YESO CALIZA  15/09 AL 19/09</t>
  </si>
  <si>
    <t>01-8155</t>
  </si>
  <si>
    <t>JEFERSON DAVILA/CAMPAÑA D/YESO CALIZA  15/09 AL 19/09</t>
  </si>
  <si>
    <t>01-8156</t>
  </si>
  <si>
    <t>DANNY URRUTIA/CAMPAÑA D/YESO CALIZA  15/09 AL 19/09</t>
  </si>
  <si>
    <t>01-8157</t>
  </si>
  <si>
    <t>ROBERT ARIAS/CAMPAÑA D/YESO CALIZA  15/09 AL 19/09</t>
  </si>
  <si>
    <t>01-8158</t>
  </si>
  <si>
    <t>BEATRIZ CASTILLO/CAMPAÑA D/YESO CALIZA  15/09 AL 19/09</t>
  </si>
  <si>
    <t>01-8159</t>
  </si>
  <si>
    <t>RAFAEL QUIROZ/CAMPAÑA D/YESO CALIZA  15/09 AL 19/09-OPERADOR</t>
  </si>
  <si>
    <t>01-8160</t>
  </si>
  <si>
    <t>YOHAN GUANIPA/COMIDA-CAMPAÑA D/YESO CALIZA  15/09 AL 19/09</t>
  </si>
  <si>
    <t>01-8161</t>
  </si>
  <si>
    <t>OLGA OROZCO/HOSPEDAJE-CAMPAÑA D/YESO CALIZA  15/09 AL 19/09</t>
  </si>
  <si>
    <t>01-8162</t>
  </si>
  <si>
    <t>VULCANIZADORA/FACT 1689/REP CAUCHO CAMION KAMAZ-P/CEMENTO</t>
  </si>
  <si>
    <t>01-8163</t>
  </si>
  <si>
    <t>01-8164</t>
  </si>
  <si>
    <t xml:space="preserve">COMERCIALIZADORA/INVERSION DE CAPITAL/TESORO </t>
  </si>
  <si>
    <t>01-8165</t>
  </si>
  <si>
    <t>FERRENOVA/FACT 2174/INSTALAC TANQUE GASOIL-MINERALES YARACUY</t>
  </si>
  <si>
    <t>01-8166</t>
  </si>
  <si>
    <t>PROCESADA EN OCTUBRE</t>
  </si>
  <si>
    <t>CORPORACION DIGIPRO/FACT 330/IMPRESORA MULRIFUNCIONAL -MINERALES</t>
  </si>
  <si>
    <t>01-8167</t>
  </si>
  <si>
    <t>01-8168</t>
  </si>
  <si>
    <t>01-8169</t>
  </si>
  <si>
    <t xml:space="preserve">SIMECA/ADELANT FACT/MANO OBRA IMPUESTO </t>
  </si>
  <si>
    <t>01-8170</t>
  </si>
  <si>
    <t>REMI/FACT 324/MATERIALES P/TANQUE GASOIL MINERALES</t>
  </si>
  <si>
    <t>01-8171</t>
  </si>
  <si>
    <t>FERRETORNILLO/FACT 8957/TORNILLO LUBRICACION</t>
  </si>
  <si>
    <t>01-8172</t>
  </si>
  <si>
    <t>REMI/FACT 321/MATERIALES P/TANQUE GASOIL-MINERALES</t>
  </si>
  <si>
    <t>01-8173</t>
  </si>
  <si>
    <t>FACT 143/MENSUALIDAD SATELITAL</t>
  </si>
  <si>
    <t>01-8174</t>
  </si>
  <si>
    <t>FACT 142/MENSUALIDAD SATELITAL</t>
  </si>
  <si>
    <t>01-8175</t>
  </si>
  <si>
    <t>01-8176</t>
  </si>
  <si>
    <t>01-8177</t>
  </si>
  <si>
    <t>GLOBAL ACERO/FACT 85/ARRIOSTRAMIENTO ESCTRUCT P/CERRAMIENTO BANDA</t>
  </si>
  <si>
    <t>01-8178</t>
  </si>
  <si>
    <t>PROCESADA EN OCTRUBRE</t>
  </si>
  <si>
    <t>01-8179</t>
  </si>
  <si>
    <t>01-8180</t>
  </si>
  <si>
    <t>AIR SYSTEM/FACT 91/VENTA DE BLOQUES/ARENA CERNIDA</t>
  </si>
  <si>
    <t>01-8181</t>
  </si>
  <si>
    <t>VENTA DE BLOQUES CONCRETO/ARENA CERNIDA</t>
  </si>
  <si>
    <t>01-8182</t>
  </si>
  <si>
    <t>01-8183</t>
  </si>
  <si>
    <t>01-8184</t>
  </si>
  <si>
    <t>Delios Adolfo Ferrara/Eventual Agregados 22/09 AL 28/09</t>
  </si>
  <si>
    <t>01-8185</t>
  </si>
  <si>
    <t>Eliomar Jesús Escalona/Eventual Agregados 22/09 AL 28/09</t>
  </si>
  <si>
    <t>01-8186</t>
  </si>
  <si>
    <t>Federico Faneite/Eventual Gobernacion 22/09 AL 28/09</t>
  </si>
  <si>
    <t>01-8187</t>
  </si>
  <si>
    <t>José Guillermo Cortez/Eventual Agregados 22/09 AL 28/09</t>
  </si>
  <si>
    <t>01-8188</t>
  </si>
  <si>
    <t>Darwuin Jesús Bullones/Eventual Agregados 22/09 AL 28/09</t>
  </si>
  <si>
    <t>01-8189</t>
  </si>
  <si>
    <t>Frank Armando García/Eventual Agregados 22/09 AL 28/09</t>
  </si>
  <si>
    <t>01-8190</t>
  </si>
  <si>
    <t>Alberto Luis Rojas/Eventual Agregados 22/09 AL 28/09</t>
  </si>
  <si>
    <t>01-8191</t>
  </si>
  <si>
    <t>Naiker Alexander Jimenez/Eventual Agregados 22/09 AL 28/09</t>
  </si>
  <si>
    <t>01-8192</t>
  </si>
  <si>
    <t>José Gregorio Perez/Eventual Agregados 22/09 AL 28/09</t>
  </si>
  <si>
    <t>01-8193</t>
  </si>
  <si>
    <t>Carlos Daniel Rodriguez/Eventual Agregados 22/09 AL 28/09</t>
  </si>
  <si>
    <t>01-8194</t>
  </si>
  <si>
    <t>Alejandro Morales/Eventual Agregados 22/09 AL 28/09</t>
  </si>
  <si>
    <t>01-8195</t>
  </si>
  <si>
    <t>Euber José Juarez/Eventual Agregados 22/09 AL 28/09</t>
  </si>
  <si>
    <t>01-8196</t>
  </si>
  <si>
    <t>Ali Alberto Bullones/Eventual Agregados 22/09 AL 28/09</t>
  </si>
  <si>
    <t>01-8197</t>
  </si>
  <si>
    <t>Alberto Ali Bullones/Eventual Agregados 22/09 AL 28/09</t>
  </si>
  <si>
    <t>01-8198</t>
  </si>
  <si>
    <t>Fernando José Rodriguez/Eventual Agregados 22/09 AL 28/09</t>
  </si>
  <si>
    <t>01-8199</t>
  </si>
  <si>
    <t>Bruno Ali Cordero Bullones/Eventual Agregados 22/09 AL 28/09</t>
  </si>
  <si>
    <t>01-8200</t>
  </si>
  <si>
    <t>Brunito Segundo Cordero/Eventual Agregados 22/09 AL 28/09</t>
  </si>
  <si>
    <t>01-8201</t>
  </si>
  <si>
    <t>Fareliz Arrieche/Eventual Gobernacion 22/09 AL 28/09</t>
  </si>
  <si>
    <t>01-8202</t>
  </si>
  <si>
    <t>Justiniano Rodriguez/Eventual Agregados 22/09 AL 28/09</t>
  </si>
  <si>
    <t>01-8203</t>
  </si>
  <si>
    <t>Armando Lopez /Eventual Agregados 22/09 AL 28/09</t>
  </si>
  <si>
    <t>01-8204</t>
  </si>
  <si>
    <t>Froilan Lopez/Eventual Agregados 22/09 AL 28/09</t>
  </si>
  <si>
    <t>01-8205</t>
  </si>
  <si>
    <t>Ramón Quintero/Eventual Agregados 22/09 AL 28/09</t>
  </si>
  <si>
    <t>01-8206</t>
  </si>
  <si>
    <t>Jesus Ramos/Eventual Gobernacion 22/09 AL 28/09</t>
  </si>
  <si>
    <t>01-8207</t>
  </si>
  <si>
    <t>Exson Rodriguez/Eventual Gobernacion 22/09 AL 28/09</t>
  </si>
  <si>
    <t>01-8208</t>
  </si>
  <si>
    <t>Henrry Valera/Eventual Gobernacion 22/09 AL 28/09</t>
  </si>
  <si>
    <t>01-8209</t>
  </si>
  <si>
    <t>Juan López/Eventual Agregados 22/09 AL 28/09</t>
  </si>
  <si>
    <t>01-8210</t>
  </si>
  <si>
    <t>Nicolas Alvarez/Eventual Gobernacion 22/09 AL 28/09</t>
  </si>
  <si>
    <t>01-8211</t>
  </si>
  <si>
    <t>Douglas Pimentel/Eventual Gobernacion 22/09 AL 28/09</t>
  </si>
  <si>
    <t>01-8212</t>
  </si>
  <si>
    <t>Rafael Puertas/Eventual Gobernacion 22/09 AL 28/09</t>
  </si>
  <si>
    <t>01-8213</t>
  </si>
  <si>
    <t>Carlos Pacheco/Eventual Gobernacion 22/09 AL 28/09</t>
  </si>
  <si>
    <t>01-8214</t>
  </si>
  <si>
    <t>Andrés Armella/Eventual Gobernacion 22/09 AL 28/09</t>
  </si>
  <si>
    <t>01-8215</t>
  </si>
  <si>
    <t>Alirio Parra/Eventual Gobernacion 22/09 AL 28/09</t>
  </si>
  <si>
    <t>01-8216</t>
  </si>
  <si>
    <t>Argenis Flores/Eventual Megatech 22/09 AL 28/09</t>
  </si>
  <si>
    <t>01-8217</t>
  </si>
  <si>
    <t>Angel Caldera/Eventual Gobernacion 22/09 AL 28/09</t>
  </si>
  <si>
    <t>01-8218</t>
  </si>
  <si>
    <t>Luis Silveiro Colon Ojeda/Eventual Agregados 22/09 AL 28/09</t>
  </si>
  <si>
    <t>01-8219</t>
  </si>
  <si>
    <t>Jose Toledo/Eventual Gobernacion 22/09 AL 28/09</t>
  </si>
  <si>
    <t>01-8220</t>
  </si>
  <si>
    <t>Estebez Maramara/Eventual Agregados 22/09 AL 28/09</t>
  </si>
  <si>
    <t>01-8221</t>
  </si>
  <si>
    <t>Rafael Quiroz/Eventual Gobernacion 22/09 AL 28/09</t>
  </si>
  <si>
    <t>01-8222</t>
  </si>
  <si>
    <t>Walner Oviedo/Eventual Megatech 22/09 AL 28/09</t>
  </si>
  <si>
    <t>01-8223</t>
  </si>
  <si>
    <t>Pedro Castillo/Eventual Gobernacion 22/09 AL 28/09</t>
  </si>
  <si>
    <t>01-8224</t>
  </si>
  <si>
    <t>Juan Pinto/Eventual Gobernacion 22/09 AL 28/09</t>
  </si>
  <si>
    <t>01-8225</t>
  </si>
  <si>
    <t>Miguel Torres/Eventual Gobernacion 22/09 AL 28/09</t>
  </si>
  <si>
    <t>01-8226</t>
  </si>
  <si>
    <t>Wendy Gimenez/Eventual Gobernacion 22/09 AL 28/09</t>
  </si>
  <si>
    <t>01-8227</t>
  </si>
  <si>
    <t>Yonny Castillo/Eventual Megatech 22/09 AL 28/09</t>
  </si>
  <si>
    <t>01-8228</t>
  </si>
  <si>
    <t>Antonio Castillo/Eventual Megatech 22/09 AL 28/09</t>
  </si>
  <si>
    <t>01-8229</t>
  </si>
  <si>
    <t>Jose Guevara/Eventual Megatech 22/09 AL 28/09</t>
  </si>
  <si>
    <t>01-8230</t>
  </si>
  <si>
    <t>Jose Castillo/Eventual Megatech 22/09 AL 28/09</t>
  </si>
  <si>
    <t>01-8231</t>
  </si>
  <si>
    <t>Francisco Castillo/Eventual Megatech 22/09 AL 28/09</t>
  </si>
  <si>
    <t>01-8232</t>
  </si>
  <si>
    <t>Elvis Valles/Eventual Megatech 22/09 AL 28/09</t>
  </si>
  <si>
    <t>01-8233</t>
  </si>
  <si>
    <t>Edwin Rojas/Eventual Gobernacion 22/09 AL 28/09</t>
  </si>
  <si>
    <t>01-8234</t>
  </si>
  <si>
    <t>01-8235</t>
  </si>
  <si>
    <t>Omar Torrealba/Eventual Megatech 22/09 AL 28/09</t>
  </si>
  <si>
    <t>01-8236</t>
  </si>
  <si>
    <t>Edwuard Almeida/Eventual Megatech 22/09 AL 28/09</t>
  </si>
  <si>
    <t>01-8237</t>
  </si>
  <si>
    <t>Norys Ramos/Eventual Megatech 22/09 AL 28/09</t>
  </si>
  <si>
    <t>01-8238</t>
  </si>
  <si>
    <t>Yerry Rodríguez/Eventual Megatech 22/09 AL 28/09</t>
  </si>
  <si>
    <t>01-8239</t>
  </si>
  <si>
    <t>Elio Malpica/Eventual Megatech 22/09 AL 28/09</t>
  </si>
  <si>
    <t>01-8240</t>
  </si>
  <si>
    <t>Alirio Parra/Eventual Megatech 22/09 AL 28/09</t>
  </si>
  <si>
    <t>01-8241</t>
  </si>
  <si>
    <t>Ruben Rivas/Eventual Megatech 22/09 AL 28/09</t>
  </si>
  <si>
    <t>01-8242</t>
  </si>
  <si>
    <t>Fareliz Arrieche/Eventual Megatech 22/09 AL 28/09</t>
  </si>
  <si>
    <t>01-8243</t>
  </si>
  <si>
    <t>Carlos Lopez/Eventual Agregados 22/09 AL 28/09</t>
  </si>
  <si>
    <t>01-8244</t>
  </si>
  <si>
    <t>Emperatriz Leon/Eventual Megatech 22/09 AL 28/09</t>
  </si>
  <si>
    <t>01-8245</t>
  </si>
  <si>
    <t>Julian Guedez/Eventual Megatech 22/09 AL 28/09</t>
  </si>
  <si>
    <t>01-8246</t>
  </si>
  <si>
    <t>Fares Arrieche/Eventual Megatech 22/09 AL 28/09</t>
  </si>
  <si>
    <t>01-8247</t>
  </si>
  <si>
    <t>Yordis Almao/Eventual Megatech 22/09 AL 28/09</t>
  </si>
  <si>
    <t>01-8248</t>
  </si>
  <si>
    <t>Victor Mendez/Eventual Megatech 22/09 AL 28/09</t>
  </si>
  <si>
    <t>01-8249</t>
  </si>
  <si>
    <t>Carlos Loyo/Eventual Megatech 22/09 AL 28/09</t>
  </si>
  <si>
    <t>01-8250</t>
  </si>
  <si>
    <t>Alberto Loyo/Eventual Megatech 22/09 AL 28/09</t>
  </si>
  <si>
    <t>01-8251</t>
  </si>
  <si>
    <t>Carlos Castillo/Eventual Megatech 22/09 AL 28/09</t>
  </si>
  <si>
    <t>01-8252</t>
  </si>
  <si>
    <t>Alexander Castillo/Eventual Megatech 22/09 AL 28/09</t>
  </si>
  <si>
    <t>01-8253</t>
  </si>
  <si>
    <t>01-8254</t>
  </si>
  <si>
    <t>01-8255</t>
  </si>
  <si>
    <t>01-8256</t>
  </si>
  <si>
    <t>SUMINISTRO INDUSTR OESTE/FACT 125/INVERS CABLE 20AWG INSTAL CAMARA SEGURIDAD -MINERALES</t>
  </si>
  <si>
    <t>01-8257</t>
  </si>
  <si>
    <t>01-8258</t>
  </si>
  <si>
    <t>01-8259</t>
  </si>
  <si>
    <t>JOSE GONZALEZ/FACT 92/VENTA DE ARENA CERNIDA</t>
  </si>
  <si>
    <t>01-8260</t>
  </si>
  <si>
    <t>01-8261</t>
  </si>
  <si>
    <t>MATERIALES OBRA GRIS/FACT 93/VENTA DE ARENA CERNIDA</t>
  </si>
  <si>
    <t>01-8262</t>
  </si>
  <si>
    <t>COM.PAT WEB-0163 4125907628</t>
  </si>
  <si>
    <t>01-8263</t>
  </si>
  <si>
    <t>RESGUARDO/FACT 266/SERV VIGILANCIA 2QUINCENA-MINERALES</t>
  </si>
  <si>
    <t>01-8264</t>
  </si>
  <si>
    <t>01-8265</t>
  </si>
  <si>
    <t>AGRO TENDENCIAS/FACT 96/VENTA RIPIO P/LEGUMINOSA</t>
  </si>
  <si>
    <t>01-8266</t>
  </si>
  <si>
    <t xml:space="preserve">VENTA DE RIPIO </t>
  </si>
  <si>
    <t>TRANSPORTE/FACT 97/VENTA CEMENTO GRANEL/CANTO RODADO/ARENA CERNIDAD/BLOQUES</t>
  </si>
  <si>
    <t>01-8267</t>
  </si>
  <si>
    <t>VENTA CEMENTO GRANEL/CNTO RODADO/ARENA CERNIDA/BLOQUES CONCRETO</t>
  </si>
  <si>
    <t>AGROPECUARIA/FACT 94/VENTA DE ARENA CERNIDA/CANTO RODADO</t>
  </si>
  <si>
    <t>01-8268</t>
  </si>
  <si>
    <t>VENTA DE ARENA CERNIDA/CANTO RODADO</t>
  </si>
  <si>
    <t>LUZBARDO/FACT 0123/REPA MAQUINA P/SOLDAR-MEGATECH</t>
  </si>
  <si>
    <t>01-8269</t>
  </si>
  <si>
    <t>01-8270</t>
  </si>
  <si>
    <t>FERRETERIA REMI/FACT 334/VIGAS P/REPARACION TECHO SILO 1 MATERIA PRIMA P/CEMENTO</t>
  </si>
  <si>
    <t>01-8271</t>
  </si>
  <si>
    <t>01-8272</t>
  </si>
  <si>
    <t>01-8273</t>
  </si>
  <si>
    <t>REVERON,RAMON/BONO SUBSIDIO 30-09-25/OPE MINER</t>
  </si>
  <si>
    <t>01-8274</t>
  </si>
  <si>
    <t>SEGURA,WAILEN/BONO SUBSIDIO 30-09-25/OPE MINER</t>
  </si>
  <si>
    <t>01-8275</t>
  </si>
  <si>
    <t>RANGEL,GUSTAVO/BONO SUBSIDIO 30-09-25/ADM CEMENT</t>
  </si>
  <si>
    <t>01-8276</t>
  </si>
  <si>
    <t>MARTINEZ,JUAN RAMON/BONO SUBSIDIO 30-09-25/OPE MINER</t>
  </si>
  <si>
    <t>01-8277</t>
  </si>
  <si>
    <t>GARCIA,JASON /BONO SUBSIDIO 30-09-25/OPE MINER</t>
  </si>
  <si>
    <t>01-8278</t>
  </si>
  <si>
    <t>PEREZ,CARLOS/BONO SUBSIDIO 30-09-25/OPE MINER</t>
  </si>
  <si>
    <t>01-8279</t>
  </si>
  <si>
    <t>LINAREZ,PEDRO/BONO SUBSIDIO 30-09-25/OPE MINER</t>
  </si>
  <si>
    <t>01-8280</t>
  </si>
  <si>
    <t>GUTIERREZ,PRESCILIANO/BONO SUBSIDIO 30-09-25/OPE MINER</t>
  </si>
  <si>
    <t>01-8281</t>
  </si>
  <si>
    <t>RAGA,NELIDO/BONO SUBSIDIO 15-09-2025/ADM MINER</t>
  </si>
  <si>
    <t>01-8282</t>
  </si>
  <si>
    <t>VIELMA,CARLEN/BONO SUBSIDIO 30-09-25/ADM CEMENT</t>
  </si>
  <si>
    <t>01-8283</t>
  </si>
  <si>
    <t>SUAREZ,LEONARDO/BONO SUBSIDIO 30-09-25/OPE MINER</t>
  </si>
  <si>
    <t>01-8284</t>
  </si>
  <si>
    <t>RIVERO,JORGE LUIS/BONO SUBSIDIO 30-09-25/ADM MINER</t>
  </si>
  <si>
    <t>01-8285</t>
  </si>
  <si>
    <t>VETANCOURT,BLIXANDER/BONO SUBSIDIO 30-09-25/ADM MINER</t>
  </si>
  <si>
    <t>01-8286</t>
  </si>
  <si>
    <t>RODRIGUEZ,MIGUEL/BONO SUBSIDIO 30-09-25/OPE MINER</t>
  </si>
  <si>
    <t>01-8287</t>
  </si>
  <si>
    <t>LINAREZ,SANTIAGO/BONO SUBSIDIO 30-09-25/OPE MINER</t>
  </si>
  <si>
    <t>01-8288</t>
  </si>
  <si>
    <t>BASTIDAS,JOSE/BONO SUBSIDIO 30-09-25/OPE MINER</t>
  </si>
  <si>
    <t>01-8289</t>
  </si>
  <si>
    <t>CHIRINOS,RAFAEL/BONO SUBSIDIO 30-09-25/OPE MINER</t>
  </si>
  <si>
    <t>01-8290</t>
  </si>
  <si>
    <t>ALEJOS,RODOLFO /BONO SUBSIDIO 30-09-25/OPE MINER</t>
  </si>
  <si>
    <t>01-8291</t>
  </si>
  <si>
    <t>DAZA,VICTOR /BONO SUBSIDIO 30-09-25/OPE MINER</t>
  </si>
  <si>
    <t>01-8292</t>
  </si>
  <si>
    <t>RANGEL,GUSTAVO/BONO COMPL 30-09-25/ADM CEMENT</t>
  </si>
  <si>
    <t>01-8293</t>
  </si>
  <si>
    <t>JOSE ARRIETA/BONIFICACION GOBER 30-09-25</t>
  </si>
  <si>
    <t>01-8294</t>
  </si>
  <si>
    <t>REVERON,RAMON/BONO COMPL 30-09-25/OPE MINER</t>
  </si>
  <si>
    <t>01-8295</t>
  </si>
  <si>
    <t>GREGORIO CASTILLO/BONIFICACION GOBER 30-09-25</t>
  </si>
  <si>
    <t>01-8296</t>
  </si>
  <si>
    <t>ARMANDO VILLEGAS/BONIFICACION GOBER 30-09-25</t>
  </si>
  <si>
    <t>01-8297</t>
  </si>
  <si>
    <t>PEREZ,JOSE/BONO COMPL 30-09-25/OPE MINER</t>
  </si>
  <si>
    <t>01-8298</t>
  </si>
  <si>
    <t>GUEDEZ,YIRMER/BONO COMPL 30-09-25/OPE MINER</t>
  </si>
  <si>
    <t>01-8299</t>
  </si>
  <si>
    <t>LOPEZ,MANOLO/BONO COMPL 30-09-25/OPE MINER</t>
  </si>
  <si>
    <t>01-8300</t>
  </si>
  <si>
    <t>GARCIA,JASON /BONO COMPL 30-09-25/OPE MINER</t>
  </si>
  <si>
    <t>01-8301</t>
  </si>
  <si>
    <t>MARTINEZ,JUAN RAMON/BONO COMPL 30-09-25/OPE MINER</t>
  </si>
  <si>
    <t>01-8302</t>
  </si>
  <si>
    <t>PEREZ,CARLOS/BONO COMPL 30-09-25/OPE MINER</t>
  </si>
  <si>
    <t>01-8303</t>
  </si>
  <si>
    <t>SEGURA,WAILEN/BONO COMPL 30-09-25/OPE MINER</t>
  </si>
  <si>
    <t>01-8304</t>
  </si>
  <si>
    <t>LINAREZ,PEDRO/BONO COMPL 30-09-25/OPE MINER</t>
  </si>
  <si>
    <t>01-8305</t>
  </si>
  <si>
    <t>ALVARADO,EDID/BONO COMPL 30-09-25/OPE MINER</t>
  </si>
  <si>
    <t>01-8306</t>
  </si>
  <si>
    <t>GUTIERREZ,PRESCILIANO/BONO COMPL 30-09-25/OPE MINER</t>
  </si>
  <si>
    <t>01-8307</t>
  </si>
  <si>
    <t>VIELMA,CARLEN/BONO COMPL 30-09-25/ADM CEMENT</t>
  </si>
  <si>
    <t>01-8308</t>
  </si>
  <si>
    <t>GUEDEZ,JOSE/BONO COMPL 30-09-25/OPE MINER</t>
  </si>
  <si>
    <t>01-8309</t>
  </si>
  <si>
    <t>GOMEZ,ARGENIS/BONO COMPL 30-09-25/OPE MINER</t>
  </si>
  <si>
    <t>01-8310</t>
  </si>
  <si>
    <t>01-8311</t>
  </si>
  <si>
    <t>NOGUERA,OSCAR/BONO COMPL 30-09-25/ADM MINER</t>
  </si>
  <si>
    <t>01-8312</t>
  </si>
  <si>
    <t>SUAREZ,LEONARDO/BONO COMPL 30-09-25/OPE MINER</t>
  </si>
  <si>
    <t>01-8313</t>
  </si>
  <si>
    <t>RIVERO,JORGE LUIS/BONO COMPL 30-09-25/ADM MINER</t>
  </si>
  <si>
    <t>01-8314</t>
  </si>
  <si>
    <t>PARADA,KEIBY/BONO COMPL 30-09-25/OPE MINER</t>
  </si>
  <si>
    <t>01-8315</t>
  </si>
  <si>
    <t>RODRIGUEZ,MIGUEL/BONO COMPL 30-09-25/OPE MINER</t>
  </si>
  <si>
    <t>01-8316</t>
  </si>
  <si>
    <t>ALMAO,GENESIS/BONO COMPL 30-09-25/ADM MINER</t>
  </si>
  <si>
    <t>01-8317</t>
  </si>
  <si>
    <t>RODRIGUEZ,ANSONNY/BONO COMPL 30-09-25/ADM MINER</t>
  </si>
  <si>
    <t>01-8318</t>
  </si>
  <si>
    <t>ROJAS,MARIA/BONO COMPL 30-09-25/OPE MINER</t>
  </si>
  <si>
    <t>01-8319</t>
  </si>
  <si>
    <t>MENDOZA,ANTONY/BONO COMPL 30-09-25/ADM MINER</t>
  </si>
  <si>
    <t>01-8320</t>
  </si>
  <si>
    <t>SOTELDO,LUSMAR/BONO COMPL 30-09-25/OPE MINER</t>
  </si>
  <si>
    <t>01-8321</t>
  </si>
  <si>
    <t>QUERALES,EDIXON/BONO COMPL 30-09-25/OPE MINER</t>
  </si>
  <si>
    <t>01-8322</t>
  </si>
  <si>
    <t>VETANCOURT,BLIXANDER/BONO COMPL 30-09-25/ADM MINER</t>
  </si>
  <si>
    <t>01-8323</t>
  </si>
  <si>
    <t>QUERALES,HERMES/BONO COMPL 30-09-25/OPE MINER</t>
  </si>
  <si>
    <t>01-8324</t>
  </si>
  <si>
    <t>LINAREZ,SANTIAGO/BONO COMPL 30-09-25/OPE MINER</t>
  </si>
  <si>
    <t>01-8325</t>
  </si>
  <si>
    <t>DURAN,MARIA/BONO COMPL 30-09-25/ADM MINER</t>
  </si>
  <si>
    <t>01-8326</t>
  </si>
  <si>
    <t>CHIRINOS,RAFAEL/BONO COMPL 30-09-25/OPE MINER</t>
  </si>
  <si>
    <t>01-8327</t>
  </si>
  <si>
    <t>ALEJOS,RODOLFO /BONO COMPL 30-09-25/OPE MINER</t>
  </si>
  <si>
    <t>01-8328</t>
  </si>
  <si>
    <t>BASTIDAS,JOSE/BONO COMPL 30-09-25/OPE MINER</t>
  </si>
  <si>
    <t>01-8329</t>
  </si>
  <si>
    <t>RANGEL,GUSTAVO/BONO ADICIONAL 30-09-25/ADM CEMENT</t>
  </si>
  <si>
    <t>01-8330</t>
  </si>
  <si>
    <t>VIELMA,CARLEN/BONO ADICIONAL 30-09-25/ADM CEMENT</t>
  </si>
  <si>
    <t>01-8331</t>
  </si>
  <si>
    <t>DAZA,VICTOR /BONO COMPL 30-09-25/OPE MINER</t>
  </si>
  <si>
    <t>01-8332</t>
  </si>
  <si>
    <t>NOGUERA,OSCAR/BONO ADICIONAL 30-09-25/ADM MINER</t>
  </si>
  <si>
    <t>01-8333</t>
  </si>
  <si>
    <t>RODRIGUEZ,MIGUEL/BONO ADICIONAL 30-09-25/OPE MINER</t>
  </si>
  <si>
    <t>01-8334</t>
  </si>
  <si>
    <t>RANGEL,GUSTAVO/CESTA TICKET SEPTI/ADM CEMENT</t>
  </si>
  <si>
    <t>01-8335</t>
  </si>
  <si>
    <t>GUEDEZ,YIRMER/CESTA TICKET SEPTI/OPE MINER</t>
  </si>
  <si>
    <t>01-8336</t>
  </si>
  <si>
    <t>REVERON,RAMON/CESTA TICKET SEPTI/OPE MINER</t>
  </si>
  <si>
    <t>01-8337</t>
  </si>
  <si>
    <t>PEREZ,JOSE/CESTA TICKET SEPTI/OPE MINER</t>
  </si>
  <si>
    <t>01-8338</t>
  </si>
  <si>
    <t>LOPEZ,MANOLO/CESTA TICKET SEPTI/OPE MINER</t>
  </si>
  <si>
    <t>01-8339</t>
  </si>
  <si>
    <t>SEGURA,WAILEN/CESTA TICKET SEPTI/OPE MINER</t>
  </si>
  <si>
    <t>01-8340</t>
  </si>
  <si>
    <t>MARTINEZ,JUAN RAMON/CESTA TICKET SEPTI/OPE MINER</t>
  </si>
  <si>
    <t>01-8341</t>
  </si>
  <si>
    <t>GARCIA,JASON /CESTA TICKET SEPTI/OPE MINER</t>
  </si>
  <si>
    <t>01-8342</t>
  </si>
  <si>
    <t>PEREZ,CARLOS/CESTA TICKET SEPTI/OPE MINER</t>
  </si>
  <si>
    <t>01-8343</t>
  </si>
  <si>
    <t>ALVARADO,EDID/CESTA TICKET SEPTI/OPE MINER</t>
  </si>
  <si>
    <t>01-8344</t>
  </si>
  <si>
    <t>LINAREZ,PEDRO/CESTA TICKET SEPTI/OPE MINER</t>
  </si>
  <si>
    <t>01-8345</t>
  </si>
  <si>
    <t>GUTIERREZ,PRESCILIANO/CESTA TICKET SEPTI/OPE MINER</t>
  </si>
  <si>
    <t>01-8346</t>
  </si>
  <si>
    <t>VIELMA,CARLEN/CESTA TICKET SEPTI/ADM CEMENT</t>
  </si>
  <si>
    <t>01-8347</t>
  </si>
  <si>
    <t>GUEDEZ,JOSE/CESTA TICKET SEPTI/OPE MINER</t>
  </si>
  <si>
    <t>01-8348</t>
  </si>
  <si>
    <t>RAGA,NELIDO/CESTA TICKET SEPTI/ADM MINER</t>
  </si>
  <si>
    <t>01-8349</t>
  </si>
  <si>
    <t>NOGUERA,OSCAR/CESTA TICKET SEPTI/ADM MINER</t>
  </si>
  <si>
    <t>01-8350</t>
  </si>
  <si>
    <t>GOMEZ,ARGENIS/CESTA TICKET SEPTI/OPE MINER</t>
  </si>
  <si>
    <t>01-8351</t>
  </si>
  <si>
    <t>PARADA,KEIBY/CESTA TICKET SEPTI/OPE MINER</t>
  </si>
  <si>
    <t>01-8352</t>
  </si>
  <si>
    <t>SUAREZ,LEONARDO/CESTA TICKET SEPTI/OPE MINER</t>
  </si>
  <si>
    <t>01-8353</t>
  </si>
  <si>
    <t>RIVERO,JORGE LUIS/CESTA TICKET SEPTI/ADM MINER</t>
  </si>
  <si>
    <t>01-8354</t>
  </si>
  <si>
    <t>RODRIGUEZ,MIGUEL/CESTA TICKET SEPTI/OPE MINER</t>
  </si>
  <si>
    <t>01-8355</t>
  </si>
  <si>
    <t>RODRIGUEZ,ANSONNY/CESTA TICKET SEPTI/ADM MINER</t>
  </si>
  <si>
    <t>01-8356</t>
  </si>
  <si>
    <t>SOTELDO,LUSMAR/CESTA TICKET SEPTI/OPE MINER</t>
  </si>
  <si>
    <t>01-8357</t>
  </si>
  <si>
    <t>MENDOZA,ANTONY/CESTA TICKET SEPTI/ADM MINER</t>
  </si>
  <si>
    <t>01-8358</t>
  </si>
  <si>
    <t>ALMAO,GENESIS/CESTA TICKET SEPTI/ADM MINER</t>
  </si>
  <si>
    <t>01-8359</t>
  </si>
  <si>
    <t>ROJAS,MARIA/CESTA TICKET SEPTI/OPE MINER</t>
  </si>
  <si>
    <t>01-8360</t>
  </si>
  <si>
    <t>QUERALES,EDIXON/CESTA TICKET SEPTI/OPE MINER</t>
  </si>
  <si>
    <t>01-8361</t>
  </si>
  <si>
    <t>VETANCOURT,BLIXANDER/CESTA TICKET SEPTI/ADM MINER</t>
  </si>
  <si>
    <t>01-8362</t>
  </si>
  <si>
    <t>DURAN,MARIA/CESTA TICKET SEPTI/ADM MINER</t>
  </si>
  <si>
    <t>01-8363</t>
  </si>
  <si>
    <t>QUERALES,HERMES/CESTA TICKET SEPTI/OPE MINER</t>
  </si>
  <si>
    <t>01-8364</t>
  </si>
  <si>
    <t>LINAREZ,SANTIAGO/CESTA TICKET SEPTI/OPE MINER</t>
  </si>
  <si>
    <t>01-8365</t>
  </si>
  <si>
    <t>BASTIDAS,JOSE/CESTA TICKET SEPTI/OPE MINER</t>
  </si>
  <si>
    <t>01-8366</t>
  </si>
  <si>
    <t>CHIRINOS,RAFAEL/CESTA TICKET SEPTI/OPE MINER</t>
  </si>
  <si>
    <t>01-8367</t>
  </si>
  <si>
    <t>ALEJOS,RODOLFO /CESTA TICKET SEPTI/OPE MINER</t>
  </si>
  <si>
    <t>01-8368</t>
  </si>
  <si>
    <t>DAZA,VICTOR /CESTA TICKET SEPTI/OPE MINER</t>
  </si>
  <si>
    <t>01-8369</t>
  </si>
  <si>
    <t>RANGEL,GUSTAVO/NOMINA 30-09-25/ADM P-C</t>
  </si>
  <si>
    <t>01-8370</t>
  </si>
  <si>
    <t>GUEDEZ,YIRMER/NOMINA 30-09-25/OPE MINER</t>
  </si>
  <si>
    <t>01-8371</t>
  </si>
  <si>
    <t>GALEANO,FRANCISCO/CESTA TICKET SEPTI/OPE MINER</t>
  </si>
  <si>
    <t>01-8372</t>
  </si>
  <si>
    <t>REVERON,RAMON/NOMINA 30-09-25/OPE MINER</t>
  </si>
  <si>
    <t>01-8373</t>
  </si>
  <si>
    <t>PEREZ,JOSE/NOMINA 30-09-25/OPE MINER</t>
  </si>
  <si>
    <t>01-8374</t>
  </si>
  <si>
    <t>SEGURA,WAILEN/NOMINA 30-09-25/OPE MINER</t>
  </si>
  <si>
    <t>01-8375</t>
  </si>
  <si>
    <t>MARTINEZ,JUAN RAMON/NOMINA 30-09-25/OPE MINER</t>
  </si>
  <si>
    <t>01-8376</t>
  </si>
  <si>
    <t>LOPEZ,MANOLO/NOMINA 30-09-25/OPE MINER</t>
  </si>
  <si>
    <t>01-8377</t>
  </si>
  <si>
    <t>GARCIA,JASON /NOMINA 30-09-25/OPE MINER</t>
  </si>
  <si>
    <t>01-8378</t>
  </si>
  <si>
    <t>PEREZ,CARLOS/NOMINA 30-09-25/OPE MINER</t>
  </si>
  <si>
    <t>01-8379</t>
  </si>
  <si>
    <t>ALVARADO,EDID/NOMINA 30-09-25/OPE MINER</t>
  </si>
  <si>
    <t>01-8380</t>
  </si>
  <si>
    <t>LINAREZ,PEDRO/NOMINA 30-09-25/OPE MINER</t>
  </si>
  <si>
    <t>01-8381</t>
  </si>
  <si>
    <t>GUTIERREZ,PRESCILIANO/NOMINA 30-09-25/OPE MINER</t>
  </si>
  <si>
    <t>01-8382</t>
  </si>
  <si>
    <t>VIELMA,CARLEN/NOMINA 30-09-25/ADM CEMENT</t>
  </si>
  <si>
    <t>01-8383</t>
  </si>
  <si>
    <t>GUEDEZ,JOSE/NOMINA  30-09-25/OPE MINER</t>
  </si>
  <si>
    <t>01-8384</t>
  </si>
  <si>
    <t>01-8385</t>
  </si>
  <si>
    <t>NOGUERA,OSCAR/NOMINA 30-09-25/ADM MINER</t>
  </si>
  <si>
    <t>01-8386</t>
  </si>
  <si>
    <t>GOMEZ,ARGENIS/NOMINA 30-09-25/OPE MINER</t>
  </si>
  <si>
    <t>01-8387</t>
  </si>
  <si>
    <t>PARADA,KEIBY/NOMINA 30-09-25/OPE MINER</t>
  </si>
  <si>
    <t>01-8388</t>
  </si>
  <si>
    <t>SUAREZ,LEONARDO/NOMINA 30-09-25/OPE MINER</t>
  </si>
  <si>
    <t>01-8389</t>
  </si>
  <si>
    <t>RODRIGUEZ,MIGUEL/NOMINA 30-09-25/OPE MINER</t>
  </si>
  <si>
    <t>01-8390</t>
  </si>
  <si>
    <t>RODRIGUEZ,ANSONNY/NOMINA 30-09-25/ADM MINER</t>
  </si>
  <si>
    <t>01-8391</t>
  </si>
  <si>
    <t>SOTELDO,LUSMAR/NOMINA 30-09-25/OPE MINER</t>
  </si>
  <si>
    <t>01-8392</t>
  </si>
  <si>
    <t>ALMAO,GENESIS/NOMINA 30-09-25/ADM MINER</t>
  </si>
  <si>
    <t>01-8393</t>
  </si>
  <si>
    <t>RIVERO,JORGE LUIS/NOMINA  30-09-25/ADM MINER</t>
  </si>
  <si>
    <t>01-8394</t>
  </si>
  <si>
    <t>ROJAS,MARIA/NOMINA 30-09-25/OPE MINER</t>
  </si>
  <si>
    <t>01-8395</t>
  </si>
  <si>
    <t>MENDOZA,ANTONY/NOMINA 30-09-25/ADM MINER</t>
  </si>
  <si>
    <t>01-8396</t>
  </si>
  <si>
    <t>QUERALES,EDIXON/NOMINA 30-09-25/OPE MINER</t>
  </si>
  <si>
    <t>01-8397</t>
  </si>
  <si>
    <t>VETANCOURT,BLIXANDER/NOMINA 30-09-25/ADM MINER</t>
  </si>
  <si>
    <t>01-8398</t>
  </si>
  <si>
    <t>DURAN,MARIA/NOMINA 30-09-25/ADM MINER</t>
  </si>
  <si>
    <t>01-8399</t>
  </si>
  <si>
    <t>QUERALES,HERMES/NOMINA 30-09-25/OPE MINER</t>
  </si>
  <si>
    <t>01-8400</t>
  </si>
  <si>
    <t>LINAREZ,SANTIAGO/NOMINA 30-09-25/OPE MINER</t>
  </si>
  <si>
    <t>01-8401</t>
  </si>
  <si>
    <t>BASTIDAS,JOSE/NOMINA 30-09-25/OPE MINER</t>
  </si>
  <si>
    <t>01-8402</t>
  </si>
  <si>
    <t>CHIRINOS,RAFAEL/NOMINA 30-09-25/OPE MINER</t>
  </si>
  <si>
    <t>01-8403</t>
  </si>
  <si>
    <t>ALEJOS,RODOLFO /NOMINA 30-09-25/OPE MINER</t>
  </si>
  <si>
    <t>01-8404</t>
  </si>
  <si>
    <t>DAZA,VICTOR /NOMINA 30-09-25/OPE MINER</t>
  </si>
  <si>
    <t>01-8405</t>
  </si>
  <si>
    <t>01-8406</t>
  </si>
  <si>
    <t>01-8407</t>
  </si>
  <si>
    <t>01-8408</t>
  </si>
  <si>
    <t>0120200002962</t>
  </si>
  <si>
    <t>01-8409</t>
  </si>
  <si>
    <t>0329291308308</t>
  </si>
  <si>
    <t xml:space="preserve">PAGO A PROVEEDORES J40558384  TSUKAMI C A      </t>
  </si>
  <si>
    <t>756.579,38</t>
  </si>
  <si>
    <t>01-8410</t>
  </si>
  <si>
    <t>PREGUNTAR A DESIREE SI ES DE LA VENTA DE CEMENTO</t>
  </si>
  <si>
    <t>0329250936001</t>
  </si>
  <si>
    <t>MULTISERVICIOS YARITAGUA/FACT 14734/REP MANGUERA P/EXCAVADOR</t>
  </si>
  <si>
    <t>-1.377,52</t>
  </si>
  <si>
    <t>01-8411</t>
  </si>
  <si>
    <t>0676250936001</t>
  </si>
  <si>
    <t>-3,44</t>
  </si>
  <si>
    <t>01-8412</t>
  </si>
  <si>
    <t>0676250934002</t>
  </si>
  <si>
    <t>-38,85</t>
  </si>
  <si>
    <t>01-8413</t>
  </si>
  <si>
    <t>0329250934002</t>
  </si>
  <si>
    <t>DISTRIBUIDORA DIAR/FACT 852/ACEITE P/TRACTOR CEMENTERA</t>
  </si>
  <si>
    <t>-15.543,27</t>
  </si>
  <si>
    <t>01-8414</t>
  </si>
  <si>
    <t>0676250933001</t>
  </si>
  <si>
    <t>-195,95</t>
  </si>
  <si>
    <t>01-8415</t>
  </si>
  <si>
    <t>0329250933001</t>
  </si>
  <si>
    <t>VENFA/FACT 97/SERV CORTES PIEZA P/FABRICACION ESTRUCTURA GASOIL-MINERALES</t>
  </si>
  <si>
    <t>-78.380,86</t>
  </si>
  <si>
    <t>01-8416</t>
  </si>
  <si>
    <t>0676250935003</t>
  </si>
  <si>
    <t>-803,82</t>
  </si>
  <si>
    <t>01-8417</t>
  </si>
  <si>
    <t>0329250935003</t>
  </si>
  <si>
    <t>-321.529,71</t>
  </si>
  <si>
    <t>01-8418</t>
  </si>
  <si>
    <t>9500474169169</t>
  </si>
  <si>
    <t>-875,00</t>
  </si>
  <si>
    <t>01-8419</t>
  </si>
  <si>
    <t>0328774169169</t>
  </si>
  <si>
    <t>-350.000,00</t>
  </si>
  <si>
    <t>01-8420</t>
  </si>
  <si>
    <t>0329212277277</t>
  </si>
  <si>
    <t>1.500.000,00</t>
  </si>
  <si>
    <t>01-8421</t>
  </si>
  <si>
    <t>0429617978994</t>
  </si>
  <si>
    <t>130.000,00</t>
  </si>
  <si>
    <t>01-8422</t>
  </si>
  <si>
    <t>0329214818001</t>
  </si>
  <si>
    <t>RAFAEL MORILLO/CAMPAÑA D/YESO CALIZA  01/09 AL 05/09</t>
  </si>
  <si>
    <t>01-8423</t>
  </si>
  <si>
    <t>0676214818001</t>
  </si>
  <si>
    <t>01-8424</t>
  </si>
  <si>
    <t>0329214823010</t>
  </si>
  <si>
    <t>MARIA PEREZ/CAMPAÑA D/YESO CALIZA  01/09 AL 05/09</t>
  </si>
  <si>
    <t>01-8425</t>
  </si>
  <si>
    <t>0676214823010</t>
  </si>
  <si>
    <t>01-8426</t>
  </si>
  <si>
    <t>0329214824011</t>
  </si>
  <si>
    <t>JEFERSON DAVILA/CAMPAÑA D/YESO CALIZA  01/09 AL 05/09</t>
  </si>
  <si>
    <t>01-8427</t>
  </si>
  <si>
    <t>0676214824011</t>
  </si>
  <si>
    <t>01-8428</t>
  </si>
  <si>
    <t>0329214825012</t>
  </si>
  <si>
    <t>ROBERT ARIAS/CAMPAÑA D/YESO CALIZA  01/09 AL 05/09</t>
  </si>
  <si>
    <t>01-8429</t>
  </si>
  <si>
    <t>0676214825012</t>
  </si>
  <si>
    <t>01-8430</t>
  </si>
  <si>
    <t>0329214827014</t>
  </si>
  <si>
    <t>YOHAN GUANIPA/COMIDA-CAMPAÑA D/YESO CALIZA  01/09 AL 05/09</t>
  </si>
  <si>
    <t>01-8431</t>
  </si>
  <si>
    <t>13-050925</t>
  </si>
  <si>
    <t>0676214827014</t>
  </si>
  <si>
    <t>01-8432</t>
  </si>
  <si>
    <t>0329214829016</t>
  </si>
  <si>
    <t>HRN/FACT 1742/EXCAVADOR P/CEMENTO</t>
  </si>
  <si>
    <t>01-8433</t>
  </si>
  <si>
    <t>0676214829016</t>
  </si>
  <si>
    <t>01-8434</t>
  </si>
  <si>
    <t>0329214822009</t>
  </si>
  <si>
    <t>BEATRIZ CASTILLO/CAMPAÑA D/YESO CALIZA  01/09 AL 05/09</t>
  </si>
  <si>
    <t>01-8435</t>
  </si>
  <si>
    <t>0676214822009</t>
  </si>
  <si>
    <t>01-8436</t>
  </si>
  <si>
    <t>0329214817001</t>
  </si>
  <si>
    <t>JOSE CASTILLO/CAMPAÑA D/YESO CALIZA  01/09 AL 05/09</t>
  </si>
  <si>
    <t>01-8437</t>
  </si>
  <si>
    <t>0676214817001</t>
  </si>
  <si>
    <t>01-8438</t>
  </si>
  <si>
    <t>0329214819006</t>
  </si>
  <si>
    <t>LINO FLORES/CAMPAÑA D/YESO CALIZA  01/09 AL 05/09</t>
  </si>
  <si>
    <t>01-8439</t>
  </si>
  <si>
    <t>0676214819006</t>
  </si>
  <si>
    <t>01-8440</t>
  </si>
  <si>
    <t>0329214826013</t>
  </si>
  <si>
    <t>RAFAEL QUIROZ/CAMPAÑA D/YESO CALIZA  01/09 AL 05/09-OPERADOR</t>
  </si>
  <si>
    <t>01-8441</t>
  </si>
  <si>
    <t>0676214826013</t>
  </si>
  <si>
    <t>01-8442</t>
  </si>
  <si>
    <t>0676214816003</t>
  </si>
  <si>
    <t>01-8443</t>
  </si>
  <si>
    <t>0329214816003</t>
  </si>
  <si>
    <t xml:space="preserve">MULTISERVICIOS GARQUIS/FACT 0055/BARANDA PLATAFORMA SEGUR/+4SILOS CEMENTO </t>
  </si>
  <si>
    <t>01-8444</t>
  </si>
  <si>
    <t>0676214830017</t>
  </si>
  <si>
    <t>01-8445</t>
  </si>
  <si>
    <t>0329214830017</t>
  </si>
  <si>
    <t>MI BROWNIE/FACT 3822-3823/CAKE CUMPL COLABORADORES</t>
  </si>
  <si>
    <t>01-8446</t>
  </si>
  <si>
    <t>0676214820001</t>
  </si>
  <si>
    <t>01-8447</t>
  </si>
  <si>
    <t>0329214820001</t>
  </si>
  <si>
    <t>DANNY URRUTIA/CAMPAÑA D/YESO CALIZA  01/09 AL 05/09</t>
  </si>
  <si>
    <t>01-8448</t>
  </si>
  <si>
    <t>0676214814001</t>
  </si>
  <si>
    <t>01-8449</t>
  </si>
  <si>
    <t>0329214814001</t>
  </si>
  <si>
    <t>01-8450</t>
  </si>
  <si>
    <t>12-050925</t>
  </si>
  <si>
    <t>0676214815002</t>
  </si>
  <si>
    <t>01-8451</t>
  </si>
  <si>
    <t>0329214815002</t>
  </si>
  <si>
    <t>01-8452</t>
  </si>
  <si>
    <t>0676214828015</t>
  </si>
  <si>
    <t>01-8453</t>
  </si>
  <si>
    <t>0329214828015</t>
  </si>
  <si>
    <t>OLGA OROZCO/HOSPEDAJE-CAMPAÑA D/YESO CALIZA  01/09 AL 05/09</t>
  </si>
  <si>
    <t>01-8454</t>
  </si>
  <si>
    <t>45-050925</t>
  </si>
  <si>
    <t>0676214831018</t>
  </si>
  <si>
    <t>01-8455</t>
  </si>
  <si>
    <t>0329214831018</t>
  </si>
  <si>
    <t>LUIS MONTE/ADELANT FACT/BOMBA INYECCION HYUNDAI P/MINERALES</t>
  </si>
  <si>
    <t>01-8456</t>
  </si>
  <si>
    <t>0676214832019</t>
  </si>
  <si>
    <t>01-8457</t>
  </si>
  <si>
    <t>0329214832019</t>
  </si>
  <si>
    <t>MATERIALES STA LUCIA/FACT 5917/P/CEMENTO</t>
  </si>
  <si>
    <t>01-8458</t>
  </si>
  <si>
    <t>0676214821007</t>
  </si>
  <si>
    <t>01-8459</t>
  </si>
  <si>
    <t>0329214821007</t>
  </si>
  <si>
    <t>DOMICIO VIRGUEZ/CAMPAÑA D/YESO CALIZA  01/09 AL 05/09</t>
  </si>
  <si>
    <t>01-8460</t>
  </si>
  <si>
    <t>0828647370337</t>
  </si>
  <si>
    <t xml:space="preserve">BANAVIH/PERIODO AGOSTO 2025                </t>
  </si>
  <si>
    <t>01-8461</t>
  </si>
  <si>
    <t>03-050925</t>
  </si>
  <si>
    <t>0100747372171</t>
  </si>
  <si>
    <t xml:space="preserve">IVSS/PERIODO AGOSTO 2025                         </t>
  </si>
  <si>
    <t>01-8462</t>
  </si>
  <si>
    <t>0329269192192</t>
  </si>
  <si>
    <t>COLEGIO SANTA MARIA/FACT 088/CONCRETO PREMEZCLADO</t>
  </si>
  <si>
    <t>01-8463</t>
  </si>
  <si>
    <t>0676255748748</t>
  </si>
  <si>
    <t>01-8464</t>
  </si>
  <si>
    <t>0329255748748</t>
  </si>
  <si>
    <t>LISO/FACT 628/ALQUILER MARTILLO P/DEMOLICION D/PISO-P/CEMENTO</t>
  </si>
  <si>
    <t>01-8465</t>
  </si>
  <si>
    <t>0329215977977</t>
  </si>
  <si>
    <t xml:space="preserve">COLEGIO SANTA MARIA/FACT 89/VENTA CONCRETO PREMEZCLADO </t>
  </si>
  <si>
    <t>01-8466</t>
  </si>
  <si>
    <t>VENTA DE CONCRETO PREMEZCLADO</t>
  </si>
  <si>
    <t>0598123631865</t>
  </si>
  <si>
    <t>REGISTRO D/MARCA/FONETICA-MINERALES AB</t>
  </si>
  <si>
    <t>01-8467</t>
  </si>
  <si>
    <t>08-120925</t>
  </si>
  <si>
    <t>9884812092025</t>
  </si>
  <si>
    <t>01-8468</t>
  </si>
  <si>
    <t>0598123631907</t>
  </si>
  <si>
    <t>REGISTRO D/MARCA/GRAFICA-MINERALES AB</t>
  </si>
  <si>
    <t>01-8469</t>
  </si>
  <si>
    <t>01-8470</t>
  </si>
  <si>
    <t>0329213923923</t>
  </si>
  <si>
    <t>01-8471</t>
  </si>
  <si>
    <t>0329216298002</t>
  </si>
  <si>
    <t>Delios Adolfo Ferrara/Eventual Agregados 08/09 AL 14/09</t>
  </si>
  <si>
    <t>01-8472</t>
  </si>
  <si>
    <t>0676216298002</t>
  </si>
  <si>
    <t>01-8473</t>
  </si>
  <si>
    <t>0329216382038</t>
  </si>
  <si>
    <t>Henrry Valera/Eventual Gobernacion 08/09 AL 14/09</t>
  </si>
  <si>
    <t>01-8474</t>
  </si>
  <si>
    <t>0676216382038</t>
  </si>
  <si>
    <t>01-8475</t>
  </si>
  <si>
    <t>0329216407046</t>
  </si>
  <si>
    <t>Jesus Ramos/Eventual Gobernacion 08/09 AL 14/09</t>
  </si>
  <si>
    <t>01-8476</t>
  </si>
  <si>
    <t>0676216407046</t>
  </si>
  <si>
    <t>01-8477</t>
  </si>
  <si>
    <t>0329216413048</t>
  </si>
  <si>
    <t>Exson Rodriguez/Eventual Gobernacion 08/09 AL 14/09</t>
  </si>
  <si>
    <t>01-8478</t>
  </si>
  <si>
    <t>0676216413048</t>
  </si>
  <si>
    <t>01-8479</t>
  </si>
  <si>
    <t>0329216416049</t>
  </si>
  <si>
    <t>Douglas Pimentel/Eventual Gobernacion 08/09 AL 14/09</t>
  </si>
  <si>
    <t>01-8480</t>
  </si>
  <si>
    <t>0676216416049</t>
  </si>
  <si>
    <t>01-8481</t>
  </si>
  <si>
    <t>0329216438058</t>
  </si>
  <si>
    <t>Pedro Castillo/Eventual Gobernacion 08/09 AL 14/09</t>
  </si>
  <si>
    <t>01-8482</t>
  </si>
  <si>
    <t>0676216438058</t>
  </si>
  <si>
    <t>01-8483</t>
  </si>
  <si>
    <t>0329216319015</t>
  </si>
  <si>
    <t>Eliomar Jesús Escalona/Eventual Agregados 08/09 AL 14/09</t>
  </si>
  <si>
    <t>01-8484</t>
  </si>
  <si>
    <t>0676216319015</t>
  </si>
  <si>
    <t>01-8485</t>
  </si>
  <si>
    <t>0329216362031</t>
  </si>
  <si>
    <t>Nicolas Alvarez/Eventual Gobernacion 08/09 AL 14/09</t>
  </si>
  <si>
    <t>01-8486</t>
  </si>
  <si>
    <t>0676216362031</t>
  </si>
  <si>
    <t>01-8487</t>
  </si>
  <si>
    <t>0329216374035</t>
  </si>
  <si>
    <t>Rafael Puertas/Eventual Gobernacion 08/09 AL 14/09</t>
  </si>
  <si>
    <t>01-8488</t>
  </si>
  <si>
    <t>0676216374035</t>
  </si>
  <si>
    <t>01-8489</t>
  </si>
  <si>
    <t>0329216377036</t>
  </si>
  <si>
    <t>Carlos Pacheco/Eventual Gobernacion 08/09 AL 14/09</t>
  </si>
  <si>
    <t>01-8490</t>
  </si>
  <si>
    <t>0676216377036</t>
  </si>
  <si>
    <t>01-8491</t>
  </si>
  <si>
    <t>0329216392041</t>
  </si>
  <si>
    <t>Rafael Quiroz/Eventual Gobernacion 08/09 AL 14/09</t>
  </si>
  <si>
    <t>01-8492</t>
  </si>
  <si>
    <t>0676216392041</t>
  </si>
  <si>
    <t>01-8493</t>
  </si>
  <si>
    <t>0329216401044</t>
  </si>
  <si>
    <t>Argenis Flores/Eventual Megatech 08/09 AL 14/09</t>
  </si>
  <si>
    <t>01-8494</t>
  </si>
  <si>
    <t>0676216401044</t>
  </si>
  <si>
    <t>01-8495</t>
  </si>
  <si>
    <t>0329216303005</t>
  </si>
  <si>
    <t>José Guillermo Cortez/Eventual Agregados 08/09 AL 14/09</t>
  </si>
  <si>
    <t>01-8496</t>
  </si>
  <si>
    <t>0676216303005</t>
  </si>
  <si>
    <t>01-8497</t>
  </si>
  <si>
    <t>0329216314012</t>
  </si>
  <si>
    <t>Darwuin Jesús Bullones/Eventual Agregados 08/09 AL 14/09</t>
  </si>
  <si>
    <t>01-8498</t>
  </si>
  <si>
    <t>0676216314012</t>
  </si>
  <si>
    <t>01-8499</t>
  </si>
  <si>
    <t>0329216365032</t>
  </si>
  <si>
    <t>Andrés Armella/Eventual Gobernacion 08/09 AL 14/09</t>
  </si>
  <si>
    <t>01-8500</t>
  </si>
  <si>
    <t>0676216365032</t>
  </si>
  <si>
    <t>01-8501</t>
  </si>
  <si>
    <t>0329216379037</t>
  </si>
  <si>
    <t>Jose Toledo/Eventual Gobernacion 08/09 AL 14/09</t>
  </si>
  <si>
    <t>01-8502</t>
  </si>
  <si>
    <t>0676216379037</t>
  </si>
  <si>
    <t>01-8503</t>
  </si>
  <si>
    <t>0329216395042</t>
  </si>
  <si>
    <t>Federico Faneite/Eventual Gobernacion 08/09 AL 14/09</t>
  </si>
  <si>
    <t>01-8504</t>
  </si>
  <si>
    <t>0676216395042</t>
  </si>
  <si>
    <t>01-8505</t>
  </si>
  <si>
    <t>0329216422051</t>
  </si>
  <si>
    <t>Miguel Torres/Eventual Gobernacion 08/09 AL 14/09</t>
  </si>
  <si>
    <t>01-8506</t>
  </si>
  <si>
    <t>0676216422051</t>
  </si>
  <si>
    <t>01-8507</t>
  </si>
  <si>
    <t>0329216305006</t>
  </si>
  <si>
    <t>Frank Armando García/Eventual Agregados 08/09 AL 14/09</t>
  </si>
  <si>
    <t>01-8508</t>
  </si>
  <si>
    <t>0676216305006</t>
  </si>
  <si>
    <t>01-8509</t>
  </si>
  <si>
    <t>0329216348027</t>
  </si>
  <si>
    <t>Wendy Gimenez/Eventual Gobernacion 08/09 AL 14/09</t>
  </si>
  <si>
    <t>01-8510</t>
  </si>
  <si>
    <t>0676216348027</t>
  </si>
  <si>
    <t>01-8511</t>
  </si>
  <si>
    <t>0329216434056</t>
  </si>
  <si>
    <t>Yonny Castillo/Eventual Megatech 08/09 AL 14/09</t>
  </si>
  <si>
    <t>01-8512</t>
  </si>
  <si>
    <t>0676216434056</t>
  </si>
  <si>
    <t>01-8513</t>
  </si>
  <si>
    <t>0329216306007</t>
  </si>
  <si>
    <t>Alberto Luis Rojas/Eventual Agregados 08/09 AL 14/09</t>
  </si>
  <si>
    <t>01-8514</t>
  </si>
  <si>
    <t>0676216306007</t>
  </si>
  <si>
    <t>01-8515</t>
  </si>
  <si>
    <t>0329216370034</t>
  </si>
  <si>
    <t>Juan Pinto/Eventual Gobernacion 08/09 AL 14/09</t>
  </si>
  <si>
    <t>01-8516</t>
  </si>
  <si>
    <t>0676216370034</t>
  </si>
  <si>
    <t>01-8517</t>
  </si>
  <si>
    <t>0329216404045</t>
  </si>
  <si>
    <t>Walner Oviedo/Eventual Megatech 08/09 AL 14/09</t>
  </si>
  <si>
    <t>01-8518</t>
  </si>
  <si>
    <t>0676216404045</t>
  </si>
  <si>
    <t>01-8519</t>
  </si>
  <si>
    <t>0329216425052</t>
  </si>
  <si>
    <t>Antonio Castillo/Eventual Megatech 08/09 AL 14/09</t>
  </si>
  <si>
    <t>01-8520</t>
  </si>
  <si>
    <t>0676216425052</t>
  </si>
  <si>
    <t>01-8521</t>
  </si>
  <si>
    <t>0329216311010</t>
  </si>
  <si>
    <t>Naiker Alexander Jimenez/Eventual Agregados 08/09 AL 14/09</t>
  </si>
  <si>
    <t>01-8522</t>
  </si>
  <si>
    <t>0676216311010</t>
  </si>
  <si>
    <t>01-8523</t>
  </si>
  <si>
    <t>0329216331021</t>
  </si>
  <si>
    <t>Brunito Segundo Cordero/Eventual Agregados 08/09 AL 14/09</t>
  </si>
  <si>
    <t>01-8524</t>
  </si>
  <si>
    <t>0676216331021</t>
  </si>
  <si>
    <t>01-8525</t>
  </si>
  <si>
    <t>0329216431054</t>
  </si>
  <si>
    <t>Jose Guevara/Eventual Megatech 08/09 AL 14/09</t>
  </si>
  <si>
    <t>01-8526</t>
  </si>
  <si>
    <t>0676216431054</t>
  </si>
  <si>
    <t>01-8527</t>
  </si>
  <si>
    <t>0329216446063</t>
  </si>
  <si>
    <t>Edwuard Almeida/Eventual Megatech 08/09 AL 14/09</t>
  </si>
  <si>
    <t>01-8528</t>
  </si>
  <si>
    <t>0676216446063</t>
  </si>
  <si>
    <t>01-8529</t>
  </si>
  <si>
    <t>0329216310009</t>
  </si>
  <si>
    <t>José Gregorio Perez/Eventual Agregados 08/09 AL 14/09</t>
  </si>
  <si>
    <t>01-8530</t>
  </si>
  <si>
    <t>0676216310009</t>
  </si>
  <si>
    <t>01-8531</t>
  </si>
  <si>
    <t>0329216313011</t>
  </si>
  <si>
    <t>Carlos Daniel Rodriguez/Eventual Agregados 08/09 AL 14/09</t>
  </si>
  <si>
    <t>01-8532</t>
  </si>
  <si>
    <t>0676216313011</t>
  </si>
  <si>
    <t>01-8533</t>
  </si>
  <si>
    <t>0329216343025</t>
  </si>
  <si>
    <t>Jose Castillo/Eventual Megatech 08/09 AL 14/09</t>
  </si>
  <si>
    <t>01-8534</t>
  </si>
  <si>
    <t>0676216343025</t>
  </si>
  <si>
    <t>01-8535</t>
  </si>
  <si>
    <t>0329216353028</t>
  </si>
  <si>
    <t>Elvis Valles/Eventual Megatech 08/09 AL 14/09</t>
  </si>
  <si>
    <t>01-8536</t>
  </si>
  <si>
    <t>0676216353028</t>
  </si>
  <si>
    <t>01-8537</t>
  </si>
  <si>
    <t>0329216433055</t>
  </si>
  <si>
    <t>Francisco Castillo/Eventual Megatech 08/09 AL 14/09</t>
  </si>
  <si>
    <t>01-8538</t>
  </si>
  <si>
    <t>0676216433055</t>
  </si>
  <si>
    <t>01-8539</t>
  </si>
  <si>
    <t>0329216443061</t>
  </si>
  <si>
    <t>Yerry Rodríguez/Eventual Megatech 08/09 AL 14/09</t>
  </si>
  <si>
    <t>01-8540</t>
  </si>
  <si>
    <t>0676216443061</t>
  </si>
  <si>
    <t>01-8541</t>
  </si>
  <si>
    <t>0329216445062</t>
  </si>
  <si>
    <t>Elio Malpica/Eventual Megatech 08/09 AL 14/09</t>
  </si>
  <si>
    <t>01-8542</t>
  </si>
  <si>
    <t>0676216445062</t>
  </si>
  <si>
    <t>01-8543</t>
  </si>
  <si>
    <t>0676216329020</t>
  </si>
  <si>
    <t>01-8544</t>
  </si>
  <si>
    <t>0329216329020</t>
  </si>
  <si>
    <t>Justiniano Rodriguez/Eventual Agregados 08/09 AL 14/09</t>
  </si>
  <si>
    <t>01-8545</t>
  </si>
  <si>
    <t>0676216336022</t>
  </si>
  <si>
    <t>01-8546</t>
  </si>
  <si>
    <t>0329216336022</t>
  </si>
  <si>
    <t>Armando Lopez /Eventual Agregados 08/09 AL 14/09</t>
  </si>
  <si>
    <t>01-8547</t>
  </si>
  <si>
    <t>0676216345026</t>
  </si>
  <si>
    <t>01-8548</t>
  </si>
  <si>
    <t>0329216345026</t>
  </si>
  <si>
    <t>Omar Torrealba/Eventual Megatech 08/09 AL 14/09</t>
  </si>
  <si>
    <t>01-8549</t>
  </si>
  <si>
    <t>0676216359030</t>
  </si>
  <si>
    <t>01-8550</t>
  </si>
  <si>
    <t>0329216359030</t>
  </si>
  <si>
    <t>Carlos Castillo/Eventual Megatech 08/09 AL 14/09</t>
  </si>
  <si>
    <t>01-8551</t>
  </si>
  <si>
    <t>0676216428053</t>
  </si>
  <si>
    <t>01-8552</t>
  </si>
  <si>
    <t>0329216428053</t>
  </si>
  <si>
    <t>Julian Guedez/Eventual Megatech 08/09 AL 14/09</t>
  </si>
  <si>
    <t>01-8553</t>
  </si>
  <si>
    <t>0676216458068</t>
  </si>
  <si>
    <t>01-8554</t>
  </si>
  <si>
    <t>0329216458068</t>
  </si>
  <si>
    <t>Norys Ramos/Eventual Megatech 08/09 AL 14/09</t>
  </si>
  <si>
    <t>01-8555</t>
  </si>
  <si>
    <t>0676216461069</t>
  </si>
  <si>
    <t>01-8556</t>
  </si>
  <si>
    <t>0329216461069</t>
  </si>
  <si>
    <t>Fares Arrieche/Eventual Megatech 08/09 AL 14/09</t>
  </si>
  <si>
    <t>01-8557</t>
  </si>
  <si>
    <t>0676216463070</t>
  </si>
  <si>
    <t>01-8558</t>
  </si>
  <si>
    <t>0329216463070</t>
  </si>
  <si>
    <t>Edwin Rojas/Eventual Gobernacion 08/09 AL 14/09</t>
  </si>
  <si>
    <t>01-8559</t>
  </si>
  <si>
    <t>0676216321016</t>
  </si>
  <si>
    <t>01-8560</t>
  </si>
  <si>
    <t>0329216321016</t>
  </si>
  <si>
    <t>Alejandro Morales/Eventual Agregados 08/09 AL 14/09</t>
  </si>
  <si>
    <t>01-8561</t>
  </si>
  <si>
    <t>0676216322017</t>
  </si>
  <si>
    <t>01-8562</t>
  </si>
  <si>
    <t>0329216322017</t>
  </si>
  <si>
    <t>Fareliz Arrieche/Eventual Gobernacion 08/09 AL 14/09</t>
  </si>
  <si>
    <t>01-8563</t>
  </si>
  <si>
    <t>0676216324018</t>
  </si>
  <si>
    <t>01-8564</t>
  </si>
  <si>
    <t>0329216324018</t>
  </si>
  <si>
    <t>Alirio Parra/Eventual Gobernacion 08/09 AL 14/09</t>
  </si>
  <si>
    <t>01-8565</t>
  </si>
  <si>
    <t>0676216420050</t>
  </si>
  <si>
    <t>01-8566</t>
  </si>
  <si>
    <t>0329216420050</t>
  </si>
  <si>
    <t>Yordis Almao/Eventual Megatech 08/09 AL 14/09</t>
  </si>
  <si>
    <t>01-8567</t>
  </si>
  <si>
    <t>0676216302004</t>
  </si>
  <si>
    <t>01-8568</t>
  </si>
  <si>
    <t>0329216302004</t>
  </si>
  <si>
    <t>Euber José Juarez/Eventual Agregados 08/09 AL 14/09</t>
  </si>
  <si>
    <t>01-8569</t>
  </si>
  <si>
    <t>0676216316013</t>
  </si>
  <si>
    <t>01-8570</t>
  </si>
  <si>
    <t>0329216316013</t>
  </si>
  <si>
    <t>Ali Alberto Bullones/Eventual Agregados 08/09 AL 14/09</t>
  </si>
  <si>
    <t>01-8571</t>
  </si>
  <si>
    <t>0676216326019</t>
  </si>
  <si>
    <t>01-8572</t>
  </si>
  <si>
    <t>0329216326019</t>
  </si>
  <si>
    <t>Froilan Lopez/Eventual Agregados 08/09 AL 14/09</t>
  </si>
  <si>
    <t>01-8573</t>
  </si>
  <si>
    <t>0676216340024</t>
  </si>
  <si>
    <t>01-8574</t>
  </si>
  <si>
    <t>0329216340024</t>
  </si>
  <si>
    <t>Ramón Quintero/Eventual Agregados 08/09 AL 14/09</t>
  </si>
  <si>
    <t>01-8575</t>
  </si>
  <si>
    <t>0676216388040</t>
  </si>
  <si>
    <t>01-8576</t>
  </si>
  <si>
    <t>0329216388040</t>
  </si>
  <si>
    <t>Carlos Lopez/Eventual Agregados 08/09 AL 14/09</t>
  </si>
  <si>
    <t>01-8577</t>
  </si>
  <si>
    <t>0676216410047</t>
  </si>
  <si>
    <t>01-8578</t>
  </si>
  <si>
    <t>0329216410047</t>
  </si>
  <si>
    <t>01-8579</t>
  </si>
  <si>
    <t>0676216296001</t>
  </si>
  <si>
    <t>01-8580</t>
  </si>
  <si>
    <t>0329216296001</t>
  </si>
  <si>
    <t>Juan López/Eventual Agregados 08/09 AL 14/09</t>
  </si>
  <si>
    <t>01-8581</t>
  </si>
  <si>
    <t>0676216385039</t>
  </si>
  <si>
    <t>01-8582</t>
  </si>
  <si>
    <t>0329216385039</t>
  </si>
  <si>
    <t>Angel Caldera/Eventual Gobernacion 08/09 AL 14/09</t>
  </si>
  <si>
    <t>01-8583</t>
  </si>
  <si>
    <t>0676216436057</t>
  </si>
  <si>
    <t>01-8584</t>
  </si>
  <si>
    <t>0329216436057</t>
  </si>
  <si>
    <t>Victor Mendez/Eventual Megatech 08/09 AL 14/09</t>
  </si>
  <si>
    <t>01-8585</t>
  </si>
  <si>
    <t>0676216441060</t>
  </si>
  <si>
    <t>01-8586</t>
  </si>
  <si>
    <t>0329216441060</t>
  </si>
  <si>
    <t>Carlos Loyo/Eventual Megatech 08/09 AL 14/09</t>
  </si>
  <si>
    <t>01-8587</t>
  </si>
  <si>
    <t>0676216300003</t>
  </si>
  <si>
    <t>01-8588</t>
  </si>
  <si>
    <t>0329216300003</t>
  </si>
  <si>
    <t>Alberto Ali Bullones/Eventual Agregados 08/09 AL 14/09</t>
  </si>
  <si>
    <t>01-8589</t>
  </si>
  <si>
    <t>0676216357029</t>
  </si>
  <si>
    <t>01-8590</t>
  </si>
  <si>
    <t>0329216357029</t>
  </si>
  <si>
    <t>Alberto Loyo/Eventual Megatech 08/09 AL 14/09</t>
  </si>
  <si>
    <t>01-8591</t>
  </si>
  <si>
    <t>0676216453065</t>
  </si>
  <si>
    <t>01-8592</t>
  </si>
  <si>
    <t>0329216453065</t>
  </si>
  <si>
    <t>Ingrid Reyes/Eventual Megatech 08/09 AL 14/09</t>
  </si>
  <si>
    <t>01-8593</t>
  </si>
  <si>
    <t>0676216308008</t>
  </si>
  <si>
    <t>01-8594</t>
  </si>
  <si>
    <t>0329216308008</t>
  </si>
  <si>
    <t>Fernando José Rodriguez/Eventual Agregados 08/09 AL 14/09</t>
  </si>
  <si>
    <t>01-8595</t>
  </si>
  <si>
    <t>0676216318014</t>
  </si>
  <si>
    <t>01-8596</t>
  </si>
  <si>
    <t>0329216318014</t>
  </si>
  <si>
    <t>Bruno Ali Cordero Bullones/Eventual Agregados 08/09 AL 14/09</t>
  </si>
  <si>
    <t>01-8597</t>
  </si>
  <si>
    <t>0676216440059</t>
  </si>
  <si>
    <t>01-8598</t>
  </si>
  <si>
    <t>0329216440059</t>
  </si>
  <si>
    <t>Alexander Castillo/Eventual Megatech 08/09 AL 14/09</t>
  </si>
  <si>
    <t>01-8599</t>
  </si>
  <si>
    <t>0676216449064</t>
  </si>
  <si>
    <t>01-8600</t>
  </si>
  <si>
    <t>0329216449064</t>
  </si>
  <si>
    <t>Ruben Rivas/Eventual Megatech 08/09 AL 14/09</t>
  </si>
  <si>
    <t>01-8601</t>
  </si>
  <si>
    <t>0676216456067</t>
  </si>
  <si>
    <t>01-8602</t>
  </si>
  <si>
    <t>0329216456067</t>
  </si>
  <si>
    <t>Fareliz Arrieche/Eventual Megatech 08/09 AL 14/09</t>
  </si>
  <si>
    <t>01-8603</t>
  </si>
  <si>
    <t>0676216338023</t>
  </si>
  <si>
    <t>01-8604</t>
  </si>
  <si>
    <t>0329216338023</t>
  </si>
  <si>
    <t>Luis Silveiro Colon Ojeda/Eventual Agregados 08/09 AL 14/09</t>
  </si>
  <si>
    <t>01-8605</t>
  </si>
  <si>
    <t>0676216367033</t>
  </si>
  <si>
    <t>01-8606</t>
  </si>
  <si>
    <t>0329216367033</t>
  </si>
  <si>
    <t>Emperatriz Leon/Eventual Megatech 08/09 AL 14/09</t>
  </si>
  <si>
    <t>01-8607</t>
  </si>
  <si>
    <t>0676216398043</t>
  </si>
  <si>
    <t>01-8608</t>
  </si>
  <si>
    <t>0329216398043</t>
  </si>
  <si>
    <t>Estebez Maramara/Eventual Agregados 08/09 AL 14/09</t>
  </si>
  <si>
    <t>01-8609</t>
  </si>
  <si>
    <t>0676216455066</t>
  </si>
  <si>
    <t>01-8610</t>
  </si>
  <si>
    <t>0329216455066</t>
  </si>
  <si>
    <t>Alirio Parra/Eventual Megatech 08/09 AL 14/09</t>
  </si>
  <si>
    <t>01-8611</t>
  </si>
  <si>
    <t>0598124057252</t>
  </si>
  <si>
    <t>SAPI/PUBLICIDAD PRENSA</t>
  </si>
  <si>
    <t>01-8612</t>
  </si>
  <si>
    <t>08-230925</t>
  </si>
  <si>
    <t>9884823092025</t>
  </si>
  <si>
    <t>01-8613</t>
  </si>
  <si>
    <t xml:space="preserve">672861861341 </t>
  </si>
  <si>
    <t>JOSE GONZALEZ/FACT 90/VENTA CANTO RODADO/ARENA CERNIDA</t>
  </si>
  <si>
    <t>01-8614</t>
  </si>
  <si>
    <t>VENTA DE CANTO RODADO/ARENA CERNIDA</t>
  </si>
  <si>
    <t>0329260985238</t>
  </si>
  <si>
    <t>01-8615</t>
  </si>
  <si>
    <t>0676268606002</t>
  </si>
  <si>
    <t>01-8616</t>
  </si>
  <si>
    <t>0329268606002</t>
  </si>
  <si>
    <t>SIMECA/ADELANT FACT/ACTUALIZACION RUDDAE</t>
  </si>
  <si>
    <t>01-8617</t>
  </si>
  <si>
    <t>0676268607003</t>
  </si>
  <si>
    <t>01-8618</t>
  </si>
  <si>
    <t>0329268607003</t>
  </si>
  <si>
    <t>FERRE REMI/FACT 329/REQUI P/PERSONAL HINDU  P/CEMENTO</t>
  </si>
  <si>
    <t>01-8619</t>
  </si>
  <si>
    <t>0676268605001</t>
  </si>
  <si>
    <t>01-8620</t>
  </si>
  <si>
    <t>0329268605001</t>
  </si>
  <si>
    <t>01-8621</t>
  </si>
  <si>
    <t>0676268608001</t>
  </si>
  <si>
    <t>01-8622</t>
  </si>
  <si>
    <t>0329268608001</t>
  </si>
  <si>
    <t>01-8623</t>
  </si>
  <si>
    <t>0676268609001</t>
  </si>
  <si>
    <t>01-8624</t>
  </si>
  <si>
    <t>0329268609001</t>
  </si>
  <si>
    <t>01-8625</t>
  </si>
  <si>
    <t>0329264213773</t>
  </si>
  <si>
    <t>01-8626</t>
  </si>
  <si>
    <t>0329214715001</t>
  </si>
  <si>
    <t>CSCCPP CUMAREBO/1P GADOLA CEMENTO(720SACOS)/P/CEMENTO</t>
  </si>
  <si>
    <t>01-8627</t>
  </si>
  <si>
    <t>GANDOLA/CEMENTO</t>
  </si>
  <si>
    <t>0676214715001</t>
  </si>
  <si>
    <t>01-8628</t>
  </si>
  <si>
    <t>0329214716002</t>
  </si>
  <si>
    <t>CSCCPP CUMAREBO/2P GADOLA CEMENTO(720SACOS)/P/CEMENTO</t>
  </si>
  <si>
    <t>01-8629</t>
  </si>
  <si>
    <t>0676214716002</t>
  </si>
  <si>
    <t>01-8630</t>
  </si>
  <si>
    <t>0329264233367</t>
  </si>
  <si>
    <t>01-8631</t>
  </si>
  <si>
    <t>0329235884011</t>
  </si>
  <si>
    <t>01-8632</t>
  </si>
  <si>
    <t>0676235884011</t>
  </si>
  <si>
    <t>01-8633</t>
  </si>
  <si>
    <t>0329235885012</t>
  </si>
  <si>
    <t>01-8634</t>
  </si>
  <si>
    <t>13-260925</t>
  </si>
  <si>
    <t>0676235885012</t>
  </si>
  <si>
    <t>01-8635</t>
  </si>
  <si>
    <t>0329235878006</t>
  </si>
  <si>
    <t>01-8636</t>
  </si>
  <si>
    <t>0676235878006</t>
  </si>
  <si>
    <t>01-8637</t>
  </si>
  <si>
    <t>0329235888015</t>
  </si>
  <si>
    <t>ALEXI/FACT 2533/ESPIGA BRONCE P/CAMION KAMAZ</t>
  </si>
  <si>
    <t>01-8638</t>
  </si>
  <si>
    <t>0676235888015</t>
  </si>
  <si>
    <t>01-8639</t>
  </si>
  <si>
    <t>0329235877001</t>
  </si>
  <si>
    <t>01-8640</t>
  </si>
  <si>
    <t>0676235877001</t>
  </si>
  <si>
    <t>01-8641</t>
  </si>
  <si>
    <t>0329235881009</t>
  </si>
  <si>
    <t>01-8642</t>
  </si>
  <si>
    <t>0676235881009</t>
  </si>
  <si>
    <t>01-8643</t>
  </si>
  <si>
    <t>0329235880007</t>
  </si>
  <si>
    <t>01-8644</t>
  </si>
  <si>
    <t>0676235880007</t>
  </si>
  <si>
    <t>01-8645</t>
  </si>
  <si>
    <t>0329235883010</t>
  </si>
  <si>
    <t>01-8646</t>
  </si>
  <si>
    <t>0676235883010</t>
  </si>
  <si>
    <t>01-8647</t>
  </si>
  <si>
    <t>0329235887014</t>
  </si>
  <si>
    <t>HILDA LANZAROTI//COMIDA-CAMPAÑA D/YESO CALIZA  01/09 AL 05/09</t>
  </si>
  <si>
    <t>01-8648</t>
  </si>
  <si>
    <t>0676235887014</t>
  </si>
  <si>
    <t>01-8649</t>
  </si>
  <si>
    <t>0676235889016</t>
  </si>
  <si>
    <t>01-8650</t>
  </si>
  <si>
    <t>0676235873001</t>
  </si>
  <si>
    <t>01-8651</t>
  </si>
  <si>
    <t>0329235889016</t>
  </si>
  <si>
    <t xml:space="preserve">CARLOS AGUILAR/FACT32/ESTUDIO GEOLOGIA P/YESO QUEBRADA SECA </t>
  </si>
  <si>
    <t>01-8652</t>
  </si>
  <si>
    <t>0329235873001</t>
  </si>
  <si>
    <t xml:space="preserve">REPOSICION CAJA CHICA </t>
  </si>
  <si>
    <t>01-8653</t>
  </si>
  <si>
    <t>0676235891018</t>
  </si>
  <si>
    <t>01-8654</t>
  </si>
  <si>
    <t>0676235876001</t>
  </si>
  <si>
    <t>01-8655</t>
  </si>
  <si>
    <t>0329235891018</t>
  </si>
  <si>
    <t>INTERELECTRONIC/PAGO ERRADO P/PROVEEDOR</t>
  </si>
  <si>
    <t>01-8656</t>
  </si>
  <si>
    <t>0329235876001</t>
  </si>
  <si>
    <t xml:space="preserve">JJEDC/FACT 2209/POLEAS P/EQUIPOS PRODUCCION (HINDU) </t>
  </si>
  <si>
    <t>01-8657</t>
  </si>
  <si>
    <t>0676235893020</t>
  </si>
  <si>
    <t>01-8658</t>
  </si>
  <si>
    <t>0329235893020</t>
  </si>
  <si>
    <t>TRACTO AUTO/FACT 7931/FILTRO P/HYUNDAI-VOLVO-TROMPO MACK-MINERALES</t>
  </si>
  <si>
    <t>01-8659</t>
  </si>
  <si>
    <t>0676235892019</t>
  </si>
  <si>
    <t>01-8660</t>
  </si>
  <si>
    <t>0329235892019</t>
  </si>
  <si>
    <t>PARRA/FACT 788/ARRIOSTRAMIENTO ESTRUCTURA P/CERRAMIENTO BANDAS  P/CEMENTO</t>
  </si>
  <si>
    <t>01-8661</t>
  </si>
  <si>
    <t>0676235875003</t>
  </si>
  <si>
    <t>01-8662</t>
  </si>
  <si>
    <t>0329235875003</t>
  </si>
  <si>
    <t>HANLEY/FACT 0727/LIMPIEZA SISTEMA</t>
  </si>
  <si>
    <t>01-8663</t>
  </si>
  <si>
    <t>0676235890017</t>
  </si>
  <si>
    <t>01-8664</t>
  </si>
  <si>
    <t>0329235890017</t>
  </si>
  <si>
    <t>MATERIALES SATA LUCIA/FACT 6059/MC-1-TRITURACION PRIMARIA</t>
  </si>
  <si>
    <t>01-8665</t>
  </si>
  <si>
    <t>0676235874002</t>
  </si>
  <si>
    <t>01-8666</t>
  </si>
  <si>
    <t>0329235874002</t>
  </si>
  <si>
    <t>01-8667</t>
  </si>
  <si>
    <t>12-260925</t>
  </si>
  <si>
    <t>0676235879001</t>
  </si>
  <si>
    <t>01-8668</t>
  </si>
  <si>
    <t>0329235879001</t>
  </si>
  <si>
    <t>01-8669</t>
  </si>
  <si>
    <t>0676235886013</t>
  </si>
  <si>
    <t>01-8670</t>
  </si>
  <si>
    <t>0329235886013</t>
  </si>
  <si>
    <t>01-8671</t>
  </si>
  <si>
    <t>45-260925</t>
  </si>
  <si>
    <t>0429645249646</t>
  </si>
  <si>
    <t>01-8672</t>
  </si>
  <si>
    <t>0329264416027</t>
  </si>
  <si>
    <t>01-8673</t>
  </si>
  <si>
    <t>0329264481388</t>
  </si>
  <si>
    <t>01-8674</t>
  </si>
  <si>
    <t>0676281629001</t>
  </si>
  <si>
    <t>01-8675</t>
  </si>
  <si>
    <t>0329281629001</t>
  </si>
  <si>
    <t xml:space="preserve">SULGAR/FACT 1797/SUMINIST INSTAL DUCTERIA LAMINAS GALVANIZADA CALIBRE 20-22-ANCLAJE-SISTEMA VENTILACION TUNEL MP TUNELCLINKER </t>
  </si>
  <si>
    <t>01-8676</t>
  </si>
  <si>
    <t>0676281630002</t>
  </si>
  <si>
    <t>01-8677</t>
  </si>
  <si>
    <t>0329281630002</t>
  </si>
  <si>
    <t>01-8678</t>
  </si>
  <si>
    <t>0676281632004</t>
  </si>
  <si>
    <t>01-8679</t>
  </si>
  <si>
    <t>0329281632004</t>
  </si>
  <si>
    <t>REMI/FACT 332/VIGAS UPN REQUERIMIENTO P/PNAL HINDU REP TECHO P/CEMENTO</t>
  </si>
  <si>
    <t>01-8680</t>
  </si>
  <si>
    <t>0676281631003</t>
  </si>
  <si>
    <t>01-8681</t>
  </si>
  <si>
    <t>0329281631003</t>
  </si>
  <si>
    <t>01-8682</t>
  </si>
  <si>
    <t>17-290925</t>
  </si>
  <si>
    <t>0329264488356</t>
  </si>
  <si>
    <t>01-8683</t>
  </si>
  <si>
    <t>0329288572001</t>
  </si>
  <si>
    <t>ALIMENTOS/FACT 36640/BENEFICIIOS FIJOS</t>
  </si>
  <si>
    <t>01-8684</t>
  </si>
  <si>
    <t>0676288572001</t>
  </si>
  <si>
    <t>01-8685</t>
  </si>
  <si>
    <t>0329288573002</t>
  </si>
  <si>
    <t>ALIMENTOS/FACT 36641/BENEFICIOS FIJOS-MINERALES</t>
  </si>
  <si>
    <t>01-8686</t>
  </si>
  <si>
    <t>0676288573002</t>
  </si>
  <si>
    <t>01-8687</t>
  </si>
  <si>
    <t>0329288574003</t>
  </si>
  <si>
    <t>ALIMENTOS/FACT 36656/BENEFICIOS EVENTUALES-MEGATECH</t>
  </si>
  <si>
    <t>01-8688</t>
  </si>
  <si>
    <t>0676288574003</t>
  </si>
  <si>
    <t>01-8689</t>
  </si>
  <si>
    <t>0329288575004</t>
  </si>
  <si>
    <t>ALIMENTO/FACT 36657/BENEFICIOS-EVENTUALES P/CEMENTO</t>
  </si>
  <si>
    <t>01-8690</t>
  </si>
  <si>
    <t>0676288575004</t>
  </si>
  <si>
    <t>01-8691</t>
  </si>
  <si>
    <t>0329288576005</t>
  </si>
  <si>
    <t xml:space="preserve">ALIMENTOS/FACT 36655/HARINA-CAFÉ-CARAOTA BENEFICIOS </t>
  </si>
  <si>
    <t>01-8692</t>
  </si>
  <si>
    <t>0676288576005</t>
  </si>
  <si>
    <t>01-8693</t>
  </si>
  <si>
    <t>01-8694</t>
  </si>
  <si>
    <t>01-8695</t>
  </si>
  <si>
    <t>01-8696</t>
  </si>
  <si>
    <t>ANYBETH LEON/BONFI ESPEC AGREGADOS 15/09</t>
  </si>
  <si>
    <t>01-8697</t>
  </si>
  <si>
    <t>01-8698</t>
  </si>
  <si>
    <t>JOSE MORALES/BONFI ESPEC AGREGADOS 15/09</t>
  </si>
  <si>
    <t>01-8699</t>
  </si>
  <si>
    <t>01-8700</t>
  </si>
  <si>
    <t>01-8701</t>
  </si>
  <si>
    <t>01-8702</t>
  </si>
  <si>
    <t>01-8703</t>
  </si>
  <si>
    <t>01-8704</t>
  </si>
  <si>
    <t>01-8705</t>
  </si>
  <si>
    <t>01-8706</t>
  </si>
  <si>
    <t>01-8707</t>
  </si>
  <si>
    <t>CodProv</t>
  </si>
  <si>
    <t>Descrip</t>
  </si>
  <si>
    <t>66</t>
  </si>
  <si>
    <t>HANLEY MARTIN BORGE BALTODANO</t>
  </si>
  <si>
    <t>48</t>
  </si>
  <si>
    <t>001</t>
  </si>
  <si>
    <t>SEGURIDAD</t>
  </si>
  <si>
    <t>PROVEEDORES VARIOS</t>
  </si>
  <si>
    <t>003</t>
  </si>
  <si>
    <t>PROVEEDOR INTERNACIONAL</t>
  </si>
  <si>
    <t>02</t>
  </si>
  <si>
    <t>SENIAT</t>
  </si>
  <si>
    <t>03</t>
  </si>
  <si>
    <t>PARAFISCALES</t>
  </si>
  <si>
    <t>04</t>
  </si>
  <si>
    <t>05</t>
  </si>
  <si>
    <t>IMPUESTOS</t>
  </si>
  <si>
    <t>06</t>
  </si>
  <si>
    <t>07</t>
  </si>
  <si>
    <t>NOTARIAS</t>
  </si>
  <si>
    <t>08</t>
  </si>
  <si>
    <t>PERMISOS</t>
  </si>
  <si>
    <t>09</t>
  </si>
  <si>
    <t>ALCALDIA</t>
  </si>
  <si>
    <t>10</t>
  </si>
  <si>
    <t>SUNAGRO</t>
  </si>
  <si>
    <t>11</t>
  </si>
  <si>
    <t>VIATICO</t>
  </si>
  <si>
    <t>12</t>
  </si>
  <si>
    <t>COMBUSTIBLE</t>
  </si>
  <si>
    <t>13</t>
  </si>
  <si>
    <t>REFRIGERIOS</t>
  </si>
  <si>
    <t>14</t>
  </si>
  <si>
    <t>GASTOS PERSONALES</t>
  </si>
  <si>
    <t>15</t>
  </si>
  <si>
    <t>MAQUINARIAS</t>
  </si>
  <si>
    <t>16</t>
  </si>
  <si>
    <t>CAMIONES</t>
  </si>
  <si>
    <t>17</t>
  </si>
  <si>
    <t>VEHICULOS</t>
  </si>
  <si>
    <t>18</t>
  </si>
  <si>
    <t>19</t>
  </si>
  <si>
    <t>RUEDA DE NEGOCIOS</t>
  </si>
  <si>
    <t>20</t>
  </si>
  <si>
    <t>CONSTRUCCION</t>
  </si>
  <si>
    <t>21</t>
  </si>
  <si>
    <t>LANZAMIENTOS DE CAMPAÑA</t>
  </si>
  <si>
    <t>22</t>
  </si>
  <si>
    <t>PRODUCCION</t>
  </si>
  <si>
    <t>23</t>
  </si>
  <si>
    <t>TELECOMUNICACIONES</t>
  </si>
  <si>
    <t>24</t>
  </si>
  <si>
    <t>EQUIPOS DE TECNOLOGIAS U OFICINA</t>
  </si>
  <si>
    <t>25</t>
  </si>
  <si>
    <t>ARTICULOS DE OFICINA</t>
  </si>
  <si>
    <t>26</t>
  </si>
  <si>
    <t>INFORMATICA</t>
  </si>
  <si>
    <t>27</t>
  </si>
  <si>
    <t>CONTADOR</t>
  </si>
  <si>
    <t>28</t>
  </si>
  <si>
    <t>DAFNE</t>
  </si>
  <si>
    <t>29</t>
  </si>
  <si>
    <t>CORPOELEC</t>
  </si>
  <si>
    <t>30</t>
  </si>
  <si>
    <t>PUBLICIDAD</t>
  </si>
  <si>
    <t>31</t>
  </si>
  <si>
    <t>CONTAINER</t>
  </si>
  <si>
    <t>32</t>
  </si>
  <si>
    <t>TARJETA DE CREDITO</t>
  </si>
  <si>
    <t>33</t>
  </si>
  <si>
    <t>CAJA CHICA</t>
  </si>
  <si>
    <t>34</t>
  </si>
  <si>
    <t>PAGO EFECTIVO</t>
  </si>
  <si>
    <t>35</t>
  </si>
  <si>
    <t>DONACIONES</t>
  </si>
  <si>
    <t>36</t>
  </si>
  <si>
    <t>SUELDOS Y SALARIOS</t>
  </si>
  <si>
    <t>37</t>
  </si>
  <si>
    <t>ARTCULO DE LIMPIEZA</t>
  </si>
  <si>
    <t>38</t>
  </si>
  <si>
    <t>39</t>
  </si>
  <si>
    <t>FLETES</t>
  </si>
  <si>
    <t>40</t>
  </si>
  <si>
    <t>ORGANISMOS GUBERNAMENTALES</t>
  </si>
  <si>
    <t>41</t>
  </si>
  <si>
    <t>42</t>
  </si>
  <si>
    <t>GASTOS MEDCOS /EMPLEADOS</t>
  </si>
  <si>
    <t>43</t>
  </si>
  <si>
    <t>GASTOS MEDCOS /PERSONALES</t>
  </si>
  <si>
    <t>44</t>
  </si>
  <si>
    <t>BANCOS</t>
  </si>
  <si>
    <t>45</t>
  </si>
  <si>
    <t>CONDOMINIOS</t>
  </si>
  <si>
    <t>46</t>
  </si>
  <si>
    <t>PRESTAMOS</t>
  </si>
  <si>
    <t>47</t>
  </si>
  <si>
    <t>ADQUISION</t>
  </si>
  <si>
    <t>SISTEMA TMT</t>
  </si>
  <si>
    <t>49</t>
  </si>
  <si>
    <t>CXC TENDECIAS AB</t>
  </si>
  <si>
    <t>50</t>
  </si>
  <si>
    <t>CXC AGROTENDECIAS</t>
  </si>
  <si>
    <t>51</t>
  </si>
  <si>
    <t>CXC ALIMENTOS AGROTENDECIAS</t>
  </si>
  <si>
    <t>52</t>
  </si>
  <si>
    <t>CXC INDUSTRIAS AGROTENDECIAS</t>
  </si>
  <si>
    <t>53</t>
  </si>
  <si>
    <t>CXC AGUTI</t>
  </si>
  <si>
    <t>54</t>
  </si>
  <si>
    <t>CXC UTILISIMO AB</t>
  </si>
  <si>
    <t>55</t>
  </si>
  <si>
    <t>CUENTA POR COBRAR INVERSIONES AB 2000</t>
  </si>
  <si>
    <t>56</t>
  </si>
  <si>
    <t>CUENTAS XCOBRAR AB REPRESENTCIONES</t>
  </si>
  <si>
    <t>57</t>
  </si>
  <si>
    <t>CUENTA POR COBRAR RESGUARDO</t>
  </si>
  <si>
    <t>58</t>
  </si>
  <si>
    <t>CXC TRANSPORTE Y SERVCI</t>
  </si>
  <si>
    <t>59</t>
  </si>
  <si>
    <t>CXC AGREGADOS TENDECIAS</t>
  </si>
  <si>
    <t>60</t>
  </si>
  <si>
    <t>CXC HERAS NEW FASHION</t>
  </si>
  <si>
    <t>61</t>
  </si>
  <si>
    <t>CXC DIST &amp; IMPORT HJ</t>
  </si>
  <si>
    <t>62</t>
  </si>
  <si>
    <t>CXC SILOS AGROTENDECIAS</t>
  </si>
  <si>
    <t>63</t>
  </si>
  <si>
    <t>CXC AGROPCUARIA TENDENCIAS</t>
  </si>
  <si>
    <t>64</t>
  </si>
  <si>
    <t>CXC FARMATENDECIAS 1</t>
  </si>
  <si>
    <t>65</t>
  </si>
  <si>
    <t>CXC DROGUERIA TENDENCIAS</t>
  </si>
  <si>
    <t>CXC COMEC AGROTENDENCIA</t>
  </si>
  <si>
    <t>67</t>
  </si>
  <si>
    <t>CXC ASC.COOP. INETAR</t>
  </si>
  <si>
    <t>68</t>
  </si>
  <si>
    <t>CXC COMECIAL GLOBAL IMPORT</t>
  </si>
  <si>
    <t>69</t>
  </si>
  <si>
    <t>CXC TENDECIAS VENDE REALIDADES</t>
  </si>
  <si>
    <t>70</t>
  </si>
  <si>
    <t>DOTACION DE UNIFORME</t>
  </si>
  <si>
    <t>71</t>
  </si>
  <si>
    <t>ARACAL/CIARA</t>
  </si>
  <si>
    <t>72</t>
  </si>
  <si>
    <t>CAPACITACIONES</t>
  </si>
  <si>
    <t>73</t>
  </si>
  <si>
    <t>ANGEL SILVA/AGROTENDENCIAS</t>
  </si>
  <si>
    <t>E-819428100</t>
  </si>
  <si>
    <t>Columna3</t>
  </si>
  <si>
    <t>Deposito</t>
  </si>
  <si>
    <t>Cod. Dep</t>
  </si>
  <si>
    <t>coddepo</t>
  </si>
  <si>
    <t>Campaña</t>
  </si>
  <si>
    <t>notas10</t>
  </si>
  <si>
    <t>solo sacomp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</si>
</sst>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/yyyy;@"/>
    <numFmt numFmtId="165" formatCode="dd/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name val="Calibri"/>
      <family val="2"/>
      <scheme val="minor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43" fontId="5" fillId="3" borderId="0" xfId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0" borderId="0" xfId="1" applyNumberFormat="1" applyFont="1"/>
    <xf numFmtId="14" fontId="1" fillId="0" borderId="0" xfId="1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2" borderId="0" xfId="0" applyNumberFormat="1" applyFont="1" applyFill="1"/>
    <xf numFmtId="0" fontId="1" fillId="0" borderId="0" xfId="0" applyFont="1" applyAlignment="1">
      <alignment horizontal="left"/>
    </xf>
    <xf numFmtId="4" fontId="0" fillId="2" borderId="0" xfId="0" applyNumberFormat="1" applyFill="1"/>
    <xf numFmtId="0" fontId="1" fillId="2" borderId="0" xfId="0" applyFont="1" applyFill="1"/>
    <xf numFmtId="14" fontId="1" fillId="0" borderId="0" xfId="0" applyNumberFormat="1" applyFont="1"/>
    <xf numFmtId="0" fontId="2" fillId="2" borderId="0" xfId="0" applyFont="1" applyFill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164" fontId="0" fillId="0" borderId="0" xfId="0" applyNumberFormat="1"/>
    <xf numFmtId="0" fontId="6" fillId="2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5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1" applyNumberFormat="1" applyFont="1" applyFill="1" applyAlignment="1">
      <alignment horizontal="right"/>
    </xf>
    <xf numFmtId="165" fontId="1" fillId="0" borderId="0" xfId="0" applyNumberFormat="1" applyFont="1"/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4" fontId="0" fillId="0" borderId="0" xfId="1" applyNumberFormat="1" applyFont="1" applyFill="1"/>
    <xf numFmtId="4" fontId="0" fillId="0" borderId="0" xfId="1" applyNumberFormat="1" applyFont="1"/>
    <xf numFmtId="0" fontId="11" fillId="0" borderId="0" xfId="0" applyFont="1"/>
    <xf numFmtId="14" fontId="0" fillId="4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5" borderId="0" xfId="0" applyFill="1"/>
    <xf numFmtId="0" fontId="1" fillId="6" borderId="9" xfId="0" applyFont="1" applyFill="1" applyBorder="1"/>
    <xf numFmtId="0" fontId="0" fillId="7" borderId="0" xfId="0" applyFill="1"/>
    <xf numFmtId="16" fontId="0" fillId="2" borderId="0" xfId="0" applyNumberFormat="1" applyFill="1"/>
    <xf numFmtId="0" fontId="12" fillId="0" borderId="0" xfId="0" applyFont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4" fontId="1" fillId="0" borderId="0" xfId="1" applyNumberFormat="1" applyFont="1" applyFill="1" applyBorder="1" applyAlignment="1">
      <alignment wrapText="1"/>
    </xf>
    <xf numFmtId="4" fontId="0" fillId="0" borderId="0" xfId="1" applyNumberFormat="1" applyFont="1" applyAlignment="1">
      <alignment horizontal="right"/>
    </xf>
    <xf numFmtId="0" fontId="0" fillId="8" borderId="0" xfId="0" applyFill="1" applyAlignment="1">
      <alignment wrapText="1"/>
    </xf>
    <xf numFmtId="0" fontId="8" fillId="0" borderId="12" xfId="0" applyFont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 applyAlignment="1">
      <alignment horizontal="left"/>
    </xf>
    <xf numFmtId="43" fontId="0" fillId="0" borderId="0" xfId="1" applyFont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1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3" fontId="0" fillId="2" borderId="0" xfId="1" applyFont="1" applyFill="1" applyAlignment="1">
      <alignment horizontal="left"/>
    </xf>
    <xf numFmtId="14" fontId="0" fillId="4" borderId="0" xfId="0" applyNumberFormat="1" applyFill="1" applyAlignment="1">
      <alignment horizontal="right"/>
    </xf>
    <xf numFmtId="0" fontId="4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43" fontId="0" fillId="4" borderId="0" xfId="1" applyFont="1" applyFill="1" applyAlignment="1">
      <alignment horizontal="left"/>
    </xf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fgColor indexed="64"/>
          <bgColor rgb="FFFFFF00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4141770</xdr:colOff>
      <xdr:row>0</xdr:row>
      <xdr:rowOff>155966</xdr:rowOff>
    </xdr:from>
    <xdr:to>
      <xdr:col>9</xdr:col>
      <xdr:colOff>378154</xdr:colOff>
      <xdr:row>6</xdr:row>
      <xdr:rowOff>79453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658E3-EB55-450B-929B-3296EA2B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70" y="155966"/>
          <a:ext cx="5159404" cy="102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nley\Downloads\TABLA%20DINAMICA%20AGREG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7%20JULIO\07%20TESO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9%20SEPTIEMBRE\09%20MERCANTIL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BANCARIOS"/>
      <sheetName val="EFECTIVO"/>
      <sheetName val="INTERNACIONALES 2024-2025"/>
      <sheetName val="VEHICULOS"/>
      <sheetName val="Hoja1"/>
      <sheetName val="TABLA DINAMICA AGREGAD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 0107202501072025 (7"/>
      <sheetName val="Hoja1"/>
    </sheetNames>
    <sheetDataSet>
      <sheetData sheetId="0" refreshError="1"/>
      <sheetData sheetId="1" refreshError="1">
        <row r="3">
          <cell r="A3">
            <v>110101001</v>
          </cell>
          <cell r="B3" t="str">
            <v>CAJA PUENTE TRANSITORIA</v>
          </cell>
          <cell r="D3" t="str">
            <v>SERVL012</v>
          </cell>
          <cell r="E3" t="str">
            <v>ADQUISICION DE HERRAMIENTAS</v>
          </cell>
        </row>
        <row r="4">
          <cell r="A4">
            <v>110101002</v>
          </cell>
          <cell r="B4" t="str">
            <v>CAJA PRINCIPAL</v>
          </cell>
          <cell r="D4" t="str">
            <v>SERVL012E</v>
          </cell>
          <cell r="E4" t="str">
            <v>ADQUISICION DE HERRAMIENTAS</v>
          </cell>
        </row>
        <row r="5">
          <cell r="A5">
            <v>110102001</v>
          </cell>
          <cell r="B5" t="str">
            <v>BANCO</v>
          </cell>
          <cell r="D5" t="str">
            <v>SERVL016</v>
          </cell>
          <cell r="E5" t="str">
            <v>ADQUISION DE MAQUINARIAS</v>
          </cell>
        </row>
        <row r="6">
          <cell r="A6">
            <v>110102002</v>
          </cell>
          <cell r="B6" t="str">
            <v>BANCO BOD AB</v>
          </cell>
          <cell r="D6" t="str">
            <v>SERVL016E</v>
          </cell>
          <cell r="E6" t="str">
            <v>ADQUISION DE MAQUINARIAS</v>
          </cell>
        </row>
        <row r="7">
          <cell r="A7">
            <v>110102003</v>
          </cell>
          <cell r="B7" t="str">
            <v>BANCO 100% BANCO AB</v>
          </cell>
          <cell r="D7" t="str">
            <v>SERVA047</v>
          </cell>
          <cell r="E7" t="str">
            <v>ALQUILER DE EQUIPOS/HERRAMIENTAS</v>
          </cell>
        </row>
        <row r="8">
          <cell r="A8">
            <v>110102004</v>
          </cell>
          <cell r="B8" t="str">
            <v>BANCO VENEZUELA AB</v>
          </cell>
          <cell r="D8" t="str">
            <v>SERVA047E</v>
          </cell>
          <cell r="E8" t="str">
            <v>ALQUILER DE EQUIPOS/HERRAMIENTAS</v>
          </cell>
        </row>
        <row r="9">
          <cell r="A9">
            <v>110102005</v>
          </cell>
          <cell r="B9" t="str">
            <v>PROVINCIAL AB</v>
          </cell>
          <cell r="D9" t="str">
            <v>SERVB001</v>
          </cell>
          <cell r="E9" t="str">
            <v>COMISIONES BANCARIAS</v>
          </cell>
        </row>
        <row r="10">
          <cell r="A10">
            <v>110102006</v>
          </cell>
          <cell r="B10" t="str">
            <v>BANCO BICENTENARIO AB</v>
          </cell>
          <cell r="D10" t="str">
            <v>SERVB001E</v>
          </cell>
          <cell r="E10" t="str">
            <v>COMISIONES BANCARIAS</v>
          </cell>
        </row>
        <row r="11">
          <cell r="A11">
            <v>110102007</v>
          </cell>
          <cell r="B11" t="str">
            <v>BANCO FONDO COMUN BFC AB</v>
          </cell>
          <cell r="D11" t="str">
            <v>SERVB001</v>
          </cell>
          <cell r="E11" t="str">
            <v>COMISIONES BANCARIAS</v>
          </cell>
        </row>
        <row r="12">
          <cell r="A12">
            <v>110102008</v>
          </cell>
          <cell r="B12" t="str">
            <v>BANESCO AB</v>
          </cell>
          <cell r="D12" t="str">
            <v>SERVB001E</v>
          </cell>
          <cell r="E12" t="str">
            <v>COMISIONES BANCARIAS</v>
          </cell>
        </row>
        <row r="13">
          <cell r="A13">
            <v>110102009</v>
          </cell>
          <cell r="B13" t="str">
            <v>BANCO SOFITASA AB</v>
          </cell>
          <cell r="D13" t="str">
            <v>SERVL009E</v>
          </cell>
          <cell r="E13" t="str">
            <v>COMPONENTES QUIMICOS</v>
          </cell>
        </row>
        <row r="14">
          <cell r="A14">
            <v>110102010</v>
          </cell>
          <cell r="B14" t="str">
            <v>BANCO MERCANTIL AB</v>
          </cell>
          <cell r="D14">
            <v>720101002</v>
          </cell>
          <cell r="E14" t="str">
            <v>COMPRAS DIVISAS</v>
          </cell>
        </row>
        <row r="15">
          <cell r="A15">
            <v>110102011</v>
          </cell>
          <cell r="B15" t="str">
            <v>BANESCO 084 AB</v>
          </cell>
          <cell r="D15" t="str">
            <v>SERVA046</v>
          </cell>
          <cell r="E15" t="str">
            <v>CONSTRUCCION/MANO DE OBRA</v>
          </cell>
        </row>
        <row r="16">
          <cell r="A16">
            <v>110102012</v>
          </cell>
          <cell r="B16" t="str">
            <v>BANESCO TE</v>
          </cell>
          <cell r="D16" t="str">
            <v>SERVA046E</v>
          </cell>
          <cell r="E16" t="str">
            <v>CONSTRUCCION/MANO DE OBRA</v>
          </cell>
        </row>
        <row r="17">
          <cell r="A17">
            <v>110102013</v>
          </cell>
          <cell r="B17" t="str">
            <v>BANCO BNC AB</v>
          </cell>
          <cell r="D17" t="str">
            <v>SERVA045</v>
          </cell>
          <cell r="E17" t="str">
            <v>CONSTRUCCION/MATERIALES</v>
          </cell>
        </row>
        <row r="18">
          <cell r="A18">
            <v>110102014</v>
          </cell>
          <cell r="B18" t="str">
            <v>BANCO CARONI AB</v>
          </cell>
          <cell r="D18" t="str">
            <v>SERVA045E</v>
          </cell>
          <cell r="E18" t="str">
            <v>CONSTRUCCION/MATERIALES</v>
          </cell>
        </row>
        <row r="19">
          <cell r="A19">
            <v>110102015</v>
          </cell>
          <cell r="B19" t="str">
            <v>BANCO ACTIVO AB</v>
          </cell>
          <cell r="D19" t="str">
            <v>SERVE001</v>
          </cell>
          <cell r="E19" t="str">
            <v>CUENTAS POR COBRAR EMPLEADOS</v>
          </cell>
        </row>
        <row r="20">
          <cell r="A20">
            <v>110102016</v>
          </cell>
          <cell r="B20" t="str">
            <v>BANCO EXTERIOR AB</v>
          </cell>
          <cell r="D20" t="str">
            <v>SERVE001E</v>
          </cell>
          <cell r="E20" t="str">
            <v>CUENTAS POR COBRAR EMPLEADOS</v>
          </cell>
        </row>
        <row r="21">
          <cell r="A21">
            <v>110102017</v>
          </cell>
          <cell r="B21" t="str">
            <v>BANCO TESORO AB</v>
          </cell>
          <cell r="D21">
            <v>720101098</v>
          </cell>
          <cell r="E21" t="str">
            <v>CUENTAS X COBRAR COMERCIALIZADORA E IMPORT AB VZLA</v>
          </cell>
        </row>
        <row r="22">
          <cell r="A22">
            <v>110102018</v>
          </cell>
          <cell r="B22" t="str">
            <v>BANCO CARIBE AB</v>
          </cell>
          <cell r="D22" t="str">
            <v>Código</v>
          </cell>
          <cell r="E22" t="str">
            <v>Descripción</v>
          </cell>
        </row>
        <row r="23">
          <cell r="A23">
            <v>110102019</v>
          </cell>
          <cell r="B23" t="str">
            <v>BANCAMIGA AB</v>
          </cell>
          <cell r="D23" t="str">
            <v>SERVL010</v>
          </cell>
          <cell r="E23" t="str">
            <v>EQUIPOS DE LABORATORIO</v>
          </cell>
        </row>
        <row r="24">
          <cell r="A24">
            <v>110102020</v>
          </cell>
          <cell r="B24" t="str">
            <v>BANCO BANPLUS AB</v>
          </cell>
          <cell r="D24" t="str">
            <v>SERVL010E</v>
          </cell>
          <cell r="E24" t="str">
            <v>EQUIPOS DE LABORATORIO</v>
          </cell>
        </row>
        <row r="25">
          <cell r="A25">
            <v>110102021</v>
          </cell>
          <cell r="B25" t="str">
            <v>BANCO DELSUR AB</v>
          </cell>
          <cell r="D25" t="str">
            <v>SERVA022</v>
          </cell>
          <cell r="E25" t="str">
            <v>GASTOS ADQUISICION EQUIPOS INFORMATICOS</v>
          </cell>
        </row>
        <row r="26">
          <cell r="A26">
            <v>110102022</v>
          </cell>
          <cell r="B26" t="str">
            <v>BANCO AGRICOLA AB</v>
          </cell>
          <cell r="D26" t="str">
            <v>SERVA023</v>
          </cell>
          <cell r="E26" t="str">
            <v>GASTOS ADQUISICION EQUIPOS/MOBILIARIO</v>
          </cell>
        </row>
        <row r="27">
          <cell r="A27">
            <v>110102023</v>
          </cell>
          <cell r="B27" t="str">
            <v>BANCO PLAZA AB</v>
          </cell>
          <cell r="D27" t="str">
            <v>SERVA001</v>
          </cell>
          <cell r="E27" t="str">
            <v>GASTOS ASESORIA INFORMATICA/MANTENIMIEN</v>
          </cell>
        </row>
        <row r="28">
          <cell r="A28">
            <v>110102024</v>
          </cell>
          <cell r="B28" t="str">
            <v>CAJA EFECTIVO</v>
          </cell>
          <cell r="D28" t="str">
            <v>SERVA041</v>
          </cell>
          <cell r="E28" t="str">
            <v>GASTOS COMBUSTIBLES PERSONAL</v>
          </cell>
        </row>
        <row r="29">
          <cell r="A29">
            <v>110102025</v>
          </cell>
          <cell r="B29" t="str">
            <v>EFECTIVO SABANA DE PARRA</v>
          </cell>
          <cell r="D29" t="str">
            <v>SERVA041E</v>
          </cell>
          <cell r="E29" t="str">
            <v>GASTOS COMBUSTIBLES PERSONAL</v>
          </cell>
        </row>
        <row r="30">
          <cell r="A30">
            <v>110102026</v>
          </cell>
          <cell r="B30" t="str">
            <v>BANESCO PANAMA AB</v>
          </cell>
          <cell r="D30" t="str">
            <v>SERVA048E</v>
          </cell>
          <cell r="E30" t="str">
            <v>GASTOS CONDOMINIO</v>
          </cell>
        </row>
        <row r="31">
          <cell r="A31">
            <v>110102027</v>
          </cell>
          <cell r="B31" t="str">
            <v>BANK OF AMERICA AB</v>
          </cell>
          <cell r="D31" t="str">
            <v>SERVA002</v>
          </cell>
          <cell r="E31" t="str">
            <v>GASTOS CONSUMIBLES/IMPRESORAS</v>
          </cell>
        </row>
        <row r="32">
          <cell r="A32">
            <v>110102028</v>
          </cell>
          <cell r="B32" t="str">
            <v>BANK OF AMERICA TE</v>
          </cell>
          <cell r="D32" t="str">
            <v>SERVA004</v>
          </cell>
          <cell r="E32" t="str">
            <v>GASTOS CONTADOR</v>
          </cell>
        </row>
        <row r="33">
          <cell r="A33">
            <v>110102029</v>
          </cell>
          <cell r="B33" t="str">
            <v>AMERANT BANK AB</v>
          </cell>
          <cell r="D33" t="str">
            <v>SERVA049</v>
          </cell>
          <cell r="E33" t="str">
            <v>GASTOS DE VEHICULOS/INSUMO</v>
          </cell>
        </row>
        <row r="34">
          <cell r="A34">
            <v>110102030</v>
          </cell>
          <cell r="B34" t="str">
            <v>AMERANT BANK WILIANS</v>
          </cell>
          <cell r="D34" t="str">
            <v>SERVA040</v>
          </cell>
          <cell r="E34" t="str">
            <v>GASTOS DESINFECCION</v>
          </cell>
        </row>
        <row r="35">
          <cell r="A35">
            <v>110102031</v>
          </cell>
          <cell r="B35" t="str">
            <v>MERCANTIL PANAMA AB</v>
          </cell>
          <cell r="D35" t="str">
            <v>SERVA005</v>
          </cell>
          <cell r="E35" t="str">
            <v>GASTOS FLETES Y ENCOMIENDA</v>
          </cell>
        </row>
        <row r="36">
          <cell r="A36">
            <v>110102032</v>
          </cell>
          <cell r="B36" t="str">
            <v>CITI BANK AB</v>
          </cell>
          <cell r="D36" t="str">
            <v>SERVA005E</v>
          </cell>
          <cell r="E36" t="str">
            <v>GASTOS FLETES Y ENCOMIENDA</v>
          </cell>
        </row>
        <row r="37">
          <cell r="A37">
            <v>110102033</v>
          </cell>
          <cell r="B37" t="str">
            <v>CHASE BANK TE</v>
          </cell>
          <cell r="D37" t="str">
            <v>SERVA006</v>
          </cell>
          <cell r="E37" t="str">
            <v>GASTOS FUMIGACION</v>
          </cell>
        </row>
        <row r="38">
          <cell r="A38">
            <v>110102034</v>
          </cell>
          <cell r="B38" t="str">
            <v>BANESCO USA AB</v>
          </cell>
          <cell r="D38" t="str">
            <v>SERVA006E</v>
          </cell>
          <cell r="E38" t="str">
            <v>GASTOS FUMIGACION</v>
          </cell>
        </row>
        <row r="39">
          <cell r="A39">
            <v>110102035</v>
          </cell>
          <cell r="B39" t="str">
            <v>BNCI AB</v>
          </cell>
          <cell r="D39" t="str">
            <v>SERVA007</v>
          </cell>
          <cell r="E39" t="str">
            <v>GASTOS HONORARIO PROFESIONALES</v>
          </cell>
        </row>
        <row r="40">
          <cell r="A40">
            <v>110102036</v>
          </cell>
          <cell r="B40" t="str">
            <v>PAYPAL AB</v>
          </cell>
          <cell r="D40" t="str">
            <v>SERVA019</v>
          </cell>
          <cell r="E40" t="str">
            <v>GASTOS IMPLEMENTOS DE SEGURIDAD</v>
          </cell>
        </row>
        <row r="41">
          <cell r="A41">
            <v>110102037</v>
          </cell>
          <cell r="B41" t="str">
            <v>AIRTM AB</v>
          </cell>
          <cell r="D41" t="str">
            <v>SERVA019E</v>
          </cell>
          <cell r="E41" t="str">
            <v>GASTOS IMPLEMENTOS DE SEGURIDAD</v>
          </cell>
        </row>
        <row r="42">
          <cell r="A42">
            <v>110102038</v>
          </cell>
          <cell r="B42" t="str">
            <v>AIRTM WILIANS</v>
          </cell>
          <cell r="D42" t="str">
            <v>SERVA008</v>
          </cell>
          <cell r="E42" t="str">
            <v>GASTOS INSUMOS LIMPIEZA</v>
          </cell>
        </row>
        <row r="43">
          <cell r="A43">
            <v>110102039</v>
          </cell>
          <cell r="B43" t="str">
            <v>BANCOLOMBIA ANA</v>
          </cell>
          <cell r="D43" t="str">
            <v>SERVA009</v>
          </cell>
          <cell r="E43" t="str">
            <v>GASTOS INVESTIGACION Y DESARROLLO</v>
          </cell>
        </row>
        <row r="44">
          <cell r="A44">
            <v>110102040</v>
          </cell>
          <cell r="B44" t="str">
            <v>UPHOLD WILIANS</v>
          </cell>
          <cell r="D44" t="str">
            <v>SERVA010</v>
          </cell>
          <cell r="E44" t="str">
            <v>GASTOS MANT. EQUIPOS/MOBILIARIO OFICINA</v>
          </cell>
        </row>
        <row r="45">
          <cell r="A45">
            <v>110102041</v>
          </cell>
          <cell r="B45" t="str">
            <v>BOFA XIMENA</v>
          </cell>
          <cell r="D45" t="str">
            <v>SERVL002</v>
          </cell>
          <cell r="E45" t="str">
            <v>GASTOS MANTENIENTO MAQUINARIA</v>
          </cell>
        </row>
        <row r="46">
          <cell r="A46">
            <v>110102042</v>
          </cell>
          <cell r="B46" t="str">
            <v>BOFA XIMENA</v>
          </cell>
          <cell r="D46" t="str">
            <v>SERVL019</v>
          </cell>
          <cell r="E46" t="str">
            <v>GASTOS MANTENIMIENTO CAMIONES/MANO DE O</v>
          </cell>
        </row>
        <row r="47">
          <cell r="A47">
            <v>110102043</v>
          </cell>
          <cell r="B47" t="str">
            <v>BANESCO MM</v>
          </cell>
          <cell r="D47" t="str">
            <v>SERVL019E</v>
          </cell>
          <cell r="E47" t="str">
            <v>GASTOS MANTENIMIENTO CAMIONES/MANO DE O</v>
          </cell>
        </row>
        <row r="48">
          <cell r="A48">
            <v>110102044</v>
          </cell>
          <cell r="B48" t="str">
            <v>BANCO ACTIVO MM</v>
          </cell>
          <cell r="D48" t="str">
            <v>SERVL019</v>
          </cell>
          <cell r="E48" t="str">
            <v>GASTOS MANTENIMIENTO CAMIONES/MANO DE OBRA</v>
          </cell>
        </row>
        <row r="49">
          <cell r="A49">
            <v>110102045</v>
          </cell>
          <cell r="B49" t="str">
            <v>BNC MM</v>
          </cell>
          <cell r="D49" t="str">
            <v>SERVA011</v>
          </cell>
          <cell r="E49" t="str">
            <v>GASTOS MANTENIMIENTO INFORMATICOS</v>
          </cell>
        </row>
        <row r="50">
          <cell r="A50">
            <v>110102046</v>
          </cell>
          <cell r="B50" t="str">
            <v>BANCO DEL TESORO MM</v>
          </cell>
          <cell r="D50" t="str">
            <v>SERVA012E</v>
          </cell>
          <cell r="E50" t="str">
            <v>GASTOS MANTENIMIENTO VEHICULOS</v>
          </cell>
        </row>
        <row r="51">
          <cell r="A51">
            <v>110102047</v>
          </cell>
          <cell r="B51" t="str">
            <v>BANESCO F5</v>
          </cell>
          <cell r="D51" t="str">
            <v>SERVA012</v>
          </cell>
          <cell r="E51" t="str">
            <v>GASTOS MANTENIMIENTO VEHICULOS</v>
          </cell>
        </row>
        <row r="52">
          <cell r="A52">
            <v>110102048</v>
          </cell>
          <cell r="B52" t="str">
            <v>BNC RE</v>
          </cell>
          <cell r="D52" t="str">
            <v>SERVA012E</v>
          </cell>
          <cell r="E52" t="str">
            <v>GASTOS MANTENIMIENTO VEHICULOS</v>
          </cell>
        </row>
        <row r="53">
          <cell r="A53">
            <v>110102049</v>
          </cell>
          <cell r="B53" t="str">
            <v>MERCANTIL VE AB</v>
          </cell>
          <cell r="D53" t="str">
            <v>SERVA013</v>
          </cell>
          <cell r="E53" t="str">
            <v>GASTOS MEDICINA LABORAL</v>
          </cell>
        </row>
        <row r="54">
          <cell r="A54">
            <v>110102050</v>
          </cell>
          <cell r="B54" t="str">
            <v>BANESCO VE AB</v>
          </cell>
          <cell r="D54" t="str">
            <v>SERVA013E</v>
          </cell>
          <cell r="E54" t="str">
            <v>GASTOS MEDICINA LABORAL(E)</v>
          </cell>
        </row>
        <row r="55">
          <cell r="A55">
            <v>110102051</v>
          </cell>
          <cell r="B55" t="str">
            <v>PROVINCIAL VE AB</v>
          </cell>
          <cell r="D55" t="str">
            <v>SERVL014</v>
          </cell>
          <cell r="E55" t="str">
            <v>GASTOS MEJORAS CASA DE LA TORREFACTORA</v>
          </cell>
        </row>
        <row r="56">
          <cell r="A56">
            <v>110102052</v>
          </cell>
          <cell r="B56" t="str">
            <v>BNC VE AB</v>
          </cell>
          <cell r="D56" t="str">
            <v>SERVL014E</v>
          </cell>
          <cell r="E56" t="str">
            <v>GASTOS MEJORAS CASA DE LA TORREFACTORA</v>
          </cell>
        </row>
        <row r="57">
          <cell r="A57">
            <v>110102053</v>
          </cell>
          <cell r="B57" t="str">
            <v>BFC VE AB</v>
          </cell>
          <cell r="D57" t="str">
            <v>SERVL005</v>
          </cell>
          <cell r="E57" t="str">
            <v>GASTOS MEJORAS DE LA PLANTA</v>
          </cell>
        </row>
        <row r="58">
          <cell r="A58">
            <v>110102054</v>
          </cell>
          <cell r="B58" t="str">
            <v>VENEZUELA VE AB</v>
          </cell>
          <cell r="D58" t="str">
            <v>SERVL005E</v>
          </cell>
          <cell r="E58" t="str">
            <v>GASTOS MEJORAS DE LA PLANTA</v>
          </cell>
        </row>
        <row r="59">
          <cell r="A59">
            <v>110102055</v>
          </cell>
          <cell r="B59" t="str">
            <v>BNC VE AB EURO</v>
          </cell>
          <cell r="D59" t="str">
            <v>SERVA015</v>
          </cell>
          <cell r="E59" t="str">
            <v>GASTOS PAPELERIA</v>
          </cell>
        </row>
        <row r="60">
          <cell r="A60">
            <v>110102056</v>
          </cell>
          <cell r="B60" t="str">
            <v>BFC VE AB EURO</v>
          </cell>
          <cell r="D60" t="str">
            <v>SERVA015E</v>
          </cell>
          <cell r="E60" t="str">
            <v>GASTOS PAPELERIA</v>
          </cell>
        </row>
        <row r="61">
          <cell r="A61">
            <v>110102057</v>
          </cell>
          <cell r="B61" t="str">
            <v>MERCANTIL VE AB EURO</v>
          </cell>
          <cell r="D61" t="str">
            <v>SERVC007E</v>
          </cell>
          <cell r="E61" t="str">
            <v>GASTOS PARAFISCALES FAOV</v>
          </cell>
        </row>
        <row r="62">
          <cell r="A62">
            <v>110102058</v>
          </cell>
          <cell r="B62" t="str">
            <v>PROVINCIAL VE AB EURO</v>
          </cell>
          <cell r="D62" t="str">
            <v>SERVC010E</v>
          </cell>
          <cell r="E62" t="str">
            <v>GASTOS PARAFISCALES INCES</v>
          </cell>
        </row>
        <row r="63">
          <cell r="A63">
            <v>110102059</v>
          </cell>
          <cell r="B63" t="str">
            <v>VENEZUELA VE AB EURO</v>
          </cell>
          <cell r="D63" t="str">
            <v>SERVC009E</v>
          </cell>
          <cell r="E63" t="str">
            <v>GASTOS PARAFISCALES MINTRA</v>
          </cell>
        </row>
        <row r="64">
          <cell r="A64">
            <v>110102110</v>
          </cell>
          <cell r="B64" t="str">
            <v>TESORO RESGUARDO</v>
          </cell>
          <cell r="D64" t="str">
            <v>SERVC008E</v>
          </cell>
          <cell r="E64" t="str">
            <v>GASTOS PARAFISCALES SSO</v>
          </cell>
        </row>
        <row r="65">
          <cell r="A65">
            <v>110106001</v>
          </cell>
          <cell r="B65" t="str">
            <v>CUENTAS POR COBRAR CLIENTES</v>
          </cell>
          <cell r="D65" t="str">
            <v>SERVA032</v>
          </cell>
          <cell r="E65" t="str">
            <v>GASTOS PERMISOS MINEC</v>
          </cell>
        </row>
        <row r="66">
          <cell r="A66">
            <v>110106002</v>
          </cell>
          <cell r="B66" t="str">
            <v>CUENTAS POR COBRAR AGUTI</v>
          </cell>
          <cell r="D66" t="str">
            <v>SERVA032E</v>
          </cell>
          <cell r="E66" t="str">
            <v>GASTOS PERMISOS MINEC</v>
          </cell>
        </row>
        <row r="67">
          <cell r="A67">
            <v>110106003</v>
          </cell>
          <cell r="B67" t="str">
            <v>CUENTAS POR COBRAR TENDENCIAS</v>
          </cell>
          <cell r="D67" t="str">
            <v>SERVA031</v>
          </cell>
          <cell r="E67" t="str">
            <v>GASTOS PERMISOS SAPI</v>
          </cell>
        </row>
        <row r="68">
          <cell r="A68">
            <v>110106004</v>
          </cell>
          <cell r="B68" t="str">
            <v>CUENTAS POR COBRAR AGROTENDENCIAS</v>
          </cell>
          <cell r="D68" t="str">
            <v>SERVA031E</v>
          </cell>
          <cell r="E68" t="str">
            <v>GASTOS PERMISOS SAPI</v>
          </cell>
        </row>
        <row r="69">
          <cell r="A69">
            <v>110106005</v>
          </cell>
          <cell r="B69" t="str">
            <v>CUENTAS POR COBRAR MUEBLES</v>
          </cell>
          <cell r="D69" t="str">
            <v>SERVA016</v>
          </cell>
          <cell r="E69" t="str">
            <v>GASTOS PUBLICIDAD</v>
          </cell>
        </row>
        <row r="70">
          <cell r="A70">
            <v>110106006</v>
          </cell>
          <cell r="B70" t="str">
            <v>CUENTAS POR COBRAR F5</v>
          </cell>
          <cell r="D70" t="str">
            <v>SERVA017</v>
          </cell>
          <cell r="E70" t="str">
            <v>GASTOS REFRIGERIOS</v>
          </cell>
        </row>
        <row r="71">
          <cell r="A71">
            <v>110106007</v>
          </cell>
          <cell r="B71" t="str">
            <v>CUENTAS POR COBRAR INVERSIONES AB</v>
          </cell>
          <cell r="D71" t="str">
            <v>SERVA017E</v>
          </cell>
          <cell r="E71" t="str">
            <v>GASTOS REFRIGERIOS</v>
          </cell>
        </row>
        <row r="72">
          <cell r="A72">
            <v>110106008</v>
          </cell>
          <cell r="B72" t="str">
            <v>CUENTAS POR COBRAR RESGUARDO</v>
          </cell>
          <cell r="D72" t="str">
            <v>SERVA018</v>
          </cell>
          <cell r="E72" t="str">
            <v>GASTOS REPRESENTACION</v>
          </cell>
        </row>
        <row r="73">
          <cell r="A73">
            <v>110106009</v>
          </cell>
          <cell r="B73" t="str">
            <v>CUENTAS POR COBRAR COMERCIALIZADORA AB</v>
          </cell>
          <cell r="D73" t="str">
            <v>SERVA018E</v>
          </cell>
          <cell r="E73" t="str">
            <v>GASTOS REPRESENTACION (E)</v>
          </cell>
        </row>
        <row r="74">
          <cell r="A74">
            <v>110106010</v>
          </cell>
          <cell r="B74" t="str">
            <v>CUENTAS POR COBRAR PERSONAL DE SEGURIDAD</v>
          </cell>
          <cell r="D74" t="str">
            <v>SERVA026</v>
          </cell>
          <cell r="E74" t="str">
            <v>GASTOS SEGURIDAD /RESGUARDO</v>
          </cell>
        </row>
        <row r="75">
          <cell r="A75">
            <v>110106099</v>
          </cell>
          <cell r="B75" t="str">
            <v>CUENTAS X COBRAR CLIENTES</v>
          </cell>
          <cell r="D75" t="str">
            <v>SERVA026E</v>
          </cell>
          <cell r="E75" t="str">
            <v>GASTOS SEGURIDAD /RESGUARDO</v>
          </cell>
        </row>
        <row r="76">
          <cell r="A76">
            <v>110107001</v>
          </cell>
          <cell r="B76" t="str">
            <v>CUENTAS POR COBRAR PROVEEDORES</v>
          </cell>
          <cell r="D76" t="str">
            <v>SERVC001E</v>
          </cell>
          <cell r="E76" t="str">
            <v>GASTOS SENIAT</v>
          </cell>
        </row>
        <row r="77">
          <cell r="A77">
            <v>110110001</v>
          </cell>
          <cell r="B77" t="str">
            <v>EFECTOS POR COBRAR</v>
          </cell>
          <cell r="D77" t="str">
            <v>SERVA030</v>
          </cell>
          <cell r="E77" t="str">
            <v>GASTOS TELECOMUNICACIONES/INTERNET</v>
          </cell>
        </row>
        <row r="78">
          <cell r="A78">
            <v>110113001</v>
          </cell>
          <cell r="B78" t="str">
            <v>CUENTAS POR COBRAR EMPLEADOS</v>
          </cell>
          <cell r="D78" t="str">
            <v>SERVA030E</v>
          </cell>
          <cell r="E78" t="str">
            <v>GASTOS TELECOMUNICACIONES/INTERNET</v>
          </cell>
        </row>
        <row r="79">
          <cell r="A79">
            <v>110113002</v>
          </cell>
          <cell r="B79" t="str">
            <v>CUENTAS POR COBRAR GUILLERMO</v>
          </cell>
          <cell r="D79" t="str">
            <v>SERVA020</v>
          </cell>
          <cell r="E79" t="str">
            <v>GASTOS UNIFORME Y DOTACIONES</v>
          </cell>
        </row>
        <row r="80">
          <cell r="A80">
            <v>110114001</v>
          </cell>
          <cell r="B80" t="str">
            <v>ANTICIPO PROVEDORES</v>
          </cell>
          <cell r="D80" t="str">
            <v>SERVA021E</v>
          </cell>
          <cell r="E80" t="str">
            <v>GASTOS VIATICOS</v>
          </cell>
        </row>
        <row r="81">
          <cell r="A81">
            <v>110120001</v>
          </cell>
          <cell r="B81" t="str">
            <v>INVENTARIO DE MERCANCIA</v>
          </cell>
          <cell r="D81" t="str">
            <v>SERVA021</v>
          </cell>
          <cell r="E81" t="str">
            <v>GASTOS VIATICOS</v>
          </cell>
        </row>
        <row r="82">
          <cell r="A82">
            <v>110125001</v>
          </cell>
          <cell r="B82" t="str">
            <v>DECLARACION ESTIMADA I.S.L.R</v>
          </cell>
          <cell r="D82" t="str">
            <v>SERVB002</v>
          </cell>
          <cell r="E82" t="str">
            <v>IMPUESTO A LAS GRANDES TRANSACCIONES FI</v>
          </cell>
        </row>
        <row r="83">
          <cell r="A83">
            <v>110125002</v>
          </cell>
          <cell r="B83" t="str">
            <v>ANTCIPO DE I.S.L.R</v>
          </cell>
          <cell r="D83" t="str">
            <v>SERVB002E</v>
          </cell>
          <cell r="E83" t="str">
            <v>IMPUESTO A LAS GRANDES TRANSACCIONES FI</v>
          </cell>
        </row>
        <row r="84">
          <cell r="A84">
            <v>110127001</v>
          </cell>
          <cell r="B84" t="str">
            <v>ADELANTO HANLEY MARTIN BORGE</v>
          </cell>
          <cell r="D84" t="str">
            <v>SERVB002</v>
          </cell>
          <cell r="E84" t="str">
            <v>IMPUESTO A LAS GRANDES TRANSACCIONES FINANCIERAS</v>
          </cell>
        </row>
        <row r="85">
          <cell r="A85">
            <v>110127002</v>
          </cell>
          <cell r="B85" t="str">
            <v>TELECOMUNICACIONES CABLENET</v>
          </cell>
          <cell r="D85" t="str">
            <v>SERVB002E</v>
          </cell>
          <cell r="E85" t="str">
            <v>IMPUESTO A LAS GRANDES TRANSACCIONES FINANCIERAS</v>
          </cell>
        </row>
        <row r="86">
          <cell r="A86">
            <v>120101001</v>
          </cell>
          <cell r="B86" t="str">
            <v>MOBILIARIO Y EQUIPOS DE OFICINA</v>
          </cell>
          <cell r="D86" t="str">
            <v>SERVA24</v>
          </cell>
          <cell r="E86" t="str">
            <v>IMPUESTO IGTF (pago divisas)</v>
          </cell>
        </row>
        <row r="87">
          <cell r="A87">
            <v>120101002</v>
          </cell>
          <cell r="B87" t="str">
            <v>DEPRECIACION ACUMULADA MOBILIARIOS Y EQUIPOS</v>
          </cell>
          <cell r="D87" t="str">
            <v>SERVA028</v>
          </cell>
          <cell r="E87" t="str">
            <v>INSUMO MEDICINA LABORAL</v>
          </cell>
        </row>
        <row r="88">
          <cell r="A88">
            <v>120104001</v>
          </cell>
          <cell r="B88" t="str">
            <v>VEHICULO</v>
          </cell>
          <cell r="D88" t="str">
            <v>SERVA028E</v>
          </cell>
          <cell r="E88" t="str">
            <v>INSUMO MEDICINA LABORAL</v>
          </cell>
        </row>
        <row r="89">
          <cell r="A89">
            <v>120104002</v>
          </cell>
          <cell r="B89" t="str">
            <v>DEPRECIACION ACUMULADA VEHICULO</v>
          </cell>
          <cell r="D89" t="str">
            <v>SERVP006</v>
          </cell>
          <cell r="E89" t="str">
            <v>INSUMOS DE EXPLOTACION DE MATERIA PRIMA</v>
          </cell>
        </row>
        <row r="90">
          <cell r="A90">
            <v>120105001</v>
          </cell>
          <cell r="B90" t="str">
            <v>INMUEBLE</v>
          </cell>
          <cell r="D90" t="str">
            <v>SERVL013</v>
          </cell>
          <cell r="E90" t="str">
            <v>INSUMOS MANTENIMIENTOS</v>
          </cell>
        </row>
        <row r="91">
          <cell r="A91">
            <v>120105002</v>
          </cell>
          <cell r="B91" t="str">
            <v>DEPRECIACION ACUMULADA INMUEBLE</v>
          </cell>
          <cell r="D91" t="str">
            <v>SERVL017</v>
          </cell>
          <cell r="E91" t="str">
            <v>INSUMOS MAQUINARIAS</v>
          </cell>
        </row>
        <row r="92">
          <cell r="A92">
            <v>130101001</v>
          </cell>
          <cell r="B92" t="str">
            <v>AJUSTE DE RECONVERSION MONETARIA</v>
          </cell>
          <cell r="D92" t="str">
            <v>SERVB003</v>
          </cell>
          <cell r="E92" t="str">
            <v>INTERESES POR CREDITO BANCARIO</v>
          </cell>
        </row>
        <row r="93">
          <cell r="A93">
            <v>210101001</v>
          </cell>
          <cell r="B93" t="str">
            <v>CUENTAS POR PAGAR PROVEEDORES</v>
          </cell>
          <cell r="D93" t="str">
            <v>SERVB003E</v>
          </cell>
          <cell r="E93" t="str">
            <v>INTERESES POR CREDITO BANCARIO</v>
          </cell>
        </row>
        <row r="94">
          <cell r="A94">
            <v>210115001</v>
          </cell>
          <cell r="B94" t="str">
            <v>CUENTA POR PAGAR ASOC COOP TENDENCIAS</v>
          </cell>
          <cell r="D94" t="str">
            <v>SERVB003</v>
          </cell>
          <cell r="E94" t="str">
            <v>INTERESES POR CREDITO BANCARIO</v>
          </cell>
        </row>
        <row r="95">
          <cell r="A95">
            <v>210115002</v>
          </cell>
          <cell r="B95" t="str">
            <v>CUENTAS POR PAGAR INTERCOMPAÑIAS</v>
          </cell>
          <cell r="D95" t="str">
            <v>SERVB003E</v>
          </cell>
          <cell r="E95" t="str">
            <v>INTERESES POR CREDITO BANCARIO</v>
          </cell>
        </row>
        <row r="96">
          <cell r="A96">
            <v>210115003</v>
          </cell>
          <cell r="B96" t="str">
            <v>CUENTA POR PAGAR TENDENCIAS AB</v>
          </cell>
          <cell r="D96" t="str">
            <v>SERVB004</v>
          </cell>
          <cell r="E96" t="str">
            <v>INTERESES POR TITULO DE COBERTURA</v>
          </cell>
        </row>
        <row r="97">
          <cell r="A97">
            <v>210201001</v>
          </cell>
          <cell r="B97" t="str">
            <v>CUENTAS POR PAGAR BANCOS BANESCO</v>
          </cell>
          <cell r="D97" t="str">
            <v>SERVB004E</v>
          </cell>
          <cell r="E97" t="str">
            <v>INTERESES POR TITULO DE COBERTURA</v>
          </cell>
        </row>
        <row r="98">
          <cell r="A98">
            <v>210201002</v>
          </cell>
          <cell r="B98" t="str">
            <v>CUENTAS POR PAGAR BANCOS PROVINCIAL</v>
          </cell>
          <cell r="D98" t="str">
            <v>SERVB004</v>
          </cell>
          <cell r="E98" t="str">
            <v>INTERESES POR TITULO DE COBERTURA</v>
          </cell>
        </row>
        <row r="99">
          <cell r="A99">
            <v>210201003</v>
          </cell>
          <cell r="B99" t="str">
            <v>CUENTAS POR PAGAR BANCOS VNZLA</v>
          </cell>
          <cell r="D99" t="str">
            <v>SERVB004E</v>
          </cell>
          <cell r="E99" t="str">
            <v>INTERESES POR TITULO DE COBERTURA</v>
          </cell>
        </row>
        <row r="100">
          <cell r="A100">
            <v>210201004</v>
          </cell>
          <cell r="B100" t="str">
            <v>CUENTAS POR PAGAR BANCO MERCANTIL</v>
          </cell>
          <cell r="D100" t="str">
            <v>SERVC004E</v>
          </cell>
          <cell r="E100" t="str">
            <v>PAGO ISLR/ ADELANTOS</v>
          </cell>
        </row>
        <row r="101">
          <cell r="A101">
            <v>210201005</v>
          </cell>
          <cell r="B101" t="str">
            <v>CUENTAS POR PAGAR BANCO BOD</v>
          </cell>
          <cell r="D101" t="str">
            <v>SERVC005E</v>
          </cell>
          <cell r="E101" t="str">
            <v>PAGO IVA/ ADELANTOS</v>
          </cell>
        </row>
        <row r="102">
          <cell r="A102">
            <v>210201006</v>
          </cell>
          <cell r="B102" t="str">
            <v>CUENTAS POR PAGAR BANCO BFC</v>
          </cell>
          <cell r="D102" t="str">
            <v>SERVB006</v>
          </cell>
          <cell r="E102" t="str">
            <v>PRESTAMOS BANCARIOS</v>
          </cell>
        </row>
        <row r="103">
          <cell r="A103">
            <v>210201007</v>
          </cell>
          <cell r="B103" t="str">
            <v>CUENTAS POR PAGAR BANCO CARONI</v>
          </cell>
          <cell r="D103" t="str">
            <v>SERVB006E</v>
          </cell>
          <cell r="E103" t="str">
            <v>PRESTAMOS BANCARIOS</v>
          </cell>
        </row>
        <row r="104">
          <cell r="A104">
            <v>210201008</v>
          </cell>
          <cell r="B104" t="str">
            <v>CUENTAS POR PAGAR BANCO SOFITASA</v>
          </cell>
          <cell r="D104" t="str">
            <v>SERVB006</v>
          </cell>
          <cell r="E104" t="str">
            <v>PRESTAMOS BANCARIOS</v>
          </cell>
        </row>
        <row r="105">
          <cell r="A105">
            <v>210201009</v>
          </cell>
          <cell r="B105" t="str">
            <v>CUENTAS POR PAGAR BANCO BNC</v>
          </cell>
          <cell r="D105" t="str">
            <v>SERVB006E</v>
          </cell>
          <cell r="E105" t="str">
            <v>PRESTAMOS BANCARIOS</v>
          </cell>
        </row>
        <row r="106">
          <cell r="A106">
            <v>210201010</v>
          </cell>
          <cell r="B106" t="str">
            <v>CUENTAS POR PAGAR BANCO BANESCO 084</v>
          </cell>
          <cell r="D106" t="str">
            <v>SERVC011</v>
          </cell>
          <cell r="E106" t="str">
            <v>PROTECCION A LAS PENSIONES</v>
          </cell>
        </row>
        <row r="107">
          <cell r="A107">
            <v>210201011</v>
          </cell>
          <cell r="B107" t="str">
            <v>CUENTAS POR PAGAR BANCO TESORO</v>
          </cell>
          <cell r="D107" t="str">
            <v>SERVC011E</v>
          </cell>
          <cell r="E107" t="str">
            <v>PROTECCION A LAS PENSIONES</v>
          </cell>
        </row>
        <row r="108">
          <cell r="A108">
            <v>210301001</v>
          </cell>
          <cell r="B108" t="str">
            <v>15 DIAS DE ANTIGUEDAD POR PAGAR</v>
          </cell>
          <cell r="D108" t="str">
            <v>SERVC003E</v>
          </cell>
          <cell r="E108" t="str">
            <v>RETENCIONES ISLR</v>
          </cell>
        </row>
        <row r="109">
          <cell r="A109">
            <v>210401001</v>
          </cell>
          <cell r="B109" t="str">
            <v>I.G.V. POR PAGAR (DEBITO FISCAL)</v>
          </cell>
          <cell r="D109" t="str">
            <v>SERVC002E</v>
          </cell>
          <cell r="E109" t="str">
            <v>RETENCIONES IVA</v>
          </cell>
        </row>
        <row r="110">
          <cell r="A110">
            <v>210402001</v>
          </cell>
          <cell r="B110" t="str">
            <v>I.G.V. POR PAGAR (CREDITO FISCAL)</v>
          </cell>
          <cell r="D110" t="str">
            <v>SERVA027</v>
          </cell>
          <cell r="E110" t="str">
            <v>SENCAMER</v>
          </cell>
        </row>
        <row r="111">
          <cell r="A111">
            <v>210403001</v>
          </cell>
          <cell r="B111" t="str">
            <v>RETENCIONES IVA ACUMULADAS POR DESCONTAR</v>
          </cell>
          <cell r="D111" t="str">
            <v>SERVA027E</v>
          </cell>
          <cell r="E111" t="str">
            <v>SENCAMER</v>
          </cell>
        </row>
        <row r="112">
          <cell r="A112">
            <v>210403002</v>
          </cell>
          <cell r="B112" t="str">
            <v>EXCEDENTES</v>
          </cell>
          <cell r="D112" t="str">
            <v>SERVC006E</v>
          </cell>
          <cell r="E112" t="str">
            <v>SUELDOS Y SALARIOS/BONO ALIMENTACION</v>
          </cell>
        </row>
        <row r="113">
          <cell r="A113">
            <v>210404001</v>
          </cell>
          <cell r="B113" t="str">
            <v>RETENCIONES IVA DEL PERIODO</v>
          </cell>
          <cell r="D113" t="str">
            <v>SERVB005</v>
          </cell>
          <cell r="E113" t="str">
            <v>TITULO DE COBERTURA</v>
          </cell>
        </row>
        <row r="114">
          <cell r="A114">
            <v>210405001</v>
          </cell>
          <cell r="B114" t="str">
            <v>EXCEDENTE DE CREDITO FISCAL</v>
          </cell>
          <cell r="D114" t="str">
            <v>SERVB005E</v>
          </cell>
          <cell r="E114" t="str">
            <v>TITULO DE COBERTURA</v>
          </cell>
        </row>
        <row r="115">
          <cell r="A115">
            <v>210406001</v>
          </cell>
          <cell r="B115" t="str">
            <v>I.V.A. POR PAGAR</v>
          </cell>
          <cell r="D115" t="str">
            <v>SERVB005</v>
          </cell>
          <cell r="E115" t="str">
            <v>TITULO DE COBERTURA</v>
          </cell>
        </row>
        <row r="116">
          <cell r="A116">
            <v>210501001</v>
          </cell>
          <cell r="B116" t="str">
            <v>I.S.L.R. DEL EJERCICIO POR PAGAR</v>
          </cell>
          <cell r="D116" t="str">
            <v>SERVB005E</v>
          </cell>
          <cell r="E116" t="str">
            <v>TITULO DE COBERTURA</v>
          </cell>
        </row>
        <row r="117">
          <cell r="A117">
            <v>210501002</v>
          </cell>
          <cell r="B117" t="str">
            <v>DECLARACION ESTIMADA</v>
          </cell>
          <cell r="D117" t="str">
            <v>SERVL018</v>
          </cell>
          <cell r="E117" t="str">
            <v>GASTOS CAMIONES/INSUMOS</v>
          </cell>
        </row>
        <row r="118">
          <cell r="A118">
            <v>210601001</v>
          </cell>
          <cell r="B118" t="str">
            <v>RETENCION ISLR POR PAGAR</v>
          </cell>
          <cell r="D118" t="str">
            <v>SERVC012E</v>
          </cell>
          <cell r="E118" t="str">
            <v>BENEFICIO ALIMENTICIO</v>
          </cell>
        </row>
        <row r="119">
          <cell r="A119">
            <v>210701001</v>
          </cell>
          <cell r="B119" t="str">
            <v>RETENCIONES LPH POR PAGAR EMPLEADOS</v>
          </cell>
          <cell r="D119" t="str">
            <v>SERVA044E</v>
          </cell>
          <cell r="E119" t="str">
            <v>GASTOS CONTAINER</v>
          </cell>
        </row>
        <row r="120">
          <cell r="A120">
            <v>210701002</v>
          </cell>
          <cell r="B120" t="str">
            <v>RETENCION LPH POR PAGAR PATRONAL</v>
          </cell>
          <cell r="D120" t="str">
            <v>SERVL004E</v>
          </cell>
          <cell r="E120" t="str">
            <v xml:space="preserve">VIAJE DE AGUA CISTERNA </v>
          </cell>
        </row>
        <row r="121">
          <cell r="A121">
            <v>210801001</v>
          </cell>
          <cell r="B121" t="str">
            <v>RETENCIONES IVSS POR PAGAR EMPLEADOS</v>
          </cell>
          <cell r="D121" t="str">
            <v>SERVA043</v>
          </cell>
          <cell r="E121" t="str">
            <v>DONACION</v>
          </cell>
        </row>
        <row r="122">
          <cell r="A122">
            <v>210801002</v>
          </cell>
          <cell r="B122" t="str">
            <v>RETENCIONES SPF POR PAGAR EMPLEADOS</v>
          </cell>
          <cell r="D122" t="str">
            <v>SERVA051E</v>
          </cell>
          <cell r="E122" t="str">
            <v>POLIZA DE SEGURO AMBIENTAL</v>
          </cell>
        </row>
        <row r="123">
          <cell r="A123">
            <v>210801003</v>
          </cell>
          <cell r="B123" t="str">
            <v>RETENCIONES IVSS POR PAGAR PATRONAL</v>
          </cell>
        </row>
        <row r="124">
          <cell r="A124">
            <v>210801004</v>
          </cell>
          <cell r="B124" t="str">
            <v>RETENCIONES SPF POR PAGAR PATRONAL</v>
          </cell>
        </row>
        <row r="125">
          <cell r="A125">
            <v>210901001</v>
          </cell>
          <cell r="B125" t="str">
            <v>BONO ALIMENTACION POR PAGAR</v>
          </cell>
        </row>
        <row r="126">
          <cell r="A126">
            <v>210901099</v>
          </cell>
          <cell r="B126" t="str">
            <v>BONO ALIMENTACION COMPLEMENTARIA</v>
          </cell>
        </row>
        <row r="127">
          <cell r="A127">
            <v>211001001</v>
          </cell>
          <cell r="B127" t="str">
            <v>RETENCION INCE</v>
          </cell>
        </row>
        <row r="128">
          <cell r="A128">
            <v>211001002</v>
          </cell>
          <cell r="B128" t="str">
            <v>INCES 1/2 % TRABAJADOR</v>
          </cell>
        </row>
        <row r="129">
          <cell r="A129">
            <v>211001003</v>
          </cell>
          <cell r="B129" t="str">
            <v>INCES INTERESES</v>
          </cell>
        </row>
        <row r="130">
          <cell r="A130">
            <v>211101001</v>
          </cell>
          <cell r="B130" t="str">
            <v>VACACIONES POR PAGAR</v>
          </cell>
        </row>
        <row r="131">
          <cell r="A131">
            <v>211201001</v>
          </cell>
          <cell r="B131" t="str">
            <v>BENEFICIO ANUAL POR PAGAR</v>
          </cell>
        </row>
        <row r="132">
          <cell r="A132">
            <v>211501001</v>
          </cell>
          <cell r="B132" t="str">
            <v>DIAS ADICIONALES DE ANTIGUEDAD POR PAGAR</v>
          </cell>
        </row>
        <row r="133">
          <cell r="A133">
            <v>212601001</v>
          </cell>
          <cell r="B133" t="str">
            <v>RETENCION COMPRAS 75%</v>
          </cell>
        </row>
        <row r="134">
          <cell r="A134">
            <v>212901001</v>
          </cell>
          <cell r="B134" t="str">
            <v>SUELDOS Y SALARIOS POR PAGAR</v>
          </cell>
        </row>
        <row r="135">
          <cell r="A135">
            <v>213001001</v>
          </cell>
          <cell r="B135" t="str">
            <v>SUELDOS A DIRECTORES POR PAGAR</v>
          </cell>
        </row>
        <row r="136">
          <cell r="A136">
            <v>213101001</v>
          </cell>
          <cell r="B136" t="str">
            <v>SEGURO SOCIAL POR PAGAR</v>
          </cell>
        </row>
        <row r="137">
          <cell r="A137">
            <v>213201001</v>
          </cell>
          <cell r="B137" t="str">
            <v>BANAVIH POR PAGAR</v>
          </cell>
        </row>
        <row r="138">
          <cell r="A138">
            <v>213401001</v>
          </cell>
          <cell r="B138" t="str">
            <v>PROTECCION A LA PENSIONES POR PAGAR</v>
          </cell>
        </row>
        <row r="139">
          <cell r="A139">
            <v>310101001</v>
          </cell>
          <cell r="B139" t="str">
            <v>CAPITAL SUSCRITO Y PAGADO</v>
          </cell>
        </row>
        <row r="140">
          <cell r="A140">
            <v>310101002</v>
          </cell>
          <cell r="B140" t="str">
            <v>AUMENTO DE CAPITAL</v>
          </cell>
        </row>
        <row r="141">
          <cell r="A141">
            <v>310201001</v>
          </cell>
          <cell r="B141" t="str">
            <v>UTILIDAD DEL EJERCICIO</v>
          </cell>
        </row>
        <row r="142">
          <cell r="A142">
            <v>310202001</v>
          </cell>
          <cell r="B142" t="str">
            <v>UTILIDAD DEL EJERCICIO POR INFLACION</v>
          </cell>
        </row>
        <row r="143">
          <cell r="A143">
            <v>310301001</v>
          </cell>
          <cell r="B143" t="str">
            <v>PERDIDA DEL EJERCICIO</v>
          </cell>
        </row>
        <row r="144">
          <cell r="A144">
            <v>310302001</v>
          </cell>
          <cell r="B144" t="str">
            <v>PERDIDA ACUMULADA POR INFLACION</v>
          </cell>
        </row>
        <row r="145">
          <cell r="A145">
            <v>310303001</v>
          </cell>
          <cell r="B145" t="str">
            <v>PERDIDA DEL EJERCICIO POR INFLACION</v>
          </cell>
        </row>
        <row r="146">
          <cell r="A146">
            <v>310401001</v>
          </cell>
          <cell r="B146" t="str">
            <v>UTILIDADES ACUMULADAS</v>
          </cell>
        </row>
        <row r="147">
          <cell r="A147">
            <v>310402001</v>
          </cell>
          <cell r="B147" t="str">
            <v>PERDIDAS ACUMULADAS</v>
          </cell>
        </row>
        <row r="148">
          <cell r="A148">
            <v>310403001</v>
          </cell>
          <cell r="B148" t="str">
            <v>UTILIDAD ACUMULADA POR INFLACION</v>
          </cell>
        </row>
        <row r="149">
          <cell r="A149">
            <v>310601001</v>
          </cell>
          <cell r="B149" t="str">
            <v>PERDIDAS ACUMULADAS</v>
          </cell>
        </row>
        <row r="150">
          <cell r="A150">
            <v>310801001</v>
          </cell>
          <cell r="B150" t="str">
            <v>RESERVA LEGAL</v>
          </cell>
        </row>
        <row r="151">
          <cell r="A151">
            <v>312001001</v>
          </cell>
          <cell r="B151" t="str">
            <v>APORTE POR CAPITALIZAR</v>
          </cell>
        </row>
        <row r="152">
          <cell r="A152">
            <v>410101001</v>
          </cell>
          <cell r="B152" t="str">
            <v>INGRESOS POR VENTAS</v>
          </cell>
        </row>
        <row r="153">
          <cell r="A153">
            <v>410202001</v>
          </cell>
          <cell r="B153" t="str">
            <v>DEVOLUCIONES EN VENTAS CON IVA</v>
          </cell>
        </row>
        <row r="154">
          <cell r="A154">
            <v>420101001</v>
          </cell>
          <cell r="B154" t="str">
            <v>INGRESOS POR INTERESES BANCARIOS</v>
          </cell>
        </row>
        <row r="155">
          <cell r="A155">
            <v>510101001</v>
          </cell>
          <cell r="B155" t="str">
            <v>COMPRAS CON IVA</v>
          </cell>
        </row>
        <row r="156">
          <cell r="A156">
            <v>510101002</v>
          </cell>
          <cell r="B156" t="str">
            <v>INVENTARIO INICIAL</v>
          </cell>
        </row>
        <row r="157">
          <cell r="A157">
            <v>510101003</v>
          </cell>
          <cell r="B157" t="str">
            <v>INVENTARIO FINAL</v>
          </cell>
        </row>
        <row r="158">
          <cell r="A158">
            <v>510101004</v>
          </cell>
          <cell r="B158" t="str">
            <v>COMPRAS EXENTAS</v>
          </cell>
        </row>
        <row r="159">
          <cell r="A159">
            <v>510101005</v>
          </cell>
          <cell r="B159" t="str">
            <v>MATERIA PRIMA</v>
          </cell>
        </row>
        <row r="160">
          <cell r="A160">
            <v>510101006</v>
          </cell>
          <cell r="B160" t="str">
            <v>INVENTARIO DE PRODUCTOS TERMINADOS</v>
          </cell>
        </row>
        <row r="161">
          <cell r="A161">
            <v>510101007</v>
          </cell>
          <cell r="B161" t="str">
            <v>COMPRAS IMPORTADAS</v>
          </cell>
        </row>
        <row r="162">
          <cell r="A162">
            <v>510101008</v>
          </cell>
          <cell r="B162" t="str">
            <v>GASTOS DE ADUANA</v>
          </cell>
        </row>
        <row r="163">
          <cell r="A163">
            <v>510202001</v>
          </cell>
          <cell r="B163" t="str">
            <v>DESCUENTOS Y DEVOLUCIONES EN COMPRAS</v>
          </cell>
        </row>
        <row r="164">
          <cell r="A164">
            <v>510202002</v>
          </cell>
          <cell r="B164" t="str">
            <v>DESCUENTO POR PRONTO PAGO</v>
          </cell>
        </row>
        <row r="165">
          <cell r="A165">
            <v>520101001</v>
          </cell>
          <cell r="B165" t="str">
            <v>ANALISTA</v>
          </cell>
        </row>
        <row r="166">
          <cell r="A166">
            <v>520102001</v>
          </cell>
          <cell r="B166" t="str">
            <v>CHOFERES</v>
          </cell>
        </row>
        <row r="167">
          <cell r="A167">
            <v>520103001</v>
          </cell>
          <cell r="B167" t="str">
            <v>AYUDANTES</v>
          </cell>
        </row>
        <row r="168">
          <cell r="A168">
            <v>520104001</v>
          </cell>
          <cell r="B168" t="str">
            <v>ALMACENISTAS</v>
          </cell>
        </row>
        <row r="169">
          <cell r="A169">
            <v>520105001</v>
          </cell>
          <cell r="B169" t="str">
            <v>AYUDANTE DE ALMACEN</v>
          </cell>
        </row>
        <row r="170">
          <cell r="A170">
            <v>520106001</v>
          </cell>
          <cell r="B170" t="str">
            <v>MANTENIMIENTO</v>
          </cell>
        </row>
        <row r="171">
          <cell r="A171">
            <v>610101001</v>
          </cell>
          <cell r="B171" t="str">
            <v>SUELDOS Y SALARIOS</v>
          </cell>
        </row>
        <row r="172">
          <cell r="A172">
            <v>610101002</v>
          </cell>
          <cell r="B172" t="str">
            <v>SUELDOS Y SALARIOS DIRECTORES</v>
          </cell>
        </row>
        <row r="173">
          <cell r="A173">
            <v>610101003</v>
          </cell>
          <cell r="B173" t="str">
            <v>VACACIONES</v>
          </cell>
        </row>
        <row r="174">
          <cell r="A174">
            <v>610101004</v>
          </cell>
          <cell r="B174" t="str">
            <v>UTILIDADES</v>
          </cell>
        </row>
        <row r="175">
          <cell r="A175">
            <v>610101005</v>
          </cell>
          <cell r="B175" t="str">
            <v>PRESTACIONES Y LIQUIDACIONES</v>
          </cell>
        </row>
        <row r="176">
          <cell r="A176">
            <v>610101006</v>
          </cell>
          <cell r="B176" t="str">
            <v>BONO LIBERALIDAD PATRONAL</v>
          </cell>
        </row>
        <row r="177">
          <cell r="A177">
            <v>610101007</v>
          </cell>
          <cell r="B177" t="str">
            <v>BONO ALIMENTACION</v>
          </cell>
        </row>
        <row r="178">
          <cell r="A178">
            <v>610102001</v>
          </cell>
          <cell r="B178" t="str">
            <v>APORTE PATRONAL SSO</v>
          </cell>
        </row>
        <row r="179">
          <cell r="A179">
            <v>610102002</v>
          </cell>
          <cell r="B179" t="str">
            <v>APORTE PATRONAL SPF</v>
          </cell>
        </row>
        <row r="180">
          <cell r="A180">
            <v>610102003</v>
          </cell>
          <cell r="B180" t="str">
            <v>APORTE PATRONAL FAOV</v>
          </cell>
        </row>
        <row r="181">
          <cell r="A181">
            <v>610102004</v>
          </cell>
          <cell r="B181" t="str">
            <v>APORTE PATRONAL INCES</v>
          </cell>
        </row>
        <row r="182">
          <cell r="A182">
            <v>610102005</v>
          </cell>
          <cell r="B182" t="str">
            <v>APORTE PATRONAL INCES INTERESES</v>
          </cell>
        </row>
        <row r="183">
          <cell r="A183">
            <v>610103001</v>
          </cell>
          <cell r="B183" t="str">
            <v>DIA DE DESCANSO LABORADO</v>
          </cell>
        </row>
        <row r="184">
          <cell r="A184">
            <v>610103002</v>
          </cell>
          <cell r="B184" t="str">
            <v>DIA DE DESCANSO LABORADO</v>
          </cell>
        </row>
        <row r="185">
          <cell r="A185">
            <v>610104001</v>
          </cell>
          <cell r="B185" t="str">
            <v>BONO DE GUERRA ECONOMICA</v>
          </cell>
        </row>
        <row r="186">
          <cell r="A186">
            <v>610105001</v>
          </cell>
          <cell r="B186" t="str">
            <v>ARTICULO DE OFICINA</v>
          </cell>
        </row>
        <row r="187">
          <cell r="A187">
            <v>610106001</v>
          </cell>
          <cell r="B187" t="str">
            <v>FLETES Y ENCOMIENDAS</v>
          </cell>
        </row>
        <row r="188">
          <cell r="A188">
            <v>610107001</v>
          </cell>
          <cell r="B188" t="str">
            <v>GASTOS DE IMPORTACION</v>
          </cell>
        </row>
        <row r="189">
          <cell r="A189">
            <v>610108001</v>
          </cell>
          <cell r="B189" t="str">
            <v>GASTOS TELECOMUNICACIONES/INTERNET</v>
          </cell>
        </row>
        <row r="190">
          <cell r="A190">
            <v>610109001</v>
          </cell>
          <cell r="B190" t="str">
            <v>REPARACION Y MANTENIMIENTO DE EQUIPOS</v>
          </cell>
        </row>
        <row r="191">
          <cell r="A191">
            <v>610113001</v>
          </cell>
          <cell r="B191" t="str">
            <v>PATENTE DE INDUSTRIA Y COMERCIO</v>
          </cell>
        </row>
        <row r="192">
          <cell r="A192">
            <v>610114001</v>
          </cell>
          <cell r="B192" t="str">
            <v>GASTOS DE PUBLICIDAD</v>
          </cell>
        </row>
        <row r="193">
          <cell r="A193">
            <v>610116001</v>
          </cell>
          <cell r="B193" t="str">
            <v>MANTENIMIENTO DE INFRAESTRUCTURA</v>
          </cell>
        </row>
        <row r="194">
          <cell r="A194">
            <v>610116002</v>
          </cell>
          <cell r="B194" t="str">
            <v>MANO DE OBRA DE MANTENIMIENTO INFRAESTRUCTURA</v>
          </cell>
        </row>
        <row r="195">
          <cell r="A195">
            <v>610117001</v>
          </cell>
          <cell r="B195" t="str">
            <v>MEJORA A INSTALACIONES</v>
          </cell>
        </row>
        <row r="196">
          <cell r="A196">
            <v>610118001</v>
          </cell>
          <cell r="B196" t="str">
            <v>AJUSTE I.G.V.</v>
          </cell>
        </row>
        <row r="197">
          <cell r="A197">
            <v>610120001</v>
          </cell>
          <cell r="B197" t="str">
            <v>ARTICULOS DE LIMPIEZA</v>
          </cell>
        </row>
        <row r="198">
          <cell r="A198">
            <v>610121001</v>
          </cell>
          <cell r="B198" t="str">
            <v>VIATICOS</v>
          </cell>
        </row>
        <row r="199">
          <cell r="A199">
            <v>610122001</v>
          </cell>
          <cell r="B199" t="str">
            <v>SERVICIO DE AGUA POTABLE</v>
          </cell>
        </row>
        <row r="200">
          <cell r="A200">
            <v>610122002</v>
          </cell>
          <cell r="B200" t="str">
            <v>SERVICIO DE ASEO</v>
          </cell>
        </row>
        <row r="201">
          <cell r="A201">
            <v>610122003</v>
          </cell>
          <cell r="B201" t="str">
            <v>SERVICIO DE ENERGIA ELECTRICA</v>
          </cell>
        </row>
        <row r="202">
          <cell r="A202">
            <v>610122004</v>
          </cell>
          <cell r="B202" t="str">
            <v>GASTOS TRAMITES IMPUESTO ALCALDIA</v>
          </cell>
        </row>
        <row r="203">
          <cell r="A203">
            <v>610122005</v>
          </cell>
          <cell r="B203" t="str">
            <v>GASTOS TRAMITES PERMISOS SANIDAD/SAPI</v>
          </cell>
        </row>
        <row r="204">
          <cell r="A204">
            <v>610123001</v>
          </cell>
          <cell r="B204" t="str">
            <v>GASTOS DE REPRESENTACION</v>
          </cell>
        </row>
        <row r="205">
          <cell r="A205">
            <v>610123002</v>
          </cell>
          <cell r="B205" t="str">
            <v>ALIMENTOS Y BEBIDAS</v>
          </cell>
        </row>
        <row r="206">
          <cell r="A206">
            <v>610124001</v>
          </cell>
          <cell r="B206" t="str">
            <v>MANTENIMIENTO DE CAMIONES INSUMOS</v>
          </cell>
        </row>
        <row r="207">
          <cell r="A207">
            <v>610124002</v>
          </cell>
          <cell r="B207" t="str">
            <v>MANTENIMIENTO CAMIONES MANO DE OBRA</v>
          </cell>
        </row>
        <row r="208">
          <cell r="A208">
            <v>610124003</v>
          </cell>
          <cell r="B208" t="str">
            <v>MANTENIMIENTO VEHICULOS PERS. M/O</v>
          </cell>
        </row>
        <row r="209">
          <cell r="A209">
            <v>610124004</v>
          </cell>
          <cell r="B209" t="str">
            <v>MANTENIMIENTO VEHICULOS INSUMOS</v>
          </cell>
        </row>
        <row r="210">
          <cell r="A210">
            <v>610124005</v>
          </cell>
          <cell r="B210" t="str">
            <v>MANTENIMIENTO VEHICULO TRANSPORTE M/O</v>
          </cell>
        </row>
        <row r="211">
          <cell r="A211">
            <v>610124006</v>
          </cell>
          <cell r="B211" t="str">
            <v>MANTENIMIENTO VEHICULO TRANSPORTE INSUMOS</v>
          </cell>
        </row>
        <row r="212">
          <cell r="A212">
            <v>610125001</v>
          </cell>
          <cell r="B212" t="str">
            <v>HONORARIOS PROFESIONALES</v>
          </cell>
        </row>
        <row r="213">
          <cell r="A213">
            <v>610125002</v>
          </cell>
          <cell r="B213" t="str">
            <v>GASTOS CONTADOR</v>
          </cell>
        </row>
        <row r="214">
          <cell r="A214">
            <v>610126001</v>
          </cell>
          <cell r="B214" t="str">
            <v>GASTOS SERVICIOS MEDICOS</v>
          </cell>
        </row>
        <row r="215">
          <cell r="A215">
            <v>610127001</v>
          </cell>
          <cell r="B215" t="str">
            <v>BONIFICACION POR VENTAS</v>
          </cell>
        </row>
        <row r="216">
          <cell r="A216">
            <v>610128001</v>
          </cell>
          <cell r="B216" t="str">
            <v>COLABORACIONES</v>
          </cell>
        </row>
        <row r="217">
          <cell r="A217">
            <v>610129001</v>
          </cell>
          <cell r="B217" t="str">
            <v>GASTO COMBUSTIBLE GASOLINA</v>
          </cell>
        </row>
        <row r="218">
          <cell r="A218">
            <v>610129002</v>
          </cell>
          <cell r="B218" t="str">
            <v>GASTO COMBUSTIBLE GASOIL</v>
          </cell>
        </row>
        <row r="219">
          <cell r="A219">
            <v>610130001</v>
          </cell>
          <cell r="B219" t="str">
            <v>PROTECCION A LA PENSIONES</v>
          </cell>
        </row>
        <row r="220">
          <cell r="A220">
            <v>610132001</v>
          </cell>
          <cell r="B220" t="str">
            <v>GASTOS DE SEGURIDAD</v>
          </cell>
        </row>
        <row r="221">
          <cell r="A221">
            <v>610133001</v>
          </cell>
          <cell r="B221" t="str">
            <v>SEGURO DE VEHICULO</v>
          </cell>
        </row>
        <row r="222">
          <cell r="A222">
            <v>610133002</v>
          </cell>
          <cell r="B222" t="str">
            <v>SEGURO INFRAESTRUCTURA</v>
          </cell>
        </row>
        <row r="223">
          <cell r="A223">
            <v>610146001</v>
          </cell>
          <cell r="B223" t="str">
            <v>GASTOS POLIZA DE SEGURO</v>
          </cell>
        </row>
        <row r="224">
          <cell r="A224">
            <v>610147000</v>
          </cell>
          <cell r="B224" t="str">
            <v>INTERESES POR PRESTAMOS BANCARIOS</v>
          </cell>
        </row>
        <row r="225">
          <cell r="A225">
            <v>610148001</v>
          </cell>
          <cell r="B225" t="str">
            <v>COMISIONES BANCARIAS</v>
          </cell>
        </row>
        <row r="226">
          <cell r="A226">
            <v>610149001</v>
          </cell>
          <cell r="B226" t="str">
            <v>EQUIPOS CONTRA INCENDIO</v>
          </cell>
        </row>
        <row r="227">
          <cell r="A227">
            <v>610151001</v>
          </cell>
          <cell r="B227" t="str">
            <v>REPARACIONES SISTEMA DE COMPUTACION</v>
          </cell>
        </row>
        <row r="228">
          <cell r="A228">
            <v>610151002</v>
          </cell>
          <cell r="B228" t="str">
            <v>SISTEMAS ADMINISTRATIVO</v>
          </cell>
        </row>
        <row r="229">
          <cell r="A229">
            <v>610151003</v>
          </cell>
          <cell r="B229" t="str">
            <v>SISTEMAS TENDENCIAS</v>
          </cell>
        </row>
        <row r="230">
          <cell r="A230">
            <v>610153001</v>
          </cell>
          <cell r="B230" t="str">
            <v>S.A. TECNICA DE CONSERVACION AMBIENTAL</v>
          </cell>
        </row>
        <row r="231">
          <cell r="A231">
            <v>610156001</v>
          </cell>
          <cell r="B231" t="str">
            <v>CAPACITACION Y DESARROLLO</v>
          </cell>
        </row>
        <row r="232">
          <cell r="A232">
            <v>610157001</v>
          </cell>
          <cell r="B232" t="str">
            <v>FUMIGACION</v>
          </cell>
        </row>
        <row r="233">
          <cell r="A233">
            <v>610166001</v>
          </cell>
          <cell r="B233" t="str">
            <v>IMPLEMENTOS BIOSEGURIDAD</v>
          </cell>
        </row>
        <row r="234">
          <cell r="A234">
            <v>610168001</v>
          </cell>
          <cell r="B234" t="str">
            <v>SOLUCIONES DE LOCALIZACION TRAKER GPS</v>
          </cell>
        </row>
        <row r="235">
          <cell r="A235">
            <v>610180001</v>
          </cell>
          <cell r="B235" t="str">
            <v>GASTOS NO DEDUCIBLES</v>
          </cell>
        </row>
        <row r="236">
          <cell r="A236">
            <v>610180002</v>
          </cell>
          <cell r="B236" t="str">
            <v>FONDO NACIONAL CIENCIA Y TECNOLOGIA (FONACIT)</v>
          </cell>
        </row>
        <row r="237">
          <cell r="A237">
            <v>610180003</v>
          </cell>
          <cell r="B237" t="str">
            <v>FONDO NACIONAL DEL DEPORTE</v>
          </cell>
        </row>
        <row r="238">
          <cell r="A238">
            <v>610182001</v>
          </cell>
          <cell r="B238" t="str">
            <v>GASTOS DE SERVICIOS</v>
          </cell>
        </row>
        <row r="239">
          <cell r="A239">
            <v>610190001</v>
          </cell>
          <cell r="B239" t="str">
            <v>GASTOS DE UNIFORME</v>
          </cell>
        </row>
        <row r="240">
          <cell r="A240">
            <v>610198001</v>
          </cell>
          <cell r="B240" t="str">
            <v>AJUSTES CONTABILIDAD</v>
          </cell>
        </row>
        <row r="241">
          <cell r="A241">
            <v>610201001</v>
          </cell>
          <cell r="B241" t="str">
            <v>BONO ADICIONAL DE PRODUCCION</v>
          </cell>
        </row>
        <row r="242">
          <cell r="A242">
            <v>610201002</v>
          </cell>
          <cell r="B242" t="str">
            <v>BONO ADICIONAL ASESORES MARKETING</v>
          </cell>
        </row>
        <row r="243">
          <cell r="A243">
            <v>610202001</v>
          </cell>
          <cell r="B243" t="str">
            <v>GASTOS EQUIPOS MARKETING</v>
          </cell>
        </row>
        <row r="244">
          <cell r="A244">
            <v>610202002</v>
          </cell>
          <cell r="B244" t="str">
            <v>GASTOS LANZAMIENTOS/CAMPAÑAS</v>
          </cell>
        </row>
        <row r="245">
          <cell r="A245">
            <v>610202003</v>
          </cell>
          <cell r="B245" t="str">
            <v>GASTOS RUEDA DE NEGOCIOS</v>
          </cell>
        </row>
        <row r="246">
          <cell r="A246">
            <v>610202004</v>
          </cell>
          <cell r="B246" t="str">
            <v>GASTOS ENTREGA DE RETOS/LIDERES</v>
          </cell>
        </row>
        <row r="247">
          <cell r="A247">
            <v>610202005</v>
          </cell>
          <cell r="B247" t="str">
            <v>RETOS MOVILIDAD/ AVEOS REPARACIONES</v>
          </cell>
        </row>
        <row r="248">
          <cell r="A248">
            <v>610202006</v>
          </cell>
          <cell r="B248" t="str">
            <v>RETOS MOVILIDAD/ AVEOS COMPRA</v>
          </cell>
        </row>
        <row r="249">
          <cell r="A249">
            <v>610202007</v>
          </cell>
          <cell r="B249" t="str">
            <v>RETOS MOVILIDAD/ MOTOS COMPRA</v>
          </cell>
        </row>
        <row r="250">
          <cell r="A250">
            <v>610202008</v>
          </cell>
          <cell r="B250" t="str">
            <v>RETOS CAMPAÑAS/LIDERES</v>
          </cell>
        </row>
        <row r="251">
          <cell r="A251">
            <v>610202009</v>
          </cell>
          <cell r="B251" t="str">
            <v>PREMIOS LIDERES/CAMPAÑA</v>
          </cell>
        </row>
        <row r="252">
          <cell r="A252">
            <v>610202010</v>
          </cell>
          <cell r="B252" t="str">
            <v>REGALOS LIDERES/CAMPAÑA</v>
          </cell>
        </row>
        <row r="253">
          <cell r="A253">
            <v>610202011</v>
          </cell>
          <cell r="B253" t="str">
            <v>GASTOS VIATICOS DESPACHO MERCANCIA</v>
          </cell>
        </row>
        <row r="254">
          <cell r="A254">
            <v>610203001</v>
          </cell>
          <cell r="B254" t="str">
            <v>GASTOS CONTAINER</v>
          </cell>
        </row>
        <row r="255">
          <cell r="A255">
            <v>610203002</v>
          </cell>
          <cell r="B255" t="str">
            <v>PLANILLAS SIDUNEA</v>
          </cell>
        </row>
        <row r="256">
          <cell r="A256">
            <v>610203003</v>
          </cell>
          <cell r="B256" t="str">
            <v>GASTOS FLETES</v>
          </cell>
        </row>
        <row r="257">
          <cell r="A257">
            <v>610203004</v>
          </cell>
          <cell r="B257" t="str">
            <v>GASTOS SENIAT</v>
          </cell>
        </row>
        <row r="258">
          <cell r="A258">
            <v>610203005</v>
          </cell>
          <cell r="B258" t="str">
            <v>GASTOS SENCAMER</v>
          </cell>
        </row>
        <row r="259">
          <cell r="A259">
            <v>610301001</v>
          </cell>
          <cell r="B259" t="str">
            <v>GASTOS PERSONALES CASA</v>
          </cell>
        </row>
        <row r="260">
          <cell r="A260">
            <v>610301002</v>
          </cell>
          <cell r="B260" t="str">
            <v>GASTOS PERSONALES MEDICO</v>
          </cell>
        </row>
        <row r="261">
          <cell r="A261">
            <v>710101001</v>
          </cell>
          <cell r="B261" t="str">
            <v>IMPUESTO A LAS GRANDES TRANSACCIONES FINANCIERAS</v>
          </cell>
        </row>
        <row r="262">
          <cell r="A262">
            <v>720101001</v>
          </cell>
          <cell r="B262" t="str">
            <v>CUENTA MATRIZ</v>
          </cell>
        </row>
        <row r="263">
          <cell r="A263">
            <v>720101002</v>
          </cell>
          <cell r="B263" t="str">
            <v>COMPRAS DIVISAS</v>
          </cell>
        </row>
        <row r="264">
          <cell r="A264">
            <v>720101017</v>
          </cell>
          <cell r="B264" t="str">
            <v>CUENTAS POR COBRAR TENDENCIAS AB</v>
          </cell>
        </row>
        <row r="265">
          <cell r="A265">
            <v>720101098</v>
          </cell>
          <cell r="B265" t="str">
            <v>CUENTAS X COBRAR COMERCIALIZADORA E IMPORT AB VZLA</v>
          </cell>
        </row>
        <row r="266">
          <cell r="A266">
            <v>730101001</v>
          </cell>
          <cell r="B266" t="str">
            <v>GASTOS TELECOMUNICACIONES/INTERNET</v>
          </cell>
        </row>
        <row r="267">
          <cell r="A267">
            <v>730101002</v>
          </cell>
          <cell r="B267" t="str">
            <v>ALIMENTOS Y BEBIDAS</v>
          </cell>
        </row>
        <row r="268">
          <cell r="A268">
            <v>740101001</v>
          </cell>
          <cell r="B268" t="str">
            <v>BONO ADICIONAL MENTARIO</v>
          </cell>
        </row>
        <row r="269">
          <cell r="A269">
            <v>820101001</v>
          </cell>
          <cell r="B269" t="str">
            <v>CUENTA MATRIZ</v>
          </cell>
        </row>
        <row r="270">
          <cell r="A270">
            <v>840101001</v>
          </cell>
          <cell r="B270" t="str">
            <v>BONO ADICIONAL MENTARIO POR PAGAR</v>
          </cell>
        </row>
        <row r="271">
          <cell r="A271">
            <v>110101003</v>
          </cell>
          <cell r="B271" t="str">
            <v>CARGOS TRANSITORIOS TRASPASOS</v>
          </cell>
        </row>
        <row r="272">
          <cell r="A272">
            <v>610122006</v>
          </cell>
          <cell r="B272" t="str">
            <v>GASTO CONDOMINIO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"/>
      <sheetName val="Hoja1"/>
    </sheetNames>
    <sheetDataSet>
      <sheetData sheetId="0" refreshError="1"/>
      <sheetData sheetId="1" refreshError="1">
        <row r="3">
          <cell r="G3">
            <v>45901</v>
          </cell>
          <cell r="H3">
            <v>148.44</v>
          </cell>
        </row>
        <row r="4">
          <cell r="G4">
            <v>45902</v>
          </cell>
          <cell r="H4">
            <v>149.47</v>
          </cell>
        </row>
        <row r="5">
          <cell r="G5">
            <v>45903</v>
          </cell>
          <cell r="H5">
            <v>150.80000000000001</v>
          </cell>
        </row>
        <row r="6">
          <cell r="G6">
            <v>45904</v>
          </cell>
          <cell r="H6">
            <v>151.76</v>
          </cell>
        </row>
        <row r="7">
          <cell r="G7">
            <v>45905</v>
          </cell>
          <cell r="H7">
            <v>152.82</v>
          </cell>
        </row>
        <row r="8">
          <cell r="G8">
            <v>45906</v>
          </cell>
          <cell r="H8">
            <v>154.01</v>
          </cell>
        </row>
        <row r="9">
          <cell r="G9">
            <v>45907</v>
          </cell>
          <cell r="H9">
            <v>154.01</v>
          </cell>
        </row>
        <row r="10">
          <cell r="G10">
            <v>45908</v>
          </cell>
          <cell r="H10">
            <v>154.01</v>
          </cell>
        </row>
        <row r="11">
          <cell r="G11">
            <v>45909</v>
          </cell>
          <cell r="H11">
            <v>154.97999999999999</v>
          </cell>
        </row>
        <row r="12">
          <cell r="G12">
            <v>45910</v>
          </cell>
          <cell r="H12">
            <v>156.37</v>
          </cell>
        </row>
        <row r="13">
          <cell r="G13">
            <v>45911</v>
          </cell>
          <cell r="H13">
            <v>157.72999999999999</v>
          </cell>
        </row>
        <row r="14">
          <cell r="G14">
            <v>45912</v>
          </cell>
          <cell r="H14">
            <v>158.93</v>
          </cell>
        </row>
        <row r="15">
          <cell r="G15">
            <v>45913</v>
          </cell>
          <cell r="H15">
            <v>160.44999999999999</v>
          </cell>
        </row>
        <row r="16">
          <cell r="G16">
            <v>45914</v>
          </cell>
          <cell r="H16">
            <v>160.44999999999999</v>
          </cell>
        </row>
        <row r="17">
          <cell r="G17">
            <v>45915</v>
          </cell>
          <cell r="H17">
            <v>160.44999999999999</v>
          </cell>
        </row>
        <row r="18">
          <cell r="G18">
            <v>45916</v>
          </cell>
          <cell r="H18">
            <v>160.44999999999999</v>
          </cell>
        </row>
        <row r="19">
          <cell r="G19">
            <v>45917</v>
          </cell>
          <cell r="H19">
            <v>161.88999999999999</v>
          </cell>
        </row>
        <row r="20">
          <cell r="G20">
            <v>45918</v>
          </cell>
          <cell r="H20">
            <v>163.65</v>
          </cell>
        </row>
        <row r="21">
          <cell r="G21">
            <v>45919</v>
          </cell>
          <cell r="H21">
            <v>165.41</v>
          </cell>
        </row>
        <row r="22">
          <cell r="G22">
            <v>45920</v>
          </cell>
          <cell r="H22">
            <v>166.58</v>
          </cell>
        </row>
        <row r="23">
          <cell r="G23">
            <v>45921</v>
          </cell>
          <cell r="H23">
            <v>166.58</v>
          </cell>
        </row>
        <row r="24">
          <cell r="G24">
            <v>45922</v>
          </cell>
          <cell r="H24">
            <v>166.58</v>
          </cell>
        </row>
        <row r="25">
          <cell r="G25">
            <v>45923</v>
          </cell>
          <cell r="H25">
            <v>168.42</v>
          </cell>
        </row>
        <row r="26">
          <cell r="G26">
            <v>45924</v>
          </cell>
          <cell r="H26">
            <v>169.98</v>
          </cell>
        </row>
        <row r="27">
          <cell r="G27">
            <v>45925</v>
          </cell>
          <cell r="H27">
            <v>169.98</v>
          </cell>
        </row>
        <row r="28">
          <cell r="G28">
            <v>45926</v>
          </cell>
          <cell r="H28">
            <v>173.74</v>
          </cell>
        </row>
        <row r="29">
          <cell r="G29">
            <v>45927</v>
          </cell>
          <cell r="H29">
            <v>175.65</v>
          </cell>
        </row>
        <row r="30">
          <cell r="G30">
            <v>45928</v>
          </cell>
          <cell r="H30">
            <v>175.65</v>
          </cell>
        </row>
        <row r="31">
          <cell r="G31">
            <v>45929</v>
          </cell>
          <cell r="H31">
            <v>175.65</v>
          </cell>
        </row>
        <row r="32">
          <cell r="G32">
            <v>45930</v>
          </cell>
          <cell r="H32">
            <v>177.61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2251A4-6887-409F-8C34-0D3121E187E7}" autoFormatId="16" applyNumberFormats="0" applyBorderFormats="0" applyFontFormats="0" applyPatternFormats="0" applyAlignmentFormats="0" applyWidthHeightFormats="0">
  <queryTableRefresh nextId="3">
    <queryTableFields count="2">
      <queryTableField id="1" name="CodProv" tableColumnId="1"/>
      <queryTableField id="2" name="Descrip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7272A-3F3C-4226-B7A8-42B67CAF3B44}" name="Tabla3" displayName="Tabla3" ref="A10:W8717" totalsRowShown="0" headerRowDxfId="15">
  <autoFilter ref="A10:W8717" xr:uid="{C167272A-3F3C-4226-B7A8-42B67CAF3B44}"/>
  <tableColumns count="23">
    <tableColumn id="1" xr3:uid="{00E93DD8-D6FB-497A-A6C3-67BA8E72E023}" name="FECHA" dataDxfId="14"/>
    <tableColumn id="2" xr3:uid="{FD1E26F7-997A-4A6D-A805-95C527017183}" name="REFERENCIA" dataDxfId="13"/>
    <tableColumn id="3" xr3:uid="{7C85A85E-9AFB-4FB6-884E-E9968DDBAECE}" name="DESCRIPCIÓN"/>
    <tableColumn id="4" xr3:uid="{12EB8CA6-09CB-4B60-92BB-89E24F4A6FA3}" name="MONTO BS" dataDxfId="12"/>
    <tableColumn id="5" xr3:uid="{C79F27F0-57DA-4492-A25E-2C97273AF2AC}" name="D/C"/>
    <tableColumn id="6" xr3:uid="{97739C61-726D-46A9-ACBF-7726E5840E41}" name="COD/CONT" dataDxfId="11"/>
    <tableColumn id="7" xr3:uid="{CD8E6161-4B1F-402B-B63E-BD4DB7E461B5}" name="CONTABLE" dataDxfId="10"/>
    <tableColumn id="23" xr3:uid="{F92F5332-DD4F-4235-8E6C-199DD723735E}" name="Deposito" dataDxfId="9"/>
    <tableColumn id="24" xr3:uid="{106081BD-E21D-4A47-87B2-8055881A07C4}" name="Cod. Dep" dataDxfId="8"/>
    <tableColumn id="21" xr3:uid="{A241FCC5-3A3D-4A82-A170-8A073019E8CE}" name="Campaña" dataDxfId="7"/>
    <tableColumn id="20" xr3:uid="{B5AFD854-33B4-4196-8A37-E7F45108262A}" name="Columna3" dataDxfId="6"/>
    <tableColumn id="19" xr3:uid="{E9CAB7B1-9940-46C3-849C-0B8719EE19A6}" name="Columna2" dataDxfId="5"/>
    <tableColumn id="8" xr3:uid="{70456846-7E81-4A7B-822F-4C9C9B8CBF87}" name="COD/SER"/>
    <tableColumn id="9" xr3:uid="{CE40AAD6-F568-4B34-A27D-D695D6ECBFE2}" name="SERVICIO"/>
    <tableColumn id="18" xr3:uid="{E6F19F16-FDCF-4B7E-BEC3-1F9B328DD291}" name="Columna1"/>
    <tableColumn id="10" xr3:uid="{010DA73E-4B50-45E3-A8E4-093BE671E005}" name="TASA" dataDxfId="4"/>
    <tableColumn id="11" xr3:uid="{C7322DE6-2EDC-482A-9436-9D138B6D1439}" name="MONTO EN $" dataDxfId="3" dataCellStyle="Millares">
      <calculatedColumnFormula>D11/P11</calculatedColumnFormula>
    </tableColumn>
    <tableColumn id="12" xr3:uid="{15EA0BF4-FD54-41CF-84CF-E1778423A999}" name="BANCO" dataDxfId="2"/>
    <tableColumn id="13" xr3:uid="{F3469585-22EF-484B-AC07-22C488E6D25D}" name="OBSERVACIONES"/>
    <tableColumn id="14" xr3:uid="{0AB0ABCB-9C48-48EA-8398-284B1139EFB3}" name="NªGASTO"/>
    <tableColumn id="15" xr3:uid="{4389CAF0-9E57-4EF3-8B37-4FC20603E099}" name="Nº"/>
    <tableColumn id="16" xr3:uid="{B2D09E97-2F96-462E-8522-3B5C29912DC1}" name="CLASIFICACION"/>
    <tableColumn id="17" xr3:uid="{3E93536E-3C43-4FCE-BF1E-6743C4F454D3}" name="SED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89143B-1331-432A-A9FB-CF5779008837}" name="SAPROV__2" displayName="SAPROV__2" ref="A1:B76" tableType="queryTable" totalsRowShown="0">
  <autoFilter ref="A1:B76" xr:uid="{DF89143B-1331-432A-A9FB-CF5779008837}"/>
  <tableColumns count="2">
    <tableColumn id="1" xr3:uid="{3CC4266C-2E1F-4EF0-9F4E-841910A9F11A}" uniqueName="1" name="CodProv" queryTableFieldId="1" dataDxfId="1"/>
    <tableColumn id="2" xr3:uid="{2F5D0D30-3511-4BEE-8D9C-D0AC51DD8E68}" uniqueName="2" name="Descrip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C0BD-52D8-487C-80B2-0CF34A7D71D3}">
  <dimension ref="A4:W8719"/>
  <sheetViews>
    <sheetView tabSelected="1" topLeftCell="H1" workbookViewId="0">
      <selection activeCell="L12" sqref="L12"/>
    </sheetView>
  </sheetViews>
  <sheetFormatPr baseColWidth="10" defaultRowHeight="15" x14ac:dyDescent="0.25"/>
  <cols>
    <col min="1" max="1" width="11.140625" customWidth="1"/>
    <col min="2" max="2" width="13.7109375" style="1" customWidth="1"/>
    <col min="3" max="3" width="27.85546875" customWidth="1"/>
    <col min="4" max="4" width="12.140625" style="1" customWidth="1"/>
    <col min="5" max="5" width="6.5703125" customWidth="1"/>
    <col min="6" max="6" width="13" style="2" customWidth="1"/>
    <col min="7" max="7" width="12.7109375" style="2" customWidth="1"/>
    <col min="8" max="8" width="12.7109375" style="65" customWidth="1"/>
    <col min="9" max="10" width="12.7109375" style="41" customWidth="1"/>
    <col min="11" max="12" width="12.7109375" style="2" customWidth="1"/>
    <col min="13" max="13" width="22.5703125" bestFit="1" customWidth="1"/>
    <col min="14" max="14" width="46.5703125" customWidth="1"/>
    <col min="15" max="15" width="15.42578125" customWidth="1"/>
    <col min="16" max="16" width="11.42578125" style="23" customWidth="1"/>
    <col min="17" max="17" width="10.42578125" style="4" customWidth="1"/>
    <col min="18" max="18" width="11.5703125" style="23"/>
    <col min="19" max="19" width="30.5703125" customWidth="1"/>
    <col min="20" max="20" width="11.42578125" customWidth="1"/>
    <col min="21" max="21" width="5.85546875" customWidth="1"/>
    <col min="22" max="22" width="28" customWidth="1"/>
    <col min="23" max="23" width="28.42578125" customWidth="1"/>
  </cols>
  <sheetData>
    <row r="4" spans="1:23" ht="15.75" thickBot="1" x14ac:dyDescent="0.3">
      <c r="M4" s="3" t="s">
        <v>0</v>
      </c>
    </row>
    <row r="5" spans="1:23" ht="30.75" thickBot="1" x14ac:dyDescent="0.3">
      <c r="A5" s="5"/>
      <c r="G5" s="6" t="s">
        <v>1</v>
      </c>
      <c r="H5" s="104"/>
      <c r="I5" s="99"/>
      <c r="J5" s="99"/>
      <c r="K5" s="6"/>
      <c r="L5" s="6"/>
      <c r="M5" s="7" t="s">
        <v>2</v>
      </c>
      <c r="N5" s="8" t="s">
        <v>3</v>
      </c>
      <c r="O5" s="8"/>
    </row>
    <row r="6" spans="1:23" ht="15.75" thickBot="1" x14ac:dyDescent="0.3">
      <c r="A6" s="5"/>
      <c r="G6" s="1" t="s">
        <v>4</v>
      </c>
      <c r="H6" s="62"/>
      <c r="I6" s="100"/>
      <c r="J6" s="100"/>
      <c r="K6" s="1"/>
      <c r="L6" s="1"/>
    </row>
    <row r="7" spans="1:23" ht="15.75" thickBot="1" x14ac:dyDescent="0.3">
      <c r="A7" s="5"/>
    </row>
    <row r="8" spans="1:23" ht="28.5" thickBot="1" x14ac:dyDescent="0.45">
      <c r="A8" s="9"/>
      <c r="C8" s="110" t="s">
        <v>5</v>
      </c>
      <c r="D8" s="110"/>
      <c r="E8" s="110"/>
      <c r="F8" s="110"/>
      <c r="G8" s="110"/>
      <c r="H8" s="105"/>
      <c r="I8" s="94"/>
      <c r="J8" s="95" t="s">
        <v>16069</v>
      </c>
      <c r="K8" s="10"/>
      <c r="L8" s="10"/>
      <c r="M8" s="11"/>
      <c r="N8" s="11"/>
      <c r="O8" s="11"/>
    </row>
    <row r="9" spans="1:23" ht="15.75" thickBot="1" x14ac:dyDescent="0.3">
      <c r="A9" t="s">
        <v>6</v>
      </c>
      <c r="B9" s="1" t="s">
        <v>7</v>
      </c>
      <c r="C9" t="s">
        <v>8</v>
      </c>
      <c r="D9" s="1" t="s">
        <v>9</v>
      </c>
      <c r="I9" s="41" t="s">
        <v>16066</v>
      </c>
      <c r="J9" s="41" t="s">
        <v>16068</v>
      </c>
      <c r="L9" s="2" t="s">
        <v>10</v>
      </c>
      <c r="M9" t="s">
        <v>11</v>
      </c>
      <c r="P9" s="23" t="s">
        <v>12</v>
      </c>
      <c r="Q9" s="4" t="s">
        <v>13</v>
      </c>
      <c r="R9" s="23" t="s">
        <v>14</v>
      </c>
    </row>
    <row r="10" spans="1:23" ht="26.25" customHeight="1" thickBot="1" x14ac:dyDescent="0.3">
      <c r="A10" s="12" t="s">
        <v>15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5" t="s">
        <v>21</v>
      </c>
      <c r="H10" s="106" t="s">
        <v>16064</v>
      </c>
      <c r="I10" s="96" t="s">
        <v>16065</v>
      </c>
      <c r="J10" s="96" t="s">
        <v>16067</v>
      </c>
      <c r="K10" s="15" t="s">
        <v>16063</v>
      </c>
      <c r="L10" s="15" t="s">
        <v>22</v>
      </c>
      <c r="M10" s="14" t="s">
        <v>23</v>
      </c>
      <c r="N10" s="16" t="s">
        <v>24</v>
      </c>
      <c r="O10" s="17" t="s">
        <v>25</v>
      </c>
      <c r="P10" s="97" t="s">
        <v>26</v>
      </c>
      <c r="Q10" s="18" t="s">
        <v>27</v>
      </c>
      <c r="R10" s="98" t="s">
        <v>28</v>
      </c>
      <c r="S10" s="17" t="s">
        <v>29</v>
      </c>
      <c r="T10" s="17" t="s">
        <v>30</v>
      </c>
      <c r="U10" s="19" t="s">
        <v>31</v>
      </c>
      <c r="V10" s="19" t="s">
        <v>32</v>
      </c>
      <c r="W10" s="20" t="s">
        <v>33</v>
      </c>
    </row>
    <row r="11" spans="1:23" x14ac:dyDescent="0.25">
      <c r="A11" s="21">
        <v>45659</v>
      </c>
      <c r="B11" s="1">
        <v>47900072798</v>
      </c>
      <c r="C11" t="s">
        <v>34</v>
      </c>
      <c r="D11" s="22">
        <v>-329484.69</v>
      </c>
      <c r="E11" t="s">
        <v>35</v>
      </c>
      <c r="F11" s="2">
        <v>210101001</v>
      </c>
      <c r="G11" s="2" t="s">
        <v>36</v>
      </c>
      <c r="K11" s="2" t="s">
        <v>15922</v>
      </c>
      <c r="L11" s="2" t="e">
        <f>VLOOKUP(Hoja2!B:B,Hoja2!A2:B76,Hoja2!A:A,TRUE)</f>
        <v>#REF!</v>
      </c>
      <c r="M11" t="s">
        <v>38</v>
      </c>
      <c r="N11" t="s">
        <v>39</v>
      </c>
      <c r="P11" s="23">
        <v>52.03</v>
      </c>
      <c r="Q11" s="4">
        <f t="shared" ref="Q11:Q74" si="0">D11/P11</f>
        <v>-6332.590620795695</v>
      </c>
      <c r="R11" s="23" t="s">
        <v>40</v>
      </c>
    </row>
    <row r="12" spans="1:23" x14ac:dyDescent="0.25">
      <c r="A12" s="21">
        <v>45659</v>
      </c>
      <c r="B12" s="1">
        <v>43700072798</v>
      </c>
      <c r="C12" t="s">
        <v>41</v>
      </c>
      <c r="D12" s="22">
        <v>-0.67</v>
      </c>
      <c r="E12" t="s">
        <v>35</v>
      </c>
      <c r="F12" s="2">
        <v>610148001</v>
      </c>
      <c r="G12" s="2" t="s">
        <v>42</v>
      </c>
      <c r="L12" s="2" t="s">
        <v>37</v>
      </c>
      <c r="M12" t="s">
        <v>43</v>
      </c>
      <c r="N12" t="s">
        <v>42</v>
      </c>
      <c r="P12" s="23">
        <v>52.03</v>
      </c>
      <c r="Q12" s="4">
        <f t="shared" si="0"/>
        <v>-1.2877186238708437E-2</v>
      </c>
      <c r="R12" s="23" t="s">
        <v>40</v>
      </c>
      <c r="T12" s="23" t="s">
        <v>44</v>
      </c>
    </row>
    <row r="13" spans="1:23" x14ac:dyDescent="0.25">
      <c r="A13" s="21">
        <v>45659</v>
      </c>
      <c r="B13" s="1">
        <v>47900062237</v>
      </c>
      <c r="C13" t="s">
        <v>45</v>
      </c>
      <c r="D13" s="22">
        <v>330000</v>
      </c>
      <c r="E13" t="s">
        <v>46</v>
      </c>
      <c r="F13" s="2">
        <v>210115002</v>
      </c>
      <c r="G13" s="2" t="s">
        <v>47</v>
      </c>
      <c r="L13" s="2" t="s">
        <v>37</v>
      </c>
      <c r="N13" t="s">
        <v>45</v>
      </c>
      <c r="P13" s="23">
        <v>52.03</v>
      </c>
      <c r="Q13" s="4">
        <f t="shared" si="0"/>
        <v>6342.4947145877377</v>
      </c>
      <c r="R13" s="23" t="s">
        <v>40</v>
      </c>
    </row>
    <row r="14" spans="1:23" x14ac:dyDescent="0.25">
      <c r="A14" s="21">
        <v>45687</v>
      </c>
      <c r="B14" s="1">
        <v>67698535289</v>
      </c>
      <c r="C14" t="s">
        <v>48</v>
      </c>
      <c r="D14" s="22">
        <v>-0.5</v>
      </c>
      <c r="E14" t="s">
        <v>35</v>
      </c>
      <c r="F14" s="2">
        <v>610148001</v>
      </c>
      <c r="G14" s="2" t="s">
        <v>42</v>
      </c>
      <c r="L14" s="2" t="s">
        <v>37</v>
      </c>
      <c r="M14" t="s">
        <v>43</v>
      </c>
      <c r="N14" t="s">
        <v>42</v>
      </c>
      <c r="P14" s="23">
        <v>57.39</v>
      </c>
      <c r="Q14" s="4">
        <f t="shared" si="0"/>
        <v>-8.7123192193761974E-3</v>
      </c>
      <c r="R14" s="23" t="s">
        <v>40</v>
      </c>
      <c r="T14" s="23" t="s">
        <v>44</v>
      </c>
    </row>
    <row r="15" spans="1:23" x14ac:dyDescent="0.25">
      <c r="A15" s="21">
        <v>45688</v>
      </c>
      <c r="B15" s="1">
        <v>71600000000</v>
      </c>
      <c r="C15" t="s">
        <v>49</v>
      </c>
      <c r="D15" s="22">
        <v>-0.5</v>
      </c>
      <c r="E15" t="s">
        <v>35</v>
      </c>
      <c r="F15" s="2">
        <v>610148001</v>
      </c>
      <c r="G15" s="2" t="s">
        <v>42</v>
      </c>
      <c r="L15" s="2" t="s">
        <v>37</v>
      </c>
      <c r="M15" t="s">
        <v>43</v>
      </c>
      <c r="N15" t="s">
        <v>42</v>
      </c>
      <c r="P15" s="23">
        <v>57.97</v>
      </c>
      <c r="Q15" s="4">
        <f t="shared" si="0"/>
        <v>-8.6251509401414524E-3</v>
      </c>
      <c r="R15" s="23" t="s">
        <v>40</v>
      </c>
      <c r="T15" s="23" t="s">
        <v>44</v>
      </c>
    </row>
    <row r="16" spans="1:23" x14ac:dyDescent="0.25">
      <c r="A16" s="21">
        <v>45688</v>
      </c>
      <c r="B16" s="1">
        <v>91577700000</v>
      </c>
      <c r="C16" t="s">
        <v>50</v>
      </c>
      <c r="D16" s="22">
        <v>-0.5</v>
      </c>
      <c r="E16" t="s">
        <v>35</v>
      </c>
      <c r="F16" s="2">
        <v>610148001</v>
      </c>
      <c r="G16" s="2" t="s">
        <v>42</v>
      </c>
      <c r="L16" s="2" t="s">
        <v>37</v>
      </c>
      <c r="M16" t="s">
        <v>43</v>
      </c>
      <c r="N16" t="s">
        <v>42</v>
      </c>
      <c r="P16" s="23">
        <v>57.97</v>
      </c>
      <c r="Q16" s="4">
        <f t="shared" si="0"/>
        <v>-8.6251509401414524E-3</v>
      </c>
      <c r="R16" s="23" t="s">
        <v>40</v>
      </c>
      <c r="T16" s="23" t="s">
        <v>44</v>
      </c>
    </row>
    <row r="17" spans="1:20" x14ac:dyDescent="0.25">
      <c r="A17" s="21">
        <v>45688</v>
      </c>
      <c r="B17" s="1">
        <v>67698535332</v>
      </c>
      <c r="C17" t="s">
        <v>48</v>
      </c>
      <c r="D17" s="22">
        <v>-0.5</v>
      </c>
      <c r="E17" t="s">
        <v>35</v>
      </c>
      <c r="F17" s="2">
        <v>610148001</v>
      </c>
      <c r="G17" s="2" t="s">
        <v>42</v>
      </c>
      <c r="L17" s="2" t="s">
        <v>37</v>
      </c>
      <c r="M17" t="s">
        <v>43</v>
      </c>
      <c r="N17" t="s">
        <v>42</v>
      </c>
      <c r="P17" s="23">
        <v>57.97</v>
      </c>
      <c r="Q17" s="4">
        <f t="shared" si="0"/>
        <v>-8.6251509401414524E-3</v>
      </c>
      <c r="R17" s="23" t="s">
        <v>40</v>
      </c>
      <c r="T17" s="23" t="s">
        <v>44</v>
      </c>
    </row>
    <row r="18" spans="1:20" x14ac:dyDescent="0.25">
      <c r="A18" s="24">
        <v>45667</v>
      </c>
      <c r="B18" s="1">
        <v>39</v>
      </c>
      <c r="C18" t="s">
        <v>51</v>
      </c>
      <c r="D18" s="22">
        <v>-19.38</v>
      </c>
      <c r="E18" t="s">
        <v>35</v>
      </c>
      <c r="F18" s="2">
        <v>610148001</v>
      </c>
      <c r="G18" s="2" t="s">
        <v>42</v>
      </c>
      <c r="L18" s="2" t="s">
        <v>52</v>
      </c>
      <c r="M18" t="s">
        <v>43</v>
      </c>
      <c r="N18" t="s">
        <v>42</v>
      </c>
      <c r="P18" s="23">
        <v>53.85</v>
      </c>
      <c r="Q18" s="4">
        <f t="shared" si="0"/>
        <v>-0.3598885793871866</v>
      </c>
      <c r="R18" s="23" t="s">
        <v>53</v>
      </c>
      <c r="T18" s="23" t="s">
        <v>44</v>
      </c>
    </row>
    <row r="19" spans="1:20" x14ac:dyDescent="0.25">
      <c r="A19" s="25">
        <v>45667</v>
      </c>
      <c r="B19" s="26">
        <v>38</v>
      </c>
      <c r="C19" s="27" t="s">
        <v>54</v>
      </c>
      <c r="D19" s="28">
        <v>-6462</v>
      </c>
      <c r="E19" s="27" t="s">
        <v>35</v>
      </c>
      <c r="F19" s="29">
        <v>610129001</v>
      </c>
      <c r="G19" s="29" t="s">
        <v>55</v>
      </c>
      <c r="H19" s="107"/>
      <c r="I19" s="101"/>
      <c r="J19" s="101"/>
      <c r="K19" s="29"/>
      <c r="L19" s="2" t="s">
        <v>56</v>
      </c>
      <c r="M19" s="27" t="s">
        <v>57</v>
      </c>
      <c r="N19" s="27" t="s">
        <v>58</v>
      </c>
      <c r="O19" s="27" t="s">
        <v>59</v>
      </c>
      <c r="P19" s="31">
        <v>53.85</v>
      </c>
      <c r="Q19" s="4">
        <f t="shared" si="0"/>
        <v>-120</v>
      </c>
      <c r="R19" s="23" t="s">
        <v>53</v>
      </c>
      <c r="T19" s="23" t="s">
        <v>60</v>
      </c>
    </row>
    <row r="20" spans="1:20" x14ac:dyDescent="0.25">
      <c r="A20" s="24">
        <v>45667</v>
      </c>
      <c r="B20" s="1">
        <v>37</v>
      </c>
      <c r="C20" t="s">
        <v>61</v>
      </c>
      <c r="D20" s="22">
        <v>10000</v>
      </c>
      <c r="E20" t="s">
        <v>46</v>
      </c>
      <c r="F20" s="2">
        <v>210115002</v>
      </c>
      <c r="G20" s="2" t="s">
        <v>47</v>
      </c>
      <c r="L20" s="2" t="s">
        <v>62</v>
      </c>
      <c r="N20" t="s">
        <v>61</v>
      </c>
      <c r="P20" s="23">
        <v>53.85</v>
      </c>
      <c r="Q20" s="4">
        <f t="shared" si="0"/>
        <v>185.70102135561746</v>
      </c>
      <c r="R20" s="23" t="s">
        <v>53</v>
      </c>
    </row>
    <row r="21" spans="1:20" x14ac:dyDescent="0.25">
      <c r="A21" s="24">
        <v>45671</v>
      </c>
      <c r="B21" s="1">
        <v>42</v>
      </c>
      <c r="C21" t="s">
        <v>51</v>
      </c>
      <c r="D21" s="22">
        <v>-40.409999999999997</v>
      </c>
      <c r="E21" t="s">
        <v>35</v>
      </c>
      <c r="F21" s="2">
        <v>610148001</v>
      </c>
      <c r="G21" s="2" t="s">
        <v>42</v>
      </c>
      <c r="L21" s="2" t="s">
        <v>63</v>
      </c>
      <c r="M21" t="s">
        <v>43</v>
      </c>
      <c r="N21" t="s">
        <v>42</v>
      </c>
      <c r="P21" s="23">
        <v>53.88</v>
      </c>
      <c r="Q21" s="4">
        <f t="shared" si="0"/>
        <v>-0.74999999999999989</v>
      </c>
      <c r="R21" s="23" t="s">
        <v>53</v>
      </c>
      <c r="T21" s="23" t="s">
        <v>44</v>
      </c>
    </row>
    <row r="22" spans="1:20" x14ac:dyDescent="0.25">
      <c r="A22" s="24">
        <v>45671</v>
      </c>
      <c r="B22" s="1">
        <v>41</v>
      </c>
      <c r="C22" t="s">
        <v>64</v>
      </c>
      <c r="D22" s="22">
        <v>-13470</v>
      </c>
      <c r="E22" t="s">
        <v>35</v>
      </c>
      <c r="F22" s="2">
        <v>840101001</v>
      </c>
      <c r="G22" s="2" t="s">
        <v>65</v>
      </c>
      <c r="L22" s="2" t="s">
        <v>66</v>
      </c>
      <c r="M22" t="s">
        <v>67</v>
      </c>
      <c r="N22" t="s">
        <v>68</v>
      </c>
      <c r="P22" s="23">
        <v>53.88</v>
      </c>
      <c r="Q22" s="4">
        <f t="shared" si="0"/>
        <v>-250</v>
      </c>
      <c r="R22" s="23" t="s">
        <v>53</v>
      </c>
    </row>
    <row r="23" spans="1:20" x14ac:dyDescent="0.25">
      <c r="A23" s="24">
        <v>45671</v>
      </c>
      <c r="B23" s="1">
        <v>40</v>
      </c>
      <c r="C23" t="s">
        <v>69</v>
      </c>
      <c r="D23" s="22">
        <v>15000</v>
      </c>
      <c r="E23" t="s">
        <v>46</v>
      </c>
      <c r="F23" s="2">
        <v>210115002</v>
      </c>
      <c r="G23" s="2" t="s">
        <v>47</v>
      </c>
      <c r="L23" s="2" t="s">
        <v>70</v>
      </c>
      <c r="N23" t="s">
        <v>69</v>
      </c>
      <c r="P23" s="23">
        <v>53.88</v>
      </c>
      <c r="Q23" s="4">
        <f t="shared" si="0"/>
        <v>278.39643652561244</v>
      </c>
      <c r="R23" s="23" t="s">
        <v>53</v>
      </c>
    </row>
    <row r="24" spans="1:20" x14ac:dyDescent="0.25">
      <c r="A24" s="24">
        <v>45674</v>
      </c>
      <c r="B24" s="1">
        <v>45</v>
      </c>
      <c r="C24" t="s">
        <v>51</v>
      </c>
      <c r="D24" s="22">
        <v>-19.71</v>
      </c>
      <c r="E24" t="s">
        <v>35</v>
      </c>
      <c r="F24" s="2">
        <v>610148001</v>
      </c>
      <c r="G24" s="2" t="s">
        <v>42</v>
      </c>
      <c r="L24" s="2" t="s">
        <v>71</v>
      </c>
      <c r="M24" t="s">
        <v>43</v>
      </c>
      <c r="N24" t="s">
        <v>42</v>
      </c>
      <c r="P24" s="23">
        <v>54.76</v>
      </c>
      <c r="Q24" s="4">
        <f t="shared" si="0"/>
        <v>-0.35993425858290728</v>
      </c>
      <c r="R24" s="23" t="s">
        <v>53</v>
      </c>
      <c r="T24" s="23" t="s">
        <v>44</v>
      </c>
    </row>
    <row r="25" spans="1:20" x14ac:dyDescent="0.25">
      <c r="A25" s="25">
        <v>45674</v>
      </c>
      <c r="B25" s="26">
        <v>44</v>
      </c>
      <c r="C25" s="27" t="s">
        <v>54</v>
      </c>
      <c r="D25" s="28">
        <v>-6571.2</v>
      </c>
      <c r="E25" s="27" t="s">
        <v>35</v>
      </c>
      <c r="F25" s="29">
        <v>610129001</v>
      </c>
      <c r="G25" s="29" t="s">
        <v>55</v>
      </c>
      <c r="H25" s="107"/>
      <c r="I25" s="101"/>
      <c r="J25" s="101"/>
      <c r="K25" s="29"/>
      <c r="L25" s="2" t="s">
        <v>72</v>
      </c>
      <c r="M25" s="27" t="s">
        <v>57</v>
      </c>
      <c r="N25" s="27" t="s">
        <v>58</v>
      </c>
      <c r="O25" s="27" t="s">
        <v>59</v>
      </c>
      <c r="P25" s="31">
        <v>54.76</v>
      </c>
      <c r="Q25" s="4">
        <f t="shared" si="0"/>
        <v>-120</v>
      </c>
      <c r="R25" s="23" t="s">
        <v>53</v>
      </c>
      <c r="T25" s="23" t="s">
        <v>73</v>
      </c>
    </row>
    <row r="26" spans="1:20" x14ac:dyDescent="0.25">
      <c r="A26" s="24">
        <v>45674</v>
      </c>
      <c r="B26" s="1">
        <v>43</v>
      </c>
      <c r="C26" t="s">
        <v>74</v>
      </c>
      <c r="D26" s="22">
        <v>5000</v>
      </c>
      <c r="E26" t="s">
        <v>46</v>
      </c>
      <c r="F26" s="2">
        <v>210115002</v>
      </c>
      <c r="G26" s="2" t="s">
        <v>47</v>
      </c>
      <c r="L26" s="2" t="s">
        <v>75</v>
      </c>
      <c r="N26" t="s">
        <v>74</v>
      </c>
      <c r="P26" s="23">
        <v>54.76</v>
      </c>
      <c r="Q26" s="4">
        <f t="shared" si="0"/>
        <v>91.307523739956181</v>
      </c>
      <c r="R26" s="23" t="s">
        <v>53</v>
      </c>
    </row>
    <row r="27" spans="1:20" x14ac:dyDescent="0.25">
      <c r="A27" s="24">
        <v>45681</v>
      </c>
      <c r="B27" s="1">
        <v>48</v>
      </c>
      <c r="C27" t="s">
        <v>51</v>
      </c>
      <c r="D27" s="22">
        <v>-20.260000000000002</v>
      </c>
      <c r="E27" t="s">
        <v>35</v>
      </c>
      <c r="F27" s="2">
        <v>610148001</v>
      </c>
      <c r="G27" s="2" t="s">
        <v>42</v>
      </c>
      <c r="L27" s="2" t="s">
        <v>76</v>
      </c>
      <c r="M27" t="s">
        <v>43</v>
      </c>
      <c r="N27" t="s">
        <v>42</v>
      </c>
      <c r="P27" s="23">
        <v>56.28</v>
      </c>
      <c r="Q27" s="4">
        <f t="shared" si="0"/>
        <v>-0.35998578535891973</v>
      </c>
      <c r="R27" s="23" t="s">
        <v>53</v>
      </c>
      <c r="T27" s="23" t="s">
        <v>44</v>
      </c>
    </row>
    <row r="28" spans="1:20" x14ac:dyDescent="0.25">
      <c r="A28" s="25">
        <v>45681</v>
      </c>
      <c r="B28" s="26">
        <v>47</v>
      </c>
      <c r="C28" s="27" t="s">
        <v>54</v>
      </c>
      <c r="D28" s="28">
        <v>-6753.6</v>
      </c>
      <c r="E28" s="27" t="s">
        <v>35</v>
      </c>
      <c r="F28" s="29">
        <v>610129001</v>
      </c>
      <c r="G28" s="29" t="s">
        <v>55</v>
      </c>
      <c r="H28" s="107"/>
      <c r="I28" s="101"/>
      <c r="J28" s="101"/>
      <c r="K28" s="29"/>
      <c r="L28" s="2" t="s">
        <v>77</v>
      </c>
      <c r="M28" s="27" t="s">
        <v>57</v>
      </c>
      <c r="N28" s="27" t="s">
        <v>58</v>
      </c>
      <c r="O28" s="27" t="s">
        <v>59</v>
      </c>
      <c r="P28" s="31">
        <v>56.28</v>
      </c>
      <c r="Q28" s="4">
        <f t="shared" si="0"/>
        <v>-120</v>
      </c>
      <c r="R28" s="23" t="s">
        <v>53</v>
      </c>
      <c r="T28" s="23" t="s">
        <v>78</v>
      </c>
    </row>
    <row r="29" spans="1:20" x14ac:dyDescent="0.25">
      <c r="A29" s="24">
        <v>45681</v>
      </c>
      <c r="B29" s="1">
        <v>46</v>
      </c>
      <c r="C29" t="s">
        <v>61</v>
      </c>
      <c r="D29" s="22">
        <v>10000</v>
      </c>
      <c r="E29" t="s">
        <v>46</v>
      </c>
      <c r="F29" s="2">
        <v>210115002</v>
      </c>
      <c r="G29" s="2" t="s">
        <v>47</v>
      </c>
      <c r="L29" s="2" t="s">
        <v>79</v>
      </c>
      <c r="N29" t="s">
        <v>61</v>
      </c>
      <c r="P29" s="23">
        <v>56.28</v>
      </c>
      <c r="Q29" s="4">
        <f t="shared" si="0"/>
        <v>177.68301350390902</v>
      </c>
      <c r="R29" s="23" t="s">
        <v>53</v>
      </c>
    </row>
    <row r="30" spans="1:20" x14ac:dyDescent="0.25">
      <c r="A30" s="24">
        <v>45686</v>
      </c>
      <c r="B30" s="1">
        <v>51</v>
      </c>
      <c r="C30" t="s">
        <v>51</v>
      </c>
      <c r="D30" s="22">
        <v>-42.64</v>
      </c>
      <c r="E30" t="s">
        <v>35</v>
      </c>
      <c r="F30" s="2">
        <v>610148001</v>
      </c>
      <c r="G30" s="2" t="s">
        <v>42</v>
      </c>
      <c r="L30" s="2" t="s">
        <v>80</v>
      </c>
      <c r="M30" t="s">
        <v>43</v>
      </c>
      <c r="N30" t="s">
        <v>42</v>
      </c>
      <c r="P30" s="23">
        <v>57.3</v>
      </c>
      <c r="Q30" s="4">
        <f t="shared" si="0"/>
        <v>-0.74415357766143109</v>
      </c>
      <c r="R30" s="23" t="s">
        <v>53</v>
      </c>
      <c r="T30" s="23" t="s">
        <v>44</v>
      </c>
    </row>
    <row r="31" spans="1:20" x14ac:dyDescent="0.25">
      <c r="A31" s="24">
        <v>45686</v>
      </c>
      <c r="B31" s="1">
        <v>50</v>
      </c>
      <c r="C31" t="s">
        <v>81</v>
      </c>
      <c r="D31" s="22">
        <v>-14215</v>
      </c>
      <c r="E31" t="s">
        <v>35</v>
      </c>
      <c r="F31" s="2">
        <v>840101001</v>
      </c>
      <c r="G31" s="2" t="s">
        <v>65</v>
      </c>
      <c r="L31" s="2" t="s">
        <v>82</v>
      </c>
      <c r="M31" t="s">
        <v>67</v>
      </c>
      <c r="N31" t="s">
        <v>68</v>
      </c>
      <c r="P31" s="23">
        <v>57.3</v>
      </c>
      <c r="Q31" s="4">
        <f t="shared" si="0"/>
        <v>-248.08027923211171</v>
      </c>
      <c r="R31" s="23" t="s">
        <v>53</v>
      </c>
    </row>
    <row r="32" spans="1:20" x14ac:dyDescent="0.25">
      <c r="A32" s="24">
        <v>45686</v>
      </c>
      <c r="B32" s="1">
        <v>49</v>
      </c>
      <c r="C32" t="s">
        <v>74</v>
      </c>
      <c r="D32" s="22">
        <v>15000</v>
      </c>
      <c r="E32" t="s">
        <v>46</v>
      </c>
      <c r="F32" s="2">
        <v>210115002</v>
      </c>
      <c r="G32" s="2" t="s">
        <v>47</v>
      </c>
      <c r="L32" s="2" t="s">
        <v>83</v>
      </c>
      <c r="N32" t="s">
        <v>74</v>
      </c>
      <c r="P32" s="23">
        <v>57.3</v>
      </c>
      <c r="Q32" s="4">
        <f t="shared" si="0"/>
        <v>261.78010471204192</v>
      </c>
      <c r="R32" s="23" t="s">
        <v>53</v>
      </c>
    </row>
    <row r="33" spans="1:20" x14ac:dyDescent="0.25">
      <c r="A33" s="24">
        <v>45688</v>
      </c>
      <c r="B33" s="1">
        <v>60</v>
      </c>
      <c r="C33" t="s">
        <v>84</v>
      </c>
      <c r="D33" s="22">
        <v>-0.5</v>
      </c>
      <c r="E33" t="s">
        <v>35</v>
      </c>
      <c r="F33" s="2">
        <v>610148001</v>
      </c>
      <c r="G33" s="2" t="s">
        <v>42</v>
      </c>
      <c r="L33" s="2" t="s">
        <v>85</v>
      </c>
      <c r="M33" t="s">
        <v>43</v>
      </c>
      <c r="N33" t="s">
        <v>42</v>
      </c>
      <c r="P33" s="23">
        <v>57.97</v>
      </c>
      <c r="Q33" s="4">
        <f t="shared" si="0"/>
        <v>-8.6251509401414524E-3</v>
      </c>
      <c r="R33" s="23" t="s">
        <v>53</v>
      </c>
      <c r="T33" s="23" t="s">
        <v>44</v>
      </c>
    </row>
    <row r="34" spans="1:20" x14ac:dyDescent="0.25">
      <c r="A34" s="24">
        <v>45688</v>
      </c>
      <c r="B34" s="1">
        <v>59</v>
      </c>
      <c r="C34" t="s">
        <v>86</v>
      </c>
      <c r="D34" s="22">
        <v>-0.5</v>
      </c>
      <c r="E34" t="s">
        <v>35</v>
      </c>
      <c r="F34" s="2">
        <v>610148001</v>
      </c>
      <c r="G34" s="2" t="s">
        <v>42</v>
      </c>
      <c r="L34" s="2" t="s">
        <v>87</v>
      </c>
      <c r="M34" t="s">
        <v>43</v>
      </c>
      <c r="N34" t="s">
        <v>42</v>
      </c>
      <c r="P34" s="23">
        <v>57.97</v>
      </c>
      <c r="Q34" s="4">
        <f t="shared" si="0"/>
        <v>-8.6251509401414524E-3</v>
      </c>
      <c r="R34" s="23" t="s">
        <v>53</v>
      </c>
      <c r="T34" s="23" t="s">
        <v>44</v>
      </c>
    </row>
    <row r="35" spans="1:20" x14ac:dyDescent="0.25">
      <c r="A35" s="24">
        <v>45688</v>
      </c>
      <c r="B35" s="1">
        <v>58</v>
      </c>
      <c r="C35" t="s">
        <v>88</v>
      </c>
      <c r="D35" s="22">
        <v>-0.67</v>
      </c>
      <c r="E35" t="s">
        <v>35</v>
      </c>
      <c r="F35" s="2">
        <v>610148001</v>
      </c>
      <c r="G35" s="2" t="s">
        <v>42</v>
      </c>
      <c r="L35" s="2" t="s">
        <v>89</v>
      </c>
      <c r="M35" t="s">
        <v>43</v>
      </c>
      <c r="N35" t="s">
        <v>42</v>
      </c>
      <c r="P35" s="23">
        <v>57.97</v>
      </c>
      <c r="Q35" s="4">
        <f t="shared" si="0"/>
        <v>-1.1557702259789547E-2</v>
      </c>
      <c r="R35" s="23" t="s">
        <v>53</v>
      </c>
      <c r="T35" s="23" t="s">
        <v>44</v>
      </c>
    </row>
    <row r="36" spans="1:20" x14ac:dyDescent="0.25">
      <c r="A36" s="25">
        <v>45688</v>
      </c>
      <c r="B36" s="26">
        <v>57</v>
      </c>
      <c r="C36" s="27" t="s">
        <v>90</v>
      </c>
      <c r="D36" s="28">
        <v>-6956.4</v>
      </c>
      <c r="E36" s="27" t="s">
        <v>35</v>
      </c>
      <c r="F36" s="29">
        <v>610156001</v>
      </c>
      <c r="G36" s="29" t="s">
        <v>91</v>
      </c>
      <c r="H36" s="107"/>
      <c r="I36" s="101"/>
      <c r="J36" s="101"/>
      <c r="K36" s="29"/>
      <c r="L36" s="2" t="s">
        <v>92</v>
      </c>
      <c r="M36" s="27" t="s">
        <v>93</v>
      </c>
      <c r="N36" s="27" t="s">
        <v>94</v>
      </c>
      <c r="O36" s="27" t="s">
        <v>59</v>
      </c>
      <c r="P36" s="31">
        <v>57.97</v>
      </c>
      <c r="Q36" s="4">
        <f t="shared" si="0"/>
        <v>-120</v>
      </c>
      <c r="R36" s="23" t="s">
        <v>53</v>
      </c>
      <c r="T36" s="23" t="s">
        <v>95</v>
      </c>
    </row>
    <row r="37" spans="1:20" x14ac:dyDescent="0.25">
      <c r="A37" s="24">
        <v>45688</v>
      </c>
      <c r="B37" s="1">
        <v>56</v>
      </c>
      <c r="C37" t="s">
        <v>51</v>
      </c>
      <c r="D37" s="22">
        <v>-20.86</v>
      </c>
      <c r="E37" t="s">
        <v>35</v>
      </c>
      <c r="F37" s="2">
        <v>610148001</v>
      </c>
      <c r="G37" s="2" t="s">
        <v>42</v>
      </c>
      <c r="L37" s="2" t="s">
        <v>96</v>
      </c>
      <c r="M37" t="s">
        <v>43</v>
      </c>
      <c r="N37" t="s">
        <v>42</v>
      </c>
      <c r="P37" s="23">
        <v>57.97</v>
      </c>
      <c r="Q37" s="4">
        <f t="shared" si="0"/>
        <v>-0.35984129722270142</v>
      </c>
      <c r="R37" s="23" t="s">
        <v>53</v>
      </c>
      <c r="T37" s="23" t="s">
        <v>44</v>
      </c>
    </row>
    <row r="38" spans="1:20" x14ac:dyDescent="0.25">
      <c r="A38" s="25">
        <v>45688</v>
      </c>
      <c r="B38" s="26">
        <v>55</v>
      </c>
      <c r="C38" s="27" t="s">
        <v>54</v>
      </c>
      <c r="D38" s="28">
        <v>-6956.4</v>
      </c>
      <c r="E38" s="27" t="s">
        <v>35</v>
      </c>
      <c r="F38" s="29">
        <v>610129001</v>
      </c>
      <c r="G38" s="29" t="s">
        <v>55</v>
      </c>
      <c r="H38" s="107"/>
      <c r="I38" s="101"/>
      <c r="J38" s="101"/>
      <c r="K38" s="29"/>
      <c r="L38" s="2" t="s">
        <v>97</v>
      </c>
      <c r="M38" s="27" t="s">
        <v>57</v>
      </c>
      <c r="N38" s="27" t="s">
        <v>58</v>
      </c>
      <c r="O38" s="27" t="s">
        <v>59</v>
      </c>
      <c r="P38" s="31">
        <v>57.97</v>
      </c>
      <c r="Q38" s="4">
        <f t="shared" si="0"/>
        <v>-120</v>
      </c>
      <c r="R38" s="23" t="s">
        <v>53</v>
      </c>
      <c r="T38" s="23" t="s">
        <v>98</v>
      </c>
    </row>
    <row r="39" spans="1:20" x14ac:dyDescent="0.25">
      <c r="A39" s="24">
        <v>45688</v>
      </c>
      <c r="B39" s="1">
        <v>54</v>
      </c>
      <c r="C39" t="s">
        <v>51</v>
      </c>
      <c r="D39" s="22">
        <v>-17.39</v>
      </c>
      <c r="E39" t="s">
        <v>35</v>
      </c>
      <c r="F39" s="2">
        <v>610148001</v>
      </c>
      <c r="G39" s="2" t="s">
        <v>42</v>
      </c>
      <c r="L39" s="2" t="s">
        <v>99</v>
      </c>
      <c r="M39" t="s">
        <v>43</v>
      </c>
      <c r="N39" t="s">
        <v>42</v>
      </c>
      <c r="P39" s="23">
        <v>57.97</v>
      </c>
      <c r="Q39" s="4">
        <f t="shared" si="0"/>
        <v>-0.29998274969811972</v>
      </c>
      <c r="R39" s="23" t="s">
        <v>53</v>
      </c>
      <c r="T39" s="23" t="s">
        <v>44</v>
      </c>
    </row>
    <row r="40" spans="1:20" x14ac:dyDescent="0.25">
      <c r="A40" s="24">
        <v>45688</v>
      </c>
      <c r="B40" s="1">
        <v>53</v>
      </c>
      <c r="C40" t="s">
        <v>100</v>
      </c>
      <c r="D40" s="30">
        <v>-5797</v>
      </c>
      <c r="E40" t="s">
        <v>35</v>
      </c>
      <c r="F40" s="2">
        <v>610124003</v>
      </c>
      <c r="G40" s="2" t="s">
        <v>101</v>
      </c>
      <c r="L40" s="2" t="s">
        <v>102</v>
      </c>
      <c r="M40" t="s">
        <v>103</v>
      </c>
      <c r="N40" t="s">
        <v>104</v>
      </c>
      <c r="O40" s="27" t="s">
        <v>59</v>
      </c>
      <c r="P40" s="23">
        <v>57.97</v>
      </c>
      <c r="Q40" s="4">
        <f t="shared" si="0"/>
        <v>-100</v>
      </c>
      <c r="R40" s="23" t="s">
        <v>53</v>
      </c>
      <c r="T40" s="23" t="s">
        <v>105</v>
      </c>
    </row>
    <row r="41" spans="1:20" x14ac:dyDescent="0.25">
      <c r="A41" s="24">
        <v>45688</v>
      </c>
      <c r="B41" s="1">
        <v>52</v>
      </c>
      <c r="C41" t="s">
        <v>69</v>
      </c>
      <c r="D41" s="22">
        <v>20000</v>
      </c>
      <c r="E41" t="s">
        <v>46</v>
      </c>
      <c r="F41" s="2">
        <v>210115002</v>
      </c>
      <c r="G41" s="2" t="s">
        <v>47</v>
      </c>
      <c r="L41" s="2" t="s">
        <v>106</v>
      </c>
      <c r="N41" t="s">
        <v>69</v>
      </c>
      <c r="P41" s="23">
        <v>57.97</v>
      </c>
      <c r="Q41" s="4">
        <f t="shared" si="0"/>
        <v>345.00603760565809</v>
      </c>
      <c r="R41" s="23" t="s">
        <v>53</v>
      </c>
    </row>
    <row r="42" spans="1:20" x14ac:dyDescent="0.25">
      <c r="A42" s="21">
        <v>45659</v>
      </c>
      <c r="B42" s="1">
        <v>121319250</v>
      </c>
      <c r="C42" t="s">
        <v>107</v>
      </c>
      <c r="D42" s="22">
        <v>790000</v>
      </c>
      <c r="E42" t="s">
        <v>46</v>
      </c>
      <c r="F42" s="2">
        <v>210115002</v>
      </c>
      <c r="G42" s="2" t="s">
        <v>47</v>
      </c>
      <c r="L42" s="2" t="s">
        <v>108</v>
      </c>
      <c r="N42" t="s">
        <v>107</v>
      </c>
      <c r="P42" s="23">
        <v>52.03</v>
      </c>
      <c r="Q42" s="4">
        <f t="shared" si="0"/>
        <v>15183.547953103978</v>
      </c>
      <c r="R42" s="23" t="s">
        <v>109</v>
      </c>
    </row>
    <row r="43" spans="1:20" x14ac:dyDescent="0.25">
      <c r="A43" s="21">
        <v>45659</v>
      </c>
      <c r="B43" s="1">
        <v>116496073</v>
      </c>
      <c r="C43" t="s">
        <v>110</v>
      </c>
      <c r="D43" s="22">
        <v>-148141.85999999999</v>
      </c>
      <c r="E43" t="s">
        <v>35</v>
      </c>
      <c r="F43" s="2">
        <v>210101001</v>
      </c>
      <c r="G43" s="2" t="s">
        <v>36</v>
      </c>
      <c r="L43" s="2" t="s">
        <v>111</v>
      </c>
      <c r="M43" t="s">
        <v>38</v>
      </c>
      <c r="N43" t="s">
        <v>39</v>
      </c>
      <c r="P43" s="23">
        <v>52.03</v>
      </c>
      <c r="Q43" s="4">
        <f t="shared" si="0"/>
        <v>-2847.2392850278684</v>
      </c>
      <c r="R43" s="23" t="s">
        <v>109</v>
      </c>
    </row>
    <row r="44" spans="1:20" x14ac:dyDescent="0.25">
      <c r="A44" s="21">
        <v>45659</v>
      </c>
      <c r="B44" s="1">
        <v>116496072</v>
      </c>
      <c r="C44" t="s">
        <v>112</v>
      </c>
      <c r="D44" s="22">
        <v>-1960.4</v>
      </c>
      <c r="E44" t="s">
        <v>35</v>
      </c>
      <c r="F44" s="2">
        <v>210101001</v>
      </c>
      <c r="G44" s="2" t="s">
        <v>36</v>
      </c>
      <c r="L44" s="2" t="s">
        <v>113</v>
      </c>
      <c r="M44" t="s">
        <v>114</v>
      </c>
      <c r="N44" t="s">
        <v>115</v>
      </c>
      <c r="P44" s="23">
        <v>52.03</v>
      </c>
      <c r="Q44" s="4">
        <f t="shared" si="0"/>
        <v>-37.678262540841821</v>
      </c>
      <c r="R44" s="23" t="s">
        <v>109</v>
      </c>
    </row>
    <row r="45" spans="1:20" x14ac:dyDescent="0.25">
      <c r="A45" s="21">
        <v>45659</v>
      </c>
      <c r="B45" s="1">
        <v>50166479</v>
      </c>
      <c r="C45" t="s">
        <v>116</v>
      </c>
      <c r="D45" s="22">
        <v>-636319.04</v>
      </c>
      <c r="E45" t="s">
        <v>35</v>
      </c>
      <c r="F45" s="2">
        <v>210101001</v>
      </c>
      <c r="G45" s="2" t="s">
        <v>36</v>
      </c>
      <c r="L45" s="2" t="s">
        <v>117</v>
      </c>
      <c r="M45" t="s">
        <v>38</v>
      </c>
      <c r="N45" t="s">
        <v>39</v>
      </c>
      <c r="P45" s="23">
        <v>52.03</v>
      </c>
      <c r="Q45" s="4">
        <f t="shared" si="0"/>
        <v>-12229.848933307707</v>
      </c>
      <c r="R45" s="23" t="s">
        <v>109</v>
      </c>
    </row>
    <row r="46" spans="1:20" x14ac:dyDescent="0.25">
      <c r="A46" s="21">
        <v>45659</v>
      </c>
      <c r="B46" s="1">
        <v>50166480</v>
      </c>
      <c r="C46" t="s">
        <v>118</v>
      </c>
      <c r="D46" s="22">
        <v>-1966.05</v>
      </c>
      <c r="E46" t="s">
        <v>35</v>
      </c>
      <c r="F46" s="2">
        <v>610148001</v>
      </c>
      <c r="G46" s="2" t="s">
        <v>42</v>
      </c>
      <c r="L46" s="2" t="s">
        <v>119</v>
      </c>
      <c r="M46" t="s">
        <v>43</v>
      </c>
      <c r="N46" t="s">
        <v>42</v>
      </c>
      <c r="P46" s="23">
        <v>52.03</v>
      </c>
      <c r="Q46" s="4">
        <f t="shared" si="0"/>
        <v>-37.786853738227947</v>
      </c>
      <c r="R46" s="23" t="s">
        <v>109</v>
      </c>
      <c r="T46" s="23" t="s">
        <v>44</v>
      </c>
    </row>
    <row r="47" spans="1:20" x14ac:dyDescent="0.25">
      <c r="A47" s="21">
        <v>45659</v>
      </c>
      <c r="B47" s="1">
        <v>0</v>
      </c>
      <c r="C47" t="s">
        <v>120</v>
      </c>
      <c r="D47" s="22">
        <v>-1553.1</v>
      </c>
      <c r="E47" t="s">
        <v>35</v>
      </c>
      <c r="F47" s="2">
        <v>212901001</v>
      </c>
      <c r="G47" s="2" t="s">
        <v>121</v>
      </c>
      <c r="L47" s="2" t="s">
        <v>122</v>
      </c>
      <c r="M47" t="s">
        <v>67</v>
      </c>
      <c r="N47" t="s">
        <v>68</v>
      </c>
      <c r="P47" s="23">
        <v>52.03</v>
      </c>
      <c r="Q47" s="4">
        <f t="shared" si="0"/>
        <v>-29.850086488564287</v>
      </c>
      <c r="R47" s="23" t="s">
        <v>109</v>
      </c>
    </row>
    <row r="48" spans="1:20" x14ac:dyDescent="0.25">
      <c r="A48" s="21">
        <v>45660</v>
      </c>
      <c r="B48" s="1">
        <v>0</v>
      </c>
      <c r="C48" t="s">
        <v>123</v>
      </c>
      <c r="D48" s="22">
        <v>-47.73</v>
      </c>
      <c r="E48" t="s">
        <v>35</v>
      </c>
      <c r="F48" s="2">
        <v>610148001</v>
      </c>
      <c r="G48" s="2" t="s">
        <v>42</v>
      </c>
      <c r="L48" s="2" t="s">
        <v>124</v>
      </c>
      <c r="M48" t="s">
        <v>43</v>
      </c>
      <c r="N48" t="s">
        <v>42</v>
      </c>
      <c r="P48" s="23">
        <v>52.57</v>
      </c>
      <c r="Q48" s="4">
        <f t="shared" si="0"/>
        <v>-0.90793228076849908</v>
      </c>
      <c r="R48" s="23" t="s">
        <v>109</v>
      </c>
      <c r="T48" s="23" t="s">
        <v>44</v>
      </c>
    </row>
    <row r="49" spans="1:20" x14ac:dyDescent="0.25">
      <c r="A49" s="21">
        <v>45660</v>
      </c>
      <c r="B49" s="1">
        <v>558114</v>
      </c>
      <c r="C49" t="s">
        <v>125</v>
      </c>
      <c r="D49" s="22">
        <v>-8803.48</v>
      </c>
      <c r="E49" t="s">
        <v>35</v>
      </c>
      <c r="F49" s="2">
        <v>213401001</v>
      </c>
      <c r="G49" s="2" t="s">
        <v>126</v>
      </c>
      <c r="L49" s="2" t="s">
        <v>127</v>
      </c>
      <c r="M49" t="s">
        <v>128</v>
      </c>
      <c r="N49" t="s">
        <v>129</v>
      </c>
      <c r="P49" s="23">
        <v>52.57</v>
      </c>
      <c r="Q49" s="4">
        <f t="shared" si="0"/>
        <v>-167.46205059920106</v>
      </c>
      <c r="R49" s="23" t="s">
        <v>109</v>
      </c>
      <c r="T49" s="31" t="s">
        <v>130</v>
      </c>
    </row>
    <row r="50" spans="1:20" x14ac:dyDescent="0.25">
      <c r="A50" s="21">
        <v>45660</v>
      </c>
      <c r="B50" s="1">
        <v>671562954</v>
      </c>
      <c r="C50" t="s">
        <v>131</v>
      </c>
      <c r="D50" s="22">
        <v>20000</v>
      </c>
      <c r="E50" t="s">
        <v>46</v>
      </c>
      <c r="F50" s="2">
        <v>210115002</v>
      </c>
      <c r="G50" s="2" t="s">
        <v>47</v>
      </c>
      <c r="L50" s="2" t="s">
        <v>132</v>
      </c>
      <c r="N50" t="s">
        <v>131</v>
      </c>
      <c r="P50" s="23">
        <v>52.57</v>
      </c>
      <c r="Q50" s="4">
        <f t="shared" si="0"/>
        <v>380.44512079132585</v>
      </c>
      <c r="R50" s="23" t="s">
        <v>109</v>
      </c>
    </row>
    <row r="51" spans="1:20" x14ac:dyDescent="0.25">
      <c r="A51" s="32">
        <v>45660</v>
      </c>
      <c r="B51" s="26">
        <v>216531574</v>
      </c>
      <c r="C51" s="27" t="s">
        <v>54</v>
      </c>
      <c r="D51" s="28">
        <v>-6308.4</v>
      </c>
      <c r="E51" s="27" t="s">
        <v>35</v>
      </c>
      <c r="F51" s="29">
        <v>610129001</v>
      </c>
      <c r="G51" s="29" t="s">
        <v>55</v>
      </c>
      <c r="H51" s="107"/>
      <c r="I51" s="101"/>
      <c r="J51" s="101"/>
      <c r="K51" s="29"/>
      <c r="L51" s="2" t="s">
        <v>133</v>
      </c>
      <c r="M51" s="27" t="s">
        <v>57</v>
      </c>
      <c r="N51" s="27" t="s">
        <v>58</v>
      </c>
      <c r="O51" s="27" t="s">
        <v>59</v>
      </c>
      <c r="P51" s="31">
        <v>52.57</v>
      </c>
      <c r="Q51" s="4">
        <f t="shared" si="0"/>
        <v>-119.99999999999999</v>
      </c>
      <c r="R51" s="23" t="s">
        <v>109</v>
      </c>
      <c r="T51" s="23" t="s">
        <v>134</v>
      </c>
    </row>
    <row r="52" spans="1:20" x14ac:dyDescent="0.25">
      <c r="A52" s="21">
        <v>45660</v>
      </c>
      <c r="B52" s="1">
        <v>216531575</v>
      </c>
      <c r="C52" t="s">
        <v>135</v>
      </c>
      <c r="D52" s="22">
        <v>-1576.81</v>
      </c>
      <c r="E52" t="s">
        <v>35</v>
      </c>
      <c r="F52" s="2">
        <v>210101001</v>
      </c>
      <c r="G52" s="2" t="s">
        <v>36</v>
      </c>
      <c r="L52" s="2" t="s">
        <v>136</v>
      </c>
      <c r="M52" t="s">
        <v>114</v>
      </c>
      <c r="N52" t="s">
        <v>115</v>
      </c>
      <c r="P52" s="23">
        <v>52.57</v>
      </c>
      <c r="Q52" s="4">
        <f t="shared" si="0"/>
        <v>-29.994483545748526</v>
      </c>
      <c r="R52" s="23" t="s">
        <v>109</v>
      </c>
    </row>
    <row r="53" spans="1:20" x14ac:dyDescent="0.25">
      <c r="A53" s="21">
        <v>45660</v>
      </c>
      <c r="B53" s="1">
        <v>216531577</v>
      </c>
      <c r="C53" t="s">
        <v>137</v>
      </c>
      <c r="D53" s="22">
        <v>-3679.9</v>
      </c>
      <c r="E53" t="s">
        <v>35</v>
      </c>
      <c r="F53" s="2">
        <v>212901001</v>
      </c>
      <c r="G53" s="2" t="s">
        <v>121</v>
      </c>
      <c r="L53" s="2" t="s">
        <v>138</v>
      </c>
      <c r="M53" t="s">
        <v>67</v>
      </c>
      <c r="N53" t="s">
        <v>68</v>
      </c>
      <c r="P53" s="23">
        <v>52.57</v>
      </c>
      <c r="Q53" s="4">
        <f t="shared" si="0"/>
        <v>-70</v>
      </c>
      <c r="R53" s="23" t="s">
        <v>109</v>
      </c>
    </row>
    <row r="54" spans="1:20" x14ac:dyDescent="0.25">
      <c r="A54" s="21">
        <v>45660</v>
      </c>
      <c r="B54" s="1">
        <v>216531576</v>
      </c>
      <c r="C54" t="s">
        <v>139</v>
      </c>
      <c r="D54" s="22">
        <v>-1261.68</v>
      </c>
      <c r="E54" t="s">
        <v>35</v>
      </c>
      <c r="F54" s="2">
        <v>212901001</v>
      </c>
      <c r="G54" s="2" t="s">
        <v>121</v>
      </c>
      <c r="L54" s="2" t="s">
        <v>140</v>
      </c>
      <c r="M54" t="s">
        <v>67</v>
      </c>
      <c r="N54" t="s">
        <v>68</v>
      </c>
      <c r="P54" s="23">
        <v>52.57</v>
      </c>
      <c r="Q54" s="4">
        <f t="shared" si="0"/>
        <v>-24</v>
      </c>
      <c r="R54" s="23" t="s">
        <v>109</v>
      </c>
    </row>
    <row r="55" spans="1:20" x14ac:dyDescent="0.25">
      <c r="A55" s="21">
        <v>45660</v>
      </c>
      <c r="B55" s="1">
        <v>216531579</v>
      </c>
      <c r="C55" t="s">
        <v>141</v>
      </c>
      <c r="D55" s="22">
        <v>-1577.1</v>
      </c>
      <c r="E55" t="s">
        <v>35</v>
      </c>
      <c r="F55" s="2">
        <v>212901001</v>
      </c>
      <c r="G55" s="2" t="s">
        <v>121</v>
      </c>
      <c r="L55" s="2" t="s">
        <v>142</v>
      </c>
      <c r="M55" t="s">
        <v>67</v>
      </c>
      <c r="N55" t="s">
        <v>68</v>
      </c>
      <c r="P55" s="23">
        <v>52.57</v>
      </c>
      <c r="Q55" s="4">
        <f t="shared" si="0"/>
        <v>-29.999999999999996</v>
      </c>
      <c r="R55" s="23" t="s">
        <v>109</v>
      </c>
    </row>
    <row r="56" spans="1:20" x14ac:dyDescent="0.25">
      <c r="A56" s="21">
        <v>45660</v>
      </c>
      <c r="B56" s="1">
        <v>216531578</v>
      </c>
      <c r="C56" t="s">
        <v>143</v>
      </c>
      <c r="D56" s="22">
        <v>-2628.5</v>
      </c>
      <c r="E56" t="s">
        <v>35</v>
      </c>
      <c r="F56" s="2">
        <v>212901001</v>
      </c>
      <c r="G56" s="2" t="s">
        <v>121</v>
      </c>
      <c r="L56" s="2" t="s">
        <v>144</v>
      </c>
      <c r="M56" t="s">
        <v>67</v>
      </c>
      <c r="N56" t="s">
        <v>68</v>
      </c>
      <c r="P56" s="23">
        <v>52.57</v>
      </c>
      <c r="Q56" s="4">
        <f t="shared" si="0"/>
        <v>-50</v>
      </c>
      <c r="R56" s="23" t="s">
        <v>109</v>
      </c>
    </row>
    <row r="57" spans="1:20" x14ac:dyDescent="0.25">
      <c r="A57" s="21">
        <v>45660</v>
      </c>
      <c r="B57" s="1">
        <v>216531581</v>
      </c>
      <c r="C57" t="s">
        <v>145</v>
      </c>
      <c r="D57" s="22">
        <v>-1051.4000000000001</v>
      </c>
      <c r="E57" t="s">
        <v>35</v>
      </c>
      <c r="F57" s="2">
        <v>212901001</v>
      </c>
      <c r="G57" s="2" t="s">
        <v>121</v>
      </c>
      <c r="L57" s="2" t="s">
        <v>146</v>
      </c>
      <c r="M57" t="s">
        <v>67</v>
      </c>
      <c r="N57" t="s">
        <v>68</v>
      </c>
      <c r="P57" s="23">
        <v>52.57</v>
      </c>
      <c r="Q57" s="4">
        <f t="shared" si="0"/>
        <v>-20</v>
      </c>
      <c r="R57" s="23" t="s">
        <v>109</v>
      </c>
    </row>
    <row r="58" spans="1:20" x14ac:dyDescent="0.25">
      <c r="A58" s="21">
        <v>45660</v>
      </c>
      <c r="B58" s="1">
        <v>216531582</v>
      </c>
      <c r="C58" t="s">
        <v>147</v>
      </c>
      <c r="D58" s="22">
        <v>-1051.4000000000001</v>
      </c>
      <c r="E58" t="s">
        <v>35</v>
      </c>
      <c r="F58" s="2">
        <v>212901001</v>
      </c>
      <c r="G58" s="2" t="s">
        <v>121</v>
      </c>
      <c r="L58" s="2" t="s">
        <v>148</v>
      </c>
      <c r="M58" t="s">
        <v>67</v>
      </c>
      <c r="N58" t="s">
        <v>68</v>
      </c>
      <c r="P58" s="23">
        <v>52.57</v>
      </c>
      <c r="Q58" s="4">
        <f t="shared" si="0"/>
        <v>-20</v>
      </c>
      <c r="R58" s="23" t="s">
        <v>109</v>
      </c>
    </row>
    <row r="59" spans="1:20" x14ac:dyDescent="0.25">
      <c r="A59" s="21">
        <v>45660</v>
      </c>
      <c r="B59" s="1">
        <v>216531580</v>
      </c>
      <c r="C59" t="s">
        <v>149</v>
      </c>
      <c r="D59" s="22">
        <v>-1051.4000000000001</v>
      </c>
      <c r="E59" t="s">
        <v>35</v>
      </c>
      <c r="F59" s="2">
        <v>212901001</v>
      </c>
      <c r="G59" s="2" t="s">
        <v>121</v>
      </c>
      <c r="L59" s="2" t="s">
        <v>150</v>
      </c>
      <c r="M59" t="s">
        <v>67</v>
      </c>
      <c r="N59" t="s">
        <v>68</v>
      </c>
      <c r="P59" s="23">
        <v>52.57</v>
      </c>
      <c r="Q59" s="4">
        <f t="shared" si="0"/>
        <v>-20</v>
      </c>
      <c r="R59" s="23" t="s">
        <v>109</v>
      </c>
    </row>
    <row r="60" spans="1:20" x14ac:dyDescent="0.25">
      <c r="A60" s="21">
        <v>45660</v>
      </c>
      <c r="B60" s="1">
        <v>50157887</v>
      </c>
      <c r="C60" t="s">
        <v>118</v>
      </c>
      <c r="D60" s="22">
        <v>-50.46</v>
      </c>
      <c r="E60" t="s">
        <v>35</v>
      </c>
      <c r="F60" s="2">
        <v>610148001</v>
      </c>
      <c r="G60" s="2" t="s">
        <v>42</v>
      </c>
      <c r="L60" s="2" t="s">
        <v>151</v>
      </c>
      <c r="M60" t="s">
        <v>43</v>
      </c>
      <c r="N60" t="s">
        <v>42</v>
      </c>
      <c r="P60" s="23">
        <v>52.57</v>
      </c>
      <c r="Q60" s="4">
        <f t="shared" si="0"/>
        <v>-0.9598630397565151</v>
      </c>
      <c r="R60" s="23" t="s">
        <v>109</v>
      </c>
      <c r="T60" s="23" t="s">
        <v>44</v>
      </c>
    </row>
    <row r="61" spans="1:20" x14ac:dyDescent="0.25">
      <c r="A61" s="21">
        <v>45660</v>
      </c>
      <c r="B61" s="1">
        <v>153223178</v>
      </c>
      <c r="C61" t="s">
        <v>107</v>
      </c>
      <c r="D61" s="22">
        <v>240000</v>
      </c>
      <c r="E61" t="s">
        <v>46</v>
      </c>
      <c r="F61" s="2">
        <v>210115002</v>
      </c>
      <c r="G61" s="2" t="s">
        <v>47</v>
      </c>
      <c r="L61" s="2" t="s">
        <v>152</v>
      </c>
      <c r="N61" t="s">
        <v>107</v>
      </c>
      <c r="P61" s="23">
        <v>52.57</v>
      </c>
      <c r="Q61" s="4">
        <f t="shared" si="0"/>
        <v>4565.3414494959106</v>
      </c>
      <c r="R61" s="23" t="s">
        <v>109</v>
      </c>
    </row>
    <row r="62" spans="1:20" x14ac:dyDescent="0.25">
      <c r="A62" s="21">
        <v>45660</v>
      </c>
      <c r="B62" s="1">
        <v>916540936</v>
      </c>
      <c r="C62" t="s">
        <v>153</v>
      </c>
      <c r="D62" s="22">
        <v>-3154.2</v>
      </c>
      <c r="E62" t="s">
        <v>35</v>
      </c>
      <c r="F62" s="2">
        <v>212901001</v>
      </c>
      <c r="G62" s="2" t="s">
        <v>121</v>
      </c>
      <c r="L62" s="2" t="s">
        <v>154</v>
      </c>
      <c r="M62" t="s">
        <v>67</v>
      </c>
      <c r="N62" t="s">
        <v>68</v>
      </c>
      <c r="P62" s="23">
        <v>52.57</v>
      </c>
      <c r="Q62" s="4">
        <f t="shared" si="0"/>
        <v>-59.999999999999993</v>
      </c>
      <c r="R62" s="23" t="s">
        <v>109</v>
      </c>
    </row>
    <row r="63" spans="1:20" x14ac:dyDescent="0.25">
      <c r="A63" s="21">
        <v>45660</v>
      </c>
      <c r="B63" s="1">
        <v>816540934</v>
      </c>
      <c r="C63" t="s">
        <v>155</v>
      </c>
      <c r="D63" s="22">
        <v>-3154.2</v>
      </c>
      <c r="E63" t="s">
        <v>35</v>
      </c>
      <c r="F63" s="2">
        <v>212901001</v>
      </c>
      <c r="G63" s="2" t="s">
        <v>121</v>
      </c>
      <c r="L63" s="2" t="s">
        <v>156</v>
      </c>
      <c r="M63" t="s">
        <v>67</v>
      </c>
      <c r="N63" t="s">
        <v>68</v>
      </c>
      <c r="P63" s="23">
        <v>52.57</v>
      </c>
      <c r="Q63" s="4">
        <f t="shared" si="0"/>
        <v>-59.999999999999993</v>
      </c>
      <c r="R63" s="23" t="s">
        <v>109</v>
      </c>
    </row>
    <row r="64" spans="1:20" x14ac:dyDescent="0.25">
      <c r="A64" s="21">
        <v>45660</v>
      </c>
      <c r="B64" s="1">
        <v>816540932</v>
      </c>
      <c r="C64" t="s">
        <v>157</v>
      </c>
      <c r="D64" s="22">
        <v>-3154.2</v>
      </c>
      <c r="E64" t="s">
        <v>35</v>
      </c>
      <c r="F64" s="2">
        <v>212901001</v>
      </c>
      <c r="G64" s="2" t="s">
        <v>121</v>
      </c>
      <c r="L64" s="2" t="s">
        <v>158</v>
      </c>
      <c r="M64" t="s">
        <v>67</v>
      </c>
      <c r="N64" t="s">
        <v>68</v>
      </c>
      <c r="P64" s="23">
        <v>52.57</v>
      </c>
      <c r="Q64" s="4">
        <f t="shared" si="0"/>
        <v>-59.999999999999993</v>
      </c>
      <c r="R64" s="23" t="s">
        <v>109</v>
      </c>
    </row>
    <row r="65" spans="1:18" x14ac:dyDescent="0.25">
      <c r="A65" s="21">
        <v>45660</v>
      </c>
      <c r="B65" s="1">
        <v>916540935</v>
      </c>
      <c r="C65" t="s">
        <v>159</v>
      </c>
      <c r="D65" s="22">
        <v>-3154.2</v>
      </c>
      <c r="E65" t="s">
        <v>35</v>
      </c>
      <c r="F65" s="2">
        <v>212901001</v>
      </c>
      <c r="G65" s="2" t="s">
        <v>121</v>
      </c>
      <c r="L65" s="2" t="s">
        <v>160</v>
      </c>
      <c r="M65" t="s">
        <v>67</v>
      </c>
      <c r="N65" t="s">
        <v>68</v>
      </c>
      <c r="P65" s="23">
        <v>52.57</v>
      </c>
      <c r="Q65" s="4">
        <f t="shared" si="0"/>
        <v>-59.999999999999993</v>
      </c>
      <c r="R65" s="23" t="s">
        <v>109</v>
      </c>
    </row>
    <row r="66" spans="1:18" x14ac:dyDescent="0.25">
      <c r="A66" s="21">
        <v>45660</v>
      </c>
      <c r="B66" s="1">
        <v>916540937</v>
      </c>
      <c r="C66" t="s">
        <v>161</v>
      </c>
      <c r="D66" s="22">
        <v>-3154.2</v>
      </c>
      <c r="E66" t="s">
        <v>35</v>
      </c>
      <c r="F66" s="2">
        <v>212901001</v>
      </c>
      <c r="G66" s="2" t="s">
        <v>121</v>
      </c>
      <c r="L66" s="2" t="s">
        <v>162</v>
      </c>
      <c r="M66" t="s">
        <v>67</v>
      </c>
      <c r="N66" t="s">
        <v>68</v>
      </c>
      <c r="P66" s="23">
        <v>52.57</v>
      </c>
      <c r="Q66" s="4">
        <f t="shared" si="0"/>
        <v>-59.999999999999993</v>
      </c>
      <c r="R66" s="23" t="s">
        <v>109</v>
      </c>
    </row>
    <row r="67" spans="1:18" x14ac:dyDescent="0.25">
      <c r="A67" s="21">
        <v>45660</v>
      </c>
      <c r="B67" s="1">
        <v>916540940</v>
      </c>
      <c r="C67" t="s">
        <v>163</v>
      </c>
      <c r="D67" s="22">
        <v>-3154.2</v>
      </c>
      <c r="E67" t="s">
        <v>35</v>
      </c>
      <c r="F67" s="2">
        <v>212901001</v>
      </c>
      <c r="G67" s="2" t="s">
        <v>121</v>
      </c>
      <c r="L67" s="2" t="s">
        <v>164</v>
      </c>
      <c r="M67" t="s">
        <v>67</v>
      </c>
      <c r="N67" t="s">
        <v>68</v>
      </c>
      <c r="P67" s="23">
        <v>52.57</v>
      </c>
      <c r="Q67" s="4">
        <f t="shared" si="0"/>
        <v>-59.999999999999993</v>
      </c>
      <c r="R67" s="23" t="s">
        <v>109</v>
      </c>
    </row>
    <row r="68" spans="1:18" x14ac:dyDescent="0.25">
      <c r="A68" s="21">
        <v>45660</v>
      </c>
      <c r="B68" s="1">
        <v>916540939</v>
      </c>
      <c r="C68" t="s">
        <v>165</v>
      </c>
      <c r="D68" s="22">
        <v>-3154.2</v>
      </c>
      <c r="E68" t="s">
        <v>35</v>
      </c>
      <c r="F68" s="2">
        <v>212901001</v>
      </c>
      <c r="G68" s="2" t="s">
        <v>121</v>
      </c>
      <c r="L68" s="2" t="s">
        <v>166</v>
      </c>
      <c r="M68" t="s">
        <v>67</v>
      </c>
      <c r="N68" t="s">
        <v>68</v>
      </c>
      <c r="P68" s="23">
        <v>52.57</v>
      </c>
      <c r="Q68" s="4">
        <f t="shared" si="0"/>
        <v>-59.999999999999993</v>
      </c>
      <c r="R68" s="23" t="s">
        <v>109</v>
      </c>
    </row>
    <row r="69" spans="1:18" x14ac:dyDescent="0.25">
      <c r="A69" s="21">
        <v>45660</v>
      </c>
      <c r="B69" s="1">
        <v>916540938</v>
      </c>
      <c r="C69" t="s">
        <v>167</v>
      </c>
      <c r="D69" s="22">
        <v>-3154.2</v>
      </c>
      <c r="E69" t="s">
        <v>35</v>
      </c>
      <c r="F69" s="2">
        <v>212901001</v>
      </c>
      <c r="G69" s="2" t="s">
        <v>121</v>
      </c>
      <c r="L69" s="2" t="s">
        <v>168</v>
      </c>
      <c r="M69" t="s">
        <v>67</v>
      </c>
      <c r="N69" t="s">
        <v>68</v>
      </c>
      <c r="P69" s="23">
        <v>52.57</v>
      </c>
      <c r="Q69" s="4">
        <f t="shared" si="0"/>
        <v>-59.999999999999993</v>
      </c>
      <c r="R69" s="23" t="s">
        <v>109</v>
      </c>
    </row>
    <row r="70" spans="1:18" x14ac:dyDescent="0.25">
      <c r="A70" s="21">
        <v>45660</v>
      </c>
      <c r="B70" s="1">
        <v>916540941</v>
      </c>
      <c r="C70" t="s">
        <v>169</v>
      </c>
      <c r="D70" s="22">
        <v>-3154.2</v>
      </c>
      <c r="E70" t="s">
        <v>35</v>
      </c>
      <c r="F70" s="2">
        <v>212901001</v>
      </c>
      <c r="G70" s="2" t="s">
        <v>121</v>
      </c>
      <c r="L70" s="2" t="s">
        <v>170</v>
      </c>
      <c r="M70" t="s">
        <v>67</v>
      </c>
      <c r="N70" t="s">
        <v>68</v>
      </c>
      <c r="P70" s="23">
        <v>52.57</v>
      </c>
      <c r="Q70" s="4">
        <f t="shared" si="0"/>
        <v>-59.999999999999993</v>
      </c>
      <c r="R70" s="23" t="s">
        <v>109</v>
      </c>
    </row>
    <row r="71" spans="1:18" x14ac:dyDescent="0.25">
      <c r="A71" s="21">
        <v>45660</v>
      </c>
      <c r="B71" s="1">
        <v>916540943</v>
      </c>
      <c r="C71" t="s">
        <v>171</v>
      </c>
      <c r="D71" s="22">
        <v>-3154.2</v>
      </c>
      <c r="E71" t="s">
        <v>35</v>
      </c>
      <c r="F71" s="2">
        <v>212901001</v>
      </c>
      <c r="G71" s="2" t="s">
        <v>121</v>
      </c>
      <c r="L71" s="2" t="s">
        <v>172</v>
      </c>
      <c r="M71" t="s">
        <v>67</v>
      </c>
      <c r="N71" t="s">
        <v>68</v>
      </c>
      <c r="P71" s="23">
        <v>52.57</v>
      </c>
      <c r="Q71" s="4">
        <f t="shared" si="0"/>
        <v>-59.999999999999993</v>
      </c>
      <c r="R71" s="23" t="s">
        <v>109</v>
      </c>
    </row>
    <row r="72" spans="1:18" x14ac:dyDescent="0.25">
      <c r="A72" s="21">
        <v>45660</v>
      </c>
      <c r="B72" s="1">
        <v>916540942</v>
      </c>
      <c r="C72" t="s">
        <v>173</v>
      </c>
      <c r="D72" s="22">
        <v>-3154.2</v>
      </c>
      <c r="E72" t="s">
        <v>35</v>
      </c>
      <c r="F72" s="2">
        <v>212901001</v>
      </c>
      <c r="G72" s="2" t="s">
        <v>121</v>
      </c>
      <c r="L72" s="2" t="s">
        <v>174</v>
      </c>
      <c r="M72" t="s">
        <v>67</v>
      </c>
      <c r="N72" t="s">
        <v>68</v>
      </c>
      <c r="P72" s="23">
        <v>52.57</v>
      </c>
      <c r="Q72" s="4">
        <f t="shared" si="0"/>
        <v>-59.999999999999993</v>
      </c>
      <c r="R72" s="23" t="s">
        <v>109</v>
      </c>
    </row>
    <row r="73" spans="1:18" x14ac:dyDescent="0.25">
      <c r="A73" s="21">
        <v>45660</v>
      </c>
      <c r="B73" s="1">
        <v>916540946</v>
      </c>
      <c r="C73" t="s">
        <v>175</v>
      </c>
      <c r="D73" s="22">
        <v>-3154.2</v>
      </c>
      <c r="E73" t="s">
        <v>35</v>
      </c>
      <c r="F73" s="2">
        <v>212901001</v>
      </c>
      <c r="G73" s="2" t="s">
        <v>121</v>
      </c>
      <c r="L73" s="2" t="s">
        <v>176</v>
      </c>
      <c r="M73" t="s">
        <v>67</v>
      </c>
      <c r="N73" t="s">
        <v>68</v>
      </c>
      <c r="P73" s="23">
        <v>52.57</v>
      </c>
      <c r="Q73" s="4">
        <f t="shared" si="0"/>
        <v>-59.999999999999993</v>
      </c>
      <c r="R73" s="23" t="s">
        <v>109</v>
      </c>
    </row>
    <row r="74" spans="1:18" x14ac:dyDescent="0.25">
      <c r="A74" s="21">
        <v>45660</v>
      </c>
      <c r="B74" s="1">
        <v>916540944</v>
      </c>
      <c r="C74" t="s">
        <v>177</v>
      </c>
      <c r="D74" s="22">
        <v>-3154.2</v>
      </c>
      <c r="E74" t="s">
        <v>35</v>
      </c>
      <c r="F74" s="2">
        <v>212901001</v>
      </c>
      <c r="G74" s="2" t="s">
        <v>121</v>
      </c>
      <c r="L74" s="2" t="s">
        <v>178</v>
      </c>
      <c r="M74" t="s">
        <v>67</v>
      </c>
      <c r="N74" t="s">
        <v>68</v>
      </c>
      <c r="P74" s="23">
        <v>52.57</v>
      </c>
      <c r="Q74" s="4">
        <f t="shared" si="0"/>
        <v>-59.999999999999993</v>
      </c>
      <c r="R74" s="23" t="s">
        <v>109</v>
      </c>
    </row>
    <row r="75" spans="1:18" x14ac:dyDescent="0.25">
      <c r="A75" s="21">
        <v>45660</v>
      </c>
      <c r="B75" s="1">
        <v>916540947</v>
      </c>
      <c r="C75" t="s">
        <v>179</v>
      </c>
      <c r="D75" s="22">
        <v>-3154.2</v>
      </c>
      <c r="E75" t="s">
        <v>35</v>
      </c>
      <c r="F75" s="2">
        <v>212901001</v>
      </c>
      <c r="G75" s="2" t="s">
        <v>121</v>
      </c>
      <c r="L75" s="2" t="s">
        <v>180</v>
      </c>
      <c r="M75" t="s">
        <v>67</v>
      </c>
      <c r="N75" t="s">
        <v>68</v>
      </c>
      <c r="P75" s="23">
        <v>52.57</v>
      </c>
      <c r="Q75" s="4">
        <f t="shared" ref="Q75:Q138" si="1">D75/P75</f>
        <v>-59.999999999999993</v>
      </c>
      <c r="R75" s="23" t="s">
        <v>109</v>
      </c>
    </row>
    <row r="76" spans="1:18" x14ac:dyDescent="0.25">
      <c r="A76" s="21">
        <v>45660</v>
      </c>
      <c r="B76" s="1">
        <v>16540948</v>
      </c>
      <c r="C76" t="s">
        <v>181</v>
      </c>
      <c r="D76" s="22">
        <v>-3154.2</v>
      </c>
      <c r="E76" t="s">
        <v>35</v>
      </c>
      <c r="F76" s="2">
        <v>212901001</v>
      </c>
      <c r="G76" s="2" t="s">
        <v>121</v>
      </c>
      <c r="L76" s="2" t="s">
        <v>182</v>
      </c>
      <c r="M76" t="s">
        <v>67</v>
      </c>
      <c r="N76" t="s">
        <v>68</v>
      </c>
      <c r="P76" s="23">
        <v>52.57</v>
      </c>
      <c r="Q76" s="4">
        <f t="shared" si="1"/>
        <v>-59.999999999999993</v>
      </c>
      <c r="R76" s="23" t="s">
        <v>109</v>
      </c>
    </row>
    <row r="77" spans="1:18" x14ac:dyDescent="0.25">
      <c r="A77" s="21">
        <v>45660</v>
      </c>
      <c r="B77" s="1">
        <v>916540945</v>
      </c>
      <c r="C77" t="s">
        <v>183</v>
      </c>
      <c r="D77" s="22">
        <v>-3154.2</v>
      </c>
      <c r="E77" t="s">
        <v>35</v>
      </c>
      <c r="F77" s="2">
        <v>212901001</v>
      </c>
      <c r="G77" s="2" t="s">
        <v>121</v>
      </c>
      <c r="L77" s="2" t="s">
        <v>184</v>
      </c>
      <c r="M77" t="s">
        <v>67</v>
      </c>
      <c r="N77" t="s">
        <v>68</v>
      </c>
      <c r="P77" s="23">
        <v>52.57</v>
      </c>
      <c r="Q77" s="4">
        <f t="shared" si="1"/>
        <v>-59.999999999999993</v>
      </c>
      <c r="R77" s="23" t="s">
        <v>109</v>
      </c>
    </row>
    <row r="78" spans="1:18" x14ac:dyDescent="0.25">
      <c r="A78" s="21">
        <v>45660</v>
      </c>
      <c r="B78" s="1">
        <v>16540953</v>
      </c>
      <c r="C78" t="s">
        <v>185</v>
      </c>
      <c r="D78" s="22">
        <v>-4205.6000000000004</v>
      </c>
      <c r="E78" t="s">
        <v>35</v>
      </c>
      <c r="F78" s="2">
        <v>212901001</v>
      </c>
      <c r="G78" s="2" t="s">
        <v>121</v>
      </c>
      <c r="L78" s="2" t="s">
        <v>186</v>
      </c>
      <c r="M78" t="s">
        <v>67</v>
      </c>
      <c r="N78" t="s">
        <v>68</v>
      </c>
      <c r="P78" s="23">
        <v>52.57</v>
      </c>
      <c r="Q78" s="4">
        <f t="shared" si="1"/>
        <v>-80</v>
      </c>
      <c r="R78" s="23" t="s">
        <v>109</v>
      </c>
    </row>
    <row r="79" spans="1:18" x14ac:dyDescent="0.25">
      <c r="A79" s="21">
        <v>45660</v>
      </c>
      <c r="B79" s="1">
        <v>16540949</v>
      </c>
      <c r="C79" t="s">
        <v>187</v>
      </c>
      <c r="D79" s="22">
        <v>-7885.5</v>
      </c>
      <c r="E79" t="s">
        <v>35</v>
      </c>
      <c r="F79" s="2">
        <v>212901001</v>
      </c>
      <c r="G79" s="2" t="s">
        <v>121</v>
      </c>
      <c r="L79" s="2" t="s">
        <v>188</v>
      </c>
      <c r="M79" t="s">
        <v>67</v>
      </c>
      <c r="N79" t="s">
        <v>68</v>
      </c>
      <c r="P79" s="23">
        <v>52.57</v>
      </c>
      <c r="Q79" s="4">
        <f t="shared" si="1"/>
        <v>-150</v>
      </c>
      <c r="R79" s="23" t="s">
        <v>109</v>
      </c>
    </row>
    <row r="80" spans="1:18" x14ac:dyDescent="0.25">
      <c r="A80" s="21">
        <v>45660</v>
      </c>
      <c r="B80" s="1">
        <v>16540950</v>
      </c>
      <c r="C80" t="s">
        <v>189</v>
      </c>
      <c r="D80" s="22">
        <v>-5257</v>
      </c>
      <c r="E80" t="s">
        <v>35</v>
      </c>
      <c r="F80" s="2">
        <v>212901001</v>
      </c>
      <c r="G80" s="2" t="s">
        <v>121</v>
      </c>
      <c r="L80" s="2" t="s">
        <v>190</v>
      </c>
      <c r="M80" t="s">
        <v>67</v>
      </c>
      <c r="N80" t="s">
        <v>68</v>
      </c>
      <c r="P80" s="23">
        <v>52.57</v>
      </c>
      <c r="Q80" s="4">
        <f t="shared" si="1"/>
        <v>-100</v>
      </c>
      <c r="R80" s="23" t="s">
        <v>109</v>
      </c>
    </row>
    <row r="81" spans="1:18" x14ac:dyDescent="0.25">
      <c r="A81" s="21">
        <v>45660</v>
      </c>
      <c r="B81" s="1">
        <v>16540955</v>
      </c>
      <c r="C81" t="s">
        <v>191</v>
      </c>
      <c r="D81" s="22">
        <v>-4205.6000000000004</v>
      </c>
      <c r="E81" t="s">
        <v>35</v>
      </c>
      <c r="F81" s="2">
        <v>212901001</v>
      </c>
      <c r="G81" s="2" t="s">
        <v>121</v>
      </c>
      <c r="L81" s="2" t="s">
        <v>192</v>
      </c>
      <c r="M81" t="s">
        <v>67</v>
      </c>
      <c r="N81" t="s">
        <v>68</v>
      </c>
      <c r="P81" s="23">
        <v>52.57</v>
      </c>
      <c r="Q81" s="4">
        <f t="shared" si="1"/>
        <v>-80</v>
      </c>
      <c r="R81" s="23" t="s">
        <v>109</v>
      </c>
    </row>
    <row r="82" spans="1:18" x14ac:dyDescent="0.25">
      <c r="A82" s="21">
        <v>45660</v>
      </c>
      <c r="B82" s="1">
        <v>16540952</v>
      </c>
      <c r="C82" t="s">
        <v>193</v>
      </c>
      <c r="D82" s="22">
        <v>-4205.6000000000004</v>
      </c>
      <c r="E82" t="s">
        <v>35</v>
      </c>
      <c r="F82" s="2">
        <v>212901001</v>
      </c>
      <c r="G82" s="2" t="s">
        <v>121</v>
      </c>
      <c r="L82" s="2" t="s">
        <v>194</v>
      </c>
      <c r="M82" t="s">
        <v>67</v>
      </c>
      <c r="N82" t="s">
        <v>68</v>
      </c>
      <c r="P82" s="23">
        <v>52.57</v>
      </c>
      <c r="Q82" s="4">
        <f t="shared" si="1"/>
        <v>-80</v>
      </c>
      <c r="R82" s="23" t="s">
        <v>109</v>
      </c>
    </row>
    <row r="83" spans="1:18" x14ac:dyDescent="0.25">
      <c r="A83" s="21">
        <v>45660</v>
      </c>
      <c r="B83" s="1">
        <v>16540956</v>
      </c>
      <c r="C83" t="s">
        <v>195</v>
      </c>
      <c r="D83" s="22">
        <v>-4205.6000000000004</v>
      </c>
      <c r="E83" t="s">
        <v>35</v>
      </c>
      <c r="F83" s="2">
        <v>212901001</v>
      </c>
      <c r="G83" s="2" t="s">
        <v>121</v>
      </c>
      <c r="L83" s="2" t="s">
        <v>196</v>
      </c>
      <c r="M83" t="s">
        <v>67</v>
      </c>
      <c r="N83" t="s">
        <v>68</v>
      </c>
      <c r="P83" s="23">
        <v>52.57</v>
      </c>
      <c r="Q83" s="4">
        <f t="shared" si="1"/>
        <v>-80</v>
      </c>
      <c r="R83" s="23" t="s">
        <v>109</v>
      </c>
    </row>
    <row r="84" spans="1:18" x14ac:dyDescent="0.25">
      <c r="A84" s="21">
        <v>45660</v>
      </c>
      <c r="B84" s="1">
        <v>16540957</v>
      </c>
      <c r="C84" t="s">
        <v>197</v>
      </c>
      <c r="D84" s="22">
        <v>-2628.5</v>
      </c>
      <c r="E84" t="s">
        <v>35</v>
      </c>
      <c r="F84" s="2">
        <v>212901001</v>
      </c>
      <c r="G84" s="2" t="s">
        <v>121</v>
      </c>
      <c r="L84" s="2" t="s">
        <v>198</v>
      </c>
      <c r="M84" t="s">
        <v>67</v>
      </c>
      <c r="N84" t="s">
        <v>68</v>
      </c>
      <c r="P84" s="23">
        <v>52.57</v>
      </c>
      <c r="Q84" s="4">
        <f t="shared" si="1"/>
        <v>-50</v>
      </c>
      <c r="R84" s="23" t="s">
        <v>109</v>
      </c>
    </row>
    <row r="85" spans="1:18" x14ac:dyDescent="0.25">
      <c r="A85" s="21">
        <v>45660</v>
      </c>
      <c r="B85" s="1">
        <v>16540959</v>
      </c>
      <c r="C85" t="s">
        <v>199</v>
      </c>
      <c r="D85" s="22">
        <v>-2628.5</v>
      </c>
      <c r="E85" t="s">
        <v>35</v>
      </c>
      <c r="F85" s="2">
        <v>212901001</v>
      </c>
      <c r="G85" s="2" t="s">
        <v>121</v>
      </c>
      <c r="L85" s="2" t="s">
        <v>200</v>
      </c>
      <c r="M85" t="s">
        <v>67</v>
      </c>
      <c r="N85" t="s">
        <v>68</v>
      </c>
      <c r="P85" s="23">
        <v>52.57</v>
      </c>
      <c r="Q85" s="4">
        <f t="shared" si="1"/>
        <v>-50</v>
      </c>
      <c r="R85" s="23" t="s">
        <v>109</v>
      </c>
    </row>
    <row r="86" spans="1:18" x14ac:dyDescent="0.25">
      <c r="A86" s="21">
        <v>45660</v>
      </c>
      <c r="B86" s="1">
        <v>116540961</v>
      </c>
      <c r="C86" t="s">
        <v>201</v>
      </c>
      <c r="D86" s="22">
        <v>-2628.5</v>
      </c>
      <c r="E86" t="s">
        <v>35</v>
      </c>
      <c r="F86" s="2">
        <v>212901001</v>
      </c>
      <c r="G86" s="2" t="s">
        <v>121</v>
      </c>
      <c r="L86" s="2" t="s">
        <v>202</v>
      </c>
      <c r="M86" t="s">
        <v>67</v>
      </c>
      <c r="N86" t="s">
        <v>68</v>
      </c>
      <c r="P86" s="23">
        <v>52.57</v>
      </c>
      <c r="Q86" s="4">
        <f t="shared" si="1"/>
        <v>-50</v>
      </c>
      <c r="R86" s="23" t="s">
        <v>109</v>
      </c>
    </row>
    <row r="87" spans="1:18" x14ac:dyDescent="0.25">
      <c r="A87" s="21">
        <v>45660</v>
      </c>
      <c r="B87" s="1">
        <v>116540962</v>
      </c>
      <c r="C87" t="s">
        <v>203</v>
      </c>
      <c r="D87" s="22">
        <v>-2628.5</v>
      </c>
      <c r="E87" t="s">
        <v>35</v>
      </c>
      <c r="F87" s="2">
        <v>212901001</v>
      </c>
      <c r="G87" s="2" t="s">
        <v>121</v>
      </c>
      <c r="L87" s="2" t="s">
        <v>204</v>
      </c>
      <c r="M87" t="s">
        <v>67</v>
      </c>
      <c r="N87" t="s">
        <v>68</v>
      </c>
      <c r="P87" s="23">
        <v>52.57</v>
      </c>
      <c r="Q87" s="4">
        <f t="shared" si="1"/>
        <v>-50</v>
      </c>
      <c r="R87" s="23" t="s">
        <v>109</v>
      </c>
    </row>
    <row r="88" spans="1:18" x14ac:dyDescent="0.25">
      <c r="A88" s="21">
        <v>45660</v>
      </c>
      <c r="B88" s="1">
        <v>16540958</v>
      </c>
      <c r="C88" t="s">
        <v>205</v>
      </c>
      <c r="D88" s="22">
        <v>-2628.5</v>
      </c>
      <c r="E88" t="s">
        <v>35</v>
      </c>
      <c r="F88" s="2">
        <v>212901001</v>
      </c>
      <c r="G88" s="2" t="s">
        <v>121</v>
      </c>
      <c r="L88" s="2" t="s">
        <v>206</v>
      </c>
      <c r="M88" t="s">
        <v>67</v>
      </c>
      <c r="N88" t="s">
        <v>68</v>
      </c>
      <c r="P88" s="23">
        <v>52.57</v>
      </c>
      <c r="Q88" s="4">
        <f t="shared" si="1"/>
        <v>-50</v>
      </c>
      <c r="R88" s="23" t="s">
        <v>109</v>
      </c>
    </row>
    <row r="89" spans="1:18" x14ac:dyDescent="0.25">
      <c r="A89" s="21">
        <v>45660</v>
      </c>
      <c r="B89" s="1">
        <v>116540960</v>
      </c>
      <c r="C89" t="s">
        <v>207</v>
      </c>
      <c r="D89" s="22">
        <v>-2628.5</v>
      </c>
      <c r="E89" t="s">
        <v>35</v>
      </c>
      <c r="F89" s="2">
        <v>212901001</v>
      </c>
      <c r="G89" s="2" t="s">
        <v>121</v>
      </c>
      <c r="L89" s="2" t="s">
        <v>208</v>
      </c>
      <c r="M89" t="s">
        <v>67</v>
      </c>
      <c r="N89" t="s">
        <v>68</v>
      </c>
      <c r="P89" s="23">
        <v>52.57</v>
      </c>
      <c r="Q89" s="4">
        <f t="shared" si="1"/>
        <v>-50</v>
      </c>
      <c r="R89" s="23" t="s">
        <v>109</v>
      </c>
    </row>
    <row r="90" spans="1:18" x14ac:dyDescent="0.25">
      <c r="A90" s="21">
        <v>45660</v>
      </c>
      <c r="B90" s="1">
        <v>116540963</v>
      </c>
      <c r="C90" t="s">
        <v>209</v>
      </c>
      <c r="D90" s="22">
        <v>-2102.8000000000002</v>
      </c>
      <c r="E90" t="s">
        <v>35</v>
      </c>
      <c r="F90" s="2">
        <v>212901001</v>
      </c>
      <c r="G90" s="2" t="s">
        <v>121</v>
      </c>
      <c r="L90" s="2" t="s">
        <v>210</v>
      </c>
      <c r="M90" t="s">
        <v>67</v>
      </c>
      <c r="N90" t="s">
        <v>68</v>
      </c>
      <c r="P90" s="23">
        <v>52.57</v>
      </c>
      <c r="Q90" s="4">
        <f t="shared" si="1"/>
        <v>-40</v>
      </c>
      <c r="R90" s="23" t="s">
        <v>109</v>
      </c>
    </row>
    <row r="91" spans="1:18" x14ac:dyDescent="0.25">
      <c r="A91" s="21">
        <v>45660</v>
      </c>
      <c r="B91" s="1">
        <v>116540966</v>
      </c>
      <c r="C91" t="s">
        <v>211</v>
      </c>
      <c r="D91" s="22">
        <v>-2102.8000000000002</v>
      </c>
      <c r="E91" t="s">
        <v>35</v>
      </c>
      <c r="F91" s="2">
        <v>212901001</v>
      </c>
      <c r="G91" s="2" t="s">
        <v>121</v>
      </c>
      <c r="L91" s="2" t="s">
        <v>212</v>
      </c>
      <c r="M91" t="s">
        <v>67</v>
      </c>
      <c r="N91" t="s">
        <v>68</v>
      </c>
      <c r="P91" s="23">
        <v>52.57</v>
      </c>
      <c r="Q91" s="4">
        <f t="shared" si="1"/>
        <v>-40</v>
      </c>
      <c r="R91" s="23" t="s">
        <v>109</v>
      </c>
    </row>
    <row r="92" spans="1:18" x14ac:dyDescent="0.25">
      <c r="A92" s="21">
        <v>45660</v>
      </c>
      <c r="B92" s="1">
        <v>116540965</v>
      </c>
      <c r="C92" t="s">
        <v>213</v>
      </c>
      <c r="D92" s="22">
        <v>-2102.8000000000002</v>
      </c>
      <c r="E92" t="s">
        <v>35</v>
      </c>
      <c r="F92" s="2">
        <v>212901001</v>
      </c>
      <c r="G92" s="2" t="s">
        <v>121</v>
      </c>
      <c r="L92" s="2" t="s">
        <v>214</v>
      </c>
      <c r="M92" t="s">
        <v>67</v>
      </c>
      <c r="N92" t="s">
        <v>68</v>
      </c>
      <c r="P92" s="23">
        <v>52.57</v>
      </c>
      <c r="Q92" s="4">
        <f t="shared" si="1"/>
        <v>-40</v>
      </c>
      <c r="R92" s="23" t="s">
        <v>109</v>
      </c>
    </row>
    <row r="93" spans="1:18" x14ac:dyDescent="0.25">
      <c r="A93" s="21">
        <v>45660</v>
      </c>
      <c r="B93" s="1">
        <v>116540964</v>
      </c>
      <c r="C93" t="s">
        <v>215</v>
      </c>
      <c r="D93" s="22">
        <v>-2102.8000000000002</v>
      </c>
      <c r="E93" t="s">
        <v>35</v>
      </c>
      <c r="F93" s="2">
        <v>212901001</v>
      </c>
      <c r="G93" s="2" t="s">
        <v>121</v>
      </c>
      <c r="L93" s="2" t="s">
        <v>216</v>
      </c>
      <c r="M93" t="s">
        <v>67</v>
      </c>
      <c r="N93" t="s">
        <v>68</v>
      </c>
      <c r="P93" s="23">
        <v>52.57</v>
      </c>
      <c r="Q93" s="4">
        <f t="shared" si="1"/>
        <v>-40</v>
      </c>
      <c r="R93" s="23" t="s">
        <v>109</v>
      </c>
    </row>
    <row r="94" spans="1:18" x14ac:dyDescent="0.25">
      <c r="A94" s="21">
        <v>45660</v>
      </c>
      <c r="B94" s="1">
        <v>16540954</v>
      </c>
      <c r="C94" t="s">
        <v>217</v>
      </c>
      <c r="D94" s="22">
        <v>-4205.6000000000004</v>
      </c>
      <c r="E94" t="s">
        <v>35</v>
      </c>
      <c r="F94" s="2">
        <v>212901001</v>
      </c>
      <c r="G94" s="2" t="s">
        <v>121</v>
      </c>
      <c r="L94" s="2" t="s">
        <v>218</v>
      </c>
      <c r="M94" t="s">
        <v>67</v>
      </c>
      <c r="N94" t="s">
        <v>68</v>
      </c>
      <c r="P94" s="23">
        <v>52.57</v>
      </c>
      <c r="Q94" s="4">
        <f t="shared" si="1"/>
        <v>-80</v>
      </c>
      <c r="R94" s="23" t="s">
        <v>109</v>
      </c>
    </row>
    <row r="95" spans="1:18" x14ac:dyDescent="0.25">
      <c r="A95" s="21">
        <v>45660</v>
      </c>
      <c r="B95" s="1">
        <v>116540969</v>
      </c>
      <c r="C95" t="s">
        <v>219</v>
      </c>
      <c r="D95" s="22">
        <v>-2102.8000000000002</v>
      </c>
      <c r="E95" t="s">
        <v>35</v>
      </c>
      <c r="F95" s="2">
        <v>212901001</v>
      </c>
      <c r="G95" s="2" t="s">
        <v>121</v>
      </c>
      <c r="L95" s="2" t="s">
        <v>220</v>
      </c>
      <c r="M95" t="s">
        <v>67</v>
      </c>
      <c r="N95" t="s">
        <v>68</v>
      </c>
      <c r="P95" s="23">
        <v>52.57</v>
      </c>
      <c r="Q95" s="4">
        <f t="shared" si="1"/>
        <v>-40</v>
      </c>
      <c r="R95" s="23" t="s">
        <v>109</v>
      </c>
    </row>
    <row r="96" spans="1:18" x14ac:dyDescent="0.25">
      <c r="A96" s="21">
        <v>45660</v>
      </c>
      <c r="B96" s="1">
        <v>116540967</v>
      </c>
      <c r="C96" t="s">
        <v>221</v>
      </c>
      <c r="D96" s="22">
        <v>-2102.8000000000002</v>
      </c>
      <c r="E96" t="s">
        <v>35</v>
      </c>
      <c r="F96" s="2">
        <v>212901001</v>
      </c>
      <c r="G96" s="2" t="s">
        <v>121</v>
      </c>
      <c r="L96" s="2" t="s">
        <v>222</v>
      </c>
      <c r="M96" t="s">
        <v>67</v>
      </c>
      <c r="N96" t="s">
        <v>68</v>
      </c>
      <c r="P96" s="23">
        <v>52.57</v>
      </c>
      <c r="Q96" s="4">
        <f t="shared" si="1"/>
        <v>-40</v>
      </c>
      <c r="R96" s="23" t="s">
        <v>109</v>
      </c>
    </row>
    <row r="97" spans="1:18" x14ac:dyDescent="0.25">
      <c r="A97" s="21">
        <v>45660</v>
      </c>
      <c r="B97" s="1">
        <v>116540968</v>
      </c>
      <c r="C97" t="s">
        <v>223</v>
      </c>
      <c r="D97" s="22">
        <v>-2102.8000000000002</v>
      </c>
      <c r="E97" t="s">
        <v>35</v>
      </c>
      <c r="F97" s="2">
        <v>212901001</v>
      </c>
      <c r="G97" s="2" t="s">
        <v>121</v>
      </c>
      <c r="L97" s="2" t="s">
        <v>224</v>
      </c>
      <c r="M97" t="s">
        <v>67</v>
      </c>
      <c r="N97" t="s">
        <v>68</v>
      </c>
      <c r="P97" s="23">
        <v>52.57</v>
      </c>
      <c r="Q97" s="4">
        <f t="shared" si="1"/>
        <v>-40</v>
      </c>
      <c r="R97" s="23" t="s">
        <v>109</v>
      </c>
    </row>
    <row r="98" spans="1:18" x14ac:dyDescent="0.25">
      <c r="A98" s="21">
        <v>45660</v>
      </c>
      <c r="B98" s="1">
        <v>116540972</v>
      </c>
      <c r="C98" t="s">
        <v>225</v>
      </c>
      <c r="D98" s="22">
        <v>-7885.5</v>
      </c>
      <c r="E98" t="s">
        <v>35</v>
      </c>
      <c r="F98" s="2">
        <v>212901001</v>
      </c>
      <c r="G98" s="2" t="s">
        <v>121</v>
      </c>
      <c r="L98" s="2" t="s">
        <v>226</v>
      </c>
      <c r="M98" t="s">
        <v>67</v>
      </c>
      <c r="N98" t="s">
        <v>68</v>
      </c>
      <c r="P98" s="23">
        <v>52.57</v>
      </c>
      <c r="Q98" s="4">
        <f t="shared" si="1"/>
        <v>-150</v>
      </c>
      <c r="R98" s="23" t="s">
        <v>109</v>
      </c>
    </row>
    <row r="99" spans="1:18" x14ac:dyDescent="0.25">
      <c r="A99" s="21">
        <v>45660</v>
      </c>
      <c r="B99" s="1">
        <v>116540971</v>
      </c>
      <c r="C99" t="s">
        <v>227</v>
      </c>
      <c r="D99" s="22">
        <v>-5257</v>
      </c>
      <c r="E99" t="s">
        <v>35</v>
      </c>
      <c r="F99" s="2">
        <v>212901001</v>
      </c>
      <c r="G99" s="2" t="s">
        <v>121</v>
      </c>
      <c r="L99" s="2" t="s">
        <v>228</v>
      </c>
      <c r="M99" t="s">
        <v>67</v>
      </c>
      <c r="N99" t="s">
        <v>68</v>
      </c>
      <c r="P99" s="23">
        <v>52.57</v>
      </c>
      <c r="Q99" s="4">
        <f t="shared" si="1"/>
        <v>-100</v>
      </c>
      <c r="R99" s="23" t="s">
        <v>109</v>
      </c>
    </row>
    <row r="100" spans="1:18" x14ac:dyDescent="0.25">
      <c r="A100" s="21">
        <v>45660</v>
      </c>
      <c r="B100" s="1">
        <v>116540970</v>
      </c>
      <c r="C100" t="s">
        <v>229</v>
      </c>
      <c r="D100" s="22">
        <v>-5257</v>
      </c>
      <c r="E100" t="s">
        <v>35</v>
      </c>
      <c r="F100" s="2">
        <v>212901001</v>
      </c>
      <c r="G100" s="2" t="s">
        <v>121</v>
      </c>
      <c r="L100" s="2" t="s">
        <v>230</v>
      </c>
      <c r="M100" t="s">
        <v>67</v>
      </c>
      <c r="N100" t="s">
        <v>68</v>
      </c>
      <c r="P100" s="23">
        <v>52.57</v>
      </c>
      <c r="Q100" s="4">
        <f t="shared" si="1"/>
        <v>-100</v>
      </c>
      <c r="R100" s="23" t="s">
        <v>109</v>
      </c>
    </row>
    <row r="101" spans="1:18" x14ac:dyDescent="0.25">
      <c r="A101" s="21">
        <v>45660</v>
      </c>
      <c r="B101" s="1">
        <v>216540975</v>
      </c>
      <c r="C101" t="s">
        <v>231</v>
      </c>
      <c r="D101" s="22">
        <v>-4205.6000000000004</v>
      </c>
      <c r="E101" t="s">
        <v>35</v>
      </c>
      <c r="F101" s="2">
        <v>212901001</v>
      </c>
      <c r="G101" s="2" t="s">
        <v>121</v>
      </c>
      <c r="L101" s="2" t="s">
        <v>232</v>
      </c>
      <c r="M101" t="s">
        <v>67</v>
      </c>
      <c r="N101" t="s">
        <v>68</v>
      </c>
      <c r="P101" s="23">
        <v>52.57</v>
      </c>
      <c r="Q101" s="4">
        <f t="shared" si="1"/>
        <v>-80</v>
      </c>
      <c r="R101" s="23" t="s">
        <v>109</v>
      </c>
    </row>
    <row r="102" spans="1:18" x14ac:dyDescent="0.25">
      <c r="A102" s="21">
        <v>45660</v>
      </c>
      <c r="B102" s="1">
        <v>216540974</v>
      </c>
      <c r="C102" t="s">
        <v>233</v>
      </c>
      <c r="D102" s="22">
        <v>-5782.7</v>
      </c>
      <c r="E102" t="s">
        <v>35</v>
      </c>
      <c r="F102" s="2">
        <v>212901001</v>
      </c>
      <c r="G102" s="2" t="s">
        <v>121</v>
      </c>
      <c r="L102" s="2" t="s">
        <v>234</v>
      </c>
      <c r="M102" t="s">
        <v>67</v>
      </c>
      <c r="N102" t="s">
        <v>68</v>
      </c>
      <c r="P102" s="23">
        <v>52.57</v>
      </c>
      <c r="Q102" s="4">
        <f t="shared" si="1"/>
        <v>-110</v>
      </c>
      <c r="R102" s="23" t="s">
        <v>109</v>
      </c>
    </row>
    <row r="103" spans="1:18" x14ac:dyDescent="0.25">
      <c r="A103" s="21">
        <v>45660</v>
      </c>
      <c r="B103" s="1">
        <v>216540973</v>
      </c>
      <c r="C103" t="s">
        <v>235</v>
      </c>
      <c r="D103" s="22">
        <v>-1577.1</v>
      </c>
      <c r="E103" t="s">
        <v>35</v>
      </c>
      <c r="F103" s="2">
        <v>212901001</v>
      </c>
      <c r="G103" s="2" t="s">
        <v>121</v>
      </c>
      <c r="L103" s="2" t="s">
        <v>236</v>
      </c>
      <c r="M103" t="s">
        <v>67</v>
      </c>
      <c r="N103" t="s">
        <v>68</v>
      </c>
      <c r="P103" s="23">
        <v>52.57</v>
      </c>
      <c r="Q103" s="4">
        <f t="shared" si="1"/>
        <v>-29.999999999999996</v>
      </c>
      <c r="R103" s="23" t="s">
        <v>109</v>
      </c>
    </row>
    <row r="104" spans="1:18" x14ac:dyDescent="0.25">
      <c r="A104" s="21">
        <v>45660</v>
      </c>
      <c r="B104" s="1">
        <v>216540977</v>
      </c>
      <c r="C104" t="s">
        <v>237</v>
      </c>
      <c r="D104" s="22">
        <v>-1156.54</v>
      </c>
      <c r="E104" t="s">
        <v>35</v>
      </c>
      <c r="F104" s="2">
        <v>212901001</v>
      </c>
      <c r="G104" s="2" t="s">
        <v>121</v>
      </c>
      <c r="L104" s="2" t="s">
        <v>238</v>
      </c>
      <c r="M104" t="s">
        <v>67</v>
      </c>
      <c r="N104" t="s">
        <v>68</v>
      </c>
      <c r="P104" s="23">
        <v>52.57</v>
      </c>
      <c r="Q104" s="4">
        <f t="shared" si="1"/>
        <v>-22</v>
      </c>
      <c r="R104" s="23" t="s">
        <v>109</v>
      </c>
    </row>
    <row r="105" spans="1:18" x14ac:dyDescent="0.25">
      <c r="A105" s="21">
        <v>45660</v>
      </c>
      <c r="B105" s="1">
        <v>216540976</v>
      </c>
      <c r="C105" t="s">
        <v>239</v>
      </c>
      <c r="D105" s="22">
        <v>-5257</v>
      </c>
      <c r="E105" t="s">
        <v>35</v>
      </c>
      <c r="F105" s="2">
        <v>212901001</v>
      </c>
      <c r="G105" s="2" t="s">
        <v>121</v>
      </c>
      <c r="L105" s="2" t="s">
        <v>240</v>
      </c>
      <c r="M105" t="s">
        <v>67</v>
      </c>
      <c r="N105" t="s">
        <v>68</v>
      </c>
      <c r="P105" s="23">
        <v>52.57</v>
      </c>
      <c r="Q105" s="4">
        <f t="shared" si="1"/>
        <v>-100</v>
      </c>
      <c r="R105" s="23" t="s">
        <v>109</v>
      </c>
    </row>
    <row r="106" spans="1:18" x14ac:dyDescent="0.25">
      <c r="A106" s="21">
        <v>45660</v>
      </c>
      <c r="B106" s="1">
        <v>216540978</v>
      </c>
      <c r="C106" t="s">
        <v>241</v>
      </c>
      <c r="D106" s="22">
        <v>-3679.9</v>
      </c>
      <c r="E106" t="s">
        <v>35</v>
      </c>
      <c r="F106" s="2">
        <v>212901001</v>
      </c>
      <c r="G106" s="2" t="s">
        <v>121</v>
      </c>
      <c r="L106" s="2" t="s">
        <v>242</v>
      </c>
      <c r="M106" t="s">
        <v>67</v>
      </c>
      <c r="N106" t="s">
        <v>68</v>
      </c>
      <c r="P106" s="23">
        <v>52.57</v>
      </c>
      <c r="Q106" s="4">
        <f t="shared" si="1"/>
        <v>-70</v>
      </c>
      <c r="R106" s="23" t="s">
        <v>109</v>
      </c>
    </row>
    <row r="107" spans="1:18" x14ac:dyDescent="0.25">
      <c r="A107" s="21">
        <v>45660</v>
      </c>
      <c r="B107" s="1">
        <v>216540979</v>
      </c>
      <c r="C107" t="s">
        <v>243</v>
      </c>
      <c r="D107" s="22">
        <v>-3679.9</v>
      </c>
      <c r="E107" t="s">
        <v>35</v>
      </c>
      <c r="F107" s="2">
        <v>212901001</v>
      </c>
      <c r="G107" s="2" t="s">
        <v>121</v>
      </c>
      <c r="L107" s="2" t="s">
        <v>244</v>
      </c>
      <c r="M107" t="s">
        <v>67</v>
      </c>
      <c r="N107" t="s">
        <v>68</v>
      </c>
      <c r="P107" s="23">
        <v>52.57</v>
      </c>
      <c r="Q107" s="4">
        <f t="shared" si="1"/>
        <v>-70</v>
      </c>
      <c r="R107" s="23" t="s">
        <v>109</v>
      </c>
    </row>
    <row r="108" spans="1:18" x14ac:dyDescent="0.25">
      <c r="A108" s="21">
        <v>45660</v>
      </c>
      <c r="B108" s="1">
        <v>216540980</v>
      </c>
      <c r="C108" t="s">
        <v>245</v>
      </c>
      <c r="D108" s="22">
        <v>-3679.9</v>
      </c>
      <c r="E108" t="s">
        <v>35</v>
      </c>
      <c r="F108" s="2">
        <v>212901001</v>
      </c>
      <c r="G108" s="2" t="s">
        <v>121</v>
      </c>
      <c r="L108" s="2" t="s">
        <v>246</v>
      </c>
      <c r="M108" t="s">
        <v>67</v>
      </c>
      <c r="N108" t="s">
        <v>68</v>
      </c>
      <c r="P108" s="23">
        <v>52.57</v>
      </c>
      <c r="Q108" s="4">
        <f t="shared" si="1"/>
        <v>-70</v>
      </c>
      <c r="R108" s="23" t="s">
        <v>109</v>
      </c>
    </row>
    <row r="109" spans="1:18" x14ac:dyDescent="0.25">
      <c r="A109" s="21">
        <v>45660</v>
      </c>
      <c r="B109" s="1">
        <v>216540981</v>
      </c>
      <c r="C109" t="s">
        <v>247</v>
      </c>
      <c r="D109" s="22">
        <v>-2628.5</v>
      </c>
      <c r="E109" t="s">
        <v>35</v>
      </c>
      <c r="F109" s="2">
        <v>212901001</v>
      </c>
      <c r="G109" s="2" t="s">
        <v>121</v>
      </c>
      <c r="L109" s="2" t="s">
        <v>248</v>
      </c>
      <c r="M109" t="s">
        <v>67</v>
      </c>
      <c r="N109" t="s">
        <v>68</v>
      </c>
      <c r="P109" s="23">
        <v>52.57</v>
      </c>
      <c r="Q109" s="4">
        <f t="shared" si="1"/>
        <v>-50</v>
      </c>
      <c r="R109" s="23" t="s">
        <v>109</v>
      </c>
    </row>
    <row r="110" spans="1:18" x14ac:dyDescent="0.25">
      <c r="A110" s="21">
        <v>45660</v>
      </c>
      <c r="B110" s="1">
        <v>316540988</v>
      </c>
      <c r="C110" t="s">
        <v>249</v>
      </c>
      <c r="D110" s="22">
        <v>-2628.5</v>
      </c>
      <c r="E110" t="s">
        <v>35</v>
      </c>
      <c r="F110" s="2">
        <v>212901001</v>
      </c>
      <c r="G110" s="2" t="s">
        <v>121</v>
      </c>
      <c r="L110" s="2" t="s">
        <v>250</v>
      </c>
      <c r="M110" t="s">
        <v>67</v>
      </c>
      <c r="N110" t="s">
        <v>68</v>
      </c>
      <c r="P110" s="23">
        <v>52.57</v>
      </c>
      <c r="Q110" s="4">
        <f t="shared" si="1"/>
        <v>-50</v>
      </c>
      <c r="R110" s="23" t="s">
        <v>109</v>
      </c>
    </row>
    <row r="111" spans="1:18" x14ac:dyDescent="0.25">
      <c r="A111" s="21">
        <v>45660</v>
      </c>
      <c r="B111" s="1">
        <v>216540982</v>
      </c>
      <c r="C111" t="s">
        <v>251</v>
      </c>
      <c r="D111" s="22">
        <v>-2628.5</v>
      </c>
      <c r="E111" t="s">
        <v>35</v>
      </c>
      <c r="F111" s="2">
        <v>212901001</v>
      </c>
      <c r="G111" s="2" t="s">
        <v>121</v>
      </c>
      <c r="L111" s="2" t="s">
        <v>252</v>
      </c>
      <c r="M111" t="s">
        <v>67</v>
      </c>
      <c r="N111" t="s">
        <v>68</v>
      </c>
      <c r="P111" s="23">
        <v>52.57</v>
      </c>
      <c r="Q111" s="4">
        <f t="shared" si="1"/>
        <v>-50</v>
      </c>
      <c r="R111" s="23" t="s">
        <v>109</v>
      </c>
    </row>
    <row r="112" spans="1:18" x14ac:dyDescent="0.25">
      <c r="A112" s="21">
        <v>45660</v>
      </c>
      <c r="B112" s="1">
        <v>216540983</v>
      </c>
      <c r="C112" t="s">
        <v>253</v>
      </c>
      <c r="D112" s="22">
        <v>-2628.5</v>
      </c>
      <c r="E112" t="s">
        <v>35</v>
      </c>
      <c r="F112" s="2">
        <v>212901001</v>
      </c>
      <c r="G112" s="2" t="s">
        <v>121</v>
      </c>
      <c r="L112" s="2" t="s">
        <v>254</v>
      </c>
      <c r="M112" t="s">
        <v>67</v>
      </c>
      <c r="N112" t="s">
        <v>68</v>
      </c>
      <c r="P112" s="23">
        <v>52.57</v>
      </c>
      <c r="Q112" s="4">
        <f t="shared" si="1"/>
        <v>-50</v>
      </c>
      <c r="R112" s="23" t="s">
        <v>109</v>
      </c>
    </row>
    <row r="113" spans="1:18" x14ac:dyDescent="0.25">
      <c r="A113" s="21">
        <v>45660</v>
      </c>
      <c r="B113" s="1">
        <v>316540984</v>
      </c>
      <c r="C113" t="s">
        <v>255</v>
      </c>
      <c r="D113" s="22">
        <v>-2628.5</v>
      </c>
      <c r="E113" t="s">
        <v>35</v>
      </c>
      <c r="F113" s="2">
        <v>212901001</v>
      </c>
      <c r="G113" s="2" t="s">
        <v>121</v>
      </c>
      <c r="L113" s="2" t="s">
        <v>256</v>
      </c>
      <c r="M113" t="s">
        <v>67</v>
      </c>
      <c r="N113" t="s">
        <v>68</v>
      </c>
      <c r="P113" s="23">
        <v>52.57</v>
      </c>
      <c r="Q113" s="4">
        <f t="shared" si="1"/>
        <v>-50</v>
      </c>
      <c r="R113" s="23" t="s">
        <v>109</v>
      </c>
    </row>
    <row r="114" spans="1:18" x14ac:dyDescent="0.25">
      <c r="A114" s="21">
        <v>45660</v>
      </c>
      <c r="B114" s="1">
        <v>316540987</v>
      </c>
      <c r="C114" t="s">
        <v>257</v>
      </c>
      <c r="D114" s="22">
        <v>-2628.5</v>
      </c>
      <c r="E114" t="s">
        <v>35</v>
      </c>
      <c r="F114" s="2">
        <v>212901001</v>
      </c>
      <c r="G114" s="2" t="s">
        <v>121</v>
      </c>
      <c r="L114" s="2" t="s">
        <v>258</v>
      </c>
      <c r="M114" t="s">
        <v>67</v>
      </c>
      <c r="N114" t="s">
        <v>68</v>
      </c>
      <c r="P114" s="23">
        <v>52.57</v>
      </c>
      <c r="Q114" s="4">
        <f t="shared" si="1"/>
        <v>-50</v>
      </c>
      <c r="R114" s="23" t="s">
        <v>109</v>
      </c>
    </row>
    <row r="115" spans="1:18" x14ac:dyDescent="0.25">
      <c r="A115" s="21">
        <v>45660</v>
      </c>
      <c r="B115" s="1">
        <v>316540989</v>
      </c>
      <c r="C115" t="s">
        <v>249</v>
      </c>
      <c r="D115" s="22">
        <v>-2628.5</v>
      </c>
      <c r="E115" t="s">
        <v>35</v>
      </c>
      <c r="F115" s="2">
        <v>212901001</v>
      </c>
      <c r="G115" s="2" t="s">
        <v>121</v>
      </c>
      <c r="L115" s="2" t="s">
        <v>259</v>
      </c>
      <c r="M115" t="s">
        <v>67</v>
      </c>
      <c r="N115" t="s">
        <v>68</v>
      </c>
      <c r="P115" s="23">
        <v>52.57</v>
      </c>
      <c r="Q115" s="4">
        <f t="shared" si="1"/>
        <v>-50</v>
      </c>
      <c r="R115" s="23" t="s">
        <v>109</v>
      </c>
    </row>
    <row r="116" spans="1:18" x14ac:dyDescent="0.25">
      <c r="A116" s="21">
        <v>45660</v>
      </c>
      <c r="B116" s="1">
        <v>316540986</v>
      </c>
      <c r="C116" t="s">
        <v>260</v>
      </c>
      <c r="D116" s="22">
        <v>-2628.5</v>
      </c>
      <c r="E116" t="s">
        <v>35</v>
      </c>
      <c r="F116" s="2">
        <v>212901001</v>
      </c>
      <c r="G116" s="2" t="s">
        <v>121</v>
      </c>
      <c r="L116" s="2" t="s">
        <v>261</v>
      </c>
      <c r="M116" t="s">
        <v>67</v>
      </c>
      <c r="N116" t="s">
        <v>68</v>
      </c>
      <c r="P116" s="23">
        <v>52.57</v>
      </c>
      <c r="Q116" s="4">
        <f t="shared" si="1"/>
        <v>-50</v>
      </c>
      <c r="R116" s="23" t="s">
        <v>109</v>
      </c>
    </row>
    <row r="117" spans="1:18" x14ac:dyDescent="0.25">
      <c r="A117" s="21">
        <v>45660</v>
      </c>
      <c r="B117" s="1">
        <v>316540994</v>
      </c>
      <c r="C117" t="s">
        <v>262</v>
      </c>
      <c r="D117" s="22">
        <v>-2628.5</v>
      </c>
      <c r="E117" t="s">
        <v>35</v>
      </c>
      <c r="F117" s="2">
        <v>212901001</v>
      </c>
      <c r="G117" s="2" t="s">
        <v>121</v>
      </c>
      <c r="L117" s="2" t="s">
        <v>263</v>
      </c>
      <c r="M117" t="s">
        <v>67</v>
      </c>
      <c r="N117" t="s">
        <v>68</v>
      </c>
      <c r="P117" s="23">
        <v>52.57</v>
      </c>
      <c r="Q117" s="4">
        <f t="shared" si="1"/>
        <v>-50</v>
      </c>
      <c r="R117" s="23" t="s">
        <v>109</v>
      </c>
    </row>
    <row r="118" spans="1:18" x14ac:dyDescent="0.25">
      <c r="A118" s="21">
        <v>45660</v>
      </c>
      <c r="B118" s="1">
        <v>316540990</v>
      </c>
      <c r="C118" t="s">
        <v>264</v>
      </c>
      <c r="D118" s="22">
        <v>-2628.5</v>
      </c>
      <c r="E118" t="s">
        <v>35</v>
      </c>
      <c r="F118" s="2">
        <v>212901001</v>
      </c>
      <c r="G118" s="2" t="s">
        <v>121</v>
      </c>
      <c r="L118" s="2" t="s">
        <v>265</v>
      </c>
      <c r="M118" t="s">
        <v>67</v>
      </c>
      <c r="N118" t="s">
        <v>68</v>
      </c>
      <c r="P118" s="23">
        <v>52.57</v>
      </c>
      <c r="Q118" s="4">
        <f t="shared" si="1"/>
        <v>-50</v>
      </c>
      <c r="R118" s="23" t="s">
        <v>109</v>
      </c>
    </row>
    <row r="119" spans="1:18" x14ac:dyDescent="0.25">
      <c r="A119" s="21">
        <v>45660</v>
      </c>
      <c r="B119" s="1">
        <v>316540991</v>
      </c>
      <c r="C119" t="s">
        <v>266</v>
      </c>
      <c r="D119" s="22">
        <v>-2628.5</v>
      </c>
      <c r="E119" t="s">
        <v>35</v>
      </c>
      <c r="F119" s="2">
        <v>212901001</v>
      </c>
      <c r="G119" s="2" t="s">
        <v>121</v>
      </c>
      <c r="L119" s="2" t="s">
        <v>267</v>
      </c>
      <c r="M119" t="s">
        <v>67</v>
      </c>
      <c r="N119" t="s">
        <v>68</v>
      </c>
      <c r="P119" s="23">
        <v>52.57</v>
      </c>
      <c r="Q119" s="4">
        <f t="shared" si="1"/>
        <v>-50</v>
      </c>
      <c r="R119" s="23" t="s">
        <v>109</v>
      </c>
    </row>
    <row r="120" spans="1:18" x14ac:dyDescent="0.25">
      <c r="A120" s="21">
        <v>45660</v>
      </c>
      <c r="B120" s="1">
        <v>316540985</v>
      </c>
      <c r="C120" t="s">
        <v>268</v>
      </c>
      <c r="D120" s="22">
        <v>-2628.5</v>
      </c>
      <c r="E120" t="s">
        <v>35</v>
      </c>
      <c r="F120" s="2">
        <v>212901001</v>
      </c>
      <c r="G120" s="2" t="s">
        <v>121</v>
      </c>
      <c r="L120" s="2" t="s">
        <v>269</v>
      </c>
      <c r="M120" t="s">
        <v>67</v>
      </c>
      <c r="N120" t="s">
        <v>68</v>
      </c>
      <c r="P120" s="23">
        <v>52.57</v>
      </c>
      <c r="Q120" s="4">
        <f t="shared" si="1"/>
        <v>-50</v>
      </c>
      <c r="R120" s="23" t="s">
        <v>109</v>
      </c>
    </row>
    <row r="121" spans="1:18" x14ac:dyDescent="0.25">
      <c r="A121" s="21">
        <v>45660</v>
      </c>
      <c r="B121" s="1">
        <v>316540992</v>
      </c>
      <c r="C121" t="s">
        <v>270</v>
      </c>
      <c r="D121" s="22">
        <v>-2628.5</v>
      </c>
      <c r="E121" t="s">
        <v>35</v>
      </c>
      <c r="F121" s="2">
        <v>212901001</v>
      </c>
      <c r="G121" s="2" t="s">
        <v>121</v>
      </c>
      <c r="L121" s="2" t="s">
        <v>271</v>
      </c>
      <c r="M121" t="s">
        <v>67</v>
      </c>
      <c r="N121" t="s">
        <v>68</v>
      </c>
      <c r="P121" s="23">
        <v>52.57</v>
      </c>
      <c r="Q121" s="4">
        <f t="shared" si="1"/>
        <v>-50</v>
      </c>
      <c r="R121" s="23" t="s">
        <v>109</v>
      </c>
    </row>
    <row r="122" spans="1:18" x14ac:dyDescent="0.25">
      <c r="A122" s="21">
        <v>45660</v>
      </c>
      <c r="B122" s="1">
        <v>316540993</v>
      </c>
      <c r="C122" t="s">
        <v>272</v>
      </c>
      <c r="D122" s="22">
        <v>-2628.5</v>
      </c>
      <c r="E122" t="s">
        <v>35</v>
      </c>
      <c r="F122" s="2">
        <v>212901001</v>
      </c>
      <c r="G122" s="2" t="s">
        <v>121</v>
      </c>
      <c r="L122" s="2" t="s">
        <v>273</v>
      </c>
      <c r="M122" t="s">
        <v>67</v>
      </c>
      <c r="N122" t="s">
        <v>68</v>
      </c>
      <c r="P122" s="23">
        <v>52.57</v>
      </c>
      <c r="Q122" s="4">
        <f t="shared" si="1"/>
        <v>-50</v>
      </c>
      <c r="R122" s="23" t="s">
        <v>109</v>
      </c>
    </row>
    <row r="123" spans="1:18" x14ac:dyDescent="0.25">
      <c r="A123" s="21">
        <v>45660</v>
      </c>
      <c r="B123" s="1">
        <v>416540996</v>
      </c>
      <c r="C123" t="s">
        <v>274</v>
      </c>
      <c r="D123" s="22">
        <v>-1051.4000000000001</v>
      </c>
      <c r="E123" t="s">
        <v>35</v>
      </c>
      <c r="F123" s="2">
        <v>212901001</v>
      </c>
      <c r="G123" s="2" t="s">
        <v>121</v>
      </c>
      <c r="L123" s="2" t="s">
        <v>275</v>
      </c>
      <c r="M123" t="s">
        <v>67</v>
      </c>
      <c r="N123" t="s">
        <v>68</v>
      </c>
      <c r="P123" s="23">
        <v>52.57</v>
      </c>
      <c r="Q123" s="4">
        <f t="shared" si="1"/>
        <v>-20</v>
      </c>
      <c r="R123" s="23" t="s">
        <v>109</v>
      </c>
    </row>
    <row r="124" spans="1:18" x14ac:dyDescent="0.25">
      <c r="A124" s="21">
        <v>45660</v>
      </c>
      <c r="B124" s="1">
        <v>416540998</v>
      </c>
      <c r="C124" t="s">
        <v>276</v>
      </c>
      <c r="D124" s="22">
        <v>-1051.4000000000001</v>
      </c>
      <c r="E124" t="s">
        <v>35</v>
      </c>
      <c r="F124" s="2">
        <v>212901001</v>
      </c>
      <c r="G124" s="2" t="s">
        <v>121</v>
      </c>
      <c r="L124" s="2" t="s">
        <v>277</v>
      </c>
      <c r="M124" t="s">
        <v>67</v>
      </c>
      <c r="N124" t="s">
        <v>68</v>
      </c>
      <c r="P124" s="23">
        <v>52.57</v>
      </c>
      <c r="Q124" s="4">
        <f t="shared" si="1"/>
        <v>-20</v>
      </c>
      <c r="R124" s="23" t="s">
        <v>109</v>
      </c>
    </row>
    <row r="125" spans="1:18" x14ac:dyDescent="0.25">
      <c r="A125" s="21">
        <v>45660</v>
      </c>
      <c r="B125" s="1">
        <v>316540995</v>
      </c>
      <c r="C125" t="s">
        <v>278</v>
      </c>
      <c r="D125" s="22">
        <v>-2628.5</v>
      </c>
      <c r="E125" t="s">
        <v>35</v>
      </c>
      <c r="F125" s="2">
        <v>212901001</v>
      </c>
      <c r="G125" s="2" t="s">
        <v>121</v>
      </c>
      <c r="L125" s="2" t="s">
        <v>279</v>
      </c>
      <c r="M125" t="s">
        <v>67</v>
      </c>
      <c r="N125" t="s">
        <v>68</v>
      </c>
      <c r="P125" s="23">
        <v>52.57</v>
      </c>
      <c r="Q125" s="4">
        <f t="shared" si="1"/>
        <v>-50</v>
      </c>
      <c r="R125" s="23" t="s">
        <v>109</v>
      </c>
    </row>
    <row r="126" spans="1:18" x14ac:dyDescent="0.25">
      <c r="A126" s="21">
        <v>45660</v>
      </c>
      <c r="B126" s="1">
        <v>416540997</v>
      </c>
      <c r="C126" t="s">
        <v>280</v>
      </c>
      <c r="D126" s="22">
        <v>-1051.4000000000001</v>
      </c>
      <c r="E126" t="s">
        <v>35</v>
      </c>
      <c r="F126" s="2">
        <v>212901001</v>
      </c>
      <c r="G126" s="2" t="s">
        <v>121</v>
      </c>
      <c r="L126" s="2" t="s">
        <v>281</v>
      </c>
      <c r="M126" t="s">
        <v>67</v>
      </c>
      <c r="N126" t="s">
        <v>68</v>
      </c>
      <c r="P126" s="23">
        <v>52.57</v>
      </c>
      <c r="Q126" s="4">
        <f t="shared" si="1"/>
        <v>-20</v>
      </c>
      <c r="R126" s="23" t="s">
        <v>109</v>
      </c>
    </row>
    <row r="127" spans="1:18" x14ac:dyDescent="0.25">
      <c r="A127" s="21">
        <v>45660</v>
      </c>
      <c r="B127" s="1">
        <v>416541000</v>
      </c>
      <c r="C127" t="s">
        <v>282</v>
      </c>
      <c r="D127" s="22">
        <v>-5257</v>
      </c>
      <c r="E127" t="s">
        <v>35</v>
      </c>
      <c r="F127" s="2">
        <v>212901001</v>
      </c>
      <c r="G127" s="2" t="s">
        <v>121</v>
      </c>
      <c r="L127" s="2" t="s">
        <v>283</v>
      </c>
      <c r="M127" t="s">
        <v>67</v>
      </c>
      <c r="N127" t="s">
        <v>68</v>
      </c>
      <c r="P127" s="23">
        <v>52.57</v>
      </c>
      <c r="Q127" s="4">
        <f t="shared" si="1"/>
        <v>-100</v>
      </c>
      <c r="R127" s="23" t="s">
        <v>109</v>
      </c>
    </row>
    <row r="128" spans="1:18" x14ac:dyDescent="0.25">
      <c r="A128" s="21">
        <v>45660</v>
      </c>
      <c r="B128" s="1">
        <v>416541005</v>
      </c>
      <c r="C128" t="s">
        <v>284</v>
      </c>
      <c r="D128" s="22">
        <v>-2102.8000000000002</v>
      </c>
      <c r="E128" t="s">
        <v>35</v>
      </c>
      <c r="F128" s="2">
        <v>212901001</v>
      </c>
      <c r="G128" s="2" t="s">
        <v>121</v>
      </c>
      <c r="L128" s="2" t="s">
        <v>285</v>
      </c>
      <c r="M128" t="s">
        <v>67</v>
      </c>
      <c r="N128" t="s">
        <v>68</v>
      </c>
      <c r="P128" s="23">
        <v>52.57</v>
      </c>
      <c r="Q128" s="4">
        <f t="shared" si="1"/>
        <v>-40</v>
      </c>
      <c r="R128" s="23" t="s">
        <v>109</v>
      </c>
    </row>
    <row r="129" spans="1:21" x14ac:dyDescent="0.25">
      <c r="A129" s="21">
        <v>45660</v>
      </c>
      <c r="B129" s="1">
        <v>416541002</v>
      </c>
      <c r="C129" t="s">
        <v>286</v>
      </c>
      <c r="D129" s="22">
        <v>-5572.42</v>
      </c>
      <c r="E129" t="s">
        <v>35</v>
      </c>
      <c r="F129" s="2">
        <v>212901001</v>
      </c>
      <c r="G129" s="2" t="s">
        <v>121</v>
      </c>
      <c r="L129" s="2" t="s">
        <v>287</v>
      </c>
      <c r="M129" t="s">
        <v>67</v>
      </c>
      <c r="N129" t="s">
        <v>68</v>
      </c>
      <c r="P129" s="23">
        <v>52.57</v>
      </c>
      <c r="Q129" s="4">
        <f t="shared" si="1"/>
        <v>-106</v>
      </c>
      <c r="R129" s="23" t="s">
        <v>109</v>
      </c>
    </row>
    <row r="130" spans="1:21" x14ac:dyDescent="0.25">
      <c r="A130" s="21">
        <v>45660</v>
      </c>
      <c r="B130" s="1">
        <v>416541001</v>
      </c>
      <c r="C130" t="s">
        <v>288</v>
      </c>
      <c r="D130" s="22">
        <v>-10514</v>
      </c>
      <c r="E130" t="s">
        <v>35</v>
      </c>
      <c r="F130" s="2">
        <v>212901001</v>
      </c>
      <c r="G130" s="2" t="s">
        <v>121</v>
      </c>
      <c r="L130" s="2" t="s">
        <v>289</v>
      </c>
      <c r="M130" t="s">
        <v>67</v>
      </c>
      <c r="N130" t="s">
        <v>68</v>
      </c>
      <c r="P130" s="23">
        <v>52.57</v>
      </c>
      <c r="Q130" s="4">
        <f t="shared" si="1"/>
        <v>-200</v>
      </c>
      <c r="R130" s="23" t="s">
        <v>109</v>
      </c>
    </row>
    <row r="131" spans="1:21" x14ac:dyDescent="0.25">
      <c r="A131" s="21">
        <v>45660</v>
      </c>
      <c r="B131" s="1">
        <v>416540999</v>
      </c>
      <c r="C131" t="s">
        <v>290</v>
      </c>
      <c r="D131" s="22">
        <v>-1051.4000000000001</v>
      </c>
      <c r="E131" t="s">
        <v>35</v>
      </c>
      <c r="F131" s="2">
        <v>212901001</v>
      </c>
      <c r="G131" s="2" t="s">
        <v>121</v>
      </c>
      <c r="L131" s="2" t="s">
        <v>291</v>
      </c>
      <c r="M131" t="s">
        <v>67</v>
      </c>
      <c r="N131" t="s">
        <v>68</v>
      </c>
      <c r="P131" s="23">
        <v>52.57</v>
      </c>
      <c r="Q131" s="4">
        <f t="shared" si="1"/>
        <v>-20</v>
      </c>
      <c r="R131" s="23" t="s">
        <v>109</v>
      </c>
    </row>
    <row r="132" spans="1:21" x14ac:dyDescent="0.25">
      <c r="A132" s="21">
        <v>45660</v>
      </c>
      <c r="B132" s="1">
        <v>416541003</v>
      </c>
      <c r="C132" t="s">
        <v>292</v>
      </c>
      <c r="D132" s="22">
        <v>-1577.1</v>
      </c>
      <c r="E132" t="s">
        <v>35</v>
      </c>
      <c r="F132" s="2">
        <v>212901001</v>
      </c>
      <c r="G132" s="2" t="s">
        <v>121</v>
      </c>
      <c r="L132" s="2" t="s">
        <v>293</v>
      </c>
      <c r="M132" t="s">
        <v>67</v>
      </c>
      <c r="N132" t="s">
        <v>68</v>
      </c>
      <c r="P132" s="23">
        <v>52.57</v>
      </c>
      <c r="Q132" s="4">
        <f t="shared" si="1"/>
        <v>-29.999999999999996</v>
      </c>
      <c r="R132" s="23" t="s">
        <v>109</v>
      </c>
    </row>
    <row r="133" spans="1:21" x14ac:dyDescent="0.25">
      <c r="A133" s="21">
        <v>45660</v>
      </c>
      <c r="B133" s="1">
        <v>50125354</v>
      </c>
      <c r="C133" t="s">
        <v>294</v>
      </c>
      <c r="D133" s="22">
        <v>-7359.8</v>
      </c>
      <c r="E133" t="s">
        <v>35</v>
      </c>
      <c r="F133" s="2">
        <v>212901001</v>
      </c>
      <c r="G133" s="2" t="s">
        <v>121</v>
      </c>
      <c r="L133" s="2" t="s">
        <v>295</v>
      </c>
      <c r="M133" t="s">
        <v>67</v>
      </c>
      <c r="N133" t="s">
        <v>68</v>
      </c>
      <c r="P133" s="23">
        <v>52.57</v>
      </c>
      <c r="Q133" s="4">
        <f t="shared" si="1"/>
        <v>-140</v>
      </c>
      <c r="R133" s="23" t="s">
        <v>109</v>
      </c>
    </row>
    <row r="134" spans="1:21" x14ac:dyDescent="0.25">
      <c r="A134" s="21">
        <v>45660</v>
      </c>
      <c r="B134" s="1">
        <v>50125354</v>
      </c>
      <c r="C134" t="s">
        <v>296</v>
      </c>
      <c r="D134" s="22">
        <v>-11.03</v>
      </c>
      <c r="E134" t="s">
        <v>35</v>
      </c>
      <c r="F134" s="2">
        <v>610148001</v>
      </c>
      <c r="G134" s="2" t="s">
        <v>42</v>
      </c>
      <c r="L134" s="2" t="s">
        <v>297</v>
      </c>
      <c r="M134" t="s">
        <v>43</v>
      </c>
      <c r="N134" t="s">
        <v>42</v>
      </c>
      <c r="P134" s="23">
        <v>52.57</v>
      </c>
      <c r="Q134" s="4">
        <f t="shared" si="1"/>
        <v>-0.20981548411641621</v>
      </c>
      <c r="R134" s="23" t="s">
        <v>109</v>
      </c>
      <c r="T134" s="23" t="s">
        <v>44</v>
      </c>
    </row>
    <row r="135" spans="1:21" x14ac:dyDescent="0.25">
      <c r="A135" s="21">
        <v>45660</v>
      </c>
      <c r="B135" s="1">
        <v>50125354</v>
      </c>
      <c r="C135" t="s">
        <v>118</v>
      </c>
      <c r="D135" s="22">
        <v>-578</v>
      </c>
      <c r="E135" t="s">
        <v>35</v>
      </c>
      <c r="F135" s="2">
        <v>610148001</v>
      </c>
      <c r="G135" s="2" t="s">
        <v>42</v>
      </c>
      <c r="L135" s="2" t="s">
        <v>298</v>
      </c>
      <c r="M135" t="s">
        <v>43</v>
      </c>
      <c r="N135" t="s">
        <v>42</v>
      </c>
      <c r="P135" s="23">
        <v>52.57</v>
      </c>
      <c r="Q135" s="4">
        <f t="shared" si="1"/>
        <v>-10.994863990869318</v>
      </c>
      <c r="R135" s="23" t="s">
        <v>109</v>
      </c>
      <c r="T135" s="23" t="s">
        <v>44</v>
      </c>
    </row>
    <row r="136" spans="1:21" x14ac:dyDescent="0.25">
      <c r="A136" s="21">
        <v>45660</v>
      </c>
      <c r="B136" s="1">
        <v>155117729</v>
      </c>
      <c r="C136" t="s">
        <v>107</v>
      </c>
      <c r="D136" s="22">
        <v>335000</v>
      </c>
      <c r="E136" t="s">
        <v>46</v>
      </c>
      <c r="F136" s="2">
        <v>210115002</v>
      </c>
      <c r="G136" s="2" t="s">
        <v>47</v>
      </c>
      <c r="L136" s="2" t="s">
        <v>299</v>
      </c>
      <c r="N136" t="s">
        <v>107</v>
      </c>
      <c r="P136" s="23">
        <v>52.57</v>
      </c>
      <c r="Q136" s="4">
        <f t="shared" si="1"/>
        <v>6372.4557732547082</v>
      </c>
      <c r="R136" s="23" t="s">
        <v>109</v>
      </c>
    </row>
    <row r="137" spans="1:21" x14ac:dyDescent="0.25">
      <c r="A137" s="21">
        <v>45660</v>
      </c>
      <c r="B137" s="1">
        <v>216542112</v>
      </c>
      <c r="C137" t="s">
        <v>300</v>
      </c>
      <c r="D137" s="22">
        <v>-200000</v>
      </c>
      <c r="E137" t="s">
        <v>35</v>
      </c>
      <c r="F137" s="2">
        <v>110114001</v>
      </c>
      <c r="G137" s="2" t="s">
        <v>301</v>
      </c>
      <c r="L137" s="2" t="s">
        <v>302</v>
      </c>
      <c r="M137" t="s">
        <v>303</v>
      </c>
      <c r="N137" t="s">
        <v>304</v>
      </c>
      <c r="P137" s="23">
        <v>52.57</v>
      </c>
      <c r="Q137" s="4">
        <f t="shared" si="1"/>
        <v>-3804.4512079132587</v>
      </c>
      <c r="R137" s="23" t="s">
        <v>109</v>
      </c>
      <c r="S137" s="33" t="s">
        <v>305</v>
      </c>
      <c r="U137" t="s">
        <v>28</v>
      </c>
    </row>
    <row r="138" spans="1:21" x14ac:dyDescent="0.25">
      <c r="A138" s="21">
        <v>45660</v>
      </c>
      <c r="B138" s="1">
        <v>216542112</v>
      </c>
      <c r="C138" t="s">
        <v>306</v>
      </c>
      <c r="D138" s="22">
        <v>-600</v>
      </c>
      <c r="E138" t="s">
        <v>35</v>
      </c>
      <c r="F138" s="2">
        <v>610148001</v>
      </c>
      <c r="G138" s="2" t="s">
        <v>42</v>
      </c>
      <c r="L138" s="2" t="s">
        <v>307</v>
      </c>
      <c r="M138" t="s">
        <v>43</v>
      </c>
      <c r="N138" t="s">
        <v>42</v>
      </c>
      <c r="P138" s="23">
        <v>52.57</v>
      </c>
      <c r="Q138" s="4">
        <f t="shared" si="1"/>
        <v>-11.413353623739775</v>
      </c>
      <c r="R138" s="23" t="s">
        <v>109</v>
      </c>
      <c r="T138" s="23" t="s">
        <v>44</v>
      </c>
    </row>
    <row r="139" spans="1:21" x14ac:dyDescent="0.25">
      <c r="A139" s="21">
        <v>45660</v>
      </c>
      <c r="B139" s="1">
        <v>716542151</v>
      </c>
      <c r="C139" t="s">
        <v>300</v>
      </c>
      <c r="D139" s="22">
        <v>-135083.4</v>
      </c>
      <c r="E139" t="s">
        <v>35</v>
      </c>
      <c r="F139" s="2">
        <v>110114001</v>
      </c>
      <c r="G139" s="2" t="s">
        <v>301</v>
      </c>
      <c r="L139" s="2" t="s">
        <v>308</v>
      </c>
      <c r="M139" t="s">
        <v>303</v>
      </c>
      <c r="N139" t="s">
        <v>304</v>
      </c>
      <c r="P139" s="23">
        <v>52.57</v>
      </c>
      <c r="Q139" s="4">
        <f t="shared" ref="Q139:Q202" si="2">D139/P139</f>
        <v>-2569.5910214951491</v>
      </c>
      <c r="R139" s="23" t="s">
        <v>109</v>
      </c>
      <c r="S139" s="33" t="s">
        <v>305</v>
      </c>
      <c r="U139" t="s">
        <v>28</v>
      </c>
    </row>
    <row r="140" spans="1:21" x14ac:dyDescent="0.25">
      <c r="A140" s="21">
        <v>45660</v>
      </c>
      <c r="B140" s="1">
        <v>716542151</v>
      </c>
      <c r="C140" t="s">
        <v>306</v>
      </c>
      <c r="D140" s="22">
        <v>-405.25</v>
      </c>
      <c r="E140" t="s">
        <v>35</v>
      </c>
      <c r="F140" s="2">
        <v>610148001</v>
      </c>
      <c r="G140" s="2" t="s">
        <v>42</v>
      </c>
      <c r="L140" s="2" t="s">
        <v>309</v>
      </c>
      <c r="M140" t="s">
        <v>43</v>
      </c>
      <c r="N140" t="s">
        <v>42</v>
      </c>
      <c r="P140" s="23">
        <v>52.57</v>
      </c>
      <c r="Q140" s="4">
        <f t="shared" si="2"/>
        <v>-7.7087692600342397</v>
      </c>
      <c r="R140" s="23" t="s">
        <v>109</v>
      </c>
      <c r="T140" s="23" t="s">
        <v>44</v>
      </c>
    </row>
    <row r="141" spans="1:21" x14ac:dyDescent="0.25">
      <c r="A141" s="21">
        <v>45660</v>
      </c>
      <c r="B141" s="1">
        <v>0</v>
      </c>
      <c r="C141" t="s">
        <v>310</v>
      </c>
      <c r="D141" s="22">
        <v>1553.1</v>
      </c>
      <c r="E141" t="s">
        <v>46</v>
      </c>
      <c r="F141" s="2">
        <v>212901001</v>
      </c>
      <c r="G141" s="2" t="s">
        <v>121</v>
      </c>
      <c r="L141" s="2" t="s">
        <v>311</v>
      </c>
      <c r="M141" t="s">
        <v>67</v>
      </c>
      <c r="N141" t="s">
        <v>68</v>
      </c>
      <c r="P141" s="23">
        <v>52.57</v>
      </c>
      <c r="Q141" s="4">
        <f t="shared" si="2"/>
        <v>29.543465855050407</v>
      </c>
      <c r="R141" s="23" t="s">
        <v>109</v>
      </c>
    </row>
    <row r="142" spans="1:21" x14ac:dyDescent="0.25">
      <c r="A142" s="21">
        <v>45664</v>
      </c>
      <c r="B142" s="1">
        <v>144351762</v>
      </c>
      <c r="C142" t="s">
        <v>107</v>
      </c>
      <c r="D142" s="22">
        <v>35000</v>
      </c>
      <c r="E142" t="s">
        <v>46</v>
      </c>
      <c r="F142" s="2">
        <v>210115002</v>
      </c>
      <c r="G142" s="2" t="s">
        <v>47</v>
      </c>
      <c r="L142" s="2" t="s">
        <v>312</v>
      </c>
      <c r="N142" t="s">
        <v>107</v>
      </c>
      <c r="P142" s="23">
        <v>53.01</v>
      </c>
      <c r="Q142" s="4">
        <f t="shared" si="2"/>
        <v>660.25278249386906</v>
      </c>
      <c r="R142" s="23" t="s">
        <v>109</v>
      </c>
    </row>
    <row r="143" spans="1:21" x14ac:dyDescent="0.25">
      <c r="A143" s="21">
        <v>45664</v>
      </c>
      <c r="B143" s="1">
        <v>144417148</v>
      </c>
      <c r="C143" t="s">
        <v>107</v>
      </c>
      <c r="D143" s="22">
        <v>80000</v>
      </c>
      <c r="E143" t="s">
        <v>46</v>
      </c>
      <c r="F143" s="2">
        <v>210115002</v>
      </c>
      <c r="G143" s="2" t="s">
        <v>47</v>
      </c>
      <c r="L143" s="2" t="s">
        <v>313</v>
      </c>
      <c r="N143" t="s">
        <v>107</v>
      </c>
      <c r="P143" s="23">
        <v>53.01</v>
      </c>
      <c r="Q143" s="4">
        <f t="shared" si="2"/>
        <v>1509.1492171288437</v>
      </c>
      <c r="R143" s="23" t="s">
        <v>109</v>
      </c>
    </row>
    <row r="144" spans="1:21" x14ac:dyDescent="0.25">
      <c r="A144" s="21">
        <v>45664</v>
      </c>
      <c r="B144" s="1">
        <v>816661537</v>
      </c>
      <c r="C144" t="s">
        <v>314</v>
      </c>
      <c r="D144" s="22">
        <v>-22062.39</v>
      </c>
      <c r="E144" t="s">
        <v>35</v>
      </c>
      <c r="F144" s="2">
        <v>210101001</v>
      </c>
      <c r="G144" s="2" t="s">
        <v>36</v>
      </c>
      <c r="L144" s="2" t="s">
        <v>315</v>
      </c>
      <c r="M144" t="s">
        <v>38</v>
      </c>
      <c r="N144" t="s">
        <v>39</v>
      </c>
      <c r="P144" s="23">
        <v>53.01</v>
      </c>
      <c r="Q144" s="4">
        <f t="shared" si="2"/>
        <v>-416.19298245614033</v>
      </c>
      <c r="R144" s="23" t="s">
        <v>109</v>
      </c>
    </row>
    <row r="145" spans="1:20" x14ac:dyDescent="0.25">
      <c r="A145" s="21">
        <v>45664</v>
      </c>
      <c r="B145" s="1">
        <v>816661537</v>
      </c>
      <c r="C145" t="s">
        <v>306</v>
      </c>
      <c r="D145" s="22">
        <v>-66.19</v>
      </c>
      <c r="E145" t="s">
        <v>35</v>
      </c>
      <c r="F145" s="2">
        <v>610148001</v>
      </c>
      <c r="G145" s="2" t="s">
        <v>42</v>
      </c>
      <c r="L145" s="2" t="s">
        <v>316</v>
      </c>
      <c r="M145" t="s">
        <v>43</v>
      </c>
      <c r="N145" t="s">
        <v>42</v>
      </c>
      <c r="P145" s="23">
        <v>53.01</v>
      </c>
      <c r="Q145" s="4">
        <f t="shared" si="2"/>
        <v>-1.2486323335219769</v>
      </c>
      <c r="R145" s="23" t="s">
        <v>109</v>
      </c>
      <c r="T145" s="23" t="s">
        <v>44</v>
      </c>
    </row>
    <row r="146" spans="1:20" x14ac:dyDescent="0.25">
      <c r="A146" s="21">
        <v>45664</v>
      </c>
      <c r="B146" s="1">
        <v>816631100</v>
      </c>
      <c r="C146" t="s">
        <v>317</v>
      </c>
      <c r="D146" s="22">
        <v>-82444.13</v>
      </c>
      <c r="E146" t="s">
        <v>35</v>
      </c>
      <c r="F146" s="2">
        <v>210101001</v>
      </c>
      <c r="G146" s="2" t="s">
        <v>36</v>
      </c>
      <c r="L146" s="2" t="s">
        <v>318</v>
      </c>
      <c r="M146" t="s">
        <v>38</v>
      </c>
      <c r="N146" t="s">
        <v>39</v>
      </c>
      <c r="P146" s="23">
        <v>53.01</v>
      </c>
      <c r="Q146" s="4">
        <f t="shared" si="2"/>
        <v>-1555.2561780796077</v>
      </c>
      <c r="R146" s="23" t="s">
        <v>109</v>
      </c>
    </row>
    <row r="147" spans="1:20" x14ac:dyDescent="0.25">
      <c r="A147" s="21">
        <v>45664</v>
      </c>
      <c r="B147" s="1">
        <v>816631100</v>
      </c>
      <c r="C147" t="s">
        <v>306</v>
      </c>
      <c r="D147" s="22">
        <v>-247.33</v>
      </c>
      <c r="E147" t="s">
        <v>35</v>
      </c>
      <c r="F147" s="2">
        <v>610148001</v>
      </c>
      <c r="G147" s="2" t="s">
        <v>42</v>
      </c>
      <c r="L147" s="2" t="s">
        <v>319</v>
      </c>
      <c r="M147" t="s">
        <v>43</v>
      </c>
      <c r="N147" t="s">
        <v>42</v>
      </c>
      <c r="P147" s="23">
        <v>53.01</v>
      </c>
      <c r="Q147" s="4">
        <f t="shared" si="2"/>
        <v>-4.665723448405962</v>
      </c>
      <c r="R147" s="23" t="s">
        <v>109</v>
      </c>
      <c r="T147" s="23" t="s">
        <v>44</v>
      </c>
    </row>
    <row r="148" spans="1:20" x14ac:dyDescent="0.25">
      <c r="A148" s="21">
        <v>45664</v>
      </c>
      <c r="B148" s="1">
        <v>16665919</v>
      </c>
      <c r="C148" t="s">
        <v>320</v>
      </c>
      <c r="D148" s="22">
        <v>-3623.9</v>
      </c>
      <c r="E148" t="s">
        <v>35</v>
      </c>
      <c r="F148" s="2">
        <v>212901001</v>
      </c>
      <c r="G148" s="2" t="s">
        <v>121</v>
      </c>
      <c r="L148" s="2" t="s">
        <v>321</v>
      </c>
      <c r="M148" t="s">
        <v>67</v>
      </c>
      <c r="N148" t="s">
        <v>68</v>
      </c>
      <c r="P148" s="23">
        <v>53.01</v>
      </c>
      <c r="Q148" s="4">
        <f t="shared" si="2"/>
        <v>-68.362573099415215</v>
      </c>
      <c r="R148" s="23" t="s">
        <v>109</v>
      </c>
    </row>
    <row r="149" spans="1:20" x14ac:dyDescent="0.25">
      <c r="A149" s="21">
        <v>45664</v>
      </c>
      <c r="B149" s="1">
        <v>16665920</v>
      </c>
      <c r="C149" t="s">
        <v>322</v>
      </c>
      <c r="D149" s="22">
        <v>-2588.5</v>
      </c>
      <c r="E149" t="s">
        <v>35</v>
      </c>
      <c r="F149" s="2">
        <v>212901001</v>
      </c>
      <c r="G149" s="2" t="s">
        <v>121</v>
      </c>
      <c r="L149" s="2" t="s">
        <v>323</v>
      </c>
      <c r="M149" t="s">
        <v>67</v>
      </c>
      <c r="N149" t="s">
        <v>68</v>
      </c>
      <c r="P149" s="23">
        <v>53.01</v>
      </c>
      <c r="Q149" s="4">
        <f t="shared" si="2"/>
        <v>-48.830409356725148</v>
      </c>
      <c r="R149" s="23" t="s">
        <v>109</v>
      </c>
    </row>
    <row r="150" spans="1:20" x14ac:dyDescent="0.25">
      <c r="A150" s="21">
        <v>45664</v>
      </c>
      <c r="B150" s="1">
        <v>16665921</v>
      </c>
      <c r="C150" t="s">
        <v>324</v>
      </c>
      <c r="D150" s="22">
        <v>-2588.5</v>
      </c>
      <c r="E150" t="s">
        <v>35</v>
      </c>
      <c r="F150" s="2">
        <v>212901001</v>
      </c>
      <c r="G150" s="2" t="s">
        <v>121</v>
      </c>
      <c r="L150" s="2" t="s">
        <v>325</v>
      </c>
      <c r="M150" t="s">
        <v>67</v>
      </c>
      <c r="N150" t="s">
        <v>68</v>
      </c>
      <c r="P150" s="23">
        <v>53.01</v>
      </c>
      <c r="Q150" s="4">
        <f t="shared" si="2"/>
        <v>-48.830409356725148</v>
      </c>
      <c r="R150" s="23" t="s">
        <v>109</v>
      </c>
    </row>
    <row r="151" spans="1:20" x14ac:dyDescent="0.25">
      <c r="A151" s="21">
        <v>45664</v>
      </c>
      <c r="B151" s="1">
        <v>50197749</v>
      </c>
      <c r="C151" t="s">
        <v>118</v>
      </c>
      <c r="D151" s="22">
        <v>-22</v>
      </c>
      <c r="E151" t="s">
        <v>35</v>
      </c>
      <c r="F151" s="2">
        <v>610148001</v>
      </c>
      <c r="G151" s="2" t="s">
        <v>42</v>
      </c>
      <c r="L151" s="2" t="s">
        <v>326</v>
      </c>
      <c r="M151" t="s">
        <v>43</v>
      </c>
      <c r="N151" t="s">
        <v>42</v>
      </c>
      <c r="P151" s="23">
        <v>53.01</v>
      </c>
      <c r="Q151" s="4">
        <f t="shared" si="2"/>
        <v>-0.41501603471043202</v>
      </c>
      <c r="R151" s="23" t="s">
        <v>109</v>
      </c>
      <c r="T151" s="23" t="s">
        <v>44</v>
      </c>
    </row>
    <row r="152" spans="1:20" x14ac:dyDescent="0.25">
      <c r="A152" s="21">
        <v>45666</v>
      </c>
      <c r="B152" s="1">
        <v>105745045</v>
      </c>
      <c r="C152" t="s">
        <v>107</v>
      </c>
      <c r="D152" s="22">
        <v>10000</v>
      </c>
      <c r="E152" t="s">
        <v>46</v>
      </c>
      <c r="F152" s="2">
        <v>210115002</v>
      </c>
      <c r="G152" s="2" t="s">
        <v>47</v>
      </c>
      <c r="L152" s="2" t="s">
        <v>327</v>
      </c>
      <c r="N152" t="s">
        <v>107</v>
      </c>
      <c r="P152" s="23">
        <v>53.28</v>
      </c>
      <c r="Q152" s="4">
        <f t="shared" si="2"/>
        <v>187.68768768768768</v>
      </c>
      <c r="R152" s="23" t="s">
        <v>109</v>
      </c>
    </row>
    <row r="153" spans="1:20" x14ac:dyDescent="0.25">
      <c r="A153" s="21">
        <v>45666</v>
      </c>
      <c r="B153" s="1">
        <v>316724690</v>
      </c>
      <c r="C153" t="s">
        <v>328</v>
      </c>
      <c r="D153" s="22">
        <v>-2664</v>
      </c>
      <c r="E153" t="s">
        <v>35</v>
      </c>
      <c r="F153" s="2">
        <v>212901001</v>
      </c>
      <c r="G153" s="2" t="s">
        <v>121</v>
      </c>
      <c r="L153" s="2" t="s">
        <v>329</v>
      </c>
      <c r="M153" t="s">
        <v>67</v>
      </c>
      <c r="N153" t="s">
        <v>68</v>
      </c>
      <c r="P153" s="23">
        <v>53.28</v>
      </c>
      <c r="Q153" s="4">
        <f t="shared" si="2"/>
        <v>-50</v>
      </c>
      <c r="R153" s="23" t="s">
        <v>109</v>
      </c>
    </row>
    <row r="154" spans="1:20" x14ac:dyDescent="0.25">
      <c r="A154" s="21">
        <v>45666</v>
      </c>
      <c r="B154" s="1">
        <v>316724691</v>
      </c>
      <c r="C154" t="s">
        <v>330</v>
      </c>
      <c r="D154" s="22">
        <v>-3729.6</v>
      </c>
      <c r="E154" t="s">
        <v>35</v>
      </c>
      <c r="F154" s="2">
        <v>212901001</v>
      </c>
      <c r="G154" s="2" t="s">
        <v>121</v>
      </c>
      <c r="L154" s="2" t="s">
        <v>331</v>
      </c>
      <c r="M154" t="s">
        <v>67</v>
      </c>
      <c r="N154" t="s">
        <v>68</v>
      </c>
      <c r="P154" s="23">
        <v>53.28</v>
      </c>
      <c r="Q154" s="4">
        <f t="shared" si="2"/>
        <v>-70</v>
      </c>
      <c r="R154" s="23" t="s">
        <v>109</v>
      </c>
    </row>
    <row r="155" spans="1:20" x14ac:dyDescent="0.25">
      <c r="A155" s="21">
        <v>45666</v>
      </c>
      <c r="B155" s="1">
        <v>316724689</v>
      </c>
      <c r="C155" t="s">
        <v>332</v>
      </c>
      <c r="D155" s="22">
        <v>-2557.44</v>
      </c>
      <c r="E155" t="s">
        <v>35</v>
      </c>
      <c r="F155" s="2">
        <v>212901001</v>
      </c>
      <c r="G155" s="2" t="s">
        <v>121</v>
      </c>
      <c r="L155" s="2" t="s">
        <v>333</v>
      </c>
      <c r="M155" t="s">
        <v>67</v>
      </c>
      <c r="N155" t="s">
        <v>68</v>
      </c>
      <c r="P155" s="23">
        <v>53.28</v>
      </c>
      <c r="Q155" s="4">
        <f t="shared" si="2"/>
        <v>-48</v>
      </c>
      <c r="R155" s="23" t="s">
        <v>109</v>
      </c>
    </row>
    <row r="156" spans="1:20" x14ac:dyDescent="0.25">
      <c r="A156" s="21">
        <v>45666</v>
      </c>
      <c r="B156" s="1">
        <v>316724695</v>
      </c>
      <c r="C156" t="s">
        <v>334</v>
      </c>
      <c r="D156" s="22">
        <v>-1065.5999999999999</v>
      </c>
      <c r="E156" t="s">
        <v>35</v>
      </c>
      <c r="F156" s="2">
        <v>212901001</v>
      </c>
      <c r="G156" s="2" t="s">
        <v>121</v>
      </c>
      <c r="L156" s="2" t="s">
        <v>335</v>
      </c>
      <c r="M156" t="s">
        <v>67</v>
      </c>
      <c r="N156" t="s">
        <v>68</v>
      </c>
      <c r="P156" s="23">
        <v>53.28</v>
      </c>
      <c r="Q156" s="4">
        <f t="shared" si="2"/>
        <v>-19.999999999999996</v>
      </c>
      <c r="R156" s="23" t="s">
        <v>109</v>
      </c>
    </row>
    <row r="157" spans="1:20" x14ac:dyDescent="0.25">
      <c r="A157" s="21">
        <v>45666</v>
      </c>
      <c r="B157" s="1">
        <v>316724694</v>
      </c>
      <c r="C157" t="s">
        <v>336</v>
      </c>
      <c r="D157" s="22">
        <v>-1065.5999999999999</v>
      </c>
      <c r="E157" t="s">
        <v>35</v>
      </c>
      <c r="F157" s="2">
        <v>212901001</v>
      </c>
      <c r="G157" s="2" t="s">
        <v>121</v>
      </c>
      <c r="L157" s="2" t="s">
        <v>337</v>
      </c>
      <c r="M157" t="s">
        <v>67</v>
      </c>
      <c r="N157" t="s">
        <v>68</v>
      </c>
      <c r="P157" s="23">
        <v>53.28</v>
      </c>
      <c r="Q157" s="4">
        <f t="shared" si="2"/>
        <v>-19.999999999999996</v>
      </c>
      <c r="R157" s="23" t="s">
        <v>109</v>
      </c>
    </row>
    <row r="158" spans="1:20" x14ac:dyDescent="0.25">
      <c r="A158" s="21">
        <v>45666</v>
      </c>
      <c r="B158" s="1">
        <v>316724692</v>
      </c>
      <c r="C158" t="s">
        <v>338</v>
      </c>
      <c r="D158" s="22">
        <v>-1864.8</v>
      </c>
      <c r="E158" t="s">
        <v>35</v>
      </c>
      <c r="F158" s="2">
        <v>212901001</v>
      </c>
      <c r="G158" s="2" t="s">
        <v>121</v>
      </c>
      <c r="L158" s="2" t="s">
        <v>339</v>
      </c>
      <c r="M158" t="s">
        <v>67</v>
      </c>
      <c r="N158" t="s">
        <v>68</v>
      </c>
      <c r="P158" s="23">
        <v>53.28</v>
      </c>
      <c r="Q158" s="4">
        <f t="shared" si="2"/>
        <v>-35</v>
      </c>
      <c r="R158" s="23" t="s">
        <v>109</v>
      </c>
    </row>
    <row r="159" spans="1:20" x14ac:dyDescent="0.25">
      <c r="A159" s="21">
        <v>45666</v>
      </c>
      <c r="B159" s="1">
        <v>316724693</v>
      </c>
      <c r="C159" t="s">
        <v>340</v>
      </c>
      <c r="D159" s="22">
        <v>-1065.5999999999999</v>
      </c>
      <c r="E159" t="s">
        <v>35</v>
      </c>
      <c r="F159" s="2">
        <v>212901001</v>
      </c>
      <c r="G159" s="2" t="s">
        <v>121</v>
      </c>
      <c r="L159" s="2" t="s">
        <v>341</v>
      </c>
      <c r="M159" t="s">
        <v>67</v>
      </c>
      <c r="N159" t="s">
        <v>68</v>
      </c>
      <c r="P159" s="23">
        <v>53.28</v>
      </c>
      <c r="Q159" s="4">
        <f t="shared" si="2"/>
        <v>-19.999999999999996</v>
      </c>
      <c r="R159" s="23" t="s">
        <v>109</v>
      </c>
    </row>
    <row r="160" spans="1:20" x14ac:dyDescent="0.25">
      <c r="A160" s="21">
        <v>45666</v>
      </c>
      <c r="B160" s="1">
        <v>50111967</v>
      </c>
      <c r="C160" t="s">
        <v>118</v>
      </c>
      <c r="D160" s="22">
        <v>-35.03</v>
      </c>
      <c r="E160" t="s">
        <v>35</v>
      </c>
      <c r="F160" s="2">
        <v>610148001</v>
      </c>
      <c r="G160" s="2" t="s">
        <v>42</v>
      </c>
      <c r="L160" s="2" t="s">
        <v>342</v>
      </c>
      <c r="M160" t="s">
        <v>43</v>
      </c>
      <c r="N160" t="s">
        <v>42</v>
      </c>
      <c r="P160" s="23">
        <v>53.28</v>
      </c>
      <c r="Q160" s="4">
        <f t="shared" si="2"/>
        <v>-0.65746996996996998</v>
      </c>
      <c r="R160" s="23" t="s">
        <v>109</v>
      </c>
      <c r="T160" s="23" t="s">
        <v>44</v>
      </c>
    </row>
    <row r="161" spans="1:18" x14ac:dyDescent="0.25">
      <c r="A161" s="21">
        <v>45667</v>
      </c>
      <c r="B161" s="1">
        <v>95559402</v>
      </c>
      <c r="C161" t="s">
        <v>107</v>
      </c>
      <c r="D161" s="22">
        <v>245000</v>
      </c>
      <c r="E161" t="s">
        <v>46</v>
      </c>
      <c r="F161" s="2">
        <v>210115002</v>
      </c>
      <c r="G161" s="2" t="s">
        <v>47</v>
      </c>
      <c r="L161" s="2" t="s">
        <v>343</v>
      </c>
      <c r="N161" t="s">
        <v>107</v>
      </c>
      <c r="P161" s="23">
        <v>53.85</v>
      </c>
      <c r="Q161" s="4">
        <f t="shared" si="2"/>
        <v>4549.6750232126278</v>
      </c>
      <c r="R161" s="23" t="s">
        <v>109</v>
      </c>
    </row>
    <row r="162" spans="1:18" x14ac:dyDescent="0.25">
      <c r="A162" s="21">
        <v>45667</v>
      </c>
      <c r="B162" s="1">
        <v>716752901</v>
      </c>
      <c r="C162" t="s">
        <v>344</v>
      </c>
      <c r="D162" s="22">
        <v>-3231</v>
      </c>
      <c r="E162" t="s">
        <v>35</v>
      </c>
      <c r="F162" s="2">
        <v>212901001</v>
      </c>
      <c r="G162" s="2" t="s">
        <v>121</v>
      </c>
      <c r="L162" s="2" t="s">
        <v>345</v>
      </c>
      <c r="M162" t="s">
        <v>67</v>
      </c>
      <c r="N162" t="s">
        <v>68</v>
      </c>
      <c r="P162" s="23">
        <v>53.85</v>
      </c>
      <c r="Q162" s="4">
        <f t="shared" si="2"/>
        <v>-60</v>
      </c>
      <c r="R162" s="23" t="s">
        <v>109</v>
      </c>
    </row>
    <row r="163" spans="1:18" x14ac:dyDescent="0.25">
      <c r="A163" s="21">
        <v>45667</v>
      </c>
      <c r="B163" s="1">
        <v>716752899</v>
      </c>
      <c r="C163" t="s">
        <v>346</v>
      </c>
      <c r="D163" s="22">
        <v>-3231</v>
      </c>
      <c r="E163" t="s">
        <v>35</v>
      </c>
      <c r="F163" s="2">
        <v>212901001</v>
      </c>
      <c r="G163" s="2" t="s">
        <v>121</v>
      </c>
      <c r="L163" s="2" t="s">
        <v>347</v>
      </c>
      <c r="M163" t="s">
        <v>67</v>
      </c>
      <c r="N163" t="s">
        <v>68</v>
      </c>
      <c r="P163" s="23">
        <v>53.85</v>
      </c>
      <c r="Q163" s="4">
        <f t="shared" si="2"/>
        <v>-60</v>
      </c>
      <c r="R163" s="23" t="s">
        <v>109</v>
      </c>
    </row>
    <row r="164" spans="1:18" x14ac:dyDescent="0.25">
      <c r="A164" s="21">
        <v>45667</v>
      </c>
      <c r="B164" s="1">
        <v>716752898</v>
      </c>
      <c r="C164" t="s">
        <v>348</v>
      </c>
      <c r="D164" s="22">
        <v>-3231</v>
      </c>
      <c r="E164" t="s">
        <v>35</v>
      </c>
      <c r="F164" s="2">
        <v>212901001</v>
      </c>
      <c r="G164" s="2" t="s">
        <v>121</v>
      </c>
      <c r="L164" s="2" t="s">
        <v>349</v>
      </c>
      <c r="M164" t="s">
        <v>67</v>
      </c>
      <c r="N164" t="s">
        <v>68</v>
      </c>
      <c r="P164" s="23">
        <v>53.85</v>
      </c>
      <c r="Q164" s="4">
        <f t="shared" si="2"/>
        <v>-60</v>
      </c>
      <c r="R164" s="23" t="s">
        <v>109</v>
      </c>
    </row>
    <row r="165" spans="1:18" x14ac:dyDescent="0.25">
      <c r="A165" s="21">
        <v>45667</v>
      </c>
      <c r="B165" s="1">
        <v>816752905</v>
      </c>
      <c r="C165" t="s">
        <v>350</v>
      </c>
      <c r="D165" s="22">
        <v>-3231</v>
      </c>
      <c r="E165" t="s">
        <v>35</v>
      </c>
      <c r="F165" s="2">
        <v>212901001</v>
      </c>
      <c r="G165" s="2" t="s">
        <v>121</v>
      </c>
      <c r="L165" s="2" t="s">
        <v>351</v>
      </c>
      <c r="M165" t="s">
        <v>67</v>
      </c>
      <c r="N165" t="s">
        <v>68</v>
      </c>
      <c r="P165" s="23">
        <v>53.85</v>
      </c>
      <c r="Q165" s="4">
        <f t="shared" si="2"/>
        <v>-60</v>
      </c>
      <c r="R165" s="23" t="s">
        <v>109</v>
      </c>
    </row>
    <row r="166" spans="1:18" x14ac:dyDescent="0.25">
      <c r="A166" s="21">
        <v>45667</v>
      </c>
      <c r="B166" s="1">
        <v>716752902</v>
      </c>
      <c r="C166" t="s">
        <v>352</v>
      </c>
      <c r="D166" s="22">
        <v>-3231</v>
      </c>
      <c r="E166" t="s">
        <v>35</v>
      </c>
      <c r="F166" s="2">
        <v>212901001</v>
      </c>
      <c r="G166" s="2" t="s">
        <v>121</v>
      </c>
      <c r="L166" s="2" t="s">
        <v>353</v>
      </c>
      <c r="M166" t="s">
        <v>67</v>
      </c>
      <c r="N166" t="s">
        <v>68</v>
      </c>
      <c r="P166" s="23">
        <v>53.85</v>
      </c>
      <c r="Q166" s="4">
        <f t="shared" si="2"/>
        <v>-60</v>
      </c>
      <c r="R166" s="23" t="s">
        <v>109</v>
      </c>
    </row>
    <row r="167" spans="1:18" x14ac:dyDescent="0.25">
      <c r="A167" s="21">
        <v>45667</v>
      </c>
      <c r="B167" s="1">
        <v>716752903</v>
      </c>
      <c r="C167" t="s">
        <v>354</v>
      </c>
      <c r="D167" s="22">
        <v>-3231</v>
      </c>
      <c r="E167" t="s">
        <v>35</v>
      </c>
      <c r="F167" s="2">
        <v>212901001</v>
      </c>
      <c r="G167" s="2" t="s">
        <v>121</v>
      </c>
      <c r="L167" s="2" t="s">
        <v>355</v>
      </c>
      <c r="M167" t="s">
        <v>67</v>
      </c>
      <c r="N167" t="s">
        <v>68</v>
      </c>
      <c r="P167" s="23">
        <v>53.85</v>
      </c>
      <c r="Q167" s="4">
        <f t="shared" si="2"/>
        <v>-60</v>
      </c>
      <c r="R167" s="23" t="s">
        <v>109</v>
      </c>
    </row>
    <row r="168" spans="1:18" x14ac:dyDescent="0.25">
      <c r="A168" s="21">
        <v>45667</v>
      </c>
      <c r="B168" s="1">
        <v>816752904</v>
      </c>
      <c r="C168" t="s">
        <v>356</v>
      </c>
      <c r="D168" s="22">
        <v>-3231</v>
      </c>
      <c r="E168" t="s">
        <v>35</v>
      </c>
      <c r="F168" s="2">
        <v>212901001</v>
      </c>
      <c r="G168" s="2" t="s">
        <v>121</v>
      </c>
      <c r="L168" s="2" t="s">
        <v>357</v>
      </c>
      <c r="M168" t="s">
        <v>67</v>
      </c>
      <c r="N168" t="s">
        <v>68</v>
      </c>
      <c r="P168" s="23">
        <v>53.85</v>
      </c>
      <c r="Q168" s="4">
        <f t="shared" si="2"/>
        <v>-60</v>
      </c>
      <c r="R168" s="23" t="s">
        <v>109</v>
      </c>
    </row>
    <row r="169" spans="1:18" x14ac:dyDescent="0.25">
      <c r="A169" s="21">
        <v>45667</v>
      </c>
      <c r="B169" s="1">
        <v>716752900</v>
      </c>
      <c r="C169" t="s">
        <v>358</v>
      </c>
      <c r="D169" s="22">
        <v>-3231</v>
      </c>
      <c r="E169" t="s">
        <v>35</v>
      </c>
      <c r="F169" s="2">
        <v>212901001</v>
      </c>
      <c r="G169" s="2" t="s">
        <v>121</v>
      </c>
      <c r="L169" s="2" t="s">
        <v>359</v>
      </c>
      <c r="M169" t="s">
        <v>67</v>
      </c>
      <c r="N169" t="s">
        <v>68</v>
      </c>
      <c r="P169" s="23">
        <v>53.85</v>
      </c>
      <c r="Q169" s="4">
        <f t="shared" si="2"/>
        <v>-60</v>
      </c>
      <c r="R169" s="23" t="s">
        <v>109</v>
      </c>
    </row>
    <row r="170" spans="1:18" x14ac:dyDescent="0.25">
      <c r="A170" s="21">
        <v>45667</v>
      </c>
      <c r="B170" s="1">
        <v>816752906</v>
      </c>
      <c r="C170" t="s">
        <v>360</v>
      </c>
      <c r="D170" s="22">
        <v>-3231</v>
      </c>
      <c r="E170" t="s">
        <v>35</v>
      </c>
      <c r="F170" s="2">
        <v>212901001</v>
      </c>
      <c r="G170" s="2" t="s">
        <v>121</v>
      </c>
      <c r="L170" s="2" t="s">
        <v>361</v>
      </c>
      <c r="M170" t="s">
        <v>67</v>
      </c>
      <c r="N170" t="s">
        <v>68</v>
      </c>
      <c r="P170" s="23">
        <v>53.85</v>
      </c>
      <c r="Q170" s="4">
        <f t="shared" si="2"/>
        <v>-60</v>
      </c>
      <c r="R170" s="23" t="s">
        <v>109</v>
      </c>
    </row>
    <row r="171" spans="1:18" x14ac:dyDescent="0.25">
      <c r="A171" s="21">
        <v>45667</v>
      </c>
      <c r="B171" s="1">
        <v>816752907</v>
      </c>
      <c r="C171" t="s">
        <v>362</v>
      </c>
      <c r="D171" s="22">
        <v>-3231</v>
      </c>
      <c r="E171" t="s">
        <v>35</v>
      </c>
      <c r="F171" s="2">
        <v>212901001</v>
      </c>
      <c r="G171" s="2" t="s">
        <v>121</v>
      </c>
      <c r="L171" s="2" t="s">
        <v>363</v>
      </c>
      <c r="M171" t="s">
        <v>67</v>
      </c>
      <c r="N171" t="s">
        <v>68</v>
      </c>
      <c r="P171" s="23">
        <v>53.85</v>
      </c>
      <c r="Q171" s="4">
        <f t="shared" si="2"/>
        <v>-60</v>
      </c>
      <c r="R171" s="23" t="s">
        <v>109</v>
      </c>
    </row>
    <row r="172" spans="1:18" x14ac:dyDescent="0.25">
      <c r="A172" s="21">
        <v>45667</v>
      </c>
      <c r="B172" s="1">
        <v>816752908</v>
      </c>
      <c r="C172" t="s">
        <v>364</v>
      </c>
      <c r="D172" s="22">
        <v>-3231</v>
      </c>
      <c r="E172" t="s">
        <v>35</v>
      </c>
      <c r="F172" s="2">
        <v>212901001</v>
      </c>
      <c r="G172" s="2" t="s">
        <v>121</v>
      </c>
      <c r="L172" s="2" t="s">
        <v>365</v>
      </c>
      <c r="M172" t="s">
        <v>67</v>
      </c>
      <c r="N172" t="s">
        <v>68</v>
      </c>
      <c r="P172" s="23">
        <v>53.85</v>
      </c>
      <c r="Q172" s="4">
        <f t="shared" si="2"/>
        <v>-60</v>
      </c>
      <c r="R172" s="23" t="s">
        <v>109</v>
      </c>
    </row>
    <row r="173" spans="1:18" x14ac:dyDescent="0.25">
      <c r="A173" s="21">
        <v>45667</v>
      </c>
      <c r="B173" s="1">
        <v>816752909</v>
      </c>
      <c r="C173" t="s">
        <v>366</v>
      </c>
      <c r="D173" s="22">
        <v>-3231</v>
      </c>
      <c r="E173" t="s">
        <v>35</v>
      </c>
      <c r="F173" s="2">
        <v>212901001</v>
      </c>
      <c r="G173" s="2" t="s">
        <v>121</v>
      </c>
      <c r="L173" s="2" t="s">
        <v>367</v>
      </c>
      <c r="M173" t="s">
        <v>67</v>
      </c>
      <c r="N173" t="s">
        <v>68</v>
      </c>
      <c r="P173" s="23">
        <v>53.85</v>
      </c>
      <c r="Q173" s="4">
        <f t="shared" si="2"/>
        <v>-60</v>
      </c>
      <c r="R173" s="23" t="s">
        <v>109</v>
      </c>
    </row>
    <row r="174" spans="1:18" x14ac:dyDescent="0.25">
      <c r="A174" s="21">
        <v>45667</v>
      </c>
      <c r="B174" s="1">
        <v>816752912</v>
      </c>
      <c r="C174" t="s">
        <v>368</v>
      </c>
      <c r="D174" s="22">
        <v>-3231</v>
      </c>
      <c r="E174" t="s">
        <v>35</v>
      </c>
      <c r="F174" s="2">
        <v>212901001</v>
      </c>
      <c r="G174" s="2" t="s">
        <v>121</v>
      </c>
      <c r="L174" s="2" t="s">
        <v>369</v>
      </c>
      <c r="M174" t="s">
        <v>67</v>
      </c>
      <c r="N174" t="s">
        <v>68</v>
      </c>
      <c r="P174" s="23">
        <v>53.85</v>
      </c>
      <c r="Q174" s="4">
        <f t="shared" si="2"/>
        <v>-60</v>
      </c>
      <c r="R174" s="23" t="s">
        <v>109</v>
      </c>
    </row>
    <row r="175" spans="1:18" x14ac:dyDescent="0.25">
      <c r="A175" s="21">
        <v>45667</v>
      </c>
      <c r="B175" s="1">
        <v>816752911</v>
      </c>
      <c r="C175" t="s">
        <v>370</v>
      </c>
      <c r="D175" s="22">
        <v>-3231</v>
      </c>
      <c r="E175" t="s">
        <v>35</v>
      </c>
      <c r="F175" s="2">
        <v>212901001</v>
      </c>
      <c r="G175" s="2" t="s">
        <v>121</v>
      </c>
      <c r="L175" s="2" t="s">
        <v>371</v>
      </c>
      <c r="M175" t="s">
        <v>67</v>
      </c>
      <c r="N175" t="s">
        <v>68</v>
      </c>
      <c r="P175" s="23">
        <v>53.85</v>
      </c>
      <c r="Q175" s="4">
        <f t="shared" si="2"/>
        <v>-60</v>
      </c>
      <c r="R175" s="23" t="s">
        <v>109</v>
      </c>
    </row>
    <row r="176" spans="1:18" x14ac:dyDescent="0.25">
      <c r="A176" s="21">
        <v>45667</v>
      </c>
      <c r="B176" s="1">
        <v>816752914</v>
      </c>
      <c r="C176" t="s">
        <v>372</v>
      </c>
      <c r="D176" s="22">
        <v>-3231</v>
      </c>
      <c r="E176" t="s">
        <v>35</v>
      </c>
      <c r="F176" s="2">
        <v>212901001</v>
      </c>
      <c r="G176" s="2" t="s">
        <v>121</v>
      </c>
      <c r="L176" s="2" t="s">
        <v>373</v>
      </c>
      <c r="M176" t="s">
        <v>67</v>
      </c>
      <c r="N176" t="s">
        <v>68</v>
      </c>
      <c r="P176" s="23">
        <v>53.85</v>
      </c>
      <c r="Q176" s="4">
        <f t="shared" si="2"/>
        <v>-60</v>
      </c>
      <c r="R176" s="23" t="s">
        <v>109</v>
      </c>
    </row>
    <row r="177" spans="1:18" x14ac:dyDescent="0.25">
      <c r="A177" s="21">
        <v>45667</v>
      </c>
      <c r="B177" s="1">
        <v>816752913</v>
      </c>
      <c r="C177" t="s">
        <v>374</v>
      </c>
      <c r="D177" s="22">
        <v>-3231</v>
      </c>
      <c r="E177" t="s">
        <v>35</v>
      </c>
      <c r="F177" s="2">
        <v>212901001</v>
      </c>
      <c r="G177" s="2" t="s">
        <v>121</v>
      </c>
      <c r="L177" s="2" t="s">
        <v>375</v>
      </c>
      <c r="M177" t="s">
        <v>67</v>
      </c>
      <c r="N177" t="s">
        <v>68</v>
      </c>
      <c r="P177" s="23">
        <v>53.85</v>
      </c>
      <c r="Q177" s="4">
        <f t="shared" si="2"/>
        <v>-60</v>
      </c>
      <c r="R177" s="23" t="s">
        <v>109</v>
      </c>
    </row>
    <row r="178" spans="1:18" x14ac:dyDescent="0.25">
      <c r="A178" s="21">
        <v>45667</v>
      </c>
      <c r="B178" s="1">
        <v>816752915</v>
      </c>
      <c r="C178" t="s">
        <v>376</v>
      </c>
      <c r="D178" s="22">
        <v>-8077.5</v>
      </c>
      <c r="E178" t="s">
        <v>35</v>
      </c>
      <c r="F178" s="2">
        <v>212901001</v>
      </c>
      <c r="G178" s="2" t="s">
        <v>121</v>
      </c>
      <c r="L178" s="2" t="s">
        <v>377</v>
      </c>
      <c r="M178" t="s">
        <v>67</v>
      </c>
      <c r="N178" t="s">
        <v>68</v>
      </c>
      <c r="P178" s="23">
        <v>53.85</v>
      </c>
      <c r="Q178" s="4">
        <f t="shared" si="2"/>
        <v>-150</v>
      </c>
      <c r="R178" s="23" t="s">
        <v>109</v>
      </c>
    </row>
    <row r="179" spans="1:18" x14ac:dyDescent="0.25">
      <c r="A179" s="21">
        <v>45667</v>
      </c>
      <c r="B179" s="1">
        <v>916752920</v>
      </c>
      <c r="C179" t="s">
        <v>378</v>
      </c>
      <c r="D179" s="22">
        <v>-4308</v>
      </c>
      <c r="E179" t="s">
        <v>35</v>
      </c>
      <c r="F179" s="2">
        <v>212901001</v>
      </c>
      <c r="G179" s="2" t="s">
        <v>121</v>
      </c>
      <c r="L179" s="2" t="s">
        <v>379</v>
      </c>
      <c r="M179" t="s">
        <v>67</v>
      </c>
      <c r="N179" t="s">
        <v>68</v>
      </c>
      <c r="P179" s="23">
        <v>53.85</v>
      </c>
      <c r="Q179" s="4">
        <f t="shared" si="2"/>
        <v>-80</v>
      </c>
      <c r="R179" s="23" t="s">
        <v>109</v>
      </c>
    </row>
    <row r="180" spans="1:18" x14ac:dyDescent="0.25">
      <c r="A180" s="21">
        <v>45667</v>
      </c>
      <c r="B180" s="1">
        <v>916752918</v>
      </c>
      <c r="C180" t="s">
        <v>380</v>
      </c>
      <c r="D180" s="22">
        <v>-4308</v>
      </c>
      <c r="E180" t="s">
        <v>35</v>
      </c>
      <c r="F180" s="2">
        <v>212901001</v>
      </c>
      <c r="G180" s="2" t="s">
        <v>121</v>
      </c>
      <c r="L180" s="2" t="s">
        <v>381</v>
      </c>
      <c r="M180" t="s">
        <v>67</v>
      </c>
      <c r="N180" t="s">
        <v>68</v>
      </c>
      <c r="P180" s="23">
        <v>53.85</v>
      </c>
      <c r="Q180" s="4">
        <f t="shared" si="2"/>
        <v>-80</v>
      </c>
      <c r="R180" s="23" t="s">
        <v>109</v>
      </c>
    </row>
    <row r="181" spans="1:18" x14ac:dyDescent="0.25">
      <c r="A181" s="21">
        <v>45667</v>
      </c>
      <c r="B181" s="1">
        <v>916752917</v>
      </c>
      <c r="C181" t="s">
        <v>382</v>
      </c>
      <c r="D181" s="22">
        <v>-4308</v>
      </c>
      <c r="E181" t="s">
        <v>35</v>
      </c>
      <c r="F181" s="2">
        <v>212901001</v>
      </c>
      <c r="G181" s="2" t="s">
        <v>121</v>
      </c>
      <c r="L181" s="2" t="s">
        <v>383</v>
      </c>
      <c r="M181" t="s">
        <v>67</v>
      </c>
      <c r="N181" t="s">
        <v>68</v>
      </c>
      <c r="P181" s="23">
        <v>53.85</v>
      </c>
      <c r="Q181" s="4">
        <f t="shared" si="2"/>
        <v>-80</v>
      </c>
      <c r="R181" s="23" t="s">
        <v>109</v>
      </c>
    </row>
    <row r="182" spans="1:18" x14ac:dyDescent="0.25">
      <c r="A182" s="21">
        <v>45667</v>
      </c>
      <c r="B182" s="1">
        <v>916752922</v>
      </c>
      <c r="C182" t="s">
        <v>384</v>
      </c>
      <c r="D182" s="22">
        <v>-4308</v>
      </c>
      <c r="E182" t="s">
        <v>35</v>
      </c>
      <c r="F182" s="2">
        <v>212901001</v>
      </c>
      <c r="G182" s="2" t="s">
        <v>121</v>
      </c>
      <c r="L182" s="2" t="s">
        <v>385</v>
      </c>
      <c r="M182" t="s">
        <v>67</v>
      </c>
      <c r="N182" t="s">
        <v>68</v>
      </c>
      <c r="P182" s="23">
        <v>53.85</v>
      </c>
      <c r="Q182" s="4">
        <f t="shared" si="2"/>
        <v>-80</v>
      </c>
      <c r="R182" s="23" t="s">
        <v>109</v>
      </c>
    </row>
    <row r="183" spans="1:18" x14ac:dyDescent="0.25">
      <c r="A183" s="21">
        <v>45667</v>
      </c>
      <c r="B183" s="1">
        <v>816752916</v>
      </c>
      <c r="C183" t="s">
        <v>386</v>
      </c>
      <c r="D183" s="22">
        <v>-5385</v>
      </c>
      <c r="E183" t="s">
        <v>35</v>
      </c>
      <c r="F183" s="2">
        <v>212901001</v>
      </c>
      <c r="G183" s="2" t="s">
        <v>121</v>
      </c>
      <c r="L183" s="2" t="s">
        <v>387</v>
      </c>
      <c r="M183" t="s">
        <v>67</v>
      </c>
      <c r="N183" t="s">
        <v>68</v>
      </c>
      <c r="P183" s="23">
        <v>53.85</v>
      </c>
      <c r="Q183" s="4">
        <f t="shared" si="2"/>
        <v>-100</v>
      </c>
      <c r="R183" s="23" t="s">
        <v>109</v>
      </c>
    </row>
    <row r="184" spans="1:18" x14ac:dyDescent="0.25">
      <c r="A184" s="21">
        <v>45667</v>
      </c>
      <c r="B184" s="1">
        <v>916752921</v>
      </c>
      <c r="C184" t="s">
        <v>388</v>
      </c>
      <c r="D184" s="22">
        <v>-4308</v>
      </c>
      <c r="E184" t="s">
        <v>35</v>
      </c>
      <c r="F184" s="2">
        <v>212901001</v>
      </c>
      <c r="G184" s="2" t="s">
        <v>121</v>
      </c>
      <c r="L184" s="2" t="s">
        <v>389</v>
      </c>
      <c r="M184" t="s">
        <v>67</v>
      </c>
      <c r="N184" t="s">
        <v>68</v>
      </c>
      <c r="P184" s="23">
        <v>53.85</v>
      </c>
      <c r="Q184" s="4">
        <f t="shared" si="2"/>
        <v>-80</v>
      </c>
      <c r="R184" s="23" t="s">
        <v>109</v>
      </c>
    </row>
    <row r="185" spans="1:18" x14ac:dyDescent="0.25">
      <c r="A185" s="21">
        <v>45667</v>
      </c>
      <c r="B185" s="1">
        <v>916752925</v>
      </c>
      <c r="C185" t="s">
        <v>390</v>
      </c>
      <c r="D185" s="22">
        <v>-2692.5</v>
      </c>
      <c r="E185" t="s">
        <v>35</v>
      </c>
      <c r="F185" s="2">
        <v>212901001</v>
      </c>
      <c r="G185" s="2" t="s">
        <v>121</v>
      </c>
      <c r="L185" s="2" t="s">
        <v>391</v>
      </c>
      <c r="M185" t="s">
        <v>67</v>
      </c>
      <c r="N185" t="s">
        <v>68</v>
      </c>
      <c r="P185" s="23">
        <v>53.85</v>
      </c>
      <c r="Q185" s="4">
        <f t="shared" si="2"/>
        <v>-50</v>
      </c>
      <c r="R185" s="23" t="s">
        <v>109</v>
      </c>
    </row>
    <row r="186" spans="1:18" x14ac:dyDescent="0.25">
      <c r="A186" s="21">
        <v>45667</v>
      </c>
      <c r="B186" s="1">
        <v>916752923</v>
      </c>
      <c r="C186" t="s">
        <v>392</v>
      </c>
      <c r="D186" s="22">
        <v>-2692.5</v>
      </c>
      <c r="E186" t="s">
        <v>35</v>
      </c>
      <c r="F186" s="2">
        <v>212901001</v>
      </c>
      <c r="G186" s="2" t="s">
        <v>121</v>
      </c>
      <c r="L186" s="2" t="s">
        <v>393</v>
      </c>
      <c r="M186" t="s">
        <v>67</v>
      </c>
      <c r="N186" t="s">
        <v>68</v>
      </c>
      <c r="P186" s="23">
        <v>53.85</v>
      </c>
      <c r="Q186" s="4">
        <f t="shared" si="2"/>
        <v>-50</v>
      </c>
      <c r="R186" s="23" t="s">
        <v>109</v>
      </c>
    </row>
    <row r="187" spans="1:18" x14ac:dyDescent="0.25">
      <c r="A187" s="21">
        <v>45667</v>
      </c>
      <c r="B187" s="1">
        <v>16752926</v>
      </c>
      <c r="C187" t="s">
        <v>394</v>
      </c>
      <c r="D187" s="22">
        <v>-2692.5</v>
      </c>
      <c r="E187" t="s">
        <v>35</v>
      </c>
      <c r="F187" s="2">
        <v>212901001</v>
      </c>
      <c r="G187" s="2" t="s">
        <v>121</v>
      </c>
      <c r="L187" s="2" t="s">
        <v>395</v>
      </c>
      <c r="M187" t="s">
        <v>67</v>
      </c>
      <c r="N187" t="s">
        <v>68</v>
      </c>
      <c r="P187" s="23">
        <v>53.85</v>
      </c>
      <c r="Q187" s="4">
        <f t="shared" si="2"/>
        <v>-50</v>
      </c>
      <c r="R187" s="23" t="s">
        <v>109</v>
      </c>
    </row>
    <row r="188" spans="1:18" x14ac:dyDescent="0.25">
      <c r="A188" s="21">
        <v>45667</v>
      </c>
      <c r="B188" s="1">
        <v>916752924</v>
      </c>
      <c r="C188" t="s">
        <v>396</v>
      </c>
      <c r="D188" s="22">
        <v>-2261.6999999999998</v>
      </c>
      <c r="E188" t="s">
        <v>35</v>
      </c>
      <c r="F188" s="2">
        <v>212901001</v>
      </c>
      <c r="G188" s="2" t="s">
        <v>121</v>
      </c>
      <c r="L188" s="2" t="s">
        <v>397</v>
      </c>
      <c r="M188" t="s">
        <v>67</v>
      </c>
      <c r="N188" t="s">
        <v>68</v>
      </c>
      <c r="P188" s="23">
        <v>53.85</v>
      </c>
      <c r="Q188" s="4">
        <f t="shared" si="2"/>
        <v>-41.999999999999993</v>
      </c>
      <c r="R188" s="23" t="s">
        <v>109</v>
      </c>
    </row>
    <row r="189" spans="1:18" x14ac:dyDescent="0.25">
      <c r="A189" s="21">
        <v>45667</v>
      </c>
      <c r="B189" s="1">
        <v>16752928</v>
      </c>
      <c r="C189" t="s">
        <v>398</v>
      </c>
      <c r="D189" s="22">
        <v>-2692.5</v>
      </c>
      <c r="E189" t="s">
        <v>35</v>
      </c>
      <c r="F189" s="2">
        <v>212901001</v>
      </c>
      <c r="G189" s="2" t="s">
        <v>121</v>
      </c>
      <c r="L189" s="2" t="s">
        <v>399</v>
      </c>
      <c r="M189" t="s">
        <v>67</v>
      </c>
      <c r="N189" t="s">
        <v>68</v>
      </c>
      <c r="P189" s="23">
        <v>53.85</v>
      </c>
      <c r="Q189" s="4">
        <f t="shared" si="2"/>
        <v>-50</v>
      </c>
      <c r="R189" s="23" t="s">
        <v>109</v>
      </c>
    </row>
    <row r="190" spans="1:18" x14ac:dyDescent="0.25">
      <c r="A190" s="21">
        <v>45667</v>
      </c>
      <c r="B190" s="1">
        <v>916752919</v>
      </c>
      <c r="C190" t="s">
        <v>400</v>
      </c>
      <c r="D190" s="22">
        <v>-4308</v>
      </c>
      <c r="E190" t="s">
        <v>35</v>
      </c>
      <c r="F190" s="2">
        <v>212901001</v>
      </c>
      <c r="G190" s="2" t="s">
        <v>121</v>
      </c>
      <c r="L190" s="2" t="s">
        <v>401</v>
      </c>
      <c r="M190" t="s">
        <v>67</v>
      </c>
      <c r="N190" t="s">
        <v>68</v>
      </c>
      <c r="P190" s="23">
        <v>53.85</v>
      </c>
      <c r="Q190" s="4">
        <f t="shared" si="2"/>
        <v>-80</v>
      </c>
      <c r="R190" s="23" t="s">
        <v>109</v>
      </c>
    </row>
    <row r="191" spans="1:18" x14ac:dyDescent="0.25">
      <c r="A191" s="21">
        <v>45667</v>
      </c>
      <c r="B191" s="1">
        <v>16752927</v>
      </c>
      <c r="C191" t="s">
        <v>402</v>
      </c>
      <c r="D191" s="22">
        <v>-2692.5</v>
      </c>
      <c r="E191" t="s">
        <v>35</v>
      </c>
      <c r="F191" s="2">
        <v>212901001</v>
      </c>
      <c r="G191" s="2" t="s">
        <v>121</v>
      </c>
      <c r="L191" s="2" t="s">
        <v>403</v>
      </c>
      <c r="M191" t="s">
        <v>67</v>
      </c>
      <c r="N191" t="s">
        <v>68</v>
      </c>
      <c r="P191" s="23">
        <v>53.85</v>
      </c>
      <c r="Q191" s="4">
        <f t="shared" si="2"/>
        <v>-50</v>
      </c>
      <c r="R191" s="23" t="s">
        <v>109</v>
      </c>
    </row>
    <row r="192" spans="1:18" x14ac:dyDescent="0.25">
      <c r="A192" s="21">
        <v>45667</v>
      </c>
      <c r="B192" s="1">
        <v>16752930</v>
      </c>
      <c r="C192" t="s">
        <v>404</v>
      </c>
      <c r="D192" s="22">
        <v>-2154</v>
      </c>
      <c r="E192" t="s">
        <v>35</v>
      </c>
      <c r="F192" s="2">
        <v>212901001</v>
      </c>
      <c r="G192" s="2" t="s">
        <v>121</v>
      </c>
      <c r="L192" s="2" t="s">
        <v>405</v>
      </c>
      <c r="M192" t="s">
        <v>67</v>
      </c>
      <c r="N192" t="s">
        <v>68</v>
      </c>
      <c r="P192" s="23">
        <v>53.85</v>
      </c>
      <c r="Q192" s="4">
        <f t="shared" si="2"/>
        <v>-40</v>
      </c>
      <c r="R192" s="23" t="s">
        <v>109</v>
      </c>
    </row>
    <row r="193" spans="1:18" x14ac:dyDescent="0.25">
      <c r="A193" s="21">
        <v>45667</v>
      </c>
      <c r="B193" s="1">
        <v>16752929</v>
      </c>
      <c r="C193" t="s">
        <v>406</v>
      </c>
      <c r="D193" s="22">
        <v>-2154</v>
      </c>
      <c r="E193" t="s">
        <v>35</v>
      </c>
      <c r="F193" s="2">
        <v>212901001</v>
      </c>
      <c r="G193" s="2" t="s">
        <v>121</v>
      </c>
      <c r="L193" s="2" t="s">
        <v>407</v>
      </c>
      <c r="M193" t="s">
        <v>67</v>
      </c>
      <c r="N193" t="s">
        <v>68</v>
      </c>
      <c r="P193" s="23">
        <v>53.85</v>
      </c>
      <c r="Q193" s="4">
        <f t="shared" si="2"/>
        <v>-40</v>
      </c>
      <c r="R193" s="23" t="s">
        <v>109</v>
      </c>
    </row>
    <row r="194" spans="1:18" x14ac:dyDescent="0.25">
      <c r="A194" s="21">
        <v>45667</v>
      </c>
      <c r="B194" s="1">
        <v>16752931</v>
      </c>
      <c r="C194" t="s">
        <v>408</v>
      </c>
      <c r="D194" s="22">
        <v>-2154</v>
      </c>
      <c r="E194" t="s">
        <v>35</v>
      </c>
      <c r="F194" s="2">
        <v>212901001</v>
      </c>
      <c r="G194" s="2" t="s">
        <v>121</v>
      </c>
      <c r="L194" s="2" t="s">
        <v>409</v>
      </c>
      <c r="M194" t="s">
        <v>67</v>
      </c>
      <c r="N194" t="s">
        <v>68</v>
      </c>
      <c r="P194" s="23">
        <v>53.85</v>
      </c>
      <c r="Q194" s="4">
        <f t="shared" si="2"/>
        <v>-40</v>
      </c>
      <c r="R194" s="23" t="s">
        <v>109</v>
      </c>
    </row>
    <row r="195" spans="1:18" x14ac:dyDescent="0.25">
      <c r="A195" s="21">
        <v>45667</v>
      </c>
      <c r="B195" s="1">
        <v>16752935</v>
      </c>
      <c r="C195" t="s">
        <v>410</v>
      </c>
      <c r="D195" s="22">
        <v>-2154</v>
      </c>
      <c r="E195" t="s">
        <v>35</v>
      </c>
      <c r="F195" s="2">
        <v>212901001</v>
      </c>
      <c r="G195" s="2" t="s">
        <v>121</v>
      </c>
      <c r="L195" s="2" t="s">
        <v>411</v>
      </c>
      <c r="M195" t="s">
        <v>67</v>
      </c>
      <c r="N195" t="s">
        <v>68</v>
      </c>
      <c r="P195" s="23">
        <v>53.85</v>
      </c>
      <c r="Q195" s="4">
        <f t="shared" si="2"/>
        <v>-40</v>
      </c>
      <c r="R195" s="23" t="s">
        <v>109</v>
      </c>
    </row>
    <row r="196" spans="1:18" x14ac:dyDescent="0.25">
      <c r="A196" s="21">
        <v>45667</v>
      </c>
      <c r="B196" s="1">
        <v>16752934</v>
      </c>
      <c r="C196" t="s">
        <v>412</v>
      </c>
      <c r="D196" s="22">
        <v>-2154</v>
      </c>
      <c r="E196" t="s">
        <v>35</v>
      </c>
      <c r="F196" s="2">
        <v>212901001</v>
      </c>
      <c r="G196" s="2" t="s">
        <v>121</v>
      </c>
      <c r="L196" s="2" t="s">
        <v>413</v>
      </c>
      <c r="M196" t="s">
        <v>67</v>
      </c>
      <c r="N196" t="s">
        <v>68</v>
      </c>
      <c r="P196" s="23">
        <v>53.85</v>
      </c>
      <c r="Q196" s="4">
        <f t="shared" si="2"/>
        <v>-40</v>
      </c>
      <c r="R196" s="23" t="s">
        <v>109</v>
      </c>
    </row>
    <row r="197" spans="1:18" x14ac:dyDescent="0.25">
      <c r="A197" s="21">
        <v>45667</v>
      </c>
      <c r="B197" s="1">
        <v>16752933</v>
      </c>
      <c r="C197" t="s">
        <v>414</v>
      </c>
      <c r="D197" s="22">
        <v>-2154</v>
      </c>
      <c r="E197" t="s">
        <v>35</v>
      </c>
      <c r="F197" s="2">
        <v>212901001</v>
      </c>
      <c r="G197" s="2" t="s">
        <v>121</v>
      </c>
      <c r="L197" s="2" t="s">
        <v>415</v>
      </c>
      <c r="M197" t="s">
        <v>67</v>
      </c>
      <c r="N197" t="s">
        <v>68</v>
      </c>
      <c r="P197" s="23">
        <v>53.85</v>
      </c>
      <c r="Q197" s="4">
        <f t="shared" si="2"/>
        <v>-40</v>
      </c>
      <c r="R197" s="23" t="s">
        <v>109</v>
      </c>
    </row>
    <row r="198" spans="1:18" x14ac:dyDescent="0.25">
      <c r="A198" s="21">
        <v>45667</v>
      </c>
      <c r="B198" s="1">
        <v>16752932</v>
      </c>
      <c r="C198" t="s">
        <v>416</v>
      </c>
      <c r="D198" s="22">
        <v>-2154</v>
      </c>
      <c r="E198" t="s">
        <v>35</v>
      </c>
      <c r="F198" s="2">
        <v>212901001</v>
      </c>
      <c r="G198" s="2" t="s">
        <v>121</v>
      </c>
      <c r="L198" s="2" t="s">
        <v>417</v>
      </c>
      <c r="M198" t="s">
        <v>67</v>
      </c>
      <c r="N198" t="s">
        <v>68</v>
      </c>
      <c r="P198" s="23">
        <v>53.85</v>
      </c>
      <c r="Q198" s="4">
        <f t="shared" si="2"/>
        <v>-40</v>
      </c>
      <c r="R198" s="23" t="s">
        <v>109</v>
      </c>
    </row>
    <row r="199" spans="1:18" x14ac:dyDescent="0.25">
      <c r="A199" s="21">
        <v>45667</v>
      </c>
      <c r="B199" s="1">
        <v>16752936</v>
      </c>
      <c r="C199" t="s">
        <v>418</v>
      </c>
      <c r="D199" s="22">
        <v>-5385</v>
      </c>
      <c r="E199" t="s">
        <v>35</v>
      </c>
      <c r="F199" s="2">
        <v>212901001</v>
      </c>
      <c r="G199" s="2" t="s">
        <v>121</v>
      </c>
      <c r="L199" s="2" t="s">
        <v>419</v>
      </c>
      <c r="M199" t="s">
        <v>67</v>
      </c>
      <c r="N199" t="s">
        <v>68</v>
      </c>
      <c r="P199" s="23">
        <v>53.85</v>
      </c>
      <c r="Q199" s="4">
        <f t="shared" si="2"/>
        <v>-100</v>
      </c>
      <c r="R199" s="23" t="s">
        <v>109</v>
      </c>
    </row>
    <row r="200" spans="1:18" x14ac:dyDescent="0.25">
      <c r="A200" s="21">
        <v>45667</v>
      </c>
      <c r="B200" s="1">
        <v>116752938</v>
      </c>
      <c r="C200" t="s">
        <v>420</v>
      </c>
      <c r="D200" s="22">
        <v>-8077.5</v>
      </c>
      <c r="E200" t="s">
        <v>35</v>
      </c>
      <c r="F200" s="2">
        <v>212901001</v>
      </c>
      <c r="G200" s="2" t="s">
        <v>121</v>
      </c>
      <c r="L200" s="2" t="s">
        <v>421</v>
      </c>
      <c r="M200" t="s">
        <v>67</v>
      </c>
      <c r="N200" t="s">
        <v>68</v>
      </c>
      <c r="P200" s="23">
        <v>53.85</v>
      </c>
      <c r="Q200" s="4">
        <f t="shared" si="2"/>
        <v>-150</v>
      </c>
      <c r="R200" s="23" t="s">
        <v>109</v>
      </c>
    </row>
    <row r="201" spans="1:18" x14ac:dyDescent="0.25">
      <c r="A201" s="21">
        <v>45667</v>
      </c>
      <c r="B201" s="1">
        <v>116752940</v>
      </c>
      <c r="C201" t="s">
        <v>422</v>
      </c>
      <c r="D201" s="22">
        <v>-5923.5</v>
      </c>
      <c r="E201" t="s">
        <v>35</v>
      </c>
      <c r="F201" s="2">
        <v>212901001</v>
      </c>
      <c r="G201" s="2" t="s">
        <v>121</v>
      </c>
      <c r="L201" s="2" t="s">
        <v>423</v>
      </c>
      <c r="M201" t="s">
        <v>67</v>
      </c>
      <c r="N201" t="s">
        <v>68</v>
      </c>
      <c r="P201" s="23">
        <v>53.85</v>
      </c>
      <c r="Q201" s="4">
        <f t="shared" si="2"/>
        <v>-110</v>
      </c>
      <c r="R201" s="23" t="s">
        <v>109</v>
      </c>
    </row>
    <row r="202" spans="1:18" x14ac:dyDescent="0.25">
      <c r="A202" s="21">
        <v>45667</v>
      </c>
      <c r="B202" s="1">
        <v>116752942</v>
      </c>
      <c r="C202" t="s">
        <v>424</v>
      </c>
      <c r="D202" s="22">
        <v>-4308</v>
      </c>
      <c r="E202" t="s">
        <v>35</v>
      </c>
      <c r="F202" s="2">
        <v>212901001</v>
      </c>
      <c r="G202" s="2" t="s">
        <v>121</v>
      </c>
      <c r="L202" s="2" t="s">
        <v>425</v>
      </c>
      <c r="M202" t="s">
        <v>67</v>
      </c>
      <c r="N202" t="s">
        <v>68</v>
      </c>
      <c r="P202" s="23">
        <v>53.85</v>
      </c>
      <c r="Q202" s="4">
        <f t="shared" si="2"/>
        <v>-80</v>
      </c>
      <c r="R202" s="23" t="s">
        <v>109</v>
      </c>
    </row>
    <row r="203" spans="1:18" x14ac:dyDescent="0.25">
      <c r="A203" s="21">
        <v>45667</v>
      </c>
      <c r="B203" s="1">
        <v>116752944</v>
      </c>
      <c r="C203" t="s">
        <v>426</v>
      </c>
      <c r="D203" s="22">
        <v>-2100.15</v>
      </c>
      <c r="E203" t="s">
        <v>35</v>
      </c>
      <c r="F203" s="2">
        <v>212901001</v>
      </c>
      <c r="G203" s="2" t="s">
        <v>121</v>
      </c>
      <c r="L203" s="2" t="s">
        <v>427</v>
      </c>
      <c r="M203" t="s">
        <v>67</v>
      </c>
      <c r="N203" t="s">
        <v>68</v>
      </c>
      <c r="P203" s="23">
        <v>53.85</v>
      </c>
      <c r="Q203" s="4">
        <f t="shared" ref="Q203:Q266" si="3">D203/P203</f>
        <v>-39</v>
      </c>
      <c r="R203" s="23" t="s">
        <v>109</v>
      </c>
    </row>
    <row r="204" spans="1:18" x14ac:dyDescent="0.25">
      <c r="A204" s="21">
        <v>45667</v>
      </c>
      <c r="B204" s="1">
        <v>116752937</v>
      </c>
      <c r="C204" t="s">
        <v>428</v>
      </c>
      <c r="D204" s="22">
        <v>-5385</v>
      </c>
      <c r="E204" t="s">
        <v>35</v>
      </c>
      <c r="F204" s="2">
        <v>212901001</v>
      </c>
      <c r="G204" s="2" t="s">
        <v>121</v>
      </c>
      <c r="L204" s="2" t="s">
        <v>429</v>
      </c>
      <c r="M204" t="s">
        <v>67</v>
      </c>
      <c r="N204" t="s">
        <v>68</v>
      </c>
      <c r="P204" s="23">
        <v>53.85</v>
      </c>
      <c r="Q204" s="4">
        <f t="shared" si="3"/>
        <v>-100</v>
      </c>
      <c r="R204" s="23" t="s">
        <v>109</v>
      </c>
    </row>
    <row r="205" spans="1:18" x14ac:dyDescent="0.25">
      <c r="A205" s="21">
        <v>45667</v>
      </c>
      <c r="B205" s="1">
        <v>116752939</v>
      </c>
      <c r="C205" t="s">
        <v>430</v>
      </c>
      <c r="D205" s="22">
        <v>-1615.5</v>
      </c>
      <c r="E205" t="s">
        <v>35</v>
      </c>
      <c r="F205" s="2">
        <v>212901001</v>
      </c>
      <c r="G205" s="2" t="s">
        <v>121</v>
      </c>
      <c r="L205" s="2" t="s">
        <v>431</v>
      </c>
      <c r="M205" t="s">
        <v>67</v>
      </c>
      <c r="N205" t="s">
        <v>68</v>
      </c>
      <c r="P205" s="23">
        <v>53.85</v>
      </c>
      <c r="Q205" s="4">
        <f t="shared" si="3"/>
        <v>-30</v>
      </c>
      <c r="R205" s="23" t="s">
        <v>109</v>
      </c>
    </row>
    <row r="206" spans="1:18" x14ac:dyDescent="0.25">
      <c r="A206" s="21">
        <v>45667</v>
      </c>
      <c r="B206" s="1">
        <v>116752946</v>
      </c>
      <c r="C206" t="s">
        <v>432</v>
      </c>
      <c r="D206" s="22">
        <v>-3769.5</v>
      </c>
      <c r="E206" t="s">
        <v>35</v>
      </c>
      <c r="F206" s="2">
        <v>212901001</v>
      </c>
      <c r="G206" s="2" t="s">
        <v>121</v>
      </c>
      <c r="L206" s="2" t="s">
        <v>433</v>
      </c>
      <c r="M206" t="s">
        <v>67</v>
      </c>
      <c r="N206" t="s">
        <v>68</v>
      </c>
      <c r="P206" s="23">
        <v>53.85</v>
      </c>
      <c r="Q206" s="4">
        <f t="shared" si="3"/>
        <v>-70</v>
      </c>
      <c r="R206" s="23" t="s">
        <v>109</v>
      </c>
    </row>
    <row r="207" spans="1:18" x14ac:dyDescent="0.25">
      <c r="A207" s="21">
        <v>45667</v>
      </c>
      <c r="B207" s="1">
        <v>116752943</v>
      </c>
      <c r="C207" t="s">
        <v>434</v>
      </c>
      <c r="D207" s="22">
        <v>-5385</v>
      </c>
      <c r="E207" t="s">
        <v>35</v>
      </c>
      <c r="F207" s="2">
        <v>212901001</v>
      </c>
      <c r="G207" s="2" t="s">
        <v>121</v>
      </c>
      <c r="L207" s="2" t="s">
        <v>435</v>
      </c>
      <c r="M207" t="s">
        <v>67</v>
      </c>
      <c r="N207" t="s">
        <v>68</v>
      </c>
      <c r="P207" s="23">
        <v>53.85</v>
      </c>
      <c r="Q207" s="4">
        <f t="shared" si="3"/>
        <v>-100</v>
      </c>
      <c r="R207" s="23" t="s">
        <v>109</v>
      </c>
    </row>
    <row r="208" spans="1:18" x14ac:dyDescent="0.25">
      <c r="A208" s="21">
        <v>45667</v>
      </c>
      <c r="B208" s="1">
        <v>116752945</v>
      </c>
      <c r="C208" t="s">
        <v>436</v>
      </c>
      <c r="D208" s="22">
        <v>-3769.5</v>
      </c>
      <c r="E208" t="s">
        <v>35</v>
      </c>
      <c r="F208" s="2">
        <v>212901001</v>
      </c>
      <c r="G208" s="2" t="s">
        <v>121</v>
      </c>
      <c r="L208" s="2" t="s">
        <v>437</v>
      </c>
      <c r="M208" t="s">
        <v>67</v>
      </c>
      <c r="N208" t="s">
        <v>68</v>
      </c>
      <c r="P208" s="23">
        <v>53.85</v>
      </c>
      <c r="Q208" s="4">
        <f t="shared" si="3"/>
        <v>-70</v>
      </c>
      <c r="R208" s="23" t="s">
        <v>109</v>
      </c>
    </row>
    <row r="209" spans="1:18" x14ac:dyDescent="0.25">
      <c r="A209" s="21">
        <v>45667</v>
      </c>
      <c r="B209" s="1">
        <v>216752950</v>
      </c>
      <c r="C209" t="s">
        <v>438</v>
      </c>
      <c r="D209" s="22">
        <v>-1830.9</v>
      </c>
      <c r="E209" t="s">
        <v>35</v>
      </c>
      <c r="F209" s="2">
        <v>212901001</v>
      </c>
      <c r="G209" s="2" t="s">
        <v>121</v>
      </c>
      <c r="L209" s="2" t="s">
        <v>439</v>
      </c>
      <c r="M209" t="s">
        <v>67</v>
      </c>
      <c r="N209" t="s">
        <v>68</v>
      </c>
      <c r="P209" s="23">
        <v>53.85</v>
      </c>
      <c r="Q209" s="4">
        <f t="shared" si="3"/>
        <v>-34</v>
      </c>
      <c r="R209" s="23" t="s">
        <v>109</v>
      </c>
    </row>
    <row r="210" spans="1:18" x14ac:dyDescent="0.25">
      <c r="A210" s="21">
        <v>45667</v>
      </c>
      <c r="B210" s="1">
        <v>116752947</v>
      </c>
      <c r="C210" t="s">
        <v>440</v>
      </c>
      <c r="D210" s="22">
        <v>-3177.15</v>
      </c>
      <c r="E210" t="s">
        <v>35</v>
      </c>
      <c r="F210" s="2">
        <v>212901001</v>
      </c>
      <c r="G210" s="2" t="s">
        <v>121</v>
      </c>
      <c r="L210" s="2" t="s">
        <v>441</v>
      </c>
      <c r="M210" t="s">
        <v>67</v>
      </c>
      <c r="N210" t="s">
        <v>68</v>
      </c>
      <c r="P210" s="23">
        <v>53.85</v>
      </c>
      <c r="Q210" s="4">
        <f t="shared" si="3"/>
        <v>-59</v>
      </c>
      <c r="R210" s="23" t="s">
        <v>109</v>
      </c>
    </row>
    <row r="211" spans="1:18" x14ac:dyDescent="0.25">
      <c r="A211" s="21">
        <v>45667</v>
      </c>
      <c r="B211" s="1">
        <v>216752948</v>
      </c>
      <c r="C211" t="s">
        <v>442</v>
      </c>
      <c r="D211" s="22">
        <v>-2692.5</v>
      </c>
      <c r="E211" t="s">
        <v>35</v>
      </c>
      <c r="F211" s="2">
        <v>212901001</v>
      </c>
      <c r="G211" s="2" t="s">
        <v>121</v>
      </c>
      <c r="L211" s="2" t="s">
        <v>443</v>
      </c>
      <c r="M211" t="s">
        <v>67</v>
      </c>
      <c r="N211" t="s">
        <v>68</v>
      </c>
      <c r="P211" s="23">
        <v>53.85</v>
      </c>
      <c r="Q211" s="4">
        <f t="shared" si="3"/>
        <v>-50</v>
      </c>
      <c r="R211" s="23" t="s">
        <v>109</v>
      </c>
    </row>
    <row r="212" spans="1:18" x14ac:dyDescent="0.25">
      <c r="A212" s="21">
        <v>45667</v>
      </c>
      <c r="B212" s="1">
        <v>216752951</v>
      </c>
      <c r="C212" t="s">
        <v>444</v>
      </c>
      <c r="D212" s="22">
        <v>-2692.5</v>
      </c>
      <c r="E212" t="s">
        <v>35</v>
      </c>
      <c r="F212" s="2">
        <v>212901001</v>
      </c>
      <c r="G212" s="2" t="s">
        <v>121</v>
      </c>
      <c r="L212" s="2" t="s">
        <v>445</v>
      </c>
      <c r="M212" t="s">
        <v>67</v>
      </c>
      <c r="N212" t="s">
        <v>68</v>
      </c>
      <c r="P212" s="23">
        <v>53.85</v>
      </c>
      <c r="Q212" s="4">
        <f t="shared" si="3"/>
        <v>-50</v>
      </c>
      <c r="R212" s="23" t="s">
        <v>109</v>
      </c>
    </row>
    <row r="213" spans="1:18" x14ac:dyDescent="0.25">
      <c r="A213" s="21">
        <v>45667</v>
      </c>
      <c r="B213" s="1">
        <v>216752953</v>
      </c>
      <c r="C213" t="s">
        <v>446</v>
      </c>
      <c r="D213" s="22">
        <v>-2692.5</v>
      </c>
      <c r="E213" t="s">
        <v>35</v>
      </c>
      <c r="F213" s="2">
        <v>212901001</v>
      </c>
      <c r="G213" s="2" t="s">
        <v>121</v>
      </c>
      <c r="L213" s="2" t="s">
        <v>447</v>
      </c>
      <c r="M213" t="s">
        <v>67</v>
      </c>
      <c r="N213" t="s">
        <v>68</v>
      </c>
      <c r="P213" s="23">
        <v>53.85</v>
      </c>
      <c r="Q213" s="4">
        <f t="shared" si="3"/>
        <v>-50</v>
      </c>
      <c r="R213" s="23" t="s">
        <v>109</v>
      </c>
    </row>
    <row r="214" spans="1:18" x14ac:dyDescent="0.25">
      <c r="A214" s="21">
        <v>45667</v>
      </c>
      <c r="B214" s="1">
        <v>216752949</v>
      </c>
      <c r="C214" t="s">
        <v>448</v>
      </c>
      <c r="D214" s="22">
        <v>-2692.5</v>
      </c>
      <c r="E214" t="s">
        <v>35</v>
      </c>
      <c r="F214" s="2">
        <v>212901001</v>
      </c>
      <c r="G214" s="2" t="s">
        <v>121</v>
      </c>
      <c r="L214" s="2" t="s">
        <v>449</v>
      </c>
      <c r="M214" t="s">
        <v>67</v>
      </c>
      <c r="N214" t="s">
        <v>68</v>
      </c>
      <c r="P214" s="23">
        <v>53.85</v>
      </c>
      <c r="Q214" s="4">
        <f t="shared" si="3"/>
        <v>-50</v>
      </c>
      <c r="R214" s="23" t="s">
        <v>109</v>
      </c>
    </row>
    <row r="215" spans="1:18" x14ac:dyDescent="0.25">
      <c r="A215" s="21">
        <v>45667</v>
      </c>
      <c r="B215" s="1">
        <v>316752959</v>
      </c>
      <c r="C215" t="s">
        <v>450</v>
      </c>
      <c r="D215" s="22">
        <v>-2692.5</v>
      </c>
      <c r="E215" t="s">
        <v>35</v>
      </c>
      <c r="F215" s="2">
        <v>212901001</v>
      </c>
      <c r="G215" s="2" t="s">
        <v>121</v>
      </c>
      <c r="L215" s="2" t="s">
        <v>451</v>
      </c>
      <c r="M215" t="s">
        <v>67</v>
      </c>
      <c r="N215" t="s">
        <v>68</v>
      </c>
      <c r="P215" s="23">
        <v>53.85</v>
      </c>
      <c r="Q215" s="4">
        <f t="shared" si="3"/>
        <v>-50</v>
      </c>
      <c r="R215" s="23" t="s">
        <v>109</v>
      </c>
    </row>
    <row r="216" spans="1:18" x14ac:dyDescent="0.25">
      <c r="A216" s="21">
        <v>45667</v>
      </c>
      <c r="B216" s="1">
        <v>216752955</v>
      </c>
      <c r="C216" t="s">
        <v>444</v>
      </c>
      <c r="D216" s="22">
        <v>-2692.5</v>
      </c>
      <c r="E216" t="s">
        <v>35</v>
      </c>
      <c r="F216" s="2">
        <v>212901001</v>
      </c>
      <c r="G216" s="2" t="s">
        <v>121</v>
      </c>
      <c r="L216" s="2" t="s">
        <v>452</v>
      </c>
      <c r="M216" t="s">
        <v>67</v>
      </c>
      <c r="N216" t="s">
        <v>68</v>
      </c>
      <c r="P216" s="23">
        <v>53.85</v>
      </c>
      <c r="Q216" s="4">
        <f t="shared" si="3"/>
        <v>-50</v>
      </c>
      <c r="R216" s="23" t="s">
        <v>109</v>
      </c>
    </row>
    <row r="217" spans="1:18" x14ac:dyDescent="0.25">
      <c r="A217" s="21">
        <v>45667</v>
      </c>
      <c r="B217" s="1">
        <v>216752952</v>
      </c>
      <c r="C217" t="s">
        <v>453</v>
      </c>
      <c r="D217" s="22">
        <v>-2692.5</v>
      </c>
      <c r="E217" t="s">
        <v>35</v>
      </c>
      <c r="F217" s="2">
        <v>212901001</v>
      </c>
      <c r="G217" s="2" t="s">
        <v>121</v>
      </c>
      <c r="L217" s="2" t="s">
        <v>454</v>
      </c>
      <c r="M217" t="s">
        <v>67</v>
      </c>
      <c r="N217" t="s">
        <v>68</v>
      </c>
      <c r="P217" s="23">
        <v>53.85</v>
      </c>
      <c r="Q217" s="4">
        <f t="shared" si="3"/>
        <v>-50</v>
      </c>
      <c r="R217" s="23" t="s">
        <v>109</v>
      </c>
    </row>
    <row r="218" spans="1:18" x14ac:dyDescent="0.25">
      <c r="A218" s="21">
        <v>45667</v>
      </c>
      <c r="B218" s="1">
        <v>216752956</v>
      </c>
      <c r="C218" t="s">
        <v>455</v>
      </c>
      <c r="D218" s="22">
        <v>-2692.5</v>
      </c>
      <c r="E218" t="s">
        <v>35</v>
      </c>
      <c r="F218" s="2">
        <v>212901001</v>
      </c>
      <c r="G218" s="2" t="s">
        <v>121</v>
      </c>
      <c r="L218" s="2" t="s">
        <v>456</v>
      </c>
      <c r="M218" t="s">
        <v>67</v>
      </c>
      <c r="N218" t="s">
        <v>68</v>
      </c>
      <c r="P218" s="23">
        <v>53.85</v>
      </c>
      <c r="Q218" s="4">
        <f t="shared" si="3"/>
        <v>-50</v>
      </c>
      <c r="R218" s="23" t="s">
        <v>109</v>
      </c>
    </row>
    <row r="219" spans="1:18" x14ac:dyDescent="0.25">
      <c r="A219" s="21">
        <v>45667</v>
      </c>
      <c r="B219" s="1">
        <v>216752954</v>
      </c>
      <c r="C219" t="s">
        <v>457</v>
      </c>
      <c r="D219" s="22">
        <v>-2692.5</v>
      </c>
      <c r="E219" t="s">
        <v>35</v>
      </c>
      <c r="F219" s="2">
        <v>212901001</v>
      </c>
      <c r="G219" s="2" t="s">
        <v>121</v>
      </c>
      <c r="L219" s="2" t="s">
        <v>458</v>
      </c>
      <c r="M219" t="s">
        <v>67</v>
      </c>
      <c r="N219" t="s">
        <v>68</v>
      </c>
      <c r="P219" s="23">
        <v>53.85</v>
      </c>
      <c r="Q219" s="4">
        <f t="shared" si="3"/>
        <v>-50</v>
      </c>
      <c r="R219" s="23" t="s">
        <v>109</v>
      </c>
    </row>
    <row r="220" spans="1:18" x14ac:dyDescent="0.25">
      <c r="A220" s="21">
        <v>45667</v>
      </c>
      <c r="B220" s="1">
        <v>316752958</v>
      </c>
      <c r="C220" t="s">
        <v>459</v>
      </c>
      <c r="D220" s="22">
        <v>-2692.5</v>
      </c>
      <c r="E220" t="s">
        <v>35</v>
      </c>
      <c r="F220" s="2">
        <v>212901001</v>
      </c>
      <c r="G220" s="2" t="s">
        <v>121</v>
      </c>
      <c r="L220" s="2" t="s">
        <v>460</v>
      </c>
      <c r="M220" t="s">
        <v>67</v>
      </c>
      <c r="N220" t="s">
        <v>68</v>
      </c>
      <c r="P220" s="23">
        <v>53.85</v>
      </c>
      <c r="Q220" s="4">
        <f t="shared" si="3"/>
        <v>-50</v>
      </c>
      <c r="R220" s="23" t="s">
        <v>109</v>
      </c>
    </row>
    <row r="221" spans="1:18" x14ac:dyDescent="0.25">
      <c r="A221" s="21">
        <v>45667</v>
      </c>
      <c r="B221" s="1">
        <v>216752957</v>
      </c>
      <c r="C221" t="s">
        <v>461</v>
      </c>
      <c r="D221" s="22">
        <v>-2692.5</v>
      </c>
      <c r="E221" t="s">
        <v>35</v>
      </c>
      <c r="F221" s="2">
        <v>212901001</v>
      </c>
      <c r="G221" s="2" t="s">
        <v>121</v>
      </c>
      <c r="L221" s="2" t="s">
        <v>462</v>
      </c>
      <c r="M221" t="s">
        <v>67</v>
      </c>
      <c r="N221" t="s">
        <v>68</v>
      </c>
      <c r="P221" s="23">
        <v>53.85</v>
      </c>
      <c r="Q221" s="4">
        <f t="shared" si="3"/>
        <v>-50</v>
      </c>
      <c r="R221" s="23" t="s">
        <v>109</v>
      </c>
    </row>
    <row r="222" spans="1:18" x14ac:dyDescent="0.25">
      <c r="A222" s="21">
        <v>45667</v>
      </c>
      <c r="B222" s="1">
        <v>316752960</v>
      </c>
      <c r="C222" t="s">
        <v>463</v>
      </c>
      <c r="D222" s="22">
        <v>-2692.5</v>
      </c>
      <c r="E222" t="s">
        <v>35</v>
      </c>
      <c r="F222" s="2">
        <v>212901001</v>
      </c>
      <c r="G222" s="2" t="s">
        <v>121</v>
      </c>
      <c r="L222" s="2" t="s">
        <v>464</v>
      </c>
      <c r="M222" t="s">
        <v>67</v>
      </c>
      <c r="N222" t="s">
        <v>68</v>
      </c>
      <c r="P222" s="23">
        <v>53.85</v>
      </c>
      <c r="Q222" s="4">
        <f t="shared" si="3"/>
        <v>-50</v>
      </c>
      <c r="R222" s="23" t="s">
        <v>109</v>
      </c>
    </row>
    <row r="223" spans="1:18" x14ac:dyDescent="0.25">
      <c r="A223" s="21">
        <v>45667</v>
      </c>
      <c r="B223" s="1">
        <v>316752963</v>
      </c>
      <c r="C223" t="s">
        <v>465</v>
      </c>
      <c r="D223" s="22">
        <v>-1077</v>
      </c>
      <c r="E223" t="s">
        <v>35</v>
      </c>
      <c r="F223" s="2">
        <v>212901001</v>
      </c>
      <c r="G223" s="2" t="s">
        <v>121</v>
      </c>
      <c r="L223" s="2" t="s">
        <v>466</v>
      </c>
      <c r="M223" t="s">
        <v>67</v>
      </c>
      <c r="N223" t="s">
        <v>68</v>
      </c>
      <c r="P223" s="23">
        <v>53.85</v>
      </c>
      <c r="Q223" s="4">
        <f t="shared" si="3"/>
        <v>-20</v>
      </c>
      <c r="R223" s="23" t="s">
        <v>109</v>
      </c>
    </row>
    <row r="224" spans="1:18" x14ac:dyDescent="0.25">
      <c r="A224" s="21">
        <v>45667</v>
      </c>
      <c r="B224" s="1">
        <v>316752965</v>
      </c>
      <c r="C224" t="s">
        <v>467</v>
      </c>
      <c r="D224" s="22">
        <v>-1077</v>
      </c>
      <c r="E224" t="s">
        <v>35</v>
      </c>
      <c r="F224" s="2">
        <v>212901001</v>
      </c>
      <c r="G224" s="2" t="s">
        <v>121</v>
      </c>
      <c r="L224" s="2" t="s">
        <v>468</v>
      </c>
      <c r="M224" t="s">
        <v>67</v>
      </c>
      <c r="N224" t="s">
        <v>68</v>
      </c>
      <c r="P224" s="23">
        <v>53.85</v>
      </c>
      <c r="Q224" s="4">
        <f t="shared" si="3"/>
        <v>-20</v>
      </c>
      <c r="R224" s="23" t="s">
        <v>109</v>
      </c>
    </row>
    <row r="225" spans="1:20" x14ac:dyDescent="0.25">
      <c r="A225" s="21">
        <v>45667</v>
      </c>
      <c r="B225" s="1">
        <v>316752964</v>
      </c>
      <c r="C225" t="s">
        <v>469</v>
      </c>
      <c r="D225" s="22">
        <v>-1077</v>
      </c>
      <c r="E225" t="s">
        <v>35</v>
      </c>
      <c r="F225" s="2">
        <v>212901001</v>
      </c>
      <c r="G225" s="2" t="s">
        <v>121</v>
      </c>
      <c r="L225" s="2" t="s">
        <v>470</v>
      </c>
      <c r="M225" t="s">
        <v>67</v>
      </c>
      <c r="N225" t="s">
        <v>68</v>
      </c>
      <c r="P225" s="23">
        <v>53.85</v>
      </c>
      <c r="Q225" s="4">
        <f t="shared" si="3"/>
        <v>-20</v>
      </c>
      <c r="R225" s="23" t="s">
        <v>109</v>
      </c>
    </row>
    <row r="226" spans="1:20" x14ac:dyDescent="0.25">
      <c r="A226" s="21">
        <v>45667</v>
      </c>
      <c r="B226" s="1">
        <v>316752961</v>
      </c>
      <c r="C226" t="s">
        <v>471</v>
      </c>
      <c r="D226" s="22">
        <v>-2692.5</v>
      </c>
      <c r="E226" t="s">
        <v>35</v>
      </c>
      <c r="F226" s="2">
        <v>212901001</v>
      </c>
      <c r="G226" s="2" t="s">
        <v>121</v>
      </c>
      <c r="L226" s="2" t="s">
        <v>472</v>
      </c>
      <c r="M226" t="s">
        <v>67</v>
      </c>
      <c r="N226" t="s">
        <v>68</v>
      </c>
      <c r="P226" s="23">
        <v>53.85</v>
      </c>
      <c r="Q226" s="4">
        <f t="shared" si="3"/>
        <v>-50</v>
      </c>
      <c r="R226" s="23" t="s">
        <v>109</v>
      </c>
    </row>
    <row r="227" spans="1:20" x14ac:dyDescent="0.25">
      <c r="A227" s="21">
        <v>45667</v>
      </c>
      <c r="B227" s="1">
        <v>316752966</v>
      </c>
      <c r="C227" t="s">
        <v>473</v>
      </c>
      <c r="D227" s="22">
        <v>-1077</v>
      </c>
      <c r="E227" t="s">
        <v>35</v>
      </c>
      <c r="F227" s="2">
        <v>212901001</v>
      </c>
      <c r="G227" s="2" t="s">
        <v>121</v>
      </c>
      <c r="L227" s="2" t="s">
        <v>474</v>
      </c>
      <c r="M227" t="s">
        <v>67</v>
      </c>
      <c r="N227" t="s">
        <v>68</v>
      </c>
      <c r="P227" s="23">
        <v>53.85</v>
      </c>
      <c r="Q227" s="4">
        <f t="shared" si="3"/>
        <v>-20</v>
      </c>
      <c r="R227" s="23" t="s">
        <v>109</v>
      </c>
    </row>
    <row r="228" spans="1:20" x14ac:dyDescent="0.25">
      <c r="A228" s="21">
        <v>45667</v>
      </c>
      <c r="B228" s="1">
        <v>316752968</v>
      </c>
      <c r="C228" t="s">
        <v>475</v>
      </c>
      <c r="D228" s="22">
        <v>-5385</v>
      </c>
      <c r="E228" t="s">
        <v>35</v>
      </c>
      <c r="F228" s="2">
        <v>212901001</v>
      </c>
      <c r="G228" s="2" t="s">
        <v>121</v>
      </c>
      <c r="L228" s="2" t="s">
        <v>476</v>
      </c>
      <c r="M228" t="s">
        <v>67</v>
      </c>
      <c r="N228" t="s">
        <v>68</v>
      </c>
      <c r="P228" s="23">
        <v>53.85</v>
      </c>
      <c r="Q228" s="4">
        <f t="shared" si="3"/>
        <v>-100</v>
      </c>
      <c r="R228" s="23" t="s">
        <v>109</v>
      </c>
    </row>
    <row r="229" spans="1:20" x14ac:dyDescent="0.25">
      <c r="A229" s="21">
        <v>45667</v>
      </c>
      <c r="B229" s="1">
        <v>316752969</v>
      </c>
      <c r="C229" t="s">
        <v>477</v>
      </c>
      <c r="D229" s="22">
        <v>-10770</v>
      </c>
      <c r="E229" t="s">
        <v>35</v>
      </c>
      <c r="F229" s="2">
        <v>212901001</v>
      </c>
      <c r="G229" s="2" t="s">
        <v>121</v>
      </c>
      <c r="L229" s="2" t="s">
        <v>478</v>
      </c>
      <c r="M229" t="s">
        <v>67</v>
      </c>
      <c r="N229" t="s">
        <v>68</v>
      </c>
      <c r="P229" s="23">
        <v>53.85</v>
      </c>
      <c r="Q229" s="4">
        <f t="shared" si="3"/>
        <v>-200</v>
      </c>
      <c r="R229" s="23" t="s">
        <v>109</v>
      </c>
    </row>
    <row r="230" spans="1:20" x14ac:dyDescent="0.25">
      <c r="A230" s="21">
        <v>45667</v>
      </c>
      <c r="B230" s="1">
        <v>316752962</v>
      </c>
      <c r="C230" t="s">
        <v>479</v>
      </c>
      <c r="D230" s="22">
        <v>-2692.5</v>
      </c>
      <c r="E230" t="s">
        <v>35</v>
      </c>
      <c r="F230" s="2">
        <v>212901001</v>
      </c>
      <c r="G230" s="2" t="s">
        <v>121</v>
      </c>
      <c r="L230" s="2" t="s">
        <v>480</v>
      </c>
      <c r="M230" t="s">
        <v>67</v>
      </c>
      <c r="N230" t="s">
        <v>68</v>
      </c>
      <c r="P230" s="23">
        <v>53.85</v>
      </c>
      <c r="Q230" s="4">
        <f t="shared" si="3"/>
        <v>-50</v>
      </c>
      <c r="R230" s="23" t="s">
        <v>109</v>
      </c>
    </row>
    <row r="231" spans="1:20" x14ac:dyDescent="0.25">
      <c r="A231" s="21">
        <v>45667</v>
      </c>
      <c r="B231" s="1">
        <v>416752970</v>
      </c>
      <c r="C231" t="s">
        <v>481</v>
      </c>
      <c r="D231" s="22">
        <v>-6569.7</v>
      </c>
      <c r="E231" t="s">
        <v>35</v>
      </c>
      <c r="F231" s="2">
        <v>212901001</v>
      </c>
      <c r="G231" s="2" t="s">
        <v>121</v>
      </c>
      <c r="L231" s="2" t="s">
        <v>482</v>
      </c>
      <c r="M231" t="s">
        <v>67</v>
      </c>
      <c r="N231" t="s">
        <v>68</v>
      </c>
      <c r="P231" s="23">
        <v>53.85</v>
      </c>
      <c r="Q231" s="4">
        <f t="shared" si="3"/>
        <v>-122</v>
      </c>
      <c r="R231" s="23" t="s">
        <v>109</v>
      </c>
    </row>
    <row r="232" spans="1:20" x14ac:dyDescent="0.25">
      <c r="A232" s="21">
        <v>45667</v>
      </c>
      <c r="B232" s="1">
        <v>416752971</v>
      </c>
      <c r="C232" t="s">
        <v>483</v>
      </c>
      <c r="D232" s="22">
        <v>-1615.5</v>
      </c>
      <c r="E232" t="s">
        <v>35</v>
      </c>
      <c r="F232" s="2">
        <v>212901001</v>
      </c>
      <c r="G232" s="2" t="s">
        <v>121</v>
      </c>
      <c r="L232" s="2" t="s">
        <v>484</v>
      </c>
      <c r="M232" t="s">
        <v>67</v>
      </c>
      <c r="N232" t="s">
        <v>68</v>
      </c>
      <c r="P232" s="23">
        <v>53.85</v>
      </c>
      <c r="Q232" s="4">
        <f t="shared" si="3"/>
        <v>-30</v>
      </c>
      <c r="R232" s="23" t="s">
        <v>109</v>
      </c>
    </row>
    <row r="233" spans="1:20" x14ac:dyDescent="0.25">
      <c r="A233" s="21">
        <v>45667</v>
      </c>
      <c r="B233" s="1">
        <v>416752972</v>
      </c>
      <c r="C233" t="s">
        <v>485</v>
      </c>
      <c r="D233" s="22">
        <v>-2154</v>
      </c>
      <c r="E233" t="s">
        <v>35</v>
      </c>
      <c r="F233" s="2">
        <v>212901001</v>
      </c>
      <c r="G233" s="2" t="s">
        <v>121</v>
      </c>
      <c r="L233" s="2" t="s">
        <v>486</v>
      </c>
      <c r="M233" t="s">
        <v>67</v>
      </c>
      <c r="N233" t="s">
        <v>68</v>
      </c>
      <c r="P233" s="23">
        <v>53.85</v>
      </c>
      <c r="Q233" s="4">
        <f t="shared" si="3"/>
        <v>-40</v>
      </c>
      <c r="R233" s="23" t="s">
        <v>109</v>
      </c>
    </row>
    <row r="234" spans="1:20" x14ac:dyDescent="0.25">
      <c r="A234" s="21">
        <v>45667</v>
      </c>
      <c r="B234" s="1">
        <v>50145739</v>
      </c>
      <c r="C234" t="s">
        <v>487</v>
      </c>
      <c r="D234" s="22">
        <v>-7539</v>
      </c>
      <c r="E234" t="s">
        <v>35</v>
      </c>
      <c r="F234" s="2">
        <v>212901001</v>
      </c>
      <c r="G234" s="2" t="s">
        <v>121</v>
      </c>
      <c r="L234" s="2" t="s">
        <v>488</v>
      </c>
      <c r="M234" t="s">
        <v>67</v>
      </c>
      <c r="N234" t="s">
        <v>68</v>
      </c>
      <c r="P234" s="23">
        <v>53.85</v>
      </c>
      <c r="Q234" s="4">
        <f t="shared" si="3"/>
        <v>-140</v>
      </c>
      <c r="R234" s="23" t="s">
        <v>109</v>
      </c>
    </row>
    <row r="235" spans="1:20" x14ac:dyDescent="0.25">
      <c r="A235" s="21">
        <v>45667</v>
      </c>
      <c r="B235" s="1">
        <v>50145739</v>
      </c>
      <c r="C235" t="s">
        <v>296</v>
      </c>
      <c r="D235" s="22">
        <v>-11.3</v>
      </c>
      <c r="E235" t="s">
        <v>35</v>
      </c>
      <c r="F235" s="2">
        <v>610148001</v>
      </c>
      <c r="G235" s="2" t="s">
        <v>42</v>
      </c>
      <c r="L235" s="2" t="s">
        <v>489</v>
      </c>
      <c r="M235" t="s">
        <v>43</v>
      </c>
      <c r="N235" t="s">
        <v>42</v>
      </c>
      <c r="P235" s="23">
        <v>53.85</v>
      </c>
      <c r="Q235" s="4">
        <f t="shared" si="3"/>
        <v>-0.20984215413184773</v>
      </c>
      <c r="R235" s="23" t="s">
        <v>109</v>
      </c>
      <c r="T235" s="23" t="s">
        <v>44</v>
      </c>
    </row>
    <row r="236" spans="1:20" x14ac:dyDescent="0.25">
      <c r="A236" s="21">
        <v>45667</v>
      </c>
      <c r="B236" s="1">
        <v>50145739</v>
      </c>
      <c r="C236" t="s">
        <v>118</v>
      </c>
      <c r="D236" s="22">
        <v>-602.58000000000004</v>
      </c>
      <c r="E236" t="s">
        <v>35</v>
      </c>
      <c r="F236" s="2">
        <v>610148001</v>
      </c>
      <c r="G236" s="2" t="s">
        <v>42</v>
      </c>
      <c r="L236" s="2" t="s">
        <v>490</v>
      </c>
      <c r="M236" t="s">
        <v>43</v>
      </c>
      <c r="N236" t="s">
        <v>42</v>
      </c>
      <c r="P236" s="23">
        <v>53.85</v>
      </c>
      <c r="Q236" s="4">
        <f t="shared" si="3"/>
        <v>-11.189972144846797</v>
      </c>
      <c r="R236" s="23" t="s">
        <v>109</v>
      </c>
      <c r="T236" s="23" t="s">
        <v>44</v>
      </c>
    </row>
    <row r="237" spans="1:20" x14ac:dyDescent="0.25">
      <c r="A237" s="21">
        <v>45667</v>
      </c>
      <c r="B237" s="1">
        <v>100050818</v>
      </c>
      <c r="C237" t="s">
        <v>107</v>
      </c>
      <c r="D237" s="22">
        <v>30000</v>
      </c>
      <c r="E237" t="s">
        <v>46</v>
      </c>
      <c r="F237" s="2">
        <v>210115002</v>
      </c>
      <c r="G237" s="2" t="s">
        <v>47</v>
      </c>
      <c r="L237" s="2" t="s">
        <v>491</v>
      </c>
      <c r="N237" t="s">
        <v>107</v>
      </c>
      <c r="P237" s="23">
        <v>53.85</v>
      </c>
      <c r="Q237" s="4">
        <f t="shared" si="3"/>
        <v>557.10306406685231</v>
      </c>
      <c r="R237" s="23" t="s">
        <v>109</v>
      </c>
    </row>
    <row r="238" spans="1:20" x14ac:dyDescent="0.25">
      <c r="A238" s="21">
        <v>45667</v>
      </c>
      <c r="B238" s="1">
        <v>0</v>
      </c>
      <c r="C238" t="s">
        <v>123</v>
      </c>
      <c r="D238" s="22">
        <v>-53.28</v>
      </c>
      <c r="E238" t="s">
        <v>35</v>
      </c>
      <c r="F238" s="2">
        <v>610148001</v>
      </c>
      <c r="G238" s="2" t="s">
        <v>42</v>
      </c>
      <c r="L238" s="2" t="s">
        <v>492</v>
      </c>
      <c r="M238" t="s">
        <v>43</v>
      </c>
      <c r="N238" t="s">
        <v>42</v>
      </c>
      <c r="P238" s="23">
        <v>53.85</v>
      </c>
      <c r="Q238" s="4">
        <f t="shared" si="3"/>
        <v>-0.98941504178272976</v>
      </c>
      <c r="R238" s="23" t="s">
        <v>109</v>
      </c>
      <c r="T238" s="23" t="s">
        <v>44</v>
      </c>
    </row>
    <row r="239" spans="1:20" x14ac:dyDescent="0.25">
      <c r="A239" s="21">
        <v>45667</v>
      </c>
      <c r="B239" s="1">
        <v>30449</v>
      </c>
      <c r="C239" t="s">
        <v>493</v>
      </c>
      <c r="D239" s="22">
        <v>-28866.04</v>
      </c>
      <c r="E239" t="s">
        <v>35</v>
      </c>
      <c r="F239" s="2">
        <v>210601001</v>
      </c>
      <c r="G239" s="2" t="s">
        <v>494</v>
      </c>
      <c r="L239" s="2" t="s">
        <v>495</v>
      </c>
      <c r="M239" t="s">
        <v>496</v>
      </c>
      <c r="N239" t="s">
        <v>497</v>
      </c>
      <c r="P239" s="23">
        <v>53.85</v>
      </c>
      <c r="Q239" s="4">
        <f t="shared" si="3"/>
        <v>-536.0453110492108</v>
      </c>
      <c r="R239" s="23" t="s">
        <v>109</v>
      </c>
      <c r="T239" s="31" t="s">
        <v>498</v>
      </c>
    </row>
    <row r="240" spans="1:20" x14ac:dyDescent="0.25">
      <c r="A240" s="21">
        <v>45667</v>
      </c>
      <c r="B240" s="1">
        <v>103253090</v>
      </c>
      <c r="C240" t="s">
        <v>107</v>
      </c>
      <c r="D240" s="22">
        <v>270000</v>
      </c>
      <c r="E240" t="s">
        <v>46</v>
      </c>
      <c r="F240" s="2">
        <v>210115002</v>
      </c>
      <c r="G240" s="2" t="s">
        <v>47</v>
      </c>
      <c r="L240" s="2" t="s">
        <v>499</v>
      </c>
      <c r="N240" t="s">
        <v>107</v>
      </c>
      <c r="P240" s="23">
        <v>53.85</v>
      </c>
      <c r="Q240" s="4">
        <f t="shared" si="3"/>
        <v>5013.9275766016708</v>
      </c>
      <c r="R240" s="23" t="s">
        <v>109</v>
      </c>
    </row>
    <row r="241" spans="1:20" x14ac:dyDescent="0.25">
      <c r="A241" s="21">
        <v>45667</v>
      </c>
      <c r="B241" s="1">
        <v>16755162</v>
      </c>
      <c r="C241" t="s">
        <v>500</v>
      </c>
      <c r="D241" s="22">
        <v>-8436</v>
      </c>
      <c r="E241" t="s">
        <v>35</v>
      </c>
      <c r="F241" s="2">
        <v>210101001</v>
      </c>
      <c r="G241" s="2" t="s">
        <v>36</v>
      </c>
      <c r="L241" s="2" t="s">
        <v>501</v>
      </c>
      <c r="M241" t="s">
        <v>114</v>
      </c>
      <c r="N241" t="s">
        <v>115</v>
      </c>
      <c r="P241" s="23">
        <v>53.85</v>
      </c>
      <c r="Q241" s="4">
        <f t="shared" si="3"/>
        <v>-156.65738161559889</v>
      </c>
      <c r="R241" s="23" t="s">
        <v>109</v>
      </c>
    </row>
    <row r="242" spans="1:20" x14ac:dyDescent="0.25">
      <c r="A242" s="21">
        <v>45667</v>
      </c>
      <c r="B242" s="1">
        <v>116755163</v>
      </c>
      <c r="C242" t="s">
        <v>502</v>
      </c>
      <c r="D242" s="22">
        <v>-954.36</v>
      </c>
      <c r="E242" t="s">
        <v>35</v>
      </c>
      <c r="F242" s="2">
        <v>210101001</v>
      </c>
      <c r="G242" s="2" t="s">
        <v>36</v>
      </c>
      <c r="L242" s="2" t="s">
        <v>503</v>
      </c>
      <c r="M242" t="s">
        <v>114</v>
      </c>
      <c r="N242" t="s">
        <v>115</v>
      </c>
      <c r="P242" s="23">
        <v>53.85</v>
      </c>
      <c r="Q242" s="4">
        <f t="shared" si="3"/>
        <v>-17.722562674094707</v>
      </c>
      <c r="R242" s="23" t="s">
        <v>109</v>
      </c>
    </row>
    <row r="243" spans="1:20" x14ac:dyDescent="0.25">
      <c r="A243" s="21">
        <v>45667</v>
      </c>
      <c r="B243" s="1">
        <v>116755164</v>
      </c>
      <c r="C243" t="s">
        <v>504</v>
      </c>
      <c r="D243" s="22">
        <v>-2615.8000000000002</v>
      </c>
      <c r="E243" t="s">
        <v>35</v>
      </c>
      <c r="F243" s="2">
        <v>210101001</v>
      </c>
      <c r="G243" s="2" t="s">
        <v>36</v>
      </c>
      <c r="L243" s="2" t="s">
        <v>505</v>
      </c>
      <c r="M243" t="s">
        <v>114</v>
      </c>
      <c r="N243" t="s">
        <v>115</v>
      </c>
      <c r="P243" s="23">
        <v>53.85</v>
      </c>
      <c r="Q243" s="4">
        <f t="shared" si="3"/>
        <v>-48.575673166202414</v>
      </c>
      <c r="R243" s="23" t="s">
        <v>109</v>
      </c>
    </row>
    <row r="244" spans="1:20" x14ac:dyDescent="0.25">
      <c r="A244" s="21">
        <v>45667</v>
      </c>
      <c r="B244" s="1">
        <v>50130153</v>
      </c>
      <c r="C244" t="s">
        <v>506</v>
      </c>
      <c r="D244" s="22">
        <v>-254333.36</v>
      </c>
      <c r="E244" t="s">
        <v>35</v>
      </c>
      <c r="F244" s="2">
        <v>210101001</v>
      </c>
      <c r="G244" s="2" t="s">
        <v>36</v>
      </c>
      <c r="L244" s="2" t="s">
        <v>507</v>
      </c>
      <c r="M244" t="s">
        <v>38</v>
      </c>
      <c r="N244" t="s">
        <v>39</v>
      </c>
      <c r="P244" s="23">
        <v>53.85</v>
      </c>
      <c r="Q244" s="4">
        <f t="shared" si="3"/>
        <v>-4722.9964716805935</v>
      </c>
      <c r="R244" s="23" t="s">
        <v>109</v>
      </c>
    </row>
    <row r="245" spans="1:20" x14ac:dyDescent="0.25">
      <c r="A245" s="21">
        <v>45667</v>
      </c>
      <c r="B245" s="1">
        <v>50130154</v>
      </c>
      <c r="C245" t="s">
        <v>118</v>
      </c>
      <c r="D245" s="22">
        <v>-665.84</v>
      </c>
      <c r="E245" t="s">
        <v>35</v>
      </c>
      <c r="F245" s="2">
        <v>610148001</v>
      </c>
      <c r="G245" s="2" t="s">
        <v>42</v>
      </c>
      <c r="L245" s="2" t="s">
        <v>508</v>
      </c>
      <c r="M245" t="s">
        <v>43</v>
      </c>
      <c r="N245" t="s">
        <v>42</v>
      </c>
      <c r="P245" s="23">
        <v>53.85</v>
      </c>
      <c r="Q245" s="4">
        <f t="shared" si="3"/>
        <v>-12.364716805942432</v>
      </c>
      <c r="R245" s="23" t="s">
        <v>109</v>
      </c>
      <c r="T245" s="23" t="s">
        <v>44</v>
      </c>
    </row>
    <row r="246" spans="1:20" x14ac:dyDescent="0.25">
      <c r="A246" s="21">
        <v>45671</v>
      </c>
      <c r="B246" s="1">
        <v>616840401</v>
      </c>
      <c r="C246" t="s">
        <v>509</v>
      </c>
      <c r="D246" s="22">
        <v>-2694</v>
      </c>
      <c r="E246" t="s">
        <v>35</v>
      </c>
      <c r="F246" s="2">
        <v>210101001</v>
      </c>
      <c r="G246" s="2" t="s">
        <v>36</v>
      </c>
      <c r="L246" s="2" t="s">
        <v>510</v>
      </c>
      <c r="M246" t="s">
        <v>114</v>
      </c>
      <c r="N246" t="s">
        <v>115</v>
      </c>
      <c r="P246" s="23">
        <v>53.88</v>
      </c>
      <c r="Q246" s="4">
        <f t="shared" si="3"/>
        <v>-50</v>
      </c>
      <c r="R246" s="23" t="s">
        <v>109</v>
      </c>
    </row>
    <row r="247" spans="1:20" x14ac:dyDescent="0.25">
      <c r="A247" s="21">
        <v>45671</v>
      </c>
      <c r="B247" s="1">
        <v>616840401</v>
      </c>
      <c r="C247" t="s">
        <v>306</v>
      </c>
      <c r="D247" s="22">
        <v>-8.08</v>
      </c>
      <c r="E247" t="s">
        <v>35</v>
      </c>
      <c r="F247" s="2">
        <v>610148001</v>
      </c>
      <c r="G247" s="2" t="s">
        <v>42</v>
      </c>
      <c r="L247" s="2" t="s">
        <v>511</v>
      </c>
      <c r="M247" t="s">
        <v>43</v>
      </c>
      <c r="N247" t="s">
        <v>42</v>
      </c>
      <c r="P247" s="23">
        <v>53.88</v>
      </c>
      <c r="Q247" s="4">
        <f t="shared" si="3"/>
        <v>-0.1499628804751299</v>
      </c>
      <c r="R247" s="23" t="s">
        <v>109</v>
      </c>
      <c r="T247" s="23" t="s">
        <v>44</v>
      </c>
    </row>
    <row r="248" spans="1:20" x14ac:dyDescent="0.25">
      <c r="A248" s="21">
        <v>45671</v>
      </c>
      <c r="B248" s="1">
        <v>133759305</v>
      </c>
      <c r="C248" t="s">
        <v>107</v>
      </c>
      <c r="D248" s="22">
        <v>220000</v>
      </c>
      <c r="E248" t="s">
        <v>46</v>
      </c>
      <c r="F248" s="2">
        <v>210115002</v>
      </c>
      <c r="G248" s="2" t="s">
        <v>47</v>
      </c>
      <c r="L248" s="2" t="s">
        <v>512</v>
      </c>
      <c r="N248" t="s">
        <v>107</v>
      </c>
      <c r="P248" s="23">
        <v>53.88</v>
      </c>
      <c r="Q248" s="4">
        <f t="shared" si="3"/>
        <v>4083.1477357089825</v>
      </c>
      <c r="R248" s="23" t="s">
        <v>109</v>
      </c>
    </row>
    <row r="249" spans="1:20" x14ac:dyDescent="0.25">
      <c r="A249" s="21">
        <v>45671</v>
      </c>
      <c r="B249" s="1">
        <v>316846710</v>
      </c>
      <c r="C249" t="s">
        <v>513</v>
      </c>
      <c r="D249" s="22">
        <v>-200000</v>
      </c>
      <c r="E249" t="s">
        <v>35</v>
      </c>
      <c r="F249" s="2">
        <v>210101001</v>
      </c>
      <c r="G249" s="2" t="s">
        <v>36</v>
      </c>
      <c r="L249" s="2" t="s">
        <v>514</v>
      </c>
      <c r="M249" t="s">
        <v>38</v>
      </c>
      <c r="N249" t="s">
        <v>39</v>
      </c>
      <c r="P249" s="23">
        <v>53.88</v>
      </c>
      <c r="Q249" s="4">
        <f t="shared" si="3"/>
        <v>-3711.9524870081659</v>
      </c>
      <c r="R249" s="23" t="s">
        <v>109</v>
      </c>
    </row>
    <row r="250" spans="1:20" x14ac:dyDescent="0.25">
      <c r="A250" s="21">
        <v>45671</v>
      </c>
      <c r="B250" s="1">
        <v>316846710</v>
      </c>
      <c r="C250" t="s">
        <v>306</v>
      </c>
      <c r="D250" s="22">
        <v>-600</v>
      </c>
      <c r="E250" t="s">
        <v>35</v>
      </c>
      <c r="F250" s="2">
        <v>610148001</v>
      </c>
      <c r="G250" s="2" t="s">
        <v>42</v>
      </c>
      <c r="L250" s="2" t="s">
        <v>515</v>
      </c>
      <c r="M250" t="s">
        <v>43</v>
      </c>
      <c r="N250" t="s">
        <v>42</v>
      </c>
      <c r="P250" s="23">
        <v>53.88</v>
      </c>
      <c r="Q250" s="4">
        <f t="shared" si="3"/>
        <v>-11.135857461024498</v>
      </c>
      <c r="R250" s="23" t="s">
        <v>109</v>
      </c>
      <c r="T250" s="23" t="s">
        <v>44</v>
      </c>
    </row>
    <row r="251" spans="1:20" x14ac:dyDescent="0.25">
      <c r="A251" s="21">
        <v>45671</v>
      </c>
      <c r="B251" s="1">
        <v>216846789</v>
      </c>
      <c r="C251" t="s">
        <v>513</v>
      </c>
      <c r="D251" s="22">
        <v>-21266.75</v>
      </c>
      <c r="E251" t="s">
        <v>35</v>
      </c>
      <c r="F251" s="2">
        <v>210101001</v>
      </c>
      <c r="G251" s="2" t="s">
        <v>36</v>
      </c>
      <c r="L251" s="2" t="s">
        <v>516</v>
      </c>
      <c r="M251" t="s">
        <v>38</v>
      </c>
      <c r="N251" t="s">
        <v>39</v>
      </c>
      <c r="P251" s="23">
        <v>53.88</v>
      </c>
      <c r="Q251" s="4">
        <f t="shared" si="3"/>
        <v>-394.70582776540459</v>
      </c>
      <c r="R251" s="23" t="s">
        <v>109</v>
      </c>
    </row>
    <row r="252" spans="1:20" x14ac:dyDescent="0.25">
      <c r="A252" s="21">
        <v>45671</v>
      </c>
      <c r="B252" s="1">
        <v>216846789</v>
      </c>
      <c r="C252" t="s">
        <v>306</v>
      </c>
      <c r="D252" s="22">
        <v>-63.8</v>
      </c>
      <c r="E252" t="s">
        <v>35</v>
      </c>
      <c r="F252" s="2">
        <v>610148001</v>
      </c>
      <c r="G252" s="2" t="s">
        <v>42</v>
      </c>
      <c r="L252" s="2" t="s">
        <v>517</v>
      </c>
      <c r="M252" t="s">
        <v>43</v>
      </c>
      <c r="N252" t="s">
        <v>42</v>
      </c>
      <c r="P252" s="23">
        <v>53.88</v>
      </c>
      <c r="Q252" s="4">
        <f t="shared" si="3"/>
        <v>-1.184112843355605</v>
      </c>
      <c r="R252" s="23" t="s">
        <v>109</v>
      </c>
      <c r="T252" s="23" t="s">
        <v>44</v>
      </c>
    </row>
    <row r="253" spans="1:20" x14ac:dyDescent="0.25">
      <c r="A253" s="21">
        <v>45672</v>
      </c>
      <c r="B253" s="1">
        <v>90156795</v>
      </c>
      <c r="C253" t="s">
        <v>107</v>
      </c>
      <c r="D253" s="22">
        <v>10000</v>
      </c>
      <c r="E253" t="s">
        <v>46</v>
      </c>
      <c r="F253" s="2">
        <v>210115002</v>
      </c>
      <c r="G253" s="2" t="s">
        <v>47</v>
      </c>
      <c r="L253" s="2" t="s">
        <v>518</v>
      </c>
      <c r="N253" t="s">
        <v>107</v>
      </c>
      <c r="P253" s="23">
        <v>53.96</v>
      </c>
      <c r="Q253" s="4">
        <f t="shared" si="3"/>
        <v>185.32246108228318</v>
      </c>
      <c r="R253" s="23" t="s">
        <v>109</v>
      </c>
    </row>
    <row r="254" spans="1:20" x14ac:dyDescent="0.25">
      <c r="A254" s="21">
        <v>45672</v>
      </c>
      <c r="B254" s="1">
        <v>516906012</v>
      </c>
      <c r="C254" t="s">
        <v>519</v>
      </c>
      <c r="D254" s="22">
        <v>-5220.96</v>
      </c>
      <c r="E254" t="s">
        <v>35</v>
      </c>
      <c r="F254" s="2">
        <v>210101001</v>
      </c>
      <c r="G254" s="2" t="s">
        <v>36</v>
      </c>
      <c r="L254" s="2" t="s">
        <v>520</v>
      </c>
      <c r="M254" t="s">
        <v>521</v>
      </c>
      <c r="N254" t="s">
        <v>522</v>
      </c>
      <c r="P254" s="23">
        <v>53.96</v>
      </c>
      <c r="Q254" s="4">
        <f t="shared" si="3"/>
        <v>-96.756115641215715</v>
      </c>
      <c r="R254" s="23" t="s">
        <v>109</v>
      </c>
    </row>
    <row r="255" spans="1:20" x14ac:dyDescent="0.25">
      <c r="A255" s="21">
        <v>45672</v>
      </c>
      <c r="B255" s="1">
        <v>516906012</v>
      </c>
      <c r="C255" t="s">
        <v>306</v>
      </c>
      <c r="D255" s="22">
        <v>-15.66</v>
      </c>
      <c r="E255" t="s">
        <v>35</v>
      </c>
      <c r="F255" s="2">
        <v>610148001</v>
      </c>
      <c r="G255" s="2" t="s">
        <v>42</v>
      </c>
      <c r="L255" s="2" t="s">
        <v>523</v>
      </c>
      <c r="M255" t="s">
        <v>43</v>
      </c>
      <c r="N255" t="s">
        <v>42</v>
      </c>
      <c r="P255" s="23">
        <v>53.96</v>
      </c>
      <c r="Q255" s="4">
        <f t="shared" si="3"/>
        <v>-0.29021497405485547</v>
      </c>
      <c r="R255" s="23" t="s">
        <v>109</v>
      </c>
      <c r="T255" s="23" t="s">
        <v>44</v>
      </c>
    </row>
    <row r="256" spans="1:20" x14ac:dyDescent="0.25">
      <c r="A256" s="21">
        <v>45672</v>
      </c>
      <c r="B256" s="1">
        <v>115743632</v>
      </c>
      <c r="C256" t="s">
        <v>107</v>
      </c>
      <c r="D256" s="22">
        <v>185000</v>
      </c>
      <c r="E256" t="s">
        <v>46</v>
      </c>
      <c r="F256" s="2">
        <v>210115002</v>
      </c>
      <c r="G256" s="2" t="s">
        <v>47</v>
      </c>
      <c r="L256" s="2" t="s">
        <v>524</v>
      </c>
      <c r="N256" t="s">
        <v>107</v>
      </c>
      <c r="P256" s="23">
        <v>53.96</v>
      </c>
      <c r="Q256" s="4">
        <f t="shared" si="3"/>
        <v>3428.4655300222385</v>
      </c>
      <c r="R256" s="23" t="s">
        <v>109</v>
      </c>
    </row>
    <row r="257" spans="1:20" x14ac:dyDescent="0.25">
      <c r="A257" s="21">
        <v>45672</v>
      </c>
      <c r="B257" s="1">
        <v>16914614</v>
      </c>
      <c r="C257" t="s">
        <v>525</v>
      </c>
      <c r="D257" s="22">
        <v>-184242.8</v>
      </c>
      <c r="E257" t="s">
        <v>35</v>
      </c>
      <c r="F257" s="2">
        <v>210101001</v>
      </c>
      <c r="G257" s="2" t="s">
        <v>36</v>
      </c>
      <c r="L257" s="2" t="s">
        <v>526</v>
      </c>
      <c r="M257" t="s">
        <v>38</v>
      </c>
      <c r="N257" t="s">
        <v>39</v>
      </c>
      <c r="P257" s="23">
        <v>53.96</v>
      </c>
      <c r="Q257" s="4">
        <f t="shared" si="3"/>
        <v>-3414.4329132690877</v>
      </c>
      <c r="R257" s="23" t="s">
        <v>109</v>
      </c>
    </row>
    <row r="258" spans="1:20" x14ac:dyDescent="0.25">
      <c r="A258" s="21">
        <v>45672</v>
      </c>
      <c r="B258" s="1">
        <v>16914614</v>
      </c>
      <c r="C258" t="s">
        <v>306</v>
      </c>
      <c r="D258" s="22">
        <v>-552.73</v>
      </c>
      <c r="E258" t="s">
        <v>35</v>
      </c>
      <c r="F258" s="2">
        <v>610148001</v>
      </c>
      <c r="G258" s="2" t="s">
        <v>42</v>
      </c>
      <c r="L258" s="2" t="s">
        <v>527</v>
      </c>
      <c r="M258" t="s">
        <v>43</v>
      </c>
      <c r="N258" t="s">
        <v>42</v>
      </c>
      <c r="P258" s="23">
        <v>53.96</v>
      </c>
      <c r="Q258" s="4">
        <f t="shared" si="3"/>
        <v>-10.243328391401038</v>
      </c>
      <c r="R258" s="23" t="s">
        <v>109</v>
      </c>
      <c r="T258" s="23" t="s">
        <v>44</v>
      </c>
    </row>
    <row r="259" spans="1:20" x14ac:dyDescent="0.25">
      <c r="A259" s="21">
        <v>45673</v>
      </c>
      <c r="B259" s="1">
        <v>102641781</v>
      </c>
      <c r="C259" t="s">
        <v>107</v>
      </c>
      <c r="D259" s="22">
        <v>20000</v>
      </c>
      <c r="E259" t="s">
        <v>46</v>
      </c>
      <c r="F259" s="2">
        <v>210115002</v>
      </c>
      <c r="G259" s="2" t="s">
        <v>47</v>
      </c>
      <c r="L259" s="2" t="s">
        <v>528</v>
      </c>
      <c r="N259" t="s">
        <v>107</v>
      </c>
      <c r="P259" s="23">
        <v>54.37</v>
      </c>
      <c r="Q259" s="4">
        <f t="shared" si="3"/>
        <v>367.84991723376862</v>
      </c>
      <c r="R259" s="23" t="s">
        <v>109</v>
      </c>
    </row>
    <row r="260" spans="1:20" x14ac:dyDescent="0.25">
      <c r="A260" s="21">
        <v>45673</v>
      </c>
      <c r="B260" s="1">
        <v>416964711</v>
      </c>
      <c r="C260" t="s">
        <v>529</v>
      </c>
      <c r="D260" s="22">
        <v>-17659.38</v>
      </c>
      <c r="E260" t="s">
        <v>35</v>
      </c>
      <c r="F260" s="2">
        <v>210101001</v>
      </c>
      <c r="G260" s="2" t="s">
        <v>36</v>
      </c>
      <c r="L260" s="2" t="s">
        <v>530</v>
      </c>
      <c r="M260" t="s">
        <v>303</v>
      </c>
      <c r="N260" t="s">
        <v>304</v>
      </c>
      <c r="P260" s="23">
        <v>54.37</v>
      </c>
      <c r="Q260" s="4">
        <f t="shared" si="3"/>
        <v>-324.80007356998345</v>
      </c>
      <c r="R260" s="23" t="s">
        <v>109</v>
      </c>
    </row>
    <row r="261" spans="1:20" x14ac:dyDescent="0.25">
      <c r="A261" s="21">
        <v>45673</v>
      </c>
      <c r="B261" s="1">
        <v>416964711</v>
      </c>
      <c r="C261" t="s">
        <v>306</v>
      </c>
      <c r="D261" s="22">
        <v>-52.98</v>
      </c>
      <c r="E261" t="s">
        <v>35</v>
      </c>
      <c r="F261" s="2">
        <v>610148001</v>
      </c>
      <c r="G261" s="2" t="s">
        <v>42</v>
      </c>
      <c r="L261" s="2" t="s">
        <v>531</v>
      </c>
      <c r="M261" t="s">
        <v>43</v>
      </c>
      <c r="N261" t="s">
        <v>42</v>
      </c>
      <c r="P261" s="23">
        <v>54.37</v>
      </c>
      <c r="Q261" s="4">
        <f t="shared" si="3"/>
        <v>-0.97443443075225311</v>
      </c>
      <c r="R261" s="23" t="s">
        <v>109</v>
      </c>
      <c r="T261" s="23" t="s">
        <v>44</v>
      </c>
    </row>
    <row r="262" spans="1:20" x14ac:dyDescent="0.25">
      <c r="A262" s="21">
        <v>45673</v>
      </c>
      <c r="B262" s="1">
        <v>516983488</v>
      </c>
      <c r="C262" t="s">
        <v>532</v>
      </c>
      <c r="D262" s="22">
        <v>-6622.27</v>
      </c>
      <c r="E262" t="s">
        <v>35</v>
      </c>
      <c r="F262" s="2">
        <v>210101001</v>
      </c>
      <c r="G262" s="2" t="s">
        <v>36</v>
      </c>
      <c r="L262" s="2" t="s">
        <v>533</v>
      </c>
      <c r="M262" t="s">
        <v>534</v>
      </c>
      <c r="N262" t="s">
        <v>535</v>
      </c>
      <c r="P262" s="23">
        <v>54.37</v>
      </c>
      <c r="Q262" s="4">
        <f t="shared" si="3"/>
        <v>-121.80007356998345</v>
      </c>
      <c r="R262" s="23" t="s">
        <v>109</v>
      </c>
    </row>
    <row r="263" spans="1:20" x14ac:dyDescent="0.25">
      <c r="A263" s="21">
        <v>45673</v>
      </c>
      <c r="B263" s="1">
        <v>516983488</v>
      </c>
      <c r="C263" t="s">
        <v>306</v>
      </c>
      <c r="D263" s="22">
        <v>-19.87</v>
      </c>
      <c r="E263" t="s">
        <v>35</v>
      </c>
      <c r="F263" s="2">
        <v>610148001</v>
      </c>
      <c r="G263" s="2" t="s">
        <v>42</v>
      </c>
      <c r="L263" s="2" t="s">
        <v>536</v>
      </c>
      <c r="M263" t="s">
        <v>43</v>
      </c>
      <c r="N263" t="s">
        <v>42</v>
      </c>
      <c r="P263" s="23">
        <v>54.37</v>
      </c>
      <c r="Q263" s="4">
        <f t="shared" si="3"/>
        <v>-0.36545889277174914</v>
      </c>
      <c r="R263" s="23" t="s">
        <v>109</v>
      </c>
      <c r="T263" s="23" t="s">
        <v>44</v>
      </c>
    </row>
    <row r="264" spans="1:20" x14ac:dyDescent="0.25">
      <c r="A264" s="21">
        <v>45673</v>
      </c>
      <c r="B264" s="1">
        <v>145601218</v>
      </c>
      <c r="C264" t="s">
        <v>107</v>
      </c>
      <c r="D264" s="22">
        <v>140000</v>
      </c>
      <c r="E264" t="s">
        <v>46</v>
      </c>
      <c r="F264" s="2">
        <v>210115002</v>
      </c>
      <c r="G264" s="2" t="s">
        <v>47</v>
      </c>
      <c r="L264" s="2" t="s">
        <v>537</v>
      </c>
      <c r="N264" t="s">
        <v>107</v>
      </c>
      <c r="P264" s="23">
        <v>54.37</v>
      </c>
      <c r="Q264" s="4">
        <f t="shared" si="3"/>
        <v>2574.9494206363806</v>
      </c>
      <c r="R264" s="23" t="s">
        <v>109</v>
      </c>
    </row>
    <row r="265" spans="1:20" x14ac:dyDescent="0.25">
      <c r="A265" s="21">
        <v>45673</v>
      </c>
      <c r="B265" s="1">
        <v>116986168</v>
      </c>
      <c r="C265" t="s">
        <v>538</v>
      </c>
      <c r="D265" s="22">
        <v>-5676.23</v>
      </c>
      <c r="E265" t="s">
        <v>35</v>
      </c>
      <c r="F265" s="2">
        <v>110114001</v>
      </c>
      <c r="G265" s="2" t="s">
        <v>301</v>
      </c>
      <c r="L265" s="2" t="s">
        <v>539</v>
      </c>
      <c r="N265" t="s">
        <v>540</v>
      </c>
      <c r="P265" s="23">
        <v>54.37</v>
      </c>
      <c r="Q265" s="4">
        <f t="shared" si="3"/>
        <v>-104.40003678499173</v>
      </c>
      <c r="R265" s="23" t="s">
        <v>109</v>
      </c>
      <c r="S265" s="3"/>
    </row>
    <row r="266" spans="1:20" x14ac:dyDescent="0.25">
      <c r="A266" s="21">
        <v>45673</v>
      </c>
      <c r="B266" s="1">
        <v>216986169</v>
      </c>
      <c r="C266" t="s">
        <v>541</v>
      </c>
      <c r="D266" s="22">
        <v>-124808.11</v>
      </c>
      <c r="E266" t="s">
        <v>35</v>
      </c>
      <c r="F266" s="2">
        <v>210101001</v>
      </c>
      <c r="G266" s="2" t="s">
        <v>36</v>
      </c>
      <c r="L266" s="2" t="s">
        <v>542</v>
      </c>
      <c r="M266" t="s">
        <v>38</v>
      </c>
      <c r="N266" t="s">
        <v>39</v>
      </c>
      <c r="P266" s="23">
        <v>54.37</v>
      </c>
      <c r="Q266" s="4">
        <f t="shared" si="3"/>
        <v>-2295.5326466801548</v>
      </c>
      <c r="R266" s="23" t="s">
        <v>109</v>
      </c>
    </row>
    <row r="267" spans="1:20" x14ac:dyDescent="0.25">
      <c r="A267" s="21">
        <v>45673</v>
      </c>
      <c r="B267" s="1">
        <v>50124453</v>
      </c>
      <c r="C267" t="s">
        <v>118</v>
      </c>
      <c r="D267" s="22">
        <v>-326.20999999999998</v>
      </c>
      <c r="E267" t="s">
        <v>35</v>
      </c>
      <c r="F267" s="2">
        <v>610148001</v>
      </c>
      <c r="G267" s="2" t="s">
        <v>42</v>
      </c>
      <c r="L267" s="2" t="s">
        <v>543</v>
      </c>
      <c r="M267" t="s">
        <v>43</v>
      </c>
      <c r="N267" t="s">
        <v>42</v>
      </c>
      <c r="P267" s="23">
        <v>54.37</v>
      </c>
      <c r="Q267" s="4">
        <f t="shared" ref="Q267:Q330" si="4">D267/P267</f>
        <v>-5.9998160750413829</v>
      </c>
      <c r="R267" s="23" t="s">
        <v>109</v>
      </c>
      <c r="T267" s="23" t="s">
        <v>44</v>
      </c>
    </row>
    <row r="268" spans="1:20" x14ac:dyDescent="0.25">
      <c r="A268" s="21">
        <v>45674</v>
      </c>
      <c r="B268" s="1">
        <v>41512029</v>
      </c>
      <c r="C268" t="s">
        <v>544</v>
      </c>
      <c r="D268" s="22">
        <v>250000</v>
      </c>
      <c r="E268" t="s">
        <v>46</v>
      </c>
      <c r="F268" s="2">
        <v>210115002</v>
      </c>
      <c r="G268" s="2" t="s">
        <v>47</v>
      </c>
      <c r="L268" s="2" t="s">
        <v>545</v>
      </c>
      <c r="N268" t="s">
        <v>544</v>
      </c>
      <c r="P268" s="23">
        <v>54.76</v>
      </c>
      <c r="Q268" s="4">
        <f t="shared" si="4"/>
        <v>4565.3761869978089</v>
      </c>
      <c r="R268" s="23" t="s">
        <v>109</v>
      </c>
    </row>
    <row r="269" spans="1:20" x14ac:dyDescent="0.25">
      <c r="A269" s="21">
        <v>45674</v>
      </c>
      <c r="B269" s="1">
        <v>917041567</v>
      </c>
      <c r="C269" t="s">
        <v>546</v>
      </c>
      <c r="D269" s="22">
        <v>-3262.2</v>
      </c>
      <c r="E269" t="s">
        <v>35</v>
      </c>
      <c r="F269" s="2">
        <v>212901001</v>
      </c>
      <c r="G269" s="2" t="s">
        <v>121</v>
      </c>
      <c r="L269" s="2" t="s">
        <v>547</v>
      </c>
      <c r="M269" t="s">
        <v>67</v>
      </c>
      <c r="N269" t="s">
        <v>68</v>
      </c>
      <c r="P269" s="23">
        <v>54.76</v>
      </c>
      <c r="Q269" s="4">
        <f t="shared" si="4"/>
        <v>-59.572680788897003</v>
      </c>
      <c r="R269" s="23" t="s">
        <v>109</v>
      </c>
    </row>
    <row r="270" spans="1:20" x14ac:dyDescent="0.25">
      <c r="A270" s="21">
        <v>45674</v>
      </c>
      <c r="B270" s="1">
        <v>917041564</v>
      </c>
      <c r="C270" t="s">
        <v>548</v>
      </c>
      <c r="D270" s="22">
        <v>-3262.2</v>
      </c>
      <c r="E270" t="s">
        <v>35</v>
      </c>
      <c r="F270" s="2">
        <v>212901001</v>
      </c>
      <c r="G270" s="2" t="s">
        <v>121</v>
      </c>
      <c r="L270" s="2" t="s">
        <v>549</v>
      </c>
      <c r="M270" t="s">
        <v>67</v>
      </c>
      <c r="N270" t="s">
        <v>68</v>
      </c>
      <c r="P270" s="23">
        <v>54.76</v>
      </c>
      <c r="Q270" s="4">
        <f t="shared" si="4"/>
        <v>-59.572680788897003</v>
      </c>
      <c r="R270" s="23" t="s">
        <v>109</v>
      </c>
    </row>
    <row r="271" spans="1:20" x14ac:dyDescent="0.25">
      <c r="A271" s="21">
        <v>45674</v>
      </c>
      <c r="B271" s="1">
        <v>917041565</v>
      </c>
      <c r="C271" t="s">
        <v>550</v>
      </c>
      <c r="D271" s="22">
        <v>-3262.2</v>
      </c>
      <c r="E271" t="s">
        <v>35</v>
      </c>
      <c r="F271" s="2">
        <v>212901001</v>
      </c>
      <c r="G271" s="2" t="s">
        <v>121</v>
      </c>
      <c r="L271" s="2" t="s">
        <v>551</v>
      </c>
      <c r="M271" t="s">
        <v>67</v>
      </c>
      <c r="N271" t="s">
        <v>68</v>
      </c>
      <c r="P271" s="23">
        <v>54.76</v>
      </c>
      <c r="Q271" s="4">
        <f t="shared" si="4"/>
        <v>-59.572680788897003</v>
      </c>
      <c r="R271" s="23" t="s">
        <v>109</v>
      </c>
    </row>
    <row r="272" spans="1:20" x14ac:dyDescent="0.25">
      <c r="A272" s="21">
        <v>45674</v>
      </c>
      <c r="B272" s="1">
        <v>17041571</v>
      </c>
      <c r="C272" t="s">
        <v>552</v>
      </c>
      <c r="D272" s="22">
        <v>-3262.2</v>
      </c>
      <c r="E272" t="s">
        <v>35</v>
      </c>
      <c r="F272" s="2">
        <v>212901001</v>
      </c>
      <c r="G272" s="2" t="s">
        <v>121</v>
      </c>
      <c r="L272" s="2" t="s">
        <v>553</v>
      </c>
      <c r="M272" t="s">
        <v>67</v>
      </c>
      <c r="N272" t="s">
        <v>68</v>
      </c>
      <c r="P272" s="23">
        <v>54.76</v>
      </c>
      <c r="Q272" s="4">
        <f t="shared" si="4"/>
        <v>-59.572680788897003</v>
      </c>
      <c r="R272" s="23" t="s">
        <v>109</v>
      </c>
    </row>
    <row r="273" spans="1:18" x14ac:dyDescent="0.25">
      <c r="A273" s="21">
        <v>45674</v>
      </c>
      <c r="B273" s="1">
        <v>917041566</v>
      </c>
      <c r="C273" t="s">
        <v>554</v>
      </c>
      <c r="D273" s="22">
        <v>-3262.2</v>
      </c>
      <c r="E273" t="s">
        <v>35</v>
      </c>
      <c r="F273" s="2">
        <v>212901001</v>
      </c>
      <c r="G273" s="2" t="s">
        <v>121</v>
      </c>
      <c r="L273" s="2" t="s">
        <v>555</v>
      </c>
      <c r="M273" t="s">
        <v>67</v>
      </c>
      <c r="N273" t="s">
        <v>68</v>
      </c>
      <c r="P273" s="23">
        <v>54.76</v>
      </c>
      <c r="Q273" s="4">
        <f t="shared" si="4"/>
        <v>-59.572680788897003</v>
      </c>
      <c r="R273" s="23" t="s">
        <v>109</v>
      </c>
    </row>
    <row r="274" spans="1:18" x14ac:dyDescent="0.25">
      <c r="A274" s="21">
        <v>45674</v>
      </c>
      <c r="B274" s="1">
        <v>917041569</v>
      </c>
      <c r="C274" t="s">
        <v>556</v>
      </c>
      <c r="D274" s="22">
        <v>-3262.2</v>
      </c>
      <c r="E274" t="s">
        <v>35</v>
      </c>
      <c r="F274" s="2">
        <v>212901001</v>
      </c>
      <c r="G274" s="2" t="s">
        <v>121</v>
      </c>
      <c r="L274" s="2" t="s">
        <v>557</v>
      </c>
      <c r="M274" t="s">
        <v>67</v>
      </c>
      <c r="N274" t="s">
        <v>68</v>
      </c>
      <c r="P274" s="23">
        <v>54.76</v>
      </c>
      <c r="Q274" s="4">
        <f t="shared" si="4"/>
        <v>-59.572680788897003</v>
      </c>
      <c r="R274" s="23" t="s">
        <v>109</v>
      </c>
    </row>
    <row r="275" spans="1:18" x14ac:dyDescent="0.25">
      <c r="A275" s="21">
        <v>45674</v>
      </c>
      <c r="B275" s="1">
        <v>917041570</v>
      </c>
      <c r="C275" t="s">
        <v>558</v>
      </c>
      <c r="D275" s="22">
        <v>-3262.2</v>
      </c>
      <c r="E275" t="s">
        <v>35</v>
      </c>
      <c r="F275" s="2">
        <v>212901001</v>
      </c>
      <c r="G275" s="2" t="s">
        <v>121</v>
      </c>
      <c r="L275" s="2" t="s">
        <v>559</v>
      </c>
      <c r="M275" t="s">
        <v>67</v>
      </c>
      <c r="N275" t="s">
        <v>68</v>
      </c>
      <c r="P275" s="23">
        <v>54.76</v>
      </c>
      <c r="Q275" s="4">
        <f t="shared" si="4"/>
        <v>-59.572680788897003</v>
      </c>
      <c r="R275" s="23" t="s">
        <v>109</v>
      </c>
    </row>
    <row r="276" spans="1:18" x14ac:dyDescent="0.25">
      <c r="A276" s="21">
        <v>45674</v>
      </c>
      <c r="B276" s="1">
        <v>917041568</v>
      </c>
      <c r="C276" t="s">
        <v>560</v>
      </c>
      <c r="D276" s="22">
        <v>-3262.2</v>
      </c>
      <c r="E276" t="s">
        <v>35</v>
      </c>
      <c r="F276" s="2">
        <v>212901001</v>
      </c>
      <c r="G276" s="2" t="s">
        <v>121</v>
      </c>
      <c r="L276" s="2" t="s">
        <v>561</v>
      </c>
      <c r="M276" t="s">
        <v>67</v>
      </c>
      <c r="N276" t="s">
        <v>68</v>
      </c>
      <c r="P276" s="23">
        <v>54.76</v>
      </c>
      <c r="Q276" s="4">
        <f t="shared" si="4"/>
        <v>-59.572680788897003</v>
      </c>
      <c r="R276" s="23" t="s">
        <v>109</v>
      </c>
    </row>
    <row r="277" spans="1:18" x14ac:dyDescent="0.25">
      <c r="A277" s="21">
        <v>45674</v>
      </c>
      <c r="B277" s="1">
        <v>17041572</v>
      </c>
      <c r="C277" t="s">
        <v>562</v>
      </c>
      <c r="D277" s="22">
        <v>-3262.2</v>
      </c>
      <c r="E277" t="s">
        <v>35</v>
      </c>
      <c r="F277" s="2">
        <v>212901001</v>
      </c>
      <c r="G277" s="2" t="s">
        <v>121</v>
      </c>
      <c r="L277" s="2" t="s">
        <v>563</v>
      </c>
      <c r="M277" t="s">
        <v>67</v>
      </c>
      <c r="N277" t="s">
        <v>68</v>
      </c>
      <c r="P277" s="23">
        <v>54.76</v>
      </c>
      <c r="Q277" s="4">
        <f t="shared" si="4"/>
        <v>-59.572680788897003</v>
      </c>
      <c r="R277" s="23" t="s">
        <v>109</v>
      </c>
    </row>
    <row r="278" spans="1:18" x14ac:dyDescent="0.25">
      <c r="A278" s="21">
        <v>45674</v>
      </c>
      <c r="B278" s="1">
        <v>17041573</v>
      </c>
      <c r="C278" t="s">
        <v>564</v>
      </c>
      <c r="D278" s="22">
        <v>-3262.2</v>
      </c>
      <c r="E278" t="s">
        <v>35</v>
      </c>
      <c r="F278" s="2">
        <v>212901001</v>
      </c>
      <c r="G278" s="2" t="s">
        <v>121</v>
      </c>
      <c r="L278" s="2" t="s">
        <v>565</v>
      </c>
      <c r="M278" t="s">
        <v>67</v>
      </c>
      <c r="N278" t="s">
        <v>68</v>
      </c>
      <c r="P278" s="23">
        <v>54.76</v>
      </c>
      <c r="Q278" s="4">
        <f t="shared" si="4"/>
        <v>-59.572680788897003</v>
      </c>
      <c r="R278" s="23" t="s">
        <v>109</v>
      </c>
    </row>
    <row r="279" spans="1:18" x14ac:dyDescent="0.25">
      <c r="A279" s="21">
        <v>45674</v>
      </c>
      <c r="B279" s="1">
        <v>17041575</v>
      </c>
      <c r="C279" t="s">
        <v>566</v>
      </c>
      <c r="D279" s="22">
        <v>-3262.2</v>
      </c>
      <c r="E279" t="s">
        <v>35</v>
      </c>
      <c r="F279" s="2">
        <v>212901001</v>
      </c>
      <c r="G279" s="2" t="s">
        <v>121</v>
      </c>
      <c r="L279" s="2" t="s">
        <v>567</v>
      </c>
      <c r="M279" t="s">
        <v>67</v>
      </c>
      <c r="N279" t="s">
        <v>68</v>
      </c>
      <c r="P279" s="23">
        <v>54.76</v>
      </c>
      <c r="Q279" s="4">
        <f t="shared" si="4"/>
        <v>-59.572680788897003</v>
      </c>
      <c r="R279" s="23" t="s">
        <v>109</v>
      </c>
    </row>
    <row r="280" spans="1:18" x14ac:dyDescent="0.25">
      <c r="A280" s="21">
        <v>45674</v>
      </c>
      <c r="B280" s="1">
        <v>17041578</v>
      </c>
      <c r="C280" t="s">
        <v>568</v>
      </c>
      <c r="D280" s="22">
        <v>-3262.2</v>
      </c>
      <c r="E280" t="s">
        <v>35</v>
      </c>
      <c r="F280" s="2">
        <v>212901001</v>
      </c>
      <c r="G280" s="2" t="s">
        <v>121</v>
      </c>
      <c r="L280" s="2" t="s">
        <v>569</v>
      </c>
      <c r="M280" t="s">
        <v>67</v>
      </c>
      <c r="N280" t="s">
        <v>68</v>
      </c>
      <c r="P280" s="23">
        <v>54.76</v>
      </c>
      <c r="Q280" s="4">
        <f t="shared" si="4"/>
        <v>-59.572680788897003</v>
      </c>
      <c r="R280" s="23" t="s">
        <v>109</v>
      </c>
    </row>
    <row r="281" spans="1:18" x14ac:dyDescent="0.25">
      <c r="A281" s="21">
        <v>45674</v>
      </c>
      <c r="B281" s="1">
        <v>17041576</v>
      </c>
      <c r="C281" t="s">
        <v>570</v>
      </c>
      <c r="D281" s="22">
        <v>-3262.2</v>
      </c>
      <c r="E281" t="s">
        <v>35</v>
      </c>
      <c r="F281" s="2">
        <v>212901001</v>
      </c>
      <c r="G281" s="2" t="s">
        <v>121</v>
      </c>
      <c r="L281" s="2" t="s">
        <v>571</v>
      </c>
      <c r="M281" t="s">
        <v>67</v>
      </c>
      <c r="N281" t="s">
        <v>68</v>
      </c>
      <c r="P281" s="23">
        <v>54.76</v>
      </c>
      <c r="Q281" s="4">
        <f t="shared" si="4"/>
        <v>-59.572680788897003</v>
      </c>
      <c r="R281" s="23" t="s">
        <v>109</v>
      </c>
    </row>
    <row r="282" spans="1:18" x14ac:dyDescent="0.25">
      <c r="A282" s="21">
        <v>45674</v>
      </c>
      <c r="B282" s="1">
        <v>17041580</v>
      </c>
      <c r="C282" t="s">
        <v>572</v>
      </c>
      <c r="D282" s="22">
        <v>-3262.2</v>
      </c>
      <c r="E282" t="s">
        <v>35</v>
      </c>
      <c r="F282" s="2">
        <v>212901001</v>
      </c>
      <c r="G282" s="2" t="s">
        <v>121</v>
      </c>
      <c r="L282" s="2" t="s">
        <v>573</v>
      </c>
      <c r="M282" t="s">
        <v>67</v>
      </c>
      <c r="N282" t="s">
        <v>68</v>
      </c>
      <c r="P282" s="23">
        <v>54.76</v>
      </c>
      <c r="Q282" s="4">
        <f t="shared" si="4"/>
        <v>-59.572680788897003</v>
      </c>
      <c r="R282" s="23" t="s">
        <v>109</v>
      </c>
    </row>
    <row r="283" spans="1:18" x14ac:dyDescent="0.25">
      <c r="A283" s="21">
        <v>45674</v>
      </c>
      <c r="B283" s="1">
        <v>17041579</v>
      </c>
      <c r="C283" t="s">
        <v>574</v>
      </c>
      <c r="D283" s="22">
        <v>-3262.2</v>
      </c>
      <c r="E283" t="s">
        <v>35</v>
      </c>
      <c r="F283" s="2">
        <v>212901001</v>
      </c>
      <c r="G283" s="2" t="s">
        <v>121</v>
      </c>
      <c r="L283" s="2" t="s">
        <v>575</v>
      </c>
      <c r="M283" t="s">
        <v>67</v>
      </c>
      <c r="N283" t="s">
        <v>68</v>
      </c>
      <c r="P283" s="23">
        <v>54.76</v>
      </c>
      <c r="Q283" s="4">
        <f t="shared" si="4"/>
        <v>-59.572680788897003</v>
      </c>
      <c r="R283" s="23" t="s">
        <v>109</v>
      </c>
    </row>
    <row r="284" spans="1:18" x14ac:dyDescent="0.25">
      <c r="A284" s="21">
        <v>45674</v>
      </c>
      <c r="B284" s="1">
        <v>17041577</v>
      </c>
      <c r="C284" t="s">
        <v>576</v>
      </c>
      <c r="D284" s="22">
        <v>-3262.2</v>
      </c>
      <c r="E284" t="s">
        <v>35</v>
      </c>
      <c r="F284" s="2">
        <v>212901001</v>
      </c>
      <c r="G284" s="2" t="s">
        <v>121</v>
      </c>
      <c r="L284" s="2" t="s">
        <v>577</v>
      </c>
      <c r="M284" t="s">
        <v>67</v>
      </c>
      <c r="N284" t="s">
        <v>68</v>
      </c>
      <c r="P284" s="23">
        <v>54.76</v>
      </c>
      <c r="Q284" s="4">
        <f t="shared" si="4"/>
        <v>-59.572680788897003</v>
      </c>
      <c r="R284" s="23" t="s">
        <v>109</v>
      </c>
    </row>
    <row r="285" spans="1:18" x14ac:dyDescent="0.25">
      <c r="A285" s="21">
        <v>45674</v>
      </c>
      <c r="B285" s="1">
        <v>117041586</v>
      </c>
      <c r="C285" t="s">
        <v>578</v>
      </c>
      <c r="D285" s="22">
        <v>-4349.6000000000004</v>
      </c>
      <c r="E285" t="s">
        <v>35</v>
      </c>
      <c r="F285" s="2">
        <v>212901001</v>
      </c>
      <c r="G285" s="2" t="s">
        <v>121</v>
      </c>
      <c r="L285" s="2" t="s">
        <v>579</v>
      </c>
      <c r="M285" t="s">
        <v>67</v>
      </c>
      <c r="N285" t="s">
        <v>68</v>
      </c>
      <c r="P285" s="23">
        <v>54.76</v>
      </c>
      <c r="Q285" s="4">
        <f t="shared" si="4"/>
        <v>-79.43024105186268</v>
      </c>
      <c r="R285" s="23" t="s">
        <v>109</v>
      </c>
    </row>
    <row r="286" spans="1:18" x14ac:dyDescent="0.25">
      <c r="A286" s="21">
        <v>45674</v>
      </c>
      <c r="B286" s="1">
        <v>117041582</v>
      </c>
      <c r="C286" t="s">
        <v>580</v>
      </c>
      <c r="D286" s="22">
        <v>-5437</v>
      </c>
      <c r="E286" t="s">
        <v>35</v>
      </c>
      <c r="F286" s="2">
        <v>212901001</v>
      </c>
      <c r="G286" s="2" t="s">
        <v>121</v>
      </c>
      <c r="L286" s="2" t="s">
        <v>581</v>
      </c>
      <c r="M286" t="s">
        <v>67</v>
      </c>
      <c r="N286" t="s">
        <v>68</v>
      </c>
      <c r="P286" s="23">
        <v>54.76</v>
      </c>
      <c r="Q286" s="4">
        <f t="shared" si="4"/>
        <v>-99.287801314828343</v>
      </c>
      <c r="R286" s="23" t="s">
        <v>109</v>
      </c>
    </row>
    <row r="287" spans="1:18" x14ac:dyDescent="0.25">
      <c r="A287" s="21">
        <v>45674</v>
      </c>
      <c r="B287" s="1">
        <v>117041585</v>
      </c>
      <c r="C287" t="s">
        <v>582</v>
      </c>
      <c r="D287" s="22">
        <v>-4349.6000000000004</v>
      </c>
      <c r="E287" t="s">
        <v>35</v>
      </c>
      <c r="F287" s="2">
        <v>212901001</v>
      </c>
      <c r="G287" s="2" t="s">
        <v>121</v>
      </c>
      <c r="L287" s="2" t="s">
        <v>583</v>
      </c>
      <c r="M287" t="s">
        <v>67</v>
      </c>
      <c r="N287" t="s">
        <v>68</v>
      </c>
      <c r="P287" s="23">
        <v>54.76</v>
      </c>
      <c r="Q287" s="4">
        <f t="shared" si="4"/>
        <v>-79.43024105186268</v>
      </c>
      <c r="R287" s="23" t="s">
        <v>109</v>
      </c>
    </row>
    <row r="288" spans="1:18" x14ac:dyDescent="0.25">
      <c r="A288" s="21">
        <v>45674</v>
      </c>
      <c r="B288" s="1">
        <v>17041581</v>
      </c>
      <c r="C288" t="s">
        <v>584</v>
      </c>
      <c r="D288" s="22">
        <v>-8155.5</v>
      </c>
      <c r="E288" t="s">
        <v>35</v>
      </c>
      <c r="F288" s="2">
        <v>212901001</v>
      </c>
      <c r="G288" s="2" t="s">
        <v>121</v>
      </c>
      <c r="L288" s="2" t="s">
        <v>585</v>
      </c>
      <c r="M288" t="s">
        <v>67</v>
      </c>
      <c r="N288" t="s">
        <v>68</v>
      </c>
      <c r="P288" s="23">
        <v>54.76</v>
      </c>
      <c r="Q288" s="4">
        <f t="shared" si="4"/>
        <v>-148.93170197224251</v>
      </c>
      <c r="R288" s="23" t="s">
        <v>109</v>
      </c>
    </row>
    <row r="289" spans="1:18" x14ac:dyDescent="0.25">
      <c r="A289" s="21">
        <v>45674</v>
      </c>
      <c r="B289" s="1">
        <v>117041588</v>
      </c>
      <c r="C289" t="s">
        <v>586</v>
      </c>
      <c r="D289" s="22">
        <v>-4349.6000000000004</v>
      </c>
      <c r="E289" t="s">
        <v>35</v>
      </c>
      <c r="F289" s="2">
        <v>212901001</v>
      </c>
      <c r="G289" s="2" t="s">
        <v>121</v>
      </c>
      <c r="L289" s="2" t="s">
        <v>587</v>
      </c>
      <c r="M289" t="s">
        <v>67</v>
      </c>
      <c r="N289" t="s">
        <v>68</v>
      </c>
      <c r="P289" s="23">
        <v>54.76</v>
      </c>
      <c r="Q289" s="4">
        <f t="shared" si="4"/>
        <v>-79.43024105186268</v>
      </c>
      <c r="R289" s="23" t="s">
        <v>109</v>
      </c>
    </row>
    <row r="290" spans="1:18" x14ac:dyDescent="0.25">
      <c r="A290" s="21">
        <v>45674</v>
      </c>
      <c r="B290" s="1">
        <v>217041596</v>
      </c>
      <c r="C290" t="s">
        <v>588</v>
      </c>
      <c r="D290" s="22">
        <v>-2283.54</v>
      </c>
      <c r="E290" t="s">
        <v>35</v>
      </c>
      <c r="F290" s="2">
        <v>212901001</v>
      </c>
      <c r="G290" s="2" t="s">
        <v>121</v>
      </c>
      <c r="L290" s="2" t="s">
        <v>589</v>
      </c>
      <c r="M290" t="s">
        <v>67</v>
      </c>
      <c r="N290" t="s">
        <v>68</v>
      </c>
      <c r="P290" s="23">
        <v>54.76</v>
      </c>
      <c r="Q290" s="4">
        <f t="shared" si="4"/>
        <v>-41.700876552227903</v>
      </c>
      <c r="R290" s="23" t="s">
        <v>109</v>
      </c>
    </row>
    <row r="291" spans="1:18" x14ac:dyDescent="0.25">
      <c r="A291" s="21">
        <v>45674</v>
      </c>
      <c r="B291" s="1">
        <v>117041589</v>
      </c>
      <c r="C291" t="s">
        <v>590</v>
      </c>
      <c r="D291" s="22">
        <v>-4349.6000000000004</v>
      </c>
      <c r="E291" t="s">
        <v>35</v>
      </c>
      <c r="F291" s="2">
        <v>212901001</v>
      </c>
      <c r="G291" s="2" t="s">
        <v>121</v>
      </c>
      <c r="L291" s="2" t="s">
        <v>591</v>
      </c>
      <c r="M291" t="s">
        <v>67</v>
      </c>
      <c r="N291" t="s">
        <v>68</v>
      </c>
      <c r="P291" s="23">
        <v>54.76</v>
      </c>
      <c r="Q291" s="4">
        <f t="shared" si="4"/>
        <v>-79.43024105186268</v>
      </c>
      <c r="R291" s="23" t="s">
        <v>109</v>
      </c>
    </row>
    <row r="292" spans="1:18" x14ac:dyDescent="0.25">
      <c r="A292" s="21">
        <v>45674</v>
      </c>
      <c r="B292" s="1">
        <v>117041590</v>
      </c>
      <c r="C292" t="s">
        <v>592</v>
      </c>
      <c r="D292" s="22">
        <v>-4349.6000000000004</v>
      </c>
      <c r="E292" t="s">
        <v>35</v>
      </c>
      <c r="F292" s="2">
        <v>212901001</v>
      </c>
      <c r="G292" s="2" t="s">
        <v>121</v>
      </c>
      <c r="L292" s="2" t="s">
        <v>593</v>
      </c>
      <c r="M292" t="s">
        <v>67</v>
      </c>
      <c r="N292" t="s">
        <v>68</v>
      </c>
      <c r="P292" s="23">
        <v>54.76</v>
      </c>
      <c r="Q292" s="4">
        <f t="shared" si="4"/>
        <v>-79.43024105186268</v>
      </c>
      <c r="R292" s="23" t="s">
        <v>109</v>
      </c>
    </row>
    <row r="293" spans="1:18" x14ac:dyDescent="0.25">
      <c r="A293" s="21">
        <v>45674</v>
      </c>
      <c r="B293" s="1">
        <v>117041592</v>
      </c>
      <c r="C293" t="s">
        <v>594</v>
      </c>
      <c r="D293" s="22">
        <v>-2283.54</v>
      </c>
      <c r="E293" t="s">
        <v>35</v>
      </c>
      <c r="F293" s="2">
        <v>212901001</v>
      </c>
      <c r="G293" s="2" t="s">
        <v>121</v>
      </c>
      <c r="L293" s="2" t="s">
        <v>595</v>
      </c>
      <c r="M293" t="s">
        <v>67</v>
      </c>
      <c r="N293" t="s">
        <v>68</v>
      </c>
      <c r="P293" s="23">
        <v>54.76</v>
      </c>
      <c r="Q293" s="4">
        <f t="shared" si="4"/>
        <v>-41.700876552227903</v>
      </c>
      <c r="R293" s="23" t="s">
        <v>109</v>
      </c>
    </row>
    <row r="294" spans="1:18" x14ac:dyDescent="0.25">
      <c r="A294" s="21">
        <v>45674</v>
      </c>
      <c r="B294" s="1">
        <v>117041595</v>
      </c>
      <c r="C294" t="s">
        <v>596</v>
      </c>
      <c r="D294" s="22">
        <v>-2718.5</v>
      </c>
      <c r="E294" t="s">
        <v>35</v>
      </c>
      <c r="F294" s="2">
        <v>212901001</v>
      </c>
      <c r="G294" s="2" t="s">
        <v>121</v>
      </c>
      <c r="L294" s="2" t="s">
        <v>597</v>
      </c>
      <c r="M294" t="s">
        <v>67</v>
      </c>
      <c r="N294" t="s">
        <v>68</v>
      </c>
      <c r="P294" s="23">
        <v>54.76</v>
      </c>
      <c r="Q294" s="4">
        <f t="shared" si="4"/>
        <v>-49.643900657414171</v>
      </c>
      <c r="R294" s="23" t="s">
        <v>109</v>
      </c>
    </row>
    <row r="295" spans="1:18" x14ac:dyDescent="0.25">
      <c r="A295" s="21">
        <v>45674</v>
      </c>
      <c r="B295" s="1">
        <v>117041593</v>
      </c>
      <c r="C295" t="s">
        <v>598</v>
      </c>
      <c r="D295" s="22">
        <v>-2718.5</v>
      </c>
      <c r="E295" t="s">
        <v>35</v>
      </c>
      <c r="F295" s="2">
        <v>212901001</v>
      </c>
      <c r="G295" s="2" t="s">
        <v>121</v>
      </c>
      <c r="L295" s="2" t="s">
        <v>599</v>
      </c>
      <c r="M295" t="s">
        <v>67</v>
      </c>
      <c r="N295" t="s">
        <v>68</v>
      </c>
      <c r="P295" s="23">
        <v>54.76</v>
      </c>
      <c r="Q295" s="4">
        <f t="shared" si="4"/>
        <v>-49.643900657414171</v>
      </c>
      <c r="R295" s="23" t="s">
        <v>109</v>
      </c>
    </row>
    <row r="296" spans="1:18" x14ac:dyDescent="0.25">
      <c r="A296" s="21">
        <v>45674</v>
      </c>
      <c r="B296" s="1">
        <v>117041587</v>
      </c>
      <c r="C296" t="s">
        <v>600</v>
      </c>
      <c r="D296" s="22">
        <v>-4349.6000000000004</v>
      </c>
      <c r="E296" t="s">
        <v>35</v>
      </c>
      <c r="F296" s="2">
        <v>212901001</v>
      </c>
      <c r="G296" s="2" t="s">
        <v>121</v>
      </c>
      <c r="L296" s="2" t="s">
        <v>601</v>
      </c>
      <c r="M296" t="s">
        <v>67</v>
      </c>
      <c r="N296" t="s">
        <v>68</v>
      </c>
      <c r="P296" s="23">
        <v>54.76</v>
      </c>
      <c r="Q296" s="4">
        <f t="shared" si="4"/>
        <v>-79.43024105186268</v>
      </c>
      <c r="R296" s="23" t="s">
        <v>109</v>
      </c>
    </row>
    <row r="297" spans="1:18" x14ac:dyDescent="0.25">
      <c r="A297" s="21">
        <v>45674</v>
      </c>
      <c r="B297" s="1">
        <v>217041602</v>
      </c>
      <c r="C297" t="s">
        <v>602</v>
      </c>
      <c r="D297" s="22">
        <v>-2174.8000000000002</v>
      </c>
      <c r="E297" t="s">
        <v>35</v>
      </c>
      <c r="F297" s="2">
        <v>212901001</v>
      </c>
      <c r="G297" s="2" t="s">
        <v>121</v>
      </c>
      <c r="L297" s="2" t="s">
        <v>603</v>
      </c>
      <c r="M297" t="s">
        <v>67</v>
      </c>
      <c r="N297" t="s">
        <v>68</v>
      </c>
      <c r="P297" s="23">
        <v>54.76</v>
      </c>
      <c r="Q297" s="4">
        <f t="shared" si="4"/>
        <v>-39.71512052593134</v>
      </c>
      <c r="R297" s="23" t="s">
        <v>109</v>
      </c>
    </row>
    <row r="298" spans="1:18" x14ac:dyDescent="0.25">
      <c r="A298" s="21">
        <v>45674</v>
      </c>
      <c r="B298" s="1">
        <v>217041601</v>
      </c>
      <c r="C298" t="s">
        <v>604</v>
      </c>
      <c r="D298" s="22">
        <v>-2174.8000000000002</v>
      </c>
      <c r="E298" t="s">
        <v>35</v>
      </c>
      <c r="F298" s="2">
        <v>212901001</v>
      </c>
      <c r="G298" s="2" t="s">
        <v>121</v>
      </c>
      <c r="L298" s="2" t="s">
        <v>605</v>
      </c>
      <c r="M298" t="s">
        <v>67</v>
      </c>
      <c r="N298" t="s">
        <v>68</v>
      </c>
      <c r="P298" s="23">
        <v>54.76</v>
      </c>
      <c r="Q298" s="4">
        <f t="shared" si="4"/>
        <v>-39.71512052593134</v>
      </c>
      <c r="R298" s="23" t="s">
        <v>109</v>
      </c>
    </row>
    <row r="299" spans="1:18" x14ac:dyDescent="0.25">
      <c r="A299" s="21">
        <v>45674</v>
      </c>
      <c r="B299" s="1">
        <v>217041605</v>
      </c>
      <c r="C299" t="s">
        <v>606</v>
      </c>
      <c r="D299" s="22">
        <v>-2174.8000000000002</v>
      </c>
      <c r="E299" t="s">
        <v>35</v>
      </c>
      <c r="F299" s="2">
        <v>212901001</v>
      </c>
      <c r="G299" s="2" t="s">
        <v>121</v>
      </c>
      <c r="L299" s="2" t="s">
        <v>607</v>
      </c>
      <c r="M299" t="s">
        <v>67</v>
      </c>
      <c r="N299" t="s">
        <v>68</v>
      </c>
      <c r="P299" s="23">
        <v>54.76</v>
      </c>
      <c r="Q299" s="4">
        <f t="shared" si="4"/>
        <v>-39.71512052593134</v>
      </c>
      <c r="R299" s="23" t="s">
        <v>109</v>
      </c>
    </row>
    <row r="300" spans="1:18" x14ac:dyDescent="0.25">
      <c r="A300" s="21">
        <v>45674</v>
      </c>
      <c r="B300" s="1">
        <v>217041607</v>
      </c>
      <c r="C300" t="s">
        <v>608</v>
      </c>
      <c r="D300" s="22">
        <v>-2174.8000000000002</v>
      </c>
      <c r="E300" t="s">
        <v>35</v>
      </c>
      <c r="F300" s="2">
        <v>212901001</v>
      </c>
      <c r="G300" s="2" t="s">
        <v>121</v>
      </c>
      <c r="L300" s="2" t="s">
        <v>609</v>
      </c>
      <c r="M300" t="s">
        <v>67</v>
      </c>
      <c r="N300" t="s">
        <v>68</v>
      </c>
      <c r="P300" s="23">
        <v>54.76</v>
      </c>
      <c r="Q300" s="4">
        <f t="shared" si="4"/>
        <v>-39.71512052593134</v>
      </c>
      <c r="R300" s="23" t="s">
        <v>109</v>
      </c>
    </row>
    <row r="301" spans="1:18" x14ac:dyDescent="0.25">
      <c r="A301" s="21">
        <v>45674</v>
      </c>
      <c r="B301" s="1">
        <v>217041598</v>
      </c>
      <c r="C301" t="s">
        <v>610</v>
      </c>
      <c r="D301" s="22">
        <v>-2718.5</v>
      </c>
      <c r="E301" t="s">
        <v>35</v>
      </c>
      <c r="F301" s="2">
        <v>212901001</v>
      </c>
      <c r="G301" s="2" t="s">
        <v>121</v>
      </c>
      <c r="L301" s="2" t="s">
        <v>611</v>
      </c>
      <c r="M301" t="s">
        <v>67</v>
      </c>
      <c r="N301" t="s">
        <v>68</v>
      </c>
      <c r="P301" s="23">
        <v>54.76</v>
      </c>
      <c r="Q301" s="4">
        <f t="shared" si="4"/>
        <v>-49.643900657414171</v>
      </c>
      <c r="R301" s="23" t="s">
        <v>109</v>
      </c>
    </row>
    <row r="302" spans="1:18" x14ac:dyDescent="0.25">
      <c r="A302" s="21">
        <v>45674</v>
      </c>
      <c r="B302" s="1">
        <v>217041604</v>
      </c>
      <c r="C302" t="s">
        <v>612</v>
      </c>
      <c r="D302" s="22">
        <v>-2174.8000000000002</v>
      </c>
      <c r="E302" t="s">
        <v>35</v>
      </c>
      <c r="F302" s="2">
        <v>212901001</v>
      </c>
      <c r="G302" s="2" t="s">
        <v>121</v>
      </c>
      <c r="L302" s="2" t="s">
        <v>613</v>
      </c>
      <c r="M302" t="s">
        <v>67</v>
      </c>
      <c r="N302" t="s">
        <v>68</v>
      </c>
      <c r="P302" s="23">
        <v>54.76</v>
      </c>
      <c r="Q302" s="4">
        <f t="shared" si="4"/>
        <v>-39.71512052593134</v>
      </c>
      <c r="R302" s="23" t="s">
        <v>109</v>
      </c>
    </row>
    <row r="303" spans="1:18" x14ac:dyDescent="0.25">
      <c r="A303" s="21">
        <v>45674</v>
      </c>
      <c r="B303" s="1">
        <v>217041606</v>
      </c>
      <c r="C303" t="s">
        <v>614</v>
      </c>
      <c r="D303" s="22">
        <v>-2174.8000000000002</v>
      </c>
      <c r="E303" t="s">
        <v>35</v>
      </c>
      <c r="F303" s="2">
        <v>212901001</v>
      </c>
      <c r="G303" s="2" t="s">
        <v>121</v>
      </c>
      <c r="L303" s="2" t="s">
        <v>615</v>
      </c>
      <c r="M303" t="s">
        <v>67</v>
      </c>
      <c r="N303" t="s">
        <v>68</v>
      </c>
      <c r="P303" s="23">
        <v>54.76</v>
      </c>
      <c r="Q303" s="4">
        <f t="shared" si="4"/>
        <v>-39.71512052593134</v>
      </c>
      <c r="R303" s="23" t="s">
        <v>109</v>
      </c>
    </row>
    <row r="304" spans="1:18" x14ac:dyDescent="0.25">
      <c r="A304" s="21">
        <v>45674</v>
      </c>
      <c r="B304" s="1">
        <v>317041608</v>
      </c>
      <c r="C304" t="s">
        <v>616</v>
      </c>
      <c r="D304" s="22">
        <v>-5437</v>
      </c>
      <c r="E304" t="s">
        <v>35</v>
      </c>
      <c r="F304" s="2">
        <v>212901001</v>
      </c>
      <c r="G304" s="2" t="s">
        <v>121</v>
      </c>
      <c r="L304" s="2" t="s">
        <v>617</v>
      </c>
      <c r="M304" t="s">
        <v>67</v>
      </c>
      <c r="N304" t="s">
        <v>68</v>
      </c>
      <c r="P304" s="23">
        <v>54.76</v>
      </c>
      <c r="Q304" s="4">
        <f t="shared" si="4"/>
        <v>-99.287801314828343</v>
      </c>
      <c r="R304" s="23" t="s">
        <v>109</v>
      </c>
    </row>
    <row r="305" spans="1:18" x14ac:dyDescent="0.25">
      <c r="A305" s="21">
        <v>45674</v>
      </c>
      <c r="B305" s="1">
        <v>317041609</v>
      </c>
      <c r="C305" t="s">
        <v>618</v>
      </c>
      <c r="D305" s="22">
        <v>-5437</v>
      </c>
      <c r="E305" t="s">
        <v>35</v>
      </c>
      <c r="F305" s="2">
        <v>212901001</v>
      </c>
      <c r="G305" s="2" t="s">
        <v>121</v>
      </c>
      <c r="L305" s="2" t="s">
        <v>619</v>
      </c>
      <c r="M305" t="s">
        <v>67</v>
      </c>
      <c r="N305" t="s">
        <v>68</v>
      </c>
      <c r="P305" s="23">
        <v>54.76</v>
      </c>
      <c r="Q305" s="4">
        <f t="shared" si="4"/>
        <v>-99.287801314828343</v>
      </c>
      <c r="R305" s="23" t="s">
        <v>109</v>
      </c>
    </row>
    <row r="306" spans="1:18" x14ac:dyDescent="0.25">
      <c r="A306" s="21">
        <v>45674</v>
      </c>
      <c r="B306" s="1">
        <v>217041603</v>
      </c>
      <c r="C306" t="s">
        <v>620</v>
      </c>
      <c r="D306" s="22">
        <v>-2174.8000000000002</v>
      </c>
      <c r="E306" t="s">
        <v>35</v>
      </c>
      <c r="F306" s="2">
        <v>212901001</v>
      </c>
      <c r="G306" s="2" t="s">
        <v>121</v>
      </c>
      <c r="L306" s="2" t="s">
        <v>621</v>
      </c>
      <c r="M306" t="s">
        <v>67</v>
      </c>
      <c r="N306" t="s">
        <v>68</v>
      </c>
      <c r="P306" s="23">
        <v>54.76</v>
      </c>
      <c r="Q306" s="4">
        <f t="shared" si="4"/>
        <v>-39.71512052593134</v>
      </c>
      <c r="R306" s="23" t="s">
        <v>109</v>
      </c>
    </row>
    <row r="307" spans="1:18" x14ac:dyDescent="0.25">
      <c r="A307" s="21">
        <v>45674</v>
      </c>
      <c r="B307" s="1">
        <v>217041599</v>
      </c>
      <c r="C307" t="s">
        <v>622</v>
      </c>
      <c r="D307" s="22">
        <v>-2718.5</v>
      </c>
      <c r="E307" t="s">
        <v>35</v>
      </c>
      <c r="F307" s="2">
        <v>212901001</v>
      </c>
      <c r="G307" s="2" t="s">
        <v>121</v>
      </c>
      <c r="L307" s="2" t="s">
        <v>623</v>
      </c>
      <c r="M307" t="s">
        <v>67</v>
      </c>
      <c r="N307" t="s">
        <v>68</v>
      </c>
      <c r="P307" s="23">
        <v>54.76</v>
      </c>
      <c r="Q307" s="4">
        <f t="shared" si="4"/>
        <v>-49.643900657414171</v>
      </c>
      <c r="R307" s="23" t="s">
        <v>109</v>
      </c>
    </row>
    <row r="308" spans="1:18" x14ac:dyDescent="0.25">
      <c r="A308" s="21">
        <v>45674</v>
      </c>
      <c r="B308" s="1">
        <v>317041616</v>
      </c>
      <c r="C308" t="s">
        <v>624</v>
      </c>
      <c r="D308" s="22">
        <v>-2664.13</v>
      </c>
      <c r="E308" t="s">
        <v>35</v>
      </c>
      <c r="F308" s="2">
        <v>212901001</v>
      </c>
      <c r="G308" s="2" t="s">
        <v>121</v>
      </c>
      <c r="L308" s="2" t="s">
        <v>625</v>
      </c>
      <c r="M308" t="s">
        <v>67</v>
      </c>
      <c r="N308" t="s">
        <v>68</v>
      </c>
      <c r="P308" s="23">
        <v>54.76</v>
      </c>
      <c r="Q308" s="4">
        <f t="shared" si="4"/>
        <v>-48.651022644265893</v>
      </c>
      <c r="R308" s="23" t="s">
        <v>109</v>
      </c>
    </row>
    <row r="309" spans="1:18" x14ac:dyDescent="0.25">
      <c r="A309" s="21">
        <v>45674</v>
      </c>
      <c r="B309" s="1">
        <v>317041610</v>
      </c>
      <c r="C309" t="s">
        <v>626</v>
      </c>
      <c r="D309" s="22">
        <v>-8155.5</v>
      </c>
      <c r="E309" t="s">
        <v>35</v>
      </c>
      <c r="F309" s="2">
        <v>212901001</v>
      </c>
      <c r="G309" s="2" t="s">
        <v>121</v>
      </c>
      <c r="L309" s="2" t="s">
        <v>627</v>
      </c>
      <c r="M309" t="s">
        <v>67</v>
      </c>
      <c r="N309" t="s">
        <v>68</v>
      </c>
      <c r="P309" s="23">
        <v>54.76</v>
      </c>
      <c r="Q309" s="4">
        <f t="shared" si="4"/>
        <v>-148.93170197224251</v>
      </c>
      <c r="R309" s="23" t="s">
        <v>109</v>
      </c>
    </row>
    <row r="310" spans="1:18" x14ac:dyDescent="0.25">
      <c r="A310" s="21">
        <v>45674</v>
      </c>
      <c r="B310" s="1">
        <v>317041611</v>
      </c>
      <c r="C310" t="s">
        <v>628</v>
      </c>
      <c r="D310" s="22">
        <v>-1631.1</v>
      </c>
      <c r="E310" t="s">
        <v>35</v>
      </c>
      <c r="F310" s="2">
        <v>212901001</v>
      </c>
      <c r="G310" s="2" t="s">
        <v>121</v>
      </c>
      <c r="L310" s="2" t="s">
        <v>629</v>
      </c>
      <c r="M310" t="s">
        <v>67</v>
      </c>
      <c r="N310" t="s">
        <v>68</v>
      </c>
      <c r="P310" s="23">
        <v>54.76</v>
      </c>
      <c r="Q310" s="4">
        <f t="shared" si="4"/>
        <v>-29.786340394448501</v>
      </c>
      <c r="R310" s="23" t="s">
        <v>109</v>
      </c>
    </row>
    <row r="311" spans="1:18" x14ac:dyDescent="0.25">
      <c r="A311" s="21">
        <v>45674</v>
      </c>
      <c r="B311" s="1">
        <v>317041613</v>
      </c>
      <c r="C311" t="s">
        <v>630</v>
      </c>
      <c r="D311" s="22">
        <v>-4349.6000000000004</v>
      </c>
      <c r="E311" t="s">
        <v>35</v>
      </c>
      <c r="F311" s="2">
        <v>212901001</v>
      </c>
      <c r="G311" s="2" t="s">
        <v>121</v>
      </c>
      <c r="L311" s="2" t="s">
        <v>631</v>
      </c>
      <c r="M311" t="s">
        <v>67</v>
      </c>
      <c r="N311" t="s">
        <v>68</v>
      </c>
      <c r="P311" s="23">
        <v>54.76</v>
      </c>
      <c r="Q311" s="4">
        <f t="shared" si="4"/>
        <v>-79.43024105186268</v>
      </c>
      <c r="R311" s="23" t="s">
        <v>109</v>
      </c>
    </row>
    <row r="312" spans="1:18" x14ac:dyDescent="0.25">
      <c r="A312" s="21">
        <v>45674</v>
      </c>
      <c r="B312" s="1">
        <v>317041617</v>
      </c>
      <c r="C312" t="s">
        <v>632</v>
      </c>
      <c r="D312" s="22">
        <v>-3805.9</v>
      </c>
      <c r="E312" t="s">
        <v>35</v>
      </c>
      <c r="F312" s="2">
        <v>212901001</v>
      </c>
      <c r="G312" s="2" t="s">
        <v>121</v>
      </c>
      <c r="L312" s="2" t="s">
        <v>633</v>
      </c>
      <c r="M312" t="s">
        <v>67</v>
      </c>
      <c r="N312" t="s">
        <v>68</v>
      </c>
      <c r="P312" s="23">
        <v>54.76</v>
      </c>
      <c r="Q312" s="4">
        <f t="shared" si="4"/>
        <v>-69.501460920379841</v>
      </c>
      <c r="R312" s="23" t="s">
        <v>109</v>
      </c>
    </row>
    <row r="313" spans="1:18" x14ac:dyDescent="0.25">
      <c r="A313" s="21">
        <v>45674</v>
      </c>
      <c r="B313" s="1">
        <v>317041615</v>
      </c>
      <c r="C313" t="s">
        <v>634</v>
      </c>
      <c r="D313" s="22">
        <v>-5437</v>
      </c>
      <c r="E313" t="s">
        <v>35</v>
      </c>
      <c r="F313" s="2">
        <v>212901001</v>
      </c>
      <c r="G313" s="2" t="s">
        <v>121</v>
      </c>
      <c r="L313" s="2" t="s">
        <v>635</v>
      </c>
      <c r="M313" t="s">
        <v>67</v>
      </c>
      <c r="N313" t="s">
        <v>68</v>
      </c>
      <c r="P313" s="23">
        <v>54.76</v>
      </c>
      <c r="Q313" s="4">
        <f t="shared" si="4"/>
        <v>-99.287801314828343</v>
      </c>
      <c r="R313" s="23" t="s">
        <v>109</v>
      </c>
    </row>
    <row r="314" spans="1:18" x14ac:dyDescent="0.25">
      <c r="A314" s="21">
        <v>45674</v>
      </c>
      <c r="B314" s="1">
        <v>317041612</v>
      </c>
      <c r="C314" t="s">
        <v>636</v>
      </c>
      <c r="D314" s="22">
        <v>-5980.7</v>
      </c>
      <c r="E314" t="s">
        <v>35</v>
      </c>
      <c r="F314" s="2">
        <v>212901001</v>
      </c>
      <c r="G314" s="2" t="s">
        <v>121</v>
      </c>
      <c r="L314" s="2" t="s">
        <v>637</v>
      </c>
      <c r="M314" t="s">
        <v>67</v>
      </c>
      <c r="N314" t="s">
        <v>68</v>
      </c>
      <c r="P314" s="23">
        <v>54.76</v>
      </c>
      <c r="Q314" s="4">
        <f t="shared" si="4"/>
        <v>-109.21658144631118</v>
      </c>
      <c r="R314" s="23" t="s">
        <v>109</v>
      </c>
    </row>
    <row r="315" spans="1:18" x14ac:dyDescent="0.25">
      <c r="A315" s="21">
        <v>45674</v>
      </c>
      <c r="B315" s="1">
        <v>417041618</v>
      </c>
      <c r="C315" t="s">
        <v>638</v>
      </c>
      <c r="D315" s="22">
        <v>-3207.83</v>
      </c>
      <c r="E315" t="s">
        <v>35</v>
      </c>
      <c r="F315" s="2">
        <v>212901001</v>
      </c>
      <c r="G315" s="2" t="s">
        <v>121</v>
      </c>
      <c r="L315" s="2" t="s">
        <v>639</v>
      </c>
      <c r="M315" t="s">
        <v>67</v>
      </c>
      <c r="N315" t="s">
        <v>68</v>
      </c>
      <c r="P315" s="23">
        <v>54.76</v>
      </c>
      <c r="Q315" s="4">
        <f t="shared" si="4"/>
        <v>-58.579802775748725</v>
      </c>
      <c r="R315" s="23" t="s">
        <v>109</v>
      </c>
    </row>
    <row r="316" spans="1:18" x14ac:dyDescent="0.25">
      <c r="A316" s="21">
        <v>45674</v>
      </c>
      <c r="B316" s="1">
        <v>417041619</v>
      </c>
      <c r="C316" t="s">
        <v>640</v>
      </c>
      <c r="D316" s="22">
        <v>-3805.9</v>
      </c>
      <c r="E316" t="s">
        <v>35</v>
      </c>
      <c r="F316" s="2">
        <v>212901001</v>
      </c>
      <c r="G316" s="2" t="s">
        <v>121</v>
      </c>
      <c r="L316" s="2" t="s">
        <v>641</v>
      </c>
      <c r="M316" t="s">
        <v>67</v>
      </c>
      <c r="N316" t="s">
        <v>68</v>
      </c>
      <c r="P316" s="23">
        <v>54.76</v>
      </c>
      <c r="Q316" s="4">
        <f t="shared" si="4"/>
        <v>-69.501460920379841</v>
      </c>
      <c r="R316" s="23" t="s">
        <v>109</v>
      </c>
    </row>
    <row r="317" spans="1:18" x14ac:dyDescent="0.25">
      <c r="A317" s="21">
        <v>45674</v>
      </c>
      <c r="B317" s="1">
        <v>417041620</v>
      </c>
      <c r="C317" t="s">
        <v>642</v>
      </c>
      <c r="D317" s="22">
        <v>-2718.5</v>
      </c>
      <c r="E317" t="s">
        <v>35</v>
      </c>
      <c r="F317" s="2">
        <v>212901001</v>
      </c>
      <c r="G317" s="2" t="s">
        <v>121</v>
      </c>
      <c r="L317" s="2" t="s">
        <v>643</v>
      </c>
      <c r="M317" t="s">
        <v>67</v>
      </c>
      <c r="N317" t="s">
        <v>68</v>
      </c>
      <c r="P317" s="23">
        <v>54.76</v>
      </c>
      <c r="Q317" s="4">
        <f t="shared" si="4"/>
        <v>-49.643900657414171</v>
      </c>
      <c r="R317" s="23" t="s">
        <v>109</v>
      </c>
    </row>
    <row r="318" spans="1:18" x14ac:dyDescent="0.25">
      <c r="A318" s="21">
        <v>45674</v>
      </c>
      <c r="B318" s="1">
        <v>417041622</v>
      </c>
      <c r="C318" t="s">
        <v>644</v>
      </c>
      <c r="D318" s="22">
        <v>-2718.5</v>
      </c>
      <c r="E318" t="s">
        <v>35</v>
      </c>
      <c r="F318" s="2">
        <v>212901001</v>
      </c>
      <c r="G318" s="2" t="s">
        <v>121</v>
      </c>
      <c r="L318" s="2" t="s">
        <v>645</v>
      </c>
      <c r="M318" t="s">
        <v>67</v>
      </c>
      <c r="N318" t="s">
        <v>68</v>
      </c>
      <c r="P318" s="23">
        <v>54.76</v>
      </c>
      <c r="Q318" s="4">
        <f t="shared" si="4"/>
        <v>-49.643900657414171</v>
      </c>
      <c r="R318" s="23" t="s">
        <v>109</v>
      </c>
    </row>
    <row r="319" spans="1:18" x14ac:dyDescent="0.25">
      <c r="A319" s="21">
        <v>45674</v>
      </c>
      <c r="B319" s="1">
        <v>417041623</v>
      </c>
      <c r="C319" t="s">
        <v>646</v>
      </c>
      <c r="D319" s="22">
        <v>-2718.5</v>
      </c>
      <c r="E319" t="s">
        <v>35</v>
      </c>
      <c r="F319" s="2">
        <v>212901001</v>
      </c>
      <c r="G319" s="2" t="s">
        <v>121</v>
      </c>
      <c r="L319" s="2" t="s">
        <v>647</v>
      </c>
      <c r="M319" t="s">
        <v>67</v>
      </c>
      <c r="N319" t="s">
        <v>68</v>
      </c>
      <c r="P319" s="23">
        <v>54.76</v>
      </c>
      <c r="Q319" s="4">
        <f t="shared" si="4"/>
        <v>-49.643900657414171</v>
      </c>
      <c r="R319" s="23" t="s">
        <v>109</v>
      </c>
    </row>
    <row r="320" spans="1:18" x14ac:dyDescent="0.25">
      <c r="A320" s="21">
        <v>45674</v>
      </c>
      <c r="B320" s="1">
        <v>417041627</v>
      </c>
      <c r="C320" t="s">
        <v>648</v>
      </c>
      <c r="D320" s="22">
        <v>-2718.5</v>
      </c>
      <c r="E320" t="s">
        <v>35</v>
      </c>
      <c r="F320" s="2">
        <v>212901001</v>
      </c>
      <c r="G320" s="2" t="s">
        <v>121</v>
      </c>
      <c r="L320" s="2" t="s">
        <v>649</v>
      </c>
      <c r="M320" t="s">
        <v>67</v>
      </c>
      <c r="N320" t="s">
        <v>68</v>
      </c>
      <c r="P320" s="23">
        <v>54.76</v>
      </c>
      <c r="Q320" s="4">
        <f t="shared" si="4"/>
        <v>-49.643900657414171</v>
      </c>
      <c r="R320" s="23" t="s">
        <v>109</v>
      </c>
    </row>
    <row r="321" spans="1:18" x14ac:dyDescent="0.25">
      <c r="A321" s="21">
        <v>45674</v>
      </c>
      <c r="B321" s="1">
        <v>417041625</v>
      </c>
      <c r="C321" t="s">
        <v>650</v>
      </c>
      <c r="D321" s="22">
        <v>-2718.5</v>
      </c>
      <c r="E321" t="s">
        <v>35</v>
      </c>
      <c r="F321" s="2">
        <v>212901001</v>
      </c>
      <c r="G321" s="2" t="s">
        <v>121</v>
      </c>
      <c r="L321" s="2" t="s">
        <v>651</v>
      </c>
      <c r="M321" t="s">
        <v>67</v>
      </c>
      <c r="N321" t="s">
        <v>68</v>
      </c>
      <c r="P321" s="23">
        <v>54.76</v>
      </c>
      <c r="Q321" s="4">
        <f t="shared" si="4"/>
        <v>-49.643900657414171</v>
      </c>
      <c r="R321" s="23" t="s">
        <v>109</v>
      </c>
    </row>
    <row r="322" spans="1:18" x14ac:dyDescent="0.25">
      <c r="A322" s="21">
        <v>45674</v>
      </c>
      <c r="B322" s="1">
        <v>417041626</v>
      </c>
      <c r="C322" t="s">
        <v>652</v>
      </c>
      <c r="D322" s="22">
        <v>-2718.5</v>
      </c>
      <c r="E322" t="s">
        <v>35</v>
      </c>
      <c r="F322" s="2">
        <v>212901001</v>
      </c>
      <c r="G322" s="2" t="s">
        <v>121</v>
      </c>
      <c r="L322" s="2" t="s">
        <v>653</v>
      </c>
      <c r="M322" t="s">
        <v>67</v>
      </c>
      <c r="N322" t="s">
        <v>68</v>
      </c>
      <c r="P322" s="23">
        <v>54.76</v>
      </c>
      <c r="Q322" s="4">
        <f t="shared" si="4"/>
        <v>-49.643900657414171</v>
      </c>
      <c r="R322" s="23" t="s">
        <v>109</v>
      </c>
    </row>
    <row r="323" spans="1:18" x14ac:dyDescent="0.25">
      <c r="A323" s="21">
        <v>45674</v>
      </c>
      <c r="B323" s="1">
        <v>517041630</v>
      </c>
      <c r="C323" t="s">
        <v>654</v>
      </c>
      <c r="D323" s="22">
        <v>-2283.54</v>
      </c>
      <c r="E323" t="s">
        <v>35</v>
      </c>
      <c r="F323" s="2">
        <v>212901001</v>
      </c>
      <c r="G323" s="2" t="s">
        <v>121</v>
      </c>
      <c r="L323" s="2" t="s">
        <v>655</v>
      </c>
      <c r="M323" t="s">
        <v>67</v>
      </c>
      <c r="N323" t="s">
        <v>68</v>
      </c>
      <c r="P323" s="23">
        <v>54.76</v>
      </c>
      <c r="Q323" s="4">
        <f t="shared" si="4"/>
        <v>-41.700876552227903</v>
      </c>
      <c r="R323" s="23" t="s">
        <v>109</v>
      </c>
    </row>
    <row r="324" spans="1:18" x14ac:dyDescent="0.25">
      <c r="A324" s="21">
        <v>45674</v>
      </c>
      <c r="B324" s="1">
        <v>517041628</v>
      </c>
      <c r="C324" t="s">
        <v>644</v>
      </c>
      <c r="D324" s="22">
        <v>-2718.5</v>
      </c>
      <c r="E324" t="s">
        <v>35</v>
      </c>
      <c r="F324" s="2">
        <v>212901001</v>
      </c>
      <c r="G324" s="2" t="s">
        <v>121</v>
      </c>
      <c r="L324" s="2" t="s">
        <v>656</v>
      </c>
      <c r="M324" t="s">
        <v>67</v>
      </c>
      <c r="N324" t="s">
        <v>68</v>
      </c>
      <c r="P324" s="23">
        <v>54.76</v>
      </c>
      <c r="Q324" s="4">
        <f t="shared" si="4"/>
        <v>-49.643900657414171</v>
      </c>
      <c r="R324" s="23" t="s">
        <v>109</v>
      </c>
    </row>
    <row r="325" spans="1:18" x14ac:dyDescent="0.25">
      <c r="A325" s="21">
        <v>45674</v>
      </c>
      <c r="B325" s="1">
        <v>517041631</v>
      </c>
      <c r="C325" t="s">
        <v>657</v>
      </c>
      <c r="D325" s="22">
        <v>-2283.54</v>
      </c>
      <c r="E325" t="s">
        <v>35</v>
      </c>
      <c r="F325" s="2">
        <v>212901001</v>
      </c>
      <c r="G325" s="2" t="s">
        <v>121</v>
      </c>
      <c r="L325" s="2" t="s">
        <v>658</v>
      </c>
      <c r="M325" t="s">
        <v>67</v>
      </c>
      <c r="N325" t="s">
        <v>68</v>
      </c>
      <c r="P325" s="23">
        <v>54.76</v>
      </c>
      <c r="Q325" s="4">
        <f t="shared" si="4"/>
        <v>-41.700876552227903</v>
      </c>
      <c r="R325" s="23" t="s">
        <v>109</v>
      </c>
    </row>
    <row r="326" spans="1:18" x14ac:dyDescent="0.25">
      <c r="A326" s="21">
        <v>45674</v>
      </c>
      <c r="B326" s="1">
        <v>517041632</v>
      </c>
      <c r="C326" t="s">
        <v>659</v>
      </c>
      <c r="D326" s="22">
        <v>-2718.5</v>
      </c>
      <c r="E326" t="s">
        <v>35</v>
      </c>
      <c r="F326" s="2">
        <v>212901001</v>
      </c>
      <c r="G326" s="2" t="s">
        <v>121</v>
      </c>
      <c r="L326" s="2" t="s">
        <v>660</v>
      </c>
      <c r="M326" t="s">
        <v>67</v>
      </c>
      <c r="N326" t="s">
        <v>68</v>
      </c>
      <c r="P326" s="23">
        <v>54.76</v>
      </c>
      <c r="Q326" s="4">
        <f t="shared" si="4"/>
        <v>-49.643900657414171</v>
      </c>
      <c r="R326" s="23" t="s">
        <v>109</v>
      </c>
    </row>
    <row r="327" spans="1:18" x14ac:dyDescent="0.25">
      <c r="A327" s="21">
        <v>45674</v>
      </c>
      <c r="B327" s="1">
        <v>517041634</v>
      </c>
      <c r="C327" t="s">
        <v>661</v>
      </c>
      <c r="D327" s="22">
        <v>-2718.5</v>
      </c>
      <c r="E327" t="s">
        <v>35</v>
      </c>
      <c r="F327" s="2">
        <v>212901001</v>
      </c>
      <c r="G327" s="2" t="s">
        <v>121</v>
      </c>
      <c r="L327" s="2" t="s">
        <v>662</v>
      </c>
      <c r="M327" t="s">
        <v>67</v>
      </c>
      <c r="N327" t="s">
        <v>68</v>
      </c>
      <c r="P327" s="23">
        <v>54.76</v>
      </c>
      <c r="Q327" s="4">
        <f t="shared" si="4"/>
        <v>-49.643900657414171</v>
      </c>
      <c r="R327" s="23" t="s">
        <v>109</v>
      </c>
    </row>
    <row r="328" spans="1:18" x14ac:dyDescent="0.25">
      <c r="A328" s="21">
        <v>45674</v>
      </c>
      <c r="B328" s="1">
        <v>517041633</v>
      </c>
      <c r="C328" t="s">
        <v>663</v>
      </c>
      <c r="D328" s="22">
        <v>-2718.5</v>
      </c>
      <c r="E328" t="s">
        <v>35</v>
      </c>
      <c r="F328" s="2">
        <v>212901001</v>
      </c>
      <c r="G328" s="2" t="s">
        <v>121</v>
      </c>
      <c r="L328" s="2" t="s">
        <v>664</v>
      </c>
      <c r="M328" t="s">
        <v>67</v>
      </c>
      <c r="N328" t="s">
        <v>68</v>
      </c>
      <c r="P328" s="23">
        <v>54.76</v>
      </c>
      <c r="Q328" s="4">
        <f t="shared" si="4"/>
        <v>-49.643900657414171</v>
      </c>
      <c r="R328" s="23" t="s">
        <v>109</v>
      </c>
    </row>
    <row r="329" spans="1:18" x14ac:dyDescent="0.25">
      <c r="A329" s="21">
        <v>45674</v>
      </c>
      <c r="B329" s="1">
        <v>517041636</v>
      </c>
      <c r="C329" t="s">
        <v>665</v>
      </c>
      <c r="D329" s="22">
        <v>-1087.4000000000001</v>
      </c>
      <c r="E329" t="s">
        <v>35</v>
      </c>
      <c r="F329" s="2">
        <v>212901001</v>
      </c>
      <c r="G329" s="2" t="s">
        <v>121</v>
      </c>
      <c r="L329" s="2" t="s">
        <v>666</v>
      </c>
      <c r="M329" t="s">
        <v>67</v>
      </c>
      <c r="N329" t="s">
        <v>68</v>
      </c>
      <c r="P329" s="23">
        <v>54.76</v>
      </c>
      <c r="Q329" s="4">
        <f t="shared" si="4"/>
        <v>-19.85756026296567</v>
      </c>
      <c r="R329" s="23" t="s">
        <v>109</v>
      </c>
    </row>
    <row r="330" spans="1:18" x14ac:dyDescent="0.25">
      <c r="A330" s="21">
        <v>45674</v>
      </c>
      <c r="B330" s="1">
        <v>517041639</v>
      </c>
      <c r="C330" t="s">
        <v>667</v>
      </c>
      <c r="D330" s="22">
        <v>-1087.4000000000001</v>
      </c>
      <c r="E330" t="s">
        <v>35</v>
      </c>
      <c r="F330" s="2">
        <v>212901001</v>
      </c>
      <c r="G330" s="2" t="s">
        <v>121</v>
      </c>
      <c r="L330" s="2" t="s">
        <v>668</v>
      </c>
      <c r="M330" t="s">
        <v>67</v>
      </c>
      <c r="N330" t="s">
        <v>68</v>
      </c>
      <c r="P330" s="23">
        <v>54.76</v>
      </c>
      <c r="Q330" s="4">
        <f t="shared" si="4"/>
        <v>-19.85756026296567</v>
      </c>
      <c r="R330" s="23" t="s">
        <v>109</v>
      </c>
    </row>
    <row r="331" spans="1:18" x14ac:dyDescent="0.25">
      <c r="A331" s="21">
        <v>45674</v>
      </c>
      <c r="B331" s="1">
        <v>517041638</v>
      </c>
      <c r="C331" t="s">
        <v>669</v>
      </c>
      <c r="D331" s="22">
        <v>-1087.4000000000001</v>
      </c>
      <c r="E331" t="s">
        <v>35</v>
      </c>
      <c r="F331" s="2">
        <v>212901001</v>
      </c>
      <c r="G331" s="2" t="s">
        <v>121</v>
      </c>
      <c r="L331" s="2" t="s">
        <v>670</v>
      </c>
      <c r="M331" t="s">
        <v>67</v>
      </c>
      <c r="N331" t="s">
        <v>68</v>
      </c>
      <c r="P331" s="23">
        <v>54.76</v>
      </c>
      <c r="Q331" s="4">
        <f t="shared" ref="Q331:Q394" si="5">D331/P331</f>
        <v>-19.85756026296567</v>
      </c>
      <c r="R331" s="23" t="s">
        <v>109</v>
      </c>
    </row>
    <row r="332" spans="1:18" x14ac:dyDescent="0.25">
      <c r="A332" s="21">
        <v>45674</v>
      </c>
      <c r="B332" s="1">
        <v>417041621</v>
      </c>
      <c r="C332" t="s">
        <v>671</v>
      </c>
      <c r="D332" s="22">
        <v>-2718.5</v>
      </c>
      <c r="E332" t="s">
        <v>35</v>
      </c>
      <c r="F332" s="2">
        <v>212901001</v>
      </c>
      <c r="G332" s="2" t="s">
        <v>121</v>
      </c>
      <c r="L332" s="2" t="s">
        <v>672</v>
      </c>
      <c r="M332" t="s">
        <v>67</v>
      </c>
      <c r="N332" t="s">
        <v>68</v>
      </c>
      <c r="P332" s="23">
        <v>54.76</v>
      </c>
      <c r="Q332" s="4">
        <f t="shared" si="5"/>
        <v>-49.643900657414171</v>
      </c>
      <c r="R332" s="23" t="s">
        <v>109</v>
      </c>
    </row>
    <row r="333" spans="1:18" x14ac:dyDescent="0.25">
      <c r="A333" s="21">
        <v>45674</v>
      </c>
      <c r="B333" s="1">
        <v>417041624</v>
      </c>
      <c r="C333" t="s">
        <v>673</v>
      </c>
      <c r="D333" s="22">
        <v>-2718.5</v>
      </c>
      <c r="E333" t="s">
        <v>35</v>
      </c>
      <c r="F333" s="2">
        <v>212901001</v>
      </c>
      <c r="G333" s="2" t="s">
        <v>121</v>
      </c>
      <c r="L333" s="2" t="s">
        <v>674</v>
      </c>
      <c r="M333" t="s">
        <v>67</v>
      </c>
      <c r="N333" t="s">
        <v>68</v>
      </c>
      <c r="P333" s="23">
        <v>54.76</v>
      </c>
      <c r="Q333" s="4">
        <f t="shared" si="5"/>
        <v>-49.643900657414171</v>
      </c>
      <c r="R333" s="23" t="s">
        <v>109</v>
      </c>
    </row>
    <row r="334" spans="1:18" x14ac:dyDescent="0.25">
      <c r="A334" s="21">
        <v>45674</v>
      </c>
      <c r="B334" s="1">
        <v>617041641</v>
      </c>
      <c r="C334" t="s">
        <v>675</v>
      </c>
      <c r="D334" s="22">
        <v>-5437</v>
      </c>
      <c r="E334" t="s">
        <v>35</v>
      </c>
      <c r="F334" s="2">
        <v>212901001</v>
      </c>
      <c r="G334" s="2" t="s">
        <v>121</v>
      </c>
      <c r="L334" s="2" t="s">
        <v>676</v>
      </c>
      <c r="M334" t="s">
        <v>67</v>
      </c>
      <c r="N334" t="s">
        <v>68</v>
      </c>
      <c r="P334" s="23">
        <v>54.76</v>
      </c>
      <c r="Q334" s="4">
        <f t="shared" si="5"/>
        <v>-99.287801314828343</v>
      </c>
      <c r="R334" s="23" t="s">
        <v>109</v>
      </c>
    </row>
    <row r="335" spans="1:18" x14ac:dyDescent="0.25">
      <c r="A335" s="21">
        <v>45674</v>
      </c>
      <c r="B335" s="1">
        <v>617041642</v>
      </c>
      <c r="C335" t="s">
        <v>677</v>
      </c>
      <c r="D335" s="22">
        <v>-10874</v>
      </c>
      <c r="E335" t="s">
        <v>35</v>
      </c>
      <c r="F335" s="2">
        <v>212901001</v>
      </c>
      <c r="G335" s="2" t="s">
        <v>121</v>
      </c>
      <c r="L335" s="2" t="s">
        <v>678</v>
      </c>
      <c r="M335" t="s">
        <v>67</v>
      </c>
      <c r="N335" t="s">
        <v>68</v>
      </c>
      <c r="P335" s="23">
        <v>54.76</v>
      </c>
      <c r="Q335" s="4">
        <f t="shared" si="5"/>
        <v>-198.57560262965669</v>
      </c>
      <c r="R335" s="23" t="s">
        <v>109</v>
      </c>
    </row>
    <row r="336" spans="1:18" x14ac:dyDescent="0.25">
      <c r="A336" s="21">
        <v>45674</v>
      </c>
      <c r="B336" s="1">
        <v>617041643</v>
      </c>
      <c r="C336" t="s">
        <v>679</v>
      </c>
      <c r="D336" s="22">
        <v>-6306.92</v>
      </c>
      <c r="E336" t="s">
        <v>35</v>
      </c>
      <c r="F336" s="2">
        <v>212901001</v>
      </c>
      <c r="G336" s="2" t="s">
        <v>121</v>
      </c>
      <c r="L336" s="2" t="s">
        <v>680</v>
      </c>
      <c r="M336" t="s">
        <v>67</v>
      </c>
      <c r="N336" t="s">
        <v>68</v>
      </c>
      <c r="P336" s="23">
        <v>54.76</v>
      </c>
      <c r="Q336" s="4">
        <f t="shared" si="5"/>
        <v>-115.17384952520088</v>
      </c>
      <c r="R336" s="23" t="s">
        <v>109</v>
      </c>
    </row>
    <row r="337" spans="1:20" x14ac:dyDescent="0.25">
      <c r="A337" s="21">
        <v>45674</v>
      </c>
      <c r="B337" s="1">
        <v>517041635</v>
      </c>
      <c r="C337" t="s">
        <v>681</v>
      </c>
      <c r="D337" s="22">
        <v>-2718.5</v>
      </c>
      <c r="E337" t="s">
        <v>35</v>
      </c>
      <c r="F337" s="2">
        <v>212901001</v>
      </c>
      <c r="G337" s="2" t="s">
        <v>121</v>
      </c>
      <c r="L337" s="2" t="s">
        <v>682</v>
      </c>
      <c r="M337" t="s">
        <v>67</v>
      </c>
      <c r="N337" t="s">
        <v>68</v>
      </c>
      <c r="P337" s="23">
        <v>54.76</v>
      </c>
      <c r="Q337" s="4">
        <f t="shared" si="5"/>
        <v>-49.643900657414171</v>
      </c>
      <c r="R337" s="23" t="s">
        <v>109</v>
      </c>
    </row>
    <row r="338" spans="1:20" x14ac:dyDescent="0.25">
      <c r="A338" s="21">
        <v>45674</v>
      </c>
      <c r="B338" s="1">
        <v>617041640</v>
      </c>
      <c r="C338" t="s">
        <v>683</v>
      </c>
      <c r="D338" s="22">
        <v>-1087.4000000000001</v>
      </c>
      <c r="E338" t="s">
        <v>35</v>
      </c>
      <c r="F338" s="2">
        <v>212901001</v>
      </c>
      <c r="G338" s="2" t="s">
        <v>121</v>
      </c>
      <c r="L338" s="2" t="s">
        <v>684</v>
      </c>
      <c r="M338" t="s">
        <v>67</v>
      </c>
      <c r="N338" t="s">
        <v>68</v>
      </c>
      <c r="P338" s="23">
        <v>54.76</v>
      </c>
      <c r="Q338" s="4">
        <f t="shared" si="5"/>
        <v>-19.85756026296567</v>
      </c>
      <c r="R338" s="23" t="s">
        <v>109</v>
      </c>
    </row>
    <row r="339" spans="1:20" x14ac:dyDescent="0.25">
      <c r="A339" s="21">
        <v>45674</v>
      </c>
      <c r="B339" s="1">
        <v>617041645</v>
      </c>
      <c r="C339" t="s">
        <v>685</v>
      </c>
      <c r="D339" s="22">
        <v>-1631.1</v>
      </c>
      <c r="E339" t="s">
        <v>35</v>
      </c>
      <c r="F339" s="2">
        <v>212901001</v>
      </c>
      <c r="G339" s="2" t="s">
        <v>121</v>
      </c>
      <c r="L339" s="2" t="s">
        <v>686</v>
      </c>
      <c r="M339" t="s">
        <v>67</v>
      </c>
      <c r="N339" t="s">
        <v>68</v>
      </c>
      <c r="P339" s="23">
        <v>54.76</v>
      </c>
      <c r="Q339" s="4">
        <f t="shared" si="5"/>
        <v>-29.786340394448501</v>
      </c>
      <c r="R339" s="23" t="s">
        <v>109</v>
      </c>
    </row>
    <row r="340" spans="1:20" x14ac:dyDescent="0.25">
      <c r="A340" s="21">
        <v>45674</v>
      </c>
      <c r="B340" s="1">
        <v>617041646</v>
      </c>
      <c r="C340" t="s">
        <v>687</v>
      </c>
      <c r="D340" s="22">
        <v>-2174.8000000000002</v>
      </c>
      <c r="E340" t="s">
        <v>35</v>
      </c>
      <c r="F340" s="2">
        <v>212901001</v>
      </c>
      <c r="G340" s="2" t="s">
        <v>121</v>
      </c>
      <c r="L340" s="2" t="s">
        <v>688</v>
      </c>
      <c r="M340" t="s">
        <v>67</v>
      </c>
      <c r="N340" t="s">
        <v>68</v>
      </c>
      <c r="P340" s="23">
        <v>54.76</v>
      </c>
      <c r="Q340" s="4">
        <f t="shared" si="5"/>
        <v>-39.71512052593134</v>
      </c>
      <c r="R340" s="23" t="s">
        <v>109</v>
      </c>
    </row>
    <row r="341" spans="1:20" x14ac:dyDescent="0.25">
      <c r="A341" s="21">
        <v>45674</v>
      </c>
      <c r="B341" s="1">
        <v>50141637</v>
      </c>
      <c r="C341" t="s">
        <v>689</v>
      </c>
      <c r="D341" s="22">
        <v>-7611.8</v>
      </c>
      <c r="E341" t="s">
        <v>35</v>
      </c>
      <c r="F341" s="2">
        <v>212901001</v>
      </c>
      <c r="G341" s="2" t="s">
        <v>121</v>
      </c>
      <c r="L341" s="2" t="s">
        <v>690</v>
      </c>
      <c r="M341" t="s">
        <v>67</v>
      </c>
      <c r="N341" t="s">
        <v>68</v>
      </c>
      <c r="P341" s="23">
        <v>54.76</v>
      </c>
      <c r="Q341" s="4">
        <f t="shared" si="5"/>
        <v>-139.00292184075968</v>
      </c>
      <c r="R341" s="23" t="s">
        <v>109</v>
      </c>
    </row>
    <row r="342" spans="1:20" x14ac:dyDescent="0.25">
      <c r="A342" s="21">
        <v>45674</v>
      </c>
      <c r="B342" s="1">
        <v>50141637</v>
      </c>
      <c r="C342" t="s">
        <v>296</v>
      </c>
      <c r="D342" s="22">
        <v>-11.41</v>
      </c>
      <c r="E342" t="s">
        <v>35</v>
      </c>
      <c r="F342" s="2">
        <v>610148001</v>
      </c>
      <c r="G342" s="2" t="s">
        <v>42</v>
      </c>
      <c r="L342" s="2" t="s">
        <v>691</v>
      </c>
      <c r="M342" t="s">
        <v>43</v>
      </c>
      <c r="N342" t="s">
        <v>42</v>
      </c>
      <c r="P342" s="23">
        <v>54.76</v>
      </c>
      <c r="Q342" s="4">
        <f t="shared" si="5"/>
        <v>-0.20836376917457999</v>
      </c>
      <c r="R342" s="23" t="s">
        <v>109</v>
      </c>
      <c r="T342" s="23" t="s">
        <v>44</v>
      </c>
    </row>
    <row r="343" spans="1:20" x14ac:dyDescent="0.25">
      <c r="A343" s="21">
        <v>45674</v>
      </c>
      <c r="B343" s="1">
        <v>50141637</v>
      </c>
      <c r="C343" t="s">
        <v>118</v>
      </c>
      <c r="D343" s="22">
        <v>-607.85</v>
      </c>
      <c r="E343" t="s">
        <v>35</v>
      </c>
      <c r="F343" s="2">
        <v>610148001</v>
      </c>
      <c r="G343" s="2" t="s">
        <v>42</v>
      </c>
      <c r="L343" s="2" t="s">
        <v>692</v>
      </c>
      <c r="M343" t="s">
        <v>43</v>
      </c>
      <c r="N343" t="s">
        <v>42</v>
      </c>
      <c r="P343" s="23">
        <v>54.76</v>
      </c>
      <c r="Q343" s="4">
        <f t="shared" si="5"/>
        <v>-11.100255661066473</v>
      </c>
      <c r="R343" s="23" t="s">
        <v>109</v>
      </c>
      <c r="T343" s="23" t="s">
        <v>44</v>
      </c>
    </row>
    <row r="344" spans="1:20" x14ac:dyDescent="0.25">
      <c r="A344" s="21">
        <v>45674</v>
      </c>
      <c r="B344" s="1">
        <v>170341026</v>
      </c>
      <c r="C344" t="s">
        <v>693</v>
      </c>
      <c r="D344" s="22">
        <v>200000</v>
      </c>
      <c r="E344" t="s">
        <v>46</v>
      </c>
      <c r="F344" s="2">
        <v>210115002</v>
      </c>
      <c r="G344" s="2" t="s">
        <v>47</v>
      </c>
      <c r="L344" s="2" t="s">
        <v>694</v>
      </c>
      <c r="N344" t="s">
        <v>693</v>
      </c>
      <c r="P344" s="23">
        <v>54.76</v>
      </c>
      <c r="Q344" s="4">
        <f t="shared" si="5"/>
        <v>3652.3009495982469</v>
      </c>
      <c r="R344" s="23" t="s">
        <v>109</v>
      </c>
    </row>
    <row r="345" spans="1:20" x14ac:dyDescent="0.25">
      <c r="A345" s="21">
        <v>45674</v>
      </c>
      <c r="B345" s="1">
        <v>270341219</v>
      </c>
      <c r="C345" t="s">
        <v>693</v>
      </c>
      <c r="D345" s="22">
        <v>50000</v>
      </c>
      <c r="E345" t="s">
        <v>46</v>
      </c>
      <c r="F345" s="2">
        <v>210115002</v>
      </c>
      <c r="G345" s="2" t="s">
        <v>47</v>
      </c>
      <c r="L345" s="2" t="s">
        <v>695</v>
      </c>
      <c r="N345" t="s">
        <v>693</v>
      </c>
      <c r="P345" s="23">
        <v>54.76</v>
      </c>
      <c r="Q345" s="4">
        <f t="shared" si="5"/>
        <v>913.07523739956173</v>
      </c>
      <c r="R345" s="23" t="s">
        <v>109</v>
      </c>
    </row>
    <row r="346" spans="1:20" x14ac:dyDescent="0.25">
      <c r="A346" s="21">
        <v>45674</v>
      </c>
      <c r="B346" s="1">
        <v>717047985</v>
      </c>
      <c r="C346" t="s">
        <v>696</v>
      </c>
      <c r="D346" s="22">
        <v>-15169.32</v>
      </c>
      <c r="E346" t="s">
        <v>35</v>
      </c>
      <c r="F346" s="2">
        <v>210101001</v>
      </c>
      <c r="G346" s="2" t="s">
        <v>36</v>
      </c>
      <c r="L346" s="2" t="s">
        <v>697</v>
      </c>
      <c r="M346" t="s">
        <v>698</v>
      </c>
      <c r="N346" t="s">
        <v>104</v>
      </c>
      <c r="P346" s="23">
        <v>54.76</v>
      </c>
      <c r="Q346" s="4">
        <f t="shared" si="5"/>
        <v>-277.01460920379839</v>
      </c>
      <c r="R346" s="23" t="s">
        <v>109</v>
      </c>
    </row>
    <row r="347" spans="1:20" x14ac:dyDescent="0.25">
      <c r="A347" s="21">
        <v>45674</v>
      </c>
      <c r="B347" s="1">
        <v>717047984</v>
      </c>
      <c r="C347" t="s">
        <v>699</v>
      </c>
      <c r="D347" s="22">
        <v>-193990.64</v>
      </c>
      <c r="E347" t="s">
        <v>35</v>
      </c>
      <c r="F347" s="2">
        <v>210101001</v>
      </c>
      <c r="G347" s="2" t="s">
        <v>36</v>
      </c>
      <c r="L347" s="2" t="s">
        <v>700</v>
      </c>
      <c r="M347" t="s">
        <v>38</v>
      </c>
      <c r="N347" t="s">
        <v>39</v>
      </c>
      <c r="P347" s="23">
        <v>54.76</v>
      </c>
      <c r="Q347" s="4">
        <f t="shared" si="5"/>
        <v>-3542.5609934258587</v>
      </c>
      <c r="R347" s="23" t="s">
        <v>109</v>
      </c>
    </row>
    <row r="348" spans="1:20" x14ac:dyDescent="0.25">
      <c r="A348" s="21">
        <v>45674</v>
      </c>
      <c r="B348" s="1">
        <v>717047987</v>
      </c>
      <c r="C348" t="s">
        <v>701</v>
      </c>
      <c r="D348" s="22">
        <v>-3833.2</v>
      </c>
      <c r="E348" t="s">
        <v>35</v>
      </c>
      <c r="F348" s="2">
        <v>212901001</v>
      </c>
      <c r="G348" s="2" t="s">
        <v>121</v>
      </c>
      <c r="L348" s="2" t="s">
        <v>702</v>
      </c>
      <c r="M348" t="s">
        <v>67</v>
      </c>
      <c r="N348" t="s">
        <v>68</v>
      </c>
      <c r="P348" s="23">
        <v>54.76</v>
      </c>
      <c r="Q348" s="4">
        <f t="shared" si="5"/>
        <v>-70</v>
      </c>
      <c r="R348" s="23" t="s">
        <v>109</v>
      </c>
    </row>
    <row r="349" spans="1:20" x14ac:dyDescent="0.25">
      <c r="A349" s="21">
        <v>45674</v>
      </c>
      <c r="B349" s="1">
        <v>717047986</v>
      </c>
      <c r="C349" t="s">
        <v>703</v>
      </c>
      <c r="D349" s="22">
        <v>-2628.48</v>
      </c>
      <c r="E349" t="s">
        <v>35</v>
      </c>
      <c r="F349" s="2">
        <v>212901001</v>
      </c>
      <c r="G349" s="2" t="s">
        <v>121</v>
      </c>
      <c r="L349" s="2" t="s">
        <v>704</v>
      </c>
      <c r="M349" t="s">
        <v>67</v>
      </c>
      <c r="N349" t="s">
        <v>68</v>
      </c>
      <c r="P349" s="23">
        <v>54.76</v>
      </c>
      <c r="Q349" s="4">
        <f t="shared" si="5"/>
        <v>-48</v>
      </c>
      <c r="R349" s="23" t="s">
        <v>109</v>
      </c>
    </row>
    <row r="350" spans="1:20" x14ac:dyDescent="0.25">
      <c r="A350" s="21">
        <v>45674</v>
      </c>
      <c r="B350" s="1">
        <v>717047988</v>
      </c>
      <c r="C350" t="s">
        <v>705</v>
      </c>
      <c r="D350" s="22">
        <v>-2738</v>
      </c>
      <c r="E350" t="s">
        <v>35</v>
      </c>
      <c r="F350" s="2">
        <v>212901001</v>
      </c>
      <c r="G350" s="2" t="s">
        <v>121</v>
      </c>
      <c r="L350" s="2" t="s">
        <v>706</v>
      </c>
      <c r="M350" t="s">
        <v>67</v>
      </c>
      <c r="N350" t="s">
        <v>68</v>
      </c>
      <c r="P350" s="23">
        <v>54.76</v>
      </c>
      <c r="Q350" s="4">
        <f t="shared" si="5"/>
        <v>-50</v>
      </c>
      <c r="R350" s="23" t="s">
        <v>109</v>
      </c>
    </row>
    <row r="351" spans="1:20" x14ac:dyDescent="0.25">
      <c r="A351" s="21">
        <v>45674</v>
      </c>
      <c r="B351" s="1">
        <v>717047992</v>
      </c>
      <c r="C351" t="s">
        <v>145</v>
      </c>
      <c r="D351" s="22">
        <v>-1095.2</v>
      </c>
      <c r="E351" t="s">
        <v>35</v>
      </c>
      <c r="F351" s="2">
        <v>212901001</v>
      </c>
      <c r="G351" s="2" t="s">
        <v>121</v>
      </c>
      <c r="L351" s="2" t="s">
        <v>707</v>
      </c>
      <c r="M351" t="s">
        <v>67</v>
      </c>
      <c r="N351" t="s">
        <v>68</v>
      </c>
      <c r="P351" s="23">
        <v>54.76</v>
      </c>
      <c r="Q351" s="4">
        <f t="shared" si="5"/>
        <v>-20</v>
      </c>
      <c r="R351" s="23" t="s">
        <v>109</v>
      </c>
    </row>
    <row r="352" spans="1:20" x14ac:dyDescent="0.25">
      <c r="A352" s="21">
        <v>45674</v>
      </c>
      <c r="B352" s="1">
        <v>717047990</v>
      </c>
      <c r="C352" t="s">
        <v>708</v>
      </c>
      <c r="D352" s="22">
        <v>-1642.8</v>
      </c>
      <c r="E352" t="s">
        <v>35</v>
      </c>
      <c r="F352" s="2">
        <v>212901001</v>
      </c>
      <c r="G352" s="2" t="s">
        <v>121</v>
      </c>
      <c r="L352" s="2" t="s">
        <v>709</v>
      </c>
      <c r="M352" t="s">
        <v>67</v>
      </c>
      <c r="N352" t="s">
        <v>68</v>
      </c>
      <c r="P352" s="23">
        <v>54.76</v>
      </c>
      <c r="Q352" s="4">
        <f t="shared" si="5"/>
        <v>-30</v>
      </c>
      <c r="R352" s="23" t="s">
        <v>109</v>
      </c>
    </row>
    <row r="353" spans="1:21" x14ac:dyDescent="0.25">
      <c r="A353" s="21">
        <v>45674</v>
      </c>
      <c r="B353" s="1">
        <v>717047989</v>
      </c>
      <c r="C353" t="s">
        <v>710</v>
      </c>
      <c r="D353" s="22">
        <v>-547.6</v>
      </c>
      <c r="E353" t="s">
        <v>35</v>
      </c>
      <c r="F353" s="2">
        <v>212901001</v>
      </c>
      <c r="G353" s="2" t="s">
        <v>121</v>
      </c>
      <c r="L353" s="2" t="s">
        <v>711</v>
      </c>
      <c r="M353" t="s">
        <v>67</v>
      </c>
      <c r="N353" t="s">
        <v>68</v>
      </c>
      <c r="P353" s="23">
        <v>54.76</v>
      </c>
      <c r="Q353" s="4">
        <f t="shared" si="5"/>
        <v>-10</v>
      </c>
      <c r="R353" s="23" t="s">
        <v>109</v>
      </c>
    </row>
    <row r="354" spans="1:21" x14ac:dyDescent="0.25">
      <c r="A354" s="21">
        <v>45674</v>
      </c>
      <c r="B354" s="1">
        <v>817047994</v>
      </c>
      <c r="C354" t="s">
        <v>712</v>
      </c>
      <c r="D354" s="22">
        <v>-1845.43</v>
      </c>
      <c r="E354" t="s">
        <v>35</v>
      </c>
      <c r="F354" s="2">
        <v>210101001</v>
      </c>
      <c r="G354" s="2" t="s">
        <v>36</v>
      </c>
      <c r="L354" s="2" t="s">
        <v>713</v>
      </c>
      <c r="M354" t="s">
        <v>714</v>
      </c>
      <c r="N354" t="s">
        <v>715</v>
      </c>
      <c r="P354" s="23">
        <v>54.76</v>
      </c>
      <c r="Q354" s="4">
        <f t="shared" si="5"/>
        <v>-33.700328707085468</v>
      </c>
      <c r="R354" s="23" t="s">
        <v>109</v>
      </c>
    </row>
    <row r="355" spans="1:21" x14ac:dyDescent="0.25">
      <c r="A355" s="21">
        <v>45674</v>
      </c>
      <c r="B355" s="1">
        <v>717047991</v>
      </c>
      <c r="C355" t="s">
        <v>147</v>
      </c>
      <c r="D355" s="22">
        <v>-1095.2</v>
      </c>
      <c r="E355" t="s">
        <v>35</v>
      </c>
      <c r="F355" s="2">
        <v>212901001</v>
      </c>
      <c r="G355" s="2" t="s">
        <v>121</v>
      </c>
      <c r="L355" s="2" t="s">
        <v>716</v>
      </c>
      <c r="M355" t="s">
        <v>67</v>
      </c>
      <c r="N355" t="s">
        <v>68</v>
      </c>
      <c r="P355" s="23">
        <v>54.76</v>
      </c>
      <c r="Q355" s="4">
        <f t="shared" si="5"/>
        <v>-20</v>
      </c>
      <c r="R355" s="23" t="s">
        <v>109</v>
      </c>
    </row>
    <row r="356" spans="1:21" x14ac:dyDescent="0.25">
      <c r="A356" s="21">
        <v>45674</v>
      </c>
      <c r="B356" s="1">
        <v>717047993</v>
      </c>
      <c r="C356" t="s">
        <v>340</v>
      </c>
      <c r="D356" s="22">
        <v>-1095.2</v>
      </c>
      <c r="E356" t="s">
        <v>35</v>
      </c>
      <c r="F356" s="2">
        <v>212901001</v>
      </c>
      <c r="G356" s="2" t="s">
        <v>121</v>
      </c>
      <c r="L356" s="2" t="s">
        <v>717</v>
      </c>
      <c r="M356" t="s">
        <v>67</v>
      </c>
      <c r="N356" t="s">
        <v>68</v>
      </c>
      <c r="P356" s="23">
        <v>54.76</v>
      </c>
      <c r="Q356" s="4">
        <f t="shared" si="5"/>
        <v>-20</v>
      </c>
      <c r="R356" s="23" t="s">
        <v>109</v>
      </c>
    </row>
    <row r="357" spans="1:21" x14ac:dyDescent="0.25">
      <c r="A357" s="21">
        <v>45674</v>
      </c>
      <c r="B357" s="1">
        <v>50119672</v>
      </c>
      <c r="C357" t="s">
        <v>118</v>
      </c>
      <c r="D357" s="22">
        <v>-564.20000000000005</v>
      </c>
      <c r="E357" t="s">
        <v>35</v>
      </c>
      <c r="F357" s="2">
        <v>610148001</v>
      </c>
      <c r="G357" s="2" t="s">
        <v>42</v>
      </c>
      <c r="L357" s="2" t="s">
        <v>718</v>
      </c>
      <c r="M357" t="s">
        <v>43</v>
      </c>
      <c r="N357" t="s">
        <v>42</v>
      </c>
      <c r="P357" s="23">
        <v>54.76</v>
      </c>
      <c r="Q357" s="4">
        <f t="shared" si="5"/>
        <v>-10.303140978816655</v>
      </c>
      <c r="R357" s="23" t="s">
        <v>109</v>
      </c>
      <c r="T357" s="23" t="s">
        <v>44</v>
      </c>
    </row>
    <row r="358" spans="1:21" x14ac:dyDescent="0.25">
      <c r="A358" s="21">
        <v>45674</v>
      </c>
      <c r="B358" s="1">
        <v>970349084</v>
      </c>
      <c r="C358" t="s">
        <v>693</v>
      </c>
      <c r="D358" s="22">
        <v>120000</v>
      </c>
      <c r="E358" t="s">
        <v>46</v>
      </c>
      <c r="F358" s="2">
        <v>210115002</v>
      </c>
      <c r="G358" s="2" t="s">
        <v>47</v>
      </c>
      <c r="L358" s="2" t="s">
        <v>719</v>
      </c>
      <c r="N358" t="s">
        <v>693</v>
      </c>
      <c r="P358" s="23">
        <v>54.76</v>
      </c>
      <c r="Q358" s="4">
        <f t="shared" si="5"/>
        <v>2191.3805697589482</v>
      </c>
      <c r="R358" s="23" t="s">
        <v>109</v>
      </c>
    </row>
    <row r="359" spans="1:21" x14ac:dyDescent="0.25">
      <c r="A359" s="21">
        <v>45674</v>
      </c>
      <c r="B359" s="1">
        <v>117058531</v>
      </c>
      <c r="C359" t="s">
        <v>720</v>
      </c>
      <c r="D359" s="22">
        <v>-121961.47</v>
      </c>
      <c r="E359" t="s">
        <v>35</v>
      </c>
      <c r="F359" s="2">
        <v>210101001</v>
      </c>
      <c r="G359" s="2" t="s">
        <v>36</v>
      </c>
      <c r="L359" s="2" t="s">
        <v>721</v>
      </c>
      <c r="M359" t="s">
        <v>38</v>
      </c>
      <c r="N359" t="s">
        <v>39</v>
      </c>
      <c r="P359" s="23">
        <v>54.76</v>
      </c>
      <c r="Q359" s="4">
        <f t="shared" si="5"/>
        <v>-2227.1999634769904</v>
      </c>
      <c r="R359" s="23" t="s">
        <v>109</v>
      </c>
    </row>
    <row r="360" spans="1:21" x14ac:dyDescent="0.25">
      <c r="A360" s="21">
        <v>45674</v>
      </c>
      <c r="B360" s="1">
        <v>117058531</v>
      </c>
      <c r="C360" t="s">
        <v>306</v>
      </c>
      <c r="D360" s="22">
        <v>-365.88</v>
      </c>
      <c r="E360" t="s">
        <v>35</v>
      </c>
      <c r="F360" s="2">
        <v>610148001</v>
      </c>
      <c r="G360" s="2" t="s">
        <v>42</v>
      </c>
      <c r="L360" s="2" t="s">
        <v>722</v>
      </c>
      <c r="M360" t="s">
        <v>43</v>
      </c>
      <c r="N360" t="s">
        <v>42</v>
      </c>
      <c r="P360" s="23">
        <v>54.76</v>
      </c>
      <c r="Q360" s="4">
        <f t="shared" si="5"/>
        <v>-6.6815193571950333</v>
      </c>
      <c r="R360" s="23" t="s">
        <v>109</v>
      </c>
      <c r="T360" s="23" t="s">
        <v>44</v>
      </c>
    </row>
    <row r="361" spans="1:21" x14ac:dyDescent="0.25">
      <c r="A361" s="21">
        <v>45674</v>
      </c>
      <c r="B361" s="1">
        <v>217065928</v>
      </c>
      <c r="C361" t="s">
        <v>723</v>
      </c>
      <c r="D361" s="22">
        <v>-457.25</v>
      </c>
      <c r="E361" t="s">
        <v>35</v>
      </c>
      <c r="F361" s="2">
        <v>110114001</v>
      </c>
      <c r="G361" s="2" t="s">
        <v>301</v>
      </c>
      <c r="L361" s="2" t="s">
        <v>724</v>
      </c>
      <c r="M361" t="s">
        <v>725</v>
      </c>
      <c r="N361" t="s">
        <v>726</v>
      </c>
      <c r="P361" s="23">
        <v>54.76</v>
      </c>
      <c r="Q361" s="4">
        <f t="shared" si="5"/>
        <v>-8.3500730460189931</v>
      </c>
      <c r="R361" s="23" t="s">
        <v>109</v>
      </c>
      <c r="S361" s="33" t="s">
        <v>305</v>
      </c>
      <c r="U361" t="s">
        <v>28</v>
      </c>
    </row>
    <row r="362" spans="1:21" x14ac:dyDescent="0.25">
      <c r="A362" s="21">
        <v>45674</v>
      </c>
      <c r="B362" s="1">
        <v>317065930</v>
      </c>
      <c r="C362" t="s">
        <v>727</v>
      </c>
      <c r="D362" s="22">
        <v>-371.9</v>
      </c>
      <c r="E362" t="s">
        <v>35</v>
      </c>
      <c r="F362" s="2">
        <v>210101001</v>
      </c>
      <c r="G362" s="2" t="s">
        <v>36</v>
      </c>
      <c r="L362" s="2" t="s">
        <v>728</v>
      </c>
      <c r="M362" t="s">
        <v>729</v>
      </c>
      <c r="N362" t="s">
        <v>730</v>
      </c>
      <c r="P362" s="23">
        <v>54.76</v>
      </c>
      <c r="Q362" s="4">
        <f t="shared" si="5"/>
        <v>-6.7914536157779395</v>
      </c>
      <c r="R362" s="23" t="s">
        <v>109</v>
      </c>
    </row>
    <row r="363" spans="1:21" x14ac:dyDescent="0.25">
      <c r="A363" s="21">
        <v>45674</v>
      </c>
      <c r="B363" s="1">
        <v>317065929</v>
      </c>
      <c r="C363" t="s">
        <v>731</v>
      </c>
      <c r="D363" s="22">
        <v>-7774.8</v>
      </c>
      <c r="E363" t="s">
        <v>35</v>
      </c>
      <c r="F363" s="2">
        <v>210101001</v>
      </c>
      <c r="G363" s="2" t="s">
        <v>36</v>
      </c>
      <c r="L363" s="2" t="s">
        <v>732</v>
      </c>
      <c r="M363" t="s">
        <v>114</v>
      </c>
      <c r="N363" t="s">
        <v>115</v>
      </c>
      <c r="P363" s="23">
        <v>54.76</v>
      </c>
      <c r="Q363" s="4">
        <f t="shared" si="5"/>
        <v>-141.97954711468225</v>
      </c>
      <c r="R363" s="23" t="s">
        <v>109</v>
      </c>
    </row>
    <row r="364" spans="1:21" x14ac:dyDescent="0.25">
      <c r="A364" s="21">
        <v>45674</v>
      </c>
      <c r="B364" s="1">
        <v>50183552</v>
      </c>
      <c r="C364" t="s">
        <v>118</v>
      </c>
      <c r="D364" s="22">
        <v>-21.5</v>
      </c>
      <c r="E364" t="s">
        <v>35</v>
      </c>
      <c r="F364" s="2">
        <v>610148001</v>
      </c>
      <c r="G364" s="2" t="s">
        <v>42</v>
      </c>
      <c r="L364" s="2" t="s">
        <v>733</v>
      </c>
      <c r="M364" t="s">
        <v>43</v>
      </c>
      <c r="N364" t="s">
        <v>42</v>
      </c>
      <c r="P364" s="23">
        <v>54.76</v>
      </c>
      <c r="Q364" s="4">
        <f t="shared" si="5"/>
        <v>-0.39262235208181157</v>
      </c>
      <c r="R364" s="23" t="s">
        <v>109</v>
      </c>
      <c r="T364" s="23" t="s">
        <v>44</v>
      </c>
    </row>
    <row r="365" spans="1:21" x14ac:dyDescent="0.25">
      <c r="A365" s="21">
        <v>45674</v>
      </c>
      <c r="B365" s="1">
        <v>317067777</v>
      </c>
      <c r="C365" t="s">
        <v>734</v>
      </c>
      <c r="D365" s="22">
        <v>-1231.4000000000001</v>
      </c>
      <c r="E365" t="s">
        <v>35</v>
      </c>
      <c r="F365" s="2">
        <v>210101001</v>
      </c>
      <c r="G365" s="2" t="s">
        <v>36</v>
      </c>
      <c r="L365" s="2" t="s">
        <v>735</v>
      </c>
      <c r="M365" t="s">
        <v>114</v>
      </c>
      <c r="N365" t="s">
        <v>115</v>
      </c>
      <c r="P365" s="23">
        <v>54.76</v>
      </c>
      <c r="Q365" s="4">
        <f t="shared" si="5"/>
        <v>-22.487216946676408</v>
      </c>
      <c r="R365" s="23" t="s">
        <v>109</v>
      </c>
    </row>
    <row r="366" spans="1:21" x14ac:dyDescent="0.25">
      <c r="A366" s="21">
        <v>45674</v>
      </c>
      <c r="B366" s="1">
        <v>317067777</v>
      </c>
      <c r="C366" t="s">
        <v>306</v>
      </c>
      <c r="D366" s="22">
        <v>-3.69</v>
      </c>
      <c r="E366" t="s">
        <v>35</v>
      </c>
      <c r="F366" s="2">
        <v>610148001</v>
      </c>
      <c r="G366" s="2" t="s">
        <v>42</v>
      </c>
      <c r="L366" s="2" t="s">
        <v>736</v>
      </c>
      <c r="M366" t="s">
        <v>43</v>
      </c>
      <c r="N366" t="s">
        <v>42</v>
      </c>
      <c r="P366" s="23">
        <v>54.76</v>
      </c>
      <c r="Q366" s="4">
        <f t="shared" si="5"/>
        <v>-6.7384952520087651E-2</v>
      </c>
      <c r="R366" s="23" t="s">
        <v>109</v>
      </c>
      <c r="T366" s="23" t="s">
        <v>44</v>
      </c>
    </row>
    <row r="367" spans="1:21" x14ac:dyDescent="0.25">
      <c r="A367" s="21">
        <v>45677</v>
      </c>
      <c r="B367" s="1">
        <v>317190137</v>
      </c>
      <c r="C367" t="s">
        <v>737</v>
      </c>
      <c r="D367" s="22">
        <v>-2745.5</v>
      </c>
      <c r="E367" t="s">
        <v>35</v>
      </c>
      <c r="F367" s="2">
        <v>210101001</v>
      </c>
      <c r="G367" s="2" t="s">
        <v>36</v>
      </c>
      <c r="L367" s="2" t="s">
        <v>738</v>
      </c>
      <c r="M367" t="s">
        <v>114</v>
      </c>
      <c r="N367" t="s">
        <v>115</v>
      </c>
      <c r="P367" s="23">
        <v>54.91</v>
      </c>
      <c r="Q367" s="4">
        <f t="shared" si="5"/>
        <v>-50</v>
      </c>
      <c r="R367" s="23" t="s">
        <v>109</v>
      </c>
    </row>
    <row r="368" spans="1:21" x14ac:dyDescent="0.25">
      <c r="A368" s="21">
        <v>45677</v>
      </c>
      <c r="B368" s="1">
        <v>317190137</v>
      </c>
      <c r="C368" t="s">
        <v>306</v>
      </c>
      <c r="D368" s="22">
        <v>-8.24</v>
      </c>
      <c r="E368" t="s">
        <v>35</v>
      </c>
      <c r="F368" s="2">
        <v>610148001</v>
      </c>
      <c r="G368" s="2" t="s">
        <v>42</v>
      </c>
      <c r="L368" s="2" t="s">
        <v>739</v>
      </c>
      <c r="M368" t="s">
        <v>43</v>
      </c>
      <c r="N368" t="s">
        <v>42</v>
      </c>
      <c r="P368" s="23">
        <v>54.91</v>
      </c>
      <c r="Q368" s="4">
        <f t="shared" si="5"/>
        <v>-0.15006374066654526</v>
      </c>
      <c r="R368" s="23" t="s">
        <v>109</v>
      </c>
      <c r="T368" s="23" t="s">
        <v>44</v>
      </c>
    </row>
    <row r="369" spans="1:21" x14ac:dyDescent="0.25">
      <c r="A369" s="21">
        <v>45677</v>
      </c>
      <c r="B369" s="1">
        <v>112938266</v>
      </c>
      <c r="C369" t="s">
        <v>740</v>
      </c>
      <c r="D369" s="22">
        <v>-1109.19</v>
      </c>
      <c r="E369" t="s">
        <v>35</v>
      </c>
      <c r="F369" s="2">
        <v>210101001</v>
      </c>
      <c r="G369" s="2" t="s">
        <v>36</v>
      </c>
      <c r="L369" s="2" t="s">
        <v>741</v>
      </c>
      <c r="M369" t="s">
        <v>742</v>
      </c>
      <c r="N369" t="s">
        <v>743</v>
      </c>
      <c r="P369" s="23">
        <v>54.91</v>
      </c>
      <c r="Q369" s="4">
        <f t="shared" si="5"/>
        <v>-20.200145692952105</v>
      </c>
      <c r="R369" s="23" t="s">
        <v>109</v>
      </c>
    </row>
    <row r="370" spans="1:21" x14ac:dyDescent="0.25">
      <c r="A370" s="21">
        <v>45678</v>
      </c>
      <c r="B370" s="1">
        <v>112610313</v>
      </c>
      <c r="C370" t="s">
        <v>744</v>
      </c>
      <c r="D370" s="22">
        <v>20000</v>
      </c>
      <c r="E370" t="s">
        <v>46</v>
      </c>
      <c r="F370" s="2">
        <v>210115002</v>
      </c>
      <c r="G370" s="2" t="s">
        <v>47</v>
      </c>
      <c r="L370" s="2" t="s">
        <v>745</v>
      </c>
      <c r="N370" t="s">
        <v>744</v>
      </c>
      <c r="P370" s="23">
        <v>54.99</v>
      </c>
      <c r="Q370" s="4">
        <f t="shared" si="5"/>
        <v>363.70249136206581</v>
      </c>
      <c r="R370" s="23" t="s">
        <v>109</v>
      </c>
    </row>
    <row r="371" spans="1:21" x14ac:dyDescent="0.25">
      <c r="A371" s="21">
        <v>45678</v>
      </c>
      <c r="B371" s="1">
        <v>717240480</v>
      </c>
      <c r="C371" t="s">
        <v>746</v>
      </c>
      <c r="D371" s="22">
        <v>-6890.4</v>
      </c>
      <c r="E371" t="s">
        <v>35</v>
      </c>
      <c r="F371" s="2">
        <v>210101001</v>
      </c>
      <c r="G371" s="2" t="s">
        <v>36</v>
      </c>
      <c r="L371" s="2" t="s">
        <v>747</v>
      </c>
      <c r="M371" t="s">
        <v>534</v>
      </c>
      <c r="N371" t="s">
        <v>535</v>
      </c>
      <c r="P371" s="23">
        <v>54.99</v>
      </c>
      <c r="Q371" s="4">
        <f t="shared" si="5"/>
        <v>-125.30278232405891</v>
      </c>
      <c r="R371" s="23" t="s">
        <v>109</v>
      </c>
    </row>
    <row r="372" spans="1:21" x14ac:dyDescent="0.25">
      <c r="A372" s="21">
        <v>45678</v>
      </c>
      <c r="B372" s="1">
        <v>717240480</v>
      </c>
      <c r="C372" t="s">
        <v>306</v>
      </c>
      <c r="D372" s="22">
        <v>-20.67</v>
      </c>
      <c r="E372" t="s">
        <v>35</v>
      </c>
      <c r="F372" s="2">
        <v>610148001</v>
      </c>
      <c r="G372" s="2" t="s">
        <v>42</v>
      </c>
      <c r="L372" s="2" t="s">
        <v>748</v>
      </c>
      <c r="M372" t="s">
        <v>43</v>
      </c>
      <c r="N372" t="s">
        <v>42</v>
      </c>
      <c r="P372" s="23">
        <v>54.99</v>
      </c>
      <c r="Q372" s="4">
        <f t="shared" si="5"/>
        <v>-0.37588652482269508</v>
      </c>
      <c r="R372" s="23" t="s">
        <v>109</v>
      </c>
      <c r="T372" s="23" t="s">
        <v>44</v>
      </c>
    </row>
    <row r="373" spans="1:21" x14ac:dyDescent="0.25">
      <c r="A373" s="21">
        <v>45678</v>
      </c>
      <c r="B373" s="1">
        <v>417240537</v>
      </c>
      <c r="C373" t="s">
        <v>749</v>
      </c>
      <c r="D373" s="22">
        <v>-21909.09</v>
      </c>
      <c r="E373" t="s">
        <v>35</v>
      </c>
      <c r="F373" s="2">
        <v>210101001</v>
      </c>
      <c r="G373" s="2" t="s">
        <v>36</v>
      </c>
      <c r="L373" s="2" t="s">
        <v>750</v>
      </c>
      <c r="M373" t="s">
        <v>751</v>
      </c>
      <c r="N373" t="s">
        <v>752</v>
      </c>
      <c r="P373" s="23">
        <v>54.99</v>
      </c>
      <c r="Q373" s="4">
        <f t="shared" si="5"/>
        <v>-398.41953082378615</v>
      </c>
      <c r="R373" s="23" t="s">
        <v>109</v>
      </c>
    </row>
    <row r="374" spans="1:21" x14ac:dyDescent="0.25">
      <c r="A374" s="21">
        <v>45678</v>
      </c>
      <c r="B374" s="1">
        <v>417240537</v>
      </c>
      <c r="C374" t="s">
        <v>306</v>
      </c>
      <c r="D374" s="22">
        <v>-65.73</v>
      </c>
      <c r="E374" t="s">
        <v>35</v>
      </c>
      <c r="F374" s="2">
        <v>610148001</v>
      </c>
      <c r="G374" s="2" t="s">
        <v>42</v>
      </c>
      <c r="L374" s="2" t="s">
        <v>753</v>
      </c>
      <c r="M374" t="s">
        <v>43</v>
      </c>
      <c r="N374" t="s">
        <v>42</v>
      </c>
      <c r="P374" s="23">
        <v>54.99</v>
      </c>
      <c r="Q374" s="4">
        <f t="shared" si="5"/>
        <v>-1.1953082378614295</v>
      </c>
      <c r="R374" s="23" t="s">
        <v>109</v>
      </c>
      <c r="T374" s="23" t="s">
        <v>44</v>
      </c>
    </row>
    <row r="375" spans="1:21" x14ac:dyDescent="0.25">
      <c r="A375" s="21">
        <v>45678</v>
      </c>
      <c r="B375" s="1">
        <v>133953217</v>
      </c>
      <c r="C375" t="s">
        <v>744</v>
      </c>
      <c r="D375" s="22">
        <v>40000</v>
      </c>
      <c r="E375" t="s">
        <v>46</v>
      </c>
      <c r="F375" s="2">
        <v>210115002</v>
      </c>
      <c r="G375" s="2" t="s">
        <v>47</v>
      </c>
      <c r="L375" s="2" t="s">
        <v>754</v>
      </c>
      <c r="N375" t="s">
        <v>744</v>
      </c>
      <c r="P375" s="23">
        <v>54.99</v>
      </c>
      <c r="Q375" s="4">
        <f t="shared" si="5"/>
        <v>727.40498272413163</v>
      </c>
      <c r="R375" s="23" t="s">
        <v>109</v>
      </c>
    </row>
    <row r="376" spans="1:21" x14ac:dyDescent="0.25">
      <c r="A376" s="21">
        <v>45678</v>
      </c>
      <c r="B376" s="1">
        <v>817248402</v>
      </c>
      <c r="C376" t="s">
        <v>755</v>
      </c>
      <c r="D376" s="22">
        <v>-40120.71</v>
      </c>
      <c r="E376" t="s">
        <v>35</v>
      </c>
      <c r="F376" s="2">
        <v>210101001</v>
      </c>
      <c r="G376" s="2" t="s">
        <v>36</v>
      </c>
      <c r="L376" s="2" t="s">
        <v>756</v>
      </c>
      <c r="M376" t="s">
        <v>714</v>
      </c>
      <c r="N376" t="s">
        <v>715</v>
      </c>
      <c r="P376" s="23">
        <v>54.99</v>
      </c>
      <c r="Q376" s="4">
        <f t="shared" si="5"/>
        <v>-729.60010911074733</v>
      </c>
      <c r="R376" s="23" t="s">
        <v>109</v>
      </c>
    </row>
    <row r="377" spans="1:21" x14ac:dyDescent="0.25">
      <c r="A377" s="21">
        <v>45678</v>
      </c>
      <c r="B377" s="1">
        <v>817248402</v>
      </c>
      <c r="C377" t="s">
        <v>306</v>
      </c>
      <c r="D377" s="22">
        <v>-120.36</v>
      </c>
      <c r="E377" t="s">
        <v>35</v>
      </c>
      <c r="F377" s="2">
        <v>610148001</v>
      </c>
      <c r="G377" s="2" t="s">
        <v>42</v>
      </c>
      <c r="L377" s="2" t="s">
        <v>757</v>
      </c>
      <c r="M377" t="s">
        <v>43</v>
      </c>
      <c r="N377" t="s">
        <v>42</v>
      </c>
      <c r="P377" s="23">
        <v>54.99</v>
      </c>
      <c r="Q377" s="4">
        <f t="shared" si="5"/>
        <v>-2.188761593016912</v>
      </c>
      <c r="R377" s="23" t="s">
        <v>109</v>
      </c>
      <c r="T377" s="23" t="s">
        <v>44</v>
      </c>
    </row>
    <row r="378" spans="1:21" x14ac:dyDescent="0.25">
      <c r="A378" s="21">
        <v>45678</v>
      </c>
      <c r="B378" s="1">
        <v>917248469</v>
      </c>
      <c r="C378" t="s">
        <v>758</v>
      </c>
      <c r="D378" s="22">
        <v>-719.46</v>
      </c>
      <c r="E378" t="s">
        <v>35</v>
      </c>
      <c r="F378" s="2">
        <v>110114001</v>
      </c>
      <c r="G378" s="2" t="s">
        <v>301</v>
      </c>
      <c r="L378" s="2" t="s">
        <v>759</v>
      </c>
      <c r="M378" t="s">
        <v>760</v>
      </c>
      <c r="N378" t="s">
        <v>761</v>
      </c>
      <c r="P378" s="23">
        <v>54.99</v>
      </c>
      <c r="Q378" s="4">
        <f t="shared" si="5"/>
        <v>-13.083469721767594</v>
      </c>
      <c r="R378" s="23" t="s">
        <v>109</v>
      </c>
      <c r="S378" s="33" t="s">
        <v>305</v>
      </c>
      <c r="U378" t="s">
        <v>28</v>
      </c>
    </row>
    <row r="379" spans="1:21" x14ac:dyDescent="0.25">
      <c r="A379" s="21">
        <v>45678</v>
      </c>
      <c r="B379" s="1">
        <v>917248469</v>
      </c>
      <c r="C379" t="s">
        <v>306</v>
      </c>
      <c r="D379" s="22">
        <v>-2.16</v>
      </c>
      <c r="E379" t="s">
        <v>35</v>
      </c>
      <c r="F379" s="2">
        <v>610148001</v>
      </c>
      <c r="G379" s="2" t="s">
        <v>42</v>
      </c>
      <c r="L379" s="2" t="s">
        <v>762</v>
      </c>
      <c r="M379" t="s">
        <v>43</v>
      </c>
      <c r="N379" t="s">
        <v>42</v>
      </c>
      <c r="P379" s="23">
        <v>54.99</v>
      </c>
      <c r="Q379" s="4">
        <f t="shared" si="5"/>
        <v>-3.927986906710311E-2</v>
      </c>
      <c r="R379" s="23" t="s">
        <v>109</v>
      </c>
      <c r="T379" s="23" t="s">
        <v>44</v>
      </c>
    </row>
    <row r="380" spans="1:21" x14ac:dyDescent="0.25">
      <c r="A380" s="21">
        <v>45679</v>
      </c>
      <c r="B380" s="1">
        <v>81610495</v>
      </c>
      <c r="C380" t="s">
        <v>107</v>
      </c>
      <c r="D380" s="22">
        <v>215000</v>
      </c>
      <c r="E380" t="s">
        <v>46</v>
      </c>
      <c r="F380" s="2">
        <v>210115002</v>
      </c>
      <c r="G380" s="2" t="s">
        <v>47</v>
      </c>
      <c r="L380" s="2" t="s">
        <v>763</v>
      </c>
      <c r="N380" t="s">
        <v>107</v>
      </c>
      <c r="P380" s="23">
        <v>55.3</v>
      </c>
      <c r="Q380" s="4">
        <f t="shared" si="5"/>
        <v>3887.8842676311033</v>
      </c>
      <c r="R380" s="23" t="s">
        <v>109</v>
      </c>
    </row>
    <row r="381" spans="1:21" x14ac:dyDescent="0.25">
      <c r="A381" s="21">
        <v>45679</v>
      </c>
      <c r="B381" s="1">
        <v>81734040</v>
      </c>
      <c r="C381" t="s">
        <v>764</v>
      </c>
      <c r="D381" s="30">
        <v>-214200</v>
      </c>
      <c r="E381" t="s">
        <v>35</v>
      </c>
      <c r="F381" s="2">
        <v>610122005</v>
      </c>
      <c r="G381" s="2" t="s">
        <v>765</v>
      </c>
      <c r="L381" s="2" t="s">
        <v>766</v>
      </c>
      <c r="M381" t="s">
        <v>767</v>
      </c>
      <c r="N381" t="s">
        <v>768</v>
      </c>
      <c r="O381" s="27" t="s">
        <v>59</v>
      </c>
      <c r="P381" s="23">
        <v>52.57</v>
      </c>
      <c r="Q381" s="4">
        <f t="shared" si="5"/>
        <v>-4074.5672436750997</v>
      </c>
      <c r="R381" s="23" t="s">
        <v>109</v>
      </c>
      <c r="T381" s="23" t="s">
        <v>769</v>
      </c>
    </row>
    <row r="382" spans="1:21" x14ac:dyDescent="0.25">
      <c r="A382" s="21">
        <v>45680</v>
      </c>
      <c r="B382" s="1">
        <v>617348478</v>
      </c>
      <c r="C382" t="s">
        <v>770</v>
      </c>
      <c r="D382" s="22">
        <v>-2230.4</v>
      </c>
      <c r="E382" t="s">
        <v>35</v>
      </c>
      <c r="F382" s="2">
        <v>110114001</v>
      </c>
      <c r="G382" s="2" t="s">
        <v>301</v>
      </c>
      <c r="L382" s="2" t="s">
        <v>771</v>
      </c>
      <c r="M382" t="s">
        <v>772</v>
      </c>
      <c r="N382" t="s">
        <v>773</v>
      </c>
      <c r="P382" s="23">
        <v>55.76</v>
      </c>
      <c r="Q382" s="4">
        <f t="shared" si="5"/>
        <v>-40</v>
      </c>
      <c r="R382" s="23" t="s">
        <v>109</v>
      </c>
      <c r="S382" s="33" t="s">
        <v>305</v>
      </c>
      <c r="U382" t="s">
        <v>28</v>
      </c>
    </row>
    <row r="383" spans="1:21" x14ac:dyDescent="0.25">
      <c r="A383" s="21">
        <v>45680</v>
      </c>
      <c r="B383" s="1">
        <v>617348478</v>
      </c>
      <c r="C383" t="s">
        <v>306</v>
      </c>
      <c r="D383" s="22">
        <v>-6.69</v>
      </c>
      <c r="E383" t="s">
        <v>35</v>
      </c>
      <c r="F383" s="2">
        <v>610148001</v>
      </c>
      <c r="G383" s="2" t="s">
        <v>42</v>
      </c>
      <c r="L383" s="2" t="s">
        <v>774</v>
      </c>
      <c r="M383" t="s">
        <v>43</v>
      </c>
      <c r="N383" t="s">
        <v>42</v>
      </c>
      <c r="P383" s="23">
        <v>55.76</v>
      </c>
      <c r="Q383" s="4">
        <f t="shared" si="5"/>
        <v>-0.11997847919655669</v>
      </c>
      <c r="R383" s="23" t="s">
        <v>109</v>
      </c>
      <c r="T383" s="23" t="s">
        <v>44</v>
      </c>
    </row>
    <row r="384" spans="1:21" x14ac:dyDescent="0.25">
      <c r="A384" s="21">
        <v>45681</v>
      </c>
      <c r="B384" s="1">
        <v>104646241</v>
      </c>
      <c r="C384" t="s">
        <v>107</v>
      </c>
      <c r="D384" s="22">
        <v>50000</v>
      </c>
      <c r="E384" t="s">
        <v>46</v>
      </c>
      <c r="F384" s="2">
        <v>210115002</v>
      </c>
      <c r="G384" s="2" t="s">
        <v>47</v>
      </c>
      <c r="L384" s="2" t="s">
        <v>775</v>
      </c>
      <c r="N384" t="s">
        <v>107</v>
      </c>
      <c r="P384" s="23">
        <v>56.28</v>
      </c>
      <c r="Q384" s="4">
        <f t="shared" si="5"/>
        <v>888.41506751954512</v>
      </c>
      <c r="R384" s="23" t="s">
        <v>109</v>
      </c>
    </row>
    <row r="385" spans="1:21" x14ac:dyDescent="0.25">
      <c r="A385" s="21">
        <v>45681</v>
      </c>
      <c r="B385" s="1">
        <v>417391614</v>
      </c>
      <c r="C385" t="s">
        <v>776</v>
      </c>
      <c r="D385" s="22">
        <v>-1125.5999999999999</v>
      </c>
      <c r="E385" t="s">
        <v>35</v>
      </c>
      <c r="F385" s="2">
        <v>212901001</v>
      </c>
      <c r="G385" s="2" t="s">
        <v>121</v>
      </c>
      <c r="L385" s="2" t="s">
        <v>777</v>
      </c>
      <c r="M385" t="s">
        <v>67</v>
      </c>
      <c r="N385" t="s">
        <v>68</v>
      </c>
      <c r="P385" s="23">
        <v>56.28</v>
      </c>
      <c r="Q385" s="4">
        <f t="shared" si="5"/>
        <v>-19.999999999999996</v>
      </c>
      <c r="R385" s="23" t="s">
        <v>109</v>
      </c>
    </row>
    <row r="386" spans="1:21" x14ac:dyDescent="0.25">
      <c r="A386" s="21">
        <v>45681</v>
      </c>
      <c r="B386" s="1">
        <v>517391619</v>
      </c>
      <c r="C386" t="s">
        <v>778</v>
      </c>
      <c r="D386" s="22">
        <v>-308.20999999999998</v>
      </c>
      <c r="E386" t="s">
        <v>35</v>
      </c>
      <c r="F386" s="2">
        <v>110114001</v>
      </c>
      <c r="G386" s="2" t="s">
        <v>301</v>
      </c>
      <c r="L386" s="2" t="s">
        <v>779</v>
      </c>
      <c r="M386" t="s">
        <v>303</v>
      </c>
      <c r="N386" t="s">
        <v>304</v>
      </c>
      <c r="P386" s="23">
        <v>56.28</v>
      </c>
      <c r="Q386" s="4">
        <f t="shared" si="5"/>
        <v>-5.4763681592039797</v>
      </c>
      <c r="R386" s="23" t="s">
        <v>109</v>
      </c>
      <c r="S386" s="33" t="s">
        <v>305</v>
      </c>
      <c r="U386" t="s">
        <v>28</v>
      </c>
    </row>
    <row r="387" spans="1:21" x14ac:dyDescent="0.25">
      <c r="A387" s="21">
        <v>45681</v>
      </c>
      <c r="B387" s="1">
        <v>417391617</v>
      </c>
      <c r="C387" t="s">
        <v>780</v>
      </c>
      <c r="D387" s="22">
        <v>-9701.4</v>
      </c>
      <c r="E387" t="s">
        <v>35</v>
      </c>
      <c r="F387" s="2">
        <v>210101001</v>
      </c>
      <c r="G387" s="2" t="s">
        <v>36</v>
      </c>
      <c r="L387" s="2" t="s">
        <v>781</v>
      </c>
      <c r="M387" t="s">
        <v>114</v>
      </c>
      <c r="N387" t="s">
        <v>115</v>
      </c>
      <c r="P387" s="23">
        <v>56.28</v>
      </c>
      <c r="Q387" s="4">
        <f t="shared" si="5"/>
        <v>-172.37739872068229</v>
      </c>
      <c r="R387" s="23" t="s">
        <v>109</v>
      </c>
    </row>
    <row r="388" spans="1:21" x14ac:dyDescent="0.25">
      <c r="A388" s="21">
        <v>45681</v>
      </c>
      <c r="B388" s="1">
        <v>417391609</v>
      </c>
      <c r="C388" t="s">
        <v>782</v>
      </c>
      <c r="D388" s="22">
        <v>-2814</v>
      </c>
      <c r="E388" t="s">
        <v>35</v>
      </c>
      <c r="F388" s="2">
        <v>212901001</v>
      </c>
      <c r="G388" s="2" t="s">
        <v>121</v>
      </c>
      <c r="L388" s="2" t="s">
        <v>783</v>
      </c>
      <c r="M388" t="s">
        <v>67</v>
      </c>
      <c r="N388" t="s">
        <v>68</v>
      </c>
      <c r="P388" s="23">
        <v>56.28</v>
      </c>
      <c r="Q388" s="4">
        <f t="shared" si="5"/>
        <v>-50</v>
      </c>
      <c r="R388" s="23" t="s">
        <v>109</v>
      </c>
    </row>
    <row r="389" spans="1:21" x14ac:dyDescent="0.25">
      <c r="A389" s="21">
        <v>45681</v>
      </c>
      <c r="B389" s="1">
        <v>417391615</v>
      </c>
      <c r="C389" t="s">
        <v>784</v>
      </c>
      <c r="D389" s="22">
        <v>-1125.5999999999999</v>
      </c>
      <c r="E389" t="s">
        <v>35</v>
      </c>
      <c r="F389" s="2">
        <v>212901001</v>
      </c>
      <c r="G389" s="2" t="s">
        <v>121</v>
      </c>
      <c r="L389" s="2" t="s">
        <v>785</v>
      </c>
      <c r="M389" t="s">
        <v>67</v>
      </c>
      <c r="N389" t="s">
        <v>68</v>
      </c>
      <c r="P389" s="23">
        <v>56.28</v>
      </c>
      <c r="Q389" s="4">
        <f t="shared" si="5"/>
        <v>-19.999999999999996</v>
      </c>
      <c r="R389" s="23" t="s">
        <v>109</v>
      </c>
    </row>
    <row r="390" spans="1:21" x14ac:dyDescent="0.25">
      <c r="A390" s="21">
        <v>45681</v>
      </c>
      <c r="B390" s="1">
        <v>417391618</v>
      </c>
      <c r="C390" t="s">
        <v>786</v>
      </c>
      <c r="D390" s="22">
        <v>-326.42</v>
      </c>
      <c r="E390" t="s">
        <v>35</v>
      </c>
      <c r="F390" s="2">
        <v>110114001</v>
      </c>
      <c r="G390" s="2" t="s">
        <v>301</v>
      </c>
      <c r="L390" s="2" t="s">
        <v>787</v>
      </c>
      <c r="M390" t="s">
        <v>788</v>
      </c>
      <c r="N390" t="s">
        <v>789</v>
      </c>
      <c r="P390" s="23">
        <v>56.28</v>
      </c>
      <c r="Q390" s="4">
        <f t="shared" si="5"/>
        <v>-5.7999289267945988</v>
      </c>
      <c r="R390" s="23" t="s">
        <v>109</v>
      </c>
      <c r="S390" s="33" t="s">
        <v>305</v>
      </c>
      <c r="U390" t="s">
        <v>28</v>
      </c>
    </row>
    <row r="391" spans="1:21" x14ac:dyDescent="0.25">
      <c r="A391" s="21">
        <v>45681</v>
      </c>
      <c r="B391" s="1">
        <v>417391612</v>
      </c>
      <c r="C391" t="s">
        <v>790</v>
      </c>
      <c r="D391" s="22">
        <v>-562.79999999999995</v>
      </c>
      <c r="E391" t="s">
        <v>35</v>
      </c>
      <c r="F391" s="2">
        <v>212901001</v>
      </c>
      <c r="G391" s="2" t="s">
        <v>121</v>
      </c>
      <c r="L391" s="2" t="s">
        <v>791</v>
      </c>
      <c r="M391" t="s">
        <v>67</v>
      </c>
      <c r="N391" t="s">
        <v>68</v>
      </c>
      <c r="P391" s="23">
        <v>56.28</v>
      </c>
      <c r="Q391" s="4">
        <f t="shared" si="5"/>
        <v>-9.9999999999999982</v>
      </c>
      <c r="R391" s="23" t="s">
        <v>109</v>
      </c>
    </row>
    <row r="392" spans="1:21" x14ac:dyDescent="0.25">
      <c r="A392" s="21">
        <v>45681</v>
      </c>
      <c r="B392" s="1">
        <v>417391616</v>
      </c>
      <c r="C392" t="s">
        <v>792</v>
      </c>
      <c r="D392" s="22">
        <v>-1125.5999999999999</v>
      </c>
      <c r="E392" t="s">
        <v>35</v>
      </c>
      <c r="F392" s="2">
        <v>212901001</v>
      </c>
      <c r="G392" s="2" t="s">
        <v>121</v>
      </c>
      <c r="L392" s="2" t="s">
        <v>793</v>
      </c>
      <c r="M392" t="s">
        <v>67</v>
      </c>
      <c r="N392" t="s">
        <v>68</v>
      </c>
      <c r="P392" s="23">
        <v>56.28</v>
      </c>
      <c r="Q392" s="4">
        <f t="shared" si="5"/>
        <v>-19.999999999999996</v>
      </c>
      <c r="R392" s="23" t="s">
        <v>109</v>
      </c>
    </row>
    <row r="393" spans="1:21" x14ac:dyDescent="0.25">
      <c r="A393" s="21">
        <v>45681</v>
      </c>
      <c r="B393" s="1">
        <v>417391611</v>
      </c>
      <c r="C393" t="s">
        <v>794</v>
      </c>
      <c r="D393" s="22">
        <v>-3939.6</v>
      </c>
      <c r="E393" t="s">
        <v>35</v>
      </c>
      <c r="F393" s="2">
        <v>212901001</v>
      </c>
      <c r="G393" s="2" t="s">
        <v>121</v>
      </c>
      <c r="L393" s="2" t="s">
        <v>795</v>
      </c>
      <c r="M393" t="s">
        <v>67</v>
      </c>
      <c r="N393" t="s">
        <v>68</v>
      </c>
      <c r="P393" s="23">
        <v>56.28</v>
      </c>
      <c r="Q393" s="4">
        <f t="shared" si="5"/>
        <v>-70</v>
      </c>
      <c r="R393" s="23" t="s">
        <v>109</v>
      </c>
    </row>
    <row r="394" spans="1:21" x14ac:dyDescent="0.25">
      <c r="A394" s="21">
        <v>45681</v>
      </c>
      <c r="B394" s="1">
        <v>317391605</v>
      </c>
      <c r="C394" t="s">
        <v>796</v>
      </c>
      <c r="D394" s="22">
        <v>-3544.93</v>
      </c>
      <c r="E394" t="s">
        <v>35</v>
      </c>
      <c r="F394" s="2">
        <v>210101001</v>
      </c>
      <c r="G394" s="2" t="s">
        <v>36</v>
      </c>
      <c r="L394" s="2" t="s">
        <v>797</v>
      </c>
      <c r="M394" t="s">
        <v>534</v>
      </c>
      <c r="N394" t="s">
        <v>535</v>
      </c>
      <c r="P394" s="23">
        <v>56.28</v>
      </c>
      <c r="Q394" s="4">
        <f t="shared" si="5"/>
        <v>-62.987384506041217</v>
      </c>
      <c r="R394" s="23" t="s">
        <v>109</v>
      </c>
    </row>
    <row r="395" spans="1:21" x14ac:dyDescent="0.25">
      <c r="A395" s="21">
        <v>45681</v>
      </c>
      <c r="B395" s="1">
        <v>417391606</v>
      </c>
      <c r="C395" t="s">
        <v>798</v>
      </c>
      <c r="D395" s="22">
        <v>-19404.48</v>
      </c>
      <c r="E395" t="s">
        <v>35</v>
      </c>
      <c r="F395" s="2">
        <v>110114001</v>
      </c>
      <c r="G395" s="2" t="s">
        <v>301</v>
      </c>
      <c r="L395" s="2" t="s">
        <v>799</v>
      </c>
      <c r="M395" t="s">
        <v>303</v>
      </c>
      <c r="N395" t="s">
        <v>304</v>
      </c>
      <c r="P395" s="23">
        <v>56.28</v>
      </c>
      <c r="Q395" s="4">
        <f t="shared" ref="Q395:Q458" si="6">D395/P395</f>
        <v>-344.78464818763325</v>
      </c>
      <c r="R395" s="23" t="s">
        <v>109</v>
      </c>
      <c r="S395" s="33" t="s">
        <v>305</v>
      </c>
      <c r="U395" t="s">
        <v>28</v>
      </c>
    </row>
    <row r="396" spans="1:21" x14ac:dyDescent="0.25">
      <c r="A396" s="21">
        <v>45681</v>
      </c>
      <c r="B396" s="1">
        <v>417391608</v>
      </c>
      <c r="C396" t="s">
        <v>800</v>
      </c>
      <c r="D396" s="22">
        <v>-3039.12</v>
      </c>
      <c r="E396" t="s">
        <v>35</v>
      </c>
      <c r="F396" s="2">
        <v>212901001</v>
      </c>
      <c r="G396" s="2" t="s">
        <v>121</v>
      </c>
      <c r="L396" s="2" t="s">
        <v>801</v>
      </c>
      <c r="M396" t="s">
        <v>67</v>
      </c>
      <c r="N396" t="s">
        <v>68</v>
      </c>
      <c r="P396" s="23">
        <v>56.28</v>
      </c>
      <c r="Q396" s="4">
        <f t="shared" si="6"/>
        <v>-54</v>
      </c>
      <c r="R396" s="23" t="s">
        <v>109</v>
      </c>
    </row>
    <row r="397" spans="1:21" x14ac:dyDescent="0.25">
      <c r="A397" s="21">
        <v>45681</v>
      </c>
      <c r="B397" s="1">
        <v>417391613</v>
      </c>
      <c r="C397" t="s">
        <v>802</v>
      </c>
      <c r="D397" s="22">
        <v>-1969.8</v>
      </c>
      <c r="E397" t="s">
        <v>35</v>
      </c>
      <c r="F397" s="2">
        <v>212901001</v>
      </c>
      <c r="G397" s="2" t="s">
        <v>121</v>
      </c>
      <c r="L397" s="2" t="s">
        <v>803</v>
      </c>
      <c r="M397" t="s">
        <v>67</v>
      </c>
      <c r="N397" t="s">
        <v>68</v>
      </c>
      <c r="P397" s="23">
        <v>56.28</v>
      </c>
      <c r="Q397" s="4">
        <f t="shared" si="6"/>
        <v>-35</v>
      </c>
      <c r="R397" s="23" t="s">
        <v>109</v>
      </c>
    </row>
    <row r="398" spans="1:21" x14ac:dyDescent="0.25">
      <c r="A398" s="21">
        <v>45681</v>
      </c>
      <c r="B398" s="1">
        <v>50131626</v>
      </c>
      <c r="C398" t="s">
        <v>118</v>
      </c>
      <c r="D398" s="22">
        <v>-122.46</v>
      </c>
      <c r="E398" t="s">
        <v>35</v>
      </c>
      <c r="F398" s="2">
        <v>610148001</v>
      </c>
      <c r="G398" s="2" t="s">
        <v>42</v>
      </c>
      <c r="L398" s="2" t="s">
        <v>804</v>
      </c>
      <c r="M398" t="s">
        <v>43</v>
      </c>
      <c r="N398" t="s">
        <v>42</v>
      </c>
      <c r="P398" s="23">
        <v>56.28</v>
      </c>
      <c r="Q398" s="4">
        <f t="shared" si="6"/>
        <v>-2.1759061833688698</v>
      </c>
      <c r="R398" s="23" t="s">
        <v>109</v>
      </c>
      <c r="T398" s="23" t="s">
        <v>44</v>
      </c>
    </row>
    <row r="399" spans="1:21" x14ac:dyDescent="0.25">
      <c r="A399" s="21">
        <v>45681</v>
      </c>
      <c r="B399" s="1">
        <v>120218787</v>
      </c>
      <c r="C399" t="s">
        <v>107</v>
      </c>
      <c r="D399" s="22">
        <v>260000</v>
      </c>
      <c r="E399" t="s">
        <v>46</v>
      </c>
      <c r="F399" s="2">
        <v>210115002</v>
      </c>
      <c r="G399" s="2" t="s">
        <v>47</v>
      </c>
      <c r="L399" s="2" t="s">
        <v>805</v>
      </c>
      <c r="N399" t="s">
        <v>107</v>
      </c>
      <c r="P399" s="23">
        <v>56.28</v>
      </c>
      <c r="Q399" s="4">
        <f t="shared" si="6"/>
        <v>4619.7583511016346</v>
      </c>
      <c r="R399" s="23" t="s">
        <v>109</v>
      </c>
    </row>
    <row r="400" spans="1:21" x14ac:dyDescent="0.25">
      <c r="A400" s="21">
        <v>45681</v>
      </c>
      <c r="B400" s="1">
        <v>617398672</v>
      </c>
      <c r="C400" t="s">
        <v>806</v>
      </c>
      <c r="D400" s="22">
        <v>-3376.8</v>
      </c>
      <c r="E400" t="s">
        <v>35</v>
      </c>
      <c r="F400" s="2">
        <v>212901001</v>
      </c>
      <c r="G400" s="2" t="s">
        <v>121</v>
      </c>
      <c r="L400" s="2" t="s">
        <v>807</v>
      </c>
      <c r="M400" t="s">
        <v>67</v>
      </c>
      <c r="N400" t="s">
        <v>68</v>
      </c>
      <c r="P400" s="23">
        <v>56.28</v>
      </c>
      <c r="Q400" s="4">
        <f t="shared" si="6"/>
        <v>-60</v>
      </c>
      <c r="R400" s="23" t="s">
        <v>109</v>
      </c>
    </row>
    <row r="401" spans="1:18" x14ac:dyDescent="0.25">
      <c r="A401" s="21">
        <v>45681</v>
      </c>
      <c r="B401" s="1">
        <v>617398675</v>
      </c>
      <c r="C401" t="s">
        <v>808</v>
      </c>
      <c r="D401" s="22">
        <v>-3376.8</v>
      </c>
      <c r="E401" t="s">
        <v>35</v>
      </c>
      <c r="F401" s="2">
        <v>212901001</v>
      </c>
      <c r="G401" s="2" t="s">
        <v>121</v>
      </c>
      <c r="L401" s="2" t="s">
        <v>809</v>
      </c>
      <c r="M401" t="s">
        <v>67</v>
      </c>
      <c r="N401" t="s">
        <v>68</v>
      </c>
      <c r="P401" s="23">
        <v>56.28</v>
      </c>
      <c r="Q401" s="4">
        <f t="shared" si="6"/>
        <v>-60</v>
      </c>
      <c r="R401" s="23" t="s">
        <v>109</v>
      </c>
    </row>
    <row r="402" spans="1:18" x14ac:dyDescent="0.25">
      <c r="A402" s="21">
        <v>45681</v>
      </c>
      <c r="B402" s="1">
        <v>617398674</v>
      </c>
      <c r="C402" t="s">
        <v>810</v>
      </c>
      <c r="D402" s="22">
        <v>-3376.8</v>
      </c>
      <c r="E402" t="s">
        <v>35</v>
      </c>
      <c r="F402" s="2">
        <v>212901001</v>
      </c>
      <c r="G402" s="2" t="s">
        <v>121</v>
      </c>
      <c r="L402" s="2" t="s">
        <v>811</v>
      </c>
      <c r="M402" t="s">
        <v>67</v>
      </c>
      <c r="N402" t="s">
        <v>68</v>
      </c>
      <c r="P402" s="23">
        <v>56.28</v>
      </c>
      <c r="Q402" s="4">
        <f t="shared" si="6"/>
        <v>-60</v>
      </c>
      <c r="R402" s="23" t="s">
        <v>109</v>
      </c>
    </row>
    <row r="403" spans="1:18" x14ac:dyDescent="0.25">
      <c r="A403" s="21">
        <v>45681</v>
      </c>
      <c r="B403" s="1">
        <v>617398673</v>
      </c>
      <c r="C403" t="s">
        <v>812</v>
      </c>
      <c r="D403" s="22">
        <v>-3376.8</v>
      </c>
      <c r="E403" t="s">
        <v>35</v>
      </c>
      <c r="F403" s="2">
        <v>212901001</v>
      </c>
      <c r="G403" s="2" t="s">
        <v>121</v>
      </c>
      <c r="L403" s="2" t="s">
        <v>813</v>
      </c>
      <c r="M403" t="s">
        <v>67</v>
      </c>
      <c r="N403" t="s">
        <v>68</v>
      </c>
      <c r="P403" s="23">
        <v>56.28</v>
      </c>
      <c r="Q403" s="4">
        <f t="shared" si="6"/>
        <v>-60</v>
      </c>
      <c r="R403" s="23" t="s">
        <v>109</v>
      </c>
    </row>
    <row r="404" spans="1:18" x14ac:dyDescent="0.25">
      <c r="A404" s="21">
        <v>45681</v>
      </c>
      <c r="B404" s="1">
        <v>617398677</v>
      </c>
      <c r="C404" t="s">
        <v>814</v>
      </c>
      <c r="D404" s="22">
        <v>-3376.8</v>
      </c>
      <c r="E404" t="s">
        <v>35</v>
      </c>
      <c r="F404" s="2">
        <v>212901001</v>
      </c>
      <c r="G404" s="2" t="s">
        <v>121</v>
      </c>
      <c r="L404" s="2" t="s">
        <v>815</v>
      </c>
      <c r="M404" t="s">
        <v>67</v>
      </c>
      <c r="N404" t="s">
        <v>68</v>
      </c>
      <c r="P404" s="23">
        <v>56.28</v>
      </c>
      <c r="Q404" s="4">
        <f t="shared" si="6"/>
        <v>-60</v>
      </c>
      <c r="R404" s="23" t="s">
        <v>109</v>
      </c>
    </row>
    <row r="405" spans="1:18" x14ac:dyDescent="0.25">
      <c r="A405" s="21">
        <v>45681</v>
      </c>
      <c r="B405" s="1">
        <v>617398676</v>
      </c>
      <c r="C405" t="s">
        <v>816</v>
      </c>
      <c r="D405" s="22">
        <v>-3376.8</v>
      </c>
      <c r="E405" t="s">
        <v>35</v>
      </c>
      <c r="F405" s="2">
        <v>212901001</v>
      </c>
      <c r="G405" s="2" t="s">
        <v>121</v>
      </c>
      <c r="L405" s="2" t="s">
        <v>817</v>
      </c>
      <c r="M405" t="s">
        <v>67</v>
      </c>
      <c r="N405" t="s">
        <v>68</v>
      </c>
      <c r="P405" s="23">
        <v>56.28</v>
      </c>
      <c r="Q405" s="4">
        <f t="shared" si="6"/>
        <v>-60</v>
      </c>
      <c r="R405" s="23" t="s">
        <v>109</v>
      </c>
    </row>
    <row r="406" spans="1:18" x14ac:dyDescent="0.25">
      <c r="A406" s="21">
        <v>45681</v>
      </c>
      <c r="B406" s="1">
        <v>617398680</v>
      </c>
      <c r="C406" t="s">
        <v>818</v>
      </c>
      <c r="D406" s="22">
        <v>-3376.8</v>
      </c>
      <c r="E406" t="s">
        <v>35</v>
      </c>
      <c r="F406" s="2">
        <v>212901001</v>
      </c>
      <c r="G406" s="2" t="s">
        <v>121</v>
      </c>
      <c r="L406" s="2" t="s">
        <v>819</v>
      </c>
      <c r="M406" t="s">
        <v>67</v>
      </c>
      <c r="N406" t="s">
        <v>68</v>
      </c>
      <c r="P406" s="23">
        <v>56.28</v>
      </c>
      <c r="Q406" s="4">
        <f t="shared" si="6"/>
        <v>-60</v>
      </c>
      <c r="R406" s="23" t="s">
        <v>109</v>
      </c>
    </row>
    <row r="407" spans="1:18" x14ac:dyDescent="0.25">
      <c r="A407" s="21">
        <v>45681</v>
      </c>
      <c r="B407" s="1">
        <v>617398678</v>
      </c>
      <c r="C407" t="s">
        <v>820</v>
      </c>
      <c r="D407" s="22">
        <v>-3376.8</v>
      </c>
      <c r="E407" t="s">
        <v>35</v>
      </c>
      <c r="F407" s="2">
        <v>212901001</v>
      </c>
      <c r="G407" s="2" t="s">
        <v>121</v>
      </c>
      <c r="L407" s="2" t="s">
        <v>821</v>
      </c>
      <c r="M407" t="s">
        <v>67</v>
      </c>
      <c r="N407" t="s">
        <v>68</v>
      </c>
      <c r="P407" s="23">
        <v>56.28</v>
      </c>
      <c r="Q407" s="4">
        <f t="shared" si="6"/>
        <v>-60</v>
      </c>
      <c r="R407" s="23" t="s">
        <v>109</v>
      </c>
    </row>
    <row r="408" spans="1:18" x14ac:dyDescent="0.25">
      <c r="A408" s="21">
        <v>45681</v>
      </c>
      <c r="B408" s="1">
        <v>717398688</v>
      </c>
      <c r="C408" t="s">
        <v>822</v>
      </c>
      <c r="D408" s="22">
        <v>-3376.8</v>
      </c>
      <c r="E408" t="s">
        <v>35</v>
      </c>
      <c r="F408" s="2">
        <v>212901001</v>
      </c>
      <c r="G408" s="2" t="s">
        <v>121</v>
      </c>
      <c r="L408" s="2" t="s">
        <v>823</v>
      </c>
      <c r="M408" t="s">
        <v>67</v>
      </c>
      <c r="N408" t="s">
        <v>68</v>
      </c>
      <c r="P408" s="23">
        <v>56.28</v>
      </c>
      <c r="Q408" s="4">
        <f t="shared" si="6"/>
        <v>-60</v>
      </c>
      <c r="R408" s="23" t="s">
        <v>109</v>
      </c>
    </row>
    <row r="409" spans="1:18" x14ac:dyDescent="0.25">
      <c r="A409" s="21">
        <v>45681</v>
      </c>
      <c r="B409" s="1">
        <v>717398682</v>
      </c>
      <c r="C409" t="s">
        <v>824</v>
      </c>
      <c r="D409" s="22">
        <v>-3376.8</v>
      </c>
      <c r="E409" t="s">
        <v>35</v>
      </c>
      <c r="F409" s="2">
        <v>212901001</v>
      </c>
      <c r="G409" s="2" t="s">
        <v>121</v>
      </c>
      <c r="L409" s="2" t="s">
        <v>825</v>
      </c>
      <c r="M409" t="s">
        <v>67</v>
      </c>
      <c r="N409" t="s">
        <v>68</v>
      </c>
      <c r="P409" s="23">
        <v>56.28</v>
      </c>
      <c r="Q409" s="4">
        <f t="shared" si="6"/>
        <v>-60</v>
      </c>
      <c r="R409" s="23" t="s">
        <v>109</v>
      </c>
    </row>
    <row r="410" spans="1:18" x14ac:dyDescent="0.25">
      <c r="A410" s="21">
        <v>45681</v>
      </c>
      <c r="B410" s="1">
        <v>617398681</v>
      </c>
      <c r="C410" t="s">
        <v>826</v>
      </c>
      <c r="D410" s="22">
        <v>-3376.8</v>
      </c>
      <c r="E410" t="s">
        <v>35</v>
      </c>
      <c r="F410" s="2">
        <v>212901001</v>
      </c>
      <c r="G410" s="2" t="s">
        <v>121</v>
      </c>
      <c r="L410" s="2" t="s">
        <v>827</v>
      </c>
      <c r="M410" t="s">
        <v>67</v>
      </c>
      <c r="N410" t="s">
        <v>68</v>
      </c>
      <c r="P410" s="23">
        <v>56.28</v>
      </c>
      <c r="Q410" s="4">
        <f t="shared" si="6"/>
        <v>-60</v>
      </c>
      <c r="R410" s="23" t="s">
        <v>109</v>
      </c>
    </row>
    <row r="411" spans="1:18" x14ac:dyDescent="0.25">
      <c r="A411" s="21">
        <v>45681</v>
      </c>
      <c r="B411" s="1">
        <v>717398685</v>
      </c>
      <c r="C411" t="s">
        <v>828</v>
      </c>
      <c r="D411" s="22">
        <v>-3376.8</v>
      </c>
      <c r="E411" t="s">
        <v>35</v>
      </c>
      <c r="F411" s="2">
        <v>212901001</v>
      </c>
      <c r="G411" s="2" t="s">
        <v>121</v>
      </c>
      <c r="L411" s="2" t="s">
        <v>829</v>
      </c>
      <c r="M411" t="s">
        <v>67</v>
      </c>
      <c r="N411" t="s">
        <v>68</v>
      </c>
      <c r="P411" s="23">
        <v>56.28</v>
      </c>
      <c r="Q411" s="4">
        <f t="shared" si="6"/>
        <v>-60</v>
      </c>
      <c r="R411" s="23" t="s">
        <v>109</v>
      </c>
    </row>
    <row r="412" spans="1:18" x14ac:dyDescent="0.25">
      <c r="A412" s="21">
        <v>45681</v>
      </c>
      <c r="B412" s="1">
        <v>717398690</v>
      </c>
      <c r="C412" t="s">
        <v>830</v>
      </c>
      <c r="D412" s="22">
        <v>-3376.8</v>
      </c>
      <c r="E412" t="s">
        <v>35</v>
      </c>
      <c r="F412" s="2">
        <v>212901001</v>
      </c>
      <c r="G412" s="2" t="s">
        <v>121</v>
      </c>
      <c r="L412" s="2" t="s">
        <v>831</v>
      </c>
      <c r="M412" t="s">
        <v>67</v>
      </c>
      <c r="N412" t="s">
        <v>68</v>
      </c>
      <c r="P412" s="23">
        <v>56.28</v>
      </c>
      <c r="Q412" s="4">
        <f t="shared" si="6"/>
        <v>-60</v>
      </c>
      <c r="R412" s="23" t="s">
        <v>109</v>
      </c>
    </row>
    <row r="413" spans="1:18" x14ac:dyDescent="0.25">
      <c r="A413" s="21">
        <v>45681</v>
      </c>
      <c r="B413" s="1">
        <v>717398683</v>
      </c>
      <c r="C413" t="s">
        <v>832</v>
      </c>
      <c r="D413" s="22">
        <v>-3376.8</v>
      </c>
      <c r="E413" t="s">
        <v>35</v>
      </c>
      <c r="F413" s="2">
        <v>212901001</v>
      </c>
      <c r="G413" s="2" t="s">
        <v>121</v>
      </c>
      <c r="L413" s="2" t="s">
        <v>833</v>
      </c>
      <c r="M413" t="s">
        <v>67</v>
      </c>
      <c r="N413" t="s">
        <v>68</v>
      </c>
      <c r="P413" s="23">
        <v>56.28</v>
      </c>
      <c r="Q413" s="4">
        <f t="shared" si="6"/>
        <v>-60</v>
      </c>
      <c r="R413" s="23" t="s">
        <v>109</v>
      </c>
    </row>
    <row r="414" spans="1:18" x14ac:dyDescent="0.25">
      <c r="A414" s="21">
        <v>45681</v>
      </c>
      <c r="B414" s="1">
        <v>717398695</v>
      </c>
      <c r="C414" t="s">
        <v>834</v>
      </c>
      <c r="D414" s="22">
        <v>-4502.3999999999996</v>
      </c>
      <c r="E414" t="s">
        <v>35</v>
      </c>
      <c r="F414" s="2">
        <v>212901001</v>
      </c>
      <c r="G414" s="2" t="s">
        <v>121</v>
      </c>
      <c r="L414" s="2" t="s">
        <v>835</v>
      </c>
      <c r="M414" t="s">
        <v>67</v>
      </c>
      <c r="N414" t="s">
        <v>68</v>
      </c>
      <c r="P414" s="23">
        <v>56.28</v>
      </c>
      <c r="Q414" s="4">
        <f t="shared" si="6"/>
        <v>-79.999999999999986</v>
      </c>
      <c r="R414" s="23" t="s">
        <v>109</v>
      </c>
    </row>
    <row r="415" spans="1:18" x14ac:dyDescent="0.25">
      <c r="A415" s="21">
        <v>45681</v>
      </c>
      <c r="B415" s="1">
        <v>717398689</v>
      </c>
      <c r="C415" t="s">
        <v>836</v>
      </c>
      <c r="D415" s="22">
        <v>-3376.8</v>
      </c>
      <c r="E415" t="s">
        <v>35</v>
      </c>
      <c r="F415" s="2">
        <v>212901001</v>
      </c>
      <c r="G415" s="2" t="s">
        <v>121</v>
      </c>
      <c r="L415" s="2" t="s">
        <v>837</v>
      </c>
      <c r="M415" t="s">
        <v>67</v>
      </c>
      <c r="N415" t="s">
        <v>68</v>
      </c>
      <c r="P415" s="23">
        <v>56.28</v>
      </c>
      <c r="Q415" s="4">
        <f t="shared" si="6"/>
        <v>-60</v>
      </c>
      <c r="R415" s="23" t="s">
        <v>109</v>
      </c>
    </row>
    <row r="416" spans="1:18" x14ac:dyDescent="0.25">
      <c r="A416" s="21">
        <v>45681</v>
      </c>
      <c r="B416" s="1">
        <v>717398697</v>
      </c>
      <c r="C416" t="s">
        <v>838</v>
      </c>
      <c r="D416" s="22">
        <v>-4502.3999999999996</v>
      </c>
      <c r="E416" t="s">
        <v>35</v>
      </c>
      <c r="F416" s="2">
        <v>212901001</v>
      </c>
      <c r="G416" s="2" t="s">
        <v>121</v>
      </c>
      <c r="L416" s="2" t="s">
        <v>839</v>
      </c>
      <c r="M416" t="s">
        <v>67</v>
      </c>
      <c r="N416" t="s">
        <v>68</v>
      </c>
      <c r="P416" s="23">
        <v>56.28</v>
      </c>
      <c r="Q416" s="4">
        <f t="shared" si="6"/>
        <v>-79.999999999999986</v>
      </c>
      <c r="R416" s="23" t="s">
        <v>109</v>
      </c>
    </row>
    <row r="417" spans="1:18" x14ac:dyDescent="0.25">
      <c r="A417" s="21">
        <v>45681</v>
      </c>
      <c r="B417" s="1">
        <v>717398691</v>
      </c>
      <c r="C417" t="s">
        <v>840</v>
      </c>
      <c r="D417" s="22">
        <v>-8442</v>
      </c>
      <c r="E417" t="s">
        <v>35</v>
      </c>
      <c r="F417" s="2">
        <v>212901001</v>
      </c>
      <c r="G417" s="2" t="s">
        <v>121</v>
      </c>
      <c r="L417" s="2" t="s">
        <v>841</v>
      </c>
      <c r="M417" t="s">
        <v>67</v>
      </c>
      <c r="N417" t="s">
        <v>68</v>
      </c>
      <c r="P417" s="23">
        <v>56.28</v>
      </c>
      <c r="Q417" s="4">
        <f t="shared" si="6"/>
        <v>-150</v>
      </c>
      <c r="R417" s="23" t="s">
        <v>109</v>
      </c>
    </row>
    <row r="418" spans="1:18" x14ac:dyDescent="0.25">
      <c r="A418" s="21">
        <v>45681</v>
      </c>
      <c r="B418" s="1">
        <v>817398700</v>
      </c>
      <c r="C418" t="s">
        <v>842</v>
      </c>
      <c r="D418" s="22">
        <v>-4502.3999999999996</v>
      </c>
      <c r="E418" t="s">
        <v>35</v>
      </c>
      <c r="F418" s="2">
        <v>212901001</v>
      </c>
      <c r="G418" s="2" t="s">
        <v>121</v>
      </c>
      <c r="L418" s="2" t="s">
        <v>843</v>
      </c>
      <c r="M418" t="s">
        <v>67</v>
      </c>
      <c r="N418" t="s">
        <v>68</v>
      </c>
      <c r="P418" s="23">
        <v>56.28</v>
      </c>
      <c r="Q418" s="4">
        <f t="shared" si="6"/>
        <v>-79.999999999999986</v>
      </c>
      <c r="R418" s="23" t="s">
        <v>109</v>
      </c>
    </row>
    <row r="419" spans="1:18" x14ac:dyDescent="0.25">
      <c r="A419" s="21">
        <v>45681</v>
      </c>
      <c r="B419" s="1">
        <v>717398692</v>
      </c>
      <c r="C419" t="s">
        <v>844</v>
      </c>
      <c r="D419" s="22">
        <v>-5628</v>
      </c>
      <c r="E419" t="s">
        <v>35</v>
      </c>
      <c r="F419" s="2">
        <v>212901001</v>
      </c>
      <c r="G419" s="2" t="s">
        <v>121</v>
      </c>
      <c r="L419" s="2" t="s">
        <v>845</v>
      </c>
      <c r="M419" t="s">
        <v>67</v>
      </c>
      <c r="N419" t="s">
        <v>68</v>
      </c>
      <c r="P419" s="23">
        <v>56.28</v>
      </c>
      <c r="Q419" s="4">
        <f t="shared" si="6"/>
        <v>-100</v>
      </c>
      <c r="R419" s="23" t="s">
        <v>109</v>
      </c>
    </row>
    <row r="420" spans="1:18" x14ac:dyDescent="0.25">
      <c r="A420" s="21">
        <v>45681</v>
      </c>
      <c r="B420" s="1">
        <v>817398699</v>
      </c>
      <c r="C420" t="s">
        <v>846</v>
      </c>
      <c r="D420" s="22">
        <v>-4502.3999999999996</v>
      </c>
      <c r="E420" t="s">
        <v>35</v>
      </c>
      <c r="F420" s="2">
        <v>212901001</v>
      </c>
      <c r="G420" s="2" t="s">
        <v>121</v>
      </c>
      <c r="L420" s="2" t="s">
        <v>847</v>
      </c>
      <c r="M420" t="s">
        <v>67</v>
      </c>
      <c r="N420" t="s">
        <v>68</v>
      </c>
      <c r="P420" s="23">
        <v>56.28</v>
      </c>
      <c r="Q420" s="4">
        <f t="shared" si="6"/>
        <v>-79.999999999999986</v>
      </c>
      <c r="R420" s="23" t="s">
        <v>109</v>
      </c>
    </row>
    <row r="421" spans="1:18" x14ac:dyDescent="0.25">
      <c r="A421" s="21">
        <v>45681</v>
      </c>
      <c r="B421" s="1">
        <v>717398694</v>
      </c>
      <c r="C421" t="s">
        <v>848</v>
      </c>
      <c r="D421" s="22">
        <v>-4502.3999999999996</v>
      </c>
      <c r="E421" t="s">
        <v>35</v>
      </c>
      <c r="F421" s="2">
        <v>212901001</v>
      </c>
      <c r="G421" s="2" t="s">
        <v>121</v>
      </c>
      <c r="L421" s="2" t="s">
        <v>849</v>
      </c>
      <c r="M421" t="s">
        <v>67</v>
      </c>
      <c r="N421" t="s">
        <v>68</v>
      </c>
      <c r="P421" s="23">
        <v>56.28</v>
      </c>
      <c r="Q421" s="4">
        <f t="shared" si="6"/>
        <v>-79.999999999999986</v>
      </c>
      <c r="R421" s="23" t="s">
        <v>109</v>
      </c>
    </row>
    <row r="422" spans="1:18" x14ac:dyDescent="0.25">
      <c r="A422" s="21">
        <v>45681</v>
      </c>
      <c r="B422" s="1">
        <v>817398703</v>
      </c>
      <c r="C422" t="s">
        <v>850</v>
      </c>
      <c r="D422" s="22">
        <v>-2814</v>
      </c>
      <c r="E422" t="s">
        <v>35</v>
      </c>
      <c r="F422" s="2">
        <v>212901001</v>
      </c>
      <c r="G422" s="2" t="s">
        <v>121</v>
      </c>
      <c r="L422" s="2" t="s">
        <v>851</v>
      </c>
      <c r="M422" t="s">
        <v>67</v>
      </c>
      <c r="N422" t="s">
        <v>68</v>
      </c>
      <c r="P422" s="23">
        <v>56.28</v>
      </c>
      <c r="Q422" s="4">
        <f t="shared" si="6"/>
        <v>-50</v>
      </c>
      <c r="R422" s="23" t="s">
        <v>109</v>
      </c>
    </row>
    <row r="423" spans="1:18" x14ac:dyDescent="0.25">
      <c r="A423" s="21">
        <v>45681</v>
      </c>
      <c r="B423" s="1">
        <v>817398701</v>
      </c>
      <c r="C423" t="s">
        <v>852</v>
      </c>
      <c r="D423" s="22">
        <v>-2814</v>
      </c>
      <c r="E423" t="s">
        <v>35</v>
      </c>
      <c r="F423" s="2">
        <v>212901001</v>
      </c>
      <c r="G423" s="2" t="s">
        <v>121</v>
      </c>
      <c r="L423" s="2" t="s">
        <v>853</v>
      </c>
      <c r="M423" t="s">
        <v>67</v>
      </c>
      <c r="N423" t="s">
        <v>68</v>
      </c>
      <c r="P423" s="23">
        <v>56.28</v>
      </c>
      <c r="Q423" s="4">
        <f t="shared" si="6"/>
        <v>-50</v>
      </c>
      <c r="R423" s="23" t="s">
        <v>109</v>
      </c>
    </row>
    <row r="424" spans="1:18" x14ac:dyDescent="0.25">
      <c r="A424" s="21">
        <v>45681</v>
      </c>
      <c r="B424" s="1">
        <v>817398704</v>
      </c>
      <c r="C424" t="s">
        <v>854</v>
      </c>
      <c r="D424" s="22">
        <v>-2814</v>
      </c>
      <c r="E424" t="s">
        <v>35</v>
      </c>
      <c r="F424" s="2">
        <v>212901001</v>
      </c>
      <c r="G424" s="2" t="s">
        <v>121</v>
      </c>
      <c r="L424" s="2" t="s">
        <v>855</v>
      </c>
      <c r="M424" t="s">
        <v>67</v>
      </c>
      <c r="N424" t="s">
        <v>68</v>
      </c>
      <c r="P424" s="23">
        <v>56.28</v>
      </c>
      <c r="Q424" s="4">
        <f t="shared" si="6"/>
        <v>-50</v>
      </c>
      <c r="R424" s="23" t="s">
        <v>109</v>
      </c>
    </row>
    <row r="425" spans="1:18" x14ac:dyDescent="0.25">
      <c r="A425" s="21">
        <v>45681</v>
      </c>
      <c r="B425" s="1">
        <v>817398705</v>
      </c>
      <c r="C425" t="s">
        <v>856</v>
      </c>
      <c r="D425" s="22">
        <v>-2814</v>
      </c>
      <c r="E425" t="s">
        <v>35</v>
      </c>
      <c r="F425" s="2">
        <v>212901001</v>
      </c>
      <c r="G425" s="2" t="s">
        <v>121</v>
      </c>
      <c r="L425" s="2" t="s">
        <v>857</v>
      </c>
      <c r="M425" t="s">
        <v>67</v>
      </c>
      <c r="N425" t="s">
        <v>68</v>
      </c>
      <c r="P425" s="23">
        <v>56.28</v>
      </c>
      <c r="Q425" s="4">
        <f t="shared" si="6"/>
        <v>-50</v>
      </c>
      <c r="R425" s="23" t="s">
        <v>109</v>
      </c>
    </row>
    <row r="426" spans="1:18" x14ac:dyDescent="0.25">
      <c r="A426" s="21">
        <v>45681</v>
      </c>
      <c r="B426" s="1">
        <v>817398706</v>
      </c>
      <c r="C426" t="s">
        <v>858</v>
      </c>
      <c r="D426" s="22">
        <v>-2814</v>
      </c>
      <c r="E426" t="s">
        <v>35</v>
      </c>
      <c r="F426" s="2">
        <v>212901001</v>
      </c>
      <c r="G426" s="2" t="s">
        <v>121</v>
      </c>
      <c r="L426" s="2" t="s">
        <v>859</v>
      </c>
      <c r="M426" t="s">
        <v>67</v>
      </c>
      <c r="N426" t="s">
        <v>68</v>
      </c>
      <c r="P426" s="23">
        <v>56.28</v>
      </c>
      <c r="Q426" s="4">
        <f t="shared" si="6"/>
        <v>-50</v>
      </c>
      <c r="R426" s="23" t="s">
        <v>109</v>
      </c>
    </row>
    <row r="427" spans="1:18" x14ac:dyDescent="0.25">
      <c r="A427" s="21">
        <v>45681</v>
      </c>
      <c r="B427" s="1">
        <v>817398702</v>
      </c>
      <c r="C427" t="s">
        <v>860</v>
      </c>
      <c r="D427" s="22">
        <v>-2814</v>
      </c>
      <c r="E427" t="s">
        <v>35</v>
      </c>
      <c r="F427" s="2">
        <v>212901001</v>
      </c>
      <c r="G427" s="2" t="s">
        <v>121</v>
      </c>
      <c r="L427" s="2" t="s">
        <v>861</v>
      </c>
      <c r="M427" t="s">
        <v>67</v>
      </c>
      <c r="N427" t="s">
        <v>68</v>
      </c>
      <c r="P427" s="23">
        <v>56.28</v>
      </c>
      <c r="Q427" s="4">
        <f t="shared" si="6"/>
        <v>-50</v>
      </c>
      <c r="R427" s="23" t="s">
        <v>109</v>
      </c>
    </row>
    <row r="428" spans="1:18" x14ac:dyDescent="0.25">
      <c r="A428" s="21">
        <v>45681</v>
      </c>
      <c r="B428" s="1">
        <v>817398710</v>
      </c>
      <c r="C428" t="s">
        <v>862</v>
      </c>
      <c r="D428" s="22">
        <v>-2251.1999999999998</v>
      </c>
      <c r="E428" t="s">
        <v>35</v>
      </c>
      <c r="F428" s="2">
        <v>212901001</v>
      </c>
      <c r="G428" s="2" t="s">
        <v>121</v>
      </c>
      <c r="L428" s="2" t="s">
        <v>863</v>
      </c>
      <c r="M428" t="s">
        <v>67</v>
      </c>
      <c r="N428" t="s">
        <v>68</v>
      </c>
      <c r="P428" s="23">
        <v>56.28</v>
      </c>
      <c r="Q428" s="4">
        <f t="shared" si="6"/>
        <v>-39.999999999999993</v>
      </c>
      <c r="R428" s="23" t="s">
        <v>109</v>
      </c>
    </row>
    <row r="429" spans="1:18" x14ac:dyDescent="0.25">
      <c r="A429" s="21">
        <v>45681</v>
      </c>
      <c r="B429" s="1">
        <v>717398696</v>
      </c>
      <c r="C429" t="s">
        <v>864</v>
      </c>
      <c r="D429" s="22">
        <v>-4502.3999999999996</v>
      </c>
      <c r="E429" t="s">
        <v>35</v>
      </c>
      <c r="F429" s="2">
        <v>212901001</v>
      </c>
      <c r="G429" s="2" t="s">
        <v>121</v>
      </c>
      <c r="L429" s="2" t="s">
        <v>865</v>
      </c>
      <c r="M429" t="s">
        <v>67</v>
      </c>
      <c r="N429" t="s">
        <v>68</v>
      </c>
      <c r="P429" s="23">
        <v>56.28</v>
      </c>
      <c r="Q429" s="4">
        <f t="shared" si="6"/>
        <v>-79.999999999999986</v>
      </c>
      <c r="R429" s="23" t="s">
        <v>109</v>
      </c>
    </row>
    <row r="430" spans="1:18" x14ac:dyDescent="0.25">
      <c r="A430" s="21">
        <v>45681</v>
      </c>
      <c r="B430" s="1">
        <v>817398709</v>
      </c>
      <c r="C430" t="s">
        <v>866</v>
      </c>
      <c r="D430" s="22">
        <v>-2251.1999999999998</v>
      </c>
      <c r="E430" t="s">
        <v>35</v>
      </c>
      <c r="F430" s="2">
        <v>212901001</v>
      </c>
      <c r="G430" s="2" t="s">
        <v>121</v>
      </c>
      <c r="L430" s="2" t="s">
        <v>867</v>
      </c>
      <c r="M430" t="s">
        <v>67</v>
      </c>
      <c r="N430" t="s">
        <v>68</v>
      </c>
      <c r="P430" s="23">
        <v>56.28</v>
      </c>
      <c r="Q430" s="4">
        <f t="shared" si="6"/>
        <v>-39.999999999999993</v>
      </c>
      <c r="R430" s="23" t="s">
        <v>109</v>
      </c>
    </row>
    <row r="431" spans="1:18" x14ac:dyDescent="0.25">
      <c r="A431" s="21">
        <v>45681</v>
      </c>
      <c r="B431" s="1">
        <v>917398713</v>
      </c>
      <c r="C431" t="s">
        <v>868</v>
      </c>
      <c r="D431" s="22">
        <v>-2251.1999999999998</v>
      </c>
      <c r="E431" t="s">
        <v>35</v>
      </c>
      <c r="F431" s="2">
        <v>212901001</v>
      </c>
      <c r="G431" s="2" t="s">
        <v>121</v>
      </c>
      <c r="L431" s="2" t="s">
        <v>869</v>
      </c>
      <c r="M431" t="s">
        <v>67</v>
      </c>
      <c r="N431" t="s">
        <v>68</v>
      </c>
      <c r="P431" s="23">
        <v>56.28</v>
      </c>
      <c r="Q431" s="4">
        <f t="shared" si="6"/>
        <v>-39.999999999999993</v>
      </c>
      <c r="R431" s="23" t="s">
        <v>109</v>
      </c>
    </row>
    <row r="432" spans="1:18" x14ac:dyDescent="0.25">
      <c r="A432" s="21">
        <v>45681</v>
      </c>
      <c r="B432" s="1">
        <v>817398708</v>
      </c>
      <c r="C432" t="s">
        <v>870</v>
      </c>
      <c r="D432" s="22">
        <v>-2251.1999999999998</v>
      </c>
      <c r="E432" t="s">
        <v>35</v>
      </c>
      <c r="F432" s="2">
        <v>212901001</v>
      </c>
      <c r="G432" s="2" t="s">
        <v>121</v>
      </c>
      <c r="L432" s="2" t="s">
        <v>871</v>
      </c>
      <c r="M432" t="s">
        <v>67</v>
      </c>
      <c r="N432" t="s">
        <v>68</v>
      </c>
      <c r="P432" s="23">
        <v>56.28</v>
      </c>
      <c r="Q432" s="4">
        <f t="shared" si="6"/>
        <v>-39.999999999999993</v>
      </c>
      <c r="R432" s="23" t="s">
        <v>109</v>
      </c>
    </row>
    <row r="433" spans="1:18" x14ac:dyDescent="0.25">
      <c r="A433" s="21">
        <v>45681</v>
      </c>
      <c r="B433" s="1">
        <v>817398712</v>
      </c>
      <c r="C433" t="s">
        <v>872</v>
      </c>
      <c r="D433" s="22">
        <v>-2251.1999999999998</v>
      </c>
      <c r="E433" t="s">
        <v>35</v>
      </c>
      <c r="F433" s="2">
        <v>212901001</v>
      </c>
      <c r="G433" s="2" t="s">
        <v>121</v>
      </c>
      <c r="L433" s="2" t="s">
        <v>873</v>
      </c>
      <c r="M433" t="s">
        <v>67</v>
      </c>
      <c r="N433" t="s">
        <v>68</v>
      </c>
      <c r="P433" s="23">
        <v>56.28</v>
      </c>
      <c r="Q433" s="4">
        <f t="shared" si="6"/>
        <v>-39.999999999999993</v>
      </c>
      <c r="R433" s="23" t="s">
        <v>109</v>
      </c>
    </row>
    <row r="434" spans="1:18" x14ac:dyDescent="0.25">
      <c r="A434" s="21">
        <v>45681</v>
      </c>
      <c r="B434" s="1">
        <v>817398711</v>
      </c>
      <c r="C434" t="s">
        <v>874</v>
      </c>
      <c r="D434" s="22">
        <v>-2251.1999999999998</v>
      </c>
      <c r="E434" t="s">
        <v>35</v>
      </c>
      <c r="F434" s="2">
        <v>212901001</v>
      </c>
      <c r="G434" s="2" t="s">
        <v>121</v>
      </c>
      <c r="L434" s="2" t="s">
        <v>875</v>
      </c>
      <c r="M434" t="s">
        <v>67</v>
      </c>
      <c r="N434" t="s">
        <v>68</v>
      </c>
      <c r="P434" s="23">
        <v>56.28</v>
      </c>
      <c r="Q434" s="4">
        <f t="shared" si="6"/>
        <v>-39.999999999999993</v>
      </c>
      <c r="R434" s="23" t="s">
        <v>109</v>
      </c>
    </row>
    <row r="435" spans="1:18" x14ac:dyDescent="0.25">
      <c r="A435" s="21">
        <v>45681</v>
      </c>
      <c r="B435" s="1">
        <v>917398716</v>
      </c>
      <c r="C435" t="s">
        <v>876</v>
      </c>
      <c r="D435" s="22">
        <v>-5628</v>
      </c>
      <c r="E435" t="s">
        <v>35</v>
      </c>
      <c r="F435" s="2">
        <v>212901001</v>
      </c>
      <c r="G435" s="2" t="s">
        <v>121</v>
      </c>
      <c r="L435" s="2" t="s">
        <v>877</v>
      </c>
      <c r="M435" t="s">
        <v>67</v>
      </c>
      <c r="N435" t="s">
        <v>68</v>
      </c>
      <c r="P435" s="23">
        <v>56.28</v>
      </c>
      <c r="Q435" s="4">
        <f t="shared" si="6"/>
        <v>-100</v>
      </c>
      <c r="R435" s="23" t="s">
        <v>109</v>
      </c>
    </row>
    <row r="436" spans="1:18" x14ac:dyDescent="0.25">
      <c r="A436" s="21">
        <v>45681</v>
      </c>
      <c r="B436" s="1">
        <v>917398718</v>
      </c>
      <c r="C436" t="s">
        <v>878</v>
      </c>
      <c r="D436" s="22">
        <v>-1688.4</v>
      </c>
      <c r="E436" t="s">
        <v>35</v>
      </c>
      <c r="F436" s="2">
        <v>212901001</v>
      </c>
      <c r="G436" s="2" t="s">
        <v>121</v>
      </c>
      <c r="L436" s="2" t="s">
        <v>879</v>
      </c>
      <c r="M436" t="s">
        <v>67</v>
      </c>
      <c r="N436" t="s">
        <v>68</v>
      </c>
      <c r="P436" s="23">
        <v>56.28</v>
      </c>
      <c r="Q436" s="4">
        <f t="shared" si="6"/>
        <v>-30</v>
      </c>
      <c r="R436" s="23" t="s">
        <v>109</v>
      </c>
    </row>
    <row r="437" spans="1:18" x14ac:dyDescent="0.25">
      <c r="A437" s="21">
        <v>45681</v>
      </c>
      <c r="B437" s="1">
        <v>917398719</v>
      </c>
      <c r="C437" t="s">
        <v>880</v>
      </c>
      <c r="D437" s="22">
        <v>-6190.8</v>
      </c>
      <c r="E437" t="s">
        <v>35</v>
      </c>
      <c r="F437" s="2">
        <v>212901001</v>
      </c>
      <c r="G437" s="2" t="s">
        <v>121</v>
      </c>
      <c r="L437" s="2" t="s">
        <v>881</v>
      </c>
      <c r="M437" t="s">
        <v>67</v>
      </c>
      <c r="N437" t="s">
        <v>68</v>
      </c>
      <c r="P437" s="23">
        <v>56.28</v>
      </c>
      <c r="Q437" s="4">
        <f t="shared" si="6"/>
        <v>-110</v>
      </c>
      <c r="R437" s="23" t="s">
        <v>109</v>
      </c>
    </row>
    <row r="438" spans="1:18" x14ac:dyDescent="0.25">
      <c r="A438" s="21">
        <v>45681</v>
      </c>
      <c r="B438" s="1">
        <v>917398715</v>
      </c>
      <c r="C438" t="s">
        <v>882</v>
      </c>
      <c r="D438" s="22">
        <v>-5628</v>
      </c>
      <c r="E438" t="s">
        <v>35</v>
      </c>
      <c r="F438" s="2">
        <v>212901001</v>
      </c>
      <c r="G438" s="2" t="s">
        <v>121</v>
      </c>
      <c r="L438" s="2" t="s">
        <v>883</v>
      </c>
      <c r="M438" t="s">
        <v>67</v>
      </c>
      <c r="N438" t="s">
        <v>68</v>
      </c>
      <c r="P438" s="23">
        <v>56.28</v>
      </c>
      <c r="Q438" s="4">
        <f t="shared" si="6"/>
        <v>-100</v>
      </c>
      <c r="R438" s="23" t="s">
        <v>109</v>
      </c>
    </row>
    <row r="439" spans="1:18" x14ac:dyDescent="0.25">
      <c r="A439" s="21">
        <v>45681</v>
      </c>
      <c r="B439" s="1">
        <v>917398723</v>
      </c>
      <c r="C439" t="s">
        <v>884</v>
      </c>
      <c r="D439" s="22">
        <v>-2251.1999999999998</v>
      </c>
      <c r="E439" t="s">
        <v>35</v>
      </c>
      <c r="F439" s="2">
        <v>212901001</v>
      </c>
      <c r="G439" s="2" t="s">
        <v>121</v>
      </c>
      <c r="L439" s="2" t="s">
        <v>885</v>
      </c>
      <c r="M439" t="s">
        <v>67</v>
      </c>
      <c r="N439" t="s">
        <v>68</v>
      </c>
      <c r="P439" s="23">
        <v>56.28</v>
      </c>
      <c r="Q439" s="4">
        <f t="shared" si="6"/>
        <v>-39.999999999999993</v>
      </c>
      <c r="R439" s="23" t="s">
        <v>109</v>
      </c>
    </row>
    <row r="440" spans="1:18" x14ac:dyDescent="0.25">
      <c r="A440" s="21">
        <v>45681</v>
      </c>
      <c r="B440" s="1">
        <v>917398720</v>
      </c>
      <c r="C440" t="s">
        <v>886</v>
      </c>
      <c r="D440" s="22">
        <v>-4502.3999999999996</v>
      </c>
      <c r="E440" t="s">
        <v>35</v>
      </c>
      <c r="F440" s="2">
        <v>212901001</v>
      </c>
      <c r="G440" s="2" t="s">
        <v>121</v>
      </c>
      <c r="L440" s="2" t="s">
        <v>887</v>
      </c>
      <c r="M440" t="s">
        <v>67</v>
      </c>
      <c r="N440" t="s">
        <v>68</v>
      </c>
      <c r="P440" s="23">
        <v>56.28</v>
      </c>
      <c r="Q440" s="4">
        <f t="shared" si="6"/>
        <v>-79.999999999999986</v>
      </c>
      <c r="R440" s="23" t="s">
        <v>109</v>
      </c>
    </row>
    <row r="441" spans="1:18" x14ac:dyDescent="0.25">
      <c r="A441" s="21">
        <v>45681</v>
      </c>
      <c r="B441" s="1">
        <v>917398725</v>
      </c>
      <c r="C441" t="s">
        <v>888</v>
      </c>
      <c r="D441" s="22">
        <v>-3939.6</v>
      </c>
      <c r="E441" t="s">
        <v>35</v>
      </c>
      <c r="F441" s="2">
        <v>212901001</v>
      </c>
      <c r="G441" s="2" t="s">
        <v>121</v>
      </c>
      <c r="L441" s="2" t="s">
        <v>889</v>
      </c>
      <c r="M441" t="s">
        <v>67</v>
      </c>
      <c r="N441" t="s">
        <v>68</v>
      </c>
      <c r="P441" s="23">
        <v>56.28</v>
      </c>
      <c r="Q441" s="4">
        <f t="shared" si="6"/>
        <v>-70</v>
      </c>
      <c r="R441" s="23" t="s">
        <v>109</v>
      </c>
    </row>
    <row r="442" spans="1:18" x14ac:dyDescent="0.25">
      <c r="A442" s="21">
        <v>45681</v>
      </c>
      <c r="B442" s="1">
        <v>917398721</v>
      </c>
      <c r="C442" t="s">
        <v>890</v>
      </c>
      <c r="D442" s="22">
        <v>-5628</v>
      </c>
      <c r="E442" t="s">
        <v>35</v>
      </c>
      <c r="F442" s="2">
        <v>212901001</v>
      </c>
      <c r="G442" s="2" t="s">
        <v>121</v>
      </c>
      <c r="L442" s="2" t="s">
        <v>891</v>
      </c>
      <c r="M442" t="s">
        <v>67</v>
      </c>
      <c r="N442" t="s">
        <v>68</v>
      </c>
      <c r="P442" s="23">
        <v>56.28</v>
      </c>
      <c r="Q442" s="4">
        <f t="shared" si="6"/>
        <v>-100</v>
      </c>
      <c r="R442" s="23" t="s">
        <v>109</v>
      </c>
    </row>
    <row r="443" spans="1:18" x14ac:dyDescent="0.25">
      <c r="A443" s="21">
        <v>45681</v>
      </c>
      <c r="B443" s="1">
        <v>17398726</v>
      </c>
      <c r="C443" t="s">
        <v>892</v>
      </c>
      <c r="D443" s="22">
        <v>-3939.6</v>
      </c>
      <c r="E443" t="s">
        <v>35</v>
      </c>
      <c r="F443" s="2">
        <v>212901001</v>
      </c>
      <c r="G443" s="2" t="s">
        <v>121</v>
      </c>
      <c r="L443" s="2" t="s">
        <v>893</v>
      </c>
      <c r="M443" t="s">
        <v>67</v>
      </c>
      <c r="N443" t="s">
        <v>68</v>
      </c>
      <c r="P443" s="23">
        <v>56.28</v>
      </c>
      <c r="Q443" s="4">
        <f t="shared" si="6"/>
        <v>-70</v>
      </c>
      <c r="R443" s="23" t="s">
        <v>109</v>
      </c>
    </row>
    <row r="444" spans="1:18" x14ac:dyDescent="0.25">
      <c r="A444" s="21">
        <v>45681</v>
      </c>
      <c r="B444" s="1">
        <v>917398724</v>
      </c>
      <c r="C444" t="s">
        <v>894</v>
      </c>
      <c r="D444" s="22">
        <v>-3939.6</v>
      </c>
      <c r="E444" t="s">
        <v>35</v>
      </c>
      <c r="F444" s="2">
        <v>212901001</v>
      </c>
      <c r="G444" s="2" t="s">
        <v>121</v>
      </c>
      <c r="L444" s="2" t="s">
        <v>895</v>
      </c>
      <c r="M444" t="s">
        <v>67</v>
      </c>
      <c r="N444" t="s">
        <v>68</v>
      </c>
      <c r="P444" s="23">
        <v>56.28</v>
      </c>
      <c r="Q444" s="4">
        <f t="shared" si="6"/>
        <v>-70</v>
      </c>
      <c r="R444" s="23" t="s">
        <v>109</v>
      </c>
    </row>
    <row r="445" spans="1:18" x14ac:dyDescent="0.25">
      <c r="A445" s="21">
        <v>45681</v>
      </c>
      <c r="B445" s="1">
        <v>17398727</v>
      </c>
      <c r="C445" t="s">
        <v>896</v>
      </c>
      <c r="D445" s="22">
        <v>-2814</v>
      </c>
      <c r="E445" t="s">
        <v>35</v>
      </c>
      <c r="F445" s="2">
        <v>212901001</v>
      </c>
      <c r="G445" s="2" t="s">
        <v>121</v>
      </c>
      <c r="L445" s="2" t="s">
        <v>897</v>
      </c>
      <c r="M445" t="s">
        <v>67</v>
      </c>
      <c r="N445" t="s">
        <v>68</v>
      </c>
      <c r="P445" s="23">
        <v>56.28</v>
      </c>
      <c r="Q445" s="4">
        <f t="shared" si="6"/>
        <v>-50</v>
      </c>
      <c r="R445" s="23" t="s">
        <v>109</v>
      </c>
    </row>
    <row r="446" spans="1:18" x14ac:dyDescent="0.25">
      <c r="A446" s="21">
        <v>45681</v>
      </c>
      <c r="B446" s="1">
        <v>17398729</v>
      </c>
      <c r="C446" t="s">
        <v>898</v>
      </c>
      <c r="D446" s="22">
        <v>-2814</v>
      </c>
      <c r="E446" t="s">
        <v>35</v>
      </c>
      <c r="F446" s="2">
        <v>212901001</v>
      </c>
      <c r="G446" s="2" t="s">
        <v>121</v>
      </c>
      <c r="L446" s="2" t="s">
        <v>899</v>
      </c>
      <c r="M446" t="s">
        <v>67</v>
      </c>
      <c r="N446" t="s">
        <v>68</v>
      </c>
      <c r="P446" s="23">
        <v>56.28</v>
      </c>
      <c r="Q446" s="4">
        <f t="shared" si="6"/>
        <v>-50</v>
      </c>
      <c r="R446" s="23" t="s">
        <v>109</v>
      </c>
    </row>
    <row r="447" spans="1:18" x14ac:dyDescent="0.25">
      <c r="A447" s="21">
        <v>45681</v>
      </c>
      <c r="B447" s="1">
        <v>917398717</v>
      </c>
      <c r="C447" t="s">
        <v>900</v>
      </c>
      <c r="D447" s="22">
        <v>-8442</v>
      </c>
      <c r="E447" t="s">
        <v>35</v>
      </c>
      <c r="F447" s="2">
        <v>212901001</v>
      </c>
      <c r="G447" s="2" t="s">
        <v>121</v>
      </c>
      <c r="L447" s="2" t="s">
        <v>901</v>
      </c>
      <c r="M447" t="s">
        <v>67</v>
      </c>
      <c r="N447" t="s">
        <v>68</v>
      </c>
      <c r="P447" s="23">
        <v>56.28</v>
      </c>
      <c r="Q447" s="4">
        <f t="shared" si="6"/>
        <v>-150</v>
      </c>
      <c r="R447" s="23" t="s">
        <v>109</v>
      </c>
    </row>
    <row r="448" spans="1:18" x14ac:dyDescent="0.25">
      <c r="A448" s="21">
        <v>45681</v>
      </c>
      <c r="B448" s="1">
        <v>717398687</v>
      </c>
      <c r="C448" t="s">
        <v>902</v>
      </c>
      <c r="D448" s="22">
        <v>-3376.8</v>
      </c>
      <c r="E448" t="s">
        <v>35</v>
      </c>
      <c r="F448" s="2">
        <v>212901001</v>
      </c>
      <c r="G448" s="2" t="s">
        <v>121</v>
      </c>
      <c r="L448" s="2" t="s">
        <v>903</v>
      </c>
      <c r="M448" t="s">
        <v>67</v>
      </c>
      <c r="N448" t="s">
        <v>68</v>
      </c>
      <c r="P448" s="23">
        <v>56.28</v>
      </c>
      <c r="Q448" s="4">
        <f t="shared" si="6"/>
        <v>-60</v>
      </c>
      <c r="R448" s="23" t="s">
        <v>109</v>
      </c>
    </row>
    <row r="449" spans="1:18" x14ac:dyDescent="0.25">
      <c r="A449" s="21">
        <v>45681</v>
      </c>
      <c r="B449" s="1">
        <v>17398734</v>
      </c>
      <c r="C449" t="s">
        <v>904</v>
      </c>
      <c r="D449" s="22">
        <v>-2814</v>
      </c>
      <c r="E449" t="s">
        <v>35</v>
      </c>
      <c r="F449" s="2">
        <v>212901001</v>
      </c>
      <c r="G449" s="2" t="s">
        <v>121</v>
      </c>
      <c r="L449" s="2" t="s">
        <v>905</v>
      </c>
      <c r="M449" t="s">
        <v>67</v>
      </c>
      <c r="N449" t="s">
        <v>68</v>
      </c>
      <c r="P449" s="23">
        <v>56.28</v>
      </c>
      <c r="Q449" s="4">
        <f t="shared" si="6"/>
        <v>-50</v>
      </c>
      <c r="R449" s="23" t="s">
        <v>109</v>
      </c>
    </row>
    <row r="450" spans="1:18" x14ac:dyDescent="0.25">
      <c r="A450" s="21">
        <v>45681</v>
      </c>
      <c r="B450" s="1">
        <v>17398732</v>
      </c>
      <c r="C450" t="s">
        <v>906</v>
      </c>
      <c r="D450" s="22">
        <v>-2363.7600000000002</v>
      </c>
      <c r="E450" t="s">
        <v>35</v>
      </c>
      <c r="F450" s="2">
        <v>212901001</v>
      </c>
      <c r="G450" s="2" t="s">
        <v>121</v>
      </c>
      <c r="L450" s="2" t="s">
        <v>907</v>
      </c>
      <c r="M450" t="s">
        <v>67</v>
      </c>
      <c r="N450" t="s">
        <v>68</v>
      </c>
      <c r="P450" s="23">
        <v>56.28</v>
      </c>
      <c r="Q450" s="4">
        <f t="shared" si="6"/>
        <v>-42</v>
      </c>
      <c r="R450" s="23" t="s">
        <v>109</v>
      </c>
    </row>
    <row r="451" spans="1:18" x14ac:dyDescent="0.25">
      <c r="A451" s="21">
        <v>45681</v>
      </c>
      <c r="B451" s="1">
        <v>17398728</v>
      </c>
      <c r="C451" t="s">
        <v>908</v>
      </c>
      <c r="D451" s="22">
        <v>-2814</v>
      </c>
      <c r="E451" t="s">
        <v>35</v>
      </c>
      <c r="F451" s="2">
        <v>212901001</v>
      </c>
      <c r="G451" s="2" t="s">
        <v>121</v>
      </c>
      <c r="L451" s="2" t="s">
        <v>909</v>
      </c>
      <c r="M451" t="s">
        <v>67</v>
      </c>
      <c r="N451" t="s">
        <v>68</v>
      </c>
      <c r="P451" s="23">
        <v>56.28</v>
      </c>
      <c r="Q451" s="4">
        <f t="shared" si="6"/>
        <v>-50</v>
      </c>
      <c r="R451" s="23" t="s">
        <v>109</v>
      </c>
    </row>
    <row r="452" spans="1:18" x14ac:dyDescent="0.25">
      <c r="A452" s="21">
        <v>45681</v>
      </c>
      <c r="B452" s="1">
        <v>17398730</v>
      </c>
      <c r="C452" t="s">
        <v>896</v>
      </c>
      <c r="D452" s="22">
        <v>-2814</v>
      </c>
      <c r="E452" t="s">
        <v>35</v>
      </c>
      <c r="F452" s="2">
        <v>212901001</v>
      </c>
      <c r="G452" s="2" t="s">
        <v>121</v>
      </c>
      <c r="L452" s="2" t="s">
        <v>910</v>
      </c>
      <c r="M452" t="s">
        <v>67</v>
      </c>
      <c r="N452" t="s">
        <v>68</v>
      </c>
      <c r="P452" s="23">
        <v>56.28</v>
      </c>
      <c r="Q452" s="4">
        <f t="shared" si="6"/>
        <v>-50</v>
      </c>
      <c r="R452" s="23" t="s">
        <v>109</v>
      </c>
    </row>
    <row r="453" spans="1:18" x14ac:dyDescent="0.25">
      <c r="A453" s="21">
        <v>45681</v>
      </c>
      <c r="B453" s="1">
        <v>17398733</v>
      </c>
      <c r="C453" t="s">
        <v>911</v>
      </c>
      <c r="D453" s="22">
        <v>-2814</v>
      </c>
      <c r="E453" t="s">
        <v>35</v>
      </c>
      <c r="F453" s="2">
        <v>212901001</v>
      </c>
      <c r="G453" s="2" t="s">
        <v>121</v>
      </c>
      <c r="L453" s="2" t="s">
        <v>912</v>
      </c>
      <c r="M453" t="s">
        <v>67</v>
      </c>
      <c r="N453" t="s">
        <v>68</v>
      </c>
      <c r="P453" s="23">
        <v>56.28</v>
      </c>
      <c r="Q453" s="4">
        <f t="shared" si="6"/>
        <v>-50</v>
      </c>
      <c r="R453" s="23" t="s">
        <v>109</v>
      </c>
    </row>
    <row r="454" spans="1:18" x14ac:dyDescent="0.25">
      <c r="A454" s="21">
        <v>45681</v>
      </c>
      <c r="B454" s="1">
        <v>17398731</v>
      </c>
      <c r="C454" t="s">
        <v>913</v>
      </c>
      <c r="D454" s="22">
        <v>-2814</v>
      </c>
      <c r="E454" t="s">
        <v>35</v>
      </c>
      <c r="F454" s="2">
        <v>212901001</v>
      </c>
      <c r="G454" s="2" t="s">
        <v>121</v>
      </c>
      <c r="L454" s="2" t="s">
        <v>914</v>
      </c>
      <c r="M454" t="s">
        <v>67</v>
      </c>
      <c r="N454" t="s">
        <v>68</v>
      </c>
      <c r="P454" s="23">
        <v>56.28</v>
      </c>
      <c r="Q454" s="4">
        <f t="shared" si="6"/>
        <v>-50</v>
      </c>
      <c r="R454" s="23" t="s">
        <v>109</v>
      </c>
    </row>
    <row r="455" spans="1:18" x14ac:dyDescent="0.25">
      <c r="A455" s="21">
        <v>45681</v>
      </c>
      <c r="B455" s="1">
        <v>117398739</v>
      </c>
      <c r="C455" t="s">
        <v>915</v>
      </c>
      <c r="D455" s="22">
        <v>-2814</v>
      </c>
      <c r="E455" t="s">
        <v>35</v>
      </c>
      <c r="F455" s="2">
        <v>212901001</v>
      </c>
      <c r="G455" s="2" t="s">
        <v>121</v>
      </c>
      <c r="L455" s="2" t="s">
        <v>916</v>
      </c>
      <c r="M455" t="s">
        <v>67</v>
      </c>
      <c r="N455" t="s">
        <v>68</v>
      </c>
      <c r="P455" s="23">
        <v>56.28</v>
      </c>
      <c r="Q455" s="4">
        <f t="shared" si="6"/>
        <v>-50</v>
      </c>
      <c r="R455" s="23" t="s">
        <v>109</v>
      </c>
    </row>
    <row r="456" spans="1:18" x14ac:dyDescent="0.25">
      <c r="A456" s="21">
        <v>45681</v>
      </c>
      <c r="B456" s="1">
        <v>17398735</v>
      </c>
      <c r="C456" t="s">
        <v>917</v>
      </c>
      <c r="D456" s="22">
        <v>-2814</v>
      </c>
      <c r="E456" t="s">
        <v>35</v>
      </c>
      <c r="F456" s="2">
        <v>212901001</v>
      </c>
      <c r="G456" s="2" t="s">
        <v>121</v>
      </c>
      <c r="L456" s="2" t="s">
        <v>918</v>
      </c>
      <c r="M456" t="s">
        <v>67</v>
      </c>
      <c r="N456" t="s">
        <v>68</v>
      </c>
      <c r="P456" s="23">
        <v>56.28</v>
      </c>
      <c r="Q456" s="4">
        <f t="shared" si="6"/>
        <v>-50</v>
      </c>
      <c r="R456" s="23" t="s">
        <v>109</v>
      </c>
    </row>
    <row r="457" spans="1:18" x14ac:dyDescent="0.25">
      <c r="A457" s="21">
        <v>45681</v>
      </c>
      <c r="B457" s="1">
        <v>117398741</v>
      </c>
      <c r="C457" t="s">
        <v>919</v>
      </c>
      <c r="D457" s="22">
        <v>-2814</v>
      </c>
      <c r="E457" t="s">
        <v>35</v>
      </c>
      <c r="F457" s="2">
        <v>212901001</v>
      </c>
      <c r="G457" s="2" t="s">
        <v>121</v>
      </c>
      <c r="L457" s="2" t="s">
        <v>920</v>
      </c>
      <c r="M457" t="s">
        <v>67</v>
      </c>
      <c r="N457" t="s">
        <v>68</v>
      </c>
      <c r="P457" s="23">
        <v>56.28</v>
      </c>
      <c r="Q457" s="4">
        <f t="shared" si="6"/>
        <v>-50</v>
      </c>
      <c r="R457" s="23" t="s">
        <v>109</v>
      </c>
    </row>
    <row r="458" spans="1:18" x14ac:dyDescent="0.25">
      <c r="A458" s="21">
        <v>45681</v>
      </c>
      <c r="B458" s="1">
        <v>17398736</v>
      </c>
      <c r="C458" t="s">
        <v>921</v>
      </c>
      <c r="D458" s="22">
        <v>-1913.52</v>
      </c>
      <c r="E458" t="s">
        <v>35</v>
      </c>
      <c r="F458" s="2">
        <v>212901001</v>
      </c>
      <c r="G458" s="2" t="s">
        <v>121</v>
      </c>
      <c r="L458" s="2" t="s">
        <v>922</v>
      </c>
      <c r="M458" t="s">
        <v>67</v>
      </c>
      <c r="N458" t="s">
        <v>68</v>
      </c>
      <c r="P458" s="23">
        <v>56.28</v>
      </c>
      <c r="Q458" s="4">
        <f t="shared" si="6"/>
        <v>-34</v>
      </c>
      <c r="R458" s="23" t="s">
        <v>109</v>
      </c>
    </row>
    <row r="459" spans="1:18" x14ac:dyDescent="0.25">
      <c r="A459" s="21">
        <v>45681</v>
      </c>
      <c r="B459" s="1">
        <v>117398738</v>
      </c>
      <c r="C459" t="s">
        <v>923</v>
      </c>
      <c r="D459" s="22">
        <v>-2814</v>
      </c>
      <c r="E459" t="s">
        <v>35</v>
      </c>
      <c r="F459" s="2">
        <v>212901001</v>
      </c>
      <c r="G459" s="2" t="s">
        <v>121</v>
      </c>
      <c r="L459" s="2" t="s">
        <v>924</v>
      </c>
      <c r="M459" t="s">
        <v>67</v>
      </c>
      <c r="N459" t="s">
        <v>68</v>
      </c>
      <c r="P459" s="23">
        <v>56.28</v>
      </c>
      <c r="Q459" s="4">
        <f t="shared" ref="Q459:Q522" si="7">D459/P459</f>
        <v>-50</v>
      </c>
      <c r="R459" s="23" t="s">
        <v>109</v>
      </c>
    </row>
    <row r="460" spans="1:18" x14ac:dyDescent="0.25">
      <c r="A460" s="21">
        <v>45681</v>
      </c>
      <c r="B460" s="1">
        <v>117398740</v>
      </c>
      <c r="C460" t="s">
        <v>925</v>
      </c>
      <c r="D460" s="22">
        <v>-2814</v>
      </c>
      <c r="E460" t="s">
        <v>35</v>
      </c>
      <c r="F460" s="2">
        <v>212901001</v>
      </c>
      <c r="G460" s="2" t="s">
        <v>121</v>
      </c>
      <c r="L460" s="2" t="s">
        <v>926</v>
      </c>
      <c r="M460" t="s">
        <v>67</v>
      </c>
      <c r="N460" t="s">
        <v>68</v>
      </c>
      <c r="P460" s="23">
        <v>56.28</v>
      </c>
      <c r="Q460" s="4">
        <f t="shared" si="7"/>
        <v>-50</v>
      </c>
      <c r="R460" s="23" t="s">
        <v>109</v>
      </c>
    </row>
    <row r="461" spans="1:18" x14ac:dyDescent="0.25">
      <c r="A461" s="21">
        <v>45681</v>
      </c>
      <c r="B461" s="1">
        <v>817398707</v>
      </c>
      <c r="C461" t="s">
        <v>927</v>
      </c>
      <c r="D461" s="22">
        <v>-2251.1999999999998</v>
      </c>
      <c r="E461" t="s">
        <v>35</v>
      </c>
      <c r="F461" s="2">
        <v>212901001</v>
      </c>
      <c r="G461" s="2" t="s">
        <v>121</v>
      </c>
      <c r="L461" s="2" t="s">
        <v>928</v>
      </c>
      <c r="M461" t="s">
        <v>67</v>
      </c>
      <c r="N461" t="s">
        <v>68</v>
      </c>
      <c r="P461" s="23">
        <v>56.28</v>
      </c>
      <c r="Q461" s="4">
        <f t="shared" si="7"/>
        <v>-39.999999999999993</v>
      </c>
      <c r="R461" s="23" t="s">
        <v>109</v>
      </c>
    </row>
    <row r="462" spans="1:18" x14ac:dyDescent="0.25">
      <c r="A462" s="21">
        <v>45681</v>
      </c>
      <c r="B462" s="1">
        <v>117398743</v>
      </c>
      <c r="C462" t="s">
        <v>929</v>
      </c>
      <c r="D462" s="22">
        <v>-1125.5999999999999</v>
      </c>
      <c r="E462" t="s">
        <v>35</v>
      </c>
      <c r="F462" s="2">
        <v>212901001</v>
      </c>
      <c r="G462" s="2" t="s">
        <v>121</v>
      </c>
      <c r="L462" s="2" t="s">
        <v>930</v>
      </c>
      <c r="M462" t="s">
        <v>67</v>
      </c>
      <c r="N462" t="s">
        <v>68</v>
      </c>
      <c r="P462" s="23">
        <v>56.28</v>
      </c>
      <c r="Q462" s="4">
        <f t="shared" si="7"/>
        <v>-19.999999999999996</v>
      </c>
      <c r="R462" s="23" t="s">
        <v>109</v>
      </c>
    </row>
    <row r="463" spans="1:18" x14ac:dyDescent="0.25">
      <c r="A463" s="21">
        <v>45681</v>
      </c>
      <c r="B463" s="1">
        <v>117398744</v>
      </c>
      <c r="C463" t="s">
        <v>145</v>
      </c>
      <c r="D463" s="22">
        <v>-1125.5999999999999</v>
      </c>
      <c r="E463" t="s">
        <v>35</v>
      </c>
      <c r="F463" s="2">
        <v>212901001</v>
      </c>
      <c r="G463" s="2" t="s">
        <v>121</v>
      </c>
      <c r="L463" s="2" t="s">
        <v>931</v>
      </c>
      <c r="M463" t="s">
        <v>67</v>
      </c>
      <c r="N463" t="s">
        <v>68</v>
      </c>
      <c r="P463" s="23">
        <v>56.28</v>
      </c>
      <c r="Q463" s="4">
        <f t="shared" si="7"/>
        <v>-19.999999999999996</v>
      </c>
      <c r="R463" s="23" t="s">
        <v>109</v>
      </c>
    </row>
    <row r="464" spans="1:18" x14ac:dyDescent="0.25">
      <c r="A464" s="21">
        <v>45681</v>
      </c>
      <c r="B464" s="1">
        <v>117398745</v>
      </c>
      <c r="C464" t="s">
        <v>147</v>
      </c>
      <c r="D464" s="22">
        <v>-1125.5999999999999</v>
      </c>
      <c r="E464" t="s">
        <v>35</v>
      </c>
      <c r="F464" s="2">
        <v>212901001</v>
      </c>
      <c r="G464" s="2" t="s">
        <v>121</v>
      </c>
      <c r="L464" s="2" t="s">
        <v>932</v>
      </c>
      <c r="M464" t="s">
        <v>67</v>
      </c>
      <c r="N464" t="s">
        <v>68</v>
      </c>
      <c r="P464" s="23">
        <v>56.28</v>
      </c>
      <c r="Q464" s="4">
        <f t="shared" si="7"/>
        <v>-19.999999999999996</v>
      </c>
      <c r="R464" s="23" t="s">
        <v>109</v>
      </c>
    </row>
    <row r="465" spans="1:21" x14ac:dyDescent="0.25">
      <c r="A465" s="21">
        <v>45681</v>
      </c>
      <c r="B465" s="1">
        <v>117398742</v>
      </c>
      <c r="C465" t="s">
        <v>933</v>
      </c>
      <c r="D465" s="22">
        <v>-2363.7600000000002</v>
      </c>
      <c r="E465" t="s">
        <v>35</v>
      </c>
      <c r="F465" s="2">
        <v>212901001</v>
      </c>
      <c r="G465" s="2" t="s">
        <v>121</v>
      </c>
      <c r="L465" s="2" t="s">
        <v>934</v>
      </c>
      <c r="M465" t="s">
        <v>67</v>
      </c>
      <c r="N465" t="s">
        <v>68</v>
      </c>
      <c r="P465" s="23">
        <v>56.28</v>
      </c>
      <c r="Q465" s="4">
        <f t="shared" si="7"/>
        <v>-42</v>
      </c>
      <c r="R465" s="23" t="s">
        <v>109</v>
      </c>
    </row>
    <row r="466" spans="1:21" x14ac:dyDescent="0.25">
      <c r="A466" s="21">
        <v>45681</v>
      </c>
      <c r="B466" s="1">
        <v>217398749</v>
      </c>
      <c r="C466" t="s">
        <v>935</v>
      </c>
      <c r="D466" s="22">
        <v>-6528.48</v>
      </c>
      <c r="E466" t="s">
        <v>35</v>
      </c>
      <c r="F466" s="2">
        <v>212901001</v>
      </c>
      <c r="G466" s="2" t="s">
        <v>121</v>
      </c>
      <c r="L466" s="2" t="s">
        <v>936</v>
      </c>
      <c r="M466" t="s">
        <v>67</v>
      </c>
      <c r="N466" t="s">
        <v>68</v>
      </c>
      <c r="P466" s="23">
        <v>56.28</v>
      </c>
      <c r="Q466" s="4">
        <f t="shared" si="7"/>
        <v>-115.99999999999999</v>
      </c>
      <c r="R466" s="23" t="s">
        <v>109</v>
      </c>
    </row>
    <row r="467" spans="1:21" x14ac:dyDescent="0.25">
      <c r="A467" s="21">
        <v>45681</v>
      </c>
      <c r="B467" s="1">
        <v>217398752</v>
      </c>
      <c r="C467" t="s">
        <v>937</v>
      </c>
      <c r="D467" s="22">
        <v>-2251.1999999999998</v>
      </c>
      <c r="E467" t="s">
        <v>35</v>
      </c>
      <c r="F467" s="2">
        <v>212901001</v>
      </c>
      <c r="G467" s="2" t="s">
        <v>121</v>
      </c>
      <c r="L467" s="2" t="s">
        <v>938</v>
      </c>
      <c r="M467" t="s">
        <v>67</v>
      </c>
      <c r="N467" t="s">
        <v>68</v>
      </c>
      <c r="P467" s="23">
        <v>56.28</v>
      </c>
      <c r="Q467" s="4">
        <f t="shared" si="7"/>
        <v>-39.999999999999993</v>
      </c>
      <c r="R467" s="23" t="s">
        <v>109</v>
      </c>
    </row>
    <row r="468" spans="1:21" x14ac:dyDescent="0.25">
      <c r="A468" s="21">
        <v>45681</v>
      </c>
      <c r="B468" s="1">
        <v>117398746</v>
      </c>
      <c r="C468" t="s">
        <v>939</v>
      </c>
      <c r="D468" s="22">
        <v>-1125.5999999999999</v>
      </c>
      <c r="E468" t="s">
        <v>35</v>
      </c>
      <c r="F468" s="2">
        <v>212901001</v>
      </c>
      <c r="G468" s="2" t="s">
        <v>121</v>
      </c>
      <c r="L468" s="2" t="s">
        <v>940</v>
      </c>
      <c r="M468" t="s">
        <v>67</v>
      </c>
      <c r="N468" t="s">
        <v>68</v>
      </c>
      <c r="P468" s="23">
        <v>56.28</v>
      </c>
      <c r="Q468" s="4">
        <f t="shared" si="7"/>
        <v>-19.999999999999996</v>
      </c>
      <c r="R468" s="23" t="s">
        <v>109</v>
      </c>
    </row>
    <row r="469" spans="1:21" x14ac:dyDescent="0.25">
      <c r="A469" s="21">
        <v>45681</v>
      </c>
      <c r="B469" s="1">
        <v>117398747</v>
      </c>
      <c r="C469" t="s">
        <v>941</v>
      </c>
      <c r="D469" s="22">
        <v>-5628</v>
      </c>
      <c r="E469" t="s">
        <v>35</v>
      </c>
      <c r="F469" s="2">
        <v>212901001</v>
      </c>
      <c r="G469" s="2" t="s">
        <v>121</v>
      </c>
      <c r="L469" s="2" t="s">
        <v>942</v>
      </c>
      <c r="M469" t="s">
        <v>67</v>
      </c>
      <c r="N469" t="s">
        <v>68</v>
      </c>
      <c r="P469" s="23">
        <v>56.28</v>
      </c>
      <c r="Q469" s="4">
        <f t="shared" si="7"/>
        <v>-100</v>
      </c>
      <c r="R469" s="23" t="s">
        <v>109</v>
      </c>
    </row>
    <row r="470" spans="1:21" x14ac:dyDescent="0.25">
      <c r="A470" s="21">
        <v>45681</v>
      </c>
      <c r="B470" s="1">
        <v>117398748</v>
      </c>
      <c r="C470" t="s">
        <v>943</v>
      </c>
      <c r="D470" s="22">
        <v>-11256</v>
      </c>
      <c r="E470" t="s">
        <v>35</v>
      </c>
      <c r="F470" s="2">
        <v>212901001</v>
      </c>
      <c r="G470" s="2" t="s">
        <v>121</v>
      </c>
      <c r="L470" s="2" t="s">
        <v>944</v>
      </c>
      <c r="M470" t="s">
        <v>67</v>
      </c>
      <c r="N470" t="s">
        <v>68</v>
      </c>
      <c r="P470" s="23">
        <v>56.28</v>
      </c>
      <c r="Q470" s="4">
        <f t="shared" si="7"/>
        <v>-200</v>
      </c>
      <c r="R470" s="23" t="s">
        <v>109</v>
      </c>
    </row>
    <row r="471" spans="1:21" x14ac:dyDescent="0.25">
      <c r="A471" s="21">
        <v>45681</v>
      </c>
      <c r="B471" s="1">
        <v>217398751</v>
      </c>
      <c r="C471" t="s">
        <v>945</v>
      </c>
      <c r="D471" s="22">
        <v>-1688.4</v>
      </c>
      <c r="E471" t="s">
        <v>35</v>
      </c>
      <c r="F471" s="2">
        <v>212901001</v>
      </c>
      <c r="G471" s="2" t="s">
        <v>121</v>
      </c>
      <c r="L471" s="2" t="s">
        <v>946</v>
      </c>
      <c r="M471" t="s">
        <v>67</v>
      </c>
      <c r="N471" t="s">
        <v>68</v>
      </c>
      <c r="P471" s="23">
        <v>56.28</v>
      </c>
      <c r="Q471" s="4">
        <f t="shared" si="7"/>
        <v>-30</v>
      </c>
      <c r="R471" s="23" t="s">
        <v>109</v>
      </c>
    </row>
    <row r="472" spans="1:21" x14ac:dyDescent="0.25">
      <c r="A472" s="21">
        <v>45681</v>
      </c>
      <c r="B472" s="1">
        <v>50176334</v>
      </c>
      <c r="C472" t="s">
        <v>947</v>
      </c>
      <c r="D472" s="22">
        <v>-7879.2</v>
      </c>
      <c r="E472" t="s">
        <v>35</v>
      </c>
      <c r="F472" s="2">
        <v>212901001</v>
      </c>
      <c r="G472" s="2" t="s">
        <v>121</v>
      </c>
      <c r="L472" s="2" t="s">
        <v>948</v>
      </c>
      <c r="M472" t="s">
        <v>67</v>
      </c>
      <c r="N472" t="s">
        <v>68</v>
      </c>
      <c r="P472" s="23">
        <v>56.28</v>
      </c>
      <c r="Q472" s="4">
        <f t="shared" si="7"/>
        <v>-140</v>
      </c>
      <c r="R472" s="23" t="s">
        <v>109</v>
      </c>
    </row>
    <row r="473" spans="1:21" x14ac:dyDescent="0.25">
      <c r="A473" s="21">
        <v>45681</v>
      </c>
      <c r="B473" s="1">
        <v>50176334</v>
      </c>
      <c r="C473" t="s">
        <v>296</v>
      </c>
      <c r="D473" s="22">
        <v>-11.81</v>
      </c>
      <c r="E473" t="s">
        <v>35</v>
      </c>
      <c r="F473" s="2">
        <v>610148001</v>
      </c>
      <c r="G473" s="2" t="s">
        <v>42</v>
      </c>
      <c r="L473" s="2" t="s">
        <v>949</v>
      </c>
      <c r="M473" t="s">
        <v>43</v>
      </c>
      <c r="N473" t="s">
        <v>42</v>
      </c>
      <c r="P473" s="23">
        <v>56.28</v>
      </c>
      <c r="Q473" s="4">
        <f t="shared" si="7"/>
        <v>-0.20984363894811656</v>
      </c>
      <c r="R473" s="23" t="s">
        <v>109</v>
      </c>
      <c r="T473" s="23" t="s">
        <v>44</v>
      </c>
    </row>
    <row r="474" spans="1:21" x14ac:dyDescent="0.25">
      <c r="A474" s="21">
        <v>45681</v>
      </c>
      <c r="B474" s="1">
        <v>50176334</v>
      </c>
      <c r="C474" t="s">
        <v>118</v>
      </c>
      <c r="D474" s="22">
        <v>-629.49</v>
      </c>
      <c r="E474" t="s">
        <v>35</v>
      </c>
      <c r="F474" s="2">
        <v>610148001</v>
      </c>
      <c r="G474" s="2" t="s">
        <v>42</v>
      </c>
      <c r="L474" s="2" t="s">
        <v>950</v>
      </c>
      <c r="M474" t="s">
        <v>43</v>
      </c>
      <c r="N474" t="s">
        <v>42</v>
      </c>
      <c r="P474" s="23">
        <v>56.28</v>
      </c>
      <c r="Q474" s="4">
        <f t="shared" si="7"/>
        <v>-11.184968017057569</v>
      </c>
      <c r="R474" s="23" t="s">
        <v>109</v>
      </c>
      <c r="T474" s="23" t="s">
        <v>44</v>
      </c>
    </row>
    <row r="475" spans="1:21" x14ac:dyDescent="0.25">
      <c r="A475" s="21">
        <v>45681</v>
      </c>
      <c r="B475" s="1">
        <v>152831976</v>
      </c>
      <c r="C475" t="s">
        <v>107</v>
      </c>
      <c r="D475" s="22">
        <v>60000</v>
      </c>
      <c r="E475" t="s">
        <v>46</v>
      </c>
      <c r="F475" s="2">
        <v>210115002</v>
      </c>
      <c r="G475" s="2" t="s">
        <v>47</v>
      </c>
      <c r="L475" s="2" t="s">
        <v>951</v>
      </c>
      <c r="N475" t="s">
        <v>107</v>
      </c>
      <c r="P475" s="23">
        <v>56.28</v>
      </c>
      <c r="Q475" s="4">
        <f t="shared" si="7"/>
        <v>1066.0980810234541</v>
      </c>
      <c r="R475" s="23" t="s">
        <v>109</v>
      </c>
    </row>
    <row r="476" spans="1:21" x14ac:dyDescent="0.25">
      <c r="A476" s="21">
        <v>45681</v>
      </c>
      <c r="B476" s="1">
        <v>17416754</v>
      </c>
      <c r="C476" t="s">
        <v>952</v>
      </c>
      <c r="D476" s="22">
        <v>-59238.82</v>
      </c>
      <c r="E476" t="s">
        <v>35</v>
      </c>
      <c r="F476" s="2">
        <v>110114001</v>
      </c>
      <c r="G476" s="2" t="s">
        <v>301</v>
      </c>
      <c r="L476" s="2" t="s">
        <v>953</v>
      </c>
      <c r="M476" t="s">
        <v>38</v>
      </c>
      <c r="N476" t="s">
        <v>39</v>
      </c>
      <c r="P476" s="23">
        <v>56.28</v>
      </c>
      <c r="Q476" s="4">
        <f t="shared" si="7"/>
        <v>-1052.5732054015637</v>
      </c>
      <c r="R476" s="23" t="s">
        <v>109</v>
      </c>
      <c r="S476" s="33" t="s">
        <v>305</v>
      </c>
      <c r="U476" t="s">
        <v>28</v>
      </c>
    </row>
    <row r="477" spans="1:21" x14ac:dyDescent="0.25">
      <c r="A477" s="21">
        <v>45681</v>
      </c>
      <c r="B477" s="1">
        <v>17416754</v>
      </c>
      <c r="C477" t="s">
        <v>306</v>
      </c>
      <c r="D477" s="22">
        <v>-177.72</v>
      </c>
      <c r="E477" t="s">
        <v>35</v>
      </c>
      <c r="F477" s="2">
        <v>610148001</v>
      </c>
      <c r="G477" s="2" t="s">
        <v>42</v>
      </c>
      <c r="L477" s="2" t="s">
        <v>954</v>
      </c>
      <c r="M477" t="s">
        <v>43</v>
      </c>
      <c r="N477" t="s">
        <v>42</v>
      </c>
      <c r="P477" s="23">
        <v>56.28</v>
      </c>
      <c r="Q477" s="4">
        <f t="shared" si="7"/>
        <v>-3.157782515991471</v>
      </c>
      <c r="R477" s="23" t="s">
        <v>109</v>
      </c>
      <c r="T477" s="23" t="s">
        <v>44</v>
      </c>
    </row>
    <row r="478" spans="1:21" x14ac:dyDescent="0.25">
      <c r="A478" s="21">
        <v>45684</v>
      </c>
      <c r="B478" s="1">
        <v>93229377</v>
      </c>
      <c r="C478" t="s">
        <v>107</v>
      </c>
      <c r="D478" s="22">
        <v>20000</v>
      </c>
      <c r="E478" t="s">
        <v>46</v>
      </c>
      <c r="F478" s="2">
        <v>210115002</v>
      </c>
      <c r="G478" s="2" t="s">
        <v>47</v>
      </c>
      <c r="L478" s="2" t="s">
        <v>955</v>
      </c>
      <c r="N478" t="s">
        <v>107</v>
      </c>
      <c r="P478" s="23">
        <v>56.65</v>
      </c>
      <c r="Q478" s="4">
        <f t="shared" si="7"/>
        <v>353.04501323918799</v>
      </c>
      <c r="R478" s="23" t="s">
        <v>109</v>
      </c>
    </row>
    <row r="479" spans="1:21" x14ac:dyDescent="0.25">
      <c r="A479" s="21">
        <v>45684</v>
      </c>
      <c r="B479" s="1">
        <v>617525740</v>
      </c>
      <c r="C479" t="s">
        <v>956</v>
      </c>
      <c r="D479" s="22">
        <v>-13057.66</v>
      </c>
      <c r="E479" t="s">
        <v>35</v>
      </c>
      <c r="F479" s="2">
        <v>110114001</v>
      </c>
      <c r="G479" s="2" t="s">
        <v>301</v>
      </c>
      <c r="L479" s="2" t="s">
        <v>957</v>
      </c>
      <c r="M479" t="s">
        <v>303</v>
      </c>
      <c r="N479" t="s">
        <v>304</v>
      </c>
      <c r="P479" s="23">
        <v>56.65</v>
      </c>
      <c r="Q479" s="4">
        <f t="shared" si="7"/>
        <v>-230.49708737864077</v>
      </c>
      <c r="R479" s="23" t="s">
        <v>109</v>
      </c>
      <c r="S479" s="33" t="s">
        <v>305</v>
      </c>
      <c r="U479" t="s">
        <v>28</v>
      </c>
    </row>
    <row r="480" spans="1:21" x14ac:dyDescent="0.25">
      <c r="A480" s="21">
        <v>45684</v>
      </c>
      <c r="B480" s="1">
        <v>617525740</v>
      </c>
      <c r="C480" t="s">
        <v>306</v>
      </c>
      <c r="D480" s="22">
        <v>-39.17</v>
      </c>
      <c r="E480" t="s">
        <v>35</v>
      </c>
      <c r="F480" s="2">
        <v>610148001</v>
      </c>
      <c r="G480" s="2" t="s">
        <v>42</v>
      </c>
      <c r="L480" s="2" t="s">
        <v>958</v>
      </c>
      <c r="M480" t="s">
        <v>43</v>
      </c>
      <c r="N480" t="s">
        <v>42</v>
      </c>
      <c r="P480" s="23">
        <v>56.65</v>
      </c>
      <c r="Q480" s="4">
        <f t="shared" si="7"/>
        <v>-0.69143865842894969</v>
      </c>
      <c r="R480" s="23" t="s">
        <v>109</v>
      </c>
      <c r="T480" s="23" t="s">
        <v>44</v>
      </c>
    </row>
    <row r="481" spans="1:23" x14ac:dyDescent="0.25">
      <c r="A481" s="21">
        <v>45684</v>
      </c>
      <c r="B481" s="1">
        <v>114238982</v>
      </c>
      <c r="C481" t="s">
        <v>107</v>
      </c>
      <c r="D481" s="22">
        <v>9000</v>
      </c>
      <c r="E481" t="s">
        <v>46</v>
      </c>
      <c r="F481" s="2">
        <v>210115002</v>
      </c>
      <c r="G481" s="2" t="s">
        <v>47</v>
      </c>
      <c r="L481" s="2" t="s">
        <v>959</v>
      </c>
      <c r="N481" t="s">
        <v>107</v>
      </c>
      <c r="P481" s="23">
        <v>56.65</v>
      </c>
      <c r="Q481" s="4">
        <f t="shared" si="7"/>
        <v>158.87025595763461</v>
      </c>
      <c r="R481" s="23" t="s">
        <v>109</v>
      </c>
    </row>
    <row r="482" spans="1:23" x14ac:dyDescent="0.25">
      <c r="A482" s="21">
        <v>45684</v>
      </c>
      <c r="B482" s="1">
        <v>517534378</v>
      </c>
      <c r="C482" t="s">
        <v>960</v>
      </c>
      <c r="D482" s="22">
        <v>-2832.5</v>
      </c>
      <c r="E482" t="s">
        <v>35</v>
      </c>
      <c r="F482" s="2">
        <v>110114001</v>
      </c>
      <c r="G482" s="2" t="s">
        <v>301</v>
      </c>
      <c r="L482" s="2" t="s">
        <v>961</v>
      </c>
      <c r="M482" t="s">
        <v>114</v>
      </c>
      <c r="N482" t="s">
        <v>115</v>
      </c>
      <c r="P482" s="23">
        <v>56.65</v>
      </c>
      <c r="Q482" s="4">
        <f t="shared" si="7"/>
        <v>-50</v>
      </c>
      <c r="R482" s="23" t="s">
        <v>109</v>
      </c>
      <c r="S482" s="33" t="s">
        <v>962</v>
      </c>
    </row>
    <row r="483" spans="1:23" x14ac:dyDescent="0.25">
      <c r="A483" s="21">
        <v>45684</v>
      </c>
      <c r="B483" s="1">
        <v>517534378</v>
      </c>
      <c r="C483" t="s">
        <v>306</v>
      </c>
      <c r="D483" s="22">
        <v>-8.5</v>
      </c>
      <c r="E483" t="s">
        <v>35</v>
      </c>
      <c r="F483" s="2">
        <v>610148001</v>
      </c>
      <c r="G483" s="2" t="s">
        <v>42</v>
      </c>
      <c r="L483" s="2" t="s">
        <v>963</v>
      </c>
      <c r="M483" t="s">
        <v>43</v>
      </c>
      <c r="N483" t="s">
        <v>42</v>
      </c>
      <c r="P483" s="23">
        <v>56.65</v>
      </c>
      <c r="Q483" s="4">
        <f t="shared" si="7"/>
        <v>-0.15004413062665489</v>
      </c>
      <c r="R483" s="23" t="s">
        <v>109</v>
      </c>
      <c r="T483" s="23" t="s">
        <v>44</v>
      </c>
    </row>
    <row r="484" spans="1:23" x14ac:dyDescent="0.25">
      <c r="A484" s="21">
        <v>45684</v>
      </c>
      <c r="B484" s="1">
        <v>217534442</v>
      </c>
      <c r="C484" t="s">
        <v>964</v>
      </c>
      <c r="D484" s="22">
        <v>-5098.5</v>
      </c>
      <c r="E484" t="s">
        <v>35</v>
      </c>
      <c r="F484" s="2">
        <v>110114001</v>
      </c>
      <c r="G484" s="2" t="s">
        <v>301</v>
      </c>
      <c r="L484" s="2" t="s">
        <v>965</v>
      </c>
      <c r="M484" t="s">
        <v>303</v>
      </c>
      <c r="N484" t="s">
        <v>304</v>
      </c>
      <c r="P484" s="23">
        <v>56.65</v>
      </c>
      <c r="Q484" s="4">
        <f t="shared" si="7"/>
        <v>-90</v>
      </c>
      <c r="R484" s="23" t="s">
        <v>109</v>
      </c>
      <c r="S484" s="33" t="s">
        <v>305</v>
      </c>
      <c r="U484" t="s">
        <v>28</v>
      </c>
    </row>
    <row r="485" spans="1:23" x14ac:dyDescent="0.25">
      <c r="A485" s="21">
        <v>45684</v>
      </c>
      <c r="B485" s="1">
        <v>217534442</v>
      </c>
      <c r="C485" t="s">
        <v>306</v>
      </c>
      <c r="D485" s="22">
        <v>-15.3</v>
      </c>
      <c r="E485" t="s">
        <v>35</v>
      </c>
      <c r="F485" s="2">
        <v>610148001</v>
      </c>
      <c r="G485" s="2" t="s">
        <v>42</v>
      </c>
      <c r="L485" s="2" t="s">
        <v>966</v>
      </c>
      <c r="M485" t="s">
        <v>43</v>
      </c>
      <c r="N485" t="s">
        <v>42</v>
      </c>
      <c r="P485" s="23">
        <v>56.65</v>
      </c>
      <c r="Q485" s="4">
        <f t="shared" si="7"/>
        <v>-0.27007943512797883</v>
      </c>
      <c r="R485" s="23" t="s">
        <v>109</v>
      </c>
      <c r="T485" s="23" t="s">
        <v>44</v>
      </c>
    </row>
    <row r="486" spans="1:23" x14ac:dyDescent="0.25">
      <c r="A486" s="21">
        <v>45685</v>
      </c>
      <c r="B486" s="1">
        <v>60623028</v>
      </c>
      <c r="C486" t="s">
        <v>967</v>
      </c>
      <c r="D486" s="22">
        <v>-84.98</v>
      </c>
      <c r="E486" t="s">
        <v>35</v>
      </c>
      <c r="F486" s="2">
        <v>610148001</v>
      </c>
      <c r="G486" s="2" t="s">
        <v>42</v>
      </c>
      <c r="L486" s="2" t="s">
        <v>968</v>
      </c>
      <c r="M486" t="s">
        <v>43</v>
      </c>
      <c r="N486" t="s">
        <v>42</v>
      </c>
      <c r="P486" s="23">
        <v>56.86</v>
      </c>
      <c r="Q486" s="4">
        <f t="shared" si="7"/>
        <v>-1.4945480126626804</v>
      </c>
      <c r="R486" s="23" t="s">
        <v>109</v>
      </c>
      <c r="T486" s="23" t="s">
        <v>44</v>
      </c>
    </row>
    <row r="487" spans="1:23" x14ac:dyDescent="0.25">
      <c r="A487" s="21">
        <v>45685</v>
      </c>
      <c r="B487" s="1">
        <v>882421977</v>
      </c>
      <c r="C487" t="s">
        <v>538</v>
      </c>
      <c r="D487" s="22">
        <v>5676.23</v>
      </c>
      <c r="E487" t="s">
        <v>46</v>
      </c>
      <c r="F487" s="2">
        <v>110114001</v>
      </c>
      <c r="G487" s="2" t="s">
        <v>301</v>
      </c>
      <c r="L487" s="2" t="s">
        <v>969</v>
      </c>
      <c r="N487" t="s">
        <v>540</v>
      </c>
      <c r="P487" s="23">
        <v>56.86</v>
      </c>
      <c r="Q487" s="4">
        <f t="shared" si="7"/>
        <v>99.828174463594792</v>
      </c>
      <c r="R487" s="23" t="s">
        <v>109</v>
      </c>
    </row>
    <row r="488" spans="1:23" x14ac:dyDescent="0.25">
      <c r="A488" s="21">
        <v>45685</v>
      </c>
      <c r="B488" s="1">
        <v>110624339</v>
      </c>
      <c r="C488" t="s">
        <v>744</v>
      </c>
      <c r="D488" s="22">
        <v>10000</v>
      </c>
      <c r="E488" t="s">
        <v>46</v>
      </c>
      <c r="F488" s="2">
        <v>210115002</v>
      </c>
      <c r="G488" s="2" t="s">
        <v>47</v>
      </c>
      <c r="L488" s="2" t="s">
        <v>970</v>
      </c>
      <c r="N488" t="s">
        <v>744</v>
      </c>
      <c r="P488" s="23">
        <v>56.86</v>
      </c>
      <c r="Q488" s="4">
        <f t="shared" si="7"/>
        <v>175.87055926837849</v>
      </c>
      <c r="R488" s="23" t="s">
        <v>109</v>
      </c>
    </row>
    <row r="489" spans="1:23" x14ac:dyDescent="0.25">
      <c r="A489" s="21">
        <v>45685</v>
      </c>
      <c r="B489" s="1">
        <v>111143715</v>
      </c>
      <c r="C489" t="s">
        <v>971</v>
      </c>
      <c r="D489" s="30">
        <v>-603</v>
      </c>
      <c r="E489" t="s">
        <v>35</v>
      </c>
      <c r="F489" s="2">
        <v>610122005</v>
      </c>
      <c r="G489" s="2" t="s">
        <v>765</v>
      </c>
      <c r="L489" s="2" t="s">
        <v>972</v>
      </c>
      <c r="M489" t="s">
        <v>767</v>
      </c>
      <c r="N489" t="s">
        <v>768</v>
      </c>
      <c r="O489" s="27" t="s">
        <v>59</v>
      </c>
      <c r="P489" s="23">
        <v>56.86</v>
      </c>
      <c r="Q489" s="4">
        <f t="shared" si="7"/>
        <v>-10.604994723883221</v>
      </c>
      <c r="R489" s="23" t="s">
        <v>109</v>
      </c>
      <c r="T489" s="23" t="s">
        <v>973</v>
      </c>
    </row>
    <row r="490" spans="1:23" x14ac:dyDescent="0.25">
      <c r="A490" s="21">
        <v>45685</v>
      </c>
      <c r="B490" s="1">
        <v>417579921</v>
      </c>
      <c r="C490" t="s">
        <v>974</v>
      </c>
      <c r="D490" s="22">
        <v>-15046.97</v>
      </c>
      <c r="E490" t="s">
        <v>35</v>
      </c>
      <c r="F490" s="2">
        <v>210101001</v>
      </c>
      <c r="G490" s="2" t="s">
        <v>36</v>
      </c>
      <c r="L490" s="2" t="s">
        <v>975</v>
      </c>
      <c r="M490" t="s">
        <v>976</v>
      </c>
      <c r="N490" t="s">
        <v>977</v>
      </c>
      <c r="P490" s="23">
        <v>56.86</v>
      </c>
      <c r="Q490" s="4">
        <f t="shared" si="7"/>
        <v>-264.63190291945125</v>
      </c>
      <c r="R490" s="23" t="s">
        <v>109</v>
      </c>
    </row>
    <row r="491" spans="1:23" x14ac:dyDescent="0.25">
      <c r="A491" s="21">
        <v>45685</v>
      </c>
      <c r="B491" s="1">
        <v>417579921</v>
      </c>
      <c r="C491" t="s">
        <v>306</v>
      </c>
      <c r="D491" s="22">
        <v>-45.14</v>
      </c>
      <c r="E491" t="s">
        <v>35</v>
      </c>
      <c r="F491" s="2">
        <v>610148001</v>
      </c>
      <c r="G491" s="2" t="s">
        <v>42</v>
      </c>
      <c r="L491" s="2" t="s">
        <v>978</v>
      </c>
      <c r="M491" t="s">
        <v>43</v>
      </c>
      <c r="N491" t="s">
        <v>42</v>
      </c>
      <c r="P491" s="23">
        <v>56.86</v>
      </c>
      <c r="Q491" s="4">
        <f t="shared" si="7"/>
        <v>-0.79387970453746048</v>
      </c>
      <c r="R491" s="23" t="s">
        <v>109</v>
      </c>
      <c r="T491" s="23" t="s">
        <v>44</v>
      </c>
    </row>
    <row r="492" spans="1:23" x14ac:dyDescent="0.25">
      <c r="A492" s="21">
        <v>45686</v>
      </c>
      <c r="B492" s="1">
        <v>144905280</v>
      </c>
      <c r="C492" t="s">
        <v>107</v>
      </c>
      <c r="D492" s="22">
        <v>91000</v>
      </c>
      <c r="E492" t="s">
        <v>46</v>
      </c>
      <c r="F492" s="2">
        <v>210115002</v>
      </c>
      <c r="G492" s="2" t="s">
        <v>47</v>
      </c>
      <c r="L492" s="2" t="s">
        <v>979</v>
      </c>
      <c r="N492" t="s">
        <v>107</v>
      </c>
      <c r="P492" s="23">
        <v>57.3</v>
      </c>
      <c r="Q492" s="4">
        <f t="shared" si="7"/>
        <v>1588.1326352530541</v>
      </c>
      <c r="R492" s="23" t="s">
        <v>109</v>
      </c>
    </row>
    <row r="493" spans="1:23" x14ac:dyDescent="0.25">
      <c r="A493" s="21">
        <v>45686</v>
      </c>
      <c r="B493" s="1">
        <v>317631997</v>
      </c>
      <c r="C493" t="s">
        <v>980</v>
      </c>
      <c r="D493" s="22">
        <v>-89042.76</v>
      </c>
      <c r="E493" t="s">
        <v>35</v>
      </c>
      <c r="F493" s="2">
        <v>210101001</v>
      </c>
      <c r="G493" s="2" t="s">
        <v>36</v>
      </c>
      <c r="L493" s="2" t="s">
        <v>981</v>
      </c>
      <c r="M493" t="s">
        <v>38</v>
      </c>
      <c r="N493" t="s">
        <v>39</v>
      </c>
      <c r="P493" s="23">
        <v>57.3</v>
      </c>
      <c r="Q493" s="4">
        <f t="shared" si="7"/>
        <v>-1553.9748691099476</v>
      </c>
      <c r="R493" s="23" t="s">
        <v>109</v>
      </c>
    </row>
    <row r="494" spans="1:23" x14ac:dyDescent="0.25">
      <c r="A494" s="21">
        <v>45686</v>
      </c>
      <c r="B494" s="1">
        <v>317631997</v>
      </c>
      <c r="C494" t="s">
        <v>306</v>
      </c>
      <c r="D494" s="22">
        <v>-267.13</v>
      </c>
      <c r="E494" t="s">
        <v>35</v>
      </c>
      <c r="F494" s="2">
        <v>610148001</v>
      </c>
      <c r="G494" s="2" t="s">
        <v>42</v>
      </c>
      <c r="L494" s="2" t="s">
        <v>982</v>
      </c>
      <c r="M494" t="s">
        <v>43</v>
      </c>
      <c r="N494" t="s">
        <v>42</v>
      </c>
      <c r="P494" s="23">
        <v>57.3</v>
      </c>
      <c r="Q494" s="4">
        <f t="shared" si="7"/>
        <v>-4.66195462478185</v>
      </c>
      <c r="R494" s="23" t="s">
        <v>109</v>
      </c>
      <c r="T494" s="23" t="s">
        <v>44</v>
      </c>
    </row>
    <row r="495" spans="1:23" x14ac:dyDescent="0.25">
      <c r="A495" s="21">
        <v>45686</v>
      </c>
      <c r="B495" s="1">
        <v>154422321</v>
      </c>
      <c r="C495" t="s">
        <v>107</v>
      </c>
      <c r="D495" s="22">
        <v>90000</v>
      </c>
      <c r="E495" t="s">
        <v>46</v>
      </c>
      <c r="F495" s="2">
        <v>210115002</v>
      </c>
      <c r="G495" s="2" t="s">
        <v>47</v>
      </c>
      <c r="L495" s="2" t="s">
        <v>983</v>
      </c>
      <c r="N495" t="s">
        <v>107</v>
      </c>
      <c r="P495" s="23">
        <v>57.3</v>
      </c>
      <c r="Q495" s="4">
        <f t="shared" si="7"/>
        <v>1570.6806282722514</v>
      </c>
      <c r="R495" s="23" t="s">
        <v>109</v>
      </c>
    </row>
    <row r="496" spans="1:23" x14ac:dyDescent="0.25">
      <c r="A496" s="21">
        <v>45686</v>
      </c>
      <c r="B496" s="1">
        <v>717634184</v>
      </c>
      <c r="C496" t="s">
        <v>984</v>
      </c>
      <c r="D496" s="22">
        <v>-34051.18</v>
      </c>
      <c r="E496" t="s">
        <v>35</v>
      </c>
      <c r="F496" s="2">
        <v>212901001</v>
      </c>
      <c r="G496" s="2" t="s">
        <v>121</v>
      </c>
      <c r="L496" s="2" t="s">
        <v>985</v>
      </c>
      <c r="M496" t="s">
        <v>67</v>
      </c>
      <c r="N496" t="s">
        <v>68</v>
      </c>
      <c r="P496" s="23">
        <v>57.3</v>
      </c>
      <c r="Q496" s="4">
        <f t="shared" si="7"/>
        <v>-594.26143106457243</v>
      </c>
      <c r="R496" s="23" t="s">
        <v>109</v>
      </c>
      <c r="U496">
        <v>1</v>
      </c>
      <c r="V496" t="e">
        <f>VLOOKUP(U496,[1]!NOMINA[#Data],4,FALSE)</f>
        <v>#REF!</v>
      </c>
      <c r="W496" t="e">
        <f>VLOOKUP(U496,[1]!NOMINA[#Data],5,FALSE)</f>
        <v>#REF!</v>
      </c>
    </row>
    <row r="497" spans="1:23" x14ac:dyDescent="0.25">
      <c r="A497" s="21">
        <v>45686</v>
      </c>
      <c r="B497" s="1">
        <v>717634183</v>
      </c>
      <c r="C497" t="s">
        <v>986</v>
      </c>
      <c r="D497" s="22">
        <v>-45423.18</v>
      </c>
      <c r="E497" t="s">
        <v>35</v>
      </c>
      <c r="F497" s="2">
        <v>212901001</v>
      </c>
      <c r="G497" s="2" t="s">
        <v>121</v>
      </c>
      <c r="L497" s="2" t="s">
        <v>987</v>
      </c>
      <c r="M497" t="s">
        <v>67</v>
      </c>
      <c r="N497" t="s">
        <v>68</v>
      </c>
      <c r="P497" s="23">
        <v>57.3</v>
      </c>
      <c r="Q497" s="4">
        <f t="shared" si="7"/>
        <v>-792.7256544502618</v>
      </c>
      <c r="R497" s="23" t="s">
        <v>109</v>
      </c>
      <c r="U497">
        <v>2</v>
      </c>
      <c r="V497" t="e">
        <f>VLOOKUP(Tabla3[[#This Row],[Nº]],[1]!NOMINA[#Data],4,FALSE)</f>
        <v>#REF!</v>
      </c>
      <c r="W497" t="e">
        <f>VLOOKUP(Tabla3[[#This Row],[Nº]],[1]!NOMINA[#Data],5,FALSE)</f>
        <v>#REF!</v>
      </c>
    </row>
    <row r="498" spans="1:23" x14ac:dyDescent="0.25">
      <c r="A498" s="21">
        <v>45686</v>
      </c>
      <c r="B498" s="1">
        <v>817634187</v>
      </c>
      <c r="C498" t="s">
        <v>988</v>
      </c>
      <c r="D498" s="22">
        <v>-61.65</v>
      </c>
      <c r="E498" t="s">
        <v>35</v>
      </c>
      <c r="F498" s="2">
        <v>212901001</v>
      </c>
      <c r="G498" s="2" t="s">
        <v>121</v>
      </c>
      <c r="L498" s="2" t="s">
        <v>989</v>
      </c>
      <c r="M498" t="s">
        <v>67</v>
      </c>
      <c r="N498" t="s">
        <v>68</v>
      </c>
      <c r="P498" s="23">
        <v>57.3</v>
      </c>
      <c r="Q498" s="4">
        <f t="shared" si="7"/>
        <v>-1.0759162303664922</v>
      </c>
      <c r="R498" s="23" t="s">
        <v>109</v>
      </c>
      <c r="U498">
        <v>2</v>
      </c>
      <c r="V498" t="e">
        <f>VLOOKUP(Tabla3[[#This Row],[Nº]],[1]!NOMINA[#Data],4,FALSE)</f>
        <v>#REF!</v>
      </c>
      <c r="W498" t="e">
        <f>VLOOKUP(Tabla3[[#This Row],[Nº]],[1]!NOMINA[#Data],5,FALSE)</f>
        <v>#REF!</v>
      </c>
    </row>
    <row r="499" spans="1:23" x14ac:dyDescent="0.25">
      <c r="A499" s="21">
        <v>45686</v>
      </c>
      <c r="B499" s="1">
        <v>817634185</v>
      </c>
      <c r="C499" t="s">
        <v>990</v>
      </c>
      <c r="D499" s="22">
        <v>-2274.4</v>
      </c>
      <c r="E499" t="s">
        <v>35</v>
      </c>
      <c r="F499" s="2">
        <v>212901001</v>
      </c>
      <c r="G499" s="2" t="s">
        <v>121</v>
      </c>
      <c r="L499" s="2" t="s">
        <v>991</v>
      </c>
      <c r="M499" t="s">
        <v>67</v>
      </c>
      <c r="N499" t="s">
        <v>68</v>
      </c>
      <c r="P499" s="23">
        <v>57.3</v>
      </c>
      <c r="Q499" s="4">
        <f t="shared" si="7"/>
        <v>-39.692844677137877</v>
      </c>
      <c r="R499" s="23" t="s">
        <v>109</v>
      </c>
      <c r="U499">
        <v>2</v>
      </c>
      <c r="V499" t="e">
        <f>VLOOKUP(Tabla3[[#This Row],[Nº]],[1]!NOMINA[#Data],4,FALSE)</f>
        <v>#REF!</v>
      </c>
      <c r="W499" t="e">
        <f>VLOOKUP(Tabla3[[#This Row],[Nº]],[1]!NOMINA[#Data],5,FALSE)</f>
        <v>#REF!</v>
      </c>
    </row>
    <row r="500" spans="1:23" x14ac:dyDescent="0.25">
      <c r="A500" s="21">
        <v>45686</v>
      </c>
      <c r="B500" s="1">
        <v>817634186</v>
      </c>
      <c r="C500" t="s">
        <v>992</v>
      </c>
      <c r="D500" s="22">
        <v>-2274.4</v>
      </c>
      <c r="E500" t="s">
        <v>35</v>
      </c>
      <c r="F500" s="2">
        <v>212901001</v>
      </c>
      <c r="G500" s="2" t="s">
        <v>121</v>
      </c>
      <c r="L500" s="2" t="s">
        <v>993</v>
      </c>
      <c r="M500" t="s">
        <v>67</v>
      </c>
      <c r="N500" t="s">
        <v>68</v>
      </c>
      <c r="P500" s="23">
        <v>57.3</v>
      </c>
      <c r="Q500" s="4">
        <f t="shared" si="7"/>
        <v>-39.692844677137877</v>
      </c>
      <c r="R500" s="23" t="s">
        <v>109</v>
      </c>
      <c r="U500">
        <v>1</v>
      </c>
      <c r="V500" t="e">
        <f>VLOOKUP(U500,[1]!NOMINA[#Data],4,FALSE)</f>
        <v>#REF!</v>
      </c>
      <c r="W500" t="e">
        <f>VLOOKUP(U500,[1]!NOMINA[#Data],5,FALSE)</f>
        <v>#REF!</v>
      </c>
    </row>
    <row r="501" spans="1:23" x14ac:dyDescent="0.25">
      <c r="A501" s="21">
        <v>45686</v>
      </c>
      <c r="B501" s="1">
        <v>817634190</v>
      </c>
      <c r="C501" t="s">
        <v>994</v>
      </c>
      <c r="D501" s="22">
        <v>-2843</v>
      </c>
      <c r="E501" t="s">
        <v>35</v>
      </c>
      <c r="F501" s="2">
        <v>212901001</v>
      </c>
      <c r="G501" s="2" t="s">
        <v>121</v>
      </c>
      <c r="L501" s="2" t="s">
        <v>995</v>
      </c>
      <c r="M501" t="s">
        <v>67</v>
      </c>
      <c r="N501" t="s">
        <v>68</v>
      </c>
      <c r="P501" s="23">
        <v>57.3</v>
      </c>
      <c r="Q501" s="4">
        <f t="shared" si="7"/>
        <v>-49.616055846422341</v>
      </c>
      <c r="R501" s="23" t="s">
        <v>109</v>
      </c>
    </row>
    <row r="502" spans="1:23" x14ac:dyDescent="0.25">
      <c r="A502" s="21">
        <v>45686</v>
      </c>
      <c r="B502" s="1">
        <v>817634188</v>
      </c>
      <c r="C502" t="s">
        <v>996</v>
      </c>
      <c r="D502" s="22">
        <v>-61.65</v>
      </c>
      <c r="E502" t="s">
        <v>35</v>
      </c>
      <c r="F502" s="2">
        <v>212901001</v>
      </c>
      <c r="G502" s="2" t="s">
        <v>121</v>
      </c>
      <c r="L502" s="2" t="s">
        <v>997</v>
      </c>
      <c r="M502" t="s">
        <v>67</v>
      </c>
      <c r="N502" t="s">
        <v>68</v>
      </c>
      <c r="P502" s="23">
        <v>57.3</v>
      </c>
      <c r="Q502" s="4">
        <f t="shared" si="7"/>
        <v>-1.0759162303664922</v>
      </c>
      <c r="R502" s="23" t="s">
        <v>109</v>
      </c>
      <c r="U502">
        <v>1</v>
      </c>
      <c r="V502" t="e">
        <f>VLOOKUP(U502,[1]!NOMINA[#Data],4,FALSE)</f>
        <v>#REF!</v>
      </c>
      <c r="W502" t="e">
        <f>VLOOKUP(U502,[1]!NOMINA[#Data],5,FALSE)</f>
        <v>#REF!</v>
      </c>
    </row>
    <row r="503" spans="1:23" x14ac:dyDescent="0.25">
      <c r="A503" s="21">
        <v>45686</v>
      </c>
      <c r="B503" s="1">
        <v>817634189</v>
      </c>
      <c r="C503" t="s">
        <v>998</v>
      </c>
      <c r="D503" s="22">
        <v>-2843</v>
      </c>
      <c r="E503" t="s">
        <v>35</v>
      </c>
      <c r="F503" s="2">
        <v>212901001</v>
      </c>
      <c r="G503" s="2" t="s">
        <v>121</v>
      </c>
      <c r="L503" s="2" t="s">
        <v>999</v>
      </c>
      <c r="M503" t="s">
        <v>67</v>
      </c>
      <c r="N503" t="s">
        <v>68</v>
      </c>
      <c r="P503" s="23">
        <v>57.3</v>
      </c>
      <c r="Q503" s="4">
        <f t="shared" si="7"/>
        <v>-49.616055846422341</v>
      </c>
      <c r="R503" s="23" t="s">
        <v>109</v>
      </c>
    </row>
    <row r="504" spans="1:23" x14ac:dyDescent="0.25">
      <c r="A504" s="21">
        <v>45686</v>
      </c>
      <c r="B504" s="1">
        <v>817634191</v>
      </c>
      <c r="C504" t="s">
        <v>1000</v>
      </c>
      <c r="D504" s="22">
        <v>-2843</v>
      </c>
      <c r="E504" t="s">
        <v>35</v>
      </c>
      <c r="F504" s="2">
        <v>212901001</v>
      </c>
      <c r="G504" s="2" t="s">
        <v>121</v>
      </c>
      <c r="L504" s="2" t="s">
        <v>1001</v>
      </c>
      <c r="M504" t="s">
        <v>67</v>
      </c>
      <c r="N504" t="s">
        <v>68</v>
      </c>
      <c r="P504" s="23">
        <v>57.3</v>
      </c>
      <c r="Q504" s="4">
        <f t="shared" si="7"/>
        <v>-49.616055846422341</v>
      </c>
      <c r="R504" s="23" t="s">
        <v>109</v>
      </c>
    </row>
    <row r="505" spans="1:23" x14ac:dyDescent="0.25">
      <c r="A505" s="21">
        <v>45686</v>
      </c>
      <c r="B505" s="1">
        <v>50112866</v>
      </c>
      <c r="C505" t="s">
        <v>118</v>
      </c>
      <c r="D505" s="22">
        <v>-231.68</v>
      </c>
      <c r="E505" t="s">
        <v>35</v>
      </c>
      <c r="F505" s="2">
        <v>610148001</v>
      </c>
      <c r="G505" s="2" t="s">
        <v>42</v>
      </c>
      <c r="L505" s="2" t="s">
        <v>1002</v>
      </c>
      <c r="M505" t="s">
        <v>43</v>
      </c>
      <c r="N505" t="s">
        <v>42</v>
      </c>
      <c r="P505" s="23">
        <v>57.3</v>
      </c>
      <c r="Q505" s="4">
        <f t="shared" si="7"/>
        <v>-4.0432809773123912</v>
      </c>
      <c r="R505" s="23" t="s">
        <v>109</v>
      </c>
      <c r="T505" s="23" t="s">
        <v>44</v>
      </c>
    </row>
    <row r="506" spans="1:23" x14ac:dyDescent="0.25">
      <c r="A506" s="21">
        <v>45687</v>
      </c>
      <c r="B506" s="1">
        <v>132620158</v>
      </c>
      <c r="C506" t="s">
        <v>107</v>
      </c>
      <c r="D506" s="22">
        <v>90000</v>
      </c>
      <c r="E506" t="s">
        <v>46</v>
      </c>
      <c r="F506" s="2">
        <v>210115002</v>
      </c>
      <c r="G506" s="2" t="s">
        <v>47</v>
      </c>
      <c r="L506" s="2" t="s">
        <v>1003</v>
      </c>
      <c r="N506" t="s">
        <v>107</v>
      </c>
      <c r="P506" s="23">
        <v>57.39</v>
      </c>
      <c r="Q506" s="4">
        <f t="shared" si="7"/>
        <v>1568.2174594877156</v>
      </c>
      <c r="R506" s="23" t="s">
        <v>109</v>
      </c>
    </row>
    <row r="507" spans="1:23" x14ac:dyDescent="0.25">
      <c r="A507" s="21">
        <v>45687</v>
      </c>
      <c r="B507" s="1">
        <v>117677351</v>
      </c>
      <c r="C507" t="s">
        <v>1004</v>
      </c>
      <c r="D507" s="22">
        <v>-86548.49</v>
      </c>
      <c r="E507" t="s">
        <v>35</v>
      </c>
      <c r="F507" s="2">
        <v>210101001</v>
      </c>
      <c r="G507" s="2" t="s">
        <v>36</v>
      </c>
      <c r="L507" s="2" t="s">
        <v>1005</v>
      </c>
      <c r="M507" t="s">
        <v>38</v>
      </c>
      <c r="N507" t="s">
        <v>39</v>
      </c>
      <c r="P507" s="23">
        <v>57.39</v>
      </c>
      <c r="Q507" s="4">
        <f t="shared" si="7"/>
        <v>-1508.0761456699774</v>
      </c>
      <c r="R507" s="23" t="s">
        <v>109</v>
      </c>
    </row>
    <row r="508" spans="1:23" x14ac:dyDescent="0.25">
      <c r="A508" s="21">
        <v>45687</v>
      </c>
      <c r="B508" s="1">
        <v>117677351</v>
      </c>
      <c r="C508" t="s">
        <v>306</v>
      </c>
      <c r="D508" s="22">
        <v>-259.64999999999998</v>
      </c>
      <c r="E508" t="s">
        <v>35</v>
      </c>
      <c r="F508" s="2">
        <v>610148001</v>
      </c>
      <c r="G508" s="2" t="s">
        <v>42</v>
      </c>
      <c r="L508" s="2" t="s">
        <v>1006</v>
      </c>
      <c r="M508" t="s">
        <v>43</v>
      </c>
      <c r="N508" t="s">
        <v>42</v>
      </c>
      <c r="P508" s="23">
        <v>57.39</v>
      </c>
      <c r="Q508" s="4">
        <f t="shared" si="7"/>
        <v>-4.5243073706220596</v>
      </c>
      <c r="R508" s="23" t="s">
        <v>109</v>
      </c>
      <c r="T508" s="23" t="s">
        <v>44</v>
      </c>
    </row>
    <row r="509" spans="1:23" x14ac:dyDescent="0.25">
      <c r="A509" s="21">
        <v>45688</v>
      </c>
      <c r="B509" s="1">
        <v>110555601</v>
      </c>
      <c r="C509" t="s">
        <v>107</v>
      </c>
      <c r="D509" s="22">
        <v>380000</v>
      </c>
      <c r="E509" t="s">
        <v>46</v>
      </c>
      <c r="F509" s="2">
        <v>210115002</v>
      </c>
      <c r="G509" s="2" t="s">
        <v>47</v>
      </c>
      <c r="L509" s="2" t="s">
        <v>1007</v>
      </c>
      <c r="N509" t="s">
        <v>107</v>
      </c>
      <c r="P509" s="23">
        <v>57.97</v>
      </c>
      <c r="Q509" s="4">
        <f t="shared" si="7"/>
        <v>6555.1147145075038</v>
      </c>
      <c r="R509" s="23" t="s">
        <v>109</v>
      </c>
    </row>
    <row r="510" spans="1:23" x14ac:dyDescent="0.25">
      <c r="A510" s="21">
        <v>45688</v>
      </c>
      <c r="B510" s="1">
        <v>317739363</v>
      </c>
      <c r="C510" t="s">
        <v>1008</v>
      </c>
      <c r="D510" s="22">
        <v>-3478.2</v>
      </c>
      <c r="E510" t="s">
        <v>35</v>
      </c>
      <c r="F510" s="2">
        <v>212901001</v>
      </c>
      <c r="G510" s="2" t="s">
        <v>121</v>
      </c>
      <c r="L510" s="2" t="s">
        <v>1009</v>
      </c>
      <c r="M510" t="s">
        <v>67</v>
      </c>
      <c r="N510" t="s">
        <v>68</v>
      </c>
      <c r="P510" s="23">
        <v>57.97</v>
      </c>
      <c r="Q510" s="4">
        <f t="shared" si="7"/>
        <v>-60</v>
      </c>
      <c r="R510" s="23" t="s">
        <v>109</v>
      </c>
    </row>
    <row r="511" spans="1:23" x14ac:dyDescent="0.25">
      <c r="A511" s="21">
        <v>45688</v>
      </c>
      <c r="B511" s="1">
        <v>317739365</v>
      </c>
      <c r="C511" t="s">
        <v>1010</v>
      </c>
      <c r="D511" s="22">
        <v>-3478.2</v>
      </c>
      <c r="E511" t="s">
        <v>35</v>
      </c>
      <c r="F511" s="2">
        <v>212901001</v>
      </c>
      <c r="G511" s="2" t="s">
        <v>121</v>
      </c>
      <c r="L511" s="2" t="s">
        <v>1011</v>
      </c>
      <c r="M511" t="s">
        <v>67</v>
      </c>
      <c r="N511" t="s">
        <v>68</v>
      </c>
      <c r="P511" s="23">
        <v>57.97</v>
      </c>
      <c r="Q511" s="4">
        <f t="shared" si="7"/>
        <v>-60</v>
      </c>
      <c r="R511" s="23" t="s">
        <v>109</v>
      </c>
    </row>
    <row r="512" spans="1:23" x14ac:dyDescent="0.25">
      <c r="A512" s="21">
        <v>45688</v>
      </c>
      <c r="B512" s="1">
        <v>317739364</v>
      </c>
      <c r="C512" t="s">
        <v>1012</v>
      </c>
      <c r="D512" s="22">
        <v>-3478.2</v>
      </c>
      <c r="E512" t="s">
        <v>35</v>
      </c>
      <c r="F512" s="2">
        <v>212901001</v>
      </c>
      <c r="G512" s="2" t="s">
        <v>121</v>
      </c>
      <c r="L512" s="2" t="s">
        <v>1013</v>
      </c>
      <c r="M512" t="s">
        <v>67</v>
      </c>
      <c r="N512" t="s">
        <v>68</v>
      </c>
      <c r="P512" s="23">
        <v>57.97</v>
      </c>
      <c r="Q512" s="4">
        <f t="shared" si="7"/>
        <v>-60</v>
      </c>
      <c r="R512" s="23" t="s">
        <v>109</v>
      </c>
    </row>
    <row r="513" spans="1:18" x14ac:dyDescent="0.25">
      <c r="A513" s="21">
        <v>45688</v>
      </c>
      <c r="B513" s="1">
        <v>317739366</v>
      </c>
      <c r="C513" t="s">
        <v>1014</v>
      </c>
      <c r="D513" s="22">
        <v>-3478.2</v>
      </c>
      <c r="E513" t="s">
        <v>35</v>
      </c>
      <c r="F513" s="2">
        <v>212901001</v>
      </c>
      <c r="G513" s="2" t="s">
        <v>121</v>
      </c>
      <c r="L513" s="2" t="s">
        <v>1015</v>
      </c>
      <c r="M513" t="s">
        <v>67</v>
      </c>
      <c r="N513" t="s">
        <v>68</v>
      </c>
      <c r="P513" s="23">
        <v>57.97</v>
      </c>
      <c r="Q513" s="4">
        <f t="shared" si="7"/>
        <v>-60</v>
      </c>
      <c r="R513" s="23" t="s">
        <v>109</v>
      </c>
    </row>
    <row r="514" spans="1:18" x14ac:dyDescent="0.25">
      <c r="A514" s="21">
        <v>45688</v>
      </c>
      <c r="B514" s="1">
        <v>317739367</v>
      </c>
      <c r="C514" t="s">
        <v>1016</v>
      </c>
      <c r="D514" s="22">
        <v>-3478.2</v>
      </c>
      <c r="E514" t="s">
        <v>35</v>
      </c>
      <c r="F514" s="2">
        <v>212901001</v>
      </c>
      <c r="G514" s="2" t="s">
        <v>121</v>
      </c>
      <c r="L514" s="2" t="s">
        <v>1017</v>
      </c>
      <c r="M514" t="s">
        <v>67</v>
      </c>
      <c r="N514" t="s">
        <v>68</v>
      </c>
      <c r="P514" s="23">
        <v>57.97</v>
      </c>
      <c r="Q514" s="4">
        <f t="shared" si="7"/>
        <v>-60</v>
      </c>
      <c r="R514" s="23" t="s">
        <v>109</v>
      </c>
    </row>
    <row r="515" spans="1:18" x14ac:dyDescent="0.25">
      <c r="A515" s="21">
        <v>45688</v>
      </c>
      <c r="B515" s="1">
        <v>417739370</v>
      </c>
      <c r="C515" t="s">
        <v>1014</v>
      </c>
      <c r="D515" s="22">
        <v>-3478.2</v>
      </c>
      <c r="E515" t="s">
        <v>35</v>
      </c>
      <c r="F515" s="2">
        <v>212901001</v>
      </c>
      <c r="G515" s="2" t="s">
        <v>121</v>
      </c>
      <c r="L515" s="2" t="s">
        <v>1018</v>
      </c>
      <c r="M515" t="s">
        <v>67</v>
      </c>
      <c r="N515" t="s">
        <v>68</v>
      </c>
      <c r="P515" s="23">
        <v>57.97</v>
      </c>
      <c r="Q515" s="4">
        <f t="shared" si="7"/>
        <v>-60</v>
      </c>
      <c r="R515" s="23" t="s">
        <v>109</v>
      </c>
    </row>
    <row r="516" spans="1:18" x14ac:dyDescent="0.25">
      <c r="A516" s="21">
        <v>45688</v>
      </c>
      <c r="B516" s="1">
        <v>417739369</v>
      </c>
      <c r="C516" t="s">
        <v>1019</v>
      </c>
      <c r="D516" s="22">
        <v>-3478.2</v>
      </c>
      <c r="E516" t="s">
        <v>35</v>
      </c>
      <c r="F516" s="2">
        <v>212901001</v>
      </c>
      <c r="G516" s="2" t="s">
        <v>121</v>
      </c>
      <c r="L516" s="2" t="s">
        <v>1020</v>
      </c>
      <c r="M516" t="s">
        <v>67</v>
      </c>
      <c r="N516" t="s">
        <v>68</v>
      </c>
      <c r="P516" s="23">
        <v>57.97</v>
      </c>
      <c r="Q516" s="4">
        <f t="shared" si="7"/>
        <v>-60</v>
      </c>
      <c r="R516" s="23" t="s">
        <v>109</v>
      </c>
    </row>
    <row r="517" spans="1:18" x14ac:dyDescent="0.25">
      <c r="A517" s="21">
        <v>45688</v>
      </c>
      <c r="B517" s="1">
        <v>317739368</v>
      </c>
      <c r="C517" t="s">
        <v>1021</v>
      </c>
      <c r="D517" s="22">
        <v>-3478.2</v>
      </c>
      <c r="E517" t="s">
        <v>35</v>
      </c>
      <c r="F517" s="2">
        <v>212901001</v>
      </c>
      <c r="G517" s="2" t="s">
        <v>121</v>
      </c>
      <c r="L517" s="2" t="s">
        <v>1022</v>
      </c>
      <c r="M517" t="s">
        <v>67</v>
      </c>
      <c r="N517" t="s">
        <v>68</v>
      </c>
      <c r="P517" s="23">
        <v>57.97</v>
      </c>
      <c r="Q517" s="4">
        <f t="shared" si="7"/>
        <v>-60</v>
      </c>
      <c r="R517" s="23" t="s">
        <v>109</v>
      </c>
    </row>
    <row r="518" spans="1:18" x14ac:dyDescent="0.25">
      <c r="A518" s="21">
        <v>45688</v>
      </c>
      <c r="B518" s="1">
        <v>417739373</v>
      </c>
      <c r="C518" t="s">
        <v>1023</v>
      </c>
      <c r="D518" s="22">
        <v>-3478.2</v>
      </c>
      <c r="E518" t="s">
        <v>35</v>
      </c>
      <c r="F518" s="2">
        <v>212901001</v>
      </c>
      <c r="G518" s="2" t="s">
        <v>121</v>
      </c>
      <c r="L518" s="2" t="s">
        <v>1024</v>
      </c>
      <c r="M518" t="s">
        <v>67</v>
      </c>
      <c r="N518" t="s">
        <v>68</v>
      </c>
      <c r="P518" s="23">
        <v>57.97</v>
      </c>
      <c r="Q518" s="4">
        <f t="shared" si="7"/>
        <v>-60</v>
      </c>
      <c r="R518" s="23" t="s">
        <v>109</v>
      </c>
    </row>
    <row r="519" spans="1:18" x14ac:dyDescent="0.25">
      <c r="A519" s="21">
        <v>45688</v>
      </c>
      <c r="B519" s="1">
        <v>417739372</v>
      </c>
      <c r="C519" t="s">
        <v>1025</v>
      </c>
      <c r="D519" s="22">
        <v>-3478.2</v>
      </c>
      <c r="E519" t="s">
        <v>35</v>
      </c>
      <c r="F519" s="2">
        <v>212901001</v>
      </c>
      <c r="G519" s="2" t="s">
        <v>121</v>
      </c>
      <c r="L519" s="2" t="s">
        <v>1026</v>
      </c>
      <c r="M519" t="s">
        <v>67</v>
      </c>
      <c r="N519" t="s">
        <v>68</v>
      </c>
      <c r="P519" s="23">
        <v>57.97</v>
      </c>
      <c r="Q519" s="4">
        <f t="shared" si="7"/>
        <v>-60</v>
      </c>
      <c r="R519" s="23" t="s">
        <v>109</v>
      </c>
    </row>
    <row r="520" spans="1:18" x14ac:dyDescent="0.25">
      <c r="A520" s="21">
        <v>45688</v>
      </c>
      <c r="B520" s="1">
        <v>417739371</v>
      </c>
      <c r="C520" t="s">
        <v>1027</v>
      </c>
      <c r="D520" s="22">
        <v>-3478.2</v>
      </c>
      <c r="E520" t="s">
        <v>35</v>
      </c>
      <c r="F520" s="2">
        <v>212901001</v>
      </c>
      <c r="G520" s="2" t="s">
        <v>121</v>
      </c>
      <c r="L520" s="2" t="s">
        <v>1028</v>
      </c>
      <c r="M520" t="s">
        <v>67</v>
      </c>
      <c r="N520" t="s">
        <v>68</v>
      </c>
      <c r="P520" s="23">
        <v>57.97</v>
      </c>
      <c r="Q520" s="4">
        <f t="shared" si="7"/>
        <v>-60</v>
      </c>
      <c r="R520" s="23" t="s">
        <v>109</v>
      </c>
    </row>
    <row r="521" spans="1:18" x14ac:dyDescent="0.25">
      <c r="A521" s="21">
        <v>45688</v>
      </c>
      <c r="B521" s="1">
        <v>417739378</v>
      </c>
      <c r="C521" t="s">
        <v>1029</v>
      </c>
      <c r="D521" s="22">
        <v>-3478.2</v>
      </c>
      <c r="E521" t="s">
        <v>35</v>
      </c>
      <c r="F521" s="2">
        <v>212901001</v>
      </c>
      <c r="G521" s="2" t="s">
        <v>121</v>
      </c>
      <c r="L521" s="2" t="s">
        <v>1030</v>
      </c>
      <c r="M521" t="s">
        <v>67</v>
      </c>
      <c r="N521" t="s">
        <v>68</v>
      </c>
      <c r="P521" s="23">
        <v>57.97</v>
      </c>
      <c r="Q521" s="4">
        <f t="shared" si="7"/>
        <v>-60</v>
      </c>
      <c r="R521" s="23" t="s">
        <v>109</v>
      </c>
    </row>
    <row r="522" spans="1:18" x14ac:dyDescent="0.25">
      <c r="A522" s="21">
        <v>45688</v>
      </c>
      <c r="B522" s="1">
        <v>417739375</v>
      </c>
      <c r="C522" t="s">
        <v>1031</v>
      </c>
      <c r="D522" s="22">
        <v>-3478.2</v>
      </c>
      <c r="E522" t="s">
        <v>35</v>
      </c>
      <c r="F522" s="2">
        <v>212901001</v>
      </c>
      <c r="G522" s="2" t="s">
        <v>121</v>
      </c>
      <c r="L522" s="2" t="s">
        <v>1032</v>
      </c>
      <c r="M522" t="s">
        <v>67</v>
      </c>
      <c r="N522" t="s">
        <v>68</v>
      </c>
      <c r="P522" s="23">
        <v>57.97</v>
      </c>
      <c r="Q522" s="4">
        <f t="shared" si="7"/>
        <v>-60</v>
      </c>
      <c r="R522" s="23" t="s">
        <v>109</v>
      </c>
    </row>
    <row r="523" spans="1:18" x14ac:dyDescent="0.25">
      <c r="A523" s="21">
        <v>45688</v>
      </c>
      <c r="B523" s="1">
        <v>417739379</v>
      </c>
      <c r="C523" t="s">
        <v>1033</v>
      </c>
      <c r="D523" s="22">
        <v>-3478.2</v>
      </c>
      <c r="E523" t="s">
        <v>35</v>
      </c>
      <c r="F523" s="2">
        <v>212901001</v>
      </c>
      <c r="G523" s="2" t="s">
        <v>121</v>
      </c>
      <c r="L523" s="2" t="s">
        <v>1034</v>
      </c>
      <c r="M523" t="s">
        <v>67</v>
      </c>
      <c r="N523" t="s">
        <v>68</v>
      </c>
      <c r="P523" s="23">
        <v>57.97</v>
      </c>
      <c r="Q523" s="4">
        <f t="shared" ref="Q523:Q586" si="8">D523/P523</f>
        <v>-60</v>
      </c>
      <c r="R523" s="23" t="s">
        <v>109</v>
      </c>
    </row>
    <row r="524" spans="1:18" x14ac:dyDescent="0.25">
      <c r="A524" s="21">
        <v>45688</v>
      </c>
      <c r="B524" s="1">
        <v>417739376</v>
      </c>
      <c r="C524" t="s">
        <v>1035</v>
      </c>
      <c r="D524" s="22">
        <v>-3478.2</v>
      </c>
      <c r="E524" t="s">
        <v>35</v>
      </c>
      <c r="F524" s="2">
        <v>212901001</v>
      </c>
      <c r="G524" s="2" t="s">
        <v>121</v>
      </c>
      <c r="L524" s="2" t="s">
        <v>1036</v>
      </c>
      <c r="M524" t="s">
        <v>67</v>
      </c>
      <c r="N524" t="s">
        <v>68</v>
      </c>
      <c r="P524" s="23">
        <v>57.97</v>
      </c>
      <c r="Q524" s="4">
        <f t="shared" si="8"/>
        <v>-60</v>
      </c>
      <c r="R524" s="23" t="s">
        <v>109</v>
      </c>
    </row>
    <row r="525" spans="1:18" x14ac:dyDescent="0.25">
      <c r="A525" s="21">
        <v>45688</v>
      </c>
      <c r="B525" s="1">
        <v>517739385</v>
      </c>
      <c r="C525" t="s">
        <v>1037</v>
      </c>
      <c r="D525" s="22">
        <v>-4637.6000000000004</v>
      </c>
      <c r="E525" t="s">
        <v>35</v>
      </c>
      <c r="F525" s="2">
        <v>212901001</v>
      </c>
      <c r="G525" s="2" t="s">
        <v>121</v>
      </c>
      <c r="L525" s="2" t="s">
        <v>1038</v>
      </c>
      <c r="M525" t="s">
        <v>67</v>
      </c>
      <c r="N525" t="s">
        <v>68</v>
      </c>
      <c r="P525" s="23">
        <v>57.97</v>
      </c>
      <c r="Q525" s="4">
        <f t="shared" si="8"/>
        <v>-80.000000000000014</v>
      </c>
      <c r="R525" s="23" t="s">
        <v>109</v>
      </c>
    </row>
    <row r="526" spans="1:18" x14ac:dyDescent="0.25">
      <c r="A526" s="21">
        <v>45688</v>
      </c>
      <c r="B526" s="1">
        <v>417739381</v>
      </c>
      <c r="C526" t="s">
        <v>1039</v>
      </c>
      <c r="D526" s="22">
        <v>-3478.2</v>
      </c>
      <c r="E526" t="s">
        <v>35</v>
      </c>
      <c r="F526" s="2">
        <v>212901001</v>
      </c>
      <c r="G526" s="2" t="s">
        <v>121</v>
      </c>
      <c r="L526" s="2" t="s">
        <v>1040</v>
      </c>
      <c r="M526" t="s">
        <v>67</v>
      </c>
      <c r="N526" t="s">
        <v>68</v>
      </c>
      <c r="P526" s="23">
        <v>57.97</v>
      </c>
      <c r="Q526" s="4">
        <f t="shared" si="8"/>
        <v>-60</v>
      </c>
      <c r="R526" s="23" t="s">
        <v>109</v>
      </c>
    </row>
    <row r="527" spans="1:18" x14ac:dyDescent="0.25">
      <c r="A527" s="21">
        <v>45688</v>
      </c>
      <c r="B527" s="1">
        <v>517739382</v>
      </c>
      <c r="C527" t="s">
        <v>1041</v>
      </c>
      <c r="D527" s="22">
        <v>-8695.5</v>
      </c>
      <c r="E527" t="s">
        <v>35</v>
      </c>
      <c r="F527" s="2">
        <v>212901001</v>
      </c>
      <c r="G527" s="2" t="s">
        <v>121</v>
      </c>
      <c r="L527" s="2" t="s">
        <v>1042</v>
      </c>
      <c r="M527" t="s">
        <v>67</v>
      </c>
      <c r="N527" t="s">
        <v>68</v>
      </c>
      <c r="P527" s="23">
        <v>57.97</v>
      </c>
      <c r="Q527" s="4">
        <f t="shared" si="8"/>
        <v>-150</v>
      </c>
      <c r="R527" s="23" t="s">
        <v>109</v>
      </c>
    </row>
    <row r="528" spans="1:18" x14ac:dyDescent="0.25">
      <c r="A528" s="21">
        <v>45688</v>
      </c>
      <c r="B528" s="1">
        <v>517739387</v>
      </c>
      <c r="C528" t="s">
        <v>1043</v>
      </c>
      <c r="D528" s="22">
        <v>-4637.6000000000004</v>
      </c>
      <c r="E528" t="s">
        <v>35</v>
      </c>
      <c r="F528" s="2">
        <v>212901001</v>
      </c>
      <c r="G528" s="2" t="s">
        <v>121</v>
      </c>
      <c r="L528" s="2" t="s">
        <v>1044</v>
      </c>
      <c r="M528" t="s">
        <v>67</v>
      </c>
      <c r="N528" t="s">
        <v>68</v>
      </c>
      <c r="P528" s="23">
        <v>57.97</v>
      </c>
      <c r="Q528" s="4">
        <f t="shared" si="8"/>
        <v>-80.000000000000014</v>
      </c>
      <c r="R528" s="23" t="s">
        <v>109</v>
      </c>
    </row>
    <row r="529" spans="1:18" x14ac:dyDescent="0.25">
      <c r="A529" s="21">
        <v>45688</v>
      </c>
      <c r="B529" s="1">
        <v>517739389</v>
      </c>
      <c r="C529" t="s">
        <v>1045</v>
      </c>
      <c r="D529" s="22">
        <v>-4637.6000000000004</v>
      </c>
      <c r="E529" t="s">
        <v>35</v>
      </c>
      <c r="F529" s="2">
        <v>212901001</v>
      </c>
      <c r="G529" s="2" t="s">
        <v>121</v>
      </c>
      <c r="L529" s="2" t="s">
        <v>1046</v>
      </c>
      <c r="M529" t="s">
        <v>67</v>
      </c>
      <c r="N529" t="s">
        <v>68</v>
      </c>
      <c r="P529" s="23">
        <v>57.97</v>
      </c>
      <c r="Q529" s="4">
        <f t="shared" si="8"/>
        <v>-80.000000000000014</v>
      </c>
      <c r="R529" s="23" t="s">
        <v>109</v>
      </c>
    </row>
    <row r="530" spans="1:18" x14ac:dyDescent="0.25">
      <c r="A530" s="21">
        <v>45688</v>
      </c>
      <c r="B530" s="1">
        <v>517739384</v>
      </c>
      <c r="C530" t="s">
        <v>1047</v>
      </c>
      <c r="D530" s="22">
        <v>-4637.6000000000004</v>
      </c>
      <c r="E530" t="s">
        <v>35</v>
      </c>
      <c r="F530" s="2">
        <v>212901001</v>
      </c>
      <c r="G530" s="2" t="s">
        <v>121</v>
      </c>
      <c r="L530" s="2" t="s">
        <v>1048</v>
      </c>
      <c r="M530" t="s">
        <v>67</v>
      </c>
      <c r="N530" t="s">
        <v>68</v>
      </c>
      <c r="P530" s="23">
        <v>57.97</v>
      </c>
      <c r="Q530" s="4">
        <f t="shared" si="8"/>
        <v>-80.000000000000014</v>
      </c>
      <c r="R530" s="23" t="s">
        <v>109</v>
      </c>
    </row>
    <row r="531" spans="1:18" x14ac:dyDescent="0.25">
      <c r="A531" s="21">
        <v>45688</v>
      </c>
      <c r="B531" s="1">
        <v>517739383</v>
      </c>
      <c r="C531" t="s">
        <v>1049</v>
      </c>
      <c r="D531" s="22">
        <v>-5797</v>
      </c>
      <c r="E531" t="s">
        <v>35</v>
      </c>
      <c r="F531" s="2">
        <v>212901001</v>
      </c>
      <c r="G531" s="2" t="s">
        <v>121</v>
      </c>
      <c r="L531" s="2" t="s">
        <v>1050</v>
      </c>
      <c r="M531" t="s">
        <v>67</v>
      </c>
      <c r="N531" t="s">
        <v>68</v>
      </c>
      <c r="P531" s="23">
        <v>57.97</v>
      </c>
      <c r="Q531" s="4">
        <f t="shared" si="8"/>
        <v>-100</v>
      </c>
      <c r="R531" s="23" t="s">
        <v>109</v>
      </c>
    </row>
    <row r="532" spans="1:18" x14ac:dyDescent="0.25">
      <c r="A532" s="21">
        <v>45688</v>
      </c>
      <c r="B532" s="1">
        <v>517739386</v>
      </c>
      <c r="C532" t="s">
        <v>1051</v>
      </c>
      <c r="D532" s="22">
        <v>-4637.6000000000004</v>
      </c>
      <c r="E532" t="s">
        <v>35</v>
      </c>
      <c r="F532" s="2">
        <v>212901001</v>
      </c>
      <c r="G532" s="2" t="s">
        <v>121</v>
      </c>
      <c r="L532" s="2" t="s">
        <v>1052</v>
      </c>
      <c r="M532" t="s">
        <v>67</v>
      </c>
      <c r="N532" t="s">
        <v>68</v>
      </c>
      <c r="P532" s="23">
        <v>57.97</v>
      </c>
      <c r="Q532" s="4">
        <f t="shared" si="8"/>
        <v>-80.000000000000014</v>
      </c>
      <c r="R532" s="23" t="s">
        <v>109</v>
      </c>
    </row>
    <row r="533" spans="1:18" x14ac:dyDescent="0.25">
      <c r="A533" s="21">
        <v>45688</v>
      </c>
      <c r="B533" s="1">
        <v>517739390</v>
      </c>
      <c r="C533" t="s">
        <v>1053</v>
      </c>
      <c r="D533" s="22">
        <v>-2898.5</v>
      </c>
      <c r="E533" t="s">
        <v>35</v>
      </c>
      <c r="F533" s="2">
        <v>212901001</v>
      </c>
      <c r="G533" s="2" t="s">
        <v>121</v>
      </c>
      <c r="L533" s="2" t="s">
        <v>1054</v>
      </c>
      <c r="M533" t="s">
        <v>67</v>
      </c>
      <c r="N533" t="s">
        <v>68</v>
      </c>
      <c r="P533" s="23">
        <v>57.97</v>
      </c>
      <c r="Q533" s="4">
        <f t="shared" si="8"/>
        <v>-50</v>
      </c>
      <c r="R533" s="23" t="s">
        <v>109</v>
      </c>
    </row>
    <row r="534" spans="1:18" x14ac:dyDescent="0.25">
      <c r="A534" s="21">
        <v>45688</v>
      </c>
      <c r="B534" s="1">
        <v>517739388</v>
      </c>
      <c r="C534" t="s">
        <v>1055</v>
      </c>
      <c r="D534" s="22">
        <v>-4637.6000000000004</v>
      </c>
      <c r="E534" t="s">
        <v>35</v>
      </c>
      <c r="F534" s="2">
        <v>212901001</v>
      </c>
      <c r="G534" s="2" t="s">
        <v>121</v>
      </c>
      <c r="L534" s="2" t="s">
        <v>1056</v>
      </c>
      <c r="M534" t="s">
        <v>67</v>
      </c>
      <c r="N534" t="s">
        <v>68</v>
      </c>
      <c r="P534" s="23">
        <v>57.97</v>
      </c>
      <c r="Q534" s="4">
        <f t="shared" si="8"/>
        <v>-80.000000000000014</v>
      </c>
      <c r="R534" s="23" t="s">
        <v>109</v>
      </c>
    </row>
    <row r="535" spans="1:18" x14ac:dyDescent="0.25">
      <c r="A535" s="21">
        <v>45688</v>
      </c>
      <c r="B535" s="1">
        <v>617739392</v>
      </c>
      <c r="C535" t="s">
        <v>1057</v>
      </c>
      <c r="D535" s="22">
        <v>-2898.5</v>
      </c>
      <c r="E535" t="s">
        <v>35</v>
      </c>
      <c r="F535" s="2">
        <v>212901001</v>
      </c>
      <c r="G535" s="2" t="s">
        <v>121</v>
      </c>
      <c r="L535" s="2" t="s">
        <v>1058</v>
      </c>
      <c r="M535" t="s">
        <v>67</v>
      </c>
      <c r="N535" t="s">
        <v>68</v>
      </c>
      <c r="P535" s="23">
        <v>57.97</v>
      </c>
      <c r="Q535" s="4">
        <f t="shared" si="8"/>
        <v>-50</v>
      </c>
      <c r="R535" s="23" t="s">
        <v>109</v>
      </c>
    </row>
    <row r="536" spans="1:18" x14ac:dyDescent="0.25">
      <c r="A536" s="21">
        <v>45688</v>
      </c>
      <c r="B536" s="1">
        <v>517739391</v>
      </c>
      <c r="C536" t="s">
        <v>1059</v>
      </c>
      <c r="D536" s="22">
        <v>-2434.7399999999998</v>
      </c>
      <c r="E536" t="s">
        <v>35</v>
      </c>
      <c r="F536" s="2">
        <v>212901001</v>
      </c>
      <c r="G536" s="2" t="s">
        <v>121</v>
      </c>
      <c r="L536" s="2" t="s">
        <v>1060</v>
      </c>
      <c r="M536" t="s">
        <v>67</v>
      </c>
      <c r="N536" t="s">
        <v>68</v>
      </c>
      <c r="P536" s="23">
        <v>57.97</v>
      </c>
      <c r="Q536" s="4">
        <f t="shared" si="8"/>
        <v>-42</v>
      </c>
      <c r="R536" s="23" t="s">
        <v>109</v>
      </c>
    </row>
    <row r="537" spans="1:18" x14ac:dyDescent="0.25">
      <c r="A537" s="21">
        <v>45688</v>
      </c>
      <c r="B537" s="1">
        <v>617739397</v>
      </c>
      <c r="C537" t="s">
        <v>1061</v>
      </c>
      <c r="D537" s="22">
        <v>-2898.5</v>
      </c>
      <c r="E537" t="s">
        <v>35</v>
      </c>
      <c r="F537" s="2">
        <v>212901001</v>
      </c>
      <c r="G537" s="2" t="s">
        <v>121</v>
      </c>
      <c r="L537" s="2" t="s">
        <v>1062</v>
      </c>
      <c r="M537" t="s">
        <v>67</v>
      </c>
      <c r="N537" t="s">
        <v>68</v>
      </c>
      <c r="P537" s="23">
        <v>57.97</v>
      </c>
      <c r="Q537" s="4">
        <f t="shared" si="8"/>
        <v>-50</v>
      </c>
      <c r="R537" s="23" t="s">
        <v>109</v>
      </c>
    </row>
    <row r="538" spans="1:18" x14ac:dyDescent="0.25">
      <c r="A538" s="21">
        <v>45688</v>
      </c>
      <c r="B538" s="1">
        <v>617739394</v>
      </c>
      <c r="C538" t="s">
        <v>1063</v>
      </c>
      <c r="D538" s="22">
        <v>-2898.5</v>
      </c>
      <c r="E538" t="s">
        <v>35</v>
      </c>
      <c r="F538" s="2">
        <v>212901001</v>
      </c>
      <c r="G538" s="2" t="s">
        <v>121</v>
      </c>
      <c r="L538" s="2" t="s">
        <v>1064</v>
      </c>
      <c r="M538" t="s">
        <v>67</v>
      </c>
      <c r="N538" t="s">
        <v>68</v>
      </c>
      <c r="P538" s="23">
        <v>57.97</v>
      </c>
      <c r="Q538" s="4">
        <f t="shared" si="8"/>
        <v>-50</v>
      </c>
      <c r="R538" s="23" t="s">
        <v>109</v>
      </c>
    </row>
    <row r="539" spans="1:18" x14ac:dyDescent="0.25">
      <c r="A539" s="21">
        <v>45688</v>
      </c>
      <c r="B539" s="1">
        <v>617739399</v>
      </c>
      <c r="C539" t="s">
        <v>1019</v>
      </c>
      <c r="D539" s="22">
        <v>-2318.8000000000002</v>
      </c>
      <c r="E539" t="s">
        <v>35</v>
      </c>
      <c r="F539" s="2">
        <v>212901001</v>
      </c>
      <c r="G539" s="2" t="s">
        <v>121</v>
      </c>
      <c r="L539" s="2" t="s">
        <v>1065</v>
      </c>
      <c r="M539" t="s">
        <v>67</v>
      </c>
      <c r="N539" t="s">
        <v>68</v>
      </c>
      <c r="P539" s="23">
        <v>57.97</v>
      </c>
      <c r="Q539" s="4">
        <f t="shared" si="8"/>
        <v>-40.000000000000007</v>
      </c>
      <c r="R539" s="23" t="s">
        <v>109</v>
      </c>
    </row>
    <row r="540" spans="1:18" x14ac:dyDescent="0.25">
      <c r="A540" s="21">
        <v>45688</v>
      </c>
      <c r="B540" s="1">
        <v>617739400</v>
      </c>
      <c r="C540" t="s">
        <v>1021</v>
      </c>
      <c r="D540" s="22">
        <v>-2318.8000000000002</v>
      </c>
      <c r="E540" t="s">
        <v>35</v>
      </c>
      <c r="F540" s="2">
        <v>212901001</v>
      </c>
      <c r="G540" s="2" t="s">
        <v>121</v>
      </c>
      <c r="L540" s="2" t="s">
        <v>1066</v>
      </c>
      <c r="M540" t="s">
        <v>67</v>
      </c>
      <c r="N540" t="s">
        <v>68</v>
      </c>
      <c r="P540" s="23">
        <v>57.97</v>
      </c>
      <c r="Q540" s="4">
        <f t="shared" si="8"/>
        <v>-40.000000000000007</v>
      </c>
      <c r="R540" s="23" t="s">
        <v>109</v>
      </c>
    </row>
    <row r="541" spans="1:18" x14ac:dyDescent="0.25">
      <c r="A541" s="21">
        <v>45688</v>
      </c>
      <c r="B541" s="1">
        <v>617739398</v>
      </c>
      <c r="C541" t="s">
        <v>1067</v>
      </c>
      <c r="D541" s="22">
        <v>-2318.8000000000002</v>
      </c>
      <c r="E541" t="s">
        <v>35</v>
      </c>
      <c r="F541" s="2">
        <v>212901001</v>
      </c>
      <c r="G541" s="2" t="s">
        <v>121</v>
      </c>
      <c r="L541" s="2" t="s">
        <v>1068</v>
      </c>
      <c r="M541" t="s">
        <v>67</v>
      </c>
      <c r="N541" t="s">
        <v>68</v>
      </c>
      <c r="P541" s="23">
        <v>57.97</v>
      </c>
      <c r="Q541" s="4">
        <f t="shared" si="8"/>
        <v>-40.000000000000007</v>
      </c>
      <c r="R541" s="23" t="s">
        <v>109</v>
      </c>
    </row>
    <row r="542" spans="1:18" x14ac:dyDescent="0.25">
      <c r="A542" s="21">
        <v>45688</v>
      </c>
      <c r="B542" s="1">
        <v>617739401</v>
      </c>
      <c r="C542" t="s">
        <v>1069</v>
      </c>
      <c r="D542" s="22">
        <v>-2318.8000000000002</v>
      </c>
      <c r="E542" t="s">
        <v>35</v>
      </c>
      <c r="F542" s="2">
        <v>212901001</v>
      </c>
      <c r="G542" s="2" t="s">
        <v>121</v>
      </c>
      <c r="L542" s="2" t="s">
        <v>1070</v>
      </c>
      <c r="M542" t="s">
        <v>67</v>
      </c>
      <c r="N542" t="s">
        <v>68</v>
      </c>
      <c r="P542" s="23">
        <v>57.97</v>
      </c>
      <c r="Q542" s="4">
        <f t="shared" si="8"/>
        <v>-40.000000000000007</v>
      </c>
      <c r="R542" s="23" t="s">
        <v>109</v>
      </c>
    </row>
    <row r="543" spans="1:18" x14ac:dyDescent="0.25">
      <c r="A543" s="21">
        <v>45688</v>
      </c>
      <c r="B543" s="1">
        <v>617739402</v>
      </c>
      <c r="C543" t="s">
        <v>1071</v>
      </c>
      <c r="D543" s="22">
        <v>-2318.8000000000002</v>
      </c>
      <c r="E543" t="s">
        <v>35</v>
      </c>
      <c r="F543" s="2">
        <v>212901001</v>
      </c>
      <c r="G543" s="2" t="s">
        <v>121</v>
      </c>
      <c r="L543" s="2" t="s">
        <v>1072</v>
      </c>
      <c r="M543" t="s">
        <v>67</v>
      </c>
      <c r="N543" t="s">
        <v>68</v>
      </c>
      <c r="P543" s="23">
        <v>57.97</v>
      </c>
      <c r="Q543" s="4">
        <f t="shared" si="8"/>
        <v>-40.000000000000007</v>
      </c>
      <c r="R543" s="23" t="s">
        <v>109</v>
      </c>
    </row>
    <row r="544" spans="1:18" x14ac:dyDescent="0.25">
      <c r="A544" s="21">
        <v>45688</v>
      </c>
      <c r="B544" s="1">
        <v>717739404</v>
      </c>
      <c r="C544" t="s">
        <v>1073</v>
      </c>
      <c r="D544" s="22">
        <v>-2318.8000000000002</v>
      </c>
      <c r="E544" t="s">
        <v>35</v>
      </c>
      <c r="F544" s="2">
        <v>212901001</v>
      </c>
      <c r="G544" s="2" t="s">
        <v>121</v>
      </c>
      <c r="L544" s="2" t="s">
        <v>1074</v>
      </c>
      <c r="M544" t="s">
        <v>67</v>
      </c>
      <c r="N544" t="s">
        <v>68</v>
      </c>
      <c r="P544" s="23">
        <v>57.97</v>
      </c>
      <c r="Q544" s="4">
        <f t="shared" si="8"/>
        <v>-40.000000000000007</v>
      </c>
      <c r="R544" s="23" t="s">
        <v>109</v>
      </c>
    </row>
    <row r="545" spans="1:18" x14ac:dyDescent="0.25">
      <c r="A545" s="21">
        <v>45688</v>
      </c>
      <c r="B545" s="1">
        <v>617739403</v>
      </c>
      <c r="C545" t="s">
        <v>1075</v>
      </c>
      <c r="D545" s="22">
        <v>-2318.8000000000002</v>
      </c>
      <c r="E545" t="s">
        <v>35</v>
      </c>
      <c r="F545" s="2">
        <v>212901001</v>
      </c>
      <c r="G545" s="2" t="s">
        <v>121</v>
      </c>
      <c r="L545" s="2" t="s">
        <v>1076</v>
      </c>
      <c r="M545" t="s">
        <v>67</v>
      </c>
      <c r="N545" t="s">
        <v>68</v>
      </c>
      <c r="P545" s="23">
        <v>57.97</v>
      </c>
      <c r="Q545" s="4">
        <f t="shared" si="8"/>
        <v>-40.000000000000007</v>
      </c>
      <c r="R545" s="23" t="s">
        <v>109</v>
      </c>
    </row>
    <row r="546" spans="1:18" x14ac:dyDescent="0.25">
      <c r="A546" s="21">
        <v>45688</v>
      </c>
      <c r="B546" s="1">
        <v>717739405</v>
      </c>
      <c r="C546" t="s">
        <v>1077</v>
      </c>
      <c r="D546" s="22">
        <v>-5797</v>
      </c>
      <c r="E546" t="s">
        <v>35</v>
      </c>
      <c r="F546" s="2">
        <v>212901001</v>
      </c>
      <c r="G546" s="2" t="s">
        <v>121</v>
      </c>
      <c r="L546" s="2" t="s">
        <v>1078</v>
      </c>
      <c r="M546" t="s">
        <v>67</v>
      </c>
      <c r="N546" t="s">
        <v>68</v>
      </c>
      <c r="P546" s="23">
        <v>57.97</v>
      </c>
      <c r="Q546" s="4">
        <f t="shared" si="8"/>
        <v>-100</v>
      </c>
      <c r="R546" s="23" t="s">
        <v>109</v>
      </c>
    </row>
    <row r="547" spans="1:18" x14ac:dyDescent="0.25">
      <c r="A547" s="21">
        <v>45688</v>
      </c>
      <c r="B547" s="1">
        <v>617739396</v>
      </c>
      <c r="C547" t="s">
        <v>1079</v>
      </c>
      <c r="D547" s="22">
        <v>-2898.5</v>
      </c>
      <c r="E547" t="s">
        <v>35</v>
      </c>
      <c r="F547" s="2">
        <v>212901001</v>
      </c>
      <c r="G547" s="2" t="s">
        <v>121</v>
      </c>
      <c r="L547" s="2" t="s">
        <v>1080</v>
      </c>
      <c r="M547" t="s">
        <v>67</v>
      </c>
      <c r="N547" t="s">
        <v>68</v>
      </c>
      <c r="P547" s="23">
        <v>57.97</v>
      </c>
      <c r="Q547" s="4">
        <f t="shared" si="8"/>
        <v>-50</v>
      </c>
      <c r="R547" s="23" t="s">
        <v>109</v>
      </c>
    </row>
    <row r="548" spans="1:18" x14ac:dyDescent="0.25">
      <c r="A548" s="21">
        <v>45688</v>
      </c>
      <c r="B548" s="1">
        <v>717739407</v>
      </c>
      <c r="C548" t="s">
        <v>1081</v>
      </c>
      <c r="D548" s="22">
        <v>-5797</v>
      </c>
      <c r="E548" t="s">
        <v>35</v>
      </c>
      <c r="F548" s="2">
        <v>212901001</v>
      </c>
      <c r="G548" s="2" t="s">
        <v>121</v>
      </c>
      <c r="L548" s="2" t="s">
        <v>1082</v>
      </c>
      <c r="M548" t="s">
        <v>67</v>
      </c>
      <c r="N548" t="s">
        <v>68</v>
      </c>
      <c r="P548" s="23">
        <v>57.97</v>
      </c>
      <c r="Q548" s="4">
        <f t="shared" si="8"/>
        <v>-100</v>
      </c>
      <c r="R548" s="23" t="s">
        <v>109</v>
      </c>
    </row>
    <row r="549" spans="1:18" x14ac:dyDescent="0.25">
      <c r="A549" s="21">
        <v>45688</v>
      </c>
      <c r="B549" s="1">
        <v>717739409</v>
      </c>
      <c r="C549" t="s">
        <v>1083</v>
      </c>
      <c r="D549" s="22">
        <v>-1739.1</v>
      </c>
      <c r="E549" t="s">
        <v>35</v>
      </c>
      <c r="F549" s="2">
        <v>212901001</v>
      </c>
      <c r="G549" s="2" t="s">
        <v>121</v>
      </c>
      <c r="L549" s="2" t="s">
        <v>1084</v>
      </c>
      <c r="M549" t="s">
        <v>67</v>
      </c>
      <c r="N549" t="s">
        <v>68</v>
      </c>
      <c r="P549" s="23">
        <v>57.97</v>
      </c>
      <c r="Q549" s="4">
        <f t="shared" si="8"/>
        <v>-30</v>
      </c>
      <c r="R549" s="23" t="s">
        <v>109</v>
      </c>
    </row>
    <row r="550" spans="1:18" x14ac:dyDescent="0.25">
      <c r="A550" s="21">
        <v>45688</v>
      </c>
      <c r="B550" s="1">
        <v>717739408</v>
      </c>
      <c r="C550" t="s">
        <v>1085</v>
      </c>
      <c r="D550" s="22">
        <v>-8695.5</v>
      </c>
      <c r="E550" t="s">
        <v>35</v>
      </c>
      <c r="F550" s="2">
        <v>212901001</v>
      </c>
      <c r="G550" s="2" t="s">
        <v>121</v>
      </c>
      <c r="L550" s="2" t="s">
        <v>1086</v>
      </c>
      <c r="M550" t="s">
        <v>67</v>
      </c>
      <c r="N550" t="s">
        <v>68</v>
      </c>
      <c r="P550" s="23">
        <v>57.97</v>
      </c>
      <c r="Q550" s="4">
        <f t="shared" si="8"/>
        <v>-150</v>
      </c>
      <c r="R550" s="23" t="s">
        <v>109</v>
      </c>
    </row>
    <row r="551" spans="1:18" x14ac:dyDescent="0.25">
      <c r="A551" s="21">
        <v>45688</v>
      </c>
      <c r="B551" s="1">
        <v>717739413</v>
      </c>
      <c r="C551" t="s">
        <v>1087</v>
      </c>
      <c r="D551" s="22">
        <v>-2492.71</v>
      </c>
      <c r="E551" t="s">
        <v>35</v>
      </c>
      <c r="F551" s="2">
        <v>212901001</v>
      </c>
      <c r="G551" s="2" t="s">
        <v>121</v>
      </c>
      <c r="L551" s="2" t="s">
        <v>1088</v>
      </c>
      <c r="M551" t="s">
        <v>67</v>
      </c>
      <c r="N551" t="s">
        <v>68</v>
      </c>
      <c r="P551" s="23">
        <v>57.97</v>
      </c>
      <c r="Q551" s="4">
        <f t="shared" si="8"/>
        <v>-43</v>
      </c>
      <c r="R551" s="23" t="s">
        <v>109</v>
      </c>
    </row>
    <row r="552" spans="1:18" x14ac:dyDescent="0.25">
      <c r="A552" s="21">
        <v>45688</v>
      </c>
      <c r="B552" s="1">
        <v>717739410</v>
      </c>
      <c r="C552" t="s">
        <v>1089</v>
      </c>
      <c r="D552" s="22">
        <v>-6376.7</v>
      </c>
      <c r="E552" t="s">
        <v>35</v>
      </c>
      <c r="F552" s="2">
        <v>212901001</v>
      </c>
      <c r="G552" s="2" t="s">
        <v>121</v>
      </c>
      <c r="L552" s="2" t="s">
        <v>1090</v>
      </c>
      <c r="M552" t="s">
        <v>67</v>
      </c>
      <c r="N552" t="s">
        <v>68</v>
      </c>
      <c r="P552" s="23">
        <v>57.97</v>
      </c>
      <c r="Q552" s="4">
        <f t="shared" si="8"/>
        <v>-110</v>
      </c>
      <c r="R552" s="23" t="s">
        <v>109</v>
      </c>
    </row>
    <row r="553" spans="1:18" x14ac:dyDescent="0.25">
      <c r="A553" s="21">
        <v>45688</v>
      </c>
      <c r="B553" s="1">
        <v>717739412</v>
      </c>
      <c r="C553" t="s">
        <v>1091</v>
      </c>
      <c r="D553" s="22">
        <v>-5797</v>
      </c>
      <c r="E553" t="s">
        <v>35</v>
      </c>
      <c r="F553" s="2">
        <v>212901001</v>
      </c>
      <c r="G553" s="2" t="s">
        <v>121</v>
      </c>
      <c r="L553" s="2" t="s">
        <v>1092</v>
      </c>
      <c r="M553" t="s">
        <v>67</v>
      </c>
      <c r="N553" t="s">
        <v>68</v>
      </c>
      <c r="P553" s="23">
        <v>57.97</v>
      </c>
      <c r="Q553" s="4">
        <f t="shared" si="8"/>
        <v>-100</v>
      </c>
      <c r="R553" s="23" t="s">
        <v>109</v>
      </c>
    </row>
    <row r="554" spans="1:18" x14ac:dyDescent="0.25">
      <c r="A554" s="21">
        <v>45688</v>
      </c>
      <c r="B554" s="1">
        <v>717739416</v>
      </c>
      <c r="C554" t="s">
        <v>1093</v>
      </c>
      <c r="D554" s="22">
        <v>-4057.9</v>
      </c>
      <c r="E554" t="s">
        <v>35</v>
      </c>
      <c r="F554" s="2">
        <v>212901001</v>
      </c>
      <c r="G554" s="2" t="s">
        <v>121</v>
      </c>
      <c r="L554" s="2" t="s">
        <v>1094</v>
      </c>
      <c r="M554" t="s">
        <v>67</v>
      </c>
      <c r="N554" t="s">
        <v>68</v>
      </c>
      <c r="P554" s="23">
        <v>57.97</v>
      </c>
      <c r="Q554" s="4">
        <f t="shared" si="8"/>
        <v>-70</v>
      </c>
      <c r="R554" s="23" t="s">
        <v>109</v>
      </c>
    </row>
    <row r="555" spans="1:18" x14ac:dyDescent="0.25">
      <c r="A555" s="21">
        <v>45688</v>
      </c>
      <c r="B555" s="1">
        <v>717739411</v>
      </c>
      <c r="C555" t="s">
        <v>1095</v>
      </c>
      <c r="D555" s="22">
        <v>-4637.6000000000004</v>
      </c>
      <c r="E555" t="s">
        <v>35</v>
      </c>
      <c r="F555" s="2">
        <v>212901001</v>
      </c>
      <c r="G555" s="2" t="s">
        <v>121</v>
      </c>
      <c r="L555" s="2" t="s">
        <v>1096</v>
      </c>
      <c r="M555" t="s">
        <v>67</v>
      </c>
      <c r="N555" t="s">
        <v>68</v>
      </c>
      <c r="P555" s="23">
        <v>57.97</v>
      </c>
      <c r="Q555" s="4">
        <f t="shared" si="8"/>
        <v>-80.000000000000014</v>
      </c>
      <c r="R555" s="23" t="s">
        <v>109</v>
      </c>
    </row>
    <row r="556" spans="1:18" x14ac:dyDescent="0.25">
      <c r="A556" s="21">
        <v>45688</v>
      </c>
      <c r="B556" s="1">
        <v>717739415</v>
      </c>
      <c r="C556" t="s">
        <v>1097</v>
      </c>
      <c r="D556" s="22">
        <v>-4057.9</v>
      </c>
      <c r="E556" t="s">
        <v>35</v>
      </c>
      <c r="F556" s="2">
        <v>212901001</v>
      </c>
      <c r="G556" s="2" t="s">
        <v>121</v>
      </c>
      <c r="L556" s="2" t="s">
        <v>1098</v>
      </c>
      <c r="M556" t="s">
        <v>67</v>
      </c>
      <c r="N556" t="s">
        <v>68</v>
      </c>
      <c r="P556" s="23">
        <v>57.97</v>
      </c>
      <c r="Q556" s="4">
        <f t="shared" si="8"/>
        <v>-70</v>
      </c>
      <c r="R556" s="23" t="s">
        <v>109</v>
      </c>
    </row>
    <row r="557" spans="1:18" x14ac:dyDescent="0.25">
      <c r="A557" s="21">
        <v>45688</v>
      </c>
      <c r="B557" s="1">
        <v>817739418</v>
      </c>
      <c r="C557" t="s">
        <v>1099</v>
      </c>
      <c r="D557" s="22">
        <v>-2898.5</v>
      </c>
      <c r="E557" t="s">
        <v>35</v>
      </c>
      <c r="F557" s="2">
        <v>212901001</v>
      </c>
      <c r="G557" s="2" t="s">
        <v>121</v>
      </c>
      <c r="L557" s="2" t="s">
        <v>1100</v>
      </c>
      <c r="M557" t="s">
        <v>67</v>
      </c>
      <c r="N557" t="s">
        <v>68</v>
      </c>
      <c r="P557" s="23">
        <v>57.97</v>
      </c>
      <c r="Q557" s="4">
        <f t="shared" si="8"/>
        <v>-50</v>
      </c>
      <c r="R557" s="23" t="s">
        <v>109</v>
      </c>
    </row>
    <row r="558" spans="1:18" x14ac:dyDescent="0.25">
      <c r="A558" s="21">
        <v>45688</v>
      </c>
      <c r="B558" s="1">
        <v>717739417</v>
      </c>
      <c r="C558" t="s">
        <v>1101</v>
      </c>
      <c r="D558" s="22">
        <v>-4057.9</v>
      </c>
      <c r="E558" t="s">
        <v>35</v>
      </c>
      <c r="F558" s="2">
        <v>212901001</v>
      </c>
      <c r="G558" s="2" t="s">
        <v>121</v>
      </c>
      <c r="L558" s="2" t="s">
        <v>1102</v>
      </c>
      <c r="M558" t="s">
        <v>67</v>
      </c>
      <c r="N558" t="s">
        <v>68</v>
      </c>
      <c r="P558" s="23">
        <v>57.97</v>
      </c>
      <c r="Q558" s="4">
        <f t="shared" si="8"/>
        <v>-70</v>
      </c>
      <c r="R558" s="23" t="s">
        <v>109</v>
      </c>
    </row>
    <row r="559" spans="1:18" x14ac:dyDescent="0.25">
      <c r="A559" s="21">
        <v>45688</v>
      </c>
      <c r="B559" s="1">
        <v>817739421</v>
      </c>
      <c r="C559" t="s">
        <v>1103</v>
      </c>
      <c r="D559" s="22">
        <v>-2898.5</v>
      </c>
      <c r="E559" t="s">
        <v>35</v>
      </c>
      <c r="F559" s="2">
        <v>212901001</v>
      </c>
      <c r="G559" s="2" t="s">
        <v>121</v>
      </c>
      <c r="L559" s="2" t="s">
        <v>1104</v>
      </c>
      <c r="M559" t="s">
        <v>67</v>
      </c>
      <c r="N559" t="s">
        <v>68</v>
      </c>
      <c r="P559" s="23">
        <v>57.97</v>
      </c>
      <c r="Q559" s="4">
        <f t="shared" si="8"/>
        <v>-50</v>
      </c>
      <c r="R559" s="23" t="s">
        <v>109</v>
      </c>
    </row>
    <row r="560" spans="1:18" x14ac:dyDescent="0.25">
      <c r="A560" s="21">
        <v>45688</v>
      </c>
      <c r="B560" s="1">
        <v>817739420</v>
      </c>
      <c r="C560" t="s">
        <v>1105</v>
      </c>
      <c r="D560" s="22">
        <v>-2898.5</v>
      </c>
      <c r="E560" t="s">
        <v>35</v>
      </c>
      <c r="F560" s="2">
        <v>212901001</v>
      </c>
      <c r="G560" s="2" t="s">
        <v>121</v>
      </c>
      <c r="L560" s="2" t="s">
        <v>1106</v>
      </c>
      <c r="M560" t="s">
        <v>67</v>
      </c>
      <c r="N560" t="s">
        <v>68</v>
      </c>
      <c r="P560" s="23">
        <v>57.97</v>
      </c>
      <c r="Q560" s="4">
        <f t="shared" si="8"/>
        <v>-50</v>
      </c>
      <c r="R560" s="23" t="s">
        <v>109</v>
      </c>
    </row>
    <row r="561" spans="1:18" x14ac:dyDescent="0.25">
      <c r="A561" s="21">
        <v>45688</v>
      </c>
      <c r="B561" s="1">
        <v>817739425</v>
      </c>
      <c r="C561" t="s">
        <v>1107</v>
      </c>
      <c r="D561" s="22">
        <v>-2898.5</v>
      </c>
      <c r="E561" t="s">
        <v>35</v>
      </c>
      <c r="F561" s="2">
        <v>212901001</v>
      </c>
      <c r="G561" s="2" t="s">
        <v>121</v>
      </c>
      <c r="L561" s="2" t="s">
        <v>1108</v>
      </c>
      <c r="M561" t="s">
        <v>67</v>
      </c>
      <c r="N561" t="s">
        <v>68</v>
      </c>
      <c r="P561" s="23">
        <v>57.97</v>
      </c>
      <c r="Q561" s="4">
        <f t="shared" si="8"/>
        <v>-50</v>
      </c>
      <c r="R561" s="23" t="s">
        <v>109</v>
      </c>
    </row>
    <row r="562" spans="1:18" x14ac:dyDescent="0.25">
      <c r="A562" s="21">
        <v>45688</v>
      </c>
      <c r="B562" s="1">
        <v>817739424</v>
      </c>
      <c r="C562" t="s">
        <v>1109</v>
      </c>
      <c r="D562" s="22">
        <v>-2898.5</v>
      </c>
      <c r="E562" t="s">
        <v>35</v>
      </c>
      <c r="F562" s="2">
        <v>212901001</v>
      </c>
      <c r="G562" s="2" t="s">
        <v>121</v>
      </c>
      <c r="L562" s="2" t="s">
        <v>1110</v>
      </c>
      <c r="M562" t="s">
        <v>67</v>
      </c>
      <c r="N562" t="s">
        <v>68</v>
      </c>
      <c r="P562" s="23">
        <v>57.97</v>
      </c>
      <c r="Q562" s="4">
        <f t="shared" si="8"/>
        <v>-50</v>
      </c>
      <c r="R562" s="23" t="s">
        <v>109</v>
      </c>
    </row>
    <row r="563" spans="1:18" x14ac:dyDescent="0.25">
      <c r="A563" s="21">
        <v>45688</v>
      </c>
      <c r="B563" s="1">
        <v>817739419</v>
      </c>
      <c r="C563" t="s">
        <v>1111</v>
      </c>
      <c r="D563" s="22">
        <v>-2898.5</v>
      </c>
      <c r="E563" t="s">
        <v>35</v>
      </c>
      <c r="F563" s="2">
        <v>212901001</v>
      </c>
      <c r="G563" s="2" t="s">
        <v>121</v>
      </c>
      <c r="L563" s="2" t="s">
        <v>1112</v>
      </c>
      <c r="M563" t="s">
        <v>67</v>
      </c>
      <c r="N563" t="s">
        <v>68</v>
      </c>
      <c r="P563" s="23">
        <v>57.97</v>
      </c>
      <c r="Q563" s="4">
        <f t="shared" si="8"/>
        <v>-50</v>
      </c>
      <c r="R563" s="23" t="s">
        <v>109</v>
      </c>
    </row>
    <row r="564" spans="1:18" x14ac:dyDescent="0.25">
      <c r="A564" s="21">
        <v>45688</v>
      </c>
      <c r="B564" s="1">
        <v>817739423</v>
      </c>
      <c r="C564" t="s">
        <v>1103</v>
      </c>
      <c r="D564" s="22">
        <v>-2898.5</v>
      </c>
      <c r="E564" t="s">
        <v>35</v>
      </c>
      <c r="F564" s="2">
        <v>212901001</v>
      </c>
      <c r="G564" s="2" t="s">
        <v>121</v>
      </c>
      <c r="L564" s="2" t="s">
        <v>1113</v>
      </c>
      <c r="M564" t="s">
        <v>67</v>
      </c>
      <c r="N564" t="s">
        <v>68</v>
      </c>
      <c r="P564" s="23">
        <v>57.97</v>
      </c>
      <c r="Q564" s="4">
        <f t="shared" si="8"/>
        <v>-50</v>
      </c>
      <c r="R564" s="23" t="s">
        <v>109</v>
      </c>
    </row>
    <row r="565" spans="1:18" x14ac:dyDescent="0.25">
      <c r="A565" s="21">
        <v>45688</v>
      </c>
      <c r="B565" s="1">
        <v>817739426</v>
      </c>
      <c r="C565" t="s">
        <v>1114</v>
      </c>
      <c r="D565" s="22">
        <v>-2898.5</v>
      </c>
      <c r="E565" t="s">
        <v>35</v>
      </c>
      <c r="F565" s="2">
        <v>212901001</v>
      </c>
      <c r="G565" s="2" t="s">
        <v>121</v>
      </c>
      <c r="L565" s="2" t="s">
        <v>1115</v>
      </c>
      <c r="M565" t="s">
        <v>67</v>
      </c>
      <c r="N565" t="s">
        <v>68</v>
      </c>
      <c r="P565" s="23">
        <v>57.97</v>
      </c>
      <c r="Q565" s="4">
        <f t="shared" si="8"/>
        <v>-50</v>
      </c>
      <c r="R565" s="23" t="s">
        <v>109</v>
      </c>
    </row>
    <row r="566" spans="1:18" x14ac:dyDescent="0.25">
      <c r="A566" s="21">
        <v>45688</v>
      </c>
      <c r="B566" s="1">
        <v>917739429</v>
      </c>
      <c r="C566" t="s">
        <v>1116</v>
      </c>
      <c r="D566" s="22">
        <v>-2898.5</v>
      </c>
      <c r="E566" t="s">
        <v>35</v>
      </c>
      <c r="F566" s="2">
        <v>212901001</v>
      </c>
      <c r="G566" s="2" t="s">
        <v>121</v>
      </c>
      <c r="L566" s="2" t="s">
        <v>1117</v>
      </c>
      <c r="M566" t="s">
        <v>67</v>
      </c>
      <c r="N566" t="s">
        <v>68</v>
      </c>
      <c r="P566" s="23">
        <v>57.97</v>
      </c>
      <c r="Q566" s="4">
        <f t="shared" si="8"/>
        <v>-50</v>
      </c>
      <c r="R566" s="23" t="s">
        <v>109</v>
      </c>
    </row>
    <row r="567" spans="1:18" x14ac:dyDescent="0.25">
      <c r="A567" s="21">
        <v>45688</v>
      </c>
      <c r="B567" s="1">
        <v>817739422</v>
      </c>
      <c r="C567" t="s">
        <v>1118</v>
      </c>
      <c r="D567" s="22">
        <v>-2898.5</v>
      </c>
      <c r="E567" t="s">
        <v>35</v>
      </c>
      <c r="F567" s="2">
        <v>212901001</v>
      </c>
      <c r="G567" s="2" t="s">
        <v>121</v>
      </c>
      <c r="L567" s="2" t="s">
        <v>1119</v>
      </c>
      <c r="M567" t="s">
        <v>67</v>
      </c>
      <c r="N567" t="s">
        <v>68</v>
      </c>
      <c r="P567" s="23">
        <v>57.97</v>
      </c>
      <c r="Q567" s="4">
        <f t="shared" si="8"/>
        <v>-50</v>
      </c>
      <c r="R567" s="23" t="s">
        <v>109</v>
      </c>
    </row>
    <row r="568" spans="1:18" x14ac:dyDescent="0.25">
      <c r="A568" s="21">
        <v>45688</v>
      </c>
      <c r="B568" s="1">
        <v>817739427</v>
      </c>
      <c r="C568" t="s">
        <v>1120</v>
      </c>
      <c r="D568" s="22">
        <v>-2898.5</v>
      </c>
      <c r="E568" t="s">
        <v>35</v>
      </c>
      <c r="F568" s="2">
        <v>212901001</v>
      </c>
      <c r="G568" s="2" t="s">
        <v>121</v>
      </c>
      <c r="L568" s="2" t="s">
        <v>1121</v>
      </c>
      <c r="M568" t="s">
        <v>67</v>
      </c>
      <c r="N568" t="s">
        <v>68</v>
      </c>
      <c r="P568" s="23">
        <v>57.97</v>
      </c>
      <c r="Q568" s="4">
        <f t="shared" si="8"/>
        <v>-50</v>
      </c>
      <c r="R568" s="23" t="s">
        <v>109</v>
      </c>
    </row>
    <row r="569" spans="1:18" x14ac:dyDescent="0.25">
      <c r="A569" s="21">
        <v>45688</v>
      </c>
      <c r="B569" s="1">
        <v>917739431</v>
      </c>
      <c r="C569" t="s">
        <v>1122</v>
      </c>
      <c r="D569" s="22">
        <v>-2898.5</v>
      </c>
      <c r="E569" t="s">
        <v>35</v>
      </c>
      <c r="F569" s="2">
        <v>212901001</v>
      </c>
      <c r="G569" s="2" t="s">
        <v>121</v>
      </c>
      <c r="L569" s="2" t="s">
        <v>1123</v>
      </c>
      <c r="M569" t="s">
        <v>67</v>
      </c>
      <c r="N569" t="s">
        <v>68</v>
      </c>
      <c r="P569" s="23">
        <v>57.97</v>
      </c>
      <c r="Q569" s="4">
        <f t="shared" si="8"/>
        <v>-50</v>
      </c>
      <c r="R569" s="23" t="s">
        <v>109</v>
      </c>
    </row>
    <row r="570" spans="1:18" x14ac:dyDescent="0.25">
      <c r="A570" s="21">
        <v>45688</v>
      </c>
      <c r="B570" s="1">
        <v>817739428</v>
      </c>
      <c r="C570" t="s">
        <v>1124</v>
      </c>
      <c r="D570" s="22">
        <v>-2898.5</v>
      </c>
      <c r="E570" t="s">
        <v>35</v>
      </c>
      <c r="F570" s="2">
        <v>212901001</v>
      </c>
      <c r="G570" s="2" t="s">
        <v>121</v>
      </c>
      <c r="L570" s="2" t="s">
        <v>1125</v>
      </c>
      <c r="M570" t="s">
        <v>67</v>
      </c>
      <c r="N570" t="s">
        <v>68</v>
      </c>
      <c r="P570" s="23">
        <v>57.97</v>
      </c>
      <c r="Q570" s="4">
        <f t="shared" si="8"/>
        <v>-50</v>
      </c>
      <c r="R570" s="23" t="s">
        <v>109</v>
      </c>
    </row>
    <row r="571" spans="1:18" x14ac:dyDescent="0.25">
      <c r="A571" s="21">
        <v>45688</v>
      </c>
      <c r="B571" s="1">
        <v>917739430</v>
      </c>
      <c r="C571" t="s">
        <v>1126</v>
      </c>
      <c r="D571" s="22">
        <v>-2898.5</v>
      </c>
      <c r="E571" t="s">
        <v>35</v>
      </c>
      <c r="F571" s="2">
        <v>212901001</v>
      </c>
      <c r="G571" s="2" t="s">
        <v>121</v>
      </c>
      <c r="L571" s="2" t="s">
        <v>1127</v>
      </c>
      <c r="M571" t="s">
        <v>67</v>
      </c>
      <c r="N571" t="s">
        <v>68</v>
      </c>
      <c r="P571" s="23">
        <v>57.97</v>
      </c>
      <c r="Q571" s="4">
        <f t="shared" si="8"/>
        <v>-50</v>
      </c>
      <c r="R571" s="23" t="s">
        <v>109</v>
      </c>
    </row>
    <row r="572" spans="1:18" x14ac:dyDescent="0.25">
      <c r="A572" s="21">
        <v>45688</v>
      </c>
      <c r="B572" s="1">
        <v>917739433</v>
      </c>
      <c r="C572" t="s">
        <v>1128</v>
      </c>
      <c r="D572" s="22">
        <v>-1159.4000000000001</v>
      </c>
      <c r="E572" t="s">
        <v>35</v>
      </c>
      <c r="F572" s="2">
        <v>212901001</v>
      </c>
      <c r="G572" s="2" t="s">
        <v>121</v>
      </c>
      <c r="L572" s="2" t="s">
        <v>1129</v>
      </c>
      <c r="M572" t="s">
        <v>67</v>
      </c>
      <c r="N572" t="s">
        <v>68</v>
      </c>
      <c r="P572" s="23">
        <v>57.97</v>
      </c>
      <c r="Q572" s="4">
        <f t="shared" si="8"/>
        <v>-20.000000000000004</v>
      </c>
      <c r="R572" s="23" t="s">
        <v>109</v>
      </c>
    </row>
    <row r="573" spans="1:18" x14ac:dyDescent="0.25">
      <c r="A573" s="21">
        <v>45688</v>
      </c>
      <c r="B573" s="1">
        <v>917739434</v>
      </c>
      <c r="C573" t="s">
        <v>1130</v>
      </c>
      <c r="D573" s="22">
        <v>-1159.4000000000001</v>
      </c>
      <c r="E573" t="s">
        <v>35</v>
      </c>
      <c r="F573" s="2">
        <v>212901001</v>
      </c>
      <c r="G573" s="2" t="s">
        <v>121</v>
      </c>
      <c r="L573" s="2" t="s">
        <v>1131</v>
      </c>
      <c r="M573" t="s">
        <v>67</v>
      </c>
      <c r="N573" t="s">
        <v>68</v>
      </c>
      <c r="P573" s="23">
        <v>57.97</v>
      </c>
      <c r="Q573" s="4">
        <f t="shared" si="8"/>
        <v>-20.000000000000004</v>
      </c>
      <c r="R573" s="23" t="s">
        <v>109</v>
      </c>
    </row>
    <row r="574" spans="1:18" x14ac:dyDescent="0.25">
      <c r="A574" s="21">
        <v>45688</v>
      </c>
      <c r="B574" s="1">
        <v>917739432</v>
      </c>
      <c r="C574" t="s">
        <v>1132</v>
      </c>
      <c r="D574" s="22">
        <v>-2898.5</v>
      </c>
      <c r="E574" t="s">
        <v>35</v>
      </c>
      <c r="F574" s="2">
        <v>212901001</v>
      </c>
      <c r="G574" s="2" t="s">
        <v>121</v>
      </c>
      <c r="L574" s="2" t="s">
        <v>1133</v>
      </c>
      <c r="M574" t="s">
        <v>67</v>
      </c>
      <c r="N574" t="s">
        <v>68</v>
      </c>
      <c r="P574" s="23">
        <v>57.97</v>
      </c>
      <c r="Q574" s="4">
        <f t="shared" si="8"/>
        <v>-50</v>
      </c>
      <c r="R574" s="23" t="s">
        <v>109</v>
      </c>
    </row>
    <row r="575" spans="1:18" x14ac:dyDescent="0.25">
      <c r="A575" s="21">
        <v>45688</v>
      </c>
      <c r="B575" s="1">
        <v>917739436</v>
      </c>
      <c r="C575" t="s">
        <v>1134</v>
      </c>
      <c r="D575" s="22">
        <v>-1159.4000000000001</v>
      </c>
      <c r="E575" t="s">
        <v>35</v>
      </c>
      <c r="F575" s="2">
        <v>212901001</v>
      </c>
      <c r="G575" s="2" t="s">
        <v>121</v>
      </c>
      <c r="L575" s="2" t="s">
        <v>1135</v>
      </c>
      <c r="M575" t="s">
        <v>67</v>
      </c>
      <c r="N575" t="s">
        <v>68</v>
      </c>
      <c r="P575" s="23">
        <v>57.97</v>
      </c>
      <c r="Q575" s="4">
        <f t="shared" si="8"/>
        <v>-20.000000000000004</v>
      </c>
      <c r="R575" s="23" t="s">
        <v>109</v>
      </c>
    </row>
    <row r="576" spans="1:18" x14ac:dyDescent="0.25">
      <c r="A576" s="21">
        <v>45688</v>
      </c>
      <c r="B576" s="1">
        <v>917739435</v>
      </c>
      <c r="C576" t="s">
        <v>1136</v>
      </c>
      <c r="D576" s="22">
        <v>-1159.4000000000001</v>
      </c>
      <c r="E576" t="s">
        <v>35</v>
      </c>
      <c r="F576" s="2">
        <v>212901001</v>
      </c>
      <c r="G576" s="2" t="s">
        <v>121</v>
      </c>
      <c r="L576" s="2" t="s">
        <v>1137</v>
      </c>
      <c r="M576" t="s">
        <v>67</v>
      </c>
      <c r="N576" t="s">
        <v>68</v>
      </c>
      <c r="P576" s="23">
        <v>57.97</v>
      </c>
      <c r="Q576" s="4">
        <f t="shared" si="8"/>
        <v>-20.000000000000004</v>
      </c>
      <c r="R576" s="23" t="s">
        <v>109</v>
      </c>
    </row>
    <row r="577" spans="1:20" x14ac:dyDescent="0.25">
      <c r="A577" s="21">
        <v>45688</v>
      </c>
      <c r="B577" s="1">
        <v>917739439</v>
      </c>
      <c r="C577" t="s">
        <v>1138</v>
      </c>
      <c r="D577" s="22">
        <v>-6956.4</v>
      </c>
      <c r="E577" t="s">
        <v>35</v>
      </c>
      <c r="F577" s="2">
        <v>212901001</v>
      </c>
      <c r="G577" s="2" t="s">
        <v>121</v>
      </c>
      <c r="L577" s="2" t="s">
        <v>1139</v>
      </c>
      <c r="M577" t="s">
        <v>67</v>
      </c>
      <c r="N577" t="s">
        <v>68</v>
      </c>
      <c r="P577" s="23">
        <v>57.97</v>
      </c>
      <c r="Q577" s="4">
        <f t="shared" si="8"/>
        <v>-120</v>
      </c>
      <c r="R577" s="23" t="s">
        <v>109</v>
      </c>
    </row>
    <row r="578" spans="1:20" x14ac:dyDescent="0.25">
      <c r="A578" s="21">
        <v>45688</v>
      </c>
      <c r="B578" s="1">
        <v>917739437</v>
      </c>
      <c r="C578" t="s">
        <v>1140</v>
      </c>
      <c r="D578" s="22">
        <v>-5797</v>
      </c>
      <c r="E578" t="s">
        <v>35</v>
      </c>
      <c r="F578" s="2">
        <v>212901001</v>
      </c>
      <c r="G578" s="2" t="s">
        <v>121</v>
      </c>
      <c r="L578" s="2" t="s">
        <v>1141</v>
      </c>
      <c r="M578" t="s">
        <v>67</v>
      </c>
      <c r="N578" t="s">
        <v>68</v>
      </c>
      <c r="P578" s="23">
        <v>57.97</v>
      </c>
      <c r="Q578" s="4">
        <f t="shared" si="8"/>
        <v>-100</v>
      </c>
      <c r="R578" s="23" t="s">
        <v>109</v>
      </c>
    </row>
    <row r="579" spans="1:20" x14ac:dyDescent="0.25">
      <c r="A579" s="21">
        <v>45688</v>
      </c>
      <c r="B579" s="1">
        <v>17739442</v>
      </c>
      <c r="C579" t="s">
        <v>1142</v>
      </c>
      <c r="D579" s="22">
        <v>-2318.8000000000002</v>
      </c>
      <c r="E579" t="s">
        <v>35</v>
      </c>
      <c r="F579" s="2">
        <v>212901001</v>
      </c>
      <c r="G579" s="2" t="s">
        <v>121</v>
      </c>
      <c r="L579" s="2" t="s">
        <v>1143</v>
      </c>
      <c r="M579" t="s">
        <v>67</v>
      </c>
      <c r="N579" t="s">
        <v>68</v>
      </c>
      <c r="P579" s="23">
        <v>57.97</v>
      </c>
      <c r="Q579" s="4">
        <f t="shared" si="8"/>
        <v>-40.000000000000007</v>
      </c>
      <c r="R579" s="23" t="s">
        <v>109</v>
      </c>
    </row>
    <row r="580" spans="1:20" x14ac:dyDescent="0.25">
      <c r="A580" s="21">
        <v>45688</v>
      </c>
      <c r="B580" s="1">
        <v>917739438</v>
      </c>
      <c r="C580" t="s">
        <v>1144</v>
      </c>
      <c r="D580" s="22">
        <v>-11594</v>
      </c>
      <c r="E580" t="s">
        <v>35</v>
      </c>
      <c r="F580" s="2">
        <v>212901001</v>
      </c>
      <c r="G580" s="2" t="s">
        <v>121</v>
      </c>
      <c r="L580" s="2" t="s">
        <v>1145</v>
      </c>
      <c r="M580" t="s">
        <v>67</v>
      </c>
      <c r="N580" t="s">
        <v>68</v>
      </c>
      <c r="P580" s="23">
        <v>57.97</v>
      </c>
      <c r="Q580" s="4">
        <f t="shared" si="8"/>
        <v>-200</v>
      </c>
      <c r="R580" s="23" t="s">
        <v>109</v>
      </c>
    </row>
    <row r="581" spans="1:20" x14ac:dyDescent="0.25">
      <c r="A581" s="21">
        <v>45688</v>
      </c>
      <c r="B581" s="1">
        <v>17739441</v>
      </c>
      <c r="C581" t="s">
        <v>1146</v>
      </c>
      <c r="D581" s="22">
        <v>-1739.1</v>
      </c>
      <c r="E581" t="s">
        <v>35</v>
      </c>
      <c r="F581" s="2">
        <v>212901001</v>
      </c>
      <c r="G581" s="2" t="s">
        <v>121</v>
      </c>
      <c r="L581" s="2" t="s">
        <v>1147</v>
      </c>
      <c r="M581" t="s">
        <v>67</v>
      </c>
      <c r="N581" t="s">
        <v>68</v>
      </c>
      <c r="P581" s="23">
        <v>57.97</v>
      </c>
      <c r="Q581" s="4">
        <f t="shared" si="8"/>
        <v>-30</v>
      </c>
      <c r="R581" s="23" t="s">
        <v>109</v>
      </c>
    </row>
    <row r="582" spans="1:20" x14ac:dyDescent="0.25">
      <c r="A582" s="21">
        <v>45688</v>
      </c>
      <c r="B582" s="1">
        <v>50169958</v>
      </c>
      <c r="C582" t="s">
        <v>1148</v>
      </c>
      <c r="D582" s="22">
        <v>-8115.8</v>
      </c>
      <c r="E582" t="s">
        <v>35</v>
      </c>
      <c r="F582" s="2">
        <v>212901001</v>
      </c>
      <c r="G582" s="2" t="s">
        <v>121</v>
      </c>
      <c r="L582" s="2" t="s">
        <v>1149</v>
      </c>
      <c r="M582" t="s">
        <v>67</v>
      </c>
      <c r="N582" t="s">
        <v>68</v>
      </c>
      <c r="P582" s="23">
        <v>57.97</v>
      </c>
      <c r="Q582" s="4">
        <f t="shared" si="8"/>
        <v>-140</v>
      </c>
      <c r="R582" s="23" t="s">
        <v>109</v>
      </c>
    </row>
    <row r="583" spans="1:20" x14ac:dyDescent="0.25">
      <c r="A583" s="21">
        <v>45688</v>
      </c>
      <c r="B583" s="1">
        <v>50169958</v>
      </c>
      <c r="C583" t="s">
        <v>296</v>
      </c>
      <c r="D583" s="22">
        <v>-12.17</v>
      </c>
      <c r="E583" t="s">
        <v>35</v>
      </c>
      <c r="F583" s="2">
        <v>610148001</v>
      </c>
      <c r="G583" s="2" t="s">
        <v>42</v>
      </c>
      <c r="L583" s="2" t="s">
        <v>1150</v>
      </c>
      <c r="M583" t="s">
        <v>43</v>
      </c>
      <c r="N583" t="s">
        <v>42</v>
      </c>
      <c r="P583" s="23">
        <v>57.97</v>
      </c>
      <c r="Q583" s="4">
        <f t="shared" si="8"/>
        <v>-0.20993617388304295</v>
      </c>
      <c r="R583" s="23" t="s">
        <v>109</v>
      </c>
      <c r="T583" s="23" t="s">
        <v>44</v>
      </c>
    </row>
    <row r="584" spans="1:20" x14ac:dyDescent="0.25">
      <c r="A584" s="21">
        <v>45688</v>
      </c>
      <c r="B584" s="1">
        <v>50169958</v>
      </c>
      <c r="C584" t="s">
        <v>118</v>
      </c>
      <c r="D584" s="22">
        <v>-652.88</v>
      </c>
      <c r="E584" t="s">
        <v>35</v>
      </c>
      <c r="F584" s="2">
        <v>610148001</v>
      </c>
      <c r="G584" s="2" t="s">
        <v>42</v>
      </c>
      <c r="L584" s="2" t="s">
        <v>1151</v>
      </c>
      <c r="M584" t="s">
        <v>43</v>
      </c>
      <c r="N584" t="s">
        <v>42</v>
      </c>
      <c r="P584" s="23">
        <v>57.97</v>
      </c>
      <c r="Q584" s="4">
        <f t="shared" si="8"/>
        <v>-11.262377091599102</v>
      </c>
      <c r="R584" s="23" t="s">
        <v>109</v>
      </c>
      <c r="T584" s="23" t="s">
        <v>44</v>
      </c>
    </row>
    <row r="585" spans="1:20" x14ac:dyDescent="0.25">
      <c r="A585" s="21">
        <v>45688</v>
      </c>
      <c r="B585" s="1">
        <v>17739662</v>
      </c>
      <c r="C585" t="s">
        <v>1152</v>
      </c>
      <c r="D585" s="22">
        <v>-1136.8</v>
      </c>
      <c r="E585" t="s">
        <v>35</v>
      </c>
      <c r="F585" s="2">
        <v>110114001</v>
      </c>
      <c r="G585" s="2" t="s">
        <v>301</v>
      </c>
      <c r="L585" s="2" t="s">
        <v>1153</v>
      </c>
      <c r="M585" t="s">
        <v>788</v>
      </c>
      <c r="N585" t="s">
        <v>789</v>
      </c>
      <c r="P585" s="23">
        <v>57.97</v>
      </c>
      <c r="Q585" s="4">
        <f t="shared" si="8"/>
        <v>-19.610143177505606</v>
      </c>
      <c r="R585" s="23" t="s">
        <v>109</v>
      </c>
      <c r="S585" s="33" t="s">
        <v>305</v>
      </c>
    </row>
    <row r="586" spans="1:20" x14ac:dyDescent="0.25">
      <c r="A586" s="21">
        <v>45688</v>
      </c>
      <c r="B586" s="1">
        <v>17739662</v>
      </c>
      <c r="C586" t="s">
        <v>306</v>
      </c>
      <c r="D586" s="22">
        <v>-3.41</v>
      </c>
      <c r="E586" t="s">
        <v>35</v>
      </c>
      <c r="F586" s="2">
        <v>610148001</v>
      </c>
      <c r="G586" s="2" t="s">
        <v>42</v>
      </c>
      <c r="L586" s="2" t="s">
        <v>1154</v>
      </c>
      <c r="M586" t="s">
        <v>43</v>
      </c>
      <c r="N586" t="s">
        <v>42</v>
      </c>
      <c r="P586" s="23">
        <v>57.97</v>
      </c>
      <c r="Q586" s="4">
        <f t="shared" si="8"/>
        <v>-5.8823529411764712E-2</v>
      </c>
      <c r="R586" s="23" t="s">
        <v>109</v>
      </c>
      <c r="T586" s="23" t="s">
        <v>44</v>
      </c>
    </row>
    <row r="587" spans="1:20" x14ac:dyDescent="0.25">
      <c r="A587" s="21">
        <v>45688</v>
      </c>
      <c r="B587" s="1">
        <v>817739741</v>
      </c>
      <c r="C587" t="s">
        <v>1155</v>
      </c>
      <c r="D587" s="22">
        <v>-765.92</v>
      </c>
      <c r="E587" t="s">
        <v>35</v>
      </c>
      <c r="F587" s="2">
        <v>110114001</v>
      </c>
      <c r="G587" s="2" t="s">
        <v>301</v>
      </c>
      <c r="L587" s="2" t="s">
        <v>1156</v>
      </c>
      <c r="M587" t="s">
        <v>788</v>
      </c>
      <c r="N587" t="s">
        <v>789</v>
      </c>
      <c r="P587" s="23">
        <v>57.97</v>
      </c>
      <c r="Q587" s="4">
        <f t="shared" ref="Q587:Q650" si="9">D587/P587</f>
        <v>-13.212351216146281</v>
      </c>
      <c r="R587" s="23" t="s">
        <v>109</v>
      </c>
      <c r="S587" s="33" t="s">
        <v>305</v>
      </c>
    </row>
    <row r="588" spans="1:20" x14ac:dyDescent="0.25">
      <c r="A588" s="21">
        <v>45688</v>
      </c>
      <c r="B588" s="1">
        <v>817739741</v>
      </c>
      <c r="C588" t="s">
        <v>306</v>
      </c>
      <c r="D588" s="22">
        <v>-2.2999999999999998</v>
      </c>
      <c r="E588" t="s">
        <v>35</v>
      </c>
      <c r="F588" s="2">
        <v>610148001</v>
      </c>
      <c r="G588" s="2" t="s">
        <v>42</v>
      </c>
      <c r="L588" s="2" t="s">
        <v>1157</v>
      </c>
      <c r="M588" t="s">
        <v>43</v>
      </c>
      <c r="N588" t="s">
        <v>42</v>
      </c>
      <c r="P588" s="23">
        <v>57.97</v>
      </c>
      <c r="Q588" s="4">
        <f t="shared" si="9"/>
        <v>-3.9675694324650679E-2</v>
      </c>
      <c r="R588" s="23" t="s">
        <v>109</v>
      </c>
      <c r="T588" s="23" t="s">
        <v>44</v>
      </c>
    </row>
    <row r="589" spans="1:20" x14ac:dyDescent="0.25">
      <c r="A589" s="21">
        <v>45688</v>
      </c>
      <c r="B589" s="1">
        <v>317741064</v>
      </c>
      <c r="C589" t="s">
        <v>1158</v>
      </c>
      <c r="D589" s="22">
        <v>-8724.5</v>
      </c>
      <c r="E589" t="s">
        <v>35</v>
      </c>
      <c r="F589" s="2">
        <v>110114001</v>
      </c>
      <c r="G589" s="2" t="s">
        <v>301</v>
      </c>
      <c r="L589" s="2" t="s">
        <v>1159</v>
      </c>
      <c r="M589" t="s">
        <v>114</v>
      </c>
      <c r="N589" t="s">
        <v>115</v>
      </c>
      <c r="P589" s="23">
        <v>57.97</v>
      </c>
      <c r="Q589" s="4">
        <f t="shared" si="9"/>
        <v>-150.5002587545282</v>
      </c>
      <c r="R589" s="23" t="s">
        <v>109</v>
      </c>
      <c r="S589" s="33" t="s">
        <v>305</v>
      </c>
    </row>
    <row r="590" spans="1:20" x14ac:dyDescent="0.25">
      <c r="A590" s="21">
        <v>45688</v>
      </c>
      <c r="B590" s="1">
        <v>317741066</v>
      </c>
      <c r="C590" t="s">
        <v>1160</v>
      </c>
      <c r="D590" s="22">
        <v>-4057.9</v>
      </c>
      <c r="E590" t="s">
        <v>35</v>
      </c>
      <c r="F590" s="2">
        <v>212901001</v>
      </c>
      <c r="G590" s="2" t="s">
        <v>121</v>
      </c>
      <c r="L590" s="2" t="s">
        <v>1161</v>
      </c>
      <c r="M590" t="s">
        <v>67</v>
      </c>
      <c r="N590" t="s">
        <v>68</v>
      </c>
      <c r="P590" s="23">
        <v>57.97</v>
      </c>
      <c r="Q590" s="4">
        <f t="shared" si="9"/>
        <v>-70</v>
      </c>
      <c r="R590" s="23" t="s">
        <v>109</v>
      </c>
    </row>
    <row r="591" spans="1:20" x14ac:dyDescent="0.25">
      <c r="A591" s="21">
        <v>45688</v>
      </c>
      <c r="B591" s="1">
        <v>317741065</v>
      </c>
      <c r="C591" t="s">
        <v>1162</v>
      </c>
      <c r="D591" s="22">
        <v>-2782.56</v>
      </c>
      <c r="E591" t="s">
        <v>35</v>
      </c>
      <c r="F591" s="2">
        <v>212901001</v>
      </c>
      <c r="G591" s="2" t="s">
        <v>121</v>
      </c>
      <c r="L591" s="2" t="s">
        <v>1163</v>
      </c>
      <c r="M591" t="s">
        <v>67</v>
      </c>
      <c r="N591" t="s">
        <v>68</v>
      </c>
      <c r="P591" s="23">
        <v>57.97</v>
      </c>
      <c r="Q591" s="4">
        <f t="shared" si="9"/>
        <v>-48</v>
      </c>
      <c r="R591" s="23" t="s">
        <v>109</v>
      </c>
    </row>
    <row r="592" spans="1:20" x14ac:dyDescent="0.25">
      <c r="A592" s="21">
        <v>45688</v>
      </c>
      <c r="B592" s="1">
        <v>317741073</v>
      </c>
      <c r="C592" t="s">
        <v>1164</v>
      </c>
      <c r="D592" s="22">
        <v>-1159.4000000000001</v>
      </c>
      <c r="E592" t="s">
        <v>35</v>
      </c>
      <c r="F592" s="2">
        <v>212901001</v>
      </c>
      <c r="G592" s="2" t="s">
        <v>121</v>
      </c>
      <c r="L592" s="2" t="s">
        <v>1165</v>
      </c>
      <c r="M592" t="s">
        <v>67</v>
      </c>
      <c r="N592" t="s">
        <v>68</v>
      </c>
      <c r="P592" s="23">
        <v>57.97</v>
      </c>
      <c r="Q592" s="4">
        <f t="shared" si="9"/>
        <v>-20.000000000000004</v>
      </c>
      <c r="R592" s="23" t="s">
        <v>109</v>
      </c>
    </row>
    <row r="593" spans="1:20" x14ac:dyDescent="0.25">
      <c r="A593" s="21">
        <v>45688</v>
      </c>
      <c r="B593" s="1">
        <v>317741070</v>
      </c>
      <c r="C593" t="s">
        <v>1166</v>
      </c>
      <c r="D593" s="22">
        <v>-3768.05</v>
      </c>
      <c r="E593" t="s">
        <v>35</v>
      </c>
      <c r="F593" s="2">
        <v>212901001</v>
      </c>
      <c r="G593" s="2" t="s">
        <v>121</v>
      </c>
      <c r="L593" s="2" t="s">
        <v>1167</v>
      </c>
      <c r="M593" t="s">
        <v>67</v>
      </c>
      <c r="N593" t="s">
        <v>68</v>
      </c>
      <c r="P593" s="23">
        <v>57.97</v>
      </c>
      <c r="Q593" s="4">
        <f t="shared" si="9"/>
        <v>-65</v>
      </c>
      <c r="R593" s="23" t="s">
        <v>109</v>
      </c>
    </row>
    <row r="594" spans="1:20" x14ac:dyDescent="0.25">
      <c r="A594" s="21">
        <v>45688</v>
      </c>
      <c r="B594" s="1">
        <v>317741067</v>
      </c>
      <c r="C594" t="s">
        <v>1168</v>
      </c>
      <c r="D594" s="22">
        <v>-2898.5</v>
      </c>
      <c r="E594" t="s">
        <v>35</v>
      </c>
      <c r="F594" s="2">
        <v>212901001</v>
      </c>
      <c r="G594" s="2" t="s">
        <v>121</v>
      </c>
      <c r="L594" s="2" t="s">
        <v>1169</v>
      </c>
      <c r="M594" t="s">
        <v>67</v>
      </c>
      <c r="N594" t="s">
        <v>68</v>
      </c>
      <c r="P594" s="23">
        <v>57.97</v>
      </c>
      <c r="Q594" s="4">
        <f t="shared" si="9"/>
        <v>-50</v>
      </c>
      <c r="R594" s="23" t="s">
        <v>109</v>
      </c>
    </row>
    <row r="595" spans="1:20" x14ac:dyDescent="0.25">
      <c r="A595" s="21">
        <v>45688</v>
      </c>
      <c r="B595" s="1">
        <v>317741069</v>
      </c>
      <c r="C595" t="s">
        <v>1170</v>
      </c>
      <c r="D595" s="22">
        <v>-579.70000000000005</v>
      </c>
      <c r="E595" t="s">
        <v>35</v>
      </c>
      <c r="F595" s="2">
        <v>212901001</v>
      </c>
      <c r="G595" s="2" t="s">
        <v>121</v>
      </c>
      <c r="L595" s="2" t="s">
        <v>1171</v>
      </c>
      <c r="M595" t="s">
        <v>67</v>
      </c>
      <c r="N595" t="s">
        <v>68</v>
      </c>
      <c r="P595" s="23">
        <v>57.97</v>
      </c>
      <c r="Q595" s="4">
        <f t="shared" si="9"/>
        <v>-10.000000000000002</v>
      </c>
      <c r="R595" s="23" t="s">
        <v>109</v>
      </c>
    </row>
    <row r="596" spans="1:20" x14ac:dyDescent="0.25">
      <c r="A596" s="21">
        <v>45688</v>
      </c>
      <c r="B596" s="1">
        <v>317741071</v>
      </c>
      <c r="C596" t="s">
        <v>1172</v>
      </c>
      <c r="D596" s="22">
        <v>-1159.4000000000001</v>
      </c>
      <c r="E596" t="s">
        <v>35</v>
      </c>
      <c r="F596" s="2">
        <v>212901001</v>
      </c>
      <c r="G596" s="2" t="s">
        <v>121</v>
      </c>
      <c r="L596" s="2" t="s">
        <v>1173</v>
      </c>
      <c r="M596" t="s">
        <v>67</v>
      </c>
      <c r="N596" t="s">
        <v>68</v>
      </c>
      <c r="P596" s="23">
        <v>57.97</v>
      </c>
      <c r="Q596" s="4">
        <f t="shared" si="9"/>
        <v>-20.000000000000004</v>
      </c>
      <c r="R596" s="23" t="s">
        <v>109</v>
      </c>
    </row>
    <row r="597" spans="1:20" x14ac:dyDescent="0.25">
      <c r="A597" s="21">
        <v>45688</v>
      </c>
      <c r="B597" s="1">
        <v>317741072</v>
      </c>
      <c r="C597" t="s">
        <v>1174</v>
      </c>
      <c r="D597" s="22">
        <v>-1159.4000000000001</v>
      </c>
      <c r="E597" t="s">
        <v>35</v>
      </c>
      <c r="F597" s="2">
        <v>212901001</v>
      </c>
      <c r="G597" s="2" t="s">
        <v>121</v>
      </c>
      <c r="L597" s="2" t="s">
        <v>1175</v>
      </c>
      <c r="M597" t="s">
        <v>67</v>
      </c>
      <c r="N597" t="s">
        <v>68</v>
      </c>
      <c r="P597" s="23">
        <v>57.97</v>
      </c>
      <c r="Q597" s="4">
        <f t="shared" si="9"/>
        <v>-20.000000000000004</v>
      </c>
      <c r="R597" s="23" t="s">
        <v>109</v>
      </c>
    </row>
    <row r="598" spans="1:20" x14ac:dyDescent="0.25">
      <c r="A598" s="21">
        <v>45688</v>
      </c>
      <c r="B598" s="1">
        <v>417741075</v>
      </c>
      <c r="C598" t="s">
        <v>1176</v>
      </c>
      <c r="D598" s="22">
        <v>-58568.4</v>
      </c>
      <c r="E598" t="s">
        <v>35</v>
      </c>
      <c r="F598" s="2">
        <v>110114001</v>
      </c>
      <c r="G598" s="2" t="s">
        <v>301</v>
      </c>
      <c r="L598" s="2" t="s">
        <v>1177</v>
      </c>
      <c r="M598" t="s">
        <v>38</v>
      </c>
      <c r="N598" t="s">
        <v>39</v>
      </c>
      <c r="P598" s="23">
        <v>57.97</v>
      </c>
      <c r="Q598" s="4">
        <f t="shared" si="9"/>
        <v>-1010.3225806451613</v>
      </c>
      <c r="R598" s="23" t="s">
        <v>109</v>
      </c>
      <c r="S598" s="33" t="s">
        <v>962</v>
      </c>
    </row>
    <row r="599" spans="1:20" x14ac:dyDescent="0.25">
      <c r="A599" s="21">
        <v>45688</v>
      </c>
      <c r="B599" s="1">
        <v>317741074</v>
      </c>
      <c r="C599" t="s">
        <v>1178</v>
      </c>
      <c r="D599" s="22">
        <v>-2053.5</v>
      </c>
      <c r="E599" t="s">
        <v>35</v>
      </c>
      <c r="F599" s="2">
        <v>210101001</v>
      </c>
      <c r="G599" s="2" t="s">
        <v>36</v>
      </c>
      <c r="L599" s="2" t="s">
        <v>1179</v>
      </c>
      <c r="M599" t="s">
        <v>114</v>
      </c>
      <c r="N599" t="s">
        <v>115</v>
      </c>
      <c r="P599" s="23">
        <v>57.97</v>
      </c>
      <c r="Q599" s="4">
        <f t="shared" si="9"/>
        <v>-35.423494911160944</v>
      </c>
      <c r="R599" s="23" t="s">
        <v>109</v>
      </c>
    </row>
    <row r="600" spans="1:20" x14ac:dyDescent="0.25">
      <c r="A600" s="21">
        <v>45688</v>
      </c>
      <c r="B600" s="1">
        <v>50192000</v>
      </c>
      <c r="C600" t="s">
        <v>118</v>
      </c>
      <c r="D600" s="22">
        <v>-217.27</v>
      </c>
      <c r="E600" t="s">
        <v>35</v>
      </c>
      <c r="F600" s="2">
        <v>610148001</v>
      </c>
      <c r="G600" s="2" t="s">
        <v>42</v>
      </c>
      <c r="L600" s="2" t="s">
        <v>1180</v>
      </c>
      <c r="M600" t="s">
        <v>43</v>
      </c>
      <c r="N600" t="s">
        <v>42</v>
      </c>
      <c r="P600" s="23">
        <v>57.97</v>
      </c>
      <c r="Q600" s="4">
        <f t="shared" si="9"/>
        <v>-3.7479730895290668</v>
      </c>
      <c r="R600" s="23" t="s">
        <v>109</v>
      </c>
      <c r="T600" s="23" t="s">
        <v>44</v>
      </c>
    </row>
    <row r="601" spans="1:20" x14ac:dyDescent="0.25">
      <c r="A601" s="21">
        <v>45688</v>
      </c>
      <c r="B601" s="1">
        <v>417741292</v>
      </c>
      <c r="C601" t="s">
        <v>1181</v>
      </c>
      <c r="D601" s="22">
        <v>-1159.4000000000001</v>
      </c>
      <c r="E601" t="s">
        <v>35</v>
      </c>
      <c r="F601" s="2">
        <v>212901001</v>
      </c>
      <c r="G601" s="2" t="s">
        <v>121</v>
      </c>
      <c r="L601" s="2" t="s">
        <v>1182</v>
      </c>
      <c r="M601" t="s">
        <v>67</v>
      </c>
      <c r="N601" t="s">
        <v>68</v>
      </c>
      <c r="P601" s="23">
        <v>57.97</v>
      </c>
      <c r="Q601" s="4">
        <f t="shared" si="9"/>
        <v>-20.000000000000004</v>
      </c>
      <c r="R601" s="23" t="s">
        <v>109</v>
      </c>
    </row>
    <row r="602" spans="1:20" x14ac:dyDescent="0.25">
      <c r="A602" s="21">
        <v>45688</v>
      </c>
      <c r="B602" s="1">
        <v>417741292</v>
      </c>
      <c r="C602" t="s">
        <v>306</v>
      </c>
      <c r="D602" s="22">
        <v>-3.48</v>
      </c>
      <c r="E602" t="s">
        <v>35</v>
      </c>
      <c r="F602" s="2">
        <v>610148001</v>
      </c>
      <c r="G602" s="2" t="s">
        <v>42</v>
      </c>
      <c r="L602" s="2" t="s">
        <v>1183</v>
      </c>
      <c r="M602" t="s">
        <v>43</v>
      </c>
      <c r="N602" t="s">
        <v>42</v>
      </c>
      <c r="P602" s="23">
        <v>57.97</v>
      </c>
      <c r="Q602" s="4">
        <f t="shared" si="9"/>
        <v>-6.0031050543384513E-2</v>
      </c>
      <c r="R602" s="23" t="s">
        <v>109</v>
      </c>
      <c r="T602" s="23" t="s">
        <v>44</v>
      </c>
    </row>
    <row r="603" spans="1:20" x14ac:dyDescent="0.25">
      <c r="A603" s="21">
        <v>45688</v>
      </c>
      <c r="B603" s="1">
        <v>134948833</v>
      </c>
      <c r="C603" t="s">
        <v>1184</v>
      </c>
      <c r="D603" s="22">
        <v>-5673.33</v>
      </c>
      <c r="E603" t="s">
        <v>35</v>
      </c>
      <c r="F603" s="2">
        <v>110114001</v>
      </c>
      <c r="G603" s="2" t="s">
        <v>301</v>
      </c>
      <c r="L603" s="2" t="s">
        <v>1185</v>
      </c>
      <c r="M603" t="s">
        <v>1186</v>
      </c>
      <c r="N603" t="s">
        <v>1187</v>
      </c>
      <c r="P603" s="23">
        <v>57.97</v>
      </c>
      <c r="Q603" s="4">
        <f t="shared" si="9"/>
        <v>-97.866655166465421</v>
      </c>
      <c r="R603" s="23" t="s">
        <v>109</v>
      </c>
      <c r="S603" s="33" t="s">
        <v>305</v>
      </c>
    </row>
    <row r="604" spans="1:20" x14ac:dyDescent="0.25">
      <c r="A604" s="21">
        <v>45688</v>
      </c>
      <c r="B604" s="1">
        <v>142437578</v>
      </c>
      <c r="C604" t="s">
        <v>107</v>
      </c>
      <c r="D604" s="22">
        <v>60000</v>
      </c>
      <c r="E604" t="s">
        <v>46</v>
      </c>
      <c r="F604" s="2">
        <v>210115002</v>
      </c>
      <c r="G604" s="2" t="s">
        <v>47</v>
      </c>
      <c r="L604" s="2" t="s">
        <v>1188</v>
      </c>
      <c r="N604" t="s">
        <v>107</v>
      </c>
      <c r="P604" s="23">
        <v>57.97</v>
      </c>
      <c r="Q604" s="4">
        <f t="shared" si="9"/>
        <v>1035.0181128169743</v>
      </c>
      <c r="R604" s="23" t="s">
        <v>109</v>
      </c>
    </row>
    <row r="605" spans="1:20" x14ac:dyDescent="0.25">
      <c r="A605" s="21">
        <v>45688</v>
      </c>
      <c r="B605" s="1">
        <v>617757245</v>
      </c>
      <c r="C605" t="s">
        <v>1189</v>
      </c>
      <c r="D605" s="22">
        <v>-86274.74</v>
      </c>
      <c r="E605" t="s">
        <v>35</v>
      </c>
      <c r="F605" s="2">
        <v>110114001</v>
      </c>
      <c r="G605" s="2" t="s">
        <v>301</v>
      </c>
      <c r="L605" s="2" t="s">
        <v>1190</v>
      </c>
      <c r="M605" t="s">
        <v>38</v>
      </c>
      <c r="N605" t="s">
        <v>39</v>
      </c>
      <c r="P605" s="23">
        <v>57.97</v>
      </c>
      <c r="Q605" s="4">
        <f t="shared" si="9"/>
        <v>-1488.265309642919</v>
      </c>
      <c r="R605" s="23" t="s">
        <v>109</v>
      </c>
      <c r="S605" s="33" t="s">
        <v>305</v>
      </c>
    </row>
    <row r="606" spans="1:20" x14ac:dyDescent="0.25">
      <c r="A606" s="21">
        <v>45688</v>
      </c>
      <c r="B606" s="1">
        <v>617757245</v>
      </c>
      <c r="C606" t="s">
        <v>306</v>
      </c>
      <c r="D606" s="22">
        <v>-258.82</v>
      </c>
      <c r="E606" t="s">
        <v>35</v>
      </c>
      <c r="F606" s="2">
        <v>610148001</v>
      </c>
      <c r="G606" s="2" t="s">
        <v>42</v>
      </c>
      <c r="L606" s="2" t="s">
        <v>1191</v>
      </c>
      <c r="M606" t="s">
        <v>43</v>
      </c>
      <c r="N606" t="s">
        <v>42</v>
      </c>
      <c r="P606" s="23">
        <v>57.97</v>
      </c>
      <c r="Q606" s="4">
        <f t="shared" si="9"/>
        <v>-4.4647231326548216</v>
      </c>
      <c r="R606" s="23" t="s">
        <v>109</v>
      </c>
      <c r="T606" s="23" t="s">
        <v>44</v>
      </c>
    </row>
    <row r="607" spans="1:20" x14ac:dyDescent="0.25">
      <c r="A607" s="21">
        <v>45688</v>
      </c>
      <c r="B607" s="1">
        <v>0</v>
      </c>
      <c r="C607" t="s">
        <v>1192</v>
      </c>
      <c r="D607" s="22">
        <v>-0.5</v>
      </c>
      <c r="E607" t="s">
        <v>35</v>
      </c>
      <c r="F607" s="2">
        <v>610148001</v>
      </c>
      <c r="G607" s="2" t="s">
        <v>42</v>
      </c>
      <c r="L607" s="2" t="s">
        <v>1193</v>
      </c>
      <c r="M607" t="s">
        <v>43</v>
      </c>
      <c r="N607" t="s">
        <v>42</v>
      </c>
      <c r="P607" s="23">
        <v>57.97</v>
      </c>
      <c r="Q607" s="4">
        <f t="shared" si="9"/>
        <v>-8.6251509401414524E-3</v>
      </c>
      <c r="R607" s="23" t="s">
        <v>109</v>
      </c>
      <c r="T607" s="23" t="s">
        <v>44</v>
      </c>
    </row>
    <row r="608" spans="1:20" x14ac:dyDescent="0.25">
      <c r="A608" s="21">
        <v>45688</v>
      </c>
      <c r="B608" s="1">
        <v>0</v>
      </c>
      <c r="C608" t="s">
        <v>1194</v>
      </c>
      <c r="D608" s="22">
        <v>-0.5</v>
      </c>
      <c r="E608" t="s">
        <v>35</v>
      </c>
      <c r="F608" s="2">
        <v>610148001</v>
      </c>
      <c r="G608" s="2" t="s">
        <v>42</v>
      </c>
      <c r="L608" s="2" t="s">
        <v>1195</v>
      </c>
      <c r="M608" t="s">
        <v>43</v>
      </c>
      <c r="N608" t="s">
        <v>42</v>
      </c>
      <c r="P608" s="23">
        <v>57.97</v>
      </c>
      <c r="Q608" s="4">
        <f t="shared" si="9"/>
        <v>-8.6251509401414524E-3</v>
      </c>
      <c r="R608" s="23" t="s">
        <v>109</v>
      </c>
      <c r="T608" s="23" t="s">
        <v>44</v>
      </c>
    </row>
    <row r="609" spans="1:20" x14ac:dyDescent="0.25">
      <c r="A609" s="21">
        <v>45664</v>
      </c>
      <c r="B609" s="1" t="s">
        <v>1196</v>
      </c>
      <c r="C609" t="s">
        <v>544</v>
      </c>
      <c r="D609" s="22">
        <v>315000</v>
      </c>
      <c r="E609" t="s">
        <v>46</v>
      </c>
      <c r="F609" s="2">
        <v>210115002</v>
      </c>
      <c r="G609" s="2" t="s">
        <v>47</v>
      </c>
      <c r="L609" s="2" t="s">
        <v>1197</v>
      </c>
      <c r="N609" t="s">
        <v>544</v>
      </c>
      <c r="P609" s="23">
        <v>53.01</v>
      </c>
      <c r="Q609" s="4">
        <f t="shared" si="9"/>
        <v>5942.2750424448222</v>
      </c>
      <c r="R609" s="23" t="s">
        <v>1198</v>
      </c>
      <c r="S609" s="34"/>
      <c r="T609" s="34"/>
    </row>
    <row r="610" spans="1:20" x14ac:dyDescent="0.25">
      <c r="A610" s="32">
        <v>45664</v>
      </c>
      <c r="B610" s="26" t="s">
        <v>1199</v>
      </c>
      <c r="C610" s="27" t="s">
        <v>1200</v>
      </c>
      <c r="D610" s="28">
        <v>-5725.3</v>
      </c>
      <c r="E610" s="27" t="s">
        <v>35</v>
      </c>
      <c r="F610" s="29">
        <v>610122005</v>
      </c>
      <c r="G610" s="29" t="s">
        <v>765</v>
      </c>
      <c r="H610" s="107"/>
      <c r="I610" s="101"/>
      <c r="J610" s="101"/>
      <c r="K610" s="29"/>
      <c r="L610" s="2" t="s">
        <v>1201</v>
      </c>
      <c r="M610" s="27" t="s">
        <v>1202</v>
      </c>
      <c r="N610" s="27" t="s">
        <v>1203</v>
      </c>
      <c r="O610" s="27" t="s">
        <v>59</v>
      </c>
      <c r="P610" s="31">
        <v>53.01</v>
      </c>
      <c r="Q610" s="4">
        <f t="shared" si="9"/>
        <v>-108.00415016034711</v>
      </c>
      <c r="R610" s="23" t="s">
        <v>1198</v>
      </c>
      <c r="S610" s="34"/>
      <c r="T610" s="35" t="s">
        <v>1204</v>
      </c>
    </row>
    <row r="611" spans="1:20" x14ac:dyDescent="0.25">
      <c r="A611" s="21">
        <v>45664</v>
      </c>
      <c r="B611" s="1" t="s">
        <v>1205</v>
      </c>
      <c r="C611" t="s">
        <v>1206</v>
      </c>
      <c r="D611" s="22">
        <v>-5.72</v>
      </c>
      <c r="E611" t="s">
        <v>35</v>
      </c>
      <c r="F611" s="2">
        <v>610148001</v>
      </c>
      <c r="G611" s="2" t="s">
        <v>42</v>
      </c>
      <c r="L611" s="2" t="s">
        <v>1207</v>
      </c>
      <c r="M611" t="s">
        <v>43</v>
      </c>
      <c r="N611" t="s">
        <v>42</v>
      </c>
      <c r="P611" s="23">
        <v>53.01</v>
      </c>
      <c r="Q611" s="4">
        <f t="shared" si="9"/>
        <v>-0.10790416902471232</v>
      </c>
      <c r="R611" s="23" t="s">
        <v>1198</v>
      </c>
      <c r="S611" s="34"/>
      <c r="T611" s="35" t="s">
        <v>44</v>
      </c>
    </row>
    <row r="612" spans="1:20" x14ac:dyDescent="0.25">
      <c r="A612" s="21">
        <v>45664</v>
      </c>
      <c r="B612" s="1" t="s">
        <v>1208</v>
      </c>
      <c r="C612" t="s">
        <v>1209</v>
      </c>
      <c r="D612" s="22">
        <v>-395</v>
      </c>
      <c r="E612" t="s">
        <v>35</v>
      </c>
      <c r="F612" s="2">
        <v>210101001</v>
      </c>
      <c r="G612" s="2" t="s">
        <v>36</v>
      </c>
      <c r="L612" s="2" t="s">
        <v>1210</v>
      </c>
      <c r="M612" t="s">
        <v>114</v>
      </c>
      <c r="N612" t="s">
        <v>115</v>
      </c>
      <c r="P612" s="23">
        <v>53.01</v>
      </c>
      <c r="Q612" s="4">
        <f t="shared" si="9"/>
        <v>-7.4514242595736659</v>
      </c>
      <c r="R612" s="23" t="s">
        <v>1198</v>
      </c>
      <c r="S612" s="34"/>
      <c r="T612" s="34"/>
    </row>
    <row r="613" spans="1:20" x14ac:dyDescent="0.25">
      <c r="A613" s="21">
        <v>45664</v>
      </c>
      <c r="B613" s="1" t="s">
        <v>1211</v>
      </c>
      <c r="C613" t="s">
        <v>1212</v>
      </c>
      <c r="D613" s="22">
        <v>-11068.95</v>
      </c>
      <c r="E613" t="s">
        <v>35</v>
      </c>
      <c r="F613" s="2">
        <v>210101001</v>
      </c>
      <c r="G613" s="2" t="s">
        <v>36</v>
      </c>
      <c r="L613" s="2" t="s">
        <v>1213</v>
      </c>
      <c r="M613" t="s">
        <v>303</v>
      </c>
      <c r="N613" t="s">
        <v>304</v>
      </c>
      <c r="P613" s="23">
        <v>53.01</v>
      </c>
      <c r="Q613" s="4">
        <f t="shared" si="9"/>
        <v>-208.80871533672894</v>
      </c>
      <c r="R613" s="23" t="s">
        <v>1198</v>
      </c>
      <c r="S613" s="34"/>
      <c r="T613" s="34"/>
    </row>
    <row r="614" spans="1:20" x14ac:dyDescent="0.25">
      <c r="A614" s="21">
        <v>45664</v>
      </c>
      <c r="B614" s="1" t="s">
        <v>1214</v>
      </c>
      <c r="C614" t="s">
        <v>1215</v>
      </c>
      <c r="D614" s="22">
        <v>-200000</v>
      </c>
      <c r="E614" t="s">
        <v>35</v>
      </c>
      <c r="F614" s="2">
        <v>210101001</v>
      </c>
      <c r="G614" s="2" t="s">
        <v>36</v>
      </c>
      <c r="L614" s="2" t="s">
        <v>1216</v>
      </c>
      <c r="M614" t="s">
        <v>976</v>
      </c>
      <c r="N614" t="s">
        <v>977</v>
      </c>
      <c r="P614" s="23">
        <v>53.01</v>
      </c>
      <c r="Q614" s="4">
        <f t="shared" si="9"/>
        <v>-3772.8730428221093</v>
      </c>
      <c r="R614" s="23" t="s">
        <v>1198</v>
      </c>
      <c r="S614" s="34"/>
      <c r="T614" s="34"/>
    </row>
    <row r="615" spans="1:20" x14ac:dyDescent="0.25">
      <c r="A615" s="21">
        <v>45664</v>
      </c>
      <c r="B615" s="1" t="s">
        <v>1217</v>
      </c>
      <c r="C615" t="s">
        <v>1218</v>
      </c>
      <c r="D615" s="22">
        <v>-99780.85</v>
      </c>
      <c r="E615" t="s">
        <v>35</v>
      </c>
      <c r="F615" s="2">
        <v>210101001</v>
      </c>
      <c r="G615" s="2" t="s">
        <v>36</v>
      </c>
      <c r="L615" s="2" t="s">
        <v>1219</v>
      </c>
      <c r="M615" t="s">
        <v>976</v>
      </c>
      <c r="N615" t="s">
        <v>977</v>
      </c>
      <c r="P615" s="23">
        <v>53.01</v>
      </c>
      <c r="Q615" s="4">
        <f t="shared" si="9"/>
        <v>-1882.3023957743824</v>
      </c>
      <c r="R615" s="23" t="s">
        <v>1198</v>
      </c>
      <c r="S615" s="34"/>
      <c r="T615" s="34"/>
    </row>
    <row r="616" spans="1:20" x14ac:dyDescent="0.25">
      <c r="A616" s="21">
        <v>45664</v>
      </c>
      <c r="B616" s="1" t="s">
        <v>1220</v>
      </c>
      <c r="C616" t="s">
        <v>1221</v>
      </c>
      <c r="D616" s="22">
        <v>-249.45</v>
      </c>
      <c r="E616" t="s">
        <v>35</v>
      </c>
      <c r="F616" s="2">
        <v>610148001</v>
      </c>
      <c r="G616" s="2" t="s">
        <v>42</v>
      </c>
      <c r="L616" s="2" t="s">
        <v>1222</v>
      </c>
      <c r="M616" t="s">
        <v>43</v>
      </c>
      <c r="N616" t="s">
        <v>42</v>
      </c>
      <c r="P616" s="23">
        <v>53.01</v>
      </c>
      <c r="Q616" s="4">
        <f t="shared" si="9"/>
        <v>-4.7057159026598754</v>
      </c>
      <c r="R616" s="23" t="s">
        <v>1198</v>
      </c>
      <c r="S616" s="34"/>
      <c r="T616" s="35" t="s">
        <v>44</v>
      </c>
    </row>
    <row r="617" spans="1:20" x14ac:dyDescent="0.25">
      <c r="A617" s="21">
        <v>45664</v>
      </c>
      <c r="B617" s="1" t="s">
        <v>1223</v>
      </c>
      <c r="C617" t="s">
        <v>1221</v>
      </c>
      <c r="D617" s="22">
        <v>-0.98</v>
      </c>
      <c r="E617" t="s">
        <v>35</v>
      </c>
      <c r="F617" s="2">
        <v>610148001</v>
      </c>
      <c r="G617" s="2" t="s">
        <v>42</v>
      </c>
      <c r="L617" s="2" t="s">
        <v>1224</v>
      </c>
      <c r="M617" t="s">
        <v>43</v>
      </c>
      <c r="N617" t="s">
        <v>42</v>
      </c>
      <c r="P617" s="23">
        <v>53.01</v>
      </c>
      <c r="Q617" s="4">
        <f t="shared" si="9"/>
        <v>-1.8487077909828335E-2</v>
      </c>
      <c r="R617" s="23" t="s">
        <v>1198</v>
      </c>
      <c r="S617" s="34"/>
      <c r="T617" s="35" t="s">
        <v>44</v>
      </c>
    </row>
    <row r="618" spans="1:20" x14ac:dyDescent="0.25">
      <c r="A618" s="21">
        <v>45664</v>
      </c>
      <c r="B618" s="1" t="s">
        <v>1225</v>
      </c>
      <c r="C618" t="s">
        <v>1221</v>
      </c>
      <c r="D618" s="22">
        <v>-500</v>
      </c>
      <c r="E618" t="s">
        <v>35</v>
      </c>
      <c r="F618" s="2">
        <v>610148001</v>
      </c>
      <c r="G618" s="2" t="s">
        <v>42</v>
      </c>
      <c r="L618" s="2" t="s">
        <v>1226</v>
      </c>
      <c r="M618" t="s">
        <v>43</v>
      </c>
      <c r="N618" t="s">
        <v>42</v>
      </c>
      <c r="P618" s="23">
        <v>53.01</v>
      </c>
      <c r="Q618" s="4">
        <f t="shared" si="9"/>
        <v>-9.4321826070552728</v>
      </c>
      <c r="R618" s="23" t="s">
        <v>1198</v>
      </c>
      <c r="S618" s="34"/>
      <c r="T618" s="35" t="s">
        <v>44</v>
      </c>
    </row>
    <row r="619" spans="1:20" x14ac:dyDescent="0.25">
      <c r="A619" s="21">
        <v>45664</v>
      </c>
      <c r="B619" s="1" t="s">
        <v>1227</v>
      </c>
      <c r="C619" t="s">
        <v>1221</v>
      </c>
      <c r="D619" s="22">
        <v>-27.67</v>
      </c>
      <c r="E619" t="s">
        <v>35</v>
      </c>
      <c r="F619" s="2">
        <v>610148001</v>
      </c>
      <c r="G619" s="2" t="s">
        <v>42</v>
      </c>
      <c r="L619" s="2" t="s">
        <v>1228</v>
      </c>
      <c r="M619" t="s">
        <v>43</v>
      </c>
      <c r="N619" t="s">
        <v>42</v>
      </c>
      <c r="P619" s="23">
        <v>53.01</v>
      </c>
      <c r="Q619" s="4">
        <f t="shared" si="9"/>
        <v>-0.52197698547443883</v>
      </c>
      <c r="R619" s="23" t="s">
        <v>1198</v>
      </c>
      <c r="S619" s="34"/>
      <c r="T619" s="35" t="s">
        <v>44</v>
      </c>
    </row>
    <row r="620" spans="1:20" x14ac:dyDescent="0.25">
      <c r="A620" s="21">
        <v>45664</v>
      </c>
      <c r="B620" s="1" t="s">
        <v>1229</v>
      </c>
      <c r="C620" t="s">
        <v>544</v>
      </c>
      <c r="D620" s="22">
        <v>15000</v>
      </c>
      <c r="E620" t="s">
        <v>46</v>
      </c>
      <c r="F620" s="2">
        <v>210115002</v>
      </c>
      <c r="G620" s="2" t="s">
        <v>47</v>
      </c>
      <c r="L620" s="2" t="s">
        <v>1230</v>
      </c>
      <c r="N620" t="s">
        <v>544</v>
      </c>
      <c r="P620" s="23">
        <v>53.01</v>
      </c>
      <c r="Q620" s="4">
        <f t="shared" si="9"/>
        <v>282.96547821165819</v>
      </c>
      <c r="R620" s="23" t="s">
        <v>1198</v>
      </c>
      <c r="S620" s="34"/>
      <c r="T620" s="34"/>
    </row>
    <row r="621" spans="1:20" x14ac:dyDescent="0.25">
      <c r="A621" s="32">
        <v>45664</v>
      </c>
      <c r="B621" s="26" t="s">
        <v>1231</v>
      </c>
      <c r="C621" s="27" t="s">
        <v>1200</v>
      </c>
      <c r="D621" s="28">
        <v>-5725.3</v>
      </c>
      <c r="E621" s="27" t="s">
        <v>35</v>
      </c>
      <c r="F621" s="29">
        <v>610122005</v>
      </c>
      <c r="G621" s="29" t="s">
        <v>765</v>
      </c>
      <c r="H621" s="107"/>
      <c r="I621" s="101"/>
      <c r="J621" s="101"/>
      <c r="K621" s="29"/>
      <c r="L621" s="2" t="s">
        <v>1232</v>
      </c>
      <c r="M621" s="27" t="s">
        <v>1202</v>
      </c>
      <c r="N621" s="27" t="s">
        <v>1203</v>
      </c>
      <c r="O621" s="27" t="s">
        <v>59</v>
      </c>
      <c r="P621" s="31">
        <v>53.01</v>
      </c>
      <c r="Q621" s="4">
        <f t="shared" si="9"/>
        <v>-108.00415016034711</v>
      </c>
      <c r="R621" s="23" t="s">
        <v>1198</v>
      </c>
      <c r="S621" s="34"/>
      <c r="T621" s="35" t="s">
        <v>1204</v>
      </c>
    </row>
    <row r="622" spans="1:20" x14ac:dyDescent="0.25">
      <c r="A622" s="21">
        <v>45664</v>
      </c>
      <c r="B622" s="1" t="s">
        <v>1205</v>
      </c>
      <c r="C622" t="s">
        <v>1206</v>
      </c>
      <c r="D622" s="22">
        <v>-5.72</v>
      </c>
      <c r="E622" t="s">
        <v>35</v>
      </c>
      <c r="F622" s="2">
        <v>610148001</v>
      </c>
      <c r="G622" s="2" t="s">
        <v>42</v>
      </c>
      <c r="L622" s="2" t="s">
        <v>1233</v>
      </c>
      <c r="M622" t="s">
        <v>43</v>
      </c>
      <c r="N622" t="s">
        <v>42</v>
      </c>
      <c r="P622" s="23">
        <v>53.01</v>
      </c>
      <c r="Q622" s="4">
        <f t="shared" si="9"/>
        <v>-0.10790416902471232</v>
      </c>
      <c r="R622" s="23" t="s">
        <v>1198</v>
      </c>
      <c r="S622" s="34"/>
      <c r="T622" s="35" t="s">
        <v>44</v>
      </c>
    </row>
    <row r="623" spans="1:20" x14ac:dyDescent="0.25">
      <c r="A623" s="21">
        <v>45665</v>
      </c>
      <c r="B623" s="1" t="s">
        <v>1234</v>
      </c>
      <c r="C623" t="s">
        <v>544</v>
      </c>
      <c r="D623" s="22">
        <v>10000</v>
      </c>
      <c r="E623" t="s">
        <v>46</v>
      </c>
      <c r="F623" s="2">
        <v>210115002</v>
      </c>
      <c r="G623" s="2" t="s">
        <v>47</v>
      </c>
      <c r="L623" s="2" t="s">
        <v>1235</v>
      </c>
      <c r="N623" t="s">
        <v>544</v>
      </c>
      <c r="P623" s="23">
        <v>53.07</v>
      </c>
      <c r="Q623" s="4">
        <f t="shared" si="9"/>
        <v>188.43037497644619</v>
      </c>
      <c r="R623" s="23" t="s">
        <v>1198</v>
      </c>
    </row>
    <row r="624" spans="1:20" x14ac:dyDescent="0.25">
      <c r="A624" s="21">
        <v>45665</v>
      </c>
      <c r="B624" s="1" t="s">
        <v>1236</v>
      </c>
      <c r="C624" t="s">
        <v>1237</v>
      </c>
      <c r="D624" s="22">
        <v>-22835</v>
      </c>
      <c r="E624" t="s">
        <v>35</v>
      </c>
      <c r="F624" s="2">
        <v>210101001</v>
      </c>
      <c r="G624" s="2" t="s">
        <v>36</v>
      </c>
      <c r="L624" s="2" t="s">
        <v>1238</v>
      </c>
      <c r="M624" t="s">
        <v>1239</v>
      </c>
      <c r="N624" t="s">
        <v>1240</v>
      </c>
      <c r="P624" s="23">
        <v>53.07</v>
      </c>
      <c r="Q624" s="4">
        <f t="shared" si="9"/>
        <v>-430.2807612587149</v>
      </c>
      <c r="R624" s="23" t="s">
        <v>1198</v>
      </c>
    </row>
    <row r="625" spans="1:23" x14ac:dyDescent="0.25">
      <c r="A625" s="21">
        <v>45665</v>
      </c>
      <c r="B625" s="1" t="s">
        <v>1241</v>
      </c>
      <c r="C625" t="s">
        <v>1221</v>
      </c>
      <c r="D625" s="22">
        <v>-57.08</v>
      </c>
      <c r="E625" t="s">
        <v>35</v>
      </c>
      <c r="F625" s="2">
        <v>610148001</v>
      </c>
      <c r="G625" s="2" t="s">
        <v>42</v>
      </c>
      <c r="L625" s="2" t="s">
        <v>1242</v>
      </c>
      <c r="M625" t="s">
        <v>43</v>
      </c>
      <c r="N625" t="s">
        <v>42</v>
      </c>
      <c r="P625" s="23">
        <v>53.07</v>
      </c>
      <c r="Q625" s="4">
        <f t="shared" si="9"/>
        <v>-1.0755605803655548</v>
      </c>
      <c r="R625" s="23" t="s">
        <v>1198</v>
      </c>
      <c r="T625" s="35" t="s">
        <v>44</v>
      </c>
    </row>
    <row r="626" spans="1:23" x14ac:dyDescent="0.25">
      <c r="A626" s="21">
        <v>45665</v>
      </c>
      <c r="B626" s="1" t="s">
        <v>1243</v>
      </c>
      <c r="C626" t="s">
        <v>1244</v>
      </c>
      <c r="D626" s="22">
        <v>-10.1</v>
      </c>
      <c r="E626" t="s">
        <v>35</v>
      </c>
      <c r="F626" s="2">
        <v>213201001</v>
      </c>
      <c r="G626" s="2" t="s">
        <v>1245</v>
      </c>
      <c r="L626" s="2" t="s">
        <v>1246</v>
      </c>
      <c r="M626" t="s">
        <v>1247</v>
      </c>
      <c r="N626" t="s">
        <v>1248</v>
      </c>
      <c r="P626" s="23">
        <v>53.07</v>
      </c>
      <c r="Q626" s="4">
        <f t="shared" si="9"/>
        <v>-0.19031467872621066</v>
      </c>
      <c r="R626" s="23" t="s">
        <v>1198</v>
      </c>
      <c r="T626" s="23" t="s">
        <v>1249</v>
      </c>
    </row>
    <row r="627" spans="1:23" x14ac:dyDescent="0.25">
      <c r="A627" s="21">
        <v>45665</v>
      </c>
      <c r="B627" s="1" t="s">
        <v>1250</v>
      </c>
      <c r="C627" t="s">
        <v>1251</v>
      </c>
      <c r="D627" s="22">
        <v>-74.25</v>
      </c>
      <c r="E627" t="s">
        <v>35</v>
      </c>
      <c r="F627" s="2">
        <v>213101001</v>
      </c>
      <c r="G627" s="2" t="s">
        <v>1252</v>
      </c>
      <c r="L627" s="2" t="s">
        <v>1253</v>
      </c>
      <c r="M627" t="s">
        <v>1254</v>
      </c>
      <c r="N627" t="s">
        <v>1255</v>
      </c>
      <c r="P627" s="23">
        <v>53.07</v>
      </c>
      <c r="Q627" s="4">
        <f t="shared" si="9"/>
        <v>-1.399095534200113</v>
      </c>
      <c r="R627" s="23" t="s">
        <v>1198</v>
      </c>
      <c r="T627" s="23" t="s">
        <v>1256</v>
      </c>
    </row>
    <row r="628" spans="1:23" x14ac:dyDescent="0.25">
      <c r="A628" s="21">
        <v>45671</v>
      </c>
      <c r="B628" s="1" t="s">
        <v>1257</v>
      </c>
      <c r="C628" t="s">
        <v>1258</v>
      </c>
      <c r="D628" s="22">
        <v>50000</v>
      </c>
      <c r="E628" t="s">
        <v>46</v>
      </c>
      <c r="F628" s="2">
        <v>210115002</v>
      </c>
      <c r="G628" s="2" t="s">
        <v>47</v>
      </c>
      <c r="L628" s="2" t="s">
        <v>1259</v>
      </c>
      <c r="N628" t="s">
        <v>1258</v>
      </c>
      <c r="P628" s="23">
        <v>53.88</v>
      </c>
      <c r="Q628" s="4">
        <f t="shared" si="9"/>
        <v>927.98812175204148</v>
      </c>
      <c r="R628" s="23" t="s">
        <v>1198</v>
      </c>
    </row>
    <row r="629" spans="1:23" x14ac:dyDescent="0.25">
      <c r="A629" s="21">
        <v>45671</v>
      </c>
      <c r="B629" s="1" t="s">
        <v>1208</v>
      </c>
      <c r="C629" t="s">
        <v>1260</v>
      </c>
      <c r="D629" s="22">
        <v>-24439.43</v>
      </c>
      <c r="E629" t="s">
        <v>35</v>
      </c>
      <c r="F629" s="2">
        <v>212901001</v>
      </c>
      <c r="G629" s="2" t="s">
        <v>121</v>
      </c>
      <c r="L629" s="2" t="s">
        <v>1261</v>
      </c>
      <c r="M629" t="s">
        <v>67</v>
      </c>
      <c r="N629" t="s">
        <v>68</v>
      </c>
      <c r="P629" s="23">
        <v>53.88</v>
      </c>
      <c r="Q629" s="4">
        <f t="shared" si="9"/>
        <v>-453.59001484780993</v>
      </c>
      <c r="R629" s="23" t="s">
        <v>1198</v>
      </c>
      <c r="U629">
        <v>2</v>
      </c>
      <c r="V629" t="e">
        <f>VLOOKUP(Tabla3[[#This Row],[Nº]],[1]!NOMINA[#Data],4,FALSE)</f>
        <v>#REF!</v>
      </c>
      <c r="W629" t="e">
        <f>VLOOKUP(Tabla3[[#This Row],[Nº]],[1]!NOMINA[#Data],5,FALSE)</f>
        <v>#REF!</v>
      </c>
    </row>
    <row r="630" spans="1:23" x14ac:dyDescent="0.25">
      <c r="A630" s="21">
        <v>45671</v>
      </c>
      <c r="B630" s="1" t="s">
        <v>1217</v>
      </c>
      <c r="C630" t="s">
        <v>1262</v>
      </c>
      <c r="D630" s="22">
        <v>-61.65</v>
      </c>
      <c r="E630" t="s">
        <v>35</v>
      </c>
      <c r="F630" s="2">
        <v>212901001</v>
      </c>
      <c r="G630" s="2" t="s">
        <v>121</v>
      </c>
      <c r="L630" s="2" t="s">
        <v>1263</v>
      </c>
      <c r="M630" t="s">
        <v>67</v>
      </c>
      <c r="N630" t="s">
        <v>68</v>
      </c>
      <c r="P630" s="23">
        <v>53.88</v>
      </c>
      <c r="Q630" s="4">
        <f t="shared" si="9"/>
        <v>-1.1442093541202671</v>
      </c>
      <c r="R630" s="23" t="s">
        <v>1198</v>
      </c>
      <c r="U630">
        <v>2</v>
      </c>
      <c r="V630" t="e">
        <f>VLOOKUP(Tabla3[[#This Row],[Nº]],[1]!NOMINA[#Data],4,FALSE)</f>
        <v>#REF!</v>
      </c>
      <c r="W630" t="e">
        <f>VLOOKUP(Tabla3[[#This Row],[Nº]],[1]!NOMINA[#Data],5,FALSE)</f>
        <v>#REF!</v>
      </c>
    </row>
    <row r="631" spans="1:23" x14ac:dyDescent="0.25">
      <c r="A631" s="21">
        <v>45671</v>
      </c>
      <c r="B631" s="1" t="s">
        <v>1211</v>
      </c>
      <c r="C631" t="s">
        <v>1264</v>
      </c>
      <c r="D631" s="22">
        <v>-21486.81</v>
      </c>
      <c r="E631" t="s">
        <v>35</v>
      </c>
      <c r="F631" s="2">
        <v>212901001</v>
      </c>
      <c r="G631" s="2" t="s">
        <v>121</v>
      </c>
      <c r="L631" s="2" t="s">
        <v>1265</v>
      </c>
      <c r="M631" t="s">
        <v>67</v>
      </c>
      <c r="N631" t="s">
        <v>68</v>
      </c>
      <c r="P631" s="23">
        <v>53.88</v>
      </c>
      <c r="Q631" s="4">
        <f t="shared" si="9"/>
        <v>-398.79008908685967</v>
      </c>
      <c r="R631" s="23" t="s">
        <v>1198</v>
      </c>
      <c r="U631">
        <v>1</v>
      </c>
      <c r="V631" t="e">
        <f>VLOOKUP(U631,[1]!NOMINA[#Data],4,FALSE)</f>
        <v>#REF!</v>
      </c>
      <c r="W631" t="e">
        <f>VLOOKUP(U631,[1]!NOMINA[#Data],5,FALSE)</f>
        <v>#REF!</v>
      </c>
    </row>
    <row r="632" spans="1:23" x14ac:dyDescent="0.25">
      <c r="A632" s="21">
        <v>45671</v>
      </c>
      <c r="B632" s="1" t="s">
        <v>1214</v>
      </c>
      <c r="C632" t="s">
        <v>1266</v>
      </c>
      <c r="D632" s="22">
        <v>-61.65</v>
      </c>
      <c r="E632" t="s">
        <v>35</v>
      </c>
      <c r="F632" s="2">
        <v>212901001</v>
      </c>
      <c r="G632" s="2" t="s">
        <v>121</v>
      </c>
      <c r="L632" s="2" t="s">
        <v>1267</v>
      </c>
      <c r="M632" t="s">
        <v>67</v>
      </c>
      <c r="N632" t="s">
        <v>68</v>
      </c>
      <c r="P632" s="23">
        <v>53.88</v>
      </c>
      <c r="Q632" s="4">
        <f t="shared" si="9"/>
        <v>-1.1442093541202671</v>
      </c>
      <c r="R632" s="23" t="s">
        <v>1198</v>
      </c>
      <c r="U632">
        <v>1</v>
      </c>
      <c r="V632" t="e">
        <f>VLOOKUP(U632,[1]!NOMINA[#Data],4,FALSE)</f>
        <v>#REF!</v>
      </c>
      <c r="W632" t="e">
        <f>VLOOKUP(U632,[1]!NOMINA[#Data],5,FALSE)</f>
        <v>#REF!</v>
      </c>
    </row>
    <row r="633" spans="1:23" x14ac:dyDescent="0.25">
      <c r="A633" s="21">
        <v>45671</v>
      </c>
      <c r="B633" s="1" t="s">
        <v>1223</v>
      </c>
      <c r="C633" t="s">
        <v>1221</v>
      </c>
      <c r="D633" s="22">
        <v>-61.09</v>
      </c>
      <c r="E633" t="s">
        <v>35</v>
      </c>
      <c r="F633" s="2">
        <v>610148001</v>
      </c>
      <c r="G633" s="2" t="s">
        <v>42</v>
      </c>
      <c r="L633" s="2" t="s">
        <v>1268</v>
      </c>
      <c r="M633" t="s">
        <v>43</v>
      </c>
      <c r="N633" t="s">
        <v>42</v>
      </c>
      <c r="P633" s="23">
        <v>53.88</v>
      </c>
      <c r="Q633" s="4">
        <f t="shared" si="9"/>
        <v>-1.1338158871566444</v>
      </c>
      <c r="R633" s="23" t="s">
        <v>1198</v>
      </c>
      <c r="T633" s="35" t="s">
        <v>44</v>
      </c>
    </row>
    <row r="634" spans="1:23" x14ac:dyDescent="0.25">
      <c r="A634" s="21">
        <v>45671</v>
      </c>
      <c r="B634" s="1" t="s">
        <v>1220</v>
      </c>
      <c r="C634" t="s">
        <v>1221</v>
      </c>
      <c r="D634" s="22">
        <v>-0.15</v>
      </c>
      <c r="E634" t="s">
        <v>35</v>
      </c>
      <c r="F634" s="2">
        <v>610148001</v>
      </c>
      <c r="G634" s="2" t="s">
        <v>42</v>
      </c>
      <c r="L634" s="2" t="s">
        <v>1269</v>
      </c>
      <c r="M634" t="s">
        <v>43</v>
      </c>
      <c r="N634" t="s">
        <v>42</v>
      </c>
      <c r="P634" s="23">
        <v>53.88</v>
      </c>
      <c r="Q634" s="4">
        <f t="shared" si="9"/>
        <v>-2.7839643652561243E-3</v>
      </c>
      <c r="R634" s="23" t="s">
        <v>1198</v>
      </c>
      <c r="T634" s="35" t="s">
        <v>44</v>
      </c>
    </row>
    <row r="635" spans="1:23" x14ac:dyDescent="0.25">
      <c r="A635" s="21">
        <v>45671</v>
      </c>
      <c r="B635" s="1" t="s">
        <v>1227</v>
      </c>
      <c r="C635" t="s">
        <v>1221</v>
      </c>
      <c r="D635" s="22">
        <v>-53.71</v>
      </c>
      <c r="E635" t="s">
        <v>35</v>
      </c>
      <c r="F635" s="2">
        <v>610148001</v>
      </c>
      <c r="G635" s="2" t="s">
        <v>42</v>
      </c>
      <c r="L635" s="2" t="s">
        <v>1270</v>
      </c>
      <c r="M635" t="s">
        <v>43</v>
      </c>
      <c r="N635" t="s">
        <v>42</v>
      </c>
      <c r="P635" s="23">
        <v>53.88</v>
      </c>
      <c r="Q635" s="4">
        <f t="shared" si="9"/>
        <v>-0.99684484038604304</v>
      </c>
      <c r="R635" s="23" t="s">
        <v>1198</v>
      </c>
      <c r="T635" s="35" t="s">
        <v>44</v>
      </c>
    </row>
    <row r="636" spans="1:23" x14ac:dyDescent="0.25">
      <c r="A636" s="21">
        <v>45671</v>
      </c>
      <c r="B636" s="1" t="s">
        <v>1225</v>
      </c>
      <c r="C636" t="s">
        <v>1221</v>
      </c>
      <c r="D636" s="22">
        <v>-0.15</v>
      </c>
      <c r="E636" t="s">
        <v>35</v>
      </c>
      <c r="F636" s="2">
        <v>610148001</v>
      </c>
      <c r="G636" s="2" t="s">
        <v>42</v>
      </c>
      <c r="L636" s="2" t="s">
        <v>1271</v>
      </c>
      <c r="M636" t="s">
        <v>43</v>
      </c>
      <c r="N636" t="s">
        <v>42</v>
      </c>
      <c r="P636" s="23">
        <v>53.88</v>
      </c>
      <c r="Q636" s="4">
        <f t="shared" si="9"/>
        <v>-2.7839643652561243E-3</v>
      </c>
      <c r="R636" s="23" t="s">
        <v>1198</v>
      </c>
      <c r="T636" s="35" t="s">
        <v>44</v>
      </c>
    </row>
    <row r="637" spans="1:23" x14ac:dyDescent="0.25">
      <c r="A637" s="21">
        <v>45684</v>
      </c>
      <c r="B637" s="1" t="s">
        <v>1272</v>
      </c>
      <c r="C637" t="s">
        <v>544</v>
      </c>
      <c r="D637" s="22">
        <v>50000</v>
      </c>
      <c r="E637" t="s">
        <v>46</v>
      </c>
      <c r="F637" s="2">
        <v>210115002</v>
      </c>
      <c r="G637" s="2" t="s">
        <v>47</v>
      </c>
      <c r="L637" s="2" t="s">
        <v>1273</v>
      </c>
      <c r="N637" t="s">
        <v>544</v>
      </c>
      <c r="P637" s="23">
        <v>56.65</v>
      </c>
      <c r="Q637" s="4">
        <f t="shared" si="9"/>
        <v>882.61253309796996</v>
      </c>
      <c r="R637" s="23" t="s">
        <v>1198</v>
      </c>
    </row>
    <row r="638" spans="1:23" x14ac:dyDescent="0.25">
      <c r="A638" s="21">
        <v>45684</v>
      </c>
      <c r="B638" s="1" t="s">
        <v>1274</v>
      </c>
      <c r="C638" t="s">
        <v>1275</v>
      </c>
      <c r="D638" s="22">
        <v>-50735.74</v>
      </c>
      <c r="E638" t="s">
        <v>35</v>
      </c>
      <c r="F638" s="2">
        <v>110110001</v>
      </c>
      <c r="G638" s="2" t="s">
        <v>1276</v>
      </c>
      <c r="L638" s="2" t="s">
        <v>1277</v>
      </c>
      <c r="M638" t="s">
        <v>1278</v>
      </c>
      <c r="N638" t="s">
        <v>1279</v>
      </c>
      <c r="P638" s="23">
        <v>56.65</v>
      </c>
      <c r="Q638" s="4">
        <f t="shared" si="9"/>
        <v>-895.6</v>
      </c>
      <c r="R638" s="23" t="s">
        <v>1198</v>
      </c>
      <c r="S638" t="s">
        <v>1280</v>
      </c>
      <c r="T638" s="35" t="s">
        <v>1281</v>
      </c>
    </row>
    <row r="639" spans="1:23" x14ac:dyDescent="0.25">
      <c r="A639" s="21">
        <v>45684</v>
      </c>
      <c r="B639" s="1" t="s">
        <v>1282</v>
      </c>
      <c r="C639" t="s">
        <v>1221</v>
      </c>
      <c r="D639" s="22">
        <v>-126.83</v>
      </c>
      <c r="E639" t="s">
        <v>35</v>
      </c>
      <c r="F639" s="2">
        <v>610148001</v>
      </c>
      <c r="G639" s="2" t="s">
        <v>42</v>
      </c>
      <c r="L639" s="2" t="s">
        <v>1283</v>
      </c>
      <c r="M639" t="s">
        <v>43</v>
      </c>
      <c r="N639" t="s">
        <v>42</v>
      </c>
      <c r="P639" s="23">
        <v>56.65</v>
      </c>
      <c r="Q639" s="4">
        <f t="shared" si="9"/>
        <v>-2.2388349514563108</v>
      </c>
      <c r="R639" s="23" t="s">
        <v>1198</v>
      </c>
      <c r="T639" s="35" t="s">
        <v>44</v>
      </c>
    </row>
    <row r="640" spans="1:23" x14ac:dyDescent="0.25">
      <c r="A640" s="21">
        <v>45684</v>
      </c>
      <c r="B640" s="1" t="s">
        <v>1284</v>
      </c>
      <c r="C640" t="s">
        <v>544</v>
      </c>
      <c r="D640" s="22">
        <v>49000</v>
      </c>
      <c r="E640" t="s">
        <v>46</v>
      </c>
      <c r="F640" s="2">
        <v>210115002</v>
      </c>
      <c r="G640" s="2" t="s">
        <v>47</v>
      </c>
      <c r="L640" s="2" t="s">
        <v>1285</v>
      </c>
      <c r="N640" t="s">
        <v>544</v>
      </c>
      <c r="P640" s="23">
        <v>56.65</v>
      </c>
      <c r="Q640" s="4">
        <f t="shared" si="9"/>
        <v>864.96028243601063</v>
      </c>
      <c r="R640" s="23" t="s">
        <v>1198</v>
      </c>
    </row>
    <row r="641" spans="1:20" x14ac:dyDescent="0.25">
      <c r="A641" s="21">
        <v>45684</v>
      </c>
      <c r="B641" s="1" t="s">
        <v>1286</v>
      </c>
      <c r="C641" t="s">
        <v>1287</v>
      </c>
      <c r="D641" s="22">
        <v>-45070.74</v>
      </c>
      <c r="E641" t="s">
        <v>35</v>
      </c>
      <c r="F641" s="2">
        <v>110110001</v>
      </c>
      <c r="G641" s="2" t="s">
        <v>1276</v>
      </c>
      <c r="L641" s="2" t="s">
        <v>1288</v>
      </c>
      <c r="M641" t="s">
        <v>1278</v>
      </c>
      <c r="N641" t="s">
        <v>1279</v>
      </c>
      <c r="P641" s="23">
        <v>56.65</v>
      </c>
      <c r="Q641" s="4">
        <f t="shared" si="9"/>
        <v>-795.6</v>
      </c>
      <c r="R641" s="23" t="s">
        <v>1198</v>
      </c>
      <c r="S641" t="s">
        <v>1289</v>
      </c>
      <c r="T641" s="35" t="s">
        <v>1281</v>
      </c>
    </row>
    <row r="642" spans="1:20" x14ac:dyDescent="0.25">
      <c r="A642" s="21">
        <v>45684</v>
      </c>
      <c r="B642" s="1" t="s">
        <v>1290</v>
      </c>
      <c r="C642" t="s">
        <v>1221</v>
      </c>
      <c r="D642" s="22">
        <v>-112.67</v>
      </c>
      <c r="E642" t="s">
        <v>35</v>
      </c>
      <c r="F642" s="2">
        <v>610148001</v>
      </c>
      <c r="G642" s="2" t="s">
        <v>42</v>
      </c>
      <c r="L642" s="2" t="s">
        <v>1291</v>
      </c>
      <c r="M642" t="s">
        <v>43</v>
      </c>
      <c r="N642" t="s">
        <v>42</v>
      </c>
      <c r="P642" s="23">
        <v>56.65</v>
      </c>
      <c r="Q642" s="4">
        <f t="shared" si="9"/>
        <v>-1.9888790820829656</v>
      </c>
      <c r="R642" s="23" t="s">
        <v>1198</v>
      </c>
      <c r="T642" s="35" t="s">
        <v>44</v>
      </c>
    </row>
    <row r="643" spans="1:20" ht="15.75" x14ac:dyDescent="0.25">
      <c r="A643" s="21">
        <v>45686</v>
      </c>
      <c r="B643" s="1" t="s">
        <v>1211</v>
      </c>
      <c r="C643" t="s">
        <v>1292</v>
      </c>
      <c r="D643" s="22">
        <v>-1483.5</v>
      </c>
      <c r="E643" t="s">
        <v>35</v>
      </c>
      <c r="F643" s="2">
        <v>110114001</v>
      </c>
      <c r="G643" s="2" t="s">
        <v>301</v>
      </c>
      <c r="L643" s="2" t="s">
        <v>1293</v>
      </c>
      <c r="M643" t="s">
        <v>1239</v>
      </c>
      <c r="N643" t="s">
        <v>1240</v>
      </c>
      <c r="P643" s="23">
        <v>57.3</v>
      </c>
      <c r="Q643" s="4">
        <f t="shared" si="9"/>
        <v>-25.890052356020945</v>
      </c>
      <c r="R643" s="23" t="s">
        <v>1198</v>
      </c>
      <c r="S643" s="36" t="s">
        <v>1294</v>
      </c>
    </row>
    <row r="644" spans="1:20" ht="15.75" x14ac:dyDescent="0.25">
      <c r="A644" s="21">
        <v>45686</v>
      </c>
      <c r="B644" s="1" t="s">
        <v>1208</v>
      </c>
      <c r="C644" t="s">
        <v>1295</v>
      </c>
      <c r="D644" s="22">
        <v>-498.8</v>
      </c>
      <c r="E644" t="s">
        <v>35</v>
      </c>
      <c r="F644" s="2">
        <v>110114001</v>
      </c>
      <c r="G644" s="2" t="s">
        <v>301</v>
      </c>
      <c r="L644" s="2" t="s">
        <v>1296</v>
      </c>
      <c r="M644" t="s">
        <v>1239</v>
      </c>
      <c r="N644" t="s">
        <v>1240</v>
      </c>
      <c r="P644" s="23">
        <v>57.3</v>
      </c>
      <c r="Q644" s="4">
        <f t="shared" si="9"/>
        <v>-8.7050610820244341</v>
      </c>
      <c r="R644" s="23" t="s">
        <v>1198</v>
      </c>
      <c r="S644" s="36" t="s">
        <v>1294</v>
      </c>
    </row>
    <row r="645" spans="1:20" x14ac:dyDescent="0.25">
      <c r="A645" s="21">
        <v>45686</v>
      </c>
      <c r="B645" s="1" t="s">
        <v>1227</v>
      </c>
      <c r="C645" t="s">
        <v>1221</v>
      </c>
      <c r="D645" s="22">
        <v>-3.7</v>
      </c>
      <c r="E645" t="s">
        <v>35</v>
      </c>
      <c r="F645" s="2">
        <v>610148001</v>
      </c>
      <c r="G645" s="2" t="s">
        <v>42</v>
      </c>
      <c r="L645" s="2" t="s">
        <v>1297</v>
      </c>
      <c r="M645" t="s">
        <v>43</v>
      </c>
      <c r="N645" t="s">
        <v>42</v>
      </c>
      <c r="P645" s="23">
        <v>57.3</v>
      </c>
      <c r="Q645" s="4">
        <f t="shared" si="9"/>
        <v>-6.457242582897034E-2</v>
      </c>
      <c r="R645" s="23" t="s">
        <v>1198</v>
      </c>
      <c r="T645" s="35" t="s">
        <v>44</v>
      </c>
    </row>
    <row r="646" spans="1:20" x14ac:dyDescent="0.25">
      <c r="A646" s="21">
        <v>45686</v>
      </c>
      <c r="B646" s="1" t="s">
        <v>1223</v>
      </c>
      <c r="C646" t="s">
        <v>1221</v>
      </c>
      <c r="D646" s="22">
        <v>-1.24</v>
      </c>
      <c r="E646" t="s">
        <v>35</v>
      </c>
      <c r="F646" s="2">
        <v>610148001</v>
      </c>
      <c r="G646" s="2" t="s">
        <v>42</v>
      </c>
      <c r="L646" s="2" t="s">
        <v>1298</v>
      </c>
      <c r="M646" t="s">
        <v>43</v>
      </c>
      <c r="N646" t="s">
        <v>42</v>
      </c>
      <c r="P646" s="23">
        <v>57.3</v>
      </c>
      <c r="Q646" s="4">
        <f t="shared" si="9"/>
        <v>-2.1640488656195462E-2</v>
      </c>
      <c r="R646" s="23" t="s">
        <v>1198</v>
      </c>
      <c r="T646" s="35" t="s">
        <v>44</v>
      </c>
    </row>
    <row r="647" spans="1:20" x14ac:dyDescent="0.25">
      <c r="A647" s="21">
        <v>45686</v>
      </c>
      <c r="B647" s="1" t="s">
        <v>1299</v>
      </c>
      <c r="C647" t="s">
        <v>544</v>
      </c>
      <c r="D647" s="22">
        <v>22000</v>
      </c>
      <c r="E647" t="s">
        <v>46</v>
      </c>
      <c r="F647" s="2">
        <v>210115002</v>
      </c>
      <c r="G647" s="2" t="s">
        <v>47</v>
      </c>
      <c r="L647" s="2" t="s">
        <v>1300</v>
      </c>
      <c r="N647" t="s">
        <v>544</v>
      </c>
      <c r="P647" s="23">
        <v>57.3</v>
      </c>
      <c r="Q647" s="4">
        <f t="shared" si="9"/>
        <v>383.94415357766144</v>
      </c>
      <c r="R647" s="23" t="s">
        <v>1198</v>
      </c>
    </row>
    <row r="648" spans="1:20" x14ac:dyDescent="0.25">
      <c r="A648" s="21">
        <v>45686</v>
      </c>
      <c r="B648" s="1" t="s">
        <v>1301</v>
      </c>
      <c r="C648" t="s">
        <v>1302</v>
      </c>
      <c r="D648" s="22">
        <v>-20456.099999999999</v>
      </c>
      <c r="E648" t="s">
        <v>35</v>
      </c>
      <c r="F648" s="2">
        <v>110110001</v>
      </c>
      <c r="G648" s="2" t="s">
        <v>1276</v>
      </c>
      <c r="L648" s="2" t="s">
        <v>1303</v>
      </c>
      <c r="M648" t="s">
        <v>1278</v>
      </c>
      <c r="N648" t="s">
        <v>1279</v>
      </c>
      <c r="P648" s="23">
        <v>57.3</v>
      </c>
      <c r="Q648" s="4">
        <f t="shared" si="9"/>
        <v>-357</v>
      </c>
      <c r="R648" s="23" t="s">
        <v>1198</v>
      </c>
      <c r="S648" t="s">
        <v>1289</v>
      </c>
      <c r="T648" s="35" t="s">
        <v>1304</v>
      </c>
    </row>
    <row r="649" spans="1:20" x14ac:dyDescent="0.25">
      <c r="A649" s="21">
        <v>45686</v>
      </c>
      <c r="B649" s="1" t="s">
        <v>1301</v>
      </c>
      <c r="C649" t="s">
        <v>1305</v>
      </c>
      <c r="D649" s="22">
        <v>-61.36</v>
      </c>
      <c r="E649" t="s">
        <v>35</v>
      </c>
      <c r="F649" s="2">
        <v>610148001</v>
      </c>
      <c r="G649" s="2" t="s">
        <v>42</v>
      </c>
      <c r="L649" s="2" t="s">
        <v>1306</v>
      </c>
      <c r="M649" t="s">
        <v>43</v>
      </c>
      <c r="N649" t="s">
        <v>42</v>
      </c>
      <c r="P649" s="23">
        <v>57.3</v>
      </c>
      <c r="Q649" s="4">
        <f t="shared" si="9"/>
        <v>-1.0708551483420594</v>
      </c>
      <c r="R649" s="23" t="s">
        <v>1198</v>
      </c>
      <c r="T649" s="35" t="s">
        <v>44</v>
      </c>
    </row>
    <row r="650" spans="1:20" x14ac:dyDescent="0.25">
      <c r="A650" s="21">
        <v>45687</v>
      </c>
      <c r="B650" s="1" t="s">
        <v>1307</v>
      </c>
      <c r="C650" t="s">
        <v>1308</v>
      </c>
      <c r="D650" s="22">
        <v>-5325.79</v>
      </c>
      <c r="E650" t="s">
        <v>35</v>
      </c>
      <c r="F650" s="2">
        <v>110110001</v>
      </c>
      <c r="G650" s="2" t="s">
        <v>1276</v>
      </c>
      <c r="L650" s="2" t="s">
        <v>1309</v>
      </c>
      <c r="M650" t="s">
        <v>1278</v>
      </c>
      <c r="N650" t="s">
        <v>1279</v>
      </c>
      <c r="P650" s="23">
        <v>57.39</v>
      </c>
      <c r="Q650" s="4">
        <f t="shared" si="9"/>
        <v>-92.799965150723125</v>
      </c>
      <c r="R650" s="23" t="s">
        <v>1198</v>
      </c>
      <c r="S650" t="s">
        <v>1280</v>
      </c>
      <c r="T650" s="35" t="s">
        <v>1304</v>
      </c>
    </row>
    <row r="651" spans="1:20" x14ac:dyDescent="0.25">
      <c r="A651" s="21">
        <v>45687</v>
      </c>
      <c r="B651" s="1" t="s">
        <v>1307</v>
      </c>
      <c r="C651" t="s">
        <v>1305</v>
      </c>
      <c r="D651" s="22">
        <v>-15.97</v>
      </c>
      <c r="E651" t="s">
        <v>35</v>
      </c>
      <c r="F651" s="2">
        <v>610148001</v>
      </c>
      <c r="G651" s="2" t="s">
        <v>42</v>
      </c>
      <c r="L651" s="2" t="s">
        <v>1310</v>
      </c>
      <c r="M651" t="s">
        <v>43</v>
      </c>
      <c r="N651" t="s">
        <v>42</v>
      </c>
      <c r="P651" s="23">
        <v>57.39</v>
      </c>
      <c r="Q651" s="4">
        <f t="shared" ref="Q651:Q714" si="10">D651/P651</f>
        <v>-0.27827147586687578</v>
      </c>
      <c r="R651" s="23" t="s">
        <v>1198</v>
      </c>
      <c r="T651" s="35" t="s">
        <v>44</v>
      </c>
    </row>
    <row r="652" spans="1:20" x14ac:dyDescent="0.25">
      <c r="A652" s="37">
        <v>45716</v>
      </c>
      <c r="B652" s="1">
        <v>71600000000</v>
      </c>
      <c r="C652" t="s">
        <v>1311</v>
      </c>
      <c r="D652" s="22">
        <v>-0.5</v>
      </c>
      <c r="E652" t="s">
        <v>35</v>
      </c>
      <c r="F652" s="2">
        <v>610148001</v>
      </c>
      <c r="G652" s="2" t="s">
        <v>42</v>
      </c>
      <c r="L652" s="2" t="s">
        <v>1312</v>
      </c>
      <c r="M652" t="s">
        <v>43</v>
      </c>
      <c r="N652" t="s">
        <v>42</v>
      </c>
      <c r="P652" s="23">
        <v>64.25</v>
      </c>
      <c r="Q652" s="4">
        <f t="shared" si="10"/>
        <v>-7.7821011673151752E-3</v>
      </c>
      <c r="R652" s="23" t="s">
        <v>40</v>
      </c>
      <c r="T652" s="23" t="s">
        <v>1313</v>
      </c>
    </row>
    <row r="653" spans="1:20" x14ac:dyDescent="0.25">
      <c r="A653" s="37">
        <v>45716</v>
      </c>
      <c r="B653" s="1">
        <v>91577700000</v>
      </c>
      <c r="C653" t="s">
        <v>1314</v>
      </c>
      <c r="D653" s="22">
        <v>-0.5</v>
      </c>
      <c r="E653" t="s">
        <v>35</v>
      </c>
      <c r="F653" s="2">
        <v>610148001</v>
      </c>
      <c r="G653" s="2" t="s">
        <v>42</v>
      </c>
      <c r="L653" s="2" t="s">
        <v>1315</v>
      </c>
      <c r="M653" t="s">
        <v>43</v>
      </c>
      <c r="N653" t="s">
        <v>42</v>
      </c>
      <c r="P653" s="23">
        <v>64.25</v>
      </c>
      <c r="Q653" s="4">
        <f t="shared" si="10"/>
        <v>-7.7821011673151752E-3</v>
      </c>
      <c r="R653" s="23" t="s">
        <v>40</v>
      </c>
      <c r="T653" s="23" t="s">
        <v>1313</v>
      </c>
    </row>
    <row r="654" spans="1:20" x14ac:dyDescent="0.25">
      <c r="A654" s="37">
        <v>45713</v>
      </c>
      <c r="B654" s="1">
        <v>47900081000</v>
      </c>
      <c r="C654" t="s">
        <v>1316</v>
      </c>
      <c r="D654" s="22">
        <v>-157412</v>
      </c>
      <c r="E654" t="s">
        <v>35</v>
      </c>
      <c r="F654" s="2">
        <v>110114001</v>
      </c>
      <c r="G654" s="2" t="s">
        <v>301</v>
      </c>
      <c r="L654" s="2" t="s">
        <v>1317</v>
      </c>
      <c r="M654" t="s">
        <v>1318</v>
      </c>
      <c r="N654" t="s">
        <v>1319</v>
      </c>
      <c r="P654" s="23">
        <v>63.49</v>
      </c>
      <c r="Q654" s="4">
        <f t="shared" si="10"/>
        <v>-2479.3195778862814</v>
      </c>
      <c r="R654" s="23" t="s">
        <v>40</v>
      </c>
      <c r="S654" s="33" t="s">
        <v>1320</v>
      </c>
    </row>
    <row r="655" spans="1:20" x14ac:dyDescent="0.25">
      <c r="A655" s="37">
        <v>45713</v>
      </c>
      <c r="B655" s="1">
        <v>43700081000</v>
      </c>
      <c r="C655" t="s">
        <v>1321</v>
      </c>
      <c r="D655" s="22">
        <v>-0.67</v>
      </c>
      <c r="E655" t="s">
        <v>35</v>
      </c>
      <c r="F655" s="2">
        <v>610148001</v>
      </c>
      <c r="G655" s="2" t="s">
        <v>42</v>
      </c>
      <c r="L655" s="2" t="s">
        <v>1322</v>
      </c>
      <c r="M655" s="2" t="s">
        <v>43</v>
      </c>
      <c r="N655" t="s">
        <v>42</v>
      </c>
      <c r="P655" s="23">
        <v>63.49</v>
      </c>
      <c r="Q655" s="4">
        <f t="shared" si="10"/>
        <v>-1.0552842967396441E-2</v>
      </c>
      <c r="R655" s="23" t="s">
        <v>40</v>
      </c>
      <c r="T655" s="23" t="s">
        <v>1313</v>
      </c>
    </row>
    <row r="656" spans="1:20" x14ac:dyDescent="0.25">
      <c r="A656" s="37">
        <v>45713</v>
      </c>
      <c r="B656" s="1">
        <v>47900061342</v>
      </c>
      <c r="C656" t="s">
        <v>1323</v>
      </c>
      <c r="D656" s="22">
        <v>-105462.5</v>
      </c>
      <c r="E656" t="s">
        <v>35</v>
      </c>
      <c r="F656" s="2">
        <v>110114001</v>
      </c>
      <c r="G656" s="2" t="s">
        <v>301</v>
      </c>
      <c r="L656" s="2" t="s">
        <v>1324</v>
      </c>
      <c r="M656" t="s">
        <v>1325</v>
      </c>
      <c r="N656" t="s">
        <v>1326</v>
      </c>
      <c r="P656" s="23">
        <v>63.49</v>
      </c>
      <c r="Q656" s="4">
        <f t="shared" si="10"/>
        <v>-1661.088360371712</v>
      </c>
      <c r="R656" s="23" t="s">
        <v>40</v>
      </c>
      <c r="S656" s="33" t="s">
        <v>1320</v>
      </c>
    </row>
    <row r="657" spans="1:20" x14ac:dyDescent="0.25">
      <c r="A657" s="37">
        <v>45713</v>
      </c>
      <c r="B657" s="1">
        <v>43700061342</v>
      </c>
      <c r="C657" t="s">
        <v>1321</v>
      </c>
      <c r="D657" s="22">
        <v>-0.67</v>
      </c>
      <c r="E657" t="s">
        <v>35</v>
      </c>
      <c r="F657" s="2">
        <v>610148001</v>
      </c>
      <c r="G657" s="2" t="s">
        <v>42</v>
      </c>
      <c r="L657" s="2" t="s">
        <v>1327</v>
      </c>
      <c r="M657" s="2" t="s">
        <v>43</v>
      </c>
      <c r="N657" t="s">
        <v>42</v>
      </c>
      <c r="P657" s="23">
        <v>63.49</v>
      </c>
      <c r="Q657" s="4">
        <f t="shared" si="10"/>
        <v>-1.0552842967396441E-2</v>
      </c>
      <c r="R657" s="23" t="s">
        <v>40</v>
      </c>
      <c r="T657" s="23" t="s">
        <v>1313</v>
      </c>
    </row>
    <row r="658" spans="1:20" x14ac:dyDescent="0.25">
      <c r="A658" s="37">
        <v>45713</v>
      </c>
      <c r="B658" s="1">
        <v>47900059856</v>
      </c>
      <c r="C658" t="s">
        <v>1328</v>
      </c>
      <c r="D658" s="22">
        <v>-53940</v>
      </c>
      <c r="E658" t="s">
        <v>35</v>
      </c>
      <c r="F658" s="2">
        <v>110114001</v>
      </c>
      <c r="G658" s="2" t="s">
        <v>301</v>
      </c>
      <c r="L658" s="2" t="s">
        <v>1329</v>
      </c>
      <c r="M658" t="s">
        <v>1325</v>
      </c>
      <c r="N658" t="s">
        <v>1326</v>
      </c>
      <c r="P658" s="23">
        <v>63.49</v>
      </c>
      <c r="Q658" s="4">
        <f t="shared" si="10"/>
        <v>-849.58261143487164</v>
      </c>
      <c r="R658" s="23" t="s">
        <v>40</v>
      </c>
      <c r="S658" s="33" t="s">
        <v>1320</v>
      </c>
    </row>
    <row r="659" spans="1:20" x14ac:dyDescent="0.25">
      <c r="A659" s="37">
        <v>45713</v>
      </c>
      <c r="B659" s="1">
        <v>43700059856</v>
      </c>
      <c r="C659" t="s">
        <v>1321</v>
      </c>
      <c r="D659" s="22">
        <v>-0.67</v>
      </c>
      <c r="E659" t="s">
        <v>35</v>
      </c>
      <c r="F659" s="2">
        <v>610148001</v>
      </c>
      <c r="G659" s="2" t="s">
        <v>42</v>
      </c>
      <c r="L659" s="2" t="s">
        <v>1330</v>
      </c>
      <c r="M659" s="2" t="s">
        <v>43</v>
      </c>
      <c r="N659" t="s">
        <v>42</v>
      </c>
      <c r="P659" s="23">
        <v>63.49</v>
      </c>
      <c r="Q659" s="4">
        <f t="shared" si="10"/>
        <v>-1.0552842967396441E-2</v>
      </c>
      <c r="R659" s="23" t="s">
        <v>40</v>
      </c>
      <c r="T659" s="23" t="s">
        <v>1313</v>
      </c>
    </row>
    <row r="660" spans="1:20" x14ac:dyDescent="0.25">
      <c r="A660" s="37">
        <v>45713</v>
      </c>
      <c r="B660" s="1">
        <v>47900058400</v>
      </c>
      <c r="C660" t="s">
        <v>1331</v>
      </c>
      <c r="D660" s="22">
        <v>-1029778.4</v>
      </c>
      <c r="E660" t="s">
        <v>35</v>
      </c>
      <c r="F660" s="2">
        <v>110114001</v>
      </c>
      <c r="G660" s="2" t="s">
        <v>301</v>
      </c>
      <c r="L660" s="2" t="s">
        <v>1332</v>
      </c>
      <c r="M660" t="s">
        <v>38</v>
      </c>
      <c r="N660" t="s">
        <v>39</v>
      </c>
      <c r="P660" s="23">
        <v>63.49</v>
      </c>
      <c r="Q660" s="4">
        <f t="shared" si="10"/>
        <v>-16219.536934950385</v>
      </c>
      <c r="R660" s="23" t="s">
        <v>40</v>
      </c>
      <c r="S660" s="33" t="s">
        <v>1320</v>
      </c>
    </row>
    <row r="661" spans="1:20" x14ac:dyDescent="0.25">
      <c r="A661" s="37">
        <v>45713</v>
      </c>
      <c r="B661" s="1">
        <v>43700058400</v>
      </c>
      <c r="C661" t="s">
        <v>1321</v>
      </c>
      <c r="D661" s="22">
        <v>-0.67</v>
      </c>
      <c r="E661" t="s">
        <v>35</v>
      </c>
      <c r="F661" s="2">
        <v>610148001</v>
      </c>
      <c r="G661" s="2" t="s">
        <v>42</v>
      </c>
      <c r="L661" s="2" t="s">
        <v>1333</v>
      </c>
      <c r="M661" s="2" t="s">
        <v>43</v>
      </c>
      <c r="N661" t="s">
        <v>42</v>
      </c>
      <c r="P661" s="23">
        <v>63.49</v>
      </c>
      <c r="Q661" s="4">
        <f t="shared" si="10"/>
        <v>-1.0552842967396441E-2</v>
      </c>
      <c r="R661" s="23" t="s">
        <v>40</v>
      </c>
      <c r="T661" s="23" t="s">
        <v>1313</v>
      </c>
    </row>
    <row r="662" spans="1:20" x14ac:dyDescent="0.25">
      <c r="A662" s="37">
        <v>45713</v>
      </c>
      <c r="B662" s="1">
        <v>20418958938</v>
      </c>
      <c r="C662" t="s">
        <v>107</v>
      </c>
      <c r="D662" s="22">
        <v>147000</v>
      </c>
      <c r="E662" t="s">
        <v>46</v>
      </c>
      <c r="F662" s="2">
        <v>210115002</v>
      </c>
      <c r="G662" s="2" t="s">
        <v>47</v>
      </c>
      <c r="L662" s="2" t="s">
        <v>1334</v>
      </c>
      <c r="N662" t="s">
        <v>107</v>
      </c>
      <c r="P662" s="23">
        <v>63.49</v>
      </c>
      <c r="Q662" s="4">
        <f t="shared" si="10"/>
        <v>2315.3252480705623</v>
      </c>
      <c r="R662" s="23" t="s">
        <v>40</v>
      </c>
    </row>
    <row r="663" spans="1:20" x14ac:dyDescent="0.25">
      <c r="A663" s="37">
        <v>45713</v>
      </c>
      <c r="B663" s="1">
        <v>20418958877</v>
      </c>
      <c r="C663" t="s">
        <v>107</v>
      </c>
      <c r="D663" s="22">
        <v>200000</v>
      </c>
      <c r="E663" t="s">
        <v>46</v>
      </c>
      <c r="F663" s="2">
        <v>210115002</v>
      </c>
      <c r="G663" s="2" t="s">
        <v>47</v>
      </c>
      <c r="L663" s="2" t="s">
        <v>1335</v>
      </c>
      <c r="N663" t="s">
        <v>107</v>
      </c>
      <c r="P663" s="23">
        <v>63.49</v>
      </c>
      <c r="Q663" s="4">
        <f t="shared" si="10"/>
        <v>3150.1023783272954</v>
      </c>
      <c r="R663" s="23" t="s">
        <v>40</v>
      </c>
    </row>
    <row r="664" spans="1:20" x14ac:dyDescent="0.25">
      <c r="A664" s="37">
        <v>45713</v>
      </c>
      <c r="B664" s="1">
        <v>20418958841</v>
      </c>
      <c r="C664" t="s">
        <v>107</v>
      </c>
      <c r="D664" s="22">
        <v>200000</v>
      </c>
      <c r="E664" t="s">
        <v>46</v>
      </c>
      <c r="F664" s="2">
        <v>210115002</v>
      </c>
      <c r="G664" s="2" t="s">
        <v>47</v>
      </c>
      <c r="L664" s="2" t="s">
        <v>1336</v>
      </c>
      <c r="N664" t="s">
        <v>107</v>
      </c>
      <c r="P664" s="23">
        <v>63.49</v>
      </c>
      <c r="Q664" s="4">
        <f t="shared" si="10"/>
        <v>3150.1023783272954</v>
      </c>
      <c r="R664" s="23" t="s">
        <v>40</v>
      </c>
    </row>
    <row r="665" spans="1:20" x14ac:dyDescent="0.25">
      <c r="A665" s="37">
        <v>45713</v>
      </c>
      <c r="B665" s="1">
        <v>47900082584</v>
      </c>
      <c r="C665" t="s">
        <v>1337</v>
      </c>
      <c r="D665" s="22">
        <v>800000</v>
      </c>
      <c r="E665" t="s">
        <v>46</v>
      </c>
      <c r="F665" s="2">
        <v>210115002</v>
      </c>
      <c r="G665" s="2" t="s">
        <v>47</v>
      </c>
      <c r="L665" s="2" t="s">
        <v>1338</v>
      </c>
      <c r="N665" t="s">
        <v>1337</v>
      </c>
      <c r="P665" s="23">
        <v>63.49</v>
      </c>
      <c r="Q665" s="4">
        <f t="shared" si="10"/>
        <v>12600.409513309181</v>
      </c>
      <c r="R665" s="23" t="s">
        <v>40</v>
      </c>
    </row>
    <row r="666" spans="1:20" x14ac:dyDescent="0.25">
      <c r="A666" s="37">
        <v>45695</v>
      </c>
      <c r="B666" s="1">
        <v>62</v>
      </c>
      <c r="C666" t="s">
        <v>51</v>
      </c>
      <c r="D666" s="22">
        <v>-21.65</v>
      </c>
      <c r="E666" t="s">
        <v>35</v>
      </c>
      <c r="F666" s="2">
        <v>610148001</v>
      </c>
      <c r="G666" s="2" t="s">
        <v>42</v>
      </c>
      <c r="L666" s="2" t="s">
        <v>1339</v>
      </c>
      <c r="M666" t="s">
        <v>43</v>
      </c>
      <c r="N666" t="s">
        <v>42</v>
      </c>
      <c r="P666" s="23">
        <v>60.14</v>
      </c>
      <c r="Q666" s="4">
        <f t="shared" si="10"/>
        <v>-0.35999334885267709</v>
      </c>
      <c r="R666" s="23" t="s">
        <v>53</v>
      </c>
      <c r="T666" s="38" t="s">
        <v>1313</v>
      </c>
    </row>
    <row r="667" spans="1:20" x14ac:dyDescent="0.25">
      <c r="A667" s="39">
        <v>45695</v>
      </c>
      <c r="B667" s="26">
        <v>61</v>
      </c>
      <c r="C667" s="27" t="s">
        <v>54</v>
      </c>
      <c r="D667" s="28">
        <v>-7216.8</v>
      </c>
      <c r="E667" s="27" t="s">
        <v>35</v>
      </c>
      <c r="F667" s="29">
        <v>610129001</v>
      </c>
      <c r="G667" s="29" t="s">
        <v>55</v>
      </c>
      <c r="H667" s="107"/>
      <c r="I667" s="101"/>
      <c r="J667" s="101"/>
      <c r="K667" s="29"/>
      <c r="L667" s="2" t="s">
        <v>1340</v>
      </c>
      <c r="M667" s="27" t="s">
        <v>57</v>
      </c>
      <c r="N667" s="27" t="s">
        <v>58</v>
      </c>
      <c r="O667" s="27" t="s">
        <v>59</v>
      </c>
      <c r="P667" s="31">
        <v>60.14</v>
      </c>
      <c r="Q667" s="4">
        <f t="shared" si="10"/>
        <v>-120</v>
      </c>
      <c r="R667" s="23" t="s">
        <v>53</v>
      </c>
      <c r="T667" s="38" t="s">
        <v>1341</v>
      </c>
    </row>
    <row r="668" spans="1:20" x14ac:dyDescent="0.25">
      <c r="A668" s="37">
        <v>45701</v>
      </c>
      <c r="B668" s="1">
        <v>63</v>
      </c>
      <c r="C668" t="s">
        <v>744</v>
      </c>
      <c r="D668" s="22">
        <v>16000</v>
      </c>
      <c r="E668" t="s">
        <v>46</v>
      </c>
      <c r="F668" s="2">
        <v>210115002</v>
      </c>
      <c r="G668" s="2" t="s">
        <v>47</v>
      </c>
      <c r="L668" s="2" t="s">
        <v>1342</v>
      </c>
      <c r="N668" t="s">
        <v>744</v>
      </c>
      <c r="P668" s="23">
        <v>61.35</v>
      </c>
      <c r="Q668" s="4">
        <f t="shared" si="10"/>
        <v>260.79869600651995</v>
      </c>
      <c r="R668" s="23" t="s">
        <v>53</v>
      </c>
      <c r="T668" s="40"/>
    </row>
    <row r="669" spans="1:20" x14ac:dyDescent="0.25">
      <c r="A669" s="37">
        <v>45701</v>
      </c>
      <c r="B669" s="1">
        <v>64</v>
      </c>
      <c r="C669" t="s">
        <v>1343</v>
      </c>
      <c r="D669" s="22">
        <v>-15257.5</v>
      </c>
      <c r="E669" t="s">
        <v>35</v>
      </c>
      <c r="F669" s="2">
        <v>840101001</v>
      </c>
      <c r="G669" s="2" t="s">
        <v>65</v>
      </c>
      <c r="L669" s="2" t="s">
        <v>1344</v>
      </c>
      <c r="M669" t="s">
        <v>67</v>
      </c>
      <c r="N669" t="s">
        <v>68</v>
      </c>
      <c r="P669" s="23">
        <v>61.35</v>
      </c>
      <c r="Q669" s="4">
        <f t="shared" si="10"/>
        <v>-248.6960065199674</v>
      </c>
      <c r="R669" s="23" t="s">
        <v>53</v>
      </c>
      <c r="T669" s="40"/>
    </row>
    <row r="670" spans="1:20" x14ac:dyDescent="0.25">
      <c r="A670" s="37">
        <v>45701</v>
      </c>
      <c r="B670" s="1">
        <v>65</v>
      </c>
      <c r="C670" t="s">
        <v>51</v>
      </c>
      <c r="D670" s="22">
        <v>-45.77</v>
      </c>
      <c r="E670" t="s">
        <v>35</v>
      </c>
      <c r="F670" s="2">
        <v>610148001</v>
      </c>
      <c r="G670" s="2" t="s">
        <v>42</v>
      </c>
      <c r="L670" s="2" t="s">
        <v>1345</v>
      </c>
      <c r="M670" t="s">
        <v>43</v>
      </c>
      <c r="N670" t="s">
        <v>42</v>
      </c>
      <c r="P670" s="23">
        <v>61.35</v>
      </c>
      <c r="Q670" s="4">
        <f t="shared" si="10"/>
        <v>-0.74604726976365121</v>
      </c>
      <c r="R670" s="23" t="s">
        <v>53</v>
      </c>
      <c r="T670" s="38" t="s">
        <v>1313</v>
      </c>
    </row>
    <row r="671" spans="1:20" x14ac:dyDescent="0.25">
      <c r="A671" s="37">
        <v>45702</v>
      </c>
      <c r="B671" s="1">
        <v>68</v>
      </c>
      <c r="C671" t="s">
        <v>51</v>
      </c>
      <c r="D671" s="22">
        <v>-22.25</v>
      </c>
      <c r="E671" t="s">
        <v>35</v>
      </c>
      <c r="F671" s="2">
        <v>610148001</v>
      </c>
      <c r="G671" s="2" t="s">
        <v>42</v>
      </c>
      <c r="L671" s="2" t="s">
        <v>1346</v>
      </c>
      <c r="M671" t="s">
        <v>43</v>
      </c>
      <c r="N671" t="s">
        <v>42</v>
      </c>
      <c r="P671" s="23">
        <v>61.82</v>
      </c>
      <c r="Q671" s="4">
        <f t="shared" si="10"/>
        <v>-0.35991588482691683</v>
      </c>
      <c r="R671" s="23" t="s">
        <v>53</v>
      </c>
      <c r="T671" s="38" t="s">
        <v>1313</v>
      </c>
    </row>
    <row r="672" spans="1:20" x14ac:dyDescent="0.25">
      <c r="A672" s="39">
        <v>45702</v>
      </c>
      <c r="B672" s="26">
        <v>67</v>
      </c>
      <c r="C672" s="27" t="s">
        <v>54</v>
      </c>
      <c r="D672" s="28">
        <v>-7418.4</v>
      </c>
      <c r="E672" s="27" t="s">
        <v>35</v>
      </c>
      <c r="F672" s="29">
        <v>610129001</v>
      </c>
      <c r="G672" s="29" t="s">
        <v>55</v>
      </c>
      <c r="H672" s="107"/>
      <c r="I672" s="101"/>
      <c r="J672" s="101"/>
      <c r="K672" s="29"/>
      <c r="L672" s="2" t="s">
        <v>1347</v>
      </c>
      <c r="M672" s="27" t="s">
        <v>57</v>
      </c>
      <c r="N672" s="27" t="s">
        <v>58</v>
      </c>
      <c r="O672" s="27" t="s">
        <v>59</v>
      </c>
      <c r="P672" s="31">
        <v>61.82</v>
      </c>
      <c r="Q672" s="4">
        <f t="shared" si="10"/>
        <v>-120</v>
      </c>
      <c r="R672" s="23" t="s">
        <v>53</v>
      </c>
      <c r="T672" s="41" t="s">
        <v>1348</v>
      </c>
    </row>
    <row r="673" spans="1:20" x14ac:dyDescent="0.25">
      <c r="A673" s="37">
        <v>45702</v>
      </c>
      <c r="B673" s="1">
        <v>66</v>
      </c>
      <c r="C673" t="s">
        <v>107</v>
      </c>
      <c r="D673" s="22">
        <v>10000</v>
      </c>
      <c r="E673" t="s">
        <v>46</v>
      </c>
      <c r="F673" s="2">
        <v>210115002</v>
      </c>
      <c r="G673" s="2" t="s">
        <v>47</v>
      </c>
      <c r="L673" s="2" t="s">
        <v>1349</v>
      </c>
      <c r="N673" t="s">
        <v>107</v>
      </c>
      <c r="P673" s="23">
        <v>61.82</v>
      </c>
      <c r="Q673" s="4">
        <f t="shared" si="10"/>
        <v>161.75994823681657</v>
      </c>
      <c r="R673" s="23" t="s">
        <v>53</v>
      </c>
      <c r="T673" s="2"/>
    </row>
    <row r="674" spans="1:20" x14ac:dyDescent="0.25">
      <c r="A674" s="37">
        <v>45708</v>
      </c>
      <c r="B674" s="1">
        <v>71</v>
      </c>
      <c r="C674" t="s">
        <v>51</v>
      </c>
      <c r="D674" s="22">
        <v>-37.5</v>
      </c>
      <c r="E674" t="s">
        <v>35</v>
      </c>
      <c r="F674" s="2">
        <v>610148001</v>
      </c>
      <c r="G674" s="2" t="s">
        <v>42</v>
      </c>
      <c r="L674" s="2" t="s">
        <v>1350</v>
      </c>
      <c r="M674" t="s">
        <v>43</v>
      </c>
      <c r="N674" t="s">
        <v>42</v>
      </c>
      <c r="P674" s="23">
        <v>62.51</v>
      </c>
      <c r="Q674" s="4">
        <f t="shared" si="10"/>
        <v>-0.59990401535754279</v>
      </c>
      <c r="R674" s="23" t="s">
        <v>53</v>
      </c>
      <c r="T674" s="38" t="s">
        <v>1313</v>
      </c>
    </row>
    <row r="675" spans="1:20" x14ac:dyDescent="0.25">
      <c r="A675" s="37">
        <v>45708</v>
      </c>
      <c r="B675" s="1">
        <v>70</v>
      </c>
      <c r="C675" t="s">
        <v>1351</v>
      </c>
      <c r="D675" s="22">
        <v>-12502</v>
      </c>
      <c r="E675" t="s">
        <v>35</v>
      </c>
      <c r="F675" s="2">
        <v>110114001</v>
      </c>
      <c r="G675" s="2" t="s">
        <v>301</v>
      </c>
      <c r="L675" s="2" t="s">
        <v>1352</v>
      </c>
      <c r="M675" t="s">
        <v>772</v>
      </c>
      <c r="N675" t="s">
        <v>773</v>
      </c>
      <c r="P675" s="23">
        <v>62.51</v>
      </c>
      <c r="Q675" s="4">
        <f t="shared" si="10"/>
        <v>-200</v>
      </c>
      <c r="R675" s="23" t="s">
        <v>53</v>
      </c>
      <c r="S675" s="33" t="s">
        <v>1353</v>
      </c>
      <c r="T675" s="2"/>
    </row>
    <row r="676" spans="1:20" x14ac:dyDescent="0.25">
      <c r="A676" s="37">
        <v>45708</v>
      </c>
      <c r="B676" s="1">
        <v>69</v>
      </c>
      <c r="C676" t="s">
        <v>107</v>
      </c>
      <c r="D676" s="22">
        <v>15000</v>
      </c>
      <c r="E676" t="s">
        <v>46</v>
      </c>
      <c r="F676" s="2">
        <v>210115002</v>
      </c>
      <c r="G676" s="2" t="s">
        <v>47</v>
      </c>
      <c r="L676" s="2" t="s">
        <v>1354</v>
      </c>
      <c r="N676" t="s">
        <v>107</v>
      </c>
      <c r="P676" s="23">
        <v>62.51</v>
      </c>
      <c r="Q676" s="4">
        <f t="shared" si="10"/>
        <v>239.96160614301712</v>
      </c>
      <c r="R676" s="23" t="s">
        <v>53</v>
      </c>
      <c r="T676" s="2"/>
    </row>
    <row r="677" spans="1:20" x14ac:dyDescent="0.25">
      <c r="A677" s="37">
        <v>45709</v>
      </c>
      <c r="B677" s="1">
        <v>74</v>
      </c>
      <c r="C677" t="s">
        <v>51</v>
      </c>
      <c r="D677" s="22">
        <v>-22.75</v>
      </c>
      <c r="E677" t="s">
        <v>35</v>
      </c>
      <c r="F677" s="2">
        <v>610148001</v>
      </c>
      <c r="G677" s="2" t="s">
        <v>42</v>
      </c>
      <c r="L677" s="2" t="s">
        <v>1355</v>
      </c>
      <c r="M677" t="s">
        <v>43</v>
      </c>
      <c r="N677" t="s">
        <v>42</v>
      </c>
      <c r="P677" s="23">
        <v>63.21</v>
      </c>
      <c r="Q677" s="4">
        <f t="shared" si="10"/>
        <v>-0.35991140642303432</v>
      </c>
      <c r="R677" s="23" t="s">
        <v>53</v>
      </c>
      <c r="T677" s="38" t="s">
        <v>1313</v>
      </c>
    </row>
    <row r="678" spans="1:20" x14ac:dyDescent="0.25">
      <c r="A678" s="39">
        <v>45709</v>
      </c>
      <c r="B678" s="26">
        <v>73</v>
      </c>
      <c r="C678" s="27" t="s">
        <v>54</v>
      </c>
      <c r="D678" s="28">
        <v>-7585.2</v>
      </c>
      <c r="E678" s="27" t="s">
        <v>35</v>
      </c>
      <c r="F678" s="29">
        <v>610129001</v>
      </c>
      <c r="G678" s="29" t="s">
        <v>55</v>
      </c>
      <c r="H678" s="107"/>
      <c r="I678" s="101"/>
      <c r="J678" s="101"/>
      <c r="K678" s="29"/>
      <c r="L678" s="2" t="s">
        <v>1356</v>
      </c>
      <c r="M678" s="27" t="s">
        <v>57</v>
      </c>
      <c r="N678" s="27" t="s">
        <v>58</v>
      </c>
      <c r="O678" s="27" t="s">
        <v>59</v>
      </c>
      <c r="P678" s="31">
        <v>63.21</v>
      </c>
      <c r="Q678" s="4">
        <f t="shared" si="10"/>
        <v>-120</v>
      </c>
      <c r="R678" s="23" t="s">
        <v>53</v>
      </c>
      <c r="T678" s="41" t="s">
        <v>1357</v>
      </c>
    </row>
    <row r="679" spans="1:20" x14ac:dyDescent="0.25">
      <c r="A679" s="37">
        <v>45709</v>
      </c>
      <c r="B679" s="1">
        <v>72</v>
      </c>
      <c r="C679" t="s">
        <v>107</v>
      </c>
      <c r="D679" s="22">
        <v>10000</v>
      </c>
      <c r="E679" t="s">
        <v>46</v>
      </c>
      <c r="F679" s="2">
        <v>210115002</v>
      </c>
      <c r="G679" s="2" t="s">
        <v>47</v>
      </c>
      <c r="L679" s="2" t="s">
        <v>1358</v>
      </c>
      <c r="N679" t="s">
        <v>107</v>
      </c>
      <c r="P679" s="23">
        <v>63.21</v>
      </c>
      <c r="Q679" s="4">
        <f t="shared" si="10"/>
        <v>158.20281601012499</v>
      </c>
      <c r="R679" s="23" t="s">
        <v>53</v>
      </c>
      <c r="T679" s="2"/>
    </row>
    <row r="680" spans="1:20" x14ac:dyDescent="0.25">
      <c r="A680" s="37">
        <v>45715</v>
      </c>
      <c r="B680" s="1">
        <v>77</v>
      </c>
      <c r="C680" t="s">
        <v>51</v>
      </c>
      <c r="D680" s="22">
        <v>-48.01</v>
      </c>
      <c r="E680" t="s">
        <v>35</v>
      </c>
      <c r="F680" s="2">
        <v>610148001</v>
      </c>
      <c r="G680" s="2" t="s">
        <v>42</v>
      </c>
      <c r="L680" s="2" t="s">
        <v>1359</v>
      </c>
      <c r="M680" t="s">
        <v>43</v>
      </c>
      <c r="N680" t="s">
        <v>42</v>
      </c>
      <c r="P680" s="23">
        <v>64.239999999999995</v>
      </c>
      <c r="Q680" s="4">
        <f t="shared" si="10"/>
        <v>-0.74735367372353678</v>
      </c>
      <c r="R680" s="23" t="s">
        <v>53</v>
      </c>
      <c r="T680" s="38" t="s">
        <v>1313</v>
      </c>
    </row>
    <row r="681" spans="1:20" x14ac:dyDescent="0.25">
      <c r="A681" s="37">
        <v>45715</v>
      </c>
      <c r="B681" s="1">
        <v>76</v>
      </c>
      <c r="C681" t="s">
        <v>1360</v>
      </c>
      <c r="D681" s="22">
        <v>-16005</v>
      </c>
      <c r="E681" t="s">
        <v>35</v>
      </c>
      <c r="F681" s="2">
        <v>840101001</v>
      </c>
      <c r="G681" s="2" t="s">
        <v>65</v>
      </c>
      <c r="L681" s="2" t="s">
        <v>1361</v>
      </c>
      <c r="M681" t="s">
        <v>67</v>
      </c>
      <c r="N681" t="s">
        <v>68</v>
      </c>
      <c r="P681" s="23">
        <v>64.239999999999995</v>
      </c>
      <c r="Q681" s="4">
        <f t="shared" si="10"/>
        <v>-249.14383561643837</v>
      </c>
      <c r="R681" s="23" t="s">
        <v>53</v>
      </c>
      <c r="T681" s="2"/>
    </row>
    <row r="682" spans="1:20" x14ac:dyDescent="0.25">
      <c r="A682" s="37">
        <v>45715</v>
      </c>
      <c r="B682" s="1">
        <v>75</v>
      </c>
      <c r="C682" t="s">
        <v>107</v>
      </c>
      <c r="D682" s="22">
        <v>16000</v>
      </c>
      <c r="E682" t="s">
        <v>46</v>
      </c>
      <c r="F682" s="2">
        <v>210115002</v>
      </c>
      <c r="G682" s="2" t="s">
        <v>47</v>
      </c>
      <c r="L682" s="2" t="s">
        <v>1362</v>
      </c>
      <c r="N682" t="s">
        <v>107</v>
      </c>
      <c r="P682" s="23">
        <v>64.239999999999995</v>
      </c>
      <c r="Q682" s="4">
        <f t="shared" si="10"/>
        <v>249.06600249066005</v>
      </c>
      <c r="R682" s="23" t="s">
        <v>53</v>
      </c>
      <c r="T682" s="2"/>
    </row>
    <row r="683" spans="1:20" x14ac:dyDescent="0.25">
      <c r="A683" s="37">
        <v>45716</v>
      </c>
      <c r="B683" s="1">
        <v>79</v>
      </c>
      <c r="C683" t="s">
        <v>84</v>
      </c>
      <c r="D683" s="22">
        <v>-0.5</v>
      </c>
      <c r="E683" t="s">
        <v>35</v>
      </c>
      <c r="F683" s="2">
        <v>610148001</v>
      </c>
      <c r="G683" s="2" t="s">
        <v>42</v>
      </c>
      <c r="L683" s="2" t="s">
        <v>1363</v>
      </c>
      <c r="M683" t="s">
        <v>43</v>
      </c>
      <c r="N683" t="s">
        <v>42</v>
      </c>
      <c r="P683" s="23">
        <v>64.25</v>
      </c>
      <c r="Q683" s="4">
        <f t="shared" si="10"/>
        <v>-7.7821011673151752E-3</v>
      </c>
      <c r="R683" s="23" t="s">
        <v>53</v>
      </c>
      <c r="T683" s="38" t="s">
        <v>1313</v>
      </c>
    </row>
    <row r="684" spans="1:20" x14ac:dyDescent="0.25">
      <c r="A684" s="37">
        <v>45716</v>
      </c>
      <c r="B684" s="1">
        <v>78</v>
      </c>
      <c r="C684" t="s">
        <v>86</v>
      </c>
      <c r="D684" s="22">
        <v>-0.5</v>
      </c>
      <c r="E684" t="s">
        <v>35</v>
      </c>
      <c r="F684" s="2">
        <v>610148001</v>
      </c>
      <c r="G684" s="2" t="s">
        <v>42</v>
      </c>
      <c r="L684" s="2" t="s">
        <v>1364</v>
      </c>
      <c r="M684" t="s">
        <v>43</v>
      </c>
      <c r="N684" t="s">
        <v>42</v>
      </c>
      <c r="P684" s="23">
        <v>64.25</v>
      </c>
      <c r="Q684" s="4">
        <f t="shared" si="10"/>
        <v>-7.7821011673151752E-3</v>
      </c>
      <c r="R684" s="23" t="s">
        <v>53</v>
      </c>
      <c r="T684" s="38" t="s">
        <v>1313</v>
      </c>
    </row>
    <row r="685" spans="1:20" x14ac:dyDescent="0.25">
      <c r="A685" s="37">
        <v>45691</v>
      </c>
      <c r="B685" s="1">
        <v>152316847</v>
      </c>
      <c r="C685" t="s">
        <v>1365</v>
      </c>
      <c r="D685" s="22">
        <v>-1630.48</v>
      </c>
      <c r="E685" t="s">
        <v>35</v>
      </c>
      <c r="F685" s="2">
        <v>210101001</v>
      </c>
      <c r="G685" s="2" t="s">
        <v>36</v>
      </c>
      <c r="L685" s="2" t="s">
        <v>1366</v>
      </c>
      <c r="M685" t="s">
        <v>742</v>
      </c>
      <c r="N685" t="s">
        <v>743</v>
      </c>
      <c r="P685" s="23">
        <v>58.44</v>
      </c>
      <c r="Q685" s="4">
        <f t="shared" si="10"/>
        <v>-27.900068446269678</v>
      </c>
      <c r="R685" s="23" t="s">
        <v>109</v>
      </c>
    </row>
    <row r="686" spans="1:20" x14ac:dyDescent="0.25">
      <c r="A686" s="37">
        <v>45691</v>
      </c>
      <c r="B686" s="1">
        <v>152553955</v>
      </c>
      <c r="C686" t="s">
        <v>107</v>
      </c>
      <c r="D686" s="22">
        <v>36000</v>
      </c>
      <c r="E686" t="s">
        <v>46</v>
      </c>
      <c r="F686" s="2">
        <v>210115002</v>
      </c>
      <c r="G686" s="2" t="s">
        <v>47</v>
      </c>
      <c r="L686" s="2" t="s">
        <v>1367</v>
      </c>
      <c r="N686" t="s">
        <v>107</v>
      </c>
      <c r="P686" s="23">
        <v>58.44</v>
      </c>
      <c r="Q686" s="4">
        <f t="shared" si="10"/>
        <v>616.01642710472277</v>
      </c>
      <c r="R686" s="23" t="s">
        <v>109</v>
      </c>
    </row>
    <row r="687" spans="1:20" x14ac:dyDescent="0.25">
      <c r="A687" s="37">
        <v>45691</v>
      </c>
      <c r="B687" s="1">
        <v>717923748</v>
      </c>
      <c r="C687" t="s">
        <v>1368</v>
      </c>
      <c r="D687" s="22">
        <v>-37969.120000000003</v>
      </c>
      <c r="E687" t="s">
        <v>35</v>
      </c>
      <c r="F687" s="2">
        <v>210101001</v>
      </c>
      <c r="G687" s="2" t="s">
        <v>36</v>
      </c>
      <c r="L687" s="2" t="s">
        <v>1369</v>
      </c>
      <c r="M687" t="s">
        <v>38</v>
      </c>
      <c r="N687" t="s">
        <v>39</v>
      </c>
      <c r="P687" s="23">
        <v>58.44</v>
      </c>
      <c r="Q687" s="4">
        <f t="shared" si="10"/>
        <v>-649.71115674195767</v>
      </c>
      <c r="R687" s="23" t="s">
        <v>109</v>
      </c>
    </row>
    <row r="688" spans="1:20" x14ac:dyDescent="0.25">
      <c r="A688" s="37">
        <v>45691</v>
      </c>
      <c r="B688" s="1">
        <v>717923748</v>
      </c>
      <c r="C688" t="s">
        <v>306</v>
      </c>
      <c r="D688" s="22">
        <v>-113.91</v>
      </c>
      <c r="E688" t="s">
        <v>35</v>
      </c>
      <c r="F688" s="2">
        <v>610148001</v>
      </c>
      <c r="G688" s="2" t="s">
        <v>42</v>
      </c>
      <c r="L688" s="2" t="s">
        <v>1370</v>
      </c>
      <c r="M688" t="s">
        <v>43</v>
      </c>
      <c r="N688" t="s">
        <v>42</v>
      </c>
      <c r="P688" s="23">
        <v>58.44</v>
      </c>
      <c r="Q688" s="4">
        <f t="shared" si="10"/>
        <v>-1.9491786447638604</v>
      </c>
      <c r="R688" s="23" t="s">
        <v>109</v>
      </c>
      <c r="T688" s="23" t="s">
        <v>1313</v>
      </c>
    </row>
    <row r="689" spans="1:20" x14ac:dyDescent="0.25">
      <c r="A689" s="37">
        <v>45692</v>
      </c>
      <c r="B689" s="1">
        <v>143528617</v>
      </c>
      <c r="C689" t="s">
        <v>107</v>
      </c>
      <c r="D689" s="22">
        <v>165000</v>
      </c>
      <c r="E689" t="s">
        <v>46</v>
      </c>
      <c r="F689" s="2">
        <v>210115002</v>
      </c>
      <c r="G689" s="2" t="s">
        <v>47</v>
      </c>
      <c r="L689" s="2" t="s">
        <v>1371</v>
      </c>
      <c r="N689" t="s">
        <v>107</v>
      </c>
      <c r="P689" s="23">
        <v>58.54</v>
      </c>
      <c r="Q689" s="4">
        <f t="shared" si="10"/>
        <v>2818.5855825076869</v>
      </c>
      <c r="R689" s="23" t="s">
        <v>109</v>
      </c>
    </row>
    <row r="690" spans="1:20" x14ac:dyDescent="0.25">
      <c r="A690" s="37">
        <v>45692</v>
      </c>
      <c r="B690" s="1">
        <v>217971445</v>
      </c>
      <c r="C690" t="s">
        <v>1372</v>
      </c>
      <c r="D690" s="22">
        <v>-117070.68</v>
      </c>
      <c r="E690" t="s">
        <v>35</v>
      </c>
      <c r="F690" s="2">
        <v>210101001</v>
      </c>
      <c r="G690" s="2" t="s">
        <v>36</v>
      </c>
      <c r="L690" s="2" t="s">
        <v>1373</v>
      </c>
      <c r="M690" t="s">
        <v>38</v>
      </c>
      <c r="N690" t="s">
        <v>39</v>
      </c>
      <c r="P690" s="23">
        <v>58.54</v>
      </c>
      <c r="Q690" s="4">
        <f t="shared" si="10"/>
        <v>-1999.8407926204304</v>
      </c>
      <c r="R690" s="23" t="s">
        <v>109</v>
      </c>
    </row>
    <row r="691" spans="1:20" x14ac:dyDescent="0.25">
      <c r="A691" s="37">
        <v>45692</v>
      </c>
      <c r="B691" s="1">
        <v>217971446</v>
      </c>
      <c r="C691" t="s">
        <v>1374</v>
      </c>
      <c r="D691" s="22">
        <v>-13357.21</v>
      </c>
      <c r="E691" t="s">
        <v>35</v>
      </c>
      <c r="F691" s="2">
        <v>210101001</v>
      </c>
      <c r="G691" s="2" t="s">
        <v>36</v>
      </c>
      <c r="L691" s="2" t="s">
        <v>1375</v>
      </c>
      <c r="M691" t="s">
        <v>1376</v>
      </c>
      <c r="N691" t="s">
        <v>1377</v>
      </c>
      <c r="P691" s="23">
        <v>58.54</v>
      </c>
      <c r="Q691" s="4">
        <f t="shared" si="10"/>
        <v>-228.17236077895456</v>
      </c>
      <c r="R691" s="23" t="s">
        <v>109</v>
      </c>
    </row>
    <row r="692" spans="1:20" x14ac:dyDescent="0.25">
      <c r="A692" s="37">
        <v>45692</v>
      </c>
      <c r="B692" s="1">
        <v>217971447</v>
      </c>
      <c r="C692" t="s">
        <v>1378</v>
      </c>
      <c r="D692" s="22">
        <v>-32539.39</v>
      </c>
      <c r="E692" t="s">
        <v>35</v>
      </c>
      <c r="F692" s="2">
        <v>210101001</v>
      </c>
      <c r="G692" s="2" t="s">
        <v>36</v>
      </c>
      <c r="L692" s="2" t="s">
        <v>1379</v>
      </c>
      <c r="M692" t="s">
        <v>1380</v>
      </c>
      <c r="N692" t="s">
        <v>1381</v>
      </c>
      <c r="P692" s="23">
        <v>58.54</v>
      </c>
      <c r="Q692" s="4">
        <f t="shared" si="10"/>
        <v>-555.84882131875645</v>
      </c>
      <c r="R692" s="23" t="s">
        <v>109</v>
      </c>
    </row>
    <row r="693" spans="1:20" x14ac:dyDescent="0.25">
      <c r="A693" s="37">
        <v>45692</v>
      </c>
      <c r="B693" s="1">
        <v>50273762</v>
      </c>
      <c r="C693" t="s">
        <v>118</v>
      </c>
      <c r="D693" s="22">
        <v>-407.41</v>
      </c>
      <c r="E693" t="s">
        <v>35</v>
      </c>
      <c r="F693" s="2">
        <v>610148001</v>
      </c>
      <c r="G693" s="2" t="s">
        <v>42</v>
      </c>
      <c r="L693" s="2" t="s">
        <v>1382</v>
      </c>
      <c r="M693" t="s">
        <v>43</v>
      </c>
      <c r="N693" t="s">
        <v>42</v>
      </c>
      <c r="P693" s="23">
        <v>58.54</v>
      </c>
      <c r="Q693" s="4">
        <f t="shared" si="10"/>
        <v>-6.959514861633072</v>
      </c>
      <c r="R693" s="23" t="s">
        <v>109</v>
      </c>
      <c r="T693" s="23" t="s">
        <v>1313</v>
      </c>
    </row>
    <row r="694" spans="1:20" x14ac:dyDescent="0.25">
      <c r="A694" s="37">
        <v>45693</v>
      </c>
      <c r="B694" s="1">
        <v>144102310</v>
      </c>
      <c r="C694" t="s">
        <v>107</v>
      </c>
      <c r="D694" s="22">
        <v>100000</v>
      </c>
      <c r="E694" t="s">
        <v>46</v>
      </c>
      <c r="F694" s="2">
        <v>210115002</v>
      </c>
      <c r="G694" s="2" t="s">
        <v>47</v>
      </c>
      <c r="L694" s="2" t="s">
        <v>1383</v>
      </c>
      <c r="N694" t="s">
        <v>107</v>
      </c>
      <c r="P694" s="23">
        <v>58.79</v>
      </c>
      <c r="Q694" s="4">
        <f t="shared" si="10"/>
        <v>1700.9695526450078</v>
      </c>
      <c r="R694" s="23" t="s">
        <v>109</v>
      </c>
    </row>
    <row r="695" spans="1:20" x14ac:dyDescent="0.25">
      <c r="A695" s="37">
        <v>45693</v>
      </c>
      <c r="B695" s="1">
        <v>718019668</v>
      </c>
      <c r="C695" t="s">
        <v>1384</v>
      </c>
      <c r="D695" s="22">
        <v>-2939.5</v>
      </c>
      <c r="E695" t="s">
        <v>35</v>
      </c>
      <c r="F695" s="2">
        <v>210101001</v>
      </c>
      <c r="G695" s="2" t="s">
        <v>36</v>
      </c>
      <c r="L695" s="2" t="s">
        <v>1385</v>
      </c>
      <c r="M695" t="s">
        <v>114</v>
      </c>
      <c r="N695" t="s">
        <v>115</v>
      </c>
      <c r="P695" s="23">
        <v>58.79</v>
      </c>
      <c r="Q695" s="4">
        <f t="shared" si="10"/>
        <v>-50</v>
      </c>
      <c r="R695" s="23" t="s">
        <v>109</v>
      </c>
    </row>
    <row r="696" spans="1:20" x14ac:dyDescent="0.25">
      <c r="A696" s="37">
        <v>45693</v>
      </c>
      <c r="B696" s="1">
        <v>718019670</v>
      </c>
      <c r="C696" t="s">
        <v>1386</v>
      </c>
      <c r="D696" s="22">
        <v>-42711.24</v>
      </c>
      <c r="E696" t="s">
        <v>35</v>
      </c>
      <c r="F696" s="2">
        <v>210101001</v>
      </c>
      <c r="G696" s="2" t="s">
        <v>36</v>
      </c>
      <c r="L696" s="2" t="s">
        <v>1387</v>
      </c>
      <c r="M696" t="s">
        <v>714</v>
      </c>
      <c r="N696" t="s">
        <v>715</v>
      </c>
      <c r="P696" s="23">
        <v>58.79</v>
      </c>
      <c r="Q696" s="4">
        <f t="shared" si="10"/>
        <v>-726.50518795713549</v>
      </c>
      <c r="R696" s="23" t="s">
        <v>109</v>
      </c>
    </row>
    <row r="697" spans="1:20" x14ac:dyDescent="0.25">
      <c r="A697" s="37">
        <v>45693</v>
      </c>
      <c r="B697" s="1">
        <v>718019669</v>
      </c>
      <c r="C697" t="s">
        <v>1388</v>
      </c>
      <c r="D697" s="22">
        <v>-52266.82</v>
      </c>
      <c r="E697" t="s">
        <v>35</v>
      </c>
      <c r="F697" s="2">
        <v>210101001</v>
      </c>
      <c r="G697" s="2" t="s">
        <v>36</v>
      </c>
      <c r="L697" s="2" t="s">
        <v>1389</v>
      </c>
      <c r="M697" t="s">
        <v>38</v>
      </c>
      <c r="N697" t="s">
        <v>39</v>
      </c>
      <c r="P697" s="23">
        <v>58.79</v>
      </c>
      <c r="Q697" s="4">
        <f t="shared" si="10"/>
        <v>-889.04269433577144</v>
      </c>
      <c r="R697" s="23" t="s">
        <v>109</v>
      </c>
    </row>
    <row r="698" spans="1:20" x14ac:dyDescent="0.25">
      <c r="A698" s="37">
        <v>45693</v>
      </c>
      <c r="B698" s="1">
        <v>50253004</v>
      </c>
      <c r="C698" t="s">
        <v>118</v>
      </c>
      <c r="D698" s="22">
        <v>-244.79</v>
      </c>
      <c r="E698" t="s">
        <v>35</v>
      </c>
      <c r="F698" s="2">
        <v>610148001</v>
      </c>
      <c r="G698" s="2" t="s">
        <v>42</v>
      </c>
      <c r="L698" s="2" t="s">
        <v>1390</v>
      </c>
      <c r="M698" t="s">
        <v>43</v>
      </c>
      <c r="N698" t="s">
        <v>42</v>
      </c>
      <c r="P698" s="23">
        <v>58.79</v>
      </c>
      <c r="Q698" s="4">
        <f t="shared" si="10"/>
        <v>-4.1638033679197139</v>
      </c>
      <c r="R698" s="23" t="s">
        <v>109</v>
      </c>
      <c r="T698" s="23" t="s">
        <v>1313</v>
      </c>
    </row>
    <row r="699" spans="1:20" x14ac:dyDescent="0.25">
      <c r="A699" s="37">
        <v>45694</v>
      </c>
      <c r="B699" s="1">
        <v>135704472</v>
      </c>
      <c r="C699" t="s">
        <v>107</v>
      </c>
      <c r="D699" s="22">
        <v>100000</v>
      </c>
      <c r="E699" t="s">
        <v>46</v>
      </c>
      <c r="F699" s="2">
        <v>210115002</v>
      </c>
      <c r="G699" s="2" t="s">
        <v>47</v>
      </c>
      <c r="L699" s="2" t="s">
        <v>1391</v>
      </c>
      <c r="N699" t="s">
        <v>107</v>
      </c>
      <c r="P699" s="23">
        <v>59.46</v>
      </c>
      <c r="Q699" s="4">
        <f t="shared" si="10"/>
        <v>1681.8028927009755</v>
      </c>
      <c r="R699" s="23" t="s">
        <v>109</v>
      </c>
    </row>
    <row r="700" spans="1:20" x14ac:dyDescent="0.25">
      <c r="A700" s="37">
        <v>45694</v>
      </c>
      <c r="B700" s="1">
        <v>518065628</v>
      </c>
      <c r="C700" t="s">
        <v>1392</v>
      </c>
      <c r="D700" s="22">
        <v>-97026.26</v>
      </c>
      <c r="E700" t="s">
        <v>35</v>
      </c>
      <c r="F700" s="2">
        <v>210101001</v>
      </c>
      <c r="G700" s="2" t="s">
        <v>36</v>
      </c>
      <c r="L700" s="2" t="s">
        <v>1393</v>
      </c>
      <c r="M700" t="s">
        <v>38</v>
      </c>
      <c r="N700" t="s">
        <v>39</v>
      </c>
      <c r="P700" s="23">
        <v>59.46</v>
      </c>
      <c r="Q700" s="4">
        <f t="shared" si="10"/>
        <v>-1631.7904473595693</v>
      </c>
      <c r="R700" s="23" t="s">
        <v>109</v>
      </c>
    </row>
    <row r="701" spans="1:20" x14ac:dyDescent="0.25">
      <c r="A701" s="37">
        <v>45694</v>
      </c>
      <c r="B701" s="1">
        <v>518065628</v>
      </c>
      <c r="C701" t="s">
        <v>306</v>
      </c>
      <c r="D701" s="22">
        <v>-291.08</v>
      </c>
      <c r="E701" t="s">
        <v>35</v>
      </c>
      <c r="F701" s="2">
        <v>610148001</v>
      </c>
      <c r="G701" s="2" t="s">
        <v>42</v>
      </c>
      <c r="L701" s="2" t="s">
        <v>1394</v>
      </c>
      <c r="M701" t="s">
        <v>43</v>
      </c>
      <c r="N701" t="s">
        <v>42</v>
      </c>
      <c r="P701" s="23">
        <v>59.46</v>
      </c>
      <c r="Q701" s="4">
        <f t="shared" si="10"/>
        <v>-4.8953918600739987</v>
      </c>
      <c r="R701" s="23" t="s">
        <v>109</v>
      </c>
      <c r="T701" s="23" t="s">
        <v>1313</v>
      </c>
    </row>
    <row r="702" spans="1:20" x14ac:dyDescent="0.25">
      <c r="A702" s="37">
        <v>45695</v>
      </c>
      <c r="B702" s="1">
        <v>110813676</v>
      </c>
      <c r="C702" t="s">
        <v>107</v>
      </c>
      <c r="D702" s="22">
        <v>280000</v>
      </c>
      <c r="E702" t="s">
        <v>46</v>
      </c>
      <c r="F702" s="2">
        <v>210115002</v>
      </c>
      <c r="G702" s="2" t="s">
        <v>47</v>
      </c>
      <c r="L702" s="2" t="s">
        <v>1395</v>
      </c>
      <c r="N702" t="s">
        <v>107</v>
      </c>
      <c r="P702" s="23">
        <v>60.14</v>
      </c>
      <c r="Q702" s="4">
        <f t="shared" si="10"/>
        <v>4655.8031260392418</v>
      </c>
      <c r="R702" s="23" t="s">
        <v>109</v>
      </c>
    </row>
    <row r="703" spans="1:20" x14ac:dyDescent="0.25">
      <c r="A703" s="37">
        <v>45695</v>
      </c>
      <c r="B703" s="1">
        <v>318103414</v>
      </c>
      <c r="C703" t="s">
        <v>1396</v>
      </c>
      <c r="D703" s="22">
        <v>-3608.4</v>
      </c>
      <c r="E703" t="s">
        <v>35</v>
      </c>
      <c r="F703" s="2">
        <v>212901001</v>
      </c>
      <c r="G703" s="2" t="s">
        <v>121</v>
      </c>
      <c r="L703" s="2" t="s">
        <v>1397</v>
      </c>
      <c r="M703" t="s">
        <v>67</v>
      </c>
      <c r="N703" t="s">
        <v>68</v>
      </c>
      <c r="P703" s="23">
        <v>60.14</v>
      </c>
      <c r="Q703" s="4">
        <f t="shared" si="10"/>
        <v>-60</v>
      </c>
      <c r="R703" s="23" t="s">
        <v>109</v>
      </c>
    </row>
    <row r="704" spans="1:20" x14ac:dyDescent="0.25">
      <c r="A704" s="37">
        <v>45695</v>
      </c>
      <c r="B704" s="1">
        <v>318103415</v>
      </c>
      <c r="C704" t="s">
        <v>1398</v>
      </c>
      <c r="D704" s="22">
        <v>-3608.4</v>
      </c>
      <c r="E704" t="s">
        <v>35</v>
      </c>
      <c r="F704" s="2">
        <v>212901001</v>
      </c>
      <c r="G704" s="2" t="s">
        <v>121</v>
      </c>
      <c r="L704" s="2" t="s">
        <v>1399</v>
      </c>
      <c r="M704" t="s">
        <v>67</v>
      </c>
      <c r="N704" t="s">
        <v>68</v>
      </c>
      <c r="P704" s="23">
        <v>60.14</v>
      </c>
      <c r="Q704" s="4">
        <f t="shared" si="10"/>
        <v>-60</v>
      </c>
      <c r="R704" s="23" t="s">
        <v>109</v>
      </c>
    </row>
    <row r="705" spans="1:18" x14ac:dyDescent="0.25">
      <c r="A705" s="37">
        <v>45695</v>
      </c>
      <c r="B705" s="1">
        <v>318103417</v>
      </c>
      <c r="C705" t="s">
        <v>1400</v>
      </c>
      <c r="D705" s="22">
        <v>-3608.4</v>
      </c>
      <c r="E705" t="s">
        <v>35</v>
      </c>
      <c r="F705" s="2">
        <v>212901001</v>
      </c>
      <c r="G705" s="2" t="s">
        <v>121</v>
      </c>
      <c r="L705" s="2" t="s">
        <v>1401</v>
      </c>
      <c r="M705" t="s">
        <v>67</v>
      </c>
      <c r="N705" t="s">
        <v>68</v>
      </c>
      <c r="P705" s="23">
        <v>60.14</v>
      </c>
      <c r="Q705" s="4">
        <f t="shared" si="10"/>
        <v>-60</v>
      </c>
      <c r="R705" s="23" t="s">
        <v>109</v>
      </c>
    </row>
    <row r="706" spans="1:18" x14ac:dyDescent="0.25">
      <c r="A706" s="37">
        <v>45695</v>
      </c>
      <c r="B706" s="1">
        <v>318103418</v>
      </c>
      <c r="C706" t="s">
        <v>1402</v>
      </c>
      <c r="D706" s="22">
        <v>-3608.4</v>
      </c>
      <c r="E706" t="s">
        <v>35</v>
      </c>
      <c r="F706" s="2">
        <v>212901001</v>
      </c>
      <c r="G706" s="2" t="s">
        <v>121</v>
      </c>
      <c r="L706" s="2" t="s">
        <v>1403</v>
      </c>
      <c r="M706" t="s">
        <v>67</v>
      </c>
      <c r="N706" t="s">
        <v>68</v>
      </c>
      <c r="P706" s="23">
        <v>60.14</v>
      </c>
      <c r="Q706" s="4">
        <f t="shared" si="10"/>
        <v>-60</v>
      </c>
      <c r="R706" s="23" t="s">
        <v>109</v>
      </c>
    </row>
    <row r="707" spans="1:18" x14ac:dyDescent="0.25">
      <c r="A707" s="37">
        <v>45695</v>
      </c>
      <c r="B707" s="1">
        <v>318103423</v>
      </c>
      <c r="C707" t="s">
        <v>1404</v>
      </c>
      <c r="D707" s="22">
        <v>-3608.4</v>
      </c>
      <c r="E707" t="s">
        <v>35</v>
      </c>
      <c r="F707" s="2">
        <v>212901001</v>
      </c>
      <c r="G707" s="2" t="s">
        <v>121</v>
      </c>
      <c r="L707" s="2" t="s">
        <v>1405</v>
      </c>
      <c r="M707" t="s">
        <v>67</v>
      </c>
      <c r="N707" t="s">
        <v>68</v>
      </c>
      <c r="P707" s="23">
        <v>60.14</v>
      </c>
      <c r="Q707" s="4">
        <f t="shared" si="10"/>
        <v>-60</v>
      </c>
      <c r="R707" s="23" t="s">
        <v>109</v>
      </c>
    </row>
    <row r="708" spans="1:18" x14ac:dyDescent="0.25">
      <c r="A708" s="37">
        <v>45695</v>
      </c>
      <c r="B708" s="1">
        <v>318103424</v>
      </c>
      <c r="C708" t="s">
        <v>1406</v>
      </c>
      <c r="D708" s="22">
        <v>-3608.4</v>
      </c>
      <c r="E708" t="s">
        <v>35</v>
      </c>
      <c r="F708" s="2">
        <v>212901001</v>
      </c>
      <c r="G708" s="2" t="s">
        <v>121</v>
      </c>
      <c r="L708" s="2" t="s">
        <v>1407</v>
      </c>
      <c r="M708" t="s">
        <v>67</v>
      </c>
      <c r="N708" t="s">
        <v>68</v>
      </c>
      <c r="P708" s="23">
        <v>60.14</v>
      </c>
      <c r="Q708" s="4">
        <f t="shared" si="10"/>
        <v>-60</v>
      </c>
      <c r="R708" s="23" t="s">
        <v>109</v>
      </c>
    </row>
    <row r="709" spans="1:18" x14ac:dyDescent="0.25">
      <c r="A709" s="37">
        <v>45695</v>
      </c>
      <c r="B709" s="1">
        <v>318103419</v>
      </c>
      <c r="C709" t="s">
        <v>1408</v>
      </c>
      <c r="D709" s="22">
        <v>-3608.4</v>
      </c>
      <c r="E709" t="s">
        <v>35</v>
      </c>
      <c r="F709" s="2">
        <v>212901001</v>
      </c>
      <c r="G709" s="2" t="s">
        <v>121</v>
      </c>
      <c r="L709" s="2" t="s">
        <v>1409</v>
      </c>
      <c r="M709" t="s">
        <v>67</v>
      </c>
      <c r="N709" t="s">
        <v>68</v>
      </c>
      <c r="P709" s="23">
        <v>60.14</v>
      </c>
      <c r="Q709" s="4">
        <f t="shared" si="10"/>
        <v>-60</v>
      </c>
      <c r="R709" s="23" t="s">
        <v>109</v>
      </c>
    </row>
    <row r="710" spans="1:18" x14ac:dyDescent="0.25">
      <c r="A710" s="37">
        <v>45695</v>
      </c>
      <c r="B710" s="1">
        <v>318103422</v>
      </c>
      <c r="C710" t="s">
        <v>1410</v>
      </c>
      <c r="D710" s="22">
        <v>-3608.4</v>
      </c>
      <c r="E710" t="s">
        <v>35</v>
      </c>
      <c r="F710" s="2">
        <v>212901001</v>
      </c>
      <c r="G710" s="2" t="s">
        <v>121</v>
      </c>
      <c r="L710" s="2" t="s">
        <v>1411</v>
      </c>
      <c r="M710" t="s">
        <v>67</v>
      </c>
      <c r="N710" t="s">
        <v>68</v>
      </c>
      <c r="P710" s="23">
        <v>60.14</v>
      </c>
      <c r="Q710" s="4">
        <f t="shared" si="10"/>
        <v>-60</v>
      </c>
      <c r="R710" s="23" t="s">
        <v>109</v>
      </c>
    </row>
    <row r="711" spans="1:18" x14ac:dyDescent="0.25">
      <c r="A711" s="37">
        <v>45695</v>
      </c>
      <c r="B711" s="1">
        <v>318103421</v>
      </c>
      <c r="C711" t="s">
        <v>1412</v>
      </c>
      <c r="D711" s="22">
        <v>-3608.4</v>
      </c>
      <c r="E711" t="s">
        <v>35</v>
      </c>
      <c r="F711" s="2">
        <v>212901001</v>
      </c>
      <c r="G711" s="2" t="s">
        <v>121</v>
      </c>
      <c r="L711" s="2" t="s">
        <v>1413</v>
      </c>
      <c r="M711" t="s">
        <v>67</v>
      </c>
      <c r="N711" t="s">
        <v>68</v>
      </c>
      <c r="P711" s="23">
        <v>60.14</v>
      </c>
      <c r="Q711" s="4">
        <f t="shared" si="10"/>
        <v>-60</v>
      </c>
      <c r="R711" s="23" t="s">
        <v>109</v>
      </c>
    </row>
    <row r="712" spans="1:18" x14ac:dyDescent="0.25">
      <c r="A712" s="37">
        <v>45695</v>
      </c>
      <c r="B712" s="1">
        <v>318103425</v>
      </c>
      <c r="C712" t="s">
        <v>1414</v>
      </c>
      <c r="D712" s="22">
        <v>-3608.4</v>
      </c>
      <c r="E712" t="s">
        <v>35</v>
      </c>
      <c r="F712" s="2">
        <v>212901001</v>
      </c>
      <c r="G712" s="2" t="s">
        <v>121</v>
      </c>
      <c r="L712" s="2" t="s">
        <v>1415</v>
      </c>
      <c r="M712" t="s">
        <v>67</v>
      </c>
      <c r="N712" t="s">
        <v>68</v>
      </c>
      <c r="P712" s="23">
        <v>60.14</v>
      </c>
      <c r="Q712" s="4">
        <f t="shared" si="10"/>
        <v>-60</v>
      </c>
      <c r="R712" s="23" t="s">
        <v>109</v>
      </c>
    </row>
    <row r="713" spans="1:18" x14ac:dyDescent="0.25">
      <c r="A713" s="37">
        <v>45695</v>
      </c>
      <c r="B713" s="1">
        <v>418103426</v>
      </c>
      <c r="C713" t="s">
        <v>1416</v>
      </c>
      <c r="D713" s="22">
        <v>-3608.4</v>
      </c>
      <c r="E713" t="s">
        <v>35</v>
      </c>
      <c r="F713" s="2">
        <v>212901001</v>
      </c>
      <c r="G713" s="2" t="s">
        <v>121</v>
      </c>
      <c r="L713" s="2" t="s">
        <v>1417</v>
      </c>
      <c r="M713" t="s">
        <v>67</v>
      </c>
      <c r="N713" t="s">
        <v>68</v>
      </c>
      <c r="P713" s="23">
        <v>60.14</v>
      </c>
      <c r="Q713" s="4">
        <f t="shared" si="10"/>
        <v>-60</v>
      </c>
      <c r="R713" s="23" t="s">
        <v>109</v>
      </c>
    </row>
    <row r="714" spans="1:18" x14ac:dyDescent="0.25">
      <c r="A714" s="37">
        <v>45695</v>
      </c>
      <c r="B714" s="1">
        <v>418103432</v>
      </c>
      <c r="C714" t="s">
        <v>1418</v>
      </c>
      <c r="D714" s="22">
        <v>-3608.4</v>
      </c>
      <c r="E714" t="s">
        <v>35</v>
      </c>
      <c r="F714" s="2">
        <v>212901001</v>
      </c>
      <c r="G714" s="2" t="s">
        <v>121</v>
      </c>
      <c r="L714" s="2" t="s">
        <v>1419</v>
      </c>
      <c r="M714" t="s">
        <v>67</v>
      </c>
      <c r="N714" t="s">
        <v>68</v>
      </c>
      <c r="P714" s="23">
        <v>60.14</v>
      </c>
      <c r="Q714" s="4">
        <f t="shared" si="10"/>
        <v>-60</v>
      </c>
      <c r="R714" s="23" t="s">
        <v>109</v>
      </c>
    </row>
    <row r="715" spans="1:18" x14ac:dyDescent="0.25">
      <c r="A715" s="37">
        <v>45695</v>
      </c>
      <c r="B715" s="1">
        <v>418103428</v>
      </c>
      <c r="C715" t="s">
        <v>1420</v>
      </c>
      <c r="D715" s="22">
        <v>-3608.4</v>
      </c>
      <c r="E715" t="s">
        <v>35</v>
      </c>
      <c r="F715" s="2">
        <v>212901001</v>
      </c>
      <c r="G715" s="2" t="s">
        <v>121</v>
      </c>
      <c r="L715" s="2" t="s">
        <v>1421</v>
      </c>
      <c r="M715" t="s">
        <v>67</v>
      </c>
      <c r="N715" t="s">
        <v>68</v>
      </c>
      <c r="P715" s="23">
        <v>60.14</v>
      </c>
      <c r="Q715" s="4">
        <f t="shared" ref="Q715:Q778" si="11">D715/P715</f>
        <v>-60</v>
      </c>
      <c r="R715" s="23" t="s">
        <v>109</v>
      </c>
    </row>
    <row r="716" spans="1:18" x14ac:dyDescent="0.25">
      <c r="A716" s="37">
        <v>45695</v>
      </c>
      <c r="B716" s="1">
        <v>418103431</v>
      </c>
      <c r="C716" t="s">
        <v>1422</v>
      </c>
      <c r="D716" s="22">
        <v>-3608.4</v>
      </c>
      <c r="E716" t="s">
        <v>35</v>
      </c>
      <c r="F716" s="2">
        <v>212901001</v>
      </c>
      <c r="G716" s="2" t="s">
        <v>121</v>
      </c>
      <c r="L716" s="2" t="s">
        <v>1423</v>
      </c>
      <c r="M716" t="s">
        <v>67</v>
      </c>
      <c r="N716" t="s">
        <v>68</v>
      </c>
      <c r="P716" s="23">
        <v>60.14</v>
      </c>
      <c r="Q716" s="4">
        <f t="shared" si="11"/>
        <v>-60</v>
      </c>
      <c r="R716" s="23" t="s">
        <v>109</v>
      </c>
    </row>
    <row r="717" spans="1:18" x14ac:dyDescent="0.25">
      <c r="A717" s="37">
        <v>45695</v>
      </c>
      <c r="B717" s="1">
        <v>418103436</v>
      </c>
      <c r="C717" t="s">
        <v>1424</v>
      </c>
      <c r="D717" s="22">
        <v>-4811.2</v>
      </c>
      <c r="E717" t="s">
        <v>35</v>
      </c>
      <c r="F717" s="2">
        <v>212901001</v>
      </c>
      <c r="G717" s="2" t="s">
        <v>121</v>
      </c>
      <c r="L717" s="2" t="s">
        <v>1425</v>
      </c>
      <c r="M717" t="s">
        <v>67</v>
      </c>
      <c r="N717" t="s">
        <v>68</v>
      </c>
      <c r="P717" s="23">
        <v>60.14</v>
      </c>
      <c r="Q717" s="4">
        <f t="shared" si="11"/>
        <v>-80</v>
      </c>
      <c r="R717" s="23" t="s">
        <v>109</v>
      </c>
    </row>
    <row r="718" spans="1:18" x14ac:dyDescent="0.25">
      <c r="A718" s="37">
        <v>45695</v>
      </c>
      <c r="B718" s="1">
        <v>418103430</v>
      </c>
      <c r="C718" t="s">
        <v>1426</v>
      </c>
      <c r="D718" s="22">
        <v>-3608.4</v>
      </c>
      <c r="E718" t="s">
        <v>35</v>
      </c>
      <c r="F718" s="2">
        <v>212901001</v>
      </c>
      <c r="G718" s="2" t="s">
        <v>121</v>
      </c>
      <c r="L718" s="2" t="s">
        <v>1427</v>
      </c>
      <c r="M718" t="s">
        <v>67</v>
      </c>
      <c r="N718" t="s">
        <v>68</v>
      </c>
      <c r="P718" s="23">
        <v>60.14</v>
      </c>
      <c r="Q718" s="4">
        <f t="shared" si="11"/>
        <v>-60</v>
      </c>
      <c r="R718" s="23" t="s">
        <v>109</v>
      </c>
    </row>
    <row r="719" spans="1:18" x14ac:dyDescent="0.25">
      <c r="A719" s="37">
        <v>45695</v>
      </c>
      <c r="B719" s="1">
        <v>418103429</v>
      </c>
      <c r="C719" t="s">
        <v>1428</v>
      </c>
      <c r="D719" s="22">
        <v>-3608.4</v>
      </c>
      <c r="E719" t="s">
        <v>35</v>
      </c>
      <c r="F719" s="2">
        <v>212901001</v>
      </c>
      <c r="G719" s="2" t="s">
        <v>121</v>
      </c>
      <c r="L719" s="2" t="s">
        <v>1429</v>
      </c>
      <c r="M719" t="s">
        <v>67</v>
      </c>
      <c r="N719" t="s">
        <v>68</v>
      </c>
      <c r="P719" s="23">
        <v>60.14</v>
      </c>
      <c r="Q719" s="4">
        <f t="shared" si="11"/>
        <v>-60</v>
      </c>
      <c r="R719" s="23" t="s">
        <v>109</v>
      </c>
    </row>
    <row r="720" spans="1:18" x14ac:dyDescent="0.25">
      <c r="A720" s="37">
        <v>45695</v>
      </c>
      <c r="B720" s="1">
        <v>518103438</v>
      </c>
      <c r="C720" t="s">
        <v>1430</v>
      </c>
      <c r="D720" s="22">
        <v>-4811.2</v>
      </c>
      <c r="E720" t="s">
        <v>35</v>
      </c>
      <c r="F720" s="2">
        <v>212901001</v>
      </c>
      <c r="G720" s="2" t="s">
        <v>121</v>
      </c>
      <c r="L720" s="2" t="s">
        <v>1431</v>
      </c>
      <c r="M720" t="s">
        <v>67</v>
      </c>
      <c r="N720" t="s">
        <v>68</v>
      </c>
      <c r="P720" s="23">
        <v>60.14</v>
      </c>
      <c r="Q720" s="4">
        <f t="shared" si="11"/>
        <v>-80</v>
      </c>
      <c r="R720" s="23" t="s">
        <v>109</v>
      </c>
    </row>
    <row r="721" spans="1:18" x14ac:dyDescent="0.25">
      <c r="A721" s="37">
        <v>45695</v>
      </c>
      <c r="B721" s="1">
        <v>418103434</v>
      </c>
      <c r="C721" t="s">
        <v>1432</v>
      </c>
      <c r="D721" s="22">
        <v>-6014</v>
      </c>
      <c r="E721" t="s">
        <v>35</v>
      </c>
      <c r="F721" s="2">
        <v>212901001</v>
      </c>
      <c r="G721" s="2" t="s">
        <v>121</v>
      </c>
      <c r="L721" s="2" t="s">
        <v>1433</v>
      </c>
      <c r="M721" t="s">
        <v>67</v>
      </c>
      <c r="N721" t="s">
        <v>68</v>
      </c>
      <c r="P721" s="23">
        <v>60.14</v>
      </c>
      <c r="Q721" s="4">
        <f t="shared" si="11"/>
        <v>-100</v>
      </c>
      <c r="R721" s="23" t="s">
        <v>109</v>
      </c>
    </row>
    <row r="722" spans="1:18" x14ac:dyDescent="0.25">
      <c r="A722" s="37">
        <v>45695</v>
      </c>
      <c r="B722" s="1">
        <v>418103433</v>
      </c>
      <c r="C722" t="s">
        <v>1434</v>
      </c>
      <c r="D722" s="22">
        <v>-9021</v>
      </c>
      <c r="E722" t="s">
        <v>35</v>
      </c>
      <c r="F722" s="2">
        <v>212901001</v>
      </c>
      <c r="G722" s="2" t="s">
        <v>121</v>
      </c>
      <c r="L722" s="2" t="s">
        <v>1435</v>
      </c>
      <c r="M722" t="s">
        <v>67</v>
      </c>
      <c r="N722" t="s">
        <v>68</v>
      </c>
      <c r="P722" s="23">
        <v>60.14</v>
      </c>
      <c r="Q722" s="4">
        <f t="shared" si="11"/>
        <v>-150</v>
      </c>
      <c r="R722" s="23" t="s">
        <v>109</v>
      </c>
    </row>
    <row r="723" spans="1:18" x14ac:dyDescent="0.25">
      <c r="A723" s="37">
        <v>45695</v>
      </c>
      <c r="B723" s="1">
        <v>518103439</v>
      </c>
      <c r="C723" t="s">
        <v>1436</v>
      </c>
      <c r="D723" s="22">
        <v>-4811.2</v>
      </c>
      <c r="E723" t="s">
        <v>35</v>
      </c>
      <c r="F723" s="2">
        <v>212901001</v>
      </c>
      <c r="G723" s="2" t="s">
        <v>121</v>
      </c>
      <c r="L723" s="2" t="s">
        <v>1437</v>
      </c>
      <c r="M723" t="s">
        <v>67</v>
      </c>
      <c r="N723" t="s">
        <v>68</v>
      </c>
      <c r="P723" s="23">
        <v>60.14</v>
      </c>
      <c r="Q723" s="4">
        <f t="shared" si="11"/>
        <v>-80</v>
      </c>
      <c r="R723" s="23" t="s">
        <v>109</v>
      </c>
    </row>
    <row r="724" spans="1:18" x14ac:dyDescent="0.25">
      <c r="A724" s="37">
        <v>45695</v>
      </c>
      <c r="B724" s="1">
        <v>418103435</v>
      </c>
      <c r="C724" t="s">
        <v>1438</v>
      </c>
      <c r="D724" s="22">
        <v>-4811.2</v>
      </c>
      <c r="E724" t="s">
        <v>35</v>
      </c>
      <c r="F724" s="2">
        <v>212901001</v>
      </c>
      <c r="G724" s="2" t="s">
        <v>121</v>
      </c>
      <c r="L724" s="2" t="s">
        <v>1439</v>
      </c>
      <c r="M724" t="s">
        <v>67</v>
      </c>
      <c r="N724" t="s">
        <v>68</v>
      </c>
      <c r="P724" s="23">
        <v>60.14</v>
      </c>
      <c r="Q724" s="4">
        <f t="shared" si="11"/>
        <v>-80</v>
      </c>
      <c r="R724" s="23" t="s">
        <v>109</v>
      </c>
    </row>
    <row r="725" spans="1:18" x14ac:dyDescent="0.25">
      <c r="A725" s="37">
        <v>45695</v>
      </c>
      <c r="B725" s="1">
        <v>418103437</v>
      </c>
      <c r="C725" t="s">
        <v>1440</v>
      </c>
      <c r="D725" s="22">
        <v>-4811.2</v>
      </c>
      <c r="E725" t="s">
        <v>35</v>
      </c>
      <c r="F725" s="2">
        <v>212901001</v>
      </c>
      <c r="G725" s="2" t="s">
        <v>121</v>
      </c>
      <c r="L725" s="2" t="s">
        <v>1441</v>
      </c>
      <c r="M725" t="s">
        <v>67</v>
      </c>
      <c r="N725" t="s">
        <v>68</v>
      </c>
      <c r="P725" s="23">
        <v>60.14</v>
      </c>
      <c r="Q725" s="4">
        <f t="shared" si="11"/>
        <v>-80</v>
      </c>
      <c r="R725" s="23" t="s">
        <v>109</v>
      </c>
    </row>
    <row r="726" spans="1:18" x14ac:dyDescent="0.25">
      <c r="A726" s="37">
        <v>45695</v>
      </c>
      <c r="B726" s="1">
        <v>518103440</v>
      </c>
      <c r="C726" t="s">
        <v>1442</v>
      </c>
      <c r="D726" s="22">
        <v>-4811.2</v>
      </c>
      <c r="E726" t="s">
        <v>35</v>
      </c>
      <c r="F726" s="2">
        <v>212901001</v>
      </c>
      <c r="G726" s="2" t="s">
        <v>121</v>
      </c>
      <c r="L726" s="2" t="s">
        <v>1443</v>
      </c>
      <c r="M726" t="s">
        <v>67</v>
      </c>
      <c r="N726" t="s">
        <v>68</v>
      </c>
      <c r="P726" s="23">
        <v>60.14</v>
      </c>
      <c r="Q726" s="4">
        <f t="shared" si="11"/>
        <v>-80</v>
      </c>
      <c r="R726" s="23" t="s">
        <v>109</v>
      </c>
    </row>
    <row r="727" spans="1:18" x14ac:dyDescent="0.25">
      <c r="A727" s="37">
        <v>45695</v>
      </c>
      <c r="B727" s="1">
        <v>518103441</v>
      </c>
      <c r="C727" t="s">
        <v>1444</v>
      </c>
      <c r="D727" s="22">
        <v>-3007</v>
      </c>
      <c r="E727" t="s">
        <v>35</v>
      </c>
      <c r="F727" s="2">
        <v>212901001</v>
      </c>
      <c r="G727" s="2" t="s">
        <v>121</v>
      </c>
      <c r="L727" s="2" t="s">
        <v>1445</v>
      </c>
      <c r="M727" t="s">
        <v>67</v>
      </c>
      <c r="N727" t="s">
        <v>68</v>
      </c>
      <c r="P727" s="23">
        <v>60.14</v>
      </c>
      <c r="Q727" s="4">
        <f t="shared" si="11"/>
        <v>-50</v>
      </c>
      <c r="R727" s="23" t="s">
        <v>109</v>
      </c>
    </row>
    <row r="728" spans="1:18" x14ac:dyDescent="0.25">
      <c r="A728" s="37">
        <v>45695</v>
      </c>
      <c r="B728" s="1">
        <v>518103442</v>
      </c>
      <c r="C728" t="s">
        <v>1446</v>
      </c>
      <c r="D728" s="22">
        <v>-3007</v>
      </c>
      <c r="E728" t="s">
        <v>35</v>
      </c>
      <c r="F728" s="2">
        <v>212901001</v>
      </c>
      <c r="G728" s="2" t="s">
        <v>121</v>
      </c>
      <c r="L728" s="2" t="s">
        <v>1447</v>
      </c>
      <c r="M728" t="s">
        <v>67</v>
      </c>
      <c r="N728" t="s">
        <v>68</v>
      </c>
      <c r="P728" s="23">
        <v>60.14</v>
      </c>
      <c r="Q728" s="4">
        <f t="shared" si="11"/>
        <v>-50</v>
      </c>
      <c r="R728" s="23" t="s">
        <v>109</v>
      </c>
    </row>
    <row r="729" spans="1:18" x14ac:dyDescent="0.25">
      <c r="A729" s="37">
        <v>45695</v>
      </c>
      <c r="B729" s="1">
        <v>518103444</v>
      </c>
      <c r="C729" t="s">
        <v>1448</v>
      </c>
      <c r="D729" s="22">
        <v>-3007</v>
      </c>
      <c r="E729" t="s">
        <v>35</v>
      </c>
      <c r="F729" s="2">
        <v>212901001</v>
      </c>
      <c r="G729" s="2" t="s">
        <v>121</v>
      </c>
      <c r="L729" s="2" t="s">
        <v>1449</v>
      </c>
      <c r="M729" t="s">
        <v>67</v>
      </c>
      <c r="N729" t="s">
        <v>68</v>
      </c>
      <c r="P729" s="23">
        <v>60.14</v>
      </c>
      <c r="Q729" s="4">
        <f t="shared" si="11"/>
        <v>-50</v>
      </c>
      <c r="R729" s="23" t="s">
        <v>109</v>
      </c>
    </row>
    <row r="730" spans="1:18" x14ac:dyDescent="0.25">
      <c r="A730" s="37">
        <v>45695</v>
      </c>
      <c r="B730" s="1">
        <v>518103443</v>
      </c>
      <c r="C730" t="s">
        <v>1450</v>
      </c>
      <c r="D730" s="22">
        <v>-3007</v>
      </c>
      <c r="E730" t="s">
        <v>35</v>
      </c>
      <c r="F730" s="2">
        <v>212901001</v>
      </c>
      <c r="G730" s="2" t="s">
        <v>121</v>
      </c>
      <c r="L730" s="2" t="s">
        <v>1451</v>
      </c>
      <c r="M730" t="s">
        <v>67</v>
      </c>
      <c r="N730" t="s">
        <v>68</v>
      </c>
      <c r="P730" s="23">
        <v>60.14</v>
      </c>
      <c r="Q730" s="4">
        <f t="shared" si="11"/>
        <v>-50</v>
      </c>
      <c r="R730" s="23" t="s">
        <v>109</v>
      </c>
    </row>
    <row r="731" spans="1:18" x14ac:dyDescent="0.25">
      <c r="A731" s="37">
        <v>45695</v>
      </c>
      <c r="B731" s="1">
        <v>518103445</v>
      </c>
      <c r="C731" t="s">
        <v>1452</v>
      </c>
      <c r="D731" s="22">
        <v>-3007</v>
      </c>
      <c r="E731" t="s">
        <v>35</v>
      </c>
      <c r="F731" s="2">
        <v>212901001</v>
      </c>
      <c r="G731" s="2" t="s">
        <v>121</v>
      </c>
      <c r="L731" s="2" t="s">
        <v>1453</v>
      </c>
      <c r="M731" t="s">
        <v>67</v>
      </c>
      <c r="N731" t="s">
        <v>68</v>
      </c>
      <c r="P731" s="23">
        <v>60.14</v>
      </c>
      <c r="Q731" s="4">
        <f t="shared" si="11"/>
        <v>-50</v>
      </c>
      <c r="R731" s="23" t="s">
        <v>109</v>
      </c>
    </row>
    <row r="732" spans="1:18" x14ac:dyDescent="0.25">
      <c r="A732" s="37">
        <v>45695</v>
      </c>
      <c r="B732" s="1">
        <v>518103447</v>
      </c>
      <c r="C732" t="s">
        <v>1454</v>
      </c>
      <c r="D732" s="22">
        <v>-3007</v>
      </c>
      <c r="E732" t="s">
        <v>35</v>
      </c>
      <c r="F732" s="2">
        <v>212901001</v>
      </c>
      <c r="G732" s="2" t="s">
        <v>121</v>
      </c>
      <c r="L732" s="2" t="s">
        <v>1455</v>
      </c>
      <c r="M732" t="s">
        <v>67</v>
      </c>
      <c r="N732" t="s">
        <v>68</v>
      </c>
      <c r="P732" s="23">
        <v>60.14</v>
      </c>
      <c r="Q732" s="4">
        <f t="shared" si="11"/>
        <v>-50</v>
      </c>
      <c r="R732" s="23" t="s">
        <v>109</v>
      </c>
    </row>
    <row r="733" spans="1:18" x14ac:dyDescent="0.25">
      <c r="A733" s="37">
        <v>45695</v>
      </c>
      <c r="B733" s="1">
        <v>518103448</v>
      </c>
      <c r="C733" t="s">
        <v>1456</v>
      </c>
      <c r="D733" s="22">
        <v>-2405.6</v>
      </c>
      <c r="E733" t="s">
        <v>35</v>
      </c>
      <c r="F733" s="2">
        <v>212901001</v>
      </c>
      <c r="G733" s="2" t="s">
        <v>121</v>
      </c>
      <c r="L733" s="2" t="s">
        <v>1457</v>
      </c>
      <c r="M733" t="s">
        <v>67</v>
      </c>
      <c r="N733" t="s">
        <v>68</v>
      </c>
      <c r="P733" s="23">
        <v>60.14</v>
      </c>
      <c r="Q733" s="4">
        <f t="shared" si="11"/>
        <v>-40</v>
      </c>
      <c r="R733" s="23" t="s">
        <v>109</v>
      </c>
    </row>
    <row r="734" spans="1:18" x14ac:dyDescent="0.25">
      <c r="A734" s="37">
        <v>45695</v>
      </c>
      <c r="B734" s="1">
        <v>618103451</v>
      </c>
      <c r="C734" t="s">
        <v>1458</v>
      </c>
      <c r="D734" s="22">
        <v>-2405.6</v>
      </c>
      <c r="E734" t="s">
        <v>35</v>
      </c>
      <c r="F734" s="2">
        <v>212901001</v>
      </c>
      <c r="G734" s="2" t="s">
        <v>121</v>
      </c>
      <c r="L734" s="2" t="s">
        <v>1459</v>
      </c>
      <c r="M734" t="s">
        <v>67</v>
      </c>
      <c r="N734" t="s">
        <v>68</v>
      </c>
      <c r="P734" s="23">
        <v>60.14</v>
      </c>
      <c r="Q734" s="4">
        <f t="shared" si="11"/>
        <v>-40</v>
      </c>
      <c r="R734" s="23" t="s">
        <v>109</v>
      </c>
    </row>
    <row r="735" spans="1:18" x14ac:dyDescent="0.25">
      <c r="A735" s="37">
        <v>45695</v>
      </c>
      <c r="B735" s="1">
        <v>518103449</v>
      </c>
      <c r="C735" t="s">
        <v>1460</v>
      </c>
      <c r="D735" s="22">
        <v>-2405.6</v>
      </c>
      <c r="E735" t="s">
        <v>35</v>
      </c>
      <c r="F735" s="2">
        <v>212901001</v>
      </c>
      <c r="G735" s="2" t="s">
        <v>121</v>
      </c>
      <c r="L735" s="2" t="s">
        <v>1461</v>
      </c>
      <c r="M735" t="s">
        <v>67</v>
      </c>
      <c r="N735" t="s">
        <v>68</v>
      </c>
      <c r="P735" s="23">
        <v>60.14</v>
      </c>
      <c r="Q735" s="4">
        <f t="shared" si="11"/>
        <v>-40</v>
      </c>
      <c r="R735" s="23" t="s">
        <v>109</v>
      </c>
    </row>
    <row r="736" spans="1:18" x14ac:dyDescent="0.25">
      <c r="A736" s="37">
        <v>45695</v>
      </c>
      <c r="B736" s="1">
        <v>618103450</v>
      </c>
      <c r="C736" t="s">
        <v>1462</v>
      </c>
      <c r="D736" s="22">
        <v>-2405.6</v>
      </c>
      <c r="E736" t="s">
        <v>35</v>
      </c>
      <c r="F736" s="2">
        <v>212901001</v>
      </c>
      <c r="G736" s="2" t="s">
        <v>121</v>
      </c>
      <c r="L736" s="2" t="s">
        <v>1463</v>
      </c>
      <c r="M736" t="s">
        <v>67</v>
      </c>
      <c r="N736" t="s">
        <v>68</v>
      </c>
      <c r="P736" s="23">
        <v>60.14</v>
      </c>
      <c r="Q736" s="4">
        <f t="shared" si="11"/>
        <v>-40</v>
      </c>
      <c r="R736" s="23" t="s">
        <v>109</v>
      </c>
    </row>
    <row r="737" spans="1:18" x14ac:dyDescent="0.25">
      <c r="A737" s="37">
        <v>45695</v>
      </c>
      <c r="B737" s="1">
        <v>618103453</v>
      </c>
      <c r="C737" t="s">
        <v>1464</v>
      </c>
      <c r="D737" s="22">
        <v>-2405.6</v>
      </c>
      <c r="E737" t="s">
        <v>35</v>
      </c>
      <c r="F737" s="2">
        <v>212901001</v>
      </c>
      <c r="G737" s="2" t="s">
        <v>121</v>
      </c>
      <c r="L737" s="2" t="s">
        <v>1465</v>
      </c>
      <c r="M737" t="s">
        <v>67</v>
      </c>
      <c r="N737" t="s">
        <v>68</v>
      </c>
      <c r="P737" s="23">
        <v>60.14</v>
      </c>
      <c r="Q737" s="4">
        <f t="shared" si="11"/>
        <v>-40</v>
      </c>
      <c r="R737" s="23" t="s">
        <v>109</v>
      </c>
    </row>
    <row r="738" spans="1:18" x14ac:dyDescent="0.25">
      <c r="A738" s="37">
        <v>45695</v>
      </c>
      <c r="B738" s="1">
        <v>618103454</v>
      </c>
      <c r="C738" t="s">
        <v>1466</v>
      </c>
      <c r="D738" s="22">
        <v>-2405.6</v>
      </c>
      <c r="E738" t="s">
        <v>35</v>
      </c>
      <c r="F738" s="2">
        <v>212901001</v>
      </c>
      <c r="G738" s="2" t="s">
        <v>121</v>
      </c>
      <c r="L738" s="2" t="s">
        <v>1467</v>
      </c>
      <c r="M738" t="s">
        <v>67</v>
      </c>
      <c r="N738" t="s">
        <v>68</v>
      </c>
      <c r="P738" s="23">
        <v>60.14</v>
      </c>
      <c r="Q738" s="4">
        <f t="shared" si="11"/>
        <v>-40</v>
      </c>
      <c r="R738" s="23" t="s">
        <v>109</v>
      </c>
    </row>
    <row r="739" spans="1:18" x14ac:dyDescent="0.25">
      <c r="A739" s="37">
        <v>45695</v>
      </c>
      <c r="B739" s="1">
        <v>618103452</v>
      </c>
      <c r="C739" t="s">
        <v>1468</v>
      </c>
      <c r="D739" s="22">
        <v>-2405.6</v>
      </c>
      <c r="E739" t="s">
        <v>35</v>
      </c>
      <c r="F739" s="2">
        <v>212901001</v>
      </c>
      <c r="G739" s="2" t="s">
        <v>121</v>
      </c>
      <c r="L739" s="2" t="s">
        <v>1469</v>
      </c>
      <c r="M739" t="s">
        <v>67</v>
      </c>
      <c r="N739" t="s">
        <v>68</v>
      </c>
      <c r="P739" s="23">
        <v>60.14</v>
      </c>
      <c r="Q739" s="4">
        <f t="shared" si="11"/>
        <v>-40</v>
      </c>
      <c r="R739" s="23" t="s">
        <v>109</v>
      </c>
    </row>
    <row r="740" spans="1:18" x14ac:dyDescent="0.25">
      <c r="A740" s="37">
        <v>45695</v>
      </c>
      <c r="B740" s="1">
        <v>618103456</v>
      </c>
      <c r="C740" t="s">
        <v>1470</v>
      </c>
      <c r="D740" s="22">
        <v>-6014</v>
      </c>
      <c r="E740" t="s">
        <v>35</v>
      </c>
      <c r="F740" s="2">
        <v>212901001</v>
      </c>
      <c r="G740" s="2" t="s">
        <v>121</v>
      </c>
      <c r="L740" s="2" t="s">
        <v>1471</v>
      </c>
      <c r="M740" t="s">
        <v>67</v>
      </c>
      <c r="N740" t="s">
        <v>68</v>
      </c>
      <c r="P740" s="23">
        <v>60.14</v>
      </c>
      <c r="Q740" s="4">
        <f t="shared" si="11"/>
        <v>-100</v>
      </c>
      <c r="R740" s="23" t="s">
        <v>109</v>
      </c>
    </row>
    <row r="741" spans="1:18" x14ac:dyDescent="0.25">
      <c r="A741" s="37">
        <v>45695</v>
      </c>
      <c r="B741" s="1">
        <v>618103455</v>
      </c>
      <c r="C741" t="s">
        <v>1472</v>
      </c>
      <c r="D741" s="22">
        <v>-6014</v>
      </c>
      <c r="E741" t="s">
        <v>35</v>
      </c>
      <c r="F741" s="2">
        <v>212901001</v>
      </c>
      <c r="G741" s="2" t="s">
        <v>121</v>
      </c>
      <c r="L741" s="2" t="s">
        <v>1473</v>
      </c>
      <c r="M741" t="s">
        <v>67</v>
      </c>
      <c r="N741" t="s">
        <v>68</v>
      </c>
      <c r="P741" s="23">
        <v>60.14</v>
      </c>
      <c r="Q741" s="4">
        <f t="shared" si="11"/>
        <v>-100</v>
      </c>
      <c r="R741" s="23" t="s">
        <v>109</v>
      </c>
    </row>
    <row r="742" spans="1:18" x14ac:dyDescent="0.25">
      <c r="A742" s="37">
        <v>45695</v>
      </c>
      <c r="B742" s="1">
        <v>618103460</v>
      </c>
      <c r="C742" t="s">
        <v>1474</v>
      </c>
      <c r="D742" s="22">
        <v>-4811.2</v>
      </c>
      <c r="E742" t="s">
        <v>35</v>
      </c>
      <c r="F742" s="2">
        <v>212901001</v>
      </c>
      <c r="G742" s="2" t="s">
        <v>121</v>
      </c>
      <c r="L742" s="2" t="s">
        <v>1475</v>
      </c>
      <c r="M742" t="s">
        <v>67</v>
      </c>
      <c r="N742" t="s">
        <v>68</v>
      </c>
      <c r="P742" s="23">
        <v>60.14</v>
      </c>
      <c r="Q742" s="4">
        <f t="shared" si="11"/>
        <v>-80</v>
      </c>
      <c r="R742" s="23" t="s">
        <v>109</v>
      </c>
    </row>
    <row r="743" spans="1:18" x14ac:dyDescent="0.25">
      <c r="A743" s="37">
        <v>45695</v>
      </c>
      <c r="B743" s="1">
        <v>618103457</v>
      </c>
      <c r="C743" t="s">
        <v>1476</v>
      </c>
      <c r="D743" s="22">
        <v>-9021</v>
      </c>
      <c r="E743" t="s">
        <v>35</v>
      </c>
      <c r="F743" s="2">
        <v>212901001</v>
      </c>
      <c r="G743" s="2" t="s">
        <v>121</v>
      </c>
      <c r="L743" s="2" t="s">
        <v>1477</v>
      </c>
      <c r="M743" t="s">
        <v>67</v>
      </c>
      <c r="N743" t="s">
        <v>68</v>
      </c>
      <c r="P743" s="23">
        <v>60.14</v>
      </c>
      <c r="Q743" s="4">
        <f t="shared" si="11"/>
        <v>-150</v>
      </c>
      <c r="R743" s="23" t="s">
        <v>109</v>
      </c>
    </row>
    <row r="744" spans="1:18" x14ac:dyDescent="0.25">
      <c r="A744" s="37">
        <v>45695</v>
      </c>
      <c r="B744" s="1">
        <v>718103462</v>
      </c>
      <c r="C744" t="s">
        <v>1478</v>
      </c>
      <c r="D744" s="22">
        <v>-2766.44</v>
      </c>
      <c r="E744" t="s">
        <v>35</v>
      </c>
      <c r="F744" s="2">
        <v>212901001</v>
      </c>
      <c r="G744" s="2" t="s">
        <v>121</v>
      </c>
      <c r="L744" s="2" t="s">
        <v>1479</v>
      </c>
      <c r="M744" t="s">
        <v>67</v>
      </c>
      <c r="N744" t="s">
        <v>68</v>
      </c>
      <c r="P744" s="23">
        <v>60.14</v>
      </c>
      <c r="Q744" s="4">
        <f t="shared" si="11"/>
        <v>-46</v>
      </c>
      <c r="R744" s="23" t="s">
        <v>109</v>
      </c>
    </row>
    <row r="745" spans="1:18" x14ac:dyDescent="0.25">
      <c r="A745" s="37">
        <v>45695</v>
      </c>
      <c r="B745" s="1">
        <v>618103458</v>
      </c>
      <c r="C745" t="s">
        <v>1480</v>
      </c>
      <c r="D745" s="22">
        <v>-1804.2</v>
      </c>
      <c r="E745" t="s">
        <v>35</v>
      </c>
      <c r="F745" s="2">
        <v>212901001</v>
      </c>
      <c r="G745" s="2" t="s">
        <v>121</v>
      </c>
      <c r="L745" s="2" t="s">
        <v>1481</v>
      </c>
      <c r="M745" t="s">
        <v>67</v>
      </c>
      <c r="N745" t="s">
        <v>68</v>
      </c>
      <c r="P745" s="23">
        <v>60.14</v>
      </c>
      <c r="Q745" s="4">
        <f t="shared" si="11"/>
        <v>-30</v>
      </c>
      <c r="R745" s="23" t="s">
        <v>109</v>
      </c>
    </row>
    <row r="746" spans="1:18" x14ac:dyDescent="0.25">
      <c r="A746" s="37">
        <v>45695</v>
      </c>
      <c r="B746" s="1">
        <v>618103459</v>
      </c>
      <c r="C746" t="s">
        <v>1482</v>
      </c>
      <c r="D746" s="22">
        <v>-6615.4</v>
      </c>
      <c r="E746" t="s">
        <v>35</v>
      </c>
      <c r="F746" s="2">
        <v>212901001</v>
      </c>
      <c r="G746" s="2" t="s">
        <v>121</v>
      </c>
      <c r="L746" s="2" t="s">
        <v>1483</v>
      </c>
      <c r="M746" t="s">
        <v>67</v>
      </c>
      <c r="N746" t="s">
        <v>68</v>
      </c>
      <c r="P746" s="23">
        <v>60.14</v>
      </c>
      <c r="Q746" s="4">
        <f t="shared" si="11"/>
        <v>-110</v>
      </c>
      <c r="R746" s="23" t="s">
        <v>109</v>
      </c>
    </row>
    <row r="747" spans="1:18" x14ac:dyDescent="0.25">
      <c r="A747" s="37">
        <v>45695</v>
      </c>
      <c r="B747" s="1">
        <v>718103464</v>
      </c>
      <c r="C747" t="s">
        <v>1484</v>
      </c>
      <c r="D747" s="22">
        <v>-4209.8</v>
      </c>
      <c r="E747" t="s">
        <v>35</v>
      </c>
      <c r="F747" s="2">
        <v>212901001</v>
      </c>
      <c r="G747" s="2" t="s">
        <v>121</v>
      </c>
      <c r="L747" s="2" t="s">
        <v>1485</v>
      </c>
      <c r="M747" t="s">
        <v>67</v>
      </c>
      <c r="N747" t="s">
        <v>68</v>
      </c>
      <c r="P747" s="23">
        <v>60.14</v>
      </c>
      <c r="Q747" s="4">
        <f t="shared" si="11"/>
        <v>-70</v>
      </c>
      <c r="R747" s="23" t="s">
        <v>109</v>
      </c>
    </row>
    <row r="748" spans="1:18" x14ac:dyDescent="0.25">
      <c r="A748" s="37">
        <v>45695</v>
      </c>
      <c r="B748" s="1">
        <v>718103461</v>
      </c>
      <c r="C748" t="s">
        <v>1486</v>
      </c>
      <c r="D748" s="22">
        <v>-6014</v>
      </c>
      <c r="E748" t="s">
        <v>35</v>
      </c>
      <c r="F748" s="2">
        <v>212901001</v>
      </c>
      <c r="G748" s="2" t="s">
        <v>121</v>
      </c>
      <c r="L748" s="2" t="s">
        <v>1487</v>
      </c>
      <c r="M748" t="s">
        <v>67</v>
      </c>
      <c r="N748" t="s">
        <v>68</v>
      </c>
      <c r="P748" s="23">
        <v>60.14</v>
      </c>
      <c r="Q748" s="4">
        <f t="shared" si="11"/>
        <v>-100</v>
      </c>
      <c r="R748" s="23" t="s">
        <v>109</v>
      </c>
    </row>
    <row r="749" spans="1:18" x14ac:dyDescent="0.25">
      <c r="A749" s="37">
        <v>45695</v>
      </c>
      <c r="B749" s="1">
        <v>718103463</v>
      </c>
      <c r="C749" t="s">
        <v>1488</v>
      </c>
      <c r="D749" s="22">
        <v>-4209.8</v>
      </c>
      <c r="E749" t="s">
        <v>35</v>
      </c>
      <c r="F749" s="2">
        <v>212901001</v>
      </c>
      <c r="G749" s="2" t="s">
        <v>121</v>
      </c>
      <c r="L749" s="2" t="s">
        <v>1489</v>
      </c>
      <c r="M749" t="s">
        <v>67</v>
      </c>
      <c r="N749" t="s">
        <v>68</v>
      </c>
      <c r="P749" s="23">
        <v>60.14</v>
      </c>
      <c r="Q749" s="4">
        <f t="shared" si="11"/>
        <v>-70</v>
      </c>
      <c r="R749" s="23" t="s">
        <v>109</v>
      </c>
    </row>
    <row r="750" spans="1:18" x14ac:dyDescent="0.25">
      <c r="A750" s="37">
        <v>45695</v>
      </c>
      <c r="B750" s="1">
        <v>718103465</v>
      </c>
      <c r="C750" t="s">
        <v>1490</v>
      </c>
      <c r="D750" s="22">
        <v>-4209.8</v>
      </c>
      <c r="E750" t="s">
        <v>35</v>
      </c>
      <c r="F750" s="2">
        <v>212901001</v>
      </c>
      <c r="G750" s="2" t="s">
        <v>121</v>
      </c>
      <c r="L750" s="2" t="s">
        <v>1491</v>
      </c>
      <c r="M750" t="s">
        <v>67</v>
      </c>
      <c r="N750" t="s">
        <v>68</v>
      </c>
      <c r="P750" s="23">
        <v>60.14</v>
      </c>
      <c r="Q750" s="4">
        <f t="shared" si="11"/>
        <v>-70</v>
      </c>
      <c r="R750" s="23" t="s">
        <v>109</v>
      </c>
    </row>
    <row r="751" spans="1:18" x14ac:dyDescent="0.25">
      <c r="A751" s="37">
        <v>45695</v>
      </c>
      <c r="B751" s="1">
        <v>718103466</v>
      </c>
      <c r="C751" t="s">
        <v>1492</v>
      </c>
      <c r="D751" s="22">
        <v>-3007</v>
      </c>
      <c r="E751" t="s">
        <v>35</v>
      </c>
      <c r="F751" s="2">
        <v>212901001</v>
      </c>
      <c r="G751" s="2" t="s">
        <v>121</v>
      </c>
      <c r="L751" s="2" t="s">
        <v>1493</v>
      </c>
      <c r="M751" t="s">
        <v>67</v>
      </c>
      <c r="N751" t="s">
        <v>68</v>
      </c>
      <c r="P751" s="23">
        <v>60.14</v>
      </c>
      <c r="Q751" s="4">
        <f t="shared" si="11"/>
        <v>-50</v>
      </c>
      <c r="R751" s="23" t="s">
        <v>109</v>
      </c>
    </row>
    <row r="752" spans="1:18" x14ac:dyDescent="0.25">
      <c r="A752" s="37">
        <v>45695</v>
      </c>
      <c r="B752" s="1">
        <v>718103471</v>
      </c>
      <c r="C752" t="s">
        <v>1494</v>
      </c>
      <c r="D752" s="22">
        <v>-3007</v>
      </c>
      <c r="E752" t="s">
        <v>35</v>
      </c>
      <c r="F752" s="2">
        <v>212901001</v>
      </c>
      <c r="G752" s="2" t="s">
        <v>121</v>
      </c>
      <c r="L752" s="2" t="s">
        <v>1495</v>
      </c>
      <c r="M752" t="s">
        <v>67</v>
      </c>
      <c r="N752" t="s">
        <v>68</v>
      </c>
      <c r="P752" s="23">
        <v>60.14</v>
      </c>
      <c r="Q752" s="4">
        <f t="shared" si="11"/>
        <v>-50</v>
      </c>
      <c r="R752" s="23" t="s">
        <v>109</v>
      </c>
    </row>
    <row r="753" spans="1:18" x14ac:dyDescent="0.25">
      <c r="A753" s="37">
        <v>45695</v>
      </c>
      <c r="B753" s="1">
        <v>818103475</v>
      </c>
      <c r="C753" t="s">
        <v>1496</v>
      </c>
      <c r="D753" s="22">
        <v>-3007</v>
      </c>
      <c r="E753" t="s">
        <v>35</v>
      </c>
      <c r="F753" s="2">
        <v>212901001</v>
      </c>
      <c r="G753" s="2" t="s">
        <v>121</v>
      </c>
      <c r="L753" s="2" t="s">
        <v>1497</v>
      </c>
      <c r="M753" t="s">
        <v>67</v>
      </c>
      <c r="N753" t="s">
        <v>68</v>
      </c>
      <c r="P753" s="23">
        <v>60.14</v>
      </c>
      <c r="Q753" s="4">
        <f t="shared" si="11"/>
        <v>-50</v>
      </c>
      <c r="R753" s="23" t="s">
        <v>109</v>
      </c>
    </row>
    <row r="754" spans="1:18" x14ac:dyDescent="0.25">
      <c r="A754" s="37">
        <v>45695</v>
      </c>
      <c r="B754" s="1">
        <v>718103470</v>
      </c>
      <c r="C754" t="s">
        <v>1498</v>
      </c>
      <c r="D754" s="22">
        <v>-2525.88</v>
      </c>
      <c r="E754" t="s">
        <v>35</v>
      </c>
      <c r="F754" s="2">
        <v>212901001</v>
      </c>
      <c r="G754" s="2" t="s">
        <v>121</v>
      </c>
      <c r="L754" s="2" t="s">
        <v>1499</v>
      </c>
      <c r="M754" t="s">
        <v>67</v>
      </c>
      <c r="N754" t="s">
        <v>68</v>
      </c>
      <c r="P754" s="23">
        <v>60.14</v>
      </c>
      <c r="Q754" s="4">
        <f t="shared" si="11"/>
        <v>-42</v>
      </c>
      <c r="R754" s="23" t="s">
        <v>109</v>
      </c>
    </row>
    <row r="755" spans="1:18" x14ac:dyDescent="0.25">
      <c r="A755" s="37">
        <v>45695</v>
      </c>
      <c r="B755" s="1">
        <v>818103474</v>
      </c>
      <c r="C755" t="s">
        <v>1500</v>
      </c>
      <c r="D755" s="22">
        <v>-3007</v>
      </c>
      <c r="E755" t="s">
        <v>35</v>
      </c>
      <c r="F755" s="2">
        <v>212901001</v>
      </c>
      <c r="G755" s="2" t="s">
        <v>121</v>
      </c>
      <c r="L755" s="2" t="s">
        <v>1501</v>
      </c>
      <c r="M755" t="s">
        <v>67</v>
      </c>
      <c r="N755" t="s">
        <v>68</v>
      </c>
      <c r="P755" s="23">
        <v>60.14</v>
      </c>
      <c r="Q755" s="4">
        <f t="shared" si="11"/>
        <v>-50</v>
      </c>
      <c r="R755" s="23" t="s">
        <v>109</v>
      </c>
    </row>
    <row r="756" spans="1:18" x14ac:dyDescent="0.25">
      <c r="A756" s="37">
        <v>45695</v>
      </c>
      <c r="B756" s="1">
        <v>818103473</v>
      </c>
      <c r="C756" t="s">
        <v>1502</v>
      </c>
      <c r="D756" s="22">
        <v>-3007</v>
      </c>
      <c r="E756" t="s">
        <v>35</v>
      </c>
      <c r="F756" s="2">
        <v>212901001</v>
      </c>
      <c r="G756" s="2" t="s">
        <v>121</v>
      </c>
      <c r="L756" s="2" t="s">
        <v>1503</v>
      </c>
      <c r="M756" t="s">
        <v>67</v>
      </c>
      <c r="N756" t="s">
        <v>68</v>
      </c>
      <c r="P756" s="23">
        <v>60.14</v>
      </c>
      <c r="Q756" s="4">
        <f t="shared" si="11"/>
        <v>-50</v>
      </c>
      <c r="R756" s="23" t="s">
        <v>109</v>
      </c>
    </row>
    <row r="757" spans="1:18" x14ac:dyDescent="0.25">
      <c r="A757" s="37">
        <v>45695</v>
      </c>
      <c r="B757" s="1">
        <v>818103477</v>
      </c>
      <c r="C757" t="s">
        <v>1504</v>
      </c>
      <c r="D757" s="22">
        <v>-2525.88</v>
      </c>
      <c r="E757" t="s">
        <v>35</v>
      </c>
      <c r="F757" s="2">
        <v>212901001</v>
      </c>
      <c r="G757" s="2" t="s">
        <v>121</v>
      </c>
      <c r="L757" s="2" t="s">
        <v>1505</v>
      </c>
      <c r="M757" t="s">
        <v>67</v>
      </c>
      <c r="N757" t="s">
        <v>68</v>
      </c>
      <c r="P757" s="23">
        <v>60.14</v>
      </c>
      <c r="Q757" s="4">
        <f t="shared" si="11"/>
        <v>-42</v>
      </c>
      <c r="R757" s="23" t="s">
        <v>109</v>
      </c>
    </row>
    <row r="758" spans="1:18" x14ac:dyDescent="0.25">
      <c r="A758" s="37">
        <v>45695</v>
      </c>
      <c r="B758" s="1">
        <v>818103476</v>
      </c>
      <c r="C758" t="s">
        <v>1494</v>
      </c>
      <c r="D758" s="22">
        <v>-3007</v>
      </c>
      <c r="E758" t="s">
        <v>35</v>
      </c>
      <c r="F758" s="2">
        <v>212901001</v>
      </c>
      <c r="G758" s="2" t="s">
        <v>121</v>
      </c>
      <c r="L758" s="2" t="s">
        <v>1506</v>
      </c>
      <c r="M758" t="s">
        <v>67</v>
      </c>
      <c r="N758" t="s">
        <v>68</v>
      </c>
      <c r="P758" s="23">
        <v>60.14</v>
      </c>
      <c r="Q758" s="4">
        <f t="shared" si="11"/>
        <v>-50</v>
      </c>
      <c r="R758" s="23" t="s">
        <v>109</v>
      </c>
    </row>
    <row r="759" spans="1:18" x14ac:dyDescent="0.25">
      <c r="A759" s="37">
        <v>45695</v>
      </c>
      <c r="B759" s="1">
        <v>818103482</v>
      </c>
      <c r="C759" t="s">
        <v>1507</v>
      </c>
      <c r="D759" s="22">
        <v>-3007</v>
      </c>
      <c r="E759" t="s">
        <v>35</v>
      </c>
      <c r="F759" s="2">
        <v>212901001</v>
      </c>
      <c r="G759" s="2" t="s">
        <v>121</v>
      </c>
      <c r="L759" s="2" t="s">
        <v>1508</v>
      </c>
      <c r="M759" t="s">
        <v>67</v>
      </c>
      <c r="N759" t="s">
        <v>68</v>
      </c>
      <c r="P759" s="23">
        <v>60.14</v>
      </c>
      <c r="Q759" s="4">
        <f t="shared" si="11"/>
        <v>-50</v>
      </c>
      <c r="R759" s="23" t="s">
        <v>109</v>
      </c>
    </row>
    <row r="760" spans="1:18" x14ac:dyDescent="0.25">
      <c r="A760" s="37">
        <v>45695</v>
      </c>
      <c r="B760" s="1">
        <v>818103480</v>
      </c>
      <c r="C760" t="s">
        <v>1509</v>
      </c>
      <c r="D760" s="22">
        <v>-3007</v>
      </c>
      <c r="E760" t="s">
        <v>35</v>
      </c>
      <c r="F760" s="2">
        <v>212901001</v>
      </c>
      <c r="G760" s="2" t="s">
        <v>121</v>
      </c>
      <c r="L760" s="2" t="s">
        <v>1510</v>
      </c>
      <c r="M760" t="s">
        <v>67</v>
      </c>
      <c r="N760" t="s">
        <v>68</v>
      </c>
      <c r="P760" s="23">
        <v>60.14</v>
      </c>
      <c r="Q760" s="4">
        <f t="shared" si="11"/>
        <v>-50</v>
      </c>
      <c r="R760" s="23" t="s">
        <v>109</v>
      </c>
    </row>
    <row r="761" spans="1:18" x14ac:dyDescent="0.25">
      <c r="A761" s="37">
        <v>45695</v>
      </c>
      <c r="B761" s="1">
        <v>718103472</v>
      </c>
      <c r="C761" t="s">
        <v>1511</v>
      </c>
      <c r="D761" s="22">
        <v>-3007</v>
      </c>
      <c r="E761" t="s">
        <v>35</v>
      </c>
      <c r="F761" s="2">
        <v>212901001</v>
      </c>
      <c r="G761" s="2" t="s">
        <v>121</v>
      </c>
      <c r="L761" s="2" t="s">
        <v>1512</v>
      </c>
      <c r="M761" t="s">
        <v>67</v>
      </c>
      <c r="N761" t="s">
        <v>68</v>
      </c>
      <c r="P761" s="23">
        <v>60.14</v>
      </c>
      <c r="Q761" s="4">
        <f t="shared" si="11"/>
        <v>-50</v>
      </c>
      <c r="R761" s="23" t="s">
        <v>109</v>
      </c>
    </row>
    <row r="762" spans="1:18" x14ac:dyDescent="0.25">
      <c r="A762" s="37">
        <v>45695</v>
      </c>
      <c r="B762" s="1">
        <v>718103469</v>
      </c>
      <c r="C762" t="s">
        <v>1513</v>
      </c>
      <c r="D762" s="22">
        <v>-3007</v>
      </c>
      <c r="E762" t="s">
        <v>35</v>
      </c>
      <c r="F762" s="2">
        <v>212901001</v>
      </c>
      <c r="G762" s="2" t="s">
        <v>121</v>
      </c>
      <c r="L762" s="2" t="s">
        <v>1514</v>
      </c>
      <c r="M762" t="s">
        <v>67</v>
      </c>
      <c r="N762" t="s">
        <v>68</v>
      </c>
      <c r="P762" s="23">
        <v>60.14</v>
      </c>
      <c r="Q762" s="4">
        <f t="shared" si="11"/>
        <v>-50</v>
      </c>
      <c r="R762" s="23" t="s">
        <v>109</v>
      </c>
    </row>
    <row r="763" spans="1:18" x14ac:dyDescent="0.25">
      <c r="A763" s="37">
        <v>45695</v>
      </c>
      <c r="B763" s="1">
        <v>818103485</v>
      </c>
      <c r="C763" t="s">
        <v>1515</v>
      </c>
      <c r="D763" s="22">
        <v>-1202.8</v>
      </c>
      <c r="E763" t="s">
        <v>35</v>
      </c>
      <c r="F763" s="2">
        <v>212901001</v>
      </c>
      <c r="G763" s="2" t="s">
        <v>121</v>
      </c>
      <c r="L763" s="2" t="s">
        <v>1516</v>
      </c>
      <c r="M763" t="s">
        <v>67</v>
      </c>
      <c r="N763" t="s">
        <v>68</v>
      </c>
      <c r="P763" s="23">
        <v>60.14</v>
      </c>
      <c r="Q763" s="4">
        <f t="shared" si="11"/>
        <v>-20</v>
      </c>
      <c r="R763" s="23" t="s">
        <v>109</v>
      </c>
    </row>
    <row r="764" spans="1:18" x14ac:dyDescent="0.25">
      <c r="A764" s="37">
        <v>45695</v>
      </c>
      <c r="B764" s="1">
        <v>818103478</v>
      </c>
      <c r="C764" t="s">
        <v>1517</v>
      </c>
      <c r="D764" s="22">
        <v>-2525.88</v>
      </c>
      <c r="E764" t="s">
        <v>35</v>
      </c>
      <c r="F764" s="2">
        <v>212901001</v>
      </c>
      <c r="G764" s="2" t="s">
        <v>121</v>
      </c>
      <c r="L764" s="2" t="s">
        <v>1518</v>
      </c>
      <c r="M764" t="s">
        <v>67</v>
      </c>
      <c r="N764" t="s">
        <v>68</v>
      </c>
      <c r="P764" s="23">
        <v>60.14</v>
      </c>
      <c r="Q764" s="4">
        <f t="shared" si="11"/>
        <v>-42</v>
      </c>
      <c r="R764" s="23" t="s">
        <v>109</v>
      </c>
    </row>
    <row r="765" spans="1:18" x14ac:dyDescent="0.25">
      <c r="A765" s="37">
        <v>45695</v>
      </c>
      <c r="B765" s="1">
        <v>918103488</v>
      </c>
      <c r="C765" t="s">
        <v>1519</v>
      </c>
      <c r="D765" s="22">
        <v>-1202.8</v>
      </c>
      <c r="E765" t="s">
        <v>35</v>
      </c>
      <c r="F765" s="2">
        <v>212901001</v>
      </c>
      <c r="G765" s="2" t="s">
        <v>121</v>
      </c>
      <c r="L765" s="2" t="s">
        <v>1520</v>
      </c>
      <c r="M765" t="s">
        <v>67</v>
      </c>
      <c r="N765" t="s">
        <v>68</v>
      </c>
      <c r="P765" s="23">
        <v>60.14</v>
      </c>
      <c r="Q765" s="4">
        <f t="shared" si="11"/>
        <v>-20</v>
      </c>
      <c r="R765" s="23" t="s">
        <v>109</v>
      </c>
    </row>
    <row r="766" spans="1:18" x14ac:dyDescent="0.25">
      <c r="A766" s="37">
        <v>45695</v>
      </c>
      <c r="B766" s="1">
        <v>818103481</v>
      </c>
      <c r="C766" t="s">
        <v>1521</v>
      </c>
      <c r="D766" s="22">
        <v>-3007</v>
      </c>
      <c r="E766" t="s">
        <v>35</v>
      </c>
      <c r="F766" s="2">
        <v>212901001</v>
      </c>
      <c r="G766" s="2" t="s">
        <v>121</v>
      </c>
      <c r="L766" s="2" t="s">
        <v>1522</v>
      </c>
      <c r="M766" t="s">
        <v>67</v>
      </c>
      <c r="N766" t="s">
        <v>68</v>
      </c>
      <c r="P766" s="23">
        <v>60.14</v>
      </c>
      <c r="Q766" s="4">
        <f t="shared" si="11"/>
        <v>-50</v>
      </c>
      <c r="R766" s="23" t="s">
        <v>109</v>
      </c>
    </row>
    <row r="767" spans="1:18" x14ac:dyDescent="0.25">
      <c r="A767" s="37">
        <v>45695</v>
      </c>
      <c r="B767" s="1">
        <v>918103489</v>
      </c>
      <c r="C767" t="s">
        <v>1523</v>
      </c>
      <c r="D767" s="22">
        <v>-6014</v>
      </c>
      <c r="E767" t="s">
        <v>35</v>
      </c>
      <c r="F767" s="2">
        <v>212901001</v>
      </c>
      <c r="G767" s="2" t="s">
        <v>121</v>
      </c>
      <c r="L767" s="2" t="s">
        <v>1524</v>
      </c>
      <c r="M767" t="s">
        <v>67</v>
      </c>
      <c r="N767" t="s">
        <v>68</v>
      </c>
      <c r="P767" s="23">
        <v>60.14</v>
      </c>
      <c r="Q767" s="4">
        <f t="shared" si="11"/>
        <v>-100</v>
      </c>
      <c r="R767" s="23" t="s">
        <v>109</v>
      </c>
    </row>
    <row r="768" spans="1:18" x14ac:dyDescent="0.25">
      <c r="A768" s="37">
        <v>45695</v>
      </c>
      <c r="B768" s="1">
        <v>918103486</v>
      </c>
      <c r="C768" t="s">
        <v>1525</v>
      </c>
      <c r="D768" s="22">
        <v>-1202.8</v>
      </c>
      <c r="E768" t="s">
        <v>35</v>
      </c>
      <c r="F768" s="2">
        <v>212901001</v>
      </c>
      <c r="G768" s="2" t="s">
        <v>121</v>
      </c>
      <c r="L768" s="2" t="s">
        <v>1526</v>
      </c>
      <c r="M768" t="s">
        <v>67</v>
      </c>
      <c r="N768" t="s">
        <v>68</v>
      </c>
      <c r="P768" s="23">
        <v>60.14</v>
      </c>
      <c r="Q768" s="4">
        <f t="shared" si="11"/>
        <v>-20</v>
      </c>
      <c r="R768" s="23" t="s">
        <v>109</v>
      </c>
    </row>
    <row r="769" spans="1:20" x14ac:dyDescent="0.25">
      <c r="A769" s="37">
        <v>45695</v>
      </c>
      <c r="B769" s="1">
        <v>818103483</v>
      </c>
      <c r="C769" t="s">
        <v>1527</v>
      </c>
      <c r="D769" s="22">
        <v>-3007</v>
      </c>
      <c r="E769" t="s">
        <v>35</v>
      </c>
      <c r="F769" s="2">
        <v>212901001</v>
      </c>
      <c r="G769" s="2" t="s">
        <v>121</v>
      </c>
      <c r="L769" s="2" t="s">
        <v>1528</v>
      </c>
      <c r="M769" t="s">
        <v>67</v>
      </c>
      <c r="N769" t="s">
        <v>68</v>
      </c>
      <c r="P769" s="23">
        <v>60.14</v>
      </c>
      <c r="Q769" s="4">
        <f t="shared" si="11"/>
        <v>-50</v>
      </c>
      <c r="R769" s="23" t="s">
        <v>109</v>
      </c>
    </row>
    <row r="770" spans="1:20" x14ac:dyDescent="0.25">
      <c r="A770" s="37">
        <v>45695</v>
      </c>
      <c r="B770" s="1">
        <v>918103492</v>
      </c>
      <c r="C770" t="s">
        <v>1529</v>
      </c>
      <c r="D770" s="22">
        <v>-7216.8</v>
      </c>
      <c r="E770" t="s">
        <v>35</v>
      </c>
      <c r="F770" s="2">
        <v>212901001</v>
      </c>
      <c r="G770" s="2" t="s">
        <v>121</v>
      </c>
      <c r="L770" s="2" t="s">
        <v>1530</v>
      </c>
      <c r="M770" t="s">
        <v>67</v>
      </c>
      <c r="N770" t="s">
        <v>68</v>
      </c>
      <c r="P770" s="23">
        <v>60.14</v>
      </c>
      <c r="Q770" s="4">
        <f t="shared" si="11"/>
        <v>-120</v>
      </c>
      <c r="R770" s="23" t="s">
        <v>109</v>
      </c>
    </row>
    <row r="771" spans="1:20" x14ac:dyDescent="0.25">
      <c r="A771" s="37">
        <v>45695</v>
      </c>
      <c r="B771" s="1">
        <v>918103487</v>
      </c>
      <c r="C771" t="s">
        <v>1531</v>
      </c>
      <c r="D771" s="22">
        <v>-1202.8</v>
      </c>
      <c r="E771" t="s">
        <v>35</v>
      </c>
      <c r="F771" s="2">
        <v>212901001</v>
      </c>
      <c r="G771" s="2" t="s">
        <v>121</v>
      </c>
      <c r="L771" s="2" t="s">
        <v>1532</v>
      </c>
      <c r="M771" t="s">
        <v>67</v>
      </c>
      <c r="N771" t="s">
        <v>68</v>
      </c>
      <c r="P771" s="23">
        <v>60.14</v>
      </c>
      <c r="Q771" s="4">
        <f t="shared" si="11"/>
        <v>-20</v>
      </c>
      <c r="R771" s="23" t="s">
        <v>109</v>
      </c>
    </row>
    <row r="772" spans="1:20" x14ac:dyDescent="0.25">
      <c r="A772" s="37">
        <v>45695</v>
      </c>
      <c r="B772" s="1">
        <v>918103490</v>
      </c>
      <c r="C772" t="s">
        <v>1533</v>
      </c>
      <c r="D772" s="22">
        <v>-12028</v>
      </c>
      <c r="E772" t="s">
        <v>35</v>
      </c>
      <c r="F772" s="2">
        <v>212901001</v>
      </c>
      <c r="G772" s="2" t="s">
        <v>121</v>
      </c>
      <c r="L772" s="2" t="s">
        <v>1534</v>
      </c>
      <c r="M772" t="s">
        <v>67</v>
      </c>
      <c r="N772" t="s">
        <v>68</v>
      </c>
      <c r="P772" s="23">
        <v>60.14</v>
      </c>
      <c r="Q772" s="4">
        <f t="shared" si="11"/>
        <v>-200</v>
      </c>
      <c r="R772" s="23" t="s">
        <v>109</v>
      </c>
    </row>
    <row r="773" spans="1:20" x14ac:dyDescent="0.25">
      <c r="A773" s="37">
        <v>45695</v>
      </c>
      <c r="B773" s="1">
        <v>918103493</v>
      </c>
      <c r="C773" t="s">
        <v>1535</v>
      </c>
      <c r="D773" s="22">
        <v>-1804.2</v>
      </c>
      <c r="E773" t="s">
        <v>35</v>
      </c>
      <c r="F773" s="2">
        <v>212901001</v>
      </c>
      <c r="G773" s="2" t="s">
        <v>121</v>
      </c>
      <c r="L773" s="2" t="s">
        <v>1536</v>
      </c>
      <c r="M773" t="s">
        <v>67</v>
      </c>
      <c r="N773" t="s">
        <v>68</v>
      </c>
      <c r="P773" s="23">
        <v>60.14</v>
      </c>
      <c r="Q773" s="4">
        <f t="shared" si="11"/>
        <v>-30</v>
      </c>
      <c r="R773" s="23" t="s">
        <v>109</v>
      </c>
    </row>
    <row r="774" spans="1:20" x14ac:dyDescent="0.25">
      <c r="A774" s="37">
        <v>45695</v>
      </c>
      <c r="B774" s="1">
        <v>918103494</v>
      </c>
      <c r="C774" t="s">
        <v>1537</v>
      </c>
      <c r="D774" s="22">
        <v>-2405.6</v>
      </c>
      <c r="E774" t="s">
        <v>35</v>
      </c>
      <c r="F774" s="2">
        <v>212901001</v>
      </c>
      <c r="G774" s="2" t="s">
        <v>121</v>
      </c>
      <c r="L774" s="2" t="s">
        <v>1538</v>
      </c>
      <c r="M774" t="s">
        <v>67</v>
      </c>
      <c r="N774" t="s">
        <v>68</v>
      </c>
      <c r="P774" s="23">
        <v>60.14</v>
      </c>
      <c r="Q774" s="4">
        <f t="shared" si="11"/>
        <v>-40</v>
      </c>
      <c r="R774" s="23" t="s">
        <v>109</v>
      </c>
    </row>
    <row r="775" spans="1:20" x14ac:dyDescent="0.25">
      <c r="A775" s="37">
        <v>45695</v>
      </c>
      <c r="B775" s="1">
        <v>50246887</v>
      </c>
      <c r="C775" t="s">
        <v>1539</v>
      </c>
      <c r="D775" s="22">
        <v>-8419.6</v>
      </c>
      <c r="E775" t="s">
        <v>35</v>
      </c>
      <c r="F775" s="2">
        <v>212901001</v>
      </c>
      <c r="G775" s="2" t="s">
        <v>121</v>
      </c>
      <c r="L775" s="2" t="s">
        <v>1540</v>
      </c>
      <c r="M775" t="s">
        <v>67</v>
      </c>
      <c r="N775" t="s">
        <v>68</v>
      </c>
      <c r="P775" s="23">
        <v>60.14</v>
      </c>
      <c r="Q775" s="4">
        <f t="shared" si="11"/>
        <v>-140</v>
      </c>
      <c r="R775" s="23" t="s">
        <v>109</v>
      </c>
    </row>
    <row r="776" spans="1:20" x14ac:dyDescent="0.25">
      <c r="A776" s="37">
        <v>45695</v>
      </c>
      <c r="B776" s="1">
        <v>50246887</v>
      </c>
      <c r="C776" t="s">
        <v>296</v>
      </c>
      <c r="D776" s="22">
        <v>-12.62</v>
      </c>
      <c r="E776" t="s">
        <v>35</v>
      </c>
      <c r="F776" s="2">
        <v>610148001</v>
      </c>
      <c r="G776" s="2" t="s">
        <v>42</v>
      </c>
      <c r="L776" s="2" t="s">
        <v>1541</v>
      </c>
      <c r="M776" t="s">
        <v>43</v>
      </c>
      <c r="N776" t="s">
        <v>42</v>
      </c>
      <c r="P776" s="23">
        <v>60.14</v>
      </c>
      <c r="Q776" s="4">
        <f t="shared" si="11"/>
        <v>-0.20984369803791153</v>
      </c>
      <c r="R776" s="23" t="s">
        <v>109</v>
      </c>
      <c r="T776" s="23" t="s">
        <v>1313</v>
      </c>
    </row>
    <row r="777" spans="1:20" x14ac:dyDescent="0.25">
      <c r="A777" s="37">
        <v>45695</v>
      </c>
      <c r="B777" s="1">
        <v>50246887</v>
      </c>
      <c r="C777" t="s">
        <v>118</v>
      </c>
      <c r="D777" s="22">
        <v>-675.37</v>
      </c>
      <c r="E777" t="s">
        <v>35</v>
      </c>
      <c r="F777" s="2">
        <v>610148001</v>
      </c>
      <c r="G777" s="2" t="s">
        <v>42</v>
      </c>
      <c r="L777" s="2" t="s">
        <v>1542</v>
      </c>
      <c r="M777" t="s">
        <v>43</v>
      </c>
      <c r="N777" t="s">
        <v>42</v>
      </c>
      <c r="P777" s="23">
        <v>60.14</v>
      </c>
      <c r="Q777" s="4">
        <f t="shared" si="11"/>
        <v>-11.229963418689724</v>
      </c>
      <c r="R777" s="23" t="s">
        <v>109</v>
      </c>
      <c r="T777" s="23" t="s">
        <v>1313</v>
      </c>
    </row>
    <row r="778" spans="1:20" x14ac:dyDescent="0.25">
      <c r="A778" s="37">
        <v>45695</v>
      </c>
      <c r="B778" s="1">
        <v>114020638</v>
      </c>
      <c r="C778" t="s">
        <v>107</v>
      </c>
      <c r="D778" s="22">
        <v>35000</v>
      </c>
      <c r="E778" t="s">
        <v>46</v>
      </c>
      <c r="F778" s="2">
        <v>210115002</v>
      </c>
      <c r="G778" s="2" t="s">
        <v>47</v>
      </c>
      <c r="L778" s="2" t="s">
        <v>1543</v>
      </c>
      <c r="N778" t="s">
        <v>107</v>
      </c>
      <c r="P778" s="23">
        <v>60.14</v>
      </c>
      <c r="Q778" s="4">
        <f t="shared" si="11"/>
        <v>581.97539075490522</v>
      </c>
      <c r="R778" s="23" t="s">
        <v>109</v>
      </c>
    </row>
    <row r="779" spans="1:20" x14ac:dyDescent="0.25">
      <c r="A779" s="37">
        <v>45695</v>
      </c>
      <c r="B779" s="1">
        <v>618106076</v>
      </c>
      <c r="C779" t="s">
        <v>1544</v>
      </c>
      <c r="D779" s="22">
        <v>-3007</v>
      </c>
      <c r="E779" t="s">
        <v>35</v>
      </c>
      <c r="F779" s="2">
        <v>212901001</v>
      </c>
      <c r="G779" s="2" t="s">
        <v>121</v>
      </c>
      <c r="L779" s="2" t="s">
        <v>1545</v>
      </c>
      <c r="M779" t="s">
        <v>67</v>
      </c>
      <c r="N779" t="s">
        <v>68</v>
      </c>
      <c r="P779" s="23">
        <v>60.14</v>
      </c>
      <c r="Q779" s="4">
        <f t="shared" ref="Q779:Q842" si="12">D779/P779</f>
        <v>-50</v>
      </c>
      <c r="R779" s="23" t="s">
        <v>109</v>
      </c>
    </row>
    <row r="780" spans="1:20" x14ac:dyDescent="0.25">
      <c r="A780" s="37">
        <v>45695</v>
      </c>
      <c r="B780" s="1">
        <v>618106074</v>
      </c>
      <c r="C780" t="s">
        <v>1546</v>
      </c>
      <c r="D780" s="22">
        <v>-7375.8</v>
      </c>
      <c r="E780" t="s">
        <v>35</v>
      </c>
      <c r="F780" s="2">
        <v>210101001</v>
      </c>
      <c r="G780" s="2" t="s">
        <v>36</v>
      </c>
      <c r="L780" s="2" t="s">
        <v>1547</v>
      </c>
      <c r="M780" t="s">
        <v>114</v>
      </c>
      <c r="N780" t="s">
        <v>115</v>
      </c>
      <c r="P780" s="23">
        <v>60.14</v>
      </c>
      <c r="Q780" s="4">
        <f t="shared" si="12"/>
        <v>-122.64383106085801</v>
      </c>
      <c r="R780" s="23" t="s">
        <v>109</v>
      </c>
    </row>
    <row r="781" spans="1:20" x14ac:dyDescent="0.25">
      <c r="A781" s="37">
        <v>45695</v>
      </c>
      <c r="B781" s="1">
        <v>618106075</v>
      </c>
      <c r="C781" t="s">
        <v>1548</v>
      </c>
      <c r="D781" s="22">
        <v>-2886.72</v>
      </c>
      <c r="E781" t="s">
        <v>35</v>
      </c>
      <c r="F781" s="2">
        <v>212901001</v>
      </c>
      <c r="G781" s="2" t="s">
        <v>121</v>
      </c>
      <c r="L781" s="2" t="s">
        <v>1549</v>
      </c>
      <c r="M781" t="s">
        <v>67</v>
      </c>
      <c r="N781" t="s">
        <v>68</v>
      </c>
      <c r="P781" s="23">
        <v>60.14</v>
      </c>
      <c r="Q781" s="4">
        <f t="shared" si="12"/>
        <v>-47.999999999999993</v>
      </c>
      <c r="R781" s="23" t="s">
        <v>109</v>
      </c>
    </row>
    <row r="782" spans="1:20" x14ac:dyDescent="0.25">
      <c r="A782" s="37">
        <v>45695</v>
      </c>
      <c r="B782" s="1">
        <v>618106080</v>
      </c>
      <c r="C782" t="s">
        <v>1550</v>
      </c>
      <c r="D782" s="22">
        <v>-601.4</v>
      </c>
      <c r="E782" t="s">
        <v>35</v>
      </c>
      <c r="F782" s="2">
        <v>212901001</v>
      </c>
      <c r="G782" s="2" t="s">
        <v>121</v>
      </c>
      <c r="L782" s="2" t="s">
        <v>1551</v>
      </c>
      <c r="M782" t="s">
        <v>67</v>
      </c>
      <c r="N782" t="s">
        <v>68</v>
      </c>
      <c r="P782" s="23">
        <v>60.14</v>
      </c>
      <c r="Q782" s="4">
        <f t="shared" si="12"/>
        <v>-10</v>
      </c>
      <c r="R782" s="23" t="s">
        <v>109</v>
      </c>
    </row>
    <row r="783" spans="1:20" x14ac:dyDescent="0.25">
      <c r="A783" s="37">
        <v>45695</v>
      </c>
      <c r="B783" s="1">
        <v>618106082</v>
      </c>
      <c r="C783" t="s">
        <v>1552</v>
      </c>
      <c r="D783" s="22">
        <v>-3909.1</v>
      </c>
      <c r="E783" t="s">
        <v>35</v>
      </c>
      <c r="F783" s="2">
        <v>212901001</v>
      </c>
      <c r="G783" s="2" t="s">
        <v>121</v>
      </c>
      <c r="L783" s="2" t="s">
        <v>1553</v>
      </c>
      <c r="M783" t="s">
        <v>67</v>
      </c>
      <c r="N783" t="s">
        <v>68</v>
      </c>
      <c r="P783" s="23">
        <v>60.14</v>
      </c>
      <c r="Q783" s="4">
        <f t="shared" si="12"/>
        <v>-65</v>
      </c>
      <c r="R783" s="23" t="s">
        <v>109</v>
      </c>
    </row>
    <row r="784" spans="1:20" x14ac:dyDescent="0.25">
      <c r="A784" s="37">
        <v>45695</v>
      </c>
      <c r="B784" s="1">
        <v>618106086</v>
      </c>
      <c r="C784" t="s">
        <v>1554</v>
      </c>
      <c r="D784" s="22">
        <v>-1202.8</v>
      </c>
      <c r="E784" t="s">
        <v>35</v>
      </c>
      <c r="F784" s="2">
        <v>212901001</v>
      </c>
      <c r="G784" s="2" t="s">
        <v>121</v>
      </c>
      <c r="L784" s="2" t="s">
        <v>1555</v>
      </c>
      <c r="M784" t="s">
        <v>67</v>
      </c>
      <c r="N784" t="s">
        <v>68</v>
      </c>
      <c r="P784" s="23">
        <v>60.14</v>
      </c>
      <c r="Q784" s="4">
        <f t="shared" si="12"/>
        <v>-20</v>
      </c>
      <c r="R784" s="23" t="s">
        <v>109</v>
      </c>
    </row>
    <row r="785" spans="1:20" x14ac:dyDescent="0.25">
      <c r="A785" s="37">
        <v>45695</v>
      </c>
      <c r="B785" s="1">
        <v>618106083</v>
      </c>
      <c r="C785" t="s">
        <v>1556</v>
      </c>
      <c r="D785" s="22">
        <v>-1202.8</v>
      </c>
      <c r="E785" t="s">
        <v>35</v>
      </c>
      <c r="F785" s="2">
        <v>212901001</v>
      </c>
      <c r="G785" s="2" t="s">
        <v>121</v>
      </c>
      <c r="L785" s="2" t="s">
        <v>1557</v>
      </c>
      <c r="M785" t="s">
        <v>67</v>
      </c>
      <c r="N785" t="s">
        <v>68</v>
      </c>
      <c r="P785" s="23">
        <v>60.14</v>
      </c>
      <c r="Q785" s="4">
        <f t="shared" si="12"/>
        <v>-20</v>
      </c>
      <c r="R785" s="23" t="s">
        <v>109</v>
      </c>
    </row>
    <row r="786" spans="1:20" x14ac:dyDescent="0.25">
      <c r="A786" s="37">
        <v>45695</v>
      </c>
      <c r="B786" s="1">
        <v>618106084</v>
      </c>
      <c r="C786" t="s">
        <v>1558</v>
      </c>
      <c r="D786" s="22">
        <v>-1202.8</v>
      </c>
      <c r="E786" t="s">
        <v>35</v>
      </c>
      <c r="F786" s="2">
        <v>212901001</v>
      </c>
      <c r="G786" s="2" t="s">
        <v>121</v>
      </c>
      <c r="L786" s="2" t="s">
        <v>1559</v>
      </c>
      <c r="M786" t="s">
        <v>67</v>
      </c>
      <c r="N786" t="s">
        <v>68</v>
      </c>
      <c r="P786" s="23">
        <v>60.14</v>
      </c>
      <c r="Q786" s="4">
        <f t="shared" si="12"/>
        <v>-20</v>
      </c>
      <c r="R786" s="23" t="s">
        <v>109</v>
      </c>
    </row>
    <row r="787" spans="1:20" x14ac:dyDescent="0.25">
      <c r="A787" s="37">
        <v>45695</v>
      </c>
      <c r="B787" s="1">
        <v>618106085</v>
      </c>
      <c r="C787" t="s">
        <v>1560</v>
      </c>
      <c r="D787" s="22">
        <v>-1202.8</v>
      </c>
      <c r="E787" t="s">
        <v>35</v>
      </c>
      <c r="F787" s="2">
        <v>212901001</v>
      </c>
      <c r="G787" s="2" t="s">
        <v>121</v>
      </c>
      <c r="L787" s="2" t="s">
        <v>1561</v>
      </c>
      <c r="M787" t="s">
        <v>67</v>
      </c>
      <c r="N787" t="s">
        <v>68</v>
      </c>
      <c r="P787" s="23">
        <v>60.14</v>
      </c>
      <c r="Q787" s="4">
        <f t="shared" si="12"/>
        <v>-20</v>
      </c>
      <c r="R787" s="23" t="s">
        <v>109</v>
      </c>
    </row>
    <row r="788" spans="1:20" x14ac:dyDescent="0.25">
      <c r="A788" s="37">
        <v>45695</v>
      </c>
      <c r="B788" s="1">
        <v>718106088</v>
      </c>
      <c r="C788" t="s">
        <v>1562</v>
      </c>
      <c r="D788" s="22">
        <v>-2005.1</v>
      </c>
      <c r="E788" t="s">
        <v>35</v>
      </c>
      <c r="F788" s="2">
        <v>210101001</v>
      </c>
      <c r="G788" s="2" t="s">
        <v>36</v>
      </c>
      <c r="L788" s="2" t="s">
        <v>1563</v>
      </c>
      <c r="M788" t="s">
        <v>114</v>
      </c>
      <c r="N788" t="s">
        <v>115</v>
      </c>
      <c r="P788" s="23">
        <v>60.14</v>
      </c>
      <c r="Q788" s="4">
        <f t="shared" si="12"/>
        <v>-33.340538742933155</v>
      </c>
      <c r="R788" s="23" t="s">
        <v>109</v>
      </c>
    </row>
    <row r="789" spans="1:20" x14ac:dyDescent="0.25">
      <c r="A789" s="37">
        <v>45695</v>
      </c>
      <c r="B789" s="1">
        <v>50254976</v>
      </c>
      <c r="C789" t="s">
        <v>118</v>
      </c>
      <c r="D789" s="22">
        <v>-61.49</v>
      </c>
      <c r="E789" t="s">
        <v>35</v>
      </c>
      <c r="F789" s="2">
        <v>610148001</v>
      </c>
      <c r="G789" s="2" t="s">
        <v>42</v>
      </c>
      <c r="L789" s="2" t="s">
        <v>1564</v>
      </c>
      <c r="M789" t="s">
        <v>43</v>
      </c>
      <c r="N789" t="s">
        <v>42</v>
      </c>
      <c r="P789" s="23">
        <v>60.14</v>
      </c>
      <c r="Q789" s="4">
        <f t="shared" si="12"/>
        <v>-1.022447622214832</v>
      </c>
      <c r="R789" s="23" t="s">
        <v>109</v>
      </c>
      <c r="T789" s="23" t="s">
        <v>1313</v>
      </c>
    </row>
    <row r="790" spans="1:20" x14ac:dyDescent="0.25">
      <c r="A790" s="37">
        <v>45695</v>
      </c>
      <c r="B790" s="1">
        <v>50254976</v>
      </c>
      <c r="C790" t="s">
        <v>1565</v>
      </c>
      <c r="D790" s="22">
        <v>-0.13</v>
      </c>
      <c r="E790" t="s">
        <v>35</v>
      </c>
      <c r="F790" s="2">
        <v>610148001</v>
      </c>
      <c r="G790" s="2" t="s">
        <v>42</v>
      </c>
      <c r="L790" s="2" t="s">
        <v>1566</v>
      </c>
      <c r="M790" t="s">
        <v>43</v>
      </c>
      <c r="N790" t="s">
        <v>42</v>
      </c>
      <c r="P790" s="23">
        <v>60.14</v>
      </c>
      <c r="Q790" s="4">
        <f t="shared" si="12"/>
        <v>-2.161622879946791E-3</v>
      </c>
      <c r="R790" s="23" t="s">
        <v>109</v>
      </c>
      <c r="T790" s="23" t="s">
        <v>1313</v>
      </c>
    </row>
    <row r="791" spans="1:20" x14ac:dyDescent="0.25">
      <c r="A791" s="37">
        <v>45695</v>
      </c>
      <c r="B791" s="1">
        <v>149876539</v>
      </c>
      <c r="C791" t="s">
        <v>544</v>
      </c>
      <c r="D791" s="22">
        <v>100000</v>
      </c>
      <c r="E791" t="s">
        <v>46</v>
      </c>
      <c r="F791" s="2">
        <v>210115002</v>
      </c>
      <c r="G791" s="2" t="s">
        <v>47</v>
      </c>
      <c r="L791" s="2" t="s">
        <v>1567</v>
      </c>
      <c r="N791" t="s">
        <v>544</v>
      </c>
      <c r="P791" s="23">
        <v>60.14</v>
      </c>
      <c r="Q791" s="4">
        <f t="shared" si="12"/>
        <v>1662.7868307283006</v>
      </c>
      <c r="R791" s="23" t="s">
        <v>109</v>
      </c>
    </row>
    <row r="792" spans="1:20" x14ac:dyDescent="0.25">
      <c r="A792" s="37">
        <v>45695</v>
      </c>
      <c r="B792" s="1">
        <v>318122526</v>
      </c>
      <c r="C792" t="s">
        <v>1568</v>
      </c>
      <c r="D792" s="22">
        <v>-4209.8</v>
      </c>
      <c r="E792" t="s">
        <v>35</v>
      </c>
      <c r="F792" s="2">
        <v>212901001</v>
      </c>
      <c r="G792" s="2" t="s">
        <v>121</v>
      </c>
      <c r="L792" s="2" t="s">
        <v>1569</v>
      </c>
      <c r="M792" t="s">
        <v>67</v>
      </c>
      <c r="N792" t="s">
        <v>68</v>
      </c>
      <c r="P792" s="23">
        <v>60.14</v>
      </c>
      <c r="Q792" s="4">
        <f t="shared" si="12"/>
        <v>-70</v>
      </c>
      <c r="R792" s="23" t="s">
        <v>109</v>
      </c>
    </row>
    <row r="793" spans="1:20" x14ac:dyDescent="0.25">
      <c r="A793" s="37">
        <v>45695</v>
      </c>
      <c r="B793" s="1">
        <v>318122527</v>
      </c>
      <c r="C793" t="s">
        <v>1570</v>
      </c>
      <c r="D793" s="22">
        <v>-89957.59</v>
      </c>
      <c r="E793" t="s">
        <v>35</v>
      </c>
      <c r="F793" s="2">
        <v>210101001</v>
      </c>
      <c r="G793" s="2" t="s">
        <v>36</v>
      </c>
      <c r="L793" s="2" t="s">
        <v>1571</v>
      </c>
      <c r="M793" t="s">
        <v>303</v>
      </c>
      <c r="N793" t="s">
        <v>304</v>
      </c>
      <c r="P793" s="23">
        <v>60.14</v>
      </c>
      <c r="Q793" s="4">
        <f t="shared" si="12"/>
        <v>-1495.8029597605587</v>
      </c>
      <c r="R793" s="23" t="s">
        <v>109</v>
      </c>
    </row>
    <row r="794" spans="1:20" x14ac:dyDescent="0.25">
      <c r="A794" s="37">
        <v>45695</v>
      </c>
      <c r="B794" s="1">
        <v>50241720</v>
      </c>
      <c r="C794" t="s">
        <v>118</v>
      </c>
      <c r="D794" s="22">
        <v>-235.41</v>
      </c>
      <c r="E794" t="s">
        <v>35</v>
      </c>
      <c r="F794" s="2">
        <v>610148001</v>
      </c>
      <c r="G794" s="2" t="s">
        <v>42</v>
      </c>
      <c r="L794" s="2" t="s">
        <v>1572</v>
      </c>
      <c r="M794" t="s">
        <v>43</v>
      </c>
      <c r="N794" t="s">
        <v>42</v>
      </c>
      <c r="P794" s="23">
        <v>60.14</v>
      </c>
      <c r="Q794" s="4">
        <f t="shared" si="12"/>
        <v>-3.9143664782174925</v>
      </c>
      <c r="R794" s="23" t="s">
        <v>109</v>
      </c>
      <c r="T794" s="23" t="s">
        <v>1313</v>
      </c>
    </row>
    <row r="795" spans="1:20" x14ac:dyDescent="0.25">
      <c r="A795" s="37">
        <v>45698</v>
      </c>
      <c r="B795" s="1">
        <v>18234101</v>
      </c>
      <c r="C795" t="s">
        <v>1562</v>
      </c>
      <c r="D795" s="22">
        <v>-1760</v>
      </c>
      <c r="E795" t="s">
        <v>35</v>
      </c>
      <c r="F795" s="2">
        <v>210101001</v>
      </c>
      <c r="G795" s="2" t="s">
        <v>36</v>
      </c>
      <c r="L795" s="2" t="s">
        <v>1573</v>
      </c>
      <c r="M795" t="s">
        <v>114</v>
      </c>
      <c r="N795" t="s">
        <v>115</v>
      </c>
      <c r="P795" s="23">
        <v>60.52</v>
      </c>
      <c r="Q795" s="4">
        <f t="shared" si="12"/>
        <v>-29.081295439524123</v>
      </c>
      <c r="R795" s="23" t="s">
        <v>109</v>
      </c>
    </row>
    <row r="796" spans="1:20" x14ac:dyDescent="0.25">
      <c r="A796" s="37">
        <v>45698</v>
      </c>
      <c r="B796" s="1">
        <v>18234101</v>
      </c>
      <c r="C796" t="s">
        <v>306</v>
      </c>
      <c r="D796" s="22">
        <v>-5.28</v>
      </c>
      <c r="E796" t="s">
        <v>35</v>
      </c>
      <c r="F796" s="2">
        <v>610148001</v>
      </c>
      <c r="G796" s="2" t="s">
        <v>42</v>
      </c>
      <c r="L796" s="2" t="s">
        <v>1574</v>
      </c>
      <c r="M796" t="s">
        <v>43</v>
      </c>
      <c r="N796" t="s">
        <v>42</v>
      </c>
      <c r="P796" s="23">
        <v>60.52</v>
      </c>
      <c r="Q796" s="4">
        <f t="shared" si="12"/>
        <v>-8.724388631857237E-2</v>
      </c>
      <c r="R796" s="23" t="s">
        <v>109</v>
      </c>
      <c r="T796" s="23" t="s">
        <v>1313</v>
      </c>
    </row>
    <row r="797" spans="1:20" x14ac:dyDescent="0.25">
      <c r="A797" s="37">
        <v>45698</v>
      </c>
      <c r="B797" s="1">
        <v>618234203</v>
      </c>
      <c r="C797" t="s">
        <v>1575</v>
      </c>
      <c r="D797" s="22">
        <v>-1563.64</v>
      </c>
      <c r="E797" t="s">
        <v>35</v>
      </c>
      <c r="F797" s="2">
        <v>210101001</v>
      </c>
      <c r="G797" s="2" t="s">
        <v>36</v>
      </c>
      <c r="L797" s="2" t="s">
        <v>1576</v>
      </c>
      <c r="M797" t="s">
        <v>114</v>
      </c>
      <c r="N797" t="s">
        <v>115</v>
      </c>
      <c r="P797" s="23">
        <v>60.52</v>
      </c>
      <c r="Q797" s="4">
        <f t="shared" si="12"/>
        <v>-25.836748182419036</v>
      </c>
      <c r="R797" s="23" t="s">
        <v>109</v>
      </c>
    </row>
    <row r="798" spans="1:20" x14ac:dyDescent="0.25">
      <c r="A798" s="37">
        <v>45698</v>
      </c>
      <c r="B798" s="1">
        <v>618234203</v>
      </c>
      <c r="C798" t="s">
        <v>306</v>
      </c>
      <c r="D798" s="22">
        <v>-4.6900000000000004</v>
      </c>
      <c r="E798" t="s">
        <v>35</v>
      </c>
      <c r="F798" s="2">
        <v>610148001</v>
      </c>
      <c r="G798" s="2" t="s">
        <v>42</v>
      </c>
      <c r="L798" s="2" t="s">
        <v>1577</v>
      </c>
      <c r="M798" t="s">
        <v>43</v>
      </c>
      <c r="N798" t="s">
        <v>42</v>
      </c>
      <c r="P798" s="23">
        <v>60.52</v>
      </c>
      <c r="Q798" s="4">
        <f t="shared" si="12"/>
        <v>-7.7495042961004623E-2</v>
      </c>
      <c r="R798" s="23" t="s">
        <v>109</v>
      </c>
      <c r="T798" s="23" t="s">
        <v>1313</v>
      </c>
    </row>
    <row r="799" spans="1:20" x14ac:dyDescent="0.25">
      <c r="A799" s="37">
        <v>45698</v>
      </c>
      <c r="B799" s="1">
        <v>141229147</v>
      </c>
      <c r="C799" t="s">
        <v>107</v>
      </c>
      <c r="D799" s="22">
        <v>305000</v>
      </c>
      <c r="E799" t="s">
        <v>46</v>
      </c>
      <c r="F799" s="2">
        <v>210115002</v>
      </c>
      <c r="G799" s="2" t="s">
        <v>47</v>
      </c>
      <c r="L799" s="2" t="s">
        <v>1578</v>
      </c>
      <c r="N799" t="s">
        <v>107</v>
      </c>
      <c r="P799" s="23">
        <v>60.52</v>
      </c>
      <c r="Q799" s="4">
        <f t="shared" si="12"/>
        <v>5039.6563119629873</v>
      </c>
      <c r="R799" s="23" t="s">
        <v>109</v>
      </c>
    </row>
    <row r="800" spans="1:20" x14ac:dyDescent="0.25">
      <c r="A800" s="37">
        <v>45698</v>
      </c>
      <c r="B800" s="1">
        <v>818246792</v>
      </c>
      <c r="C800" t="s">
        <v>1579</v>
      </c>
      <c r="D800" s="22">
        <v>-85957</v>
      </c>
      <c r="E800" t="s">
        <v>35</v>
      </c>
      <c r="F800" s="2">
        <v>210101001</v>
      </c>
      <c r="G800" s="2" t="s">
        <v>36</v>
      </c>
      <c r="L800" s="2" t="s">
        <v>1580</v>
      </c>
      <c r="M800" t="s">
        <v>38</v>
      </c>
      <c r="N800" t="s">
        <v>39</v>
      </c>
      <c r="P800" s="23">
        <v>60.52</v>
      </c>
      <c r="Q800" s="4">
        <f t="shared" si="12"/>
        <v>-1420.307336417713</v>
      </c>
      <c r="R800" s="23" t="s">
        <v>109</v>
      </c>
    </row>
    <row r="801" spans="1:23" x14ac:dyDescent="0.25">
      <c r="A801" s="37">
        <v>45698</v>
      </c>
      <c r="B801" s="1">
        <v>818246791</v>
      </c>
      <c r="C801" t="s">
        <v>1581</v>
      </c>
      <c r="D801" s="22">
        <v>-18908.77</v>
      </c>
      <c r="E801" t="s">
        <v>35</v>
      </c>
      <c r="F801" s="2">
        <v>210101001</v>
      </c>
      <c r="G801" s="2" t="s">
        <v>36</v>
      </c>
      <c r="L801" s="2" t="s">
        <v>1582</v>
      </c>
      <c r="M801" t="s">
        <v>698</v>
      </c>
      <c r="N801" t="s">
        <v>104</v>
      </c>
      <c r="P801" s="23">
        <v>60.52</v>
      </c>
      <c r="Q801" s="4">
        <f t="shared" si="12"/>
        <v>-312.43836748182417</v>
      </c>
      <c r="R801" s="23" t="s">
        <v>109</v>
      </c>
    </row>
    <row r="802" spans="1:23" x14ac:dyDescent="0.25">
      <c r="A802" s="37">
        <v>45698</v>
      </c>
      <c r="B802" s="1">
        <v>718246790</v>
      </c>
      <c r="C802" t="s">
        <v>1579</v>
      </c>
      <c r="D802" s="22">
        <v>-200000</v>
      </c>
      <c r="E802" t="s">
        <v>35</v>
      </c>
      <c r="F802" s="2">
        <v>210101001</v>
      </c>
      <c r="G802" s="2" t="s">
        <v>36</v>
      </c>
      <c r="L802" s="2" t="s">
        <v>1583</v>
      </c>
      <c r="M802" t="s">
        <v>38</v>
      </c>
      <c r="N802" t="s">
        <v>39</v>
      </c>
      <c r="P802" s="23">
        <v>60.52</v>
      </c>
      <c r="Q802" s="4">
        <f t="shared" si="12"/>
        <v>-3304.6926635822865</v>
      </c>
      <c r="R802" s="23" t="s">
        <v>109</v>
      </c>
    </row>
    <row r="803" spans="1:23" x14ac:dyDescent="0.25">
      <c r="A803" s="37">
        <v>45698</v>
      </c>
      <c r="B803" s="1">
        <v>50277445</v>
      </c>
      <c r="C803" t="s">
        <v>118</v>
      </c>
      <c r="D803" s="22">
        <v>-762.16</v>
      </c>
      <c r="E803" t="s">
        <v>35</v>
      </c>
      <c r="F803" s="2">
        <v>610148001</v>
      </c>
      <c r="G803" s="2" t="s">
        <v>42</v>
      </c>
      <c r="L803" s="2" t="s">
        <v>1584</v>
      </c>
      <c r="M803" t="s">
        <v>43</v>
      </c>
      <c r="N803" t="s">
        <v>42</v>
      </c>
      <c r="P803" s="23">
        <v>60.52</v>
      </c>
      <c r="Q803" s="4">
        <f t="shared" si="12"/>
        <v>-12.593522802379377</v>
      </c>
      <c r="R803" s="23" t="s">
        <v>109</v>
      </c>
      <c r="T803" s="23" t="s">
        <v>1313</v>
      </c>
    </row>
    <row r="804" spans="1:23" x14ac:dyDescent="0.25">
      <c r="A804" s="37">
        <v>45700</v>
      </c>
      <c r="B804" s="1">
        <v>918313521</v>
      </c>
      <c r="C804" t="s">
        <v>1585</v>
      </c>
      <c r="D804" s="22">
        <v>-3051.5</v>
      </c>
      <c r="E804" t="s">
        <v>35</v>
      </c>
      <c r="F804" s="2">
        <v>210101001</v>
      </c>
      <c r="G804" s="2" t="s">
        <v>36</v>
      </c>
      <c r="L804" s="2" t="s">
        <v>1586</v>
      </c>
      <c r="M804" t="s">
        <v>114</v>
      </c>
      <c r="N804" t="s">
        <v>115</v>
      </c>
      <c r="P804" s="23">
        <v>61.03</v>
      </c>
      <c r="Q804" s="4">
        <f t="shared" si="12"/>
        <v>-50</v>
      </c>
      <c r="R804" s="23" t="s">
        <v>109</v>
      </c>
    </row>
    <row r="805" spans="1:23" x14ac:dyDescent="0.25">
      <c r="A805" s="37">
        <v>45700</v>
      </c>
      <c r="B805" s="1">
        <v>918313521</v>
      </c>
      <c r="C805" t="s">
        <v>306</v>
      </c>
      <c r="D805" s="22">
        <v>-9.15</v>
      </c>
      <c r="E805" t="s">
        <v>35</v>
      </c>
      <c r="F805" s="2">
        <v>610148001</v>
      </c>
      <c r="G805" s="2" t="s">
        <v>42</v>
      </c>
      <c r="L805" s="2" t="s">
        <v>1587</v>
      </c>
      <c r="M805" t="s">
        <v>43</v>
      </c>
      <c r="N805" t="s">
        <v>42</v>
      </c>
      <c r="P805" s="23">
        <v>61.03</v>
      </c>
      <c r="Q805" s="4">
        <f t="shared" si="12"/>
        <v>-0.14992626577093232</v>
      </c>
      <c r="R805" s="23" t="s">
        <v>109</v>
      </c>
      <c r="T805" s="23" t="s">
        <v>1313</v>
      </c>
    </row>
    <row r="806" spans="1:23" x14ac:dyDescent="0.25">
      <c r="A806" s="37">
        <v>45701</v>
      </c>
      <c r="B806" s="1">
        <v>134940583</v>
      </c>
      <c r="C806" t="s">
        <v>107</v>
      </c>
      <c r="D806" s="22">
        <v>55000</v>
      </c>
      <c r="E806" t="s">
        <v>46</v>
      </c>
      <c r="F806" s="2">
        <v>210115002</v>
      </c>
      <c r="G806" s="2" t="s">
        <v>47</v>
      </c>
      <c r="L806" s="2" t="s">
        <v>1588</v>
      </c>
      <c r="N806" t="s">
        <v>107</v>
      </c>
      <c r="P806" s="23">
        <v>61.35</v>
      </c>
      <c r="Q806" s="4">
        <f t="shared" si="12"/>
        <v>896.49551752241234</v>
      </c>
      <c r="R806" s="23" t="s">
        <v>109</v>
      </c>
    </row>
    <row r="807" spans="1:23" x14ac:dyDescent="0.25">
      <c r="A807" s="37">
        <v>45701</v>
      </c>
      <c r="B807" s="1">
        <v>818366715</v>
      </c>
      <c r="C807" t="s">
        <v>1589</v>
      </c>
      <c r="D807" s="22">
        <v>-23113.89</v>
      </c>
      <c r="E807" t="s">
        <v>35</v>
      </c>
      <c r="F807" s="2">
        <v>212901001</v>
      </c>
      <c r="G807" s="2" t="s">
        <v>121</v>
      </c>
      <c r="L807" s="2" t="s">
        <v>1590</v>
      </c>
      <c r="M807" t="s">
        <v>67</v>
      </c>
      <c r="N807" t="s">
        <v>68</v>
      </c>
      <c r="P807" s="23">
        <v>61.35</v>
      </c>
      <c r="Q807" s="4">
        <f t="shared" si="12"/>
        <v>-376.75452322738386</v>
      </c>
      <c r="R807" s="23" t="s">
        <v>109</v>
      </c>
      <c r="U807">
        <v>1</v>
      </c>
      <c r="V807" t="e">
        <f>VLOOKUP(U807,[1]!NOMINA[#Data],4,FALSE)</f>
        <v>#REF!</v>
      </c>
      <c r="W807" t="e">
        <f>VLOOKUP(U807,[1]!NOMINA[#Data],5,FALSE)</f>
        <v>#REF!</v>
      </c>
    </row>
    <row r="808" spans="1:23" x14ac:dyDescent="0.25">
      <c r="A808" s="37">
        <v>45701</v>
      </c>
      <c r="B808" s="1">
        <v>818366714</v>
      </c>
      <c r="C808" t="s">
        <v>1591</v>
      </c>
      <c r="D808" s="22">
        <v>-30449.7</v>
      </c>
      <c r="E808" t="s">
        <v>35</v>
      </c>
      <c r="F808" s="2">
        <v>212901001</v>
      </c>
      <c r="G808" s="2" t="s">
        <v>121</v>
      </c>
      <c r="L808" s="2" t="s">
        <v>1592</v>
      </c>
      <c r="M808" t="s">
        <v>67</v>
      </c>
      <c r="N808" t="s">
        <v>68</v>
      </c>
      <c r="P808" s="23">
        <v>61.35</v>
      </c>
      <c r="Q808" s="4">
        <f t="shared" si="12"/>
        <v>-496.32762836185822</v>
      </c>
      <c r="R808" s="23" t="s">
        <v>109</v>
      </c>
      <c r="U808">
        <v>2</v>
      </c>
      <c r="V808" t="e">
        <f>VLOOKUP(Tabla3[[#This Row],[Nº]],[1]!NOMINA[#Data],4,FALSE)</f>
        <v>#REF!</v>
      </c>
      <c r="W808" t="e">
        <f>VLOOKUP(Tabla3[[#This Row],[Nº]],[1]!NOMINA[#Data],5,FALSE)</f>
        <v>#REF!</v>
      </c>
    </row>
    <row r="809" spans="1:23" x14ac:dyDescent="0.25">
      <c r="A809" s="37">
        <v>45701</v>
      </c>
      <c r="B809" s="1">
        <v>818366716</v>
      </c>
      <c r="C809" t="s">
        <v>1593</v>
      </c>
      <c r="D809" s="22">
        <v>-61.65</v>
      </c>
      <c r="E809" t="s">
        <v>35</v>
      </c>
      <c r="F809" s="2">
        <v>212901001</v>
      </c>
      <c r="G809" s="2" t="s">
        <v>121</v>
      </c>
      <c r="L809" s="2" t="s">
        <v>1594</v>
      </c>
      <c r="M809" t="s">
        <v>67</v>
      </c>
      <c r="N809" t="s">
        <v>68</v>
      </c>
      <c r="P809" s="23">
        <v>61.35</v>
      </c>
      <c r="Q809" s="4">
        <f t="shared" si="12"/>
        <v>-1.0048899755501222</v>
      </c>
      <c r="R809" s="23" t="s">
        <v>109</v>
      </c>
      <c r="U809">
        <v>2</v>
      </c>
      <c r="V809" t="e">
        <f>VLOOKUP(Tabla3[[#This Row],[Nº]],[1]!NOMINA[#Data],4,FALSE)</f>
        <v>#REF!</v>
      </c>
      <c r="W809" t="e">
        <f>VLOOKUP(Tabla3[[#This Row],[Nº]],[1]!NOMINA[#Data],5,FALSE)</f>
        <v>#REF!</v>
      </c>
    </row>
    <row r="810" spans="1:23" x14ac:dyDescent="0.25">
      <c r="A810" s="37">
        <v>45701</v>
      </c>
      <c r="B810" s="1">
        <v>818366717</v>
      </c>
      <c r="C810" t="s">
        <v>1595</v>
      </c>
      <c r="D810" s="22">
        <v>-61.65</v>
      </c>
      <c r="E810" t="s">
        <v>35</v>
      </c>
      <c r="F810" s="2">
        <v>212901001</v>
      </c>
      <c r="G810" s="2" t="s">
        <v>121</v>
      </c>
      <c r="L810" s="2" t="s">
        <v>1596</v>
      </c>
      <c r="M810" t="s">
        <v>67</v>
      </c>
      <c r="N810" t="s">
        <v>68</v>
      </c>
      <c r="P810" s="23">
        <v>61.35</v>
      </c>
      <c r="Q810" s="4">
        <f t="shared" si="12"/>
        <v>-1.0048899755501222</v>
      </c>
      <c r="R810" s="23" t="s">
        <v>109</v>
      </c>
      <c r="U810">
        <v>1</v>
      </c>
      <c r="V810" t="e">
        <f>VLOOKUP(U810,[1]!NOMINA[#Data],4,FALSE)</f>
        <v>#REF!</v>
      </c>
      <c r="W810" t="e">
        <f>VLOOKUP(U810,[1]!NOMINA[#Data],5,FALSE)</f>
        <v>#REF!</v>
      </c>
    </row>
    <row r="811" spans="1:23" x14ac:dyDescent="0.25">
      <c r="A811" s="37">
        <v>45701</v>
      </c>
      <c r="B811" s="1">
        <v>50244920</v>
      </c>
      <c r="C811" t="s">
        <v>118</v>
      </c>
      <c r="D811" s="22">
        <v>-134.21</v>
      </c>
      <c r="E811" t="s">
        <v>35</v>
      </c>
      <c r="F811" s="2">
        <v>610148001</v>
      </c>
      <c r="G811" s="2" t="s">
        <v>42</v>
      </c>
      <c r="L811" s="2" t="s">
        <v>1597</v>
      </c>
      <c r="M811" t="s">
        <v>43</v>
      </c>
      <c r="N811" t="s">
        <v>42</v>
      </c>
      <c r="P811" s="23">
        <v>61.35</v>
      </c>
      <c r="Q811" s="4">
        <f t="shared" si="12"/>
        <v>-2.1876120619396904</v>
      </c>
      <c r="R811" s="23" t="s">
        <v>109</v>
      </c>
      <c r="T811" s="23" t="s">
        <v>1313</v>
      </c>
    </row>
    <row r="812" spans="1:23" x14ac:dyDescent="0.25">
      <c r="A812" s="37">
        <v>45701</v>
      </c>
      <c r="B812" s="1">
        <v>418370387</v>
      </c>
      <c r="C812" t="s">
        <v>1598</v>
      </c>
      <c r="D812" s="22">
        <v>-3928.36</v>
      </c>
      <c r="E812" t="s">
        <v>35</v>
      </c>
      <c r="F812" s="2">
        <v>210101001</v>
      </c>
      <c r="G812" s="2" t="s">
        <v>36</v>
      </c>
      <c r="L812" s="2" t="s">
        <v>1599</v>
      </c>
      <c r="M812" t="s">
        <v>1600</v>
      </c>
      <c r="N812" t="s">
        <v>1601</v>
      </c>
      <c r="P812" s="23">
        <v>61.35</v>
      </c>
      <c r="Q812" s="4">
        <f t="shared" si="12"/>
        <v>-64.031947840260798</v>
      </c>
      <c r="R812" s="23" t="s">
        <v>109</v>
      </c>
    </row>
    <row r="813" spans="1:23" x14ac:dyDescent="0.25">
      <c r="A813" s="37">
        <v>45701</v>
      </c>
      <c r="B813" s="1">
        <v>418370387</v>
      </c>
      <c r="C813" t="s">
        <v>306</v>
      </c>
      <c r="D813" s="22">
        <v>-11.79</v>
      </c>
      <c r="E813" t="s">
        <v>35</v>
      </c>
      <c r="F813" s="2">
        <v>610148001</v>
      </c>
      <c r="G813" s="2" t="s">
        <v>42</v>
      </c>
      <c r="L813" s="2" t="s">
        <v>1602</v>
      </c>
      <c r="M813" t="s">
        <v>43</v>
      </c>
      <c r="N813" t="s">
        <v>42</v>
      </c>
      <c r="P813" s="23">
        <v>61.35</v>
      </c>
      <c r="Q813" s="4">
        <f t="shared" si="12"/>
        <v>-0.19217603911980438</v>
      </c>
      <c r="R813" s="23" t="s">
        <v>109</v>
      </c>
      <c r="T813" s="23" t="s">
        <v>1313</v>
      </c>
    </row>
    <row r="814" spans="1:23" x14ac:dyDescent="0.25">
      <c r="A814" s="37">
        <v>45702</v>
      </c>
      <c r="B814" s="1">
        <v>121246442</v>
      </c>
      <c r="C814" t="s">
        <v>107</v>
      </c>
      <c r="D814" s="22">
        <v>290000</v>
      </c>
      <c r="E814" t="s">
        <v>46</v>
      </c>
      <c r="F814" s="2">
        <v>210115002</v>
      </c>
      <c r="G814" s="2" t="s">
        <v>47</v>
      </c>
      <c r="L814" s="2" t="s">
        <v>1603</v>
      </c>
      <c r="N814" t="s">
        <v>107</v>
      </c>
      <c r="P814" s="23">
        <v>61.82</v>
      </c>
      <c r="Q814" s="4">
        <f t="shared" si="12"/>
        <v>4691.0384988676806</v>
      </c>
      <c r="R814" s="23" t="s">
        <v>109</v>
      </c>
    </row>
    <row r="815" spans="1:23" x14ac:dyDescent="0.25">
      <c r="A815" s="37">
        <v>45702</v>
      </c>
      <c r="B815" s="1">
        <v>518407951</v>
      </c>
      <c r="C815" t="s">
        <v>1604</v>
      </c>
      <c r="D815" s="22">
        <v>-3709.2</v>
      </c>
      <c r="E815" t="s">
        <v>35</v>
      </c>
      <c r="F815" s="2">
        <v>212901001</v>
      </c>
      <c r="G815" s="2" t="s">
        <v>121</v>
      </c>
      <c r="L815" s="2" t="s">
        <v>1605</v>
      </c>
      <c r="M815" t="s">
        <v>67</v>
      </c>
      <c r="N815" t="s">
        <v>68</v>
      </c>
      <c r="P815" s="23">
        <v>61.82</v>
      </c>
      <c r="Q815" s="4">
        <f t="shared" si="12"/>
        <v>-60</v>
      </c>
      <c r="R815" s="23" t="s">
        <v>109</v>
      </c>
    </row>
    <row r="816" spans="1:23" x14ac:dyDescent="0.25">
      <c r="A816" s="37">
        <v>45702</v>
      </c>
      <c r="B816" s="1">
        <v>518407949</v>
      </c>
      <c r="C816" t="s">
        <v>1606</v>
      </c>
      <c r="D816" s="22">
        <v>-3709.2</v>
      </c>
      <c r="E816" t="s">
        <v>35</v>
      </c>
      <c r="F816" s="2">
        <v>212901001</v>
      </c>
      <c r="G816" s="2" t="s">
        <v>121</v>
      </c>
      <c r="L816" s="2" t="s">
        <v>1607</v>
      </c>
      <c r="M816" t="s">
        <v>67</v>
      </c>
      <c r="N816" t="s">
        <v>68</v>
      </c>
      <c r="P816" s="23">
        <v>61.82</v>
      </c>
      <c r="Q816" s="4">
        <f t="shared" si="12"/>
        <v>-60</v>
      </c>
      <c r="R816" s="23" t="s">
        <v>109</v>
      </c>
    </row>
    <row r="817" spans="1:18" x14ac:dyDescent="0.25">
      <c r="A817" s="37">
        <v>45702</v>
      </c>
      <c r="B817" s="1">
        <v>518407952</v>
      </c>
      <c r="C817" t="s">
        <v>1608</v>
      </c>
      <c r="D817" s="22">
        <v>-3709.2</v>
      </c>
      <c r="E817" t="s">
        <v>35</v>
      </c>
      <c r="F817" s="2">
        <v>212901001</v>
      </c>
      <c r="G817" s="2" t="s">
        <v>121</v>
      </c>
      <c r="L817" s="2" t="s">
        <v>1609</v>
      </c>
      <c r="M817" t="s">
        <v>67</v>
      </c>
      <c r="N817" t="s">
        <v>68</v>
      </c>
      <c r="P817" s="23">
        <v>61.82</v>
      </c>
      <c r="Q817" s="4">
        <f t="shared" si="12"/>
        <v>-60</v>
      </c>
      <c r="R817" s="23" t="s">
        <v>109</v>
      </c>
    </row>
    <row r="818" spans="1:18" x14ac:dyDescent="0.25">
      <c r="A818" s="37">
        <v>45702</v>
      </c>
      <c r="B818" s="1">
        <v>518407948</v>
      </c>
      <c r="C818" t="s">
        <v>1610</v>
      </c>
      <c r="D818" s="22">
        <v>-3709.2</v>
      </c>
      <c r="E818" t="s">
        <v>35</v>
      </c>
      <c r="F818" s="2">
        <v>212901001</v>
      </c>
      <c r="G818" s="2" t="s">
        <v>121</v>
      </c>
      <c r="L818" s="2" t="s">
        <v>1611</v>
      </c>
      <c r="M818" t="s">
        <v>67</v>
      </c>
      <c r="N818" t="s">
        <v>68</v>
      </c>
      <c r="P818" s="23">
        <v>61.82</v>
      </c>
      <c r="Q818" s="4">
        <f t="shared" si="12"/>
        <v>-60</v>
      </c>
      <c r="R818" s="23" t="s">
        <v>109</v>
      </c>
    </row>
    <row r="819" spans="1:18" x14ac:dyDescent="0.25">
      <c r="A819" s="37">
        <v>45702</v>
      </c>
      <c r="B819" s="1">
        <v>518407953</v>
      </c>
      <c r="C819" t="s">
        <v>1612</v>
      </c>
      <c r="D819" s="22">
        <v>-3709.2</v>
      </c>
      <c r="E819" t="s">
        <v>35</v>
      </c>
      <c r="F819" s="2">
        <v>212901001</v>
      </c>
      <c r="G819" s="2" t="s">
        <v>121</v>
      </c>
      <c r="L819" s="2" t="s">
        <v>1613</v>
      </c>
      <c r="M819" t="s">
        <v>67</v>
      </c>
      <c r="N819" t="s">
        <v>68</v>
      </c>
      <c r="P819" s="23">
        <v>61.82</v>
      </c>
      <c r="Q819" s="4">
        <f t="shared" si="12"/>
        <v>-60</v>
      </c>
      <c r="R819" s="23" t="s">
        <v>109</v>
      </c>
    </row>
    <row r="820" spans="1:18" x14ac:dyDescent="0.25">
      <c r="A820" s="37">
        <v>45702</v>
      </c>
      <c r="B820" s="1">
        <v>518407946</v>
      </c>
      <c r="C820" t="s">
        <v>1614</v>
      </c>
      <c r="D820" s="22">
        <v>-3709.2</v>
      </c>
      <c r="E820" t="s">
        <v>35</v>
      </c>
      <c r="F820" s="2">
        <v>212901001</v>
      </c>
      <c r="G820" s="2" t="s">
        <v>121</v>
      </c>
      <c r="L820" s="2" t="s">
        <v>1615</v>
      </c>
      <c r="M820" t="s">
        <v>67</v>
      </c>
      <c r="N820" t="s">
        <v>68</v>
      </c>
      <c r="P820" s="23">
        <v>61.82</v>
      </c>
      <c r="Q820" s="4">
        <f t="shared" si="12"/>
        <v>-60</v>
      </c>
      <c r="R820" s="23" t="s">
        <v>109</v>
      </c>
    </row>
    <row r="821" spans="1:18" x14ac:dyDescent="0.25">
      <c r="A821" s="37">
        <v>45702</v>
      </c>
      <c r="B821" s="1">
        <v>518407955</v>
      </c>
      <c r="C821" t="s">
        <v>1616</v>
      </c>
      <c r="D821" s="22">
        <v>-3709.2</v>
      </c>
      <c r="E821" t="s">
        <v>35</v>
      </c>
      <c r="F821" s="2">
        <v>212901001</v>
      </c>
      <c r="G821" s="2" t="s">
        <v>121</v>
      </c>
      <c r="L821" s="2" t="s">
        <v>1617</v>
      </c>
      <c r="M821" t="s">
        <v>67</v>
      </c>
      <c r="N821" t="s">
        <v>68</v>
      </c>
      <c r="P821" s="23">
        <v>61.82</v>
      </c>
      <c r="Q821" s="4">
        <f t="shared" si="12"/>
        <v>-60</v>
      </c>
      <c r="R821" s="23" t="s">
        <v>109</v>
      </c>
    </row>
    <row r="822" spans="1:18" x14ac:dyDescent="0.25">
      <c r="A822" s="37">
        <v>45702</v>
      </c>
      <c r="B822" s="1">
        <v>518407954</v>
      </c>
      <c r="C822" t="s">
        <v>1618</v>
      </c>
      <c r="D822" s="22">
        <v>-3709.2</v>
      </c>
      <c r="E822" t="s">
        <v>35</v>
      </c>
      <c r="F822" s="2">
        <v>212901001</v>
      </c>
      <c r="G822" s="2" t="s">
        <v>121</v>
      </c>
      <c r="L822" s="2" t="s">
        <v>1619</v>
      </c>
      <c r="M822" t="s">
        <v>67</v>
      </c>
      <c r="N822" t="s">
        <v>68</v>
      </c>
      <c r="P822" s="23">
        <v>61.82</v>
      </c>
      <c r="Q822" s="4">
        <f t="shared" si="12"/>
        <v>-60</v>
      </c>
      <c r="R822" s="23" t="s">
        <v>109</v>
      </c>
    </row>
    <row r="823" spans="1:18" x14ac:dyDescent="0.25">
      <c r="A823" s="37">
        <v>45702</v>
      </c>
      <c r="B823" s="1">
        <v>618407960</v>
      </c>
      <c r="C823" t="s">
        <v>1620</v>
      </c>
      <c r="D823" s="22">
        <v>-3709.2</v>
      </c>
      <c r="E823" t="s">
        <v>35</v>
      </c>
      <c r="F823" s="2">
        <v>212901001</v>
      </c>
      <c r="G823" s="2" t="s">
        <v>121</v>
      </c>
      <c r="L823" s="2" t="s">
        <v>1621</v>
      </c>
      <c r="M823" t="s">
        <v>67</v>
      </c>
      <c r="N823" t="s">
        <v>68</v>
      </c>
      <c r="P823" s="23">
        <v>61.82</v>
      </c>
      <c r="Q823" s="4">
        <f t="shared" si="12"/>
        <v>-60</v>
      </c>
      <c r="R823" s="23" t="s">
        <v>109</v>
      </c>
    </row>
    <row r="824" spans="1:18" x14ac:dyDescent="0.25">
      <c r="A824" s="37">
        <v>45702</v>
      </c>
      <c r="B824" s="1">
        <v>518407958</v>
      </c>
      <c r="C824" t="s">
        <v>1622</v>
      </c>
      <c r="D824" s="22">
        <v>-3709.2</v>
      </c>
      <c r="E824" t="s">
        <v>35</v>
      </c>
      <c r="F824" s="2">
        <v>212901001</v>
      </c>
      <c r="G824" s="2" t="s">
        <v>121</v>
      </c>
      <c r="L824" s="2" t="s">
        <v>1623</v>
      </c>
      <c r="M824" t="s">
        <v>67</v>
      </c>
      <c r="N824" t="s">
        <v>68</v>
      </c>
      <c r="P824" s="23">
        <v>61.82</v>
      </c>
      <c r="Q824" s="4">
        <f t="shared" si="12"/>
        <v>-60</v>
      </c>
      <c r="R824" s="23" t="s">
        <v>109</v>
      </c>
    </row>
    <row r="825" spans="1:18" x14ac:dyDescent="0.25">
      <c r="A825" s="37">
        <v>45702</v>
      </c>
      <c r="B825" s="1">
        <v>618407964</v>
      </c>
      <c r="C825" t="s">
        <v>1624</v>
      </c>
      <c r="D825" s="22">
        <v>-3709.2</v>
      </c>
      <c r="E825" t="s">
        <v>35</v>
      </c>
      <c r="F825" s="2">
        <v>212901001</v>
      </c>
      <c r="G825" s="2" t="s">
        <v>121</v>
      </c>
      <c r="L825" s="2" t="s">
        <v>1625</v>
      </c>
      <c r="M825" t="s">
        <v>67</v>
      </c>
      <c r="N825" t="s">
        <v>68</v>
      </c>
      <c r="P825" s="23">
        <v>61.82</v>
      </c>
      <c r="Q825" s="4">
        <f t="shared" si="12"/>
        <v>-60</v>
      </c>
      <c r="R825" s="23" t="s">
        <v>109</v>
      </c>
    </row>
    <row r="826" spans="1:18" x14ac:dyDescent="0.25">
      <c r="A826" s="37">
        <v>45702</v>
      </c>
      <c r="B826" s="1">
        <v>618407963</v>
      </c>
      <c r="C826" t="s">
        <v>1626</v>
      </c>
      <c r="D826" s="22">
        <v>-3709.2</v>
      </c>
      <c r="E826" t="s">
        <v>35</v>
      </c>
      <c r="F826" s="2">
        <v>212901001</v>
      </c>
      <c r="G826" s="2" t="s">
        <v>121</v>
      </c>
      <c r="L826" s="2" t="s">
        <v>1627</v>
      </c>
      <c r="M826" t="s">
        <v>67</v>
      </c>
      <c r="N826" t="s">
        <v>68</v>
      </c>
      <c r="P826" s="23">
        <v>61.82</v>
      </c>
      <c r="Q826" s="4">
        <f t="shared" si="12"/>
        <v>-60</v>
      </c>
      <c r="R826" s="23" t="s">
        <v>109</v>
      </c>
    </row>
    <row r="827" spans="1:18" x14ac:dyDescent="0.25">
      <c r="A827" s="37">
        <v>45702</v>
      </c>
      <c r="B827" s="1">
        <v>618407961</v>
      </c>
      <c r="C827" t="s">
        <v>1628</v>
      </c>
      <c r="D827" s="22">
        <v>-3709.2</v>
      </c>
      <c r="E827" t="s">
        <v>35</v>
      </c>
      <c r="F827" s="2">
        <v>212901001</v>
      </c>
      <c r="G827" s="2" t="s">
        <v>121</v>
      </c>
      <c r="L827" s="2" t="s">
        <v>1629</v>
      </c>
      <c r="M827" t="s">
        <v>67</v>
      </c>
      <c r="N827" t="s">
        <v>68</v>
      </c>
      <c r="P827" s="23">
        <v>61.82</v>
      </c>
      <c r="Q827" s="4">
        <f t="shared" si="12"/>
        <v>-60</v>
      </c>
      <c r="R827" s="23" t="s">
        <v>109</v>
      </c>
    </row>
    <row r="828" spans="1:18" x14ac:dyDescent="0.25">
      <c r="A828" s="37">
        <v>45702</v>
      </c>
      <c r="B828" s="1">
        <v>618407959</v>
      </c>
      <c r="C828" t="s">
        <v>1630</v>
      </c>
      <c r="D828" s="22">
        <v>-3709.2</v>
      </c>
      <c r="E828" t="s">
        <v>35</v>
      </c>
      <c r="F828" s="2">
        <v>212901001</v>
      </c>
      <c r="G828" s="2" t="s">
        <v>121</v>
      </c>
      <c r="L828" s="2" t="s">
        <v>1631</v>
      </c>
      <c r="M828" t="s">
        <v>67</v>
      </c>
      <c r="N828" t="s">
        <v>68</v>
      </c>
      <c r="P828" s="23">
        <v>61.82</v>
      </c>
      <c r="Q828" s="4">
        <f t="shared" si="12"/>
        <v>-60</v>
      </c>
      <c r="R828" s="23" t="s">
        <v>109</v>
      </c>
    </row>
    <row r="829" spans="1:18" x14ac:dyDescent="0.25">
      <c r="A829" s="37">
        <v>45702</v>
      </c>
      <c r="B829" s="1">
        <v>518407957</v>
      </c>
      <c r="C829" t="s">
        <v>1632</v>
      </c>
      <c r="D829" s="22">
        <v>-3709.2</v>
      </c>
      <c r="E829" t="s">
        <v>35</v>
      </c>
      <c r="F829" s="2">
        <v>212901001</v>
      </c>
      <c r="G829" s="2" t="s">
        <v>121</v>
      </c>
      <c r="L829" s="2" t="s">
        <v>1633</v>
      </c>
      <c r="M829" t="s">
        <v>67</v>
      </c>
      <c r="N829" t="s">
        <v>68</v>
      </c>
      <c r="P829" s="23">
        <v>61.82</v>
      </c>
      <c r="Q829" s="4">
        <f t="shared" si="12"/>
        <v>-60</v>
      </c>
      <c r="R829" s="23" t="s">
        <v>109</v>
      </c>
    </row>
    <row r="830" spans="1:18" x14ac:dyDescent="0.25">
      <c r="A830" s="37">
        <v>45702</v>
      </c>
      <c r="B830" s="1">
        <v>518407956</v>
      </c>
      <c r="C830" t="s">
        <v>1634</v>
      </c>
      <c r="D830" s="22">
        <v>-3709.2</v>
      </c>
      <c r="E830" t="s">
        <v>35</v>
      </c>
      <c r="F830" s="2">
        <v>212901001</v>
      </c>
      <c r="G830" s="2" t="s">
        <v>121</v>
      </c>
      <c r="L830" s="2" t="s">
        <v>1635</v>
      </c>
      <c r="M830" t="s">
        <v>67</v>
      </c>
      <c r="N830" t="s">
        <v>68</v>
      </c>
      <c r="P830" s="23">
        <v>61.82</v>
      </c>
      <c r="Q830" s="4">
        <f t="shared" si="12"/>
        <v>-60</v>
      </c>
      <c r="R830" s="23" t="s">
        <v>109</v>
      </c>
    </row>
    <row r="831" spans="1:18" x14ac:dyDescent="0.25">
      <c r="A831" s="37">
        <v>45702</v>
      </c>
      <c r="B831" s="1">
        <v>718407973</v>
      </c>
      <c r="C831" t="s">
        <v>1636</v>
      </c>
      <c r="D831" s="22">
        <v>-3091</v>
      </c>
      <c r="E831" t="s">
        <v>35</v>
      </c>
      <c r="F831" s="2">
        <v>212901001</v>
      </c>
      <c r="G831" s="2" t="s">
        <v>121</v>
      </c>
      <c r="L831" s="2" t="s">
        <v>1637</v>
      </c>
      <c r="M831" t="s">
        <v>67</v>
      </c>
      <c r="N831" t="s">
        <v>68</v>
      </c>
      <c r="P831" s="23">
        <v>61.82</v>
      </c>
      <c r="Q831" s="4">
        <f t="shared" si="12"/>
        <v>-50</v>
      </c>
      <c r="R831" s="23" t="s">
        <v>109</v>
      </c>
    </row>
    <row r="832" spans="1:18" x14ac:dyDescent="0.25">
      <c r="A832" s="37">
        <v>45702</v>
      </c>
      <c r="B832" s="1">
        <v>718407972</v>
      </c>
      <c r="C832" t="s">
        <v>1638</v>
      </c>
      <c r="D832" s="22">
        <v>-4945.6000000000004</v>
      </c>
      <c r="E832" t="s">
        <v>35</v>
      </c>
      <c r="F832" s="2">
        <v>212901001</v>
      </c>
      <c r="G832" s="2" t="s">
        <v>121</v>
      </c>
      <c r="L832" s="2" t="s">
        <v>1639</v>
      </c>
      <c r="M832" t="s">
        <v>67</v>
      </c>
      <c r="N832" t="s">
        <v>68</v>
      </c>
      <c r="P832" s="23">
        <v>61.82</v>
      </c>
      <c r="Q832" s="4">
        <f t="shared" si="12"/>
        <v>-80</v>
      </c>
      <c r="R832" s="23" t="s">
        <v>109</v>
      </c>
    </row>
    <row r="833" spans="1:18" x14ac:dyDescent="0.25">
      <c r="A833" s="37">
        <v>45702</v>
      </c>
      <c r="B833" s="1">
        <v>618407968</v>
      </c>
      <c r="C833" t="s">
        <v>1640</v>
      </c>
      <c r="D833" s="22">
        <v>-4945.6000000000004</v>
      </c>
      <c r="E833" t="s">
        <v>35</v>
      </c>
      <c r="F833" s="2">
        <v>212901001</v>
      </c>
      <c r="G833" s="2" t="s">
        <v>121</v>
      </c>
      <c r="L833" s="2" t="s">
        <v>1641</v>
      </c>
      <c r="M833" t="s">
        <v>67</v>
      </c>
      <c r="N833" t="s">
        <v>68</v>
      </c>
      <c r="P833" s="23">
        <v>61.82</v>
      </c>
      <c r="Q833" s="4">
        <f t="shared" si="12"/>
        <v>-80</v>
      </c>
      <c r="R833" s="23" t="s">
        <v>109</v>
      </c>
    </row>
    <row r="834" spans="1:18" x14ac:dyDescent="0.25">
      <c r="A834" s="37">
        <v>45702</v>
      </c>
      <c r="B834" s="1">
        <v>718407971</v>
      </c>
      <c r="C834" t="s">
        <v>1642</v>
      </c>
      <c r="D834" s="22">
        <v>-4945.6000000000004</v>
      </c>
      <c r="E834" t="s">
        <v>35</v>
      </c>
      <c r="F834" s="2">
        <v>212901001</v>
      </c>
      <c r="G834" s="2" t="s">
        <v>121</v>
      </c>
      <c r="L834" s="2" t="s">
        <v>1643</v>
      </c>
      <c r="M834" t="s">
        <v>67</v>
      </c>
      <c r="N834" t="s">
        <v>68</v>
      </c>
      <c r="P834" s="23">
        <v>61.82</v>
      </c>
      <c r="Q834" s="4">
        <f t="shared" si="12"/>
        <v>-80</v>
      </c>
      <c r="R834" s="23" t="s">
        <v>109</v>
      </c>
    </row>
    <row r="835" spans="1:18" x14ac:dyDescent="0.25">
      <c r="A835" s="37">
        <v>45702</v>
      </c>
      <c r="B835" s="1">
        <v>618407967</v>
      </c>
      <c r="C835" t="s">
        <v>1644</v>
      </c>
      <c r="D835" s="22">
        <v>-4945.6000000000004</v>
      </c>
      <c r="E835" t="s">
        <v>35</v>
      </c>
      <c r="F835" s="2">
        <v>212901001</v>
      </c>
      <c r="G835" s="2" t="s">
        <v>121</v>
      </c>
      <c r="L835" s="2" t="s">
        <v>1645</v>
      </c>
      <c r="M835" t="s">
        <v>67</v>
      </c>
      <c r="N835" t="s">
        <v>68</v>
      </c>
      <c r="P835" s="23">
        <v>61.82</v>
      </c>
      <c r="Q835" s="4">
        <f t="shared" si="12"/>
        <v>-80</v>
      </c>
      <c r="R835" s="23" t="s">
        <v>109</v>
      </c>
    </row>
    <row r="836" spans="1:18" x14ac:dyDescent="0.25">
      <c r="A836" s="37">
        <v>45702</v>
      </c>
      <c r="B836" s="1">
        <v>618407970</v>
      </c>
      <c r="C836" t="s">
        <v>1646</v>
      </c>
      <c r="D836" s="22">
        <v>-4945.6000000000004</v>
      </c>
      <c r="E836" t="s">
        <v>35</v>
      </c>
      <c r="F836" s="2">
        <v>212901001</v>
      </c>
      <c r="G836" s="2" t="s">
        <v>121</v>
      </c>
      <c r="L836" s="2" t="s">
        <v>1647</v>
      </c>
      <c r="M836" t="s">
        <v>67</v>
      </c>
      <c r="N836" t="s">
        <v>68</v>
      </c>
      <c r="P836" s="23">
        <v>61.82</v>
      </c>
      <c r="Q836" s="4">
        <f t="shared" si="12"/>
        <v>-80</v>
      </c>
      <c r="R836" s="23" t="s">
        <v>109</v>
      </c>
    </row>
    <row r="837" spans="1:18" x14ac:dyDescent="0.25">
      <c r="A837" s="37">
        <v>45702</v>
      </c>
      <c r="B837" s="1">
        <v>718407977</v>
      </c>
      <c r="C837" t="s">
        <v>1648</v>
      </c>
      <c r="D837" s="22">
        <v>-3091</v>
      </c>
      <c r="E837" t="s">
        <v>35</v>
      </c>
      <c r="F837" s="2">
        <v>212901001</v>
      </c>
      <c r="G837" s="2" t="s">
        <v>121</v>
      </c>
      <c r="L837" s="2" t="s">
        <v>1649</v>
      </c>
      <c r="M837" t="s">
        <v>67</v>
      </c>
      <c r="N837" t="s">
        <v>68</v>
      </c>
      <c r="P837" s="23">
        <v>61.82</v>
      </c>
      <c r="Q837" s="4">
        <f t="shared" si="12"/>
        <v>-50</v>
      </c>
      <c r="R837" s="23" t="s">
        <v>109</v>
      </c>
    </row>
    <row r="838" spans="1:18" x14ac:dyDescent="0.25">
      <c r="A838" s="37">
        <v>45702</v>
      </c>
      <c r="B838" s="1">
        <v>618407965</v>
      </c>
      <c r="C838" t="s">
        <v>1650</v>
      </c>
      <c r="D838" s="22">
        <v>-9273</v>
      </c>
      <c r="E838" t="s">
        <v>35</v>
      </c>
      <c r="F838" s="2">
        <v>212901001</v>
      </c>
      <c r="G838" s="2" t="s">
        <v>121</v>
      </c>
      <c r="L838" s="2" t="s">
        <v>1651</v>
      </c>
      <c r="M838" t="s">
        <v>67</v>
      </c>
      <c r="N838" t="s">
        <v>68</v>
      </c>
      <c r="P838" s="23">
        <v>61.82</v>
      </c>
      <c r="Q838" s="4">
        <f t="shared" si="12"/>
        <v>-150</v>
      </c>
      <c r="R838" s="23" t="s">
        <v>109</v>
      </c>
    </row>
    <row r="839" spans="1:18" x14ac:dyDescent="0.25">
      <c r="A839" s="37">
        <v>45702</v>
      </c>
      <c r="B839" s="1">
        <v>618407966</v>
      </c>
      <c r="C839" t="s">
        <v>1652</v>
      </c>
      <c r="D839" s="22">
        <v>-6182</v>
      </c>
      <c r="E839" t="s">
        <v>35</v>
      </c>
      <c r="F839" s="2">
        <v>212901001</v>
      </c>
      <c r="G839" s="2" t="s">
        <v>121</v>
      </c>
      <c r="L839" s="2" t="s">
        <v>1653</v>
      </c>
      <c r="M839" t="s">
        <v>67</v>
      </c>
      <c r="N839" t="s">
        <v>68</v>
      </c>
      <c r="P839" s="23">
        <v>61.82</v>
      </c>
      <c r="Q839" s="4">
        <f t="shared" si="12"/>
        <v>-100</v>
      </c>
      <c r="R839" s="23" t="s">
        <v>109</v>
      </c>
    </row>
    <row r="840" spans="1:18" x14ac:dyDescent="0.25">
      <c r="A840" s="37">
        <v>45702</v>
      </c>
      <c r="B840" s="1">
        <v>618407969</v>
      </c>
      <c r="C840" t="s">
        <v>1654</v>
      </c>
      <c r="D840" s="22">
        <v>-4945.6000000000004</v>
      </c>
      <c r="E840" t="s">
        <v>35</v>
      </c>
      <c r="F840" s="2">
        <v>212901001</v>
      </c>
      <c r="G840" s="2" t="s">
        <v>121</v>
      </c>
      <c r="L840" s="2" t="s">
        <v>1655</v>
      </c>
      <c r="M840" t="s">
        <v>67</v>
      </c>
      <c r="N840" t="s">
        <v>68</v>
      </c>
      <c r="P840" s="23">
        <v>61.82</v>
      </c>
      <c r="Q840" s="4">
        <f t="shared" si="12"/>
        <v>-80</v>
      </c>
      <c r="R840" s="23" t="s">
        <v>109</v>
      </c>
    </row>
    <row r="841" spans="1:18" x14ac:dyDescent="0.25">
      <c r="A841" s="37">
        <v>45702</v>
      </c>
      <c r="B841" s="1">
        <v>718407976</v>
      </c>
      <c r="C841" t="s">
        <v>1656</v>
      </c>
      <c r="D841" s="22">
        <v>-3091</v>
      </c>
      <c r="E841" t="s">
        <v>35</v>
      </c>
      <c r="F841" s="2">
        <v>212901001</v>
      </c>
      <c r="G841" s="2" t="s">
        <v>121</v>
      </c>
      <c r="L841" s="2" t="s">
        <v>1657</v>
      </c>
      <c r="M841" t="s">
        <v>67</v>
      </c>
      <c r="N841" t="s">
        <v>68</v>
      </c>
      <c r="P841" s="23">
        <v>61.82</v>
      </c>
      <c r="Q841" s="4">
        <f t="shared" si="12"/>
        <v>-50</v>
      </c>
      <c r="R841" s="23" t="s">
        <v>109</v>
      </c>
    </row>
    <row r="842" spans="1:18" x14ac:dyDescent="0.25">
      <c r="A842" s="37">
        <v>45702</v>
      </c>
      <c r="B842" s="1">
        <v>718407980</v>
      </c>
      <c r="C842" t="s">
        <v>1658</v>
      </c>
      <c r="D842" s="22">
        <v>-2472.8000000000002</v>
      </c>
      <c r="E842" t="s">
        <v>35</v>
      </c>
      <c r="F842" s="2">
        <v>212901001</v>
      </c>
      <c r="G842" s="2" t="s">
        <v>121</v>
      </c>
      <c r="L842" s="2" t="s">
        <v>1659</v>
      </c>
      <c r="M842" t="s">
        <v>67</v>
      </c>
      <c r="N842" t="s">
        <v>68</v>
      </c>
      <c r="P842" s="23">
        <v>61.82</v>
      </c>
      <c r="Q842" s="4">
        <f t="shared" si="12"/>
        <v>-40</v>
      </c>
      <c r="R842" s="23" t="s">
        <v>109</v>
      </c>
    </row>
    <row r="843" spans="1:18" x14ac:dyDescent="0.25">
      <c r="A843" s="37">
        <v>45702</v>
      </c>
      <c r="B843" s="1">
        <v>718407981</v>
      </c>
      <c r="C843" t="s">
        <v>1660</v>
      </c>
      <c r="D843" s="22">
        <v>-2472.8000000000002</v>
      </c>
      <c r="E843" t="s">
        <v>35</v>
      </c>
      <c r="F843" s="2">
        <v>212901001</v>
      </c>
      <c r="G843" s="2" t="s">
        <v>121</v>
      </c>
      <c r="L843" s="2" t="s">
        <v>1661</v>
      </c>
      <c r="M843" t="s">
        <v>67</v>
      </c>
      <c r="N843" t="s">
        <v>68</v>
      </c>
      <c r="P843" s="23">
        <v>61.82</v>
      </c>
      <c r="Q843" s="4">
        <f t="shared" ref="Q843:Q906" si="13">D843/P843</f>
        <v>-40</v>
      </c>
      <c r="R843" s="23" t="s">
        <v>109</v>
      </c>
    </row>
    <row r="844" spans="1:18" x14ac:dyDescent="0.25">
      <c r="A844" s="37">
        <v>45702</v>
      </c>
      <c r="B844" s="1">
        <v>718407975</v>
      </c>
      <c r="C844" t="s">
        <v>1662</v>
      </c>
      <c r="D844" s="22">
        <v>-3091</v>
      </c>
      <c r="E844" t="s">
        <v>35</v>
      </c>
      <c r="F844" s="2">
        <v>212901001</v>
      </c>
      <c r="G844" s="2" t="s">
        <v>121</v>
      </c>
      <c r="L844" s="2" t="s">
        <v>1663</v>
      </c>
      <c r="M844" t="s">
        <v>67</v>
      </c>
      <c r="N844" t="s">
        <v>68</v>
      </c>
      <c r="P844" s="23">
        <v>61.82</v>
      </c>
      <c r="Q844" s="4">
        <f t="shared" si="13"/>
        <v>-50</v>
      </c>
      <c r="R844" s="23" t="s">
        <v>109</v>
      </c>
    </row>
    <row r="845" spans="1:18" x14ac:dyDescent="0.25">
      <c r="A845" s="37">
        <v>45702</v>
      </c>
      <c r="B845" s="1">
        <v>718407979</v>
      </c>
      <c r="C845" t="s">
        <v>1664</v>
      </c>
      <c r="D845" s="22">
        <v>-3091</v>
      </c>
      <c r="E845" t="s">
        <v>35</v>
      </c>
      <c r="F845" s="2">
        <v>212901001</v>
      </c>
      <c r="G845" s="2" t="s">
        <v>121</v>
      </c>
      <c r="L845" s="2" t="s">
        <v>1665</v>
      </c>
      <c r="M845" t="s">
        <v>67</v>
      </c>
      <c r="N845" t="s">
        <v>68</v>
      </c>
      <c r="P845" s="23">
        <v>61.82</v>
      </c>
      <c r="Q845" s="4">
        <f t="shared" si="13"/>
        <v>-50</v>
      </c>
      <c r="R845" s="23" t="s">
        <v>109</v>
      </c>
    </row>
    <row r="846" spans="1:18" x14ac:dyDescent="0.25">
      <c r="A846" s="37">
        <v>45702</v>
      </c>
      <c r="B846" s="1">
        <v>718407978</v>
      </c>
      <c r="C846" t="s">
        <v>1666</v>
      </c>
      <c r="D846" s="22">
        <v>-3091</v>
      </c>
      <c r="E846" t="s">
        <v>35</v>
      </c>
      <c r="F846" s="2">
        <v>212901001</v>
      </c>
      <c r="G846" s="2" t="s">
        <v>121</v>
      </c>
      <c r="L846" s="2" t="s">
        <v>1667</v>
      </c>
      <c r="M846" t="s">
        <v>67</v>
      </c>
      <c r="N846" t="s">
        <v>68</v>
      </c>
      <c r="P846" s="23">
        <v>61.82</v>
      </c>
      <c r="Q846" s="4">
        <f t="shared" si="13"/>
        <v>-50</v>
      </c>
      <c r="R846" s="23" t="s">
        <v>109</v>
      </c>
    </row>
    <row r="847" spans="1:18" x14ac:dyDescent="0.25">
      <c r="A847" s="37">
        <v>45702</v>
      </c>
      <c r="B847" s="1">
        <v>718407982</v>
      </c>
      <c r="C847" t="s">
        <v>1668</v>
      </c>
      <c r="D847" s="22">
        <v>-2472.8000000000002</v>
      </c>
      <c r="E847" t="s">
        <v>35</v>
      </c>
      <c r="F847" s="2">
        <v>212901001</v>
      </c>
      <c r="G847" s="2" t="s">
        <v>121</v>
      </c>
      <c r="L847" s="2" t="s">
        <v>1669</v>
      </c>
      <c r="M847" t="s">
        <v>67</v>
      </c>
      <c r="N847" t="s">
        <v>68</v>
      </c>
      <c r="P847" s="23">
        <v>61.82</v>
      </c>
      <c r="Q847" s="4">
        <f t="shared" si="13"/>
        <v>-40</v>
      </c>
      <c r="R847" s="23" t="s">
        <v>109</v>
      </c>
    </row>
    <row r="848" spans="1:18" x14ac:dyDescent="0.25">
      <c r="A848" s="37">
        <v>45702</v>
      </c>
      <c r="B848" s="1">
        <v>818407983</v>
      </c>
      <c r="C848" t="s">
        <v>1670</v>
      </c>
      <c r="D848" s="22">
        <v>-2472.8000000000002</v>
      </c>
      <c r="E848" t="s">
        <v>35</v>
      </c>
      <c r="F848" s="2">
        <v>212901001</v>
      </c>
      <c r="G848" s="2" t="s">
        <v>121</v>
      </c>
      <c r="L848" s="2" t="s">
        <v>1671</v>
      </c>
      <c r="M848" t="s">
        <v>67</v>
      </c>
      <c r="N848" t="s">
        <v>68</v>
      </c>
      <c r="P848" s="23">
        <v>61.82</v>
      </c>
      <c r="Q848" s="4">
        <f t="shared" si="13"/>
        <v>-40</v>
      </c>
      <c r="R848" s="23" t="s">
        <v>109</v>
      </c>
    </row>
    <row r="849" spans="1:18" x14ac:dyDescent="0.25">
      <c r="A849" s="37">
        <v>45702</v>
      </c>
      <c r="B849" s="1">
        <v>818407984</v>
      </c>
      <c r="C849" t="s">
        <v>1672</v>
      </c>
      <c r="D849" s="22">
        <v>-2472.8000000000002</v>
      </c>
      <c r="E849" t="s">
        <v>35</v>
      </c>
      <c r="F849" s="2">
        <v>212901001</v>
      </c>
      <c r="G849" s="2" t="s">
        <v>121</v>
      </c>
      <c r="L849" s="2" t="s">
        <v>1673</v>
      </c>
      <c r="M849" t="s">
        <v>67</v>
      </c>
      <c r="N849" t="s">
        <v>68</v>
      </c>
      <c r="P849" s="23">
        <v>61.82</v>
      </c>
      <c r="Q849" s="4">
        <f t="shared" si="13"/>
        <v>-40</v>
      </c>
      <c r="R849" s="23" t="s">
        <v>109</v>
      </c>
    </row>
    <row r="850" spans="1:18" x14ac:dyDescent="0.25">
      <c r="A850" s="37">
        <v>45702</v>
      </c>
      <c r="B850" s="1">
        <v>818407986</v>
      </c>
      <c r="C850" t="s">
        <v>1674</v>
      </c>
      <c r="D850" s="22">
        <v>-2472.8000000000002</v>
      </c>
      <c r="E850" t="s">
        <v>35</v>
      </c>
      <c r="F850" s="2">
        <v>212901001</v>
      </c>
      <c r="G850" s="2" t="s">
        <v>121</v>
      </c>
      <c r="L850" s="2" t="s">
        <v>1675</v>
      </c>
      <c r="M850" t="s">
        <v>67</v>
      </c>
      <c r="N850" t="s">
        <v>68</v>
      </c>
      <c r="P850" s="23">
        <v>61.82</v>
      </c>
      <c r="Q850" s="4">
        <f t="shared" si="13"/>
        <v>-40</v>
      </c>
      <c r="R850" s="23" t="s">
        <v>109</v>
      </c>
    </row>
    <row r="851" spans="1:18" x14ac:dyDescent="0.25">
      <c r="A851" s="37">
        <v>45702</v>
      </c>
      <c r="B851" s="1">
        <v>818407989</v>
      </c>
      <c r="C851" t="s">
        <v>1676</v>
      </c>
      <c r="D851" s="22">
        <v>-6182</v>
      </c>
      <c r="E851" t="s">
        <v>35</v>
      </c>
      <c r="F851" s="2">
        <v>212901001</v>
      </c>
      <c r="G851" s="2" t="s">
        <v>121</v>
      </c>
      <c r="L851" s="2" t="s">
        <v>1677</v>
      </c>
      <c r="M851" t="s">
        <v>67</v>
      </c>
      <c r="N851" t="s">
        <v>68</v>
      </c>
      <c r="P851" s="23">
        <v>61.82</v>
      </c>
      <c r="Q851" s="4">
        <f t="shared" si="13"/>
        <v>-100</v>
      </c>
      <c r="R851" s="23" t="s">
        <v>109</v>
      </c>
    </row>
    <row r="852" spans="1:18" x14ac:dyDescent="0.25">
      <c r="A852" s="37">
        <v>45702</v>
      </c>
      <c r="B852" s="1">
        <v>818407985</v>
      </c>
      <c r="C852" t="s">
        <v>1678</v>
      </c>
      <c r="D852" s="22">
        <v>-2472.8000000000002</v>
      </c>
      <c r="E852" t="s">
        <v>35</v>
      </c>
      <c r="F852" s="2">
        <v>212901001</v>
      </c>
      <c r="G852" s="2" t="s">
        <v>121</v>
      </c>
      <c r="L852" s="2" t="s">
        <v>1679</v>
      </c>
      <c r="M852" t="s">
        <v>67</v>
      </c>
      <c r="N852" t="s">
        <v>68</v>
      </c>
      <c r="P852" s="23">
        <v>61.82</v>
      </c>
      <c r="Q852" s="4">
        <f t="shared" si="13"/>
        <v>-40</v>
      </c>
      <c r="R852" s="23" t="s">
        <v>109</v>
      </c>
    </row>
    <row r="853" spans="1:18" x14ac:dyDescent="0.25">
      <c r="A853" s="37">
        <v>45702</v>
      </c>
      <c r="B853" s="1">
        <v>818407988</v>
      </c>
      <c r="C853" t="s">
        <v>1680</v>
      </c>
      <c r="D853" s="22">
        <v>-6182</v>
      </c>
      <c r="E853" t="s">
        <v>35</v>
      </c>
      <c r="F853" s="2">
        <v>212901001</v>
      </c>
      <c r="G853" s="2" t="s">
        <v>121</v>
      </c>
      <c r="L853" s="2" t="s">
        <v>1681</v>
      </c>
      <c r="M853" t="s">
        <v>67</v>
      </c>
      <c r="N853" t="s">
        <v>68</v>
      </c>
      <c r="P853" s="23">
        <v>61.82</v>
      </c>
      <c r="Q853" s="4">
        <f t="shared" si="13"/>
        <v>-100</v>
      </c>
      <c r="R853" s="23" t="s">
        <v>109</v>
      </c>
    </row>
    <row r="854" spans="1:18" x14ac:dyDescent="0.25">
      <c r="A854" s="37">
        <v>45702</v>
      </c>
      <c r="B854" s="1">
        <v>818407993</v>
      </c>
      <c r="C854" t="s">
        <v>1682</v>
      </c>
      <c r="D854" s="22">
        <v>-4945.6000000000004</v>
      </c>
      <c r="E854" t="s">
        <v>35</v>
      </c>
      <c r="F854" s="2">
        <v>212901001</v>
      </c>
      <c r="G854" s="2" t="s">
        <v>121</v>
      </c>
      <c r="L854" s="2" t="s">
        <v>1683</v>
      </c>
      <c r="M854" t="s">
        <v>67</v>
      </c>
      <c r="N854" t="s">
        <v>68</v>
      </c>
      <c r="P854" s="23">
        <v>61.82</v>
      </c>
      <c r="Q854" s="4">
        <f t="shared" si="13"/>
        <v>-80</v>
      </c>
      <c r="R854" s="23" t="s">
        <v>109</v>
      </c>
    </row>
    <row r="855" spans="1:18" x14ac:dyDescent="0.25">
      <c r="A855" s="37">
        <v>45702</v>
      </c>
      <c r="B855" s="1">
        <v>818407990</v>
      </c>
      <c r="C855" t="s">
        <v>1684</v>
      </c>
      <c r="D855" s="22">
        <v>-9273</v>
      </c>
      <c r="E855" t="s">
        <v>35</v>
      </c>
      <c r="F855" s="2">
        <v>212901001</v>
      </c>
      <c r="G855" s="2" t="s">
        <v>121</v>
      </c>
      <c r="L855" s="2" t="s">
        <v>1685</v>
      </c>
      <c r="M855" t="s">
        <v>67</v>
      </c>
      <c r="N855" t="s">
        <v>68</v>
      </c>
      <c r="P855" s="23">
        <v>61.82</v>
      </c>
      <c r="Q855" s="4">
        <f t="shared" si="13"/>
        <v>-150</v>
      </c>
      <c r="R855" s="23" t="s">
        <v>109</v>
      </c>
    </row>
    <row r="856" spans="1:18" x14ac:dyDescent="0.25">
      <c r="A856" s="37">
        <v>45702</v>
      </c>
      <c r="B856" s="1">
        <v>818407992</v>
      </c>
      <c r="C856" t="s">
        <v>1686</v>
      </c>
      <c r="D856" s="22">
        <v>-6800.2</v>
      </c>
      <c r="E856" t="s">
        <v>35</v>
      </c>
      <c r="F856" s="2">
        <v>212901001</v>
      </c>
      <c r="G856" s="2" t="s">
        <v>121</v>
      </c>
      <c r="L856" s="2" t="s">
        <v>1687</v>
      </c>
      <c r="M856" t="s">
        <v>67</v>
      </c>
      <c r="N856" t="s">
        <v>68</v>
      </c>
      <c r="P856" s="23">
        <v>61.82</v>
      </c>
      <c r="Q856" s="4">
        <f t="shared" si="13"/>
        <v>-110</v>
      </c>
      <c r="R856" s="23" t="s">
        <v>109</v>
      </c>
    </row>
    <row r="857" spans="1:18" x14ac:dyDescent="0.25">
      <c r="A857" s="37">
        <v>45702</v>
      </c>
      <c r="B857" s="1">
        <v>818407991</v>
      </c>
      <c r="C857" t="s">
        <v>1688</v>
      </c>
      <c r="D857" s="22">
        <v>-1854.6</v>
      </c>
      <c r="E857" t="s">
        <v>35</v>
      </c>
      <c r="F857" s="2">
        <v>212901001</v>
      </c>
      <c r="G857" s="2" t="s">
        <v>121</v>
      </c>
      <c r="L857" s="2" t="s">
        <v>1689</v>
      </c>
      <c r="M857" t="s">
        <v>67</v>
      </c>
      <c r="N857" t="s">
        <v>68</v>
      </c>
      <c r="P857" s="23">
        <v>61.82</v>
      </c>
      <c r="Q857" s="4">
        <f t="shared" si="13"/>
        <v>-30</v>
      </c>
      <c r="R857" s="23" t="s">
        <v>109</v>
      </c>
    </row>
    <row r="858" spans="1:18" x14ac:dyDescent="0.25">
      <c r="A858" s="37">
        <v>45702</v>
      </c>
      <c r="B858" s="1">
        <v>918407997</v>
      </c>
      <c r="C858" t="s">
        <v>1690</v>
      </c>
      <c r="D858" s="22">
        <v>-4327.3999999999996</v>
      </c>
      <c r="E858" t="s">
        <v>35</v>
      </c>
      <c r="F858" s="2">
        <v>212901001</v>
      </c>
      <c r="G858" s="2" t="s">
        <v>121</v>
      </c>
      <c r="L858" s="2" t="s">
        <v>1691</v>
      </c>
      <c r="M858" t="s">
        <v>67</v>
      </c>
      <c r="N858" t="s">
        <v>68</v>
      </c>
      <c r="P858" s="23">
        <v>61.82</v>
      </c>
      <c r="Q858" s="4">
        <f t="shared" si="13"/>
        <v>-70</v>
      </c>
      <c r="R858" s="23" t="s">
        <v>109</v>
      </c>
    </row>
    <row r="859" spans="1:18" x14ac:dyDescent="0.25">
      <c r="A859" s="37">
        <v>45702</v>
      </c>
      <c r="B859" s="1">
        <v>818407994</v>
      </c>
      <c r="C859" t="s">
        <v>1692</v>
      </c>
      <c r="D859" s="22">
        <v>-6182</v>
      </c>
      <c r="E859" t="s">
        <v>35</v>
      </c>
      <c r="F859" s="2">
        <v>212901001</v>
      </c>
      <c r="G859" s="2" t="s">
        <v>121</v>
      </c>
      <c r="L859" s="2" t="s">
        <v>1693</v>
      </c>
      <c r="M859" t="s">
        <v>67</v>
      </c>
      <c r="N859" t="s">
        <v>68</v>
      </c>
      <c r="P859" s="23">
        <v>61.82</v>
      </c>
      <c r="Q859" s="4">
        <f t="shared" si="13"/>
        <v>-100</v>
      </c>
      <c r="R859" s="23" t="s">
        <v>109</v>
      </c>
    </row>
    <row r="860" spans="1:18" x14ac:dyDescent="0.25">
      <c r="A860" s="37">
        <v>45702</v>
      </c>
      <c r="B860" s="1">
        <v>918407995</v>
      </c>
      <c r="C860" t="s">
        <v>1694</v>
      </c>
      <c r="D860" s="22">
        <v>-2843.72</v>
      </c>
      <c r="E860" t="s">
        <v>35</v>
      </c>
      <c r="F860" s="2">
        <v>212901001</v>
      </c>
      <c r="G860" s="2" t="s">
        <v>121</v>
      </c>
      <c r="L860" s="2" t="s">
        <v>1695</v>
      </c>
      <c r="M860" t="s">
        <v>67</v>
      </c>
      <c r="N860" t="s">
        <v>68</v>
      </c>
      <c r="P860" s="23">
        <v>61.82</v>
      </c>
      <c r="Q860" s="4">
        <f t="shared" si="13"/>
        <v>-46</v>
      </c>
      <c r="R860" s="23" t="s">
        <v>109</v>
      </c>
    </row>
    <row r="861" spans="1:18" x14ac:dyDescent="0.25">
      <c r="A861" s="37">
        <v>45702</v>
      </c>
      <c r="B861" s="1">
        <v>918407998</v>
      </c>
      <c r="C861" t="s">
        <v>1696</v>
      </c>
      <c r="D861" s="22">
        <v>-4327.3999999999996</v>
      </c>
      <c r="E861" t="s">
        <v>35</v>
      </c>
      <c r="F861" s="2">
        <v>212901001</v>
      </c>
      <c r="G861" s="2" t="s">
        <v>121</v>
      </c>
      <c r="L861" s="2" t="s">
        <v>1697</v>
      </c>
      <c r="M861" t="s">
        <v>67</v>
      </c>
      <c r="N861" t="s">
        <v>68</v>
      </c>
      <c r="P861" s="23">
        <v>61.82</v>
      </c>
      <c r="Q861" s="4">
        <f t="shared" si="13"/>
        <v>-70</v>
      </c>
      <c r="R861" s="23" t="s">
        <v>109</v>
      </c>
    </row>
    <row r="862" spans="1:18" x14ac:dyDescent="0.25">
      <c r="A862" s="37">
        <v>45702</v>
      </c>
      <c r="B862" s="1">
        <v>918407996</v>
      </c>
      <c r="C862" t="s">
        <v>1698</v>
      </c>
      <c r="D862" s="22">
        <v>-4327.3999999999996</v>
      </c>
      <c r="E862" t="s">
        <v>35</v>
      </c>
      <c r="F862" s="2">
        <v>212901001</v>
      </c>
      <c r="G862" s="2" t="s">
        <v>121</v>
      </c>
      <c r="L862" s="2" t="s">
        <v>1699</v>
      </c>
      <c r="M862" t="s">
        <v>67</v>
      </c>
      <c r="N862" t="s">
        <v>68</v>
      </c>
      <c r="P862" s="23">
        <v>61.82</v>
      </c>
      <c r="Q862" s="4">
        <f t="shared" si="13"/>
        <v>-70</v>
      </c>
      <c r="R862" s="23" t="s">
        <v>109</v>
      </c>
    </row>
    <row r="863" spans="1:18" x14ac:dyDescent="0.25">
      <c r="A863" s="37">
        <v>45702</v>
      </c>
      <c r="B863" s="1">
        <v>918407999</v>
      </c>
      <c r="C863" t="s">
        <v>1700</v>
      </c>
      <c r="D863" s="22">
        <v>-3091</v>
      </c>
      <c r="E863" t="s">
        <v>35</v>
      </c>
      <c r="F863" s="2">
        <v>212901001</v>
      </c>
      <c r="G863" s="2" t="s">
        <v>121</v>
      </c>
      <c r="L863" s="2" t="s">
        <v>1701</v>
      </c>
      <c r="M863" t="s">
        <v>67</v>
      </c>
      <c r="N863" t="s">
        <v>68</v>
      </c>
      <c r="P863" s="23">
        <v>61.82</v>
      </c>
      <c r="Q863" s="4">
        <f t="shared" si="13"/>
        <v>-50</v>
      </c>
      <c r="R863" s="23" t="s">
        <v>109</v>
      </c>
    </row>
    <row r="864" spans="1:18" x14ac:dyDescent="0.25">
      <c r="A864" s="37">
        <v>45702</v>
      </c>
      <c r="B864" s="1">
        <v>918408002</v>
      </c>
      <c r="C864" t="s">
        <v>1702</v>
      </c>
      <c r="D864" s="22">
        <v>-3091</v>
      </c>
      <c r="E864" t="s">
        <v>35</v>
      </c>
      <c r="F864" s="2">
        <v>212901001</v>
      </c>
      <c r="G864" s="2" t="s">
        <v>121</v>
      </c>
      <c r="L864" s="2" t="s">
        <v>1703</v>
      </c>
      <c r="M864" t="s">
        <v>67</v>
      </c>
      <c r="N864" t="s">
        <v>68</v>
      </c>
      <c r="P864" s="23">
        <v>61.82</v>
      </c>
      <c r="Q864" s="4">
        <f t="shared" si="13"/>
        <v>-50</v>
      </c>
      <c r="R864" s="23" t="s">
        <v>109</v>
      </c>
    </row>
    <row r="865" spans="1:18" x14ac:dyDescent="0.25">
      <c r="A865" s="37">
        <v>45702</v>
      </c>
      <c r="B865" s="1">
        <v>918408004</v>
      </c>
      <c r="C865" t="s">
        <v>1704</v>
      </c>
      <c r="D865" s="22">
        <v>-3091</v>
      </c>
      <c r="E865" t="s">
        <v>35</v>
      </c>
      <c r="F865" s="2">
        <v>212901001</v>
      </c>
      <c r="G865" s="2" t="s">
        <v>121</v>
      </c>
      <c r="L865" s="2" t="s">
        <v>1705</v>
      </c>
      <c r="M865" t="s">
        <v>67</v>
      </c>
      <c r="N865" t="s">
        <v>68</v>
      </c>
      <c r="P865" s="23">
        <v>61.82</v>
      </c>
      <c r="Q865" s="4">
        <f t="shared" si="13"/>
        <v>-50</v>
      </c>
      <c r="R865" s="23" t="s">
        <v>109</v>
      </c>
    </row>
    <row r="866" spans="1:18" x14ac:dyDescent="0.25">
      <c r="A866" s="37">
        <v>45702</v>
      </c>
      <c r="B866" s="1">
        <v>918408000</v>
      </c>
      <c r="C866" t="s">
        <v>1706</v>
      </c>
      <c r="D866" s="22">
        <v>-3091</v>
      </c>
      <c r="E866" t="s">
        <v>35</v>
      </c>
      <c r="F866" s="2">
        <v>212901001</v>
      </c>
      <c r="G866" s="2" t="s">
        <v>121</v>
      </c>
      <c r="L866" s="2" t="s">
        <v>1707</v>
      </c>
      <c r="M866" t="s">
        <v>67</v>
      </c>
      <c r="N866" t="s">
        <v>68</v>
      </c>
      <c r="P866" s="23">
        <v>61.82</v>
      </c>
      <c r="Q866" s="4">
        <f t="shared" si="13"/>
        <v>-50</v>
      </c>
      <c r="R866" s="23" t="s">
        <v>109</v>
      </c>
    </row>
    <row r="867" spans="1:18" x14ac:dyDescent="0.25">
      <c r="A867" s="37">
        <v>45702</v>
      </c>
      <c r="B867" s="1">
        <v>918408001</v>
      </c>
      <c r="C867" t="s">
        <v>1708</v>
      </c>
      <c r="D867" s="22">
        <v>-3091</v>
      </c>
      <c r="E867" t="s">
        <v>35</v>
      </c>
      <c r="F867" s="2">
        <v>212901001</v>
      </c>
      <c r="G867" s="2" t="s">
        <v>121</v>
      </c>
      <c r="L867" s="2" t="s">
        <v>1709</v>
      </c>
      <c r="M867" t="s">
        <v>67</v>
      </c>
      <c r="N867" t="s">
        <v>68</v>
      </c>
      <c r="P867" s="23">
        <v>61.82</v>
      </c>
      <c r="Q867" s="4">
        <f t="shared" si="13"/>
        <v>-50</v>
      </c>
      <c r="R867" s="23" t="s">
        <v>109</v>
      </c>
    </row>
    <row r="868" spans="1:18" x14ac:dyDescent="0.25">
      <c r="A868" s="37">
        <v>45702</v>
      </c>
      <c r="B868" s="1">
        <v>18408006</v>
      </c>
      <c r="C868" t="s">
        <v>1700</v>
      </c>
      <c r="D868" s="22">
        <v>-3091</v>
      </c>
      <c r="E868" t="s">
        <v>35</v>
      </c>
      <c r="F868" s="2">
        <v>212901001</v>
      </c>
      <c r="G868" s="2" t="s">
        <v>121</v>
      </c>
      <c r="L868" s="2" t="s">
        <v>1710</v>
      </c>
      <c r="M868" t="s">
        <v>67</v>
      </c>
      <c r="N868" t="s">
        <v>68</v>
      </c>
      <c r="P868" s="23">
        <v>61.82</v>
      </c>
      <c r="Q868" s="4">
        <f t="shared" si="13"/>
        <v>-50</v>
      </c>
      <c r="R868" s="23" t="s">
        <v>109</v>
      </c>
    </row>
    <row r="869" spans="1:18" x14ac:dyDescent="0.25">
      <c r="A869" s="37">
        <v>45702</v>
      </c>
      <c r="B869" s="1">
        <v>18408008</v>
      </c>
      <c r="C869" t="s">
        <v>1711</v>
      </c>
      <c r="D869" s="22">
        <v>-2596.44</v>
      </c>
      <c r="E869" t="s">
        <v>35</v>
      </c>
      <c r="F869" s="2">
        <v>212901001</v>
      </c>
      <c r="G869" s="2" t="s">
        <v>121</v>
      </c>
      <c r="L869" s="2" t="s">
        <v>1712</v>
      </c>
      <c r="M869" t="s">
        <v>67</v>
      </c>
      <c r="N869" t="s">
        <v>68</v>
      </c>
      <c r="P869" s="23">
        <v>61.82</v>
      </c>
      <c r="Q869" s="4">
        <f t="shared" si="13"/>
        <v>-42</v>
      </c>
      <c r="R869" s="23" t="s">
        <v>109</v>
      </c>
    </row>
    <row r="870" spans="1:18" x14ac:dyDescent="0.25">
      <c r="A870" s="37">
        <v>45702</v>
      </c>
      <c r="B870" s="1">
        <v>18408005</v>
      </c>
      <c r="C870" t="s">
        <v>1713</v>
      </c>
      <c r="D870" s="22">
        <v>-3091</v>
      </c>
      <c r="E870" t="s">
        <v>35</v>
      </c>
      <c r="F870" s="2">
        <v>212901001</v>
      </c>
      <c r="G870" s="2" t="s">
        <v>121</v>
      </c>
      <c r="L870" s="2" t="s">
        <v>1714</v>
      </c>
      <c r="M870" t="s">
        <v>67</v>
      </c>
      <c r="N870" t="s">
        <v>68</v>
      </c>
      <c r="P870" s="23">
        <v>61.82</v>
      </c>
      <c r="Q870" s="4">
        <f t="shared" si="13"/>
        <v>-50</v>
      </c>
      <c r="R870" s="23" t="s">
        <v>109</v>
      </c>
    </row>
    <row r="871" spans="1:18" x14ac:dyDescent="0.25">
      <c r="A871" s="37">
        <v>45702</v>
      </c>
      <c r="B871" s="1">
        <v>918408003</v>
      </c>
      <c r="C871" t="s">
        <v>1715</v>
      </c>
      <c r="D871" s="22">
        <v>-3091</v>
      </c>
      <c r="E871" t="s">
        <v>35</v>
      </c>
      <c r="F871" s="2">
        <v>212901001</v>
      </c>
      <c r="G871" s="2" t="s">
        <v>121</v>
      </c>
      <c r="L871" s="2" t="s">
        <v>1716</v>
      </c>
      <c r="M871" t="s">
        <v>67</v>
      </c>
      <c r="N871" t="s">
        <v>68</v>
      </c>
      <c r="P871" s="23">
        <v>61.82</v>
      </c>
      <c r="Q871" s="4">
        <f t="shared" si="13"/>
        <v>-50</v>
      </c>
      <c r="R871" s="23" t="s">
        <v>109</v>
      </c>
    </row>
    <row r="872" spans="1:18" x14ac:dyDescent="0.25">
      <c r="A872" s="37">
        <v>45702</v>
      </c>
      <c r="B872" s="1">
        <v>18408010</v>
      </c>
      <c r="C872" t="s">
        <v>1717</v>
      </c>
      <c r="D872" s="22">
        <v>-3091</v>
      </c>
      <c r="E872" t="s">
        <v>35</v>
      </c>
      <c r="F872" s="2">
        <v>212901001</v>
      </c>
      <c r="G872" s="2" t="s">
        <v>121</v>
      </c>
      <c r="L872" s="2" t="s">
        <v>1718</v>
      </c>
      <c r="M872" t="s">
        <v>67</v>
      </c>
      <c r="N872" t="s">
        <v>68</v>
      </c>
      <c r="P872" s="23">
        <v>61.82</v>
      </c>
      <c r="Q872" s="4">
        <f t="shared" si="13"/>
        <v>-50</v>
      </c>
      <c r="R872" s="23" t="s">
        <v>109</v>
      </c>
    </row>
    <row r="873" spans="1:18" x14ac:dyDescent="0.25">
      <c r="A873" s="37">
        <v>45702</v>
      </c>
      <c r="B873" s="1">
        <v>18408007</v>
      </c>
      <c r="C873" t="s">
        <v>1719</v>
      </c>
      <c r="D873" s="22">
        <v>-3091</v>
      </c>
      <c r="E873" t="s">
        <v>35</v>
      </c>
      <c r="F873" s="2">
        <v>212901001</v>
      </c>
      <c r="G873" s="2" t="s">
        <v>121</v>
      </c>
      <c r="L873" s="2" t="s">
        <v>1720</v>
      </c>
      <c r="M873" t="s">
        <v>67</v>
      </c>
      <c r="N873" t="s">
        <v>68</v>
      </c>
      <c r="P873" s="23">
        <v>61.82</v>
      </c>
      <c r="Q873" s="4">
        <f t="shared" si="13"/>
        <v>-50</v>
      </c>
      <c r="R873" s="23" t="s">
        <v>109</v>
      </c>
    </row>
    <row r="874" spans="1:18" x14ac:dyDescent="0.25">
      <c r="A874" s="37">
        <v>45702</v>
      </c>
      <c r="B874" s="1">
        <v>18408013</v>
      </c>
      <c r="C874" t="s">
        <v>1721</v>
      </c>
      <c r="D874" s="22">
        <v>-3091</v>
      </c>
      <c r="E874" t="s">
        <v>35</v>
      </c>
      <c r="F874" s="2">
        <v>212901001</v>
      </c>
      <c r="G874" s="2" t="s">
        <v>121</v>
      </c>
      <c r="L874" s="2" t="s">
        <v>1722</v>
      </c>
      <c r="M874" t="s">
        <v>67</v>
      </c>
      <c r="N874" t="s">
        <v>68</v>
      </c>
      <c r="P874" s="23">
        <v>61.82</v>
      </c>
      <c r="Q874" s="4">
        <f t="shared" si="13"/>
        <v>-50</v>
      </c>
      <c r="R874" s="23" t="s">
        <v>109</v>
      </c>
    </row>
    <row r="875" spans="1:18" x14ac:dyDescent="0.25">
      <c r="A875" s="37">
        <v>45702</v>
      </c>
      <c r="B875" s="1">
        <v>18408009</v>
      </c>
      <c r="C875" t="s">
        <v>1723</v>
      </c>
      <c r="D875" s="22">
        <v>-3091</v>
      </c>
      <c r="E875" t="s">
        <v>35</v>
      </c>
      <c r="F875" s="2">
        <v>212901001</v>
      </c>
      <c r="G875" s="2" t="s">
        <v>121</v>
      </c>
      <c r="L875" s="2" t="s">
        <v>1724</v>
      </c>
      <c r="M875" t="s">
        <v>67</v>
      </c>
      <c r="N875" t="s">
        <v>68</v>
      </c>
      <c r="P875" s="23">
        <v>61.82</v>
      </c>
      <c r="Q875" s="4">
        <f t="shared" si="13"/>
        <v>-50</v>
      </c>
      <c r="R875" s="23" t="s">
        <v>109</v>
      </c>
    </row>
    <row r="876" spans="1:18" x14ac:dyDescent="0.25">
      <c r="A876" s="37">
        <v>45702</v>
      </c>
      <c r="B876" s="1">
        <v>18408012</v>
      </c>
      <c r="C876" t="s">
        <v>1725</v>
      </c>
      <c r="D876" s="22">
        <v>-3091</v>
      </c>
      <c r="E876" t="s">
        <v>35</v>
      </c>
      <c r="F876" s="2">
        <v>212901001</v>
      </c>
      <c r="G876" s="2" t="s">
        <v>121</v>
      </c>
      <c r="L876" s="2" t="s">
        <v>1726</v>
      </c>
      <c r="M876" t="s">
        <v>67</v>
      </c>
      <c r="N876" t="s">
        <v>68</v>
      </c>
      <c r="P876" s="23">
        <v>61.82</v>
      </c>
      <c r="Q876" s="4">
        <f t="shared" si="13"/>
        <v>-50</v>
      </c>
      <c r="R876" s="23" t="s">
        <v>109</v>
      </c>
    </row>
    <row r="877" spans="1:18" x14ac:dyDescent="0.25">
      <c r="A877" s="37">
        <v>45702</v>
      </c>
      <c r="B877" s="1">
        <v>18408016</v>
      </c>
      <c r="C877" t="s">
        <v>1727</v>
      </c>
      <c r="D877" s="22">
        <v>-1236.4000000000001</v>
      </c>
      <c r="E877" t="s">
        <v>35</v>
      </c>
      <c r="F877" s="2">
        <v>212901001</v>
      </c>
      <c r="G877" s="2" t="s">
        <v>121</v>
      </c>
      <c r="L877" s="2" t="s">
        <v>1728</v>
      </c>
      <c r="M877" t="s">
        <v>67</v>
      </c>
      <c r="N877" t="s">
        <v>68</v>
      </c>
      <c r="P877" s="23">
        <v>61.82</v>
      </c>
      <c r="Q877" s="4">
        <f t="shared" si="13"/>
        <v>-20</v>
      </c>
      <c r="R877" s="23" t="s">
        <v>109</v>
      </c>
    </row>
    <row r="878" spans="1:18" x14ac:dyDescent="0.25">
      <c r="A878" s="37">
        <v>45702</v>
      </c>
      <c r="B878" s="1">
        <v>18408015</v>
      </c>
      <c r="C878" t="s">
        <v>1729</v>
      </c>
      <c r="D878" s="22">
        <v>-1236.4000000000001</v>
      </c>
      <c r="E878" t="s">
        <v>35</v>
      </c>
      <c r="F878" s="2">
        <v>212901001</v>
      </c>
      <c r="G878" s="2" t="s">
        <v>121</v>
      </c>
      <c r="L878" s="2" t="s">
        <v>1730</v>
      </c>
      <c r="M878" t="s">
        <v>67</v>
      </c>
      <c r="N878" t="s">
        <v>68</v>
      </c>
      <c r="P878" s="23">
        <v>61.82</v>
      </c>
      <c r="Q878" s="4">
        <f t="shared" si="13"/>
        <v>-20</v>
      </c>
      <c r="R878" s="23" t="s">
        <v>109</v>
      </c>
    </row>
    <row r="879" spans="1:18" x14ac:dyDescent="0.25">
      <c r="A879" s="37">
        <v>45702</v>
      </c>
      <c r="B879" s="1">
        <v>118408017</v>
      </c>
      <c r="C879" t="s">
        <v>1731</v>
      </c>
      <c r="D879" s="22">
        <v>-1236.4000000000001</v>
      </c>
      <c r="E879" t="s">
        <v>35</v>
      </c>
      <c r="F879" s="2">
        <v>212901001</v>
      </c>
      <c r="G879" s="2" t="s">
        <v>121</v>
      </c>
      <c r="L879" s="2" t="s">
        <v>1732</v>
      </c>
      <c r="M879" t="s">
        <v>67</v>
      </c>
      <c r="N879" t="s">
        <v>68</v>
      </c>
      <c r="P879" s="23">
        <v>61.82</v>
      </c>
      <c r="Q879" s="4">
        <f t="shared" si="13"/>
        <v>-20</v>
      </c>
      <c r="R879" s="23" t="s">
        <v>109</v>
      </c>
    </row>
    <row r="880" spans="1:18" x14ac:dyDescent="0.25">
      <c r="A880" s="37">
        <v>45702</v>
      </c>
      <c r="B880" s="1">
        <v>118408019</v>
      </c>
      <c r="C880" t="s">
        <v>1733</v>
      </c>
      <c r="D880" s="22">
        <v>-6182</v>
      </c>
      <c r="E880" t="s">
        <v>35</v>
      </c>
      <c r="F880" s="2">
        <v>212901001</v>
      </c>
      <c r="G880" s="2" t="s">
        <v>121</v>
      </c>
      <c r="L880" s="2" t="s">
        <v>1734</v>
      </c>
      <c r="M880" t="s">
        <v>67</v>
      </c>
      <c r="N880" t="s">
        <v>68</v>
      </c>
      <c r="P880" s="23">
        <v>61.82</v>
      </c>
      <c r="Q880" s="4">
        <f t="shared" si="13"/>
        <v>-100</v>
      </c>
      <c r="R880" s="23" t="s">
        <v>109</v>
      </c>
    </row>
    <row r="881" spans="1:20" x14ac:dyDescent="0.25">
      <c r="A881" s="37">
        <v>45702</v>
      </c>
      <c r="B881" s="1">
        <v>118408020</v>
      </c>
      <c r="C881" t="s">
        <v>1735</v>
      </c>
      <c r="D881" s="22">
        <v>-12364</v>
      </c>
      <c r="E881" t="s">
        <v>35</v>
      </c>
      <c r="F881" s="2">
        <v>212901001</v>
      </c>
      <c r="G881" s="2" t="s">
        <v>121</v>
      </c>
      <c r="L881" s="2" t="s">
        <v>1736</v>
      </c>
      <c r="M881" t="s">
        <v>67</v>
      </c>
      <c r="N881" t="s">
        <v>68</v>
      </c>
      <c r="P881" s="23">
        <v>61.82</v>
      </c>
      <c r="Q881" s="4">
        <f t="shared" si="13"/>
        <v>-200</v>
      </c>
      <c r="R881" s="23" t="s">
        <v>109</v>
      </c>
    </row>
    <row r="882" spans="1:20" x14ac:dyDescent="0.25">
      <c r="A882" s="37">
        <v>45702</v>
      </c>
      <c r="B882" s="1">
        <v>118408018</v>
      </c>
      <c r="C882" t="s">
        <v>1737</v>
      </c>
      <c r="D882" s="22">
        <v>-1236.4000000000001</v>
      </c>
      <c r="E882" t="s">
        <v>35</v>
      </c>
      <c r="F882" s="2">
        <v>212901001</v>
      </c>
      <c r="G882" s="2" t="s">
        <v>121</v>
      </c>
      <c r="L882" s="2" t="s">
        <v>1738</v>
      </c>
      <c r="M882" t="s">
        <v>67</v>
      </c>
      <c r="N882" t="s">
        <v>68</v>
      </c>
      <c r="P882" s="23">
        <v>61.82</v>
      </c>
      <c r="Q882" s="4">
        <f t="shared" si="13"/>
        <v>-20</v>
      </c>
      <c r="R882" s="23" t="s">
        <v>109</v>
      </c>
    </row>
    <row r="883" spans="1:20" x14ac:dyDescent="0.25">
      <c r="A883" s="37">
        <v>45702</v>
      </c>
      <c r="B883" s="1">
        <v>118408023</v>
      </c>
      <c r="C883" t="s">
        <v>1739</v>
      </c>
      <c r="D883" s="22">
        <v>-2472.8000000000002</v>
      </c>
      <c r="E883" t="s">
        <v>35</v>
      </c>
      <c r="F883" s="2">
        <v>212901001</v>
      </c>
      <c r="G883" s="2" t="s">
        <v>121</v>
      </c>
      <c r="L883" s="2" t="s">
        <v>1740</v>
      </c>
      <c r="M883" t="s">
        <v>67</v>
      </c>
      <c r="N883" t="s">
        <v>68</v>
      </c>
      <c r="P883" s="23">
        <v>61.82</v>
      </c>
      <c r="Q883" s="4">
        <f t="shared" si="13"/>
        <v>-40</v>
      </c>
      <c r="R883" s="23" t="s">
        <v>109</v>
      </c>
    </row>
    <row r="884" spans="1:20" x14ac:dyDescent="0.25">
      <c r="A884" s="37">
        <v>45702</v>
      </c>
      <c r="B884" s="1">
        <v>118408022</v>
      </c>
      <c r="C884" t="s">
        <v>1741</v>
      </c>
      <c r="D884" s="22">
        <v>-1854.6</v>
      </c>
      <c r="E884" t="s">
        <v>35</v>
      </c>
      <c r="F884" s="2">
        <v>212901001</v>
      </c>
      <c r="G884" s="2" t="s">
        <v>121</v>
      </c>
      <c r="L884" s="2" t="s">
        <v>1742</v>
      </c>
      <c r="M884" t="s">
        <v>67</v>
      </c>
      <c r="N884" t="s">
        <v>68</v>
      </c>
      <c r="P884" s="23">
        <v>61.82</v>
      </c>
      <c r="Q884" s="4">
        <f t="shared" si="13"/>
        <v>-30</v>
      </c>
      <c r="R884" s="23" t="s">
        <v>109</v>
      </c>
    </row>
    <row r="885" spans="1:20" x14ac:dyDescent="0.25">
      <c r="A885" s="37">
        <v>45702</v>
      </c>
      <c r="B885" s="1">
        <v>118408021</v>
      </c>
      <c r="C885" t="s">
        <v>1743</v>
      </c>
      <c r="D885" s="22">
        <v>-7171.12</v>
      </c>
      <c r="E885" t="s">
        <v>35</v>
      </c>
      <c r="F885" s="2">
        <v>212901001</v>
      </c>
      <c r="G885" s="2" t="s">
        <v>121</v>
      </c>
      <c r="L885" s="2" t="s">
        <v>1744</v>
      </c>
      <c r="M885" t="s">
        <v>67</v>
      </c>
      <c r="N885" t="s">
        <v>68</v>
      </c>
      <c r="P885" s="23">
        <v>61.82</v>
      </c>
      <c r="Q885" s="4">
        <f t="shared" si="13"/>
        <v>-116</v>
      </c>
      <c r="R885" s="23" t="s">
        <v>109</v>
      </c>
    </row>
    <row r="886" spans="1:20" x14ac:dyDescent="0.25">
      <c r="A886" s="37">
        <v>45702</v>
      </c>
      <c r="B886" s="1">
        <v>18408014</v>
      </c>
      <c r="C886" t="s">
        <v>1745</v>
      </c>
      <c r="D886" s="22">
        <v>-2596.44</v>
      </c>
      <c r="E886" t="s">
        <v>35</v>
      </c>
      <c r="F886" s="2">
        <v>212901001</v>
      </c>
      <c r="G886" s="2" t="s">
        <v>121</v>
      </c>
      <c r="L886" s="2" t="s">
        <v>1746</v>
      </c>
      <c r="M886" t="s">
        <v>67</v>
      </c>
      <c r="N886" t="s">
        <v>68</v>
      </c>
      <c r="P886" s="23">
        <v>61.82</v>
      </c>
      <c r="Q886" s="4">
        <f t="shared" si="13"/>
        <v>-42</v>
      </c>
      <c r="R886" s="23" t="s">
        <v>109</v>
      </c>
    </row>
    <row r="887" spans="1:20" x14ac:dyDescent="0.25">
      <c r="A887" s="37">
        <v>45702</v>
      </c>
      <c r="B887" s="1">
        <v>50261790</v>
      </c>
      <c r="C887" t="s">
        <v>1747</v>
      </c>
      <c r="D887" s="22">
        <v>-8654.7999999999993</v>
      </c>
      <c r="E887" t="s">
        <v>35</v>
      </c>
      <c r="F887" s="2">
        <v>212901001</v>
      </c>
      <c r="G887" s="2" t="s">
        <v>121</v>
      </c>
      <c r="L887" s="2" t="s">
        <v>1748</v>
      </c>
      <c r="M887" t="s">
        <v>67</v>
      </c>
      <c r="N887" t="s">
        <v>68</v>
      </c>
      <c r="P887" s="23">
        <v>61.82</v>
      </c>
      <c r="Q887" s="4">
        <f t="shared" si="13"/>
        <v>-140</v>
      </c>
      <c r="R887" s="23" t="s">
        <v>109</v>
      </c>
    </row>
    <row r="888" spans="1:20" x14ac:dyDescent="0.25">
      <c r="A888" s="37">
        <v>45702</v>
      </c>
      <c r="B888" s="1">
        <v>50261790</v>
      </c>
      <c r="C888" t="s">
        <v>296</v>
      </c>
      <c r="D888" s="22">
        <v>-12.98</v>
      </c>
      <c r="E888" t="s">
        <v>35</v>
      </c>
      <c r="F888" s="2">
        <v>610148001</v>
      </c>
      <c r="G888" s="2" t="s">
        <v>42</v>
      </c>
      <c r="L888" s="2" t="s">
        <v>1749</v>
      </c>
      <c r="M888" t="s">
        <v>43</v>
      </c>
      <c r="N888" t="s">
        <v>42</v>
      </c>
      <c r="P888" s="23">
        <v>61.82</v>
      </c>
      <c r="Q888" s="4">
        <f t="shared" si="13"/>
        <v>-0.20996441281138792</v>
      </c>
      <c r="R888" s="23" t="s">
        <v>109</v>
      </c>
      <c r="T888" s="23" t="s">
        <v>1313</v>
      </c>
    </row>
    <row r="889" spans="1:20" x14ac:dyDescent="0.25">
      <c r="A889" s="37">
        <v>45702</v>
      </c>
      <c r="B889" s="1">
        <v>50261790</v>
      </c>
      <c r="C889" t="s">
        <v>118</v>
      </c>
      <c r="D889" s="22">
        <v>-694.85</v>
      </c>
      <c r="E889" t="s">
        <v>35</v>
      </c>
      <c r="F889" s="2">
        <v>610148001</v>
      </c>
      <c r="G889" s="2" t="s">
        <v>42</v>
      </c>
      <c r="L889" s="2" t="s">
        <v>1750</v>
      </c>
      <c r="M889" t="s">
        <v>43</v>
      </c>
      <c r="N889" t="s">
        <v>42</v>
      </c>
      <c r="P889" s="23">
        <v>61.82</v>
      </c>
      <c r="Q889" s="4">
        <f t="shared" si="13"/>
        <v>-11.2398900032352</v>
      </c>
      <c r="R889" s="23" t="s">
        <v>109</v>
      </c>
      <c r="T889" s="23" t="s">
        <v>1313</v>
      </c>
    </row>
    <row r="890" spans="1:20" x14ac:dyDescent="0.25">
      <c r="A890" s="37">
        <v>45702</v>
      </c>
      <c r="B890" s="1">
        <v>143526975</v>
      </c>
      <c r="C890" t="s">
        <v>107</v>
      </c>
      <c r="D890" s="22">
        <v>429000</v>
      </c>
      <c r="E890" t="s">
        <v>46</v>
      </c>
      <c r="F890" s="2">
        <v>210115002</v>
      </c>
      <c r="G890" s="2" t="s">
        <v>47</v>
      </c>
      <c r="L890" s="2" t="s">
        <v>1751</v>
      </c>
      <c r="N890" t="s">
        <v>107</v>
      </c>
      <c r="P890" s="23">
        <v>61.82</v>
      </c>
      <c r="Q890" s="4">
        <f t="shared" si="13"/>
        <v>6939.5017793594307</v>
      </c>
      <c r="R890" s="23" t="s">
        <v>109</v>
      </c>
    </row>
    <row r="891" spans="1:20" x14ac:dyDescent="0.25">
      <c r="A891" s="37">
        <v>45702</v>
      </c>
      <c r="B891" s="1">
        <v>618422039</v>
      </c>
      <c r="C891" t="s">
        <v>1752</v>
      </c>
      <c r="D891" s="22">
        <v>-8071.2</v>
      </c>
      <c r="E891" t="s">
        <v>35</v>
      </c>
      <c r="F891" s="2">
        <v>210101001</v>
      </c>
      <c r="G891" s="2" t="s">
        <v>36</v>
      </c>
      <c r="L891" s="2" t="s">
        <v>1753</v>
      </c>
      <c r="M891" t="s">
        <v>114</v>
      </c>
      <c r="N891" t="s">
        <v>115</v>
      </c>
      <c r="P891" s="23">
        <v>61.82</v>
      </c>
      <c r="Q891" s="4">
        <f t="shared" si="13"/>
        <v>-130.55968942089939</v>
      </c>
      <c r="R891" s="23" t="s">
        <v>109</v>
      </c>
    </row>
    <row r="892" spans="1:20" x14ac:dyDescent="0.25">
      <c r="A892" s="37">
        <v>45702</v>
      </c>
      <c r="B892" s="1">
        <v>618422040</v>
      </c>
      <c r="C892" t="s">
        <v>1754</v>
      </c>
      <c r="D892" s="22">
        <v>-60506.18</v>
      </c>
      <c r="E892" t="s">
        <v>35</v>
      </c>
      <c r="F892" s="2">
        <v>210101001</v>
      </c>
      <c r="G892" s="2" t="s">
        <v>36</v>
      </c>
      <c r="L892" s="2" t="s">
        <v>1755</v>
      </c>
      <c r="M892" t="s">
        <v>303</v>
      </c>
      <c r="N892" t="s">
        <v>304</v>
      </c>
      <c r="P892" s="23">
        <v>61.82</v>
      </c>
      <c r="Q892" s="4">
        <f t="shared" si="13"/>
        <v>-978.74765448075061</v>
      </c>
      <c r="R892" s="23" t="s">
        <v>109</v>
      </c>
    </row>
    <row r="893" spans="1:20" x14ac:dyDescent="0.25">
      <c r="A893" s="37">
        <v>45702</v>
      </c>
      <c r="B893" s="1">
        <v>618422044</v>
      </c>
      <c r="C893" t="s">
        <v>1756</v>
      </c>
      <c r="D893" s="22">
        <v>-3091</v>
      </c>
      <c r="E893" t="s">
        <v>35</v>
      </c>
      <c r="F893" s="2">
        <v>212901001</v>
      </c>
      <c r="G893" s="2" t="s">
        <v>121</v>
      </c>
      <c r="L893" s="2" t="s">
        <v>1757</v>
      </c>
      <c r="M893" t="s">
        <v>67</v>
      </c>
      <c r="N893" t="s">
        <v>68</v>
      </c>
      <c r="P893" s="23">
        <v>61.82</v>
      </c>
      <c r="Q893" s="4">
        <f t="shared" si="13"/>
        <v>-50</v>
      </c>
      <c r="R893" s="23" t="s">
        <v>109</v>
      </c>
    </row>
    <row r="894" spans="1:20" x14ac:dyDescent="0.25">
      <c r="A894" s="37">
        <v>45702</v>
      </c>
      <c r="B894" s="1">
        <v>618422043</v>
      </c>
      <c r="C894" t="s">
        <v>1758</v>
      </c>
      <c r="D894" s="22">
        <v>-4327.3999999999996</v>
      </c>
      <c r="E894" t="s">
        <v>35</v>
      </c>
      <c r="F894" s="2">
        <v>212901001</v>
      </c>
      <c r="G894" s="2" t="s">
        <v>121</v>
      </c>
      <c r="L894" s="2" t="s">
        <v>1759</v>
      </c>
      <c r="M894" t="s">
        <v>67</v>
      </c>
      <c r="N894" t="s">
        <v>68</v>
      </c>
      <c r="P894" s="23">
        <v>61.82</v>
      </c>
      <c r="Q894" s="4">
        <f t="shared" si="13"/>
        <v>-70</v>
      </c>
      <c r="R894" s="23" t="s">
        <v>109</v>
      </c>
    </row>
    <row r="895" spans="1:20" x14ac:dyDescent="0.25">
      <c r="A895" s="37">
        <v>45702</v>
      </c>
      <c r="B895" s="1">
        <v>618422047</v>
      </c>
      <c r="C895" t="s">
        <v>1760</v>
      </c>
      <c r="D895" s="22">
        <v>-1236.4000000000001</v>
      </c>
      <c r="E895" t="s">
        <v>35</v>
      </c>
      <c r="F895" s="2">
        <v>212901001</v>
      </c>
      <c r="G895" s="2" t="s">
        <v>121</v>
      </c>
      <c r="L895" s="2" t="s">
        <v>1761</v>
      </c>
      <c r="M895" t="s">
        <v>67</v>
      </c>
      <c r="N895" t="s">
        <v>68</v>
      </c>
      <c r="P895" s="23">
        <v>61.82</v>
      </c>
      <c r="Q895" s="4">
        <f t="shared" si="13"/>
        <v>-20</v>
      </c>
      <c r="R895" s="23" t="s">
        <v>109</v>
      </c>
    </row>
    <row r="896" spans="1:20" x14ac:dyDescent="0.25">
      <c r="A896" s="37">
        <v>45702</v>
      </c>
      <c r="B896" s="1">
        <v>618422042</v>
      </c>
      <c r="C896" t="s">
        <v>1762</v>
      </c>
      <c r="D896" s="22">
        <v>-2967.36</v>
      </c>
      <c r="E896" t="s">
        <v>35</v>
      </c>
      <c r="F896" s="2">
        <v>212901001</v>
      </c>
      <c r="G896" s="2" t="s">
        <v>121</v>
      </c>
      <c r="L896" s="2" t="s">
        <v>1763</v>
      </c>
      <c r="M896" t="s">
        <v>67</v>
      </c>
      <c r="N896" t="s">
        <v>68</v>
      </c>
      <c r="P896" s="23">
        <v>61.82</v>
      </c>
      <c r="Q896" s="4">
        <f t="shared" si="13"/>
        <v>-48</v>
      </c>
      <c r="R896" s="23" t="s">
        <v>109</v>
      </c>
    </row>
    <row r="897" spans="1:20" x14ac:dyDescent="0.25">
      <c r="A897" s="37">
        <v>45702</v>
      </c>
      <c r="B897" s="1">
        <v>618422048</v>
      </c>
      <c r="C897" t="s">
        <v>1764</v>
      </c>
      <c r="D897" s="22">
        <v>-1236.4000000000001</v>
      </c>
      <c r="E897" t="s">
        <v>35</v>
      </c>
      <c r="F897" s="2">
        <v>212901001</v>
      </c>
      <c r="G897" s="2" t="s">
        <v>121</v>
      </c>
      <c r="L897" s="2" t="s">
        <v>1765</v>
      </c>
      <c r="M897" t="s">
        <v>67</v>
      </c>
      <c r="N897" t="s">
        <v>68</v>
      </c>
      <c r="P897" s="23">
        <v>61.82</v>
      </c>
      <c r="Q897" s="4">
        <f t="shared" si="13"/>
        <v>-20</v>
      </c>
      <c r="R897" s="23" t="s">
        <v>109</v>
      </c>
    </row>
    <row r="898" spans="1:20" x14ac:dyDescent="0.25">
      <c r="A898" s="37">
        <v>45702</v>
      </c>
      <c r="B898" s="1">
        <v>618422049</v>
      </c>
      <c r="C898" t="s">
        <v>1766</v>
      </c>
      <c r="D898" s="22">
        <v>-1236.4000000000001</v>
      </c>
      <c r="E898" t="s">
        <v>35</v>
      </c>
      <c r="F898" s="2">
        <v>212901001</v>
      </c>
      <c r="G898" s="2" t="s">
        <v>121</v>
      </c>
      <c r="L898" s="2" t="s">
        <v>1767</v>
      </c>
      <c r="M898" t="s">
        <v>67</v>
      </c>
      <c r="N898" t="s">
        <v>68</v>
      </c>
      <c r="P898" s="23">
        <v>61.82</v>
      </c>
      <c r="Q898" s="4">
        <f t="shared" si="13"/>
        <v>-20</v>
      </c>
      <c r="R898" s="23" t="s">
        <v>109</v>
      </c>
    </row>
    <row r="899" spans="1:20" x14ac:dyDescent="0.25">
      <c r="A899" s="37">
        <v>45702</v>
      </c>
      <c r="B899" s="1">
        <v>618422046</v>
      </c>
      <c r="C899" t="s">
        <v>1768</v>
      </c>
      <c r="D899" s="22">
        <v>-1854.6</v>
      </c>
      <c r="E899" t="s">
        <v>35</v>
      </c>
      <c r="F899" s="2">
        <v>212901001</v>
      </c>
      <c r="G899" s="2" t="s">
        <v>121</v>
      </c>
      <c r="L899" s="2" t="s">
        <v>1769</v>
      </c>
      <c r="M899" t="s">
        <v>67</v>
      </c>
      <c r="N899" t="s">
        <v>68</v>
      </c>
      <c r="P899" s="23">
        <v>61.82</v>
      </c>
      <c r="Q899" s="4">
        <f t="shared" si="13"/>
        <v>-30</v>
      </c>
      <c r="R899" s="23" t="s">
        <v>109</v>
      </c>
    </row>
    <row r="900" spans="1:20" x14ac:dyDescent="0.25">
      <c r="A900" s="37">
        <v>45702</v>
      </c>
      <c r="B900" s="1">
        <v>618422045</v>
      </c>
      <c r="C900" t="s">
        <v>1762</v>
      </c>
      <c r="D900" s="22">
        <v>-618.20000000000005</v>
      </c>
      <c r="E900" t="s">
        <v>35</v>
      </c>
      <c r="F900" s="2">
        <v>212901001</v>
      </c>
      <c r="G900" s="2" t="s">
        <v>121</v>
      </c>
      <c r="L900" s="2" t="s">
        <v>1770</v>
      </c>
      <c r="M900" t="s">
        <v>67</v>
      </c>
      <c r="N900" t="s">
        <v>68</v>
      </c>
      <c r="P900" s="23">
        <v>61.82</v>
      </c>
      <c r="Q900" s="4">
        <f t="shared" si="13"/>
        <v>-10</v>
      </c>
      <c r="R900" s="23" t="s">
        <v>109</v>
      </c>
    </row>
    <row r="901" spans="1:20" x14ac:dyDescent="0.25">
      <c r="A901" s="37">
        <v>45702</v>
      </c>
      <c r="B901" s="1">
        <v>618422050</v>
      </c>
      <c r="C901" t="s">
        <v>1771</v>
      </c>
      <c r="D901" s="22">
        <v>-1236.4000000000001</v>
      </c>
      <c r="E901" t="s">
        <v>35</v>
      </c>
      <c r="F901" s="2">
        <v>212901001</v>
      </c>
      <c r="G901" s="2" t="s">
        <v>121</v>
      </c>
      <c r="L901" s="2" t="s">
        <v>1772</v>
      </c>
      <c r="M901" t="s">
        <v>67</v>
      </c>
      <c r="N901" t="s">
        <v>68</v>
      </c>
      <c r="P901" s="23">
        <v>61.82</v>
      </c>
      <c r="Q901" s="4">
        <f t="shared" si="13"/>
        <v>-20</v>
      </c>
      <c r="R901" s="23" t="s">
        <v>109</v>
      </c>
    </row>
    <row r="902" spans="1:20" x14ac:dyDescent="0.25">
      <c r="A902" s="37">
        <v>45702</v>
      </c>
      <c r="B902" s="1">
        <v>50213330</v>
      </c>
      <c r="C902" t="s">
        <v>118</v>
      </c>
      <c r="D902" s="22">
        <v>-215.95</v>
      </c>
      <c r="E902" t="s">
        <v>35</v>
      </c>
      <c r="F902" s="2">
        <v>610148001</v>
      </c>
      <c r="G902" s="2" t="s">
        <v>42</v>
      </c>
      <c r="L902" s="2" t="s">
        <v>1773</v>
      </c>
      <c r="M902" t="s">
        <v>43</v>
      </c>
      <c r="N902" t="s">
        <v>42</v>
      </c>
      <c r="P902" s="23">
        <v>61.82</v>
      </c>
      <c r="Q902" s="4">
        <f t="shared" si="13"/>
        <v>-3.4932060821740536</v>
      </c>
      <c r="R902" s="23" t="s">
        <v>109</v>
      </c>
      <c r="T902" s="23" t="s">
        <v>1313</v>
      </c>
    </row>
    <row r="903" spans="1:20" x14ac:dyDescent="0.25">
      <c r="A903" s="37">
        <v>45702</v>
      </c>
      <c r="B903" s="1">
        <v>50213330</v>
      </c>
      <c r="C903" t="s">
        <v>1565</v>
      </c>
      <c r="D903" s="22">
        <v>-0.13</v>
      </c>
      <c r="E903" t="s">
        <v>35</v>
      </c>
      <c r="F903" s="2">
        <v>610148001</v>
      </c>
      <c r="G903" s="2" t="s">
        <v>42</v>
      </c>
      <c r="L903" s="2" t="s">
        <v>1774</v>
      </c>
      <c r="M903" t="s">
        <v>43</v>
      </c>
      <c r="N903" t="s">
        <v>42</v>
      </c>
      <c r="P903" s="23">
        <v>61.82</v>
      </c>
      <c r="Q903" s="4">
        <f t="shared" si="13"/>
        <v>-2.1028793270786153E-3</v>
      </c>
      <c r="R903" s="23" t="s">
        <v>109</v>
      </c>
      <c r="T903" s="23" t="s">
        <v>1313</v>
      </c>
    </row>
    <row r="904" spans="1:20" x14ac:dyDescent="0.25">
      <c r="A904" s="37">
        <v>45702</v>
      </c>
      <c r="B904" s="1">
        <v>218422234</v>
      </c>
      <c r="C904" t="s">
        <v>1775</v>
      </c>
      <c r="D904" s="22">
        <v>-200000</v>
      </c>
      <c r="E904" t="s">
        <v>35</v>
      </c>
      <c r="F904" s="2">
        <v>210101001</v>
      </c>
      <c r="G904" s="2" t="s">
        <v>36</v>
      </c>
      <c r="L904" s="2" t="s">
        <v>1776</v>
      </c>
      <c r="M904" t="s">
        <v>303</v>
      </c>
      <c r="N904" t="s">
        <v>304</v>
      </c>
      <c r="P904" s="23">
        <v>61.82</v>
      </c>
      <c r="Q904" s="4">
        <f t="shared" si="13"/>
        <v>-3235.1989647363312</v>
      </c>
      <c r="R904" s="23" t="s">
        <v>109</v>
      </c>
    </row>
    <row r="905" spans="1:20" x14ac:dyDescent="0.25">
      <c r="A905" s="37">
        <v>45702</v>
      </c>
      <c r="B905" s="1">
        <v>218422233</v>
      </c>
      <c r="C905" t="s">
        <v>1775</v>
      </c>
      <c r="D905" s="22">
        <v>-139766.96</v>
      </c>
      <c r="E905" t="s">
        <v>35</v>
      </c>
      <c r="F905" s="2">
        <v>210101001</v>
      </c>
      <c r="G905" s="2" t="s">
        <v>36</v>
      </c>
      <c r="L905" s="2" t="s">
        <v>1777</v>
      </c>
      <c r="M905" t="s">
        <v>303</v>
      </c>
      <c r="N905" t="s">
        <v>304</v>
      </c>
      <c r="P905" s="23">
        <v>61.82</v>
      </c>
      <c r="Q905" s="4">
        <f t="shared" si="13"/>
        <v>-2260.869621481721</v>
      </c>
      <c r="R905" s="23" t="s">
        <v>109</v>
      </c>
    </row>
    <row r="906" spans="1:20" x14ac:dyDescent="0.25">
      <c r="A906" s="37">
        <v>45702</v>
      </c>
      <c r="B906" s="1">
        <v>50233593</v>
      </c>
      <c r="C906" t="s">
        <v>118</v>
      </c>
      <c r="D906" s="22">
        <v>-849.41</v>
      </c>
      <c r="E906" t="s">
        <v>35</v>
      </c>
      <c r="F906" s="2">
        <v>610148001</v>
      </c>
      <c r="G906" s="2" t="s">
        <v>42</v>
      </c>
      <c r="L906" s="2" t="s">
        <v>1778</v>
      </c>
      <c r="M906" t="s">
        <v>43</v>
      </c>
      <c r="N906" t="s">
        <v>42</v>
      </c>
      <c r="P906" s="23">
        <v>61.82</v>
      </c>
      <c r="Q906" s="4">
        <f t="shared" si="13"/>
        <v>-13.740051763183436</v>
      </c>
      <c r="R906" s="23" t="s">
        <v>109</v>
      </c>
      <c r="T906" s="23" t="s">
        <v>1313</v>
      </c>
    </row>
    <row r="907" spans="1:20" x14ac:dyDescent="0.25">
      <c r="A907" s="37">
        <v>45702</v>
      </c>
      <c r="B907" s="1">
        <v>218427806</v>
      </c>
      <c r="C907" t="s">
        <v>1779</v>
      </c>
      <c r="D907" s="22">
        <v>-2749.25</v>
      </c>
      <c r="E907" t="s">
        <v>35</v>
      </c>
      <c r="F907" s="2">
        <v>210101001</v>
      </c>
      <c r="G907" s="2" t="s">
        <v>36</v>
      </c>
      <c r="L907" s="2" t="s">
        <v>1780</v>
      </c>
      <c r="M907" t="s">
        <v>114</v>
      </c>
      <c r="N907" t="s">
        <v>115</v>
      </c>
      <c r="P907" s="23">
        <v>61.82</v>
      </c>
      <c r="Q907" s="4">
        <f t="shared" ref="Q907:Q970" si="14">D907/P907</f>
        <v>-44.471853769006792</v>
      </c>
      <c r="R907" s="23" t="s">
        <v>109</v>
      </c>
    </row>
    <row r="908" spans="1:20" x14ac:dyDescent="0.25">
      <c r="A908" s="37">
        <v>45702</v>
      </c>
      <c r="B908" s="1">
        <v>218427806</v>
      </c>
      <c r="C908" t="s">
        <v>306</v>
      </c>
      <c r="D908" s="22">
        <v>-8.25</v>
      </c>
      <c r="E908" t="s">
        <v>35</v>
      </c>
      <c r="F908" s="2">
        <v>610148001</v>
      </c>
      <c r="G908" s="2" t="s">
        <v>42</v>
      </c>
      <c r="L908" s="2" t="s">
        <v>1781</v>
      </c>
      <c r="M908" t="s">
        <v>43</v>
      </c>
      <c r="N908" t="s">
        <v>42</v>
      </c>
      <c r="P908" s="23">
        <v>61.82</v>
      </c>
      <c r="Q908" s="4">
        <f t="shared" si="14"/>
        <v>-0.13345195729537365</v>
      </c>
      <c r="R908" s="23" t="s">
        <v>109</v>
      </c>
      <c r="T908" s="23" t="s">
        <v>1313</v>
      </c>
    </row>
    <row r="909" spans="1:20" x14ac:dyDescent="0.25">
      <c r="A909" s="37">
        <v>45705</v>
      </c>
      <c r="B909" s="1">
        <v>18602723</v>
      </c>
      <c r="C909" t="s">
        <v>1782</v>
      </c>
      <c r="D909" s="22">
        <v>-6424.5</v>
      </c>
      <c r="E909" t="s">
        <v>35</v>
      </c>
      <c r="F909" s="2">
        <v>210101001</v>
      </c>
      <c r="G909" s="2" t="s">
        <v>36</v>
      </c>
      <c r="L909" s="2" t="s">
        <v>1783</v>
      </c>
      <c r="M909" t="s">
        <v>976</v>
      </c>
      <c r="N909" t="s">
        <v>977</v>
      </c>
      <c r="P909" s="23">
        <v>62.07</v>
      </c>
      <c r="Q909" s="4">
        <f t="shared" si="14"/>
        <v>-103.50410826486225</v>
      </c>
      <c r="R909" s="23" t="s">
        <v>109</v>
      </c>
    </row>
    <row r="910" spans="1:20" x14ac:dyDescent="0.25">
      <c r="A910" s="37">
        <v>45705</v>
      </c>
      <c r="B910" s="1">
        <v>18602722</v>
      </c>
      <c r="C910" t="s">
        <v>1784</v>
      </c>
      <c r="D910" s="22">
        <v>-3944.12</v>
      </c>
      <c r="E910" t="s">
        <v>35</v>
      </c>
      <c r="F910" s="2">
        <v>210101001</v>
      </c>
      <c r="G910" s="2" t="s">
        <v>36</v>
      </c>
      <c r="L910" s="2" t="s">
        <v>1785</v>
      </c>
      <c r="M910" t="s">
        <v>1318</v>
      </c>
      <c r="N910" t="s">
        <v>1319</v>
      </c>
      <c r="P910" s="23">
        <v>62.07</v>
      </c>
      <c r="Q910" s="4">
        <f t="shared" si="14"/>
        <v>-63.543096503947154</v>
      </c>
      <c r="R910" s="23" t="s">
        <v>109</v>
      </c>
    </row>
    <row r="911" spans="1:20" x14ac:dyDescent="0.25">
      <c r="A911" s="37">
        <v>45705</v>
      </c>
      <c r="B911" s="1">
        <v>50233249</v>
      </c>
      <c r="C911" t="s">
        <v>118</v>
      </c>
      <c r="D911" s="22">
        <v>-25.92</v>
      </c>
      <c r="E911" t="s">
        <v>35</v>
      </c>
      <c r="F911" s="2">
        <v>610148001</v>
      </c>
      <c r="G911" s="2" t="s">
        <v>42</v>
      </c>
      <c r="L911" s="2" t="s">
        <v>1786</v>
      </c>
      <c r="M911" t="s">
        <v>43</v>
      </c>
      <c r="N911" t="s">
        <v>42</v>
      </c>
      <c r="P911" s="23">
        <v>62.07</v>
      </c>
      <c r="Q911" s="4">
        <f t="shared" si="14"/>
        <v>-0.41759304011599807</v>
      </c>
      <c r="R911" s="23" t="s">
        <v>109</v>
      </c>
      <c r="T911" s="23" t="s">
        <v>1313</v>
      </c>
    </row>
    <row r="912" spans="1:20" x14ac:dyDescent="0.25">
      <c r="A912" s="37">
        <v>45705</v>
      </c>
      <c r="B912" s="1">
        <v>918602847</v>
      </c>
      <c r="C912" t="s">
        <v>1787</v>
      </c>
      <c r="D912" s="22">
        <v>-745.3</v>
      </c>
      <c r="E912" t="s">
        <v>35</v>
      </c>
      <c r="F912" s="2">
        <v>210101001</v>
      </c>
      <c r="G912" s="2" t="s">
        <v>36</v>
      </c>
      <c r="L912" s="2" t="s">
        <v>1788</v>
      </c>
      <c r="M912" t="s">
        <v>38</v>
      </c>
      <c r="N912" t="s">
        <v>39</v>
      </c>
      <c r="P912" s="23">
        <v>62.07</v>
      </c>
      <c r="Q912" s="4">
        <f t="shared" si="14"/>
        <v>-12.00741098759465</v>
      </c>
      <c r="R912" s="23" t="s">
        <v>109</v>
      </c>
    </row>
    <row r="913" spans="1:20" x14ac:dyDescent="0.25">
      <c r="A913" s="37">
        <v>45705</v>
      </c>
      <c r="B913" s="1">
        <v>918602847</v>
      </c>
      <c r="C913" t="s">
        <v>306</v>
      </c>
      <c r="D913" s="22">
        <v>-2.2400000000000002</v>
      </c>
      <c r="E913" t="s">
        <v>35</v>
      </c>
      <c r="F913" s="2">
        <v>610148001</v>
      </c>
      <c r="G913" s="2" t="s">
        <v>42</v>
      </c>
      <c r="L913" s="2" t="s">
        <v>1789</v>
      </c>
      <c r="M913" t="s">
        <v>43</v>
      </c>
      <c r="N913" t="s">
        <v>42</v>
      </c>
      <c r="P913" s="23">
        <v>62.07</v>
      </c>
      <c r="Q913" s="4">
        <f t="shared" si="14"/>
        <v>-3.6088287417431933E-2</v>
      </c>
      <c r="R913" s="23" t="s">
        <v>109</v>
      </c>
      <c r="T913" s="23" t="s">
        <v>1313</v>
      </c>
    </row>
    <row r="914" spans="1:20" x14ac:dyDescent="0.25">
      <c r="A914" s="37">
        <v>45706</v>
      </c>
      <c r="B914" s="1">
        <v>112420253</v>
      </c>
      <c r="C914" t="s">
        <v>107</v>
      </c>
      <c r="D914" s="22">
        <v>165000</v>
      </c>
      <c r="E914" t="s">
        <v>46</v>
      </c>
      <c r="F914" s="2">
        <v>210115002</v>
      </c>
      <c r="G914" s="2" t="s">
        <v>47</v>
      </c>
      <c r="L914" s="2" t="s">
        <v>1790</v>
      </c>
      <c r="N914" t="s">
        <v>107</v>
      </c>
      <c r="P914" s="23">
        <v>62.09</v>
      </c>
      <c r="Q914" s="4">
        <f t="shared" si="14"/>
        <v>2657.4327588983733</v>
      </c>
      <c r="R914" s="23" t="s">
        <v>109</v>
      </c>
    </row>
    <row r="915" spans="1:20" x14ac:dyDescent="0.25">
      <c r="A915" s="37">
        <v>45706</v>
      </c>
      <c r="B915" s="1">
        <v>818645030</v>
      </c>
      <c r="C915" t="s">
        <v>1791</v>
      </c>
      <c r="D915" s="22">
        <v>-3539.79</v>
      </c>
      <c r="E915" t="s">
        <v>35</v>
      </c>
      <c r="F915" s="2">
        <v>210101001</v>
      </c>
      <c r="G915" s="2" t="s">
        <v>36</v>
      </c>
      <c r="L915" s="2" t="s">
        <v>1792</v>
      </c>
      <c r="M915" t="s">
        <v>729</v>
      </c>
      <c r="N915" t="s">
        <v>730</v>
      </c>
      <c r="P915" s="23">
        <v>62.09</v>
      </c>
      <c r="Q915" s="4">
        <f t="shared" si="14"/>
        <v>-57.010629731035593</v>
      </c>
      <c r="R915" s="23" t="s">
        <v>109</v>
      </c>
    </row>
    <row r="916" spans="1:20" x14ac:dyDescent="0.25">
      <c r="A916" s="37">
        <v>45706</v>
      </c>
      <c r="B916" s="1">
        <v>718645029</v>
      </c>
      <c r="C916" t="s">
        <v>1787</v>
      </c>
      <c r="D916" s="22">
        <v>-45538.82</v>
      </c>
      <c r="E916" t="s">
        <v>35</v>
      </c>
      <c r="F916" s="2">
        <v>210101001</v>
      </c>
      <c r="G916" s="2" t="s">
        <v>36</v>
      </c>
      <c r="L916" s="2" t="s">
        <v>1793</v>
      </c>
      <c r="M916" t="s">
        <v>38</v>
      </c>
      <c r="N916" t="s">
        <v>39</v>
      </c>
      <c r="P916" s="23">
        <v>62.09</v>
      </c>
      <c r="Q916" s="4">
        <f t="shared" si="14"/>
        <v>-733.43243678531155</v>
      </c>
      <c r="R916" s="23" t="s">
        <v>109</v>
      </c>
    </row>
    <row r="917" spans="1:20" x14ac:dyDescent="0.25">
      <c r="A917" s="37">
        <v>45706</v>
      </c>
      <c r="B917" s="1">
        <v>818645032</v>
      </c>
      <c r="C917" t="s">
        <v>1794</v>
      </c>
      <c r="D917" s="22">
        <v>-89908.38</v>
      </c>
      <c r="E917" t="s">
        <v>35</v>
      </c>
      <c r="F917" s="2">
        <v>210101001</v>
      </c>
      <c r="G917" s="2" t="s">
        <v>36</v>
      </c>
      <c r="L917" s="2" t="s">
        <v>1795</v>
      </c>
      <c r="M917" t="s">
        <v>729</v>
      </c>
      <c r="N917" t="s">
        <v>730</v>
      </c>
      <c r="P917" s="23">
        <v>62.09</v>
      </c>
      <c r="Q917" s="4">
        <f t="shared" si="14"/>
        <v>-1448.0331776453536</v>
      </c>
      <c r="R917" s="23" t="s">
        <v>109</v>
      </c>
    </row>
    <row r="918" spans="1:20" x14ac:dyDescent="0.25">
      <c r="A918" s="37">
        <v>45706</v>
      </c>
      <c r="B918" s="1">
        <v>818645033</v>
      </c>
      <c r="C918" t="s">
        <v>1796</v>
      </c>
      <c r="D918" s="22">
        <v>-23654.720000000001</v>
      </c>
      <c r="E918" t="s">
        <v>35</v>
      </c>
      <c r="F918" s="2">
        <v>210101001</v>
      </c>
      <c r="G918" s="2" t="s">
        <v>36</v>
      </c>
      <c r="L918" s="2" t="s">
        <v>1797</v>
      </c>
      <c r="M918" t="s">
        <v>534</v>
      </c>
      <c r="N918" t="s">
        <v>535</v>
      </c>
      <c r="P918" s="23">
        <v>62.09</v>
      </c>
      <c r="Q918" s="4">
        <f t="shared" si="14"/>
        <v>-380.97471412465774</v>
      </c>
      <c r="R918" s="23" t="s">
        <v>109</v>
      </c>
    </row>
    <row r="919" spans="1:20" x14ac:dyDescent="0.25">
      <c r="A919" s="37">
        <v>45706</v>
      </c>
      <c r="B919" s="1">
        <v>50233603</v>
      </c>
      <c r="C919" t="s">
        <v>118</v>
      </c>
      <c r="D919" s="22">
        <v>-406.6</v>
      </c>
      <c r="E919" t="s">
        <v>35</v>
      </c>
      <c r="F919" s="2">
        <v>610148001</v>
      </c>
      <c r="G919" s="2" t="s">
        <v>42</v>
      </c>
      <c r="L919" s="2" t="s">
        <v>1798</v>
      </c>
      <c r="M919" t="s">
        <v>43</v>
      </c>
      <c r="N919" t="s">
        <v>42</v>
      </c>
      <c r="P919" s="23">
        <v>62.09</v>
      </c>
      <c r="Q919" s="4">
        <f t="shared" si="14"/>
        <v>-6.5485585440489613</v>
      </c>
      <c r="R919" s="23" t="s">
        <v>109</v>
      </c>
      <c r="T919" s="23" t="s">
        <v>1313</v>
      </c>
    </row>
    <row r="920" spans="1:20" x14ac:dyDescent="0.25">
      <c r="A920" s="37">
        <v>45708</v>
      </c>
      <c r="B920" s="1">
        <v>111247074</v>
      </c>
      <c r="C920" t="s">
        <v>107</v>
      </c>
      <c r="D920" s="22">
        <v>320000</v>
      </c>
      <c r="E920" t="s">
        <v>46</v>
      </c>
      <c r="F920" s="2">
        <v>210115002</v>
      </c>
      <c r="G920" s="2" t="s">
        <v>47</v>
      </c>
      <c r="L920" s="2" t="s">
        <v>1799</v>
      </c>
      <c r="N920" t="s">
        <v>107</v>
      </c>
      <c r="P920" s="23">
        <v>62.51</v>
      </c>
      <c r="Q920" s="4">
        <f t="shared" si="14"/>
        <v>5119.1809310510316</v>
      </c>
      <c r="R920" s="23" t="s">
        <v>109</v>
      </c>
    </row>
    <row r="921" spans="1:20" x14ac:dyDescent="0.25">
      <c r="A921" s="37">
        <v>45708</v>
      </c>
      <c r="B921" s="1">
        <v>618727314</v>
      </c>
      <c r="C921" t="s">
        <v>1800</v>
      </c>
      <c r="D921" s="22">
        <v>-200000</v>
      </c>
      <c r="E921" t="s">
        <v>35</v>
      </c>
      <c r="F921" s="2">
        <v>110114001</v>
      </c>
      <c r="G921" s="2" t="s">
        <v>301</v>
      </c>
      <c r="L921" s="2" t="s">
        <v>1801</v>
      </c>
      <c r="M921" t="s">
        <v>38</v>
      </c>
      <c r="N921" t="s">
        <v>39</v>
      </c>
      <c r="P921" s="23">
        <v>62.51</v>
      </c>
      <c r="Q921" s="4">
        <f t="shared" si="14"/>
        <v>-3199.4880819068949</v>
      </c>
      <c r="R921" s="23" t="s">
        <v>109</v>
      </c>
      <c r="S921" s="33" t="s">
        <v>1353</v>
      </c>
    </row>
    <row r="922" spans="1:20" x14ac:dyDescent="0.25">
      <c r="A922" s="37">
        <v>45708</v>
      </c>
      <c r="B922" s="1">
        <v>618727315</v>
      </c>
      <c r="C922" t="s">
        <v>1802</v>
      </c>
      <c r="D922" s="22">
        <v>-8836.51</v>
      </c>
      <c r="E922" t="s">
        <v>35</v>
      </c>
      <c r="F922" s="2">
        <v>210101001</v>
      </c>
      <c r="G922" s="2" t="s">
        <v>36</v>
      </c>
      <c r="L922" s="2" t="s">
        <v>1803</v>
      </c>
      <c r="M922" t="s">
        <v>534</v>
      </c>
      <c r="N922" t="s">
        <v>535</v>
      </c>
      <c r="P922" s="23">
        <v>62.51</v>
      </c>
      <c r="Q922" s="4">
        <f t="shared" si="14"/>
        <v>-141.3615421532555</v>
      </c>
      <c r="R922" s="23" t="s">
        <v>109</v>
      </c>
    </row>
    <row r="923" spans="1:20" x14ac:dyDescent="0.25">
      <c r="A923" s="37">
        <v>45708</v>
      </c>
      <c r="B923" s="1">
        <v>618727316</v>
      </c>
      <c r="C923" t="s">
        <v>1800</v>
      </c>
      <c r="D923" s="22">
        <v>-96922.5</v>
      </c>
      <c r="E923" t="s">
        <v>35</v>
      </c>
      <c r="F923" s="2">
        <v>110114001</v>
      </c>
      <c r="G923" s="2" t="s">
        <v>301</v>
      </c>
      <c r="L923" s="2" t="s">
        <v>1804</v>
      </c>
      <c r="M923" t="s">
        <v>38</v>
      </c>
      <c r="N923" t="s">
        <v>39</v>
      </c>
      <c r="P923" s="23">
        <v>62.51</v>
      </c>
      <c r="Q923" s="4">
        <f t="shared" si="14"/>
        <v>-1550.5119180931051</v>
      </c>
      <c r="R923" s="23" t="s">
        <v>109</v>
      </c>
      <c r="S923" s="33" t="s">
        <v>1353</v>
      </c>
    </row>
    <row r="924" spans="1:20" x14ac:dyDescent="0.25">
      <c r="A924" s="37">
        <v>45708</v>
      </c>
      <c r="B924" s="1">
        <v>50252405</v>
      </c>
      <c r="C924" t="s">
        <v>118</v>
      </c>
      <c r="D924" s="22">
        <v>-764.39</v>
      </c>
      <c r="E924" t="s">
        <v>35</v>
      </c>
      <c r="F924" s="2">
        <v>610148001</v>
      </c>
      <c r="G924" s="2" t="s">
        <v>42</v>
      </c>
      <c r="L924" s="2" t="s">
        <v>1805</v>
      </c>
      <c r="M924" t="s">
        <v>43</v>
      </c>
      <c r="N924" t="s">
        <v>42</v>
      </c>
      <c r="P924" s="23">
        <v>62.51</v>
      </c>
      <c r="Q924" s="4">
        <f t="shared" si="14"/>
        <v>-12.228283474644057</v>
      </c>
      <c r="R924" s="23" t="s">
        <v>109</v>
      </c>
      <c r="T924" s="23" t="s">
        <v>1313</v>
      </c>
    </row>
    <row r="925" spans="1:20" x14ac:dyDescent="0.25">
      <c r="A925" s="37">
        <v>45708</v>
      </c>
      <c r="B925" s="1">
        <v>135236335</v>
      </c>
      <c r="C925" t="s">
        <v>107</v>
      </c>
      <c r="D925" s="22">
        <v>395000</v>
      </c>
      <c r="E925" t="s">
        <v>46</v>
      </c>
      <c r="F925" s="2">
        <v>210115002</v>
      </c>
      <c r="G925" s="2" t="s">
        <v>47</v>
      </c>
      <c r="L925" s="2" t="s">
        <v>1806</v>
      </c>
      <c r="N925" t="s">
        <v>107</v>
      </c>
      <c r="P925" s="23">
        <v>62.51</v>
      </c>
      <c r="Q925" s="4">
        <f t="shared" si="14"/>
        <v>6318.9889617661174</v>
      </c>
      <c r="R925" s="23" t="s">
        <v>109</v>
      </c>
    </row>
    <row r="926" spans="1:20" x14ac:dyDescent="0.25">
      <c r="A926" s="37">
        <v>45708</v>
      </c>
      <c r="B926" s="1">
        <v>418736113</v>
      </c>
      <c r="C926" t="s">
        <v>1807</v>
      </c>
      <c r="D926" s="30">
        <v>-125020</v>
      </c>
      <c r="E926" t="s">
        <v>35</v>
      </c>
      <c r="L926" s="2" t="s">
        <v>1808</v>
      </c>
      <c r="M926" t="s">
        <v>1809</v>
      </c>
      <c r="N926" t="s">
        <v>1810</v>
      </c>
      <c r="O926" s="27" t="s">
        <v>59</v>
      </c>
      <c r="P926" s="23">
        <v>62.51</v>
      </c>
      <c r="Q926" s="4">
        <f t="shared" si="14"/>
        <v>-2000</v>
      </c>
      <c r="R926" s="23" t="s">
        <v>109</v>
      </c>
      <c r="S926" s="3" t="s">
        <v>1811</v>
      </c>
      <c r="T926" s="23" t="s">
        <v>1812</v>
      </c>
    </row>
    <row r="927" spans="1:20" x14ac:dyDescent="0.25">
      <c r="A927" s="37">
        <v>45708</v>
      </c>
      <c r="B927" s="1">
        <v>418736113</v>
      </c>
      <c r="C927" t="s">
        <v>306</v>
      </c>
      <c r="D927" s="22">
        <v>-375.06</v>
      </c>
      <c r="E927" t="s">
        <v>35</v>
      </c>
      <c r="F927" s="2">
        <v>610148001</v>
      </c>
      <c r="G927" s="2" t="s">
        <v>42</v>
      </c>
      <c r="L927" s="2" t="s">
        <v>1813</v>
      </c>
      <c r="M927" t="s">
        <v>43</v>
      </c>
      <c r="N927" t="s">
        <v>42</v>
      </c>
      <c r="P927" s="23">
        <v>62.51</v>
      </c>
      <c r="Q927" s="4">
        <f t="shared" si="14"/>
        <v>-6</v>
      </c>
      <c r="R927" s="23" t="s">
        <v>109</v>
      </c>
      <c r="T927" s="23" t="s">
        <v>1313</v>
      </c>
    </row>
    <row r="928" spans="1:20" x14ac:dyDescent="0.25">
      <c r="A928" s="37">
        <v>45708</v>
      </c>
      <c r="B928" s="1">
        <v>318736276</v>
      </c>
      <c r="C928" t="s">
        <v>1814</v>
      </c>
      <c r="D928" s="22">
        <v>-178378.53</v>
      </c>
      <c r="E928" t="s">
        <v>35</v>
      </c>
      <c r="F928" s="2">
        <v>210101001</v>
      </c>
      <c r="G928" s="2" t="s">
        <v>36</v>
      </c>
      <c r="L928" s="2" t="s">
        <v>1815</v>
      </c>
      <c r="M928" t="s">
        <v>303</v>
      </c>
      <c r="N928" t="s">
        <v>304</v>
      </c>
      <c r="P928" s="23">
        <v>62.51</v>
      </c>
      <c r="Q928" s="4">
        <f t="shared" si="14"/>
        <v>-2853.5999040153574</v>
      </c>
      <c r="R928" s="23" t="s">
        <v>109</v>
      </c>
      <c r="S928" t="s">
        <v>1816</v>
      </c>
    </row>
    <row r="929" spans="1:20" x14ac:dyDescent="0.25">
      <c r="A929" s="37">
        <v>45708</v>
      </c>
      <c r="B929" s="1">
        <v>318736275</v>
      </c>
      <c r="C929" t="s">
        <v>1817</v>
      </c>
      <c r="D929" s="22">
        <v>-78138.41</v>
      </c>
      <c r="E929" t="s">
        <v>35</v>
      </c>
      <c r="F929" s="2">
        <v>210101001</v>
      </c>
      <c r="G929" s="2" t="s">
        <v>36</v>
      </c>
      <c r="L929" s="2" t="s">
        <v>1818</v>
      </c>
      <c r="M929" t="s">
        <v>303</v>
      </c>
      <c r="N929" t="s">
        <v>304</v>
      </c>
      <c r="P929" s="23">
        <v>62.51</v>
      </c>
      <c r="Q929" s="4">
        <f t="shared" si="14"/>
        <v>-1250.0145576707728</v>
      </c>
      <c r="R929" s="23" t="s">
        <v>109</v>
      </c>
    </row>
    <row r="930" spans="1:20" x14ac:dyDescent="0.25">
      <c r="A930" s="37">
        <v>45708</v>
      </c>
      <c r="B930" s="1">
        <v>318736277</v>
      </c>
      <c r="C930" t="s">
        <v>1819</v>
      </c>
      <c r="D930" s="22">
        <v>-6900</v>
      </c>
      <c r="E930" t="s">
        <v>35</v>
      </c>
      <c r="F930" s="2">
        <v>110114001</v>
      </c>
      <c r="G930" s="2" t="s">
        <v>301</v>
      </c>
      <c r="L930" s="2" t="s">
        <v>1820</v>
      </c>
      <c r="M930" t="s">
        <v>725</v>
      </c>
      <c r="N930" t="s">
        <v>726</v>
      </c>
      <c r="P930" s="23">
        <v>62.51</v>
      </c>
      <c r="Q930" s="4">
        <f t="shared" si="14"/>
        <v>-110.38233882578788</v>
      </c>
      <c r="R930" s="23" t="s">
        <v>109</v>
      </c>
      <c r="S930" s="33" t="s">
        <v>1353</v>
      </c>
    </row>
    <row r="931" spans="1:20" x14ac:dyDescent="0.25">
      <c r="A931" s="37">
        <v>45708</v>
      </c>
      <c r="B931" s="1">
        <v>50261674</v>
      </c>
      <c r="C931" t="s">
        <v>118</v>
      </c>
      <c r="D931" s="22">
        <v>-658.54</v>
      </c>
      <c r="E931" t="s">
        <v>35</v>
      </c>
      <c r="F931" s="2">
        <v>610148001</v>
      </c>
      <c r="G931" s="2" t="s">
        <v>42</v>
      </c>
      <c r="L931" s="2" t="s">
        <v>1821</v>
      </c>
      <c r="M931" t="s">
        <v>43</v>
      </c>
      <c r="N931" t="s">
        <v>42</v>
      </c>
      <c r="P931" s="23">
        <v>62.51</v>
      </c>
      <c r="Q931" s="4">
        <f t="shared" si="14"/>
        <v>-10.534954407294833</v>
      </c>
      <c r="R931" s="23" t="s">
        <v>109</v>
      </c>
      <c r="T931" s="23" t="s">
        <v>1313</v>
      </c>
    </row>
    <row r="932" spans="1:20" x14ac:dyDescent="0.25">
      <c r="A932" s="37">
        <v>45708</v>
      </c>
      <c r="B932" s="1">
        <v>142115484</v>
      </c>
      <c r="C932" t="s">
        <v>107</v>
      </c>
      <c r="D932" s="22">
        <v>15000</v>
      </c>
      <c r="E932" t="s">
        <v>46</v>
      </c>
      <c r="F932" s="2">
        <v>210115002</v>
      </c>
      <c r="G932" s="2" t="s">
        <v>47</v>
      </c>
      <c r="L932" s="2" t="s">
        <v>1822</v>
      </c>
      <c r="N932" t="s">
        <v>107</v>
      </c>
      <c r="P932" s="23">
        <v>62.51</v>
      </c>
      <c r="Q932" s="4">
        <f t="shared" si="14"/>
        <v>239.96160614301712</v>
      </c>
      <c r="R932" s="23" t="s">
        <v>109</v>
      </c>
    </row>
    <row r="933" spans="1:20" x14ac:dyDescent="0.25">
      <c r="A933" s="39">
        <v>45709</v>
      </c>
      <c r="B933" s="26">
        <v>118770848</v>
      </c>
      <c r="C933" s="27" t="s">
        <v>1823</v>
      </c>
      <c r="D933" s="28">
        <v>-660.7</v>
      </c>
      <c r="E933" s="27" t="s">
        <v>35</v>
      </c>
      <c r="F933" s="29"/>
      <c r="G933" s="29"/>
      <c r="H933" s="107"/>
      <c r="I933" s="101"/>
      <c r="J933" s="101"/>
      <c r="K933" s="29"/>
      <c r="L933" s="2" t="s">
        <v>1824</v>
      </c>
      <c r="M933" s="27" t="s">
        <v>1825</v>
      </c>
      <c r="N933" s="27" t="s">
        <v>1826</v>
      </c>
      <c r="O933" s="27" t="s">
        <v>59</v>
      </c>
      <c r="P933" s="31">
        <v>63.21</v>
      </c>
      <c r="Q933" s="4">
        <f t="shared" si="14"/>
        <v>-10.452460053788958</v>
      </c>
      <c r="R933" s="23" t="s">
        <v>109</v>
      </c>
      <c r="S933" s="3" t="s">
        <v>1811</v>
      </c>
      <c r="T933" s="23" t="s">
        <v>1827</v>
      </c>
    </row>
    <row r="934" spans="1:20" x14ac:dyDescent="0.25">
      <c r="A934" s="37">
        <v>45709</v>
      </c>
      <c r="B934" s="1">
        <v>118770848</v>
      </c>
      <c r="C934" t="s">
        <v>306</v>
      </c>
      <c r="D934" s="22">
        <v>-1.98</v>
      </c>
      <c r="E934" t="s">
        <v>35</v>
      </c>
      <c r="F934" s="2">
        <v>610148001</v>
      </c>
      <c r="G934" s="2" t="s">
        <v>42</v>
      </c>
      <c r="L934" s="2" t="s">
        <v>1828</v>
      </c>
      <c r="M934" t="s">
        <v>43</v>
      </c>
      <c r="N934" t="s">
        <v>42</v>
      </c>
      <c r="P934" s="23">
        <v>63.21</v>
      </c>
      <c r="Q934" s="4">
        <f t="shared" si="14"/>
        <v>-3.1324157570004743E-2</v>
      </c>
      <c r="R934" s="23" t="s">
        <v>109</v>
      </c>
      <c r="T934" s="23" t="s">
        <v>1313</v>
      </c>
    </row>
    <row r="935" spans="1:20" x14ac:dyDescent="0.25">
      <c r="A935" s="37">
        <v>45709</v>
      </c>
      <c r="B935" s="1">
        <v>113449869</v>
      </c>
      <c r="C935" t="s">
        <v>107</v>
      </c>
      <c r="D935" s="22">
        <v>730000</v>
      </c>
      <c r="E935" t="s">
        <v>46</v>
      </c>
      <c r="F935" s="2">
        <v>210115002</v>
      </c>
      <c r="G935" s="2" t="s">
        <v>47</v>
      </c>
      <c r="L935" s="2" t="s">
        <v>1829</v>
      </c>
      <c r="N935" t="s">
        <v>107</v>
      </c>
      <c r="P935" s="23">
        <v>63.21</v>
      </c>
      <c r="Q935" s="4">
        <f t="shared" si="14"/>
        <v>11548.805568739124</v>
      </c>
      <c r="R935" s="23" t="s">
        <v>109</v>
      </c>
    </row>
    <row r="936" spans="1:20" x14ac:dyDescent="0.25">
      <c r="A936" s="37">
        <v>45709</v>
      </c>
      <c r="B936" s="1">
        <v>18773567</v>
      </c>
      <c r="C936" t="s">
        <v>1830</v>
      </c>
      <c r="D936" s="22">
        <v>-21157.43</v>
      </c>
      <c r="E936" t="s">
        <v>35</v>
      </c>
      <c r="F936" s="2">
        <v>210101001</v>
      </c>
      <c r="G936" s="2" t="s">
        <v>36</v>
      </c>
      <c r="L936" s="2" t="s">
        <v>1831</v>
      </c>
      <c r="M936" t="s">
        <v>788</v>
      </c>
      <c r="N936" t="s">
        <v>789</v>
      </c>
      <c r="P936" s="23">
        <v>63.21</v>
      </c>
      <c r="Q936" s="4">
        <f t="shared" si="14"/>
        <v>-334.71650055370986</v>
      </c>
      <c r="R936" s="23" t="s">
        <v>109</v>
      </c>
    </row>
    <row r="937" spans="1:20" x14ac:dyDescent="0.25">
      <c r="A937" s="37">
        <v>45709</v>
      </c>
      <c r="B937" s="1">
        <v>18773569</v>
      </c>
      <c r="C937" t="s">
        <v>1832</v>
      </c>
      <c r="D937" s="22">
        <v>-183412.29</v>
      </c>
      <c r="E937" t="s">
        <v>35</v>
      </c>
      <c r="F937" s="2">
        <v>210101001</v>
      </c>
      <c r="G937" s="2" t="s">
        <v>36</v>
      </c>
      <c r="L937" s="2" t="s">
        <v>1833</v>
      </c>
      <c r="M937" t="s">
        <v>788</v>
      </c>
      <c r="N937" t="s">
        <v>789</v>
      </c>
      <c r="P937" s="23">
        <v>63.21</v>
      </c>
      <c r="Q937" s="4">
        <f t="shared" si="14"/>
        <v>-2901.6340768865689</v>
      </c>
      <c r="R937" s="23" t="s">
        <v>109</v>
      </c>
    </row>
    <row r="938" spans="1:20" x14ac:dyDescent="0.25">
      <c r="A938" s="37">
        <v>45709</v>
      </c>
      <c r="B938" s="1">
        <v>18773573</v>
      </c>
      <c r="C938" t="s">
        <v>1834</v>
      </c>
      <c r="D938" s="22">
        <v>-3034.08</v>
      </c>
      <c r="E938" t="s">
        <v>35</v>
      </c>
      <c r="F938" s="2">
        <v>212901001</v>
      </c>
      <c r="G938" s="2" t="s">
        <v>121</v>
      </c>
      <c r="L938" s="2" t="s">
        <v>1835</v>
      </c>
      <c r="M938" t="s">
        <v>67</v>
      </c>
      <c r="N938" t="s">
        <v>68</v>
      </c>
      <c r="P938" s="23">
        <v>63.21</v>
      </c>
      <c r="Q938" s="4">
        <f t="shared" si="14"/>
        <v>-48</v>
      </c>
      <c r="R938" s="23" t="s">
        <v>109</v>
      </c>
    </row>
    <row r="939" spans="1:20" x14ac:dyDescent="0.25">
      <c r="A939" s="37">
        <v>45709</v>
      </c>
      <c r="B939" s="1">
        <v>18773574</v>
      </c>
      <c r="C939" t="s">
        <v>1836</v>
      </c>
      <c r="D939" s="22">
        <v>-3160.5</v>
      </c>
      <c r="E939" t="s">
        <v>35</v>
      </c>
      <c r="F939" s="2">
        <v>212901001</v>
      </c>
      <c r="G939" s="2" t="s">
        <v>121</v>
      </c>
      <c r="L939" s="2" t="s">
        <v>1837</v>
      </c>
      <c r="M939" t="s">
        <v>67</v>
      </c>
      <c r="N939" t="s">
        <v>68</v>
      </c>
      <c r="P939" s="23">
        <v>63.21</v>
      </c>
      <c r="Q939" s="4">
        <f t="shared" si="14"/>
        <v>-50</v>
      </c>
      <c r="R939" s="23" t="s">
        <v>109</v>
      </c>
    </row>
    <row r="940" spans="1:20" x14ac:dyDescent="0.25">
      <c r="A940" s="37">
        <v>45709</v>
      </c>
      <c r="B940" s="1">
        <v>18773570</v>
      </c>
      <c r="C940" t="s">
        <v>1838</v>
      </c>
      <c r="D940" s="22">
        <v>-30817.43</v>
      </c>
      <c r="E940" t="s">
        <v>35</v>
      </c>
      <c r="F940" s="2">
        <v>210101001</v>
      </c>
      <c r="G940" s="2" t="s">
        <v>36</v>
      </c>
      <c r="L940" s="2" t="s">
        <v>1839</v>
      </c>
      <c r="M940" t="s">
        <v>788</v>
      </c>
      <c r="N940" t="s">
        <v>789</v>
      </c>
      <c r="P940" s="23">
        <v>63.21</v>
      </c>
      <c r="Q940" s="4">
        <f t="shared" si="14"/>
        <v>-487.54042081949058</v>
      </c>
      <c r="R940" s="23" t="s">
        <v>109</v>
      </c>
    </row>
    <row r="941" spans="1:20" x14ac:dyDescent="0.25">
      <c r="A941" s="37">
        <v>45709</v>
      </c>
      <c r="B941" s="1">
        <v>18773576</v>
      </c>
      <c r="C941" t="s">
        <v>1840</v>
      </c>
      <c r="D941" s="22">
        <v>-632.1</v>
      </c>
      <c r="E941" t="s">
        <v>35</v>
      </c>
      <c r="F941" s="2">
        <v>212901001</v>
      </c>
      <c r="G941" s="2" t="s">
        <v>121</v>
      </c>
      <c r="L941" s="2" t="s">
        <v>1841</v>
      </c>
      <c r="M941" t="s">
        <v>67</v>
      </c>
      <c r="N941" t="s">
        <v>68</v>
      </c>
      <c r="P941" s="23">
        <v>63.21</v>
      </c>
      <c r="Q941" s="4">
        <f t="shared" si="14"/>
        <v>-10</v>
      </c>
      <c r="R941" s="23" t="s">
        <v>109</v>
      </c>
    </row>
    <row r="942" spans="1:20" x14ac:dyDescent="0.25">
      <c r="A942" s="37">
        <v>45709</v>
      </c>
      <c r="B942" s="1">
        <v>18773575</v>
      </c>
      <c r="C942" t="s">
        <v>1842</v>
      </c>
      <c r="D942" s="22">
        <v>-4424.7</v>
      </c>
      <c r="E942" t="s">
        <v>35</v>
      </c>
      <c r="F942" s="2">
        <v>212901001</v>
      </c>
      <c r="G942" s="2" t="s">
        <v>121</v>
      </c>
      <c r="L942" s="2" t="s">
        <v>1843</v>
      </c>
      <c r="M942" t="s">
        <v>67</v>
      </c>
      <c r="N942" t="s">
        <v>68</v>
      </c>
      <c r="P942" s="23">
        <v>63.21</v>
      </c>
      <c r="Q942" s="4">
        <f t="shared" si="14"/>
        <v>-70</v>
      </c>
      <c r="R942" s="23" t="s">
        <v>109</v>
      </c>
    </row>
    <row r="943" spans="1:20" x14ac:dyDescent="0.25">
      <c r="A943" s="37">
        <v>45709</v>
      </c>
      <c r="B943" s="1">
        <v>118773579</v>
      </c>
      <c r="C943" t="s">
        <v>1844</v>
      </c>
      <c r="D943" s="22">
        <v>-1264.2</v>
      </c>
      <c r="E943" t="s">
        <v>35</v>
      </c>
      <c r="F943" s="2">
        <v>212901001</v>
      </c>
      <c r="G943" s="2" t="s">
        <v>121</v>
      </c>
      <c r="L943" s="2" t="s">
        <v>1845</v>
      </c>
      <c r="M943" t="s">
        <v>67</v>
      </c>
      <c r="N943" t="s">
        <v>68</v>
      </c>
      <c r="P943" s="23">
        <v>63.21</v>
      </c>
      <c r="Q943" s="4">
        <f t="shared" si="14"/>
        <v>-20</v>
      </c>
      <c r="R943" s="23" t="s">
        <v>109</v>
      </c>
    </row>
    <row r="944" spans="1:20" x14ac:dyDescent="0.25">
      <c r="A944" s="37">
        <v>45709</v>
      </c>
      <c r="B944" s="1">
        <v>118773583</v>
      </c>
      <c r="C944" t="s">
        <v>1846</v>
      </c>
      <c r="D944" s="22">
        <v>-1264.2</v>
      </c>
      <c r="E944" t="s">
        <v>35</v>
      </c>
      <c r="F944" s="2">
        <v>212901001</v>
      </c>
      <c r="G944" s="2" t="s">
        <v>121</v>
      </c>
      <c r="L944" s="2" t="s">
        <v>1847</v>
      </c>
      <c r="M944" t="s">
        <v>67</v>
      </c>
      <c r="N944" t="s">
        <v>68</v>
      </c>
      <c r="P944" s="23">
        <v>63.21</v>
      </c>
      <c r="Q944" s="4">
        <f t="shared" si="14"/>
        <v>-20</v>
      </c>
      <c r="R944" s="23" t="s">
        <v>109</v>
      </c>
    </row>
    <row r="945" spans="1:20" x14ac:dyDescent="0.25">
      <c r="A945" s="37">
        <v>45709</v>
      </c>
      <c r="B945" s="1">
        <v>118773578</v>
      </c>
      <c r="C945" t="s">
        <v>1848</v>
      </c>
      <c r="D945" s="22">
        <v>-4108.6499999999996</v>
      </c>
      <c r="E945" t="s">
        <v>35</v>
      </c>
      <c r="F945" s="2">
        <v>212901001</v>
      </c>
      <c r="G945" s="2" t="s">
        <v>121</v>
      </c>
      <c r="L945" s="2" t="s">
        <v>1849</v>
      </c>
      <c r="M945" t="s">
        <v>67</v>
      </c>
      <c r="N945" t="s">
        <v>68</v>
      </c>
      <c r="P945" s="23">
        <v>63.21</v>
      </c>
      <c r="Q945" s="4">
        <f t="shared" si="14"/>
        <v>-65</v>
      </c>
      <c r="R945" s="23" t="s">
        <v>109</v>
      </c>
    </row>
    <row r="946" spans="1:20" x14ac:dyDescent="0.25">
      <c r="A946" s="37">
        <v>45709</v>
      </c>
      <c r="B946" s="1">
        <v>118773581</v>
      </c>
      <c r="C946" t="s">
        <v>1850</v>
      </c>
      <c r="D946" s="22">
        <v>-1264.2</v>
      </c>
      <c r="E946" t="s">
        <v>35</v>
      </c>
      <c r="F946" s="2">
        <v>212901001</v>
      </c>
      <c r="G946" s="2" t="s">
        <v>121</v>
      </c>
      <c r="L946" s="2" t="s">
        <v>1851</v>
      </c>
      <c r="M946" t="s">
        <v>67</v>
      </c>
      <c r="N946" t="s">
        <v>68</v>
      </c>
      <c r="P946" s="23">
        <v>63.21</v>
      </c>
      <c r="Q946" s="4">
        <f t="shared" si="14"/>
        <v>-20</v>
      </c>
      <c r="R946" s="23" t="s">
        <v>109</v>
      </c>
    </row>
    <row r="947" spans="1:20" x14ac:dyDescent="0.25">
      <c r="A947" s="37">
        <v>45709</v>
      </c>
      <c r="B947" s="1">
        <v>118773584</v>
      </c>
      <c r="C947" t="s">
        <v>1852</v>
      </c>
      <c r="D947" s="22">
        <v>-1264.2</v>
      </c>
      <c r="E947" t="s">
        <v>35</v>
      </c>
      <c r="F947" s="2">
        <v>212901001</v>
      </c>
      <c r="G947" s="2" t="s">
        <v>121</v>
      </c>
      <c r="L947" s="2" t="s">
        <v>1853</v>
      </c>
      <c r="M947" t="s">
        <v>67</v>
      </c>
      <c r="N947" t="s">
        <v>68</v>
      </c>
      <c r="P947" s="23">
        <v>63.21</v>
      </c>
      <c r="Q947" s="4">
        <f t="shared" si="14"/>
        <v>-20</v>
      </c>
      <c r="R947" s="23" t="s">
        <v>109</v>
      </c>
    </row>
    <row r="948" spans="1:20" x14ac:dyDescent="0.25">
      <c r="A948" s="37">
        <v>45709</v>
      </c>
      <c r="B948" s="1">
        <v>118773585</v>
      </c>
      <c r="C948" t="s">
        <v>1854</v>
      </c>
      <c r="D948" s="22">
        <v>-17815.349999999999</v>
      </c>
      <c r="E948" t="s">
        <v>35</v>
      </c>
      <c r="F948" s="2">
        <v>110114001</v>
      </c>
      <c r="G948" s="2" t="s">
        <v>301</v>
      </c>
      <c r="L948" s="2" t="s">
        <v>1855</v>
      </c>
      <c r="M948" t="s">
        <v>698</v>
      </c>
      <c r="N948" t="s">
        <v>104</v>
      </c>
      <c r="P948" s="23">
        <v>63.21</v>
      </c>
      <c r="Q948" s="4">
        <f t="shared" si="14"/>
        <v>-281.84385382059799</v>
      </c>
      <c r="R948" s="23" t="s">
        <v>109</v>
      </c>
      <c r="S948" s="33" t="s">
        <v>1353</v>
      </c>
    </row>
    <row r="949" spans="1:20" x14ac:dyDescent="0.25">
      <c r="A949" s="37">
        <v>45709</v>
      </c>
      <c r="B949" s="1">
        <v>118773587</v>
      </c>
      <c r="C949" t="s">
        <v>1579</v>
      </c>
      <c r="D949" s="22">
        <v>-176782</v>
      </c>
      <c r="E949" t="s">
        <v>35</v>
      </c>
      <c r="F949" s="2">
        <v>210101001</v>
      </c>
      <c r="G949" s="2" t="s">
        <v>36</v>
      </c>
      <c r="L949" s="2" t="s">
        <v>1856</v>
      </c>
      <c r="M949" t="s">
        <v>38</v>
      </c>
      <c r="N949" t="s">
        <v>39</v>
      </c>
      <c r="P949" s="23">
        <v>63.21</v>
      </c>
      <c r="Q949" s="4">
        <f t="shared" si="14"/>
        <v>-2796.7410219901913</v>
      </c>
      <c r="R949" s="23" t="s">
        <v>109</v>
      </c>
    </row>
    <row r="950" spans="1:20" x14ac:dyDescent="0.25">
      <c r="A950" s="37">
        <v>45709</v>
      </c>
      <c r="B950" s="1">
        <v>118773589</v>
      </c>
      <c r="C950" t="s">
        <v>1857</v>
      </c>
      <c r="D950" s="22">
        <v>-79617.36</v>
      </c>
      <c r="E950" t="s">
        <v>35</v>
      </c>
      <c r="F950" s="2">
        <v>210101001</v>
      </c>
      <c r="G950" s="2" t="s">
        <v>36</v>
      </c>
      <c r="L950" s="2" t="s">
        <v>1858</v>
      </c>
      <c r="M950" t="s">
        <v>38</v>
      </c>
      <c r="N950" t="s">
        <v>39</v>
      </c>
      <c r="P950" s="23">
        <v>63.21</v>
      </c>
      <c r="Q950" s="4">
        <f t="shared" si="14"/>
        <v>-1259.5690555291885</v>
      </c>
      <c r="R950" s="23" t="s">
        <v>109</v>
      </c>
    </row>
    <row r="951" spans="1:20" x14ac:dyDescent="0.25">
      <c r="A951" s="37">
        <v>45709</v>
      </c>
      <c r="B951" s="1">
        <v>118773590</v>
      </c>
      <c r="C951" t="s">
        <v>1859</v>
      </c>
      <c r="D951" s="22">
        <v>-9142.7999999999993</v>
      </c>
      <c r="E951" t="s">
        <v>35</v>
      </c>
      <c r="F951" s="2">
        <v>210101001</v>
      </c>
      <c r="G951" s="2" t="s">
        <v>36</v>
      </c>
      <c r="L951" s="2" t="s">
        <v>1860</v>
      </c>
      <c r="M951" t="s">
        <v>114</v>
      </c>
      <c r="N951" t="s">
        <v>115</v>
      </c>
      <c r="P951" s="23">
        <v>63.21</v>
      </c>
      <c r="Q951" s="4">
        <f t="shared" si="14"/>
        <v>-144.64167062173706</v>
      </c>
      <c r="R951" s="23" t="s">
        <v>109</v>
      </c>
    </row>
    <row r="952" spans="1:20" x14ac:dyDescent="0.25">
      <c r="A952" s="37">
        <v>45709</v>
      </c>
      <c r="B952" s="1">
        <v>218773591</v>
      </c>
      <c r="C952" t="s">
        <v>1861</v>
      </c>
      <c r="D952" s="22">
        <v>-4478.6400000000003</v>
      </c>
      <c r="E952" t="s">
        <v>35</v>
      </c>
      <c r="F952" s="2">
        <v>210101001</v>
      </c>
      <c r="G952" s="2" t="s">
        <v>36</v>
      </c>
      <c r="L952" s="2" t="s">
        <v>1862</v>
      </c>
      <c r="M952" t="s">
        <v>114</v>
      </c>
      <c r="N952" t="s">
        <v>115</v>
      </c>
      <c r="P952" s="23">
        <v>63.21</v>
      </c>
      <c r="Q952" s="4">
        <f t="shared" si="14"/>
        <v>-70.853345989558619</v>
      </c>
      <c r="R952" s="23" t="s">
        <v>109</v>
      </c>
    </row>
    <row r="953" spans="1:20" x14ac:dyDescent="0.25">
      <c r="A953" s="37">
        <v>45709</v>
      </c>
      <c r="B953" s="1">
        <v>118773588</v>
      </c>
      <c r="C953" t="s">
        <v>1579</v>
      </c>
      <c r="D953" s="22">
        <v>-200000</v>
      </c>
      <c r="E953" t="s">
        <v>35</v>
      </c>
      <c r="F953" s="2">
        <v>210101001</v>
      </c>
      <c r="G953" s="2" t="s">
        <v>36</v>
      </c>
      <c r="L953" s="2" t="s">
        <v>1863</v>
      </c>
      <c r="M953" t="s">
        <v>38</v>
      </c>
      <c r="N953" t="s">
        <v>39</v>
      </c>
      <c r="P953" s="23">
        <v>63.21</v>
      </c>
      <c r="Q953" s="4">
        <f t="shared" si="14"/>
        <v>-3164.0563202024996</v>
      </c>
      <c r="R953" s="23" t="s">
        <v>109</v>
      </c>
    </row>
    <row r="954" spans="1:20" x14ac:dyDescent="0.25">
      <c r="A954" s="37">
        <v>45709</v>
      </c>
      <c r="B954" s="1">
        <v>218773592</v>
      </c>
      <c r="C954" t="s">
        <v>1864</v>
      </c>
      <c r="D954" s="22">
        <v>-950.01</v>
      </c>
      <c r="E954" t="s">
        <v>35</v>
      </c>
      <c r="F954" s="2">
        <v>210101001</v>
      </c>
      <c r="G954" s="2" t="s">
        <v>36</v>
      </c>
      <c r="L954" s="2" t="s">
        <v>1865</v>
      </c>
      <c r="M954" t="s">
        <v>1866</v>
      </c>
      <c r="N954" t="s">
        <v>1867</v>
      </c>
      <c r="P954" s="23">
        <v>63.21</v>
      </c>
      <c r="Q954" s="4">
        <f t="shared" si="14"/>
        <v>-15.029425723777884</v>
      </c>
      <c r="R954" s="23" t="s">
        <v>109</v>
      </c>
    </row>
    <row r="955" spans="1:20" x14ac:dyDescent="0.25">
      <c r="A955" s="37">
        <v>45709</v>
      </c>
      <c r="B955" s="1">
        <v>218773593</v>
      </c>
      <c r="C955" t="s">
        <v>1868</v>
      </c>
      <c r="D955" s="22">
        <v>-4332</v>
      </c>
      <c r="E955" t="s">
        <v>35</v>
      </c>
      <c r="F955" s="2">
        <v>210101001</v>
      </c>
      <c r="G955" s="2" t="s">
        <v>36</v>
      </c>
      <c r="L955" s="2" t="s">
        <v>1869</v>
      </c>
      <c r="M955" t="s">
        <v>714</v>
      </c>
      <c r="N955" t="s">
        <v>715</v>
      </c>
      <c r="P955" s="23">
        <v>63.21</v>
      </c>
      <c r="Q955" s="4">
        <f t="shared" si="14"/>
        <v>-68.533459895586134</v>
      </c>
      <c r="R955" s="23" t="s">
        <v>109</v>
      </c>
    </row>
    <row r="956" spans="1:20" x14ac:dyDescent="0.25">
      <c r="A956" s="37">
        <v>45709</v>
      </c>
      <c r="B956" s="1">
        <v>50269813</v>
      </c>
      <c r="C956" t="s">
        <v>118</v>
      </c>
      <c r="D956" s="22">
        <v>-1872.3</v>
      </c>
      <c r="E956" t="s">
        <v>35</v>
      </c>
      <c r="F956" s="2">
        <v>610148001</v>
      </c>
      <c r="G956" s="2" t="s">
        <v>42</v>
      </c>
      <c r="L956" s="2" t="s">
        <v>1870</v>
      </c>
      <c r="M956" t="s">
        <v>43</v>
      </c>
      <c r="N956" t="s">
        <v>42</v>
      </c>
      <c r="P956" s="23">
        <v>63.21</v>
      </c>
      <c r="Q956" s="4">
        <f t="shared" si="14"/>
        <v>-29.620313241575698</v>
      </c>
      <c r="R956" s="23" t="s">
        <v>109</v>
      </c>
      <c r="T956" s="23" t="s">
        <v>1313</v>
      </c>
    </row>
    <row r="957" spans="1:20" x14ac:dyDescent="0.25">
      <c r="A957" s="37">
        <v>45709</v>
      </c>
      <c r="B957" s="1">
        <v>18776185</v>
      </c>
      <c r="C957" t="s">
        <v>1807</v>
      </c>
      <c r="D957" s="30">
        <v>-1400</v>
      </c>
      <c r="E957" t="s">
        <v>35</v>
      </c>
      <c r="L957" s="2" t="s">
        <v>1871</v>
      </c>
      <c r="M957" t="s">
        <v>1809</v>
      </c>
      <c r="N957" t="s">
        <v>1810</v>
      </c>
      <c r="O957" s="27" t="s">
        <v>59</v>
      </c>
      <c r="P957" s="23">
        <v>63.21</v>
      </c>
      <c r="Q957" s="4">
        <f t="shared" si="14"/>
        <v>-22.148394241417495</v>
      </c>
      <c r="R957" s="23" t="s">
        <v>109</v>
      </c>
      <c r="S957" s="3" t="s">
        <v>1811</v>
      </c>
      <c r="T957" s="23" t="s">
        <v>1872</v>
      </c>
    </row>
    <row r="958" spans="1:20" x14ac:dyDescent="0.25">
      <c r="A958" s="37">
        <v>45709</v>
      </c>
      <c r="B958" s="1">
        <v>18776185</v>
      </c>
      <c r="C958" t="s">
        <v>306</v>
      </c>
      <c r="D958" s="22">
        <v>-4.2</v>
      </c>
      <c r="E958" t="s">
        <v>35</v>
      </c>
      <c r="F958" s="2">
        <v>610148001</v>
      </c>
      <c r="G958" s="2" t="s">
        <v>42</v>
      </c>
      <c r="L958" s="2" t="s">
        <v>1873</v>
      </c>
      <c r="M958" t="s">
        <v>43</v>
      </c>
      <c r="N958" t="s">
        <v>42</v>
      </c>
      <c r="P958" s="23">
        <v>63.21</v>
      </c>
      <c r="Q958" s="4">
        <f t="shared" si="14"/>
        <v>-6.6445182724252497E-2</v>
      </c>
      <c r="R958" s="23" t="s">
        <v>109</v>
      </c>
      <c r="T958" s="23" t="s">
        <v>1313</v>
      </c>
    </row>
    <row r="959" spans="1:20" x14ac:dyDescent="0.25">
      <c r="A959" s="37">
        <v>45709</v>
      </c>
      <c r="B959" s="1">
        <v>140043049</v>
      </c>
      <c r="C959" t="s">
        <v>107</v>
      </c>
      <c r="D959" s="22">
        <v>426000</v>
      </c>
      <c r="E959" t="s">
        <v>46</v>
      </c>
      <c r="F959" s="2">
        <v>210115002</v>
      </c>
      <c r="G959" s="2" t="s">
        <v>47</v>
      </c>
      <c r="L959" s="2" t="s">
        <v>1874</v>
      </c>
      <c r="N959" t="s">
        <v>107</v>
      </c>
      <c r="P959" s="23">
        <v>63.21</v>
      </c>
      <c r="Q959" s="4">
        <f t="shared" si="14"/>
        <v>6739.4399620313243</v>
      </c>
      <c r="R959" s="23" t="s">
        <v>109</v>
      </c>
    </row>
    <row r="960" spans="1:20" x14ac:dyDescent="0.25">
      <c r="A960" s="37">
        <v>45709</v>
      </c>
      <c r="B960" s="1">
        <v>718784082</v>
      </c>
      <c r="C960" t="s">
        <v>1875</v>
      </c>
      <c r="D960" s="22">
        <v>-3792.6</v>
      </c>
      <c r="E960" t="s">
        <v>35</v>
      </c>
      <c r="F960" s="2">
        <v>212901001</v>
      </c>
      <c r="G960" s="2" t="s">
        <v>121</v>
      </c>
      <c r="L960" s="2" t="s">
        <v>1876</v>
      </c>
      <c r="M960" t="s">
        <v>67</v>
      </c>
      <c r="N960" t="s">
        <v>68</v>
      </c>
      <c r="P960" s="23">
        <v>63.21</v>
      </c>
      <c r="Q960" s="4">
        <f t="shared" si="14"/>
        <v>-60</v>
      </c>
      <c r="R960" s="23" t="s">
        <v>109</v>
      </c>
    </row>
    <row r="961" spans="1:18" x14ac:dyDescent="0.25">
      <c r="A961" s="37">
        <v>45709</v>
      </c>
      <c r="B961" s="1">
        <v>718784079</v>
      </c>
      <c r="C961" t="s">
        <v>1877</v>
      </c>
      <c r="D961" s="22">
        <v>-3792.6</v>
      </c>
      <c r="E961" t="s">
        <v>35</v>
      </c>
      <c r="F961" s="2">
        <v>212901001</v>
      </c>
      <c r="G961" s="2" t="s">
        <v>121</v>
      </c>
      <c r="L961" s="2" t="s">
        <v>1878</v>
      </c>
      <c r="M961" t="s">
        <v>67</v>
      </c>
      <c r="N961" t="s">
        <v>68</v>
      </c>
      <c r="P961" s="23">
        <v>63.21</v>
      </c>
      <c r="Q961" s="4">
        <f t="shared" si="14"/>
        <v>-60</v>
      </c>
      <c r="R961" s="23" t="s">
        <v>109</v>
      </c>
    </row>
    <row r="962" spans="1:18" x14ac:dyDescent="0.25">
      <c r="A962" s="37">
        <v>45709</v>
      </c>
      <c r="B962" s="1">
        <v>718784075</v>
      </c>
      <c r="C962" t="s">
        <v>1879</v>
      </c>
      <c r="D962" s="22">
        <v>-3792.6</v>
      </c>
      <c r="E962" t="s">
        <v>35</v>
      </c>
      <c r="F962" s="2">
        <v>212901001</v>
      </c>
      <c r="G962" s="2" t="s">
        <v>121</v>
      </c>
      <c r="L962" s="2" t="s">
        <v>1880</v>
      </c>
      <c r="M962" t="s">
        <v>67</v>
      </c>
      <c r="N962" t="s">
        <v>68</v>
      </c>
      <c r="P962" s="23">
        <v>63.21</v>
      </c>
      <c r="Q962" s="4">
        <f t="shared" si="14"/>
        <v>-60</v>
      </c>
      <c r="R962" s="23" t="s">
        <v>109</v>
      </c>
    </row>
    <row r="963" spans="1:18" x14ac:dyDescent="0.25">
      <c r="A963" s="37">
        <v>45709</v>
      </c>
      <c r="B963" s="1">
        <v>718784081</v>
      </c>
      <c r="C963" t="s">
        <v>1881</v>
      </c>
      <c r="D963" s="22">
        <v>-3792.6</v>
      </c>
      <c r="E963" t="s">
        <v>35</v>
      </c>
      <c r="F963" s="2">
        <v>212901001</v>
      </c>
      <c r="G963" s="2" t="s">
        <v>121</v>
      </c>
      <c r="L963" s="2" t="s">
        <v>1882</v>
      </c>
      <c r="M963" t="s">
        <v>67</v>
      </c>
      <c r="N963" t="s">
        <v>68</v>
      </c>
      <c r="P963" s="23">
        <v>63.21</v>
      </c>
      <c r="Q963" s="4">
        <f t="shared" si="14"/>
        <v>-60</v>
      </c>
      <c r="R963" s="23" t="s">
        <v>109</v>
      </c>
    </row>
    <row r="964" spans="1:18" x14ac:dyDescent="0.25">
      <c r="A964" s="37">
        <v>45709</v>
      </c>
      <c r="B964" s="1">
        <v>718784072</v>
      </c>
      <c r="C964" t="s">
        <v>1883</v>
      </c>
      <c r="D964" s="22">
        <v>-3792.6</v>
      </c>
      <c r="E964" t="s">
        <v>35</v>
      </c>
      <c r="F964" s="2">
        <v>212901001</v>
      </c>
      <c r="G964" s="2" t="s">
        <v>121</v>
      </c>
      <c r="L964" s="2" t="s">
        <v>1884</v>
      </c>
      <c r="M964" t="s">
        <v>67</v>
      </c>
      <c r="N964" t="s">
        <v>68</v>
      </c>
      <c r="P964" s="23">
        <v>63.21</v>
      </c>
      <c r="Q964" s="4">
        <f t="shared" si="14"/>
        <v>-60</v>
      </c>
      <c r="R964" s="23" t="s">
        <v>109</v>
      </c>
    </row>
    <row r="965" spans="1:18" x14ac:dyDescent="0.25">
      <c r="A965" s="37">
        <v>45709</v>
      </c>
      <c r="B965" s="1">
        <v>818784089</v>
      </c>
      <c r="C965" t="s">
        <v>1885</v>
      </c>
      <c r="D965" s="22">
        <v>-3792.6</v>
      </c>
      <c r="E965" t="s">
        <v>35</v>
      </c>
      <c r="F965" s="2">
        <v>212901001</v>
      </c>
      <c r="G965" s="2" t="s">
        <v>121</v>
      </c>
      <c r="L965" s="2" t="s">
        <v>1886</v>
      </c>
      <c r="M965" t="s">
        <v>67</v>
      </c>
      <c r="N965" t="s">
        <v>68</v>
      </c>
      <c r="P965" s="23">
        <v>63.21</v>
      </c>
      <c r="Q965" s="4">
        <f t="shared" si="14"/>
        <v>-60</v>
      </c>
      <c r="R965" s="23" t="s">
        <v>109</v>
      </c>
    </row>
    <row r="966" spans="1:18" x14ac:dyDescent="0.25">
      <c r="A966" s="37">
        <v>45709</v>
      </c>
      <c r="B966" s="1">
        <v>718784071</v>
      </c>
      <c r="C966" t="s">
        <v>1887</v>
      </c>
      <c r="D966" s="22">
        <v>-3792.6</v>
      </c>
      <c r="E966" t="s">
        <v>35</v>
      </c>
      <c r="F966" s="2">
        <v>212901001</v>
      </c>
      <c r="G966" s="2" t="s">
        <v>121</v>
      </c>
      <c r="L966" s="2" t="s">
        <v>1888</v>
      </c>
      <c r="M966" t="s">
        <v>67</v>
      </c>
      <c r="N966" t="s">
        <v>68</v>
      </c>
      <c r="P966" s="23">
        <v>63.21</v>
      </c>
      <c r="Q966" s="4">
        <f t="shared" si="14"/>
        <v>-60</v>
      </c>
      <c r="R966" s="23" t="s">
        <v>109</v>
      </c>
    </row>
    <row r="967" spans="1:18" x14ac:dyDescent="0.25">
      <c r="A967" s="37">
        <v>45709</v>
      </c>
      <c r="B967" s="1">
        <v>718784076</v>
      </c>
      <c r="C967" t="s">
        <v>1889</v>
      </c>
      <c r="D967" s="22">
        <v>-3792.6</v>
      </c>
      <c r="E967" t="s">
        <v>35</v>
      </c>
      <c r="F967" s="2">
        <v>212901001</v>
      </c>
      <c r="G967" s="2" t="s">
        <v>121</v>
      </c>
      <c r="L967" s="2" t="s">
        <v>1890</v>
      </c>
      <c r="M967" t="s">
        <v>67</v>
      </c>
      <c r="N967" t="s">
        <v>68</v>
      </c>
      <c r="P967" s="23">
        <v>63.21</v>
      </c>
      <c r="Q967" s="4">
        <f t="shared" si="14"/>
        <v>-60</v>
      </c>
      <c r="R967" s="23" t="s">
        <v>109</v>
      </c>
    </row>
    <row r="968" spans="1:18" x14ac:dyDescent="0.25">
      <c r="A968" s="37">
        <v>45709</v>
      </c>
      <c r="B968" s="1">
        <v>818784086</v>
      </c>
      <c r="C968" t="s">
        <v>1891</v>
      </c>
      <c r="D968" s="22">
        <v>-3792.6</v>
      </c>
      <c r="E968" t="s">
        <v>35</v>
      </c>
      <c r="F968" s="2">
        <v>212901001</v>
      </c>
      <c r="G968" s="2" t="s">
        <v>121</v>
      </c>
      <c r="L968" s="2" t="s">
        <v>1892</v>
      </c>
      <c r="M968" t="s">
        <v>67</v>
      </c>
      <c r="N968" t="s">
        <v>68</v>
      </c>
      <c r="P968" s="23">
        <v>63.21</v>
      </c>
      <c r="Q968" s="4">
        <f t="shared" si="14"/>
        <v>-60</v>
      </c>
      <c r="R968" s="23" t="s">
        <v>109</v>
      </c>
    </row>
    <row r="969" spans="1:18" x14ac:dyDescent="0.25">
      <c r="A969" s="37">
        <v>45709</v>
      </c>
      <c r="B969" s="1">
        <v>718784074</v>
      </c>
      <c r="C969" t="s">
        <v>1893</v>
      </c>
      <c r="D969" s="22">
        <v>-3792.6</v>
      </c>
      <c r="E969" t="s">
        <v>35</v>
      </c>
      <c r="F969" s="2">
        <v>212901001</v>
      </c>
      <c r="G969" s="2" t="s">
        <v>121</v>
      </c>
      <c r="L969" s="2" t="s">
        <v>1894</v>
      </c>
      <c r="M969" t="s">
        <v>67</v>
      </c>
      <c r="N969" t="s">
        <v>68</v>
      </c>
      <c r="P969" s="23">
        <v>63.21</v>
      </c>
      <c r="Q969" s="4">
        <f t="shared" si="14"/>
        <v>-60</v>
      </c>
      <c r="R969" s="23" t="s">
        <v>109</v>
      </c>
    </row>
    <row r="970" spans="1:18" x14ac:dyDescent="0.25">
      <c r="A970" s="37">
        <v>45709</v>
      </c>
      <c r="B970" s="1">
        <v>918784103</v>
      </c>
      <c r="C970" t="s">
        <v>1895</v>
      </c>
      <c r="D970" s="22">
        <v>-3160.5</v>
      </c>
      <c r="E970" t="s">
        <v>35</v>
      </c>
      <c r="F970" s="2">
        <v>212901001</v>
      </c>
      <c r="G970" s="2" t="s">
        <v>121</v>
      </c>
      <c r="L970" s="2" t="s">
        <v>1896</v>
      </c>
      <c r="M970" t="s">
        <v>67</v>
      </c>
      <c r="N970" t="s">
        <v>68</v>
      </c>
      <c r="P970" s="23">
        <v>63.21</v>
      </c>
      <c r="Q970" s="4">
        <f t="shared" si="14"/>
        <v>-50</v>
      </c>
      <c r="R970" s="23" t="s">
        <v>109</v>
      </c>
    </row>
    <row r="971" spans="1:18" x14ac:dyDescent="0.25">
      <c r="A971" s="37">
        <v>45709</v>
      </c>
      <c r="B971" s="1">
        <v>918784097</v>
      </c>
      <c r="C971" t="s">
        <v>1897</v>
      </c>
      <c r="D971" s="22">
        <v>-5056.8</v>
      </c>
      <c r="E971" t="s">
        <v>35</v>
      </c>
      <c r="F971" s="2">
        <v>212901001</v>
      </c>
      <c r="G971" s="2" t="s">
        <v>121</v>
      </c>
      <c r="L971" s="2" t="s">
        <v>1898</v>
      </c>
      <c r="M971" t="s">
        <v>67</v>
      </c>
      <c r="N971" t="s">
        <v>68</v>
      </c>
      <c r="P971" s="23">
        <v>63.21</v>
      </c>
      <c r="Q971" s="4">
        <f t="shared" ref="Q971:Q1034" si="15">D971/P971</f>
        <v>-80</v>
      </c>
      <c r="R971" s="23" t="s">
        <v>109</v>
      </c>
    </row>
    <row r="972" spans="1:18" x14ac:dyDescent="0.25">
      <c r="A972" s="37">
        <v>45709</v>
      </c>
      <c r="B972" s="1">
        <v>818784093</v>
      </c>
      <c r="C972" t="s">
        <v>1899</v>
      </c>
      <c r="D972" s="22">
        <v>-5056.8</v>
      </c>
      <c r="E972" t="s">
        <v>35</v>
      </c>
      <c r="F972" s="2">
        <v>212901001</v>
      </c>
      <c r="G972" s="2" t="s">
        <v>121</v>
      </c>
      <c r="L972" s="2" t="s">
        <v>1900</v>
      </c>
      <c r="M972" t="s">
        <v>67</v>
      </c>
      <c r="N972" t="s">
        <v>68</v>
      </c>
      <c r="P972" s="23">
        <v>63.21</v>
      </c>
      <c r="Q972" s="4">
        <f t="shared" si="15"/>
        <v>-80</v>
      </c>
      <c r="R972" s="23" t="s">
        <v>109</v>
      </c>
    </row>
    <row r="973" spans="1:18" x14ac:dyDescent="0.25">
      <c r="A973" s="37">
        <v>45709</v>
      </c>
      <c r="B973" s="1">
        <v>818784091</v>
      </c>
      <c r="C973" t="s">
        <v>1901</v>
      </c>
      <c r="D973" s="22">
        <v>-9481.5</v>
      </c>
      <c r="E973" t="s">
        <v>35</v>
      </c>
      <c r="F973" s="2">
        <v>212901001</v>
      </c>
      <c r="G973" s="2" t="s">
        <v>121</v>
      </c>
      <c r="L973" s="2" t="s">
        <v>1902</v>
      </c>
      <c r="M973" t="s">
        <v>67</v>
      </c>
      <c r="N973" t="s">
        <v>68</v>
      </c>
      <c r="P973" s="23">
        <v>63.21</v>
      </c>
      <c r="Q973" s="4">
        <f t="shared" si="15"/>
        <v>-150</v>
      </c>
      <c r="R973" s="23" t="s">
        <v>109</v>
      </c>
    </row>
    <row r="974" spans="1:18" x14ac:dyDescent="0.25">
      <c r="A974" s="37">
        <v>45709</v>
      </c>
      <c r="B974" s="1">
        <v>218784133</v>
      </c>
      <c r="C974" t="s">
        <v>1903</v>
      </c>
      <c r="D974" s="22">
        <v>-3160.5</v>
      </c>
      <c r="E974" t="s">
        <v>35</v>
      </c>
      <c r="F974" s="2">
        <v>212901001</v>
      </c>
      <c r="G974" s="2" t="s">
        <v>121</v>
      </c>
      <c r="L974" s="2" t="s">
        <v>1904</v>
      </c>
      <c r="M974" t="s">
        <v>67</v>
      </c>
      <c r="N974" t="s">
        <v>68</v>
      </c>
      <c r="P974" s="23">
        <v>63.21</v>
      </c>
      <c r="Q974" s="4">
        <f t="shared" si="15"/>
        <v>-50</v>
      </c>
      <c r="R974" s="23" t="s">
        <v>109</v>
      </c>
    </row>
    <row r="975" spans="1:18" x14ac:dyDescent="0.25">
      <c r="A975" s="37">
        <v>45709</v>
      </c>
      <c r="B975" s="1">
        <v>918784100</v>
      </c>
      <c r="C975" t="s">
        <v>1905</v>
      </c>
      <c r="D975" s="22">
        <v>-3160.5</v>
      </c>
      <c r="E975" t="s">
        <v>35</v>
      </c>
      <c r="F975" s="2">
        <v>212901001</v>
      </c>
      <c r="G975" s="2" t="s">
        <v>121</v>
      </c>
      <c r="L975" s="2" t="s">
        <v>1906</v>
      </c>
      <c r="M975" t="s">
        <v>67</v>
      </c>
      <c r="N975" t="s">
        <v>68</v>
      </c>
      <c r="P975" s="23">
        <v>63.21</v>
      </c>
      <c r="Q975" s="4">
        <f t="shared" si="15"/>
        <v>-50</v>
      </c>
      <c r="R975" s="23" t="s">
        <v>109</v>
      </c>
    </row>
    <row r="976" spans="1:18" x14ac:dyDescent="0.25">
      <c r="A976" s="37">
        <v>45709</v>
      </c>
      <c r="B976" s="1">
        <v>218784134</v>
      </c>
      <c r="C976" t="s">
        <v>1907</v>
      </c>
      <c r="D976" s="22">
        <v>-3666.18</v>
      </c>
      <c r="E976" t="s">
        <v>35</v>
      </c>
      <c r="F976" s="2">
        <v>212901001</v>
      </c>
      <c r="G976" s="2" t="s">
        <v>121</v>
      </c>
      <c r="L976" s="2" t="s">
        <v>1908</v>
      </c>
      <c r="M976" t="s">
        <v>67</v>
      </c>
      <c r="N976" t="s">
        <v>68</v>
      </c>
      <c r="P976" s="23">
        <v>63.21</v>
      </c>
      <c r="Q976" s="4">
        <f t="shared" si="15"/>
        <v>-58</v>
      </c>
      <c r="R976" s="23" t="s">
        <v>109</v>
      </c>
    </row>
    <row r="977" spans="1:18" x14ac:dyDescent="0.25">
      <c r="A977" s="37">
        <v>45709</v>
      </c>
      <c r="B977" s="1">
        <v>18784106</v>
      </c>
      <c r="C977" t="s">
        <v>1909</v>
      </c>
      <c r="D977" s="22">
        <v>-2528.4</v>
      </c>
      <c r="E977" t="s">
        <v>35</v>
      </c>
      <c r="F977" s="2">
        <v>212901001</v>
      </c>
      <c r="G977" s="2" t="s">
        <v>121</v>
      </c>
      <c r="L977" s="2" t="s">
        <v>1910</v>
      </c>
      <c r="M977" t="s">
        <v>67</v>
      </c>
      <c r="N977" t="s">
        <v>68</v>
      </c>
      <c r="P977" s="23">
        <v>63.21</v>
      </c>
      <c r="Q977" s="4">
        <f t="shared" si="15"/>
        <v>-40</v>
      </c>
      <c r="R977" s="23" t="s">
        <v>109</v>
      </c>
    </row>
    <row r="978" spans="1:18" x14ac:dyDescent="0.25">
      <c r="A978" s="37">
        <v>45709</v>
      </c>
      <c r="B978" s="1">
        <v>18784116</v>
      </c>
      <c r="C978" t="s">
        <v>1911</v>
      </c>
      <c r="D978" s="22">
        <v>-9481.5</v>
      </c>
      <c r="E978" t="s">
        <v>35</v>
      </c>
      <c r="F978" s="2">
        <v>212901001</v>
      </c>
      <c r="G978" s="2" t="s">
        <v>121</v>
      </c>
      <c r="L978" s="2" t="s">
        <v>1912</v>
      </c>
      <c r="M978" t="s">
        <v>67</v>
      </c>
      <c r="N978" t="s">
        <v>68</v>
      </c>
      <c r="P978" s="23">
        <v>63.21</v>
      </c>
      <c r="Q978" s="4">
        <f t="shared" si="15"/>
        <v>-150</v>
      </c>
      <c r="R978" s="23" t="s">
        <v>109</v>
      </c>
    </row>
    <row r="979" spans="1:18" x14ac:dyDescent="0.25">
      <c r="A979" s="37">
        <v>45709</v>
      </c>
      <c r="B979" s="1">
        <v>818784085</v>
      </c>
      <c r="C979" t="s">
        <v>1913</v>
      </c>
      <c r="D979" s="22">
        <v>-3792.6</v>
      </c>
      <c r="E979" t="s">
        <v>35</v>
      </c>
      <c r="F979" s="2">
        <v>212901001</v>
      </c>
      <c r="G979" s="2" t="s">
        <v>121</v>
      </c>
      <c r="L979" s="2" t="s">
        <v>1914</v>
      </c>
      <c r="M979" t="s">
        <v>67</v>
      </c>
      <c r="N979" t="s">
        <v>68</v>
      </c>
      <c r="P979" s="23">
        <v>63.21</v>
      </c>
      <c r="Q979" s="4">
        <f t="shared" si="15"/>
        <v>-60</v>
      </c>
      <c r="R979" s="23" t="s">
        <v>109</v>
      </c>
    </row>
    <row r="980" spans="1:18" x14ac:dyDescent="0.25">
      <c r="A980" s="37">
        <v>45709</v>
      </c>
      <c r="B980" s="1">
        <v>118784119</v>
      </c>
      <c r="C980" t="s">
        <v>1915</v>
      </c>
      <c r="D980" s="22">
        <v>-5056.8</v>
      </c>
      <c r="E980" t="s">
        <v>35</v>
      </c>
      <c r="F980" s="2">
        <v>212901001</v>
      </c>
      <c r="G980" s="2" t="s">
        <v>121</v>
      </c>
      <c r="L980" s="2" t="s">
        <v>1916</v>
      </c>
      <c r="M980" t="s">
        <v>67</v>
      </c>
      <c r="N980" t="s">
        <v>68</v>
      </c>
      <c r="P980" s="23">
        <v>63.21</v>
      </c>
      <c r="Q980" s="4">
        <f t="shared" si="15"/>
        <v>-80</v>
      </c>
      <c r="R980" s="23" t="s">
        <v>109</v>
      </c>
    </row>
    <row r="981" spans="1:18" x14ac:dyDescent="0.25">
      <c r="A981" s="37">
        <v>45709</v>
      </c>
      <c r="B981" s="1">
        <v>918784096</v>
      </c>
      <c r="C981" t="s">
        <v>1917</v>
      </c>
      <c r="D981" s="22">
        <v>-5056.8</v>
      </c>
      <c r="E981" t="s">
        <v>35</v>
      </c>
      <c r="F981" s="2">
        <v>212901001</v>
      </c>
      <c r="G981" s="2" t="s">
        <v>121</v>
      </c>
      <c r="L981" s="2" t="s">
        <v>1918</v>
      </c>
      <c r="M981" t="s">
        <v>67</v>
      </c>
      <c r="N981" t="s">
        <v>68</v>
      </c>
      <c r="P981" s="23">
        <v>63.21</v>
      </c>
      <c r="Q981" s="4">
        <f t="shared" si="15"/>
        <v>-80</v>
      </c>
      <c r="R981" s="23" t="s">
        <v>109</v>
      </c>
    </row>
    <row r="982" spans="1:18" x14ac:dyDescent="0.25">
      <c r="A982" s="37">
        <v>45709</v>
      </c>
      <c r="B982" s="1">
        <v>718784080</v>
      </c>
      <c r="C982" t="s">
        <v>1919</v>
      </c>
      <c r="D982" s="22">
        <v>-3792.6</v>
      </c>
      <c r="E982" t="s">
        <v>35</v>
      </c>
      <c r="F982" s="2">
        <v>212901001</v>
      </c>
      <c r="G982" s="2" t="s">
        <v>121</v>
      </c>
      <c r="L982" s="2" t="s">
        <v>1920</v>
      </c>
      <c r="M982" t="s">
        <v>67</v>
      </c>
      <c r="N982" t="s">
        <v>68</v>
      </c>
      <c r="P982" s="23">
        <v>63.21</v>
      </c>
      <c r="Q982" s="4">
        <f t="shared" si="15"/>
        <v>-60</v>
      </c>
      <c r="R982" s="23" t="s">
        <v>109</v>
      </c>
    </row>
    <row r="983" spans="1:18" x14ac:dyDescent="0.25">
      <c r="A983" s="37">
        <v>45709</v>
      </c>
      <c r="B983" s="1">
        <v>18784110</v>
      </c>
      <c r="C983" t="s">
        <v>1921</v>
      </c>
      <c r="D983" s="22">
        <v>-2528.4</v>
      </c>
      <c r="E983" t="s">
        <v>35</v>
      </c>
      <c r="F983" s="2">
        <v>212901001</v>
      </c>
      <c r="G983" s="2" t="s">
        <v>121</v>
      </c>
      <c r="L983" s="2" t="s">
        <v>1922</v>
      </c>
      <c r="M983" t="s">
        <v>67</v>
      </c>
      <c r="N983" t="s">
        <v>68</v>
      </c>
      <c r="P983" s="23">
        <v>63.21</v>
      </c>
      <c r="Q983" s="4">
        <f t="shared" si="15"/>
        <v>-40</v>
      </c>
      <c r="R983" s="23" t="s">
        <v>109</v>
      </c>
    </row>
    <row r="984" spans="1:18" x14ac:dyDescent="0.25">
      <c r="A984" s="37">
        <v>45709</v>
      </c>
      <c r="B984" s="1">
        <v>118784117</v>
      </c>
      <c r="C984" t="s">
        <v>1923</v>
      </c>
      <c r="D984" s="22">
        <v>-1896.3</v>
      </c>
      <c r="E984" t="s">
        <v>35</v>
      </c>
      <c r="F984" s="2">
        <v>212901001</v>
      </c>
      <c r="G984" s="2" t="s">
        <v>121</v>
      </c>
      <c r="L984" s="2" t="s">
        <v>1924</v>
      </c>
      <c r="M984" t="s">
        <v>67</v>
      </c>
      <c r="N984" t="s">
        <v>68</v>
      </c>
      <c r="P984" s="23">
        <v>63.21</v>
      </c>
      <c r="Q984" s="4">
        <f t="shared" si="15"/>
        <v>-30</v>
      </c>
      <c r="R984" s="23" t="s">
        <v>109</v>
      </c>
    </row>
    <row r="985" spans="1:18" x14ac:dyDescent="0.25">
      <c r="A985" s="37">
        <v>45709</v>
      </c>
      <c r="B985" s="1">
        <v>118784118</v>
      </c>
      <c r="C985" t="s">
        <v>1925</v>
      </c>
      <c r="D985" s="22">
        <v>-6953.1</v>
      </c>
      <c r="E985" t="s">
        <v>35</v>
      </c>
      <c r="F985" s="2">
        <v>212901001</v>
      </c>
      <c r="G985" s="2" t="s">
        <v>121</v>
      </c>
      <c r="L985" s="2" t="s">
        <v>1926</v>
      </c>
      <c r="M985" t="s">
        <v>67</v>
      </c>
      <c r="N985" t="s">
        <v>68</v>
      </c>
      <c r="P985" s="23">
        <v>63.21</v>
      </c>
      <c r="Q985" s="4">
        <f t="shared" si="15"/>
        <v>-110</v>
      </c>
      <c r="R985" s="23" t="s">
        <v>109</v>
      </c>
    </row>
    <row r="986" spans="1:18" x14ac:dyDescent="0.25">
      <c r="A986" s="37">
        <v>45709</v>
      </c>
      <c r="B986" s="1">
        <v>318784138</v>
      </c>
      <c r="C986" t="s">
        <v>1927</v>
      </c>
      <c r="D986" s="22">
        <v>-2654.82</v>
      </c>
      <c r="E986" t="s">
        <v>35</v>
      </c>
      <c r="F986" s="2">
        <v>212901001</v>
      </c>
      <c r="G986" s="2" t="s">
        <v>121</v>
      </c>
      <c r="L986" s="2" t="s">
        <v>1928</v>
      </c>
      <c r="M986" t="s">
        <v>67</v>
      </c>
      <c r="N986" t="s">
        <v>68</v>
      </c>
      <c r="P986" s="23">
        <v>63.21</v>
      </c>
      <c r="Q986" s="4">
        <f t="shared" si="15"/>
        <v>-42</v>
      </c>
      <c r="R986" s="23" t="s">
        <v>109</v>
      </c>
    </row>
    <row r="987" spans="1:18" x14ac:dyDescent="0.25">
      <c r="A987" s="37">
        <v>45709</v>
      </c>
      <c r="B987" s="1">
        <v>218784129</v>
      </c>
      <c r="C987" t="s">
        <v>1929</v>
      </c>
      <c r="D987" s="22">
        <v>-3160.5</v>
      </c>
      <c r="E987" t="s">
        <v>35</v>
      </c>
      <c r="F987" s="2">
        <v>212901001</v>
      </c>
      <c r="G987" s="2" t="s">
        <v>121</v>
      </c>
      <c r="L987" s="2" t="s">
        <v>1930</v>
      </c>
      <c r="M987" t="s">
        <v>67</v>
      </c>
      <c r="N987" t="s">
        <v>68</v>
      </c>
      <c r="P987" s="23">
        <v>63.21</v>
      </c>
      <c r="Q987" s="4">
        <f t="shared" si="15"/>
        <v>-50</v>
      </c>
      <c r="R987" s="23" t="s">
        <v>109</v>
      </c>
    </row>
    <row r="988" spans="1:18" x14ac:dyDescent="0.25">
      <c r="A988" s="37">
        <v>45709</v>
      </c>
      <c r="B988" s="1">
        <v>318784137</v>
      </c>
      <c r="C988" t="s">
        <v>1931</v>
      </c>
      <c r="D988" s="22">
        <v>-3160.5</v>
      </c>
      <c r="E988" t="s">
        <v>35</v>
      </c>
      <c r="F988" s="2">
        <v>212901001</v>
      </c>
      <c r="G988" s="2" t="s">
        <v>121</v>
      </c>
      <c r="L988" s="2" t="s">
        <v>1932</v>
      </c>
      <c r="M988" t="s">
        <v>67</v>
      </c>
      <c r="N988" t="s">
        <v>68</v>
      </c>
      <c r="P988" s="23">
        <v>63.21</v>
      </c>
      <c r="Q988" s="4">
        <f t="shared" si="15"/>
        <v>-50</v>
      </c>
      <c r="R988" s="23" t="s">
        <v>109</v>
      </c>
    </row>
    <row r="989" spans="1:18" x14ac:dyDescent="0.25">
      <c r="A989" s="37">
        <v>45709</v>
      </c>
      <c r="B989" s="1">
        <v>918784101</v>
      </c>
      <c r="C989" t="s">
        <v>1933</v>
      </c>
      <c r="D989" s="22">
        <v>-3160.5</v>
      </c>
      <c r="E989" t="s">
        <v>35</v>
      </c>
      <c r="F989" s="2">
        <v>212901001</v>
      </c>
      <c r="G989" s="2" t="s">
        <v>121</v>
      </c>
      <c r="L989" s="2" t="s">
        <v>1934</v>
      </c>
      <c r="M989" t="s">
        <v>67</v>
      </c>
      <c r="N989" t="s">
        <v>68</v>
      </c>
      <c r="P989" s="23">
        <v>63.21</v>
      </c>
      <c r="Q989" s="4">
        <f t="shared" si="15"/>
        <v>-50</v>
      </c>
      <c r="R989" s="23" t="s">
        <v>109</v>
      </c>
    </row>
    <row r="990" spans="1:18" x14ac:dyDescent="0.25">
      <c r="A990" s="37">
        <v>45709</v>
      </c>
      <c r="B990" s="1">
        <v>918784104</v>
      </c>
      <c r="C990" t="s">
        <v>1935</v>
      </c>
      <c r="D990" s="22">
        <v>-3160.5</v>
      </c>
      <c r="E990" t="s">
        <v>35</v>
      </c>
      <c r="F990" s="2">
        <v>212901001</v>
      </c>
      <c r="G990" s="2" t="s">
        <v>121</v>
      </c>
      <c r="L990" s="2" t="s">
        <v>1936</v>
      </c>
      <c r="M990" t="s">
        <v>67</v>
      </c>
      <c r="N990" t="s">
        <v>68</v>
      </c>
      <c r="P990" s="23">
        <v>63.21</v>
      </c>
      <c r="Q990" s="4">
        <f t="shared" si="15"/>
        <v>-50</v>
      </c>
      <c r="R990" s="23" t="s">
        <v>109</v>
      </c>
    </row>
    <row r="991" spans="1:18" x14ac:dyDescent="0.25">
      <c r="A991" s="37">
        <v>45709</v>
      </c>
      <c r="B991" s="1">
        <v>118784120</v>
      </c>
      <c r="C991" t="s">
        <v>1937</v>
      </c>
      <c r="D991" s="22">
        <v>-6321</v>
      </c>
      <c r="E991" t="s">
        <v>35</v>
      </c>
      <c r="F991" s="2">
        <v>212901001</v>
      </c>
      <c r="G991" s="2" t="s">
        <v>121</v>
      </c>
      <c r="L991" s="2" t="s">
        <v>1938</v>
      </c>
      <c r="M991" t="s">
        <v>67</v>
      </c>
      <c r="N991" t="s">
        <v>68</v>
      </c>
      <c r="P991" s="23">
        <v>63.21</v>
      </c>
      <c r="Q991" s="4">
        <f t="shared" si="15"/>
        <v>-100</v>
      </c>
      <c r="R991" s="23" t="s">
        <v>109</v>
      </c>
    </row>
    <row r="992" spans="1:18" x14ac:dyDescent="0.25">
      <c r="A992" s="37">
        <v>45709</v>
      </c>
      <c r="B992" s="1">
        <v>218784131</v>
      </c>
      <c r="C992" t="s">
        <v>1939</v>
      </c>
      <c r="D992" s="22">
        <v>-3160.5</v>
      </c>
      <c r="E992" t="s">
        <v>35</v>
      </c>
      <c r="F992" s="2">
        <v>212901001</v>
      </c>
      <c r="G992" s="2" t="s">
        <v>121</v>
      </c>
      <c r="L992" s="2" t="s">
        <v>1940</v>
      </c>
      <c r="M992" t="s">
        <v>67</v>
      </c>
      <c r="N992" t="s">
        <v>68</v>
      </c>
      <c r="P992" s="23">
        <v>63.21</v>
      </c>
      <c r="Q992" s="4">
        <f t="shared" si="15"/>
        <v>-50</v>
      </c>
      <c r="R992" s="23" t="s">
        <v>109</v>
      </c>
    </row>
    <row r="993" spans="1:18" x14ac:dyDescent="0.25">
      <c r="A993" s="37">
        <v>45709</v>
      </c>
      <c r="B993" s="1">
        <v>18784112</v>
      </c>
      <c r="C993" t="s">
        <v>1941</v>
      </c>
      <c r="D993" s="22">
        <v>-2528.4</v>
      </c>
      <c r="E993" t="s">
        <v>35</v>
      </c>
      <c r="F993" s="2">
        <v>212901001</v>
      </c>
      <c r="G993" s="2" t="s">
        <v>121</v>
      </c>
      <c r="L993" s="2" t="s">
        <v>1942</v>
      </c>
      <c r="M993" t="s">
        <v>67</v>
      </c>
      <c r="N993" t="s">
        <v>68</v>
      </c>
      <c r="P993" s="23">
        <v>63.21</v>
      </c>
      <c r="Q993" s="4">
        <f t="shared" si="15"/>
        <v>-40</v>
      </c>
      <c r="R993" s="23" t="s">
        <v>109</v>
      </c>
    </row>
    <row r="994" spans="1:18" x14ac:dyDescent="0.25">
      <c r="A994" s="37">
        <v>45709</v>
      </c>
      <c r="B994" s="1">
        <v>218784127</v>
      </c>
      <c r="C994" t="s">
        <v>1943</v>
      </c>
      <c r="D994" s="22">
        <v>-3160.5</v>
      </c>
      <c r="E994" t="s">
        <v>35</v>
      </c>
      <c r="F994" s="2">
        <v>212901001</v>
      </c>
      <c r="G994" s="2" t="s">
        <v>121</v>
      </c>
      <c r="L994" s="2" t="s">
        <v>1944</v>
      </c>
      <c r="M994" t="s">
        <v>67</v>
      </c>
      <c r="N994" t="s">
        <v>68</v>
      </c>
      <c r="P994" s="23">
        <v>63.21</v>
      </c>
      <c r="Q994" s="4">
        <f t="shared" si="15"/>
        <v>-50</v>
      </c>
      <c r="R994" s="23" t="s">
        <v>109</v>
      </c>
    </row>
    <row r="995" spans="1:18" x14ac:dyDescent="0.25">
      <c r="A995" s="37">
        <v>45709</v>
      </c>
      <c r="B995" s="1">
        <v>218784132</v>
      </c>
      <c r="C995" t="s">
        <v>1945</v>
      </c>
      <c r="D995" s="22">
        <v>-3160.5</v>
      </c>
      <c r="E995" t="s">
        <v>35</v>
      </c>
      <c r="F995" s="2">
        <v>212901001</v>
      </c>
      <c r="G995" s="2" t="s">
        <v>121</v>
      </c>
      <c r="L995" s="2" t="s">
        <v>1946</v>
      </c>
      <c r="M995" t="s">
        <v>67</v>
      </c>
      <c r="N995" t="s">
        <v>68</v>
      </c>
      <c r="P995" s="23">
        <v>63.21</v>
      </c>
      <c r="Q995" s="4">
        <f t="shared" si="15"/>
        <v>-50</v>
      </c>
      <c r="R995" s="23" t="s">
        <v>109</v>
      </c>
    </row>
    <row r="996" spans="1:18" x14ac:dyDescent="0.25">
      <c r="A996" s="37">
        <v>45709</v>
      </c>
      <c r="B996" s="1">
        <v>18784115</v>
      </c>
      <c r="C996" t="s">
        <v>1947</v>
      </c>
      <c r="D996" s="22">
        <v>-6321</v>
      </c>
      <c r="E996" t="s">
        <v>35</v>
      </c>
      <c r="F996" s="2">
        <v>212901001</v>
      </c>
      <c r="G996" s="2" t="s">
        <v>121</v>
      </c>
      <c r="L996" s="2" t="s">
        <v>1948</v>
      </c>
      <c r="M996" t="s">
        <v>67</v>
      </c>
      <c r="N996" t="s">
        <v>68</v>
      </c>
      <c r="P996" s="23">
        <v>63.21</v>
      </c>
      <c r="Q996" s="4">
        <f t="shared" si="15"/>
        <v>-100</v>
      </c>
      <c r="R996" s="23" t="s">
        <v>109</v>
      </c>
    </row>
    <row r="997" spans="1:18" x14ac:dyDescent="0.25">
      <c r="A997" s="37">
        <v>45709</v>
      </c>
      <c r="B997" s="1">
        <v>918784099</v>
      </c>
      <c r="C997" t="s">
        <v>1949</v>
      </c>
      <c r="D997" s="22">
        <v>-2654.82</v>
      </c>
      <c r="E997" t="s">
        <v>35</v>
      </c>
      <c r="F997" s="2">
        <v>212901001</v>
      </c>
      <c r="G997" s="2" t="s">
        <v>121</v>
      </c>
      <c r="L997" s="2" t="s">
        <v>1950</v>
      </c>
      <c r="M997" t="s">
        <v>67</v>
      </c>
      <c r="N997" t="s">
        <v>68</v>
      </c>
      <c r="P997" s="23">
        <v>63.21</v>
      </c>
      <c r="Q997" s="4">
        <f t="shared" si="15"/>
        <v>-42</v>
      </c>
      <c r="R997" s="23" t="s">
        <v>109</v>
      </c>
    </row>
    <row r="998" spans="1:18" x14ac:dyDescent="0.25">
      <c r="A998" s="37">
        <v>45709</v>
      </c>
      <c r="B998" s="1">
        <v>218784128</v>
      </c>
      <c r="C998" t="s">
        <v>1933</v>
      </c>
      <c r="D998" s="22">
        <v>-3160.5</v>
      </c>
      <c r="E998" t="s">
        <v>35</v>
      </c>
      <c r="F998" s="2">
        <v>212901001</v>
      </c>
      <c r="G998" s="2" t="s">
        <v>121</v>
      </c>
      <c r="L998" s="2" t="s">
        <v>1951</v>
      </c>
      <c r="M998" t="s">
        <v>67</v>
      </c>
      <c r="N998" t="s">
        <v>68</v>
      </c>
      <c r="P998" s="23">
        <v>63.21</v>
      </c>
      <c r="Q998" s="4">
        <f t="shared" si="15"/>
        <v>-50</v>
      </c>
      <c r="R998" s="23" t="s">
        <v>109</v>
      </c>
    </row>
    <row r="999" spans="1:18" x14ac:dyDescent="0.25">
      <c r="A999" s="37">
        <v>45709</v>
      </c>
      <c r="B999" s="1">
        <v>18784114</v>
      </c>
      <c r="C999" t="s">
        <v>1952</v>
      </c>
      <c r="D999" s="22">
        <v>-6321</v>
      </c>
      <c r="E999" t="s">
        <v>35</v>
      </c>
      <c r="F999" s="2">
        <v>212901001</v>
      </c>
      <c r="G999" s="2" t="s">
        <v>121</v>
      </c>
      <c r="L999" s="2" t="s">
        <v>1953</v>
      </c>
      <c r="M999" t="s">
        <v>67</v>
      </c>
      <c r="N999" t="s">
        <v>68</v>
      </c>
      <c r="P999" s="23">
        <v>63.21</v>
      </c>
      <c r="Q999" s="4">
        <f t="shared" si="15"/>
        <v>-100</v>
      </c>
      <c r="R999" s="23" t="s">
        <v>109</v>
      </c>
    </row>
    <row r="1000" spans="1:18" x14ac:dyDescent="0.25">
      <c r="A1000" s="37">
        <v>45709</v>
      </c>
      <c r="B1000" s="1">
        <v>318784141</v>
      </c>
      <c r="C1000" t="s">
        <v>1954</v>
      </c>
      <c r="D1000" s="22">
        <v>-1264.2</v>
      </c>
      <c r="E1000" t="s">
        <v>35</v>
      </c>
      <c r="F1000" s="2">
        <v>212901001</v>
      </c>
      <c r="G1000" s="2" t="s">
        <v>121</v>
      </c>
      <c r="L1000" s="2" t="s">
        <v>1955</v>
      </c>
      <c r="M1000" t="s">
        <v>67</v>
      </c>
      <c r="N1000" t="s">
        <v>68</v>
      </c>
      <c r="P1000" s="23">
        <v>63.21</v>
      </c>
      <c r="Q1000" s="4">
        <f t="shared" si="15"/>
        <v>-20</v>
      </c>
      <c r="R1000" s="23" t="s">
        <v>109</v>
      </c>
    </row>
    <row r="1001" spans="1:18" x14ac:dyDescent="0.25">
      <c r="A1001" s="37">
        <v>45709</v>
      </c>
      <c r="B1001" s="1">
        <v>918784095</v>
      </c>
      <c r="C1001" t="s">
        <v>1956</v>
      </c>
      <c r="D1001" s="22">
        <v>-5056.8</v>
      </c>
      <c r="E1001" t="s">
        <v>35</v>
      </c>
      <c r="F1001" s="2">
        <v>212901001</v>
      </c>
      <c r="G1001" s="2" t="s">
        <v>121</v>
      </c>
      <c r="L1001" s="2" t="s">
        <v>1957</v>
      </c>
      <c r="M1001" t="s">
        <v>67</v>
      </c>
      <c r="N1001" t="s">
        <v>68</v>
      </c>
      <c r="P1001" s="23">
        <v>63.21</v>
      </c>
      <c r="Q1001" s="4">
        <f t="shared" si="15"/>
        <v>-80</v>
      </c>
      <c r="R1001" s="23" t="s">
        <v>109</v>
      </c>
    </row>
    <row r="1002" spans="1:18" x14ac:dyDescent="0.25">
      <c r="A1002" s="37">
        <v>45709</v>
      </c>
      <c r="B1002" s="1">
        <v>218784135</v>
      </c>
      <c r="C1002" t="s">
        <v>1958</v>
      </c>
      <c r="D1002" s="22">
        <v>-3160.5</v>
      </c>
      <c r="E1002" t="s">
        <v>35</v>
      </c>
      <c r="F1002" s="2">
        <v>212901001</v>
      </c>
      <c r="G1002" s="2" t="s">
        <v>121</v>
      </c>
      <c r="L1002" s="2" t="s">
        <v>1959</v>
      </c>
      <c r="M1002" t="s">
        <v>67</v>
      </c>
      <c r="N1002" t="s">
        <v>68</v>
      </c>
      <c r="P1002" s="23">
        <v>63.21</v>
      </c>
      <c r="Q1002" s="4">
        <f t="shared" si="15"/>
        <v>-50</v>
      </c>
      <c r="R1002" s="23" t="s">
        <v>109</v>
      </c>
    </row>
    <row r="1003" spans="1:18" x14ac:dyDescent="0.25">
      <c r="A1003" s="37">
        <v>45709</v>
      </c>
      <c r="B1003" s="1">
        <v>318784146</v>
      </c>
      <c r="C1003" t="s">
        <v>1960</v>
      </c>
      <c r="D1003" s="22">
        <v>-12642</v>
      </c>
      <c r="E1003" t="s">
        <v>35</v>
      </c>
      <c r="F1003" s="2">
        <v>212901001</v>
      </c>
      <c r="G1003" s="2" t="s">
        <v>121</v>
      </c>
      <c r="L1003" s="2" t="s">
        <v>1961</v>
      </c>
      <c r="M1003" t="s">
        <v>67</v>
      </c>
      <c r="N1003" t="s">
        <v>68</v>
      </c>
      <c r="P1003" s="23">
        <v>63.21</v>
      </c>
      <c r="Q1003" s="4">
        <f t="shared" si="15"/>
        <v>-200</v>
      </c>
      <c r="R1003" s="23" t="s">
        <v>109</v>
      </c>
    </row>
    <row r="1004" spans="1:18" x14ac:dyDescent="0.25">
      <c r="A1004" s="37">
        <v>45709</v>
      </c>
      <c r="B1004" s="1">
        <v>318784142</v>
      </c>
      <c r="C1004" t="s">
        <v>1962</v>
      </c>
      <c r="D1004" s="22">
        <v>-1264.2</v>
      </c>
      <c r="E1004" t="s">
        <v>35</v>
      </c>
      <c r="F1004" s="2">
        <v>212901001</v>
      </c>
      <c r="G1004" s="2" t="s">
        <v>121</v>
      </c>
      <c r="L1004" s="2" t="s">
        <v>1963</v>
      </c>
      <c r="M1004" t="s">
        <v>67</v>
      </c>
      <c r="N1004" t="s">
        <v>68</v>
      </c>
      <c r="P1004" s="23">
        <v>63.21</v>
      </c>
      <c r="Q1004" s="4">
        <f t="shared" si="15"/>
        <v>-20</v>
      </c>
      <c r="R1004" s="23" t="s">
        <v>109</v>
      </c>
    </row>
    <row r="1005" spans="1:18" x14ac:dyDescent="0.25">
      <c r="A1005" s="37">
        <v>45709</v>
      </c>
      <c r="B1005" s="1">
        <v>118784122</v>
      </c>
      <c r="C1005" t="s">
        <v>1964</v>
      </c>
      <c r="D1005" s="22">
        <v>-4424.7</v>
      </c>
      <c r="E1005" t="s">
        <v>35</v>
      </c>
      <c r="F1005" s="2">
        <v>212901001</v>
      </c>
      <c r="G1005" s="2" t="s">
        <v>121</v>
      </c>
      <c r="L1005" s="2" t="s">
        <v>1965</v>
      </c>
      <c r="M1005" t="s">
        <v>67</v>
      </c>
      <c r="N1005" t="s">
        <v>68</v>
      </c>
      <c r="P1005" s="23">
        <v>63.21</v>
      </c>
      <c r="Q1005" s="4">
        <f t="shared" si="15"/>
        <v>-70</v>
      </c>
      <c r="R1005" s="23" t="s">
        <v>109</v>
      </c>
    </row>
    <row r="1006" spans="1:18" x14ac:dyDescent="0.25">
      <c r="A1006" s="37">
        <v>45709</v>
      </c>
      <c r="B1006" s="1">
        <v>818784084</v>
      </c>
      <c r="C1006" t="s">
        <v>1966</v>
      </c>
      <c r="D1006" s="22">
        <v>-3792.6</v>
      </c>
      <c r="E1006" t="s">
        <v>35</v>
      </c>
      <c r="F1006" s="2">
        <v>212901001</v>
      </c>
      <c r="G1006" s="2" t="s">
        <v>121</v>
      </c>
      <c r="L1006" s="2" t="s">
        <v>1967</v>
      </c>
      <c r="M1006" t="s">
        <v>67</v>
      </c>
      <c r="N1006" t="s">
        <v>68</v>
      </c>
      <c r="P1006" s="23">
        <v>63.21</v>
      </c>
      <c r="Q1006" s="4">
        <f t="shared" si="15"/>
        <v>-60</v>
      </c>
      <c r="R1006" s="23" t="s">
        <v>109</v>
      </c>
    </row>
    <row r="1007" spans="1:18" x14ac:dyDescent="0.25">
      <c r="A1007" s="37">
        <v>45709</v>
      </c>
      <c r="B1007" s="1">
        <v>318784143</v>
      </c>
      <c r="C1007" t="s">
        <v>1968</v>
      </c>
      <c r="D1007" s="22">
        <v>-1264.2</v>
      </c>
      <c r="E1007" t="s">
        <v>35</v>
      </c>
      <c r="F1007" s="2">
        <v>212901001</v>
      </c>
      <c r="G1007" s="2" t="s">
        <v>121</v>
      </c>
      <c r="L1007" s="2" t="s">
        <v>1969</v>
      </c>
      <c r="M1007" t="s">
        <v>67</v>
      </c>
      <c r="N1007" t="s">
        <v>68</v>
      </c>
      <c r="P1007" s="23">
        <v>63.21</v>
      </c>
      <c r="Q1007" s="4">
        <f t="shared" si="15"/>
        <v>-20</v>
      </c>
      <c r="R1007" s="23" t="s">
        <v>109</v>
      </c>
    </row>
    <row r="1008" spans="1:18" x14ac:dyDescent="0.25">
      <c r="A1008" s="37">
        <v>45709</v>
      </c>
      <c r="B1008" s="1">
        <v>318784145</v>
      </c>
      <c r="C1008" t="s">
        <v>1970</v>
      </c>
      <c r="D1008" s="22">
        <v>-6321</v>
      </c>
      <c r="E1008" t="s">
        <v>35</v>
      </c>
      <c r="F1008" s="2">
        <v>212901001</v>
      </c>
      <c r="G1008" s="2" t="s">
        <v>121</v>
      </c>
      <c r="L1008" s="2" t="s">
        <v>1971</v>
      </c>
      <c r="M1008" t="s">
        <v>67</v>
      </c>
      <c r="N1008" t="s">
        <v>68</v>
      </c>
      <c r="P1008" s="23">
        <v>63.21</v>
      </c>
      <c r="Q1008" s="4">
        <f t="shared" si="15"/>
        <v>-100</v>
      </c>
      <c r="R1008" s="23" t="s">
        <v>109</v>
      </c>
    </row>
    <row r="1009" spans="1:18" x14ac:dyDescent="0.25">
      <c r="A1009" s="37">
        <v>45709</v>
      </c>
      <c r="B1009" s="1">
        <v>318784140</v>
      </c>
      <c r="C1009" t="s">
        <v>1972</v>
      </c>
      <c r="D1009" s="22">
        <v>-1264.2</v>
      </c>
      <c r="E1009" t="s">
        <v>35</v>
      </c>
      <c r="F1009" s="2">
        <v>212901001</v>
      </c>
      <c r="G1009" s="2" t="s">
        <v>121</v>
      </c>
      <c r="L1009" s="2" t="s">
        <v>1973</v>
      </c>
      <c r="M1009" t="s">
        <v>67</v>
      </c>
      <c r="N1009" t="s">
        <v>68</v>
      </c>
      <c r="P1009" s="23">
        <v>63.21</v>
      </c>
      <c r="Q1009" s="4">
        <f t="shared" si="15"/>
        <v>-20</v>
      </c>
      <c r="R1009" s="23" t="s">
        <v>109</v>
      </c>
    </row>
    <row r="1010" spans="1:18" x14ac:dyDescent="0.25">
      <c r="A1010" s="37">
        <v>45709</v>
      </c>
      <c r="B1010" s="1">
        <v>118784123</v>
      </c>
      <c r="C1010" t="s">
        <v>1974</v>
      </c>
      <c r="D1010" s="22">
        <v>-4424.7</v>
      </c>
      <c r="E1010" t="s">
        <v>35</v>
      </c>
      <c r="F1010" s="2">
        <v>212901001</v>
      </c>
      <c r="G1010" s="2" t="s">
        <v>121</v>
      </c>
      <c r="L1010" s="2" t="s">
        <v>1975</v>
      </c>
      <c r="M1010" t="s">
        <v>67</v>
      </c>
      <c r="N1010" t="s">
        <v>68</v>
      </c>
      <c r="P1010" s="23">
        <v>63.21</v>
      </c>
      <c r="Q1010" s="4">
        <f t="shared" si="15"/>
        <v>-70</v>
      </c>
      <c r="R1010" s="23" t="s">
        <v>109</v>
      </c>
    </row>
    <row r="1011" spans="1:18" x14ac:dyDescent="0.25">
      <c r="A1011" s="37">
        <v>45709</v>
      </c>
      <c r="B1011" s="1">
        <v>818784087</v>
      </c>
      <c r="C1011" t="s">
        <v>1976</v>
      </c>
      <c r="D1011" s="22">
        <v>-3792.6</v>
      </c>
      <c r="E1011" t="s">
        <v>35</v>
      </c>
      <c r="F1011" s="2">
        <v>212901001</v>
      </c>
      <c r="G1011" s="2" t="s">
        <v>121</v>
      </c>
      <c r="L1011" s="2" t="s">
        <v>1977</v>
      </c>
      <c r="M1011" t="s">
        <v>67</v>
      </c>
      <c r="N1011" t="s">
        <v>68</v>
      </c>
      <c r="P1011" s="23">
        <v>63.21</v>
      </c>
      <c r="Q1011" s="4">
        <f t="shared" si="15"/>
        <v>-60</v>
      </c>
      <c r="R1011" s="23" t="s">
        <v>109</v>
      </c>
    </row>
    <row r="1012" spans="1:18" x14ac:dyDescent="0.25">
      <c r="A1012" s="37">
        <v>45709</v>
      </c>
      <c r="B1012" s="1">
        <v>18784109</v>
      </c>
      <c r="C1012" t="s">
        <v>1978</v>
      </c>
      <c r="D1012" s="22">
        <v>-2528.4</v>
      </c>
      <c r="E1012" t="s">
        <v>35</v>
      </c>
      <c r="F1012" s="2">
        <v>212901001</v>
      </c>
      <c r="G1012" s="2" t="s">
        <v>121</v>
      </c>
      <c r="L1012" s="2" t="s">
        <v>1979</v>
      </c>
      <c r="M1012" t="s">
        <v>67</v>
      </c>
      <c r="N1012" t="s">
        <v>68</v>
      </c>
      <c r="P1012" s="23">
        <v>63.21</v>
      </c>
      <c r="Q1012" s="4">
        <f t="shared" si="15"/>
        <v>-40</v>
      </c>
      <c r="R1012" s="23" t="s">
        <v>109</v>
      </c>
    </row>
    <row r="1013" spans="1:18" x14ac:dyDescent="0.25">
      <c r="A1013" s="37">
        <v>45709</v>
      </c>
      <c r="B1013" s="1">
        <v>218784130</v>
      </c>
      <c r="C1013" t="s">
        <v>1980</v>
      </c>
      <c r="D1013" s="22">
        <v>-3160.5</v>
      </c>
      <c r="E1013" t="s">
        <v>35</v>
      </c>
      <c r="F1013" s="2">
        <v>212901001</v>
      </c>
      <c r="G1013" s="2" t="s">
        <v>121</v>
      </c>
      <c r="L1013" s="2" t="s">
        <v>1981</v>
      </c>
      <c r="M1013" t="s">
        <v>67</v>
      </c>
      <c r="N1013" t="s">
        <v>68</v>
      </c>
      <c r="P1013" s="23">
        <v>63.21</v>
      </c>
      <c r="Q1013" s="4">
        <f t="shared" si="15"/>
        <v>-50</v>
      </c>
      <c r="R1013" s="23" t="s">
        <v>109</v>
      </c>
    </row>
    <row r="1014" spans="1:18" x14ac:dyDescent="0.25">
      <c r="A1014" s="37">
        <v>45709</v>
      </c>
      <c r="B1014" s="1">
        <v>318784147</v>
      </c>
      <c r="C1014" t="s">
        <v>1982</v>
      </c>
      <c r="D1014" s="22">
        <v>-7458.78</v>
      </c>
      <c r="E1014" t="s">
        <v>35</v>
      </c>
      <c r="F1014" s="2">
        <v>212901001</v>
      </c>
      <c r="G1014" s="2" t="s">
        <v>121</v>
      </c>
      <c r="L1014" s="2" t="s">
        <v>1983</v>
      </c>
      <c r="M1014" t="s">
        <v>67</v>
      </c>
      <c r="N1014" t="s">
        <v>68</v>
      </c>
      <c r="P1014" s="23">
        <v>63.21</v>
      </c>
      <c r="Q1014" s="4">
        <f t="shared" si="15"/>
        <v>-118</v>
      </c>
      <c r="R1014" s="23" t="s">
        <v>109</v>
      </c>
    </row>
    <row r="1015" spans="1:18" x14ac:dyDescent="0.25">
      <c r="A1015" s="37">
        <v>45709</v>
      </c>
      <c r="B1015" s="1">
        <v>818784094</v>
      </c>
      <c r="C1015" t="s">
        <v>1984</v>
      </c>
      <c r="D1015" s="22">
        <v>-5056.8</v>
      </c>
      <c r="E1015" t="s">
        <v>35</v>
      </c>
      <c r="F1015" s="2">
        <v>212901001</v>
      </c>
      <c r="G1015" s="2" t="s">
        <v>121</v>
      </c>
      <c r="L1015" s="2" t="s">
        <v>1985</v>
      </c>
      <c r="M1015" t="s">
        <v>67</v>
      </c>
      <c r="N1015" t="s">
        <v>68</v>
      </c>
      <c r="P1015" s="23">
        <v>63.21</v>
      </c>
      <c r="Q1015" s="4">
        <f t="shared" si="15"/>
        <v>-80</v>
      </c>
      <c r="R1015" s="23" t="s">
        <v>109</v>
      </c>
    </row>
    <row r="1016" spans="1:18" x14ac:dyDescent="0.25">
      <c r="A1016" s="37">
        <v>45709</v>
      </c>
      <c r="B1016" s="1">
        <v>18784113</v>
      </c>
      <c r="C1016" t="s">
        <v>1986</v>
      </c>
      <c r="D1016" s="22">
        <v>-2528.4</v>
      </c>
      <c r="E1016" t="s">
        <v>35</v>
      </c>
      <c r="F1016" s="2">
        <v>212901001</v>
      </c>
      <c r="G1016" s="2" t="s">
        <v>121</v>
      </c>
      <c r="L1016" s="2" t="s">
        <v>1987</v>
      </c>
      <c r="M1016" t="s">
        <v>67</v>
      </c>
      <c r="N1016" t="s">
        <v>68</v>
      </c>
      <c r="P1016" s="23">
        <v>63.21</v>
      </c>
      <c r="Q1016" s="4">
        <f t="shared" si="15"/>
        <v>-40</v>
      </c>
      <c r="R1016" s="23" t="s">
        <v>109</v>
      </c>
    </row>
    <row r="1017" spans="1:18" x14ac:dyDescent="0.25">
      <c r="A1017" s="37">
        <v>45709</v>
      </c>
      <c r="B1017" s="1">
        <v>718784078</v>
      </c>
      <c r="C1017" t="s">
        <v>1988</v>
      </c>
      <c r="D1017" s="22">
        <v>-3792.6</v>
      </c>
      <c r="E1017" t="s">
        <v>35</v>
      </c>
      <c r="F1017" s="2">
        <v>212901001</v>
      </c>
      <c r="G1017" s="2" t="s">
        <v>121</v>
      </c>
      <c r="L1017" s="2" t="s">
        <v>1989</v>
      </c>
      <c r="M1017" t="s">
        <v>67</v>
      </c>
      <c r="N1017" t="s">
        <v>68</v>
      </c>
      <c r="P1017" s="23">
        <v>63.21</v>
      </c>
      <c r="Q1017" s="4">
        <f t="shared" si="15"/>
        <v>-60</v>
      </c>
      <c r="R1017" s="23" t="s">
        <v>109</v>
      </c>
    </row>
    <row r="1018" spans="1:18" x14ac:dyDescent="0.25">
      <c r="A1018" s="37">
        <v>45709</v>
      </c>
      <c r="B1018" s="1">
        <v>418784151</v>
      </c>
      <c r="C1018" t="s">
        <v>1990</v>
      </c>
      <c r="D1018" s="22">
        <v>-2528.4</v>
      </c>
      <c r="E1018" t="s">
        <v>35</v>
      </c>
      <c r="F1018" s="2">
        <v>212901001</v>
      </c>
      <c r="G1018" s="2" t="s">
        <v>121</v>
      </c>
      <c r="L1018" s="2" t="s">
        <v>1991</v>
      </c>
      <c r="M1018" t="s">
        <v>67</v>
      </c>
      <c r="N1018" t="s">
        <v>68</v>
      </c>
      <c r="P1018" s="23">
        <v>63.21</v>
      </c>
      <c r="Q1018" s="4">
        <f t="shared" si="15"/>
        <v>-40</v>
      </c>
      <c r="R1018" s="23" t="s">
        <v>109</v>
      </c>
    </row>
    <row r="1019" spans="1:18" x14ac:dyDescent="0.25">
      <c r="A1019" s="37">
        <v>45709</v>
      </c>
      <c r="B1019" s="1">
        <v>818784088</v>
      </c>
      <c r="C1019" t="s">
        <v>1992</v>
      </c>
      <c r="D1019" s="22">
        <v>-3792.6</v>
      </c>
      <c r="E1019" t="s">
        <v>35</v>
      </c>
      <c r="F1019" s="2">
        <v>212901001</v>
      </c>
      <c r="G1019" s="2" t="s">
        <v>121</v>
      </c>
      <c r="L1019" s="2" t="s">
        <v>1993</v>
      </c>
      <c r="M1019" t="s">
        <v>67</v>
      </c>
      <c r="N1019" t="s">
        <v>68</v>
      </c>
      <c r="P1019" s="23">
        <v>63.21</v>
      </c>
      <c r="Q1019" s="4">
        <f t="shared" si="15"/>
        <v>-60</v>
      </c>
      <c r="R1019" s="23" t="s">
        <v>109</v>
      </c>
    </row>
    <row r="1020" spans="1:18" x14ac:dyDescent="0.25">
      <c r="A1020" s="37">
        <v>45709</v>
      </c>
      <c r="B1020" s="1">
        <v>318784139</v>
      </c>
      <c r="C1020" t="s">
        <v>1994</v>
      </c>
      <c r="D1020" s="22">
        <v>-3160.5</v>
      </c>
      <c r="E1020" t="s">
        <v>35</v>
      </c>
      <c r="F1020" s="2">
        <v>212901001</v>
      </c>
      <c r="G1020" s="2" t="s">
        <v>121</v>
      </c>
      <c r="L1020" s="2" t="s">
        <v>1995</v>
      </c>
      <c r="M1020" t="s">
        <v>67</v>
      </c>
      <c r="N1020" t="s">
        <v>68</v>
      </c>
      <c r="P1020" s="23">
        <v>63.21</v>
      </c>
      <c r="Q1020" s="4">
        <f t="shared" si="15"/>
        <v>-50</v>
      </c>
      <c r="R1020" s="23" t="s">
        <v>109</v>
      </c>
    </row>
    <row r="1021" spans="1:18" x14ac:dyDescent="0.25">
      <c r="A1021" s="37">
        <v>45709</v>
      </c>
      <c r="B1021" s="1">
        <v>918784105</v>
      </c>
      <c r="C1021" t="s">
        <v>1996</v>
      </c>
      <c r="D1021" s="22">
        <v>-2528.4</v>
      </c>
      <c r="E1021" t="s">
        <v>35</v>
      </c>
      <c r="F1021" s="2">
        <v>212901001</v>
      </c>
      <c r="G1021" s="2" t="s">
        <v>121</v>
      </c>
      <c r="L1021" s="2" t="s">
        <v>1997</v>
      </c>
      <c r="M1021" t="s">
        <v>67</v>
      </c>
      <c r="N1021" t="s">
        <v>68</v>
      </c>
      <c r="P1021" s="23">
        <v>63.21</v>
      </c>
      <c r="Q1021" s="4">
        <f t="shared" si="15"/>
        <v>-40</v>
      </c>
      <c r="R1021" s="23" t="s">
        <v>109</v>
      </c>
    </row>
    <row r="1022" spans="1:18" x14ac:dyDescent="0.25">
      <c r="A1022" s="37">
        <v>45709</v>
      </c>
      <c r="B1022" s="1">
        <v>918784102</v>
      </c>
      <c r="C1022" t="s">
        <v>1998</v>
      </c>
      <c r="D1022" s="22">
        <v>-3160.5</v>
      </c>
      <c r="E1022" t="s">
        <v>35</v>
      </c>
      <c r="F1022" s="2">
        <v>212901001</v>
      </c>
      <c r="G1022" s="2" t="s">
        <v>121</v>
      </c>
      <c r="L1022" s="2" t="s">
        <v>1999</v>
      </c>
      <c r="M1022" t="s">
        <v>67</v>
      </c>
      <c r="N1022" t="s">
        <v>68</v>
      </c>
      <c r="P1022" s="23">
        <v>63.21</v>
      </c>
      <c r="Q1022" s="4">
        <f t="shared" si="15"/>
        <v>-50</v>
      </c>
      <c r="R1022" s="23" t="s">
        <v>109</v>
      </c>
    </row>
    <row r="1023" spans="1:18" x14ac:dyDescent="0.25">
      <c r="A1023" s="37">
        <v>45709</v>
      </c>
      <c r="B1023" s="1">
        <v>918784098</v>
      </c>
      <c r="C1023" t="s">
        <v>2000</v>
      </c>
      <c r="D1023" s="22">
        <v>-5056.8</v>
      </c>
      <c r="E1023" t="s">
        <v>35</v>
      </c>
      <c r="F1023" s="2">
        <v>212901001</v>
      </c>
      <c r="G1023" s="2" t="s">
        <v>121</v>
      </c>
      <c r="L1023" s="2" t="s">
        <v>2001</v>
      </c>
      <c r="M1023" t="s">
        <v>67</v>
      </c>
      <c r="N1023" t="s">
        <v>68</v>
      </c>
      <c r="P1023" s="23">
        <v>63.21</v>
      </c>
      <c r="Q1023" s="4">
        <f t="shared" si="15"/>
        <v>-80</v>
      </c>
      <c r="R1023" s="23" t="s">
        <v>109</v>
      </c>
    </row>
    <row r="1024" spans="1:18" x14ac:dyDescent="0.25">
      <c r="A1024" s="37">
        <v>45709</v>
      </c>
      <c r="B1024" s="1">
        <v>118784121</v>
      </c>
      <c r="C1024" t="s">
        <v>2002</v>
      </c>
      <c r="D1024" s="22">
        <v>-2907.66</v>
      </c>
      <c r="E1024" t="s">
        <v>35</v>
      </c>
      <c r="F1024" s="2">
        <v>212901001</v>
      </c>
      <c r="G1024" s="2" t="s">
        <v>121</v>
      </c>
      <c r="L1024" s="2" t="s">
        <v>2003</v>
      </c>
      <c r="M1024" t="s">
        <v>67</v>
      </c>
      <c r="N1024" t="s">
        <v>68</v>
      </c>
      <c r="P1024" s="23">
        <v>63.21</v>
      </c>
      <c r="Q1024" s="4">
        <f t="shared" si="15"/>
        <v>-46</v>
      </c>
      <c r="R1024" s="23" t="s">
        <v>109</v>
      </c>
    </row>
    <row r="1025" spans="1:20" x14ac:dyDescent="0.25">
      <c r="A1025" s="37">
        <v>45709</v>
      </c>
      <c r="B1025" s="1">
        <v>118784124</v>
      </c>
      <c r="C1025" t="s">
        <v>2004</v>
      </c>
      <c r="D1025" s="22">
        <v>-4424.7</v>
      </c>
      <c r="E1025" t="s">
        <v>35</v>
      </c>
      <c r="F1025" s="2">
        <v>212901001</v>
      </c>
      <c r="G1025" s="2" t="s">
        <v>121</v>
      </c>
      <c r="L1025" s="2" t="s">
        <v>2005</v>
      </c>
      <c r="M1025" t="s">
        <v>67</v>
      </c>
      <c r="N1025" t="s">
        <v>68</v>
      </c>
      <c r="P1025" s="23">
        <v>63.21</v>
      </c>
      <c r="Q1025" s="4">
        <f t="shared" si="15"/>
        <v>-70</v>
      </c>
      <c r="R1025" s="23" t="s">
        <v>109</v>
      </c>
    </row>
    <row r="1026" spans="1:20" x14ac:dyDescent="0.25">
      <c r="A1026" s="37">
        <v>45709</v>
      </c>
      <c r="B1026" s="1">
        <v>118784125</v>
      </c>
      <c r="C1026" t="s">
        <v>2006</v>
      </c>
      <c r="D1026" s="22">
        <v>-3160.5</v>
      </c>
      <c r="E1026" t="s">
        <v>35</v>
      </c>
      <c r="F1026" s="2">
        <v>212901001</v>
      </c>
      <c r="G1026" s="2" t="s">
        <v>121</v>
      </c>
      <c r="L1026" s="2" t="s">
        <v>2007</v>
      </c>
      <c r="M1026" t="s">
        <v>67</v>
      </c>
      <c r="N1026" t="s">
        <v>68</v>
      </c>
      <c r="P1026" s="23">
        <v>63.21</v>
      </c>
      <c r="Q1026" s="4">
        <f t="shared" si="15"/>
        <v>-50</v>
      </c>
      <c r="R1026" s="23" t="s">
        <v>109</v>
      </c>
    </row>
    <row r="1027" spans="1:20" x14ac:dyDescent="0.25">
      <c r="A1027" s="37">
        <v>45709</v>
      </c>
      <c r="B1027" s="1">
        <v>418784149</v>
      </c>
      <c r="C1027" t="s">
        <v>2008</v>
      </c>
      <c r="D1027" s="22">
        <v>-1896.3</v>
      </c>
      <c r="E1027" t="s">
        <v>35</v>
      </c>
      <c r="F1027" s="2">
        <v>212901001</v>
      </c>
      <c r="G1027" s="2" t="s">
        <v>121</v>
      </c>
      <c r="L1027" s="2" t="s">
        <v>2009</v>
      </c>
      <c r="M1027" t="s">
        <v>67</v>
      </c>
      <c r="N1027" t="s">
        <v>68</v>
      </c>
      <c r="P1027" s="23">
        <v>63.21</v>
      </c>
      <c r="Q1027" s="4">
        <f t="shared" si="15"/>
        <v>-30</v>
      </c>
      <c r="R1027" s="23" t="s">
        <v>109</v>
      </c>
    </row>
    <row r="1028" spans="1:20" x14ac:dyDescent="0.25">
      <c r="A1028" s="37">
        <v>45709</v>
      </c>
      <c r="B1028" s="1">
        <v>18784111</v>
      </c>
      <c r="C1028" t="s">
        <v>2010</v>
      </c>
      <c r="D1028" s="22">
        <v>-2528.4</v>
      </c>
      <c r="E1028" t="s">
        <v>35</v>
      </c>
      <c r="F1028" s="2">
        <v>212901001</v>
      </c>
      <c r="G1028" s="2" t="s">
        <v>121</v>
      </c>
      <c r="L1028" s="2" t="s">
        <v>2011</v>
      </c>
      <c r="M1028" t="s">
        <v>67</v>
      </c>
      <c r="N1028" t="s">
        <v>68</v>
      </c>
      <c r="P1028" s="23">
        <v>63.21</v>
      </c>
      <c r="Q1028" s="4">
        <f t="shared" si="15"/>
        <v>-40</v>
      </c>
      <c r="R1028" s="23" t="s">
        <v>109</v>
      </c>
    </row>
    <row r="1029" spans="1:20" x14ac:dyDescent="0.25">
      <c r="A1029" s="37">
        <v>45709</v>
      </c>
      <c r="B1029" s="1">
        <v>818784092</v>
      </c>
      <c r="C1029" t="s">
        <v>2012</v>
      </c>
      <c r="D1029" s="22">
        <v>-6321</v>
      </c>
      <c r="E1029" t="s">
        <v>35</v>
      </c>
      <c r="F1029" s="2">
        <v>212901001</v>
      </c>
      <c r="G1029" s="2" t="s">
        <v>121</v>
      </c>
      <c r="L1029" s="2" t="s">
        <v>2013</v>
      </c>
      <c r="M1029" t="s">
        <v>67</v>
      </c>
      <c r="N1029" t="s">
        <v>68</v>
      </c>
      <c r="P1029" s="23">
        <v>63.21</v>
      </c>
      <c r="Q1029" s="4">
        <f t="shared" si="15"/>
        <v>-100</v>
      </c>
      <c r="R1029" s="23" t="s">
        <v>109</v>
      </c>
    </row>
    <row r="1030" spans="1:20" x14ac:dyDescent="0.25">
      <c r="A1030" s="37">
        <v>45709</v>
      </c>
      <c r="B1030" s="1">
        <v>218784136</v>
      </c>
      <c r="C1030" t="s">
        <v>2014</v>
      </c>
      <c r="D1030" s="22">
        <v>-3160.5</v>
      </c>
      <c r="E1030" t="s">
        <v>35</v>
      </c>
      <c r="F1030" s="2">
        <v>212901001</v>
      </c>
      <c r="G1030" s="2" t="s">
        <v>121</v>
      </c>
      <c r="L1030" s="2" t="s">
        <v>2015</v>
      </c>
      <c r="M1030" t="s">
        <v>67</v>
      </c>
      <c r="N1030" t="s">
        <v>68</v>
      </c>
      <c r="P1030" s="23">
        <v>63.21</v>
      </c>
      <c r="Q1030" s="4">
        <f t="shared" si="15"/>
        <v>-50</v>
      </c>
      <c r="R1030" s="23" t="s">
        <v>109</v>
      </c>
    </row>
    <row r="1031" spans="1:20" x14ac:dyDescent="0.25">
      <c r="A1031" s="37">
        <v>45709</v>
      </c>
      <c r="B1031" s="1">
        <v>118784126</v>
      </c>
      <c r="C1031" t="s">
        <v>2016</v>
      </c>
      <c r="D1031" s="22">
        <v>-3160.5</v>
      </c>
      <c r="E1031" t="s">
        <v>35</v>
      </c>
      <c r="F1031" s="2">
        <v>212901001</v>
      </c>
      <c r="G1031" s="2" t="s">
        <v>121</v>
      </c>
      <c r="L1031" s="2" t="s">
        <v>2017</v>
      </c>
      <c r="M1031" t="s">
        <v>67</v>
      </c>
      <c r="N1031" t="s">
        <v>68</v>
      </c>
      <c r="P1031" s="23">
        <v>63.21</v>
      </c>
      <c r="Q1031" s="4">
        <f t="shared" si="15"/>
        <v>-50</v>
      </c>
      <c r="R1031" s="23" t="s">
        <v>109</v>
      </c>
    </row>
    <row r="1032" spans="1:20" x14ac:dyDescent="0.25">
      <c r="A1032" s="37">
        <v>45709</v>
      </c>
      <c r="B1032" s="1">
        <v>50248521</v>
      </c>
      <c r="C1032" t="s">
        <v>2018</v>
      </c>
      <c r="D1032" s="22">
        <v>-8849.4</v>
      </c>
      <c r="E1032" t="s">
        <v>35</v>
      </c>
      <c r="F1032" s="2">
        <v>212901001</v>
      </c>
      <c r="G1032" s="2" t="s">
        <v>121</v>
      </c>
      <c r="L1032" s="2" t="s">
        <v>2019</v>
      </c>
      <c r="M1032" t="s">
        <v>67</v>
      </c>
      <c r="N1032" t="s">
        <v>68</v>
      </c>
      <c r="P1032" s="23">
        <v>63.21</v>
      </c>
      <c r="Q1032" s="4">
        <f t="shared" si="15"/>
        <v>-140</v>
      </c>
      <c r="R1032" s="23" t="s">
        <v>109</v>
      </c>
    </row>
    <row r="1033" spans="1:20" x14ac:dyDescent="0.25">
      <c r="A1033" s="37">
        <v>45709</v>
      </c>
      <c r="B1033" s="1">
        <v>50248521</v>
      </c>
      <c r="C1033" t="s">
        <v>296</v>
      </c>
      <c r="D1033" s="22">
        <v>-13.27</v>
      </c>
      <c r="E1033" t="s">
        <v>35</v>
      </c>
      <c r="F1033" s="2">
        <v>610148001</v>
      </c>
      <c r="G1033" s="2" t="s">
        <v>42</v>
      </c>
      <c r="L1033" s="2" t="s">
        <v>2020</v>
      </c>
      <c r="M1033" t="s">
        <v>43</v>
      </c>
      <c r="N1033" t="s">
        <v>42</v>
      </c>
      <c r="P1033" s="23">
        <v>63.21</v>
      </c>
      <c r="Q1033" s="4">
        <f t="shared" si="15"/>
        <v>-0.20993513684543583</v>
      </c>
      <c r="R1033" s="23" t="s">
        <v>109</v>
      </c>
      <c r="T1033" s="23" t="s">
        <v>1313</v>
      </c>
    </row>
    <row r="1034" spans="1:20" x14ac:dyDescent="0.25">
      <c r="A1034" s="37">
        <v>45709</v>
      </c>
      <c r="B1034" s="1">
        <v>50248521</v>
      </c>
      <c r="C1034" t="s">
        <v>118</v>
      </c>
      <c r="D1034" s="22">
        <v>-712.06</v>
      </c>
      <c r="E1034" t="s">
        <v>35</v>
      </c>
      <c r="F1034" s="2">
        <v>610148001</v>
      </c>
      <c r="G1034" s="2" t="s">
        <v>42</v>
      </c>
      <c r="L1034" s="2" t="s">
        <v>2021</v>
      </c>
      <c r="M1034" t="s">
        <v>43</v>
      </c>
      <c r="N1034" t="s">
        <v>42</v>
      </c>
      <c r="P1034" s="23">
        <v>63.21</v>
      </c>
      <c r="Q1034" s="4">
        <f t="shared" si="15"/>
        <v>-11.264989716816958</v>
      </c>
      <c r="R1034" s="23" t="s">
        <v>109</v>
      </c>
      <c r="T1034" s="23" t="s">
        <v>1313</v>
      </c>
    </row>
    <row r="1035" spans="1:20" x14ac:dyDescent="0.25">
      <c r="A1035" s="37">
        <v>45709</v>
      </c>
      <c r="B1035" s="1">
        <v>718784498</v>
      </c>
      <c r="C1035" t="s">
        <v>2022</v>
      </c>
      <c r="D1035" s="22">
        <v>-56376.92</v>
      </c>
      <c r="E1035" t="s">
        <v>35</v>
      </c>
      <c r="F1035" s="2">
        <v>110114001</v>
      </c>
      <c r="G1035" s="2" t="s">
        <v>301</v>
      </c>
      <c r="L1035" s="2" t="s">
        <v>2023</v>
      </c>
      <c r="M1035" t="s">
        <v>38</v>
      </c>
      <c r="N1035" t="s">
        <v>39</v>
      </c>
      <c r="P1035" s="23">
        <v>63.21</v>
      </c>
      <c r="Q1035" s="4">
        <f t="shared" ref="Q1035:Q1098" si="16">D1035/P1035</f>
        <v>-891.89875019775343</v>
      </c>
      <c r="R1035" s="23" t="s">
        <v>109</v>
      </c>
      <c r="S1035" s="33" t="s">
        <v>1353</v>
      </c>
    </row>
    <row r="1036" spans="1:20" x14ac:dyDescent="0.25">
      <c r="A1036" s="37">
        <v>45709</v>
      </c>
      <c r="B1036" s="1">
        <v>718784502</v>
      </c>
      <c r="C1036" t="s">
        <v>2024</v>
      </c>
      <c r="D1036" s="22">
        <v>-19699.11</v>
      </c>
      <c r="E1036" t="s">
        <v>35</v>
      </c>
      <c r="F1036" s="2">
        <v>110114001</v>
      </c>
      <c r="G1036" s="2" t="s">
        <v>301</v>
      </c>
      <c r="L1036" s="2" t="s">
        <v>2025</v>
      </c>
      <c r="M1036" t="s">
        <v>303</v>
      </c>
      <c r="N1036" t="s">
        <v>304</v>
      </c>
      <c r="P1036" s="23">
        <v>63.21</v>
      </c>
      <c r="Q1036" s="4">
        <f t="shared" si="16"/>
        <v>-311.64546748932133</v>
      </c>
      <c r="R1036" s="23" t="s">
        <v>109</v>
      </c>
      <c r="S1036" s="33" t="s">
        <v>1320</v>
      </c>
    </row>
    <row r="1037" spans="1:20" x14ac:dyDescent="0.25">
      <c r="A1037" s="37">
        <v>45709</v>
      </c>
      <c r="B1037" s="1">
        <v>718784500</v>
      </c>
      <c r="C1037" t="s">
        <v>2026</v>
      </c>
      <c r="D1037" s="22">
        <v>-10998.54</v>
      </c>
      <c r="E1037" t="s">
        <v>35</v>
      </c>
      <c r="F1037" s="2">
        <v>210101001</v>
      </c>
      <c r="G1037" s="2" t="s">
        <v>36</v>
      </c>
      <c r="L1037" s="2" t="s">
        <v>2027</v>
      </c>
      <c r="M1037" t="s">
        <v>2028</v>
      </c>
      <c r="N1037" t="s">
        <v>2029</v>
      </c>
      <c r="P1037" s="23">
        <v>63.21</v>
      </c>
      <c r="Q1037" s="4">
        <f t="shared" si="16"/>
        <v>-174</v>
      </c>
      <c r="R1037" s="23" t="s">
        <v>109</v>
      </c>
    </row>
    <row r="1038" spans="1:20" x14ac:dyDescent="0.25">
      <c r="A1038" s="37">
        <v>45709</v>
      </c>
      <c r="B1038" s="1">
        <v>718784499</v>
      </c>
      <c r="C1038" t="s">
        <v>2030</v>
      </c>
      <c r="D1038" s="22">
        <v>-37027.199999999997</v>
      </c>
      <c r="E1038" t="s">
        <v>35</v>
      </c>
      <c r="F1038" s="2">
        <v>210101001</v>
      </c>
      <c r="G1038" s="2" t="s">
        <v>36</v>
      </c>
      <c r="L1038" s="2" t="s">
        <v>2031</v>
      </c>
      <c r="M1038" t="s">
        <v>38</v>
      </c>
      <c r="N1038" t="s">
        <v>39</v>
      </c>
      <c r="P1038" s="23">
        <v>63.21</v>
      </c>
      <c r="Q1038" s="4">
        <f t="shared" si="16"/>
        <v>-585.7807308970099</v>
      </c>
      <c r="R1038" s="23" t="s">
        <v>109</v>
      </c>
    </row>
    <row r="1039" spans="1:20" x14ac:dyDescent="0.25">
      <c r="A1039" s="37">
        <v>45709</v>
      </c>
      <c r="B1039" s="1">
        <v>50293767</v>
      </c>
      <c r="C1039" t="s">
        <v>118</v>
      </c>
      <c r="D1039" s="22">
        <v>-310.25</v>
      </c>
      <c r="E1039" t="s">
        <v>35</v>
      </c>
      <c r="F1039" s="2">
        <v>610148001</v>
      </c>
      <c r="G1039" s="2" t="s">
        <v>42</v>
      </c>
      <c r="L1039" s="2" t="s">
        <v>2032</v>
      </c>
      <c r="M1039" t="s">
        <v>43</v>
      </c>
      <c r="N1039" t="s">
        <v>42</v>
      </c>
      <c r="P1039" s="23">
        <v>63.21</v>
      </c>
      <c r="Q1039" s="4">
        <f t="shared" si="16"/>
        <v>-4.9082423667141271</v>
      </c>
      <c r="R1039" s="23" t="s">
        <v>109</v>
      </c>
      <c r="T1039" s="23" t="s">
        <v>1313</v>
      </c>
    </row>
    <row r="1040" spans="1:20" x14ac:dyDescent="0.25">
      <c r="A1040" s="37">
        <v>45712</v>
      </c>
      <c r="B1040" s="1">
        <v>177935994</v>
      </c>
      <c r="C1040" t="s">
        <v>2033</v>
      </c>
      <c r="D1040" s="22">
        <v>14122.67</v>
      </c>
      <c r="E1040" t="s">
        <v>46</v>
      </c>
      <c r="F1040" s="2">
        <v>110106001</v>
      </c>
      <c r="G1040" s="2" t="s">
        <v>2034</v>
      </c>
      <c r="L1040" s="2" t="s">
        <v>2035</v>
      </c>
      <c r="N1040" t="s">
        <v>2036</v>
      </c>
      <c r="P1040" s="23">
        <v>63.41</v>
      </c>
      <c r="Q1040" s="4">
        <f t="shared" si="16"/>
        <v>222.71991799400726</v>
      </c>
      <c r="R1040" s="23" t="s">
        <v>109</v>
      </c>
    </row>
    <row r="1041" spans="1:20" x14ac:dyDescent="0.25">
      <c r="A1041" s="37">
        <v>45712</v>
      </c>
      <c r="B1041" s="1">
        <v>177935994</v>
      </c>
      <c r="C1041" t="s">
        <v>2037</v>
      </c>
      <c r="D1041" s="22">
        <v>-211.84</v>
      </c>
      <c r="E1041" t="s">
        <v>35</v>
      </c>
      <c r="F1041" s="2">
        <v>610148001</v>
      </c>
      <c r="G1041" s="2" t="s">
        <v>42</v>
      </c>
      <c r="L1041" s="2" t="s">
        <v>2038</v>
      </c>
      <c r="M1041" t="s">
        <v>43</v>
      </c>
      <c r="N1041" t="s">
        <v>42</v>
      </c>
      <c r="P1041" s="23">
        <v>63.41</v>
      </c>
      <c r="Q1041" s="4">
        <f t="shared" si="16"/>
        <v>-3.3407979813909479</v>
      </c>
      <c r="R1041" s="23" t="s">
        <v>109</v>
      </c>
      <c r="T1041" s="23" t="s">
        <v>1313</v>
      </c>
    </row>
    <row r="1042" spans="1:20" x14ac:dyDescent="0.25">
      <c r="A1042" s="37">
        <v>45712</v>
      </c>
      <c r="B1042" s="1">
        <v>177975071</v>
      </c>
      <c r="C1042" t="s">
        <v>2033</v>
      </c>
      <c r="D1042" s="22">
        <v>12945.68</v>
      </c>
      <c r="E1042" t="s">
        <v>46</v>
      </c>
      <c r="F1042" s="2">
        <v>110106001</v>
      </c>
      <c r="G1042" s="2" t="s">
        <v>2034</v>
      </c>
      <c r="L1042" s="2" t="s">
        <v>2039</v>
      </c>
      <c r="N1042" t="s">
        <v>2036</v>
      </c>
      <c r="P1042" s="23">
        <v>63.41</v>
      </c>
      <c r="Q1042" s="4">
        <f t="shared" si="16"/>
        <v>204.15833464753194</v>
      </c>
      <c r="R1042" s="23" t="s">
        <v>109</v>
      </c>
    </row>
    <row r="1043" spans="1:20" x14ac:dyDescent="0.25">
      <c r="A1043" s="37">
        <v>45712</v>
      </c>
      <c r="B1043" s="1">
        <v>177975071</v>
      </c>
      <c r="C1043" t="s">
        <v>2037</v>
      </c>
      <c r="D1043" s="22">
        <v>-194.18</v>
      </c>
      <c r="E1043" t="s">
        <v>35</v>
      </c>
      <c r="F1043" s="2">
        <v>610148001</v>
      </c>
      <c r="G1043" s="2" t="s">
        <v>42</v>
      </c>
      <c r="L1043" s="2" t="s">
        <v>2040</v>
      </c>
      <c r="M1043" t="s">
        <v>43</v>
      </c>
      <c r="N1043" t="s">
        <v>42</v>
      </c>
      <c r="P1043" s="23">
        <v>63.41</v>
      </c>
      <c r="Q1043" s="4">
        <f t="shared" si="16"/>
        <v>-3.0622930137202338</v>
      </c>
      <c r="R1043" s="23" t="s">
        <v>109</v>
      </c>
      <c r="T1043" s="23" t="s">
        <v>1313</v>
      </c>
    </row>
    <row r="1044" spans="1:20" x14ac:dyDescent="0.25">
      <c r="A1044" s="37">
        <v>45712</v>
      </c>
      <c r="B1044" s="1">
        <v>178010399</v>
      </c>
      <c r="C1044" t="s">
        <v>2033</v>
      </c>
      <c r="D1044" s="22">
        <v>0.11</v>
      </c>
      <c r="E1044" t="s">
        <v>46</v>
      </c>
      <c r="F1044" s="2">
        <v>110106001</v>
      </c>
      <c r="G1044" s="2" t="s">
        <v>2034</v>
      </c>
      <c r="L1044" s="2" t="s">
        <v>2041</v>
      </c>
      <c r="N1044" t="s">
        <v>2036</v>
      </c>
      <c r="P1044" s="23">
        <v>63.41</v>
      </c>
      <c r="Q1044" s="4">
        <f t="shared" si="16"/>
        <v>1.734742154234348E-3</v>
      </c>
      <c r="R1044" s="23" t="s">
        <v>109</v>
      </c>
    </row>
    <row r="1045" spans="1:20" x14ac:dyDescent="0.25">
      <c r="A1045" s="37">
        <v>45712</v>
      </c>
      <c r="B1045" s="1">
        <v>178010399</v>
      </c>
      <c r="C1045" t="s">
        <v>2037</v>
      </c>
      <c r="D1045" s="22">
        <v>-0.13</v>
      </c>
      <c r="E1045" t="s">
        <v>35</v>
      </c>
      <c r="F1045" s="2">
        <v>610148001</v>
      </c>
      <c r="G1045" s="2" t="s">
        <v>42</v>
      </c>
      <c r="L1045" s="2" t="s">
        <v>2042</v>
      </c>
      <c r="M1045" t="s">
        <v>43</v>
      </c>
      <c r="N1045" t="s">
        <v>42</v>
      </c>
      <c r="P1045" s="23">
        <v>63.41</v>
      </c>
      <c r="Q1045" s="4">
        <f t="shared" si="16"/>
        <v>-2.0501498186405931E-3</v>
      </c>
      <c r="R1045" s="23" t="s">
        <v>109</v>
      </c>
      <c r="T1045" s="23" t="s">
        <v>1313</v>
      </c>
    </row>
    <row r="1046" spans="1:20" x14ac:dyDescent="0.25">
      <c r="A1046" s="37">
        <v>45712</v>
      </c>
      <c r="B1046" s="1">
        <v>153216658</v>
      </c>
      <c r="C1046" t="s">
        <v>107</v>
      </c>
      <c r="D1046" s="22">
        <v>30000</v>
      </c>
      <c r="E1046" t="s">
        <v>46</v>
      </c>
      <c r="F1046" s="2">
        <v>210115002</v>
      </c>
      <c r="G1046" s="2" t="s">
        <v>47</v>
      </c>
      <c r="L1046" s="2" t="s">
        <v>2043</v>
      </c>
      <c r="N1046" t="s">
        <v>107</v>
      </c>
      <c r="P1046" s="23">
        <v>63.41</v>
      </c>
      <c r="Q1046" s="4">
        <f t="shared" si="16"/>
        <v>473.11149660936763</v>
      </c>
      <c r="R1046" s="23" t="s">
        <v>109</v>
      </c>
    </row>
    <row r="1047" spans="1:20" x14ac:dyDescent="0.25">
      <c r="A1047" s="37">
        <v>45712</v>
      </c>
      <c r="B1047" s="1">
        <v>218926247</v>
      </c>
      <c r="C1047" t="s">
        <v>1562</v>
      </c>
      <c r="D1047" s="22">
        <v>-3170.5</v>
      </c>
      <c r="E1047" t="s">
        <v>35</v>
      </c>
      <c r="F1047" s="2">
        <v>210101001</v>
      </c>
      <c r="G1047" s="2" t="s">
        <v>36</v>
      </c>
      <c r="L1047" s="2" t="s">
        <v>2044</v>
      </c>
      <c r="M1047" t="s">
        <v>114</v>
      </c>
      <c r="N1047" t="s">
        <v>115</v>
      </c>
      <c r="P1047" s="23">
        <v>63.41</v>
      </c>
      <c r="Q1047" s="4">
        <f t="shared" si="16"/>
        <v>-50</v>
      </c>
      <c r="R1047" s="23" t="s">
        <v>109</v>
      </c>
    </row>
    <row r="1048" spans="1:20" x14ac:dyDescent="0.25">
      <c r="A1048" s="37">
        <v>45712</v>
      </c>
      <c r="B1048" s="1">
        <v>218926248</v>
      </c>
      <c r="C1048" t="s">
        <v>2045</v>
      </c>
      <c r="D1048" s="22">
        <v>-25167.77</v>
      </c>
      <c r="E1048" t="s">
        <v>35</v>
      </c>
      <c r="F1048" s="2">
        <v>210101001</v>
      </c>
      <c r="G1048" s="2" t="s">
        <v>36</v>
      </c>
      <c r="L1048" s="2" t="s">
        <v>2046</v>
      </c>
      <c r="M1048" t="s">
        <v>751</v>
      </c>
      <c r="N1048" t="s">
        <v>752</v>
      </c>
      <c r="P1048" s="23">
        <v>63.41</v>
      </c>
      <c r="Q1048" s="4">
        <f t="shared" si="16"/>
        <v>-396.90537770067817</v>
      </c>
      <c r="R1048" s="23" t="s">
        <v>109</v>
      </c>
    </row>
    <row r="1049" spans="1:20" x14ac:dyDescent="0.25">
      <c r="A1049" s="37">
        <v>45712</v>
      </c>
      <c r="B1049" s="1">
        <v>218926249</v>
      </c>
      <c r="C1049" t="s">
        <v>2047</v>
      </c>
      <c r="D1049" s="22">
        <v>-712.62</v>
      </c>
      <c r="E1049" t="s">
        <v>35</v>
      </c>
      <c r="F1049" s="2">
        <v>210101001</v>
      </c>
      <c r="G1049" s="2" t="s">
        <v>36</v>
      </c>
      <c r="L1049" s="2" t="s">
        <v>2048</v>
      </c>
      <c r="M1049" t="s">
        <v>698</v>
      </c>
      <c r="N1049" t="s">
        <v>104</v>
      </c>
      <c r="P1049" s="23">
        <v>63.41</v>
      </c>
      <c r="Q1049" s="4">
        <f t="shared" si="16"/>
        <v>-11.238290490458919</v>
      </c>
      <c r="R1049" s="23" t="s">
        <v>109</v>
      </c>
    </row>
    <row r="1050" spans="1:20" x14ac:dyDescent="0.25">
      <c r="A1050" s="37">
        <v>45712</v>
      </c>
      <c r="B1050" s="1">
        <v>50292963</v>
      </c>
      <c r="C1050" t="s">
        <v>118</v>
      </c>
      <c r="D1050" s="22">
        <v>-72.62</v>
      </c>
      <c r="E1050" t="s">
        <v>35</v>
      </c>
      <c r="F1050" s="2">
        <v>610148001</v>
      </c>
      <c r="G1050" s="2" t="s">
        <v>42</v>
      </c>
      <c r="L1050" s="2" t="s">
        <v>2049</v>
      </c>
      <c r="M1050" t="s">
        <v>43</v>
      </c>
      <c r="N1050" t="s">
        <v>42</v>
      </c>
      <c r="P1050" s="23">
        <v>63.41</v>
      </c>
      <c r="Q1050" s="4">
        <f t="shared" si="16"/>
        <v>-1.145245229459076</v>
      </c>
      <c r="R1050" s="23" t="s">
        <v>109</v>
      </c>
      <c r="T1050" s="23" t="s">
        <v>1313</v>
      </c>
    </row>
    <row r="1051" spans="1:20" x14ac:dyDescent="0.25">
      <c r="A1051" s="37">
        <v>45713</v>
      </c>
      <c r="B1051" s="1">
        <v>618972352</v>
      </c>
      <c r="C1051" t="s">
        <v>2050</v>
      </c>
      <c r="D1051" s="22">
        <v>-14158.5</v>
      </c>
      <c r="E1051" t="s">
        <v>35</v>
      </c>
      <c r="F1051" s="2">
        <v>110114001</v>
      </c>
      <c r="G1051" s="2" t="s">
        <v>301</v>
      </c>
      <c r="L1051" s="2" t="s">
        <v>2051</v>
      </c>
      <c r="M1051" t="s">
        <v>303</v>
      </c>
      <c r="N1051" t="s">
        <v>304</v>
      </c>
      <c r="P1051" s="23">
        <v>63.49</v>
      </c>
      <c r="Q1051" s="4">
        <f t="shared" si="16"/>
        <v>-223.00362261773506</v>
      </c>
      <c r="R1051" s="23" t="s">
        <v>109</v>
      </c>
      <c r="S1051" s="33" t="s">
        <v>1320</v>
      </c>
    </row>
    <row r="1052" spans="1:20" x14ac:dyDescent="0.25">
      <c r="A1052" s="37">
        <v>45713</v>
      </c>
      <c r="B1052" s="1">
        <v>618972352</v>
      </c>
      <c r="C1052" t="s">
        <v>306</v>
      </c>
      <c r="D1052" s="22">
        <v>-42.48</v>
      </c>
      <c r="E1052" t="s">
        <v>35</v>
      </c>
      <c r="F1052" s="2">
        <v>610148001</v>
      </c>
      <c r="G1052" s="2" t="s">
        <v>42</v>
      </c>
      <c r="L1052" s="2" t="s">
        <v>2052</v>
      </c>
      <c r="M1052" t="s">
        <v>43</v>
      </c>
      <c r="N1052" t="s">
        <v>42</v>
      </c>
      <c r="P1052" s="23">
        <v>63.49</v>
      </c>
      <c r="Q1052" s="4">
        <f t="shared" si="16"/>
        <v>-0.66908174515671748</v>
      </c>
      <c r="R1052" s="23" t="s">
        <v>109</v>
      </c>
      <c r="T1052" s="23" t="s">
        <v>1313</v>
      </c>
    </row>
    <row r="1053" spans="1:20" x14ac:dyDescent="0.25">
      <c r="A1053" s="37">
        <v>45713</v>
      </c>
      <c r="B1053" s="1">
        <v>918979821</v>
      </c>
      <c r="C1053" t="s">
        <v>2053</v>
      </c>
      <c r="D1053" s="22">
        <v>-723.78</v>
      </c>
      <c r="E1053" t="s">
        <v>35</v>
      </c>
      <c r="F1053" s="2">
        <v>110114001</v>
      </c>
      <c r="G1053" s="2" t="s">
        <v>301</v>
      </c>
      <c r="L1053" s="2" t="s">
        <v>2054</v>
      </c>
      <c r="M1053" t="s">
        <v>714</v>
      </c>
      <c r="N1053" t="s">
        <v>715</v>
      </c>
      <c r="P1053" s="23">
        <v>63.49</v>
      </c>
      <c r="Q1053" s="4">
        <f t="shared" si="16"/>
        <v>-11.39990549692865</v>
      </c>
      <c r="R1053" s="23" t="s">
        <v>109</v>
      </c>
      <c r="S1053" s="33" t="s">
        <v>1320</v>
      </c>
    </row>
    <row r="1054" spans="1:20" x14ac:dyDescent="0.25">
      <c r="A1054" s="37">
        <v>45713</v>
      </c>
      <c r="B1054" s="1">
        <v>918979821</v>
      </c>
      <c r="C1054" t="s">
        <v>306</v>
      </c>
      <c r="D1054" s="22">
        <v>-2.17</v>
      </c>
      <c r="E1054" t="s">
        <v>35</v>
      </c>
      <c r="F1054" s="2">
        <v>610148001</v>
      </c>
      <c r="G1054" s="2" t="s">
        <v>42</v>
      </c>
      <c r="L1054" s="2" t="s">
        <v>2055</v>
      </c>
      <c r="M1054" t="s">
        <v>43</v>
      </c>
      <c r="N1054" t="s">
        <v>42</v>
      </c>
      <c r="P1054" s="23">
        <v>63.49</v>
      </c>
      <c r="Q1054" s="4">
        <f t="shared" si="16"/>
        <v>-3.4178610804851156E-2</v>
      </c>
      <c r="R1054" s="23" t="s">
        <v>109</v>
      </c>
      <c r="T1054" s="23" t="s">
        <v>1313</v>
      </c>
    </row>
    <row r="1055" spans="1:20" x14ac:dyDescent="0.25">
      <c r="A1055" s="37">
        <v>45714</v>
      </c>
      <c r="B1055" s="1">
        <v>179165667</v>
      </c>
      <c r="C1055" t="s">
        <v>2056</v>
      </c>
      <c r="D1055" s="22">
        <v>9505.64</v>
      </c>
      <c r="E1055" t="s">
        <v>46</v>
      </c>
      <c r="F1055" s="2">
        <v>110106001</v>
      </c>
      <c r="G1055" s="2" t="s">
        <v>2034</v>
      </c>
      <c r="L1055" s="2" t="s">
        <v>2057</v>
      </c>
      <c r="N1055" t="s">
        <v>2036</v>
      </c>
      <c r="P1055" s="23">
        <v>64.02</v>
      </c>
      <c r="Q1055" s="4">
        <f t="shared" si="16"/>
        <v>148.47922524211185</v>
      </c>
      <c r="R1055" s="23" t="s">
        <v>109</v>
      </c>
    </row>
    <row r="1056" spans="1:20" x14ac:dyDescent="0.25">
      <c r="A1056" s="37">
        <v>45714</v>
      </c>
      <c r="B1056" s="1">
        <v>179165667</v>
      </c>
      <c r="C1056" t="s">
        <v>2037</v>
      </c>
      <c r="D1056" s="22">
        <v>-142.58000000000001</v>
      </c>
      <c r="E1056" t="s">
        <v>35</v>
      </c>
      <c r="F1056" s="2">
        <v>610148001</v>
      </c>
      <c r="G1056" s="2" t="s">
        <v>42</v>
      </c>
      <c r="L1056" s="2" t="s">
        <v>2058</v>
      </c>
      <c r="M1056" t="s">
        <v>43</v>
      </c>
      <c r="N1056" t="s">
        <v>42</v>
      </c>
      <c r="P1056" s="23">
        <v>64.02</v>
      </c>
      <c r="Q1056" s="4">
        <f t="shared" si="16"/>
        <v>-2.2271165260855987</v>
      </c>
      <c r="R1056" s="23" t="s">
        <v>109</v>
      </c>
      <c r="T1056" s="23" t="s">
        <v>1313</v>
      </c>
    </row>
    <row r="1057" spans="1:23" x14ac:dyDescent="0.25">
      <c r="A1057" s="37">
        <v>45714</v>
      </c>
      <c r="B1057" s="1">
        <v>319006157</v>
      </c>
      <c r="C1057" t="s">
        <v>2059</v>
      </c>
      <c r="D1057" s="22">
        <v>-2209.4499999999998</v>
      </c>
      <c r="E1057" t="s">
        <v>35</v>
      </c>
      <c r="F1057" s="2">
        <v>110114001</v>
      </c>
      <c r="G1057" s="2" t="s">
        <v>301</v>
      </c>
      <c r="L1057" s="2" t="s">
        <v>2060</v>
      </c>
      <c r="M1057" t="s">
        <v>729</v>
      </c>
      <c r="N1057" t="s">
        <v>730</v>
      </c>
      <c r="P1057" s="23">
        <v>64.02</v>
      </c>
      <c r="Q1057" s="4">
        <f t="shared" si="16"/>
        <v>-34.511871290221805</v>
      </c>
      <c r="R1057" s="23" t="s">
        <v>109</v>
      </c>
      <c r="S1057" s="33" t="s">
        <v>1320</v>
      </c>
    </row>
    <row r="1058" spans="1:23" x14ac:dyDescent="0.25">
      <c r="A1058" s="37">
        <v>45714</v>
      </c>
      <c r="B1058" s="1">
        <v>319006156</v>
      </c>
      <c r="C1058" t="s">
        <v>2061</v>
      </c>
      <c r="D1058" s="22">
        <v>-25040.46</v>
      </c>
      <c r="E1058" t="s">
        <v>35</v>
      </c>
      <c r="F1058" s="2">
        <v>110114001</v>
      </c>
      <c r="G1058" s="2" t="s">
        <v>301</v>
      </c>
      <c r="L1058" s="2" t="s">
        <v>2062</v>
      </c>
      <c r="M1058" t="s">
        <v>1318</v>
      </c>
      <c r="N1058" t="s">
        <v>1319</v>
      </c>
      <c r="P1058" s="23">
        <v>64.02</v>
      </c>
      <c r="Q1058" s="4">
        <f t="shared" si="16"/>
        <v>-391.13495782567946</v>
      </c>
      <c r="R1058" s="23" t="s">
        <v>109</v>
      </c>
      <c r="S1058" s="33" t="s">
        <v>1320</v>
      </c>
    </row>
    <row r="1059" spans="1:23" x14ac:dyDescent="0.25">
      <c r="A1059" s="37">
        <v>45714</v>
      </c>
      <c r="B1059" s="1">
        <v>50250607</v>
      </c>
      <c r="C1059" t="s">
        <v>118</v>
      </c>
      <c r="D1059" s="22">
        <v>-68.12</v>
      </c>
      <c r="E1059" t="s">
        <v>35</v>
      </c>
      <c r="F1059" s="2">
        <v>610148001</v>
      </c>
      <c r="G1059" s="2" t="s">
        <v>42</v>
      </c>
      <c r="L1059" s="2" t="s">
        <v>2063</v>
      </c>
      <c r="M1059" t="s">
        <v>43</v>
      </c>
      <c r="N1059" t="s">
        <v>42</v>
      </c>
      <c r="P1059" s="23">
        <v>64.02</v>
      </c>
      <c r="Q1059" s="4">
        <f t="shared" si="16"/>
        <v>-1.0640424867228993</v>
      </c>
      <c r="R1059" s="23" t="s">
        <v>109</v>
      </c>
      <c r="T1059" s="23" t="s">
        <v>1313</v>
      </c>
    </row>
    <row r="1060" spans="1:23" x14ac:dyDescent="0.25">
      <c r="A1060" s="37">
        <v>45714</v>
      </c>
      <c r="B1060" s="1">
        <v>145211219</v>
      </c>
      <c r="C1060" t="s">
        <v>107</v>
      </c>
      <c r="D1060" s="22">
        <v>42000</v>
      </c>
      <c r="E1060" t="s">
        <v>46</v>
      </c>
      <c r="F1060" s="2">
        <v>210115002</v>
      </c>
      <c r="G1060" s="2" t="s">
        <v>47</v>
      </c>
      <c r="L1060" s="2" t="s">
        <v>2064</v>
      </c>
      <c r="N1060" t="s">
        <v>107</v>
      </c>
      <c r="P1060" s="23">
        <v>64.02</v>
      </c>
      <c r="Q1060" s="4">
        <f t="shared" si="16"/>
        <v>656.04498594189317</v>
      </c>
      <c r="R1060" s="23" t="s">
        <v>109</v>
      </c>
    </row>
    <row r="1061" spans="1:23" x14ac:dyDescent="0.25">
      <c r="A1061" s="37">
        <v>45714</v>
      </c>
      <c r="B1061" s="1">
        <v>219017501</v>
      </c>
      <c r="C1061" t="s">
        <v>2065</v>
      </c>
      <c r="D1061" s="22">
        <v>-21861.919999999998</v>
      </c>
      <c r="E1061" t="s">
        <v>35</v>
      </c>
      <c r="F1061" s="2">
        <v>110114001</v>
      </c>
      <c r="G1061" s="2" t="s">
        <v>301</v>
      </c>
      <c r="L1061" s="2" t="s">
        <v>2066</v>
      </c>
      <c r="M1061" t="s">
        <v>788</v>
      </c>
      <c r="N1061" t="s">
        <v>789</v>
      </c>
      <c r="P1061" s="23">
        <v>64.02</v>
      </c>
      <c r="Q1061" s="4">
        <f t="shared" si="16"/>
        <v>-341.48578569197127</v>
      </c>
      <c r="R1061" s="23" t="s">
        <v>109</v>
      </c>
      <c r="S1061" s="33" t="s">
        <v>1353</v>
      </c>
    </row>
    <row r="1062" spans="1:23" x14ac:dyDescent="0.25">
      <c r="A1062" s="37">
        <v>45714</v>
      </c>
      <c r="B1062" s="1">
        <v>219017502</v>
      </c>
      <c r="C1062" t="s">
        <v>2067</v>
      </c>
      <c r="D1062" s="22">
        <v>-21126.59</v>
      </c>
      <c r="E1062" t="s">
        <v>35</v>
      </c>
      <c r="F1062" s="2">
        <v>110114001</v>
      </c>
      <c r="G1062" s="2" t="s">
        <v>301</v>
      </c>
      <c r="L1062" s="2" t="s">
        <v>2068</v>
      </c>
      <c r="M1062" t="s">
        <v>2028</v>
      </c>
      <c r="N1062" t="s">
        <v>2029</v>
      </c>
      <c r="P1062" s="23">
        <v>64.02</v>
      </c>
      <c r="Q1062" s="4">
        <f t="shared" si="16"/>
        <v>-329.99984379881289</v>
      </c>
      <c r="R1062" s="23" t="s">
        <v>109</v>
      </c>
      <c r="S1062" s="33" t="s">
        <v>1353</v>
      </c>
    </row>
    <row r="1063" spans="1:23" x14ac:dyDescent="0.25">
      <c r="A1063" s="37">
        <v>45714</v>
      </c>
      <c r="B1063" s="1">
        <v>50298478</v>
      </c>
      <c r="C1063" t="s">
        <v>118</v>
      </c>
      <c r="D1063" s="22">
        <v>-107.47</v>
      </c>
      <c r="E1063" t="s">
        <v>35</v>
      </c>
      <c r="F1063" s="2">
        <v>610148001</v>
      </c>
      <c r="G1063" s="2" t="s">
        <v>42</v>
      </c>
      <c r="L1063" s="2" t="s">
        <v>2069</v>
      </c>
      <c r="M1063" t="s">
        <v>43</v>
      </c>
      <c r="N1063" t="s">
        <v>42</v>
      </c>
      <c r="P1063" s="23">
        <v>64.02</v>
      </c>
      <c r="Q1063" s="4">
        <f t="shared" si="16"/>
        <v>-1.6786941580756014</v>
      </c>
      <c r="R1063" s="23" t="s">
        <v>109</v>
      </c>
      <c r="T1063" s="23" t="s">
        <v>1313</v>
      </c>
    </row>
    <row r="1064" spans="1:23" x14ac:dyDescent="0.25">
      <c r="A1064" s="37">
        <v>45715</v>
      </c>
      <c r="B1064" s="1">
        <v>719058171</v>
      </c>
      <c r="C1064" t="s">
        <v>2070</v>
      </c>
      <c r="D1064" s="22">
        <v>-100</v>
      </c>
      <c r="E1064" t="s">
        <v>35</v>
      </c>
      <c r="F1064" s="2">
        <v>110114001</v>
      </c>
      <c r="G1064" s="2" t="s">
        <v>301</v>
      </c>
      <c r="L1064" s="2" t="s">
        <v>2071</v>
      </c>
      <c r="M1064" t="s">
        <v>788</v>
      </c>
      <c r="N1064" t="s">
        <v>789</v>
      </c>
      <c r="P1064" s="23">
        <v>64.239999999999995</v>
      </c>
      <c r="Q1064" s="4">
        <f t="shared" si="16"/>
        <v>-1.5566625155666254</v>
      </c>
      <c r="R1064" s="23" t="s">
        <v>109</v>
      </c>
      <c r="S1064" s="33" t="s">
        <v>1353</v>
      </c>
    </row>
    <row r="1065" spans="1:23" x14ac:dyDescent="0.25">
      <c r="A1065" s="37">
        <v>45715</v>
      </c>
      <c r="B1065" s="1">
        <v>719058171</v>
      </c>
      <c r="C1065" t="s">
        <v>306</v>
      </c>
      <c r="D1065" s="22">
        <v>-0.3</v>
      </c>
      <c r="E1065" t="s">
        <v>35</v>
      </c>
      <c r="F1065" s="2">
        <v>610148001</v>
      </c>
      <c r="G1065" s="2" t="s">
        <v>42</v>
      </c>
      <c r="L1065" s="2" t="s">
        <v>2072</v>
      </c>
      <c r="M1065" t="s">
        <v>43</v>
      </c>
      <c r="N1065" t="s">
        <v>42</v>
      </c>
      <c r="P1065" s="23">
        <v>64.239999999999995</v>
      </c>
      <c r="Q1065" s="4">
        <f t="shared" si="16"/>
        <v>-4.6699875466998759E-3</v>
      </c>
      <c r="R1065" s="23" t="s">
        <v>109</v>
      </c>
      <c r="T1065" s="23" t="s">
        <v>1313</v>
      </c>
    </row>
    <row r="1066" spans="1:23" x14ac:dyDescent="0.25">
      <c r="A1066" s="37">
        <v>45715</v>
      </c>
      <c r="B1066" s="1">
        <v>111706595</v>
      </c>
      <c r="C1066" t="s">
        <v>2073</v>
      </c>
      <c r="D1066" s="22">
        <v>-3725.95</v>
      </c>
      <c r="E1066" t="s">
        <v>35</v>
      </c>
      <c r="F1066" s="2">
        <v>110114001</v>
      </c>
      <c r="G1066" s="2" t="s">
        <v>301</v>
      </c>
      <c r="L1066" s="2" t="s">
        <v>2074</v>
      </c>
      <c r="M1066" t="s">
        <v>2028</v>
      </c>
      <c r="N1066" t="s">
        <v>2029</v>
      </c>
      <c r="P1066" s="23">
        <v>64.239999999999995</v>
      </c>
      <c r="Q1066" s="4">
        <f t="shared" si="16"/>
        <v>-58.000466998754675</v>
      </c>
      <c r="R1066" s="23" t="s">
        <v>109</v>
      </c>
      <c r="S1066" s="33" t="s">
        <v>1353</v>
      </c>
    </row>
    <row r="1067" spans="1:23" x14ac:dyDescent="0.25">
      <c r="A1067" s="37">
        <v>45715</v>
      </c>
      <c r="B1067" s="1">
        <v>161758346</v>
      </c>
      <c r="C1067" t="s">
        <v>107</v>
      </c>
      <c r="D1067" s="22">
        <v>340000</v>
      </c>
      <c r="E1067" t="s">
        <v>46</v>
      </c>
      <c r="F1067" s="2">
        <v>210115002</v>
      </c>
      <c r="G1067" s="2" t="s">
        <v>47</v>
      </c>
      <c r="L1067" s="2" t="s">
        <v>2075</v>
      </c>
      <c r="N1067" t="s">
        <v>107</v>
      </c>
      <c r="P1067" s="23">
        <v>64.239999999999995</v>
      </c>
      <c r="Q1067" s="4">
        <f t="shared" si="16"/>
        <v>5292.6525529265264</v>
      </c>
      <c r="R1067" s="23" t="s">
        <v>109</v>
      </c>
    </row>
    <row r="1068" spans="1:23" x14ac:dyDescent="0.25">
      <c r="A1068" s="37">
        <v>45715</v>
      </c>
      <c r="B1068" s="1">
        <v>319084039</v>
      </c>
      <c r="C1068" t="s">
        <v>2076</v>
      </c>
      <c r="D1068" s="22">
        <v>-61.65</v>
      </c>
      <c r="E1068" t="s">
        <v>35</v>
      </c>
      <c r="F1068" s="2">
        <v>212901001</v>
      </c>
      <c r="G1068" s="2" t="s">
        <v>121</v>
      </c>
      <c r="L1068" s="2" t="s">
        <v>2077</v>
      </c>
      <c r="M1068" t="s">
        <v>67</v>
      </c>
      <c r="N1068" t="s">
        <v>68</v>
      </c>
      <c r="P1068" s="23">
        <v>64.239999999999995</v>
      </c>
      <c r="Q1068" s="4">
        <f t="shared" si="16"/>
        <v>-0.95968244084682441</v>
      </c>
      <c r="R1068" s="23" t="s">
        <v>109</v>
      </c>
      <c r="U1068">
        <v>9</v>
      </c>
      <c r="V1068" t="e">
        <f>VLOOKUP(U1068,[1]!NOMINA[#Data],4,FALSE)</f>
        <v>#REF!</v>
      </c>
      <c r="W1068" t="e">
        <f>VLOOKUP(U1068,[1]!NOMINA[#Data],5,FALSE)</f>
        <v>#REF!</v>
      </c>
    </row>
    <row r="1069" spans="1:23" x14ac:dyDescent="0.25">
      <c r="A1069" s="37">
        <v>45715</v>
      </c>
      <c r="B1069" s="1">
        <v>319084035</v>
      </c>
      <c r="C1069" t="s">
        <v>2078</v>
      </c>
      <c r="D1069" s="22">
        <v>-61.65</v>
      </c>
      <c r="E1069" t="s">
        <v>35</v>
      </c>
      <c r="F1069" s="2">
        <v>212901001</v>
      </c>
      <c r="G1069" s="2" t="s">
        <v>121</v>
      </c>
      <c r="L1069" s="2" t="s">
        <v>2079</v>
      </c>
      <c r="M1069" t="s">
        <v>67</v>
      </c>
      <c r="N1069" t="s">
        <v>68</v>
      </c>
      <c r="P1069" s="23">
        <v>64.239999999999995</v>
      </c>
      <c r="Q1069" s="4">
        <f t="shared" si="16"/>
        <v>-0.95968244084682441</v>
      </c>
      <c r="R1069" s="23" t="s">
        <v>109</v>
      </c>
      <c r="U1069">
        <v>26</v>
      </c>
      <c r="V1069" t="e">
        <f>VLOOKUP(Tabla3[[#This Row],[Nº]],[1]!NOMINA[#Data],4,FALSE)</f>
        <v>#REF!</v>
      </c>
      <c r="W1069" t="e">
        <f>VLOOKUP(Tabla3[[#This Row],[Nº]],[1]!NOMINA[#Data],5,FALSE)</f>
        <v>#REF!</v>
      </c>
    </row>
    <row r="1070" spans="1:23" x14ac:dyDescent="0.25">
      <c r="A1070" s="37">
        <v>45715</v>
      </c>
      <c r="B1070" s="1">
        <v>319084037</v>
      </c>
      <c r="C1070" t="s">
        <v>2080</v>
      </c>
      <c r="D1070" s="22">
        <v>-61.65</v>
      </c>
      <c r="E1070" t="s">
        <v>35</v>
      </c>
      <c r="F1070" s="2">
        <v>212901001</v>
      </c>
      <c r="G1070" s="2" t="s">
        <v>121</v>
      </c>
      <c r="L1070" s="2" t="s">
        <v>2081</v>
      </c>
      <c r="M1070" t="s">
        <v>67</v>
      </c>
      <c r="N1070" t="s">
        <v>68</v>
      </c>
      <c r="P1070" s="23">
        <v>64.239999999999995</v>
      </c>
      <c r="Q1070" s="4">
        <f t="shared" si="16"/>
        <v>-0.95968244084682441</v>
      </c>
      <c r="R1070" s="23" t="s">
        <v>109</v>
      </c>
      <c r="U1070">
        <v>29</v>
      </c>
      <c r="V1070" t="e">
        <f>VLOOKUP(U1070,[1]!NOMINA[#Data],4,FALSE)</f>
        <v>#REF!</v>
      </c>
      <c r="W1070" t="e">
        <f>VLOOKUP(U1070,[1]!NOMINA[#Data],5,FALSE)</f>
        <v>#REF!</v>
      </c>
    </row>
    <row r="1071" spans="1:23" x14ac:dyDescent="0.25">
      <c r="A1071" s="37">
        <v>45715</v>
      </c>
      <c r="B1071" s="1">
        <v>319084036</v>
      </c>
      <c r="C1071" t="s">
        <v>2082</v>
      </c>
      <c r="D1071" s="22">
        <v>-61.65</v>
      </c>
      <c r="E1071" t="s">
        <v>35</v>
      </c>
      <c r="F1071" s="2">
        <v>212901001</v>
      </c>
      <c r="G1071" s="2" t="s">
        <v>121</v>
      </c>
      <c r="L1071" s="2" t="s">
        <v>2083</v>
      </c>
      <c r="M1071" t="s">
        <v>67</v>
      </c>
      <c r="N1071" t="s">
        <v>68</v>
      </c>
      <c r="P1071" s="23">
        <v>64.239999999999995</v>
      </c>
      <c r="Q1071" s="4">
        <f t="shared" si="16"/>
        <v>-0.95968244084682441</v>
      </c>
      <c r="R1071" s="23" t="s">
        <v>109</v>
      </c>
      <c r="U1071">
        <v>44</v>
      </c>
      <c r="V1071" t="e">
        <f>VLOOKUP(U1071,[1]!NOMINA[#Data],4,FALSE)</f>
        <v>#REF!</v>
      </c>
      <c r="W1071" t="e">
        <f>VLOOKUP(U1071,[1]!NOMINA[#Data],5,FALSE)</f>
        <v>#REF!</v>
      </c>
    </row>
    <row r="1072" spans="1:23" x14ac:dyDescent="0.25">
      <c r="A1072" s="37">
        <v>45715</v>
      </c>
      <c r="B1072" s="1">
        <v>319084041</v>
      </c>
      <c r="C1072" t="s">
        <v>2084</v>
      </c>
      <c r="D1072" s="22">
        <v>-61.65</v>
      </c>
      <c r="E1072" t="s">
        <v>35</v>
      </c>
      <c r="F1072" s="2">
        <v>212901001</v>
      </c>
      <c r="G1072" s="2" t="s">
        <v>121</v>
      </c>
      <c r="L1072" s="2" t="s">
        <v>2085</v>
      </c>
      <c r="M1072" t="s">
        <v>67</v>
      </c>
      <c r="N1072" t="s">
        <v>68</v>
      </c>
      <c r="P1072" s="23">
        <v>64.239999999999995</v>
      </c>
      <c r="Q1072" s="4">
        <f t="shared" si="16"/>
        <v>-0.95968244084682441</v>
      </c>
      <c r="R1072" s="23" t="s">
        <v>109</v>
      </c>
      <c r="U1072">
        <v>10</v>
      </c>
      <c r="V1072" t="e">
        <f>VLOOKUP(U1072,[1]!NOMINA[#Data],4,FALSE)</f>
        <v>#REF!</v>
      </c>
      <c r="W1072" t="e">
        <f>VLOOKUP(U1072,[1]!NOMINA[#Data],5,FALSE)</f>
        <v>#REF!</v>
      </c>
    </row>
    <row r="1073" spans="1:23" x14ac:dyDescent="0.25">
      <c r="A1073" s="37">
        <v>45715</v>
      </c>
      <c r="B1073" s="1">
        <v>319084042</v>
      </c>
      <c r="C1073" t="s">
        <v>2086</v>
      </c>
      <c r="D1073" s="22">
        <v>-61.65</v>
      </c>
      <c r="E1073" t="s">
        <v>35</v>
      </c>
      <c r="F1073" s="2">
        <v>212901001</v>
      </c>
      <c r="G1073" s="2" t="s">
        <v>121</v>
      </c>
      <c r="L1073" s="2" t="s">
        <v>2087</v>
      </c>
      <c r="M1073" t="s">
        <v>67</v>
      </c>
      <c r="N1073" t="s">
        <v>68</v>
      </c>
      <c r="P1073" s="23">
        <v>64.239999999999995</v>
      </c>
      <c r="Q1073" s="4">
        <f t="shared" si="16"/>
        <v>-0.95968244084682441</v>
      </c>
      <c r="R1073" s="23" t="s">
        <v>109</v>
      </c>
      <c r="U1073">
        <v>18</v>
      </c>
      <c r="V1073" t="e">
        <f>VLOOKUP(Tabla3[[#This Row],[Nº]],[1]!NOMINA[#Data],4,FALSE)</f>
        <v>#REF!</v>
      </c>
      <c r="W1073" t="e">
        <f>VLOOKUP(Tabla3[[#This Row],[Nº]],[1]!NOMINA[#Data],5,FALSE)</f>
        <v>#REF!</v>
      </c>
    </row>
    <row r="1074" spans="1:23" x14ac:dyDescent="0.25">
      <c r="A1074" s="37">
        <v>45715</v>
      </c>
      <c r="B1074" s="1">
        <v>319084038</v>
      </c>
      <c r="C1074" t="s">
        <v>2088</v>
      </c>
      <c r="D1074" s="22">
        <v>-61.65</v>
      </c>
      <c r="E1074" t="s">
        <v>35</v>
      </c>
      <c r="F1074" s="2">
        <v>212901001</v>
      </c>
      <c r="G1074" s="2" t="s">
        <v>121</v>
      </c>
      <c r="L1074" s="2" t="s">
        <v>2089</v>
      </c>
      <c r="M1074" t="s">
        <v>67</v>
      </c>
      <c r="N1074" t="s">
        <v>68</v>
      </c>
      <c r="P1074" s="23">
        <v>64.239999999999995</v>
      </c>
      <c r="Q1074" s="4">
        <f t="shared" si="16"/>
        <v>-0.95968244084682441</v>
      </c>
      <c r="R1074" s="23" t="s">
        <v>109</v>
      </c>
      <c r="U1074">
        <v>38</v>
      </c>
      <c r="V1074" t="e">
        <f>VLOOKUP(U1074,[1]!NOMINA[#Data],4,FALSE)</f>
        <v>#REF!</v>
      </c>
      <c r="W1074" t="e">
        <f>VLOOKUP(U1074,[1]!NOMINA[#Data],5,FALSE)</f>
        <v>#REF!</v>
      </c>
    </row>
    <row r="1075" spans="1:23" x14ac:dyDescent="0.25">
      <c r="A1075" s="37">
        <v>45715</v>
      </c>
      <c r="B1075" s="1">
        <v>319084040</v>
      </c>
      <c r="C1075" t="s">
        <v>2090</v>
      </c>
      <c r="D1075" s="22">
        <v>-61.65</v>
      </c>
      <c r="E1075" t="s">
        <v>35</v>
      </c>
      <c r="F1075" s="2">
        <v>212901001</v>
      </c>
      <c r="G1075" s="2" t="s">
        <v>121</v>
      </c>
      <c r="L1075" s="2" t="s">
        <v>2091</v>
      </c>
      <c r="M1075" t="s">
        <v>67</v>
      </c>
      <c r="N1075" t="s">
        <v>68</v>
      </c>
      <c r="P1075" s="23">
        <v>64.239999999999995</v>
      </c>
      <c r="Q1075" s="4">
        <f t="shared" si="16"/>
        <v>-0.95968244084682441</v>
      </c>
      <c r="R1075" s="23" t="s">
        <v>109</v>
      </c>
      <c r="U1075">
        <v>15</v>
      </c>
      <c r="V1075" t="e">
        <f>VLOOKUP(U1075,[1]!NOMINA[#Data],4,FALSE)</f>
        <v>#REF!</v>
      </c>
      <c r="W1075" t="e">
        <f>VLOOKUP(U1075,[1]!NOMINA[#Data],5,FALSE)</f>
        <v>#REF!</v>
      </c>
    </row>
    <row r="1076" spans="1:23" x14ac:dyDescent="0.25">
      <c r="A1076" s="37">
        <v>45715</v>
      </c>
      <c r="B1076" s="1">
        <v>319084044</v>
      </c>
      <c r="C1076" t="s">
        <v>2092</v>
      </c>
      <c r="D1076" s="22">
        <v>-61.65</v>
      </c>
      <c r="E1076" t="s">
        <v>35</v>
      </c>
      <c r="F1076" s="2">
        <v>212901001</v>
      </c>
      <c r="G1076" s="2" t="s">
        <v>121</v>
      </c>
      <c r="L1076" s="2" t="s">
        <v>2093</v>
      </c>
      <c r="M1076" t="s">
        <v>67</v>
      </c>
      <c r="N1076" s="2" t="s">
        <v>68</v>
      </c>
      <c r="O1076" s="2"/>
      <c r="P1076" s="23">
        <v>64.239999999999995</v>
      </c>
      <c r="Q1076" s="4">
        <f t="shared" si="16"/>
        <v>-0.95968244084682441</v>
      </c>
      <c r="R1076" s="23" t="s">
        <v>109</v>
      </c>
      <c r="U1076">
        <v>36</v>
      </c>
      <c r="V1076" t="e">
        <f>VLOOKUP(U1076,[1]!NOMINA[#Data],4,FALSE)</f>
        <v>#REF!</v>
      </c>
      <c r="W1076" t="e">
        <f>VLOOKUP(U1076,[1]!NOMINA[#Data],5,FALSE)</f>
        <v>#REF!</v>
      </c>
    </row>
    <row r="1077" spans="1:23" x14ac:dyDescent="0.25">
      <c r="A1077" s="37">
        <v>45715</v>
      </c>
      <c r="B1077" s="1">
        <v>319084046</v>
      </c>
      <c r="C1077" t="s">
        <v>2094</v>
      </c>
      <c r="D1077" s="22">
        <v>-61.65</v>
      </c>
      <c r="E1077" t="s">
        <v>35</v>
      </c>
      <c r="F1077" s="2">
        <v>212901001</v>
      </c>
      <c r="G1077" s="2" t="s">
        <v>121</v>
      </c>
      <c r="L1077" s="2" t="s">
        <v>2095</v>
      </c>
      <c r="M1077" t="s">
        <v>67</v>
      </c>
      <c r="N1077" t="s">
        <v>68</v>
      </c>
      <c r="P1077" s="23">
        <v>64.239999999999995</v>
      </c>
      <c r="Q1077" s="4">
        <f t="shared" si="16"/>
        <v>-0.95968244084682441</v>
      </c>
      <c r="R1077" s="23" t="s">
        <v>109</v>
      </c>
      <c r="U1077">
        <v>20</v>
      </c>
      <c r="V1077" t="e">
        <f>VLOOKUP(Tabla3[[#This Row],[Nº]],[1]!NOMINA[#Data],4,FALSE)</f>
        <v>#REF!</v>
      </c>
      <c r="W1077" t="e">
        <f>VLOOKUP(Tabla3[[#This Row],[Nº]],[1]!NOMINA[#Data],5,FALSE)</f>
        <v>#REF!</v>
      </c>
    </row>
    <row r="1078" spans="1:23" x14ac:dyDescent="0.25">
      <c r="A1078" s="37">
        <v>45715</v>
      </c>
      <c r="B1078" s="1">
        <v>319084045</v>
      </c>
      <c r="C1078" t="s">
        <v>2096</v>
      </c>
      <c r="D1078" s="22">
        <v>-61.65</v>
      </c>
      <c r="E1078" t="s">
        <v>35</v>
      </c>
      <c r="F1078" s="2">
        <v>212901001</v>
      </c>
      <c r="G1078" s="2" t="s">
        <v>121</v>
      </c>
      <c r="L1078" s="2" t="s">
        <v>2097</v>
      </c>
      <c r="M1078" t="s">
        <v>67</v>
      </c>
      <c r="N1078" t="s">
        <v>68</v>
      </c>
      <c r="P1078" s="23">
        <v>64.239999999999995</v>
      </c>
      <c r="Q1078" s="4">
        <f t="shared" si="16"/>
        <v>-0.95968244084682441</v>
      </c>
      <c r="R1078" s="23" t="s">
        <v>109</v>
      </c>
      <c r="U1078">
        <v>41</v>
      </c>
      <c r="V1078" t="e">
        <f>VLOOKUP(U1078,[1]!NOMINA[#Data],4,FALSE)</f>
        <v>#REF!</v>
      </c>
      <c r="W1078" t="e">
        <f>VLOOKUP(U1078,[1]!NOMINA[#Data],5,FALSE)</f>
        <v>#REF!</v>
      </c>
    </row>
    <row r="1079" spans="1:23" x14ac:dyDescent="0.25">
      <c r="A1079" s="37">
        <v>45715</v>
      </c>
      <c r="B1079" s="1">
        <v>319084043</v>
      </c>
      <c r="C1079" t="s">
        <v>2098</v>
      </c>
      <c r="D1079" s="22">
        <v>-61.65</v>
      </c>
      <c r="E1079" t="s">
        <v>35</v>
      </c>
      <c r="F1079" s="2">
        <v>212901001</v>
      </c>
      <c r="G1079" s="2" t="s">
        <v>121</v>
      </c>
      <c r="L1079" s="2" t="s">
        <v>2099</v>
      </c>
      <c r="M1079" t="s">
        <v>67</v>
      </c>
      <c r="N1079" t="s">
        <v>68</v>
      </c>
      <c r="P1079" s="23">
        <v>64.239999999999995</v>
      </c>
      <c r="Q1079" s="4">
        <f t="shared" si="16"/>
        <v>-0.95968244084682441</v>
      </c>
      <c r="R1079" s="23" t="s">
        <v>109</v>
      </c>
      <c r="U1079">
        <v>13</v>
      </c>
      <c r="V1079" t="e">
        <f>VLOOKUP(U1079,[1]!NOMINA[#Data],4,FALSE)</f>
        <v>#REF!</v>
      </c>
      <c r="W1079" t="e">
        <f>VLOOKUP(U1079,[1]!NOMINA[#Data],5,FALSE)</f>
        <v>#REF!</v>
      </c>
    </row>
    <row r="1080" spans="1:23" x14ac:dyDescent="0.25">
      <c r="A1080" s="37">
        <v>45715</v>
      </c>
      <c r="B1080" s="1">
        <v>419084047</v>
      </c>
      <c r="C1080" t="s">
        <v>2100</v>
      </c>
      <c r="D1080" s="22">
        <v>-61.65</v>
      </c>
      <c r="E1080" t="s">
        <v>35</v>
      </c>
      <c r="F1080" s="2">
        <v>212901001</v>
      </c>
      <c r="G1080" s="2" t="s">
        <v>121</v>
      </c>
      <c r="L1080" s="2" t="s">
        <v>2101</v>
      </c>
      <c r="M1080" t="s">
        <v>67</v>
      </c>
      <c r="N1080" t="s">
        <v>68</v>
      </c>
      <c r="P1080" s="23">
        <v>64.239999999999995</v>
      </c>
      <c r="Q1080" s="4">
        <f t="shared" si="16"/>
        <v>-0.95968244084682441</v>
      </c>
      <c r="R1080" s="23" t="s">
        <v>109</v>
      </c>
      <c r="U1080">
        <v>13</v>
      </c>
      <c r="V1080" t="e">
        <f>VLOOKUP(U1080,[1]!NOMINA[#Data],4,FALSE)</f>
        <v>#REF!</v>
      </c>
      <c r="W1080" t="e">
        <f>VLOOKUP(U1080,[1]!NOMINA[#Data],5,FALSE)</f>
        <v>#REF!</v>
      </c>
    </row>
    <row r="1081" spans="1:23" x14ac:dyDescent="0.25">
      <c r="A1081" s="37">
        <v>45715</v>
      </c>
      <c r="B1081" s="1">
        <v>419084050</v>
      </c>
      <c r="C1081" t="s">
        <v>2102</v>
      </c>
      <c r="D1081" s="22">
        <v>-61.65</v>
      </c>
      <c r="E1081" t="s">
        <v>35</v>
      </c>
      <c r="F1081" s="2">
        <v>212901001</v>
      </c>
      <c r="G1081" s="2" t="s">
        <v>121</v>
      </c>
      <c r="L1081" s="2" t="s">
        <v>2103</v>
      </c>
      <c r="M1081" t="s">
        <v>67</v>
      </c>
      <c r="N1081" t="s">
        <v>68</v>
      </c>
      <c r="P1081" s="23">
        <v>64.239999999999995</v>
      </c>
      <c r="Q1081" s="4">
        <f t="shared" si="16"/>
        <v>-0.95968244084682441</v>
      </c>
      <c r="R1081" s="23" t="s">
        <v>109</v>
      </c>
      <c r="U1081">
        <v>8</v>
      </c>
      <c r="V1081" t="e">
        <f>VLOOKUP(U1081,[1]!NOMINA[#Data],4,FALSE)</f>
        <v>#REF!</v>
      </c>
      <c r="W1081" t="e">
        <f>VLOOKUP(U1081,[1]!NOMINA[#Data],5,FALSE)</f>
        <v>#REF!</v>
      </c>
    </row>
    <row r="1082" spans="1:23" x14ac:dyDescent="0.25">
      <c r="A1082" s="37">
        <v>45715</v>
      </c>
      <c r="B1082" s="1">
        <v>419084048</v>
      </c>
      <c r="C1082" t="s">
        <v>2104</v>
      </c>
      <c r="D1082" s="22">
        <v>-61.65</v>
      </c>
      <c r="E1082" t="s">
        <v>35</v>
      </c>
      <c r="F1082" s="2">
        <v>212901001</v>
      </c>
      <c r="G1082" s="2" t="s">
        <v>121</v>
      </c>
      <c r="L1082" s="2" t="s">
        <v>2105</v>
      </c>
      <c r="M1082" t="s">
        <v>67</v>
      </c>
      <c r="N1082" t="s">
        <v>68</v>
      </c>
      <c r="P1082" s="23">
        <v>64.239999999999995</v>
      </c>
      <c r="Q1082" s="4">
        <f t="shared" si="16"/>
        <v>-0.95968244084682441</v>
      </c>
      <c r="R1082" s="23" t="s">
        <v>109</v>
      </c>
      <c r="U1082">
        <v>11</v>
      </c>
      <c r="V1082" t="e">
        <f>VLOOKUP(U1082,[1]!NOMINA[#Data],4,FALSE)</f>
        <v>#REF!</v>
      </c>
      <c r="W1082" t="e">
        <f>VLOOKUP(U1082,[1]!NOMINA[#Data],5,FALSE)</f>
        <v>#REF!</v>
      </c>
    </row>
    <row r="1083" spans="1:23" x14ac:dyDescent="0.25">
      <c r="A1083" s="37">
        <v>45715</v>
      </c>
      <c r="B1083" s="1">
        <v>419084054</v>
      </c>
      <c r="C1083" t="s">
        <v>2106</v>
      </c>
      <c r="D1083" s="22">
        <v>-61.65</v>
      </c>
      <c r="E1083" t="s">
        <v>35</v>
      </c>
      <c r="F1083" s="2">
        <v>212901001</v>
      </c>
      <c r="G1083" s="2" t="s">
        <v>121</v>
      </c>
      <c r="L1083" s="2" t="s">
        <v>2107</v>
      </c>
      <c r="M1083" t="s">
        <v>67</v>
      </c>
      <c r="N1083" t="s">
        <v>68</v>
      </c>
      <c r="P1083" s="23">
        <v>64.239999999999995</v>
      </c>
      <c r="Q1083" s="4">
        <f t="shared" si="16"/>
        <v>-0.95968244084682441</v>
      </c>
      <c r="R1083" s="23" t="s">
        <v>109</v>
      </c>
      <c r="U1083">
        <v>23</v>
      </c>
      <c r="V1083" t="e">
        <f>VLOOKUP(U1083,[1]!NOMINA[#Data],4,FALSE)</f>
        <v>#REF!</v>
      </c>
      <c r="W1083" t="e">
        <f>VLOOKUP(U1083,[1]!NOMINA[#Data],5,FALSE)</f>
        <v>#REF!</v>
      </c>
    </row>
    <row r="1084" spans="1:23" x14ac:dyDescent="0.25">
      <c r="A1084" s="37">
        <v>45715</v>
      </c>
      <c r="B1084" s="1">
        <v>419084051</v>
      </c>
      <c r="C1084" t="s">
        <v>2108</v>
      </c>
      <c r="D1084" s="22">
        <v>-61.65</v>
      </c>
      <c r="E1084" t="s">
        <v>35</v>
      </c>
      <c r="F1084" s="2">
        <v>212901001</v>
      </c>
      <c r="G1084" s="2" t="s">
        <v>121</v>
      </c>
      <c r="L1084" s="2" t="s">
        <v>2109</v>
      </c>
      <c r="M1084" t="s">
        <v>67</v>
      </c>
      <c r="N1084" t="s">
        <v>68</v>
      </c>
      <c r="P1084" s="23">
        <v>64.239999999999995</v>
      </c>
      <c r="Q1084" s="4">
        <f t="shared" si="16"/>
        <v>-0.95968244084682441</v>
      </c>
      <c r="R1084" s="23" t="s">
        <v>109</v>
      </c>
      <c r="U1084">
        <v>43</v>
      </c>
      <c r="V1084" t="e">
        <f>VLOOKUP(U1084,[1]!NOMINA[#Data],4,FALSE)</f>
        <v>#REF!</v>
      </c>
      <c r="W1084" t="e">
        <f>VLOOKUP(U1084,[1]!NOMINA[#Data],5,FALSE)</f>
        <v>#REF!</v>
      </c>
    </row>
    <row r="1085" spans="1:23" x14ac:dyDescent="0.25">
      <c r="A1085" s="37">
        <v>45715</v>
      </c>
      <c r="B1085" s="1">
        <v>419084055</v>
      </c>
      <c r="C1085" t="s">
        <v>2110</v>
      </c>
      <c r="D1085" s="22">
        <v>-61.65</v>
      </c>
      <c r="E1085" t="s">
        <v>35</v>
      </c>
      <c r="F1085" s="2">
        <v>212901001</v>
      </c>
      <c r="G1085" s="2" t="s">
        <v>121</v>
      </c>
      <c r="L1085" s="2" t="s">
        <v>2111</v>
      </c>
      <c r="M1085" t="s">
        <v>67</v>
      </c>
      <c r="N1085" t="s">
        <v>68</v>
      </c>
      <c r="P1085" s="23">
        <v>64.239999999999995</v>
      </c>
      <c r="Q1085" s="4">
        <f t="shared" si="16"/>
        <v>-0.95968244084682441</v>
      </c>
      <c r="R1085" s="23" t="s">
        <v>109</v>
      </c>
      <c r="U1085">
        <v>17</v>
      </c>
      <c r="V1085" t="e">
        <f>VLOOKUP(U1085,[1]!NOMINA[#Data],4,FALSE)</f>
        <v>#REF!</v>
      </c>
      <c r="W1085" t="e">
        <f>VLOOKUP(U1085,[1]!NOMINA[#Data],5,FALSE)</f>
        <v>#REF!</v>
      </c>
    </row>
    <row r="1086" spans="1:23" x14ac:dyDescent="0.25">
      <c r="A1086" s="37">
        <v>45715</v>
      </c>
      <c r="B1086" s="1">
        <v>419084052</v>
      </c>
      <c r="C1086" t="s">
        <v>2112</v>
      </c>
      <c r="D1086" s="22">
        <v>-61.65</v>
      </c>
      <c r="E1086" t="s">
        <v>35</v>
      </c>
      <c r="F1086" s="2">
        <v>212901001</v>
      </c>
      <c r="G1086" s="2" t="s">
        <v>121</v>
      </c>
      <c r="L1086" s="2" t="s">
        <v>2113</v>
      </c>
      <c r="M1086" t="s">
        <v>67</v>
      </c>
      <c r="N1086" t="s">
        <v>68</v>
      </c>
      <c r="P1086" s="23">
        <v>64.239999999999995</v>
      </c>
      <c r="Q1086" s="4">
        <f t="shared" si="16"/>
        <v>-0.95968244084682441</v>
      </c>
      <c r="R1086" s="23" t="s">
        <v>109</v>
      </c>
      <c r="U1086">
        <v>14</v>
      </c>
      <c r="V1086" t="e">
        <f>VLOOKUP(Tabla3[[#This Row],[Nº]],[1]!NOMINA[#Data],4,FALSE)</f>
        <v>#REF!</v>
      </c>
      <c r="W1086" t="e">
        <f>VLOOKUP(Tabla3[[#This Row],[Nº]],[1]!NOMINA[#Data],5,FALSE)</f>
        <v>#REF!</v>
      </c>
    </row>
    <row r="1087" spans="1:23" x14ac:dyDescent="0.25">
      <c r="A1087" s="37">
        <v>45715</v>
      </c>
      <c r="B1087" s="1">
        <v>419084053</v>
      </c>
      <c r="C1087" t="s">
        <v>2114</v>
      </c>
      <c r="D1087" s="22">
        <v>-61.65</v>
      </c>
      <c r="E1087" t="s">
        <v>35</v>
      </c>
      <c r="F1087" s="2">
        <v>212901001</v>
      </c>
      <c r="G1087" s="2" t="s">
        <v>121</v>
      </c>
      <c r="L1087" s="2" t="s">
        <v>2115</v>
      </c>
      <c r="M1087" t="s">
        <v>67</v>
      </c>
      <c r="N1087" t="s">
        <v>68</v>
      </c>
      <c r="P1087" s="23">
        <v>64.239999999999995</v>
      </c>
      <c r="Q1087" s="4">
        <f t="shared" si="16"/>
        <v>-0.95968244084682441</v>
      </c>
      <c r="R1087" s="23" t="s">
        <v>109</v>
      </c>
      <c r="U1087">
        <v>22</v>
      </c>
      <c r="V1087" t="e">
        <f>VLOOKUP(Tabla3[[#This Row],[Nº]],[1]!NOMINA[#Data],4,FALSE)</f>
        <v>#REF!</v>
      </c>
      <c r="W1087" t="e">
        <f>VLOOKUP(U1087,[1]!NOMINA[#Data],5,FALSE)</f>
        <v>#REF!</v>
      </c>
    </row>
    <row r="1088" spans="1:23" x14ac:dyDescent="0.25">
      <c r="A1088" s="37">
        <v>45715</v>
      </c>
      <c r="B1088" s="1">
        <v>419084049</v>
      </c>
      <c r="C1088" t="s">
        <v>2116</v>
      </c>
      <c r="D1088" s="22">
        <v>-61.65</v>
      </c>
      <c r="E1088" t="s">
        <v>35</v>
      </c>
      <c r="F1088" s="2">
        <v>212901001</v>
      </c>
      <c r="G1088" s="2" t="s">
        <v>121</v>
      </c>
      <c r="L1088" s="2" t="s">
        <v>2117</v>
      </c>
      <c r="M1088" t="s">
        <v>67</v>
      </c>
      <c r="N1088" t="s">
        <v>68</v>
      </c>
      <c r="P1088" s="23">
        <v>64.239999999999995</v>
      </c>
      <c r="Q1088" s="4">
        <f t="shared" si="16"/>
        <v>-0.95968244084682441</v>
      </c>
      <c r="R1088" s="23" t="s">
        <v>109</v>
      </c>
      <c r="U1088">
        <v>42</v>
      </c>
      <c r="V1088" t="e">
        <f>VLOOKUP(U1088,[1]!NOMINA[#Data],4,FALSE)</f>
        <v>#REF!</v>
      </c>
      <c r="W1088" t="e">
        <f>VLOOKUP(U1088,[1]!NOMINA[#Data],5,FALSE)</f>
        <v>#REF!</v>
      </c>
    </row>
    <row r="1089" spans="1:23" x14ac:dyDescent="0.25">
      <c r="A1089" s="37">
        <v>45715</v>
      </c>
      <c r="B1089" s="1">
        <v>419084059</v>
      </c>
      <c r="C1089" t="s">
        <v>2118</v>
      </c>
      <c r="D1089" s="22">
        <v>-61.65</v>
      </c>
      <c r="E1089" t="s">
        <v>35</v>
      </c>
      <c r="F1089" s="2">
        <v>212901001</v>
      </c>
      <c r="G1089" s="2" t="s">
        <v>121</v>
      </c>
      <c r="L1089" s="2" t="s">
        <v>2119</v>
      </c>
      <c r="M1089" t="s">
        <v>67</v>
      </c>
      <c r="N1089" t="s">
        <v>68</v>
      </c>
      <c r="P1089" s="23">
        <v>64.239999999999995</v>
      </c>
      <c r="Q1089" s="4">
        <f t="shared" si="16"/>
        <v>-0.95968244084682441</v>
      </c>
      <c r="R1089" s="23" t="s">
        <v>109</v>
      </c>
      <c r="U1089">
        <v>39</v>
      </c>
      <c r="V1089" t="e">
        <f>VLOOKUP(U1089,[1]!NOMINA[#Data],4,FALSE)</f>
        <v>#REF!</v>
      </c>
      <c r="W1089" t="e">
        <f>VLOOKUP(U1089,[1]!NOMINA[#Data],5,FALSE)</f>
        <v>#REF!</v>
      </c>
    </row>
    <row r="1090" spans="1:23" x14ac:dyDescent="0.25">
      <c r="A1090" s="37">
        <v>45715</v>
      </c>
      <c r="B1090" s="1">
        <v>519084060</v>
      </c>
      <c r="C1090" t="s">
        <v>2120</v>
      </c>
      <c r="D1090" s="22">
        <v>-61.65</v>
      </c>
      <c r="E1090" t="s">
        <v>35</v>
      </c>
      <c r="F1090" s="2">
        <v>212901001</v>
      </c>
      <c r="G1090" s="2" t="s">
        <v>121</v>
      </c>
      <c r="L1090" s="2" t="s">
        <v>2121</v>
      </c>
      <c r="M1090" t="s">
        <v>67</v>
      </c>
      <c r="N1090" t="s">
        <v>68</v>
      </c>
      <c r="P1090" s="23">
        <v>64.239999999999995</v>
      </c>
      <c r="Q1090" s="4">
        <f t="shared" si="16"/>
        <v>-0.95968244084682441</v>
      </c>
      <c r="R1090" s="23" t="s">
        <v>109</v>
      </c>
      <c r="U1090">
        <v>21</v>
      </c>
      <c r="V1090" t="e">
        <f>VLOOKUP(U1090,[1]!NOMINA[#Data],4,FALSE)</f>
        <v>#REF!</v>
      </c>
      <c r="W1090" t="e">
        <f>VLOOKUP(U1090,[1]!NOMINA[#Data],5,FALSE)</f>
        <v>#REF!</v>
      </c>
    </row>
    <row r="1091" spans="1:23" x14ac:dyDescent="0.25">
      <c r="A1091" s="37">
        <v>45715</v>
      </c>
      <c r="B1091" s="1">
        <v>419084057</v>
      </c>
      <c r="C1091" t="s">
        <v>2122</v>
      </c>
      <c r="D1091" s="22">
        <v>-61.65</v>
      </c>
      <c r="E1091" t="s">
        <v>35</v>
      </c>
      <c r="F1091" s="2">
        <v>212901001</v>
      </c>
      <c r="G1091" s="2" t="s">
        <v>121</v>
      </c>
      <c r="L1091" s="2" t="s">
        <v>2123</v>
      </c>
      <c r="M1091" t="s">
        <v>67</v>
      </c>
      <c r="N1091" t="s">
        <v>68</v>
      </c>
      <c r="P1091" s="23">
        <v>64.239999999999995</v>
      </c>
      <c r="Q1091" s="4">
        <f t="shared" si="16"/>
        <v>-0.95968244084682441</v>
      </c>
      <c r="R1091" s="23" t="s">
        <v>109</v>
      </c>
      <c r="U1091">
        <v>25</v>
      </c>
      <c r="V1091" t="e">
        <f>VLOOKUP(U1091,[1]!NOMINA[#Data],4,FALSE)</f>
        <v>#REF!</v>
      </c>
      <c r="W1091" t="e">
        <f>VLOOKUP(U1091,[1]!NOMINA[#Data],5,FALSE)</f>
        <v>#REF!</v>
      </c>
    </row>
    <row r="1092" spans="1:23" x14ac:dyDescent="0.25">
      <c r="A1092" s="37">
        <v>45715</v>
      </c>
      <c r="B1092" s="1">
        <v>519084064</v>
      </c>
      <c r="C1092" t="s">
        <v>2124</v>
      </c>
      <c r="D1092" s="22">
        <v>-61.65</v>
      </c>
      <c r="E1092" t="s">
        <v>35</v>
      </c>
      <c r="F1092" s="2">
        <v>212901001</v>
      </c>
      <c r="G1092" s="2" t="s">
        <v>121</v>
      </c>
      <c r="L1092" s="2" t="s">
        <v>2125</v>
      </c>
      <c r="M1092" t="s">
        <v>67</v>
      </c>
      <c r="N1092" t="s">
        <v>68</v>
      </c>
      <c r="P1092" s="23">
        <v>64.239999999999995</v>
      </c>
      <c r="Q1092" s="4">
        <f t="shared" si="16"/>
        <v>-0.95968244084682441</v>
      </c>
      <c r="R1092" s="23" t="s">
        <v>109</v>
      </c>
      <c r="U1092">
        <v>12</v>
      </c>
      <c r="V1092" t="e">
        <f>VLOOKUP(U1092,[1]!NOMINA[#Data],4,FALSE)</f>
        <v>#REF!</v>
      </c>
      <c r="W1092" t="e">
        <f>VLOOKUP(U1092,[1]!NOMINA[#Data],5,FALSE)</f>
        <v>#REF!</v>
      </c>
    </row>
    <row r="1093" spans="1:23" x14ac:dyDescent="0.25">
      <c r="A1093" s="37">
        <v>45715</v>
      </c>
      <c r="B1093" s="1">
        <v>519084061</v>
      </c>
      <c r="C1093" t="s">
        <v>2126</v>
      </c>
      <c r="D1093" s="22">
        <v>-61.65</v>
      </c>
      <c r="E1093" t="s">
        <v>35</v>
      </c>
      <c r="F1093" s="2">
        <v>212901001</v>
      </c>
      <c r="G1093" s="2" t="s">
        <v>121</v>
      </c>
      <c r="L1093" s="2" t="s">
        <v>2127</v>
      </c>
      <c r="M1093" t="s">
        <v>67</v>
      </c>
      <c r="N1093" t="s">
        <v>68</v>
      </c>
      <c r="P1093" s="23">
        <v>64.239999999999995</v>
      </c>
      <c r="Q1093" s="4">
        <f t="shared" si="16"/>
        <v>-0.95968244084682441</v>
      </c>
      <c r="R1093" s="23" t="s">
        <v>109</v>
      </c>
      <c r="U1093">
        <v>2</v>
      </c>
      <c r="V1093" t="e">
        <f>VLOOKUP(Tabla3[[#This Row],[Nº]],[1]!NOMINA[#Data],4,FALSE)</f>
        <v>#REF!</v>
      </c>
      <c r="W1093" t="e">
        <f>VLOOKUP(Tabla3[[#This Row],[Nº]],[1]!NOMINA[#Data],5,FALSE)</f>
        <v>#REF!</v>
      </c>
    </row>
    <row r="1094" spans="1:23" x14ac:dyDescent="0.25">
      <c r="A1094" s="37">
        <v>45715</v>
      </c>
      <c r="B1094" s="1">
        <v>519084062</v>
      </c>
      <c r="C1094" t="s">
        <v>2128</v>
      </c>
      <c r="D1094" s="22">
        <v>-61.65</v>
      </c>
      <c r="E1094" t="s">
        <v>35</v>
      </c>
      <c r="F1094" s="2">
        <v>212901001</v>
      </c>
      <c r="G1094" s="2" t="s">
        <v>121</v>
      </c>
      <c r="L1094" s="2" t="s">
        <v>2129</v>
      </c>
      <c r="M1094" t="s">
        <v>67</v>
      </c>
      <c r="N1094" t="s">
        <v>68</v>
      </c>
      <c r="P1094" s="23">
        <v>64.239999999999995</v>
      </c>
      <c r="Q1094" s="4">
        <f t="shared" si="16"/>
        <v>-0.95968244084682441</v>
      </c>
      <c r="R1094" s="23" t="s">
        <v>109</v>
      </c>
      <c r="U1094">
        <v>28</v>
      </c>
      <c r="V1094" t="e">
        <f>VLOOKUP(U1094,[1]!NOMINA[#Data],4,FALSE)</f>
        <v>#REF!</v>
      </c>
      <c r="W1094" t="e">
        <f>VLOOKUP(U1094,[1]!NOMINA[#Data],5,FALSE)</f>
        <v>#REF!</v>
      </c>
    </row>
    <row r="1095" spans="1:23" x14ac:dyDescent="0.25">
      <c r="A1095" s="37">
        <v>45715</v>
      </c>
      <c r="B1095" s="1">
        <v>519084063</v>
      </c>
      <c r="C1095" t="s">
        <v>2130</v>
      </c>
      <c r="D1095" s="22">
        <v>-61.65</v>
      </c>
      <c r="E1095" t="s">
        <v>35</v>
      </c>
      <c r="F1095" s="2">
        <v>212901001</v>
      </c>
      <c r="G1095" s="2" t="s">
        <v>121</v>
      </c>
      <c r="L1095" s="2" t="s">
        <v>2131</v>
      </c>
      <c r="M1095" t="s">
        <v>67</v>
      </c>
      <c r="N1095" t="s">
        <v>68</v>
      </c>
      <c r="P1095" s="23">
        <v>64.239999999999995</v>
      </c>
      <c r="Q1095" s="4">
        <f t="shared" si="16"/>
        <v>-0.95968244084682441</v>
      </c>
      <c r="R1095" s="23" t="s">
        <v>109</v>
      </c>
      <c r="U1095">
        <v>6</v>
      </c>
      <c r="V1095" t="e">
        <f>VLOOKUP(U1095,[1]!NOMINA[#Data],4,FALSE)</f>
        <v>#REF!</v>
      </c>
      <c r="W1095" t="e">
        <f>VLOOKUP(U1095,[1]!NOMINA[#Data],5,FALSE)</f>
        <v>#REF!</v>
      </c>
    </row>
    <row r="1096" spans="1:23" x14ac:dyDescent="0.25">
      <c r="A1096" s="37">
        <v>45715</v>
      </c>
      <c r="B1096" s="1">
        <v>519084065</v>
      </c>
      <c r="C1096" t="s">
        <v>2132</v>
      </c>
      <c r="D1096" s="22">
        <v>-61.65</v>
      </c>
      <c r="E1096" t="s">
        <v>35</v>
      </c>
      <c r="F1096" s="2">
        <v>212901001</v>
      </c>
      <c r="G1096" s="2" t="s">
        <v>121</v>
      </c>
      <c r="L1096" s="2" t="s">
        <v>2133</v>
      </c>
      <c r="M1096" t="s">
        <v>67</v>
      </c>
      <c r="N1096" t="s">
        <v>68</v>
      </c>
      <c r="P1096" s="23">
        <v>64.239999999999995</v>
      </c>
      <c r="Q1096" s="4">
        <f t="shared" si="16"/>
        <v>-0.95968244084682441</v>
      </c>
      <c r="R1096" s="23" t="s">
        <v>109</v>
      </c>
      <c r="U1096">
        <v>24</v>
      </c>
      <c r="V1096" t="e">
        <f>VLOOKUP(U1096,[1]!NOMINA[#Data],4,FALSE)</f>
        <v>#REF!</v>
      </c>
      <c r="W1096" t="e">
        <f>VLOOKUP(U1096,[1]!NOMINA[#Data],5,FALSE)</f>
        <v>#REF!</v>
      </c>
    </row>
    <row r="1097" spans="1:23" x14ac:dyDescent="0.25">
      <c r="A1097" s="37">
        <v>45715</v>
      </c>
      <c r="B1097" s="1">
        <v>419084058</v>
      </c>
      <c r="C1097" t="s">
        <v>2134</v>
      </c>
      <c r="D1097" s="22">
        <v>-61.65</v>
      </c>
      <c r="E1097" t="s">
        <v>35</v>
      </c>
      <c r="F1097" s="2">
        <v>212901001</v>
      </c>
      <c r="G1097" s="2" t="s">
        <v>121</v>
      </c>
      <c r="L1097" s="2" t="s">
        <v>2135</v>
      </c>
      <c r="M1097" t="s">
        <v>67</v>
      </c>
      <c r="N1097" t="s">
        <v>68</v>
      </c>
      <c r="P1097" s="23">
        <v>64.239999999999995</v>
      </c>
      <c r="Q1097" s="4">
        <f t="shared" si="16"/>
        <v>-0.95968244084682441</v>
      </c>
      <c r="R1097" s="23" t="s">
        <v>109</v>
      </c>
      <c r="U1097">
        <v>27</v>
      </c>
      <c r="V1097" t="e">
        <f>VLOOKUP(U1097,[1]!NOMINA[#Data],4,FALSE)</f>
        <v>#REF!</v>
      </c>
      <c r="W1097" t="e">
        <f>VLOOKUP(U1097,[1]!NOMINA[#Data],5,FALSE)</f>
        <v>#REF!</v>
      </c>
    </row>
    <row r="1098" spans="1:23" x14ac:dyDescent="0.25">
      <c r="A1098" s="37">
        <v>45715</v>
      </c>
      <c r="B1098" s="1">
        <v>519084068</v>
      </c>
      <c r="C1098" t="s">
        <v>2136</v>
      </c>
      <c r="D1098" s="22">
        <v>-61.65</v>
      </c>
      <c r="E1098" t="s">
        <v>35</v>
      </c>
      <c r="F1098" s="2">
        <v>212901001</v>
      </c>
      <c r="G1098" s="2" t="s">
        <v>121</v>
      </c>
      <c r="L1098" s="2" t="s">
        <v>2137</v>
      </c>
      <c r="M1098" t="s">
        <v>67</v>
      </c>
      <c r="N1098" t="s">
        <v>68</v>
      </c>
      <c r="P1098" s="23">
        <v>64.239999999999995</v>
      </c>
      <c r="Q1098" s="4">
        <f t="shared" si="16"/>
        <v>-0.95968244084682441</v>
      </c>
      <c r="R1098" s="23" t="s">
        <v>109</v>
      </c>
      <c r="U1098">
        <v>19</v>
      </c>
      <c r="V1098" t="e">
        <f>VLOOKUP(U1098,[1]!NOMINA[#Data],4,FALSE)</f>
        <v>#REF!</v>
      </c>
      <c r="W1098" t="e">
        <f>VLOOKUP(U1098,[1]!NOMINA[#Data],5,FALSE)</f>
        <v>#REF!</v>
      </c>
    </row>
    <row r="1099" spans="1:23" x14ac:dyDescent="0.25">
      <c r="A1099" s="37">
        <v>45715</v>
      </c>
      <c r="B1099" s="1">
        <v>519084071</v>
      </c>
      <c r="C1099" t="s">
        <v>2138</v>
      </c>
      <c r="D1099" s="22">
        <v>-61.65</v>
      </c>
      <c r="E1099" t="s">
        <v>35</v>
      </c>
      <c r="F1099" s="2">
        <v>212901001</v>
      </c>
      <c r="G1099" s="2" t="s">
        <v>121</v>
      </c>
      <c r="L1099" s="2" t="s">
        <v>2139</v>
      </c>
      <c r="M1099" t="s">
        <v>67</v>
      </c>
      <c r="N1099" t="s">
        <v>68</v>
      </c>
      <c r="P1099" s="23">
        <v>64.239999999999995</v>
      </c>
      <c r="Q1099" s="4">
        <f t="shared" ref="Q1099:Q1162" si="17">D1099/P1099</f>
        <v>-0.95968244084682441</v>
      </c>
      <c r="R1099" s="23" t="s">
        <v>109</v>
      </c>
      <c r="U1099">
        <v>5</v>
      </c>
      <c r="V1099" t="e">
        <f>VLOOKUP(U1099,[1]!NOMINA[#Data],4,FALSE)</f>
        <v>#REF!</v>
      </c>
      <c r="W1099" t="e">
        <f>VLOOKUP(U1099,[1]!NOMINA[#Data],5,FALSE)</f>
        <v>#REF!</v>
      </c>
    </row>
    <row r="1100" spans="1:23" x14ac:dyDescent="0.25">
      <c r="A1100" s="37">
        <v>45715</v>
      </c>
      <c r="B1100" s="1">
        <v>519084066</v>
      </c>
      <c r="C1100" t="s">
        <v>2140</v>
      </c>
      <c r="D1100" s="22">
        <v>-61.65</v>
      </c>
      <c r="E1100" t="s">
        <v>35</v>
      </c>
      <c r="F1100" s="2">
        <v>212901001</v>
      </c>
      <c r="G1100" s="2" t="s">
        <v>121</v>
      </c>
      <c r="L1100" s="2" t="s">
        <v>2141</v>
      </c>
      <c r="M1100" t="s">
        <v>67</v>
      </c>
      <c r="N1100" t="s">
        <v>68</v>
      </c>
      <c r="P1100" s="23">
        <v>64.239999999999995</v>
      </c>
      <c r="Q1100" s="4">
        <f t="shared" si="17"/>
        <v>-0.95968244084682441</v>
      </c>
      <c r="R1100" s="23" t="s">
        <v>109</v>
      </c>
      <c r="U1100">
        <v>16</v>
      </c>
      <c r="V1100" t="e">
        <f>VLOOKUP(Tabla3[[#This Row],[Nº]],[1]!NOMINA[#Data],4,FALSE)</f>
        <v>#REF!</v>
      </c>
      <c r="W1100" t="e">
        <f>VLOOKUP(Tabla3[[#This Row],[Nº]],[1]!NOMINA[#Data],5,FALSE)</f>
        <v>#REF!</v>
      </c>
    </row>
    <row r="1101" spans="1:23" x14ac:dyDescent="0.25">
      <c r="A1101" s="37">
        <v>45715</v>
      </c>
      <c r="B1101" s="1">
        <v>519084069</v>
      </c>
      <c r="C1101" t="s">
        <v>2142</v>
      </c>
      <c r="D1101" s="22">
        <v>-61.65</v>
      </c>
      <c r="E1101" t="s">
        <v>35</v>
      </c>
      <c r="F1101" s="2">
        <v>212901001</v>
      </c>
      <c r="G1101" s="2" t="s">
        <v>121</v>
      </c>
      <c r="L1101" s="2" t="s">
        <v>2143</v>
      </c>
      <c r="M1101" t="s">
        <v>67</v>
      </c>
      <c r="N1101" t="s">
        <v>68</v>
      </c>
      <c r="P1101" s="23">
        <v>64.239999999999995</v>
      </c>
      <c r="Q1101" s="4">
        <f t="shared" si="17"/>
        <v>-0.95968244084682441</v>
      </c>
      <c r="R1101" s="23" t="s">
        <v>109</v>
      </c>
      <c r="U1101">
        <v>37</v>
      </c>
      <c r="V1101" t="e">
        <f>VLOOKUP(Tabla3[[#This Row],[Nº]],[1]!NOMINA[#Data],4,FALSE)</f>
        <v>#REF!</v>
      </c>
      <c r="W1101" t="e">
        <f>VLOOKUP(Tabla3[[#This Row],[Nº]],[1]!NOMINA[#Data],5,FALSE)</f>
        <v>#REF!</v>
      </c>
    </row>
    <row r="1102" spans="1:23" x14ac:dyDescent="0.25">
      <c r="A1102" s="37">
        <v>45715</v>
      </c>
      <c r="B1102" s="1">
        <v>519084070</v>
      </c>
      <c r="C1102" t="s">
        <v>2144</v>
      </c>
      <c r="D1102" s="22">
        <v>-61.65</v>
      </c>
      <c r="E1102" t="s">
        <v>35</v>
      </c>
      <c r="F1102" s="2">
        <v>212901001</v>
      </c>
      <c r="G1102" s="2" t="s">
        <v>121</v>
      </c>
      <c r="L1102" s="2" t="s">
        <v>2145</v>
      </c>
      <c r="M1102" t="s">
        <v>67</v>
      </c>
      <c r="N1102" t="s">
        <v>68</v>
      </c>
      <c r="P1102" s="23">
        <v>64.239999999999995</v>
      </c>
      <c r="Q1102" s="4">
        <f t="shared" si="17"/>
        <v>-0.95968244084682441</v>
      </c>
      <c r="R1102" s="23" t="s">
        <v>109</v>
      </c>
      <c r="U1102">
        <v>7</v>
      </c>
      <c r="V1102" t="e">
        <f>VLOOKUP(U1102,[1]!NOMINA[#Data],4,FALSE)</f>
        <v>#REF!</v>
      </c>
      <c r="W1102" t="e">
        <f>VLOOKUP(U1102,[1]!NOMINA[#Data],5,FALSE)</f>
        <v>#REF!</v>
      </c>
    </row>
    <row r="1103" spans="1:23" x14ac:dyDescent="0.25">
      <c r="A1103" s="37">
        <v>45715</v>
      </c>
      <c r="B1103" s="1">
        <v>519084067</v>
      </c>
      <c r="C1103" t="s">
        <v>2146</v>
      </c>
      <c r="D1103" s="22">
        <v>-61.65</v>
      </c>
      <c r="E1103" t="s">
        <v>35</v>
      </c>
      <c r="F1103" s="2">
        <v>212901001</v>
      </c>
      <c r="G1103" s="2" t="s">
        <v>121</v>
      </c>
      <c r="L1103" s="2" t="s">
        <v>2147</v>
      </c>
      <c r="M1103" t="s">
        <v>67</v>
      </c>
      <c r="N1103" t="s">
        <v>68</v>
      </c>
      <c r="P1103" s="23">
        <v>64.239999999999995</v>
      </c>
      <c r="Q1103" s="4">
        <f t="shared" si="17"/>
        <v>-0.95968244084682441</v>
      </c>
      <c r="R1103" s="23" t="s">
        <v>109</v>
      </c>
      <c r="U1103">
        <v>1</v>
      </c>
      <c r="V1103" t="e">
        <f>VLOOKUP(U1103,[1]!NOMINA[#Data],4,FALSE)</f>
        <v>#REF!</v>
      </c>
      <c r="W1103" t="e">
        <f>VLOOKUP(U1103,[1]!NOMINA[#Data],5,FALSE)</f>
        <v>#REF!</v>
      </c>
    </row>
    <row r="1104" spans="1:23" x14ac:dyDescent="0.25">
      <c r="A1104" s="37">
        <v>45715</v>
      </c>
      <c r="B1104" s="1">
        <v>619084073</v>
      </c>
      <c r="C1104" t="s">
        <v>2148</v>
      </c>
      <c r="D1104" s="22">
        <v>-320.10000000000002</v>
      </c>
      <c r="E1104" t="s">
        <v>35</v>
      </c>
      <c r="F1104" s="2">
        <v>212901001</v>
      </c>
      <c r="G1104" s="2" t="s">
        <v>121</v>
      </c>
      <c r="L1104" s="2" t="s">
        <v>2149</v>
      </c>
      <c r="M1104" t="s">
        <v>67</v>
      </c>
      <c r="N1104" t="s">
        <v>68</v>
      </c>
      <c r="P1104" s="23">
        <v>64.239999999999995</v>
      </c>
      <c r="Q1104" s="4">
        <f t="shared" si="17"/>
        <v>-4.9828767123287676</v>
      </c>
      <c r="R1104" s="23" t="s">
        <v>109</v>
      </c>
      <c r="U1104">
        <v>28</v>
      </c>
      <c r="V1104" t="e">
        <f>VLOOKUP(Tabla3[[#This Row],[Nº]],[1]!NOMINA[#Data],4,FALSE)</f>
        <v>#REF!</v>
      </c>
      <c r="W1104" t="e">
        <f>VLOOKUP(Tabla3[[#This Row],[Nº]],[1]!NOMINA[#Data],5,FALSE)</f>
        <v>#REF!</v>
      </c>
    </row>
    <row r="1105" spans="1:23" x14ac:dyDescent="0.25">
      <c r="A1105" s="37">
        <v>45715</v>
      </c>
      <c r="B1105" s="1">
        <v>619084072</v>
      </c>
      <c r="C1105" t="s">
        <v>2150</v>
      </c>
      <c r="D1105" s="22">
        <v>-19206</v>
      </c>
      <c r="E1105" t="s">
        <v>35</v>
      </c>
      <c r="F1105" s="2">
        <v>212901001</v>
      </c>
      <c r="G1105" s="2" t="s">
        <v>121</v>
      </c>
      <c r="L1105" s="2" t="s">
        <v>2151</v>
      </c>
      <c r="M1105" t="s">
        <v>67</v>
      </c>
      <c r="N1105" t="s">
        <v>68</v>
      </c>
      <c r="P1105" s="23">
        <v>64.239999999999995</v>
      </c>
      <c r="Q1105" s="4">
        <f t="shared" si="17"/>
        <v>-298.97260273972603</v>
      </c>
      <c r="R1105" s="23" t="s">
        <v>109</v>
      </c>
      <c r="U1105">
        <v>2</v>
      </c>
      <c r="V1105" t="e">
        <f>VLOOKUP(Tabla3[[#This Row],[Nº]],[1]!NOMINA[#Data],4,FALSE)</f>
        <v>#REF!</v>
      </c>
      <c r="W1105" t="e">
        <f>VLOOKUP(Tabla3[[#This Row],[Nº]],[1]!NOMINA[#Data],5,FALSE)</f>
        <v>#REF!</v>
      </c>
    </row>
    <row r="1106" spans="1:23" x14ac:dyDescent="0.25">
      <c r="A1106" s="37">
        <v>45715</v>
      </c>
      <c r="B1106" s="1">
        <v>619084076</v>
      </c>
      <c r="C1106" t="s">
        <v>2152</v>
      </c>
      <c r="D1106" s="22">
        <v>-320.10000000000002</v>
      </c>
      <c r="E1106" t="s">
        <v>35</v>
      </c>
      <c r="F1106" s="2">
        <v>212901001</v>
      </c>
      <c r="G1106" s="2" t="s">
        <v>121</v>
      </c>
      <c r="L1106" s="2" t="s">
        <v>2153</v>
      </c>
      <c r="M1106" t="s">
        <v>67</v>
      </c>
      <c r="N1106" t="s">
        <v>68</v>
      </c>
      <c r="P1106" s="23">
        <v>64.239999999999995</v>
      </c>
      <c r="Q1106" s="4">
        <f t="shared" si="17"/>
        <v>-4.9828767123287676</v>
      </c>
      <c r="R1106" s="23" t="s">
        <v>109</v>
      </c>
      <c r="U1106">
        <v>39</v>
      </c>
      <c r="V1106" t="e">
        <f>VLOOKUP(U1106,[1]!NOMINA[#Data],4,FALSE)</f>
        <v>#REF!</v>
      </c>
      <c r="W1106" t="e">
        <f>VLOOKUP(U1106,[1]!NOMINA[#Data],5,FALSE)</f>
        <v>#REF!</v>
      </c>
    </row>
    <row r="1107" spans="1:23" x14ac:dyDescent="0.25">
      <c r="A1107" s="37">
        <v>45715</v>
      </c>
      <c r="B1107" s="1">
        <v>619084078</v>
      </c>
      <c r="C1107" t="s">
        <v>2154</v>
      </c>
      <c r="D1107" s="22">
        <v>-320.10000000000002</v>
      </c>
      <c r="E1107" t="s">
        <v>35</v>
      </c>
      <c r="F1107" s="2">
        <v>212901001</v>
      </c>
      <c r="G1107" s="2" t="s">
        <v>121</v>
      </c>
      <c r="L1107" s="2" t="s">
        <v>2155</v>
      </c>
      <c r="M1107" t="s">
        <v>67</v>
      </c>
      <c r="N1107" t="s">
        <v>68</v>
      </c>
      <c r="P1107" s="23">
        <v>64.239999999999995</v>
      </c>
      <c r="Q1107" s="4">
        <f t="shared" si="17"/>
        <v>-4.9828767123287676</v>
      </c>
      <c r="R1107" s="23" t="s">
        <v>109</v>
      </c>
      <c r="U1107">
        <v>41</v>
      </c>
      <c r="V1107" t="e">
        <f>VLOOKUP(U1107,[1]!NOMINA[#Data],4,FALSE)</f>
        <v>#REF!</v>
      </c>
      <c r="W1107" t="e">
        <f>VLOOKUP(U1107,[1]!NOMINA[#Data],5,FALSE)</f>
        <v>#REF!</v>
      </c>
    </row>
    <row r="1108" spans="1:23" x14ac:dyDescent="0.25">
      <c r="A1108" s="37">
        <v>45715</v>
      </c>
      <c r="B1108" s="1">
        <v>619084077</v>
      </c>
      <c r="C1108" t="s">
        <v>2156</v>
      </c>
      <c r="D1108" s="22">
        <v>-1920.6</v>
      </c>
      <c r="E1108" t="s">
        <v>35</v>
      </c>
      <c r="F1108" s="2">
        <v>212901001</v>
      </c>
      <c r="G1108" s="2" t="s">
        <v>121</v>
      </c>
      <c r="L1108" s="2" t="s">
        <v>2157</v>
      </c>
      <c r="M1108" t="s">
        <v>67</v>
      </c>
      <c r="N1108" t="s">
        <v>68</v>
      </c>
      <c r="P1108" s="23">
        <v>64.239999999999995</v>
      </c>
      <c r="Q1108" s="4">
        <f t="shared" si="17"/>
        <v>-29.897260273972602</v>
      </c>
      <c r="R1108" s="23" t="s">
        <v>109</v>
      </c>
      <c r="U1108">
        <v>36</v>
      </c>
      <c r="V1108" t="e">
        <f>VLOOKUP(U1108,[1]!NOMINA[#Data],4,FALSE)</f>
        <v>#REF!</v>
      </c>
      <c r="W1108" t="e">
        <f>VLOOKUP(U1108,[1]!NOMINA[#Data],5,FALSE)</f>
        <v>#REF!</v>
      </c>
    </row>
    <row r="1109" spans="1:23" x14ac:dyDescent="0.25">
      <c r="A1109" s="37">
        <v>45715</v>
      </c>
      <c r="B1109" s="1">
        <v>619084081</v>
      </c>
      <c r="C1109" t="s">
        <v>2158</v>
      </c>
      <c r="D1109" s="22">
        <v>-320.10000000000002</v>
      </c>
      <c r="E1109" t="s">
        <v>35</v>
      </c>
      <c r="F1109" s="2">
        <v>212901001</v>
      </c>
      <c r="G1109" s="2" t="s">
        <v>121</v>
      </c>
      <c r="L1109" s="2" t="s">
        <v>2159</v>
      </c>
      <c r="M1109" t="s">
        <v>67</v>
      </c>
      <c r="N1109" t="s">
        <v>68</v>
      </c>
      <c r="P1109" s="23">
        <v>64.239999999999995</v>
      </c>
      <c r="Q1109" s="4">
        <f t="shared" si="17"/>
        <v>-4.9828767123287676</v>
      </c>
      <c r="R1109" s="23" t="s">
        <v>109</v>
      </c>
      <c r="U1109">
        <v>17</v>
      </c>
      <c r="V1109" t="e">
        <f>VLOOKUP(Tabla3[[#This Row],[Nº]],[1]!NOMINA[#Data],4,FALSE)</f>
        <v>#REF!</v>
      </c>
      <c r="W1109" t="e">
        <f>VLOOKUP(Tabla3[[#This Row],[Nº]],[1]!NOMINA[#Data],5,FALSE)</f>
        <v>#REF!</v>
      </c>
    </row>
    <row r="1110" spans="1:23" x14ac:dyDescent="0.25">
      <c r="A1110" s="37">
        <v>45715</v>
      </c>
      <c r="B1110" s="1">
        <v>619084075</v>
      </c>
      <c r="C1110" t="s">
        <v>2160</v>
      </c>
      <c r="D1110" s="22">
        <v>-320.10000000000002</v>
      </c>
      <c r="E1110" t="s">
        <v>35</v>
      </c>
      <c r="F1110" s="2">
        <v>212901001</v>
      </c>
      <c r="G1110" s="2" t="s">
        <v>121</v>
      </c>
      <c r="L1110" s="2" t="s">
        <v>2161</v>
      </c>
      <c r="M1110" t="s">
        <v>67</v>
      </c>
      <c r="N1110" t="s">
        <v>68</v>
      </c>
      <c r="P1110" s="23">
        <v>64.239999999999995</v>
      </c>
      <c r="Q1110" s="4">
        <f t="shared" si="17"/>
        <v>-4.9828767123287676</v>
      </c>
      <c r="R1110" s="23" t="s">
        <v>109</v>
      </c>
      <c r="U1110">
        <v>15</v>
      </c>
      <c r="V1110" t="e">
        <f>VLOOKUP(Tabla3[[#This Row],[Nº]],[1]!NOMINA[#Data],4,FALSE)</f>
        <v>#REF!</v>
      </c>
      <c r="W1110" t="e">
        <f>VLOOKUP(Tabla3[[#This Row],[Nº]],[1]!NOMINA[#Data],5,FALSE)</f>
        <v>#REF!</v>
      </c>
    </row>
    <row r="1111" spans="1:23" x14ac:dyDescent="0.25">
      <c r="A1111" s="37">
        <v>45715</v>
      </c>
      <c r="B1111" s="1">
        <v>619084079</v>
      </c>
      <c r="C1111" t="s">
        <v>2162</v>
      </c>
      <c r="D1111" s="22">
        <v>-320.10000000000002</v>
      </c>
      <c r="E1111" t="s">
        <v>35</v>
      </c>
      <c r="F1111" s="2">
        <v>212901001</v>
      </c>
      <c r="G1111" s="2" t="s">
        <v>121</v>
      </c>
      <c r="L1111" s="2" t="s">
        <v>2163</v>
      </c>
      <c r="M1111" t="s">
        <v>67</v>
      </c>
      <c r="N1111" t="s">
        <v>68</v>
      </c>
      <c r="P1111" s="23">
        <v>64.239999999999995</v>
      </c>
      <c r="Q1111" s="4">
        <f t="shared" si="17"/>
        <v>-4.9828767123287676</v>
      </c>
      <c r="R1111" s="23" t="s">
        <v>109</v>
      </c>
      <c r="U1111">
        <v>18</v>
      </c>
      <c r="V1111" t="e">
        <f>VLOOKUP(Tabla3[[#This Row],[Nº]],[1]!NOMINA[#Data],4,FALSE)</f>
        <v>#REF!</v>
      </c>
      <c r="W1111" t="e">
        <f>VLOOKUP(Tabla3[[#This Row],[Nº]],[1]!NOMINA[#Data],5,FALSE)</f>
        <v>#REF!</v>
      </c>
    </row>
    <row r="1112" spans="1:23" x14ac:dyDescent="0.25">
      <c r="A1112" s="37">
        <v>45715</v>
      </c>
      <c r="B1112" s="1">
        <v>619084074</v>
      </c>
      <c r="C1112" t="s">
        <v>2164</v>
      </c>
      <c r="D1112" s="22">
        <v>-1920.6</v>
      </c>
      <c r="E1112" t="s">
        <v>35</v>
      </c>
      <c r="F1112" s="2">
        <v>212901001</v>
      </c>
      <c r="G1112" s="2" t="s">
        <v>121</v>
      </c>
      <c r="L1112" s="2" t="s">
        <v>2165</v>
      </c>
      <c r="M1112" t="s">
        <v>67</v>
      </c>
      <c r="N1112" t="s">
        <v>68</v>
      </c>
      <c r="P1112" s="23">
        <v>64.239999999999995</v>
      </c>
      <c r="Q1112" s="4">
        <f t="shared" si="17"/>
        <v>-29.897260273972602</v>
      </c>
      <c r="R1112" s="23" t="s">
        <v>109</v>
      </c>
      <c r="U1112">
        <v>19</v>
      </c>
      <c r="V1112" t="e">
        <f>VLOOKUP(U1112,[1]!NOMINA[#Data],4,FALSE)</f>
        <v>#REF!</v>
      </c>
      <c r="W1112" t="e">
        <f>VLOOKUP(U1112,[1]!NOMINA[#Data],5,FALSE)</f>
        <v>#REF!</v>
      </c>
    </row>
    <row r="1113" spans="1:23" x14ac:dyDescent="0.25">
      <c r="A1113" s="37">
        <v>45715</v>
      </c>
      <c r="B1113" s="1">
        <v>619084080</v>
      </c>
      <c r="C1113" t="s">
        <v>2166</v>
      </c>
      <c r="D1113" s="22">
        <v>-320.10000000000002</v>
      </c>
      <c r="E1113" t="s">
        <v>35</v>
      </c>
      <c r="F1113" s="2">
        <v>212901001</v>
      </c>
      <c r="G1113" s="2" t="s">
        <v>121</v>
      </c>
      <c r="L1113" s="2" t="s">
        <v>2167</v>
      </c>
      <c r="M1113" t="s">
        <v>67</v>
      </c>
      <c r="N1113" t="s">
        <v>68</v>
      </c>
      <c r="P1113" s="23">
        <v>64.239999999999995</v>
      </c>
      <c r="Q1113" s="4">
        <f t="shared" si="17"/>
        <v>-4.9828767123287676</v>
      </c>
      <c r="R1113" s="23" t="s">
        <v>109</v>
      </c>
      <c r="U1113">
        <v>8</v>
      </c>
      <c r="V1113" t="e">
        <f>VLOOKUP(Tabla3[[#This Row],[Nº]],[1]!NOMINA[#Data],4,FALSE)</f>
        <v>#REF!</v>
      </c>
      <c r="W1113" t="e">
        <f>VLOOKUP(Tabla3[[#This Row],[Nº]],[1]!NOMINA[#Data],5,FALSE)</f>
        <v>#REF!</v>
      </c>
    </row>
    <row r="1114" spans="1:23" x14ac:dyDescent="0.25">
      <c r="A1114" s="37">
        <v>45715</v>
      </c>
      <c r="B1114" s="1">
        <v>719084084</v>
      </c>
      <c r="C1114" t="s">
        <v>2168</v>
      </c>
      <c r="D1114" s="22">
        <v>-1920.6</v>
      </c>
      <c r="E1114" t="s">
        <v>35</v>
      </c>
      <c r="F1114" s="2">
        <v>212901001</v>
      </c>
      <c r="G1114" s="2" t="s">
        <v>121</v>
      </c>
      <c r="L1114" s="2" t="s">
        <v>2169</v>
      </c>
      <c r="M1114" t="s">
        <v>67</v>
      </c>
      <c r="N1114" t="s">
        <v>68</v>
      </c>
      <c r="P1114" s="23">
        <v>64.239999999999995</v>
      </c>
      <c r="Q1114" s="4">
        <f t="shared" si="17"/>
        <v>-29.897260273972602</v>
      </c>
      <c r="R1114" s="23" t="s">
        <v>109</v>
      </c>
      <c r="U1114">
        <v>43</v>
      </c>
      <c r="V1114" t="e">
        <f>VLOOKUP(U1114,[1]!NOMINA[#Data],4,FALSE)</f>
        <v>#REF!</v>
      </c>
      <c r="W1114" t="e">
        <f>VLOOKUP(U1114,[1]!NOMINA[#Data],5,FALSE)</f>
        <v>#REF!</v>
      </c>
    </row>
    <row r="1115" spans="1:23" x14ac:dyDescent="0.25">
      <c r="A1115" s="37">
        <v>45715</v>
      </c>
      <c r="B1115" s="1">
        <v>619084083</v>
      </c>
      <c r="C1115" t="s">
        <v>2170</v>
      </c>
      <c r="D1115" s="22">
        <v>-12804</v>
      </c>
      <c r="E1115" t="s">
        <v>35</v>
      </c>
      <c r="F1115" s="2">
        <v>212901001</v>
      </c>
      <c r="G1115" s="2" t="s">
        <v>121</v>
      </c>
      <c r="L1115" s="2" t="s">
        <v>2171</v>
      </c>
      <c r="M1115" t="s">
        <v>67</v>
      </c>
      <c r="N1115" t="s">
        <v>68</v>
      </c>
      <c r="P1115" s="23">
        <v>64.239999999999995</v>
      </c>
      <c r="Q1115" s="4">
        <f t="shared" si="17"/>
        <v>-199.3150684931507</v>
      </c>
      <c r="R1115" s="23" t="s">
        <v>109</v>
      </c>
      <c r="U1115">
        <v>1</v>
      </c>
      <c r="V1115" t="e">
        <f>VLOOKUP(U1115,[1]!NOMINA[#Data],4,FALSE)</f>
        <v>#REF!</v>
      </c>
      <c r="W1115" t="e">
        <f>VLOOKUP(U1115,[1]!NOMINA[#Data],5,FALSE)</f>
        <v>#REF!</v>
      </c>
    </row>
    <row r="1116" spans="1:23" x14ac:dyDescent="0.25">
      <c r="A1116" s="37">
        <v>45715</v>
      </c>
      <c r="B1116" s="1">
        <v>619084082</v>
      </c>
      <c r="C1116" t="s">
        <v>2172</v>
      </c>
      <c r="D1116" s="22">
        <v>-320.10000000000002</v>
      </c>
      <c r="E1116" t="s">
        <v>35</v>
      </c>
      <c r="F1116" s="2">
        <v>212901001</v>
      </c>
      <c r="G1116" s="2" t="s">
        <v>121</v>
      </c>
      <c r="L1116" s="2" t="s">
        <v>2173</v>
      </c>
      <c r="M1116" t="s">
        <v>67</v>
      </c>
      <c r="N1116" t="s">
        <v>68</v>
      </c>
      <c r="P1116" s="23">
        <v>64.239999999999995</v>
      </c>
      <c r="Q1116" s="4">
        <f t="shared" si="17"/>
        <v>-4.9828767123287676</v>
      </c>
      <c r="R1116" s="23" t="s">
        <v>109</v>
      </c>
      <c r="U1116">
        <v>13</v>
      </c>
      <c r="V1116" t="e">
        <f>VLOOKUP(U1116,[1]!NOMINA[#Data],4,FALSE)</f>
        <v>#REF!</v>
      </c>
      <c r="W1116" t="e">
        <f>VLOOKUP(U1116,[1]!NOMINA[#Data],5,FALSE)</f>
        <v>#REF!</v>
      </c>
    </row>
    <row r="1117" spans="1:23" x14ac:dyDescent="0.25">
      <c r="A1117" s="37">
        <v>45715</v>
      </c>
      <c r="B1117" s="1">
        <v>719084086</v>
      </c>
      <c r="C1117" t="s">
        <v>2174</v>
      </c>
      <c r="D1117" s="22">
        <v>-320.10000000000002</v>
      </c>
      <c r="E1117" t="s">
        <v>35</v>
      </c>
      <c r="F1117" s="2">
        <v>212901001</v>
      </c>
      <c r="G1117" s="2" t="s">
        <v>121</v>
      </c>
      <c r="L1117" s="2" t="s">
        <v>2175</v>
      </c>
      <c r="M1117" t="s">
        <v>67</v>
      </c>
      <c r="N1117" t="s">
        <v>68</v>
      </c>
      <c r="P1117" s="23">
        <v>64.239999999999995</v>
      </c>
      <c r="Q1117" s="4">
        <f t="shared" si="17"/>
        <v>-4.9828767123287676</v>
      </c>
      <c r="R1117" s="23" t="s">
        <v>109</v>
      </c>
      <c r="U1117">
        <v>12</v>
      </c>
      <c r="V1117" t="e">
        <f>VLOOKUP(Tabla3[[#This Row],[Nº]],[1]!NOMINA[#Data],4,FALSE)</f>
        <v>#REF!</v>
      </c>
      <c r="W1117" t="e">
        <f>VLOOKUP(Tabla3[[#This Row],[Nº]],[1]!NOMINA[#Data],5,FALSE)</f>
        <v>#REF!</v>
      </c>
    </row>
    <row r="1118" spans="1:23" x14ac:dyDescent="0.25">
      <c r="A1118" s="37">
        <v>45715</v>
      </c>
      <c r="B1118" s="1">
        <v>719084087</v>
      </c>
      <c r="C1118" t="s">
        <v>2176</v>
      </c>
      <c r="D1118" s="22">
        <v>-320.10000000000002</v>
      </c>
      <c r="E1118" t="s">
        <v>35</v>
      </c>
      <c r="F1118" s="2">
        <v>212901001</v>
      </c>
      <c r="G1118" s="2" t="s">
        <v>121</v>
      </c>
      <c r="L1118" s="2" t="s">
        <v>2177</v>
      </c>
      <c r="M1118" t="s">
        <v>67</v>
      </c>
      <c r="N1118" t="s">
        <v>68</v>
      </c>
      <c r="P1118" s="23">
        <v>64.239999999999995</v>
      </c>
      <c r="Q1118" s="4">
        <f t="shared" si="17"/>
        <v>-4.9828767123287676</v>
      </c>
      <c r="R1118" s="23" t="s">
        <v>109</v>
      </c>
      <c r="U1118">
        <v>16</v>
      </c>
      <c r="V1118" t="e">
        <f>VLOOKUP(Tabla3[[#This Row],[Nº]],[1]!NOMINA[#Data],4,FALSE)</f>
        <v>#REF!</v>
      </c>
      <c r="W1118" t="e">
        <f>VLOOKUP(Tabla3[[#This Row],[Nº]],[1]!NOMINA[#Data],5,FALSE)</f>
        <v>#REF!</v>
      </c>
    </row>
    <row r="1119" spans="1:23" x14ac:dyDescent="0.25">
      <c r="A1119" s="37">
        <v>45715</v>
      </c>
      <c r="B1119" s="1">
        <v>719084085</v>
      </c>
      <c r="C1119" t="s">
        <v>2178</v>
      </c>
      <c r="D1119" s="22">
        <v>-320.10000000000002</v>
      </c>
      <c r="E1119" t="s">
        <v>35</v>
      </c>
      <c r="F1119" s="2">
        <v>212901001</v>
      </c>
      <c r="G1119" s="2" t="s">
        <v>121</v>
      </c>
      <c r="L1119" s="2" t="s">
        <v>2179</v>
      </c>
      <c r="M1119" t="s">
        <v>67</v>
      </c>
      <c r="N1119" t="s">
        <v>68</v>
      </c>
      <c r="P1119" s="23">
        <v>64.239999999999995</v>
      </c>
      <c r="Q1119" s="4">
        <f t="shared" si="17"/>
        <v>-4.9828767123287676</v>
      </c>
      <c r="R1119" s="23" t="s">
        <v>109</v>
      </c>
      <c r="U1119">
        <v>6</v>
      </c>
      <c r="V1119" t="e">
        <f>VLOOKUP(Tabla3[[#This Row],[Nº]],[1]!NOMINA[#Data],4,FALSE)</f>
        <v>#REF!</v>
      </c>
      <c r="W1119" t="e">
        <f>VLOOKUP(Tabla3[[#This Row],[Nº]],[1]!NOMINA[#Data],5,FALSE)</f>
        <v>#REF!</v>
      </c>
    </row>
    <row r="1120" spans="1:23" x14ac:dyDescent="0.25">
      <c r="A1120" s="37">
        <v>45715</v>
      </c>
      <c r="B1120" s="1">
        <v>719084088</v>
      </c>
      <c r="C1120" t="s">
        <v>2180</v>
      </c>
      <c r="D1120" s="22">
        <v>-320.10000000000002</v>
      </c>
      <c r="E1120" t="s">
        <v>35</v>
      </c>
      <c r="F1120" s="2">
        <v>212901001</v>
      </c>
      <c r="G1120" s="2" t="s">
        <v>121</v>
      </c>
      <c r="L1120" s="2" t="s">
        <v>2181</v>
      </c>
      <c r="M1120" t="s">
        <v>67</v>
      </c>
      <c r="N1120" t="s">
        <v>68</v>
      </c>
      <c r="P1120" s="23">
        <v>64.239999999999995</v>
      </c>
      <c r="Q1120" s="4">
        <f t="shared" si="17"/>
        <v>-4.9828767123287676</v>
      </c>
      <c r="R1120" s="23" t="s">
        <v>109</v>
      </c>
      <c r="U1120">
        <v>7</v>
      </c>
      <c r="V1120" t="e">
        <f>VLOOKUP(Tabla3[[#This Row],[Nº]],[1]!NOMINA[#Data],4,FALSE)</f>
        <v>#REF!</v>
      </c>
      <c r="W1120" t="e">
        <f>VLOOKUP(Tabla3[[#This Row],[Nº]],[1]!NOMINA[#Data],5,FALSE)</f>
        <v>#REF!</v>
      </c>
    </row>
    <row r="1121" spans="1:23" x14ac:dyDescent="0.25">
      <c r="A1121" s="37">
        <v>45715</v>
      </c>
      <c r="B1121" s="1">
        <v>719084089</v>
      </c>
      <c r="C1121" t="s">
        <v>2182</v>
      </c>
      <c r="D1121" s="22">
        <v>-320.10000000000002</v>
      </c>
      <c r="E1121" t="s">
        <v>35</v>
      </c>
      <c r="F1121" s="2">
        <v>212901001</v>
      </c>
      <c r="G1121" s="2" t="s">
        <v>121</v>
      </c>
      <c r="L1121" s="2" t="s">
        <v>2183</v>
      </c>
      <c r="M1121" t="s">
        <v>67</v>
      </c>
      <c r="N1121" t="s">
        <v>68</v>
      </c>
      <c r="P1121" s="23">
        <v>64.239999999999995</v>
      </c>
      <c r="Q1121" s="4">
        <f t="shared" si="17"/>
        <v>-4.9828767123287676</v>
      </c>
      <c r="R1121" s="23" t="s">
        <v>109</v>
      </c>
      <c r="U1121">
        <v>40</v>
      </c>
      <c r="V1121" t="e">
        <f>VLOOKUP(U1121,[1]!NOMINA[#Data],4,FALSE)</f>
        <v>#REF!</v>
      </c>
      <c r="W1121" t="e">
        <f>VLOOKUP(U1121,[1]!NOMINA[#Data],5,FALSE)</f>
        <v>#REF!</v>
      </c>
    </row>
    <row r="1122" spans="1:23" x14ac:dyDescent="0.25">
      <c r="A1122" s="37">
        <v>45715</v>
      </c>
      <c r="B1122" s="1">
        <v>719084091</v>
      </c>
      <c r="C1122" t="s">
        <v>2184</v>
      </c>
      <c r="D1122" s="22">
        <v>-320.10000000000002</v>
      </c>
      <c r="E1122" t="s">
        <v>35</v>
      </c>
      <c r="F1122" s="2">
        <v>212901001</v>
      </c>
      <c r="G1122" s="2" t="s">
        <v>121</v>
      </c>
      <c r="L1122" s="2" t="s">
        <v>2185</v>
      </c>
      <c r="M1122" t="s">
        <v>67</v>
      </c>
      <c r="N1122" t="s">
        <v>68</v>
      </c>
      <c r="P1122" s="23">
        <v>64.239999999999995</v>
      </c>
      <c r="Q1122" s="4">
        <f t="shared" si="17"/>
        <v>-4.9828767123287676</v>
      </c>
      <c r="R1122" s="23" t="s">
        <v>109</v>
      </c>
      <c r="U1122">
        <v>37</v>
      </c>
      <c r="V1122" t="e">
        <f>VLOOKUP(U1122,[1]!NOMINA[#Data],4,FALSE)</f>
        <v>#REF!</v>
      </c>
      <c r="W1122" t="e">
        <f>VLOOKUP(U1122,[1]!NOMINA[#Data],5,FALSE)</f>
        <v>#REF!</v>
      </c>
    </row>
    <row r="1123" spans="1:23" x14ac:dyDescent="0.25">
      <c r="A1123" s="37">
        <v>45715</v>
      </c>
      <c r="B1123" s="1">
        <v>719084093</v>
      </c>
      <c r="C1123" t="s">
        <v>2186</v>
      </c>
      <c r="D1123" s="22">
        <v>-320.10000000000002</v>
      </c>
      <c r="E1123" t="s">
        <v>35</v>
      </c>
      <c r="F1123" s="2">
        <v>212901001</v>
      </c>
      <c r="G1123" s="2" t="s">
        <v>121</v>
      </c>
      <c r="L1123" s="2" t="s">
        <v>2187</v>
      </c>
      <c r="M1123" t="s">
        <v>67</v>
      </c>
      <c r="N1123" t="s">
        <v>68</v>
      </c>
      <c r="P1123" s="23">
        <v>64.239999999999995</v>
      </c>
      <c r="Q1123" s="4">
        <f t="shared" si="17"/>
        <v>-4.9828767123287676</v>
      </c>
      <c r="R1123" s="23" t="s">
        <v>109</v>
      </c>
      <c r="U1123">
        <v>11</v>
      </c>
      <c r="V1123" t="e">
        <f>VLOOKUP(Tabla3[[#This Row],[Nº]],[1]!NOMINA[#Data],4,FALSE)</f>
        <v>#REF!</v>
      </c>
      <c r="W1123" t="e">
        <f>VLOOKUP(Tabla3[[#This Row],[Nº]],[1]!NOMINA[#Data],5,FALSE)</f>
        <v>#REF!</v>
      </c>
    </row>
    <row r="1124" spans="1:23" x14ac:dyDescent="0.25">
      <c r="A1124" s="37">
        <v>45715</v>
      </c>
      <c r="B1124" s="1">
        <v>719084092</v>
      </c>
      <c r="C1124" t="s">
        <v>2188</v>
      </c>
      <c r="D1124" s="22">
        <v>-320.10000000000002</v>
      </c>
      <c r="E1124" t="s">
        <v>35</v>
      </c>
      <c r="F1124" s="2">
        <v>212901001</v>
      </c>
      <c r="G1124" s="2" t="s">
        <v>121</v>
      </c>
      <c r="L1124" s="2" t="s">
        <v>2189</v>
      </c>
      <c r="M1124" t="s">
        <v>67</v>
      </c>
      <c r="N1124" t="s">
        <v>68</v>
      </c>
      <c r="P1124" s="23">
        <v>64.239999999999995</v>
      </c>
      <c r="Q1124" s="4">
        <f t="shared" si="17"/>
        <v>-4.9828767123287676</v>
      </c>
      <c r="R1124" s="23" t="s">
        <v>109</v>
      </c>
      <c r="U1124">
        <v>29</v>
      </c>
      <c r="V1124" t="e">
        <f>VLOOKUP(U1124,[1]!NOMINA[#Data],4,FALSE)</f>
        <v>#REF!</v>
      </c>
      <c r="W1124" t="e">
        <f>VLOOKUP(U1124,[1]!NOMINA[#Data],5,FALSE)</f>
        <v>#REF!</v>
      </c>
    </row>
    <row r="1125" spans="1:23" x14ac:dyDescent="0.25">
      <c r="A1125" s="37">
        <v>45715</v>
      </c>
      <c r="B1125" s="1">
        <v>719084094</v>
      </c>
      <c r="C1125" t="s">
        <v>2190</v>
      </c>
      <c r="D1125" s="22">
        <v>-320.10000000000002</v>
      </c>
      <c r="E1125" t="s">
        <v>35</v>
      </c>
      <c r="F1125" s="2">
        <v>212901001</v>
      </c>
      <c r="G1125" s="2" t="s">
        <v>121</v>
      </c>
      <c r="L1125" s="2" t="s">
        <v>2191</v>
      </c>
      <c r="M1125" t="s">
        <v>67</v>
      </c>
      <c r="N1125" t="s">
        <v>68</v>
      </c>
      <c r="P1125" s="23">
        <v>64.239999999999995</v>
      </c>
      <c r="Q1125" s="4">
        <f t="shared" si="17"/>
        <v>-4.9828767123287676</v>
      </c>
      <c r="R1125" s="23" t="s">
        <v>109</v>
      </c>
      <c r="U1125">
        <v>10</v>
      </c>
      <c r="V1125" t="e">
        <f>VLOOKUP(Tabla3[[#This Row],[Nº]],[1]!NOMINA[#Data],4,FALSE)</f>
        <v>#REF!</v>
      </c>
      <c r="W1125" t="e">
        <f>VLOOKUP(Tabla3[[#This Row],[Nº]],[1]!NOMINA[#Data],5,FALSE)</f>
        <v>#REF!</v>
      </c>
    </row>
    <row r="1126" spans="1:23" x14ac:dyDescent="0.25">
      <c r="A1126" s="37">
        <v>45715</v>
      </c>
      <c r="B1126" s="1">
        <v>819084097</v>
      </c>
      <c r="C1126" t="s">
        <v>2192</v>
      </c>
      <c r="D1126" s="22">
        <v>-3201</v>
      </c>
      <c r="E1126" t="s">
        <v>35</v>
      </c>
      <c r="F1126" s="2">
        <v>212901001</v>
      </c>
      <c r="G1126" s="2" t="s">
        <v>121</v>
      </c>
      <c r="L1126" s="2" t="s">
        <v>2193</v>
      </c>
      <c r="M1126" t="s">
        <v>67</v>
      </c>
      <c r="N1126" t="s">
        <v>68</v>
      </c>
      <c r="P1126" s="23">
        <v>64.239999999999995</v>
      </c>
      <c r="Q1126" s="4">
        <f t="shared" si="17"/>
        <v>-49.828767123287676</v>
      </c>
      <c r="R1126" s="23" t="s">
        <v>109</v>
      </c>
    </row>
    <row r="1127" spans="1:23" x14ac:dyDescent="0.25">
      <c r="A1127" s="37">
        <v>45715</v>
      </c>
      <c r="B1127" s="1">
        <v>719084090</v>
      </c>
      <c r="C1127" t="s">
        <v>2194</v>
      </c>
      <c r="D1127" s="22">
        <v>-320.10000000000002</v>
      </c>
      <c r="E1127" t="s">
        <v>35</v>
      </c>
      <c r="F1127" s="2">
        <v>212901001</v>
      </c>
      <c r="G1127" s="2" t="s">
        <v>121</v>
      </c>
      <c r="L1127" s="2" t="s">
        <v>2195</v>
      </c>
      <c r="M1127" t="s">
        <v>67</v>
      </c>
      <c r="N1127" t="s">
        <v>68</v>
      </c>
      <c r="P1127" s="23">
        <v>64.239999999999995</v>
      </c>
      <c r="Q1127" s="4">
        <f t="shared" si="17"/>
        <v>-4.9828767123287676</v>
      </c>
      <c r="R1127" s="23" t="s">
        <v>109</v>
      </c>
      <c r="U1127">
        <v>38</v>
      </c>
      <c r="V1127" t="e">
        <f>VLOOKUP(U1127,[1]!NOMINA[#Data],4,FALSE)</f>
        <v>#REF!</v>
      </c>
      <c r="W1127" t="e">
        <f>VLOOKUP(U1127,[1]!NOMINA[#Data],5,FALSE)</f>
        <v>#REF!</v>
      </c>
    </row>
    <row r="1128" spans="1:23" x14ac:dyDescent="0.25">
      <c r="A1128" s="37">
        <v>45715</v>
      </c>
      <c r="B1128" s="1">
        <v>819084100</v>
      </c>
      <c r="C1128" t="s">
        <v>2196</v>
      </c>
      <c r="D1128" s="22">
        <v>-4753.49</v>
      </c>
      <c r="E1128" t="s">
        <v>35</v>
      </c>
      <c r="F1128" s="2">
        <v>212901001</v>
      </c>
      <c r="G1128" s="2" t="s">
        <v>121</v>
      </c>
      <c r="L1128" s="2" t="s">
        <v>2197</v>
      </c>
      <c r="M1128" t="s">
        <v>67</v>
      </c>
      <c r="N1128" t="s">
        <v>68</v>
      </c>
      <c r="P1128" s="23">
        <v>64.239999999999995</v>
      </c>
      <c r="Q1128" s="4">
        <f t="shared" si="17"/>
        <v>-73.995797011207969</v>
      </c>
      <c r="R1128" s="23" t="s">
        <v>109</v>
      </c>
      <c r="U1128">
        <v>9</v>
      </c>
      <c r="V1128" t="e">
        <f>VLOOKUP(U1128,[1]!NOMINA[#Data],4,FALSE)</f>
        <v>#REF!</v>
      </c>
      <c r="W1128" t="e">
        <f>VLOOKUP(U1128,[1]!NOMINA[#Data],5,FALSE)</f>
        <v>#REF!</v>
      </c>
    </row>
    <row r="1129" spans="1:23" x14ac:dyDescent="0.25">
      <c r="A1129" s="37">
        <v>45715</v>
      </c>
      <c r="B1129" s="1">
        <v>819084096</v>
      </c>
      <c r="C1129" t="s">
        <v>2198</v>
      </c>
      <c r="D1129" s="22">
        <v>-320.10000000000002</v>
      </c>
      <c r="E1129" t="s">
        <v>35</v>
      </c>
      <c r="F1129" s="2">
        <v>212901001</v>
      </c>
      <c r="G1129" s="2" t="s">
        <v>121</v>
      </c>
      <c r="L1129" s="2" t="s">
        <v>2199</v>
      </c>
      <c r="M1129" t="s">
        <v>67</v>
      </c>
      <c r="N1129" t="s">
        <v>68</v>
      </c>
      <c r="P1129" s="23">
        <v>64.239999999999995</v>
      </c>
      <c r="Q1129" s="4">
        <f t="shared" si="17"/>
        <v>-4.9828767123287676</v>
      </c>
      <c r="R1129" s="23" t="s">
        <v>109</v>
      </c>
      <c r="U1129">
        <v>9</v>
      </c>
      <c r="V1129" t="e">
        <f>VLOOKUP(Tabla3[[#This Row],[Nº]],[1]!NOMINA[#Data],4,FALSE)</f>
        <v>#REF!</v>
      </c>
      <c r="W1129" t="e">
        <f>VLOOKUP(Tabla3[[#This Row],[Nº]],[1]!NOMINA[#Data],5,FALSE)</f>
        <v>#REF!</v>
      </c>
    </row>
    <row r="1130" spans="1:23" x14ac:dyDescent="0.25">
      <c r="A1130" s="37">
        <v>45715</v>
      </c>
      <c r="B1130" s="1">
        <v>719084095</v>
      </c>
      <c r="C1130" t="s">
        <v>2200</v>
      </c>
      <c r="D1130" s="22">
        <v>-320.10000000000002</v>
      </c>
      <c r="E1130" t="s">
        <v>35</v>
      </c>
      <c r="F1130" s="2">
        <v>212901001</v>
      </c>
      <c r="G1130" s="2" t="s">
        <v>121</v>
      </c>
      <c r="L1130" s="2" t="s">
        <v>2201</v>
      </c>
      <c r="M1130" t="s">
        <v>67</v>
      </c>
      <c r="N1130" t="s">
        <v>68</v>
      </c>
      <c r="P1130" s="23">
        <v>64.239999999999995</v>
      </c>
      <c r="Q1130" s="4">
        <f t="shared" si="17"/>
        <v>-4.9828767123287676</v>
      </c>
      <c r="R1130" s="23" t="s">
        <v>109</v>
      </c>
      <c r="U1130">
        <v>44</v>
      </c>
      <c r="V1130" t="e">
        <f>VLOOKUP(U1130,[1]!NOMINA[#Data],4,FALSE)</f>
        <v>#REF!</v>
      </c>
      <c r="W1130" t="e">
        <f>VLOOKUP(U1130,[1]!NOMINA[#Data],5,FALSE)</f>
        <v>#REF!</v>
      </c>
    </row>
    <row r="1131" spans="1:23" x14ac:dyDescent="0.25">
      <c r="A1131" s="37">
        <v>45715</v>
      </c>
      <c r="B1131" s="1">
        <v>819084098</v>
      </c>
      <c r="C1131" t="s">
        <v>2202</v>
      </c>
      <c r="D1131" s="22">
        <v>-3201</v>
      </c>
      <c r="E1131" t="s">
        <v>35</v>
      </c>
      <c r="F1131" s="2">
        <v>212901001</v>
      </c>
      <c r="G1131" s="2" t="s">
        <v>121</v>
      </c>
      <c r="L1131" s="2" t="s">
        <v>2203</v>
      </c>
      <c r="M1131" t="s">
        <v>67</v>
      </c>
      <c r="N1131" t="s">
        <v>68</v>
      </c>
      <c r="P1131" s="23">
        <v>64.239999999999995</v>
      </c>
      <c r="Q1131" s="4">
        <f t="shared" si="17"/>
        <v>-49.828767123287676</v>
      </c>
      <c r="R1131" s="23" t="s">
        <v>109</v>
      </c>
    </row>
    <row r="1132" spans="1:23" x14ac:dyDescent="0.25">
      <c r="A1132" s="37">
        <v>45715</v>
      </c>
      <c r="B1132" s="1">
        <v>819084099</v>
      </c>
      <c r="C1132" t="s">
        <v>2204</v>
      </c>
      <c r="D1132" s="22">
        <v>-3201</v>
      </c>
      <c r="E1132" t="s">
        <v>35</v>
      </c>
      <c r="F1132" s="2">
        <v>212901001</v>
      </c>
      <c r="G1132" s="2" t="s">
        <v>121</v>
      </c>
      <c r="L1132" s="2" t="s">
        <v>2205</v>
      </c>
      <c r="M1132" t="s">
        <v>67</v>
      </c>
      <c r="N1132" t="s">
        <v>68</v>
      </c>
      <c r="P1132" s="23">
        <v>64.239999999999995</v>
      </c>
      <c r="Q1132" s="4">
        <f t="shared" si="17"/>
        <v>-49.828767123287676</v>
      </c>
      <c r="R1132" s="23" t="s">
        <v>109</v>
      </c>
    </row>
    <row r="1133" spans="1:23" x14ac:dyDescent="0.25">
      <c r="A1133" s="37">
        <v>45715</v>
      </c>
      <c r="B1133" s="1">
        <v>819084101</v>
      </c>
      <c r="C1133" t="s">
        <v>2206</v>
      </c>
      <c r="D1133" s="22">
        <v>-2184.36</v>
      </c>
      <c r="E1133" t="s">
        <v>35</v>
      </c>
      <c r="F1133" s="2">
        <v>212901001</v>
      </c>
      <c r="G1133" s="2" t="s">
        <v>121</v>
      </c>
      <c r="L1133" s="2" t="s">
        <v>2207</v>
      </c>
      <c r="M1133" t="s">
        <v>67</v>
      </c>
      <c r="N1133" t="s">
        <v>68</v>
      </c>
      <c r="P1133" s="23">
        <v>64.239999999999995</v>
      </c>
      <c r="Q1133" s="4">
        <f t="shared" si="17"/>
        <v>-34.003113325031137</v>
      </c>
      <c r="R1133" s="23" t="s">
        <v>109</v>
      </c>
      <c r="U1133">
        <v>26</v>
      </c>
      <c r="V1133" t="e">
        <f>VLOOKUP(Tabla3[[#This Row],[Nº]],[1]!NOMINA[#Data],4,FALSE)</f>
        <v>#REF!</v>
      </c>
      <c r="W1133" t="e">
        <f>VLOOKUP(Tabla3[[#This Row],[Nº]],[1]!NOMINA[#Data],5,FALSE)</f>
        <v>#REF!</v>
      </c>
    </row>
    <row r="1134" spans="1:23" x14ac:dyDescent="0.25">
      <c r="A1134" s="37">
        <v>45715</v>
      </c>
      <c r="B1134" s="1">
        <v>819084103</v>
      </c>
      <c r="C1134" t="s">
        <v>2208</v>
      </c>
      <c r="D1134" s="22">
        <v>-2505.1</v>
      </c>
      <c r="E1134" t="s">
        <v>35</v>
      </c>
      <c r="F1134" s="2">
        <v>212901001</v>
      </c>
      <c r="G1134" s="2" t="s">
        <v>121</v>
      </c>
      <c r="L1134" s="2" t="s">
        <v>2209</v>
      </c>
      <c r="M1134" t="s">
        <v>67</v>
      </c>
      <c r="N1134" t="s">
        <v>68</v>
      </c>
      <c r="P1134" s="23">
        <v>64.239999999999995</v>
      </c>
      <c r="Q1134" s="4">
        <f t="shared" si="17"/>
        <v>-38.995952677459528</v>
      </c>
      <c r="R1134" s="23" t="s">
        <v>109</v>
      </c>
      <c r="U1134">
        <v>29</v>
      </c>
      <c r="V1134" t="e">
        <f>VLOOKUP(U1134,[1]!NOMINA[#Data],4,FALSE)</f>
        <v>#REF!</v>
      </c>
      <c r="W1134" t="e">
        <f>VLOOKUP(U1134,[1]!NOMINA[#Data],5,FALSE)</f>
        <v>#REF!</v>
      </c>
    </row>
    <row r="1135" spans="1:23" x14ac:dyDescent="0.25">
      <c r="A1135" s="37">
        <v>45715</v>
      </c>
      <c r="B1135" s="1">
        <v>819084102</v>
      </c>
      <c r="C1135" t="s">
        <v>2210</v>
      </c>
      <c r="D1135" s="22">
        <v>-2505.1</v>
      </c>
      <c r="E1135" t="s">
        <v>35</v>
      </c>
      <c r="F1135" s="2">
        <v>212901001</v>
      </c>
      <c r="G1135" s="2" t="s">
        <v>121</v>
      </c>
      <c r="L1135" s="2" t="s">
        <v>2211</v>
      </c>
      <c r="M1135" t="s">
        <v>67</v>
      </c>
      <c r="N1135" t="s">
        <v>68</v>
      </c>
      <c r="P1135" s="23">
        <v>64.239999999999995</v>
      </c>
      <c r="Q1135" s="4">
        <f t="shared" si="17"/>
        <v>-38.995952677459528</v>
      </c>
      <c r="R1135" s="23" t="s">
        <v>109</v>
      </c>
      <c r="U1135">
        <v>44</v>
      </c>
      <c r="V1135" t="e">
        <f>VLOOKUP(U1135,[1]!NOMINA[#Data],4,FALSE)</f>
        <v>#REF!</v>
      </c>
      <c r="W1135" t="e">
        <f>VLOOKUP(U1135,[1]!NOMINA[#Data],5,FALSE)</f>
        <v>#REF!</v>
      </c>
    </row>
    <row r="1136" spans="1:23" x14ac:dyDescent="0.25">
      <c r="A1136" s="37">
        <v>45715</v>
      </c>
      <c r="B1136" s="1">
        <v>819084104</v>
      </c>
      <c r="C1136" t="s">
        <v>2212</v>
      </c>
      <c r="D1136" s="22">
        <v>-4753.49</v>
      </c>
      <c r="E1136" t="s">
        <v>35</v>
      </c>
      <c r="F1136" s="2">
        <v>212901001</v>
      </c>
      <c r="G1136" s="2" t="s">
        <v>121</v>
      </c>
      <c r="L1136" s="2" t="s">
        <v>2213</v>
      </c>
      <c r="M1136" t="s">
        <v>67</v>
      </c>
      <c r="N1136" t="s">
        <v>68</v>
      </c>
      <c r="P1136" s="23">
        <v>64.239999999999995</v>
      </c>
      <c r="Q1136" s="4">
        <f t="shared" si="17"/>
        <v>-73.995797011207969</v>
      </c>
      <c r="R1136" s="23" t="s">
        <v>109</v>
      </c>
      <c r="U1136">
        <v>10</v>
      </c>
      <c r="V1136" t="e">
        <f>VLOOKUP(U1136,[1]!NOMINA[#Data],4,FALSE)</f>
        <v>#REF!</v>
      </c>
      <c r="W1136" t="e">
        <f>VLOOKUP(U1136,[1]!NOMINA[#Data],5,FALSE)</f>
        <v>#REF!</v>
      </c>
    </row>
    <row r="1137" spans="1:23" x14ac:dyDescent="0.25">
      <c r="A1137" s="37">
        <v>45715</v>
      </c>
      <c r="B1137" s="1">
        <v>819084105</v>
      </c>
      <c r="C1137" t="s">
        <v>2214</v>
      </c>
      <c r="D1137" s="22">
        <v>-4762.45</v>
      </c>
      <c r="E1137" t="s">
        <v>35</v>
      </c>
      <c r="F1137" s="2">
        <v>212901001</v>
      </c>
      <c r="G1137" s="2" t="s">
        <v>121</v>
      </c>
      <c r="L1137" s="2" t="s">
        <v>2215</v>
      </c>
      <c r="M1137" t="s">
        <v>67</v>
      </c>
      <c r="N1137" t="s">
        <v>68</v>
      </c>
      <c r="P1137" s="23">
        <v>64.239999999999995</v>
      </c>
      <c r="Q1137" s="4">
        <f t="shared" si="17"/>
        <v>-74.135273972602747</v>
      </c>
      <c r="R1137" s="23" t="s">
        <v>109</v>
      </c>
      <c r="U1137">
        <v>18</v>
      </c>
      <c r="V1137" t="e">
        <f>VLOOKUP(Tabla3[[#This Row],[Nº]],[1]!NOMINA[#Data],4,FALSE)</f>
        <v>#REF!</v>
      </c>
      <c r="W1137" t="e">
        <f>VLOOKUP(Tabla3[[#This Row],[Nº]],[1]!NOMINA[#Data],5,FALSE)</f>
        <v>#REF!</v>
      </c>
    </row>
    <row r="1138" spans="1:23" x14ac:dyDescent="0.25">
      <c r="A1138" s="37">
        <v>45715</v>
      </c>
      <c r="B1138" s="1">
        <v>919084109</v>
      </c>
      <c r="C1138" t="s">
        <v>2216</v>
      </c>
      <c r="D1138" s="22">
        <v>-2505.1</v>
      </c>
      <c r="E1138" t="s">
        <v>35</v>
      </c>
      <c r="F1138" s="2">
        <v>212901001</v>
      </c>
      <c r="G1138" s="2" t="s">
        <v>121</v>
      </c>
      <c r="L1138" s="2" t="s">
        <v>2217</v>
      </c>
      <c r="M1138" t="s">
        <v>67</v>
      </c>
      <c r="N1138" t="s">
        <v>68</v>
      </c>
      <c r="P1138" s="23">
        <v>64.239999999999995</v>
      </c>
      <c r="Q1138" s="4">
        <f t="shared" si="17"/>
        <v>-38.995952677459528</v>
      </c>
      <c r="R1138" s="23" t="s">
        <v>109</v>
      </c>
      <c r="U1138">
        <v>41</v>
      </c>
      <c r="V1138" t="e">
        <f>VLOOKUP(U1138,[1]!NOMINA[#Data],4,FALSE)</f>
        <v>#REF!</v>
      </c>
      <c r="W1138" t="e">
        <f>VLOOKUP(U1138,[1]!NOMINA[#Data],5,FALSE)</f>
        <v>#REF!</v>
      </c>
    </row>
    <row r="1139" spans="1:23" x14ac:dyDescent="0.25">
      <c r="A1139" s="37">
        <v>45715</v>
      </c>
      <c r="B1139" s="1">
        <v>819084106</v>
      </c>
      <c r="C1139" t="s">
        <v>2218</v>
      </c>
      <c r="D1139" s="22">
        <v>-4736.2</v>
      </c>
      <c r="E1139" t="s">
        <v>35</v>
      </c>
      <c r="F1139" s="2">
        <v>212901001</v>
      </c>
      <c r="G1139" s="2" t="s">
        <v>121</v>
      </c>
      <c r="L1139" s="2" t="s">
        <v>2219</v>
      </c>
      <c r="M1139" t="s">
        <v>67</v>
      </c>
      <c r="N1139" t="s">
        <v>68</v>
      </c>
      <c r="P1139" s="23">
        <v>64.239999999999995</v>
      </c>
      <c r="Q1139" s="4">
        <f t="shared" si="17"/>
        <v>-73.726650062266501</v>
      </c>
      <c r="R1139" s="23" t="s">
        <v>109</v>
      </c>
      <c r="U1139">
        <v>38</v>
      </c>
      <c r="V1139" t="e">
        <f>VLOOKUP(U1139,[1]!NOMINA[#Data],4,FALSE)</f>
        <v>#REF!</v>
      </c>
      <c r="W1139" t="e">
        <f>VLOOKUP(U1139,[1]!NOMINA[#Data],5,FALSE)</f>
        <v>#REF!</v>
      </c>
    </row>
    <row r="1140" spans="1:23" x14ac:dyDescent="0.25">
      <c r="A1140" s="37">
        <v>45715</v>
      </c>
      <c r="B1140" s="1">
        <v>919084112</v>
      </c>
      <c r="C1140" t="s">
        <v>2220</v>
      </c>
      <c r="D1140" s="22">
        <v>-4753.49</v>
      </c>
      <c r="E1140" t="s">
        <v>35</v>
      </c>
      <c r="F1140" s="2">
        <v>212901001</v>
      </c>
      <c r="G1140" s="2" t="s">
        <v>121</v>
      </c>
      <c r="L1140" s="2" t="s">
        <v>2221</v>
      </c>
      <c r="M1140" t="s">
        <v>67</v>
      </c>
      <c r="N1140" t="s">
        <v>68</v>
      </c>
      <c r="P1140" s="23">
        <v>64.239999999999995</v>
      </c>
      <c r="Q1140" s="4">
        <f t="shared" si="17"/>
        <v>-73.995797011207969</v>
      </c>
      <c r="R1140" s="23" t="s">
        <v>109</v>
      </c>
      <c r="U1140">
        <v>8</v>
      </c>
      <c r="V1140" t="e">
        <f>VLOOKUP(U1140,[1]!NOMINA[#Data],4,FALSE)</f>
        <v>#REF!</v>
      </c>
      <c r="W1140" t="e">
        <f>VLOOKUP(U1140,[1]!NOMINA[#Data],5,FALSE)</f>
        <v>#REF!</v>
      </c>
    </row>
    <row r="1141" spans="1:23" x14ac:dyDescent="0.25">
      <c r="A1141" s="37">
        <v>45715</v>
      </c>
      <c r="B1141" s="1">
        <v>919084110</v>
      </c>
      <c r="C1141" t="s">
        <v>2222</v>
      </c>
      <c r="D1141" s="22">
        <v>-4736.2</v>
      </c>
      <c r="E1141" t="s">
        <v>35</v>
      </c>
      <c r="F1141" s="2">
        <v>212901001</v>
      </c>
      <c r="G1141" s="2" t="s">
        <v>121</v>
      </c>
      <c r="L1141" s="2" t="s">
        <v>2223</v>
      </c>
      <c r="M1141" t="s">
        <v>67</v>
      </c>
      <c r="N1141" t="s">
        <v>68</v>
      </c>
      <c r="P1141" s="23">
        <v>64.239999999999995</v>
      </c>
      <c r="Q1141" s="4">
        <f t="shared" si="17"/>
        <v>-73.726650062266501</v>
      </c>
      <c r="R1141" s="23" t="s">
        <v>109</v>
      </c>
      <c r="U1141">
        <v>13</v>
      </c>
      <c r="V1141" t="e">
        <f>VLOOKUP(U1141,[1]!NOMINA[#Data],4,FALSE)</f>
        <v>#REF!</v>
      </c>
      <c r="W1141" t="e">
        <f>VLOOKUP(U1141,[1]!NOMINA[#Data],5,FALSE)</f>
        <v>#REF!</v>
      </c>
    </row>
    <row r="1142" spans="1:23" x14ac:dyDescent="0.25">
      <c r="A1142" s="37">
        <v>45715</v>
      </c>
      <c r="B1142" s="1">
        <v>919084113</v>
      </c>
      <c r="C1142" t="s">
        <v>2224</v>
      </c>
      <c r="D1142" s="22">
        <v>-4753.49</v>
      </c>
      <c r="E1142" t="s">
        <v>35</v>
      </c>
      <c r="F1142" s="2">
        <v>212901001</v>
      </c>
      <c r="G1142" s="2" t="s">
        <v>121</v>
      </c>
      <c r="L1142" s="2" t="s">
        <v>2225</v>
      </c>
      <c r="M1142" t="s">
        <v>67</v>
      </c>
      <c r="N1142" t="s">
        <v>68</v>
      </c>
      <c r="P1142" s="23">
        <v>64.239999999999995</v>
      </c>
      <c r="Q1142" s="4">
        <f t="shared" si="17"/>
        <v>-73.995797011207969</v>
      </c>
      <c r="R1142" s="23" t="s">
        <v>109</v>
      </c>
      <c r="U1142">
        <v>11</v>
      </c>
      <c r="V1142" t="e">
        <f>VLOOKUP(U1142,[1]!NOMINA[#Data],4,FALSE)</f>
        <v>#REF!</v>
      </c>
      <c r="W1142" t="e">
        <f>VLOOKUP(U1142,[1]!NOMINA[#Data],5,FALSE)</f>
        <v>#REF!</v>
      </c>
    </row>
    <row r="1143" spans="1:23" x14ac:dyDescent="0.25">
      <c r="A1143" s="37">
        <v>45715</v>
      </c>
      <c r="B1143" s="1">
        <v>919084107</v>
      </c>
      <c r="C1143" t="s">
        <v>2226</v>
      </c>
      <c r="D1143" s="22">
        <v>-4762.45</v>
      </c>
      <c r="E1143" t="s">
        <v>35</v>
      </c>
      <c r="F1143" s="2">
        <v>212901001</v>
      </c>
      <c r="G1143" s="2" t="s">
        <v>121</v>
      </c>
      <c r="L1143" s="2" t="s">
        <v>2227</v>
      </c>
      <c r="M1143" t="s">
        <v>67</v>
      </c>
      <c r="N1143" t="s">
        <v>68</v>
      </c>
      <c r="P1143" s="23">
        <v>64.239999999999995</v>
      </c>
      <c r="Q1143" s="4">
        <f t="shared" si="17"/>
        <v>-74.135273972602747</v>
      </c>
      <c r="R1143" s="23" t="s">
        <v>109</v>
      </c>
      <c r="U1143">
        <v>15</v>
      </c>
      <c r="V1143" t="e">
        <f>VLOOKUP(U1143,[1]!NOMINA[#Data],4,FALSE)</f>
        <v>#REF!</v>
      </c>
      <c r="W1143" t="e">
        <f>VLOOKUP(U1143,[1]!NOMINA[#Data],5,FALSE)</f>
        <v>#REF!</v>
      </c>
    </row>
    <row r="1144" spans="1:23" x14ac:dyDescent="0.25">
      <c r="A1144" s="37">
        <v>45715</v>
      </c>
      <c r="B1144" s="1">
        <v>919084111</v>
      </c>
      <c r="C1144" t="s">
        <v>2228</v>
      </c>
      <c r="D1144" s="22">
        <v>-31944.7</v>
      </c>
      <c r="E1144" t="s">
        <v>35</v>
      </c>
      <c r="F1144" s="2">
        <v>212901001</v>
      </c>
      <c r="G1144" s="2" t="s">
        <v>121</v>
      </c>
      <c r="L1144" s="2" t="s">
        <v>2229</v>
      </c>
      <c r="M1144" t="s">
        <v>67</v>
      </c>
      <c r="N1144" t="s">
        <v>68</v>
      </c>
      <c r="P1144" s="23">
        <v>64.239999999999995</v>
      </c>
      <c r="Q1144" s="4">
        <f t="shared" si="17"/>
        <v>-497.27117061021175</v>
      </c>
      <c r="R1144" s="23" t="s">
        <v>109</v>
      </c>
      <c r="U1144">
        <v>13</v>
      </c>
      <c r="V1144" t="e">
        <f>VLOOKUP(U1144,[1]!NOMINA[#Data],4,FALSE)</f>
        <v>#REF!</v>
      </c>
      <c r="W1144" t="e">
        <f>VLOOKUP(U1144,[1]!NOMINA[#Data],5,FALSE)</f>
        <v>#REF!</v>
      </c>
    </row>
    <row r="1145" spans="1:23" x14ac:dyDescent="0.25">
      <c r="A1145" s="37">
        <v>45715</v>
      </c>
      <c r="B1145" s="1">
        <v>919084108</v>
      </c>
      <c r="C1145" t="s">
        <v>2230</v>
      </c>
      <c r="D1145" s="22">
        <v>-4582.55</v>
      </c>
      <c r="E1145" t="s">
        <v>35</v>
      </c>
      <c r="F1145" s="2">
        <v>212901001</v>
      </c>
      <c r="G1145" s="2" t="s">
        <v>121</v>
      </c>
      <c r="L1145" s="2" t="s">
        <v>2231</v>
      </c>
      <c r="M1145" t="s">
        <v>67</v>
      </c>
      <c r="N1145" t="s">
        <v>68</v>
      </c>
      <c r="P1145" s="23">
        <v>64.239999999999995</v>
      </c>
      <c r="Q1145" s="4">
        <f t="shared" si="17"/>
        <v>-71.334838107098392</v>
      </c>
      <c r="R1145" s="23" t="s">
        <v>109</v>
      </c>
      <c r="U1145">
        <v>20</v>
      </c>
      <c r="V1145" t="e">
        <f>VLOOKUP(Tabla3[[#This Row],[Nº]],[1]!NOMINA[#Data],4,FALSE)</f>
        <v>#REF!</v>
      </c>
      <c r="W1145" t="e">
        <f>VLOOKUP(Tabla3[[#This Row],[Nº]],[1]!NOMINA[#Data],5,FALSE)</f>
        <v>#REF!</v>
      </c>
    </row>
    <row r="1146" spans="1:23" x14ac:dyDescent="0.25">
      <c r="A1146" s="37">
        <v>45715</v>
      </c>
      <c r="B1146" s="1">
        <v>919084115</v>
      </c>
      <c r="C1146" t="s">
        <v>2232</v>
      </c>
      <c r="D1146" s="22">
        <v>-12738.7</v>
      </c>
      <c r="E1146" t="s">
        <v>35</v>
      </c>
      <c r="F1146" s="2">
        <v>212901001</v>
      </c>
      <c r="G1146" s="2" t="s">
        <v>121</v>
      </c>
      <c r="L1146" s="2" t="s">
        <v>2233</v>
      </c>
      <c r="M1146" t="s">
        <v>67</v>
      </c>
      <c r="N1146" t="s">
        <v>68</v>
      </c>
      <c r="P1146" s="23">
        <v>64.239999999999995</v>
      </c>
      <c r="Q1146" s="4">
        <f t="shared" si="17"/>
        <v>-198.2985678704857</v>
      </c>
      <c r="R1146" s="23" t="s">
        <v>109</v>
      </c>
      <c r="U1146">
        <v>43</v>
      </c>
      <c r="V1146" t="e">
        <f>VLOOKUP(U1146,[1]!NOMINA[#Data],4,FALSE)</f>
        <v>#REF!</v>
      </c>
      <c r="W1146" t="e">
        <f>VLOOKUP(U1146,[1]!NOMINA[#Data],5,FALSE)</f>
        <v>#REF!</v>
      </c>
    </row>
    <row r="1147" spans="1:23" x14ac:dyDescent="0.25">
      <c r="A1147" s="37">
        <v>45715</v>
      </c>
      <c r="B1147" s="1">
        <v>919084114</v>
      </c>
      <c r="C1147" t="s">
        <v>2234</v>
      </c>
      <c r="D1147" s="22">
        <v>-2183.7199999999998</v>
      </c>
      <c r="E1147" t="s">
        <v>35</v>
      </c>
      <c r="F1147" s="2">
        <v>212901001</v>
      </c>
      <c r="G1147" s="2" t="s">
        <v>121</v>
      </c>
      <c r="L1147" s="2" t="s">
        <v>2235</v>
      </c>
      <c r="M1147" t="s">
        <v>67</v>
      </c>
      <c r="N1147" t="s">
        <v>68</v>
      </c>
      <c r="P1147" s="23">
        <v>64.239999999999995</v>
      </c>
      <c r="Q1147" s="4">
        <f t="shared" si="17"/>
        <v>-33.993150684931507</v>
      </c>
      <c r="R1147" s="23" t="s">
        <v>109</v>
      </c>
      <c r="U1147">
        <v>23</v>
      </c>
      <c r="V1147" t="e">
        <f>VLOOKUP(U1147,[1]!NOMINA[#Data],4,FALSE)</f>
        <v>#REF!</v>
      </c>
      <c r="W1147" t="e">
        <f>VLOOKUP(U1147,[1]!NOMINA[#Data],5,FALSE)</f>
        <v>#REF!</v>
      </c>
    </row>
    <row r="1148" spans="1:23" x14ac:dyDescent="0.25">
      <c r="A1148" s="37">
        <v>45715</v>
      </c>
      <c r="B1148" s="1">
        <v>919084116</v>
      </c>
      <c r="C1148" t="s">
        <v>2236</v>
      </c>
      <c r="D1148" s="22">
        <v>-4762.45</v>
      </c>
      <c r="E1148" t="s">
        <v>35</v>
      </c>
      <c r="F1148" s="2">
        <v>212901001</v>
      </c>
      <c r="G1148" s="2" t="s">
        <v>121</v>
      </c>
      <c r="L1148" s="2" t="s">
        <v>2237</v>
      </c>
      <c r="M1148" t="s">
        <v>67</v>
      </c>
      <c r="N1148" t="s">
        <v>68</v>
      </c>
      <c r="P1148" s="23">
        <v>64.239999999999995</v>
      </c>
      <c r="Q1148" s="4">
        <f t="shared" si="17"/>
        <v>-74.135273972602747</v>
      </c>
      <c r="R1148" s="23" t="s">
        <v>109</v>
      </c>
      <c r="U1148">
        <v>17</v>
      </c>
      <c r="V1148" t="e">
        <f>VLOOKUP(U1148,[1]!NOMINA[#Data],4,FALSE)</f>
        <v>#REF!</v>
      </c>
      <c r="W1148" t="e">
        <f>VLOOKUP(U1148,[1]!NOMINA[#Data],5,FALSE)</f>
        <v>#REF!</v>
      </c>
    </row>
    <row r="1149" spans="1:23" x14ac:dyDescent="0.25">
      <c r="A1149" s="37">
        <v>45715</v>
      </c>
      <c r="B1149" s="1">
        <v>19084120</v>
      </c>
      <c r="C1149" t="s">
        <v>2238</v>
      </c>
      <c r="D1149" s="22">
        <v>-4754.13</v>
      </c>
      <c r="E1149" t="s">
        <v>35</v>
      </c>
      <c r="F1149" s="2">
        <v>212901001</v>
      </c>
      <c r="G1149" s="2" t="s">
        <v>121</v>
      </c>
      <c r="L1149" s="2" t="s">
        <v>2239</v>
      </c>
      <c r="M1149" t="s">
        <v>67</v>
      </c>
      <c r="N1149" t="s">
        <v>68</v>
      </c>
      <c r="P1149" s="23">
        <v>64.239999999999995</v>
      </c>
      <c r="Q1149" s="4">
        <f t="shared" si="17"/>
        <v>-74.005759651307599</v>
      </c>
      <c r="R1149" s="23" t="s">
        <v>109</v>
      </c>
      <c r="U1149">
        <v>39</v>
      </c>
      <c r="V1149" t="e">
        <f>VLOOKUP(U1149,[1]!NOMINA[#Data],4,FALSE)</f>
        <v>#REF!</v>
      </c>
      <c r="W1149" t="e">
        <f>VLOOKUP(U1149,[1]!NOMINA[#Data],5,FALSE)</f>
        <v>#REF!</v>
      </c>
    </row>
    <row r="1150" spans="1:23" x14ac:dyDescent="0.25">
      <c r="A1150" s="37">
        <v>45715</v>
      </c>
      <c r="B1150" s="1">
        <v>19084118</v>
      </c>
      <c r="C1150" t="s">
        <v>2240</v>
      </c>
      <c r="D1150" s="22">
        <v>-3145.94</v>
      </c>
      <c r="E1150" t="s">
        <v>35</v>
      </c>
      <c r="F1150" s="2">
        <v>212901001</v>
      </c>
      <c r="G1150" s="2" t="s">
        <v>121</v>
      </c>
      <c r="L1150" s="2" t="s">
        <v>2241</v>
      </c>
      <c r="M1150" t="s">
        <v>67</v>
      </c>
      <c r="N1150" t="s">
        <v>68</v>
      </c>
      <c r="P1150" s="23">
        <v>64.239999999999995</v>
      </c>
      <c r="Q1150" s="4">
        <f t="shared" si="17"/>
        <v>-48.971668742216693</v>
      </c>
      <c r="R1150" s="23" t="s">
        <v>109</v>
      </c>
      <c r="U1150">
        <v>22</v>
      </c>
      <c r="V1150" t="e">
        <f>VLOOKUP(Tabla3[[#This Row],[Nº]],[1]!NOMINA[#Data],4,FALSE)</f>
        <v>#REF!</v>
      </c>
      <c r="W1150" t="e">
        <f>VLOOKUP(U1150,[1]!NOMINA[#Data],5,FALSE)</f>
        <v>#REF!</v>
      </c>
    </row>
    <row r="1151" spans="1:23" x14ac:dyDescent="0.25">
      <c r="A1151" s="37">
        <v>45715</v>
      </c>
      <c r="B1151" s="1">
        <v>19084117</v>
      </c>
      <c r="C1151" t="s">
        <v>2242</v>
      </c>
      <c r="D1151" s="22">
        <v>-4762.45</v>
      </c>
      <c r="E1151" t="s">
        <v>35</v>
      </c>
      <c r="F1151" s="2">
        <v>212901001</v>
      </c>
      <c r="G1151" s="2" t="s">
        <v>121</v>
      </c>
      <c r="L1151" s="2" t="s">
        <v>2243</v>
      </c>
      <c r="M1151" t="s">
        <v>67</v>
      </c>
      <c r="N1151" t="s">
        <v>68</v>
      </c>
      <c r="P1151" s="23">
        <v>64.239999999999995</v>
      </c>
      <c r="Q1151" s="4">
        <f t="shared" si="17"/>
        <v>-74.135273972602747</v>
      </c>
      <c r="R1151" s="23" t="s">
        <v>109</v>
      </c>
      <c r="U1151">
        <v>14</v>
      </c>
      <c r="V1151" t="e">
        <f>VLOOKUP(Tabla3[[#This Row],[Nº]],[1]!NOMINA[#Data],4,FALSE)</f>
        <v>#REF!</v>
      </c>
      <c r="W1151" t="e">
        <f>VLOOKUP(Tabla3[[#This Row],[Nº]],[1]!NOMINA[#Data],5,FALSE)</f>
        <v>#REF!</v>
      </c>
    </row>
    <row r="1152" spans="1:23" x14ac:dyDescent="0.25">
      <c r="A1152" s="37">
        <v>45715</v>
      </c>
      <c r="B1152" s="1">
        <v>19084119</v>
      </c>
      <c r="C1152" t="s">
        <v>2244</v>
      </c>
      <c r="D1152" s="22">
        <v>-3142.74</v>
      </c>
      <c r="E1152" t="s">
        <v>35</v>
      </c>
      <c r="F1152" s="2">
        <v>212901001</v>
      </c>
      <c r="G1152" s="2" t="s">
        <v>121</v>
      </c>
      <c r="L1152" s="2" t="s">
        <v>2245</v>
      </c>
      <c r="M1152" t="s">
        <v>67</v>
      </c>
      <c r="N1152" t="s">
        <v>68</v>
      </c>
      <c r="P1152" s="23">
        <v>64.239999999999995</v>
      </c>
      <c r="Q1152" s="4">
        <f t="shared" si="17"/>
        <v>-48.921855541718557</v>
      </c>
      <c r="R1152" s="23" t="s">
        <v>109</v>
      </c>
      <c r="U1152">
        <v>42</v>
      </c>
      <c r="V1152" t="e">
        <f>VLOOKUP(U1152,[1]!NOMINA[#Data],4,FALSE)</f>
        <v>#REF!</v>
      </c>
      <c r="W1152" t="e">
        <f>VLOOKUP(U1152,[1]!NOMINA[#Data],5,FALSE)</f>
        <v>#REF!</v>
      </c>
    </row>
    <row r="1153" spans="1:23" x14ac:dyDescent="0.25">
      <c r="A1153" s="37">
        <v>45715</v>
      </c>
      <c r="B1153" s="1">
        <v>19084121</v>
      </c>
      <c r="C1153" t="s">
        <v>2246</v>
      </c>
      <c r="D1153" s="22">
        <v>-3145.94</v>
      </c>
      <c r="E1153" t="s">
        <v>35</v>
      </c>
      <c r="F1153" s="2">
        <v>212901001</v>
      </c>
      <c r="G1153" s="2" t="s">
        <v>121</v>
      </c>
      <c r="L1153" s="2" t="s">
        <v>2247</v>
      </c>
      <c r="M1153" t="s">
        <v>67</v>
      </c>
      <c r="N1153" t="s">
        <v>68</v>
      </c>
      <c r="P1153" s="23">
        <v>64.239999999999995</v>
      </c>
      <c r="Q1153" s="4">
        <f t="shared" si="17"/>
        <v>-48.971668742216693</v>
      </c>
      <c r="R1153" s="23" t="s">
        <v>109</v>
      </c>
      <c r="U1153">
        <v>21</v>
      </c>
      <c r="V1153" t="e">
        <f>VLOOKUP(U1153,[1]!NOMINA[#Data],4,FALSE)</f>
        <v>#REF!</v>
      </c>
      <c r="W1153" t="e">
        <f>VLOOKUP(U1153,[1]!NOMINA[#Data],5,FALSE)</f>
        <v>#REF!</v>
      </c>
    </row>
    <row r="1154" spans="1:23" x14ac:dyDescent="0.25">
      <c r="A1154" s="37">
        <v>45715</v>
      </c>
      <c r="B1154" s="1">
        <v>19084122</v>
      </c>
      <c r="C1154" t="s">
        <v>2248</v>
      </c>
      <c r="D1154" s="22">
        <v>-2184.36</v>
      </c>
      <c r="E1154" t="s">
        <v>35</v>
      </c>
      <c r="F1154" s="2">
        <v>212901001</v>
      </c>
      <c r="G1154" s="2" t="s">
        <v>121</v>
      </c>
      <c r="L1154" s="2" t="s">
        <v>2249</v>
      </c>
      <c r="M1154" t="s">
        <v>67</v>
      </c>
      <c r="N1154" t="s">
        <v>68</v>
      </c>
      <c r="P1154" s="23">
        <v>64.239999999999995</v>
      </c>
      <c r="Q1154" s="4">
        <f t="shared" si="17"/>
        <v>-34.003113325031137</v>
      </c>
      <c r="R1154" s="23" t="s">
        <v>109</v>
      </c>
      <c r="U1154">
        <v>25</v>
      </c>
      <c r="V1154" t="e">
        <f>VLOOKUP(U1154,[1]!NOMINA[#Data],4,FALSE)</f>
        <v>#REF!</v>
      </c>
      <c r="W1154" t="e">
        <f>VLOOKUP(U1154,[1]!NOMINA[#Data],5,FALSE)</f>
        <v>#REF!</v>
      </c>
    </row>
    <row r="1155" spans="1:23" x14ac:dyDescent="0.25">
      <c r="A1155" s="37">
        <v>45715</v>
      </c>
      <c r="B1155" s="1">
        <v>19084126</v>
      </c>
      <c r="C1155" t="s">
        <v>2250</v>
      </c>
      <c r="D1155" s="22">
        <v>-2505.1</v>
      </c>
      <c r="E1155" t="s">
        <v>35</v>
      </c>
      <c r="F1155" s="2">
        <v>212901001</v>
      </c>
      <c r="G1155" s="2" t="s">
        <v>121</v>
      </c>
      <c r="L1155" s="2" t="s">
        <v>2251</v>
      </c>
      <c r="M1155" t="s">
        <v>67</v>
      </c>
      <c r="N1155" t="s">
        <v>68</v>
      </c>
      <c r="P1155" s="23">
        <v>64.239999999999995</v>
      </c>
      <c r="Q1155" s="4">
        <f t="shared" si="17"/>
        <v>-38.995952677459528</v>
      </c>
      <c r="R1155" s="23" t="s">
        <v>109</v>
      </c>
      <c r="U1155">
        <v>28</v>
      </c>
      <c r="V1155" t="e">
        <f>VLOOKUP(U1155,[1]!NOMINA[#Data],4,FALSE)</f>
        <v>#REF!</v>
      </c>
      <c r="W1155" t="e">
        <f>VLOOKUP(U1155,[1]!NOMINA[#Data],5,FALSE)</f>
        <v>#REF!</v>
      </c>
    </row>
    <row r="1156" spans="1:23" x14ac:dyDescent="0.25">
      <c r="A1156" s="37">
        <v>45715</v>
      </c>
      <c r="B1156" s="1">
        <v>19084123</v>
      </c>
      <c r="C1156" t="s">
        <v>2252</v>
      </c>
      <c r="D1156" s="22">
        <v>-4736.2</v>
      </c>
      <c r="E1156" t="s">
        <v>35</v>
      </c>
      <c r="F1156" s="2">
        <v>212901001</v>
      </c>
      <c r="G1156" s="2" t="s">
        <v>121</v>
      </c>
      <c r="L1156" s="2" t="s">
        <v>2253</v>
      </c>
      <c r="M1156" t="s">
        <v>67</v>
      </c>
      <c r="N1156" t="s">
        <v>68</v>
      </c>
      <c r="P1156" s="23">
        <v>64.239999999999995</v>
      </c>
      <c r="Q1156" s="4">
        <f t="shared" si="17"/>
        <v>-73.726650062266501</v>
      </c>
      <c r="R1156" s="23" t="s">
        <v>109</v>
      </c>
      <c r="U1156">
        <v>12</v>
      </c>
      <c r="V1156" t="e">
        <f>VLOOKUP(U1156,[1]!NOMINA[#Data],4,FALSE)</f>
        <v>#REF!</v>
      </c>
      <c r="W1156" t="e">
        <f>VLOOKUP(U1156,[1]!NOMINA[#Data],5,FALSE)</f>
        <v>#REF!</v>
      </c>
    </row>
    <row r="1157" spans="1:23" x14ac:dyDescent="0.25">
      <c r="A1157" s="37">
        <v>45715</v>
      </c>
      <c r="B1157" s="1">
        <v>19084129</v>
      </c>
      <c r="C1157" t="s">
        <v>2254</v>
      </c>
      <c r="D1157" s="22">
        <v>-3149.78</v>
      </c>
      <c r="E1157" t="s">
        <v>35</v>
      </c>
      <c r="F1157" s="2">
        <v>212901001</v>
      </c>
      <c r="G1157" s="2" t="s">
        <v>121</v>
      </c>
      <c r="L1157" s="2" t="s">
        <v>2255</v>
      </c>
      <c r="M1157" t="s">
        <v>67</v>
      </c>
      <c r="N1157" t="s">
        <v>68</v>
      </c>
      <c r="P1157" s="23">
        <v>64.239999999999995</v>
      </c>
      <c r="Q1157" s="4">
        <f t="shared" si="17"/>
        <v>-49.031444582814451</v>
      </c>
      <c r="R1157" s="23" t="s">
        <v>109</v>
      </c>
      <c r="U1157">
        <v>24</v>
      </c>
      <c r="V1157" t="e">
        <f>VLOOKUP(U1157,[1]!NOMINA[#Data],4,FALSE)</f>
        <v>#REF!</v>
      </c>
      <c r="W1157" t="e">
        <f>VLOOKUP(U1157,[1]!NOMINA[#Data],5,FALSE)</f>
        <v>#REF!</v>
      </c>
    </row>
    <row r="1158" spans="1:23" x14ac:dyDescent="0.25">
      <c r="A1158" s="37">
        <v>45715</v>
      </c>
      <c r="B1158" s="1">
        <v>119084130</v>
      </c>
      <c r="C1158" t="s">
        <v>2256</v>
      </c>
      <c r="D1158" s="22">
        <v>-2184.36</v>
      </c>
      <c r="E1158" t="s">
        <v>35</v>
      </c>
      <c r="F1158" s="2">
        <v>212901001</v>
      </c>
      <c r="G1158" s="2" t="s">
        <v>121</v>
      </c>
      <c r="L1158" s="2" t="s">
        <v>2257</v>
      </c>
      <c r="M1158" t="s">
        <v>67</v>
      </c>
      <c r="N1158" t="s">
        <v>68</v>
      </c>
      <c r="P1158" s="23">
        <v>64.239999999999995</v>
      </c>
      <c r="Q1158" s="4">
        <f t="shared" si="17"/>
        <v>-34.003113325031137</v>
      </c>
      <c r="R1158" s="23" t="s">
        <v>109</v>
      </c>
      <c r="U1158">
        <v>27</v>
      </c>
      <c r="V1158" t="e">
        <f>VLOOKUP(U1158,[1]!NOMINA[#Data],4,FALSE)</f>
        <v>#REF!</v>
      </c>
      <c r="W1158" t="e">
        <f>VLOOKUP(U1158,[1]!NOMINA[#Data],5,FALSE)</f>
        <v>#REF!</v>
      </c>
    </row>
    <row r="1159" spans="1:23" x14ac:dyDescent="0.25">
      <c r="A1159" s="37">
        <v>45715</v>
      </c>
      <c r="B1159" s="1">
        <v>19084124</v>
      </c>
      <c r="C1159" t="s">
        <v>2258</v>
      </c>
      <c r="D1159" s="22">
        <v>-30158.54</v>
      </c>
      <c r="E1159" t="s">
        <v>35</v>
      </c>
      <c r="F1159" s="2">
        <v>212901001</v>
      </c>
      <c r="G1159" s="2" t="s">
        <v>121</v>
      </c>
      <c r="L1159" s="2" t="s">
        <v>2259</v>
      </c>
      <c r="M1159" t="s">
        <v>67</v>
      </c>
      <c r="N1159" t="s">
        <v>68</v>
      </c>
      <c r="P1159" s="23">
        <v>64.239999999999995</v>
      </c>
      <c r="Q1159" s="4">
        <f t="shared" si="17"/>
        <v>-469.4666874221669</v>
      </c>
      <c r="R1159" s="23" t="s">
        <v>109</v>
      </c>
      <c r="U1159">
        <v>2</v>
      </c>
      <c r="V1159" t="e">
        <f>VLOOKUP(Tabla3[[#This Row],[Nº]],[1]!NOMINA[#Data],4,FALSE)</f>
        <v>#REF!</v>
      </c>
      <c r="W1159" t="e">
        <f>VLOOKUP(Tabla3[[#This Row],[Nº]],[1]!NOMINA[#Data],5,FALSE)</f>
        <v>#REF!</v>
      </c>
    </row>
    <row r="1160" spans="1:23" x14ac:dyDescent="0.25">
      <c r="A1160" s="37">
        <v>45715</v>
      </c>
      <c r="B1160" s="1">
        <v>19084127</v>
      </c>
      <c r="C1160" t="s">
        <v>2260</v>
      </c>
      <c r="D1160" s="22">
        <v>-7937.2</v>
      </c>
      <c r="E1160" t="s">
        <v>35</v>
      </c>
      <c r="F1160" s="2">
        <v>212901001</v>
      </c>
      <c r="G1160" s="2" t="s">
        <v>121</v>
      </c>
      <c r="L1160" s="2" t="s">
        <v>2261</v>
      </c>
      <c r="M1160" t="s">
        <v>67</v>
      </c>
      <c r="N1160" t="s">
        <v>68</v>
      </c>
      <c r="P1160" s="23">
        <v>64.239999999999995</v>
      </c>
      <c r="Q1160" s="4">
        <f t="shared" si="17"/>
        <v>-123.55541718555418</v>
      </c>
      <c r="R1160" s="23" t="s">
        <v>109</v>
      </c>
      <c r="U1160">
        <v>6</v>
      </c>
      <c r="V1160" t="e">
        <f>VLOOKUP(U1160,[1]!NOMINA[#Data],4,FALSE)</f>
        <v>#REF!</v>
      </c>
      <c r="W1160" t="e">
        <f>VLOOKUP(U1160,[1]!NOMINA[#Data],5,FALSE)</f>
        <v>#REF!</v>
      </c>
    </row>
    <row r="1161" spans="1:23" x14ac:dyDescent="0.25">
      <c r="A1161" s="37">
        <v>45715</v>
      </c>
      <c r="B1161" s="1">
        <v>119084132</v>
      </c>
      <c r="C1161" t="s">
        <v>2262</v>
      </c>
      <c r="D1161" s="22">
        <v>-4107.5200000000004</v>
      </c>
      <c r="E1161" t="s">
        <v>35</v>
      </c>
      <c r="F1161" s="2">
        <v>212901001</v>
      </c>
      <c r="G1161" s="2" t="s">
        <v>121</v>
      </c>
      <c r="L1161" s="2" t="s">
        <v>2263</v>
      </c>
      <c r="M1161" t="s">
        <v>67</v>
      </c>
      <c r="N1161" t="s">
        <v>68</v>
      </c>
      <c r="P1161" s="23">
        <v>64.239999999999995</v>
      </c>
      <c r="Q1161" s="4">
        <f t="shared" si="17"/>
        <v>-63.940224159402256</v>
      </c>
      <c r="R1161" s="23" t="s">
        <v>109</v>
      </c>
      <c r="U1161">
        <v>5</v>
      </c>
      <c r="V1161" t="e">
        <f>VLOOKUP(U1161,[1]!NOMINA[#Data],4,FALSE)</f>
        <v>#REF!</v>
      </c>
      <c r="W1161" t="e">
        <f>VLOOKUP(U1161,[1]!NOMINA[#Data],5,FALSE)</f>
        <v>#REF!</v>
      </c>
    </row>
    <row r="1162" spans="1:23" x14ac:dyDescent="0.25">
      <c r="A1162" s="37">
        <v>45715</v>
      </c>
      <c r="B1162" s="1">
        <v>119084133</v>
      </c>
      <c r="C1162" t="s">
        <v>2264</v>
      </c>
      <c r="D1162" s="22">
        <v>-4762.45</v>
      </c>
      <c r="E1162" t="s">
        <v>35</v>
      </c>
      <c r="F1162" s="2">
        <v>212901001</v>
      </c>
      <c r="G1162" s="2" t="s">
        <v>121</v>
      </c>
      <c r="L1162" s="2" t="s">
        <v>2265</v>
      </c>
      <c r="M1162" t="s">
        <v>67</v>
      </c>
      <c r="N1162" t="s">
        <v>68</v>
      </c>
      <c r="P1162" s="23">
        <v>64.239999999999995</v>
      </c>
      <c r="Q1162" s="4">
        <f t="shared" si="17"/>
        <v>-74.135273972602747</v>
      </c>
      <c r="R1162" s="23" t="s">
        <v>109</v>
      </c>
      <c r="U1162">
        <v>16</v>
      </c>
      <c r="V1162" t="e">
        <f>VLOOKUP(Tabla3[[#This Row],[Nº]],[1]!NOMINA[#Data],4,FALSE)</f>
        <v>#REF!</v>
      </c>
      <c r="W1162" t="e">
        <f>VLOOKUP(Tabla3[[#This Row],[Nº]],[1]!NOMINA[#Data],5,FALSE)</f>
        <v>#REF!</v>
      </c>
    </row>
    <row r="1163" spans="1:23" x14ac:dyDescent="0.25">
      <c r="A1163" s="37">
        <v>45715</v>
      </c>
      <c r="B1163" s="1">
        <v>119084131</v>
      </c>
      <c r="C1163" t="s">
        <v>2266</v>
      </c>
      <c r="D1163" s="22">
        <v>-3153.63</v>
      </c>
      <c r="E1163" t="s">
        <v>35</v>
      </c>
      <c r="F1163" s="2">
        <v>212901001</v>
      </c>
      <c r="G1163" s="2" t="s">
        <v>121</v>
      </c>
      <c r="L1163" s="2" t="s">
        <v>2267</v>
      </c>
      <c r="M1163" t="s">
        <v>67</v>
      </c>
      <c r="N1163" t="s">
        <v>68</v>
      </c>
      <c r="P1163" s="23">
        <v>64.239999999999995</v>
      </c>
      <c r="Q1163" s="4">
        <f t="shared" ref="Q1163:Q1226" si="18">D1163/P1163</f>
        <v>-49.091376089663768</v>
      </c>
      <c r="R1163" s="23" t="s">
        <v>109</v>
      </c>
      <c r="U1163">
        <v>19</v>
      </c>
      <c r="V1163" t="e">
        <f>VLOOKUP(U1163,[1]!NOMINA[#Data],4,FALSE)</f>
        <v>#REF!</v>
      </c>
      <c r="W1163" t="e">
        <f>VLOOKUP(U1163,[1]!NOMINA[#Data],5,FALSE)</f>
        <v>#REF!</v>
      </c>
    </row>
    <row r="1164" spans="1:23" x14ac:dyDescent="0.25">
      <c r="A1164" s="37">
        <v>45715</v>
      </c>
      <c r="B1164" s="1">
        <v>119084135</v>
      </c>
      <c r="C1164" t="s">
        <v>2268</v>
      </c>
      <c r="D1164" s="22">
        <v>-2505.1</v>
      </c>
      <c r="E1164" t="s">
        <v>35</v>
      </c>
      <c r="F1164" s="2">
        <v>212901001</v>
      </c>
      <c r="G1164" s="2" t="s">
        <v>121</v>
      </c>
      <c r="L1164" s="2" t="s">
        <v>2269</v>
      </c>
      <c r="M1164" t="s">
        <v>67</v>
      </c>
      <c r="N1164" t="s">
        <v>68</v>
      </c>
      <c r="P1164" s="23">
        <v>64.239999999999995</v>
      </c>
      <c r="Q1164" s="4">
        <f t="shared" si="18"/>
        <v>-38.995952677459528</v>
      </c>
      <c r="R1164" s="23" t="s">
        <v>109</v>
      </c>
      <c r="U1164">
        <v>37</v>
      </c>
      <c r="V1164" t="e">
        <f>VLOOKUP(Tabla3[[#This Row],[Nº]],[1]!NOMINA[#Data],4,FALSE)</f>
        <v>#REF!</v>
      </c>
      <c r="W1164" t="e">
        <f>VLOOKUP(Tabla3[[#This Row],[Nº]],[1]!NOMINA[#Data],5,FALSE)</f>
        <v>#REF!</v>
      </c>
    </row>
    <row r="1165" spans="1:23" x14ac:dyDescent="0.25">
      <c r="A1165" s="37">
        <v>45715</v>
      </c>
      <c r="B1165" s="1">
        <v>119084137</v>
      </c>
      <c r="C1165" t="s">
        <v>2270</v>
      </c>
      <c r="D1165" s="22">
        <v>-25542.7</v>
      </c>
      <c r="E1165" t="s">
        <v>35</v>
      </c>
      <c r="F1165" s="2">
        <v>212901001</v>
      </c>
      <c r="G1165" s="2" t="s">
        <v>121</v>
      </c>
      <c r="L1165" s="2" t="s">
        <v>2271</v>
      </c>
      <c r="M1165" t="s">
        <v>67</v>
      </c>
      <c r="N1165" t="s">
        <v>68</v>
      </c>
      <c r="P1165" s="23">
        <v>64.239999999999995</v>
      </c>
      <c r="Q1165" s="4">
        <f t="shared" si="18"/>
        <v>-397.61363636363643</v>
      </c>
      <c r="R1165" s="23" t="s">
        <v>109</v>
      </c>
      <c r="U1165">
        <v>1</v>
      </c>
      <c r="V1165" t="e">
        <f>VLOOKUP(U1165,[1]!NOMINA[#Data],4,FALSE)</f>
        <v>#REF!</v>
      </c>
      <c r="W1165" t="e">
        <f>VLOOKUP(U1165,[1]!NOMINA[#Data],5,FALSE)</f>
        <v>#REF!</v>
      </c>
    </row>
    <row r="1166" spans="1:23" x14ac:dyDescent="0.25">
      <c r="A1166" s="37">
        <v>45715</v>
      </c>
      <c r="B1166" s="1">
        <v>119084139</v>
      </c>
      <c r="C1166" t="s">
        <v>2272</v>
      </c>
      <c r="D1166" s="22">
        <v>-1280.4000000000001</v>
      </c>
      <c r="E1166" t="s">
        <v>35</v>
      </c>
      <c r="F1166" s="2">
        <v>212901001</v>
      </c>
      <c r="G1166" s="2" t="s">
        <v>121</v>
      </c>
      <c r="L1166" s="2" t="s">
        <v>2273</v>
      </c>
      <c r="M1166" t="s">
        <v>67</v>
      </c>
      <c r="N1166" t="s">
        <v>68</v>
      </c>
      <c r="P1166" s="23">
        <v>64.239999999999995</v>
      </c>
      <c r="Q1166" s="4">
        <f t="shared" si="18"/>
        <v>-19.93150684931507</v>
      </c>
      <c r="R1166" s="23" t="s">
        <v>109</v>
      </c>
      <c r="U1166">
        <v>9</v>
      </c>
      <c r="V1166" t="e">
        <f>VLOOKUP(U1166,[1]!NOMINA[#Data],4,FALSE)</f>
        <v>#REF!</v>
      </c>
      <c r="W1166" t="e">
        <f>VLOOKUP(U1166,[1]!NOMINA[#Data],5,FALSE)</f>
        <v>#REF!</v>
      </c>
    </row>
    <row r="1167" spans="1:23" x14ac:dyDescent="0.25">
      <c r="A1167" s="37">
        <v>45715</v>
      </c>
      <c r="B1167" s="1">
        <v>119084140</v>
      </c>
      <c r="C1167" t="s">
        <v>2274</v>
      </c>
      <c r="D1167" s="22">
        <v>-1280.4000000000001</v>
      </c>
      <c r="E1167" t="s">
        <v>35</v>
      </c>
      <c r="F1167" s="2">
        <v>212901001</v>
      </c>
      <c r="G1167" s="2" t="s">
        <v>121</v>
      </c>
      <c r="L1167" s="2" t="s">
        <v>2275</v>
      </c>
      <c r="M1167" t="s">
        <v>67</v>
      </c>
      <c r="N1167" t="s">
        <v>68</v>
      </c>
      <c r="P1167" s="23">
        <v>64.239999999999995</v>
      </c>
      <c r="Q1167" s="4">
        <f t="shared" si="18"/>
        <v>-19.93150684931507</v>
      </c>
      <c r="R1167" s="23" t="s">
        <v>109</v>
      </c>
      <c r="U1167">
        <v>26</v>
      </c>
      <c r="V1167" t="e">
        <f>VLOOKUP(Tabla3[[#This Row],[Nº]],[1]!NOMINA[#Data],4,FALSE)</f>
        <v>#REF!</v>
      </c>
      <c r="W1167" t="e">
        <f>VLOOKUP(Tabla3[[#This Row],[Nº]],[1]!NOMINA[#Data],5,FALSE)</f>
        <v>#REF!</v>
      </c>
    </row>
    <row r="1168" spans="1:23" x14ac:dyDescent="0.25">
      <c r="A1168" s="37">
        <v>45715</v>
      </c>
      <c r="B1168" s="1">
        <v>119084136</v>
      </c>
      <c r="C1168" t="s">
        <v>2276</v>
      </c>
      <c r="D1168" s="22">
        <v>-2185</v>
      </c>
      <c r="E1168" t="s">
        <v>35</v>
      </c>
      <c r="F1168" s="2">
        <v>212901001</v>
      </c>
      <c r="G1168" s="2" t="s">
        <v>121</v>
      </c>
      <c r="L1168" s="2" t="s">
        <v>2277</v>
      </c>
      <c r="M1168" t="s">
        <v>67</v>
      </c>
      <c r="N1168" t="s">
        <v>68</v>
      </c>
      <c r="P1168" s="23">
        <v>64.239999999999995</v>
      </c>
      <c r="Q1168" s="4">
        <f t="shared" si="18"/>
        <v>-34.01307596513076</v>
      </c>
      <c r="R1168" s="23" t="s">
        <v>109</v>
      </c>
      <c r="U1168">
        <v>7</v>
      </c>
      <c r="V1168" t="e">
        <f>VLOOKUP(U1168,[1]!NOMINA[#Data],4,FALSE)</f>
        <v>#REF!</v>
      </c>
      <c r="W1168" t="e">
        <f>VLOOKUP(U1168,[1]!NOMINA[#Data],5,FALSE)</f>
        <v>#REF!</v>
      </c>
    </row>
    <row r="1169" spans="1:23" x14ac:dyDescent="0.25">
      <c r="A1169" s="37">
        <v>45715</v>
      </c>
      <c r="B1169" s="1">
        <v>119084138</v>
      </c>
      <c r="C1169" t="s">
        <v>2278</v>
      </c>
      <c r="D1169" s="22">
        <v>-3153.63</v>
      </c>
      <c r="E1169" t="s">
        <v>35</v>
      </c>
      <c r="F1169" s="2">
        <v>212901001</v>
      </c>
      <c r="G1169" s="2" t="s">
        <v>121</v>
      </c>
      <c r="L1169" s="2" t="s">
        <v>2279</v>
      </c>
      <c r="M1169" t="s">
        <v>67</v>
      </c>
      <c r="N1169" t="s">
        <v>68</v>
      </c>
      <c r="P1169" s="23">
        <v>64.239999999999995</v>
      </c>
      <c r="Q1169" s="4">
        <f t="shared" si="18"/>
        <v>-49.091376089663768</v>
      </c>
      <c r="R1169" s="23" t="s">
        <v>109</v>
      </c>
      <c r="U1169">
        <v>36</v>
      </c>
      <c r="V1169" t="e">
        <f>VLOOKUP(U1169,[1]!NOMINA[#Data],4,FALSE)</f>
        <v>#REF!</v>
      </c>
      <c r="W1169" t="e">
        <f>VLOOKUP(U1169,[1]!NOMINA[#Data],5,FALSE)</f>
        <v>#REF!</v>
      </c>
    </row>
    <row r="1170" spans="1:23" x14ac:dyDescent="0.25">
      <c r="A1170" s="37">
        <v>45715</v>
      </c>
      <c r="B1170" s="1">
        <v>119084141</v>
      </c>
      <c r="C1170" t="s">
        <v>2280</v>
      </c>
      <c r="D1170" s="22">
        <v>-1280.4000000000001</v>
      </c>
      <c r="E1170" t="s">
        <v>35</v>
      </c>
      <c r="F1170" s="2">
        <v>212901001</v>
      </c>
      <c r="G1170" s="2" t="s">
        <v>121</v>
      </c>
      <c r="L1170" s="2" t="s">
        <v>2281</v>
      </c>
      <c r="M1170" t="s">
        <v>67</v>
      </c>
      <c r="N1170" t="s">
        <v>68</v>
      </c>
      <c r="P1170" s="23">
        <v>64.239999999999995</v>
      </c>
      <c r="Q1170" s="4">
        <f t="shared" si="18"/>
        <v>-19.93150684931507</v>
      </c>
      <c r="R1170" s="23" t="s">
        <v>109</v>
      </c>
      <c r="U1170">
        <v>29</v>
      </c>
      <c r="V1170" t="e">
        <f>VLOOKUP(U1170,[1]!NOMINA[#Data],4,FALSE)</f>
        <v>#REF!</v>
      </c>
      <c r="W1170" t="e">
        <f>VLOOKUP(U1170,[1]!NOMINA[#Data],5,FALSE)</f>
        <v>#REF!</v>
      </c>
    </row>
    <row r="1171" spans="1:23" x14ac:dyDescent="0.25">
      <c r="A1171" s="37">
        <v>45715</v>
      </c>
      <c r="B1171" s="1">
        <v>219084144</v>
      </c>
      <c r="C1171" t="s">
        <v>2282</v>
      </c>
      <c r="D1171" s="22">
        <v>-1280.4000000000001</v>
      </c>
      <c r="E1171" t="s">
        <v>35</v>
      </c>
      <c r="F1171" s="2">
        <v>212901001</v>
      </c>
      <c r="G1171" s="2" t="s">
        <v>121</v>
      </c>
      <c r="L1171" s="2" t="s">
        <v>2283</v>
      </c>
      <c r="M1171" t="s">
        <v>67</v>
      </c>
      <c r="N1171" t="s">
        <v>68</v>
      </c>
      <c r="P1171" s="23">
        <v>64.239999999999995</v>
      </c>
      <c r="Q1171" s="4">
        <f t="shared" si="18"/>
        <v>-19.93150684931507</v>
      </c>
      <c r="R1171" s="23" t="s">
        <v>109</v>
      </c>
      <c r="U1171">
        <v>44</v>
      </c>
      <c r="V1171" t="e">
        <f>VLOOKUP(U1171,[1]!NOMINA[#Data],4,FALSE)</f>
        <v>#REF!</v>
      </c>
      <c r="W1171" t="e">
        <f>VLOOKUP(U1171,[1]!NOMINA[#Data],5,FALSE)</f>
        <v>#REF!</v>
      </c>
    </row>
    <row r="1172" spans="1:23" x14ac:dyDescent="0.25">
      <c r="A1172" s="37">
        <v>45715</v>
      </c>
      <c r="B1172" s="1">
        <v>219084143</v>
      </c>
      <c r="C1172" t="s">
        <v>2284</v>
      </c>
      <c r="D1172" s="22">
        <v>-1280.4000000000001</v>
      </c>
      <c r="E1172" t="s">
        <v>35</v>
      </c>
      <c r="F1172" s="2">
        <v>212901001</v>
      </c>
      <c r="G1172" s="2" t="s">
        <v>121</v>
      </c>
      <c r="L1172" s="2" t="s">
        <v>2285</v>
      </c>
      <c r="M1172" t="s">
        <v>67</v>
      </c>
      <c r="N1172" t="s">
        <v>68</v>
      </c>
      <c r="P1172" s="23">
        <v>64.239999999999995</v>
      </c>
      <c r="Q1172" s="4">
        <f t="shared" si="18"/>
        <v>-19.93150684931507</v>
      </c>
      <c r="R1172" s="23" t="s">
        <v>109</v>
      </c>
      <c r="U1172">
        <v>10</v>
      </c>
      <c r="V1172" t="e">
        <f>VLOOKUP(U1172,[1]!NOMINA[#Data],4,FALSE)</f>
        <v>#REF!</v>
      </c>
      <c r="W1172" t="e">
        <f>VLOOKUP(U1172,[1]!NOMINA[#Data],5,FALSE)</f>
        <v>#REF!</v>
      </c>
    </row>
    <row r="1173" spans="1:23" x14ac:dyDescent="0.25">
      <c r="A1173" s="37">
        <v>45715</v>
      </c>
      <c r="B1173" s="1">
        <v>219084148</v>
      </c>
      <c r="C1173" t="s">
        <v>2286</v>
      </c>
      <c r="D1173" s="22">
        <v>-1280.4000000000001</v>
      </c>
      <c r="E1173" t="s">
        <v>35</v>
      </c>
      <c r="F1173" s="2">
        <v>212901001</v>
      </c>
      <c r="G1173" s="2" t="s">
        <v>121</v>
      </c>
      <c r="L1173" s="2" t="s">
        <v>2287</v>
      </c>
      <c r="M1173" t="s">
        <v>67</v>
      </c>
      <c r="N1173" t="s">
        <v>68</v>
      </c>
      <c r="P1173" s="23">
        <v>64.239999999999995</v>
      </c>
      <c r="Q1173" s="4">
        <f t="shared" si="18"/>
        <v>-19.93150684931507</v>
      </c>
      <c r="R1173" s="23" t="s">
        <v>109</v>
      </c>
      <c r="U1173">
        <v>18</v>
      </c>
      <c r="V1173" t="e">
        <f>VLOOKUP(Tabla3[[#This Row],[Nº]],[1]!NOMINA[#Data],4,FALSE)</f>
        <v>#REF!</v>
      </c>
      <c r="W1173" t="e">
        <f>VLOOKUP(Tabla3[[#This Row],[Nº]],[1]!NOMINA[#Data],5,FALSE)</f>
        <v>#REF!</v>
      </c>
    </row>
    <row r="1174" spans="1:23" x14ac:dyDescent="0.25">
      <c r="A1174" s="37">
        <v>45715</v>
      </c>
      <c r="B1174" s="1">
        <v>219084145</v>
      </c>
      <c r="C1174" t="s">
        <v>2288</v>
      </c>
      <c r="D1174" s="22">
        <v>-1280.4000000000001</v>
      </c>
      <c r="E1174" t="s">
        <v>35</v>
      </c>
      <c r="F1174" s="2">
        <v>212901001</v>
      </c>
      <c r="G1174" s="2" t="s">
        <v>121</v>
      </c>
      <c r="L1174" s="2" t="s">
        <v>2289</v>
      </c>
      <c r="M1174" t="s">
        <v>67</v>
      </c>
      <c r="N1174" t="s">
        <v>68</v>
      </c>
      <c r="P1174" s="23">
        <v>64.239999999999995</v>
      </c>
      <c r="Q1174" s="4">
        <f t="shared" si="18"/>
        <v>-19.93150684931507</v>
      </c>
      <c r="R1174" s="23" t="s">
        <v>109</v>
      </c>
      <c r="U1174">
        <v>38</v>
      </c>
      <c r="V1174" t="e">
        <f>VLOOKUP(U1174,[1]!NOMINA[#Data],4,FALSE)</f>
        <v>#REF!</v>
      </c>
      <c r="W1174" t="e">
        <f>VLOOKUP(U1174,[1]!NOMINA[#Data],5,FALSE)</f>
        <v>#REF!</v>
      </c>
    </row>
    <row r="1175" spans="1:23" x14ac:dyDescent="0.25">
      <c r="A1175" s="37">
        <v>45715</v>
      </c>
      <c r="B1175" s="1">
        <v>219084146</v>
      </c>
      <c r="C1175" t="s">
        <v>2290</v>
      </c>
      <c r="D1175" s="22">
        <v>-1280.4000000000001</v>
      </c>
      <c r="E1175" t="s">
        <v>35</v>
      </c>
      <c r="F1175" s="2">
        <v>212901001</v>
      </c>
      <c r="G1175" s="2" t="s">
        <v>121</v>
      </c>
      <c r="L1175" s="2" t="s">
        <v>2291</v>
      </c>
      <c r="M1175" t="s">
        <v>67</v>
      </c>
      <c r="N1175" t="s">
        <v>68</v>
      </c>
      <c r="P1175" s="23">
        <v>64.239999999999995</v>
      </c>
      <c r="Q1175" s="4">
        <f t="shared" si="18"/>
        <v>-19.93150684931507</v>
      </c>
      <c r="R1175" s="23" t="s">
        <v>109</v>
      </c>
      <c r="U1175">
        <v>15</v>
      </c>
      <c r="V1175" t="e">
        <f>VLOOKUP(U1175,[1]!NOMINA[#Data],4,FALSE)</f>
        <v>#REF!</v>
      </c>
      <c r="W1175" t="e">
        <f>VLOOKUP(U1175,[1]!NOMINA[#Data],5,FALSE)</f>
        <v>#REF!</v>
      </c>
    </row>
    <row r="1176" spans="1:23" x14ac:dyDescent="0.25">
      <c r="A1176" s="37">
        <v>45715</v>
      </c>
      <c r="B1176" s="1">
        <v>219084147</v>
      </c>
      <c r="C1176" t="s">
        <v>2292</v>
      </c>
      <c r="D1176" s="22">
        <v>-1280.4000000000001</v>
      </c>
      <c r="E1176" t="s">
        <v>35</v>
      </c>
      <c r="F1176" s="2">
        <v>212901001</v>
      </c>
      <c r="G1176" s="2" t="s">
        <v>121</v>
      </c>
      <c r="L1176" s="2" t="s">
        <v>2293</v>
      </c>
      <c r="M1176" t="s">
        <v>67</v>
      </c>
      <c r="N1176" t="s">
        <v>68</v>
      </c>
      <c r="P1176" s="23">
        <v>64.239999999999995</v>
      </c>
      <c r="Q1176" s="4">
        <f t="shared" si="18"/>
        <v>-19.93150684931507</v>
      </c>
      <c r="R1176" s="23" t="s">
        <v>109</v>
      </c>
      <c r="U1176">
        <v>20</v>
      </c>
      <c r="V1176" t="e">
        <f>VLOOKUP(Tabla3[[#This Row],[Nº]],[1]!NOMINA[#Data],4,FALSE)</f>
        <v>#REF!</v>
      </c>
      <c r="W1176" t="e">
        <f>VLOOKUP(Tabla3[[#This Row],[Nº]],[1]!NOMINA[#Data],5,FALSE)</f>
        <v>#REF!</v>
      </c>
    </row>
    <row r="1177" spans="1:23" x14ac:dyDescent="0.25">
      <c r="A1177" s="37">
        <v>45715</v>
      </c>
      <c r="B1177" s="1">
        <v>219084142</v>
      </c>
      <c r="C1177" t="s">
        <v>2294</v>
      </c>
      <c r="D1177" s="22">
        <v>-1280.4000000000001</v>
      </c>
      <c r="E1177" t="s">
        <v>35</v>
      </c>
      <c r="F1177" s="2">
        <v>212901001</v>
      </c>
      <c r="G1177" s="2" t="s">
        <v>121</v>
      </c>
      <c r="L1177" s="2" t="s">
        <v>2295</v>
      </c>
      <c r="M1177" t="s">
        <v>67</v>
      </c>
      <c r="N1177" t="s">
        <v>68</v>
      </c>
      <c r="P1177" s="23">
        <v>64.239999999999995</v>
      </c>
      <c r="Q1177" s="4">
        <f t="shared" si="18"/>
        <v>-19.93150684931507</v>
      </c>
      <c r="R1177" s="23" t="s">
        <v>109</v>
      </c>
      <c r="U1177">
        <v>41</v>
      </c>
      <c r="V1177" t="e">
        <f>VLOOKUP(U1177,[1]!NOMINA[#Data],4,FALSE)</f>
        <v>#REF!</v>
      </c>
      <c r="W1177" t="e">
        <f>VLOOKUP(U1177,[1]!NOMINA[#Data],5,FALSE)</f>
        <v>#REF!</v>
      </c>
    </row>
    <row r="1178" spans="1:23" x14ac:dyDescent="0.25">
      <c r="A1178" s="37">
        <v>45715</v>
      </c>
      <c r="B1178" s="1">
        <v>219084150</v>
      </c>
      <c r="C1178" t="s">
        <v>2296</v>
      </c>
      <c r="D1178" s="22">
        <v>-1280.4000000000001</v>
      </c>
      <c r="E1178" t="s">
        <v>35</v>
      </c>
      <c r="F1178" s="2">
        <v>212901001</v>
      </c>
      <c r="G1178" s="2" t="s">
        <v>121</v>
      </c>
      <c r="L1178" s="2" t="s">
        <v>2297</v>
      </c>
      <c r="M1178" t="s">
        <v>67</v>
      </c>
      <c r="N1178" t="s">
        <v>68</v>
      </c>
      <c r="P1178" s="23">
        <v>64.239999999999995</v>
      </c>
      <c r="Q1178" s="4">
        <f t="shared" si="18"/>
        <v>-19.93150684931507</v>
      </c>
      <c r="R1178" s="23" t="s">
        <v>109</v>
      </c>
      <c r="U1178">
        <v>13</v>
      </c>
      <c r="V1178" t="e">
        <f>VLOOKUP(U1178,[1]!NOMINA[#Data],4,FALSE)</f>
        <v>#REF!</v>
      </c>
      <c r="W1178" t="e">
        <f>VLOOKUP(U1178,[1]!NOMINA[#Data],5,FALSE)</f>
        <v>#REF!</v>
      </c>
    </row>
    <row r="1179" spans="1:23" x14ac:dyDescent="0.25">
      <c r="A1179" s="37">
        <v>45715</v>
      </c>
      <c r="B1179" s="1">
        <v>219084149</v>
      </c>
      <c r="C1179" t="s">
        <v>2298</v>
      </c>
      <c r="D1179" s="22">
        <v>-1280.4000000000001</v>
      </c>
      <c r="E1179" t="s">
        <v>35</v>
      </c>
      <c r="F1179" s="2">
        <v>212901001</v>
      </c>
      <c r="G1179" s="2" t="s">
        <v>121</v>
      </c>
      <c r="L1179" s="2" t="s">
        <v>2299</v>
      </c>
      <c r="M1179" t="s">
        <v>67</v>
      </c>
      <c r="N1179" t="s">
        <v>68</v>
      </c>
      <c r="P1179" s="23">
        <v>64.239999999999995</v>
      </c>
      <c r="Q1179" s="4">
        <f t="shared" si="18"/>
        <v>-19.93150684931507</v>
      </c>
      <c r="R1179" s="23" t="s">
        <v>109</v>
      </c>
      <c r="U1179">
        <v>36</v>
      </c>
      <c r="V1179" t="e">
        <f>VLOOKUP(U1179,[1]!NOMINA[#Data],4,FALSE)</f>
        <v>#REF!</v>
      </c>
      <c r="W1179" t="e">
        <f>VLOOKUP(U1179,[1]!NOMINA[#Data],5,FALSE)</f>
        <v>#REF!</v>
      </c>
    </row>
    <row r="1180" spans="1:23" x14ac:dyDescent="0.25">
      <c r="A1180" s="37">
        <v>45715</v>
      </c>
      <c r="B1180" s="1">
        <v>319084154</v>
      </c>
      <c r="C1180" t="s">
        <v>2300</v>
      </c>
      <c r="D1180" s="22">
        <v>-1280.4000000000001</v>
      </c>
      <c r="E1180" t="s">
        <v>35</v>
      </c>
      <c r="F1180" s="2">
        <v>212901001</v>
      </c>
      <c r="G1180" s="2" t="s">
        <v>121</v>
      </c>
      <c r="L1180" s="2" t="s">
        <v>2301</v>
      </c>
      <c r="M1180" t="s">
        <v>67</v>
      </c>
      <c r="N1180" t="s">
        <v>68</v>
      </c>
      <c r="P1180" s="23">
        <v>64.239999999999995</v>
      </c>
      <c r="Q1180" s="4">
        <f t="shared" si="18"/>
        <v>-19.93150684931507</v>
      </c>
      <c r="R1180" s="23" t="s">
        <v>109</v>
      </c>
      <c r="U1180">
        <v>8</v>
      </c>
      <c r="V1180" t="e">
        <f>VLOOKUP(U1180,[1]!NOMINA[#Data],4,FALSE)</f>
        <v>#REF!</v>
      </c>
      <c r="W1180" t="e">
        <f>VLOOKUP(U1180,[1]!NOMINA[#Data],5,FALSE)</f>
        <v>#REF!</v>
      </c>
    </row>
    <row r="1181" spans="1:23" x14ac:dyDescent="0.25">
      <c r="A1181" s="37">
        <v>45715</v>
      </c>
      <c r="B1181" s="1">
        <v>219084153</v>
      </c>
      <c r="C1181" t="s">
        <v>2302</v>
      </c>
      <c r="D1181" s="22">
        <v>-1280.4000000000001</v>
      </c>
      <c r="E1181" t="s">
        <v>35</v>
      </c>
      <c r="F1181" s="2">
        <v>212901001</v>
      </c>
      <c r="G1181" s="2" t="s">
        <v>121</v>
      </c>
      <c r="L1181" s="2" t="s">
        <v>2303</v>
      </c>
      <c r="M1181" t="s">
        <v>67</v>
      </c>
      <c r="N1181" t="s">
        <v>68</v>
      </c>
      <c r="P1181" s="23">
        <v>64.239999999999995</v>
      </c>
      <c r="Q1181" s="4">
        <f t="shared" si="18"/>
        <v>-19.93150684931507</v>
      </c>
      <c r="R1181" s="23" t="s">
        <v>109</v>
      </c>
      <c r="U1181">
        <v>11</v>
      </c>
      <c r="V1181" t="e">
        <f>VLOOKUP(U1181,[1]!NOMINA[#Data],4,FALSE)</f>
        <v>#REF!</v>
      </c>
      <c r="W1181" t="e">
        <f>VLOOKUP(U1181,[1]!NOMINA[#Data],5,FALSE)</f>
        <v>#REF!</v>
      </c>
    </row>
    <row r="1182" spans="1:23" x14ac:dyDescent="0.25">
      <c r="A1182" s="37">
        <v>45715</v>
      </c>
      <c r="B1182" s="1">
        <v>219084152</v>
      </c>
      <c r="C1182" t="s">
        <v>2304</v>
      </c>
      <c r="D1182" s="22">
        <v>-1280.4000000000001</v>
      </c>
      <c r="E1182" t="s">
        <v>35</v>
      </c>
      <c r="F1182" s="2">
        <v>212901001</v>
      </c>
      <c r="G1182" s="2" t="s">
        <v>121</v>
      </c>
      <c r="L1182" s="2" t="s">
        <v>2305</v>
      </c>
      <c r="M1182" t="s">
        <v>67</v>
      </c>
      <c r="N1182" t="s">
        <v>68</v>
      </c>
      <c r="P1182" s="23">
        <v>64.239999999999995</v>
      </c>
      <c r="Q1182" s="4">
        <f t="shared" si="18"/>
        <v>-19.93150684931507</v>
      </c>
      <c r="R1182" s="23" t="s">
        <v>109</v>
      </c>
      <c r="U1182">
        <v>23</v>
      </c>
      <c r="V1182" t="e">
        <f>VLOOKUP(U1182,[1]!NOMINA[#Data],4,FALSE)</f>
        <v>#REF!</v>
      </c>
      <c r="W1182" t="e">
        <f>VLOOKUP(U1182,[1]!NOMINA[#Data],5,FALSE)</f>
        <v>#REF!</v>
      </c>
    </row>
    <row r="1183" spans="1:23" x14ac:dyDescent="0.25">
      <c r="A1183" s="37">
        <v>45715</v>
      </c>
      <c r="B1183" s="1">
        <v>319084156</v>
      </c>
      <c r="C1183" t="s">
        <v>2306</v>
      </c>
      <c r="D1183" s="22">
        <v>-1280.4000000000001</v>
      </c>
      <c r="E1183" t="s">
        <v>35</v>
      </c>
      <c r="F1183" s="2">
        <v>212901001</v>
      </c>
      <c r="G1183" s="2" t="s">
        <v>121</v>
      </c>
      <c r="L1183" s="2" t="s">
        <v>2307</v>
      </c>
      <c r="M1183" t="s">
        <v>67</v>
      </c>
      <c r="N1183" t="s">
        <v>68</v>
      </c>
      <c r="P1183" s="23">
        <v>64.239999999999995</v>
      </c>
      <c r="Q1183" s="4">
        <f t="shared" si="18"/>
        <v>-19.93150684931507</v>
      </c>
      <c r="R1183" s="23" t="s">
        <v>109</v>
      </c>
      <c r="U1183">
        <v>43</v>
      </c>
      <c r="V1183" t="e">
        <f>VLOOKUP(U1183,[1]!NOMINA[#Data],4,FALSE)</f>
        <v>#REF!</v>
      </c>
      <c r="W1183" t="e">
        <f>VLOOKUP(U1183,[1]!NOMINA[#Data],5,FALSE)</f>
        <v>#REF!</v>
      </c>
    </row>
    <row r="1184" spans="1:23" x14ac:dyDescent="0.25">
      <c r="A1184" s="37">
        <v>45715</v>
      </c>
      <c r="B1184" s="1">
        <v>219084151</v>
      </c>
      <c r="C1184" t="s">
        <v>2308</v>
      </c>
      <c r="D1184" s="22">
        <v>-1280.4000000000001</v>
      </c>
      <c r="E1184" t="s">
        <v>35</v>
      </c>
      <c r="F1184" s="2">
        <v>212901001</v>
      </c>
      <c r="G1184" s="2" t="s">
        <v>121</v>
      </c>
      <c r="L1184" s="2" t="s">
        <v>2309</v>
      </c>
      <c r="M1184" t="s">
        <v>67</v>
      </c>
      <c r="N1184" t="s">
        <v>68</v>
      </c>
      <c r="P1184" s="23">
        <v>64.239999999999995</v>
      </c>
      <c r="Q1184" s="4">
        <f t="shared" si="18"/>
        <v>-19.93150684931507</v>
      </c>
      <c r="R1184" s="23" t="s">
        <v>109</v>
      </c>
      <c r="U1184">
        <v>17</v>
      </c>
      <c r="V1184" t="e">
        <f>VLOOKUP(U1184,[1]!NOMINA[#Data],4,FALSE)</f>
        <v>#REF!</v>
      </c>
      <c r="W1184" t="e">
        <f>VLOOKUP(U1184,[1]!NOMINA[#Data],5,FALSE)</f>
        <v>#REF!</v>
      </c>
    </row>
    <row r="1185" spans="1:23" x14ac:dyDescent="0.25">
      <c r="A1185" s="37">
        <v>45715</v>
      </c>
      <c r="B1185" s="1">
        <v>319084155</v>
      </c>
      <c r="C1185" t="s">
        <v>2310</v>
      </c>
      <c r="D1185" s="22">
        <v>-1280.4000000000001</v>
      </c>
      <c r="E1185" t="s">
        <v>35</v>
      </c>
      <c r="F1185" s="2">
        <v>212901001</v>
      </c>
      <c r="G1185" s="2" t="s">
        <v>121</v>
      </c>
      <c r="L1185" s="2" t="s">
        <v>2311</v>
      </c>
      <c r="M1185" t="s">
        <v>67</v>
      </c>
      <c r="N1185" t="s">
        <v>68</v>
      </c>
      <c r="P1185" s="23">
        <v>64.239999999999995</v>
      </c>
      <c r="Q1185" s="4">
        <f t="shared" si="18"/>
        <v>-19.93150684931507</v>
      </c>
      <c r="R1185" s="23" t="s">
        <v>109</v>
      </c>
      <c r="U1185">
        <v>14</v>
      </c>
      <c r="V1185" t="e">
        <f>VLOOKUP(Tabla3[[#This Row],[Nº]],[1]!NOMINA[#Data],4,FALSE)</f>
        <v>#REF!</v>
      </c>
      <c r="W1185" t="e">
        <f>VLOOKUP(Tabla3[[#This Row],[Nº]],[1]!NOMINA[#Data],5,FALSE)</f>
        <v>#REF!</v>
      </c>
    </row>
    <row r="1186" spans="1:23" x14ac:dyDescent="0.25">
      <c r="A1186" s="37">
        <v>45715</v>
      </c>
      <c r="B1186" s="1">
        <v>319084158</v>
      </c>
      <c r="C1186" t="s">
        <v>2312</v>
      </c>
      <c r="D1186" s="22">
        <v>-1280.4000000000001</v>
      </c>
      <c r="E1186" t="s">
        <v>35</v>
      </c>
      <c r="F1186" s="2">
        <v>212901001</v>
      </c>
      <c r="G1186" s="2" t="s">
        <v>121</v>
      </c>
      <c r="L1186" s="2" t="s">
        <v>2313</v>
      </c>
      <c r="M1186" t="s">
        <v>67</v>
      </c>
      <c r="N1186" t="s">
        <v>68</v>
      </c>
      <c r="P1186" s="23">
        <v>64.239999999999995</v>
      </c>
      <c r="Q1186" s="4">
        <f t="shared" si="18"/>
        <v>-19.93150684931507</v>
      </c>
      <c r="R1186" s="23" t="s">
        <v>109</v>
      </c>
      <c r="U1186">
        <v>22</v>
      </c>
      <c r="V1186" t="e">
        <f>VLOOKUP(Tabla3[[#This Row],[Nº]],[1]!NOMINA[#Data],4,FALSE)</f>
        <v>#REF!</v>
      </c>
      <c r="W1186" t="e">
        <f>VLOOKUP(U1186,[1]!NOMINA[#Data],5,FALSE)</f>
        <v>#REF!</v>
      </c>
    </row>
    <row r="1187" spans="1:23" x14ac:dyDescent="0.25">
      <c r="A1187" s="37">
        <v>45715</v>
      </c>
      <c r="B1187" s="1">
        <v>319084159</v>
      </c>
      <c r="C1187" t="s">
        <v>2314</v>
      </c>
      <c r="D1187" s="22">
        <v>-1280.4000000000001</v>
      </c>
      <c r="E1187" t="s">
        <v>35</v>
      </c>
      <c r="F1187" s="2">
        <v>212901001</v>
      </c>
      <c r="G1187" s="2" t="s">
        <v>121</v>
      </c>
      <c r="L1187" s="2" t="s">
        <v>2315</v>
      </c>
      <c r="M1187" t="s">
        <v>67</v>
      </c>
      <c r="N1187" t="s">
        <v>68</v>
      </c>
      <c r="P1187" s="23">
        <v>64.239999999999995</v>
      </c>
      <c r="Q1187" s="4">
        <f t="shared" si="18"/>
        <v>-19.93150684931507</v>
      </c>
      <c r="R1187" s="23" t="s">
        <v>109</v>
      </c>
      <c r="U1187">
        <v>42</v>
      </c>
      <c r="V1187" t="e">
        <f>VLOOKUP(U1187,[1]!NOMINA[#Data],4,FALSE)</f>
        <v>#REF!</v>
      </c>
      <c r="W1187" t="e">
        <f>VLOOKUP(U1187,[1]!NOMINA[#Data],5,FALSE)</f>
        <v>#REF!</v>
      </c>
    </row>
    <row r="1188" spans="1:23" x14ac:dyDescent="0.25">
      <c r="A1188" s="37">
        <v>45715</v>
      </c>
      <c r="B1188" s="1">
        <v>319084163</v>
      </c>
      <c r="C1188" t="s">
        <v>2316</v>
      </c>
      <c r="D1188" s="22">
        <v>-1280.4000000000001</v>
      </c>
      <c r="E1188" t="s">
        <v>35</v>
      </c>
      <c r="F1188" s="2">
        <v>212901001</v>
      </c>
      <c r="G1188" s="2" t="s">
        <v>121</v>
      </c>
      <c r="L1188" s="2" t="s">
        <v>2317</v>
      </c>
      <c r="M1188" t="s">
        <v>67</v>
      </c>
      <c r="N1188" t="s">
        <v>68</v>
      </c>
      <c r="P1188" s="23">
        <v>64.239999999999995</v>
      </c>
      <c r="Q1188" s="4">
        <f t="shared" si="18"/>
        <v>-19.93150684931507</v>
      </c>
      <c r="R1188" s="23" t="s">
        <v>109</v>
      </c>
      <c r="U1188">
        <v>39</v>
      </c>
      <c r="V1188" t="e">
        <f>VLOOKUP(U1188,[1]!NOMINA[#Data],4,FALSE)</f>
        <v>#REF!</v>
      </c>
      <c r="W1188" t="e">
        <f>VLOOKUP(U1188,[1]!NOMINA[#Data],5,FALSE)</f>
        <v>#REF!</v>
      </c>
    </row>
    <row r="1189" spans="1:23" x14ac:dyDescent="0.25">
      <c r="A1189" s="37">
        <v>45715</v>
      </c>
      <c r="B1189" s="1">
        <v>319084164</v>
      </c>
      <c r="C1189" t="s">
        <v>2318</v>
      </c>
      <c r="D1189" s="22">
        <v>-2560.8000000000002</v>
      </c>
      <c r="E1189" t="s">
        <v>35</v>
      </c>
      <c r="F1189" s="2">
        <v>212901001</v>
      </c>
      <c r="G1189" s="2" t="s">
        <v>121</v>
      </c>
      <c r="L1189" s="2" t="s">
        <v>2319</v>
      </c>
      <c r="M1189" t="s">
        <v>67</v>
      </c>
      <c r="N1189" t="s">
        <v>68</v>
      </c>
      <c r="P1189" s="23">
        <v>64.239999999999995</v>
      </c>
      <c r="Q1189" s="4">
        <f t="shared" si="18"/>
        <v>-39.863013698630141</v>
      </c>
      <c r="R1189" s="23" t="s">
        <v>109</v>
      </c>
      <c r="U1189">
        <v>2</v>
      </c>
      <c r="V1189" t="e">
        <f>VLOOKUP(Tabla3[[#This Row],[Nº]],[1]!NOMINA[#Data],4,FALSE)</f>
        <v>#REF!</v>
      </c>
      <c r="W1189" t="e">
        <f>VLOOKUP(Tabla3[[#This Row],[Nº]],[1]!NOMINA[#Data],5,FALSE)</f>
        <v>#REF!</v>
      </c>
    </row>
    <row r="1190" spans="1:23" x14ac:dyDescent="0.25">
      <c r="A1190" s="37">
        <v>45715</v>
      </c>
      <c r="B1190" s="1">
        <v>319084160</v>
      </c>
      <c r="C1190" t="s">
        <v>2320</v>
      </c>
      <c r="D1190" s="22">
        <v>-1280.4000000000001</v>
      </c>
      <c r="E1190" t="s">
        <v>35</v>
      </c>
      <c r="F1190" s="2">
        <v>212901001</v>
      </c>
      <c r="G1190" s="2" t="s">
        <v>121</v>
      </c>
      <c r="L1190" s="2" t="s">
        <v>2321</v>
      </c>
      <c r="M1190" t="s">
        <v>67</v>
      </c>
      <c r="N1190" t="s">
        <v>68</v>
      </c>
      <c r="P1190" s="23">
        <v>64.239999999999995</v>
      </c>
      <c r="Q1190" s="4">
        <f t="shared" si="18"/>
        <v>-19.93150684931507</v>
      </c>
      <c r="R1190" s="23" t="s">
        <v>109</v>
      </c>
      <c r="U1190">
        <v>21</v>
      </c>
      <c r="V1190" t="e">
        <f>VLOOKUP(U1190,[1]!NOMINA[#Data],4,FALSE)</f>
        <v>#REF!</v>
      </c>
      <c r="W1190" t="e">
        <f>VLOOKUP(U1190,[1]!NOMINA[#Data],5,FALSE)</f>
        <v>#REF!</v>
      </c>
    </row>
    <row r="1191" spans="1:23" x14ac:dyDescent="0.25">
      <c r="A1191" s="37">
        <v>45715</v>
      </c>
      <c r="B1191" s="1">
        <v>319084162</v>
      </c>
      <c r="C1191" t="s">
        <v>2322</v>
      </c>
      <c r="D1191" s="22">
        <v>-1280.4000000000001</v>
      </c>
      <c r="E1191" t="s">
        <v>35</v>
      </c>
      <c r="F1191" s="2">
        <v>212901001</v>
      </c>
      <c r="G1191" s="2" t="s">
        <v>121</v>
      </c>
      <c r="L1191" s="2" t="s">
        <v>2323</v>
      </c>
      <c r="M1191" t="s">
        <v>67</v>
      </c>
      <c r="N1191" t="s">
        <v>68</v>
      </c>
      <c r="P1191" s="23">
        <v>64.239999999999995</v>
      </c>
      <c r="Q1191" s="4">
        <f t="shared" si="18"/>
        <v>-19.93150684931507</v>
      </c>
      <c r="R1191" s="23" t="s">
        <v>109</v>
      </c>
      <c r="U1191">
        <v>25</v>
      </c>
      <c r="V1191" t="e">
        <f>VLOOKUP(U1191,[1]!NOMINA[#Data],4,FALSE)</f>
        <v>#REF!</v>
      </c>
      <c r="W1191" t="e">
        <f>VLOOKUP(U1191,[1]!NOMINA[#Data],5,FALSE)</f>
        <v>#REF!</v>
      </c>
    </row>
    <row r="1192" spans="1:23" x14ac:dyDescent="0.25">
      <c r="A1192" s="37">
        <v>45715</v>
      </c>
      <c r="B1192" s="1">
        <v>319084165</v>
      </c>
      <c r="C1192" t="s">
        <v>2324</v>
      </c>
      <c r="D1192" s="22">
        <v>-1280.4000000000001</v>
      </c>
      <c r="E1192" t="s">
        <v>35</v>
      </c>
      <c r="F1192" s="2">
        <v>212901001</v>
      </c>
      <c r="G1192" s="2" t="s">
        <v>121</v>
      </c>
      <c r="L1192" s="2" t="s">
        <v>2325</v>
      </c>
      <c r="M1192" t="s">
        <v>67</v>
      </c>
      <c r="N1192" t="s">
        <v>68</v>
      </c>
      <c r="P1192" s="23">
        <v>64.239999999999995</v>
      </c>
      <c r="Q1192" s="4">
        <f t="shared" si="18"/>
        <v>-19.93150684931507</v>
      </c>
      <c r="R1192" s="23" t="s">
        <v>109</v>
      </c>
      <c r="U1192">
        <v>12</v>
      </c>
      <c r="V1192" t="e">
        <f>VLOOKUP(U1192,[1]!NOMINA[#Data],4,FALSE)</f>
        <v>#REF!</v>
      </c>
      <c r="W1192" t="e">
        <f>VLOOKUP(U1192,[1]!NOMINA[#Data],5,FALSE)</f>
        <v>#REF!</v>
      </c>
    </row>
    <row r="1193" spans="1:23" x14ac:dyDescent="0.25">
      <c r="A1193" s="37">
        <v>45715</v>
      </c>
      <c r="B1193" s="1">
        <v>419084168</v>
      </c>
      <c r="C1193" t="s">
        <v>2326</v>
      </c>
      <c r="D1193" s="22">
        <v>-1280.4000000000001</v>
      </c>
      <c r="E1193" t="s">
        <v>35</v>
      </c>
      <c r="F1193" s="2">
        <v>212901001</v>
      </c>
      <c r="G1193" s="2" t="s">
        <v>121</v>
      </c>
      <c r="L1193" s="2" t="s">
        <v>2327</v>
      </c>
      <c r="M1193" t="s">
        <v>67</v>
      </c>
      <c r="N1193" t="s">
        <v>68</v>
      </c>
      <c r="P1193" s="23">
        <v>64.239999999999995</v>
      </c>
      <c r="Q1193" s="4">
        <f t="shared" si="18"/>
        <v>-19.93150684931507</v>
      </c>
      <c r="R1193" s="23" t="s">
        <v>109</v>
      </c>
      <c r="U1193">
        <v>28</v>
      </c>
      <c r="V1193" t="e">
        <f>VLOOKUP(U1193,[1]!NOMINA[#Data],4,FALSE)</f>
        <v>#REF!</v>
      </c>
      <c r="W1193" t="e">
        <f>VLOOKUP(U1193,[1]!NOMINA[#Data],5,FALSE)</f>
        <v>#REF!</v>
      </c>
    </row>
    <row r="1194" spans="1:23" x14ac:dyDescent="0.25">
      <c r="A1194" s="37">
        <v>45715</v>
      </c>
      <c r="B1194" s="1">
        <v>319084166</v>
      </c>
      <c r="C1194" t="s">
        <v>2328</v>
      </c>
      <c r="D1194" s="22">
        <v>-1280.4000000000001</v>
      </c>
      <c r="E1194" t="s">
        <v>35</v>
      </c>
      <c r="F1194" s="2">
        <v>212901001</v>
      </c>
      <c r="G1194" s="2" t="s">
        <v>121</v>
      </c>
      <c r="L1194" s="2" t="s">
        <v>2329</v>
      </c>
      <c r="M1194" t="s">
        <v>67</v>
      </c>
      <c r="N1194" t="s">
        <v>68</v>
      </c>
      <c r="P1194" s="23">
        <v>64.239999999999995</v>
      </c>
      <c r="Q1194" s="4">
        <f t="shared" si="18"/>
        <v>-19.93150684931507</v>
      </c>
      <c r="R1194" s="23" t="s">
        <v>109</v>
      </c>
      <c r="U1194">
        <v>6</v>
      </c>
      <c r="V1194" t="e">
        <f>VLOOKUP(U1194,[1]!NOMINA[#Data],4,FALSE)</f>
        <v>#REF!</v>
      </c>
      <c r="W1194" t="e">
        <f>VLOOKUP(U1194,[1]!NOMINA[#Data],5,FALSE)</f>
        <v>#REF!</v>
      </c>
    </row>
    <row r="1195" spans="1:23" x14ac:dyDescent="0.25">
      <c r="A1195" s="37">
        <v>45715</v>
      </c>
      <c r="B1195" s="1">
        <v>419084169</v>
      </c>
      <c r="C1195" t="s">
        <v>2330</v>
      </c>
      <c r="D1195" s="22">
        <v>-1280.4000000000001</v>
      </c>
      <c r="E1195" t="s">
        <v>35</v>
      </c>
      <c r="F1195" s="2">
        <v>212901001</v>
      </c>
      <c r="G1195" s="2" t="s">
        <v>121</v>
      </c>
      <c r="L1195" s="2" t="s">
        <v>2331</v>
      </c>
      <c r="M1195" t="s">
        <v>67</v>
      </c>
      <c r="N1195" t="s">
        <v>68</v>
      </c>
      <c r="P1195" s="23">
        <v>64.239999999999995</v>
      </c>
      <c r="Q1195" s="4">
        <f t="shared" si="18"/>
        <v>-19.93150684931507</v>
      </c>
      <c r="R1195" s="23" t="s">
        <v>109</v>
      </c>
      <c r="U1195">
        <v>24</v>
      </c>
      <c r="V1195" t="e">
        <f>VLOOKUP(U1195,[1]!NOMINA[#Data],4,FALSE)</f>
        <v>#REF!</v>
      </c>
      <c r="W1195" t="e">
        <f>VLOOKUP(U1195,[1]!NOMINA[#Data],5,FALSE)</f>
        <v>#REF!</v>
      </c>
    </row>
    <row r="1196" spans="1:23" x14ac:dyDescent="0.25">
      <c r="A1196" s="37">
        <v>45715</v>
      </c>
      <c r="B1196" s="1">
        <v>419084171</v>
      </c>
      <c r="C1196" t="s">
        <v>2332</v>
      </c>
      <c r="D1196" s="22">
        <v>-1280.4000000000001</v>
      </c>
      <c r="E1196" t="s">
        <v>35</v>
      </c>
      <c r="F1196" s="2">
        <v>212901001</v>
      </c>
      <c r="G1196" s="2" t="s">
        <v>121</v>
      </c>
      <c r="L1196" s="2" t="s">
        <v>2333</v>
      </c>
      <c r="M1196" t="s">
        <v>67</v>
      </c>
      <c r="N1196" t="s">
        <v>68</v>
      </c>
      <c r="P1196" s="23">
        <v>64.239999999999995</v>
      </c>
      <c r="Q1196" s="4">
        <f t="shared" si="18"/>
        <v>-19.93150684931507</v>
      </c>
      <c r="R1196" s="23" t="s">
        <v>109</v>
      </c>
      <c r="U1196">
        <v>27</v>
      </c>
      <c r="V1196" t="e">
        <f>VLOOKUP(U1196,[1]!NOMINA[#Data],4,FALSE)</f>
        <v>#REF!</v>
      </c>
      <c r="W1196" t="e">
        <f>VLOOKUP(U1196,[1]!NOMINA[#Data],5,FALSE)</f>
        <v>#REF!</v>
      </c>
    </row>
    <row r="1197" spans="1:23" x14ac:dyDescent="0.25">
      <c r="A1197" s="37">
        <v>45715</v>
      </c>
      <c r="B1197" s="1">
        <v>419084172</v>
      </c>
      <c r="C1197" t="s">
        <v>2334</v>
      </c>
      <c r="D1197" s="22">
        <v>-1280.4000000000001</v>
      </c>
      <c r="E1197" t="s">
        <v>35</v>
      </c>
      <c r="F1197" s="2">
        <v>212901001</v>
      </c>
      <c r="G1197" s="2" t="s">
        <v>121</v>
      </c>
      <c r="L1197" s="2" t="s">
        <v>2335</v>
      </c>
      <c r="M1197" t="s">
        <v>67</v>
      </c>
      <c r="N1197" t="s">
        <v>68</v>
      </c>
      <c r="P1197" s="23">
        <v>64.239999999999995</v>
      </c>
      <c r="Q1197" s="4">
        <f t="shared" si="18"/>
        <v>-19.93150684931507</v>
      </c>
      <c r="R1197" s="23" t="s">
        <v>109</v>
      </c>
      <c r="U1197">
        <v>19</v>
      </c>
      <c r="V1197" t="e">
        <f>VLOOKUP(U1197,[1]!NOMINA[#Data],4,FALSE)</f>
        <v>#REF!</v>
      </c>
      <c r="W1197" t="e">
        <f>VLOOKUP(U1197,[1]!NOMINA[#Data],5,FALSE)</f>
        <v>#REF!</v>
      </c>
    </row>
    <row r="1198" spans="1:23" x14ac:dyDescent="0.25">
      <c r="A1198" s="37">
        <v>45715</v>
      </c>
      <c r="B1198" s="1">
        <v>419084170</v>
      </c>
      <c r="C1198" t="s">
        <v>2336</v>
      </c>
      <c r="D1198" s="22">
        <v>-1280.4000000000001</v>
      </c>
      <c r="E1198" t="s">
        <v>35</v>
      </c>
      <c r="F1198" s="2">
        <v>212901001</v>
      </c>
      <c r="G1198" s="2" t="s">
        <v>121</v>
      </c>
      <c r="L1198" s="2" t="s">
        <v>2337</v>
      </c>
      <c r="M1198" t="s">
        <v>67</v>
      </c>
      <c r="N1198" t="s">
        <v>68</v>
      </c>
      <c r="P1198" s="23">
        <v>64.239999999999995</v>
      </c>
      <c r="Q1198" s="4">
        <f t="shared" si="18"/>
        <v>-19.93150684931507</v>
      </c>
      <c r="R1198" s="23" t="s">
        <v>109</v>
      </c>
      <c r="U1198">
        <v>5</v>
      </c>
      <c r="V1198" t="e">
        <f>VLOOKUP(U1198,[1]!NOMINA[#Data],4,FALSE)</f>
        <v>#REF!</v>
      </c>
      <c r="W1198" t="e">
        <f>VLOOKUP(U1198,[1]!NOMINA[#Data],5,FALSE)</f>
        <v>#REF!</v>
      </c>
    </row>
    <row r="1199" spans="1:23" x14ac:dyDescent="0.25">
      <c r="A1199" s="37">
        <v>45715</v>
      </c>
      <c r="B1199" s="1">
        <v>319084167</v>
      </c>
      <c r="C1199" t="s">
        <v>2338</v>
      </c>
      <c r="D1199" s="22">
        <v>-1280.4000000000001</v>
      </c>
      <c r="E1199" t="s">
        <v>35</v>
      </c>
      <c r="F1199" s="2">
        <v>212901001</v>
      </c>
      <c r="G1199" s="2" t="s">
        <v>121</v>
      </c>
      <c r="L1199" s="2" t="s">
        <v>2339</v>
      </c>
      <c r="M1199" t="s">
        <v>67</v>
      </c>
      <c r="N1199" t="s">
        <v>68</v>
      </c>
      <c r="P1199" s="23">
        <v>64.239999999999995</v>
      </c>
      <c r="Q1199" s="4">
        <f t="shared" si="18"/>
        <v>-19.93150684931507</v>
      </c>
      <c r="R1199" s="23" t="s">
        <v>109</v>
      </c>
      <c r="U1199">
        <v>16</v>
      </c>
      <c r="V1199" t="e">
        <f>VLOOKUP(Tabla3[[#This Row],[Nº]],[1]!NOMINA[#Data],4,FALSE)</f>
        <v>#REF!</v>
      </c>
      <c r="W1199" t="e">
        <f>VLOOKUP(Tabla3[[#This Row],[Nº]],[1]!NOMINA[#Data],5,FALSE)</f>
        <v>#REF!</v>
      </c>
    </row>
    <row r="1200" spans="1:23" x14ac:dyDescent="0.25">
      <c r="A1200" s="37">
        <v>45715</v>
      </c>
      <c r="B1200" s="1">
        <v>419084175</v>
      </c>
      <c r="C1200" t="s">
        <v>2340</v>
      </c>
      <c r="D1200" s="22">
        <v>-2560.8000000000002</v>
      </c>
      <c r="E1200" t="s">
        <v>35</v>
      </c>
      <c r="F1200" s="2">
        <v>212901001</v>
      </c>
      <c r="G1200" s="2" t="s">
        <v>121</v>
      </c>
      <c r="L1200" s="2" t="s">
        <v>2341</v>
      </c>
      <c r="M1200" t="s">
        <v>67</v>
      </c>
      <c r="N1200" t="s">
        <v>68</v>
      </c>
      <c r="P1200" s="23">
        <v>64.239999999999995</v>
      </c>
      <c r="Q1200" s="4">
        <f t="shared" si="18"/>
        <v>-39.863013698630141</v>
      </c>
      <c r="R1200" s="23" t="s">
        <v>109</v>
      </c>
      <c r="U1200">
        <v>1</v>
      </c>
      <c r="V1200" t="e">
        <f>VLOOKUP(U1200,[1]!NOMINA[#Data],4,FALSE)</f>
        <v>#REF!</v>
      </c>
      <c r="W1200" t="e">
        <f>VLOOKUP(U1200,[1]!NOMINA[#Data],5,FALSE)</f>
        <v>#REF!</v>
      </c>
    </row>
    <row r="1201" spans="1:23" x14ac:dyDescent="0.25">
      <c r="A1201" s="37">
        <v>45715</v>
      </c>
      <c r="B1201" s="1">
        <v>419084173</v>
      </c>
      <c r="C1201" t="s">
        <v>2342</v>
      </c>
      <c r="D1201" s="22">
        <v>-1280.4000000000001</v>
      </c>
      <c r="E1201" t="s">
        <v>35</v>
      </c>
      <c r="F1201" s="2">
        <v>212901001</v>
      </c>
      <c r="G1201" s="2" t="s">
        <v>121</v>
      </c>
      <c r="L1201" s="2" t="s">
        <v>2343</v>
      </c>
      <c r="M1201" t="s">
        <v>67</v>
      </c>
      <c r="N1201" t="s">
        <v>68</v>
      </c>
      <c r="P1201" s="23">
        <v>64.239999999999995</v>
      </c>
      <c r="Q1201" s="4">
        <f t="shared" si="18"/>
        <v>-19.93150684931507</v>
      </c>
      <c r="R1201" s="23" t="s">
        <v>109</v>
      </c>
      <c r="U1201">
        <v>37</v>
      </c>
      <c r="V1201" t="e">
        <f>VLOOKUP(Tabla3[[#This Row],[Nº]],[1]!NOMINA[#Data],4,FALSE)</f>
        <v>#REF!</v>
      </c>
      <c r="W1201" t="e">
        <f>VLOOKUP(Tabla3[[#This Row],[Nº]],[1]!NOMINA[#Data],5,FALSE)</f>
        <v>#REF!</v>
      </c>
    </row>
    <row r="1202" spans="1:23" x14ac:dyDescent="0.25">
      <c r="A1202" s="37">
        <v>45715</v>
      </c>
      <c r="B1202" s="1">
        <v>419084176</v>
      </c>
      <c r="C1202" t="s">
        <v>2344</v>
      </c>
      <c r="D1202" s="22">
        <v>-1280.4000000000001</v>
      </c>
      <c r="E1202" t="s">
        <v>35</v>
      </c>
      <c r="F1202" s="2">
        <v>212901001</v>
      </c>
      <c r="G1202" s="2" t="s">
        <v>121</v>
      </c>
      <c r="L1202" s="2" t="s">
        <v>2345</v>
      </c>
      <c r="M1202" t="s">
        <v>67</v>
      </c>
      <c r="N1202" t="s">
        <v>68</v>
      </c>
      <c r="P1202" s="23">
        <v>64.239999999999995</v>
      </c>
      <c r="Q1202" s="4">
        <f t="shared" si="18"/>
        <v>-19.93150684931507</v>
      </c>
      <c r="R1202" s="23" t="s">
        <v>109</v>
      </c>
      <c r="U1202">
        <v>7</v>
      </c>
      <c r="V1202" t="e">
        <f>VLOOKUP(U1202,[1]!NOMINA[#Data],4,FALSE)</f>
        <v>#REF!</v>
      </c>
      <c r="W1202" t="e">
        <f>VLOOKUP(U1202,[1]!NOMINA[#Data],5,FALSE)</f>
        <v>#REF!</v>
      </c>
    </row>
    <row r="1203" spans="1:23" x14ac:dyDescent="0.25">
      <c r="A1203" s="37">
        <v>45715</v>
      </c>
      <c r="B1203" s="1">
        <v>50270362</v>
      </c>
      <c r="C1203" t="s">
        <v>2346</v>
      </c>
      <c r="D1203" s="22">
        <v>-9599.35</v>
      </c>
      <c r="E1203" t="s">
        <v>35</v>
      </c>
      <c r="F1203" s="2">
        <v>212901001</v>
      </c>
      <c r="G1203" s="2" t="s">
        <v>121</v>
      </c>
      <c r="L1203" s="2" t="s">
        <v>2347</v>
      </c>
      <c r="M1203" t="s">
        <v>67</v>
      </c>
      <c r="N1203" t="s">
        <v>68</v>
      </c>
      <c r="P1203" s="23">
        <v>64.239999999999995</v>
      </c>
      <c r="Q1203" s="4">
        <f t="shared" si="18"/>
        <v>-149.42948318804486</v>
      </c>
      <c r="R1203" s="23" t="s">
        <v>109</v>
      </c>
      <c r="U1203">
        <v>40</v>
      </c>
      <c r="V1203" t="e">
        <f>VLOOKUP(U1203,[1]!NOMINA[#Data],4,FALSE)</f>
        <v>#REF!</v>
      </c>
      <c r="W1203" t="e">
        <f>VLOOKUP(U1203,[1]!NOMINA[#Data],5,FALSE)</f>
        <v>#REF!</v>
      </c>
    </row>
    <row r="1204" spans="1:23" x14ac:dyDescent="0.25">
      <c r="A1204" s="37">
        <v>45715</v>
      </c>
      <c r="B1204" s="1">
        <v>50270362</v>
      </c>
      <c r="C1204" t="s">
        <v>296</v>
      </c>
      <c r="D1204" s="22">
        <v>-14.39</v>
      </c>
      <c r="E1204" t="s">
        <v>35</v>
      </c>
      <c r="F1204" s="2">
        <v>610148001</v>
      </c>
      <c r="G1204" s="2" t="s">
        <v>42</v>
      </c>
      <c r="L1204" s="2" t="s">
        <v>2348</v>
      </c>
      <c r="M1204" t="s">
        <v>43</v>
      </c>
      <c r="N1204" t="s">
        <v>42</v>
      </c>
      <c r="P1204" s="23">
        <v>64.239999999999995</v>
      </c>
      <c r="Q1204" s="4">
        <f t="shared" si="18"/>
        <v>-0.22400373599003739</v>
      </c>
      <c r="R1204" s="23" t="s">
        <v>109</v>
      </c>
      <c r="T1204" s="23" t="s">
        <v>1313</v>
      </c>
    </row>
    <row r="1205" spans="1:23" x14ac:dyDescent="0.25">
      <c r="A1205" s="37">
        <v>45715</v>
      </c>
      <c r="B1205" s="1">
        <v>50270362</v>
      </c>
      <c r="C1205" t="s">
        <v>118</v>
      </c>
      <c r="D1205" s="22">
        <v>-811.27</v>
      </c>
      <c r="E1205" t="s">
        <v>35</v>
      </c>
      <c r="F1205" s="2">
        <v>610148001</v>
      </c>
      <c r="G1205" s="2" t="s">
        <v>42</v>
      </c>
      <c r="L1205" s="2" t="s">
        <v>2349</v>
      </c>
      <c r="M1205" t="s">
        <v>43</v>
      </c>
      <c r="N1205" t="s">
        <v>42</v>
      </c>
      <c r="P1205" s="23">
        <v>64.239999999999995</v>
      </c>
      <c r="Q1205" s="4">
        <f t="shared" si="18"/>
        <v>-12.628735990037361</v>
      </c>
      <c r="R1205" s="23" t="s">
        <v>109</v>
      </c>
      <c r="T1205" s="23" t="s">
        <v>1313</v>
      </c>
    </row>
    <row r="1206" spans="1:23" x14ac:dyDescent="0.25">
      <c r="A1206" s="37">
        <v>45716</v>
      </c>
      <c r="B1206" s="1">
        <v>60601816</v>
      </c>
      <c r="C1206" t="s">
        <v>967</v>
      </c>
      <c r="D1206" s="22">
        <v>-96.37</v>
      </c>
      <c r="E1206" t="s">
        <v>35</v>
      </c>
      <c r="F1206" s="2">
        <v>610148001</v>
      </c>
      <c r="G1206" s="2" t="s">
        <v>42</v>
      </c>
      <c r="L1206" s="2" t="s">
        <v>2350</v>
      </c>
      <c r="M1206" t="s">
        <v>43</v>
      </c>
      <c r="N1206" t="s">
        <v>42</v>
      </c>
      <c r="P1206" s="23">
        <v>64.25</v>
      </c>
      <c r="Q1206" s="4">
        <f t="shared" si="18"/>
        <v>-1.499922178988327</v>
      </c>
      <c r="R1206" s="23" t="s">
        <v>109</v>
      </c>
      <c r="T1206" s="23" t="s">
        <v>1313</v>
      </c>
    </row>
    <row r="1207" spans="1:23" x14ac:dyDescent="0.25">
      <c r="A1207" s="37">
        <v>45716</v>
      </c>
      <c r="B1207" s="1">
        <v>298121901</v>
      </c>
      <c r="C1207" t="s">
        <v>2351</v>
      </c>
      <c r="D1207" s="22">
        <v>2563.6</v>
      </c>
      <c r="E1207" t="s">
        <v>46</v>
      </c>
      <c r="F1207" s="2">
        <v>110114001</v>
      </c>
      <c r="G1207" s="2" t="s">
        <v>301</v>
      </c>
      <c r="L1207" s="2" t="s">
        <v>2352</v>
      </c>
      <c r="N1207" t="s">
        <v>2353</v>
      </c>
      <c r="P1207" s="23">
        <v>64.25</v>
      </c>
      <c r="Q1207" s="4">
        <f t="shared" si="18"/>
        <v>39.900389105058366</v>
      </c>
      <c r="R1207" s="23" t="s">
        <v>109</v>
      </c>
    </row>
    <row r="1208" spans="1:23" x14ac:dyDescent="0.25">
      <c r="A1208" s="37">
        <v>45716</v>
      </c>
      <c r="B1208" s="1">
        <v>132036558</v>
      </c>
      <c r="C1208" t="s">
        <v>107</v>
      </c>
      <c r="D1208" s="22">
        <v>1210000</v>
      </c>
      <c r="E1208" t="s">
        <v>46</v>
      </c>
      <c r="F1208" s="2">
        <v>210115002</v>
      </c>
      <c r="G1208" s="2" t="s">
        <v>47</v>
      </c>
      <c r="L1208" s="2" t="s">
        <v>2354</v>
      </c>
      <c r="N1208" t="s">
        <v>107</v>
      </c>
      <c r="P1208" s="23">
        <v>64.25</v>
      </c>
      <c r="Q1208" s="4">
        <f t="shared" si="18"/>
        <v>18832.684824902724</v>
      </c>
      <c r="R1208" s="23" t="s">
        <v>109</v>
      </c>
    </row>
    <row r="1209" spans="1:23" x14ac:dyDescent="0.25">
      <c r="A1209" s="39">
        <v>45716</v>
      </c>
      <c r="B1209" s="26">
        <v>19128826</v>
      </c>
      <c r="C1209" s="27" t="s">
        <v>54</v>
      </c>
      <c r="D1209" s="28">
        <v>-7710</v>
      </c>
      <c r="E1209" s="27" t="s">
        <v>35</v>
      </c>
      <c r="F1209" s="29">
        <v>610129001</v>
      </c>
      <c r="G1209" s="29" t="s">
        <v>55</v>
      </c>
      <c r="H1209" s="107"/>
      <c r="I1209" s="101"/>
      <c r="J1209" s="101"/>
      <c r="K1209" s="29"/>
      <c r="L1209" s="2" t="s">
        <v>2355</v>
      </c>
      <c r="M1209" s="27" t="s">
        <v>57</v>
      </c>
      <c r="N1209" s="27" t="s">
        <v>58</v>
      </c>
      <c r="O1209" s="27" t="s">
        <v>59</v>
      </c>
      <c r="P1209" s="31">
        <v>64.25</v>
      </c>
      <c r="Q1209" s="4">
        <f t="shared" si="18"/>
        <v>-120</v>
      </c>
      <c r="R1209" s="23" t="s">
        <v>109</v>
      </c>
      <c r="T1209" s="23" t="s">
        <v>2356</v>
      </c>
    </row>
    <row r="1210" spans="1:23" x14ac:dyDescent="0.25">
      <c r="A1210" s="37">
        <v>45716</v>
      </c>
      <c r="B1210" s="1">
        <v>19128825</v>
      </c>
      <c r="C1210" t="s">
        <v>2357</v>
      </c>
      <c r="D1210" s="22">
        <v>-200000</v>
      </c>
      <c r="E1210" t="s">
        <v>35</v>
      </c>
      <c r="F1210" s="2">
        <v>110114001</v>
      </c>
      <c r="G1210" s="2" t="s">
        <v>301</v>
      </c>
      <c r="L1210" s="2" t="s">
        <v>2358</v>
      </c>
      <c r="M1210" t="s">
        <v>67</v>
      </c>
      <c r="N1210" t="s">
        <v>68</v>
      </c>
      <c r="P1210" s="23">
        <v>64.25</v>
      </c>
      <c r="Q1210" s="4">
        <f t="shared" si="18"/>
        <v>-3112.8404669260699</v>
      </c>
      <c r="R1210" s="23" t="s">
        <v>109</v>
      </c>
      <c r="S1210" s="33" t="s">
        <v>1353</v>
      </c>
    </row>
    <row r="1211" spans="1:23" x14ac:dyDescent="0.25">
      <c r="A1211" s="37">
        <v>45716</v>
      </c>
      <c r="B1211" s="1">
        <v>19128830</v>
      </c>
      <c r="C1211" t="s">
        <v>2357</v>
      </c>
      <c r="D1211" s="22">
        <v>-72195.08</v>
      </c>
      <c r="E1211" t="s">
        <v>35</v>
      </c>
      <c r="F1211" s="2">
        <v>110114001</v>
      </c>
      <c r="G1211" s="2" t="s">
        <v>301</v>
      </c>
      <c r="L1211" s="2" t="s">
        <v>2359</v>
      </c>
      <c r="M1211" t="s">
        <v>38</v>
      </c>
      <c r="N1211" t="s">
        <v>39</v>
      </c>
      <c r="P1211" s="23">
        <v>64.25</v>
      </c>
      <c r="Q1211" s="4">
        <f t="shared" si="18"/>
        <v>-1123.658832684825</v>
      </c>
      <c r="R1211" s="23" t="s">
        <v>109</v>
      </c>
      <c r="S1211" s="33" t="s">
        <v>1353</v>
      </c>
    </row>
    <row r="1212" spans="1:23" x14ac:dyDescent="0.25">
      <c r="A1212" s="39">
        <v>45716</v>
      </c>
      <c r="B1212" s="26">
        <v>19128828</v>
      </c>
      <c r="C1212" s="27" t="s">
        <v>2360</v>
      </c>
      <c r="D1212" s="28">
        <v>-7710</v>
      </c>
      <c r="E1212" s="27" t="s">
        <v>35</v>
      </c>
      <c r="F1212" s="29">
        <v>610156001</v>
      </c>
      <c r="G1212" s="29" t="s">
        <v>91</v>
      </c>
      <c r="H1212" s="107"/>
      <c r="I1212" s="101"/>
      <c r="J1212" s="101"/>
      <c r="K1212" s="29"/>
      <c r="L1212" s="2" t="s">
        <v>2361</v>
      </c>
      <c r="M1212" s="27" t="s">
        <v>93</v>
      </c>
      <c r="N1212" s="27" t="s">
        <v>94</v>
      </c>
      <c r="O1212" s="27" t="s">
        <v>59</v>
      </c>
      <c r="P1212" s="31">
        <v>64.25</v>
      </c>
      <c r="Q1212" s="4">
        <f t="shared" si="18"/>
        <v>-120</v>
      </c>
      <c r="R1212" s="23" t="s">
        <v>109</v>
      </c>
      <c r="T1212" s="23" t="s">
        <v>2362</v>
      </c>
    </row>
    <row r="1213" spans="1:23" x14ac:dyDescent="0.25">
      <c r="A1213" s="37">
        <v>45716</v>
      </c>
      <c r="B1213" s="1">
        <v>19128833</v>
      </c>
      <c r="C1213" t="s">
        <v>2363</v>
      </c>
      <c r="D1213" s="22">
        <v>-4497.5</v>
      </c>
      <c r="E1213" t="s">
        <v>35</v>
      </c>
      <c r="F1213" s="2">
        <v>212901001</v>
      </c>
      <c r="G1213" s="2" t="s">
        <v>121</v>
      </c>
      <c r="L1213" s="2" t="s">
        <v>2364</v>
      </c>
      <c r="M1213" t="s">
        <v>67</v>
      </c>
      <c r="N1213" t="s">
        <v>68</v>
      </c>
      <c r="P1213" s="23">
        <v>64.25</v>
      </c>
      <c r="Q1213" s="4">
        <f t="shared" si="18"/>
        <v>-70</v>
      </c>
      <c r="R1213" s="23" t="s">
        <v>109</v>
      </c>
    </row>
    <row r="1214" spans="1:23" x14ac:dyDescent="0.25">
      <c r="A1214" s="37">
        <v>45716</v>
      </c>
      <c r="B1214" s="1">
        <v>119128835</v>
      </c>
      <c r="C1214" t="s">
        <v>2365</v>
      </c>
      <c r="D1214" s="22">
        <v>-6746.25</v>
      </c>
      <c r="E1214" t="s">
        <v>35</v>
      </c>
      <c r="F1214" s="2">
        <v>212901001</v>
      </c>
      <c r="G1214" s="2" t="s">
        <v>121</v>
      </c>
      <c r="L1214" s="2" t="s">
        <v>2366</v>
      </c>
      <c r="M1214" t="s">
        <v>67</v>
      </c>
      <c r="N1214" t="s">
        <v>68</v>
      </c>
      <c r="P1214" s="23">
        <v>64.25</v>
      </c>
      <c r="Q1214" s="4">
        <f t="shared" si="18"/>
        <v>-105</v>
      </c>
      <c r="R1214" s="23" t="s">
        <v>109</v>
      </c>
    </row>
    <row r="1215" spans="1:23" x14ac:dyDescent="0.25">
      <c r="A1215" s="37">
        <v>45716</v>
      </c>
      <c r="B1215" s="1">
        <v>119128836</v>
      </c>
      <c r="C1215" t="s">
        <v>2367</v>
      </c>
      <c r="D1215" s="22">
        <v>-1285</v>
      </c>
      <c r="E1215" t="s">
        <v>35</v>
      </c>
      <c r="F1215" s="2">
        <v>212901001</v>
      </c>
      <c r="G1215" s="2" t="s">
        <v>121</v>
      </c>
      <c r="L1215" s="2" t="s">
        <v>2368</v>
      </c>
      <c r="M1215" t="s">
        <v>67</v>
      </c>
      <c r="N1215" t="s">
        <v>68</v>
      </c>
      <c r="P1215" s="23">
        <v>64.25</v>
      </c>
      <c r="Q1215" s="4">
        <f t="shared" si="18"/>
        <v>-20</v>
      </c>
      <c r="R1215" s="23" t="s">
        <v>109</v>
      </c>
    </row>
    <row r="1216" spans="1:23" x14ac:dyDescent="0.25">
      <c r="A1216" s="37">
        <v>45716</v>
      </c>
      <c r="B1216" s="1">
        <v>19128832</v>
      </c>
      <c r="C1216" t="s">
        <v>1834</v>
      </c>
      <c r="D1216" s="22">
        <v>-3084</v>
      </c>
      <c r="E1216" t="s">
        <v>35</v>
      </c>
      <c r="F1216" s="2">
        <v>212901001</v>
      </c>
      <c r="G1216" s="2" t="s">
        <v>121</v>
      </c>
      <c r="L1216" s="2" t="s">
        <v>2369</v>
      </c>
      <c r="M1216" t="s">
        <v>67</v>
      </c>
      <c r="N1216" t="s">
        <v>68</v>
      </c>
      <c r="P1216" s="23">
        <v>64.25</v>
      </c>
      <c r="Q1216" s="4">
        <f t="shared" si="18"/>
        <v>-48</v>
      </c>
      <c r="R1216" s="23" t="s">
        <v>109</v>
      </c>
    </row>
    <row r="1217" spans="1:20" x14ac:dyDescent="0.25">
      <c r="A1217" s="37">
        <v>45716</v>
      </c>
      <c r="B1217" s="1">
        <v>19128831</v>
      </c>
      <c r="C1217" t="s">
        <v>2370</v>
      </c>
      <c r="D1217" s="22">
        <v>-20991.360000000001</v>
      </c>
      <c r="E1217" t="s">
        <v>35</v>
      </c>
      <c r="F1217" s="2">
        <v>110114001</v>
      </c>
      <c r="G1217" s="2" t="s">
        <v>301</v>
      </c>
      <c r="L1217" s="2" t="s">
        <v>2371</v>
      </c>
      <c r="M1217" t="s">
        <v>303</v>
      </c>
      <c r="N1217" t="s">
        <v>304</v>
      </c>
      <c r="P1217" s="23">
        <v>64.25</v>
      </c>
      <c r="Q1217" s="4">
        <f t="shared" si="18"/>
        <v>-326.71377431906615</v>
      </c>
      <c r="R1217" s="23" t="s">
        <v>109</v>
      </c>
      <c r="S1217" s="33" t="s">
        <v>1353</v>
      </c>
    </row>
    <row r="1218" spans="1:20" x14ac:dyDescent="0.25">
      <c r="A1218" s="37">
        <v>45716</v>
      </c>
      <c r="B1218" s="1">
        <v>19128829</v>
      </c>
      <c r="C1218" t="s">
        <v>100</v>
      </c>
      <c r="D1218" s="30">
        <v>-6425</v>
      </c>
      <c r="E1218" t="s">
        <v>35</v>
      </c>
      <c r="F1218" s="2">
        <v>610124003</v>
      </c>
      <c r="G1218" s="2" t="s">
        <v>101</v>
      </c>
      <c r="L1218" s="2" t="s">
        <v>2372</v>
      </c>
      <c r="M1218" t="s">
        <v>103</v>
      </c>
      <c r="N1218" t="s">
        <v>104</v>
      </c>
      <c r="O1218" s="27" t="s">
        <v>59</v>
      </c>
      <c r="P1218" s="23">
        <v>64.25</v>
      </c>
      <c r="Q1218" s="4">
        <f t="shared" si="18"/>
        <v>-100</v>
      </c>
      <c r="R1218" s="23" t="s">
        <v>109</v>
      </c>
      <c r="T1218" s="23" t="s">
        <v>2373</v>
      </c>
    </row>
    <row r="1219" spans="1:20" x14ac:dyDescent="0.25">
      <c r="A1219" s="37">
        <v>45716</v>
      </c>
      <c r="B1219" s="1">
        <v>19128834</v>
      </c>
      <c r="C1219" t="s">
        <v>2374</v>
      </c>
      <c r="D1219" s="22">
        <v>-3212.5</v>
      </c>
      <c r="E1219" t="s">
        <v>35</v>
      </c>
      <c r="F1219" s="2">
        <v>212901001</v>
      </c>
      <c r="G1219" s="2" t="s">
        <v>121</v>
      </c>
      <c r="L1219" s="2" t="s">
        <v>2375</v>
      </c>
      <c r="M1219" t="s">
        <v>67</v>
      </c>
      <c r="N1219" t="s">
        <v>68</v>
      </c>
      <c r="P1219" s="23">
        <v>64.25</v>
      </c>
      <c r="Q1219" s="4">
        <f t="shared" si="18"/>
        <v>-50</v>
      </c>
      <c r="R1219" s="23" t="s">
        <v>109</v>
      </c>
    </row>
    <row r="1220" spans="1:20" x14ac:dyDescent="0.25">
      <c r="A1220" s="37">
        <v>45716</v>
      </c>
      <c r="B1220" s="1">
        <v>119128840</v>
      </c>
      <c r="C1220" t="s">
        <v>2376</v>
      </c>
      <c r="D1220" s="22">
        <v>-59193.21</v>
      </c>
      <c r="E1220" t="s">
        <v>35</v>
      </c>
      <c r="F1220" s="2">
        <v>110114001</v>
      </c>
      <c r="G1220" s="2" t="s">
        <v>301</v>
      </c>
      <c r="L1220" s="2" t="s">
        <v>2377</v>
      </c>
      <c r="M1220" t="s">
        <v>38</v>
      </c>
      <c r="N1220" t="s">
        <v>39</v>
      </c>
      <c r="P1220" s="23">
        <v>64.25</v>
      </c>
      <c r="Q1220" s="4">
        <f t="shared" si="18"/>
        <v>-921.29509727626453</v>
      </c>
      <c r="R1220" s="23" t="s">
        <v>109</v>
      </c>
      <c r="S1220" s="33" t="s">
        <v>1353</v>
      </c>
    </row>
    <row r="1221" spans="1:20" x14ac:dyDescent="0.25">
      <c r="A1221" s="37">
        <v>45716</v>
      </c>
      <c r="B1221" s="1">
        <v>119128839</v>
      </c>
      <c r="C1221" t="s">
        <v>2378</v>
      </c>
      <c r="D1221" s="22">
        <v>-1285</v>
      </c>
      <c r="E1221" t="s">
        <v>35</v>
      </c>
      <c r="F1221" s="2">
        <v>212901001</v>
      </c>
      <c r="G1221" s="2" t="s">
        <v>121</v>
      </c>
      <c r="L1221" s="2" t="s">
        <v>2379</v>
      </c>
      <c r="M1221" t="s">
        <v>67</v>
      </c>
      <c r="N1221" t="s">
        <v>68</v>
      </c>
      <c r="P1221" s="23">
        <v>64.25</v>
      </c>
      <c r="Q1221" s="4">
        <f t="shared" si="18"/>
        <v>-20</v>
      </c>
      <c r="R1221" s="23" t="s">
        <v>109</v>
      </c>
    </row>
    <row r="1222" spans="1:20" x14ac:dyDescent="0.25">
      <c r="A1222" s="37">
        <v>45716</v>
      </c>
      <c r="B1222" s="1">
        <v>119128843</v>
      </c>
      <c r="C1222" t="s">
        <v>2376</v>
      </c>
      <c r="D1222" s="22">
        <v>-200000</v>
      </c>
      <c r="E1222" t="s">
        <v>35</v>
      </c>
      <c r="F1222" s="2">
        <v>110114001</v>
      </c>
      <c r="G1222" s="2" t="s">
        <v>301</v>
      </c>
      <c r="L1222" s="2" t="s">
        <v>2380</v>
      </c>
      <c r="M1222" t="s">
        <v>38</v>
      </c>
      <c r="N1222" t="s">
        <v>39</v>
      </c>
      <c r="P1222" s="23">
        <v>64.25</v>
      </c>
      <c r="Q1222" s="4">
        <f t="shared" si="18"/>
        <v>-3112.8404669260699</v>
      </c>
      <c r="R1222" s="23" t="s">
        <v>109</v>
      </c>
      <c r="S1222" s="33" t="s">
        <v>1353</v>
      </c>
    </row>
    <row r="1223" spans="1:20" x14ac:dyDescent="0.25">
      <c r="A1223" s="37">
        <v>45716</v>
      </c>
      <c r="B1223" s="1">
        <v>119128838</v>
      </c>
      <c r="C1223" t="s">
        <v>2381</v>
      </c>
      <c r="D1223" s="22">
        <v>-1285</v>
      </c>
      <c r="E1223" t="s">
        <v>35</v>
      </c>
      <c r="F1223" s="2">
        <v>212901001</v>
      </c>
      <c r="G1223" s="2" t="s">
        <v>121</v>
      </c>
      <c r="L1223" s="2" t="s">
        <v>2382</v>
      </c>
      <c r="M1223" t="s">
        <v>67</v>
      </c>
      <c r="N1223" t="s">
        <v>68</v>
      </c>
      <c r="P1223" s="23">
        <v>64.25</v>
      </c>
      <c r="Q1223" s="4">
        <f t="shared" si="18"/>
        <v>-20</v>
      </c>
      <c r="R1223" s="23" t="s">
        <v>109</v>
      </c>
    </row>
    <row r="1224" spans="1:20" x14ac:dyDescent="0.25">
      <c r="A1224" s="37">
        <v>45716</v>
      </c>
      <c r="B1224" s="1">
        <v>119128837</v>
      </c>
      <c r="C1224" t="s">
        <v>2383</v>
      </c>
      <c r="D1224" s="22">
        <v>-1285</v>
      </c>
      <c r="E1224" t="s">
        <v>35</v>
      </c>
      <c r="F1224" s="2">
        <v>212901001</v>
      </c>
      <c r="G1224" s="2" t="s">
        <v>121</v>
      </c>
      <c r="L1224" s="2" t="s">
        <v>2384</v>
      </c>
      <c r="M1224" t="s">
        <v>67</v>
      </c>
      <c r="N1224" t="s">
        <v>68</v>
      </c>
      <c r="P1224" s="23">
        <v>64.25</v>
      </c>
      <c r="Q1224" s="4">
        <f t="shared" si="18"/>
        <v>-20</v>
      </c>
      <c r="R1224" s="23" t="s">
        <v>109</v>
      </c>
    </row>
    <row r="1225" spans="1:20" x14ac:dyDescent="0.25">
      <c r="A1225" s="37">
        <v>45716</v>
      </c>
      <c r="B1225" s="1">
        <v>119128841</v>
      </c>
      <c r="C1225" t="s">
        <v>2376</v>
      </c>
      <c r="D1225" s="22">
        <v>-200000</v>
      </c>
      <c r="E1225" t="s">
        <v>35</v>
      </c>
      <c r="F1225" s="2">
        <v>110114001</v>
      </c>
      <c r="G1225" s="2" t="s">
        <v>301</v>
      </c>
      <c r="L1225" s="2" t="s">
        <v>2385</v>
      </c>
      <c r="M1225" t="s">
        <v>38</v>
      </c>
      <c r="N1225" t="s">
        <v>39</v>
      </c>
      <c r="P1225" s="23">
        <v>64.25</v>
      </c>
      <c r="Q1225" s="4">
        <f t="shared" si="18"/>
        <v>-3112.8404669260699</v>
      </c>
      <c r="R1225" s="23" t="s">
        <v>109</v>
      </c>
      <c r="S1225" s="33" t="s">
        <v>1353</v>
      </c>
    </row>
    <row r="1226" spans="1:20" x14ac:dyDescent="0.25">
      <c r="A1226" s="37">
        <v>45716</v>
      </c>
      <c r="B1226" s="1">
        <v>119128842</v>
      </c>
      <c r="C1226" t="s">
        <v>2376</v>
      </c>
      <c r="D1226" s="22">
        <v>-200000</v>
      </c>
      <c r="E1226" t="s">
        <v>35</v>
      </c>
      <c r="F1226" s="2">
        <v>110114001</v>
      </c>
      <c r="G1226" s="2" t="s">
        <v>301</v>
      </c>
      <c r="L1226" s="2" t="s">
        <v>2386</v>
      </c>
      <c r="M1226" t="s">
        <v>38</v>
      </c>
      <c r="N1226" t="s">
        <v>39</v>
      </c>
      <c r="P1226" s="23">
        <v>64.25</v>
      </c>
      <c r="Q1226" s="4">
        <f t="shared" si="18"/>
        <v>-3112.8404669260699</v>
      </c>
      <c r="R1226" s="23" t="s">
        <v>109</v>
      </c>
      <c r="S1226" s="33" t="s">
        <v>1353</v>
      </c>
    </row>
    <row r="1227" spans="1:20" x14ac:dyDescent="0.25">
      <c r="A1227" s="37">
        <v>45716</v>
      </c>
      <c r="B1227" s="1">
        <v>119128844</v>
      </c>
      <c r="C1227" t="s">
        <v>2376</v>
      </c>
      <c r="D1227" s="22">
        <v>-200000</v>
      </c>
      <c r="E1227" t="s">
        <v>35</v>
      </c>
      <c r="F1227" s="2">
        <v>110114001</v>
      </c>
      <c r="G1227" s="2" t="s">
        <v>301</v>
      </c>
      <c r="L1227" s="2" t="s">
        <v>2387</v>
      </c>
      <c r="M1227" t="s">
        <v>38</v>
      </c>
      <c r="N1227" t="s">
        <v>39</v>
      </c>
      <c r="P1227" s="23">
        <v>64.25</v>
      </c>
      <c r="Q1227" s="4">
        <f t="shared" ref="Q1227:Q1290" si="19">D1227/P1227</f>
        <v>-3112.8404669260699</v>
      </c>
      <c r="R1227" s="23" t="s">
        <v>109</v>
      </c>
      <c r="S1227" s="33" t="s">
        <v>1353</v>
      </c>
    </row>
    <row r="1228" spans="1:20" x14ac:dyDescent="0.25">
      <c r="A1228" s="37">
        <v>45716</v>
      </c>
      <c r="B1228" s="1">
        <v>50218560</v>
      </c>
      <c r="C1228" t="s">
        <v>118</v>
      </c>
      <c r="D1228" s="22">
        <v>-2992.26</v>
      </c>
      <c r="E1228" t="s">
        <v>35</v>
      </c>
      <c r="F1228" s="2">
        <v>610148001</v>
      </c>
      <c r="G1228" s="2" t="s">
        <v>42</v>
      </c>
      <c r="L1228" s="2" t="s">
        <v>2388</v>
      </c>
      <c r="M1228" t="s">
        <v>43</v>
      </c>
      <c r="N1228" t="s">
        <v>42</v>
      </c>
      <c r="P1228" s="23">
        <v>64.25</v>
      </c>
      <c r="Q1228" s="4">
        <f t="shared" si="19"/>
        <v>-46.572140077821018</v>
      </c>
      <c r="R1228" s="23" t="s">
        <v>109</v>
      </c>
      <c r="T1228" s="23" t="s">
        <v>1313</v>
      </c>
    </row>
    <row r="1229" spans="1:20" x14ac:dyDescent="0.25">
      <c r="A1229" s="37">
        <v>45716</v>
      </c>
      <c r="B1229" s="1">
        <v>140426441</v>
      </c>
      <c r="C1229" t="s">
        <v>107</v>
      </c>
      <c r="D1229" s="22">
        <v>470000</v>
      </c>
      <c r="E1229" t="s">
        <v>46</v>
      </c>
      <c r="F1229" s="2">
        <v>210115002</v>
      </c>
      <c r="G1229" s="2" t="s">
        <v>47</v>
      </c>
      <c r="L1229" s="2" t="s">
        <v>2389</v>
      </c>
      <c r="N1229" t="s">
        <v>107</v>
      </c>
      <c r="P1229" s="23">
        <v>64.25</v>
      </c>
      <c r="Q1229" s="4">
        <f t="shared" si="19"/>
        <v>7315.1750972762648</v>
      </c>
      <c r="R1229" s="23" t="s">
        <v>109</v>
      </c>
    </row>
    <row r="1230" spans="1:20" x14ac:dyDescent="0.25">
      <c r="A1230" s="37">
        <v>45716</v>
      </c>
      <c r="B1230" s="1">
        <v>219132031</v>
      </c>
      <c r="C1230" t="s">
        <v>2390</v>
      </c>
      <c r="D1230" s="22">
        <v>-6425</v>
      </c>
      <c r="E1230" t="s">
        <v>35</v>
      </c>
      <c r="F1230" s="2">
        <v>212901001</v>
      </c>
      <c r="G1230" s="2" t="s">
        <v>121</v>
      </c>
      <c r="L1230" s="2" t="s">
        <v>2391</v>
      </c>
      <c r="M1230" t="s">
        <v>67</v>
      </c>
      <c r="N1230" t="s">
        <v>68</v>
      </c>
      <c r="P1230" s="23">
        <v>64.25</v>
      </c>
      <c r="Q1230" s="4">
        <f t="shared" si="19"/>
        <v>-100</v>
      </c>
      <c r="R1230" s="23" t="s">
        <v>109</v>
      </c>
    </row>
    <row r="1231" spans="1:20" x14ac:dyDescent="0.25">
      <c r="A1231" s="37">
        <v>45716</v>
      </c>
      <c r="B1231" s="1">
        <v>219132029</v>
      </c>
      <c r="C1231" t="s">
        <v>2392</v>
      </c>
      <c r="D1231" s="22">
        <v>-6425</v>
      </c>
      <c r="E1231" t="s">
        <v>35</v>
      </c>
      <c r="F1231" s="2">
        <v>212901001</v>
      </c>
      <c r="G1231" s="2" t="s">
        <v>121</v>
      </c>
      <c r="L1231" s="2" t="s">
        <v>2393</v>
      </c>
      <c r="M1231" t="s">
        <v>67</v>
      </c>
      <c r="N1231" t="s">
        <v>68</v>
      </c>
      <c r="P1231" s="23">
        <v>64.25</v>
      </c>
      <c r="Q1231" s="4">
        <f t="shared" si="19"/>
        <v>-100</v>
      </c>
      <c r="R1231" s="23" t="s">
        <v>109</v>
      </c>
    </row>
    <row r="1232" spans="1:20" x14ac:dyDescent="0.25">
      <c r="A1232" s="37">
        <v>45716</v>
      </c>
      <c r="B1232" s="1">
        <v>219132030</v>
      </c>
      <c r="C1232" t="s">
        <v>2394</v>
      </c>
      <c r="D1232" s="22">
        <v>-6425</v>
      </c>
      <c r="E1232" t="s">
        <v>35</v>
      </c>
      <c r="F1232" s="2">
        <v>212901001</v>
      </c>
      <c r="G1232" s="2" t="s">
        <v>121</v>
      </c>
      <c r="L1232" s="2" t="s">
        <v>2395</v>
      </c>
      <c r="M1232" t="s">
        <v>67</v>
      </c>
      <c r="N1232" t="s">
        <v>68</v>
      </c>
      <c r="P1232" s="23">
        <v>64.25</v>
      </c>
      <c r="Q1232" s="4">
        <f t="shared" si="19"/>
        <v>-100</v>
      </c>
      <c r="R1232" s="23" t="s">
        <v>109</v>
      </c>
    </row>
    <row r="1233" spans="1:18" x14ac:dyDescent="0.25">
      <c r="A1233" s="37">
        <v>45716</v>
      </c>
      <c r="B1233" s="1">
        <v>219132032</v>
      </c>
      <c r="C1233" t="s">
        <v>2396</v>
      </c>
      <c r="D1233" s="22">
        <v>-6425</v>
      </c>
      <c r="E1233" t="s">
        <v>35</v>
      </c>
      <c r="F1233" s="2">
        <v>212901001</v>
      </c>
      <c r="G1233" s="2" t="s">
        <v>121</v>
      </c>
      <c r="L1233" s="2" t="s">
        <v>2397</v>
      </c>
      <c r="M1233" t="s">
        <v>67</v>
      </c>
      <c r="N1233" t="s">
        <v>68</v>
      </c>
      <c r="P1233" s="23">
        <v>64.25</v>
      </c>
      <c r="Q1233" s="4">
        <f t="shared" si="19"/>
        <v>-100</v>
      </c>
      <c r="R1233" s="23" t="s">
        <v>109</v>
      </c>
    </row>
    <row r="1234" spans="1:18" x14ac:dyDescent="0.25">
      <c r="A1234" s="37">
        <v>45716</v>
      </c>
      <c r="B1234" s="1">
        <v>219132034</v>
      </c>
      <c r="C1234" t="s">
        <v>2398</v>
      </c>
      <c r="D1234" s="22">
        <v>-6425</v>
      </c>
      <c r="E1234" t="s">
        <v>35</v>
      </c>
      <c r="F1234" s="2">
        <v>212901001</v>
      </c>
      <c r="G1234" s="2" t="s">
        <v>121</v>
      </c>
      <c r="L1234" s="2" t="s">
        <v>2399</v>
      </c>
      <c r="M1234" t="s">
        <v>67</v>
      </c>
      <c r="N1234" t="s">
        <v>68</v>
      </c>
      <c r="P1234" s="23">
        <v>64.25</v>
      </c>
      <c r="Q1234" s="4">
        <f t="shared" si="19"/>
        <v>-100</v>
      </c>
      <c r="R1234" s="23" t="s">
        <v>109</v>
      </c>
    </row>
    <row r="1235" spans="1:18" x14ac:dyDescent="0.25">
      <c r="A1235" s="37">
        <v>45716</v>
      </c>
      <c r="B1235" s="1">
        <v>319132041</v>
      </c>
      <c r="C1235" t="s">
        <v>2400</v>
      </c>
      <c r="D1235" s="22">
        <v>-6425</v>
      </c>
      <c r="E1235" t="s">
        <v>35</v>
      </c>
      <c r="F1235" s="2">
        <v>212901001</v>
      </c>
      <c r="G1235" s="2" t="s">
        <v>121</v>
      </c>
      <c r="L1235" s="2" t="s">
        <v>2401</v>
      </c>
      <c r="M1235" t="s">
        <v>67</v>
      </c>
      <c r="N1235" t="s">
        <v>68</v>
      </c>
      <c r="P1235" s="23">
        <v>64.25</v>
      </c>
      <c r="Q1235" s="4">
        <f t="shared" si="19"/>
        <v>-100</v>
      </c>
      <c r="R1235" s="23" t="s">
        <v>109</v>
      </c>
    </row>
    <row r="1236" spans="1:18" x14ac:dyDescent="0.25">
      <c r="A1236" s="37">
        <v>45716</v>
      </c>
      <c r="B1236" s="1">
        <v>219132035</v>
      </c>
      <c r="C1236" t="s">
        <v>2402</v>
      </c>
      <c r="D1236" s="22">
        <v>-6425</v>
      </c>
      <c r="E1236" t="s">
        <v>35</v>
      </c>
      <c r="F1236" s="2">
        <v>212901001</v>
      </c>
      <c r="G1236" s="2" t="s">
        <v>121</v>
      </c>
      <c r="L1236" s="2" t="s">
        <v>2403</v>
      </c>
      <c r="M1236" t="s">
        <v>67</v>
      </c>
      <c r="N1236" t="s">
        <v>68</v>
      </c>
      <c r="P1236" s="23">
        <v>64.25</v>
      </c>
      <c r="Q1236" s="4">
        <f t="shared" si="19"/>
        <v>-100</v>
      </c>
      <c r="R1236" s="23" t="s">
        <v>109</v>
      </c>
    </row>
    <row r="1237" spans="1:18" x14ac:dyDescent="0.25">
      <c r="A1237" s="37">
        <v>45716</v>
      </c>
      <c r="B1237" s="1">
        <v>319132042</v>
      </c>
      <c r="C1237" t="s">
        <v>2404</v>
      </c>
      <c r="D1237" s="22">
        <v>-6425</v>
      </c>
      <c r="E1237" t="s">
        <v>35</v>
      </c>
      <c r="F1237" s="2">
        <v>212901001</v>
      </c>
      <c r="G1237" s="2" t="s">
        <v>121</v>
      </c>
      <c r="L1237" s="2" t="s">
        <v>2405</v>
      </c>
      <c r="M1237" t="s">
        <v>67</v>
      </c>
      <c r="N1237" t="s">
        <v>68</v>
      </c>
      <c r="P1237" s="23">
        <v>64.25</v>
      </c>
      <c r="Q1237" s="4">
        <f t="shared" si="19"/>
        <v>-100</v>
      </c>
      <c r="R1237" s="23" t="s">
        <v>109</v>
      </c>
    </row>
    <row r="1238" spans="1:18" x14ac:dyDescent="0.25">
      <c r="A1238" s="37">
        <v>45716</v>
      </c>
      <c r="B1238" s="1">
        <v>219132039</v>
      </c>
      <c r="C1238" t="s">
        <v>2406</v>
      </c>
      <c r="D1238" s="22">
        <v>-6425</v>
      </c>
      <c r="E1238" t="s">
        <v>35</v>
      </c>
      <c r="F1238" s="2">
        <v>212901001</v>
      </c>
      <c r="G1238" s="2" t="s">
        <v>121</v>
      </c>
      <c r="L1238" s="2" t="s">
        <v>2407</v>
      </c>
      <c r="M1238" t="s">
        <v>67</v>
      </c>
      <c r="N1238" t="s">
        <v>68</v>
      </c>
      <c r="P1238" s="23">
        <v>64.25</v>
      </c>
      <c r="Q1238" s="4">
        <f t="shared" si="19"/>
        <v>-100</v>
      </c>
      <c r="R1238" s="23" t="s">
        <v>109</v>
      </c>
    </row>
    <row r="1239" spans="1:18" x14ac:dyDescent="0.25">
      <c r="A1239" s="37">
        <v>45716</v>
      </c>
      <c r="B1239" s="1">
        <v>219132038</v>
      </c>
      <c r="C1239" t="s">
        <v>2408</v>
      </c>
      <c r="D1239" s="22">
        <v>-6425</v>
      </c>
      <c r="E1239" t="s">
        <v>35</v>
      </c>
      <c r="F1239" s="2">
        <v>212901001</v>
      </c>
      <c r="G1239" s="2" t="s">
        <v>121</v>
      </c>
      <c r="L1239" s="2" t="s">
        <v>2409</v>
      </c>
      <c r="M1239" t="s">
        <v>67</v>
      </c>
      <c r="N1239" t="s">
        <v>68</v>
      </c>
      <c r="P1239" s="23">
        <v>64.25</v>
      </c>
      <c r="Q1239" s="4">
        <f t="shared" si="19"/>
        <v>-100</v>
      </c>
      <c r="R1239" s="23" t="s">
        <v>109</v>
      </c>
    </row>
    <row r="1240" spans="1:18" x14ac:dyDescent="0.25">
      <c r="A1240" s="37">
        <v>45716</v>
      </c>
      <c r="B1240" s="1">
        <v>219132036</v>
      </c>
      <c r="C1240" t="s">
        <v>2410</v>
      </c>
      <c r="D1240" s="22">
        <v>-6425</v>
      </c>
      <c r="E1240" t="s">
        <v>35</v>
      </c>
      <c r="F1240" s="2">
        <v>212901001</v>
      </c>
      <c r="G1240" s="2" t="s">
        <v>121</v>
      </c>
      <c r="L1240" s="2" t="s">
        <v>2411</v>
      </c>
      <c r="M1240" t="s">
        <v>67</v>
      </c>
      <c r="N1240" t="s">
        <v>68</v>
      </c>
      <c r="P1240" s="23">
        <v>64.25</v>
      </c>
      <c r="Q1240" s="4">
        <f t="shared" si="19"/>
        <v>-100</v>
      </c>
      <c r="R1240" s="23" t="s">
        <v>109</v>
      </c>
    </row>
    <row r="1241" spans="1:18" x14ac:dyDescent="0.25">
      <c r="A1241" s="37">
        <v>45716</v>
      </c>
      <c r="B1241" s="1">
        <v>219132040</v>
      </c>
      <c r="C1241" t="s">
        <v>2412</v>
      </c>
      <c r="D1241" s="22">
        <v>-6425</v>
      </c>
      <c r="E1241" t="s">
        <v>35</v>
      </c>
      <c r="F1241" s="2">
        <v>212901001</v>
      </c>
      <c r="G1241" s="2" t="s">
        <v>121</v>
      </c>
      <c r="L1241" s="2" t="s">
        <v>2413</v>
      </c>
      <c r="M1241" t="s">
        <v>67</v>
      </c>
      <c r="N1241" t="s">
        <v>68</v>
      </c>
      <c r="P1241" s="23">
        <v>64.25</v>
      </c>
      <c r="Q1241" s="4">
        <f t="shared" si="19"/>
        <v>-100</v>
      </c>
      <c r="R1241" s="23" t="s">
        <v>109</v>
      </c>
    </row>
    <row r="1242" spans="1:18" x14ac:dyDescent="0.25">
      <c r="A1242" s="37">
        <v>45716</v>
      </c>
      <c r="B1242" s="1">
        <v>319132044</v>
      </c>
      <c r="C1242" t="s">
        <v>2414</v>
      </c>
      <c r="D1242" s="22">
        <v>-6425</v>
      </c>
      <c r="E1242" t="s">
        <v>35</v>
      </c>
      <c r="F1242" s="2">
        <v>212901001</v>
      </c>
      <c r="G1242" s="2" t="s">
        <v>121</v>
      </c>
      <c r="L1242" s="2" t="s">
        <v>2415</v>
      </c>
      <c r="M1242" t="s">
        <v>67</v>
      </c>
      <c r="N1242" t="s">
        <v>68</v>
      </c>
      <c r="P1242" s="23">
        <v>64.25</v>
      </c>
      <c r="Q1242" s="4">
        <f t="shared" si="19"/>
        <v>-100</v>
      </c>
      <c r="R1242" s="23" t="s">
        <v>109</v>
      </c>
    </row>
    <row r="1243" spans="1:18" x14ac:dyDescent="0.25">
      <c r="A1243" s="37">
        <v>45716</v>
      </c>
      <c r="B1243" s="1">
        <v>319132047</v>
      </c>
      <c r="C1243" t="s">
        <v>2416</v>
      </c>
      <c r="D1243" s="22">
        <v>-6425</v>
      </c>
      <c r="E1243" t="s">
        <v>35</v>
      </c>
      <c r="F1243" s="2">
        <v>212901001</v>
      </c>
      <c r="G1243" s="2" t="s">
        <v>121</v>
      </c>
      <c r="L1243" s="2" t="s">
        <v>2417</v>
      </c>
      <c r="M1243" t="s">
        <v>67</v>
      </c>
      <c r="N1243" t="s">
        <v>68</v>
      </c>
      <c r="P1243" s="23">
        <v>64.25</v>
      </c>
      <c r="Q1243" s="4">
        <f t="shared" si="19"/>
        <v>-100</v>
      </c>
      <c r="R1243" s="23" t="s">
        <v>109</v>
      </c>
    </row>
    <row r="1244" spans="1:18" x14ac:dyDescent="0.25">
      <c r="A1244" s="37">
        <v>45716</v>
      </c>
      <c r="B1244" s="1">
        <v>319132045</v>
      </c>
      <c r="C1244" t="s">
        <v>2418</v>
      </c>
      <c r="D1244" s="22">
        <v>-6425</v>
      </c>
      <c r="E1244" t="s">
        <v>35</v>
      </c>
      <c r="F1244" s="2">
        <v>212901001</v>
      </c>
      <c r="G1244" s="2" t="s">
        <v>121</v>
      </c>
      <c r="L1244" s="2" t="s">
        <v>2419</v>
      </c>
      <c r="M1244" t="s">
        <v>67</v>
      </c>
      <c r="N1244" t="s">
        <v>68</v>
      </c>
      <c r="P1244" s="23">
        <v>64.25</v>
      </c>
      <c r="Q1244" s="4">
        <f t="shared" si="19"/>
        <v>-100</v>
      </c>
      <c r="R1244" s="23" t="s">
        <v>109</v>
      </c>
    </row>
    <row r="1245" spans="1:18" x14ac:dyDescent="0.25">
      <c r="A1245" s="37">
        <v>45716</v>
      </c>
      <c r="B1245" s="1">
        <v>319132043</v>
      </c>
      <c r="C1245" t="s">
        <v>2420</v>
      </c>
      <c r="D1245" s="22">
        <v>-6425</v>
      </c>
      <c r="E1245" t="s">
        <v>35</v>
      </c>
      <c r="F1245" s="2">
        <v>212901001</v>
      </c>
      <c r="G1245" s="2" t="s">
        <v>121</v>
      </c>
      <c r="L1245" s="2" t="s">
        <v>2421</v>
      </c>
      <c r="M1245" t="s">
        <v>67</v>
      </c>
      <c r="N1245" t="s">
        <v>68</v>
      </c>
      <c r="P1245" s="23">
        <v>64.25</v>
      </c>
      <c r="Q1245" s="4">
        <f t="shared" si="19"/>
        <v>-100</v>
      </c>
      <c r="R1245" s="23" t="s">
        <v>109</v>
      </c>
    </row>
    <row r="1246" spans="1:18" x14ac:dyDescent="0.25">
      <c r="A1246" s="37">
        <v>45716</v>
      </c>
      <c r="B1246" s="1">
        <v>319132052</v>
      </c>
      <c r="C1246" t="s">
        <v>2422</v>
      </c>
      <c r="D1246" s="22">
        <v>-7710</v>
      </c>
      <c r="E1246" t="s">
        <v>35</v>
      </c>
      <c r="F1246" s="2">
        <v>212901001</v>
      </c>
      <c r="G1246" s="2" t="s">
        <v>121</v>
      </c>
      <c r="L1246" s="2" t="s">
        <v>2423</v>
      </c>
      <c r="M1246" t="s">
        <v>67</v>
      </c>
      <c r="N1246" t="s">
        <v>68</v>
      </c>
      <c r="P1246" s="23">
        <v>64.25</v>
      </c>
      <c r="Q1246" s="4">
        <f t="shared" si="19"/>
        <v>-120</v>
      </c>
      <c r="R1246" s="23" t="s">
        <v>109</v>
      </c>
    </row>
    <row r="1247" spans="1:18" x14ac:dyDescent="0.25">
      <c r="A1247" s="37">
        <v>45716</v>
      </c>
      <c r="B1247" s="1">
        <v>419132054</v>
      </c>
      <c r="C1247" t="s">
        <v>2424</v>
      </c>
      <c r="D1247" s="22">
        <v>-7710</v>
      </c>
      <c r="E1247" t="s">
        <v>35</v>
      </c>
      <c r="F1247" s="2">
        <v>212901001</v>
      </c>
      <c r="G1247" s="2" t="s">
        <v>121</v>
      </c>
      <c r="L1247" s="2" t="s">
        <v>2425</v>
      </c>
      <c r="M1247" t="s">
        <v>67</v>
      </c>
      <c r="N1247" t="s">
        <v>68</v>
      </c>
      <c r="P1247" s="23">
        <v>64.25</v>
      </c>
      <c r="Q1247" s="4">
        <f t="shared" si="19"/>
        <v>-120</v>
      </c>
      <c r="R1247" s="23" t="s">
        <v>109</v>
      </c>
    </row>
    <row r="1248" spans="1:18" x14ac:dyDescent="0.25">
      <c r="A1248" s="37">
        <v>45716</v>
      </c>
      <c r="B1248" s="1">
        <v>319132048</v>
      </c>
      <c r="C1248" t="s">
        <v>2426</v>
      </c>
      <c r="D1248" s="22">
        <v>-12207.5</v>
      </c>
      <c r="E1248" t="s">
        <v>35</v>
      </c>
      <c r="F1248" s="2">
        <v>212901001</v>
      </c>
      <c r="G1248" s="2" t="s">
        <v>121</v>
      </c>
      <c r="L1248" s="2" t="s">
        <v>2427</v>
      </c>
      <c r="M1248" t="s">
        <v>67</v>
      </c>
      <c r="N1248" t="s">
        <v>68</v>
      </c>
      <c r="P1248" s="23">
        <v>64.25</v>
      </c>
      <c r="Q1248" s="4">
        <f t="shared" si="19"/>
        <v>-190</v>
      </c>
      <c r="R1248" s="23" t="s">
        <v>109</v>
      </c>
    </row>
    <row r="1249" spans="1:18" x14ac:dyDescent="0.25">
      <c r="A1249" s="37">
        <v>45716</v>
      </c>
      <c r="B1249" s="1">
        <v>319132050</v>
      </c>
      <c r="C1249" t="s">
        <v>2428</v>
      </c>
      <c r="D1249" s="22">
        <v>-7710</v>
      </c>
      <c r="E1249" t="s">
        <v>35</v>
      </c>
      <c r="F1249" s="2">
        <v>212901001</v>
      </c>
      <c r="G1249" s="2" t="s">
        <v>121</v>
      </c>
      <c r="L1249" s="2" t="s">
        <v>2429</v>
      </c>
      <c r="M1249" t="s">
        <v>67</v>
      </c>
      <c r="N1249" t="s">
        <v>68</v>
      </c>
      <c r="P1249" s="23">
        <v>64.25</v>
      </c>
      <c r="Q1249" s="4">
        <f t="shared" si="19"/>
        <v>-120</v>
      </c>
      <c r="R1249" s="23" t="s">
        <v>109</v>
      </c>
    </row>
    <row r="1250" spans="1:18" x14ac:dyDescent="0.25">
      <c r="A1250" s="37">
        <v>45716</v>
      </c>
      <c r="B1250" s="1">
        <v>319132049</v>
      </c>
      <c r="C1250" t="s">
        <v>2430</v>
      </c>
      <c r="D1250" s="22">
        <v>-8995</v>
      </c>
      <c r="E1250" t="s">
        <v>35</v>
      </c>
      <c r="F1250" s="2">
        <v>212901001</v>
      </c>
      <c r="G1250" s="2" t="s">
        <v>121</v>
      </c>
      <c r="L1250" s="2" t="s">
        <v>2431</v>
      </c>
      <c r="M1250" t="s">
        <v>67</v>
      </c>
      <c r="N1250" t="s">
        <v>68</v>
      </c>
      <c r="P1250" s="23">
        <v>64.25</v>
      </c>
      <c r="Q1250" s="4">
        <f t="shared" si="19"/>
        <v>-140</v>
      </c>
      <c r="R1250" s="23" t="s">
        <v>109</v>
      </c>
    </row>
    <row r="1251" spans="1:18" x14ac:dyDescent="0.25">
      <c r="A1251" s="37">
        <v>45716</v>
      </c>
      <c r="B1251" s="1">
        <v>419132057</v>
      </c>
      <c r="C1251" t="s">
        <v>2432</v>
      </c>
      <c r="D1251" s="22">
        <v>-7710</v>
      </c>
      <c r="E1251" t="s">
        <v>35</v>
      </c>
      <c r="F1251" s="2">
        <v>212901001</v>
      </c>
      <c r="G1251" s="2" t="s">
        <v>121</v>
      </c>
      <c r="L1251" s="2" t="s">
        <v>2433</v>
      </c>
      <c r="M1251" t="s">
        <v>67</v>
      </c>
      <c r="N1251" t="s">
        <v>68</v>
      </c>
      <c r="P1251" s="23">
        <v>64.25</v>
      </c>
      <c r="Q1251" s="4">
        <f t="shared" si="19"/>
        <v>-120</v>
      </c>
      <c r="R1251" s="23" t="s">
        <v>109</v>
      </c>
    </row>
    <row r="1252" spans="1:18" x14ac:dyDescent="0.25">
      <c r="A1252" s="37">
        <v>45716</v>
      </c>
      <c r="B1252" s="1">
        <v>419132059</v>
      </c>
      <c r="C1252" t="s">
        <v>2434</v>
      </c>
      <c r="D1252" s="22">
        <v>-5268.5</v>
      </c>
      <c r="E1252" t="s">
        <v>35</v>
      </c>
      <c r="F1252" s="2">
        <v>212901001</v>
      </c>
      <c r="G1252" s="2" t="s">
        <v>121</v>
      </c>
      <c r="L1252" s="2" t="s">
        <v>2435</v>
      </c>
      <c r="M1252" t="s">
        <v>67</v>
      </c>
      <c r="N1252" t="s">
        <v>68</v>
      </c>
      <c r="P1252" s="23">
        <v>64.25</v>
      </c>
      <c r="Q1252" s="4">
        <f t="shared" si="19"/>
        <v>-82</v>
      </c>
      <c r="R1252" s="23" t="s">
        <v>109</v>
      </c>
    </row>
    <row r="1253" spans="1:18" x14ac:dyDescent="0.25">
      <c r="A1253" s="37">
        <v>45716</v>
      </c>
      <c r="B1253" s="1">
        <v>419132055</v>
      </c>
      <c r="C1253" t="s">
        <v>2436</v>
      </c>
      <c r="D1253" s="22">
        <v>-7710</v>
      </c>
      <c r="E1253" t="s">
        <v>35</v>
      </c>
      <c r="F1253" s="2">
        <v>212901001</v>
      </c>
      <c r="G1253" s="2" t="s">
        <v>121</v>
      </c>
      <c r="L1253" s="2" t="s">
        <v>2437</v>
      </c>
      <c r="M1253" t="s">
        <v>67</v>
      </c>
      <c r="N1253" t="s">
        <v>68</v>
      </c>
      <c r="P1253" s="23">
        <v>64.25</v>
      </c>
      <c r="Q1253" s="4">
        <f t="shared" si="19"/>
        <v>-120</v>
      </c>
      <c r="R1253" s="23" t="s">
        <v>109</v>
      </c>
    </row>
    <row r="1254" spans="1:18" x14ac:dyDescent="0.25">
      <c r="A1254" s="37">
        <v>45716</v>
      </c>
      <c r="B1254" s="1">
        <v>419132063</v>
      </c>
      <c r="C1254" t="s">
        <v>2438</v>
      </c>
      <c r="D1254" s="22">
        <v>-5782.5</v>
      </c>
      <c r="E1254" t="s">
        <v>35</v>
      </c>
      <c r="F1254" s="2">
        <v>212901001</v>
      </c>
      <c r="G1254" s="2" t="s">
        <v>121</v>
      </c>
      <c r="L1254" s="2" t="s">
        <v>2439</v>
      </c>
      <c r="M1254" t="s">
        <v>67</v>
      </c>
      <c r="N1254" t="s">
        <v>68</v>
      </c>
      <c r="P1254" s="23">
        <v>64.25</v>
      </c>
      <c r="Q1254" s="4">
        <f t="shared" si="19"/>
        <v>-90</v>
      </c>
      <c r="R1254" s="23" t="s">
        <v>109</v>
      </c>
    </row>
    <row r="1255" spans="1:18" x14ac:dyDescent="0.25">
      <c r="A1255" s="37">
        <v>45716</v>
      </c>
      <c r="B1255" s="1">
        <v>419132064</v>
      </c>
      <c r="C1255" t="s">
        <v>2440</v>
      </c>
      <c r="D1255" s="22">
        <v>-5268.5</v>
      </c>
      <c r="E1255" t="s">
        <v>35</v>
      </c>
      <c r="F1255" s="2">
        <v>212901001</v>
      </c>
      <c r="G1255" s="2" t="s">
        <v>121</v>
      </c>
      <c r="L1255" s="2" t="s">
        <v>2441</v>
      </c>
      <c r="M1255" t="s">
        <v>67</v>
      </c>
      <c r="N1255" t="s">
        <v>68</v>
      </c>
      <c r="P1255" s="23">
        <v>64.25</v>
      </c>
      <c r="Q1255" s="4">
        <f t="shared" si="19"/>
        <v>-82</v>
      </c>
      <c r="R1255" s="23" t="s">
        <v>109</v>
      </c>
    </row>
    <row r="1256" spans="1:18" x14ac:dyDescent="0.25">
      <c r="A1256" s="37">
        <v>45716</v>
      </c>
      <c r="B1256" s="1">
        <v>419132060</v>
      </c>
      <c r="C1256" t="s">
        <v>2442</v>
      </c>
      <c r="D1256" s="22">
        <v>-5782.5</v>
      </c>
      <c r="E1256" t="s">
        <v>35</v>
      </c>
      <c r="F1256" s="2">
        <v>212901001</v>
      </c>
      <c r="G1256" s="2" t="s">
        <v>121</v>
      </c>
      <c r="L1256" s="2" t="s">
        <v>2443</v>
      </c>
      <c r="M1256" t="s">
        <v>67</v>
      </c>
      <c r="N1256" t="s">
        <v>68</v>
      </c>
      <c r="P1256" s="23">
        <v>64.25</v>
      </c>
      <c r="Q1256" s="4">
        <f t="shared" si="19"/>
        <v>-90</v>
      </c>
      <c r="R1256" s="23" t="s">
        <v>109</v>
      </c>
    </row>
    <row r="1257" spans="1:18" x14ac:dyDescent="0.25">
      <c r="A1257" s="37">
        <v>45716</v>
      </c>
      <c r="B1257" s="1">
        <v>419132065</v>
      </c>
      <c r="C1257" t="s">
        <v>2444</v>
      </c>
      <c r="D1257" s="22">
        <v>-5782.5</v>
      </c>
      <c r="E1257" t="s">
        <v>35</v>
      </c>
      <c r="F1257" s="2">
        <v>212901001</v>
      </c>
      <c r="G1257" s="2" t="s">
        <v>121</v>
      </c>
      <c r="L1257" s="2" t="s">
        <v>2445</v>
      </c>
      <c r="M1257" t="s">
        <v>67</v>
      </c>
      <c r="N1257" t="s">
        <v>68</v>
      </c>
      <c r="P1257" s="23">
        <v>64.25</v>
      </c>
      <c r="Q1257" s="4">
        <f t="shared" si="19"/>
        <v>-90</v>
      </c>
      <c r="R1257" s="23" t="s">
        <v>109</v>
      </c>
    </row>
    <row r="1258" spans="1:18" x14ac:dyDescent="0.25">
      <c r="A1258" s="37">
        <v>45716</v>
      </c>
      <c r="B1258" s="1">
        <v>419132053</v>
      </c>
      <c r="C1258" t="s">
        <v>2446</v>
      </c>
      <c r="D1258" s="22">
        <v>-7710</v>
      </c>
      <c r="E1258" t="s">
        <v>35</v>
      </c>
      <c r="F1258" s="2">
        <v>212901001</v>
      </c>
      <c r="G1258" s="2" t="s">
        <v>121</v>
      </c>
      <c r="L1258" s="2" t="s">
        <v>2447</v>
      </c>
      <c r="M1258" t="s">
        <v>67</v>
      </c>
      <c r="N1258" t="s">
        <v>68</v>
      </c>
      <c r="P1258" s="23">
        <v>64.25</v>
      </c>
      <c r="Q1258" s="4">
        <f t="shared" si="19"/>
        <v>-120</v>
      </c>
      <c r="R1258" s="23" t="s">
        <v>109</v>
      </c>
    </row>
    <row r="1259" spans="1:18" x14ac:dyDescent="0.25">
      <c r="A1259" s="37">
        <v>45716</v>
      </c>
      <c r="B1259" s="1">
        <v>519132067</v>
      </c>
      <c r="C1259" t="s">
        <v>2448</v>
      </c>
      <c r="D1259" s="22">
        <v>-5140</v>
      </c>
      <c r="E1259" t="s">
        <v>35</v>
      </c>
      <c r="F1259" s="2">
        <v>212901001</v>
      </c>
      <c r="G1259" s="2" t="s">
        <v>121</v>
      </c>
      <c r="L1259" s="2" t="s">
        <v>2449</v>
      </c>
      <c r="M1259" t="s">
        <v>67</v>
      </c>
      <c r="N1259" t="s">
        <v>68</v>
      </c>
      <c r="P1259" s="23">
        <v>64.25</v>
      </c>
      <c r="Q1259" s="4">
        <f t="shared" si="19"/>
        <v>-80</v>
      </c>
      <c r="R1259" s="23" t="s">
        <v>109</v>
      </c>
    </row>
    <row r="1260" spans="1:18" x14ac:dyDescent="0.25">
      <c r="A1260" s="37">
        <v>45716</v>
      </c>
      <c r="B1260" s="1">
        <v>419132062</v>
      </c>
      <c r="C1260" t="s">
        <v>2450</v>
      </c>
      <c r="D1260" s="22">
        <v>-5782.5</v>
      </c>
      <c r="E1260" t="s">
        <v>35</v>
      </c>
      <c r="F1260" s="2">
        <v>212901001</v>
      </c>
      <c r="G1260" s="2" t="s">
        <v>121</v>
      </c>
      <c r="L1260" s="2" t="s">
        <v>2451</v>
      </c>
      <c r="M1260" t="s">
        <v>67</v>
      </c>
      <c r="N1260" t="s">
        <v>68</v>
      </c>
      <c r="P1260" s="23">
        <v>64.25</v>
      </c>
      <c r="Q1260" s="4">
        <f t="shared" si="19"/>
        <v>-90</v>
      </c>
      <c r="R1260" s="23" t="s">
        <v>109</v>
      </c>
    </row>
    <row r="1261" spans="1:18" x14ac:dyDescent="0.25">
      <c r="A1261" s="37">
        <v>45716</v>
      </c>
      <c r="B1261" s="1">
        <v>519132066</v>
      </c>
      <c r="C1261" t="s">
        <v>2452</v>
      </c>
      <c r="D1261" s="22">
        <v>-5140</v>
      </c>
      <c r="E1261" t="s">
        <v>35</v>
      </c>
      <c r="F1261" s="2">
        <v>212901001</v>
      </c>
      <c r="G1261" s="2" t="s">
        <v>121</v>
      </c>
      <c r="L1261" s="2" t="s">
        <v>2453</v>
      </c>
      <c r="M1261" t="s">
        <v>67</v>
      </c>
      <c r="N1261" t="s">
        <v>68</v>
      </c>
      <c r="P1261" s="23">
        <v>64.25</v>
      </c>
      <c r="Q1261" s="4">
        <f t="shared" si="19"/>
        <v>-80</v>
      </c>
      <c r="R1261" s="23" t="s">
        <v>109</v>
      </c>
    </row>
    <row r="1262" spans="1:18" x14ac:dyDescent="0.25">
      <c r="A1262" s="37">
        <v>45716</v>
      </c>
      <c r="B1262" s="1">
        <v>519132070</v>
      </c>
      <c r="C1262" t="s">
        <v>2454</v>
      </c>
      <c r="D1262" s="22">
        <v>-5140</v>
      </c>
      <c r="E1262" t="s">
        <v>35</v>
      </c>
      <c r="F1262" s="2">
        <v>212901001</v>
      </c>
      <c r="G1262" s="2" t="s">
        <v>121</v>
      </c>
      <c r="L1262" s="2" t="s">
        <v>2455</v>
      </c>
      <c r="M1262" t="s">
        <v>67</v>
      </c>
      <c r="N1262" t="s">
        <v>68</v>
      </c>
      <c r="P1262" s="23">
        <v>64.25</v>
      </c>
      <c r="Q1262" s="4">
        <f t="shared" si="19"/>
        <v>-80</v>
      </c>
      <c r="R1262" s="23" t="s">
        <v>109</v>
      </c>
    </row>
    <row r="1263" spans="1:18" x14ac:dyDescent="0.25">
      <c r="A1263" s="37">
        <v>45716</v>
      </c>
      <c r="B1263" s="1">
        <v>519132069</v>
      </c>
      <c r="C1263" t="s">
        <v>2456</v>
      </c>
      <c r="D1263" s="22">
        <v>-5140</v>
      </c>
      <c r="E1263" t="s">
        <v>35</v>
      </c>
      <c r="F1263" s="2">
        <v>212901001</v>
      </c>
      <c r="G1263" s="2" t="s">
        <v>121</v>
      </c>
      <c r="L1263" s="2" t="s">
        <v>2457</v>
      </c>
      <c r="M1263" t="s">
        <v>67</v>
      </c>
      <c r="N1263" t="s">
        <v>68</v>
      </c>
      <c r="P1263" s="23">
        <v>64.25</v>
      </c>
      <c r="Q1263" s="4">
        <f t="shared" si="19"/>
        <v>-80</v>
      </c>
      <c r="R1263" s="23" t="s">
        <v>109</v>
      </c>
    </row>
    <row r="1264" spans="1:18" x14ac:dyDescent="0.25">
      <c r="A1264" s="37">
        <v>45716</v>
      </c>
      <c r="B1264" s="1">
        <v>519132073</v>
      </c>
      <c r="C1264" t="s">
        <v>2458</v>
      </c>
      <c r="D1264" s="22">
        <v>-5140</v>
      </c>
      <c r="E1264" t="s">
        <v>35</v>
      </c>
      <c r="F1264" s="2">
        <v>212901001</v>
      </c>
      <c r="G1264" s="2" t="s">
        <v>121</v>
      </c>
      <c r="L1264" s="2" t="s">
        <v>2459</v>
      </c>
      <c r="M1264" t="s">
        <v>67</v>
      </c>
      <c r="N1264" t="s">
        <v>68</v>
      </c>
      <c r="P1264" s="23">
        <v>64.25</v>
      </c>
      <c r="Q1264" s="4">
        <f t="shared" si="19"/>
        <v>-80</v>
      </c>
      <c r="R1264" s="23" t="s">
        <v>109</v>
      </c>
    </row>
    <row r="1265" spans="1:18" x14ac:dyDescent="0.25">
      <c r="A1265" s="37">
        <v>45716</v>
      </c>
      <c r="B1265" s="1">
        <v>519132072</v>
      </c>
      <c r="C1265" t="s">
        <v>2460</v>
      </c>
      <c r="D1265" s="22">
        <v>-5140</v>
      </c>
      <c r="E1265" t="s">
        <v>35</v>
      </c>
      <c r="F1265" s="2">
        <v>212901001</v>
      </c>
      <c r="G1265" s="2" t="s">
        <v>121</v>
      </c>
      <c r="L1265" s="2" t="s">
        <v>2461</v>
      </c>
      <c r="M1265" t="s">
        <v>67</v>
      </c>
      <c r="N1265" t="s">
        <v>68</v>
      </c>
      <c r="P1265" s="23">
        <v>64.25</v>
      </c>
      <c r="Q1265" s="4">
        <f t="shared" si="19"/>
        <v>-80</v>
      </c>
      <c r="R1265" s="23" t="s">
        <v>109</v>
      </c>
    </row>
    <row r="1266" spans="1:18" x14ac:dyDescent="0.25">
      <c r="A1266" s="37">
        <v>45716</v>
      </c>
      <c r="B1266" s="1">
        <v>519132074</v>
      </c>
      <c r="C1266" t="s">
        <v>2462</v>
      </c>
      <c r="D1266" s="22">
        <v>-6425</v>
      </c>
      <c r="E1266" t="s">
        <v>35</v>
      </c>
      <c r="F1266" s="2">
        <v>212901001</v>
      </c>
      <c r="G1266" s="2" t="s">
        <v>121</v>
      </c>
      <c r="L1266" s="2" t="s">
        <v>2463</v>
      </c>
      <c r="M1266" t="s">
        <v>67</v>
      </c>
      <c r="N1266" t="s">
        <v>68</v>
      </c>
      <c r="P1266" s="23">
        <v>64.25</v>
      </c>
      <c r="Q1266" s="4">
        <f t="shared" si="19"/>
        <v>-100</v>
      </c>
      <c r="R1266" s="23" t="s">
        <v>109</v>
      </c>
    </row>
    <row r="1267" spans="1:18" x14ac:dyDescent="0.25">
      <c r="A1267" s="37">
        <v>45716</v>
      </c>
      <c r="B1267" s="1">
        <v>519132076</v>
      </c>
      <c r="C1267" t="s">
        <v>2464</v>
      </c>
      <c r="D1267" s="22">
        <v>-12207.5</v>
      </c>
      <c r="E1267" t="s">
        <v>35</v>
      </c>
      <c r="F1267" s="2">
        <v>212901001</v>
      </c>
      <c r="G1267" s="2" t="s">
        <v>121</v>
      </c>
      <c r="L1267" s="2" t="s">
        <v>2465</v>
      </c>
      <c r="M1267" t="s">
        <v>67</v>
      </c>
      <c r="N1267" t="s">
        <v>68</v>
      </c>
      <c r="P1267" s="23">
        <v>64.25</v>
      </c>
      <c r="Q1267" s="4">
        <f t="shared" si="19"/>
        <v>-190</v>
      </c>
      <c r="R1267" s="23" t="s">
        <v>109</v>
      </c>
    </row>
    <row r="1268" spans="1:18" x14ac:dyDescent="0.25">
      <c r="A1268" s="37">
        <v>45716</v>
      </c>
      <c r="B1268" s="1">
        <v>519132077</v>
      </c>
      <c r="C1268" t="s">
        <v>2466</v>
      </c>
      <c r="D1268" s="22">
        <v>-4497.5</v>
      </c>
      <c r="E1268" t="s">
        <v>35</v>
      </c>
      <c r="F1268" s="2">
        <v>212901001</v>
      </c>
      <c r="G1268" s="2" t="s">
        <v>121</v>
      </c>
      <c r="L1268" s="2" t="s">
        <v>2467</v>
      </c>
      <c r="M1268" t="s">
        <v>67</v>
      </c>
      <c r="N1268" t="s">
        <v>68</v>
      </c>
      <c r="P1268" s="23">
        <v>64.25</v>
      </c>
      <c r="Q1268" s="4">
        <f t="shared" si="19"/>
        <v>-70</v>
      </c>
      <c r="R1268" s="23" t="s">
        <v>109</v>
      </c>
    </row>
    <row r="1269" spans="1:18" x14ac:dyDescent="0.25">
      <c r="A1269" s="37">
        <v>45716</v>
      </c>
      <c r="B1269" s="1">
        <v>519132075</v>
      </c>
      <c r="C1269" t="s">
        <v>2468</v>
      </c>
      <c r="D1269" s="22">
        <v>-8995</v>
      </c>
      <c r="E1269" t="s">
        <v>35</v>
      </c>
      <c r="F1269" s="2">
        <v>212901001</v>
      </c>
      <c r="G1269" s="2" t="s">
        <v>121</v>
      </c>
      <c r="L1269" s="2" t="s">
        <v>2469</v>
      </c>
      <c r="M1269" t="s">
        <v>67</v>
      </c>
      <c r="N1269" t="s">
        <v>68</v>
      </c>
      <c r="P1269" s="23">
        <v>64.25</v>
      </c>
      <c r="Q1269" s="4">
        <f t="shared" si="19"/>
        <v>-140</v>
      </c>
      <c r="R1269" s="23" t="s">
        <v>109</v>
      </c>
    </row>
    <row r="1270" spans="1:18" x14ac:dyDescent="0.25">
      <c r="A1270" s="37">
        <v>45716</v>
      </c>
      <c r="B1270" s="1">
        <v>619132080</v>
      </c>
      <c r="C1270" t="s">
        <v>2470</v>
      </c>
      <c r="D1270" s="22">
        <v>-8995</v>
      </c>
      <c r="E1270" t="s">
        <v>35</v>
      </c>
      <c r="F1270" s="2">
        <v>212901001</v>
      </c>
      <c r="G1270" s="2" t="s">
        <v>121</v>
      </c>
      <c r="L1270" s="2" t="s">
        <v>2471</v>
      </c>
      <c r="M1270" t="s">
        <v>67</v>
      </c>
      <c r="N1270" t="s">
        <v>68</v>
      </c>
      <c r="P1270" s="23">
        <v>64.25</v>
      </c>
      <c r="Q1270" s="4">
        <f t="shared" si="19"/>
        <v>-140</v>
      </c>
      <c r="R1270" s="23" t="s">
        <v>109</v>
      </c>
    </row>
    <row r="1271" spans="1:18" x14ac:dyDescent="0.25">
      <c r="A1271" s="37">
        <v>45716</v>
      </c>
      <c r="B1271" s="1">
        <v>619132081</v>
      </c>
      <c r="C1271" t="s">
        <v>2472</v>
      </c>
      <c r="D1271" s="22">
        <v>-963.75</v>
      </c>
      <c r="E1271" t="s">
        <v>35</v>
      </c>
      <c r="F1271" s="2">
        <v>212901001</v>
      </c>
      <c r="G1271" s="2" t="s">
        <v>121</v>
      </c>
      <c r="L1271" s="2" t="s">
        <v>2473</v>
      </c>
      <c r="M1271" t="s">
        <v>67</v>
      </c>
      <c r="N1271" t="s">
        <v>68</v>
      </c>
      <c r="P1271" s="23">
        <v>64.25</v>
      </c>
      <c r="Q1271" s="4">
        <f t="shared" si="19"/>
        <v>-15</v>
      </c>
      <c r="R1271" s="23" t="s">
        <v>109</v>
      </c>
    </row>
    <row r="1272" spans="1:18" x14ac:dyDescent="0.25">
      <c r="A1272" s="37">
        <v>45716</v>
      </c>
      <c r="B1272" s="1">
        <v>519132071</v>
      </c>
      <c r="C1272" t="s">
        <v>2474</v>
      </c>
      <c r="D1272" s="22">
        <v>-5140</v>
      </c>
      <c r="E1272" t="s">
        <v>35</v>
      </c>
      <c r="F1272" s="2">
        <v>212901001</v>
      </c>
      <c r="G1272" s="2" t="s">
        <v>121</v>
      </c>
      <c r="L1272" s="2" t="s">
        <v>2475</v>
      </c>
      <c r="M1272" t="s">
        <v>67</v>
      </c>
      <c r="N1272" t="s">
        <v>68</v>
      </c>
      <c r="P1272" s="23">
        <v>64.25</v>
      </c>
      <c r="Q1272" s="4">
        <f t="shared" si="19"/>
        <v>-80</v>
      </c>
      <c r="R1272" s="23" t="s">
        <v>109</v>
      </c>
    </row>
    <row r="1273" spans="1:18" x14ac:dyDescent="0.25">
      <c r="A1273" s="37">
        <v>45716</v>
      </c>
      <c r="B1273" s="1">
        <v>619132078</v>
      </c>
      <c r="C1273" t="s">
        <v>2476</v>
      </c>
      <c r="D1273" s="22">
        <v>-9637.5</v>
      </c>
      <c r="E1273" t="s">
        <v>35</v>
      </c>
      <c r="F1273" s="2">
        <v>212901001</v>
      </c>
      <c r="G1273" s="2" t="s">
        <v>121</v>
      </c>
      <c r="L1273" s="2" t="s">
        <v>2477</v>
      </c>
      <c r="M1273" t="s">
        <v>67</v>
      </c>
      <c r="N1273" t="s">
        <v>68</v>
      </c>
      <c r="P1273" s="23">
        <v>64.25</v>
      </c>
      <c r="Q1273" s="4">
        <f t="shared" si="19"/>
        <v>-150</v>
      </c>
      <c r="R1273" s="23" t="s">
        <v>109</v>
      </c>
    </row>
    <row r="1274" spans="1:18" x14ac:dyDescent="0.25">
      <c r="A1274" s="37">
        <v>45716</v>
      </c>
      <c r="B1274" s="1">
        <v>619132079</v>
      </c>
      <c r="C1274" t="s">
        <v>2478</v>
      </c>
      <c r="D1274" s="22">
        <v>-7710</v>
      </c>
      <c r="E1274" t="s">
        <v>35</v>
      </c>
      <c r="F1274" s="2">
        <v>212901001</v>
      </c>
      <c r="G1274" s="2" t="s">
        <v>121</v>
      </c>
      <c r="L1274" s="2" t="s">
        <v>2479</v>
      </c>
      <c r="M1274" t="s">
        <v>67</v>
      </c>
      <c r="N1274" t="s">
        <v>68</v>
      </c>
      <c r="P1274" s="23">
        <v>64.25</v>
      </c>
      <c r="Q1274" s="4">
        <f t="shared" si="19"/>
        <v>-120</v>
      </c>
      <c r="R1274" s="23" t="s">
        <v>109</v>
      </c>
    </row>
    <row r="1275" spans="1:18" x14ac:dyDescent="0.25">
      <c r="A1275" s="37">
        <v>45716</v>
      </c>
      <c r="B1275" s="1">
        <v>619132083</v>
      </c>
      <c r="C1275" t="s">
        <v>2480</v>
      </c>
      <c r="D1275" s="22">
        <v>-7067.5</v>
      </c>
      <c r="E1275" t="s">
        <v>35</v>
      </c>
      <c r="F1275" s="2">
        <v>212901001</v>
      </c>
      <c r="G1275" s="2" t="s">
        <v>121</v>
      </c>
      <c r="L1275" s="2" t="s">
        <v>2481</v>
      </c>
      <c r="M1275" t="s">
        <v>67</v>
      </c>
      <c r="N1275" t="s">
        <v>68</v>
      </c>
      <c r="P1275" s="23">
        <v>64.25</v>
      </c>
      <c r="Q1275" s="4">
        <f t="shared" si="19"/>
        <v>-110</v>
      </c>
      <c r="R1275" s="23" t="s">
        <v>109</v>
      </c>
    </row>
    <row r="1276" spans="1:18" x14ac:dyDescent="0.25">
      <c r="A1276" s="37">
        <v>45716</v>
      </c>
      <c r="B1276" s="1">
        <v>619132082</v>
      </c>
      <c r="C1276" t="s">
        <v>2482</v>
      </c>
      <c r="D1276" s="22">
        <v>-7067.5</v>
      </c>
      <c r="E1276" t="s">
        <v>35</v>
      </c>
      <c r="F1276" s="2">
        <v>212901001</v>
      </c>
      <c r="G1276" s="2" t="s">
        <v>121</v>
      </c>
      <c r="L1276" s="2" t="s">
        <v>2483</v>
      </c>
      <c r="M1276" t="s">
        <v>67</v>
      </c>
      <c r="N1276" t="s">
        <v>68</v>
      </c>
      <c r="P1276" s="23">
        <v>64.25</v>
      </c>
      <c r="Q1276" s="4">
        <f t="shared" si="19"/>
        <v>-110</v>
      </c>
      <c r="R1276" s="23" t="s">
        <v>109</v>
      </c>
    </row>
    <row r="1277" spans="1:18" x14ac:dyDescent="0.25">
      <c r="A1277" s="37">
        <v>45716</v>
      </c>
      <c r="B1277" s="1">
        <v>619132085</v>
      </c>
      <c r="C1277" t="s">
        <v>2484</v>
      </c>
      <c r="D1277" s="22">
        <v>-5782.5</v>
      </c>
      <c r="E1277" t="s">
        <v>35</v>
      </c>
      <c r="F1277" s="2">
        <v>212901001</v>
      </c>
      <c r="G1277" s="2" t="s">
        <v>121</v>
      </c>
      <c r="L1277" s="2" t="s">
        <v>2485</v>
      </c>
      <c r="M1277" t="s">
        <v>67</v>
      </c>
      <c r="N1277" t="s">
        <v>68</v>
      </c>
      <c r="P1277" s="23">
        <v>64.25</v>
      </c>
      <c r="Q1277" s="4">
        <f t="shared" si="19"/>
        <v>-90</v>
      </c>
      <c r="R1277" s="23" t="s">
        <v>109</v>
      </c>
    </row>
    <row r="1278" spans="1:18" x14ac:dyDescent="0.25">
      <c r="A1278" s="37">
        <v>45716</v>
      </c>
      <c r="B1278" s="1">
        <v>619132086</v>
      </c>
      <c r="C1278" t="s">
        <v>2486</v>
      </c>
      <c r="D1278" s="22">
        <v>-5782.5</v>
      </c>
      <c r="E1278" t="s">
        <v>35</v>
      </c>
      <c r="F1278" s="2">
        <v>212901001</v>
      </c>
      <c r="G1278" s="2" t="s">
        <v>121</v>
      </c>
      <c r="L1278" s="2" t="s">
        <v>2487</v>
      </c>
      <c r="M1278" t="s">
        <v>67</v>
      </c>
      <c r="N1278" t="s">
        <v>68</v>
      </c>
      <c r="P1278" s="23">
        <v>64.25</v>
      </c>
      <c r="Q1278" s="4">
        <f t="shared" si="19"/>
        <v>-90</v>
      </c>
      <c r="R1278" s="23" t="s">
        <v>109</v>
      </c>
    </row>
    <row r="1279" spans="1:18" x14ac:dyDescent="0.25">
      <c r="A1279" s="37">
        <v>45716</v>
      </c>
      <c r="B1279" s="1">
        <v>619132084</v>
      </c>
      <c r="C1279" t="s">
        <v>2488</v>
      </c>
      <c r="D1279" s="22">
        <v>-7067.5</v>
      </c>
      <c r="E1279" t="s">
        <v>35</v>
      </c>
      <c r="F1279" s="2">
        <v>212901001</v>
      </c>
      <c r="G1279" s="2" t="s">
        <v>121</v>
      </c>
      <c r="L1279" s="2" t="s">
        <v>2489</v>
      </c>
      <c r="M1279" t="s">
        <v>67</v>
      </c>
      <c r="N1279" t="s">
        <v>68</v>
      </c>
      <c r="P1279" s="23">
        <v>64.25</v>
      </c>
      <c r="Q1279" s="4">
        <f t="shared" si="19"/>
        <v>-110</v>
      </c>
      <c r="R1279" s="23" t="s">
        <v>109</v>
      </c>
    </row>
    <row r="1280" spans="1:18" x14ac:dyDescent="0.25">
      <c r="A1280" s="37">
        <v>45716</v>
      </c>
      <c r="B1280" s="1">
        <v>619132087</v>
      </c>
      <c r="C1280" t="s">
        <v>2490</v>
      </c>
      <c r="D1280" s="22">
        <v>-5782.5</v>
      </c>
      <c r="E1280" t="s">
        <v>35</v>
      </c>
      <c r="F1280" s="2">
        <v>212901001</v>
      </c>
      <c r="G1280" s="2" t="s">
        <v>121</v>
      </c>
      <c r="L1280" s="2" t="s">
        <v>2491</v>
      </c>
      <c r="M1280" t="s">
        <v>67</v>
      </c>
      <c r="N1280" t="s">
        <v>68</v>
      </c>
      <c r="P1280" s="23">
        <v>64.25</v>
      </c>
      <c r="Q1280" s="4">
        <f t="shared" si="19"/>
        <v>-90</v>
      </c>
      <c r="R1280" s="23" t="s">
        <v>109</v>
      </c>
    </row>
    <row r="1281" spans="1:18" x14ac:dyDescent="0.25">
      <c r="A1281" s="37">
        <v>45716</v>
      </c>
      <c r="B1281" s="1">
        <v>719132089</v>
      </c>
      <c r="C1281" t="s">
        <v>2492</v>
      </c>
      <c r="D1281" s="22">
        <v>-5782.5</v>
      </c>
      <c r="E1281" t="s">
        <v>35</v>
      </c>
      <c r="F1281" s="2">
        <v>212901001</v>
      </c>
      <c r="G1281" s="2" t="s">
        <v>121</v>
      </c>
      <c r="L1281" s="2" t="s">
        <v>2493</v>
      </c>
      <c r="M1281" t="s">
        <v>67</v>
      </c>
      <c r="N1281" t="s">
        <v>68</v>
      </c>
      <c r="P1281" s="23">
        <v>64.25</v>
      </c>
      <c r="Q1281" s="4">
        <f t="shared" si="19"/>
        <v>-90</v>
      </c>
      <c r="R1281" s="23" t="s">
        <v>109</v>
      </c>
    </row>
    <row r="1282" spans="1:18" x14ac:dyDescent="0.25">
      <c r="A1282" s="37">
        <v>45716</v>
      </c>
      <c r="B1282" s="1">
        <v>719132090</v>
      </c>
      <c r="C1282" t="s">
        <v>2494</v>
      </c>
      <c r="D1282" s="22">
        <v>-5782.5</v>
      </c>
      <c r="E1282" t="s">
        <v>35</v>
      </c>
      <c r="F1282" s="2">
        <v>212901001</v>
      </c>
      <c r="G1282" s="2" t="s">
        <v>121</v>
      </c>
      <c r="L1282" s="2" t="s">
        <v>2495</v>
      </c>
      <c r="M1282" t="s">
        <v>67</v>
      </c>
      <c r="N1282" t="s">
        <v>68</v>
      </c>
      <c r="P1282" s="23">
        <v>64.25</v>
      </c>
      <c r="Q1282" s="4">
        <f t="shared" si="19"/>
        <v>-90</v>
      </c>
      <c r="R1282" s="23" t="s">
        <v>109</v>
      </c>
    </row>
    <row r="1283" spans="1:18" x14ac:dyDescent="0.25">
      <c r="A1283" s="37">
        <v>45716</v>
      </c>
      <c r="B1283" s="1">
        <v>719132088</v>
      </c>
      <c r="C1283" t="s">
        <v>2496</v>
      </c>
      <c r="D1283" s="22">
        <v>-5782.5</v>
      </c>
      <c r="E1283" t="s">
        <v>35</v>
      </c>
      <c r="F1283" s="2">
        <v>212901001</v>
      </c>
      <c r="G1283" s="2" t="s">
        <v>121</v>
      </c>
      <c r="L1283" s="2" t="s">
        <v>2497</v>
      </c>
      <c r="M1283" t="s">
        <v>67</v>
      </c>
      <c r="N1283" t="s">
        <v>68</v>
      </c>
      <c r="P1283" s="23">
        <v>64.25</v>
      </c>
      <c r="Q1283" s="4">
        <f t="shared" si="19"/>
        <v>-90</v>
      </c>
      <c r="R1283" s="23" t="s">
        <v>109</v>
      </c>
    </row>
    <row r="1284" spans="1:18" x14ac:dyDescent="0.25">
      <c r="A1284" s="37">
        <v>45716</v>
      </c>
      <c r="B1284" s="1">
        <v>719132092</v>
      </c>
      <c r="C1284" t="s">
        <v>2486</v>
      </c>
      <c r="D1284" s="22">
        <v>-5782.5</v>
      </c>
      <c r="E1284" t="s">
        <v>35</v>
      </c>
      <c r="F1284" s="2">
        <v>212901001</v>
      </c>
      <c r="G1284" s="2" t="s">
        <v>121</v>
      </c>
      <c r="L1284" s="2" t="s">
        <v>2498</v>
      </c>
      <c r="M1284" t="s">
        <v>67</v>
      </c>
      <c r="N1284" t="s">
        <v>68</v>
      </c>
      <c r="P1284" s="23">
        <v>64.25</v>
      </c>
      <c r="Q1284" s="4">
        <f t="shared" si="19"/>
        <v>-90</v>
      </c>
      <c r="R1284" s="23" t="s">
        <v>109</v>
      </c>
    </row>
    <row r="1285" spans="1:18" x14ac:dyDescent="0.25">
      <c r="A1285" s="37">
        <v>45716</v>
      </c>
      <c r="B1285" s="1">
        <v>719132096</v>
      </c>
      <c r="C1285" t="s">
        <v>2499</v>
      </c>
      <c r="D1285" s="22">
        <v>-5782.5</v>
      </c>
      <c r="E1285" t="s">
        <v>35</v>
      </c>
      <c r="F1285" s="2">
        <v>212901001</v>
      </c>
      <c r="G1285" s="2" t="s">
        <v>121</v>
      </c>
      <c r="L1285" s="2" t="s">
        <v>2500</v>
      </c>
      <c r="M1285" t="s">
        <v>67</v>
      </c>
      <c r="N1285" t="s">
        <v>68</v>
      </c>
      <c r="P1285" s="23">
        <v>64.25</v>
      </c>
      <c r="Q1285" s="4">
        <f t="shared" si="19"/>
        <v>-90</v>
      </c>
      <c r="R1285" s="23" t="s">
        <v>109</v>
      </c>
    </row>
    <row r="1286" spans="1:18" x14ac:dyDescent="0.25">
      <c r="A1286" s="37">
        <v>45716</v>
      </c>
      <c r="B1286" s="1">
        <v>719132093</v>
      </c>
      <c r="C1286" t="s">
        <v>2501</v>
      </c>
      <c r="D1286" s="22">
        <v>-5782.5</v>
      </c>
      <c r="E1286" t="s">
        <v>35</v>
      </c>
      <c r="F1286" s="2">
        <v>212901001</v>
      </c>
      <c r="G1286" s="2" t="s">
        <v>121</v>
      </c>
      <c r="L1286" s="2" t="s">
        <v>2502</v>
      </c>
      <c r="M1286" t="s">
        <v>67</v>
      </c>
      <c r="N1286" t="s">
        <v>68</v>
      </c>
      <c r="P1286" s="23">
        <v>64.25</v>
      </c>
      <c r="Q1286" s="4">
        <f t="shared" si="19"/>
        <v>-90</v>
      </c>
      <c r="R1286" s="23" t="s">
        <v>109</v>
      </c>
    </row>
    <row r="1287" spans="1:18" x14ac:dyDescent="0.25">
      <c r="A1287" s="37">
        <v>45716</v>
      </c>
      <c r="B1287" s="1">
        <v>719132094</v>
      </c>
      <c r="C1287" t="s">
        <v>2503</v>
      </c>
      <c r="D1287" s="22">
        <v>-5782.5</v>
      </c>
      <c r="E1287" t="s">
        <v>35</v>
      </c>
      <c r="F1287" s="2">
        <v>212901001</v>
      </c>
      <c r="G1287" s="2" t="s">
        <v>121</v>
      </c>
      <c r="L1287" s="2" t="s">
        <v>2504</v>
      </c>
      <c r="M1287" t="s">
        <v>67</v>
      </c>
      <c r="N1287" t="s">
        <v>68</v>
      </c>
      <c r="P1287" s="23">
        <v>64.25</v>
      </c>
      <c r="Q1287" s="4">
        <f t="shared" si="19"/>
        <v>-90</v>
      </c>
      <c r="R1287" s="23" t="s">
        <v>109</v>
      </c>
    </row>
    <row r="1288" spans="1:18" x14ac:dyDescent="0.25">
      <c r="A1288" s="37">
        <v>45716</v>
      </c>
      <c r="B1288" s="1">
        <v>719132095</v>
      </c>
      <c r="C1288" t="s">
        <v>2505</v>
      </c>
      <c r="D1288" s="22">
        <v>-5268.5</v>
      </c>
      <c r="E1288" t="s">
        <v>35</v>
      </c>
      <c r="F1288" s="2">
        <v>212901001</v>
      </c>
      <c r="G1288" s="2" t="s">
        <v>121</v>
      </c>
      <c r="L1288" s="2" t="s">
        <v>2506</v>
      </c>
      <c r="M1288" t="s">
        <v>67</v>
      </c>
      <c r="N1288" t="s">
        <v>68</v>
      </c>
      <c r="P1288" s="23">
        <v>64.25</v>
      </c>
      <c r="Q1288" s="4">
        <f t="shared" si="19"/>
        <v>-82</v>
      </c>
      <c r="R1288" s="23" t="s">
        <v>109</v>
      </c>
    </row>
    <row r="1289" spans="1:18" x14ac:dyDescent="0.25">
      <c r="A1289" s="37">
        <v>45716</v>
      </c>
      <c r="B1289" s="1">
        <v>819132099</v>
      </c>
      <c r="C1289" t="s">
        <v>2507</v>
      </c>
      <c r="D1289" s="22">
        <v>-5782.5</v>
      </c>
      <c r="E1289" t="s">
        <v>35</v>
      </c>
      <c r="F1289" s="2">
        <v>212901001</v>
      </c>
      <c r="G1289" s="2" t="s">
        <v>121</v>
      </c>
      <c r="L1289" s="2" t="s">
        <v>2508</v>
      </c>
      <c r="M1289" t="s">
        <v>67</v>
      </c>
      <c r="N1289" t="s">
        <v>68</v>
      </c>
      <c r="P1289" s="23">
        <v>64.25</v>
      </c>
      <c r="Q1289" s="4">
        <f t="shared" si="19"/>
        <v>-90</v>
      </c>
      <c r="R1289" s="23" t="s">
        <v>109</v>
      </c>
    </row>
    <row r="1290" spans="1:18" x14ac:dyDescent="0.25">
      <c r="A1290" s="37">
        <v>45716</v>
      </c>
      <c r="B1290" s="1">
        <v>719132091</v>
      </c>
      <c r="C1290" t="s">
        <v>2509</v>
      </c>
      <c r="D1290" s="22">
        <v>-5782.5</v>
      </c>
      <c r="E1290" t="s">
        <v>35</v>
      </c>
      <c r="F1290" s="2">
        <v>212901001</v>
      </c>
      <c r="G1290" s="2" t="s">
        <v>121</v>
      </c>
      <c r="L1290" s="2" t="s">
        <v>2510</v>
      </c>
      <c r="M1290" t="s">
        <v>67</v>
      </c>
      <c r="N1290" t="s">
        <v>68</v>
      </c>
      <c r="P1290" s="23">
        <v>64.25</v>
      </c>
      <c r="Q1290" s="4">
        <f t="shared" si="19"/>
        <v>-90</v>
      </c>
      <c r="R1290" s="23" t="s">
        <v>109</v>
      </c>
    </row>
    <row r="1291" spans="1:18" x14ac:dyDescent="0.25">
      <c r="A1291" s="37">
        <v>45716</v>
      </c>
      <c r="B1291" s="1">
        <v>819132101</v>
      </c>
      <c r="C1291" t="s">
        <v>2511</v>
      </c>
      <c r="D1291" s="22">
        <v>-3855</v>
      </c>
      <c r="E1291" t="s">
        <v>35</v>
      </c>
      <c r="F1291" s="2">
        <v>212901001</v>
      </c>
      <c r="G1291" s="2" t="s">
        <v>121</v>
      </c>
      <c r="L1291" s="2" t="s">
        <v>2512</v>
      </c>
      <c r="M1291" t="s">
        <v>67</v>
      </c>
      <c r="N1291" t="s">
        <v>68</v>
      </c>
      <c r="P1291" s="23">
        <v>64.25</v>
      </c>
      <c r="Q1291" s="4">
        <f t="shared" ref="Q1291:Q1354" si="20">D1291/P1291</f>
        <v>-60</v>
      </c>
      <c r="R1291" s="23" t="s">
        <v>109</v>
      </c>
    </row>
    <row r="1292" spans="1:18" x14ac:dyDescent="0.25">
      <c r="A1292" s="37">
        <v>45716</v>
      </c>
      <c r="B1292" s="1">
        <v>819132104</v>
      </c>
      <c r="C1292" t="s">
        <v>2513</v>
      </c>
      <c r="D1292" s="22">
        <v>-3855</v>
      </c>
      <c r="E1292" t="s">
        <v>35</v>
      </c>
      <c r="F1292" s="2">
        <v>212901001</v>
      </c>
      <c r="G1292" s="2" t="s">
        <v>121</v>
      </c>
      <c r="L1292" s="2" t="s">
        <v>2514</v>
      </c>
      <c r="M1292" t="s">
        <v>67</v>
      </c>
      <c r="N1292" t="s">
        <v>68</v>
      </c>
      <c r="P1292" s="23">
        <v>64.25</v>
      </c>
      <c r="Q1292" s="4">
        <f t="shared" si="20"/>
        <v>-60</v>
      </c>
      <c r="R1292" s="23" t="s">
        <v>109</v>
      </c>
    </row>
    <row r="1293" spans="1:18" x14ac:dyDescent="0.25">
      <c r="A1293" s="37">
        <v>45716</v>
      </c>
      <c r="B1293" s="1">
        <v>819132100</v>
      </c>
      <c r="C1293" t="s">
        <v>2515</v>
      </c>
      <c r="D1293" s="22">
        <v>-5782.5</v>
      </c>
      <c r="E1293" t="s">
        <v>35</v>
      </c>
      <c r="F1293" s="2">
        <v>212901001</v>
      </c>
      <c r="G1293" s="2" t="s">
        <v>121</v>
      </c>
      <c r="L1293" s="2" t="s">
        <v>2516</v>
      </c>
      <c r="M1293" t="s">
        <v>67</v>
      </c>
      <c r="N1293" t="s">
        <v>68</v>
      </c>
      <c r="P1293" s="23">
        <v>64.25</v>
      </c>
      <c r="Q1293" s="4">
        <f t="shared" si="20"/>
        <v>-90</v>
      </c>
      <c r="R1293" s="23" t="s">
        <v>109</v>
      </c>
    </row>
    <row r="1294" spans="1:18" x14ac:dyDescent="0.25">
      <c r="A1294" s="37">
        <v>45716</v>
      </c>
      <c r="B1294" s="1">
        <v>819132109</v>
      </c>
      <c r="C1294" t="s">
        <v>2517</v>
      </c>
      <c r="D1294" s="22">
        <v>-7581.5</v>
      </c>
      <c r="E1294" t="s">
        <v>35</v>
      </c>
      <c r="F1294" s="2">
        <v>212901001</v>
      </c>
      <c r="G1294" s="2" t="s">
        <v>121</v>
      </c>
      <c r="L1294" s="2" t="s">
        <v>2518</v>
      </c>
      <c r="M1294" t="s">
        <v>67</v>
      </c>
      <c r="N1294" t="s">
        <v>68</v>
      </c>
      <c r="P1294" s="23">
        <v>64.25</v>
      </c>
      <c r="Q1294" s="4">
        <f t="shared" si="20"/>
        <v>-118</v>
      </c>
      <c r="R1294" s="23" t="s">
        <v>109</v>
      </c>
    </row>
    <row r="1295" spans="1:18" x14ac:dyDescent="0.25">
      <c r="A1295" s="37">
        <v>45716</v>
      </c>
      <c r="B1295" s="1">
        <v>819132108</v>
      </c>
      <c r="C1295" t="s">
        <v>2519</v>
      </c>
      <c r="D1295" s="22">
        <v>-12850</v>
      </c>
      <c r="E1295" t="s">
        <v>35</v>
      </c>
      <c r="F1295" s="2">
        <v>212901001</v>
      </c>
      <c r="G1295" s="2" t="s">
        <v>121</v>
      </c>
      <c r="L1295" s="2" t="s">
        <v>2520</v>
      </c>
      <c r="M1295" t="s">
        <v>67</v>
      </c>
      <c r="N1295" t="s">
        <v>68</v>
      </c>
      <c r="P1295" s="23">
        <v>64.25</v>
      </c>
      <c r="Q1295" s="4">
        <f t="shared" si="20"/>
        <v>-200</v>
      </c>
      <c r="R1295" s="23" t="s">
        <v>109</v>
      </c>
    </row>
    <row r="1296" spans="1:18" x14ac:dyDescent="0.25">
      <c r="A1296" s="37">
        <v>45716</v>
      </c>
      <c r="B1296" s="1">
        <v>819132107</v>
      </c>
      <c r="C1296" t="s">
        <v>2521</v>
      </c>
      <c r="D1296" s="22">
        <v>-6425</v>
      </c>
      <c r="E1296" t="s">
        <v>35</v>
      </c>
      <c r="F1296" s="2">
        <v>212901001</v>
      </c>
      <c r="G1296" s="2" t="s">
        <v>121</v>
      </c>
      <c r="L1296" s="2" t="s">
        <v>2522</v>
      </c>
      <c r="M1296" t="s">
        <v>67</v>
      </c>
      <c r="N1296" t="s">
        <v>68</v>
      </c>
      <c r="P1296" s="23">
        <v>64.25</v>
      </c>
      <c r="Q1296" s="4">
        <f t="shared" si="20"/>
        <v>-100</v>
      </c>
      <c r="R1296" s="23" t="s">
        <v>109</v>
      </c>
    </row>
    <row r="1297" spans="1:20" x14ac:dyDescent="0.25">
      <c r="A1297" s="37">
        <v>45716</v>
      </c>
      <c r="B1297" s="1">
        <v>919132111</v>
      </c>
      <c r="C1297" t="s">
        <v>2523</v>
      </c>
      <c r="D1297" s="22">
        <v>-5140</v>
      </c>
      <c r="E1297" t="s">
        <v>35</v>
      </c>
      <c r="F1297" s="2">
        <v>212901001</v>
      </c>
      <c r="G1297" s="2" t="s">
        <v>121</v>
      </c>
      <c r="L1297" s="2" t="s">
        <v>2524</v>
      </c>
      <c r="M1297" t="s">
        <v>67</v>
      </c>
      <c r="N1297" t="s">
        <v>68</v>
      </c>
      <c r="P1297" s="23">
        <v>64.25</v>
      </c>
      <c r="Q1297" s="4">
        <f t="shared" si="20"/>
        <v>-80</v>
      </c>
      <c r="R1297" s="23" t="s">
        <v>109</v>
      </c>
    </row>
    <row r="1298" spans="1:20" x14ac:dyDescent="0.25">
      <c r="A1298" s="37">
        <v>45716</v>
      </c>
      <c r="B1298" s="1">
        <v>819132105</v>
      </c>
      <c r="C1298" t="s">
        <v>2525</v>
      </c>
      <c r="D1298" s="22">
        <v>-3855</v>
      </c>
      <c r="E1298" t="s">
        <v>35</v>
      </c>
      <c r="F1298" s="2">
        <v>212901001</v>
      </c>
      <c r="G1298" s="2" t="s">
        <v>121</v>
      </c>
      <c r="L1298" s="2" t="s">
        <v>2526</v>
      </c>
      <c r="M1298" t="s">
        <v>67</v>
      </c>
      <c r="N1298" t="s">
        <v>68</v>
      </c>
      <c r="P1298" s="23">
        <v>64.25</v>
      </c>
      <c r="Q1298" s="4">
        <f t="shared" si="20"/>
        <v>-60</v>
      </c>
      <c r="R1298" s="23" t="s">
        <v>109</v>
      </c>
    </row>
    <row r="1299" spans="1:20" x14ac:dyDescent="0.25">
      <c r="A1299" s="37">
        <v>45716</v>
      </c>
      <c r="B1299" s="1">
        <v>719132098</v>
      </c>
      <c r="C1299" t="s">
        <v>2527</v>
      </c>
      <c r="D1299" s="22">
        <v>-5782.5</v>
      </c>
      <c r="E1299" t="s">
        <v>35</v>
      </c>
      <c r="F1299" s="2">
        <v>212901001</v>
      </c>
      <c r="G1299" s="2" t="s">
        <v>121</v>
      </c>
      <c r="L1299" s="2" t="s">
        <v>2528</v>
      </c>
      <c r="M1299" t="s">
        <v>67</v>
      </c>
      <c r="N1299" t="s">
        <v>68</v>
      </c>
      <c r="P1299" s="23">
        <v>64.25</v>
      </c>
      <c r="Q1299" s="4">
        <f t="shared" si="20"/>
        <v>-90</v>
      </c>
      <c r="R1299" s="23" t="s">
        <v>109</v>
      </c>
    </row>
    <row r="1300" spans="1:20" x14ac:dyDescent="0.25">
      <c r="A1300" s="37">
        <v>45716</v>
      </c>
      <c r="B1300" s="1">
        <v>819132106</v>
      </c>
      <c r="C1300" t="s">
        <v>2529</v>
      </c>
      <c r="D1300" s="22">
        <v>-3855</v>
      </c>
      <c r="E1300" t="s">
        <v>35</v>
      </c>
      <c r="F1300" s="2">
        <v>212901001</v>
      </c>
      <c r="G1300" s="2" t="s">
        <v>121</v>
      </c>
      <c r="L1300" s="2" t="s">
        <v>2530</v>
      </c>
      <c r="M1300" t="s">
        <v>67</v>
      </c>
      <c r="N1300" t="s">
        <v>68</v>
      </c>
      <c r="P1300" s="23">
        <v>64.25</v>
      </c>
      <c r="Q1300" s="4">
        <f t="shared" si="20"/>
        <v>-60</v>
      </c>
      <c r="R1300" s="23" t="s">
        <v>109</v>
      </c>
    </row>
    <row r="1301" spans="1:20" x14ac:dyDescent="0.25">
      <c r="A1301" s="37">
        <v>45716</v>
      </c>
      <c r="B1301" s="1">
        <v>819132110</v>
      </c>
      <c r="C1301" t="s">
        <v>2531</v>
      </c>
      <c r="D1301" s="22">
        <v>-4497.5</v>
      </c>
      <c r="E1301" t="s">
        <v>35</v>
      </c>
      <c r="F1301" s="2">
        <v>212901001</v>
      </c>
      <c r="G1301" s="2" t="s">
        <v>121</v>
      </c>
      <c r="L1301" s="2" t="s">
        <v>2532</v>
      </c>
      <c r="M1301" t="s">
        <v>67</v>
      </c>
      <c r="N1301" t="s">
        <v>68</v>
      </c>
      <c r="P1301" s="23">
        <v>64.25</v>
      </c>
      <c r="Q1301" s="4">
        <f t="shared" si="20"/>
        <v>-70</v>
      </c>
      <c r="R1301" s="23" t="s">
        <v>109</v>
      </c>
    </row>
    <row r="1302" spans="1:20" x14ac:dyDescent="0.25">
      <c r="A1302" s="37">
        <v>45716</v>
      </c>
      <c r="B1302" s="1">
        <v>50213878</v>
      </c>
      <c r="C1302" t="s">
        <v>2533</v>
      </c>
      <c r="D1302" s="22">
        <v>-11565</v>
      </c>
      <c r="E1302" t="s">
        <v>35</v>
      </c>
      <c r="F1302" s="2">
        <v>212901001</v>
      </c>
      <c r="G1302" s="2" t="s">
        <v>121</v>
      </c>
      <c r="L1302" s="2" t="s">
        <v>2534</v>
      </c>
      <c r="M1302" t="s">
        <v>67</v>
      </c>
      <c r="N1302" t="s">
        <v>68</v>
      </c>
      <c r="P1302" s="23">
        <v>64.25</v>
      </c>
      <c r="Q1302" s="4">
        <f t="shared" si="20"/>
        <v>-180</v>
      </c>
      <c r="R1302" s="23" t="s">
        <v>109</v>
      </c>
    </row>
    <row r="1303" spans="1:20" x14ac:dyDescent="0.25">
      <c r="A1303" s="37">
        <v>45716</v>
      </c>
      <c r="B1303" s="1">
        <v>50213878</v>
      </c>
      <c r="C1303" t="s">
        <v>296</v>
      </c>
      <c r="D1303" s="22">
        <v>-17.34</v>
      </c>
      <c r="E1303" t="s">
        <v>35</v>
      </c>
      <c r="F1303" s="2">
        <v>610148001</v>
      </c>
      <c r="G1303" s="2" t="s">
        <v>42</v>
      </c>
      <c r="L1303" s="2" t="s">
        <v>2535</v>
      </c>
      <c r="M1303" t="s">
        <v>43</v>
      </c>
      <c r="N1303" t="s">
        <v>42</v>
      </c>
      <c r="P1303" s="23">
        <v>64.25</v>
      </c>
      <c r="Q1303" s="4">
        <f t="shared" si="20"/>
        <v>-0.26988326848249028</v>
      </c>
      <c r="R1303" s="23" t="s">
        <v>109</v>
      </c>
      <c r="T1303" s="23" t="s">
        <v>1313</v>
      </c>
    </row>
    <row r="1304" spans="1:20" x14ac:dyDescent="0.25">
      <c r="A1304" s="37">
        <v>45716</v>
      </c>
      <c r="B1304" s="1">
        <v>50213878</v>
      </c>
      <c r="C1304" t="s">
        <v>118</v>
      </c>
      <c r="D1304" s="22">
        <v>-1146.7</v>
      </c>
      <c r="E1304" t="s">
        <v>35</v>
      </c>
      <c r="F1304" s="2">
        <v>610148001</v>
      </c>
      <c r="G1304" s="2" t="s">
        <v>42</v>
      </c>
      <c r="L1304" s="2" t="s">
        <v>2536</v>
      </c>
      <c r="M1304" t="s">
        <v>43</v>
      </c>
      <c r="N1304" t="s">
        <v>42</v>
      </c>
      <c r="P1304" s="23">
        <v>64.25</v>
      </c>
      <c r="Q1304" s="4">
        <f t="shared" si="20"/>
        <v>-17.847470817120623</v>
      </c>
      <c r="R1304" s="23" t="s">
        <v>109</v>
      </c>
      <c r="T1304" s="23" t="s">
        <v>1313</v>
      </c>
    </row>
    <row r="1305" spans="1:20" x14ac:dyDescent="0.25">
      <c r="A1305" s="37">
        <v>45716</v>
      </c>
      <c r="B1305" s="1">
        <v>0</v>
      </c>
      <c r="C1305" t="s">
        <v>1192</v>
      </c>
      <c r="D1305" s="22">
        <v>-0.5</v>
      </c>
      <c r="E1305" t="s">
        <v>35</v>
      </c>
      <c r="F1305" s="2">
        <v>610148001</v>
      </c>
      <c r="G1305" s="2" t="s">
        <v>42</v>
      </c>
      <c r="L1305" s="2" t="s">
        <v>2537</v>
      </c>
      <c r="M1305" t="s">
        <v>43</v>
      </c>
      <c r="N1305" t="s">
        <v>42</v>
      </c>
      <c r="P1305" s="23">
        <v>64.25</v>
      </c>
      <c r="Q1305" s="4">
        <f t="shared" si="20"/>
        <v>-7.7821011673151752E-3</v>
      </c>
      <c r="R1305" s="23" t="s">
        <v>109</v>
      </c>
      <c r="T1305" s="23" t="s">
        <v>1313</v>
      </c>
    </row>
    <row r="1306" spans="1:20" x14ac:dyDescent="0.25">
      <c r="A1306" s="37">
        <v>45716</v>
      </c>
      <c r="B1306" s="1">
        <v>0</v>
      </c>
      <c r="C1306" t="s">
        <v>1194</v>
      </c>
      <c r="D1306" s="22">
        <v>-0.5</v>
      </c>
      <c r="E1306" t="s">
        <v>35</v>
      </c>
      <c r="F1306" s="2">
        <v>610148001</v>
      </c>
      <c r="G1306" s="2" t="s">
        <v>42</v>
      </c>
      <c r="L1306" s="2" t="s">
        <v>2538</v>
      </c>
      <c r="M1306" t="s">
        <v>43</v>
      </c>
      <c r="N1306" t="s">
        <v>42</v>
      </c>
      <c r="P1306" s="23">
        <v>64.25</v>
      </c>
      <c r="Q1306" s="4">
        <f t="shared" si="20"/>
        <v>-7.7821011673151752E-3</v>
      </c>
      <c r="R1306" s="23" t="s">
        <v>109</v>
      </c>
      <c r="T1306" s="23" t="s">
        <v>1313</v>
      </c>
    </row>
    <row r="1307" spans="1:20" x14ac:dyDescent="0.25">
      <c r="A1307" s="42">
        <v>45689</v>
      </c>
      <c r="B1307" s="1" t="s">
        <v>2539</v>
      </c>
      <c r="C1307" t="s">
        <v>2540</v>
      </c>
      <c r="D1307" s="43">
        <v>-0.5</v>
      </c>
      <c r="E1307" s="22" t="s">
        <v>35</v>
      </c>
      <c r="F1307" s="2">
        <v>610148001</v>
      </c>
      <c r="G1307" s="2" t="s">
        <v>42</v>
      </c>
      <c r="L1307" s="2" t="s">
        <v>2541</v>
      </c>
      <c r="M1307" t="s">
        <v>43</v>
      </c>
      <c r="N1307" t="s">
        <v>42</v>
      </c>
      <c r="P1307" s="23">
        <v>58.44</v>
      </c>
      <c r="Q1307" s="4">
        <f t="shared" si="20"/>
        <v>-8.5557837097878162E-3</v>
      </c>
      <c r="R1307" s="23" t="s">
        <v>1198</v>
      </c>
      <c r="T1307" s="23" t="s">
        <v>1313</v>
      </c>
    </row>
    <row r="1308" spans="1:20" x14ac:dyDescent="0.25">
      <c r="A1308" s="42">
        <v>45692</v>
      </c>
      <c r="B1308" s="1" t="s">
        <v>2542</v>
      </c>
      <c r="C1308" t="s">
        <v>544</v>
      </c>
      <c r="D1308" s="43">
        <v>4200000</v>
      </c>
      <c r="E1308" s="22" t="s">
        <v>46</v>
      </c>
      <c r="F1308" s="2">
        <v>210115002</v>
      </c>
      <c r="G1308" s="2" t="s">
        <v>47</v>
      </c>
      <c r="L1308" s="2" t="s">
        <v>2543</v>
      </c>
      <c r="N1308" t="s">
        <v>544</v>
      </c>
      <c r="P1308" s="23">
        <v>58.54</v>
      </c>
      <c r="Q1308" s="4">
        <f t="shared" si="20"/>
        <v>71745.814827468392</v>
      </c>
      <c r="R1308" s="23" t="s">
        <v>1198</v>
      </c>
    </row>
    <row r="1309" spans="1:20" x14ac:dyDescent="0.25">
      <c r="A1309" s="42">
        <v>45692</v>
      </c>
      <c r="B1309" s="1" t="s">
        <v>2544</v>
      </c>
      <c r="C1309" t="s">
        <v>2545</v>
      </c>
      <c r="D1309" s="43">
        <v>-9808.52</v>
      </c>
      <c r="E1309" s="22" t="s">
        <v>35</v>
      </c>
      <c r="F1309" s="2">
        <v>213401001</v>
      </c>
      <c r="G1309" s="2" t="s">
        <v>126</v>
      </c>
      <c r="L1309" s="2" t="s">
        <v>2546</v>
      </c>
      <c r="M1309" t="s">
        <v>128</v>
      </c>
      <c r="N1309" t="s">
        <v>129</v>
      </c>
      <c r="P1309" s="23">
        <v>58.54</v>
      </c>
      <c r="Q1309" s="4">
        <f t="shared" si="20"/>
        <v>-167.55244277417151</v>
      </c>
      <c r="R1309" s="23" t="s">
        <v>1198</v>
      </c>
      <c r="T1309" s="23" t="s">
        <v>2547</v>
      </c>
    </row>
    <row r="1310" spans="1:20" x14ac:dyDescent="0.25">
      <c r="A1310" s="42">
        <v>45692</v>
      </c>
      <c r="B1310" s="1" t="s">
        <v>1214</v>
      </c>
      <c r="C1310" t="s">
        <v>1857</v>
      </c>
      <c r="D1310" s="43">
        <v>-57193.58</v>
      </c>
      <c r="E1310" s="22" t="s">
        <v>35</v>
      </c>
      <c r="F1310" s="2">
        <v>210101001</v>
      </c>
      <c r="G1310" s="2" t="s">
        <v>36</v>
      </c>
      <c r="L1310" s="2" t="s">
        <v>2548</v>
      </c>
      <c r="M1310" t="s">
        <v>38</v>
      </c>
      <c r="N1310" t="s">
        <v>39</v>
      </c>
      <c r="P1310" s="23">
        <v>58.54</v>
      </c>
      <c r="Q1310" s="4">
        <f t="shared" si="20"/>
        <v>-977</v>
      </c>
      <c r="R1310" s="23" t="s">
        <v>1198</v>
      </c>
    </row>
    <row r="1311" spans="1:20" x14ac:dyDescent="0.25">
      <c r="A1311" s="42">
        <v>45692</v>
      </c>
      <c r="B1311" s="1" t="s">
        <v>1208</v>
      </c>
      <c r="C1311" t="s">
        <v>2549</v>
      </c>
      <c r="D1311" s="43">
        <v>-1170800</v>
      </c>
      <c r="E1311" s="22" t="s">
        <v>35</v>
      </c>
      <c r="F1311" s="2">
        <v>110114001</v>
      </c>
      <c r="G1311" s="2" t="s">
        <v>301</v>
      </c>
      <c r="L1311" s="2" t="s">
        <v>2550</v>
      </c>
      <c r="N1311" t="s">
        <v>2551</v>
      </c>
      <c r="P1311" s="23">
        <v>58.54</v>
      </c>
      <c r="Q1311" s="4">
        <f t="shared" si="20"/>
        <v>-20000</v>
      </c>
      <c r="R1311" s="23" t="s">
        <v>1198</v>
      </c>
    </row>
    <row r="1312" spans="1:20" x14ac:dyDescent="0.25">
      <c r="A1312" s="42">
        <v>45692</v>
      </c>
      <c r="B1312" s="1" t="s">
        <v>1211</v>
      </c>
      <c r="C1312" t="s">
        <v>2552</v>
      </c>
      <c r="D1312" s="43">
        <v>-2882246.76</v>
      </c>
      <c r="E1312" s="22" t="s">
        <v>35</v>
      </c>
      <c r="F1312" s="2">
        <v>110114001</v>
      </c>
      <c r="G1312" s="2" t="s">
        <v>301</v>
      </c>
      <c r="L1312" s="2" t="s">
        <v>2553</v>
      </c>
      <c r="M1312" t="s">
        <v>38</v>
      </c>
      <c r="N1312" t="s">
        <v>39</v>
      </c>
      <c r="P1312" s="23">
        <v>58.54</v>
      </c>
      <c r="Q1312" s="4">
        <f t="shared" si="20"/>
        <v>-49235.510078578744</v>
      </c>
      <c r="R1312" s="23" t="s">
        <v>1198</v>
      </c>
      <c r="S1312" s="33" t="s">
        <v>1353</v>
      </c>
    </row>
    <row r="1313" spans="1:20" x14ac:dyDescent="0.25">
      <c r="A1313" s="42">
        <v>45692</v>
      </c>
      <c r="B1313" s="1" t="s">
        <v>1223</v>
      </c>
      <c r="C1313" t="s">
        <v>1221</v>
      </c>
      <c r="D1313" s="43">
        <v>-2927</v>
      </c>
      <c r="E1313" s="22" t="s">
        <v>35</v>
      </c>
      <c r="F1313" s="2">
        <v>610148001</v>
      </c>
      <c r="G1313" s="2" t="s">
        <v>42</v>
      </c>
      <c r="L1313" s="2" t="s">
        <v>2554</v>
      </c>
      <c r="M1313" t="s">
        <v>43</v>
      </c>
      <c r="N1313" t="s">
        <v>42</v>
      </c>
      <c r="P1313" s="23">
        <v>58.54</v>
      </c>
      <c r="Q1313" s="4">
        <f t="shared" si="20"/>
        <v>-50</v>
      </c>
      <c r="R1313" s="23" t="s">
        <v>1198</v>
      </c>
      <c r="T1313" s="23" t="s">
        <v>1313</v>
      </c>
    </row>
    <row r="1314" spans="1:20" x14ac:dyDescent="0.25">
      <c r="A1314" s="42">
        <v>45692</v>
      </c>
      <c r="B1314" s="1" t="s">
        <v>1227</v>
      </c>
      <c r="C1314" t="s">
        <v>1221</v>
      </c>
      <c r="D1314" s="43">
        <v>-7205.61</v>
      </c>
      <c r="E1314" s="22" t="s">
        <v>35</v>
      </c>
      <c r="F1314" s="2">
        <v>610148001</v>
      </c>
      <c r="G1314" s="2" t="s">
        <v>42</v>
      </c>
      <c r="L1314" s="2" t="s">
        <v>2555</v>
      </c>
      <c r="M1314" t="s">
        <v>43</v>
      </c>
      <c r="N1314" t="s">
        <v>42</v>
      </c>
      <c r="P1314" s="23">
        <v>58.54</v>
      </c>
      <c r="Q1314" s="4">
        <f t="shared" si="20"/>
        <v>-123.08865732832251</v>
      </c>
      <c r="R1314" s="23" t="s">
        <v>1198</v>
      </c>
      <c r="T1314" s="23" t="s">
        <v>1313</v>
      </c>
    </row>
    <row r="1315" spans="1:20" x14ac:dyDescent="0.25">
      <c r="A1315" s="42">
        <v>45692</v>
      </c>
      <c r="B1315" s="1" t="s">
        <v>1225</v>
      </c>
      <c r="C1315" t="s">
        <v>1221</v>
      </c>
      <c r="D1315" s="43">
        <v>-142.97999999999999</v>
      </c>
      <c r="E1315" s="22" t="s">
        <v>35</v>
      </c>
      <c r="F1315" s="2">
        <v>610148001</v>
      </c>
      <c r="G1315" s="2" t="s">
        <v>42</v>
      </c>
      <c r="L1315" s="2" t="s">
        <v>2556</v>
      </c>
      <c r="M1315" t="s">
        <v>43</v>
      </c>
      <c r="N1315" t="s">
        <v>42</v>
      </c>
      <c r="P1315" s="23">
        <v>58.54</v>
      </c>
      <c r="Q1315" s="4">
        <f t="shared" si="20"/>
        <v>-2.4424325247693881</v>
      </c>
      <c r="R1315" s="23" t="s">
        <v>1198</v>
      </c>
      <c r="T1315" s="23" t="s">
        <v>1313</v>
      </c>
    </row>
    <row r="1316" spans="1:20" x14ac:dyDescent="0.25">
      <c r="A1316" s="42">
        <v>45693</v>
      </c>
      <c r="B1316" s="1" t="s">
        <v>2557</v>
      </c>
      <c r="C1316" t="s">
        <v>2558</v>
      </c>
      <c r="D1316" s="43">
        <v>-10.1</v>
      </c>
      <c r="E1316" s="22" t="s">
        <v>35</v>
      </c>
      <c r="F1316" s="2">
        <v>213201001</v>
      </c>
      <c r="G1316" s="2" t="s">
        <v>1245</v>
      </c>
      <c r="L1316" s="2" t="s">
        <v>2559</v>
      </c>
      <c r="M1316" t="s">
        <v>1247</v>
      </c>
      <c r="N1316" t="s">
        <v>1248</v>
      </c>
      <c r="P1316" s="23">
        <v>58.79</v>
      </c>
      <c r="Q1316" s="4">
        <f t="shared" si="20"/>
        <v>-0.17179792481714576</v>
      </c>
      <c r="R1316" s="23" t="s">
        <v>1198</v>
      </c>
      <c r="T1316" s="41" t="s">
        <v>2560</v>
      </c>
    </row>
    <row r="1317" spans="1:20" x14ac:dyDescent="0.25">
      <c r="A1317" s="42">
        <v>45693</v>
      </c>
      <c r="B1317" s="1" t="s">
        <v>2561</v>
      </c>
      <c r="C1317" t="s">
        <v>2562</v>
      </c>
      <c r="D1317" s="43">
        <v>-59.4</v>
      </c>
      <c r="E1317" s="22" t="s">
        <v>35</v>
      </c>
      <c r="F1317" s="2">
        <v>213101001</v>
      </c>
      <c r="G1317" s="2" t="s">
        <v>1252</v>
      </c>
      <c r="L1317" s="2" t="s">
        <v>2563</v>
      </c>
      <c r="M1317" t="s">
        <v>1254</v>
      </c>
      <c r="N1317" t="s">
        <v>1255</v>
      </c>
      <c r="P1317" s="23">
        <v>58.79</v>
      </c>
      <c r="Q1317" s="4">
        <f t="shared" si="20"/>
        <v>-1.0103759142711346</v>
      </c>
      <c r="R1317" s="23" t="s">
        <v>1198</v>
      </c>
      <c r="T1317" s="23" t="s">
        <v>2560</v>
      </c>
    </row>
    <row r="1318" spans="1:20" x14ac:dyDescent="0.25">
      <c r="A1318" s="42">
        <v>45694</v>
      </c>
      <c r="B1318" s="1" t="s">
        <v>2564</v>
      </c>
      <c r="C1318" t="s">
        <v>2565</v>
      </c>
      <c r="D1318" s="43">
        <v>-22757.41</v>
      </c>
      <c r="E1318" s="22" t="s">
        <v>35</v>
      </c>
      <c r="F1318" s="2">
        <v>210601001</v>
      </c>
      <c r="G1318" s="2" t="s">
        <v>494</v>
      </c>
      <c r="L1318" s="2" t="s">
        <v>2566</v>
      </c>
      <c r="M1318" t="s">
        <v>496</v>
      </c>
      <c r="N1318" t="s">
        <v>497</v>
      </c>
      <c r="P1318" s="23">
        <v>59.46</v>
      </c>
      <c r="Q1318" s="4">
        <f t="shared" si="20"/>
        <v>-382.73477968382105</v>
      </c>
      <c r="R1318" s="23" t="s">
        <v>1198</v>
      </c>
      <c r="T1318" s="23" t="s">
        <v>2567</v>
      </c>
    </row>
    <row r="1319" spans="1:20" x14ac:dyDescent="0.25">
      <c r="A1319" s="42">
        <v>45699</v>
      </c>
      <c r="B1319" s="1" t="s">
        <v>2568</v>
      </c>
      <c r="C1319" t="s">
        <v>544</v>
      </c>
      <c r="D1319" s="43">
        <v>830000</v>
      </c>
      <c r="E1319" s="22" t="s">
        <v>46</v>
      </c>
      <c r="F1319" s="2">
        <v>210115002</v>
      </c>
      <c r="G1319" s="2" t="s">
        <v>47</v>
      </c>
      <c r="L1319" s="2" t="s">
        <v>2569</v>
      </c>
      <c r="N1319" t="s">
        <v>544</v>
      </c>
      <c r="P1319" s="23">
        <v>60.54</v>
      </c>
      <c r="Q1319" s="4">
        <f t="shared" si="20"/>
        <v>13709.943838784275</v>
      </c>
      <c r="R1319" s="23" t="s">
        <v>1198</v>
      </c>
    </row>
    <row r="1320" spans="1:20" x14ac:dyDescent="0.25">
      <c r="A1320" s="42">
        <v>45699</v>
      </c>
      <c r="B1320" s="1" t="s">
        <v>1214</v>
      </c>
      <c r="C1320" t="s">
        <v>2357</v>
      </c>
      <c r="D1320" s="43">
        <v>-200000</v>
      </c>
      <c r="E1320" s="22" t="s">
        <v>35</v>
      </c>
      <c r="F1320" s="2">
        <v>110114001</v>
      </c>
      <c r="G1320" s="2" t="s">
        <v>301</v>
      </c>
      <c r="L1320" s="2" t="s">
        <v>2570</v>
      </c>
      <c r="M1320" t="s">
        <v>38</v>
      </c>
      <c r="N1320" t="s">
        <v>39</v>
      </c>
      <c r="P1320" s="23">
        <v>60.54</v>
      </c>
      <c r="Q1320" s="4">
        <f t="shared" si="20"/>
        <v>-3303.6009250082589</v>
      </c>
      <c r="R1320" s="23" t="s">
        <v>1198</v>
      </c>
      <c r="S1320" s="33" t="s">
        <v>1320</v>
      </c>
    </row>
    <row r="1321" spans="1:20" x14ac:dyDescent="0.25">
      <c r="A1321" s="42">
        <v>45699</v>
      </c>
      <c r="B1321" s="1" t="s">
        <v>2571</v>
      </c>
      <c r="C1321" t="s">
        <v>2357</v>
      </c>
      <c r="D1321" s="43">
        <v>-200000</v>
      </c>
      <c r="E1321" s="22" t="s">
        <v>35</v>
      </c>
      <c r="F1321" s="2">
        <v>110114001</v>
      </c>
      <c r="G1321" s="2" t="s">
        <v>301</v>
      </c>
      <c r="L1321" s="2" t="s">
        <v>2572</v>
      </c>
      <c r="M1321" t="s">
        <v>38</v>
      </c>
      <c r="N1321" t="s">
        <v>39</v>
      </c>
      <c r="P1321" s="23">
        <v>60.54</v>
      </c>
      <c r="Q1321" s="4">
        <f t="shared" si="20"/>
        <v>-3303.6009250082589</v>
      </c>
      <c r="R1321" s="23" t="s">
        <v>1198</v>
      </c>
      <c r="S1321" s="33" t="s">
        <v>1320</v>
      </c>
    </row>
    <row r="1322" spans="1:20" x14ac:dyDescent="0.25">
      <c r="A1322" s="42">
        <v>45699</v>
      </c>
      <c r="B1322" s="1" t="s">
        <v>2573</v>
      </c>
      <c r="C1322" t="s">
        <v>2574</v>
      </c>
      <c r="D1322" s="43">
        <v>-200000</v>
      </c>
      <c r="E1322" s="22" t="s">
        <v>35</v>
      </c>
      <c r="F1322" s="2">
        <v>110114001</v>
      </c>
      <c r="G1322" s="2" t="s">
        <v>301</v>
      </c>
      <c r="L1322" s="2" t="s">
        <v>2575</v>
      </c>
      <c r="M1322" t="s">
        <v>38</v>
      </c>
      <c r="N1322" t="s">
        <v>39</v>
      </c>
      <c r="P1322" s="23">
        <v>60.54</v>
      </c>
      <c r="Q1322" s="4">
        <f t="shared" si="20"/>
        <v>-3303.6009250082589</v>
      </c>
      <c r="R1322" s="23" t="s">
        <v>1198</v>
      </c>
      <c r="S1322" s="33" t="s">
        <v>2576</v>
      </c>
    </row>
    <row r="1323" spans="1:20" x14ac:dyDescent="0.25">
      <c r="A1323" s="42">
        <v>45699</v>
      </c>
      <c r="B1323" s="1" t="s">
        <v>1217</v>
      </c>
      <c r="C1323" t="s">
        <v>2574</v>
      </c>
      <c r="D1323" s="43">
        <v>-200000</v>
      </c>
      <c r="E1323" s="22" t="s">
        <v>35</v>
      </c>
      <c r="F1323" s="2">
        <v>110114001</v>
      </c>
      <c r="G1323" s="2" t="s">
        <v>301</v>
      </c>
      <c r="L1323" s="2" t="s">
        <v>2577</v>
      </c>
      <c r="M1323" t="s">
        <v>38</v>
      </c>
      <c r="N1323" t="s">
        <v>39</v>
      </c>
      <c r="P1323" s="23">
        <v>60.54</v>
      </c>
      <c r="Q1323" s="4">
        <f t="shared" si="20"/>
        <v>-3303.6009250082589</v>
      </c>
      <c r="R1323" s="23" t="s">
        <v>1198</v>
      </c>
      <c r="S1323" s="33" t="s">
        <v>2576</v>
      </c>
    </row>
    <row r="1324" spans="1:20" x14ac:dyDescent="0.25">
      <c r="A1324" s="42">
        <v>45699</v>
      </c>
      <c r="B1324" s="1" t="s">
        <v>1211</v>
      </c>
      <c r="C1324" t="s">
        <v>2574</v>
      </c>
      <c r="D1324" s="43">
        <v>-54050</v>
      </c>
      <c r="E1324" s="22" t="s">
        <v>35</v>
      </c>
      <c r="F1324" s="2">
        <v>110114001</v>
      </c>
      <c r="G1324" s="2" t="s">
        <v>301</v>
      </c>
      <c r="L1324" s="2" t="s">
        <v>2578</v>
      </c>
      <c r="M1324" t="s">
        <v>38</v>
      </c>
      <c r="N1324" t="s">
        <v>39</v>
      </c>
      <c r="P1324" s="23">
        <v>60.54</v>
      </c>
      <c r="Q1324" s="4">
        <f t="shared" si="20"/>
        <v>-892.79814998348206</v>
      </c>
      <c r="R1324" s="23" t="s">
        <v>1198</v>
      </c>
      <c r="S1324" s="33" t="s">
        <v>2576</v>
      </c>
    </row>
    <row r="1325" spans="1:20" x14ac:dyDescent="0.25">
      <c r="A1325" s="42">
        <v>45699</v>
      </c>
      <c r="B1325" s="1" t="s">
        <v>1208</v>
      </c>
      <c r="C1325" t="s">
        <v>2357</v>
      </c>
      <c r="D1325" s="43">
        <v>-8657.11</v>
      </c>
      <c r="E1325" s="22" t="s">
        <v>35</v>
      </c>
      <c r="F1325" s="2">
        <v>110114001</v>
      </c>
      <c r="G1325" s="2" t="s">
        <v>301</v>
      </c>
      <c r="L1325" s="2" t="s">
        <v>2579</v>
      </c>
      <c r="M1325" t="s">
        <v>38</v>
      </c>
      <c r="N1325" t="s">
        <v>39</v>
      </c>
      <c r="P1325" s="23">
        <v>60.54</v>
      </c>
      <c r="Q1325" s="4">
        <f t="shared" si="20"/>
        <v>-142.99818301949125</v>
      </c>
      <c r="R1325" s="23" t="s">
        <v>1198</v>
      </c>
      <c r="S1325" s="33" t="s">
        <v>1320</v>
      </c>
    </row>
    <row r="1326" spans="1:20" x14ac:dyDescent="0.25">
      <c r="A1326" s="42">
        <v>45699</v>
      </c>
      <c r="B1326" s="1" t="s">
        <v>1220</v>
      </c>
      <c r="C1326" t="s">
        <v>1221</v>
      </c>
      <c r="D1326" s="43">
        <v>-500</v>
      </c>
      <c r="E1326" s="22" t="s">
        <v>35</v>
      </c>
      <c r="F1326" s="2">
        <v>610148001</v>
      </c>
      <c r="G1326" s="2" t="s">
        <v>42</v>
      </c>
      <c r="L1326" s="2" t="s">
        <v>2580</v>
      </c>
      <c r="M1326" t="s">
        <v>43</v>
      </c>
      <c r="N1326" t="s">
        <v>42</v>
      </c>
      <c r="P1326" s="23">
        <v>60.54</v>
      </c>
      <c r="Q1326" s="4">
        <f t="shared" si="20"/>
        <v>-8.2590023125206482</v>
      </c>
      <c r="R1326" s="23" t="s">
        <v>1198</v>
      </c>
      <c r="T1326" s="23" t="s">
        <v>1313</v>
      </c>
    </row>
    <row r="1327" spans="1:20" x14ac:dyDescent="0.25">
      <c r="A1327" s="42">
        <v>45699</v>
      </c>
      <c r="B1327" s="1" t="s">
        <v>1225</v>
      </c>
      <c r="C1327" t="s">
        <v>1221</v>
      </c>
      <c r="D1327" s="43">
        <v>-500</v>
      </c>
      <c r="E1327" s="22" t="s">
        <v>35</v>
      </c>
      <c r="F1327" s="2">
        <v>610148001</v>
      </c>
      <c r="G1327" s="2" t="s">
        <v>42</v>
      </c>
      <c r="L1327" s="2" t="s">
        <v>2581</v>
      </c>
      <c r="M1327" t="s">
        <v>43</v>
      </c>
      <c r="N1327" t="s">
        <v>42</v>
      </c>
      <c r="P1327" s="23">
        <v>60.54</v>
      </c>
      <c r="Q1327" s="4">
        <f t="shared" si="20"/>
        <v>-8.2590023125206482</v>
      </c>
      <c r="R1327" s="23" t="s">
        <v>1198</v>
      </c>
      <c r="T1327" s="23" t="s">
        <v>1313</v>
      </c>
    </row>
    <row r="1328" spans="1:20" x14ac:dyDescent="0.25">
      <c r="A1328" s="42">
        <v>45699</v>
      </c>
      <c r="B1328" s="1" t="s">
        <v>2582</v>
      </c>
      <c r="C1328" t="s">
        <v>1221</v>
      </c>
      <c r="D1328" s="43">
        <v>-500</v>
      </c>
      <c r="E1328" s="22" t="s">
        <v>35</v>
      </c>
      <c r="F1328" s="2">
        <v>610148001</v>
      </c>
      <c r="G1328" s="2" t="s">
        <v>42</v>
      </c>
      <c r="L1328" s="2" t="s">
        <v>2583</v>
      </c>
      <c r="M1328" t="s">
        <v>43</v>
      </c>
      <c r="N1328" t="s">
        <v>42</v>
      </c>
      <c r="P1328" s="23">
        <v>60.54</v>
      </c>
      <c r="Q1328" s="4">
        <f t="shared" si="20"/>
        <v>-8.2590023125206482</v>
      </c>
      <c r="R1328" s="23" t="s">
        <v>1198</v>
      </c>
      <c r="T1328" s="23" t="s">
        <v>1313</v>
      </c>
    </row>
    <row r="1329" spans="1:20" x14ac:dyDescent="0.25">
      <c r="A1329" s="42">
        <v>45699</v>
      </c>
      <c r="B1329" s="1" t="s">
        <v>1223</v>
      </c>
      <c r="C1329" t="s">
        <v>1221</v>
      </c>
      <c r="D1329" s="43">
        <v>-21.64</v>
      </c>
      <c r="E1329" s="22" t="s">
        <v>35</v>
      </c>
      <c r="F1329" s="2">
        <v>610148001</v>
      </c>
      <c r="G1329" s="2" t="s">
        <v>42</v>
      </c>
      <c r="L1329" s="2" t="s">
        <v>2584</v>
      </c>
      <c r="M1329" t="s">
        <v>43</v>
      </c>
      <c r="N1329" t="s">
        <v>42</v>
      </c>
      <c r="P1329" s="23">
        <v>60.54</v>
      </c>
      <c r="Q1329" s="4">
        <f t="shared" si="20"/>
        <v>-0.35744962008589365</v>
      </c>
      <c r="R1329" s="23" t="s">
        <v>1198</v>
      </c>
      <c r="T1329" s="23" t="s">
        <v>1313</v>
      </c>
    </row>
    <row r="1330" spans="1:20" x14ac:dyDescent="0.25">
      <c r="A1330" s="42">
        <v>45699</v>
      </c>
      <c r="B1330" s="1" t="s">
        <v>2585</v>
      </c>
      <c r="C1330" t="s">
        <v>1221</v>
      </c>
      <c r="D1330" s="43">
        <v>-500</v>
      </c>
      <c r="E1330" s="22" t="s">
        <v>35</v>
      </c>
      <c r="F1330" s="2">
        <v>610148001</v>
      </c>
      <c r="G1330" s="2" t="s">
        <v>42</v>
      </c>
      <c r="L1330" s="2" t="s">
        <v>2586</v>
      </c>
      <c r="M1330" t="s">
        <v>43</v>
      </c>
      <c r="N1330" t="s">
        <v>42</v>
      </c>
      <c r="P1330" s="23">
        <v>60.54</v>
      </c>
      <c r="Q1330" s="4">
        <f t="shared" si="20"/>
        <v>-8.2590023125206482</v>
      </c>
      <c r="R1330" s="23" t="s">
        <v>1198</v>
      </c>
      <c r="T1330" s="23" t="s">
        <v>1313</v>
      </c>
    </row>
    <row r="1331" spans="1:20" x14ac:dyDescent="0.25">
      <c r="A1331" s="42">
        <v>45699</v>
      </c>
      <c r="B1331" s="1" t="s">
        <v>1227</v>
      </c>
      <c r="C1331" t="s">
        <v>1221</v>
      </c>
      <c r="D1331" s="43">
        <v>-135.12</v>
      </c>
      <c r="E1331" s="22" t="s">
        <v>35</v>
      </c>
      <c r="F1331" s="2">
        <v>610148001</v>
      </c>
      <c r="G1331" s="2" t="s">
        <v>42</v>
      </c>
      <c r="L1331" s="2" t="s">
        <v>2587</v>
      </c>
      <c r="M1331" t="s">
        <v>43</v>
      </c>
      <c r="N1331" t="s">
        <v>42</v>
      </c>
      <c r="P1331" s="23">
        <v>60.54</v>
      </c>
      <c r="Q1331" s="4">
        <f t="shared" si="20"/>
        <v>-2.23191278493558</v>
      </c>
      <c r="R1331" s="23" t="s">
        <v>1198</v>
      </c>
      <c r="T1331" s="23" t="s">
        <v>1313</v>
      </c>
    </row>
    <row r="1332" spans="1:20" x14ac:dyDescent="0.25">
      <c r="A1332" s="42">
        <v>45706</v>
      </c>
      <c r="B1332" s="1" t="s">
        <v>2588</v>
      </c>
      <c r="C1332" t="s">
        <v>544</v>
      </c>
      <c r="D1332" s="43">
        <v>2280000</v>
      </c>
      <c r="E1332" s="22" t="s">
        <v>46</v>
      </c>
      <c r="F1332" s="2">
        <v>210115002</v>
      </c>
      <c r="G1332" s="2" t="s">
        <v>47</v>
      </c>
      <c r="L1332" s="2" t="s">
        <v>2589</v>
      </c>
      <c r="N1332" t="s">
        <v>544</v>
      </c>
      <c r="P1332" s="23">
        <v>62.09</v>
      </c>
      <c r="Q1332" s="4">
        <f t="shared" si="20"/>
        <v>36720.889032050247</v>
      </c>
      <c r="R1332" s="23" t="s">
        <v>1198</v>
      </c>
    </row>
    <row r="1333" spans="1:20" x14ac:dyDescent="0.25">
      <c r="A1333" s="42">
        <v>45706</v>
      </c>
      <c r="B1333" s="1" t="s">
        <v>2590</v>
      </c>
      <c r="C1333" t="s">
        <v>2552</v>
      </c>
      <c r="D1333" s="43">
        <v>-2276169.31</v>
      </c>
      <c r="E1333" s="22" t="s">
        <v>35</v>
      </c>
      <c r="F1333" s="2">
        <v>110114001</v>
      </c>
      <c r="G1333" s="2" t="s">
        <v>301</v>
      </c>
      <c r="L1333" s="2" t="s">
        <v>2591</v>
      </c>
      <c r="M1333" t="s">
        <v>38</v>
      </c>
      <c r="N1333" t="s">
        <v>39</v>
      </c>
      <c r="P1333" s="23">
        <v>62.09</v>
      </c>
      <c r="Q1333" s="4">
        <f t="shared" si="20"/>
        <v>-36659.193267837007</v>
      </c>
      <c r="R1333" s="23" t="s">
        <v>1198</v>
      </c>
      <c r="S1333" s="33" t="s">
        <v>1353</v>
      </c>
    </row>
    <row r="1334" spans="1:20" x14ac:dyDescent="0.25">
      <c r="A1334" s="42">
        <v>45706</v>
      </c>
      <c r="B1334" s="1" t="s">
        <v>2592</v>
      </c>
      <c r="C1334" t="s">
        <v>1221</v>
      </c>
      <c r="D1334" s="43">
        <v>-5690.42</v>
      </c>
      <c r="E1334" s="22" t="s">
        <v>35</v>
      </c>
      <c r="F1334" s="2">
        <v>610148001</v>
      </c>
      <c r="G1334" s="2" t="s">
        <v>42</v>
      </c>
      <c r="L1334" s="2" t="s">
        <v>2593</v>
      </c>
      <c r="M1334" t="s">
        <v>43</v>
      </c>
      <c r="N1334" t="s">
        <v>42</v>
      </c>
      <c r="P1334" s="23">
        <v>62.09</v>
      </c>
      <c r="Q1334" s="4">
        <f t="shared" si="20"/>
        <v>-91.647930423578671</v>
      </c>
      <c r="R1334" s="23" t="s">
        <v>1198</v>
      </c>
      <c r="T1334" s="23" t="s">
        <v>1313</v>
      </c>
    </row>
    <row r="1335" spans="1:20" x14ac:dyDescent="0.25">
      <c r="A1335" s="42">
        <v>45707</v>
      </c>
      <c r="B1335" s="1" t="s">
        <v>2594</v>
      </c>
      <c r="C1335" t="s">
        <v>544</v>
      </c>
      <c r="D1335" s="43">
        <v>3000000</v>
      </c>
      <c r="E1335" s="22" t="s">
        <v>46</v>
      </c>
      <c r="F1335" s="2">
        <v>210115002</v>
      </c>
      <c r="G1335" s="2" t="s">
        <v>47</v>
      </c>
      <c r="L1335" s="2" t="s">
        <v>2595</v>
      </c>
      <c r="N1335" t="s">
        <v>544</v>
      </c>
      <c r="P1335" s="23">
        <v>62.18</v>
      </c>
      <c r="Q1335" s="4">
        <f t="shared" si="20"/>
        <v>48247.024766806047</v>
      </c>
      <c r="R1335" s="23" t="s">
        <v>1198</v>
      </c>
    </row>
    <row r="1336" spans="1:20" x14ac:dyDescent="0.25">
      <c r="A1336" s="42">
        <v>45707</v>
      </c>
      <c r="B1336" s="1" t="s">
        <v>2596</v>
      </c>
      <c r="C1336" t="s">
        <v>2597</v>
      </c>
      <c r="D1336" s="44">
        <v>-2922460</v>
      </c>
      <c r="E1336" s="22" t="s">
        <v>35</v>
      </c>
      <c r="F1336" s="2">
        <v>110114001</v>
      </c>
      <c r="G1336" s="2" t="s">
        <v>301</v>
      </c>
      <c r="L1336" s="2" t="s">
        <v>2598</v>
      </c>
      <c r="M1336" t="s">
        <v>38</v>
      </c>
      <c r="N1336" t="s">
        <v>39</v>
      </c>
      <c r="P1336" s="23">
        <v>62.18</v>
      </c>
      <c r="Q1336" s="4">
        <f t="shared" si="20"/>
        <v>-47000</v>
      </c>
      <c r="R1336" s="23" t="s">
        <v>1198</v>
      </c>
      <c r="S1336" s="33" t="s">
        <v>2599</v>
      </c>
    </row>
    <row r="1337" spans="1:20" x14ac:dyDescent="0.25">
      <c r="A1337" s="42">
        <v>45707</v>
      </c>
      <c r="B1337" s="1" t="s">
        <v>2600</v>
      </c>
      <c r="C1337" t="s">
        <v>1221</v>
      </c>
      <c r="D1337" s="43">
        <v>-7306.15</v>
      </c>
      <c r="E1337" s="22" t="s">
        <v>35</v>
      </c>
      <c r="F1337" s="2">
        <v>610148001</v>
      </c>
      <c r="G1337" s="2" t="s">
        <v>42</v>
      </c>
      <c r="L1337" s="2" t="s">
        <v>2601</v>
      </c>
      <c r="M1337" t="s">
        <v>43</v>
      </c>
      <c r="N1337" t="s">
        <v>42</v>
      </c>
      <c r="P1337" s="23">
        <v>62.18</v>
      </c>
      <c r="Q1337" s="4">
        <f t="shared" si="20"/>
        <v>-117.5</v>
      </c>
      <c r="R1337" s="23" t="s">
        <v>1198</v>
      </c>
      <c r="T1337" s="23" t="s">
        <v>1313</v>
      </c>
    </row>
    <row r="1338" spans="1:20" x14ac:dyDescent="0.25">
      <c r="A1338" s="42">
        <v>45707</v>
      </c>
      <c r="B1338" s="1" t="s">
        <v>2602</v>
      </c>
      <c r="C1338" t="s">
        <v>2603</v>
      </c>
      <c r="D1338" s="43">
        <v>-4410</v>
      </c>
      <c r="E1338" s="22" t="s">
        <v>35</v>
      </c>
      <c r="F1338" s="2">
        <v>110114001</v>
      </c>
      <c r="G1338" s="2" t="s">
        <v>301</v>
      </c>
      <c r="L1338" s="2" t="s">
        <v>2604</v>
      </c>
      <c r="M1338" t="s">
        <v>788</v>
      </c>
      <c r="N1338" t="s">
        <v>789</v>
      </c>
      <c r="P1338" s="23">
        <v>62.18</v>
      </c>
      <c r="Q1338" s="4">
        <f t="shared" si="20"/>
        <v>-70.92312640720489</v>
      </c>
      <c r="R1338" s="23" t="s">
        <v>1198</v>
      </c>
      <c r="S1338" s="33" t="s">
        <v>1353</v>
      </c>
    </row>
    <row r="1339" spans="1:20" x14ac:dyDescent="0.25">
      <c r="A1339" s="42">
        <v>45707</v>
      </c>
      <c r="B1339" s="1" t="s">
        <v>2605</v>
      </c>
      <c r="C1339" t="s">
        <v>1221</v>
      </c>
      <c r="D1339" s="43">
        <v>-11.02</v>
      </c>
      <c r="E1339" s="22" t="s">
        <v>35</v>
      </c>
      <c r="F1339" s="2">
        <v>610148001</v>
      </c>
      <c r="G1339" s="2" t="s">
        <v>42</v>
      </c>
      <c r="L1339" s="2" t="s">
        <v>2606</v>
      </c>
      <c r="M1339" t="s">
        <v>43</v>
      </c>
      <c r="N1339" t="s">
        <v>42</v>
      </c>
      <c r="P1339" s="23">
        <v>62.18</v>
      </c>
      <c r="Q1339" s="4">
        <f t="shared" si="20"/>
        <v>-0.17722740431006753</v>
      </c>
      <c r="R1339" s="23" t="s">
        <v>1198</v>
      </c>
      <c r="T1339" s="23" t="s">
        <v>1313</v>
      </c>
    </row>
    <row r="1340" spans="1:20" x14ac:dyDescent="0.25">
      <c r="A1340" s="42">
        <v>45713</v>
      </c>
      <c r="B1340" s="1" t="s">
        <v>2607</v>
      </c>
      <c r="C1340" t="s">
        <v>2608</v>
      </c>
      <c r="D1340" s="43">
        <v>18853.990000000002</v>
      </c>
      <c r="E1340" s="22" t="s">
        <v>46</v>
      </c>
      <c r="F1340" s="2">
        <v>110106001</v>
      </c>
      <c r="G1340" s="2" t="s">
        <v>2034</v>
      </c>
      <c r="L1340" s="2" t="s">
        <v>2609</v>
      </c>
      <c r="N1340" t="s">
        <v>2610</v>
      </c>
      <c r="P1340" s="23">
        <v>63.49</v>
      </c>
      <c r="Q1340" s="4">
        <f t="shared" si="20"/>
        <v>296.95999369979523</v>
      </c>
      <c r="R1340" s="23" t="s">
        <v>1198</v>
      </c>
    </row>
    <row r="1341" spans="1:20" x14ac:dyDescent="0.25">
      <c r="A1341" s="42">
        <v>45714</v>
      </c>
      <c r="B1341" s="1" t="s">
        <v>2611</v>
      </c>
      <c r="C1341" t="s">
        <v>2612</v>
      </c>
      <c r="D1341" s="43">
        <v>101889.11</v>
      </c>
      <c r="E1341" s="22" t="s">
        <v>46</v>
      </c>
      <c r="F1341" s="2">
        <v>110106001</v>
      </c>
      <c r="G1341" s="2" t="s">
        <v>2034</v>
      </c>
      <c r="L1341" s="2" t="s">
        <v>2613</v>
      </c>
      <c r="N1341" t="s">
        <v>2614</v>
      </c>
      <c r="P1341" s="23">
        <v>64.02</v>
      </c>
      <c r="Q1341" s="4">
        <f t="shared" si="20"/>
        <v>1591.5199937519526</v>
      </c>
      <c r="R1341" s="23" t="s">
        <v>1198</v>
      </c>
    </row>
    <row r="1342" spans="1:20" x14ac:dyDescent="0.25">
      <c r="A1342" s="42">
        <v>45714</v>
      </c>
      <c r="B1342" s="1" t="s">
        <v>2615</v>
      </c>
      <c r="C1342" t="s">
        <v>2616</v>
      </c>
      <c r="D1342" s="43">
        <v>19011.38</v>
      </c>
      <c r="E1342" s="22" t="s">
        <v>46</v>
      </c>
      <c r="F1342" s="2">
        <v>110106001</v>
      </c>
      <c r="G1342" s="2" t="s">
        <v>2034</v>
      </c>
      <c r="L1342" s="2" t="s">
        <v>2617</v>
      </c>
      <c r="N1342" t="s">
        <v>2036</v>
      </c>
      <c r="P1342" s="23">
        <v>64.02</v>
      </c>
      <c r="Q1342" s="4">
        <f t="shared" si="20"/>
        <v>296.96001249609503</v>
      </c>
      <c r="R1342" s="23" t="s">
        <v>1198</v>
      </c>
    </row>
    <row r="1343" spans="1:20" x14ac:dyDescent="0.25">
      <c r="A1343" s="42">
        <v>45714</v>
      </c>
      <c r="B1343" s="1" t="s">
        <v>2618</v>
      </c>
      <c r="C1343" t="s">
        <v>2619</v>
      </c>
      <c r="D1343" s="43">
        <v>19011.38</v>
      </c>
      <c r="E1343" s="22" t="s">
        <v>46</v>
      </c>
      <c r="F1343" s="2">
        <v>110106001</v>
      </c>
      <c r="G1343" s="2" t="s">
        <v>2034</v>
      </c>
      <c r="L1343" s="2" t="s">
        <v>2620</v>
      </c>
      <c r="N1343" t="s">
        <v>2036</v>
      </c>
      <c r="P1343" s="23">
        <v>64.02</v>
      </c>
      <c r="Q1343" s="4">
        <f t="shared" si="20"/>
        <v>296.96001249609503</v>
      </c>
      <c r="R1343" s="23" t="s">
        <v>1198</v>
      </c>
      <c r="S1343" t="s">
        <v>2621</v>
      </c>
    </row>
    <row r="1344" spans="1:20" x14ac:dyDescent="0.25">
      <c r="A1344" s="45">
        <v>45715</v>
      </c>
      <c r="B1344" s="26" t="s">
        <v>1211</v>
      </c>
      <c r="C1344" s="27" t="s">
        <v>2622</v>
      </c>
      <c r="D1344" s="46">
        <v>-876.46</v>
      </c>
      <c r="E1344" s="47" t="s">
        <v>35</v>
      </c>
      <c r="F1344" s="29">
        <v>610122005</v>
      </c>
      <c r="G1344" s="29" t="s">
        <v>765</v>
      </c>
      <c r="H1344" s="107"/>
      <c r="I1344" s="101"/>
      <c r="J1344" s="101"/>
      <c r="K1344" s="29"/>
      <c r="L1344" s="2" t="s">
        <v>2623</v>
      </c>
      <c r="M1344" s="27" t="s">
        <v>1202</v>
      </c>
      <c r="N1344" s="27" t="s">
        <v>1203</v>
      </c>
      <c r="O1344" s="27" t="s">
        <v>59</v>
      </c>
      <c r="P1344" s="31">
        <v>64.239999999999995</v>
      </c>
      <c r="Q1344" s="4">
        <f t="shared" si="20"/>
        <v>-13.643524283935244</v>
      </c>
      <c r="R1344" s="23" t="s">
        <v>1198</v>
      </c>
      <c r="T1344" s="23" t="s">
        <v>2624</v>
      </c>
    </row>
    <row r="1345" spans="1:20" x14ac:dyDescent="0.25">
      <c r="A1345" s="42">
        <v>45715</v>
      </c>
      <c r="B1345" s="1" t="s">
        <v>1214</v>
      </c>
      <c r="C1345" t="s">
        <v>2625</v>
      </c>
      <c r="D1345" s="43">
        <v>-35768.83</v>
      </c>
      <c r="E1345" s="22" t="s">
        <v>35</v>
      </c>
      <c r="F1345" s="2">
        <v>110114001</v>
      </c>
      <c r="G1345" s="2" t="s">
        <v>301</v>
      </c>
      <c r="L1345" s="2" t="s">
        <v>2626</v>
      </c>
      <c r="M1345" t="s">
        <v>1380</v>
      </c>
      <c r="N1345" t="s">
        <v>1381</v>
      </c>
      <c r="P1345" s="23">
        <v>64.239999999999995</v>
      </c>
      <c r="Q1345" s="4">
        <f t="shared" si="20"/>
        <v>-556.79996886674974</v>
      </c>
      <c r="R1345" s="23" t="s">
        <v>1198</v>
      </c>
      <c r="S1345" s="33" t="s">
        <v>1320</v>
      </c>
    </row>
    <row r="1346" spans="1:20" x14ac:dyDescent="0.25">
      <c r="A1346" s="42">
        <v>45715</v>
      </c>
      <c r="B1346" s="1" t="s">
        <v>1208</v>
      </c>
      <c r="C1346" t="s">
        <v>2627</v>
      </c>
      <c r="D1346" s="43">
        <v>-6424</v>
      </c>
      <c r="E1346" s="22" t="s">
        <v>35</v>
      </c>
      <c r="F1346" s="2">
        <v>210101001</v>
      </c>
      <c r="G1346" s="2" t="s">
        <v>36</v>
      </c>
      <c r="L1346" s="2" t="s">
        <v>2628</v>
      </c>
      <c r="M1346" t="s">
        <v>2629</v>
      </c>
      <c r="N1346" t="s">
        <v>115</v>
      </c>
      <c r="P1346" s="23">
        <v>64.239999999999995</v>
      </c>
      <c r="Q1346" s="4">
        <f t="shared" si="20"/>
        <v>-100.00000000000001</v>
      </c>
      <c r="R1346" s="23" t="s">
        <v>1198</v>
      </c>
      <c r="S1346" t="s">
        <v>1320</v>
      </c>
    </row>
    <row r="1347" spans="1:20" x14ac:dyDescent="0.25">
      <c r="A1347" s="42">
        <v>45715</v>
      </c>
      <c r="B1347" s="1" t="s">
        <v>1225</v>
      </c>
      <c r="C1347" t="s">
        <v>1221</v>
      </c>
      <c r="D1347" s="43">
        <v>-89.42</v>
      </c>
      <c r="E1347" s="22" t="s">
        <v>35</v>
      </c>
      <c r="F1347" s="2">
        <v>610148001</v>
      </c>
      <c r="G1347" s="2" t="s">
        <v>42</v>
      </c>
      <c r="L1347" s="2" t="s">
        <v>2630</v>
      </c>
      <c r="M1347" t="s">
        <v>43</v>
      </c>
      <c r="N1347" t="s">
        <v>42</v>
      </c>
      <c r="P1347" s="23">
        <v>64.239999999999995</v>
      </c>
      <c r="Q1347" s="4">
        <f t="shared" si="20"/>
        <v>-1.3919676214196763</v>
      </c>
      <c r="R1347" s="23" t="s">
        <v>1198</v>
      </c>
      <c r="T1347" s="23" t="s">
        <v>1313</v>
      </c>
    </row>
    <row r="1348" spans="1:20" x14ac:dyDescent="0.25">
      <c r="A1348" s="42">
        <v>45715</v>
      </c>
      <c r="B1348" s="1" t="s">
        <v>1227</v>
      </c>
      <c r="C1348" t="s">
        <v>1221</v>
      </c>
      <c r="D1348" s="43">
        <v>-2.19</v>
      </c>
      <c r="E1348" s="22" t="s">
        <v>35</v>
      </c>
      <c r="F1348" s="2">
        <v>610148001</v>
      </c>
      <c r="G1348" s="2" t="s">
        <v>42</v>
      </c>
      <c r="L1348" s="2" t="s">
        <v>2631</v>
      </c>
      <c r="M1348" t="s">
        <v>43</v>
      </c>
      <c r="N1348" t="s">
        <v>42</v>
      </c>
      <c r="P1348" s="23">
        <v>64.239999999999995</v>
      </c>
      <c r="Q1348" s="4">
        <f t="shared" si="20"/>
        <v>-3.4090909090909095E-2</v>
      </c>
      <c r="R1348" s="23" t="s">
        <v>1198</v>
      </c>
      <c r="T1348" s="23" t="s">
        <v>1313</v>
      </c>
    </row>
    <row r="1349" spans="1:20" x14ac:dyDescent="0.25">
      <c r="A1349" s="42">
        <v>45715</v>
      </c>
      <c r="B1349" s="1" t="s">
        <v>1223</v>
      </c>
      <c r="C1349" t="s">
        <v>1221</v>
      </c>
      <c r="D1349" s="43">
        <v>-16.059999999999999</v>
      </c>
      <c r="E1349" s="22" t="s">
        <v>35</v>
      </c>
      <c r="F1349" s="2">
        <v>610148001</v>
      </c>
      <c r="G1349" s="2" t="s">
        <v>42</v>
      </c>
      <c r="L1349" s="2" t="s">
        <v>2632</v>
      </c>
      <c r="M1349" t="s">
        <v>43</v>
      </c>
      <c r="N1349" t="s">
        <v>42</v>
      </c>
      <c r="P1349" s="23">
        <v>64.239999999999995</v>
      </c>
      <c r="Q1349" s="4">
        <f t="shared" si="20"/>
        <v>-0.25</v>
      </c>
      <c r="R1349" s="23" t="s">
        <v>1198</v>
      </c>
      <c r="T1349" s="23" t="s">
        <v>1313</v>
      </c>
    </row>
    <row r="1350" spans="1:20" x14ac:dyDescent="0.25">
      <c r="A1350" s="42">
        <v>45715</v>
      </c>
      <c r="B1350" s="1" t="s">
        <v>1208</v>
      </c>
      <c r="C1350" t="s">
        <v>2633</v>
      </c>
      <c r="D1350" s="43">
        <v>-17473.57</v>
      </c>
      <c r="E1350" s="22" t="s">
        <v>35</v>
      </c>
      <c r="F1350" s="2">
        <v>210101001</v>
      </c>
      <c r="G1350" s="2" t="s">
        <v>36</v>
      </c>
      <c r="L1350" s="2" t="s">
        <v>2634</v>
      </c>
      <c r="M1350" t="s">
        <v>2635</v>
      </c>
      <c r="N1350" t="s">
        <v>2636</v>
      </c>
      <c r="P1350" s="23">
        <v>64.239999999999995</v>
      </c>
      <c r="Q1350" s="4">
        <f t="shared" si="20"/>
        <v>-272.00451432129518</v>
      </c>
      <c r="R1350" s="23" t="s">
        <v>1198</v>
      </c>
    </row>
    <row r="1351" spans="1:20" x14ac:dyDescent="0.25">
      <c r="A1351" s="42">
        <v>45715</v>
      </c>
      <c r="B1351" s="1" t="s">
        <v>1223</v>
      </c>
      <c r="C1351" t="s">
        <v>1221</v>
      </c>
      <c r="D1351" s="43">
        <v>-43.68</v>
      </c>
      <c r="E1351" s="22" t="s">
        <v>35</v>
      </c>
      <c r="F1351" s="2">
        <v>610148001</v>
      </c>
      <c r="G1351" s="2" t="s">
        <v>42</v>
      </c>
      <c r="L1351" s="2" t="s">
        <v>2637</v>
      </c>
      <c r="M1351" t="s">
        <v>43</v>
      </c>
      <c r="N1351" t="s">
        <v>42</v>
      </c>
      <c r="P1351" s="23">
        <v>64.239999999999995</v>
      </c>
      <c r="Q1351" s="4">
        <f t="shared" si="20"/>
        <v>-0.67995018679950192</v>
      </c>
      <c r="R1351" s="23" t="s">
        <v>1198</v>
      </c>
      <c r="T1351" s="23" t="s">
        <v>1313</v>
      </c>
    </row>
    <row r="1352" spans="1:20" x14ac:dyDescent="0.25">
      <c r="A1352" s="42">
        <v>45716</v>
      </c>
      <c r="B1352" s="1" t="s">
        <v>2638</v>
      </c>
      <c r="C1352" t="s">
        <v>544</v>
      </c>
      <c r="D1352" s="43">
        <v>50000</v>
      </c>
      <c r="E1352" s="22" t="s">
        <v>46</v>
      </c>
      <c r="F1352" s="2">
        <v>210115002</v>
      </c>
      <c r="G1352" s="2" t="s">
        <v>47</v>
      </c>
      <c r="L1352" s="2" t="s">
        <v>2639</v>
      </c>
      <c r="N1352" t="s">
        <v>544</v>
      </c>
      <c r="P1352" s="23">
        <v>64.25</v>
      </c>
      <c r="Q1352" s="4">
        <f t="shared" si="20"/>
        <v>778.21011673151747</v>
      </c>
      <c r="R1352" s="23" t="s">
        <v>1198</v>
      </c>
    </row>
    <row r="1353" spans="1:20" x14ac:dyDescent="0.25">
      <c r="A1353" s="42">
        <v>45716</v>
      </c>
      <c r="B1353" s="1" t="s">
        <v>2640</v>
      </c>
      <c r="C1353" t="s">
        <v>544</v>
      </c>
      <c r="D1353" s="43">
        <v>20000</v>
      </c>
      <c r="E1353" s="22" t="s">
        <v>46</v>
      </c>
      <c r="F1353" s="2">
        <v>210115002</v>
      </c>
      <c r="G1353" s="2" t="s">
        <v>47</v>
      </c>
      <c r="L1353" s="2" t="s">
        <v>2641</v>
      </c>
      <c r="N1353" t="s">
        <v>544</v>
      </c>
      <c r="P1353" s="23">
        <v>64.25</v>
      </c>
      <c r="Q1353" s="4">
        <f t="shared" si="20"/>
        <v>311.28404669260698</v>
      </c>
      <c r="R1353" s="23" t="s">
        <v>1198</v>
      </c>
    </row>
    <row r="1354" spans="1:20" x14ac:dyDescent="0.25">
      <c r="A1354" s="42">
        <v>45716</v>
      </c>
      <c r="B1354" s="1" t="s">
        <v>1208</v>
      </c>
      <c r="C1354" t="s">
        <v>1562</v>
      </c>
      <c r="D1354" s="43">
        <v>-2004.3</v>
      </c>
      <c r="E1354" s="22" t="s">
        <v>35</v>
      </c>
      <c r="F1354" s="2">
        <v>210101001</v>
      </c>
      <c r="G1354" s="2" t="s">
        <v>36</v>
      </c>
      <c r="L1354" s="2" t="s">
        <v>2642</v>
      </c>
      <c r="M1354" t="s">
        <v>114</v>
      </c>
      <c r="N1354" t="s">
        <v>115</v>
      </c>
      <c r="P1354" s="23">
        <v>64.25</v>
      </c>
      <c r="Q1354" s="4">
        <f t="shared" si="20"/>
        <v>-31.19533073929961</v>
      </c>
      <c r="R1354" s="23" t="s">
        <v>1198</v>
      </c>
    </row>
    <row r="1355" spans="1:20" x14ac:dyDescent="0.25">
      <c r="A1355" s="42">
        <v>45716</v>
      </c>
      <c r="B1355" s="1" t="s">
        <v>1211</v>
      </c>
      <c r="C1355" t="s">
        <v>2643</v>
      </c>
      <c r="D1355" s="43">
        <v>-33366.26</v>
      </c>
      <c r="E1355" s="22" t="s">
        <v>35</v>
      </c>
      <c r="F1355" s="2">
        <v>210101001</v>
      </c>
      <c r="G1355" s="2" t="s">
        <v>36</v>
      </c>
      <c r="L1355" s="2" t="s">
        <v>2644</v>
      </c>
      <c r="M1355" t="s">
        <v>2645</v>
      </c>
      <c r="N1355" t="s">
        <v>1187</v>
      </c>
      <c r="P1355" s="23">
        <v>64.25</v>
      </c>
      <c r="Q1355" s="4">
        <f t="shared" ref="Q1355:Q1418" si="21">D1355/P1355</f>
        <v>-519.31922178988327</v>
      </c>
      <c r="R1355" s="23" t="s">
        <v>1198</v>
      </c>
    </row>
    <row r="1356" spans="1:20" x14ac:dyDescent="0.25">
      <c r="A1356" s="42">
        <v>45716</v>
      </c>
      <c r="B1356" s="1" t="s">
        <v>1217</v>
      </c>
      <c r="C1356" t="s">
        <v>2646</v>
      </c>
      <c r="D1356" s="43">
        <v>-184488.58</v>
      </c>
      <c r="E1356" s="22" t="s">
        <v>35</v>
      </c>
      <c r="F1356" s="2">
        <v>110114001</v>
      </c>
      <c r="G1356" s="2" t="s">
        <v>301</v>
      </c>
      <c r="L1356" s="2" t="s">
        <v>2647</v>
      </c>
      <c r="M1356" t="s">
        <v>303</v>
      </c>
      <c r="N1356" t="s">
        <v>304</v>
      </c>
      <c r="P1356" s="23">
        <v>64.25</v>
      </c>
      <c r="Q1356" s="4">
        <f t="shared" si="21"/>
        <v>-2871.417587548638</v>
      </c>
      <c r="R1356" s="23" t="s">
        <v>1198</v>
      </c>
      <c r="S1356" s="33" t="s">
        <v>1353</v>
      </c>
    </row>
    <row r="1357" spans="1:20" x14ac:dyDescent="0.25">
      <c r="A1357" s="42">
        <v>45716</v>
      </c>
      <c r="B1357" s="1" t="s">
        <v>2573</v>
      </c>
      <c r="C1357" t="s">
        <v>2648</v>
      </c>
      <c r="D1357" s="43">
        <v>-4036.8</v>
      </c>
      <c r="E1357" s="22" t="s">
        <v>35</v>
      </c>
      <c r="F1357" s="2">
        <v>110114001</v>
      </c>
      <c r="G1357" s="2" t="s">
        <v>301</v>
      </c>
      <c r="L1357" s="2" t="s">
        <v>2649</v>
      </c>
      <c r="M1357" t="s">
        <v>725</v>
      </c>
      <c r="N1357" t="s">
        <v>726</v>
      </c>
      <c r="P1357" s="23">
        <v>64.25</v>
      </c>
      <c r="Q1357" s="4">
        <f t="shared" si="21"/>
        <v>-62.829571984435802</v>
      </c>
      <c r="R1357" s="23" t="s">
        <v>1198</v>
      </c>
      <c r="S1357" s="33" t="s">
        <v>1353</v>
      </c>
    </row>
    <row r="1358" spans="1:20" x14ac:dyDescent="0.25">
      <c r="A1358" s="42">
        <v>45716</v>
      </c>
      <c r="B1358" s="1" t="s">
        <v>1214</v>
      </c>
      <c r="C1358" t="s">
        <v>2650</v>
      </c>
      <c r="D1358" s="43">
        <v>-11035.2</v>
      </c>
      <c r="E1358" s="22" t="s">
        <v>35</v>
      </c>
      <c r="F1358" s="2">
        <v>110114001</v>
      </c>
      <c r="G1358" s="2" t="s">
        <v>301</v>
      </c>
      <c r="L1358" s="2" t="s">
        <v>2651</v>
      </c>
      <c r="M1358" t="s">
        <v>114</v>
      </c>
      <c r="N1358" t="s">
        <v>115</v>
      </c>
      <c r="P1358" s="23">
        <v>64.25</v>
      </c>
      <c r="Q1358" s="4">
        <f t="shared" si="21"/>
        <v>-171.75408560311286</v>
      </c>
      <c r="R1358" s="23" t="s">
        <v>1198</v>
      </c>
      <c r="S1358" s="33" t="s">
        <v>1353</v>
      </c>
    </row>
    <row r="1359" spans="1:20" x14ac:dyDescent="0.25">
      <c r="A1359" s="42">
        <v>45716</v>
      </c>
      <c r="B1359" s="1" t="s">
        <v>1220</v>
      </c>
      <c r="C1359" t="s">
        <v>1221</v>
      </c>
      <c r="D1359" s="43">
        <v>-461.22</v>
      </c>
      <c r="E1359" s="22" t="s">
        <v>35</v>
      </c>
      <c r="F1359" s="2">
        <v>610148001</v>
      </c>
      <c r="G1359" s="2" t="s">
        <v>42</v>
      </c>
      <c r="L1359" s="2" t="s">
        <v>2652</v>
      </c>
      <c r="M1359" t="s">
        <v>43</v>
      </c>
      <c r="N1359" t="s">
        <v>42</v>
      </c>
      <c r="P1359" s="23">
        <v>64.25</v>
      </c>
      <c r="Q1359" s="4">
        <f t="shared" si="21"/>
        <v>-7.1785214007782105</v>
      </c>
      <c r="R1359" s="23" t="s">
        <v>1198</v>
      </c>
      <c r="T1359" s="23" t="s">
        <v>1313</v>
      </c>
    </row>
    <row r="1360" spans="1:20" x14ac:dyDescent="0.25">
      <c r="A1360" s="42">
        <v>45716</v>
      </c>
      <c r="B1360" s="1" t="s">
        <v>1225</v>
      </c>
      <c r="C1360" t="s">
        <v>1221</v>
      </c>
      <c r="D1360" s="43">
        <v>-27.58</v>
      </c>
      <c r="E1360" s="22" t="s">
        <v>35</v>
      </c>
      <c r="F1360" s="2">
        <v>610148001</v>
      </c>
      <c r="G1360" s="2" t="s">
        <v>42</v>
      </c>
      <c r="L1360" s="2" t="s">
        <v>2653</v>
      </c>
      <c r="M1360" t="s">
        <v>43</v>
      </c>
      <c r="N1360" t="s">
        <v>42</v>
      </c>
      <c r="P1360" s="23">
        <v>64.25</v>
      </c>
      <c r="Q1360" s="4">
        <f t="shared" si="21"/>
        <v>-0.42926070038910502</v>
      </c>
      <c r="R1360" s="23" t="s">
        <v>1198</v>
      </c>
      <c r="T1360" s="23" t="s">
        <v>1313</v>
      </c>
    </row>
    <row r="1361" spans="1:20" x14ac:dyDescent="0.25">
      <c r="A1361" s="42">
        <v>45716</v>
      </c>
      <c r="B1361" s="1" t="s">
        <v>2582</v>
      </c>
      <c r="C1361" t="s">
        <v>1221</v>
      </c>
      <c r="D1361" s="43">
        <v>-10.09</v>
      </c>
      <c r="E1361" s="22" t="s">
        <v>35</v>
      </c>
      <c r="F1361" s="2">
        <v>610148001</v>
      </c>
      <c r="G1361" s="2" t="s">
        <v>42</v>
      </c>
      <c r="L1361" s="2" t="s">
        <v>2654</v>
      </c>
      <c r="M1361" t="s">
        <v>43</v>
      </c>
      <c r="N1361" t="s">
        <v>42</v>
      </c>
      <c r="P1361" s="23">
        <v>64.25</v>
      </c>
      <c r="Q1361" s="4">
        <f t="shared" si="21"/>
        <v>-0.15704280155642023</v>
      </c>
      <c r="R1361" s="23" t="s">
        <v>1198</v>
      </c>
      <c r="T1361" s="23" t="s">
        <v>1313</v>
      </c>
    </row>
    <row r="1362" spans="1:20" x14ac:dyDescent="0.25">
      <c r="A1362" s="42">
        <v>45716</v>
      </c>
      <c r="B1362" s="1" t="s">
        <v>1223</v>
      </c>
      <c r="C1362" t="s">
        <v>1221</v>
      </c>
      <c r="D1362" s="43">
        <v>-5.01</v>
      </c>
      <c r="E1362" s="22" t="s">
        <v>35</v>
      </c>
      <c r="F1362" s="2">
        <v>610148001</v>
      </c>
      <c r="G1362" s="2" t="s">
        <v>42</v>
      </c>
      <c r="L1362" s="2" t="s">
        <v>2655</v>
      </c>
      <c r="M1362" t="s">
        <v>43</v>
      </c>
      <c r="N1362" t="s">
        <v>42</v>
      </c>
      <c r="P1362" s="23">
        <v>64.25</v>
      </c>
      <c r="Q1362" s="4">
        <f t="shared" si="21"/>
        <v>-7.7976653696498047E-2</v>
      </c>
      <c r="R1362" s="23" t="s">
        <v>1198</v>
      </c>
      <c r="T1362" s="23" t="s">
        <v>1313</v>
      </c>
    </row>
    <row r="1363" spans="1:20" x14ac:dyDescent="0.25">
      <c r="A1363" s="42">
        <v>45716</v>
      </c>
      <c r="B1363" s="1" t="s">
        <v>1227</v>
      </c>
      <c r="C1363" t="s">
        <v>1221</v>
      </c>
      <c r="D1363" s="43">
        <v>-83.41</v>
      </c>
      <c r="E1363" s="22" t="s">
        <v>35</v>
      </c>
      <c r="F1363" s="2">
        <v>610148001</v>
      </c>
      <c r="G1363" s="2" t="s">
        <v>42</v>
      </c>
      <c r="L1363" s="2" t="s">
        <v>2656</v>
      </c>
      <c r="M1363" t="s">
        <v>43</v>
      </c>
      <c r="N1363" t="s">
        <v>42</v>
      </c>
      <c r="P1363" s="23">
        <v>64.25</v>
      </c>
      <c r="Q1363" s="4">
        <f t="shared" si="21"/>
        <v>-1.2982101167315174</v>
      </c>
      <c r="R1363" s="23" t="s">
        <v>1198</v>
      </c>
      <c r="T1363" s="23" t="s">
        <v>1313</v>
      </c>
    </row>
    <row r="1364" spans="1:20" x14ac:dyDescent="0.25">
      <c r="A1364" s="42">
        <v>45729</v>
      </c>
      <c r="B1364" s="1">
        <v>82</v>
      </c>
      <c r="C1364" t="s">
        <v>51</v>
      </c>
      <c r="D1364" s="22">
        <v>-49.22</v>
      </c>
      <c r="E1364" t="s">
        <v>35</v>
      </c>
      <c r="F1364" s="2">
        <v>610148001</v>
      </c>
      <c r="G1364" s="2" t="s">
        <v>42</v>
      </c>
      <c r="L1364" s="2" t="s">
        <v>2657</v>
      </c>
      <c r="M1364" t="s">
        <v>43</v>
      </c>
      <c r="N1364" t="s">
        <v>42</v>
      </c>
      <c r="P1364" s="23">
        <v>66.25</v>
      </c>
      <c r="Q1364" s="4">
        <f t="shared" si="21"/>
        <v>-0.74294339622641503</v>
      </c>
      <c r="R1364" s="23" t="s">
        <v>53</v>
      </c>
      <c r="T1364" s="23" t="s">
        <v>2658</v>
      </c>
    </row>
    <row r="1365" spans="1:20" x14ac:dyDescent="0.25">
      <c r="A1365" s="42">
        <v>45729</v>
      </c>
      <c r="B1365" s="1">
        <v>81</v>
      </c>
      <c r="C1365" t="s">
        <v>2659</v>
      </c>
      <c r="D1365" s="22">
        <v>-16407.5</v>
      </c>
      <c r="E1365" t="s">
        <v>35</v>
      </c>
      <c r="F1365" s="2">
        <v>840101001</v>
      </c>
      <c r="G1365" s="2" t="s">
        <v>65</v>
      </c>
      <c r="L1365" s="2" t="s">
        <v>2660</v>
      </c>
      <c r="M1365" t="s">
        <v>67</v>
      </c>
      <c r="N1365" t="s">
        <v>68</v>
      </c>
      <c r="P1365" s="23">
        <v>66.25</v>
      </c>
      <c r="Q1365" s="4">
        <f t="shared" si="21"/>
        <v>-247.66037735849056</v>
      </c>
      <c r="R1365" s="23" t="s">
        <v>53</v>
      </c>
    </row>
    <row r="1366" spans="1:20" x14ac:dyDescent="0.25">
      <c r="A1366" s="42">
        <v>45729</v>
      </c>
      <c r="B1366" s="1">
        <v>80</v>
      </c>
      <c r="C1366" t="s">
        <v>107</v>
      </c>
      <c r="D1366" s="22">
        <v>17000</v>
      </c>
      <c r="E1366" t="s">
        <v>46</v>
      </c>
      <c r="F1366" s="2">
        <v>210115002</v>
      </c>
      <c r="G1366" s="2" t="s">
        <v>47</v>
      </c>
      <c r="L1366" s="2" t="s">
        <v>2661</v>
      </c>
      <c r="N1366" t="s">
        <v>107</v>
      </c>
      <c r="P1366" s="23">
        <v>66.25</v>
      </c>
      <c r="Q1366" s="4">
        <f t="shared" si="21"/>
        <v>256.60377358490564</v>
      </c>
      <c r="R1366" s="23" t="s">
        <v>53</v>
      </c>
    </row>
    <row r="1367" spans="1:20" x14ac:dyDescent="0.25">
      <c r="A1367" s="42">
        <v>45743</v>
      </c>
      <c r="B1367" s="1">
        <v>85</v>
      </c>
      <c r="C1367" t="s">
        <v>51</v>
      </c>
      <c r="D1367" s="22">
        <v>-51.52</v>
      </c>
      <c r="E1367" t="s">
        <v>35</v>
      </c>
      <c r="F1367" s="2">
        <v>610148001</v>
      </c>
      <c r="G1367" s="2" t="s">
        <v>42</v>
      </c>
      <c r="L1367" s="2" t="s">
        <v>2662</v>
      </c>
      <c r="M1367" t="s">
        <v>43</v>
      </c>
      <c r="N1367" t="s">
        <v>42</v>
      </c>
      <c r="P1367" s="23">
        <v>69.02</v>
      </c>
      <c r="Q1367" s="4">
        <f t="shared" si="21"/>
        <v>-0.74645030425963499</v>
      </c>
      <c r="R1367" s="23" t="s">
        <v>53</v>
      </c>
      <c r="T1367" s="23" t="s">
        <v>2658</v>
      </c>
    </row>
    <row r="1368" spans="1:20" x14ac:dyDescent="0.25">
      <c r="A1368" s="42">
        <v>45743</v>
      </c>
      <c r="B1368" s="1">
        <v>84</v>
      </c>
      <c r="C1368" t="s">
        <v>2663</v>
      </c>
      <c r="D1368" s="22">
        <v>-17175</v>
      </c>
      <c r="E1368" t="s">
        <v>35</v>
      </c>
      <c r="F1368" s="2">
        <v>840101001</v>
      </c>
      <c r="G1368" s="2" t="s">
        <v>65</v>
      </c>
      <c r="L1368" s="2" t="s">
        <v>2664</v>
      </c>
      <c r="M1368" t="s">
        <v>67</v>
      </c>
      <c r="N1368" t="s">
        <v>68</v>
      </c>
      <c r="P1368" s="23">
        <v>69.02</v>
      </c>
      <c r="Q1368" s="4">
        <f t="shared" si="21"/>
        <v>-248.84091567661548</v>
      </c>
      <c r="R1368" s="23" t="s">
        <v>53</v>
      </c>
    </row>
    <row r="1369" spans="1:20" x14ac:dyDescent="0.25">
      <c r="A1369" s="42">
        <v>45743</v>
      </c>
      <c r="B1369" s="1">
        <v>83</v>
      </c>
      <c r="C1369" t="s">
        <v>107</v>
      </c>
      <c r="D1369" s="22">
        <v>20000</v>
      </c>
      <c r="E1369" t="s">
        <v>46</v>
      </c>
      <c r="F1369" s="2">
        <v>210115002</v>
      </c>
      <c r="G1369" s="2" t="s">
        <v>47</v>
      </c>
      <c r="L1369" s="2" t="s">
        <v>2665</v>
      </c>
      <c r="N1369" t="s">
        <v>107</v>
      </c>
      <c r="P1369" s="23">
        <v>69.02</v>
      </c>
      <c r="Q1369" s="4">
        <f t="shared" si="21"/>
        <v>289.77108084613155</v>
      </c>
      <c r="R1369" s="23" t="s">
        <v>53</v>
      </c>
    </row>
    <row r="1370" spans="1:20" x14ac:dyDescent="0.25">
      <c r="A1370" s="42">
        <v>45747</v>
      </c>
      <c r="B1370" s="1">
        <v>87</v>
      </c>
      <c r="C1370" t="s">
        <v>84</v>
      </c>
      <c r="D1370" s="22">
        <v>-0.5</v>
      </c>
      <c r="E1370" t="s">
        <v>35</v>
      </c>
      <c r="F1370" s="2">
        <v>610148001</v>
      </c>
      <c r="G1370" s="2" t="s">
        <v>42</v>
      </c>
      <c r="L1370" s="2" t="s">
        <v>2666</v>
      </c>
      <c r="M1370" t="s">
        <v>43</v>
      </c>
      <c r="N1370" t="s">
        <v>42</v>
      </c>
      <c r="P1370" s="23">
        <v>69.569999999999993</v>
      </c>
      <c r="Q1370" s="4">
        <f t="shared" si="21"/>
        <v>-7.1870058933448337E-3</v>
      </c>
      <c r="R1370" s="23" t="s">
        <v>53</v>
      </c>
      <c r="T1370" s="23" t="s">
        <v>2658</v>
      </c>
    </row>
    <row r="1371" spans="1:20" x14ac:dyDescent="0.25">
      <c r="A1371" s="42">
        <v>45747</v>
      </c>
      <c r="B1371" s="1">
        <v>86</v>
      </c>
      <c r="C1371" t="s">
        <v>86</v>
      </c>
      <c r="D1371" s="22">
        <v>-0.5</v>
      </c>
      <c r="E1371" t="s">
        <v>35</v>
      </c>
      <c r="F1371" s="2">
        <v>610148001</v>
      </c>
      <c r="G1371" s="2" t="s">
        <v>42</v>
      </c>
      <c r="L1371" s="2" t="s">
        <v>2667</v>
      </c>
      <c r="M1371" t="s">
        <v>43</v>
      </c>
      <c r="N1371" t="s">
        <v>42</v>
      </c>
      <c r="P1371" s="23">
        <v>69.569999999999993</v>
      </c>
      <c r="Q1371" s="4">
        <f t="shared" si="21"/>
        <v>-7.1870058933448337E-3</v>
      </c>
      <c r="R1371" s="23" t="s">
        <v>53</v>
      </c>
      <c r="T1371" s="23" t="s">
        <v>2658</v>
      </c>
    </row>
    <row r="1372" spans="1:20" x14ac:dyDescent="0.25">
      <c r="A1372" s="42">
        <v>45721</v>
      </c>
      <c r="B1372" s="1">
        <v>140256027</v>
      </c>
      <c r="C1372" t="s">
        <v>107</v>
      </c>
      <c r="D1372" s="22">
        <v>40000</v>
      </c>
      <c r="E1372" t="s">
        <v>46</v>
      </c>
      <c r="F1372" s="2">
        <v>210115002</v>
      </c>
      <c r="G1372" s="2" t="s">
        <v>47</v>
      </c>
      <c r="L1372" s="2" t="s">
        <v>2668</v>
      </c>
      <c r="N1372" t="s">
        <v>107</v>
      </c>
      <c r="P1372" s="23">
        <v>64.48</v>
      </c>
      <c r="Q1372" s="4">
        <f t="shared" si="21"/>
        <v>620.3473945409429</v>
      </c>
      <c r="R1372" s="23" t="s">
        <v>109</v>
      </c>
    </row>
    <row r="1373" spans="1:20" x14ac:dyDescent="0.25">
      <c r="A1373" s="42">
        <v>45721</v>
      </c>
      <c r="B1373" s="1">
        <v>519384155</v>
      </c>
      <c r="C1373" t="s">
        <v>2669</v>
      </c>
      <c r="D1373" s="22">
        <v>-58411.14</v>
      </c>
      <c r="E1373" t="s">
        <v>35</v>
      </c>
      <c r="F1373" s="2">
        <v>210101001</v>
      </c>
      <c r="G1373" s="2" t="s">
        <v>36</v>
      </c>
      <c r="L1373" s="2" t="s">
        <v>2670</v>
      </c>
      <c r="M1373" t="s">
        <v>1600</v>
      </c>
      <c r="N1373" t="s">
        <v>1601</v>
      </c>
      <c r="P1373" s="23">
        <v>64.48</v>
      </c>
      <c r="Q1373" s="4">
        <f t="shared" si="21"/>
        <v>-905.87996277915624</v>
      </c>
      <c r="R1373" s="23" t="s">
        <v>109</v>
      </c>
    </row>
    <row r="1374" spans="1:20" x14ac:dyDescent="0.25">
      <c r="A1374" s="42">
        <v>45721</v>
      </c>
      <c r="B1374" s="1">
        <v>50312996</v>
      </c>
      <c r="C1374" t="s">
        <v>2671</v>
      </c>
      <c r="D1374" s="22">
        <v>-2295.5</v>
      </c>
      <c r="E1374" t="s">
        <v>35</v>
      </c>
      <c r="F1374" s="2">
        <v>210101001</v>
      </c>
      <c r="G1374" s="2" t="s">
        <v>36</v>
      </c>
      <c r="L1374" s="2" t="s">
        <v>2672</v>
      </c>
      <c r="M1374" t="s">
        <v>742</v>
      </c>
      <c r="N1374" t="s">
        <v>743</v>
      </c>
      <c r="P1374" s="23">
        <v>64.48</v>
      </c>
      <c r="Q1374" s="4">
        <f t="shared" si="21"/>
        <v>-35.600186104218359</v>
      </c>
      <c r="R1374" s="23" t="s">
        <v>109</v>
      </c>
    </row>
    <row r="1375" spans="1:20" x14ac:dyDescent="0.25">
      <c r="A1375" s="42">
        <v>45721</v>
      </c>
      <c r="B1375" s="1">
        <v>50312996</v>
      </c>
      <c r="C1375" t="s">
        <v>296</v>
      </c>
      <c r="D1375" s="22">
        <v>-3.44</v>
      </c>
      <c r="E1375" t="s">
        <v>35</v>
      </c>
      <c r="F1375" s="2">
        <v>610148001</v>
      </c>
      <c r="G1375" s="2" t="s">
        <v>42</v>
      </c>
      <c r="L1375" s="2" t="s">
        <v>2673</v>
      </c>
      <c r="M1375" t="s">
        <v>43</v>
      </c>
      <c r="N1375" t="s">
        <v>42</v>
      </c>
      <c r="P1375" s="23">
        <v>64.48</v>
      </c>
      <c r="Q1375" s="4">
        <f t="shared" si="21"/>
        <v>-5.3349875930521089E-2</v>
      </c>
      <c r="R1375" s="23" t="s">
        <v>109</v>
      </c>
      <c r="T1375" s="23" t="s">
        <v>2658</v>
      </c>
    </row>
    <row r="1376" spans="1:20" x14ac:dyDescent="0.25">
      <c r="A1376" s="42">
        <v>45721</v>
      </c>
      <c r="B1376" s="1">
        <v>50312996</v>
      </c>
      <c r="C1376" t="s">
        <v>118</v>
      </c>
      <c r="D1376" s="22">
        <v>-146.02000000000001</v>
      </c>
      <c r="E1376" t="s">
        <v>35</v>
      </c>
      <c r="F1376" s="2">
        <v>610148001</v>
      </c>
      <c r="G1376" s="2" t="s">
        <v>42</v>
      </c>
      <c r="L1376" s="2" t="s">
        <v>2674</v>
      </c>
      <c r="M1376" t="s">
        <v>43</v>
      </c>
      <c r="N1376" t="s">
        <v>42</v>
      </c>
      <c r="P1376" s="23">
        <v>64.48</v>
      </c>
      <c r="Q1376" s="4">
        <f t="shared" si="21"/>
        <v>-2.2645781637717124</v>
      </c>
      <c r="R1376" s="23" t="s">
        <v>109</v>
      </c>
      <c r="T1376" s="23" t="s">
        <v>2658</v>
      </c>
    </row>
    <row r="1377" spans="1:20" x14ac:dyDescent="0.25">
      <c r="A1377" s="42">
        <v>45722</v>
      </c>
      <c r="B1377" s="1">
        <v>152718273</v>
      </c>
      <c r="C1377" t="s">
        <v>107</v>
      </c>
      <c r="D1377" s="22">
        <v>238000</v>
      </c>
      <c r="E1377" t="s">
        <v>46</v>
      </c>
      <c r="F1377" s="2">
        <v>210115002</v>
      </c>
      <c r="G1377" s="2" t="s">
        <v>47</v>
      </c>
      <c r="L1377" s="2" t="s">
        <v>2675</v>
      </c>
      <c r="N1377" t="s">
        <v>107</v>
      </c>
      <c r="P1377" s="23">
        <v>64.61</v>
      </c>
      <c r="Q1377" s="4">
        <f t="shared" si="21"/>
        <v>3683.6403033586134</v>
      </c>
      <c r="R1377" s="23" t="s">
        <v>109</v>
      </c>
    </row>
    <row r="1378" spans="1:20" x14ac:dyDescent="0.25">
      <c r="A1378" s="42">
        <v>45722</v>
      </c>
      <c r="B1378" s="1">
        <v>319435486</v>
      </c>
      <c r="C1378" t="s">
        <v>2676</v>
      </c>
      <c r="D1378" s="22">
        <v>-31010.86</v>
      </c>
      <c r="E1378" t="s">
        <v>35</v>
      </c>
      <c r="F1378" s="2">
        <v>210101001</v>
      </c>
      <c r="G1378" s="2" t="s">
        <v>36</v>
      </c>
      <c r="L1378" s="2" t="s">
        <v>2677</v>
      </c>
      <c r="M1378" t="s">
        <v>2028</v>
      </c>
      <c r="N1378" t="s">
        <v>2029</v>
      </c>
      <c r="P1378" s="23">
        <v>64.61</v>
      </c>
      <c r="Q1378" s="4">
        <f t="shared" si="21"/>
        <v>-479.96997368828357</v>
      </c>
      <c r="R1378" s="23" t="s">
        <v>109</v>
      </c>
    </row>
    <row r="1379" spans="1:20" x14ac:dyDescent="0.25">
      <c r="A1379" s="42">
        <v>45722</v>
      </c>
      <c r="B1379" s="1">
        <v>319435486</v>
      </c>
      <c r="C1379" t="s">
        <v>306</v>
      </c>
      <c r="D1379" s="22">
        <v>-93.03</v>
      </c>
      <c r="E1379" t="s">
        <v>35</v>
      </c>
      <c r="F1379" s="2">
        <v>610148001</v>
      </c>
      <c r="G1379" s="2" t="s">
        <v>42</v>
      </c>
      <c r="L1379" s="2" t="s">
        <v>2678</v>
      </c>
      <c r="M1379" t="s">
        <v>43</v>
      </c>
      <c r="N1379" t="s">
        <v>42</v>
      </c>
      <c r="P1379" s="23">
        <v>64.61</v>
      </c>
      <c r="Q1379" s="4">
        <f t="shared" si="21"/>
        <v>-1.4398699891657638</v>
      </c>
      <c r="R1379" s="23" t="s">
        <v>109</v>
      </c>
      <c r="T1379" s="23" t="s">
        <v>2658</v>
      </c>
    </row>
    <row r="1380" spans="1:20" x14ac:dyDescent="0.25">
      <c r="A1380" s="42">
        <v>45722</v>
      </c>
      <c r="B1380" s="1">
        <v>153032951</v>
      </c>
      <c r="C1380" t="s">
        <v>2679</v>
      </c>
      <c r="D1380" s="22">
        <v>-206660.25</v>
      </c>
      <c r="E1380" t="s">
        <v>35</v>
      </c>
      <c r="L1380" s="2" t="s">
        <v>2680</v>
      </c>
      <c r="N1380" t="s">
        <v>2681</v>
      </c>
      <c r="P1380" s="23">
        <v>64.61</v>
      </c>
      <c r="Q1380" s="4">
        <f t="shared" si="21"/>
        <v>-3198.5799411855751</v>
      </c>
      <c r="R1380" s="23" t="s">
        <v>109</v>
      </c>
      <c r="S1380" s="3" t="s">
        <v>1811</v>
      </c>
    </row>
    <row r="1381" spans="1:20" x14ac:dyDescent="0.25">
      <c r="A1381" s="42">
        <v>45723</v>
      </c>
      <c r="B1381" s="1">
        <v>113039780</v>
      </c>
      <c r="C1381" t="s">
        <v>107</v>
      </c>
      <c r="D1381" s="22">
        <v>54000</v>
      </c>
      <c r="E1381" t="s">
        <v>46</v>
      </c>
      <c r="F1381" s="2">
        <v>210115002</v>
      </c>
      <c r="G1381" s="2" t="s">
        <v>47</v>
      </c>
      <c r="L1381" s="2" t="s">
        <v>2682</v>
      </c>
      <c r="N1381" t="s">
        <v>107</v>
      </c>
      <c r="P1381" s="23">
        <v>64.75</v>
      </c>
      <c r="Q1381" s="4">
        <f t="shared" si="21"/>
        <v>833.97683397683397</v>
      </c>
      <c r="R1381" s="23" t="s">
        <v>109</v>
      </c>
    </row>
    <row r="1382" spans="1:20" x14ac:dyDescent="0.25">
      <c r="A1382" s="42">
        <v>45723</v>
      </c>
      <c r="B1382" s="1">
        <v>719461217</v>
      </c>
      <c r="C1382" t="s">
        <v>2683</v>
      </c>
      <c r="D1382" s="22">
        <v>-12667.2</v>
      </c>
      <c r="E1382" t="s">
        <v>35</v>
      </c>
      <c r="F1382" s="2">
        <v>210101001</v>
      </c>
      <c r="G1382" s="2" t="s">
        <v>36</v>
      </c>
      <c r="L1382" s="2" t="s">
        <v>2684</v>
      </c>
      <c r="M1382" t="s">
        <v>788</v>
      </c>
      <c r="N1382" t="s">
        <v>789</v>
      </c>
      <c r="P1382" s="23">
        <v>64.75</v>
      </c>
      <c r="Q1382" s="4">
        <f t="shared" si="21"/>
        <v>-195.63243243243244</v>
      </c>
      <c r="R1382" s="23" t="s">
        <v>109</v>
      </c>
    </row>
    <row r="1383" spans="1:20" x14ac:dyDescent="0.25">
      <c r="A1383" s="42">
        <v>45723</v>
      </c>
      <c r="B1383" s="1">
        <v>719461218</v>
      </c>
      <c r="C1383" t="s">
        <v>2685</v>
      </c>
      <c r="D1383" s="22">
        <v>-1554</v>
      </c>
      <c r="E1383" t="s">
        <v>35</v>
      </c>
      <c r="F1383" s="2">
        <v>212901001</v>
      </c>
      <c r="G1383" s="2" t="s">
        <v>121</v>
      </c>
      <c r="L1383" s="2" t="s">
        <v>2686</v>
      </c>
      <c r="M1383" t="s">
        <v>67</v>
      </c>
      <c r="N1383" t="s">
        <v>68</v>
      </c>
      <c r="P1383" s="23">
        <v>64.75</v>
      </c>
      <c r="Q1383" s="4">
        <f t="shared" si="21"/>
        <v>-24</v>
      </c>
      <c r="R1383" s="23" t="s">
        <v>109</v>
      </c>
    </row>
    <row r="1384" spans="1:20" x14ac:dyDescent="0.25">
      <c r="A1384" s="42">
        <v>45723</v>
      </c>
      <c r="B1384" s="1">
        <v>819461219</v>
      </c>
      <c r="C1384" t="s">
        <v>2687</v>
      </c>
      <c r="D1384" s="22">
        <v>-3237.5</v>
      </c>
      <c r="E1384" t="s">
        <v>35</v>
      </c>
      <c r="F1384" s="2">
        <v>212901001</v>
      </c>
      <c r="G1384" s="2" t="s">
        <v>121</v>
      </c>
      <c r="L1384" s="2" t="s">
        <v>2688</v>
      </c>
      <c r="M1384" t="s">
        <v>67</v>
      </c>
      <c r="N1384" t="s">
        <v>68</v>
      </c>
      <c r="P1384" s="23">
        <v>64.75</v>
      </c>
      <c r="Q1384" s="4">
        <f t="shared" si="21"/>
        <v>-50</v>
      </c>
      <c r="R1384" s="23" t="s">
        <v>109</v>
      </c>
    </row>
    <row r="1385" spans="1:20" x14ac:dyDescent="0.25">
      <c r="A1385" s="42">
        <v>45723</v>
      </c>
      <c r="B1385" s="1">
        <v>819461222</v>
      </c>
      <c r="C1385" t="s">
        <v>2689</v>
      </c>
      <c r="D1385" s="22">
        <v>-3885</v>
      </c>
      <c r="E1385" t="s">
        <v>35</v>
      </c>
      <c r="F1385" s="2">
        <v>212901001</v>
      </c>
      <c r="G1385" s="2" t="s">
        <v>121</v>
      </c>
      <c r="L1385" s="2" t="s">
        <v>2690</v>
      </c>
      <c r="M1385" t="s">
        <v>67</v>
      </c>
      <c r="N1385" t="s">
        <v>68</v>
      </c>
      <c r="P1385" s="23">
        <v>64.75</v>
      </c>
      <c r="Q1385" s="4">
        <f t="shared" si="21"/>
        <v>-60</v>
      </c>
      <c r="R1385" s="23" t="s">
        <v>109</v>
      </c>
    </row>
    <row r="1386" spans="1:20" x14ac:dyDescent="0.25">
      <c r="A1386" s="42">
        <v>45723</v>
      </c>
      <c r="B1386" s="1">
        <v>819461223</v>
      </c>
      <c r="C1386" t="s">
        <v>2691</v>
      </c>
      <c r="D1386" s="22">
        <v>-1295</v>
      </c>
      <c r="E1386" t="s">
        <v>35</v>
      </c>
      <c r="F1386" s="2">
        <v>212901001</v>
      </c>
      <c r="G1386" s="2" t="s">
        <v>121</v>
      </c>
      <c r="L1386" s="2" t="s">
        <v>2692</v>
      </c>
      <c r="M1386" t="s">
        <v>67</v>
      </c>
      <c r="N1386" t="s">
        <v>68</v>
      </c>
      <c r="P1386" s="23">
        <v>64.75</v>
      </c>
      <c r="Q1386" s="4">
        <f t="shared" si="21"/>
        <v>-20</v>
      </c>
      <c r="R1386" s="23" t="s">
        <v>109</v>
      </c>
    </row>
    <row r="1387" spans="1:20" x14ac:dyDescent="0.25">
      <c r="A1387" s="42">
        <v>45723</v>
      </c>
      <c r="B1387" s="1">
        <v>819461225</v>
      </c>
      <c r="C1387" t="s">
        <v>2693</v>
      </c>
      <c r="D1387" s="22">
        <v>-1295</v>
      </c>
      <c r="E1387" t="s">
        <v>35</v>
      </c>
      <c r="F1387" s="2">
        <v>212901001</v>
      </c>
      <c r="G1387" s="2" t="s">
        <v>121</v>
      </c>
      <c r="L1387" s="2" t="s">
        <v>2694</v>
      </c>
      <c r="M1387" t="s">
        <v>67</v>
      </c>
      <c r="N1387" t="s">
        <v>68</v>
      </c>
      <c r="P1387" s="23">
        <v>64.75</v>
      </c>
      <c r="Q1387" s="4">
        <f t="shared" si="21"/>
        <v>-20</v>
      </c>
      <c r="R1387" s="23" t="s">
        <v>109</v>
      </c>
    </row>
    <row r="1388" spans="1:20" x14ac:dyDescent="0.25">
      <c r="A1388" s="42">
        <v>45723</v>
      </c>
      <c r="B1388" s="1">
        <v>819461224</v>
      </c>
      <c r="C1388" t="s">
        <v>2695</v>
      </c>
      <c r="D1388" s="22">
        <v>-1295</v>
      </c>
      <c r="E1388" t="s">
        <v>35</v>
      </c>
      <c r="F1388" s="2">
        <v>212901001</v>
      </c>
      <c r="G1388" s="2" t="s">
        <v>121</v>
      </c>
      <c r="L1388" s="2" t="s">
        <v>2696</v>
      </c>
      <c r="M1388" t="s">
        <v>67</v>
      </c>
      <c r="N1388" t="s">
        <v>68</v>
      </c>
      <c r="P1388" s="23">
        <v>64.75</v>
      </c>
      <c r="Q1388" s="4">
        <f t="shared" si="21"/>
        <v>-20</v>
      </c>
      <c r="R1388" s="23" t="s">
        <v>109</v>
      </c>
    </row>
    <row r="1389" spans="1:20" x14ac:dyDescent="0.25">
      <c r="A1389" s="42">
        <v>45723</v>
      </c>
      <c r="B1389" s="1">
        <v>819461226</v>
      </c>
      <c r="C1389" t="s">
        <v>2697</v>
      </c>
      <c r="D1389" s="22">
        <v>-1295</v>
      </c>
      <c r="E1389" t="s">
        <v>35</v>
      </c>
      <c r="F1389" s="2">
        <v>212901001</v>
      </c>
      <c r="G1389" s="2" t="s">
        <v>121</v>
      </c>
      <c r="L1389" s="2" t="s">
        <v>2698</v>
      </c>
      <c r="M1389" t="s">
        <v>67</v>
      </c>
      <c r="N1389" t="s">
        <v>68</v>
      </c>
      <c r="P1389" s="23">
        <v>64.75</v>
      </c>
      <c r="Q1389" s="4">
        <f t="shared" si="21"/>
        <v>-20</v>
      </c>
      <c r="R1389" s="23" t="s">
        <v>109</v>
      </c>
    </row>
    <row r="1390" spans="1:20" x14ac:dyDescent="0.25">
      <c r="A1390" s="42">
        <v>45723</v>
      </c>
      <c r="B1390" s="1">
        <v>819461227</v>
      </c>
      <c r="C1390" t="s">
        <v>2699</v>
      </c>
      <c r="D1390" s="22">
        <v>-4446</v>
      </c>
      <c r="E1390" t="s">
        <v>35</v>
      </c>
      <c r="F1390" s="2">
        <v>210101001</v>
      </c>
      <c r="G1390" s="2" t="s">
        <v>36</v>
      </c>
      <c r="L1390" s="2" t="s">
        <v>2700</v>
      </c>
      <c r="M1390" t="s">
        <v>114</v>
      </c>
      <c r="N1390" t="s">
        <v>115</v>
      </c>
      <c r="P1390" s="23">
        <v>64.75</v>
      </c>
      <c r="Q1390" s="4">
        <f t="shared" si="21"/>
        <v>-68.664092664092664</v>
      </c>
      <c r="R1390" s="23" t="s">
        <v>109</v>
      </c>
    </row>
    <row r="1391" spans="1:20" x14ac:dyDescent="0.25">
      <c r="A1391" s="45">
        <v>45723</v>
      </c>
      <c r="B1391" s="26">
        <v>819461228</v>
      </c>
      <c r="C1391" s="27" t="s">
        <v>54</v>
      </c>
      <c r="D1391" s="28">
        <v>-7770</v>
      </c>
      <c r="E1391" s="27" t="s">
        <v>35</v>
      </c>
      <c r="F1391" s="29">
        <v>610129001</v>
      </c>
      <c r="G1391" s="29" t="s">
        <v>55</v>
      </c>
      <c r="H1391" s="107"/>
      <c r="I1391" s="101"/>
      <c r="J1391" s="101"/>
      <c r="K1391" s="29"/>
      <c r="L1391" s="2" t="s">
        <v>2701</v>
      </c>
      <c r="M1391" s="27" t="s">
        <v>57</v>
      </c>
      <c r="N1391" s="27" t="s">
        <v>58</v>
      </c>
      <c r="O1391" s="27" t="s">
        <v>59</v>
      </c>
      <c r="P1391" s="31">
        <v>64.75</v>
      </c>
      <c r="Q1391" s="4">
        <f t="shared" si="21"/>
        <v>-120</v>
      </c>
      <c r="R1391" s="23" t="s">
        <v>109</v>
      </c>
      <c r="T1391" s="23" t="s">
        <v>2702</v>
      </c>
    </row>
    <row r="1392" spans="1:20" x14ac:dyDescent="0.25">
      <c r="A1392" s="42">
        <v>45723</v>
      </c>
      <c r="B1392" s="1">
        <v>819461229</v>
      </c>
      <c r="C1392" t="s">
        <v>2703</v>
      </c>
      <c r="D1392" s="22">
        <v>-8038.03</v>
      </c>
      <c r="E1392" t="s">
        <v>35</v>
      </c>
      <c r="F1392" s="2">
        <v>210101001</v>
      </c>
      <c r="G1392" s="2" t="s">
        <v>36</v>
      </c>
      <c r="L1392" s="2" t="s">
        <v>2704</v>
      </c>
      <c r="M1392" t="s">
        <v>114</v>
      </c>
      <c r="N1392" t="s">
        <v>115</v>
      </c>
      <c r="P1392" s="23">
        <v>64.75</v>
      </c>
      <c r="Q1392" s="4">
        <f t="shared" si="21"/>
        <v>-124.13945945945946</v>
      </c>
      <c r="R1392" s="23" t="s">
        <v>109</v>
      </c>
    </row>
    <row r="1393" spans="1:20" x14ac:dyDescent="0.25">
      <c r="A1393" s="42">
        <v>45723</v>
      </c>
      <c r="B1393" s="1">
        <v>50371222</v>
      </c>
      <c r="C1393" t="s">
        <v>118</v>
      </c>
      <c r="D1393" s="22">
        <v>-116.94</v>
      </c>
      <c r="E1393" t="s">
        <v>35</v>
      </c>
      <c r="F1393" s="2">
        <v>610148001</v>
      </c>
      <c r="G1393" s="2" t="s">
        <v>42</v>
      </c>
      <c r="L1393" s="2" t="s">
        <v>2705</v>
      </c>
      <c r="M1393" t="s">
        <v>43</v>
      </c>
      <c r="N1393" t="s">
        <v>42</v>
      </c>
      <c r="P1393" s="23">
        <v>64.75</v>
      </c>
      <c r="Q1393" s="4">
        <f t="shared" si="21"/>
        <v>-1.806023166023166</v>
      </c>
      <c r="R1393" s="23" t="s">
        <v>109</v>
      </c>
      <c r="T1393" s="23" t="s">
        <v>2658</v>
      </c>
    </row>
    <row r="1394" spans="1:20" x14ac:dyDescent="0.25">
      <c r="A1394" s="42">
        <v>45723</v>
      </c>
      <c r="B1394" s="1">
        <v>50371222</v>
      </c>
      <c r="C1394" t="s">
        <v>1565</v>
      </c>
      <c r="D1394" s="22">
        <v>-0.13</v>
      </c>
      <c r="E1394" t="s">
        <v>35</v>
      </c>
      <c r="F1394" s="2">
        <v>610148001</v>
      </c>
      <c r="G1394" s="2" t="s">
        <v>42</v>
      </c>
      <c r="L1394" s="2" t="s">
        <v>2706</v>
      </c>
      <c r="M1394" t="s">
        <v>43</v>
      </c>
      <c r="N1394" t="s">
        <v>42</v>
      </c>
      <c r="P1394" s="23">
        <v>64.75</v>
      </c>
      <c r="Q1394" s="4">
        <f t="shared" si="21"/>
        <v>-2.0077220077220079E-3</v>
      </c>
      <c r="R1394" s="23" t="s">
        <v>109</v>
      </c>
      <c r="T1394" s="23" t="s">
        <v>2658</v>
      </c>
    </row>
    <row r="1395" spans="1:20" x14ac:dyDescent="0.25">
      <c r="A1395" s="42">
        <v>45723</v>
      </c>
      <c r="B1395" s="1">
        <v>0</v>
      </c>
      <c r="C1395" t="s">
        <v>123</v>
      </c>
      <c r="D1395" s="22">
        <v>-58.79</v>
      </c>
      <c r="E1395" t="s">
        <v>35</v>
      </c>
      <c r="F1395" s="2">
        <v>610148001</v>
      </c>
      <c r="G1395" s="2" t="s">
        <v>42</v>
      </c>
      <c r="L1395" s="2" t="s">
        <v>2707</v>
      </c>
      <c r="M1395" t="s">
        <v>43</v>
      </c>
      <c r="N1395" t="s">
        <v>42</v>
      </c>
      <c r="P1395" s="23">
        <v>64.75</v>
      </c>
      <c r="Q1395" s="4">
        <f t="shared" si="21"/>
        <v>-0.90795366795366794</v>
      </c>
      <c r="R1395" s="23" t="s">
        <v>109</v>
      </c>
      <c r="T1395" s="23" t="s">
        <v>2658</v>
      </c>
    </row>
    <row r="1396" spans="1:20" x14ac:dyDescent="0.25">
      <c r="A1396" s="42">
        <v>45723</v>
      </c>
      <c r="B1396" s="1">
        <v>956808</v>
      </c>
      <c r="C1396" t="s">
        <v>2708</v>
      </c>
      <c r="D1396" s="22">
        <v>-10871.1</v>
      </c>
      <c r="E1396" t="s">
        <v>35</v>
      </c>
      <c r="F1396" s="2">
        <v>213401001</v>
      </c>
      <c r="G1396" s="2" t="s">
        <v>126</v>
      </c>
      <c r="L1396" s="2" t="s">
        <v>2709</v>
      </c>
      <c r="M1396" t="s">
        <v>128</v>
      </c>
      <c r="N1396" t="s">
        <v>129</v>
      </c>
      <c r="P1396" s="23">
        <v>64.75</v>
      </c>
      <c r="Q1396" s="4">
        <f t="shared" si="21"/>
        <v>-167.89343629343631</v>
      </c>
      <c r="R1396" s="23" t="s">
        <v>109</v>
      </c>
      <c r="T1396" s="23" t="s">
        <v>2710</v>
      </c>
    </row>
    <row r="1397" spans="1:20" x14ac:dyDescent="0.25">
      <c r="A1397" s="42">
        <v>45723</v>
      </c>
      <c r="B1397" s="1">
        <v>142112708</v>
      </c>
      <c r="C1397" t="s">
        <v>107</v>
      </c>
      <c r="D1397" s="22">
        <v>605000</v>
      </c>
      <c r="E1397" t="s">
        <v>46</v>
      </c>
      <c r="F1397" s="2">
        <v>210115002</v>
      </c>
      <c r="G1397" s="2" t="s">
        <v>47</v>
      </c>
      <c r="L1397" s="2" t="s">
        <v>2711</v>
      </c>
      <c r="N1397" t="s">
        <v>107</v>
      </c>
      <c r="P1397" s="23">
        <v>64.75</v>
      </c>
      <c r="Q1397" s="4">
        <f t="shared" si="21"/>
        <v>9343.6293436293436</v>
      </c>
      <c r="R1397" s="23" t="s">
        <v>109</v>
      </c>
    </row>
    <row r="1398" spans="1:20" x14ac:dyDescent="0.25">
      <c r="A1398" s="42">
        <v>45723</v>
      </c>
      <c r="B1398" s="1">
        <v>19474826</v>
      </c>
      <c r="C1398" t="s">
        <v>2712</v>
      </c>
      <c r="D1398" s="22">
        <v>-2254.04</v>
      </c>
      <c r="E1398" t="s">
        <v>35</v>
      </c>
      <c r="F1398" s="2">
        <v>210101001</v>
      </c>
      <c r="G1398" s="2" t="s">
        <v>36</v>
      </c>
      <c r="L1398" s="2" t="s">
        <v>2713</v>
      </c>
      <c r="M1398" t="s">
        <v>1186</v>
      </c>
      <c r="N1398" t="s">
        <v>1187</v>
      </c>
      <c r="P1398" s="23">
        <v>64.75</v>
      </c>
      <c r="Q1398" s="4">
        <f t="shared" si="21"/>
        <v>-34.811428571428571</v>
      </c>
      <c r="R1398" s="23" t="s">
        <v>109</v>
      </c>
    </row>
    <row r="1399" spans="1:20" x14ac:dyDescent="0.25">
      <c r="A1399" s="42">
        <v>45723</v>
      </c>
      <c r="B1399" s="1">
        <v>19474825</v>
      </c>
      <c r="C1399" t="s">
        <v>2714</v>
      </c>
      <c r="D1399" s="22">
        <v>-15998.43</v>
      </c>
      <c r="E1399" t="s">
        <v>35</v>
      </c>
      <c r="F1399" s="2">
        <v>210101001</v>
      </c>
      <c r="G1399" s="2" t="s">
        <v>36</v>
      </c>
      <c r="L1399" s="2" t="s">
        <v>2715</v>
      </c>
      <c r="M1399" t="s">
        <v>2028</v>
      </c>
      <c r="N1399" t="s">
        <v>2029</v>
      </c>
      <c r="P1399" s="23">
        <v>64.75</v>
      </c>
      <c r="Q1399" s="4">
        <f t="shared" si="21"/>
        <v>-247.08</v>
      </c>
      <c r="R1399" s="23" t="s">
        <v>109</v>
      </c>
    </row>
    <row r="1400" spans="1:20" x14ac:dyDescent="0.25">
      <c r="A1400" s="42">
        <v>45723</v>
      </c>
      <c r="B1400" s="1">
        <v>19474828</v>
      </c>
      <c r="C1400" t="s">
        <v>2716</v>
      </c>
      <c r="D1400" s="22">
        <v>-200000</v>
      </c>
      <c r="E1400" t="s">
        <v>35</v>
      </c>
      <c r="F1400" s="2">
        <v>210101001</v>
      </c>
      <c r="G1400" s="2" t="s">
        <v>36</v>
      </c>
      <c r="L1400" s="2" t="s">
        <v>2717</v>
      </c>
      <c r="M1400" t="s">
        <v>38</v>
      </c>
      <c r="N1400" t="s">
        <v>39</v>
      </c>
      <c r="P1400" s="23">
        <v>64.75</v>
      </c>
      <c r="Q1400" s="4">
        <f t="shared" si="21"/>
        <v>-3088.8030888030889</v>
      </c>
      <c r="R1400" s="23" t="s">
        <v>109</v>
      </c>
    </row>
    <row r="1401" spans="1:20" x14ac:dyDescent="0.25">
      <c r="A1401" s="42">
        <v>45723</v>
      </c>
      <c r="B1401" s="1">
        <v>119474832</v>
      </c>
      <c r="C1401" t="s">
        <v>2718</v>
      </c>
      <c r="D1401" s="22">
        <v>-4532.5</v>
      </c>
      <c r="E1401" t="s">
        <v>35</v>
      </c>
      <c r="F1401" s="2">
        <v>212901001</v>
      </c>
      <c r="G1401" s="2" t="s">
        <v>121</v>
      </c>
      <c r="L1401" s="2" t="s">
        <v>2719</v>
      </c>
      <c r="M1401" t="s">
        <v>67</v>
      </c>
      <c r="N1401" t="s">
        <v>68</v>
      </c>
      <c r="P1401" s="23">
        <v>64.75</v>
      </c>
      <c r="Q1401" s="4">
        <f t="shared" si="21"/>
        <v>-70</v>
      </c>
      <c r="R1401" s="23" t="s">
        <v>109</v>
      </c>
    </row>
    <row r="1402" spans="1:20" x14ac:dyDescent="0.25">
      <c r="A1402" s="42">
        <v>45723</v>
      </c>
      <c r="B1402" s="1">
        <v>119474833</v>
      </c>
      <c r="C1402" t="s">
        <v>2720</v>
      </c>
      <c r="D1402" s="22">
        <v>-47655.35</v>
      </c>
      <c r="E1402" t="s">
        <v>35</v>
      </c>
      <c r="F1402" s="2">
        <v>110110001</v>
      </c>
      <c r="G1402" s="2" t="s">
        <v>1276</v>
      </c>
      <c r="L1402" s="2" t="s">
        <v>2721</v>
      </c>
      <c r="M1402" t="s">
        <v>2722</v>
      </c>
      <c r="N1402" t="s">
        <v>1279</v>
      </c>
      <c r="P1402" s="23">
        <v>64.75</v>
      </c>
      <c r="Q1402" s="4">
        <f t="shared" si="21"/>
        <v>-735.98996138996142</v>
      </c>
      <c r="R1402" s="23" t="s">
        <v>109</v>
      </c>
      <c r="T1402" s="23" t="s">
        <v>2723</v>
      </c>
    </row>
    <row r="1403" spans="1:20" x14ac:dyDescent="0.25">
      <c r="A1403" s="42">
        <v>45723</v>
      </c>
      <c r="B1403" s="1">
        <v>19474827</v>
      </c>
      <c r="C1403" t="s">
        <v>2724</v>
      </c>
      <c r="D1403" s="22">
        <v>-96158.69</v>
      </c>
      <c r="E1403" t="s">
        <v>35</v>
      </c>
      <c r="F1403" s="2">
        <v>110114001</v>
      </c>
      <c r="G1403" s="2" t="s">
        <v>301</v>
      </c>
      <c r="L1403" s="2" t="s">
        <v>2725</v>
      </c>
      <c r="M1403" t="s">
        <v>38</v>
      </c>
      <c r="N1403" s="48" t="s">
        <v>39</v>
      </c>
      <c r="O1403" s="48"/>
      <c r="P1403" s="23">
        <v>64.75</v>
      </c>
      <c r="Q1403" s="4">
        <f t="shared" si="21"/>
        <v>-1485.0762934362936</v>
      </c>
      <c r="R1403" s="23" t="s">
        <v>109</v>
      </c>
      <c r="S1403" s="33" t="s">
        <v>2726</v>
      </c>
    </row>
    <row r="1404" spans="1:20" x14ac:dyDescent="0.25">
      <c r="A1404" s="42">
        <v>45723</v>
      </c>
      <c r="B1404" s="1">
        <v>119474830</v>
      </c>
      <c r="C1404" t="s">
        <v>2727</v>
      </c>
      <c r="D1404" s="22">
        <v>-11793.17</v>
      </c>
      <c r="E1404" t="s">
        <v>35</v>
      </c>
      <c r="F1404" s="2">
        <v>210101001</v>
      </c>
      <c r="G1404" s="2" t="s">
        <v>36</v>
      </c>
      <c r="L1404" s="2" t="s">
        <v>2728</v>
      </c>
      <c r="M1404" t="s">
        <v>38</v>
      </c>
      <c r="N1404" t="s">
        <v>39</v>
      </c>
      <c r="P1404" s="23">
        <v>64.75</v>
      </c>
      <c r="Q1404" s="4">
        <f t="shared" si="21"/>
        <v>-182.13389961389962</v>
      </c>
      <c r="R1404" s="23" t="s">
        <v>109</v>
      </c>
    </row>
    <row r="1405" spans="1:20" x14ac:dyDescent="0.25">
      <c r="A1405" s="42">
        <v>45723</v>
      </c>
      <c r="B1405" s="1">
        <v>19474829</v>
      </c>
      <c r="C1405" t="s">
        <v>2727</v>
      </c>
      <c r="D1405" s="22">
        <v>-200000</v>
      </c>
      <c r="E1405" t="s">
        <v>35</v>
      </c>
      <c r="F1405" s="2">
        <v>210101001</v>
      </c>
      <c r="G1405" s="2" t="s">
        <v>36</v>
      </c>
      <c r="L1405" s="2" t="s">
        <v>2729</v>
      </c>
      <c r="M1405" t="s">
        <v>38</v>
      </c>
      <c r="N1405" t="s">
        <v>39</v>
      </c>
      <c r="P1405" s="23">
        <v>64.75</v>
      </c>
      <c r="Q1405" s="4">
        <f t="shared" si="21"/>
        <v>-3088.8030888030889</v>
      </c>
      <c r="R1405" s="23" t="s">
        <v>109</v>
      </c>
    </row>
    <row r="1406" spans="1:20" x14ac:dyDescent="0.25">
      <c r="A1406" s="42">
        <v>45723</v>
      </c>
      <c r="B1406" s="1">
        <v>119474831</v>
      </c>
      <c r="C1406" t="s">
        <v>2716</v>
      </c>
      <c r="D1406" s="22">
        <v>-22719.42</v>
      </c>
      <c r="E1406" t="s">
        <v>35</v>
      </c>
      <c r="F1406" s="2">
        <v>210101001</v>
      </c>
      <c r="G1406" s="2" t="s">
        <v>36</v>
      </c>
      <c r="L1406" s="2" t="s">
        <v>2730</v>
      </c>
      <c r="M1406" t="s">
        <v>38</v>
      </c>
      <c r="N1406" t="s">
        <v>39</v>
      </c>
      <c r="P1406" s="23">
        <v>64.75</v>
      </c>
      <c r="Q1406" s="4">
        <f t="shared" si="21"/>
        <v>-350.87907335907335</v>
      </c>
      <c r="R1406" s="23" t="s">
        <v>109</v>
      </c>
    </row>
    <row r="1407" spans="1:20" x14ac:dyDescent="0.25">
      <c r="A1407" s="42">
        <v>45723</v>
      </c>
      <c r="B1407" s="1">
        <v>50313998</v>
      </c>
      <c r="C1407" t="s">
        <v>118</v>
      </c>
      <c r="D1407" s="22">
        <v>-1502.77</v>
      </c>
      <c r="E1407" t="s">
        <v>35</v>
      </c>
      <c r="F1407" s="2">
        <v>610148001</v>
      </c>
      <c r="G1407" s="2" t="s">
        <v>42</v>
      </c>
      <c r="L1407" s="2" t="s">
        <v>2731</v>
      </c>
      <c r="M1407" t="s">
        <v>43</v>
      </c>
      <c r="N1407" t="s">
        <v>42</v>
      </c>
      <c r="P1407" s="23">
        <v>64.75</v>
      </c>
      <c r="Q1407" s="4">
        <f t="shared" si="21"/>
        <v>-23.208803088803087</v>
      </c>
      <c r="R1407" s="23" t="s">
        <v>109</v>
      </c>
      <c r="T1407" s="23" t="s">
        <v>2658</v>
      </c>
    </row>
    <row r="1408" spans="1:20" x14ac:dyDescent="0.25">
      <c r="A1408" s="42">
        <v>45723</v>
      </c>
      <c r="B1408" s="1">
        <v>154812587</v>
      </c>
      <c r="C1408" t="s">
        <v>107</v>
      </c>
      <c r="D1408" s="22">
        <v>490000</v>
      </c>
      <c r="E1408" t="s">
        <v>46</v>
      </c>
      <c r="F1408" s="2">
        <v>210115002</v>
      </c>
      <c r="G1408" s="2" t="s">
        <v>47</v>
      </c>
      <c r="L1408" s="2" t="s">
        <v>2732</v>
      </c>
      <c r="N1408" t="s">
        <v>107</v>
      </c>
      <c r="P1408" s="23">
        <v>64.75</v>
      </c>
      <c r="Q1408" s="4">
        <f t="shared" si="21"/>
        <v>7567.5675675675675</v>
      </c>
      <c r="R1408" s="23" t="s">
        <v>109</v>
      </c>
    </row>
    <row r="1409" spans="1:18" x14ac:dyDescent="0.25">
      <c r="A1409" s="42">
        <v>45723</v>
      </c>
      <c r="B1409" s="1">
        <v>919481039</v>
      </c>
      <c r="C1409" t="s">
        <v>2733</v>
      </c>
      <c r="D1409" s="22">
        <v>-3885</v>
      </c>
      <c r="E1409" t="s">
        <v>35</v>
      </c>
      <c r="F1409" s="2">
        <v>212901001</v>
      </c>
      <c r="G1409" s="2" t="s">
        <v>121</v>
      </c>
      <c r="L1409" s="2" t="s">
        <v>2734</v>
      </c>
      <c r="M1409" t="s">
        <v>67</v>
      </c>
      <c r="N1409" t="s">
        <v>68</v>
      </c>
      <c r="P1409" s="23">
        <v>64.75</v>
      </c>
      <c r="Q1409" s="4">
        <f t="shared" si="21"/>
        <v>-60</v>
      </c>
      <c r="R1409" s="23" t="s">
        <v>109</v>
      </c>
    </row>
    <row r="1410" spans="1:18" x14ac:dyDescent="0.25">
      <c r="A1410" s="42">
        <v>45723</v>
      </c>
      <c r="B1410" s="1">
        <v>919481042</v>
      </c>
      <c r="C1410" t="s">
        <v>2735</v>
      </c>
      <c r="D1410" s="22">
        <v>-3885</v>
      </c>
      <c r="E1410" t="s">
        <v>35</v>
      </c>
      <c r="F1410" s="2">
        <v>212901001</v>
      </c>
      <c r="G1410" s="2" t="s">
        <v>121</v>
      </c>
      <c r="L1410" s="2" t="s">
        <v>2736</v>
      </c>
      <c r="M1410" t="s">
        <v>67</v>
      </c>
      <c r="N1410" t="s">
        <v>68</v>
      </c>
      <c r="P1410" s="23">
        <v>64.75</v>
      </c>
      <c r="Q1410" s="4">
        <f t="shared" si="21"/>
        <v>-60</v>
      </c>
      <c r="R1410" s="23" t="s">
        <v>109</v>
      </c>
    </row>
    <row r="1411" spans="1:18" x14ac:dyDescent="0.25">
      <c r="A1411" s="42">
        <v>45723</v>
      </c>
      <c r="B1411" s="1">
        <v>919481040</v>
      </c>
      <c r="C1411" t="s">
        <v>2737</v>
      </c>
      <c r="D1411" s="22">
        <v>-3885</v>
      </c>
      <c r="E1411" t="s">
        <v>35</v>
      </c>
      <c r="F1411" s="2">
        <v>212901001</v>
      </c>
      <c r="G1411" s="2" t="s">
        <v>121</v>
      </c>
      <c r="L1411" s="2" t="s">
        <v>2738</v>
      </c>
      <c r="M1411" t="s">
        <v>67</v>
      </c>
      <c r="N1411" t="s">
        <v>68</v>
      </c>
      <c r="P1411" s="23">
        <v>64.75</v>
      </c>
      <c r="Q1411" s="4">
        <f t="shared" si="21"/>
        <v>-60</v>
      </c>
      <c r="R1411" s="23" t="s">
        <v>109</v>
      </c>
    </row>
    <row r="1412" spans="1:18" x14ac:dyDescent="0.25">
      <c r="A1412" s="42">
        <v>45723</v>
      </c>
      <c r="B1412" s="1">
        <v>919481041</v>
      </c>
      <c r="C1412" t="s">
        <v>2739</v>
      </c>
      <c r="D1412" s="22">
        <v>-3885</v>
      </c>
      <c r="E1412" t="s">
        <v>35</v>
      </c>
      <c r="F1412" s="2">
        <v>212901001</v>
      </c>
      <c r="G1412" s="2" t="s">
        <v>121</v>
      </c>
      <c r="L1412" s="2" t="s">
        <v>2740</v>
      </c>
      <c r="M1412" t="s">
        <v>67</v>
      </c>
      <c r="N1412" t="s">
        <v>68</v>
      </c>
      <c r="P1412" s="23">
        <v>64.75</v>
      </c>
      <c r="Q1412" s="4">
        <f t="shared" si="21"/>
        <v>-60</v>
      </c>
      <c r="R1412" s="23" t="s">
        <v>109</v>
      </c>
    </row>
    <row r="1413" spans="1:18" x14ac:dyDescent="0.25">
      <c r="A1413" s="42">
        <v>45723</v>
      </c>
      <c r="B1413" s="1">
        <v>919481044</v>
      </c>
      <c r="C1413" t="s">
        <v>2741</v>
      </c>
      <c r="D1413" s="22">
        <v>-3885</v>
      </c>
      <c r="E1413" t="s">
        <v>35</v>
      </c>
      <c r="F1413" s="2">
        <v>212901001</v>
      </c>
      <c r="G1413" s="2" t="s">
        <v>121</v>
      </c>
      <c r="L1413" s="2" t="s">
        <v>2742</v>
      </c>
      <c r="M1413" t="s">
        <v>67</v>
      </c>
      <c r="N1413" t="s">
        <v>68</v>
      </c>
      <c r="P1413" s="23">
        <v>64.75</v>
      </c>
      <c r="Q1413" s="4">
        <f t="shared" si="21"/>
        <v>-60</v>
      </c>
      <c r="R1413" s="23" t="s">
        <v>109</v>
      </c>
    </row>
    <row r="1414" spans="1:18" x14ac:dyDescent="0.25">
      <c r="A1414" s="42">
        <v>45723</v>
      </c>
      <c r="B1414" s="1">
        <v>919481043</v>
      </c>
      <c r="C1414" t="s">
        <v>2743</v>
      </c>
      <c r="D1414" s="22">
        <v>-3885</v>
      </c>
      <c r="E1414" t="s">
        <v>35</v>
      </c>
      <c r="F1414" s="2">
        <v>212901001</v>
      </c>
      <c r="G1414" s="2" t="s">
        <v>121</v>
      </c>
      <c r="L1414" s="2" t="s">
        <v>2744</v>
      </c>
      <c r="M1414" t="s">
        <v>67</v>
      </c>
      <c r="N1414" t="s">
        <v>68</v>
      </c>
      <c r="P1414" s="23">
        <v>64.75</v>
      </c>
      <c r="Q1414" s="4">
        <f t="shared" si="21"/>
        <v>-60</v>
      </c>
      <c r="R1414" s="23" t="s">
        <v>109</v>
      </c>
    </row>
    <row r="1415" spans="1:18" x14ac:dyDescent="0.25">
      <c r="A1415" s="42">
        <v>45723</v>
      </c>
      <c r="B1415" s="1">
        <v>19481045</v>
      </c>
      <c r="C1415" t="s">
        <v>2745</v>
      </c>
      <c r="D1415" s="22">
        <v>-3885</v>
      </c>
      <c r="E1415" t="s">
        <v>35</v>
      </c>
      <c r="F1415" s="2">
        <v>212901001</v>
      </c>
      <c r="G1415" s="2" t="s">
        <v>121</v>
      </c>
      <c r="L1415" s="2" t="s">
        <v>2746</v>
      </c>
      <c r="M1415" t="s">
        <v>67</v>
      </c>
      <c r="N1415" t="s">
        <v>68</v>
      </c>
      <c r="P1415" s="23">
        <v>64.75</v>
      </c>
      <c r="Q1415" s="4">
        <f t="shared" si="21"/>
        <v>-60</v>
      </c>
      <c r="R1415" s="23" t="s">
        <v>109</v>
      </c>
    </row>
    <row r="1416" spans="1:18" x14ac:dyDescent="0.25">
      <c r="A1416" s="42">
        <v>45723</v>
      </c>
      <c r="B1416" s="1">
        <v>19481046</v>
      </c>
      <c r="C1416" t="s">
        <v>2747</v>
      </c>
      <c r="D1416" s="22">
        <v>-3885</v>
      </c>
      <c r="E1416" t="s">
        <v>35</v>
      </c>
      <c r="F1416" s="2">
        <v>212901001</v>
      </c>
      <c r="G1416" s="2" t="s">
        <v>121</v>
      </c>
      <c r="L1416" s="2" t="s">
        <v>2748</v>
      </c>
      <c r="M1416" t="s">
        <v>67</v>
      </c>
      <c r="N1416" t="s">
        <v>68</v>
      </c>
      <c r="P1416" s="23">
        <v>64.75</v>
      </c>
      <c r="Q1416" s="4">
        <f t="shared" si="21"/>
        <v>-60</v>
      </c>
      <c r="R1416" s="23" t="s">
        <v>109</v>
      </c>
    </row>
    <row r="1417" spans="1:18" x14ac:dyDescent="0.25">
      <c r="A1417" s="42">
        <v>45723</v>
      </c>
      <c r="B1417" s="1">
        <v>19481049</v>
      </c>
      <c r="C1417" t="s">
        <v>2749</v>
      </c>
      <c r="D1417" s="22">
        <v>-3885</v>
      </c>
      <c r="E1417" t="s">
        <v>35</v>
      </c>
      <c r="F1417" s="2">
        <v>212901001</v>
      </c>
      <c r="G1417" s="2" t="s">
        <v>121</v>
      </c>
      <c r="L1417" s="2" t="s">
        <v>2750</v>
      </c>
      <c r="M1417" t="s">
        <v>67</v>
      </c>
      <c r="N1417" t="s">
        <v>68</v>
      </c>
      <c r="P1417" s="23">
        <v>64.75</v>
      </c>
      <c r="Q1417" s="4">
        <f t="shared" si="21"/>
        <v>-60</v>
      </c>
      <c r="R1417" s="23" t="s">
        <v>109</v>
      </c>
    </row>
    <row r="1418" spans="1:18" x14ac:dyDescent="0.25">
      <c r="A1418" s="42">
        <v>45723</v>
      </c>
      <c r="B1418" s="1">
        <v>19481048</v>
      </c>
      <c r="C1418" t="s">
        <v>2751</v>
      </c>
      <c r="D1418" s="22">
        <v>-3885</v>
      </c>
      <c r="E1418" t="s">
        <v>35</v>
      </c>
      <c r="F1418" s="2">
        <v>212901001</v>
      </c>
      <c r="G1418" s="2" t="s">
        <v>121</v>
      </c>
      <c r="L1418" s="2" t="s">
        <v>2752</v>
      </c>
      <c r="M1418" t="s">
        <v>67</v>
      </c>
      <c r="N1418" t="s">
        <v>68</v>
      </c>
      <c r="P1418" s="23">
        <v>64.75</v>
      </c>
      <c r="Q1418" s="4">
        <f t="shared" si="21"/>
        <v>-60</v>
      </c>
      <c r="R1418" s="23" t="s">
        <v>109</v>
      </c>
    </row>
    <row r="1419" spans="1:18" x14ac:dyDescent="0.25">
      <c r="A1419" s="42">
        <v>45723</v>
      </c>
      <c r="B1419" s="1">
        <v>19481051</v>
      </c>
      <c r="C1419" t="s">
        <v>2753</v>
      </c>
      <c r="D1419" s="22">
        <v>-3885</v>
      </c>
      <c r="E1419" t="s">
        <v>35</v>
      </c>
      <c r="F1419" s="2">
        <v>212901001</v>
      </c>
      <c r="G1419" s="2" t="s">
        <v>121</v>
      </c>
      <c r="L1419" s="2" t="s">
        <v>2754</v>
      </c>
      <c r="M1419" t="s">
        <v>67</v>
      </c>
      <c r="N1419" t="s">
        <v>68</v>
      </c>
      <c r="P1419" s="23">
        <v>64.75</v>
      </c>
      <c r="Q1419" s="4">
        <f t="shared" ref="Q1419:Q1482" si="22">D1419/P1419</f>
        <v>-60</v>
      </c>
      <c r="R1419" s="23" t="s">
        <v>109</v>
      </c>
    </row>
    <row r="1420" spans="1:18" x14ac:dyDescent="0.25">
      <c r="A1420" s="42">
        <v>45723</v>
      </c>
      <c r="B1420" s="1">
        <v>19481050</v>
      </c>
      <c r="C1420" t="s">
        <v>2755</v>
      </c>
      <c r="D1420" s="22">
        <v>-3885</v>
      </c>
      <c r="E1420" t="s">
        <v>35</v>
      </c>
      <c r="F1420" s="2">
        <v>212901001</v>
      </c>
      <c r="G1420" s="2" t="s">
        <v>121</v>
      </c>
      <c r="L1420" s="2" t="s">
        <v>2756</v>
      </c>
      <c r="M1420" t="s">
        <v>67</v>
      </c>
      <c r="N1420" t="s">
        <v>68</v>
      </c>
      <c r="P1420" s="23">
        <v>64.75</v>
      </c>
      <c r="Q1420" s="4">
        <f t="shared" si="22"/>
        <v>-60</v>
      </c>
      <c r="R1420" s="23" t="s">
        <v>109</v>
      </c>
    </row>
    <row r="1421" spans="1:18" x14ac:dyDescent="0.25">
      <c r="A1421" s="42">
        <v>45723</v>
      </c>
      <c r="B1421" s="1">
        <v>19481053</v>
      </c>
      <c r="C1421" t="s">
        <v>2757</v>
      </c>
      <c r="D1421" s="22">
        <v>-3885</v>
      </c>
      <c r="E1421" t="s">
        <v>35</v>
      </c>
      <c r="F1421" s="2">
        <v>212901001</v>
      </c>
      <c r="G1421" s="2" t="s">
        <v>121</v>
      </c>
      <c r="L1421" s="2" t="s">
        <v>2758</v>
      </c>
      <c r="M1421" t="s">
        <v>67</v>
      </c>
      <c r="N1421" t="s">
        <v>68</v>
      </c>
      <c r="P1421" s="23">
        <v>64.75</v>
      </c>
      <c r="Q1421" s="4">
        <f t="shared" si="22"/>
        <v>-60</v>
      </c>
      <c r="R1421" s="23" t="s">
        <v>109</v>
      </c>
    </row>
    <row r="1422" spans="1:18" x14ac:dyDescent="0.25">
      <c r="A1422" s="42">
        <v>45723</v>
      </c>
      <c r="B1422" s="1">
        <v>19481052</v>
      </c>
      <c r="C1422" t="s">
        <v>2759</v>
      </c>
      <c r="D1422" s="22">
        <v>-3885</v>
      </c>
      <c r="E1422" t="s">
        <v>35</v>
      </c>
      <c r="F1422" s="2">
        <v>212901001</v>
      </c>
      <c r="G1422" s="2" t="s">
        <v>121</v>
      </c>
      <c r="L1422" s="2" t="s">
        <v>2760</v>
      </c>
      <c r="M1422" t="s">
        <v>67</v>
      </c>
      <c r="N1422" t="s">
        <v>68</v>
      </c>
      <c r="P1422" s="23">
        <v>64.75</v>
      </c>
      <c r="Q1422" s="4">
        <f t="shared" si="22"/>
        <v>-60</v>
      </c>
      <c r="R1422" s="23" t="s">
        <v>109</v>
      </c>
    </row>
    <row r="1423" spans="1:18" x14ac:dyDescent="0.25">
      <c r="A1423" s="42">
        <v>45723</v>
      </c>
      <c r="B1423" s="1">
        <v>19481055</v>
      </c>
      <c r="C1423" t="s">
        <v>2761</v>
      </c>
      <c r="D1423" s="22">
        <v>-3885</v>
      </c>
      <c r="E1423" t="s">
        <v>35</v>
      </c>
      <c r="F1423" s="2">
        <v>212901001</v>
      </c>
      <c r="G1423" s="2" t="s">
        <v>121</v>
      </c>
      <c r="L1423" s="2" t="s">
        <v>2762</v>
      </c>
      <c r="M1423" t="s">
        <v>67</v>
      </c>
      <c r="N1423" t="s">
        <v>68</v>
      </c>
      <c r="P1423" s="23">
        <v>64.75</v>
      </c>
      <c r="Q1423" s="4">
        <f t="shared" si="22"/>
        <v>-60</v>
      </c>
      <c r="R1423" s="23" t="s">
        <v>109</v>
      </c>
    </row>
    <row r="1424" spans="1:18" x14ac:dyDescent="0.25">
      <c r="A1424" s="42">
        <v>45723</v>
      </c>
      <c r="B1424" s="1">
        <v>19481054</v>
      </c>
      <c r="C1424" t="s">
        <v>2763</v>
      </c>
      <c r="D1424" s="22">
        <v>-3885</v>
      </c>
      <c r="E1424" t="s">
        <v>35</v>
      </c>
      <c r="F1424" s="2">
        <v>212901001</v>
      </c>
      <c r="G1424" s="2" t="s">
        <v>121</v>
      </c>
      <c r="L1424" s="2" t="s">
        <v>2764</v>
      </c>
      <c r="M1424" t="s">
        <v>67</v>
      </c>
      <c r="N1424" t="s">
        <v>68</v>
      </c>
      <c r="P1424" s="23">
        <v>64.75</v>
      </c>
      <c r="Q1424" s="4">
        <f t="shared" si="22"/>
        <v>-60</v>
      </c>
      <c r="R1424" s="23" t="s">
        <v>109</v>
      </c>
    </row>
    <row r="1425" spans="1:18" x14ac:dyDescent="0.25">
      <c r="A1425" s="42">
        <v>45723</v>
      </c>
      <c r="B1425" s="1">
        <v>119481056</v>
      </c>
      <c r="C1425" t="s">
        <v>2765</v>
      </c>
      <c r="D1425" s="22">
        <v>-9712.5</v>
      </c>
      <c r="E1425" t="s">
        <v>35</v>
      </c>
      <c r="F1425" s="2">
        <v>212901001</v>
      </c>
      <c r="G1425" s="2" t="s">
        <v>121</v>
      </c>
      <c r="L1425" s="2" t="s">
        <v>2766</v>
      </c>
      <c r="M1425" t="s">
        <v>67</v>
      </c>
      <c r="N1425" t="s">
        <v>68</v>
      </c>
      <c r="P1425" s="23">
        <v>64.75</v>
      </c>
      <c r="Q1425" s="4">
        <f t="shared" si="22"/>
        <v>-150</v>
      </c>
      <c r="R1425" s="23" t="s">
        <v>109</v>
      </c>
    </row>
    <row r="1426" spans="1:18" x14ac:dyDescent="0.25">
      <c r="A1426" s="42">
        <v>45723</v>
      </c>
      <c r="B1426" s="1">
        <v>119481061</v>
      </c>
      <c r="C1426" t="s">
        <v>2767</v>
      </c>
      <c r="D1426" s="22">
        <v>-5180</v>
      </c>
      <c r="E1426" t="s">
        <v>35</v>
      </c>
      <c r="F1426" s="2">
        <v>212901001</v>
      </c>
      <c r="G1426" s="2" t="s">
        <v>121</v>
      </c>
      <c r="L1426" s="2" t="s">
        <v>2768</v>
      </c>
      <c r="M1426" t="s">
        <v>67</v>
      </c>
      <c r="N1426" t="s">
        <v>68</v>
      </c>
      <c r="P1426" s="23">
        <v>64.75</v>
      </c>
      <c r="Q1426" s="4">
        <f t="shared" si="22"/>
        <v>-80</v>
      </c>
      <c r="R1426" s="23" t="s">
        <v>109</v>
      </c>
    </row>
    <row r="1427" spans="1:18" x14ac:dyDescent="0.25">
      <c r="A1427" s="42">
        <v>45723</v>
      </c>
      <c r="B1427" s="1">
        <v>119481059</v>
      </c>
      <c r="C1427" t="s">
        <v>2769</v>
      </c>
      <c r="D1427" s="22">
        <v>-5180</v>
      </c>
      <c r="E1427" t="s">
        <v>35</v>
      </c>
      <c r="F1427" s="2">
        <v>212901001</v>
      </c>
      <c r="G1427" s="2" t="s">
        <v>121</v>
      </c>
      <c r="L1427" s="2" t="s">
        <v>2770</v>
      </c>
      <c r="M1427" t="s">
        <v>67</v>
      </c>
      <c r="N1427" t="s">
        <v>68</v>
      </c>
      <c r="P1427" s="23">
        <v>64.75</v>
      </c>
      <c r="Q1427" s="4">
        <f t="shared" si="22"/>
        <v>-80</v>
      </c>
      <c r="R1427" s="23" t="s">
        <v>109</v>
      </c>
    </row>
    <row r="1428" spans="1:18" x14ac:dyDescent="0.25">
      <c r="A1428" s="42">
        <v>45723</v>
      </c>
      <c r="B1428" s="1">
        <v>119481057</v>
      </c>
      <c r="C1428" t="s">
        <v>2771</v>
      </c>
      <c r="D1428" s="22">
        <v>-6475</v>
      </c>
      <c r="E1428" t="s">
        <v>35</v>
      </c>
      <c r="F1428" s="2">
        <v>212901001</v>
      </c>
      <c r="G1428" s="2" t="s">
        <v>121</v>
      </c>
      <c r="L1428" s="2" t="s">
        <v>2772</v>
      </c>
      <c r="M1428" t="s">
        <v>67</v>
      </c>
      <c r="N1428" t="s">
        <v>68</v>
      </c>
      <c r="P1428" s="23">
        <v>64.75</v>
      </c>
      <c r="Q1428" s="4">
        <f t="shared" si="22"/>
        <v>-100</v>
      </c>
      <c r="R1428" s="23" t="s">
        <v>109</v>
      </c>
    </row>
    <row r="1429" spans="1:18" x14ac:dyDescent="0.25">
      <c r="A1429" s="42">
        <v>45723</v>
      </c>
      <c r="B1429" s="1">
        <v>119481060</v>
      </c>
      <c r="C1429" t="s">
        <v>2773</v>
      </c>
      <c r="D1429" s="22">
        <v>-5180</v>
      </c>
      <c r="E1429" t="s">
        <v>35</v>
      </c>
      <c r="F1429" s="2">
        <v>212901001</v>
      </c>
      <c r="G1429" s="2" t="s">
        <v>121</v>
      </c>
      <c r="L1429" s="2" t="s">
        <v>2774</v>
      </c>
      <c r="M1429" t="s">
        <v>67</v>
      </c>
      <c r="N1429" t="s">
        <v>68</v>
      </c>
      <c r="P1429" s="23">
        <v>64.75</v>
      </c>
      <c r="Q1429" s="4">
        <f t="shared" si="22"/>
        <v>-80</v>
      </c>
      <c r="R1429" s="23" t="s">
        <v>109</v>
      </c>
    </row>
    <row r="1430" spans="1:18" x14ac:dyDescent="0.25">
      <c r="A1430" s="42">
        <v>45723</v>
      </c>
      <c r="B1430" s="1">
        <v>119481058</v>
      </c>
      <c r="C1430" t="s">
        <v>2775</v>
      </c>
      <c r="D1430" s="22">
        <v>-5180</v>
      </c>
      <c r="E1430" t="s">
        <v>35</v>
      </c>
      <c r="F1430" s="2">
        <v>212901001</v>
      </c>
      <c r="G1430" s="2" t="s">
        <v>121</v>
      </c>
      <c r="L1430" s="2" t="s">
        <v>2776</v>
      </c>
      <c r="M1430" t="s">
        <v>67</v>
      </c>
      <c r="N1430" t="s">
        <v>68</v>
      </c>
      <c r="P1430" s="23">
        <v>64.75</v>
      </c>
      <c r="Q1430" s="4">
        <f t="shared" si="22"/>
        <v>-80</v>
      </c>
      <c r="R1430" s="23" t="s">
        <v>109</v>
      </c>
    </row>
    <row r="1431" spans="1:18" x14ac:dyDescent="0.25">
      <c r="A1431" s="42">
        <v>45723</v>
      </c>
      <c r="B1431" s="1">
        <v>119481062</v>
      </c>
      <c r="C1431" t="s">
        <v>2777</v>
      </c>
      <c r="D1431" s="22">
        <v>-5180</v>
      </c>
      <c r="E1431" t="s">
        <v>35</v>
      </c>
      <c r="F1431" s="2">
        <v>212901001</v>
      </c>
      <c r="G1431" s="2" t="s">
        <v>121</v>
      </c>
      <c r="L1431" s="2" t="s">
        <v>2778</v>
      </c>
      <c r="M1431" t="s">
        <v>67</v>
      </c>
      <c r="N1431" t="s">
        <v>68</v>
      </c>
      <c r="P1431" s="23">
        <v>64.75</v>
      </c>
      <c r="Q1431" s="4">
        <f t="shared" si="22"/>
        <v>-80</v>
      </c>
      <c r="R1431" s="23" t="s">
        <v>109</v>
      </c>
    </row>
    <row r="1432" spans="1:18" x14ac:dyDescent="0.25">
      <c r="A1432" s="42">
        <v>45723</v>
      </c>
      <c r="B1432" s="1">
        <v>119481063</v>
      </c>
      <c r="C1432" t="s">
        <v>2779</v>
      </c>
      <c r="D1432" s="22">
        <v>-5180</v>
      </c>
      <c r="E1432" t="s">
        <v>35</v>
      </c>
      <c r="F1432" s="2">
        <v>212901001</v>
      </c>
      <c r="G1432" s="2" t="s">
        <v>121</v>
      </c>
      <c r="L1432" s="2" t="s">
        <v>2780</v>
      </c>
      <c r="M1432" t="s">
        <v>67</v>
      </c>
      <c r="N1432" t="s">
        <v>68</v>
      </c>
      <c r="P1432" s="23">
        <v>64.75</v>
      </c>
      <c r="Q1432" s="4">
        <f t="shared" si="22"/>
        <v>-80</v>
      </c>
      <c r="R1432" s="23" t="s">
        <v>109</v>
      </c>
    </row>
    <row r="1433" spans="1:18" x14ac:dyDescent="0.25">
      <c r="A1433" s="42">
        <v>45723</v>
      </c>
      <c r="B1433" s="1">
        <v>219481066</v>
      </c>
      <c r="C1433" t="s">
        <v>2781</v>
      </c>
      <c r="D1433" s="22">
        <v>-3237.5</v>
      </c>
      <c r="E1433" t="s">
        <v>35</v>
      </c>
      <c r="F1433" s="2">
        <v>212901001</v>
      </c>
      <c r="G1433" s="2" t="s">
        <v>121</v>
      </c>
      <c r="L1433" s="2" t="s">
        <v>2782</v>
      </c>
      <c r="M1433" t="s">
        <v>67</v>
      </c>
      <c r="N1433" t="s">
        <v>68</v>
      </c>
      <c r="P1433" s="23">
        <v>64.75</v>
      </c>
      <c r="Q1433" s="4">
        <f t="shared" si="22"/>
        <v>-50</v>
      </c>
      <c r="R1433" s="23" t="s">
        <v>109</v>
      </c>
    </row>
    <row r="1434" spans="1:18" x14ac:dyDescent="0.25">
      <c r="A1434" s="42">
        <v>45723</v>
      </c>
      <c r="B1434" s="1">
        <v>119481064</v>
      </c>
      <c r="C1434" t="s">
        <v>2783</v>
      </c>
      <c r="D1434" s="22">
        <v>-2719.5</v>
      </c>
      <c r="E1434" t="s">
        <v>35</v>
      </c>
      <c r="F1434" s="2">
        <v>212901001</v>
      </c>
      <c r="G1434" s="2" t="s">
        <v>121</v>
      </c>
      <c r="L1434" s="2" t="s">
        <v>2784</v>
      </c>
      <c r="M1434" t="s">
        <v>67</v>
      </c>
      <c r="N1434" t="s">
        <v>68</v>
      </c>
      <c r="P1434" s="23">
        <v>64.75</v>
      </c>
      <c r="Q1434" s="4">
        <f t="shared" si="22"/>
        <v>-42</v>
      </c>
      <c r="R1434" s="23" t="s">
        <v>109</v>
      </c>
    </row>
    <row r="1435" spans="1:18" x14ac:dyDescent="0.25">
      <c r="A1435" s="42">
        <v>45723</v>
      </c>
      <c r="B1435" s="1">
        <v>219481067</v>
      </c>
      <c r="C1435" t="s">
        <v>2785</v>
      </c>
      <c r="D1435" s="22">
        <v>-2719.5</v>
      </c>
      <c r="E1435" t="s">
        <v>35</v>
      </c>
      <c r="F1435" s="2">
        <v>212901001</v>
      </c>
      <c r="G1435" s="2" t="s">
        <v>121</v>
      </c>
      <c r="L1435" s="2" t="s">
        <v>2786</v>
      </c>
      <c r="M1435" t="s">
        <v>67</v>
      </c>
      <c r="N1435" t="s">
        <v>68</v>
      </c>
      <c r="P1435" s="23">
        <v>64.75</v>
      </c>
      <c r="Q1435" s="4">
        <f t="shared" si="22"/>
        <v>-42</v>
      </c>
      <c r="R1435" s="23" t="s">
        <v>109</v>
      </c>
    </row>
    <row r="1436" spans="1:18" x14ac:dyDescent="0.25">
      <c r="A1436" s="42">
        <v>45723</v>
      </c>
      <c r="B1436" s="1">
        <v>119481065</v>
      </c>
      <c r="C1436" t="s">
        <v>2787</v>
      </c>
      <c r="D1436" s="22">
        <v>-3237.5</v>
      </c>
      <c r="E1436" t="s">
        <v>35</v>
      </c>
      <c r="F1436" s="2">
        <v>212901001</v>
      </c>
      <c r="G1436" s="2" t="s">
        <v>121</v>
      </c>
      <c r="L1436" s="2" t="s">
        <v>2788</v>
      </c>
      <c r="M1436" t="s">
        <v>67</v>
      </c>
      <c r="N1436" t="s">
        <v>68</v>
      </c>
      <c r="P1436" s="23">
        <v>64.75</v>
      </c>
      <c r="Q1436" s="4">
        <f t="shared" si="22"/>
        <v>-50</v>
      </c>
      <c r="R1436" s="23" t="s">
        <v>109</v>
      </c>
    </row>
    <row r="1437" spans="1:18" x14ac:dyDescent="0.25">
      <c r="A1437" s="42">
        <v>45723</v>
      </c>
      <c r="B1437" s="1">
        <v>219481069</v>
      </c>
      <c r="C1437" t="s">
        <v>2789</v>
      </c>
      <c r="D1437" s="22">
        <v>-3237.5</v>
      </c>
      <c r="E1437" t="s">
        <v>35</v>
      </c>
      <c r="F1437" s="2">
        <v>212901001</v>
      </c>
      <c r="G1437" s="2" t="s">
        <v>121</v>
      </c>
      <c r="L1437" s="2" t="s">
        <v>2790</v>
      </c>
      <c r="M1437" t="s">
        <v>67</v>
      </c>
      <c r="N1437" t="s">
        <v>68</v>
      </c>
      <c r="P1437" s="23">
        <v>64.75</v>
      </c>
      <c r="Q1437" s="4">
        <f t="shared" si="22"/>
        <v>-50</v>
      </c>
      <c r="R1437" s="23" t="s">
        <v>109</v>
      </c>
    </row>
    <row r="1438" spans="1:18" x14ac:dyDescent="0.25">
      <c r="A1438" s="42">
        <v>45723</v>
      </c>
      <c r="B1438" s="1">
        <v>219481070</v>
      </c>
      <c r="C1438" t="s">
        <v>2791</v>
      </c>
      <c r="D1438" s="22">
        <v>-2590</v>
      </c>
      <c r="E1438" t="s">
        <v>35</v>
      </c>
      <c r="F1438" s="2">
        <v>212901001</v>
      </c>
      <c r="G1438" s="2" t="s">
        <v>121</v>
      </c>
      <c r="L1438" s="2" t="s">
        <v>2792</v>
      </c>
      <c r="M1438" t="s">
        <v>67</v>
      </c>
      <c r="N1438" t="s">
        <v>68</v>
      </c>
      <c r="P1438" s="23">
        <v>64.75</v>
      </c>
      <c r="Q1438" s="4">
        <f t="shared" si="22"/>
        <v>-40</v>
      </c>
      <c r="R1438" s="23" t="s">
        <v>109</v>
      </c>
    </row>
    <row r="1439" spans="1:18" x14ac:dyDescent="0.25">
      <c r="A1439" s="42">
        <v>45723</v>
      </c>
      <c r="B1439" s="1">
        <v>219481068</v>
      </c>
      <c r="C1439" t="s">
        <v>2793</v>
      </c>
      <c r="D1439" s="22">
        <v>-3237.5</v>
      </c>
      <c r="E1439" t="s">
        <v>35</v>
      </c>
      <c r="F1439" s="2">
        <v>212901001</v>
      </c>
      <c r="G1439" s="2" t="s">
        <v>121</v>
      </c>
      <c r="L1439" s="2" t="s">
        <v>2794</v>
      </c>
      <c r="M1439" t="s">
        <v>67</v>
      </c>
      <c r="N1439" t="s">
        <v>68</v>
      </c>
      <c r="P1439" s="23">
        <v>64.75</v>
      </c>
      <c r="Q1439" s="4">
        <f t="shared" si="22"/>
        <v>-50</v>
      </c>
      <c r="R1439" s="23" t="s">
        <v>109</v>
      </c>
    </row>
    <row r="1440" spans="1:18" x14ac:dyDescent="0.25">
      <c r="A1440" s="42">
        <v>45723</v>
      </c>
      <c r="B1440" s="1">
        <v>219481071</v>
      </c>
      <c r="C1440" t="s">
        <v>2795</v>
      </c>
      <c r="D1440" s="22">
        <v>-2590</v>
      </c>
      <c r="E1440" t="s">
        <v>35</v>
      </c>
      <c r="F1440" s="2">
        <v>212901001</v>
      </c>
      <c r="G1440" s="2" t="s">
        <v>121</v>
      </c>
      <c r="L1440" s="2" t="s">
        <v>2796</v>
      </c>
      <c r="M1440" t="s">
        <v>67</v>
      </c>
      <c r="N1440" t="s">
        <v>68</v>
      </c>
      <c r="P1440" s="23">
        <v>64.75</v>
      </c>
      <c r="Q1440" s="4">
        <f t="shared" si="22"/>
        <v>-40</v>
      </c>
      <c r="R1440" s="23" t="s">
        <v>109</v>
      </c>
    </row>
    <row r="1441" spans="1:18" x14ac:dyDescent="0.25">
      <c r="A1441" s="42">
        <v>45723</v>
      </c>
      <c r="B1441" s="1">
        <v>219481072</v>
      </c>
      <c r="C1441" t="s">
        <v>2797</v>
      </c>
      <c r="D1441" s="22">
        <v>-2590</v>
      </c>
      <c r="E1441" t="s">
        <v>35</v>
      </c>
      <c r="F1441" s="2">
        <v>212901001</v>
      </c>
      <c r="G1441" s="2" t="s">
        <v>121</v>
      </c>
      <c r="L1441" s="2" t="s">
        <v>2798</v>
      </c>
      <c r="M1441" t="s">
        <v>67</v>
      </c>
      <c r="N1441" t="s">
        <v>68</v>
      </c>
      <c r="P1441" s="23">
        <v>64.75</v>
      </c>
      <c r="Q1441" s="4">
        <f t="shared" si="22"/>
        <v>-40</v>
      </c>
      <c r="R1441" s="23" t="s">
        <v>109</v>
      </c>
    </row>
    <row r="1442" spans="1:18" x14ac:dyDescent="0.25">
      <c r="A1442" s="42">
        <v>45723</v>
      </c>
      <c r="B1442" s="1">
        <v>219481073</v>
      </c>
      <c r="C1442" t="s">
        <v>2799</v>
      </c>
      <c r="D1442" s="22">
        <v>-2590</v>
      </c>
      <c r="E1442" t="s">
        <v>35</v>
      </c>
      <c r="F1442" s="2">
        <v>212901001</v>
      </c>
      <c r="G1442" s="2" t="s">
        <v>121</v>
      </c>
      <c r="L1442" s="2" t="s">
        <v>2800</v>
      </c>
      <c r="M1442" t="s">
        <v>67</v>
      </c>
      <c r="N1442" t="s">
        <v>68</v>
      </c>
      <c r="P1442" s="23">
        <v>64.75</v>
      </c>
      <c r="Q1442" s="4">
        <f t="shared" si="22"/>
        <v>-40</v>
      </c>
      <c r="R1442" s="23" t="s">
        <v>109</v>
      </c>
    </row>
    <row r="1443" spans="1:18" x14ac:dyDescent="0.25">
      <c r="A1443" s="42">
        <v>45723</v>
      </c>
      <c r="B1443" s="1">
        <v>319481076</v>
      </c>
      <c r="C1443" t="s">
        <v>2801</v>
      </c>
      <c r="D1443" s="22">
        <v>-2590</v>
      </c>
      <c r="E1443" t="s">
        <v>35</v>
      </c>
      <c r="F1443" s="2">
        <v>212901001</v>
      </c>
      <c r="G1443" s="2" t="s">
        <v>121</v>
      </c>
      <c r="L1443" s="2" t="s">
        <v>2802</v>
      </c>
      <c r="M1443" t="s">
        <v>67</v>
      </c>
      <c r="N1443" t="s">
        <v>68</v>
      </c>
      <c r="P1443" s="23">
        <v>64.75</v>
      </c>
      <c r="Q1443" s="4">
        <f t="shared" si="22"/>
        <v>-40</v>
      </c>
      <c r="R1443" s="23" t="s">
        <v>109</v>
      </c>
    </row>
    <row r="1444" spans="1:18" x14ac:dyDescent="0.25">
      <c r="A1444" s="42">
        <v>45723</v>
      </c>
      <c r="B1444" s="1">
        <v>219481075</v>
      </c>
      <c r="C1444" t="s">
        <v>2803</v>
      </c>
      <c r="D1444" s="22">
        <v>-2590</v>
      </c>
      <c r="E1444" t="s">
        <v>35</v>
      </c>
      <c r="F1444" s="2">
        <v>212901001</v>
      </c>
      <c r="G1444" s="2" t="s">
        <v>121</v>
      </c>
      <c r="L1444" s="2" t="s">
        <v>2804</v>
      </c>
      <c r="M1444" t="s">
        <v>67</v>
      </c>
      <c r="N1444" t="s">
        <v>68</v>
      </c>
      <c r="P1444" s="23">
        <v>64.75</v>
      </c>
      <c r="Q1444" s="4">
        <f t="shared" si="22"/>
        <v>-40</v>
      </c>
      <c r="R1444" s="23" t="s">
        <v>109</v>
      </c>
    </row>
    <row r="1445" spans="1:18" x14ac:dyDescent="0.25">
      <c r="A1445" s="42">
        <v>45723</v>
      </c>
      <c r="B1445" s="1">
        <v>219481074</v>
      </c>
      <c r="C1445" t="s">
        <v>2805</v>
      </c>
      <c r="D1445" s="22">
        <v>-2590</v>
      </c>
      <c r="E1445" t="s">
        <v>35</v>
      </c>
      <c r="F1445" s="2">
        <v>212901001</v>
      </c>
      <c r="G1445" s="2" t="s">
        <v>121</v>
      </c>
      <c r="L1445" s="2" t="s">
        <v>2806</v>
      </c>
      <c r="M1445" t="s">
        <v>67</v>
      </c>
      <c r="N1445" t="s">
        <v>68</v>
      </c>
      <c r="P1445" s="23">
        <v>64.75</v>
      </c>
      <c r="Q1445" s="4">
        <f t="shared" si="22"/>
        <v>-40</v>
      </c>
      <c r="R1445" s="23" t="s">
        <v>109</v>
      </c>
    </row>
    <row r="1446" spans="1:18" x14ac:dyDescent="0.25">
      <c r="A1446" s="42">
        <v>45723</v>
      </c>
      <c r="B1446" s="1">
        <v>319481077</v>
      </c>
      <c r="C1446" t="s">
        <v>2807</v>
      </c>
      <c r="D1446" s="22">
        <v>-6475</v>
      </c>
      <c r="E1446" t="s">
        <v>35</v>
      </c>
      <c r="F1446" s="2">
        <v>212901001</v>
      </c>
      <c r="G1446" s="2" t="s">
        <v>121</v>
      </c>
      <c r="L1446" s="2" t="s">
        <v>2808</v>
      </c>
      <c r="M1446" t="s">
        <v>67</v>
      </c>
      <c r="N1446" t="s">
        <v>68</v>
      </c>
      <c r="P1446" s="23">
        <v>64.75</v>
      </c>
      <c r="Q1446" s="4">
        <f t="shared" si="22"/>
        <v>-100</v>
      </c>
      <c r="R1446" s="23" t="s">
        <v>109</v>
      </c>
    </row>
    <row r="1447" spans="1:18" x14ac:dyDescent="0.25">
      <c r="A1447" s="42">
        <v>45723</v>
      </c>
      <c r="B1447" s="1">
        <v>319481078</v>
      </c>
      <c r="C1447" t="s">
        <v>2809</v>
      </c>
      <c r="D1447" s="22">
        <v>-6475</v>
      </c>
      <c r="E1447" t="s">
        <v>35</v>
      </c>
      <c r="F1447" s="2">
        <v>212901001</v>
      </c>
      <c r="G1447" s="2" t="s">
        <v>121</v>
      </c>
      <c r="L1447" s="2" t="s">
        <v>2810</v>
      </c>
      <c r="M1447" t="s">
        <v>67</v>
      </c>
      <c r="N1447" t="s">
        <v>68</v>
      </c>
      <c r="P1447" s="23">
        <v>64.75</v>
      </c>
      <c r="Q1447" s="4">
        <f t="shared" si="22"/>
        <v>-100</v>
      </c>
      <c r="R1447" s="23" t="s">
        <v>109</v>
      </c>
    </row>
    <row r="1448" spans="1:18" x14ac:dyDescent="0.25">
      <c r="A1448" s="42">
        <v>45723</v>
      </c>
      <c r="B1448" s="1">
        <v>319481080</v>
      </c>
      <c r="C1448" t="s">
        <v>2811</v>
      </c>
      <c r="D1448" s="22">
        <v>-1942.5</v>
      </c>
      <c r="E1448" t="s">
        <v>35</v>
      </c>
      <c r="F1448" s="2">
        <v>212901001</v>
      </c>
      <c r="G1448" s="2" t="s">
        <v>121</v>
      </c>
      <c r="L1448" s="2" t="s">
        <v>2812</v>
      </c>
      <c r="M1448" t="s">
        <v>67</v>
      </c>
      <c r="N1448" t="s">
        <v>68</v>
      </c>
      <c r="P1448" s="23">
        <v>64.75</v>
      </c>
      <c r="Q1448" s="4">
        <f t="shared" si="22"/>
        <v>-30</v>
      </c>
      <c r="R1448" s="23" t="s">
        <v>109</v>
      </c>
    </row>
    <row r="1449" spans="1:18" x14ac:dyDescent="0.25">
      <c r="A1449" s="42">
        <v>45723</v>
      </c>
      <c r="B1449" s="1">
        <v>319481079</v>
      </c>
      <c r="C1449" t="s">
        <v>2813</v>
      </c>
      <c r="D1449" s="22">
        <v>-9712.5</v>
      </c>
      <c r="E1449" t="s">
        <v>35</v>
      </c>
      <c r="F1449" s="2">
        <v>212901001</v>
      </c>
      <c r="G1449" s="2" t="s">
        <v>121</v>
      </c>
      <c r="L1449" s="2" t="s">
        <v>2814</v>
      </c>
      <c r="M1449" t="s">
        <v>67</v>
      </c>
      <c r="N1449" t="s">
        <v>68</v>
      </c>
      <c r="P1449" s="23">
        <v>64.75</v>
      </c>
      <c r="Q1449" s="4">
        <f t="shared" si="22"/>
        <v>-150</v>
      </c>
      <c r="R1449" s="23" t="s">
        <v>109</v>
      </c>
    </row>
    <row r="1450" spans="1:18" x14ac:dyDescent="0.25">
      <c r="A1450" s="42">
        <v>45723</v>
      </c>
      <c r="B1450" s="1">
        <v>319481083</v>
      </c>
      <c r="C1450" t="s">
        <v>2815</v>
      </c>
      <c r="D1450" s="22">
        <v>-6475</v>
      </c>
      <c r="E1450" t="s">
        <v>35</v>
      </c>
      <c r="F1450" s="2">
        <v>212901001</v>
      </c>
      <c r="G1450" s="2" t="s">
        <v>121</v>
      </c>
      <c r="L1450" s="2" t="s">
        <v>2816</v>
      </c>
      <c r="M1450" t="s">
        <v>67</v>
      </c>
      <c r="N1450" t="s">
        <v>68</v>
      </c>
      <c r="P1450" s="23">
        <v>64.75</v>
      </c>
      <c r="Q1450" s="4">
        <f t="shared" si="22"/>
        <v>-100</v>
      </c>
      <c r="R1450" s="23" t="s">
        <v>109</v>
      </c>
    </row>
    <row r="1451" spans="1:18" x14ac:dyDescent="0.25">
      <c r="A1451" s="42">
        <v>45723</v>
      </c>
      <c r="B1451" s="1">
        <v>319481082</v>
      </c>
      <c r="C1451" t="s">
        <v>2817</v>
      </c>
      <c r="D1451" s="22">
        <v>-5180</v>
      </c>
      <c r="E1451" t="s">
        <v>35</v>
      </c>
      <c r="F1451" s="2">
        <v>212901001</v>
      </c>
      <c r="G1451" s="2" t="s">
        <v>121</v>
      </c>
      <c r="L1451" s="2" t="s">
        <v>2818</v>
      </c>
      <c r="M1451" t="s">
        <v>67</v>
      </c>
      <c r="N1451" t="s">
        <v>68</v>
      </c>
      <c r="P1451" s="23">
        <v>64.75</v>
      </c>
      <c r="Q1451" s="4">
        <f t="shared" si="22"/>
        <v>-80</v>
      </c>
      <c r="R1451" s="23" t="s">
        <v>109</v>
      </c>
    </row>
    <row r="1452" spans="1:18" x14ac:dyDescent="0.25">
      <c r="A1452" s="42">
        <v>45723</v>
      </c>
      <c r="B1452" s="1">
        <v>319481081</v>
      </c>
      <c r="C1452" t="s">
        <v>2819</v>
      </c>
      <c r="D1452" s="22">
        <v>-7122.5</v>
      </c>
      <c r="E1452" t="s">
        <v>35</v>
      </c>
      <c r="F1452" s="2">
        <v>212901001</v>
      </c>
      <c r="G1452" s="2" t="s">
        <v>121</v>
      </c>
      <c r="L1452" s="2" t="s">
        <v>2820</v>
      </c>
      <c r="M1452" t="s">
        <v>67</v>
      </c>
      <c r="N1452" t="s">
        <v>68</v>
      </c>
      <c r="P1452" s="23">
        <v>64.75</v>
      </c>
      <c r="Q1452" s="4">
        <f t="shared" si="22"/>
        <v>-110</v>
      </c>
      <c r="R1452" s="23" t="s">
        <v>109</v>
      </c>
    </row>
    <row r="1453" spans="1:18" x14ac:dyDescent="0.25">
      <c r="A1453" s="42">
        <v>45723</v>
      </c>
      <c r="B1453" s="1">
        <v>419481086</v>
      </c>
      <c r="C1453" t="s">
        <v>2821</v>
      </c>
      <c r="D1453" s="22">
        <v>-4532.5</v>
      </c>
      <c r="E1453" t="s">
        <v>35</v>
      </c>
      <c r="F1453" s="2">
        <v>212901001</v>
      </c>
      <c r="G1453" s="2" t="s">
        <v>121</v>
      </c>
      <c r="L1453" s="2" t="s">
        <v>2822</v>
      </c>
      <c r="M1453" t="s">
        <v>67</v>
      </c>
      <c r="N1453" t="s">
        <v>68</v>
      </c>
      <c r="P1453" s="23">
        <v>64.75</v>
      </c>
      <c r="Q1453" s="4">
        <f t="shared" si="22"/>
        <v>-70</v>
      </c>
      <c r="R1453" s="23" t="s">
        <v>109</v>
      </c>
    </row>
    <row r="1454" spans="1:18" x14ac:dyDescent="0.25">
      <c r="A1454" s="42">
        <v>45723</v>
      </c>
      <c r="B1454" s="1">
        <v>319481085</v>
      </c>
      <c r="C1454" t="s">
        <v>2823</v>
      </c>
      <c r="D1454" s="22">
        <v>-4532.5</v>
      </c>
      <c r="E1454" t="s">
        <v>35</v>
      </c>
      <c r="F1454" s="2">
        <v>212901001</v>
      </c>
      <c r="G1454" s="2" t="s">
        <v>121</v>
      </c>
      <c r="L1454" s="2" t="s">
        <v>2824</v>
      </c>
      <c r="M1454" t="s">
        <v>67</v>
      </c>
      <c r="N1454" t="s">
        <v>68</v>
      </c>
      <c r="P1454" s="23">
        <v>64.75</v>
      </c>
      <c r="Q1454" s="4">
        <f t="shared" si="22"/>
        <v>-70</v>
      </c>
      <c r="R1454" s="23" t="s">
        <v>109</v>
      </c>
    </row>
    <row r="1455" spans="1:18" x14ac:dyDescent="0.25">
      <c r="A1455" s="42">
        <v>45723</v>
      </c>
      <c r="B1455" s="1">
        <v>319481084</v>
      </c>
      <c r="C1455" t="s">
        <v>2825</v>
      </c>
      <c r="D1455" s="22">
        <v>-582.75</v>
      </c>
      <c r="E1455" t="s">
        <v>35</v>
      </c>
      <c r="F1455" s="2">
        <v>212901001</v>
      </c>
      <c r="G1455" s="2" t="s">
        <v>121</v>
      </c>
      <c r="L1455" s="2" t="s">
        <v>2826</v>
      </c>
      <c r="M1455" t="s">
        <v>67</v>
      </c>
      <c r="N1455" t="s">
        <v>68</v>
      </c>
      <c r="P1455" s="23">
        <v>64.75</v>
      </c>
      <c r="Q1455" s="4">
        <f t="shared" si="22"/>
        <v>-9</v>
      </c>
      <c r="R1455" s="23" t="s">
        <v>109</v>
      </c>
    </row>
    <row r="1456" spans="1:18" x14ac:dyDescent="0.25">
      <c r="A1456" s="42">
        <v>45723</v>
      </c>
      <c r="B1456" s="1">
        <v>419481087</v>
      </c>
      <c r="C1456" t="s">
        <v>2827</v>
      </c>
      <c r="D1456" s="22">
        <v>-4532.5</v>
      </c>
      <c r="E1456" t="s">
        <v>35</v>
      </c>
      <c r="F1456" s="2">
        <v>212901001</v>
      </c>
      <c r="G1456" s="2" t="s">
        <v>121</v>
      </c>
      <c r="L1456" s="2" t="s">
        <v>2828</v>
      </c>
      <c r="M1456" t="s">
        <v>67</v>
      </c>
      <c r="N1456" t="s">
        <v>68</v>
      </c>
      <c r="P1456" s="23">
        <v>64.75</v>
      </c>
      <c r="Q1456" s="4">
        <f t="shared" si="22"/>
        <v>-70</v>
      </c>
      <c r="R1456" s="23" t="s">
        <v>109</v>
      </c>
    </row>
    <row r="1457" spans="1:18" x14ac:dyDescent="0.25">
      <c r="A1457" s="42">
        <v>45723</v>
      </c>
      <c r="B1457" s="1">
        <v>419481088</v>
      </c>
      <c r="C1457" t="s">
        <v>2829</v>
      </c>
      <c r="D1457" s="22">
        <v>-3237.5</v>
      </c>
      <c r="E1457" t="s">
        <v>35</v>
      </c>
      <c r="F1457" s="2">
        <v>212901001</v>
      </c>
      <c r="G1457" s="2" t="s">
        <v>121</v>
      </c>
      <c r="L1457" s="2" t="s">
        <v>2830</v>
      </c>
      <c r="M1457" t="s">
        <v>67</v>
      </c>
      <c r="N1457" t="s">
        <v>68</v>
      </c>
      <c r="P1457" s="23">
        <v>64.75</v>
      </c>
      <c r="Q1457" s="4">
        <f t="shared" si="22"/>
        <v>-50</v>
      </c>
      <c r="R1457" s="23" t="s">
        <v>109</v>
      </c>
    </row>
    <row r="1458" spans="1:18" x14ac:dyDescent="0.25">
      <c r="A1458" s="42">
        <v>45723</v>
      </c>
      <c r="B1458" s="1">
        <v>419481090</v>
      </c>
      <c r="C1458" t="s">
        <v>2831</v>
      </c>
      <c r="D1458" s="22">
        <v>-2719.5</v>
      </c>
      <c r="E1458" t="s">
        <v>35</v>
      </c>
      <c r="F1458" s="2">
        <v>212901001</v>
      </c>
      <c r="G1458" s="2" t="s">
        <v>121</v>
      </c>
      <c r="L1458" s="2" t="s">
        <v>2832</v>
      </c>
      <c r="M1458" t="s">
        <v>67</v>
      </c>
      <c r="N1458" t="s">
        <v>68</v>
      </c>
      <c r="P1458" s="23">
        <v>64.75</v>
      </c>
      <c r="Q1458" s="4">
        <f t="shared" si="22"/>
        <v>-42</v>
      </c>
      <c r="R1458" s="23" t="s">
        <v>109</v>
      </c>
    </row>
    <row r="1459" spans="1:18" x14ac:dyDescent="0.25">
      <c r="A1459" s="42">
        <v>45723</v>
      </c>
      <c r="B1459" s="1">
        <v>419481091</v>
      </c>
      <c r="C1459" t="s">
        <v>2833</v>
      </c>
      <c r="D1459" s="22">
        <v>-3237.5</v>
      </c>
      <c r="E1459" t="s">
        <v>35</v>
      </c>
      <c r="F1459" s="2">
        <v>212901001</v>
      </c>
      <c r="G1459" s="2" t="s">
        <v>121</v>
      </c>
      <c r="L1459" s="2" t="s">
        <v>2834</v>
      </c>
      <c r="M1459" t="s">
        <v>67</v>
      </c>
      <c r="N1459" t="s">
        <v>68</v>
      </c>
      <c r="P1459" s="23">
        <v>64.75</v>
      </c>
      <c r="Q1459" s="4">
        <f t="shared" si="22"/>
        <v>-50</v>
      </c>
      <c r="R1459" s="23" t="s">
        <v>109</v>
      </c>
    </row>
    <row r="1460" spans="1:18" x14ac:dyDescent="0.25">
      <c r="A1460" s="42">
        <v>45723</v>
      </c>
      <c r="B1460" s="1">
        <v>419481094</v>
      </c>
      <c r="C1460" t="s">
        <v>2835</v>
      </c>
      <c r="D1460" s="22">
        <v>-3237.5</v>
      </c>
      <c r="E1460" t="s">
        <v>35</v>
      </c>
      <c r="F1460" s="2">
        <v>212901001</v>
      </c>
      <c r="G1460" s="2" t="s">
        <v>121</v>
      </c>
      <c r="L1460" s="2" t="s">
        <v>2836</v>
      </c>
      <c r="M1460" t="s">
        <v>67</v>
      </c>
      <c r="N1460" t="s">
        <v>68</v>
      </c>
      <c r="P1460" s="23">
        <v>64.75</v>
      </c>
      <c r="Q1460" s="4">
        <f t="shared" si="22"/>
        <v>-50</v>
      </c>
      <c r="R1460" s="23" t="s">
        <v>109</v>
      </c>
    </row>
    <row r="1461" spans="1:18" x14ac:dyDescent="0.25">
      <c r="A1461" s="42">
        <v>45723</v>
      </c>
      <c r="B1461" s="1">
        <v>419481097</v>
      </c>
      <c r="C1461" t="s">
        <v>2837</v>
      </c>
      <c r="D1461" s="22">
        <v>-3237.5</v>
      </c>
      <c r="E1461" t="s">
        <v>35</v>
      </c>
      <c r="F1461" s="2">
        <v>212901001</v>
      </c>
      <c r="G1461" s="2" t="s">
        <v>121</v>
      </c>
      <c r="L1461" s="2" t="s">
        <v>2838</v>
      </c>
      <c r="M1461" t="s">
        <v>67</v>
      </c>
      <c r="N1461" t="s">
        <v>68</v>
      </c>
      <c r="P1461" s="23">
        <v>64.75</v>
      </c>
      <c r="Q1461" s="4">
        <f t="shared" si="22"/>
        <v>-50</v>
      </c>
      <c r="R1461" s="23" t="s">
        <v>109</v>
      </c>
    </row>
    <row r="1462" spans="1:18" x14ac:dyDescent="0.25">
      <c r="A1462" s="42">
        <v>45723</v>
      </c>
      <c r="B1462" s="1">
        <v>419481092</v>
      </c>
      <c r="C1462" t="s">
        <v>2829</v>
      </c>
      <c r="D1462" s="22">
        <v>-3237.5</v>
      </c>
      <c r="E1462" t="s">
        <v>35</v>
      </c>
      <c r="F1462" s="2">
        <v>212901001</v>
      </c>
      <c r="G1462" s="2" t="s">
        <v>121</v>
      </c>
      <c r="L1462" s="2" t="s">
        <v>2839</v>
      </c>
      <c r="M1462" t="s">
        <v>67</v>
      </c>
      <c r="N1462" t="s">
        <v>68</v>
      </c>
      <c r="P1462" s="23">
        <v>64.75</v>
      </c>
      <c r="Q1462" s="4">
        <f t="shared" si="22"/>
        <v>-50</v>
      </c>
      <c r="R1462" s="23" t="s">
        <v>109</v>
      </c>
    </row>
    <row r="1463" spans="1:18" x14ac:dyDescent="0.25">
      <c r="A1463" s="42">
        <v>45723</v>
      </c>
      <c r="B1463" s="1">
        <v>419481089</v>
      </c>
      <c r="C1463" t="s">
        <v>2840</v>
      </c>
      <c r="D1463" s="22">
        <v>-3237.5</v>
      </c>
      <c r="E1463" t="s">
        <v>35</v>
      </c>
      <c r="F1463" s="2">
        <v>212901001</v>
      </c>
      <c r="G1463" s="2" t="s">
        <v>121</v>
      </c>
      <c r="L1463" s="2" t="s">
        <v>2841</v>
      </c>
      <c r="M1463" t="s">
        <v>67</v>
      </c>
      <c r="N1463" t="s">
        <v>68</v>
      </c>
      <c r="P1463" s="23">
        <v>64.75</v>
      </c>
      <c r="Q1463" s="4">
        <f t="shared" si="22"/>
        <v>-50</v>
      </c>
      <c r="R1463" s="23" t="s">
        <v>109</v>
      </c>
    </row>
    <row r="1464" spans="1:18" x14ac:dyDescent="0.25">
      <c r="A1464" s="42">
        <v>45723</v>
      </c>
      <c r="B1464" s="1">
        <v>419481095</v>
      </c>
      <c r="C1464" t="s">
        <v>2842</v>
      </c>
      <c r="D1464" s="22">
        <v>-3237.5</v>
      </c>
      <c r="E1464" t="s">
        <v>35</v>
      </c>
      <c r="F1464" s="2">
        <v>212901001</v>
      </c>
      <c r="G1464" s="2" t="s">
        <v>121</v>
      </c>
      <c r="L1464" s="2" t="s">
        <v>2843</v>
      </c>
      <c r="M1464" t="s">
        <v>67</v>
      </c>
      <c r="N1464" t="s">
        <v>68</v>
      </c>
      <c r="P1464" s="23">
        <v>64.75</v>
      </c>
      <c r="Q1464" s="4">
        <f t="shared" si="22"/>
        <v>-50</v>
      </c>
      <c r="R1464" s="23" t="s">
        <v>109</v>
      </c>
    </row>
    <row r="1465" spans="1:18" x14ac:dyDescent="0.25">
      <c r="A1465" s="42">
        <v>45723</v>
      </c>
      <c r="B1465" s="1">
        <v>519481100</v>
      </c>
      <c r="C1465" t="s">
        <v>2844</v>
      </c>
      <c r="D1465" s="22">
        <v>-2719.5</v>
      </c>
      <c r="E1465" t="s">
        <v>35</v>
      </c>
      <c r="F1465" s="2">
        <v>212901001</v>
      </c>
      <c r="G1465" s="2" t="s">
        <v>121</v>
      </c>
      <c r="L1465" s="2" t="s">
        <v>2845</v>
      </c>
      <c r="M1465" t="s">
        <v>67</v>
      </c>
      <c r="N1465" t="s">
        <v>68</v>
      </c>
      <c r="P1465" s="23">
        <v>64.75</v>
      </c>
      <c r="Q1465" s="4">
        <f t="shared" si="22"/>
        <v>-42</v>
      </c>
      <c r="R1465" s="23" t="s">
        <v>109</v>
      </c>
    </row>
    <row r="1466" spans="1:18" x14ac:dyDescent="0.25">
      <c r="A1466" s="42">
        <v>45723</v>
      </c>
      <c r="B1466" s="1">
        <v>519481099</v>
      </c>
      <c r="C1466" t="s">
        <v>2846</v>
      </c>
      <c r="D1466" s="22">
        <v>-2719.5</v>
      </c>
      <c r="E1466" t="s">
        <v>35</v>
      </c>
      <c r="F1466" s="2">
        <v>212901001</v>
      </c>
      <c r="G1466" s="2" t="s">
        <v>121</v>
      </c>
      <c r="L1466" s="2" t="s">
        <v>2847</v>
      </c>
      <c r="M1466" t="s">
        <v>67</v>
      </c>
      <c r="N1466" t="s">
        <v>68</v>
      </c>
      <c r="P1466" s="23">
        <v>64.75</v>
      </c>
      <c r="Q1466" s="4">
        <f t="shared" si="22"/>
        <v>-42</v>
      </c>
      <c r="R1466" s="23" t="s">
        <v>109</v>
      </c>
    </row>
    <row r="1467" spans="1:18" x14ac:dyDescent="0.25">
      <c r="A1467" s="42">
        <v>45723</v>
      </c>
      <c r="B1467" s="1">
        <v>519481101</v>
      </c>
      <c r="C1467" t="s">
        <v>2848</v>
      </c>
      <c r="D1467" s="22">
        <v>-3237.5</v>
      </c>
      <c r="E1467" t="s">
        <v>35</v>
      </c>
      <c r="F1467" s="2">
        <v>212901001</v>
      </c>
      <c r="G1467" s="2" t="s">
        <v>121</v>
      </c>
      <c r="L1467" s="2" t="s">
        <v>2849</v>
      </c>
      <c r="M1467" t="s">
        <v>67</v>
      </c>
      <c r="N1467" t="s">
        <v>68</v>
      </c>
      <c r="P1467" s="23">
        <v>64.75</v>
      </c>
      <c r="Q1467" s="4">
        <f t="shared" si="22"/>
        <v>-50</v>
      </c>
      <c r="R1467" s="23" t="s">
        <v>109</v>
      </c>
    </row>
    <row r="1468" spans="1:18" x14ac:dyDescent="0.25">
      <c r="A1468" s="42">
        <v>45723</v>
      </c>
      <c r="B1468" s="1">
        <v>519481102</v>
      </c>
      <c r="C1468" t="s">
        <v>2850</v>
      </c>
      <c r="D1468" s="22">
        <v>-3237.5</v>
      </c>
      <c r="E1468" t="s">
        <v>35</v>
      </c>
      <c r="F1468" s="2">
        <v>212901001</v>
      </c>
      <c r="G1468" s="2" t="s">
        <v>121</v>
      </c>
      <c r="L1468" s="2" t="s">
        <v>2851</v>
      </c>
      <c r="M1468" t="s">
        <v>67</v>
      </c>
      <c r="N1468" t="s">
        <v>68</v>
      </c>
      <c r="P1468" s="23">
        <v>64.75</v>
      </c>
      <c r="Q1468" s="4">
        <f t="shared" si="22"/>
        <v>-50</v>
      </c>
      <c r="R1468" s="23" t="s">
        <v>109</v>
      </c>
    </row>
    <row r="1469" spans="1:18" x14ac:dyDescent="0.25">
      <c r="A1469" s="42">
        <v>45723</v>
      </c>
      <c r="B1469" s="1">
        <v>519481098</v>
      </c>
      <c r="C1469" t="s">
        <v>2852</v>
      </c>
      <c r="D1469" s="22">
        <v>-3237.5</v>
      </c>
      <c r="E1469" t="s">
        <v>35</v>
      </c>
      <c r="F1469" s="2">
        <v>212901001</v>
      </c>
      <c r="G1469" s="2" t="s">
        <v>121</v>
      </c>
      <c r="L1469" s="2" t="s">
        <v>2853</v>
      </c>
      <c r="M1469" t="s">
        <v>67</v>
      </c>
      <c r="N1469" t="s">
        <v>68</v>
      </c>
      <c r="P1469" s="23">
        <v>64.75</v>
      </c>
      <c r="Q1469" s="4">
        <f t="shared" si="22"/>
        <v>-50</v>
      </c>
      <c r="R1469" s="23" t="s">
        <v>109</v>
      </c>
    </row>
    <row r="1470" spans="1:18" x14ac:dyDescent="0.25">
      <c r="A1470" s="42">
        <v>45723</v>
      </c>
      <c r="B1470" s="1">
        <v>519481103</v>
      </c>
      <c r="C1470" t="s">
        <v>2854</v>
      </c>
      <c r="D1470" s="22">
        <v>-3237.5</v>
      </c>
      <c r="E1470" t="s">
        <v>35</v>
      </c>
      <c r="F1470" s="2">
        <v>212901001</v>
      </c>
      <c r="G1470" s="2" t="s">
        <v>121</v>
      </c>
      <c r="L1470" s="2" t="s">
        <v>2855</v>
      </c>
      <c r="M1470" t="s">
        <v>67</v>
      </c>
      <c r="N1470" t="s">
        <v>68</v>
      </c>
      <c r="P1470" s="23">
        <v>64.75</v>
      </c>
      <c r="Q1470" s="4">
        <f t="shared" si="22"/>
        <v>-50</v>
      </c>
      <c r="R1470" s="23" t="s">
        <v>109</v>
      </c>
    </row>
    <row r="1471" spans="1:18" x14ac:dyDescent="0.25">
      <c r="A1471" s="42">
        <v>45723</v>
      </c>
      <c r="B1471" s="1">
        <v>519481105</v>
      </c>
      <c r="C1471" t="s">
        <v>2856</v>
      </c>
      <c r="D1471" s="22">
        <v>-3237.5</v>
      </c>
      <c r="E1471" t="s">
        <v>35</v>
      </c>
      <c r="F1471" s="2">
        <v>212901001</v>
      </c>
      <c r="G1471" s="2" t="s">
        <v>121</v>
      </c>
      <c r="L1471" s="2" t="s">
        <v>2857</v>
      </c>
      <c r="M1471" t="s">
        <v>67</v>
      </c>
      <c r="N1471" t="s">
        <v>68</v>
      </c>
      <c r="P1471" s="23">
        <v>64.75</v>
      </c>
      <c r="Q1471" s="4">
        <f t="shared" si="22"/>
        <v>-50</v>
      </c>
      <c r="R1471" s="23" t="s">
        <v>109</v>
      </c>
    </row>
    <row r="1472" spans="1:18" x14ac:dyDescent="0.25">
      <c r="A1472" s="42">
        <v>45723</v>
      </c>
      <c r="B1472" s="1">
        <v>519481106</v>
      </c>
      <c r="C1472" t="s">
        <v>2858</v>
      </c>
      <c r="D1472" s="22">
        <v>-1295</v>
      </c>
      <c r="E1472" t="s">
        <v>35</v>
      </c>
      <c r="F1472" s="2">
        <v>212901001</v>
      </c>
      <c r="G1472" s="2" t="s">
        <v>121</v>
      </c>
      <c r="L1472" s="2" t="s">
        <v>2859</v>
      </c>
      <c r="M1472" t="s">
        <v>67</v>
      </c>
      <c r="N1472" t="s">
        <v>68</v>
      </c>
      <c r="P1472" s="23">
        <v>64.75</v>
      </c>
      <c r="Q1472" s="4">
        <f t="shared" si="22"/>
        <v>-20</v>
      </c>
      <c r="R1472" s="23" t="s">
        <v>109</v>
      </c>
    </row>
    <row r="1473" spans="1:20" x14ac:dyDescent="0.25">
      <c r="A1473" s="42">
        <v>45723</v>
      </c>
      <c r="B1473" s="1">
        <v>519481107</v>
      </c>
      <c r="C1473" t="s">
        <v>2860</v>
      </c>
      <c r="D1473" s="22">
        <v>-1295</v>
      </c>
      <c r="E1473" t="s">
        <v>35</v>
      </c>
      <c r="F1473" s="2">
        <v>212901001</v>
      </c>
      <c r="G1473" s="2" t="s">
        <v>121</v>
      </c>
      <c r="L1473" s="2" t="s">
        <v>2861</v>
      </c>
      <c r="M1473" t="s">
        <v>67</v>
      </c>
      <c r="N1473" t="s">
        <v>68</v>
      </c>
      <c r="P1473" s="23">
        <v>64.75</v>
      </c>
      <c r="Q1473" s="4">
        <f t="shared" si="22"/>
        <v>-20</v>
      </c>
      <c r="R1473" s="23" t="s">
        <v>109</v>
      </c>
    </row>
    <row r="1474" spans="1:20" x14ac:dyDescent="0.25">
      <c r="A1474" s="42">
        <v>45723</v>
      </c>
      <c r="B1474" s="1">
        <v>619481108</v>
      </c>
      <c r="C1474" t="s">
        <v>2862</v>
      </c>
      <c r="D1474" s="22">
        <v>-1295</v>
      </c>
      <c r="E1474" t="s">
        <v>35</v>
      </c>
      <c r="F1474" s="2">
        <v>212901001</v>
      </c>
      <c r="G1474" s="2" t="s">
        <v>121</v>
      </c>
      <c r="L1474" s="2" t="s">
        <v>2863</v>
      </c>
      <c r="M1474" t="s">
        <v>67</v>
      </c>
      <c r="N1474" t="s">
        <v>68</v>
      </c>
      <c r="P1474" s="23">
        <v>64.75</v>
      </c>
      <c r="Q1474" s="4">
        <f t="shared" si="22"/>
        <v>-20</v>
      </c>
      <c r="R1474" s="23" t="s">
        <v>109</v>
      </c>
    </row>
    <row r="1475" spans="1:20" x14ac:dyDescent="0.25">
      <c r="A1475" s="42">
        <v>45723</v>
      </c>
      <c r="B1475" s="1">
        <v>619481109</v>
      </c>
      <c r="C1475" t="s">
        <v>2864</v>
      </c>
      <c r="D1475" s="22">
        <v>-1295</v>
      </c>
      <c r="E1475" t="s">
        <v>35</v>
      </c>
      <c r="F1475" s="2">
        <v>212901001</v>
      </c>
      <c r="G1475" s="2" t="s">
        <v>121</v>
      </c>
      <c r="L1475" s="2" t="s">
        <v>2865</v>
      </c>
      <c r="M1475" t="s">
        <v>67</v>
      </c>
      <c r="N1475" t="s">
        <v>68</v>
      </c>
      <c r="P1475" s="23">
        <v>64.75</v>
      </c>
      <c r="Q1475" s="4">
        <f t="shared" si="22"/>
        <v>-20</v>
      </c>
      <c r="R1475" s="23" t="s">
        <v>109</v>
      </c>
    </row>
    <row r="1476" spans="1:20" x14ac:dyDescent="0.25">
      <c r="A1476" s="42">
        <v>45723</v>
      </c>
      <c r="B1476" s="1">
        <v>619481110</v>
      </c>
      <c r="C1476" t="s">
        <v>2866</v>
      </c>
      <c r="D1476" s="22">
        <v>-6475</v>
      </c>
      <c r="E1476" t="s">
        <v>35</v>
      </c>
      <c r="F1476" s="2">
        <v>212901001</v>
      </c>
      <c r="G1476" s="2" t="s">
        <v>121</v>
      </c>
      <c r="L1476" s="2" t="s">
        <v>2867</v>
      </c>
      <c r="M1476" t="s">
        <v>67</v>
      </c>
      <c r="N1476" t="s">
        <v>68</v>
      </c>
      <c r="P1476" s="23">
        <v>64.75</v>
      </c>
      <c r="Q1476" s="4">
        <f t="shared" si="22"/>
        <v>-100</v>
      </c>
      <c r="R1476" s="23" t="s">
        <v>109</v>
      </c>
    </row>
    <row r="1477" spans="1:20" x14ac:dyDescent="0.25">
      <c r="A1477" s="42">
        <v>45723</v>
      </c>
      <c r="B1477" s="1">
        <v>619481111</v>
      </c>
      <c r="C1477" t="s">
        <v>2868</v>
      </c>
      <c r="D1477" s="22">
        <v>-12950</v>
      </c>
      <c r="E1477" t="s">
        <v>35</v>
      </c>
      <c r="F1477" s="2">
        <v>212901001</v>
      </c>
      <c r="G1477" s="2" t="s">
        <v>121</v>
      </c>
      <c r="L1477" s="2" t="s">
        <v>2869</v>
      </c>
      <c r="M1477" t="s">
        <v>67</v>
      </c>
      <c r="N1477" t="s">
        <v>68</v>
      </c>
      <c r="P1477" s="23">
        <v>64.75</v>
      </c>
      <c r="Q1477" s="4">
        <f t="shared" si="22"/>
        <v>-200</v>
      </c>
      <c r="R1477" s="23" t="s">
        <v>109</v>
      </c>
    </row>
    <row r="1478" spans="1:20" x14ac:dyDescent="0.25">
      <c r="A1478" s="42">
        <v>45723</v>
      </c>
      <c r="B1478" s="1">
        <v>619481113</v>
      </c>
      <c r="C1478" t="s">
        <v>2870</v>
      </c>
      <c r="D1478" s="22">
        <v>-1942.5</v>
      </c>
      <c r="E1478" t="s">
        <v>35</v>
      </c>
      <c r="F1478" s="2">
        <v>212901001</v>
      </c>
      <c r="G1478" s="2" t="s">
        <v>121</v>
      </c>
      <c r="L1478" s="2" t="s">
        <v>2871</v>
      </c>
      <c r="M1478" t="s">
        <v>67</v>
      </c>
      <c r="N1478" t="s">
        <v>68</v>
      </c>
      <c r="P1478" s="23">
        <v>64.75</v>
      </c>
      <c r="Q1478" s="4">
        <f t="shared" si="22"/>
        <v>-30</v>
      </c>
      <c r="R1478" s="23" t="s">
        <v>109</v>
      </c>
    </row>
    <row r="1479" spans="1:20" x14ac:dyDescent="0.25">
      <c r="A1479" s="42">
        <v>45723</v>
      </c>
      <c r="B1479" s="1">
        <v>619481112</v>
      </c>
      <c r="C1479" t="s">
        <v>2872</v>
      </c>
      <c r="D1479" s="22">
        <v>-7640.5</v>
      </c>
      <c r="E1479" t="s">
        <v>35</v>
      </c>
      <c r="F1479" s="2">
        <v>212901001</v>
      </c>
      <c r="G1479" s="2" t="s">
        <v>121</v>
      </c>
      <c r="L1479" s="2" t="s">
        <v>2873</v>
      </c>
      <c r="M1479" t="s">
        <v>67</v>
      </c>
      <c r="N1479" t="s">
        <v>68</v>
      </c>
      <c r="P1479" s="23">
        <v>64.75</v>
      </c>
      <c r="Q1479" s="4">
        <f t="shared" si="22"/>
        <v>-118</v>
      </c>
      <c r="R1479" s="23" t="s">
        <v>109</v>
      </c>
    </row>
    <row r="1480" spans="1:20" x14ac:dyDescent="0.25">
      <c r="A1480" s="42">
        <v>45723</v>
      </c>
      <c r="B1480" s="1">
        <v>619481114</v>
      </c>
      <c r="C1480" t="s">
        <v>2874</v>
      </c>
      <c r="D1480" s="22">
        <v>-2590</v>
      </c>
      <c r="E1480" t="s">
        <v>35</v>
      </c>
      <c r="F1480" s="2">
        <v>212901001</v>
      </c>
      <c r="G1480" s="2" t="s">
        <v>121</v>
      </c>
      <c r="L1480" s="2" t="s">
        <v>2875</v>
      </c>
      <c r="M1480" t="s">
        <v>67</v>
      </c>
      <c r="N1480" t="s">
        <v>68</v>
      </c>
      <c r="P1480" s="23">
        <v>64.75</v>
      </c>
      <c r="Q1480" s="4">
        <f t="shared" si="22"/>
        <v>-40</v>
      </c>
      <c r="R1480" s="23" t="s">
        <v>109</v>
      </c>
    </row>
    <row r="1481" spans="1:20" x14ac:dyDescent="0.25">
      <c r="A1481" s="42">
        <v>45723</v>
      </c>
      <c r="B1481" s="1">
        <v>50310654</v>
      </c>
      <c r="C1481" t="s">
        <v>2876</v>
      </c>
      <c r="D1481" s="22">
        <v>-9065</v>
      </c>
      <c r="E1481" t="s">
        <v>35</v>
      </c>
      <c r="F1481" s="2">
        <v>212901001</v>
      </c>
      <c r="G1481" s="2" t="s">
        <v>121</v>
      </c>
      <c r="L1481" s="2" t="s">
        <v>2877</v>
      </c>
      <c r="M1481" t="s">
        <v>67</v>
      </c>
      <c r="N1481" t="s">
        <v>68</v>
      </c>
      <c r="P1481" s="23">
        <v>64.75</v>
      </c>
      <c r="Q1481" s="4">
        <f t="shared" si="22"/>
        <v>-140</v>
      </c>
      <c r="R1481" s="23" t="s">
        <v>109</v>
      </c>
    </row>
    <row r="1482" spans="1:20" x14ac:dyDescent="0.25">
      <c r="A1482" s="42">
        <v>45723</v>
      </c>
      <c r="B1482" s="1">
        <v>50310654</v>
      </c>
      <c r="C1482" t="s">
        <v>296</v>
      </c>
      <c r="D1482" s="22">
        <v>-13.59</v>
      </c>
      <c r="E1482" t="s">
        <v>35</v>
      </c>
      <c r="F1482" s="2">
        <v>610148001</v>
      </c>
      <c r="G1482" s="2" t="s">
        <v>42</v>
      </c>
      <c r="L1482" s="2" t="s">
        <v>2878</v>
      </c>
      <c r="M1482" t="s">
        <v>43</v>
      </c>
      <c r="N1482" t="s">
        <v>42</v>
      </c>
      <c r="P1482" s="23">
        <v>64.75</v>
      </c>
      <c r="Q1482" s="4">
        <f t="shared" si="22"/>
        <v>-0.20988416988416989</v>
      </c>
      <c r="R1482" s="23" t="s">
        <v>109</v>
      </c>
      <c r="T1482" s="23" t="s">
        <v>2658</v>
      </c>
    </row>
    <row r="1483" spans="1:20" x14ac:dyDescent="0.25">
      <c r="A1483" s="42">
        <v>45723</v>
      </c>
      <c r="B1483" s="1">
        <v>50310654</v>
      </c>
      <c r="C1483" t="s">
        <v>118</v>
      </c>
      <c r="D1483" s="22">
        <v>-718.23</v>
      </c>
      <c r="E1483" t="s">
        <v>35</v>
      </c>
      <c r="F1483" s="2">
        <v>610148001</v>
      </c>
      <c r="G1483" s="2" t="s">
        <v>42</v>
      </c>
      <c r="L1483" s="2" t="s">
        <v>2879</v>
      </c>
      <c r="M1483" t="s">
        <v>43</v>
      </c>
      <c r="N1483" t="s">
        <v>42</v>
      </c>
      <c r="P1483" s="23">
        <v>64.75</v>
      </c>
      <c r="Q1483" s="4">
        <f t="shared" ref="Q1483:Q1546" si="23">D1483/P1483</f>
        <v>-11.092355212355212</v>
      </c>
      <c r="R1483" s="23" t="s">
        <v>109</v>
      </c>
      <c r="T1483" s="23" t="s">
        <v>2658</v>
      </c>
    </row>
    <row r="1484" spans="1:20" x14ac:dyDescent="0.25">
      <c r="A1484" s="42">
        <v>45723</v>
      </c>
      <c r="B1484" s="1">
        <v>619481182</v>
      </c>
      <c r="C1484" t="s">
        <v>2880</v>
      </c>
      <c r="D1484" s="22">
        <v>-189846.75</v>
      </c>
      <c r="E1484" t="s">
        <v>35</v>
      </c>
      <c r="F1484" s="2">
        <v>210101001</v>
      </c>
      <c r="G1484" s="2" t="s">
        <v>36</v>
      </c>
      <c r="L1484" s="2" t="s">
        <v>2881</v>
      </c>
      <c r="M1484" t="s">
        <v>38</v>
      </c>
      <c r="N1484" t="s">
        <v>39</v>
      </c>
      <c r="P1484" s="23">
        <v>64.75</v>
      </c>
      <c r="Q1484" s="4">
        <f t="shared" si="23"/>
        <v>-2931.9961389961391</v>
      </c>
      <c r="R1484" s="23" t="s">
        <v>109</v>
      </c>
    </row>
    <row r="1485" spans="1:20" x14ac:dyDescent="0.25">
      <c r="A1485" s="42">
        <v>45723</v>
      </c>
      <c r="B1485" s="1">
        <v>619481182</v>
      </c>
      <c r="C1485" t="s">
        <v>306</v>
      </c>
      <c r="D1485" s="22">
        <v>-569.54</v>
      </c>
      <c r="E1485" t="s">
        <v>35</v>
      </c>
      <c r="F1485" s="2">
        <v>610148001</v>
      </c>
      <c r="G1485" s="2" t="s">
        <v>42</v>
      </c>
      <c r="L1485" s="2" t="s">
        <v>2882</v>
      </c>
      <c r="M1485" t="s">
        <v>43</v>
      </c>
      <c r="N1485" t="s">
        <v>42</v>
      </c>
      <c r="P1485" s="23">
        <v>64.75</v>
      </c>
      <c r="Q1485" s="4">
        <f t="shared" si="23"/>
        <v>-8.7959845559845551</v>
      </c>
      <c r="R1485" s="23" t="s">
        <v>109</v>
      </c>
      <c r="T1485" s="23" t="s">
        <v>2658</v>
      </c>
    </row>
    <row r="1486" spans="1:20" x14ac:dyDescent="0.25">
      <c r="A1486" s="42">
        <v>45726</v>
      </c>
      <c r="B1486" s="1">
        <v>105417620</v>
      </c>
      <c r="C1486" t="s">
        <v>107</v>
      </c>
      <c r="D1486" s="22">
        <v>827000</v>
      </c>
      <c r="E1486" t="s">
        <v>46</v>
      </c>
      <c r="F1486" s="2">
        <v>210115002</v>
      </c>
      <c r="G1486" s="2" t="s">
        <v>47</v>
      </c>
      <c r="L1486" s="2" t="s">
        <v>2883</v>
      </c>
      <c r="N1486" t="s">
        <v>107</v>
      </c>
      <c r="P1486" s="23">
        <v>65.27</v>
      </c>
      <c r="Q1486" s="4">
        <f t="shared" si="23"/>
        <v>12670.445840355447</v>
      </c>
      <c r="R1486" s="23" t="s">
        <v>109</v>
      </c>
    </row>
    <row r="1487" spans="1:20" x14ac:dyDescent="0.25">
      <c r="A1487" s="42">
        <v>45726</v>
      </c>
      <c r="B1487" s="1">
        <v>719586617</v>
      </c>
      <c r="C1487" t="s">
        <v>2884</v>
      </c>
      <c r="D1487" s="22">
        <v>-200000</v>
      </c>
      <c r="E1487" t="s">
        <v>35</v>
      </c>
      <c r="F1487" s="2">
        <v>210101001</v>
      </c>
      <c r="G1487" s="2" t="s">
        <v>36</v>
      </c>
      <c r="L1487" s="2" t="s">
        <v>2885</v>
      </c>
      <c r="M1487" t="s">
        <v>38</v>
      </c>
      <c r="N1487" t="s">
        <v>39</v>
      </c>
      <c r="P1487" s="23">
        <v>65.27</v>
      </c>
      <c r="Q1487" s="4">
        <f t="shared" si="23"/>
        <v>-3064.1948827945457</v>
      </c>
      <c r="R1487" s="23" t="s">
        <v>109</v>
      </c>
    </row>
    <row r="1488" spans="1:20" x14ac:dyDescent="0.25">
      <c r="A1488" s="42">
        <v>45726</v>
      </c>
      <c r="B1488" s="1">
        <v>719586615</v>
      </c>
      <c r="C1488" t="s">
        <v>2884</v>
      </c>
      <c r="D1488" s="22">
        <v>-69584.13</v>
      </c>
      <c r="E1488" t="s">
        <v>35</v>
      </c>
      <c r="F1488" s="2">
        <v>210101001</v>
      </c>
      <c r="G1488" s="2" t="s">
        <v>36</v>
      </c>
      <c r="L1488" s="2" t="s">
        <v>2886</v>
      </c>
      <c r="M1488" t="s">
        <v>38</v>
      </c>
      <c r="N1488" t="s">
        <v>39</v>
      </c>
      <c r="P1488" s="23">
        <v>65.27</v>
      </c>
      <c r="Q1488" s="4">
        <f t="shared" si="23"/>
        <v>-1066.0966753485523</v>
      </c>
      <c r="R1488" s="23" t="s">
        <v>109</v>
      </c>
    </row>
    <row r="1489" spans="1:20" x14ac:dyDescent="0.25">
      <c r="A1489" s="42">
        <v>45726</v>
      </c>
      <c r="B1489" s="1">
        <v>719586618</v>
      </c>
      <c r="C1489" t="s">
        <v>2884</v>
      </c>
      <c r="D1489" s="22">
        <v>-200000</v>
      </c>
      <c r="E1489" t="s">
        <v>35</v>
      </c>
      <c r="F1489" s="2">
        <v>210101001</v>
      </c>
      <c r="G1489" s="2" t="s">
        <v>36</v>
      </c>
      <c r="L1489" s="2" t="s">
        <v>2887</v>
      </c>
      <c r="M1489" t="s">
        <v>38</v>
      </c>
      <c r="N1489" t="s">
        <v>39</v>
      </c>
      <c r="P1489" s="23">
        <v>65.27</v>
      </c>
      <c r="Q1489" s="4">
        <f t="shared" si="23"/>
        <v>-3064.1948827945457</v>
      </c>
      <c r="R1489" s="23" t="s">
        <v>109</v>
      </c>
    </row>
    <row r="1490" spans="1:20" x14ac:dyDescent="0.25">
      <c r="A1490" s="42">
        <v>45726</v>
      </c>
      <c r="B1490" s="1">
        <v>719586619</v>
      </c>
      <c r="C1490" t="s">
        <v>2884</v>
      </c>
      <c r="D1490" s="22">
        <v>-200000</v>
      </c>
      <c r="E1490" t="s">
        <v>35</v>
      </c>
      <c r="F1490" s="2">
        <v>210101001</v>
      </c>
      <c r="G1490" s="2" t="s">
        <v>36</v>
      </c>
      <c r="L1490" s="2" t="s">
        <v>2888</v>
      </c>
      <c r="M1490" t="s">
        <v>38</v>
      </c>
      <c r="N1490" t="s">
        <v>39</v>
      </c>
      <c r="P1490" s="23">
        <v>65.27</v>
      </c>
      <c r="Q1490" s="4">
        <f t="shared" si="23"/>
        <v>-3064.1948827945457</v>
      </c>
      <c r="R1490" s="23" t="s">
        <v>109</v>
      </c>
    </row>
    <row r="1491" spans="1:20" x14ac:dyDescent="0.25">
      <c r="A1491" s="42">
        <v>45726</v>
      </c>
      <c r="B1491" s="1">
        <v>719586620</v>
      </c>
      <c r="C1491" t="s">
        <v>2889</v>
      </c>
      <c r="D1491" s="22">
        <v>-156256.38</v>
      </c>
      <c r="E1491" t="s">
        <v>35</v>
      </c>
      <c r="F1491" s="2">
        <v>210101001</v>
      </c>
      <c r="G1491" s="2" t="s">
        <v>36</v>
      </c>
      <c r="L1491" s="2" t="s">
        <v>2890</v>
      </c>
      <c r="M1491" t="s">
        <v>714</v>
      </c>
      <c r="N1491" t="s">
        <v>715</v>
      </c>
      <c r="P1491" s="23">
        <v>65.27</v>
      </c>
      <c r="Q1491" s="4">
        <f t="shared" si="23"/>
        <v>-2394</v>
      </c>
      <c r="R1491" s="23" t="s">
        <v>109</v>
      </c>
    </row>
    <row r="1492" spans="1:20" x14ac:dyDescent="0.25">
      <c r="A1492" s="42">
        <v>45726</v>
      </c>
      <c r="B1492" s="1">
        <v>50360503</v>
      </c>
      <c r="C1492" t="s">
        <v>118</v>
      </c>
      <c r="D1492" s="22">
        <v>-2064.6</v>
      </c>
      <c r="E1492" t="s">
        <v>35</v>
      </c>
      <c r="F1492" s="2">
        <v>610148001</v>
      </c>
      <c r="G1492" s="2" t="s">
        <v>42</v>
      </c>
      <c r="L1492" s="2" t="s">
        <v>2891</v>
      </c>
      <c r="M1492" t="s">
        <v>43</v>
      </c>
      <c r="N1492" t="s">
        <v>42</v>
      </c>
      <c r="P1492" s="23">
        <v>65.27</v>
      </c>
      <c r="Q1492" s="4">
        <f t="shared" si="23"/>
        <v>-31.631683775088096</v>
      </c>
      <c r="R1492" s="23" t="s">
        <v>109</v>
      </c>
      <c r="T1492" s="23" t="s">
        <v>2658</v>
      </c>
    </row>
    <row r="1493" spans="1:20" x14ac:dyDescent="0.25">
      <c r="A1493" s="42">
        <v>45726</v>
      </c>
      <c r="B1493" s="1">
        <v>132600000</v>
      </c>
      <c r="C1493" t="s">
        <v>107</v>
      </c>
      <c r="D1493" s="22">
        <v>58000</v>
      </c>
      <c r="E1493" t="s">
        <v>46</v>
      </c>
      <c r="F1493" s="2">
        <v>210115002</v>
      </c>
      <c r="G1493" s="2" t="s">
        <v>47</v>
      </c>
      <c r="L1493" s="2" t="s">
        <v>2892</v>
      </c>
      <c r="N1493" t="s">
        <v>107</v>
      </c>
      <c r="P1493" s="23">
        <v>65.27</v>
      </c>
      <c r="Q1493" s="4">
        <f t="shared" si="23"/>
        <v>888.61651601041831</v>
      </c>
      <c r="R1493" s="23" t="s">
        <v>109</v>
      </c>
    </row>
    <row r="1494" spans="1:20" x14ac:dyDescent="0.25">
      <c r="A1494" s="42">
        <v>45726</v>
      </c>
      <c r="B1494" s="1">
        <v>719594629</v>
      </c>
      <c r="C1494" t="s">
        <v>2893</v>
      </c>
      <c r="D1494" s="22">
        <v>-57507.21</v>
      </c>
      <c r="E1494" t="s">
        <v>35</v>
      </c>
      <c r="F1494" s="2">
        <v>210101001</v>
      </c>
      <c r="G1494" s="2" t="s">
        <v>36</v>
      </c>
      <c r="L1494" s="2" t="s">
        <v>2894</v>
      </c>
      <c r="M1494" t="s">
        <v>760</v>
      </c>
      <c r="N1494" t="s">
        <v>761</v>
      </c>
      <c r="P1494" s="23">
        <v>65.27</v>
      </c>
      <c r="Q1494" s="4">
        <f t="shared" si="23"/>
        <v>-881.06649302895664</v>
      </c>
      <c r="R1494" s="23" t="s">
        <v>109</v>
      </c>
    </row>
    <row r="1495" spans="1:20" x14ac:dyDescent="0.25">
      <c r="A1495" s="42">
        <v>45726</v>
      </c>
      <c r="B1495" s="1">
        <v>719594629</v>
      </c>
      <c r="C1495" t="s">
        <v>306</v>
      </c>
      <c r="D1495" s="22">
        <v>-172.52</v>
      </c>
      <c r="E1495" t="s">
        <v>35</v>
      </c>
      <c r="F1495" s="2">
        <v>610148001</v>
      </c>
      <c r="G1495" s="2" t="s">
        <v>42</v>
      </c>
      <c r="L1495" s="2" t="s">
        <v>2895</v>
      </c>
      <c r="M1495" t="s">
        <v>43</v>
      </c>
      <c r="N1495" t="s">
        <v>42</v>
      </c>
      <c r="P1495" s="23">
        <v>65.27</v>
      </c>
      <c r="Q1495" s="4">
        <f t="shared" si="23"/>
        <v>-2.6431745058985756</v>
      </c>
      <c r="R1495" s="23" t="s">
        <v>109</v>
      </c>
      <c r="T1495" s="23" t="s">
        <v>2658</v>
      </c>
    </row>
    <row r="1496" spans="1:20" x14ac:dyDescent="0.25">
      <c r="A1496" s="42">
        <v>45726</v>
      </c>
      <c r="B1496" s="1">
        <v>175434643</v>
      </c>
      <c r="C1496" t="s">
        <v>107</v>
      </c>
      <c r="D1496" s="22">
        <v>20000</v>
      </c>
      <c r="E1496" t="s">
        <v>46</v>
      </c>
      <c r="F1496" s="2">
        <v>210115002</v>
      </c>
      <c r="G1496" s="2" t="s">
        <v>47</v>
      </c>
      <c r="L1496" s="2" t="s">
        <v>2896</v>
      </c>
      <c r="N1496" t="s">
        <v>107</v>
      </c>
      <c r="P1496" s="23">
        <v>65.27</v>
      </c>
      <c r="Q1496" s="4">
        <f t="shared" si="23"/>
        <v>306.41948827945458</v>
      </c>
      <c r="R1496" s="23" t="s">
        <v>109</v>
      </c>
    </row>
    <row r="1497" spans="1:20" x14ac:dyDescent="0.25">
      <c r="A1497" s="42">
        <v>45726</v>
      </c>
      <c r="B1497" s="1">
        <v>0</v>
      </c>
      <c r="C1497" t="s">
        <v>123</v>
      </c>
      <c r="D1497" s="22">
        <v>-58.79</v>
      </c>
      <c r="E1497" t="s">
        <v>35</v>
      </c>
      <c r="F1497" s="2">
        <v>610148001</v>
      </c>
      <c r="G1497" s="2" t="s">
        <v>42</v>
      </c>
      <c r="L1497" s="2" t="s">
        <v>2897</v>
      </c>
      <c r="M1497" t="s">
        <v>43</v>
      </c>
      <c r="N1497" t="s">
        <v>42</v>
      </c>
      <c r="P1497" s="23">
        <v>65.27</v>
      </c>
      <c r="Q1497" s="4">
        <f t="shared" si="23"/>
        <v>-0.90072008579745677</v>
      </c>
      <c r="R1497" s="23" t="s">
        <v>109</v>
      </c>
      <c r="T1497" s="23" t="s">
        <v>2658</v>
      </c>
    </row>
    <row r="1498" spans="1:20" x14ac:dyDescent="0.25">
      <c r="A1498" s="42">
        <v>45726</v>
      </c>
      <c r="B1498" s="1">
        <v>156800</v>
      </c>
      <c r="C1498" t="s">
        <v>2898</v>
      </c>
      <c r="D1498" s="22">
        <v>-22050.9</v>
      </c>
      <c r="E1498" t="s">
        <v>35</v>
      </c>
      <c r="F1498" s="2">
        <v>210601001</v>
      </c>
      <c r="G1498" s="2" t="s">
        <v>494</v>
      </c>
      <c r="L1498" s="2" t="s">
        <v>2899</v>
      </c>
      <c r="M1498" t="s">
        <v>496</v>
      </c>
      <c r="N1498" t="s">
        <v>497</v>
      </c>
      <c r="P1498" s="23">
        <v>65.27</v>
      </c>
      <c r="Q1498" s="4">
        <f t="shared" si="23"/>
        <v>-337.84127470507127</v>
      </c>
      <c r="R1498" s="23" t="s">
        <v>109</v>
      </c>
      <c r="T1498" s="23" t="s">
        <v>2900</v>
      </c>
    </row>
    <row r="1499" spans="1:20" x14ac:dyDescent="0.25">
      <c r="A1499" s="42">
        <v>45727</v>
      </c>
      <c r="B1499" s="1">
        <v>104329088</v>
      </c>
      <c r="C1499" t="s">
        <v>107</v>
      </c>
      <c r="D1499" s="22">
        <v>548000</v>
      </c>
      <c r="E1499" t="s">
        <v>46</v>
      </c>
      <c r="F1499" s="2">
        <v>210115002</v>
      </c>
      <c r="G1499" s="2" t="s">
        <v>47</v>
      </c>
      <c r="L1499" s="2" t="s">
        <v>2901</v>
      </c>
      <c r="N1499" s="48" t="s">
        <v>107</v>
      </c>
      <c r="O1499" s="48"/>
      <c r="P1499" s="23">
        <v>65.42</v>
      </c>
      <c r="Q1499" s="4">
        <f t="shared" si="23"/>
        <v>8376.643228370529</v>
      </c>
      <c r="R1499" s="23" t="s">
        <v>109</v>
      </c>
    </row>
    <row r="1500" spans="1:20" x14ac:dyDescent="0.25">
      <c r="A1500" s="42">
        <v>45727</v>
      </c>
      <c r="B1500" s="1">
        <v>719631169</v>
      </c>
      <c r="C1500" t="s">
        <v>2902</v>
      </c>
      <c r="D1500" s="22">
        <v>-16165.4</v>
      </c>
      <c r="E1500" t="s">
        <v>35</v>
      </c>
      <c r="F1500" s="2">
        <v>210101001</v>
      </c>
      <c r="G1500" s="2" t="s">
        <v>36</v>
      </c>
      <c r="L1500" s="2" t="s">
        <v>2903</v>
      </c>
      <c r="M1500" t="s">
        <v>38</v>
      </c>
      <c r="N1500" s="48" t="s">
        <v>39</v>
      </c>
      <c r="O1500" s="48"/>
      <c r="P1500" s="23">
        <v>65.42</v>
      </c>
      <c r="Q1500" s="4">
        <f t="shared" si="23"/>
        <v>-247.10180372974625</v>
      </c>
      <c r="R1500" s="23" t="s">
        <v>109</v>
      </c>
    </row>
    <row r="1501" spans="1:20" x14ac:dyDescent="0.25">
      <c r="A1501" s="42">
        <v>45727</v>
      </c>
      <c r="B1501" s="1">
        <v>719631171</v>
      </c>
      <c r="C1501" t="s">
        <v>2904</v>
      </c>
      <c r="D1501" s="22">
        <v>-95614.02</v>
      </c>
      <c r="E1501" t="s">
        <v>35</v>
      </c>
      <c r="F1501" s="2">
        <v>210101001</v>
      </c>
      <c r="G1501" s="2" t="s">
        <v>36</v>
      </c>
      <c r="L1501" s="2" t="s">
        <v>2905</v>
      </c>
      <c r="M1501" t="s">
        <v>788</v>
      </c>
      <c r="N1501" t="s">
        <v>789</v>
      </c>
      <c r="P1501" s="23">
        <v>65.42</v>
      </c>
      <c r="Q1501" s="4">
        <f t="shared" si="23"/>
        <v>-1461.5411189238764</v>
      </c>
      <c r="R1501" s="23" t="s">
        <v>109</v>
      </c>
    </row>
    <row r="1502" spans="1:20" x14ac:dyDescent="0.25">
      <c r="A1502" s="42">
        <v>45727</v>
      </c>
      <c r="B1502" s="1">
        <v>719631170</v>
      </c>
      <c r="C1502" t="s">
        <v>2906</v>
      </c>
      <c r="D1502" s="22">
        <v>-6602.48</v>
      </c>
      <c r="E1502" t="s">
        <v>35</v>
      </c>
      <c r="F1502" s="2">
        <v>210101001</v>
      </c>
      <c r="G1502" s="2" t="s">
        <v>36</v>
      </c>
      <c r="L1502" s="2" t="s">
        <v>2907</v>
      </c>
      <c r="M1502" t="s">
        <v>788</v>
      </c>
      <c r="N1502" t="s">
        <v>789</v>
      </c>
      <c r="P1502" s="23">
        <v>65.42</v>
      </c>
      <c r="Q1502" s="4">
        <f t="shared" si="23"/>
        <v>-100.9244879241822</v>
      </c>
      <c r="R1502" s="23" t="s">
        <v>109</v>
      </c>
    </row>
    <row r="1503" spans="1:20" x14ac:dyDescent="0.25">
      <c r="A1503" s="42">
        <v>45727</v>
      </c>
      <c r="B1503" s="1">
        <v>719631173</v>
      </c>
      <c r="C1503" t="s">
        <v>2908</v>
      </c>
      <c r="D1503" s="22">
        <v>-15141.71</v>
      </c>
      <c r="E1503" t="s">
        <v>35</v>
      </c>
      <c r="F1503" s="2">
        <v>210101001</v>
      </c>
      <c r="G1503" s="2" t="s">
        <v>36</v>
      </c>
      <c r="L1503" s="2" t="s">
        <v>2909</v>
      </c>
      <c r="M1503" t="s">
        <v>303</v>
      </c>
      <c r="N1503" t="s">
        <v>304</v>
      </c>
      <c r="P1503" s="23">
        <v>65.42</v>
      </c>
      <c r="Q1503" s="4">
        <f t="shared" si="23"/>
        <v>-231.45383674717209</v>
      </c>
      <c r="R1503" s="23" t="s">
        <v>109</v>
      </c>
    </row>
    <row r="1504" spans="1:20" x14ac:dyDescent="0.25">
      <c r="A1504" s="42">
        <v>45727</v>
      </c>
      <c r="B1504" s="1">
        <v>719631172</v>
      </c>
      <c r="C1504" t="s">
        <v>2910</v>
      </c>
      <c r="D1504" s="22">
        <v>-15023.9</v>
      </c>
      <c r="E1504" t="s">
        <v>35</v>
      </c>
      <c r="F1504" s="2">
        <v>210101001</v>
      </c>
      <c r="G1504" s="2" t="s">
        <v>36</v>
      </c>
      <c r="L1504" s="2" t="s">
        <v>2911</v>
      </c>
      <c r="M1504" t="s">
        <v>2912</v>
      </c>
      <c r="N1504" t="s">
        <v>2913</v>
      </c>
      <c r="P1504" s="23">
        <v>65.42</v>
      </c>
      <c r="Q1504" s="4">
        <f t="shared" si="23"/>
        <v>-229.65301131152552</v>
      </c>
      <c r="R1504" s="23" t="s">
        <v>109</v>
      </c>
    </row>
    <row r="1505" spans="1:20" x14ac:dyDescent="0.25">
      <c r="A1505" s="42">
        <v>45727</v>
      </c>
      <c r="B1505" s="1">
        <v>719631175</v>
      </c>
      <c r="C1505" t="s">
        <v>2902</v>
      </c>
      <c r="D1505" s="22">
        <v>-200000</v>
      </c>
      <c r="E1505" t="s">
        <v>35</v>
      </c>
      <c r="F1505" s="2">
        <v>210101001</v>
      </c>
      <c r="G1505" s="2" t="s">
        <v>36</v>
      </c>
      <c r="L1505" s="2" t="s">
        <v>2914</v>
      </c>
      <c r="M1505" t="s">
        <v>38</v>
      </c>
      <c r="N1505" t="s">
        <v>39</v>
      </c>
      <c r="P1505" s="23">
        <v>65.42</v>
      </c>
      <c r="Q1505" s="4">
        <f t="shared" si="23"/>
        <v>-3057.1690614490981</v>
      </c>
      <c r="R1505" s="23" t="s">
        <v>109</v>
      </c>
    </row>
    <row r="1506" spans="1:20" x14ac:dyDescent="0.25">
      <c r="A1506" s="42">
        <v>45727</v>
      </c>
      <c r="B1506" s="1">
        <v>719631174</v>
      </c>
      <c r="C1506" t="s">
        <v>2902</v>
      </c>
      <c r="D1506" s="22">
        <v>-200000</v>
      </c>
      <c r="E1506" t="s">
        <v>35</v>
      </c>
      <c r="F1506" s="2">
        <v>210101001</v>
      </c>
      <c r="G1506" s="2" t="s">
        <v>36</v>
      </c>
      <c r="L1506" s="2" t="s">
        <v>2915</v>
      </c>
      <c r="M1506" t="s">
        <v>38</v>
      </c>
      <c r="N1506" t="s">
        <v>39</v>
      </c>
      <c r="P1506" s="23">
        <v>65.42</v>
      </c>
      <c r="Q1506" s="4">
        <f t="shared" si="23"/>
        <v>-3057.1690614490981</v>
      </c>
      <c r="R1506" s="23" t="s">
        <v>109</v>
      </c>
    </row>
    <row r="1507" spans="1:20" x14ac:dyDescent="0.25">
      <c r="A1507" s="42">
        <v>45727</v>
      </c>
      <c r="B1507" s="1">
        <v>50339268</v>
      </c>
      <c r="C1507" t="s">
        <v>118</v>
      </c>
      <c r="D1507" s="22">
        <v>-1371.36</v>
      </c>
      <c r="E1507" t="s">
        <v>35</v>
      </c>
      <c r="F1507" s="2">
        <v>610148001</v>
      </c>
      <c r="G1507" s="2" t="s">
        <v>42</v>
      </c>
      <c r="L1507" s="2" t="s">
        <v>2916</v>
      </c>
      <c r="M1507" t="s">
        <v>43</v>
      </c>
      <c r="N1507" t="s">
        <v>42</v>
      </c>
      <c r="P1507" s="23">
        <v>65.42</v>
      </c>
      <c r="Q1507" s="4">
        <f t="shared" si="23"/>
        <v>-20.962396820544175</v>
      </c>
      <c r="R1507" s="23" t="s">
        <v>109</v>
      </c>
      <c r="T1507" s="23" t="s">
        <v>2658</v>
      </c>
    </row>
    <row r="1508" spans="1:20" x14ac:dyDescent="0.25">
      <c r="A1508" s="42">
        <v>45727</v>
      </c>
      <c r="B1508" s="1">
        <v>151010727</v>
      </c>
      <c r="C1508" t="s">
        <v>107</v>
      </c>
      <c r="D1508" s="22">
        <v>420000</v>
      </c>
      <c r="E1508" t="s">
        <v>46</v>
      </c>
      <c r="F1508" s="2">
        <v>210115002</v>
      </c>
      <c r="G1508" s="2" t="s">
        <v>47</v>
      </c>
      <c r="L1508" s="2" t="s">
        <v>2917</v>
      </c>
      <c r="N1508" s="48" t="s">
        <v>107</v>
      </c>
      <c r="O1508" s="48"/>
      <c r="P1508" s="23">
        <v>65.42</v>
      </c>
      <c r="Q1508" s="4">
        <f t="shared" si="23"/>
        <v>6420.0550290431056</v>
      </c>
      <c r="R1508" s="23" t="s">
        <v>109</v>
      </c>
    </row>
    <row r="1509" spans="1:20" x14ac:dyDescent="0.25">
      <c r="A1509" s="42">
        <v>45727</v>
      </c>
      <c r="B1509" s="1">
        <v>319643847</v>
      </c>
      <c r="C1509" t="s">
        <v>2918</v>
      </c>
      <c r="D1509" s="22">
        <v>-200000</v>
      </c>
      <c r="E1509" t="s">
        <v>35</v>
      </c>
      <c r="F1509" s="2">
        <v>210101001</v>
      </c>
      <c r="G1509" s="2" t="s">
        <v>36</v>
      </c>
      <c r="L1509" s="2" t="s">
        <v>2919</v>
      </c>
      <c r="M1509" t="s">
        <v>38</v>
      </c>
      <c r="N1509" s="48" t="s">
        <v>39</v>
      </c>
      <c r="O1509" s="48"/>
      <c r="P1509" s="23">
        <v>65.42</v>
      </c>
      <c r="Q1509" s="4">
        <f t="shared" si="23"/>
        <v>-3057.1690614490981</v>
      </c>
      <c r="R1509" s="23" t="s">
        <v>109</v>
      </c>
      <c r="S1509" t="s">
        <v>1353</v>
      </c>
    </row>
    <row r="1510" spans="1:20" x14ac:dyDescent="0.25">
      <c r="A1510" s="42">
        <v>45727</v>
      </c>
      <c r="B1510" s="1">
        <v>319643848</v>
      </c>
      <c r="C1510" t="s">
        <v>2918</v>
      </c>
      <c r="D1510" s="22">
        <v>-200000</v>
      </c>
      <c r="E1510" t="s">
        <v>35</v>
      </c>
      <c r="F1510" s="2">
        <v>210101001</v>
      </c>
      <c r="G1510" s="2" t="s">
        <v>36</v>
      </c>
      <c r="L1510" s="2" t="s">
        <v>2920</v>
      </c>
      <c r="M1510" t="s">
        <v>38</v>
      </c>
      <c r="N1510" s="48" t="s">
        <v>39</v>
      </c>
      <c r="O1510" s="48"/>
      <c r="P1510" s="23">
        <v>65.42</v>
      </c>
      <c r="Q1510" s="4">
        <f t="shared" si="23"/>
        <v>-3057.1690614490981</v>
      </c>
      <c r="R1510" s="23" t="s">
        <v>109</v>
      </c>
      <c r="S1510" t="s">
        <v>1353</v>
      </c>
    </row>
    <row r="1511" spans="1:20" x14ac:dyDescent="0.25">
      <c r="A1511" s="42">
        <v>45727</v>
      </c>
      <c r="B1511" s="1">
        <v>319643849</v>
      </c>
      <c r="C1511" t="s">
        <v>2918</v>
      </c>
      <c r="D1511" s="22">
        <v>-7944.77</v>
      </c>
      <c r="E1511" t="s">
        <v>35</v>
      </c>
      <c r="F1511" s="2">
        <v>210101001</v>
      </c>
      <c r="G1511" s="2" t="s">
        <v>36</v>
      </c>
      <c r="L1511" s="2" t="s">
        <v>2921</v>
      </c>
      <c r="M1511" t="s">
        <v>38</v>
      </c>
      <c r="N1511" s="48" t="s">
        <v>39</v>
      </c>
      <c r="O1511" s="48"/>
      <c r="P1511" s="23">
        <v>65.42</v>
      </c>
      <c r="Q1511" s="4">
        <f t="shared" si="23"/>
        <v>-121.44252522164476</v>
      </c>
      <c r="R1511" s="23" t="s">
        <v>109</v>
      </c>
      <c r="S1511" t="s">
        <v>1353</v>
      </c>
    </row>
    <row r="1512" spans="1:20" x14ac:dyDescent="0.25">
      <c r="A1512" s="42">
        <v>45727</v>
      </c>
      <c r="B1512" s="1">
        <v>50312286</v>
      </c>
      <c r="C1512" t="s">
        <v>2922</v>
      </c>
      <c r="D1512" s="22">
        <v>-8613.67</v>
      </c>
      <c r="E1512" t="s">
        <v>35</v>
      </c>
      <c r="F1512" s="2">
        <v>210101001</v>
      </c>
      <c r="G1512" s="2" t="s">
        <v>36</v>
      </c>
      <c r="L1512" s="2" t="s">
        <v>2923</v>
      </c>
      <c r="M1512" t="s">
        <v>303</v>
      </c>
      <c r="N1512" t="s">
        <v>304</v>
      </c>
      <c r="P1512" s="23">
        <v>65.42</v>
      </c>
      <c r="Q1512" s="4">
        <f t="shared" si="23"/>
        <v>-131.66722714766127</v>
      </c>
      <c r="R1512" s="23" t="s">
        <v>109</v>
      </c>
    </row>
    <row r="1513" spans="1:20" x14ac:dyDescent="0.25">
      <c r="A1513" s="42">
        <v>45727</v>
      </c>
      <c r="B1513" s="1">
        <v>50312286</v>
      </c>
      <c r="C1513" t="s">
        <v>296</v>
      </c>
      <c r="D1513" s="22">
        <v>-12.92</v>
      </c>
      <c r="E1513" t="s">
        <v>35</v>
      </c>
      <c r="F1513" s="2">
        <v>610148001</v>
      </c>
      <c r="G1513" s="2" t="s">
        <v>42</v>
      </c>
      <c r="L1513" s="2" t="s">
        <v>2924</v>
      </c>
      <c r="M1513" t="s">
        <v>43</v>
      </c>
      <c r="N1513" t="s">
        <v>42</v>
      </c>
      <c r="P1513" s="23">
        <v>65.42</v>
      </c>
      <c r="Q1513" s="4">
        <f t="shared" si="23"/>
        <v>-0.19749312136961172</v>
      </c>
      <c r="R1513" s="23" t="s">
        <v>109</v>
      </c>
      <c r="T1513" s="23" t="s">
        <v>2658</v>
      </c>
    </row>
    <row r="1514" spans="1:20" x14ac:dyDescent="0.25">
      <c r="A1514" s="42">
        <v>45727</v>
      </c>
      <c r="B1514" s="1">
        <v>50312286</v>
      </c>
      <c r="C1514" t="s">
        <v>118</v>
      </c>
      <c r="D1514" s="22">
        <v>-1019.86</v>
      </c>
      <c r="E1514" t="s">
        <v>35</v>
      </c>
      <c r="F1514" s="2">
        <v>610148001</v>
      </c>
      <c r="G1514" s="2" t="s">
        <v>42</v>
      </c>
      <c r="L1514" s="2" t="s">
        <v>2925</v>
      </c>
      <c r="M1514" t="s">
        <v>43</v>
      </c>
      <c r="N1514" t="s">
        <v>42</v>
      </c>
      <c r="P1514" s="23">
        <v>65.42</v>
      </c>
      <c r="Q1514" s="4">
        <f t="shared" si="23"/>
        <v>-15.589422195047385</v>
      </c>
      <c r="R1514" s="23" t="s">
        <v>109</v>
      </c>
      <c r="T1514" s="23" t="s">
        <v>2658</v>
      </c>
    </row>
    <row r="1515" spans="1:20" x14ac:dyDescent="0.25">
      <c r="A1515" s="42">
        <v>45728</v>
      </c>
      <c r="B1515" s="1">
        <v>590934494</v>
      </c>
      <c r="C1515" t="s">
        <v>2926</v>
      </c>
      <c r="D1515" s="22">
        <v>47955.1</v>
      </c>
      <c r="E1515" t="s">
        <v>46</v>
      </c>
      <c r="F1515" s="2">
        <v>110106001</v>
      </c>
      <c r="G1515" s="2" t="s">
        <v>2034</v>
      </c>
      <c r="L1515" s="2" t="s">
        <v>2927</v>
      </c>
      <c r="N1515" s="48" t="s">
        <v>2928</v>
      </c>
      <c r="O1515" s="48"/>
      <c r="P1515" s="23">
        <v>65.63</v>
      </c>
      <c r="Q1515" s="4">
        <f t="shared" si="23"/>
        <v>730.68870943166235</v>
      </c>
      <c r="R1515" s="23" t="s">
        <v>109</v>
      </c>
    </row>
    <row r="1516" spans="1:20" x14ac:dyDescent="0.25">
      <c r="A1516" s="42">
        <v>45728</v>
      </c>
      <c r="B1516" s="1">
        <v>590934494</v>
      </c>
      <c r="C1516" t="s">
        <v>2929</v>
      </c>
      <c r="D1516" s="22">
        <v>-719.32</v>
      </c>
      <c r="E1516" t="s">
        <v>35</v>
      </c>
      <c r="F1516" s="2">
        <v>610148001</v>
      </c>
      <c r="G1516" s="2" t="s">
        <v>42</v>
      </c>
      <c r="L1516" s="2" t="s">
        <v>2930</v>
      </c>
      <c r="M1516" t="s">
        <v>43</v>
      </c>
      <c r="N1516" t="s">
        <v>42</v>
      </c>
      <c r="P1516" s="23">
        <v>65.63</v>
      </c>
      <c r="Q1516" s="4">
        <f t="shared" si="23"/>
        <v>-10.9602316014018</v>
      </c>
      <c r="R1516" s="23" t="s">
        <v>109</v>
      </c>
      <c r="T1516" s="23" t="s">
        <v>2658</v>
      </c>
    </row>
    <row r="1517" spans="1:20" x14ac:dyDescent="0.25">
      <c r="A1517" s="42">
        <v>45728</v>
      </c>
      <c r="B1517" s="1">
        <v>111305787</v>
      </c>
      <c r="C1517" t="s">
        <v>107</v>
      </c>
      <c r="D1517" s="22">
        <v>220000</v>
      </c>
      <c r="E1517" t="s">
        <v>46</v>
      </c>
      <c r="F1517" s="2">
        <v>210115002</v>
      </c>
      <c r="G1517" s="2" t="s">
        <v>47</v>
      </c>
      <c r="L1517" s="2" t="s">
        <v>2931</v>
      </c>
      <c r="N1517" t="s">
        <v>107</v>
      </c>
      <c r="P1517" s="23">
        <v>65.63</v>
      </c>
      <c r="Q1517" s="4">
        <f t="shared" si="23"/>
        <v>3352.1255523388695</v>
      </c>
      <c r="R1517" s="23" t="s">
        <v>109</v>
      </c>
    </row>
    <row r="1518" spans="1:20" x14ac:dyDescent="0.25">
      <c r="A1518" s="42">
        <v>45728</v>
      </c>
      <c r="B1518" s="1">
        <v>519669711</v>
      </c>
      <c r="C1518" t="s">
        <v>2932</v>
      </c>
      <c r="D1518" s="22">
        <v>-105</v>
      </c>
      <c r="E1518" t="s">
        <v>35</v>
      </c>
      <c r="F1518" s="2">
        <v>210101001</v>
      </c>
      <c r="G1518" s="2" t="s">
        <v>36</v>
      </c>
      <c r="L1518" s="2" t="s">
        <v>2933</v>
      </c>
      <c r="M1518" t="s">
        <v>303</v>
      </c>
      <c r="N1518" t="s">
        <v>304</v>
      </c>
      <c r="P1518" s="23">
        <v>65.63</v>
      </c>
      <c r="Q1518" s="4">
        <f t="shared" si="23"/>
        <v>-1.5998781045253696</v>
      </c>
      <c r="R1518" s="23" t="s">
        <v>109</v>
      </c>
    </row>
    <row r="1519" spans="1:20" x14ac:dyDescent="0.25">
      <c r="A1519" s="45">
        <v>45728</v>
      </c>
      <c r="B1519" s="26">
        <v>519669713</v>
      </c>
      <c r="C1519" s="27" t="s">
        <v>2934</v>
      </c>
      <c r="D1519" s="28">
        <v>-164075</v>
      </c>
      <c r="E1519" s="27" t="s">
        <v>35</v>
      </c>
      <c r="F1519" s="29">
        <v>610122005</v>
      </c>
      <c r="G1519" s="29" t="s">
        <v>765</v>
      </c>
      <c r="H1519" s="107"/>
      <c r="I1519" s="101"/>
      <c r="J1519" s="101"/>
      <c r="K1519" s="29"/>
      <c r="L1519" s="2" t="s">
        <v>2935</v>
      </c>
      <c r="M1519" s="49" t="s">
        <v>1202</v>
      </c>
      <c r="N1519" s="27" t="s">
        <v>1203</v>
      </c>
      <c r="O1519" s="27" t="s">
        <v>59</v>
      </c>
      <c r="P1519" s="31">
        <v>65.63</v>
      </c>
      <c r="Q1519" s="4">
        <f t="shared" si="23"/>
        <v>-2500</v>
      </c>
      <c r="R1519" s="23" t="s">
        <v>109</v>
      </c>
      <c r="S1519" s="3" t="s">
        <v>1811</v>
      </c>
      <c r="T1519" s="23" t="s">
        <v>2936</v>
      </c>
    </row>
    <row r="1520" spans="1:20" x14ac:dyDescent="0.25">
      <c r="A1520" s="42">
        <v>45728</v>
      </c>
      <c r="B1520" s="1">
        <v>519669712</v>
      </c>
      <c r="C1520" t="s">
        <v>2937</v>
      </c>
      <c r="D1520" s="22">
        <v>-1141.9000000000001</v>
      </c>
      <c r="E1520" t="s">
        <v>35</v>
      </c>
      <c r="F1520" s="2">
        <v>210101001</v>
      </c>
      <c r="G1520" s="2" t="s">
        <v>36</v>
      </c>
      <c r="L1520" s="2" t="s">
        <v>2938</v>
      </c>
      <c r="M1520" t="s">
        <v>1318</v>
      </c>
      <c r="N1520" t="s">
        <v>1319</v>
      </c>
      <c r="P1520" s="23">
        <v>65.63</v>
      </c>
      <c r="Q1520" s="4">
        <f t="shared" si="23"/>
        <v>-17.399055310071617</v>
      </c>
      <c r="R1520" s="23" t="s">
        <v>109</v>
      </c>
    </row>
    <row r="1521" spans="1:20" x14ac:dyDescent="0.25">
      <c r="A1521" s="42">
        <v>45728</v>
      </c>
      <c r="B1521" s="1">
        <v>519669714</v>
      </c>
      <c r="C1521" t="s">
        <v>2939</v>
      </c>
      <c r="D1521" s="30">
        <v>-52504</v>
      </c>
      <c r="E1521" t="s">
        <v>35</v>
      </c>
      <c r="L1521" s="2" t="s">
        <v>2940</v>
      </c>
      <c r="M1521" s="50" t="s">
        <v>1809</v>
      </c>
      <c r="N1521" t="s">
        <v>1810</v>
      </c>
      <c r="O1521" s="27" t="s">
        <v>59</v>
      </c>
      <c r="P1521" s="23">
        <v>65.63</v>
      </c>
      <c r="Q1521" s="4">
        <f t="shared" si="23"/>
        <v>-800</v>
      </c>
      <c r="R1521" s="23" t="s">
        <v>109</v>
      </c>
      <c r="S1521" s="3" t="s">
        <v>1811</v>
      </c>
      <c r="T1521" s="23" t="s">
        <v>2941</v>
      </c>
    </row>
    <row r="1522" spans="1:20" x14ac:dyDescent="0.25">
      <c r="A1522" s="42">
        <v>45728</v>
      </c>
      <c r="B1522" s="1">
        <v>50314882</v>
      </c>
      <c r="C1522" t="s">
        <v>118</v>
      </c>
      <c r="D1522" s="22">
        <v>-544.55999999999995</v>
      </c>
      <c r="E1522" t="s">
        <v>35</v>
      </c>
      <c r="F1522" s="2">
        <v>610148001</v>
      </c>
      <c r="G1522" s="2" t="s">
        <v>42</v>
      </c>
      <c r="L1522" s="2" t="s">
        <v>2942</v>
      </c>
      <c r="M1522" t="s">
        <v>43</v>
      </c>
      <c r="N1522" t="s">
        <v>42</v>
      </c>
      <c r="P1522" s="23">
        <v>65.63</v>
      </c>
      <c r="Q1522" s="4">
        <f t="shared" si="23"/>
        <v>-8.2974249580984303</v>
      </c>
      <c r="R1522" s="23" t="s">
        <v>109</v>
      </c>
      <c r="T1522" s="23" t="s">
        <v>2658</v>
      </c>
    </row>
    <row r="1523" spans="1:20" x14ac:dyDescent="0.25">
      <c r="A1523" s="42">
        <v>45728</v>
      </c>
      <c r="B1523" s="1">
        <v>219680023</v>
      </c>
      <c r="C1523" t="s">
        <v>2943</v>
      </c>
      <c r="D1523" s="22">
        <v>-27711.61</v>
      </c>
      <c r="E1523" t="s">
        <v>35</v>
      </c>
      <c r="F1523" s="2">
        <v>210101001</v>
      </c>
      <c r="G1523" s="2" t="s">
        <v>36</v>
      </c>
      <c r="L1523" s="2" t="s">
        <v>2944</v>
      </c>
      <c r="M1523" t="s">
        <v>760</v>
      </c>
      <c r="N1523" t="s">
        <v>761</v>
      </c>
      <c r="P1523" s="23">
        <v>65.63</v>
      </c>
      <c r="Q1523" s="4">
        <f t="shared" si="23"/>
        <v>-422.23998171567882</v>
      </c>
      <c r="R1523" s="23" t="s">
        <v>109</v>
      </c>
    </row>
    <row r="1524" spans="1:20" x14ac:dyDescent="0.25">
      <c r="A1524" s="42">
        <v>45728</v>
      </c>
      <c r="B1524" s="1">
        <v>219680023</v>
      </c>
      <c r="C1524" t="s">
        <v>306</v>
      </c>
      <c r="D1524" s="22">
        <v>-83.13</v>
      </c>
      <c r="E1524" t="s">
        <v>35</v>
      </c>
      <c r="F1524" s="2">
        <v>610148001</v>
      </c>
      <c r="G1524" s="2" t="s">
        <v>42</v>
      </c>
      <c r="L1524" s="2" t="s">
        <v>2945</v>
      </c>
      <c r="M1524" t="s">
        <v>43</v>
      </c>
      <c r="N1524" t="s">
        <v>42</v>
      </c>
      <c r="P1524" s="23">
        <v>65.63</v>
      </c>
      <c r="Q1524" s="4">
        <f t="shared" si="23"/>
        <v>-1.2666463507542283</v>
      </c>
      <c r="R1524" s="23" t="s">
        <v>109</v>
      </c>
      <c r="T1524" s="23" t="s">
        <v>2658</v>
      </c>
    </row>
    <row r="1525" spans="1:20" x14ac:dyDescent="0.25">
      <c r="A1525" s="42">
        <v>45729</v>
      </c>
      <c r="B1525" s="1">
        <v>0</v>
      </c>
      <c r="C1525" t="s">
        <v>1565</v>
      </c>
      <c r="D1525" s="22">
        <v>-0.13</v>
      </c>
      <c r="E1525" t="s">
        <v>35</v>
      </c>
      <c r="F1525" s="2">
        <v>610148001</v>
      </c>
      <c r="G1525" s="2" t="s">
        <v>42</v>
      </c>
      <c r="L1525" s="2" t="s">
        <v>2946</v>
      </c>
      <c r="M1525" t="s">
        <v>43</v>
      </c>
      <c r="N1525" t="s">
        <v>42</v>
      </c>
      <c r="P1525" s="23">
        <v>66.25</v>
      </c>
      <c r="Q1525" s="4">
        <f t="shared" si="23"/>
        <v>-1.9622641509433963E-3</v>
      </c>
      <c r="R1525" s="23" t="s">
        <v>109</v>
      </c>
      <c r="T1525" s="23" t="s">
        <v>2658</v>
      </c>
    </row>
    <row r="1526" spans="1:20" x14ac:dyDescent="0.25">
      <c r="A1526" s="42">
        <v>45729</v>
      </c>
      <c r="B1526" s="1">
        <v>0</v>
      </c>
      <c r="C1526" t="s">
        <v>1565</v>
      </c>
      <c r="D1526" s="22">
        <v>-0.13</v>
      </c>
      <c r="E1526" t="s">
        <v>35</v>
      </c>
      <c r="F1526" s="2">
        <v>610148001</v>
      </c>
      <c r="G1526" s="2" t="s">
        <v>42</v>
      </c>
      <c r="L1526" s="2" t="s">
        <v>2947</v>
      </c>
      <c r="M1526" t="s">
        <v>43</v>
      </c>
      <c r="N1526" t="s">
        <v>42</v>
      </c>
      <c r="P1526" s="23">
        <v>66.25</v>
      </c>
      <c r="Q1526" s="4">
        <f t="shared" si="23"/>
        <v>-1.9622641509433963E-3</v>
      </c>
      <c r="R1526" s="23" t="s">
        <v>109</v>
      </c>
      <c r="T1526" s="23" t="s">
        <v>2658</v>
      </c>
    </row>
    <row r="1527" spans="1:20" x14ac:dyDescent="0.25">
      <c r="A1527" s="45">
        <v>45729</v>
      </c>
      <c r="B1527" s="26">
        <v>119697916</v>
      </c>
      <c r="C1527" s="27" t="s">
        <v>2948</v>
      </c>
      <c r="D1527" s="28">
        <v>-216.93</v>
      </c>
      <c r="E1527" s="27" t="s">
        <v>35</v>
      </c>
      <c r="F1527" s="29"/>
      <c r="G1527" s="29"/>
      <c r="H1527" s="107"/>
      <c r="I1527" s="101"/>
      <c r="J1527" s="101"/>
      <c r="K1527" s="29"/>
      <c r="L1527" s="2" t="s">
        <v>2949</v>
      </c>
      <c r="M1527" s="50" t="s">
        <v>1825</v>
      </c>
      <c r="N1527" s="27" t="s">
        <v>1826</v>
      </c>
      <c r="O1527" s="27" t="s">
        <v>59</v>
      </c>
      <c r="P1527" s="31">
        <v>66.25</v>
      </c>
      <c r="Q1527" s="4">
        <f t="shared" si="23"/>
        <v>-3.2744150943396226</v>
      </c>
      <c r="R1527" s="23" t="s">
        <v>109</v>
      </c>
      <c r="S1527" s="3" t="s">
        <v>1811</v>
      </c>
      <c r="T1527" s="23" t="s">
        <v>2950</v>
      </c>
    </row>
    <row r="1528" spans="1:20" x14ac:dyDescent="0.25">
      <c r="A1528" s="42">
        <v>45729</v>
      </c>
      <c r="B1528" s="1">
        <v>119697916</v>
      </c>
      <c r="C1528" t="s">
        <v>306</v>
      </c>
      <c r="D1528" s="22">
        <v>-0.65</v>
      </c>
      <c r="E1528" t="s">
        <v>35</v>
      </c>
      <c r="F1528" s="2">
        <v>610148001</v>
      </c>
      <c r="G1528" s="2" t="s">
        <v>42</v>
      </c>
      <c r="L1528" s="2" t="s">
        <v>2951</v>
      </c>
      <c r="M1528" t="s">
        <v>43</v>
      </c>
      <c r="N1528" t="s">
        <v>42</v>
      </c>
      <c r="P1528" s="23">
        <v>66.25</v>
      </c>
      <c r="Q1528" s="4">
        <f t="shared" si="23"/>
        <v>-9.8113207547169817E-3</v>
      </c>
      <c r="R1528" s="23" t="s">
        <v>109</v>
      </c>
      <c r="T1528" s="23" t="s">
        <v>2658</v>
      </c>
    </row>
    <row r="1529" spans="1:20" x14ac:dyDescent="0.25">
      <c r="A1529" s="45">
        <v>45729</v>
      </c>
      <c r="B1529" s="26">
        <v>919697963</v>
      </c>
      <c r="C1529" s="27" t="s">
        <v>2952</v>
      </c>
      <c r="D1529" s="28">
        <v>-723.1</v>
      </c>
      <c r="E1529" s="27" t="s">
        <v>35</v>
      </c>
      <c r="F1529" s="29"/>
      <c r="G1529" s="29"/>
      <c r="H1529" s="107"/>
      <c r="I1529" s="101"/>
      <c r="J1529" s="101"/>
      <c r="K1529" s="29"/>
      <c r="L1529" s="2" t="s">
        <v>2953</v>
      </c>
      <c r="M1529" s="50" t="s">
        <v>1825</v>
      </c>
      <c r="N1529" s="27" t="s">
        <v>1826</v>
      </c>
      <c r="O1529" s="27" t="s">
        <v>59</v>
      </c>
      <c r="P1529" s="31">
        <v>66.25</v>
      </c>
      <c r="Q1529" s="4">
        <f t="shared" si="23"/>
        <v>-10.914716981132075</v>
      </c>
      <c r="R1529" s="23" t="s">
        <v>109</v>
      </c>
      <c r="S1529" s="3" t="s">
        <v>1811</v>
      </c>
      <c r="T1529" s="23" t="s">
        <v>2950</v>
      </c>
    </row>
    <row r="1530" spans="1:20" x14ac:dyDescent="0.25">
      <c r="A1530" s="42">
        <v>45729</v>
      </c>
      <c r="B1530" s="1">
        <v>919697963</v>
      </c>
      <c r="C1530" t="s">
        <v>306</v>
      </c>
      <c r="D1530" s="22">
        <v>-2.17</v>
      </c>
      <c r="E1530" t="s">
        <v>35</v>
      </c>
      <c r="F1530" s="2">
        <v>610148001</v>
      </c>
      <c r="G1530" s="2" t="s">
        <v>42</v>
      </c>
      <c r="L1530" s="2" t="s">
        <v>2954</v>
      </c>
      <c r="M1530" t="s">
        <v>43</v>
      </c>
      <c r="N1530" t="s">
        <v>42</v>
      </c>
      <c r="P1530" s="23">
        <v>66.25</v>
      </c>
      <c r="Q1530" s="4">
        <f t="shared" si="23"/>
        <v>-3.2754716981132075E-2</v>
      </c>
      <c r="R1530" s="23" t="s">
        <v>109</v>
      </c>
      <c r="T1530" s="23" t="s">
        <v>2658</v>
      </c>
    </row>
    <row r="1531" spans="1:20" x14ac:dyDescent="0.25">
      <c r="A1531" s="42">
        <v>45729</v>
      </c>
      <c r="B1531" s="1">
        <v>113543906</v>
      </c>
      <c r="C1531" t="s">
        <v>2955</v>
      </c>
      <c r="D1531" s="22">
        <v>-3856.62</v>
      </c>
      <c r="E1531" t="s">
        <v>35</v>
      </c>
      <c r="F1531" s="2">
        <v>210101001</v>
      </c>
      <c r="G1531" s="2" t="s">
        <v>36</v>
      </c>
      <c r="L1531" s="2" t="s">
        <v>2956</v>
      </c>
      <c r="M1531" t="s">
        <v>1186</v>
      </c>
      <c r="N1531" t="s">
        <v>1187</v>
      </c>
      <c r="P1531" s="23">
        <v>66.25</v>
      </c>
      <c r="Q1531" s="4">
        <f t="shared" si="23"/>
        <v>-58.213132075471698</v>
      </c>
      <c r="R1531" s="23" t="s">
        <v>109</v>
      </c>
    </row>
    <row r="1532" spans="1:20" x14ac:dyDescent="0.25">
      <c r="A1532" s="42">
        <v>45729</v>
      </c>
      <c r="B1532" s="1">
        <v>120334715</v>
      </c>
      <c r="C1532" t="s">
        <v>2957</v>
      </c>
      <c r="D1532" s="22">
        <v>-15003.35</v>
      </c>
      <c r="E1532" t="s">
        <v>35</v>
      </c>
      <c r="F1532" s="2">
        <v>210101001</v>
      </c>
      <c r="G1532" s="2" t="s">
        <v>36</v>
      </c>
      <c r="L1532" s="2" t="s">
        <v>2958</v>
      </c>
      <c r="M1532" t="s">
        <v>2635</v>
      </c>
      <c r="N1532" t="s">
        <v>2636</v>
      </c>
      <c r="P1532" s="23">
        <v>66.25</v>
      </c>
      <c r="Q1532" s="4">
        <f t="shared" si="23"/>
        <v>-226.46566037735849</v>
      </c>
      <c r="R1532" s="23" t="s">
        <v>109</v>
      </c>
    </row>
    <row r="1533" spans="1:20" x14ac:dyDescent="0.25">
      <c r="A1533" s="42">
        <v>45729</v>
      </c>
      <c r="B1533" s="1">
        <v>719713510</v>
      </c>
      <c r="C1533" t="s">
        <v>2959</v>
      </c>
      <c r="D1533" s="22">
        <v>-5379.22</v>
      </c>
      <c r="E1533" t="s">
        <v>35</v>
      </c>
      <c r="F1533" s="2">
        <v>210101001</v>
      </c>
      <c r="G1533" s="2" t="s">
        <v>36</v>
      </c>
      <c r="L1533" s="2" t="s">
        <v>2960</v>
      </c>
      <c r="M1533" t="s">
        <v>2028</v>
      </c>
      <c r="N1533" t="s">
        <v>2029</v>
      </c>
      <c r="P1533" s="23">
        <v>66.25</v>
      </c>
      <c r="Q1533" s="4">
        <f t="shared" si="23"/>
        <v>-81.195773584905666</v>
      </c>
      <c r="R1533" s="23" t="s">
        <v>109</v>
      </c>
    </row>
    <row r="1534" spans="1:20" x14ac:dyDescent="0.25">
      <c r="A1534" s="42">
        <v>45729</v>
      </c>
      <c r="B1534" s="1">
        <v>719713510</v>
      </c>
      <c r="C1534" t="s">
        <v>306</v>
      </c>
      <c r="D1534" s="22">
        <v>-16.14</v>
      </c>
      <c r="E1534" t="s">
        <v>35</v>
      </c>
      <c r="F1534" s="2">
        <v>610148001</v>
      </c>
      <c r="G1534" s="2" t="s">
        <v>42</v>
      </c>
      <c r="L1534" s="2" t="s">
        <v>2961</v>
      </c>
      <c r="M1534" t="s">
        <v>43</v>
      </c>
      <c r="N1534" t="s">
        <v>42</v>
      </c>
      <c r="P1534" s="23">
        <v>66.25</v>
      </c>
      <c r="Q1534" s="4">
        <f t="shared" si="23"/>
        <v>-0.24362264150943397</v>
      </c>
      <c r="R1534" s="23" t="s">
        <v>109</v>
      </c>
      <c r="T1534" s="23" t="s">
        <v>2658</v>
      </c>
    </row>
    <row r="1535" spans="1:20" x14ac:dyDescent="0.25">
      <c r="A1535" s="42">
        <v>45729</v>
      </c>
      <c r="B1535" s="1">
        <v>144133512</v>
      </c>
      <c r="C1535" t="s">
        <v>107</v>
      </c>
      <c r="D1535" s="22">
        <v>255000</v>
      </c>
      <c r="E1535" t="s">
        <v>46</v>
      </c>
      <c r="F1535" s="2">
        <v>210115002</v>
      </c>
      <c r="G1535" s="2" t="s">
        <v>47</v>
      </c>
      <c r="L1535" s="2" t="s">
        <v>2962</v>
      </c>
      <c r="N1535" t="s">
        <v>107</v>
      </c>
      <c r="P1535" s="23">
        <v>66.25</v>
      </c>
      <c r="Q1535" s="4">
        <f t="shared" si="23"/>
        <v>3849.0566037735848</v>
      </c>
      <c r="R1535" s="23" t="s">
        <v>109</v>
      </c>
    </row>
    <row r="1536" spans="1:20" x14ac:dyDescent="0.25">
      <c r="A1536" s="42">
        <v>45729</v>
      </c>
      <c r="B1536" s="1">
        <v>144232523</v>
      </c>
      <c r="C1536" t="s">
        <v>2963</v>
      </c>
      <c r="D1536" s="22">
        <v>-3308.03</v>
      </c>
      <c r="E1536" t="s">
        <v>35</v>
      </c>
      <c r="F1536" s="2">
        <v>210101001</v>
      </c>
      <c r="G1536" s="2" t="s">
        <v>36</v>
      </c>
      <c r="L1536" s="2" t="s">
        <v>2964</v>
      </c>
      <c r="M1536" t="s">
        <v>1186</v>
      </c>
      <c r="N1536" t="s">
        <v>1187</v>
      </c>
      <c r="P1536" s="23">
        <v>66.25</v>
      </c>
      <c r="Q1536" s="4">
        <f t="shared" si="23"/>
        <v>-49.932528301886798</v>
      </c>
      <c r="R1536" s="23" t="s">
        <v>109</v>
      </c>
    </row>
    <row r="1537" spans="1:23" x14ac:dyDescent="0.25">
      <c r="A1537" s="42">
        <v>45729</v>
      </c>
      <c r="B1537" s="1">
        <v>619720661</v>
      </c>
      <c r="C1537" t="s">
        <v>2965</v>
      </c>
      <c r="D1537" s="22">
        <v>-4875</v>
      </c>
      <c r="E1537" t="s">
        <v>35</v>
      </c>
      <c r="F1537" s="2">
        <v>212901001</v>
      </c>
      <c r="G1537" s="2" t="s">
        <v>121</v>
      </c>
      <c r="L1537" s="2" t="s">
        <v>2966</v>
      </c>
      <c r="M1537" t="s">
        <v>67</v>
      </c>
      <c r="N1537" t="s">
        <v>68</v>
      </c>
      <c r="P1537" s="23">
        <v>66.25</v>
      </c>
      <c r="Q1537" s="4">
        <f t="shared" si="23"/>
        <v>-73.584905660377359</v>
      </c>
      <c r="R1537" s="23" t="s">
        <v>109</v>
      </c>
      <c r="U1537">
        <v>9</v>
      </c>
      <c r="V1537" t="e">
        <f>VLOOKUP(U1537,[1]!NOMINA[#Data],4,FALSE)</f>
        <v>#REF!</v>
      </c>
      <c r="W1537" t="e">
        <f>VLOOKUP(U1537,[1]!NOMINA[#Data],5,FALSE)</f>
        <v>#REF!</v>
      </c>
    </row>
    <row r="1538" spans="1:23" x14ac:dyDescent="0.25">
      <c r="A1538" s="42">
        <v>45729</v>
      </c>
      <c r="B1538" s="1">
        <v>619720663</v>
      </c>
      <c r="C1538" t="s">
        <v>2967</v>
      </c>
      <c r="D1538" s="22">
        <v>-2241.2600000000002</v>
      </c>
      <c r="E1538" t="s">
        <v>35</v>
      </c>
      <c r="F1538" s="2">
        <v>212901001</v>
      </c>
      <c r="G1538" s="2" t="s">
        <v>121</v>
      </c>
      <c r="L1538" s="2" t="s">
        <v>2968</v>
      </c>
      <c r="M1538" t="s">
        <v>67</v>
      </c>
      <c r="N1538" t="s">
        <v>68</v>
      </c>
      <c r="P1538" s="23">
        <v>66.25</v>
      </c>
      <c r="Q1538" s="4">
        <f t="shared" si="23"/>
        <v>-33.83033962264151</v>
      </c>
      <c r="R1538" s="23" t="s">
        <v>109</v>
      </c>
      <c r="U1538">
        <v>26</v>
      </c>
      <c r="V1538" t="e">
        <f>VLOOKUP(Tabla3[[#This Row],[Nº]],[1]!NOMINA[#Data],4,FALSE)</f>
        <v>#REF!</v>
      </c>
      <c r="W1538" t="e">
        <f>VLOOKUP(Tabla3[[#This Row],[Nº]],[1]!NOMINA[#Data],5,FALSE)</f>
        <v>#REF!</v>
      </c>
    </row>
    <row r="1539" spans="1:23" x14ac:dyDescent="0.25">
      <c r="A1539" s="42">
        <v>45729</v>
      </c>
      <c r="B1539" s="1">
        <v>619720664</v>
      </c>
      <c r="C1539" t="s">
        <v>2969</v>
      </c>
      <c r="D1539" s="22">
        <v>-2570.0700000000002</v>
      </c>
      <c r="E1539" t="s">
        <v>35</v>
      </c>
      <c r="F1539" s="2">
        <v>212901001</v>
      </c>
      <c r="G1539" s="2" t="s">
        <v>121</v>
      </c>
      <c r="L1539" s="2" t="s">
        <v>2970</v>
      </c>
      <c r="M1539" t="s">
        <v>67</v>
      </c>
      <c r="N1539" t="s">
        <v>68</v>
      </c>
      <c r="P1539" s="23">
        <v>66.25</v>
      </c>
      <c r="Q1539" s="4">
        <f t="shared" si="23"/>
        <v>-38.793509433962264</v>
      </c>
      <c r="R1539" s="23" t="s">
        <v>109</v>
      </c>
      <c r="U1539">
        <v>29</v>
      </c>
      <c r="V1539" t="e">
        <f>VLOOKUP(U1539,[1]!NOMINA[#Data],4,FALSE)</f>
        <v>#REF!</v>
      </c>
      <c r="W1539" t="e">
        <f>VLOOKUP(U1539,[1]!NOMINA[#Data],5,FALSE)</f>
        <v>#REF!</v>
      </c>
    </row>
    <row r="1540" spans="1:23" x14ac:dyDescent="0.25">
      <c r="A1540" s="42">
        <v>45729</v>
      </c>
      <c r="B1540" s="1">
        <v>719720666</v>
      </c>
      <c r="C1540" t="s">
        <v>2971</v>
      </c>
      <c r="D1540" s="22">
        <v>-4875</v>
      </c>
      <c r="E1540" t="s">
        <v>35</v>
      </c>
      <c r="F1540" s="2">
        <v>212901001</v>
      </c>
      <c r="G1540" s="2" t="s">
        <v>121</v>
      </c>
      <c r="L1540" s="2" t="s">
        <v>2972</v>
      </c>
      <c r="M1540" t="s">
        <v>67</v>
      </c>
      <c r="N1540" t="s">
        <v>68</v>
      </c>
      <c r="P1540" s="23">
        <v>66.25</v>
      </c>
      <c r="Q1540" s="4">
        <f t="shared" si="23"/>
        <v>-73.584905660377359</v>
      </c>
      <c r="R1540" s="23" t="s">
        <v>109</v>
      </c>
      <c r="U1540">
        <v>10</v>
      </c>
      <c r="V1540" t="e">
        <f>VLOOKUP(U1540,[1]!NOMINA[#Data],4,FALSE)</f>
        <v>#REF!</v>
      </c>
      <c r="W1540" t="e">
        <f>VLOOKUP(U1540,[1]!NOMINA[#Data],5,FALSE)</f>
        <v>#REF!</v>
      </c>
    </row>
    <row r="1541" spans="1:23" x14ac:dyDescent="0.25">
      <c r="A1541" s="42">
        <v>45729</v>
      </c>
      <c r="B1541" s="1">
        <v>719720668</v>
      </c>
      <c r="C1541" t="s">
        <v>2973</v>
      </c>
      <c r="D1541" s="22">
        <v>-4857.28</v>
      </c>
      <c r="E1541" t="s">
        <v>35</v>
      </c>
      <c r="F1541" s="2">
        <v>212901001</v>
      </c>
      <c r="G1541" s="2" t="s">
        <v>121</v>
      </c>
      <c r="L1541" s="2" t="s">
        <v>2974</v>
      </c>
      <c r="M1541" t="s">
        <v>67</v>
      </c>
      <c r="N1541" t="s">
        <v>68</v>
      </c>
      <c r="P1541" s="23">
        <v>66.25</v>
      </c>
      <c r="Q1541" s="4">
        <f t="shared" si="23"/>
        <v>-73.317433962264147</v>
      </c>
      <c r="R1541" s="23" t="s">
        <v>109</v>
      </c>
      <c r="U1541">
        <v>38</v>
      </c>
      <c r="V1541" t="e">
        <f>VLOOKUP(U1541,[1]!NOMINA[#Data],4,FALSE)</f>
        <v>#REF!</v>
      </c>
      <c r="W1541" t="e">
        <f>VLOOKUP(U1541,[1]!NOMINA[#Data],5,FALSE)</f>
        <v>#REF!</v>
      </c>
    </row>
    <row r="1542" spans="1:23" x14ac:dyDescent="0.25">
      <c r="A1542" s="42">
        <v>45729</v>
      </c>
      <c r="B1542" s="1">
        <v>719720665</v>
      </c>
      <c r="C1542" t="s">
        <v>2975</v>
      </c>
      <c r="D1542" s="22">
        <v>-2570.0700000000002</v>
      </c>
      <c r="E1542" t="s">
        <v>35</v>
      </c>
      <c r="F1542" s="2">
        <v>212901001</v>
      </c>
      <c r="G1542" s="2" t="s">
        <v>121</v>
      </c>
      <c r="L1542" s="2" t="s">
        <v>2976</v>
      </c>
      <c r="M1542" t="s">
        <v>67</v>
      </c>
      <c r="N1542" t="s">
        <v>68</v>
      </c>
      <c r="P1542" s="23">
        <v>66.25</v>
      </c>
      <c r="Q1542" s="4">
        <f t="shared" si="23"/>
        <v>-38.793509433962264</v>
      </c>
      <c r="R1542" s="23" t="s">
        <v>109</v>
      </c>
      <c r="U1542">
        <v>44</v>
      </c>
      <c r="V1542" t="e">
        <f>VLOOKUP(U1542,[1]!NOMINA[#Data],4,FALSE)</f>
        <v>#REF!</v>
      </c>
      <c r="W1542" t="e">
        <f>VLOOKUP(U1542,[1]!NOMINA[#Data],5,FALSE)</f>
        <v>#REF!</v>
      </c>
    </row>
    <row r="1543" spans="1:23" x14ac:dyDescent="0.25">
      <c r="A1543" s="42">
        <v>45729</v>
      </c>
      <c r="B1543" s="1">
        <v>719720669</v>
      </c>
      <c r="C1543" t="s">
        <v>2977</v>
      </c>
      <c r="D1543" s="22">
        <v>-4884.18</v>
      </c>
      <c r="E1543" t="s">
        <v>35</v>
      </c>
      <c r="F1543" s="2">
        <v>212901001</v>
      </c>
      <c r="G1543" s="2" t="s">
        <v>121</v>
      </c>
      <c r="L1543" s="2" t="s">
        <v>2978</v>
      </c>
      <c r="M1543" t="s">
        <v>67</v>
      </c>
      <c r="N1543" t="s">
        <v>68</v>
      </c>
      <c r="P1543" s="23">
        <v>66.25</v>
      </c>
      <c r="Q1543" s="4">
        <f t="shared" si="23"/>
        <v>-73.723471698113215</v>
      </c>
      <c r="R1543" s="23" t="s">
        <v>109</v>
      </c>
      <c r="U1543">
        <v>18</v>
      </c>
      <c r="V1543" t="e">
        <f>VLOOKUP(Tabla3[[#This Row],[Nº]],[1]!NOMINA[#Data],4,FALSE)</f>
        <v>#REF!</v>
      </c>
      <c r="W1543" t="e">
        <f>VLOOKUP(Tabla3[[#This Row],[Nº]],[1]!NOMINA[#Data],5,FALSE)</f>
        <v>#REF!</v>
      </c>
    </row>
    <row r="1544" spans="1:23" x14ac:dyDescent="0.25">
      <c r="A1544" s="42">
        <v>45729</v>
      </c>
      <c r="B1544" s="1">
        <v>719720670</v>
      </c>
      <c r="C1544" t="s">
        <v>2979</v>
      </c>
      <c r="D1544" s="22">
        <v>-4699.76</v>
      </c>
      <c r="E1544" t="s">
        <v>35</v>
      </c>
      <c r="F1544" s="2">
        <v>212901001</v>
      </c>
      <c r="G1544" s="2" t="s">
        <v>121</v>
      </c>
      <c r="L1544" s="2" t="s">
        <v>2980</v>
      </c>
      <c r="M1544" t="s">
        <v>67</v>
      </c>
      <c r="N1544" t="s">
        <v>68</v>
      </c>
      <c r="P1544" s="23">
        <v>66.25</v>
      </c>
      <c r="Q1544" s="4">
        <f t="shared" si="23"/>
        <v>-70.939773584905666</v>
      </c>
      <c r="R1544" s="23" t="s">
        <v>109</v>
      </c>
      <c r="U1544">
        <v>20</v>
      </c>
      <c r="V1544" t="e">
        <f>VLOOKUP(Tabla3[[#This Row],[Nº]],[1]!NOMINA[#Data],4,FALSE)</f>
        <v>#REF!</v>
      </c>
      <c r="W1544" t="e">
        <f>VLOOKUP(Tabla3[[#This Row],[Nº]],[1]!NOMINA[#Data],5,FALSE)</f>
        <v>#REF!</v>
      </c>
    </row>
    <row r="1545" spans="1:23" x14ac:dyDescent="0.25">
      <c r="A1545" s="42">
        <v>45729</v>
      </c>
      <c r="B1545" s="1">
        <v>719720667</v>
      </c>
      <c r="C1545" t="s">
        <v>2981</v>
      </c>
      <c r="D1545" s="22">
        <v>-4884.18</v>
      </c>
      <c r="E1545" t="s">
        <v>35</v>
      </c>
      <c r="F1545" s="2">
        <v>212901001</v>
      </c>
      <c r="G1545" s="2" t="s">
        <v>121</v>
      </c>
      <c r="L1545" s="2" t="s">
        <v>2982</v>
      </c>
      <c r="M1545" t="s">
        <v>67</v>
      </c>
      <c r="N1545" t="s">
        <v>68</v>
      </c>
      <c r="P1545" s="23">
        <v>66.25</v>
      </c>
      <c r="Q1545" s="4">
        <f t="shared" si="23"/>
        <v>-73.723471698113215</v>
      </c>
      <c r="R1545" s="23" t="s">
        <v>109</v>
      </c>
      <c r="U1545">
        <v>15</v>
      </c>
      <c r="V1545" t="e">
        <f>VLOOKUP(U1545,[1]!NOMINA[#Data],4,FALSE)</f>
        <v>#REF!</v>
      </c>
      <c r="W1545" t="e">
        <f>VLOOKUP(U1545,[1]!NOMINA[#Data],5,FALSE)</f>
        <v>#REF!</v>
      </c>
    </row>
    <row r="1546" spans="1:23" x14ac:dyDescent="0.25">
      <c r="A1546" s="42">
        <v>45729</v>
      </c>
      <c r="B1546" s="1">
        <v>719720671</v>
      </c>
      <c r="C1546" t="s">
        <v>2983</v>
      </c>
      <c r="D1546" s="22">
        <v>-2570.0700000000002</v>
      </c>
      <c r="E1546" t="s">
        <v>35</v>
      </c>
      <c r="F1546" s="2">
        <v>212901001</v>
      </c>
      <c r="G1546" s="2" t="s">
        <v>121</v>
      </c>
      <c r="L1546" s="2" t="s">
        <v>2984</v>
      </c>
      <c r="M1546" t="s">
        <v>67</v>
      </c>
      <c r="N1546" t="s">
        <v>68</v>
      </c>
      <c r="P1546" s="23">
        <v>66.25</v>
      </c>
      <c r="Q1546" s="4">
        <f t="shared" si="23"/>
        <v>-38.793509433962264</v>
      </c>
      <c r="R1546" s="23" t="s">
        <v>109</v>
      </c>
      <c r="U1546">
        <v>41</v>
      </c>
      <c r="V1546" t="e">
        <f>VLOOKUP(U1546,[1]!NOMINA[#Data],4,FALSE)</f>
        <v>#REF!</v>
      </c>
      <c r="W1546" t="e">
        <f>VLOOKUP(U1546,[1]!NOMINA[#Data],5,FALSE)</f>
        <v>#REF!</v>
      </c>
    </row>
    <row r="1547" spans="1:23" x14ac:dyDescent="0.25">
      <c r="A1547" s="42">
        <v>45729</v>
      </c>
      <c r="B1547" s="1">
        <v>719720672</v>
      </c>
      <c r="C1547" t="s">
        <v>2985</v>
      </c>
      <c r="D1547" s="22">
        <v>-4857.28</v>
      </c>
      <c r="E1547" t="s">
        <v>35</v>
      </c>
      <c r="F1547" s="2">
        <v>212901001</v>
      </c>
      <c r="G1547" s="2" t="s">
        <v>121</v>
      </c>
      <c r="L1547" s="2" t="s">
        <v>2986</v>
      </c>
      <c r="M1547" t="s">
        <v>67</v>
      </c>
      <c r="N1547" t="s">
        <v>68</v>
      </c>
      <c r="P1547" s="23">
        <v>66.25</v>
      </c>
      <c r="Q1547" s="4">
        <f t="shared" ref="Q1547:Q1610" si="24">D1547/P1547</f>
        <v>-73.317433962264147</v>
      </c>
      <c r="R1547" s="23" t="s">
        <v>109</v>
      </c>
      <c r="U1547">
        <v>13</v>
      </c>
      <c r="V1547" t="e">
        <f>VLOOKUP(U1547,[1]!NOMINA[#Data],4,FALSE)</f>
        <v>#REF!</v>
      </c>
      <c r="W1547" t="e">
        <f>VLOOKUP(U1547,[1]!NOMINA[#Data],5,FALSE)</f>
        <v>#REF!</v>
      </c>
    </row>
    <row r="1548" spans="1:23" x14ac:dyDescent="0.25">
      <c r="A1548" s="42">
        <v>45729</v>
      </c>
      <c r="B1548" s="1">
        <v>719720673</v>
      </c>
      <c r="C1548" t="s">
        <v>2987</v>
      </c>
      <c r="D1548" s="22">
        <v>-32750.03</v>
      </c>
      <c r="E1548" t="s">
        <v>35</v>
      </c>
      <c r="F1548" s="2">
        <v>212901001</v>
      </c>
      <c r="G1548" s="2" t="s">
        <v>121</v>
      </c>
      <c r="L1548" s="2" t="s">
        <v>2988</v>
      </c>
      <c r="M1548" t="s">
        <v>67</v>
      </c>
      <c r="N1548" t="s">
        <v>68</v>
      </c>
      <c r="P1548" s="23">
        <v>66.25</v>
      </c>
      <c r="Q1548" s="4">
        <f t="shared" si="24"/>
        <v>-494.34007547169807</v>
      </c>
      <c r="R1548" s="23" t="s">
        <v>109</v>
      </c>
      <c r="U1548">
        <v>13</v>
      </c>
      <c r="V1548" t="e">
        <f>VLOOKUP(U1548,[1]!NOMINA[#Data],4,FALSE)</f>
        <v>#REF!</v>
      </c>
      <c r="W1548" t="e">
        <f>VLOOKUP(U1548,[1]!NOMINA[#Data],5,FALSE)</f>
        <v>#REF!</v>
      </c>
    </row>
    <row r="1549" spans="1:23" x14ac:dyDescent="0.25">
      <c r="A1549" s="42">
        <v>45729</v>
      </c>
      <c r="B1549" s="1">
        <v>719720674</v>
      </c>
      <c r="C1549" t="s">
        <v>2989</v>
      </c>
      <c r="D1549" s="22">
        <v>-4875</v>
      </c>
      <c r="E1549" t="s">
        <v>35</v>
      </c>
      <c r="F1549" s="2">
        <v>212901001</v>
      </c>
      <c r="G1549" s="2" t="s">
        <v>121</v>
      </c>
      <c r="L1549" s="2" t="s">
        <v>2990</v>
      </c>
      <c r="M1549" t="s">
        <v>67</v>
      </c>
      <c r="N1549" t="s">
        <v>68</v>
      </c>
      <c r="P1549" s="23">
        <v>66.25</v>
      </c>
      <c r="Q1549" s="4">
        <f t="shared" si="24"/>
        <v>-73.584905660377359</v>
      </c>
      <c r="R1549" s="23" t="s">
        <v>109</v>
      </c>
      <c r="U1549">
        <v>8</v>
      </c>
      <c r="V1549" t="e">
        <f>VLOOKUP(U1549,[1]!NOMINA[#Data],4,FALSE)</f>
        <v>#REF!</v>
      </c>
      <c r="W1549" t="e">
        <f>VLOOKUP(U1549,[1]!NOMINA[#Data],5,FALSE)</f>
        <v>#REF!</v>
      </c>
    </row>
    <row r="1550" spans="1:23" x14ac:dyDescent="0.25">
      <c r="A1550" s="42">
        <v>45729</v>
      </c>
      <c r="B1550" s="1">
        <v>719720675</v>
      </c>
      <c r="C1550" t="s">
        <v>2991</v>
      </c>
      <c r="D1550" s="22">
        <v>-4875</v>
      </c>
      <c r="E1550" t="s">
        <v>35</v>
      </c>
      <c r="F1550" s="2">
        <v>212901001</v>
      </c>
      <c r="G1550" s="2" t="s">
        <v>121</v>
      </c>
      <c r="L1550" s="2" t="s">
        <v>2992</v>
      </c>
      <c r="M1550" t="s">
        <v>67</v>
      </c>
      <c r="N1550" t="s">
        <v>68</v>
      </c>
      <c r="P1550" s="23">
        <v>66.25</v>
      </c>
      <c r="Q1550" s="4">
        <f t="shared" si="24"/>
        <v>-73.584905660377359</v>
      </c>
      <c r="R1550" s="23" t="s">
        <v>109</v>
      </c>
      <c r="U1550">
        <v>11</v>
      </c>
      <c r="V1550" t="e">
        <f>VLOOKUP(U1550,[1]!NOMINA[#Data],4,FALSE)</f>
        <v>#REF!</v>
      </c>
      <c r="W1550" t="e">
        <f>VLOOKUP(U1550,[1]!NOMINA[#Data],5,FALSE)</f>
        <v>#REF!</v>
      </c>
    </row>
    <row r="1551" spans="1:23" x14ac:dyDescent="0.25">
      <c r="A1551" s="42">
        <v>45729</v>
      </c>
      <c r="B1551" s="1">
        <v>819720676</v>
      </c>
      <c r="C1551" t="s">
        <v>2993</v>
      </c>
      <c r="D1551" s="22">
        <v>-2240.61</v>
      </c>
      <c r="E1551" t="s">
        <v>35</v>
      </c>
      <c r="F1551" s="2">
        <v>212901001</v>
      </c>
      <c r="G1551" s="2" t="s">
        <v>121</v>
      </c>
      <c r="L1551" s="2" t="s">
        <v>2994</v>
      </c>
      <c r="M1551" t="s">
        <v>67</v>
      </c>
      <c r="N1551" t="s">
        <v>68</v>
      </c>
      <c r="P1551" s="23">
        <v>66.25</v>
      </c>
      <c r="Q1551" s="4">
        <f t="shared" si="24"/>
        <v>-33.820528301886796</v>
      </c>
      <c r="R1551" s="23" t="s">
        <v>109</v>
      </c>
      <c r="U1551">
        <v>23</v>
      </c>
      <c r="V1551" t="e">
        <f>VLOOKUP(U1551,[1]!NOMINA[#Data],4,FALSE)</f>
        <v>#REF!</v>
      </c>
      <c r="W1551" t="e">
        <f>VLOOKUP(U1551,[1]!NOMINA[#Data],5,FALSE)</f>
        <v>#REF!</v>
      </c>
    </row>
    <row r="1552" spans="1:23" x14ac:dyDescent="0.25">
      <c r="A1552" s="42">
        <v>45729</v>
      </c>
      <c r="B1552" s="1">
        <v>819720679</v>
      </c>
      <c r="C1552" t="s">
        <v>2995</v>
      </c>
      <c r="D1552" s="22">
        <v>-3227.03</v>
      </c>
      <c r="E1552" t="s">
        <v>35</v>
      </c>
      <c r="F1552" s="2">
        <v>212901001</v>
      </c>
      <c r="G1552" s="2" t="s">
        <v>121</v>
      </c>
      <c r="L1552" s="2" t="s">
        <v>2996</v>
      </c>
      <c r="M1552" t="s">
        <v>67</v>
      </c>
      <c r="N1552" t="s">
        <v>68</v>
      </c>
      <c r="P1552" s="23">
        <v>66.25</v>
      </c>
      <c r="Q1552" s="4">
        <f t="shared" si="24"/>
        <v>-48.709886792452835</v>
      </c>
      <c r="R1552" s="23" t="s">
        <v>109</v>
      </c>
      <c r="U1552">
        <v>22</v>
      </c>
      <c r="V1552" t="e">
        <f>VLOOKUP(Tabla3[[#This Row],[Nº]],[1]!NOMINA[#Data],4,FALSE)</f>
        <v>#REF!</v>
      </c>
      <c r="W1552" t="e">
        <f>VLOOKUP(U1552,[1]!NOMINA[#Data],5,FALSE)</f>
        <v>#REF!</v>
      </c>
    </row>
    <row r="1553" spans="1:23" x14ac:dyDescent="0.25">
      <c r="A1553" s="42">
        <v>45729</v>
      </c>
      <c r="B1553" s="1">
        <v>819720678</v>
      </c>
      <c r="C1553" t="s">
        <v>2997</v>
      </c>
      <c r="D1553" s="22">
        <v>-4884.18</v>
      </c>
      <c r="E1553" t="s">
        <v>35</v>
      </c>
      <c r="F1553" s="2">
        <v>212901001</v>
      </c>
      <c r="G1553" s="2" t="s">
        <v>121</v>
      </c>
      <c r="L1553" s="2" t="s">
        <v>2998</v>
      </c>
      <c r="M1553" t="s">
        <v>67</v>
      </c>
      <c r="N1553" t="s">
        <v>68</v>
      </c>
      <c r="P1553" s="23">
        <v>66.25</v>
      </c>
      <c r="Q1553" s="4">
        <f t="shared" si="24"/>
        <v>-73.723471698113215</v>
      </c>
      <c r="R1553" s="23" t="s">
        <v>109</v>
      </c>
      <c r="U1553">
        <v>17</v>
      </c>
      <c r="V1553" t="e">
        <f>VLOOKUP(U1553,[1]!NOMINA[#Data],4,FALSE)</f>
        <v>#REF!</v>
      </c>
      <c r="W1553" t="e">
        <f>VLOOKUP(U1553,[1]!NOMINA[#Data],5,FALSE)</f>
        <v>#REF!</v>
      </c>
    </row>
    <row r="1554" spans="1:23" x14ac:dyDescent="0.25">
      <c r="A1554" s="42">
        <v>45729</v>
      </c>
      <c r="B1554" s="1">
        <v>819720677</v>
      </c>
      <c r="C1554" t="s">
        <v>2999</v>
      </c>
      <c r="D1554" s="22">
        <v>-13061.03</v>
      </c>
      <c r="E1554" t="s">
        <v>35</v>
      </c>
      <c r="F1554" s="2">
        <v>212901001</v>
      </c>
      <c r="G1554" s="2" t="s">
        <v>121</v>
      </c>
      <c r="L1554" s="2" t="s">
        <v>3000</v>
      </c>
      <c r="M1554" t="s">
        <v>67</v>
      </c>
      <c r="N1554" t="s">
        <v>68</v>
      </c>
      <c r="P1554" s="23">
        <v>66.25</v>
      </c>
      <c r="Q1554" s="4">
        <f t="shared" si="24"/>
        <v>-197.14762264150946</v>
      </c>
      <c r="R1554" s="23" t="s">
        <v>109</v>
      </c>
      <c r="U1554">
        <v>43</v>
      </c>
      <c r="V1554" t="e">
        <f>VLOOKUP(U1554,[1]!NOMINA[#Data],4,FALSE)</f>
        <v>#REF!</v>
      </c>
      <c r="W1554" t="e">
        <f>VLOOKUP(U1554,[1]!NOMINA[#Data],5,FALSE)</f>
        <v>#REF!</v>
      </c>
    </row>
    <row r="1555" spans="1:23" x14ac:dyDescent="0.25">
      <c r="A1555" s="42">
        <v>45729</v>
      </c>
      <c r="B1555" s="1">
        <v>819720682</v>
      </c>
      <c r="C1555" t="s">
        <v>3001</v>
      </c>
      <c r="D1555" s="22">
        <v>-3223.75</v>
      </c>
      <c r="E1555" t="s">
        <v>35</v>
      </c>
      <c r="F1555" s="2">
        <v>212901001</v>
      </c>
      <c r="G1555" s="2" t="s">
        <v>121</v>
      </c>
      <c r="L1555" s="2" t="s">
        <v>3002</v>
      </c>
      <c r="M1555" t="s">
        <v>67</v>
      </c>
      <c r="N1555" t="s">
        <v>68</v>
      </c>
      <c r="P1555" s="23">
        <v>66.25</v>
      </c>
      <c r="Q1555" s="4">
        <f t="shared" si="24"/>
        <v>-48.660377358490564</v>
      </c>
      <c r="R1555" s="23" t="s">
        <v>109</v>
      </c>
      <c r="U1555">
        <v>42</v>
      </c>
      <c r="V1555" t="e">
        <f>VLOOKUP(U1555,[1]!NOMINA[#Data],4,FALSE)</f>
        <v>#REF!</v>
      </c>
      <c r="W1555" t="e">
        <f>VLOOKUP(U1555,[1]!NOMINA[#Data],5,FALSE)</f>
        <v>#REF!</v>
      </c>
    </row>
    <row r="1556" spans="1:23" x14ac:dyDescent="0.25">
      <c r="A1556" s="42">
        <v>45729</v>
      </c>
      <c r="B1556" s="1">
        <v>819720681</v>
      </c>
      <c r="C1556" t="s">
        <v>3003</v>
      </c>
      <c r="D1556" s="22">
        <v>-4884.18</v>
      </c>
      <c r="E1556" t="s">
        <v>35</v>
      </c>
      <c r="F1556" s="2">
        <v>212901001</v>
      </c>
      <c r="G1556" s="2" t="s">
        <v>121</v>
      </c>
      <c r="L1556" s="2" t="s">
        <v>3004</v>
      </c>
      <c r="M1556" t="s">
        <v>67</v>
      </c>
      <c r="N1556" t="s">
        <v>68</v>
      </c>
      <c r="P1556" s="23">
        <v>66.25</v>
      </c>
      <c r="Q1556" s="4">
        <f t="shared" si="24"/>
        <v>-73.723471698113215</v>
      </c>
      <c r="R1556" s="23" t="s">
        <v>109</v>
      </c>
      <c r="U1556">
        <v>14</v>
      </c>
      <c r="V1556" t="e">
        <f>VLOOKUP(U1556,[1]!NOMINA[#Data],4,FALSE)</f>
        <v>#REF!</v>
      </c>
      <c r="W1556" t="e">
        <f>VLOOKUP(U1556,[1]!NOMINA[#Data],5,FALSE)</f>
        <v>#REF!</v>
      </c>
    </row>
    <row r="1557" spans="1:23" x14ac:dyDescent="0.25">
      <c r="A1557" s="42">
        <v>45729</v>
      </c>
      <c r="B1557" s="1">
        <v>819720683</v>
      </c>
      <c r="C1557" t="s">
        <v>3005</v>
      </c>
      <c r="D1557" s="22">
        <v>-4875.6499999999996</v>
      </c>
      <c r="E1557" t="s">
        <v>35</v>
      </c>
      <c r="F1557" s="2">
        <v>212901001</v>
      </c>
      <c r="G1557" s="2" t="s">
        <v>121</v>
      </c>
      <c r="L1557" s="2" t="s">
        <v>3006</v>
      </c>
      <c r="M1557" t="s">
        <v>67</v>
      </c>
      <c r="N1557" t="s">
        <v>68</v>
      </c>
      <c r="P1557" s="23">
        <v>66.25</v>
      </c>
      <c r="Q1557" s="4">
        <f t="shared" si="24"/>
        <v>-73.594716981132066</v>
      </c>
      <c r="R1557" s="23" t="s">
        <v>109</v>
      </c>
      <c r="U1557">
        <v>39</v>
      </c>
      <c r="V1557" t="e">
        <f>VLOOKUP(U1557,[1]!NOMINA[#Data],4,FALSE)</f>
        <v>#REF!</v>
      </c>
      <c r="W1557" t="e">
        <f>VLOOKUP(U1557,[1]!NOMINA[#Data],5,FALSE)</f>
        <v>#REF!</v>
      </c>
    </row>
    <row r="1558" spans="1:23" x14ac:dyDescent="0.25">
      <c r="A1558" s="42">
        <v>45729</v>
      </c>
      <c r="B1558" s="1">
        <v>819720684</v>
      </c>
      <c r="C1558" t="s">
        <v>3007</v>
      </c>
      <c r="D1558" s="22">
        <v>-3227.03</v>
      </c>
      <c r="E1558" t="s">
        <v>35</v>
      </c>
      <c r="F1558" s="2">
        <v>212901001</v>
      </c>
      <c r="G1558" s="2" t="s">
        <v>121</v>
      </c>
      <c r="L1558" s="2" t="s">
        <v>3008</v>
      </c>
      <c r="M1558" t="s">
        <v>67</v>
      </c>
      <c r="N1558" t="s">
        <v>68</v>
      </c>
      <c r="P1558" s="23">
        <v>66.25</v>
      </c>
      <c r="Q1558" s="4">
        <f t="shared" si="24"/>
        <v>-48.709886792452835</v>
      </c>
      <c r="R1558" s="23" t="s">
        <v>109</v>
      </c>
      <c r="U1558">
        <v>21</v>
      </c>
      <c r="V1558" t="e">
        <f>VLOOKUP(U1558,[1]!NOMINA[#Data],4,FALSE)</f>
        <v>#REF!</v>
      </c>
      <c r="W1558" t="e">
        <f>VLOOKUP(U1558,[1]!NOMINA[#Data],5,FALSE)</f>
        <v>#REF!</v>
      </c>
    </row>
    <row r="1559" spans="1:23" x14ac:dyDescent="0.25">
      <c r="A1559" s="42">
        <v>45729</v>
      </c>
      <c r="B1559" s="1">
        <v>819720685</v>
      </c>
      <c r="C1559" t="s">
        <v>3009</v>
      </c>
      <c r="D1559" s="22">
        <v>-2241.2600000000002</v>
      </c>
      <c r="E1559" t="s">
        <v>35</v>
      </c>
      <c r="F1559" s="2">
        <v>212901001</v>
      </c>
      <c r="G1559" s="2" t="s">
        <v>121</v>
      </c>
      <c r="L1559" s="2" t="s">
        <v>3010</v>
      </c>
      <c r="M1559" t="s">
        <v>67</v>
      </c>
      <c r="N1559" t="s">
        <v>68</v>
      </c>
      <c r="P1559" s="23">
        <v>66.25</v>
      </c>
      <c r="Q1559" s="4">
        <f t="shared" si="24"/>
        <v>-33.83033962264151</v>
      </c>
      <c r="R1559" s="23" t="s">
        <v>109</v>
      </c>
      <c r="U1559">
        <v>25</v>
      </c>
      <c r="V1559" t="e">
        <f>VLOOKUP(U1559,[1]!NOMINA[#Data],4,FALSE)</f>
        <v>#REF!</v>
      </c>
      <c r="W1559" t="e">
        <f>VLOOKUP(U1559,[1]!NOMINA[#Data],5,FALSE)</f>
        <v>#REF!</v>
      </c>
    </row>
    <row r="1560" spans="1:23" x14ac:dyDescent="0.25">
      <c r="A1560" s="42">
        <v>45729</v>
      </c>
      <c r="B1560" s="1">
        <v>819720687</v>
      </c>
      <c r="C1560" t="s">
        <v>3011</v>
      </c>
      <c r="D1560" s="22">
        <v>-32750.03</v>
      </c>
      <c r="E1560" t="s">
        <v>35</v>
      </c>
      <c r="F1560" s="2">
        <v>212901001</v>
      </c>
      <c r="G1560" s="2" t="s">
        <v>121</v>
      </c>
      <c r="L1560" s="2" t="s">
        <v>3012</v>
      </c>
      <c r="M1560" t="s">
        <v>67</v>
      </c>
      <c r="N1560" t="s">
        <v>68</v>
      </c>
      <c r="P1560" s="23">
        <v>66.25</v>
      </c>
      <c r="Q1560" s="4">
        <f t="shared" si="24"/>
        <v>-494.34007547169807</v>
      </c>
      <c r="R1560" s="23" t="s">
        <v>109</v>
      </c>
      <c r="U1560">
        <v>2</v>
      </c>
      <c r="V1560" t="e">
        <f>VLOOKUP(Tabla3[[#This Row],[Nº]],[1]!NOMINA[#Data],4,FALSE)</f>
        <v>#REF!</v>
      </c>
      <c r="W1560" t="e">
        <f>VLOOKUP(Tabla3[[#This Row],[Nº]],[1]!NOMINA[#Data],5,FALSE)</f>
        <v>#REF!</v>
      </c>
    </row>
    <row r="1561" spans="1:23" x14ac:dyDescent="0.25">
      <c r="A1561" s="42">
        <v>45729</v>
      </c>
      <c r="B1561" s="1">
        <v>919720688</v>
      </c>
      <c r="C1561" t="s">
        <v>3013</v>
      </c>
      <c r="D1561" s="22">
        <v>-2570.0700000000002</v>
      </c>
      <c r="E1561" t="s">
        <v>35</v>
      </c>
      <c r="F1561" s="2">
        <v>212901001</v>
      </c>
      <c r="G1561" s="2" t="s">
        <v>121</v>
      </c>
      <c r="L1561" s="2" t="s">
        <v>3014</v>
      </c>
      <c r="M1561" t="s">
        <v>67</v>
      </c>
      <c r="N1561" t="s">
        <v>68</v>
      </c>
      <c r="P1561" s="23">
        <v>66.25</v>
      </c>
      <c r="Q1561" s="4">
        <f t="shared" si="24"/>
        <v>-38.793509433962264</v>
      </c>
      <c r="R1561" s="23" t="s">
        <v>109</v>
      </c>
      <c r="U1561">
        <v>28</v>
      </c>
      <c r="V1561" t="e">
        <f>VLOOKUP(U1561,[1]!NOMINA[#Data],4,FALSE)</f>
        <v>#REF!</v>
      </c>
      <c r="W1561" t="e">
        <f>VLOOKUP(U1561,[1]!NOMINA[#Data],5,FALSE)</f>
        <v>#REF!</v>
      </c>
    </row>
    <row r="1562" spans="1:23" x14ac:dyDescent="0.25">
      <c r="A1562" s="42">
        <v>45729</v>
      </c>
      <c r="B1562" s="1">
        <v>819720686</v>
      </c>
      <c r="C1562" t="s">
        <v>3015</v>
      </c>
      <c r="D1562" s="22">
        <v>-4857.28</v>
      </c>
      <c r="E1562" t="s">
        <v>35</v>
      </c>
      <c r="F1562" s="2">
        <v>212901001</v>
      </c>
      <c r="G1562" s="2" t="s">
        <v>121</v>
      </c>
      <c r="L1562" s="2" t="s">
        <v>3016</v>
      </c>
      <c r="M1562" t="s">
        <v>67</v>
      </c>
      <c r="N1562" t="s">
        <v>68</v>
      </c>
      <c r="P1562" s="23">
        <v>66.25</v>
      </c>
      <c r="Q1562" s="4">
        <f t="shared" si="24"/>
        <v>-73.317433962264147</v>
      </c>
      <c r="R1562" s="23" t="s">
        <v>109</v>
      </c>
      <c r="U1562">
        <v>12</v>
      </c>
      <c r="V1562" t="e">
        <f>VLOOKUP(U1562,[1]!NOMINA[#Data],4,FALSE)</f>
        <v>#REF!</v>
      </c>
      <c r="W1562" t="e">
        <f>VLOOKUP(U1562,[1]!NOMINA[#Data],5,FALSE)</f>
        <v>#REF!</v>
      </c>
    </row>
    <row r="1563" spans="1:23" x14ac:dyDescent="0.25">
      <c r="A1563" s="42">
        <v>45729</v>
      </c>
      <c r="B1563" s="1">
        <v>919720689</v>
      </c>
      <c r="C1563" t="s">
        <v>3017</v>
      </c>
      <c r="D1563" s="22">
        <v>-8138.78</v>
      </c>
      <c r="E1563" t="s">
        <v>35</v>
      </c>
      <c r="F1563" s="2">
        <v>212901001</v>
      </c>
      <c r="G1563" s="2" t="s">
        <v>121</v>
      </c>
      <c r="L1563" s="2" t="s">
        <v>3018</v>
      </c>
      <c r="M1563" t="s">
        <v>67</v>
      </c>
      <c r="N1563" t="s">
        <v>68</v>
      </c>
      <c r="P1563" s="23">
        <v>66.25</v>
      </c>
      <c r="Q1563" s="4">
        <f t="shared" si="24"/>
        <v>-122.84950943396225</v>
      </c>
      <c r="R1563" s="23" t="s">
        <v>109</v>
      </c>
      <c r="U1563">
        <v>6</v>
      </c>
      <c r="V1563" t="e">
        <f>VLOOKUP(U1563,[1]!NOMINA[#Data],4,FALSE)</f>
        <v>#REF!</v>
      </c>
      <c r="W1563" t="e">
        <f>VLOOKUP(U1563,[1]!NOMINA[#Data],5,FALSE)</f>
        <v>#REF!</v>
      </c>
    </row>
    <row r="1564" spans="1:23" x14ac:dyDescent="0.25">
      <c r="A1564" s="42">
        <v>45729</v>
      </c>
      <c r="B1564" s="1">
        <v>919720690</v>
      </c>
      <c r="C1564" t="s">
        <v>3019</v>
      </c>
      <c r="D1564" s="22">
        <v>-3230.96</v>
      </c>
      <c r="E1564" t="s">
        <v>35</v>
      </c>
      <c r="F1564" s="2">
        <v>212901001</v>
      </c>
      <c r="G1564" s="2" t="s">
        <v>121</v>
      </c>
      <c r="L1564" s="2" t="s">
        <v>3020</v>
      </c>
      <c r="M1564" t="s">
        <v>67</v>
      </c>
      <c r="N1564" t="s">
        <v>68</v>
      </c>
      <c r="P1564" s="23">
        <v>66.25</v>
      </c>
      <c r="Q1564" s="4">
        <f t="shared" si="24"/>
        <v>-48.769207547169813</v>
      </c>
      <c r="R1564" s="23" t="s">
        <v>109</v>
      </c>
      <c r="U1564">
        <v>24</v>
      </c>
      <c r="V1564" t="e">
        <f>VLOOKUP(U1564,[1]!NOMINA[#Data],4,FALSE)</f>
        <v>#REF!</v>
      </c>
      <c r="W1564" t="e">
        <f>VLOOKUP(U1564,[1]!NOMINA[#Data],5,FALSE)</f>
        <v>#REF!</v>
      </c>
    </row>
    <row r="1565" spans="1:23" x14ac:dyDescent="0.25">
      <c r="A1565" s="42">
        <v>45729</v>
      </c>
      <c r="B1565" s="1">
        <v>919720691</v>
      </c>
      <c r="C1565" t="s">
        <v>3021</v>
      </c>
      <c r="D1565" s="22">
        <v>-16342.53</v>
      </c>
      <c r="E1565" t="s">
        <v>35</v>
      </c>
      <c r="F1565" s="2">
        <v>212901001</v>
      </c>
      <c r="G1565" s="2" t="s">
        <v>121</v>
      </c>
      <c r="L1565" s="2" t="s">
        <v>3022</v>
      </c>
      <c r="M1565" t="s">
        <v>67</v>
      </c>
      <c r="N1565" t="s">
        <v>68</v>
      </c>
      <c r="P1565" s="23">
        <v>66.25</v>
      </c>
      <c r="Q1565" s="4">
        <f t="shared" si="24"/>
        <v>-246.67969811320756</v>
      </c>
      <c r="R1565" s="23" t="s">
        <v>109</v>
      </c>
      <c r="U1565">
        <v>3</v>
      </c>
      <c r="V1565" t="e">
        <f>VLOOKUP(U1565,[1]!NOMINA[#Data],4,FALSE)</f>
        <v>#REF!</v>
      </c>
      <c r="W1565" t="e">
        <f>VLOOKUP(U1565,[1]!NOMINA[#Data],5,FALSE)</f>
        <v>#REF!</v>
      </c>
    </row>
    <row r="1566" spans="1:23" x14ac:dyDescent="0.25">
      <c r="A1566" s="42">
        <v>45729</v>
      </c>
      <c r="B1566" s="1">
        <v>919720693</v>
      </c>
      <c r="C1566" t="s">
        <v>3023</v>
      </c>
      <c r="D1566" s="22">
        <v>-3234.9</v>
      </c>
      <c r="E1566" t="s">
        <v>35</v>
      </c>
      <c r="F1566" s="2">
        <v>212901001</v>
      </c>
      <c r="G1566" s="2" t="s">
        <v>121</v>
      </c>
      <c r="L1566" s="2" t="s">
        <v>3024</v>
      </c>
      <c r="M1566" t="s">
        <v>67</v>
      </c>
      <c r="N1566" t="s">
        <v>68</v>
      </c>
      <c r="P1566" s="23">
        <v>66.25</v>
      </c>
      <c r="Q1566" s="4">
        <f t="shared" si="24"/>
        <v>-48.82867924528302</v>
      </c>
      <c r="R1566" s="23" t="s">
        <v>109</v>
      </c>
      <c r="U1566">
        <v>19</v>
      </c>
      <c r="V1566" t="e">
        <f>VLOOKUP(U1566,[1]!NOMINA[#Data],4,FALSE)</f>
        <v>#REF!</v>
      </c>
      <c r="W1566" t="e">
        <f>VLOOKUP(U1566,[1]!NOMINA[#Data],5,FALSE)</f>
        <v>#REF!</v>
      </c>
    </row>
    <row r="1567" spans="1:23" x14ac:dyDescent="0.25">
      <c r="A1567" s="42">
        <v>45729</v>
      </c>
      <c r="B1567" s="1">
        <v>919720692</v>
      </c>
      <c r="C1567" t="s">
        <v>3025</v>
      </c>
      <c r="D1567" s="22">
        <v>-2241.2600000000002</v>
      </c>
      <c r="E1567" t="s">
        <v>35</v>
      </c>
      <c r="F1567" s="2">
        <v>212901001</v>
      </c>
      <c r="G1567" s="2" t="s">
        <v>121</v>
      </c>
      <c r="L1567" s="2" t="s">
        <v>3026</v>
      </c>
      <c r="M1567" t="s">
        <v>67</v>
      </c>
      <c r="N1567" t="s">
        <v>68</v>
      </c>
      <c r="P1567" s="23">
        <v>66.25</v>
      </c>
      <c r="Q1567" s="4">
        <f t="shared" si="24"/>
        <v>-33.83033962264151</v>
      </c>
      <c r="R1567" s="23" t="s">
        <v>109</v>
      </c>
      <c r="U1567">
        <v>27</v>
      </c>
      <c r="V1567" t="e">
        <f>VLOOKUP(U1567,[1]!NOMINA[#Data],4,FALSE)</f>
        <v>#REF!</v>
      </c>
      <c r="W1567" t="e">
        <f>VLOOKUP(U1567,[1]!NOMINA[#Data],5,FALSE)</f>
        <v>#REF!</v>
      </c>
    </row>
    <row r="1568" spans="1:23" x14ac:dyDescent="0.25">
      <c r="A1568" s="42">
        <v>45729</v>
      </c>
      <c r="B1568" s="1">
        <v>919720694</v>
      </c>
      <c r="C1568" t="s">
        <v>3027</v>
      </c>
      <c r="D1568" s="22">
        <v>-4212.79</v>
      </c>
      <c r="E1568" t="s">
        <v>35</v>
      </c>
      <c r="F1568" s="2">
        <v>212901001</v>
      </c>
      <c r="G1568" s="2" t="s">
        <v>121</v>
      </c>
      <c r="L1568" s="2" t="s">
        <v>3028</v>
      </c>
      <c r="M1568" t="s">
        <v>67</v>
      </c>
      <c r="N1568" t="s">
        <v>68</v>
      </c>
      <c r="P1568" s="23">
        <v>66.25</v>
      </c>
      <c r="Q1568" s="4">
        <f t="shared" si="24"/>
        <v>-63.589283018867924</v>
      </c>
      <c r="R1568" s="23" t="s">
        <v>109</v>
      </c>
      <c r="U1568">
        <v>5</v>
      </c>
      <c r="V1568" t="e">
        <f>VLOOKUP(U1568,[1]!NOMINA[#Data],4,FALSE)</f>
        <v>#REF!</v>
      </c>
      <c r="W1568" t="e">
        <f>VLOOKUP(U1568,[1]!NOMINA[#Data],5,FALSE)</f>
        <v>#REF!</v>
      </c>
    </row>
    <row r="1569" spans="1:23" x14ac:dyDescent="0.25">
      <c r="A1569" s="42">
        <v>45729</v>
      </c>
      <c r="B1569" s="1">
        <v>919720695</v>
      </c>
      <c r="C1569" t="s">
        <v>3029</v>
      </c>
      <c r="D1569" s="22">
        <v>-4884.18</v>
      </c>
      <c r="E1569" t="s">
        <v>35</v>
      </c>
      <c r="F1569" s="2">
        <v>212901001</v>
      </c>
      <c r="G1569" s="2" t="s">
        <v>121</v>
      </c>
      <c r="L1569" s="2" t="s">
        <v>3030</v>
      </c>
      <c r="M1569" t="s">
        <v>67</v>
      </c>
      <c r="N1569" t="s">
        <v>68</v>
      </c>
      <c r="P1569" s="23">
        <v>66.25</v>
      </c>
      <c r="Q1569" s="4">
        <f t="shared" si="24"/>
        <v>-73.723471698113215</v>
      </c>
      <c r="R1569" s="23" t="s">
        <v>109</v>
      </c>
      <c r="U1569">
        <v>16</v>
      </c>
      <c r="V1569" t="e">
        <f>VLOOKUP(Tabla3[[#This Row],[Nº]],[1]!NOMINA[#Data],4,FALSE)</f>
        <v>#REF!</v>
      </c>
      <c r="W1569" t="e">
        <f>VLOOKUP(Tabla3[[#This Row],[Nº]],[1]!NOMINA[#Data],5,FALSE)</f>
        <v>#REF!</v>
      </c>
    </row>
    <row r="1570" spans="1:23" x14ac:dyDescent="0.25">
      <c r="A1570" s="42">
        <v>45729</v>
      </c>
      <c r="B1570" s="1">
        <v>19720698</v>
      </c>
      <c r="C1570" t="s">
        <v>3031</v>
      </c>
      <c r="D1570" s="22">
        <v>-23850.6</v>
      </c>
      <c r="E1570" t="s">
        <v>35</v>
      </c>
      <c r="F1570" s="2">
        <v>212901001</v>
      </c>
      <c r="G1570" s="2" t="s">
        <v>121</v>
      </c>
      <c r="L1570" s="2" t="s">
        <v>3032</v>
      </c>
      <c r="M1570" t="s">
        <v>67</v>
      </c>
      <c r="N1570" t="s">
        <v>68</v>
      </c>
      <c r="P1570" s="23">
        <v>66.25</v>
      </c>
      <c r="Q1570" s="4">
        <f t="shared" si="24"/>
        <v>-360.00905660377356</v>
      </c>
      <c r="R1570" s="23" t="s">
        <v>109</v>
      </c>
      <c r="U1570">
        <v>1</v>
      </c>
      <c r="V1570" t="e">
        <f>VLOOKUP(U1570,[1]!NOMINA[#Data],4,FALSE)</f>
        <v>#REF!</v>
      </c>
      <c r="W1570" t="e">
        <f>VLOOKUP(U1570,[1]!NOMINA[#Data],5,FALSE)</f>
        <v>#REF!</v>
      </c>
    </row>
    <row r="1571" spans="1:23" x14ac:dyDescent="0.25">
      <c r="A1571" s="42">
        <v>45729</v>
      </c>
      <c r="B1571" s="1">
        <v>919720696</v>
      </c>
      <c r="C1571" t="s">
        <v>3033</v>
      </c>
      <c r="D1571" s="22">
        <v>-2570.0700000000002</v>
      </c>
      <c r="E1571" t="s">
        <v>35</v>
      </c>
      <c r="F1571" s="2">
        <v>212901001</v>
      </c>
      <c r="G1571" s="2" t="s">
        <v>121</v>
      </c>
      <c r="L1571" s="2" t="s">
        <v>3034</v>
      </c>
      <c r="M1571" t="s">
        <v>67</v>
      </c>
      <c r="N1571" t="s">
        <v>68</v>
      </c>
      <c r="P1571" s="23">
        <v>66.25</v>
      </c>
      <c r="Q1571" s="4">
        <f t="shared" si="24"/>
        <v>-38.793509433962264</v>
      </c>
      <c r="R1571" s="23" t="s">
        <v>109</v>
      </c>
      <c r="U1571">
        <v>37</v>
      </c>
      <c r="V1571" t="e">
        <f>VLOOKUP(Tabla3[[#This Row],[Nº]],[1]!NOMINA[#Data],4,FALSE)</f>
        <v>#REF!</v>
      </c>
      <c r="W1571" t="e">
        <f>VLOOKUP(Tabla3[[#This Row],[Nº]],[1]!NOMINA[#Data],5,FALSE)</f>
        <v>#REF!</v>
      </c>
    </row>
    <row r="1572" spans="1:23" x14ac:dyDescent="0.25">
      <c r="A1572" s="42">
        <v>45729</v>
      </c>
      <c r="B1572" s="1">
        <v>919720697</v>
      </c>
      <c r="C1572" t="s">
        <v>3035</v>
      </c>
      <c r="D1572" s="22">
        <v>-2241.92</v>
      </c>
      <c r="E1572" t="s">
        <v>35</v>
      </c>
      <c r="F1572" s="2">
        <v>212901001</v>
      </c>
      <c r="G1572" s="2" t="s">
        <v>121</v>
      </c>
      <c r="L1572" s="2" t="s">
        <v>3036</v>
      </c>
      <c r="M1572" t="s">
        <v>67</v>
      </c>
      <c r="N1572" t="s">
        <v>68</v>
      </c>
      <c r="P1572" s="23">
        <v>66.25</v>
      </c>
      <c r="Q1572" s="4">
        <f t="shared" si="24"/>
        <v>-33.840301886792453</v>
      </c>
      <c r="R1572" s="23" t="s">
        <v>109</v>
      </c>
      <c r="U1572">
        <v>7</v>
      </c>
      <c r="V1572" t="e">
        <f>VLOOKUP(U1572,[1]!NOMINA[#Data],4,FALSE)</f>
        <v>#REF!</v>
      </c>
      <c r="W1572" t="e">
        <f>VLOOKUP(U1572,[1]!NOMINA[#Data],5,FALSE)</f>
        <v>#REF!</v>
      </c>
    </row>
    <row r="1573" spans="1:23" x14ac:dyDescent="0.25">
      <c r="A1573" s="42">
        <v>45729</v>
      </c>
      <c r="B1573" s="1">
        <v>19720700</v>
      </c>
      <c r="C1573" t="s">
        <v>3037</v>
      </c>
      <c r="D1573" s="22">
        <v>-61.65</v>
      </c>
      <c r="E1573" t="s">
        <v>35</v>
      </c>
      <c r="F1573" s="2">
        <v>212901001</v>
      </c>
      <c r="G1573" s="2" t="s">
        <v>121</v>
      </c>
      <c r="L1573" s="2" t="s">
        <v>3038</v>
      </c>
      <c r="M1573" t="s">
        <v>67</v>
      </c>
      <c r="N1573" t="s">
        <v>68</v>
      </c>
      <c r="P1573" s="23">
        <v>66.25</v>
      </c>
      <c r="Q1573" s="4">
        <f t="shared" si="24"/>
        <v>-0.93056603773584901</v>
      </c>
      <c r="R1573" s="23" t="s">
        <v>109</v>
      </c>
      <c r="U1573">
        <v>9</v>
      </c>
      <c r="V1573" t="e">
        <f>VLOOKUP(U1573,[1]!NOMINA[#Data],4,FALSE)</f>
        <v>#REF!</v>
      </c>
      <c r="W1573" t="e">
        <f>VLOOKUP(U1573,[1]!NOMINA[#Data],5,FALSE)</f>
        <v>#REF!</v>
      </c>
    </row>
    <row r="1574" spans="1:23" x14ac:dyDescent="0.25">
      <c r="A1574" s="42">
        <v>45729</v>
      </c>
      <c r="B1574" s="1">
        <v>19720699</v>
      </c>
      <c r="C1574" t="s">
        <v>3039</v>
      </c>
      <c r="D1574" s="22">
        <v>-3234.9</v>
      </c>
      <c r="E1574" t="s">
        <v>35</v>
      </c>
      <c r="F1574" s="2">
        <v>212901001</v>
      </c>
      <c r="G1574" s="2" t="s">
        <v>121</v>
      </c>
      <c r="L1574" s="2" t="s">
        <v>3040</v>
      </c>
      <c r="M1574" t="s">
        <v>67</v>
      </c>
      <c r="N1574" t="s">
        <v>68</v>
      </c>
      <c r="P1574" s="23">
        <v>66.25</v>
      </c>
      <c r="Q1574" s="4">
        <f t="shared" si="24"/>
        <v>-48.82867924528302</v>
      </c>
      <c r="R1574" s="23" t="s">
        <v>109</v>
      </c>
      <c r="U1574">
        <v>36</v>
      </c>
      <c r="V1574" t="e">
        <f>VLOOKUP(U1574,[1]!NOMINA[#Data],4,FALSE)</f>
        <v>#REF!</v>
      </c>
      <c r="W1574" t="e">
        <f>VLOOKUP(U1574,[1]!NOMINA[#Data],5,FALSE)</f>
        <v>#REF!</v>
      </c>
    </row>
    <row r="1575" spans="1:23" x14ac:dyDescent="0.25">
      <c r="A1575" s="42">
        <v>45729</v>
      </c>
      <c r="B1575" s="1">
        <v>19720701</v>
      </c>
      <c r="C1575" t="s">
        <v>3041</v>
      </c>
      <c r="D1575" s="22">
        <v>-61.65</v>
      </c>
      <c r="E1575" t="s">
        <v>35</v>
      </c>
      <c r="F1575" s="2">
        <v>212901001</v>
      </c>
      <c r="G1575" s="2" t="s">
        <v>121</v>
      </c>
      <c r="L1575" s="2" t="s">
        <v>3042</v>
      </c>
      <c r="M1575" t="s">
        <v>67</v>
      </c>
      <c r="N1575" t="s">
        <v>68</v>
      </c>
      <c r="P1575" s="23">
        <v>66.25</v>
      </c>
      <c r="Q1575" s="4">
        <f t="shared" si="24"/>
        <v>-0.93056603773584901</v>
      </c>
      <c r="R1575" s="23" t="s">
        <v>109</v>
      </c>
      <c r="U1575">
        <v>26</v>
      </c>
      <c r="V1575" t="e">
        <f>VLOOKUP(Tabla3[[#This Row],[Nº]],[1]!NOMINA[#Data],4,FALSE)</f>
        <v>#REF!</v>
      </c>
      <c r="W1575" t="e">
        <f>VLOOKUP(Tabla3[[#This Row],[Nº]],[1]!NOMINA[#Data],5,FALSE)</f>
        <v>#REF!</v>
      </c>
    </row>
    <row r="1576" spans="1:23" x14ac:dyDescent="0.25">
      <c r="A1576" s="42">
        <v>45729</v>
      </c>
      <c r="B1576" s="1">
        <v>19720704</v>
      </c>
      <c r="C1576" t="s">
        <v>3043</v>
      </c>
      <c r="D1576" s="22">
        <v>-61.65</v>
      </c>
      <c r="E1576" t="s">
        <v>35</v>
      </c>
      <c r="F1576" s="2">
        <v>212901001</v>
      </c>
      <c r="G1576" s="2" t="s">
        <v>121</v>
      </c>
      <c r="L1576" s="2" t="s">
        <v>3044</v>
      </c>
      <c r="M1576" t="s">
        <v>67</v>
      </c>
      <c r="N1576" t="s">
        <v>68</v>
      </c>
      <c r="P1576" s="23">
        <v>66.25</v>
      </c>
      <c r="Q1576" s="4">
        <f t="shared" si="24"/>
        <v>-0.93056603773584901</v>
      </c>
      <c r="R1576" s="23" t="s">
        <v>109</v>
      </c>
      <c r="U1576">
        <v>29</v>
      </c>
      <c r="V1576" t="e">
        <f>VLOOKUP(U1576,[1]!NOMINA[#Data],4,FALSE)</f>
        <v>#REF!</v>
      </c>
      <c r="W1576" t="e">
        <f>VLOOKUP(U1576,[1]!NOMINA[#Data],5,FALSE)</f>
        <v>#REF!</v>
      </c>
    </row>
    <row r="1577" spans="1:23" x14ac:dyDescent="0.25">
      <c r="A1577" s="42">
        <v>45729</v>
      </c>
      <c r="B1577" s="1">
        <v>19720702</v>
      </c>
      <c r="C1577" t="s">
        <v>3045</v>
      </c>
      <c r="D1577" s="22">
        <v>-61.65</v>
      </c>
      <c r="E1577" t="s">
        <v>35</v>
      </c>
      <c r="F1577" s="2">
        <v>212901001</v>
      </c>
      <c r="G1577" s="2" t="s">
        <v>121</v>
      </c>
      <c r="L1577" s="2" t="s">
        <v>3046</v>
      </c>
      <c r="M1577" t="s">
        <v>67</v>
      </c>
      <c r="N1577" t="s">
        <v>68</v>
      </c>
      <c r="P1577" s="23">
        <v>66.25</v>
      </c>
      <c r="Q1577" s="4">
        <f t="shared" si="24"/>
        <v>-0.93056603773584901</v>
      </c>
      <c r="R1577" s="23" t="s">
        <v>109</v>
      </c>
      <c r="U1577">
        <v>44</v>
      </c>
      <c r="V1577" t="e">
        <f>VLOOKUP(U1577,[1]!NOMINA[#Data],4,FALSE)</f>
        <v>#REF!</v>
      </c>
      <c r="W1577" t="e">
        <f>VLOOKUP(U1577,[1]!NOMINA[#Data],5,FALSE)</f>
        <v>#REF!</v>
      </c>
    </row>
    <row r="1578" spans="1:23" x14ac:dyDescent="0.25">
      <c r="A1578" s="42">
        <v>45729</v>
      </c>
      <c r="B1578" s="1">
        <v>19720703</v>
      </c>
      <c r="C1578" t="s">
        <v>3047</v>
      </c>
      <c r="D1578" s="22">
        <v>-61.65</v>
      </c>
      <c r="E1578" t="s">
        <v>35</v>
      </c>
      <c r="F1578" s="2">
        <v>212901001</v>
      </c>
      <c r="G1578" s="2" t="s">
        <v>121</v>
      </c>
      <c r="L1578" s="2" t="s">
        <v>3048</v>
      </c>
      <c r="M1578" t="s">
        <v>67</v>
      </c>
      <c r="N1578" t="s">
        <v>68</v>
      </c>
      <c r="P1578" s="23">
        <v>66.25</v>
      </c>
      <c r="Q1578" s="4">
        <f t="shared" si="24"/>
        <v>-0.93056603773584901</v>
      </c>
      <c r="R1578" s="23" t="s">
        <v>109</v>
      </c>
      <c r="U1578">
        <v>10</v>
      </c>
      <c r="V1578" t="e">
        <f>VLOOKUP(U1578,[1]!NOMINA[#Data],4,FALSE)</f>
        <v>#REF!</v>
      </c>
      <c r="W1578" t="e">
        <f>VLOOKUP(U1578,[1]!NOMINA[#Data],5,FALSE)</f>
        <v>#REF!</v>
      </c>
    </row>
    <row r="1579" spans="1:23" x14ac:dyDescent="0.25">
      <c r="A1579" s="42">
        <v>45729</v>
      </c>
      <c r="B1579" s="1">
        <v>19720705</v>
      </c>
      <c r="C1579" t="s">
        <v>3049</v>
      </c>
      <c r="D1579" s="22">
        <v>-61.65</v>
      </c>
      <c r="E1579" t="s">
        <v>35</v>
      </c>
      <c r="F1579" s="2">
        <v>212901001</v>
      </c>
      <c r="G1579" s="2" t="s">
        <v>121</v>
      </c>
      <c r="L1579" s="2" t="s">
        <v>3050</v>
      </c>
      <c r="M1579" t="s">
        <v>67</v>
      </c>
      <c r="N1579" t="s">
        <v>68</v>
      </c>
      <c r="P1579" s="23">
        <v>66.25</v>
      </c>
      <c r="Q1579" s="4">
        <f t="shared" si="24"/>
        <v>-0.93056603773584901</v>
      </c>
      <c r="R1579" s="23" t="s">
        <v>109</v>
      </c>
      <c r="U1579">
        <v>18</v>
      </c>
      <c r="V1579" t="e">
        <f>VLOOKUP(Tabla3[[#This Row],[Nº]],[1]!NOMINA[#Data],4,FALSE)</f>
        <v>#REF!</v>
      </c>
      <c r="W1579" t="e">
        <f>VLOOKUP(Tabla3[[#This Row],[Nº]],[1]!NOMINA[#Data],5,FALSE)</f>
        <v>#REF!</v>
      </c>
    </row>
    <row r="1580" spans="1:23" x14ac:dyDescent="0.25">
      <c r="A1580" s="42">
        <v>45729</v>
      </c>
      <c r="B1580" s="1">
        <v>19720707</v>
      </c>
      <c r="C1580" t="s">
        <v>3051</v>
      </c>
      <c r="D1580" s="22">
        <v>-61.65</v>
      </c>
      <c r="E1580" t="s">
        <v>35</v>
      </c>
      <c r="F1580" s="2">
        <v>212901001</v>
      </c>
      <c r="G1580" s="2" t="s">
        <v>121</v>
      </c>
      <c r="L1580" s="2" t="s">
        <v>3052</v>
      </c>
      <c r="M1580" t="s">
        <v>67</v>
      </c>
      <c r="N1580" t="s">
        <v>68</v>
      </c>
      <c r="P1580" s="23">
        <v>66.25</v>
      </c>
      <c r="Q1580" s="4">
        <f t="shared" si="24"/>
        <v>-0.93056603773584901</v>
      </c>
      <c r="R1580" s="23" t="s">
        <v>109</v>
      </c>
      <c r="U1580">
        <v>38</v>
      </c>
      <c r="V1580" t="e">
        <f>VLOOKUP(U1580,[1]!NOMINA[#Data],4,FALSE)</f>
        <v>#REF!</v>
      </c>
      <c r="W1580" t="e">
        <f>VLOOKUP(U1580,[1]!NOMINA[#Data],5,FALSE)</f>
        <v>#REF!</v>
      </c>
    </row>
    <row r="1581" spans="1:23" x14ac:dyDescent="0.25">
      <c r="A1581" s="42">
        <v>45729</v>
      </c>
      <c r="B1581" s="1">
        <v>19720706</v>
      </c>
      <c r="C1581" t="s">
        <v>3053</v>
      </c>
      <c r="D1581" s="22">
        <v>-61.65</v>
      </c>
      <c r="E1581" t="s">
        <v>35</v>
      </c>
      <c r="F1581" s="2">
        <v>212901001</v>
      </c>
      <c r="G1581" s="2" t="s">
        <v>121</v>
      </c>
      <c r="L1581" s="2" t="s">
        <v>3054</v>
      </c>
      <c r="M1581" t="s">
        <v>67</v>
      </c>
      <c r="N1581" t="s">
        <v>68</v>
      </c>
      <c r="P1581" s="23">
        <v>66.25</v>
      </c>
      <c r="Q1581" s="4">
        <f t="shared" si="24"/>
        <v>-0.93056603773584901</v>
      </c>
      <c r="R1581" s="23" t="s">
        <v>109</v>
      </c>
      <c r="U1581">
        <v>15</v>
      </c>
      <c r="V1581" t="e">
        <f>VLOOKUP(U1581,[1]!NOMINA[#Data],4,FALSE)</f>
        <v>#REF!</v>
      </c>
      <c r="W1581" t="e">
        <f>VLOOKUP(U1581,[1]!NOMINA[#Data],5,FALSE)</f>
        <v>#REF!</v>
      </c>
    </row>
    <row r="1582" spans="1:23" x14ac:dyDescent="0.25">
      <c r="A1582" s="42">
        <v>45729</v>
      </c>
      <c r="B1582" s="1">
        <v>19720708</v>
      </c>
      <c r="C1582" t="s">
        <v>3055</v>
      </c>
      <c r="D1582" s="22">
        <v>-61.65</v>
      </c>
      <c r="E1582" t="s">
        <v>35</v>
      </c>
      <c r="F1582" s="2">
        <v>212901001</v>
      </c>
      <c r="G1582" s="2" t="s">
        <v>121</v>
      </c>
      <c r="L1582" s="2" t="s">
        <v>3056</v>
      </c>
      <c r="M1582" t="s">
        <v>67</v>
      </c>
      <c r="N1582" s="2" t="s">
        <v>68</v>
      </c>
      <c r="O1582" s="2"/>
      <c r="P1582" s="23">
        <v>66.25</v>
      </c>
      <c r="Q1582" s="4">
        <f t="shared" si="24"/>
        <v>-0.93056603773584901</v>
      </c>
      <c r="R1582" s="23" t="s">
        <v>109</v>
      </c>
      <c r="U1582">
        <v>36</v>
      </c>
      <c r="V1582" t="e">
        <f>VLOOKUP(U1582,[1]!NOMINA[#Data],4,FALSE)</f>
        <v>#REF!</v>
      </c>
      <c r="W1582" t="e">
        <f>VLOOKUP(U1582,[1]!NOMINA[#Data],5,FALSE)</f>
        <v>#REF!</v>
      </c>
    </row>
    <row r="1583" spans="1:23" x14ac:dyDescent="0.25">
      <c r="A1583" s="42">
        <v>45729</v>
      </c>
      <c r="B1583" s="1">
        <v>19720709</v>
      </c>
      <c r="C1583" t="s">
        <v>3057</v>
      </c>
      <c r="D1583" s="22">
        <v>-61.65</v>
      </c>
      <c r="E1583" t="s">
        <v>35</v>
      </c>
      <c r="F1583" s="2">
        <v>212901001</v>
      </c>
      <c r="G1583" s="2" t="s">
        <v>121</v>
      </c>
      <c r="L1583" s="2" t="s">
        <v>3058</v>
      </c>
      <c r="M1583" t="s">
        <v>67</v>
      </c>
      <c r="N1583" t="s">
        <v>68</v>
      </c>
      <c r="P1583" s="23">
        <v>66.25</v>
      </c>
      <c r="Q1583" s="4">
        <f t="shared" si="24"/>
        <v>-0.93056603773584901</v>
      </c>
      <c r="R1583" s="23" t="s">
        <v>109</v>
      </c>
      <c r="U1583">
        <v>20</v>
      </c>
      <c r="V1583" t="e">
        <f>VLOOKUP(Tabla3[[#This Row],[Nº]],[1]!NOMINA[#Data],4,FALSE)</f>
        <v>#REF!</v>
      </c>
      <c r="W1583" t="e">
        <f>VLOOKUP(Tabla3[[#This Row],[Nº]],[1]!NOMINA[#Data],5,FALSE)</f>
        <v>#REF!</v>
      </c>
    </row>
    <row r="1584" spans="1:23" x14ac:dyDescent="0.25">
      <c r="A1584" s="42">
        <v>45729</v>
      </c>
      <c r="B1584" s="1">
        <v>19720710</v>
      </c>
      <c r="C1584" t="s">
        <v>3059</v>
      </c>
      <c r="D1584" s="22">
        <v>-61.65</v>
      </c>
      <c r="E1584" t="s">
        <v>35</v>
      </c>
      <c r="F1584" s="2">
        <v>212901001</v>
      </c>
      <c r="G1584" s="2" t="s">
        <v>121</v>
      </c>
      <c r="L1584" s="2" t="s">
        <v>3060</v>
      </c>
      <c r="M1584" t="s">
        <v>67</v>
      </c>
      <c r="N1584" t="s">
        <v>68</v>
      </c>
      <c r="P1584" s="23">
        <v>66.25</v>
      </c>
      <c r="Q1584" s="4">
        <f t="shared" si="24"/>
        <v>-0.93056603773584901</v>
      </c>
      <c r="R1584" s="23" t="s">
        <v>109</v>
      </c>
      <c r="U1584">
        <v>41</v>
      </c>
      <c r="V1584" t="e">
        <f>VLOOKUP(U1584,[1]!NOMINA[#Data],4,FALSE)</f>
        <v>#REF!</v>
      </c>
      <c r="W1584" t="e">
        <f>VLOOKUP(U1584,[1]!NOMINA[#Data],5,FALSE)</f>
        <v>#REF!</v>
      </c>
    </row>
    <row r="1585" spans="1:23" x14ac:dyDescent="0.25">
      <c r="A1585" s="42">
        <v>45729</v>
      </c>
      <c r="B1585" s="1">
        <v>119720711</v>
      </c>
      <c r="C1585" t="s">
        <v>3061</v>
      </c>
      <c r="D1585" s="22">
        <v>-61.65</v>
      </c>
      <c r="E1585" t="s">
        <v>35</v>
      </c>
      <c r="F1585" s="2">
        <v>212901001</v>
      </c>
      <c r="G1585" s="2" t="s">
        <v>121</v>
      </c>
      <c r="L1585" s="2" t="s">
        <v>3062</v>
      </c>
      <c r="M1585" t="s">
        <v>67</v>
      </c>
      <c r="N1585" t="s">
        <v>68</v>
      </c>
      <c r="P1585" s="23">
        <v>66.25</v>
      </c>
      <c r="Q1585" s="4">
        <f t="shared" si="24"/>
        <v>-0.93056603773584901</v>
      </c>
      <c r="R1585" s="23" t="s">
        <v>109</v>
      </c>
      <c r="U1585">
        <v>13</v>
      </c>
      <c r="V1585" t="e">
        <f>VLOOKUP(U1585,[1]!NOMINA[#Data],4,FALSE)</f>
        <v>#REF!</v>
      </c>
      <c r="W1585" t="e">
        <f>VLOOKUP(U1585,[1]!NOMINA[#Data],5,FALSE)</f>
        <v>#REF!</v>
      </c>
    </row>
    <row r="1586" spans="1:23" x14ac:dyDescent="0.25">
      <c r="A1586" s="42">
        <v>45729</v>
      </c>
      <c r="B1586" s="1">
        <v>119720712</v>
      </c>
      <c r="C1586" t="s">
        <v>3063</v>
      </c>
      <c r="D1586" s="22">
        <v>-61.65</v>
      </c>
      <c r="E1586" t="s">
        <v>35</v>
      </c>
      <c r="F1586" s="2">
        <v>212901001</v>
      </c>
      <c r="G1586" s="2" t="s">
        <v>121</v>
      </c>
      <c r="L1586" s="2" t="s">
        <v>3064</v>
      </c>
      <c r="M1586" t="s">
        <v>67</v>
      </c>
      <c r="N1586" t="s">
        <v>68</v>
      </c>
      <c r="P1586" s="23">
        <v>66.25</v>
      </c>
      <c r="Q1586" s="4">
        <f t="shared" si="24"/>
        <v>-0.93056603773584901</v>
      </c>
      <c r="R1586" s="23" t="s">
        <v>109</v>
      </c>
      <c r="U1586">
        <v>13</v>
      </c>
      <c r="V1586" t="e">
        <f>VLOOKUP(U1586,[1]!NOMINA[#Data],4,FALSE)</f>
        <v>#REF!</v>
      </c>
      <c r="W1586" t="e">
        <f>VLOOKUP(U1586,[1]!NOMINA[#Data],5,FALSE)</f>
        <v>#REF!</v>
      </c>
    </row>
    <row r="1587" spans="1:23" x14ac:dyDescent="0.25">
      <c r="A1587" s="42">
        <v>45729</v>
      </c>
      <c r="B1587" s="1">
        <v>119720713</v>
      </c>
      <c r="C1587" t="s">
        <v>3065</v>
      </c>
      <c r="D1587" s="22">
        <v>-61.65</v>
      </c>
      <c r="E1587" t="s">
        <v>35</v>
      </c>
      <c r="F1587" s="2">
        <v>212901001</v>
      </c>
      <c r="G1587" s="2" t="s">
        <v>121</v>
      </c>
      <c r="L1587" s="2" t="s">
        <v>3066</v>
      </c>
      <c r="M1587" t="s">
        <v>67</v>
      </c>
      <c r="N1587" t="s">
        <v>68</v>
      </c>
      <c r="P1587" s="23">
        <v>66.25</v>
      </c>
      <c r="Q1587" s="4">
        <f t="shared" si="24"/>
        <v>-0.93056603773584901</v>
      </c>
      <c r="R1587" s="23" t="s">
        <v>109</v>
      </c>
      <c r="U1587">
        <v>8</v>
      </c>
      <c r="V1587" t="e">
        <f>VLOOKUP(U1587,[1]!NOMINA[#Data],4,FALSE)</f>
        <v>#REF!</v>
      </c>
      <c r="W1587" t="e">
        <f>VLOOKUP(U1587,[1]!NOMINA[#Data],5,FALSE)</f>
        <v>#REF!</v>
      </c>
    </row>
    <row r="1588" spans="1:23" x14ac:dyDescent="0.25">
      <c r="A1588" s="42">
        <v>45729</v>
      </c>
      <c r="B1588" s="1">
        <v>119720714</v>
      </c>
      <c r="C1588" t="s">
        <v>3067</v>
      </c>
      <c r="D1588" s="22">
        <v>-61.65</v>
      </c>
      <c r="E1588" t="s">
        <v>35</v>
      </c>
      <c r="F1588" s="2">
        <v>212901001</v>
      </c>
      <c r="G1588" s="2" t="s">
        <v>121</v>
      </c>
      <c r="L1588" s="2" t="s">
        <v>3068</v>
      </c>
      <c r="M1588" t="s">
        <v>67</v>
      </c>
      <c r="N1588" t="s">
        <v>68</v>
      </c>
      <c r="P1588" s="23">
        <v>66.25</v>
      </c>
      <c r="Q1588" s="4">
        <f t="shared" si="24"/>
        <v>-0.93056603773584901</v>
      </c>
      <c r="R1588" s="23" t="s">
        <v>109</v>
      </c>
      <c r="U1588">
        <v>11</v>
      </c>
      <c r="V1588" t="e">
        <f>VLOOKUP(U1588,[1]!NOMINA[#Data],4,FALSE)</f>
        <v>#REF!</v>
      </c>
      <c r="W1588" t="e">
        <f>VLOOKUP(U1588,[1]!NOMINA[#Data],5,FALSE)</f>
        <v>#REF!</v>
      </c>
    </row>
    <row r="1589" spans="1:23" x14ac:dyDescent="0.25">
      <c r="A1589" s="42">
        <v>45729</v>
      </c>
      <c r="B1589" s="1">
        <v>119720716</v>
      </c>
      <c r="C1589" t="s">
        <v>3069</v>
      </c>
      <c r="D1589" s="22">
        <v>-61.65</v>
      </c>
      <c r="E1589" t="s">
        <v>35</v>
      </c>
      <c r="F1589" s="2">
        <v>212901001</v>
      </c>
      <c r="G1589" s="2" t="s">
        <v>121</v>
      </c>
      <c r="L1589" s="2" t="s">
        <v>3070</v>
      </c>
      <c r="M1589" t="s">
        <v>67</v>
      </c>
      <c r="N1589" t="s">
        <v>68</v>
      </c>
      <c r="P1589" s="23">
        <v>66.25</v>
      </c>
      <c r="Q1589" s="4">
        <f t="shared" si="24"/>
        <v>-0.93056603773584901</v>
      </c>
      <c r="R1589" s="23" t="s">
        <v>109</v>
      </c>
      <c r="U1589">
        <v>23</v>
      </c>
      <c r="V1589" t="e">
        <f>VLOOKUP(U1589,[1]!NOMINA[#Data],4,FALSE)</f>
        <v>#REF!</v>
      </c>
      <c r="W1589" t="e">
        <f>VLOOKUP(U1589,[1]!NOMINA[#Data],5,FALSE)</f>
        <v>#REF!</v>
      </c>
    </row>
    <row r="1590" spans="1:23" x14ac:dyDescent="0.25">
      <c r="A1590" s="42">
        <v>45729</v>
      </c>
      <c r="B1590" s="1">
        <v>119720715</v>
      </c>
      <c r="C1590" t="s">
        <v>3071</v>
      </c>
      <c r="D1590" s="22">
        <v>-61.65</v>
      </c>
      <c r="E1590" t="s">
        <v>35</v>
      </c>
      <c r="F1590" s="2">
        <v>212901001</v>
      </c>
      <c r="G1590" s="2" t="s">
        <v>121</v>
      </c>
      <c r="L1590" s="2" t="s">
        <v>3072</v>
      </c>
      <c r="M1590" t="s">
        <v>67</v>
      </c>
      <c r="N1590" t="s">
        <v>68</v>
      </c>
      <c r="P1590" s="23">
        <v>66.25</v>
      </c>
      <c r="Q1590" s="4">
        <f t="shared" si="24"/>
        <v>-0.93056603773584901</v>
      </c>
      <c r="R1590" s="23" t="s">
        <v>109</v>
      </c>
      <c r="U1590">
        <v>43</v>
      </c>
      <c r="V1590" t="e">
        <f>VLOOKUP(U1590,[1]!NOMINA[#Data],4,FALSE)</f>
        <v>#REF!</v>
      </c>
      <c r="W1590" t="e">
        <f>VLOOKUP(U1590,[1]!NOMINA[#Data],5,FALSE)</f>
        <v>#REF!</v>
      </c>
    </row>
    <row r="1591" spans="1:23" x14ac:dyDescent="0.25">
      <c r="A1591" s="42">
        <v>45729</v>
      </c>
      <c r="B1591" s="1">
        <v>119720718</v>
      </c>
      <c r="C1591" t="s">
        <v>3073</v>
      </c>
      <c r="D1591" s="22">
        <v>-61.65</v>
      </c>
      <c r="E1591" t="s">
        <v>35</v>
      </c>
      <c r="F1591" s="2">
        <v>212901001</v>
      </c>
      <c r="G1591" s="2" t="s">
        <v>121</v>
      </c>
      <c r="L1591" s="2" t="s">
        <v>3074</v>
      </c>
      <c r="M1591" t="s">
        <v>67</v>
      </c>
      <c r="N1591" t="s">
        <v>68</v>
      </c>
      <c r="P1591" s="23">
        <v>66.25</v>
      </c>
      <c r="Q1591" s="4">
        <f t="shared" si="24"/>
        <v>-0.93056603773584901</v>
      </c>
      <c r="R1591" s="23" t="s">
        <v>109</v>
      </c>
      <c r="U1591">
        <v>17</v>
      </c>
      <c r="V1591" t="e">
        <f>VLOOKUP(U1591,[1]!NOMINA[#Data],4,FALSE)</f>
        <v>#REF!</v>
      </c>
      <c r="W1591" t="e">
        <f>VLOOKUP(U1591,[1]!NOMINA[#Data],5,FALSE)</f>
        <v>#REF!</v>
      </c>
    </row>
    <row r="1592" spans="1:23" x14ac:dyDescent="0.25">
      <c r="A1592" s="42">
        <v>45729</v>
      </c>
      <c r="B1592" s="1">
        <v>119720717</v>
      </c>
      <c r="C1592" t="s">
        <v>3075</v>
      </c>
      <c r="D1592" s="22">
        <v>-61.65</v>
      </c>
      <c r="E1592" t="s">
        <v>35</v>
      </c>
      <c r="F1592" s="2">
        <v>212901001</v>
      </c>
      <c r="G1592" s="2" t="s">
        <v>121</v>
      </c>
      <c r="L1592" s="2" t="s">
        <v>3076</v>
      </c>
      <c r="M1592" t="s">
        <v>67</v>
      </c>
      <c r="N1592" t="s">
        <v>68</v>
      </c>
      <c r="P1592" s="23">
        <v>66.25</v>
      </c>
      <c r="Q1592" s="4">
        <f t="shared" si="24"/>
        <v>-0.93056603773584901</v>
      </c>
      <c r="R1592" s="23" t="s">
        <v>109</v>
      </c>
      <c r="U1592">
        <v>22</v>
      </c>
      <c r="V1592" t="e">
        <f>VLOOKUP(Tabla3[[#This Row],[Nº]],[1]!NOMINA[#Data],4,FALSE)</f>
        <v>#REF!</v>
      </c>
      <c r="W1592" t="e">
        <f>VLOOKUP(U1592,[1]!NOMINA[#Data],5,FALSE)</f>
        <v>#REF!</v>
      </c>
    </row>
    <row r="1593" spans="1:23" x14ac:dyDescent="0.25">
      <c r="A1593" s="42">
        <v>45729</v>
      </c>
      <c r="B1593" s="1">
        <v>119720719</v>
      </c>
      <c r="C1593" t="s">
        <v>3077</v>
      </c>
      <c r="D1593" s="22">
        <v>-61.65</v>
      </c>
      <c r="E1593" t="s">
        <v>35</v>
      </c>
      <c r="F1593" s="2">
        <v>212901001</v>
      </c>
      <c r="G1593" s="2" t="s">
        <v>121</v>
      </c>
      <c r="L1593" s="2" t="s">
        <v>3078</v>
      </c>
      <c r="M1593" t="s">
        <v>67</v>
      </c>
      <c r="N1593" t="s">
        <v>68</v>
      </c>
      <c r="P1593" s="23">
        <v>66.25</v>
      </c>
      <c r="Q1593" s="4">
        <f t="shared" si="24"/>
        <v>-0.93056603773584901</v>
      </c>
      <c r="R1593" s="23" t="s">
        <v>109</v>
      </c>
      <c r="U1593">
        <v>14</v>
      </c>
      <c r="V1593" t="e">
        <f>VLOOKUP(U1593,[1]!NOMINA[#Data],4,FALSE)</f>
        <v>#REF!</v>
      </c>
      <c r="W1593" t="e">
        <f>VLOOKUP(U1593,[1]!NOMINA[#Data],5,FALSE)</f>
        <v>#REF!</v>
      </c>
    </row>
    <row r="1594" spans="1:23" x14ac:dyDescent="0.25">
      <c r="A1594" s="42">
        <v>45729</v>
      </c>
      <c r="B1594" s="1">
        <v>119720720</v>
      </c>
      <c r="C1594" t="s">
        <v>3079</v>
      </c>
      <c r="D1594" s="22">
        <v>-61.65</v>
      </c>
      <c r="E1594" t="s">
        <v>35</v>
      </c>
      <c r="F1594" s="2">
        <v>212901001</v>
      </c>
      <c r="G1594" s="2" t="s">
        <v>121</v>
      </c>
      <c r="L1594" s="2" t="s">
        <v>3080</v>
      </c>
      <c r="M1594" t="s">
        <v>67</v>
      </c>
      <c r="N1594" t="s">
        <v>68</v>
      </c>
      <c r="P1594" s="23">
        <v>66.25</v>
      </c>
      <c r="Q1594" s="4">
        <f t="shared" si="24"/>
        <v>-0.93056603773584901</v>
      </c>
      <c r="R1594" s="23" t="s">
        <v>109</v>
      </c>
      <c r="U1594">
        <v>42</v>
      </c>
      <c r="V1594" t="e">
        <f>VLOOKUP(U1594,[1]!NOMINA[#Data],4,FALSE)</f>
        <v>#REF!</v>
      </c>
      <c r="W1594" t="e">
        <f>VLOOKUP(U1594,[1]!NOMINA[#Data],5,FALSE)</f>
        <v>#REF!</v>
      </c>
    </row>
    <row r="1595" spans="1:23" x14ac:dyDescent="0.25">
      <c r="A1595" s="42">
        <v>45729</v>
      </c>
      <c r="B1595" s="1">
        <v>219720722</v>
      </c>
      <c r="C1595" t="s">
        <v>3081</v>
      </c>
      <c r="D1595" s="22">
        <v>-61.65</v>
      </c>
      <c r="E1595" t="s">
        <v>35</v>
      </c>
      <c r="F1595" s="2">
        <v>212901001</v>
      </c>
      <c r="G1595" s="2" t="s">
        <v>121</v>
      </c>
      <c r="L1595" s="2" t="s">
        <v>3082</v>
      </c>
      <c r="M1595" t="s">
        <v>67</v>
      </c>
      <c r="N1595" t="s">
        <v>68</v>
      </c>
      <c r="P1595" s="23">
        <v>66.25</v>
      </c>
      <c r="Q1595" s="4">
        <f t="shared" si="24"/>
        <v>-0.93056603773584901</v>
      </c>
      <c r="R1595" s="23" t="s">
        <v>109</v>
      </c>
      <c r="U1595">
        <v>39</v>
      </c>
      <c r="V1595" t="e">
        <f>VLOOKUP(U1595,[1]!NOMINA[#Data],4,FALSE)</f>
        <v>#REF!</v>
      </c>
      <c r="W1595" t="e">
        <f>VLOOKUP(U1595,[1]!NOMINA[#Data],5,FALSE)</f>
        <v>#REF!</v>
      </c>
    </row>
    <row r="1596" spans="1:23" x14ac:dyDescent="0.25">
      <c r="A1596" s="42">
        <v>45729</v>
      </c>
      <c r="B1596" s="1">
        <v>219720721</v>
      </c>
      <c r="C1596" t="s">
        <v>3083</v>
      </c>
      <c r="D1596" s="22">
        <v>-61.65</v>
      </c>
      <c r="E1596" t="s">
        <v>35</v>
      </c>
      <c r="F1596" s="2">
        <v>212901001</v>
      </c>
      <c r="G1596" s="2" t="s">
        <v>121</v>
      </c>
      <c r="L1596" s="2" t="s">
        <v>3084</v>
      </c>
      <c r="M1596" t="s">
        <v>67</v>
      </c>
      <c r="N1596" t="s">
        <v>68</v>
      </c>
      <c r="P1596" s="23">
        <v>66.25</v>
      </c>
      <c r="Q1596" s="4">
        <f t="shared" si="24"/>
        <v>-0.93056603773584901</v>
      </c>
      <c r="R1596" s="23" t="s">
        <v>109</v>
      </c>
      <c r="U1596">
        <v>21</v>
      </c>
      <c r="V1596" t="e">
        <f>VLOOKUP(U1596,[1]!NOMINA[#Data],4,FALSE)</f>
        <v>#REF!</v>
      </c>
      <c r="W1596" t="e">
        <f>VLOOKUP(U1596,[1]!NOMINA[#Data],5,FALSE)</f>
        <v>#REF!</v>
      </c>
    </row>
    <row r="1597" spans="1:23" x14ac:dyDescent="0.25">
      <c r="A1597" s="42">
        <v>45729</v>
      </c>
      <c r="B1597" s="1">
        <v>219720725</v>
      </c>
      <c r="C1597" t="s">
        <v>3085</v>
      </c>
      <c r="D1597" s="22">
        <v>-61.65</v>
      </c>
      <c r="E1597" t="s">
        <v>35</v>
      </c>
      <c r="F1597" s="2">
        <v>212901001</v>
      </c>
      <c r="G1597" s="2" t="s">
        <v>121</v>
      </c>
      <c r="L1597" s="2" t="s">
        <v>3086</v>
      </c>
      <c r="M1597" t="s">
        <v>67</v>
      </c>
      <c r="N1597" t="s">
        <v>68</v>
      </c>
      <c r="P1597" s="23">
        <v>66.25</v>
      </c>
      <c r="Q1597" s="4">
        <f t="shared" si="24"/>
        <v>-0.93056603773584901</v>
      </c>
      <c r="R1597" s="23" t="s">
        <v>109</v>
      </c>
      <c r="U1597">
        <v>25</v>
      </c>
      <c r="V1597" t="e">
        <f>VLOOKUP(U1597,[1]!NOMINA[#Data],4,FALSE)</f>
        <v>#REF!</v>
      </c>
      <c r="W1597" t="e">
        <f>VLOOKUP(U1597,[1]!NOMINA[#Data],5,FALSE)</f>
        <v>#REF!</v>
      </c>
    </row>
    <row r="1598" spans="1:23" x14ac:dyDescent="0.25">
      <c r="A1598" s="42">
        <v>45729</v>
      </c>
      <c r="B1598" s="1">
        <v>219720723</v>
      </c>
      <c r="C1598" t="s">
        <v>3077</v>
      </c>
      <c r="D1598" s="22">
        <v>-61.65</v>
      </c>
      <c r="E1598" t="s">
        <v>35</v>
      </c>
      <c r="F1598" s="2">
        <v>212901001</v>
      </c>
      <c r="G1598" s="2" t="s">
        <v>121</v>
      </c>
      <c r="L1598" s="2" t="s">
        <v>3087</v>
      </c>
      <c r="M1598" t="s">
        <v>67</v>
      </c>
      <c r="N1598" t="s">
        <v>68</v>
      </c>
      <c r="P1598" s="23">
        <v>66.25</v>
      </c>
      <c r="Q1598" s="4">
        <f t="shared" si="24"/>
        <v>-0.93056603773584901</v>
      </c>
      <c r="R1598" s="23" t="s">
        <v>109</v>
      </c>
      <c r="U1598">
        <v>14</v>
      </c>
      <c r="V1598" t="e">
        <f>VLOOKUP(U1598,[1]!NOMINA[#Data],4,FALSE)</f>
        <v>#REF!</v>
      </c>
      <c r="W1598" t="e">
        <f>VLOOKUP(U1598,[1]!NOMINA[#Data],5,FALSE)</f>
        <v>#REF!</v>
      </c>
    </row>
    <row r="1599" spans="1:23" x14ac:dyDescent="0.25">
      <c r="A1599" s="42">
        <v>45729</v>
      </c>
      <c r="B1599" s="1">
        <v>219720727</v>
      </c>
      <c r="C1599" t="s">
        <v>3088</v>
      </c>
      <c r="D1599" s="22">
        <v>-61.65</v>
      </c>
      <c r="E1599" t="s">
        <v>35</v>
      </c>
      <c r="F1599" s="2">
        <v>212901001</v>
      </c>
      <c r="G1599" s="2" t="s">
        <v>121</v>
      </c>
      <c r="L1599" s="2" t="s">
        <v>3089</v>
      </c>
      <c r="M1599" t="s">
        <v>67</v>
      </c>
      <c r="N1599" t="s">
        <v>68</v>
      </c>
      <c r="P1599" s="23">
        <v>66.25</v>
      </c>
      <c r="Q1599" s="4">
        <f t="shared" si="24"/>
        <v>-0.93056603773584901</v>
      </c>
      <c r="R1599" s="23" t="s">
        <v>109</v>
      </c>
      <c r="U1599">
        <v>2</v>
      </c>
      <c r="V1599" t="e">
        <f>VLOOKUP(Tabla3[[#This Row],[Nº]],[1]!NOMINA[#Data],4,FALSE)</f>
        <v>#REF!</v>
      </c>
      <c r="W1599" t="e">
        <f>VLOOKUP(Tabla3[[#This Row],[Nº]],[1]!NOMINA[#Data],5,FALSE)</f>
        <v>#REF!</v>
      </c>
    </row>
    <row r="1600" spans="1:23" x14ac:dyDescent="0.25">
      <c r="A1600" s="42">
        <v>45729</v>
      </c>
      <c r="B1600" s="1">
        <v>219720728</v>
      </c>
      <c r="C1600" t="s">
        <v>3090</v>
      </c>
      <c r="D1600" s="22">
        <v>-61.65</v>
      </c>
      <c r="E1600" t="s">
        <v>35</v>
      </c>
      <c r="F1600" s="2">
        <v>212901001</v>
      </c>
      <c r="G1600" s="2" t="s">
        <v>121</v>
      </c>
      <c r="L1600" s="2" t="s">
        <v>3091</v>
      </c>
      <c r="M1600" t="s">
        <v>67</v>
      </c>
      <c r="N1600" t="s">
        <v>68</v>
      </c>
      <c r="P1600" s="23">
        <v>66.25</v>
      </c>
      <c r="Q1600" s="4">
        <f t="shared" si="24"/>
        <v>-0.93056603773584901</v>
      </c>
      <c r="R1600" s="23" t="s">
        <v>109</v>
      </c>
      <c r="U1600">
        <v>28</v>
      </c>
      <c r="V1600" t="e">
        <f>VLOOKUP(U1600,[1]!NOMINA[#Data],4,FALSE)</f>
        <v>#REF!</v>
      </c>
      <c r="W1600" t="e">
        <f>VLOOKUP(U1600,[1]!NOMINA[#Data],5,FALSE)</f>
        <v>#REF!</v>
      </c>
    </row>
    <row r="1601" spans="1:23" x14ac:dyDescent="0.25">
      <c r="A1601" s="42">
        <v>45729</v>
      </c>
      <c r="B1601" s="1">
        <v>219720726</v>
      </c>
      <c r="C1601" t="s">
        <v>3092</v>
      </c>
      <c r="D1601" s="22">
        <v>-61.65</v>
      </c>
      <c r="E1601" t="s">
        <v>35</v>
      </c>
      <c r="F1601" s="2">
        <v>212901001</v>
      </c>
      <c r="G1601" s="2" t="s">
        <v>121</v>
      </c>
      <c r="L1601" s="2" t="s">
        <v>3093</v>
      </c>
      <c r="M1601" t="s">
        <v>67</v>
      </c>
      <c r="N1601" t="s">
        <v>68</v>
      </c>
      <c r="P1601" s="23">
        <v>66.25</v>
      </c>
      <c r="Q1601" s="4">
        <f t="shared" si="24"/>
        <v>-0.93056603773584901</v>
      </c>
      <c r="R1601" s="23" t="s">
        <v>109</v>
      </c>
      <c r="U1601">
        <v>6</v>
      </c>
      <c r="V1601" t="e">
        <f>VLOOKUP(U1601,[1]!NOMINA[#Data],4,FALSE)</f>
        <v>#REF!</v>
      </c>
      <c r="W1601" t="e">
        <f>VLOOKUP(U1601,[1]!NOMINA[#Data],5,FALSE)</f>
        <v>#REF!</v>
      </c>
    </row>
    <row r="1602" spans="1:23" x14ac:dyDescent="0.25">
      <c r="A1602" s="42">
        <v>45729</v>
      </c>
      <c r="B1602" s="1">
        <v>219720733</v>
      </c>
      <c r="C1602" t="s">
        <v>3094</v>
      </c>
      <c r="D1602" s="22">
        <v>-61.65</v>
      </c>
      <c r="E1602" t="s">
        <v>35</v>
      </c>
      <c r="F1602" s="2">
        <v>212901001</v>
      </c>
      <c r="G1602" s="2" t="s">
        <v>121</v>
      </c>
      <c r="L1602" s="2" t="s">
        <v>3095</v>
      </c>
      <c r="M1602" t="s">
        <v>67</v>
      </c>
      <c r="N1602" t="s">
        <v>68</v>
      </c>
      <c r="P1602" s="23">
        <v>66.25</v>
      </c>
      <c r="Q1602" s="4">
        <f t="shared" si="24"/>
        <v>-0.93056603773584901</v>
      </c>
      <c r="R1602" s="23" t="s">
        <v>109</v>
      </c>
      <c r="U1602">
        <v>24</v>
      </c>
      <c r="V1602" t="e">
        <f>VLOOKUP(U1602,[1]!NOMINA[#Data],4,FALSE)</f>
        <v>#REF!</v>
      </c>
      <c r="W1602" t="e">
        <f>VLOOKUP(U1602,[1]!NOMINA[#Data],5,FALSE)</f>
        <v>#REF!</v>
      </c>
    </row>
    <row r="1603" spans="1:23" x14ac:dyDescent="0.25">
      <c r="A1603" s="42">
        <v>45729</v>
      </c>
      <c r="B1603" s="1">
        <v>219720731</v>
      </c>
      <c r="C1603" t="s">
        <v>3096</v>
      </c>
      <c r="D1603" s="22">
        <v>-61.65</v>
      </c>
      <c r="E1603" t="s">
        <v>35</v>
      </c>
      <c r="F1603" s="2">
        <v>212901001</v>
      </c>
      <c r="G1603" s="2" t="s">
        <v>121</v>
      </c>
      <c r="L1603" s="2" t="s">
        <v>3097</v>
      </c>
      <c r="M1603" t="s">
        <v>67</v>
      </c>
      <c r="N1603" t="s">
        <v>68</v>
      </c>
      <c r="P1603" s="23">
        <v>66.25</v>
      </c>
      <c r="Q1603" s="4">
        <f t="shared" si="24"/>
        <v>-0.93056603773584901</v>
      </c>
      <c r="R1603" s="23" t="s">
        <v>109</v>
      </c>
      <c r="U1603">
        <v>3</v>
      </c>
      <c r="V1603" t="e">
        <f>VLOOKUP(U1603,[1]!NOMINA[#Data],4,FALSE)</f>
        <v>#REF!</v>
      </c>
      <c r="W1603" t="e">
        <f>VLOOKUP(U1603,[1]!NOMINA[#Data],5,FALSE)</f>
        <v>#REF!</v>
      </c>
    </row>
    <row r="1604" spans="1:23" x14ac:dyDescent="0.25">
      <c r="A1604" s="42">
        <v>45729</v>
      </c>
      <c r="B1604" s="1">
        <v>219720730</v>
      </c>
      <c r="C1604" t="s">
        <v>3098</v>
      </c>
      <c r="D1604" s="22">
        <v>-61.65</v>
      </c>
      <c r="E1604" t="s">
        <v>35</v>
      </c>
      <c r="F1604" s="2">
        <v>212901001</v>
      </c>
      <c r="G1604" s="2" t="s">
        <v>121</v>
      </c>
      <c r="L1604" s="2" t="s">
        <v>3099</v>
      </c>
      <c r="M1604" t="s">
        <v>67</v>
      </c>
      <c r="N1604" t="s">
        <v>68</v>
      </c>
      <c r="P1604" s="23">
        <v>66.25</v>
      </c>
      <c r="Q1604" s="4">
        <f t="shared" si="24"/>
        <v>-0.93056603773584901</v>
      </c>
      <c r="R1604" s="23" t="s">
        <v>109</v>
      </c>
      <c r="U1604">
        <v>27</v>
      </c>
      <c r="V1604" t="e">
        <f>VLOOKUP(U1604,[1]!NOMINA[#Data],4,FALSE)</f>
        <v>#REF!</v>
      </c>
      <c r="W1604" t="e">
        <f>VLOOKUP(U1604,[1]!NOMINA[#Data],5,FALSE)</f>
        <v>#REF!</v>
      </c>
    </row>
    <row r="1605" spans="1:23" x14ac:dyDescent="0.25">
      <c r="A1605" s="42">
        <v>45729</v>
      </c>
      <c r="B1605" s="1">
        <v>319720735</v>
      </c>
      <c r="C1605" t="s">
        <v>3100</v>
      </c>
      <c r="D1605" s="22">
        <v>-61.65</v>
      </c>
      <c r="E1605" t="s">
        <v>35</v>
      </c>
      <c r="F1605" s="2">
        <v>212901001</v>
      </c>
      <c r="G1605" s="2" t="s">
        <v>121</v>
      </c>
      <c r="L1605" s="2" t="s">
        <v>3101</v>
      </c>
      <c r="M1605" t="s">
        <v>67</v>
      </c>
      <c r="N1605" t="s">
        <v>68</v>
      </c>
      <c r="P1605" s="23">
        <v>66.25</v>
      </c>
      <c r="Q1605" s="4">
        <f t="shared" si="24"/>
        <v>-0.93056603773584901</v>
      </c>
      <c r="R1605" s="23" t="s">
        <v>109</v>
      </c>
      <c r="U1605">
        <v>19</v>
      </c>
      <c r="V1605" t="e">
        <f>VLOOKUP(U1605,[1]!NOMINA[#Data],4,FALSE)</f>
        <v>#REF!</v>
      </c>
      <c r="W1605" t="e">
        <f>VLOOKUP(U1605,[1]!NOMINA[#Data],5,FALSE)</f>
        <v>#REF!</v>
      </c>
    </row>
    <row r="1606" spans="1:23" x14ac:dyDescent="0.25">
      <c r="A1606" s="42">
        <v>45729</v>
      </c>
      <c r="B1606" s="1">
        <v>219720734</v>
      </c>
      <c r="C1606" t="s">
        <v>3102</v>
      </c>
      <c r="D1606" s="22">
        <v>-61.65</v>
      </c>
      <c r="E1606" t="s">
        <v>35</v>
      </c>
      <c r="F1606" s="2">
        <v>212901001</v>
      </c>
      <c r="G1606" s="2" t="s">
        <v>121</v>
      </c>
      <c r="L1606" s="2" t="s">
        <v>3103</v>
      </c>
      <c r="M1606" t="s">
        <v>67</v>
      </c>
      <c r="N1606" t="s">
        <v>68</v>
      </c>
      <c r="P1606" s="23">
        <v>66.25</v>
      </c>
      <c r="Q1606" s="4">
        <f t="shared" si="24"/>
        <v>-0.93056603773584901</v>
      </c>
      <c r="R1606" s="23" t="s">
        <v>109</v>
      </c>
      <c r="U1606">
        <v>5</v>
      </c>
      <c r="V1606" t="e">
        <f>VLOOKUP(U1606,[1]!NOMINA[#Data],4,FALSE)</f>
        <v>#REF!</v>
      </c>
      <c r="W1606" t="e">
        <f>VLOOKUP(U1606,[1]!NOMINA[#Data],5,FALSE)</f>
        <v>#REF!</v>
      </c>
    </row>
    <row r="1607" spans="1:23" x14ac:dyDescent="0.25">
      <c r="A1607" s="42">
        <v>45729</v>
      </c>
      <c r="B1607" s="1">
        <v>319720737</v>
      </c>
      <c r="C1607" t="s">
        <v>3104</v>
      </c>
      <c r="D1607" s="22">
        <v>-61.65</v>
      </c>
      <c r="E1607" t="s">
        <v>35</v>
      </c>
      <c r="F1607" s="2">
        <v>212901001</v>
      </c>
      <c r="G1607" s="2" t="s">
        <v>121</v>
      </c>
      <c r="L1607" s="2" t="s">
        <v>3105</v>
      </c>
      <c r="M1607" t="s">
        <v>67</v>
      </c>
      <c r="N1607" t="s">
        <v>68</v>
      </c>
      <c r="P1607" s="23">
        <v>66.25</v>
      </c>
      <c r="Q1607" s="4">
        <f t="shared" si="24"/>
        <v>-0.93056603773584901</v>
      </c>
      <c r="R1607" s="23" t="s">
        <v>109</v>
      </c>
      <c r="U1607">
        <v>16</v>
      </c>
      <c r="V1607" t="e">
        <f>VLOOKUP(Tabla3[[#This Row],[Nº]],[1]!NOMINA[#Data],4,FALSE)</f>
        <v>#REF!</v>
      </c>
      <c r="W1607" t="e">
        <f>VLOOKUP(Tabla3[[#This Row],[Nº]],[1]!NOMINA[#Data],5,FALSE)</f>
        <v>#REF!</v>
      </c>
    </row>
    <row r="1608" spans="1:23" x14ac:dyDescent="0.25">
      <c r="A1608" s="42">
        <v>45729</v>
      </c>
      <c r="B1608" s="1">
        <v>319720736</v>
      </c>
      <c r="C1608" t="s">
        <v>3106</v>
      </c>
      <c r="D1608" s="22">
        <v>-61.65</v>
      </c>
      <c r="E1608" t="s">
        <v>35</v>
      </c>
      <c r="F1608" s="2">
        <v>212901001</v>
      </c>
      <c r="G1608" s="2" t="s">
        <v>121</v>
      </c>
      <c r="L1608" s="2" t="s">
        <v>3107</v>
      </c>
      <c r="M1608" t="s">
        <v>67</v>
      </c>
      <c r="N1608" t="s">
        <v>68</v>
      </c>
      <c r="P1608" s="23">
        <v>66.25</v>
      </c>
      <c r="Q1608" s="4">
        <f t="shared" si="24"/>
        <v>-0.93056603773584901</v>
      </c>
      <c r="R1608" s="23" t="s">
        <v>109</v>
      </c>
      <c r="U1608">
        <v>37</v>
      </c>
      <c r="V1608" t="e">
        <f>VLOOKUP(Tabla3[[#This Row],[Nº]],[1]!NOMINA[#Data],4,FALSE)</f>
        <v>#REF!</v>
      </c>
      <c r="W1608" t="e">
        <f>VLOOKUP(Tabla3[[#This Row],[Nº]],[1]!NOMINA[#Data],5,FALSE)</f>
        <v>#REF!</v>
      </c>
    </row>
    <row r="1609" spans="1:23" x14ac:dyDescent="0.25">
      <c r="A1609" s="42">
        <v>45729</v>
      </c>
      <c r="B1609" s="1">
        <v>319720738</v>
      </c>
      <c r="C1609" t="s">
        <v>3108</v>
      </c>
      <c r="D1609" s="22">
        <v>-61.65</v>
      </c>
      <c r="E1609" t="s">
        <v>35</v>
      </c>
      <c r="F1609" s="2">
        <v>212901001</v>
      </c>
      <c r="G1609" s="2" t="s">
        <v>121</v>
      </c>
      <c r="L1609" s="2" t="s">
        <v>3109</v>
      </c>
      <c r="M1609" t="s">
        <v>67</v>
      </c>
      <c r="N1609" t="s">
        <v>68</v>
      </c>
      <c r="P1609" s="23">
        <v>66.25</v>
      </c>
      <c r="Q1609" s="4">
        <f t="shared" si="24"/>
        <v>-0.93056603773584901</v>
      </c>
      <c r="R1609" s="23" t="s">
        <v>109</v>
      </c>
      <c r="U1609">
        <v>7</v>
      </c>
      <c r="V1609" t="e">
        <f>VLOOKUP(U1609,[1]!NOMINA[#Data],4,FALSE)</f>
        <v>#REF!</v>
      </c>
      <c r="W1609" t="e">
        <f>VLOOKUP(U1609,[1]!NOMINA[#Data],5,FALSE)</f>
        <v>#REF!</v>
      </c>
    </row>
    <row r="1610" spans="1:23" x14ac:dyDescent="0.25">
      <c r="A1610" s="42">
        <v>45729</v>
      </c>
      <c r="B1610" s="1">
        <v>319720739</v>
      </c>
      <c r="C1610" t="s">
        <v>3110</v>
      </c>
      <c r="D1610" s="22">
        <v>-61.65</v>
      </c>
      <c r="E1610" t="s">
        <v>35</v>
      </c>
      <c r="F1610" s="2">
        <v>212901001</v>
      </c>
      <c r="G1610" s="2" t="s">
        <v>121</v>
      </c>
      <c r="L1610" s="2" t="s">
        <v>3111</v>
      </c>
      <c r="M1610" t="s">
        <v>67</v>
      </c>
      <c r="N1610" t="s">
        <v>68</v>
      </c>
      <c r="P1610" s="23">
        <v>66.25</v>
      </c>
      <c r="Q1610" s="4">
        <f t="shared" si="24"/>
        <v>-0.93056603773584901</v>
      </c>
      <c r="R1610" s="23" t="s">
        <v>109</v>
      </c>
      <c r="U1610">
        <v>1</v>
      </c>
      <c r="V1610" t="e">
        <f>VLOOKUP(U1610,[1]!NOMINA[#Data],4,FALSE)</f>
        <v>#REF!</v>
      </c>
      <c r="W1610" t="e">
        <f>VLOOKUP(U1610,[1]!NOMINA[#Data],5,FALSE)</f>
        <v>#REF!</v>
      </c>
    </row>
    <row r="1611" spans="1:23" x14ac:dyDescent="0.25">
      <c r="A1611" s="42">
        <v>45729</v>
      </c>
      <c r="B1611" s="1">
        <v>50367051</v>
      </c>
      <c r="C1611" t="s">
        <v>3112</v>
      </c>
      <c r="D1611" s="22">
        <v>-8200.43</v>
      </c>
      <c r="E1611" t="s">
        <v>35</v>
      </c>
      <c r="F1611" s="2">
        <v>212901001</v>
      </c>
      <c r="G1611" s="2" t="s">
        <v>121</v>
      </c>
      <c r="L1611" s="2" t="s">
        <v>3113</v>
      </c>
      <c r="M1611" t="s">
        <v>67</v>
      </c>
      <c r="N1611" t="s">
        <v>68</v>
      </c>
      <c r="P1611" s="23">
        <v>66.25</v>
      </c>
      <c r="Q1611" s="4">
        <f t="shared" ref="Q1611:Q1674" si="25">D1611/P1611</f>
        <v>-123.78007547169811</v>
      </c>
      <c r="R1611" s="23" t="s">
        <v>109</v>
      </c>
      <c r="U1611">
        <v>40</v>
      </c>
      <c r="V1611" t="e">
        <f>VLOOKUP(U1611,[1]!NOMINA[#Data],4,FALSE)</f>
        <v>#REF!</v>
      </c>
      <c r="W1611" t="e">
        <f>VLOOKUP(U1611,[1]!NOMINA[#Data],5,FALSE)</f>
        <v>#REF!</v>
      </c>
    </row>
    <row r="1612" spans="1:23" x14ac:dyDescent="0.25">
      <c r="A1612" s="42">
        <v>45729</v>
      </c>
      <c r="B1612" s="1">
        <v>50367051</v>
      </c>
      <c r="C1612" t="s">
        <v>296</v>
      </c>
      <c r="D1612" s="22">
        <v>-12.3</v>
      </c>
      <c r="E1612" t="s">
        <v>35</v>
      </c>
      <c r="F1612" s="2">
        <v>610148001</v>
      </c>
      <c r="G1612" s="2" t="s">
        <v>42</v>
      </c>
      <c r="L1612" s="2" t="s">
        <v>3114</v>
      </c>
      <c r="M1612" t="s">
        <v>43</v>
      </c>
      <c r="N1612" t="s">
        <v>42</v>
      </c>
      <c r="P1612" s="23">
        <v>66.25</v>
      </c>
      <c r="Q1612" s="4">
        <f t="shared" si="25"/>
        <v>-0.18566037735849059</v>
      </c>
      <c r="R1612" s="23" t="s">
        <v>109</v>
      </c>
      <c r="T1612" s="23" t="s">
        <v>2658</v>
      </c>
    </row>
    <row r="1613" spans="1:23" x14ac:dyDescent="0.25">
      <c r="A1613" s="42">
        <v>45729</v>
      </c>
      <c r="B1613" s="1">
        <v>50367051</v>
      </c>
      <c r="C1613" t="s">
        <v>118</v>
      </c>
      <c r="D1613" s="22">
        <v>-612.22</v>
      </c>
      <c r="E1613" t="s">
        <v>35</v>
      </c>
      <c r="F1613" s="2">
        <v>610148001</v>
      </c>
      <c r="G1613" s="2" t="s">
        <v>42</v>
      </c>
      <c r="L1613" s="2" t="s">
        <v>3115</v>
      </c>
      <c r="M1613" t="s">
        <v>43</v>
      </c>
      <c r="N1613" t="s">
        <v>42</v>
      </c>
      <c r="P1613" s="23">
        <v>66.25</v>
      </c>
      <c r="Q1613" s="4">
        <f t="shared" si="25"/>
        <v>-9.2410566037735862</v>
      </c>
      <c r="R1613" s="23" t="s">
        <v>109</v>
      </c>
      <c r="T1613" s="23" t="s">
        <v>2658</v>
      </c>
    </row>
    <row r="1614" spans="1:23" x14ac:dyDescent="0.25">
      <c r="A1614" s="42">
        <v>45729</v>
      </c>
      <c r="B1614" s="1">
        <v>155113484</v>
      </c>
      <c r="C1614" t="s">
        <v>107</v>
      </c>
      <c r="D1614" s="22">
        <v>20000</v>
      </c>
      <c r="E1614" t="s">
        <v>46</v>
      </c>
      <c r="F1614" s="2">
        <v>210115002</v>
      </c>
      <c r="G1614" s="2" t="s">
        <v>47</v>
      </c>
      <c r="L1614" s="2" t="s">
        <v>3116</v>
      </c>
      <c r="N1614" t="s">
        <v>107</v>
      </c>
      <c r="P1614" s="23">
        <v>66.25</v>
      </c>
      <c r="Q1614" s="4">
        <f t="shared" si="25"/>
        <v>301.88679245283021</v>
      </c>
      <c r="R1614" s="23" t="s">
        <v>109</v>
      </c>
    </row>
    <row r="1615" spans="1:23" x14ac:dyDescent="0.25">
      <c r="A1615" s="42">
        <v>45729</v>
      </c>
      <c r="B1615" s="1">
        <v>819721420</v>
      </c>
      <c r="C1615" t="s">
        <v>3117</v>
      </c>
      <c r="D1615" s="22">
        <v>-6032</v>
      </c>
      <c r="E1615" t="s">
        <v>35</v>
      </c>
      <c r="F1615" s="2">
        <v>210101001</v>
      </c>
      <c r="G1615" s="2" t="s">
        <v>36</v>
      </c>
      <c r="L1615" s="2" t="s">
        <v>3118</v>
      </c>
      <c r="M1615" s="49" t="s">
        <v>1239</v>
      </c>
      <c r="N1615" t="s">
        <v>1240</v>
      </c>
      <c r="P1615" s="23">
        <v>66.25</v>
      </c>
      <c r="Q1615" s="4">
        <f t="shared" si="25"/>
        <v>-91.049056603773579</v>
      </c>
      <c r="R1615" s="23" t="s">
        <v>109</v>
      </c>
    </row>
    <row r="1616" spans="1:23" x14ac:dyDescent="0.25">
      <c r="A1616" s="42">
        <v>45729</v>
      </c>
      <c r="B1616" s="1">
        <v>819721420</v>
      </c>
      <c r="C1616" t="s">
        <v>306</v>
      </c>
      <c r="D1616" s="22">
        <v>-18.100000000000001</v>
      </c>
      <c r="E1616" t="s">
        <v>35</v>
      </c>
      <c r="F1616" s="2">
        <v>610148001</v>
      </c>
      <c r="G1616" s="2" t="s">
        <v>42</v>
      </c>
      <c r="L1616" s="2" t="s">
        <v>3119</v>
      </c>
      <c r="M1616" t="s">
        <v>43</v>
      </c>
      <c r="N1616" t="s">
        <v>42</v>
      </c>
      <c r="P1616" s="23">
        <v>66.25</v>
      </c>
      <c r="Q1616" s="4">
        <f t="shared" si="25"/>
        <v>-0.27320754716981133</v>
      </c>
      <c r="R1616" s="23" t="s">
        <v>109</v>
      </c>
      <c r="T1616" s="23" t="s">
        <v>2658</v>
      </c>
    </row>
    <row r="1617" spans="1:20" x14ac:dyDescent="0.25">
      <c r="A1617" s="42">
        <v>45729</v>
      </c>
      <c r="B1617" s="1">
        <v>419721465</v>
      </c>
      <c r="C1617" t="s">
        <v>3120</v>
      </c>
      <c r="D1617" s="22">
        <v>-11528.24</v>
      </c>
      <c r="E1617" t="s">
        <v>35</v>
      </c>
      <c r="F1617" s="2">
        <v>210101001</v>
      </c>
      <c r="G1617" s="2" t="s">
        <v>36</v>
      </c>
      <c r="L1617" s="2" t="s">
        <v>3121</v>
      </c>
      <c r="M1617" t="s">
        <v>2028</v>
      </c>
      <c r="N1617" t="s">
        <v>2029</v>
      </c>
      <c r="P1617" s="23">
        <v>66.25</v>
      </c>
      <c r="Q1617" s="4">
        <f t="shared" si="25"/>
        <v>-174.01116981132074</v>
      </c>
      <c r="R1617" s="23" t="s">
        <v>109</v>
      </c>
    </row>
    <row r="1618" spans="1:20" x14ac:dyDescent="0.25">
      <c r="A1618" s="42">
        <v>45729</v>
      </c>
      <c r="B1618" s="1">
        <v>419721465</v>
      </c>
      <c r="C1618" t="s">
        <v>306</v>
      </c>
      <c r="D1618" s="22">
        <v>-34.58</v>
      </c>
      <c r="E1618" t="s">
        <v>35</v>
      </c>
      <c r="F1618" s="2">
        <v>610148001</v>
      </c>
      <c r="G1618" s="2" t="s">
        <v>42</v>
      </c>
      <c r="L1618" s="2" t="s">
        <v>3122</v>
      </c>
      <c r="M1618" t="s">
        <v>43</v>
      </c>
      <c r="N1618" t="s">
        <v>42</v>
      </c>
      <c r="P1618" s="23">
        <v>66.25</v>
      </c>
      <c r="Q1618" s="4">
        <f t="shared" si="25"/>
        <v>-0.52196226415094338</v>
      </c>
      <c r="R1618" s="23" t="s">
        <v>109</v>
      </c>
      <c r="T1618" s="23" t="s">
        <v>2658</v>
      </c>
    </row>
    <row r="1619" spans="1:20" x14ac:dyDescent="0.25">
      <c r="A1619" s="42">
        <v>45730</v>
      </c>
      <c r="B1619" s="1">
        <v>819740206</v>
      </c>
      <c r="C1619" t="s">
        <v>3123</v>
      </c>
      <c r="D1619" s="22">
        <v>-1884.3</v>
      </c>
      <c r="E1619" t="s">
        <v>35</v>
      </c>
      <c r="F1619" s="2">
        <v>210101001</v>
      </c>
      <c r="G1619" s="2" t="s">
        <v>36</v>
      </c>
      <c r="L1619" s="2" t="s">
        <v>3124</v>
      </c>
      <c r="M1619" t="s">
        <v>976</v>
      </c>
      <c r="N1619" t="s">
        <v>977</v>
      </c>
      <c r="P1619" s="23">
        <v>66.44</v>
      </c>
      <c r="Q1619" s="4">
        <f t="shared" si="25"/>
        <v>-28.360927152317881</v>
      </c>
      <c r="R1619" s="23" t="s">
        <v>109</v>
      </c>
    </row>
    <row r="1620" spans="1:20" x14ac:dyDescent="0.25">
      <c r="A1620" s="42">
        <v>45730</v>
      </c>
      <c r="B1620" s="1">
        <v>819740206</v>
      </c>
      <c r="C1620" t="s">
        <v>306</v>
      </c>
      <c r="D1620" s="22">
        <v>-5.65</v>
      </c>
      <c r="E1620" t="s">
        <v>35</v>
      </c>
      <c r="F1620" s="2">
        <v>610148001</v>
      </c>
      <c r="G1620" s="2" t="s">
        <v>42</v>
      </c>
      <c r="L1620" s="2" t="s">
        <v>3125</v>
      </c>
      <c r="M1620" t="s">
        <v>43</v>
      </c>
      <c r="N1620" t="s">
        <v>42</v>
      </c>
      <c r="P1620" s="23">
        <v>66.44</v>
      </c>
      <c r="Q1620" s="4">
        <f t="shared" si="25"/>
        <v>-8.5039133052378091E-2</v>
      </c>
      <c r="R1620" s="23" t="s">
        <v>109</v>
      </c>
      <c r="T1620" s="23" t="s">
        <v>2658</v>
      </c>
    </row>
    <row r="1621" spans="1:20" x14ac:dyDescent="0.25">
      <c r="A1621" s="42">
        <v>45733</v>
      </c>
      <c r="B1621" s="1">
        <v>167662676</v>
      </c>
      <c r="C1621" t="s">
        <v>544</v>
      </c>
      <c r="D1621" s="22">
        <v>150000</v>
      </c>
      <c r="E1621" t="s">
        <v>46</v>
      </c>
      <c r="F1621" s="2">
        <v>210115002</v>
      </c>
      <c r="G1621" s="2" t="s">
        <v>47</v>
      </c>
      <c r="L1621" s="2" t="s">
        <v>3126</v>
      </c>
      <c r="N1621" t="s">
        <v>544</v>
      </c>
      <c r="P1621" s="23">
        <v>66.56</v>
      </c>
      <c r="Q1621" s="4">
        <f t="shared" si="25"/>
        <v>2253.6057692307691</v>
      </c>
      <c r="R1621" s="23" t="s">
        <v>109</v>
      </c>
    </row>
    <row r="1622" spans="1:20" x14ac:dyDescent="0.25">
      <c r="A1622" s="42">
        <v>45733</v>
      </c>
      <c r="B1622" s="1">
        <v>267662657</v>
      </c>
      <c r="C1622" t="s">
        <v>544</v>
      </c>
      <c r="D1622" s="22">
        <v>200000</v>
      </c>
      <c r="E1622" t="s">
        <v>46</v>
      </c>
      <c r="F1622" s="2">
        <v>210115002</v>
      </c>
      <c r="G1622" s="2" t="s">
        <v>47</v>
      </c>
      <c r="L1622" s="2" t="s">
        <v>3127</v>
      </c>
      <c r="N1622" t="s">
        <v>544</v>
      </c>
      <c r="P1622" s="23">
        <v>66.56</v>
      </c>
      <c r="Q1622" s="4">
        <f t="shared" si="25"/>
        <v>3004.8076923076924</v>
      </c>
      <c r="R1622" s="23" t="s">
        <v>109</v>
      </c>
    </row>
    <row r="1623" spans="1:20" x14ac:dyDescent="0.25">
      <c r="A1623" s="42">
        <v>45733</v>
      </c>
      <c r="B1623" s="1">
        <v>619974166</v>
      </c>
      <c r="C1623" t="s">
        <v>3128</v>
      </c>
      <c r="D1623" s="22">
        <v>-7587.84</v>
      </c>
      <c r="E1623" t="s">
        <v>35</v>
      </c>
      <c r="F1623" s="2">
        <v>210101001</v>
      </c>
      <c r="G1623" s="2" t="s">
        <v>36</v>
      </c>
      <c r="L1623" s="2" t="s">
        <v>3129</v>
      </c>
      <c r="M1623" t="s">
        <v>2028</v>
      </c>
      <c r="N1623" t="s">
        <v>2029</v>
      </c>
      <c r="P1623" s="23">
        <v>66.56</v>
      </c>
      <c r="Q1623" s="4">
        <f t="shared" si="25"/>
        <v>-114</v>
      </c>
      <c r="R1623" s="23" t="s">
        <v>109</v>
      </c>
    </row>
    <row r="1624" spans="1:20" x14ac:dyDescent="0.25">
      <c r="A1624" s="42">
        <v>45733</v>
      </c>
      <c r="B1624" s="1">
        <v>619974165</v>
      </c>
      <c r="C1624" t="s">
        <v>3130</v>
      </c>
      <c r="D1624" s="22">
        <v>-200000</v>
      </c>
      <c r="E1624" t="s">
        <v>35</v>
      </c>
      <c r="F1624" s="2">
        <v>110114001</v>
      </c>
      <c r="G1624" s="2" t="s">
        <v>301</v>
      </c>
      <c r="L1624" s="2" t="s">
        <v>3131</v>
      </c>
      <c r="M1624" t="s">
        <v>38</v>
      </c>
      <c r="N1624" t="s">
        <v>39</v>
      </c>
      <c r="P1624" s="23">
        <v>66.56</v>
      </c>
      <c r="Q1624" s="4">
        <f t="shared" si="25"/>
        <v>-3004.8076923076924</v>
      </c>
      <c r="R1624" s="23" t="s">
        <v>109</v>
      </c>
      <c r="S1624" s="33" t="s">
        <v>2726</v>
      </c>
    </row>
    <row r="1625" spans="1:20" x14ac:dyDescent="0.25">
      <c r="A1625" s="42">
        <v>45733</v>
      </c>
      <c r="B1625" s="1">
        <v>619974164</v>
      </c>
      <c r="C1625" t="s">
        <v>3130</v>
      </c>
      <c r="D1625" s="22">
        <v>-99520</v>
      </c>
      <c r="E1625" t="s">
        <v>35</v>
      </c>
      <c r="F1625" s="2">
        <v>110114001</v>
      </c>
      <c r="G1625" s="2" t="s">
        <v>301</v>
      </c>
      <c r="L1625" s="2" t="s">
        <v>3132</v>
      </c>
      <c r="M1625" t="s">
        <v>38</v>
      </c>
      <c r="N1625" t="s">
        <v>39</v>
      </c>
      <c r="P1625" s="23">
        <v>66.56</v>
      </c>
      <c r="Q1625" s="4">
        <f t="shared" si="25"/>
        <v>-1495.1923076923076</v>
      </c>
      <c r="R1625" s="23" t="s">
        <v>109</v>
      </c>
      <c r="S1625" s="33" t="s">
        <v>2726</v>
      </c>
    </row>
    <row r="1626" spans="1:20" x14ac:dyDescent="0.25">
      <c r="A1626" s="42">
        <v>45733</v>
      </c>
      <c r="B1626" s="1">
        <v>619974169</v>
      </c>
      <c r="C1626" t="s">
        <v>3133</v>
      </c>
      <c r="D1626" s="22">
        <v>-2812.63</v>
      </c>
      <c r="E1626" t="s">
        <v>35</v>
      </c>
      <c r="F1626" s="2">
        <v>210101001</v>
      </c>
      <c r="G1626" s="2" t="s">
        <v>36</v>
      </c>
      <c r="L1626" s="2" t="s">
        <v>3134</v>
      </c>
      <c r="M1626" t="s">
        <v>2028</v>
      </c>
      <c r="N1626" t="s">
        <v>2029</v>
      </c>
      <c r="P1626" s="23">
        <v>66.56</v>
      </c>
      <c r="Q1626" s="4">
        <f t="shared" si="25"/>
        <v>-42.25706129807692</v>
      </c>
      <c r="R1626" s="23" t="s">
        <v>109</v>
      </c>
    </row>
    <row r="1627" spans="1:20" x14ac:dyDescent="0.25">
      <c r="A1627" s="42">
        <v>45733</v>
      </c>
      <c r="B1627" s="1">
        <v>619974168</v>
      </c>
      <c r="C1627" t="s">
        <v>3135</v>
      </c>
      <c r="D1627" s="22">
        <v>-2265.75</v>
      </c>
      <c r="E1627" t="s">
        <v>35</v>
      </c>
      <c r="F1627" s="2">
        <v>110114001</v>
      </c>
      <c r="G1627" s="2" t="s">
        <v>301</v>
      </c>
      <c r="L1627" s="2" t="s">
        <v>3136</v>
      </c>
      <c r="M1627" t="s">
        <v>521</v>
      </c>
      <c r="N1627" t="s">
        <v>1867</v>
      </c>
      <c r="P1627" s="23">
        <v>66.56</v>
      </c>
      <c r="Q1627" s="4">
        <f t="shared" si="25"/>
        <v>-34.040715144230766</v>
      </c>
      <c r="R1627" s="23" t="s">
        <v>109</v>
      </c>
      <c r="S1627" s="33" t="s">
        <v>2726</v>
      </c>
    </row>
    <row r="1628" spans="1:20" x14ac:dyDescent="0.25">
      <c r="A1628" s="42">
        <v>45733</v>
      </c>
      <c r="B1628" s="1">
        <v>50371824</v>
      </c>
      <c r="C1628" t="s">
        <v>118</v>
      </c>
      <c r="D1628" s="22">
        <v>-780.46</v>
      </c>
      <c r="E1628" t="s">
        <v>35</v>
      </c>
      <c r="F1628" s="2">
        <v>610148001</v>
      </c>
      <c r="G1628" s="2" t="s">
        <v>42</v>
      </c>
      <c r="L1628" s="2" t="s">
        <v>3137</v>
      </c>
      <c r="M1628" t="s">
        <v>43</v>
      </c>
      <c r="N1628" t="s">
        <v>42</v>
      </c>
      <c r="P1628" s="23">
        <v>66.56</v>
      </c>
      <c r="Q1628" s="4">
        <f t="shared" si="25"/>
        <v>-11.725661057692308</v>
      </c>
      <c r="R1628" s="23" t="s">
        <v>109</v>
      </c>
      <c r="T1628" s="23" t="s">
        <v>2658</v>
      </c>
    </row>
    <row r="1629" spans="1:20" x14ac:dyDescent="0.25">
      <c r="A1629" s="42">
        <v>45734</v>
      </c>
      <c r="B1629" s="1">
        <v>10017488</v>
      </c>
      <c r="C1629" t="s">
        <v>3138</v>
      </c>
      <c r="D1629" s="22">
        <v>-862.49</v>
      </c>
      <c r="E1629" t="s">
        <v>35</v>
      </c>
      <c r="F1629" s="2">
        <v>210101001</v>
      </c>
      <c r="G1629" s="2" t="s">
        <v>36</v>
      </c>
      <c r="L1629" s="2" t="s">
        <v>3139</v>
      </c>
      <c r="M1629" t="s">
        <v>303</v>
      </c>
      <c r="N1629" t="s">
        <v>304</v>
      </c>
      <c r="P1629" s="23">
        <v>66.790000000000006</v>
      </c>
      <c r="Q1629" s="4">
        <f t="shared" si="25"/>
        <v>-12.913460098817188</v>
      </c>
      <c r="R1629" s="23" t="s">
        <v>109</v>
      </c>
    </row>
    <row r="1630" spans="1:20" x14ac:dyDescent="0.25">
      <c r="A1630" s="42">
        <v>45734</v>
      </c>
      <c r="B1630" s="1">
        <v>10017488</v>
      </c>
      <c r="C1630" t="s">
        <v>306</v>
      </c>
      <c r="D1630" s="22">
        <v>-2.59</v>
      </c>
      <c r="E1630" t="s">
        <v>35</v>
      </c>
      <c r="F1630" s="2">
        <v>610148001</v>
      </c>
      <c r="G1630" s="2" t="s">
        <v>42</v>
      </c>
      <c r="L1630" s="2" t="s">
        <v>3140</v>
      </c>
      <c r="M1630" t="s">
        <v>43</v>
      </c>
      <c r="N1630" t="s">
        <v>42</v>
      </c>
      <c r="P1630" s="23">
        <v>66.790000000000006</v>
      </c>
      <c r="Q1630" s="4">
        <f t="shared" si="25"/>
        <v>-3.8778260218595595E-2</v>
      </c>
      <c r="R1630" s="23" t="s">
        <v>109</v>
      </c>
      <c r="T1630" s="23" t="s">
        <v>2658</v>
      </c>
    </row>
    <row r="1631" spans="1:20" x14ac:dyDescent="0.25">
      <c r="A1631" s="42">
        <v>45736</v>
      </c>
      <c r="B1631" s="1">
        <v>69142969</v>
      </c>
      <c r="C1631" t="s">
        <v>544</v>
      </c>
      <c r="D1631" s="22">
        <v>110000</v>
      </c>
      <c r="E1631" t="s">
        <v>46</v>
      </c>
      <c r="F1631" s="2">
        <v>210115002</v>
      </c>
      <c r="G1631" s="2" t="s">
        <v>47</v>
      </c>
      <c r="L1631" s="2" t="s">
        <v>3141</v>
      </c>
      <c r="N1631" t="s">
        <v>544</v>
      </c>
      <c r="P1631" s="23">
        <v>67.63</v>
      </c>
      <c r="Q1631" s="4">
        <f t="shared" si="25"/>
        <v>1626.4971166642024</v>
      </c>
      <c r="R1631" s="23" t="s">
        <v>109</v>
      </c>
    </row>
    <row r="1632" spans="1:20" x14ac:dyDescent="0.25">
      <c r="A1632" s="42">
        <v>45736</v>
      </c>
      <c r="B1632" s="1">
        <v>141600854</v>
      </c>
      <c r="C1632" t="s">
        <v>107</v>
      </c>
      <c r="D1632" s="22">
        <v>100000</v>
      </c>
      <c r="E1632" t="s">
        <v>46</v>
      </c>
      <c r="F1632" s="2">
        <v>210115002</v>
      </c>
      <c r="G1632" s="2" t="s">
        <v>47</v>
      </c>
      <c r="L1632" s="2" t="s">
        <v>3142</v>
      </c>
      <c r="N1632" t="s">
        <v>107</v>
      </c>
      <c r="P1632" s="23">
        <v>67.63</v>
      </c>
      <c r="Q1632" s="4">
        <f t="shared" si="25"/>
        <v>1478.6337424220021</v>
      </c>
      <c r="R1632" s="23" t="s">
        <v>109</v>
      </c>
    </row>
    <row r="1633" spans="1:20" x14ac:dyDescent="0.25">
      <c r="A1633" s="42">
        <v>45736</v>
      </c>
      <c r="B1633" s="1">
        <v>510074060</v>
      </c>
      <c r="C1633" t="s">
        <v>3143</v>
      </c>
      <c r="D1633" s="22">
        <v>-38843.94</v>
      </c>
      <c r="E1633" t="s">
        <v>35</v>
      </c>
      <c r="F1633" s="2">
        <v>110114001</v>
      </c>
      <c r="G1633" s="2" t="s">
        <v>301</v>
      </c>
      <c r="L1633" s="2" t="s">
        <v>3144</v>
      </c>
      <c r="M1633" t="s">
        <v>788</v>
      </c>
      <c r="N1633" t="s">
        <v>789</v>
      </c>
      <c r="P1633" s="23">
        <v>67.63</v>
      </c>
      <c r="Q1633" s="4">
        <f t="shared" si="25"/>
        <v>-574.35960372615705</v>
      </c>
      <c r="R1633" s="23" t="s">
        <v>109</v>
      </c>
      <c r="S1633" s="33" t="s">
        <v>2726</v>
      </c>
    </row>
    <row r="1634" spans="1:20" x14ac:dyDescent="0.25">
      <c r="A1634" s="42">
        <v>45736</v>
      </c>
      <c r="B1634" s="1">
        <v>510074059</v>
      </c>
      <c r="C1634" t="s">
        <v>3145</v>
      </c>
      <c r="D1634" s="22">
        <v>-64739.9</v>
      </c>
      <c r="E1634" t="s">
        <v>35</v>
      </c>
      <c r="F1634" s="2">
        <v>110114001</v>
      </c>
      <c r="G1634" s="2" t="s">
        <v>301</v>
      </c>
      <c r="L1634" s="2" t="s">
        <v>3146</v>
      </c>
      <c r="M1634" t="s">
        <v>1866</v>
      </c>
      <c r="N1634" t="s">
        <v>1867</v>
      </c>
      <c r="P1634" s="23">
        <v>67.63</v>
      </c>
      <c r="Q1634" s="4">
        <f t="shared" si="25"/>
        <v>-957.26600621026182</v>
      </c>
      <c r="R1634" s="23" t="s">
        <v>109</v>
      </c>
      <c r="S1634" s="33" t="s">
        <v>3147</v>
      </c>
    </row>
    <row r="1635" spans="1:20" x14ac:dyDescent="0.25">
      <c r="A1635" s="42">
        <v>45736</v>
      </c>
      <c r="B1635" s="1">
        <v>50327894</v>
      </c>
      <c r="C1635" t="s">
        <v>118</v>
      </c>
      <c r="D1635" s="22">
        <v>-258.95</v>
      </c>
      <c r="E1635" t="s">
        <v>35</v>
      </c>
      <c r="F1635" s="2">
        <v>610148001</v>
      </c>
      <c r="G1635" s="2" t="s">
        <v>42</v>
      </c>
      <c r="L1635" s="2" t="s">
        <v>3148</v>
      </c>
      <c r="M1635" t="s">
        <v>43</v>
      </c>
      <c r="N1635" t="s">
        <v>42</v>
      </c>
      <c r="P1635" s="23">
        <v>67.63</v>
      </c>
      <c r="Q1635" s="4">
        <f t="shared" si="25"/>
        <v>-3.8289220760017746</v>
      </c>
      <c r="R1635" s="23" t="s">
        <v>109</v>
      </c>
      <c r="T1635" s="23" t="s">
        <v>2658</v>
      </c>
    </row>
    <row r="1636" spans="1:20" x14ac:dyDescent="0.25">
      <c r="A1636" s="42">
        <v>45736</v>
      </c>
      <c r="B1636" s="1">
        <v>410116379</v>
      </c>
      <c r="C1636" t="s">
        <v>3149</v>
      </c>
      <c r="D1636" s="22">
        <v>-2553.58</v>
      </c>
      <c r="E1636" t="s">
        <v>35</v>
      </c>
      <c r="F1636" s="2">
        <v>210101001</v>
      </c>
      <c r="G1636" s="2" t="s">
        <v>36</v>
      </c>
      <c r="L1636" s="2" t="s">
        <v>3150</v>
      </c>
      <c r="M1636" t="s">
        <v>1600</v>
      </c>
      <c r="N1636" t="s">
        <v>1601</v>
      </c>
      <c r="P1636" s="23">
        <v>67.63</v>
      </c>
      <c r="Q1636" s="4">
        <f t="shared" si="25"/>
        <v>-37.758095519739761</v>
      </c>
      <c r="R1636" s="23" t="s">
        <v>109</v>
      </c>
    </row>
    <row r="1637" spans="1:20" x14ac:dyDescent="0.25">
      <c r="A1637" s="42">
        <v>45736</v>
      </c>
      <c r="B1637" s="1">
        <v>410116378</v>
      </c>
      <c r="C1637" t="s">
        <v>3151</v>
      </c>
      <c r="D1637" s="22">
        <v>-90894.720000000001</v>
      </c>
      <c r="E1637" t="s">
        <v>35</v>
      </c>
      <c r="F1637" s="2">
        <v>210101001</v>
      </c>
      <c r="G1637" s="2" t="s">
        <v>36</v>
      </c>
      <c r="L1637" s="2" t="s">
        <v>3152</v>
      </c>
      <c r="M1637" t="s">
        <v>38</v>
      </c>
      <c r="N1637" t="s">
        <v>39</v>
      </c>
      <c r="P1637" s="23">
        <v>67.63</v>
      </c>
      <c r="Q1637" s="4">
        <f t="shared" si="25"/>
        <v>-1344</v>
      </c>
      <c r="R1637" s="23" t="s">
        <v>109</v>
      </c>
    </row>
    <row r="1638" spans="1:20" x14ac:dyDescent="0.25">
      <c r="A1638" s="42">
        <v>45736</v>
      </c>
      <c r="B1638" s="1">
        <v>410116380</v>
      </c>
      <c r="C1638" t="s">
        <v>3153</v>
      </c>
      <c r="D1638" s="22">
        <v>-27228.58</v>
      </c>
      <c r="E1638" t="s">
        <v>35</v>
      </c>
      <c r="F1638" s="2">
        <v>210101001</v>
      </c>
      <c r="G1638" s="2" t="s">
        <v>36</v>
      </c>
      <c r="L1638" s="2" t="s">
        <v>3154</v>
      </c>
      <c r="M1638" t="s">
        <v>751</v>
      </c>
      <c r="N1638" t="s">
        <v>752</v>
      </c>
      <c r="P1638" s="23">
        <v>67.63</v>
      </c>
      <c r="Q1638" s="4">
        <f t="shared" si="25"/>
        <v>-402.61097146236881</v>
      </c>
      <c r="R1638" s="23" t="s">
        <v>109</v>
      </c>
    </row>
    <row r="1639" spans="1:20" x14ac:dyDescent="0.25">
      <c r="A1639" s="42">
        <v>45736</v>
      </c>
      <c r="B1639" s="1">
        <v>410116381</v>
      </c>
      <c r="C1639" t="s">
        <v>3155</v>
      </c>
      <c r="D1639" s="22">
        <v>-12160.28</v>
      </c>
      <c r="E1639" t="s">
        <v>35</v>
      </c>
      <c r="F1639" s="2">
        <v>210101001</v>
      </c>
      <c r="G1639" s="2" t="s">
        <v>36</v>
      </c>
      <c r="L1639" s="2" t="s">
        <v>3156</v>
      </c>
      <c r="M1639" t="s">
        <v>303</v>
      </c>
      <c r="N1639" s="48" t="s">
        <v>304</v>
      </c>
      <c r="O1639" s="48"/>
      <c r="P1639" s="23">
        <v>67.63</v>
      </c>
      <c r="Q1639" s="4">
        <f t="shared" si="25"/>
        <v>-179.80600325299426</v>
      </c>
      <c r="R1639" s="23" t="s">
        <v>109</v>
      </c>
    </row>
    <row r="1640" spans="1:20" x14ac:dyDescent="0.25">
      <c r="A1640" s="42">
        <v>45736</v>
      </c>
      <c r="B1640" s="1">
        <v>50323902</v>
      </c>
      <c r="C1640" t="s">
        <v>118</v>
      </c>
      <c r="D1640" s="22">
        <v>-332.09</v>
      </c>
      <c r="E1640" t="s">
        <v>35</v>
      </c>
      <c r="F1640" s="2">
        <v>610148001</v>
      </c>
      <c r="G1640" s="2" t="s">
        <v>42</v>
      </c>
      <c r="L1640" s="2" t="s">
        <v>3157</v>
      </c>
      <c r="M1640" t="s">
        <v>43</v>
      </c>
      <c r="N1640" t="s">
        <v>42</v>
      </c>
      <c r="P1640" s="23">
        <v>67.63</v>
      </c>
      <c r="Q1640" s="4">
        <f t="shared" si="25"/>
        <v>-4.9103947952092266</v>
      </c>
      <c r="R1640" s="23" t="s">
        <v>109</v>
      </c>
      <c r="T1640" s="23" t="s">
        <v>2658</v>
      </c>
    </row>
    <row r="1641" spans="1:20" x14ac:dyDescent="0.25">
      <c r="A1641" s="42">
        <v>45736</v>
      </c>
      <c r="B1641" s="1">
        <v>259015090</v>
      </c>
      <c r="C1641" t="s">
        <v>3158</v>
      </c>
      <c r="D1641" s="22">
        <v>84581.96</v>
      </c>
      <c r="E1641" t="s">
        <v>46</v>
      </c>
      <c r="F1641" s="2">
        <v>110106001</v>
      </c>
      <c r="G1641" s="2" t="s">
        <v>2034</v>
      </c>
      <c r="L1641" s="2" t="s">
        <v>3159</v>
      </c>
      <c r="N1641" s="51" t="s">
        <v>3160</v>
      </c>
      <c r="O1641" s="51"/>
      <c r="P1641" s="23">
        <v>67.63</v>
      </c>
      <c r="Q1641" s="4">
        <f t="shared" si="25"/>
        <v>1250.6574005618811</v>
      </c>
      <c r="R1641" s="23" t="s">
        <v>109</v>
      </c>
    </row>
    <row r="1642" spans="1:20" x14ac:dyDescent="0.25">
      <c r="A1642" s="42">
        <v>45736</v>
      </c>
      <c r="B1642" s="1">
        <v>259015090</v>
      </c>
      <c r="C1642" t="s">
        <v>2037</v>
      </c>
      <c r="D1642" s="22">
        <v>-1268.72</v>
      </c>
      <c r="E1642" t="s">
        <v>35</v>
      </c>
      <c r="F1642" s="2">
        <v>610148001</v>
      </c>
      <c r="G1642" s="2" t="s">
        <v>42</v>
      </c>
      <c r="L1642" s="2" t="s">
        <v>3161</v>
      </c>
      <c r="M1642" t="s">
        <v>43</v>
      </c>
      <c r="N1642" t="s">
        <v>42</v>
      </c>
      <c r="P1642" s="23">
        <v>67.63</v>
      </c>
      <c r="Q1642" s="4">
        <f t="shared" si="25"/>
        <v>-18.759722016856426</v>
      </c>
      <c r="R1642" s="23" t="s">
        <v>109</v>
      </c>
      <c r="T1642" s="23" t="s">
        <v>2658</v>
      </c>
    </row>
    <row r="1643" spans="1:20" x14ac:dyDescent="0.25">
      <c r="A1643" s="42">
        <v>45736</v>
      </c>
      <c r="B1643" s="1">
        <v>341015156</v>
      </c>
      <c r="C1643" t="s">
        <v>3162</v>
      </c>
      <c r="D1643" s="22">
        <v>84581.96</v>
      </c>
      <c r="E1643" t="s">
        <v>46</v>
      </c>
      <c r="F1643" s="2">
        <v>110106001</v>
      </c>
      <c r="G1643" s="2" t="s">
        <v>2034</v>
      </c>
      <c r="L1643" s="2" t="s">
        <v>3163</v>
      </c>
      <c r="N1643" s="51" t="s">
        <v>3160</v>
      </c>
      <c r="O1643" s="51"/>
      <c r="P1643" s="23">
        <v>67.63</v>
      </c>
      <c r="Q1643" s="4">
        <f t="shared" si="25"/>
        <v>1250.6574005618811</v>
      </c>
      <c r="R1643" s="23" t="s">
        <v>109</v>
      </c>
    </row>
    <row r="1644" spans="1:20" x14ac:dyDescent="0.25">
      <c r="A1644" s="42">
        <v>45736</v>
      </c>
      <c r="B1644" s="1">
        <v>341015156</v>
      </c>
      <c r="C1644" t="s">
        <v>2037</v>
      </c>
      <c r="D1644" s="22">
        <v>-1268.72</v>
      </c>
      <c r="E1644" t="s">
        <v>35</v>
      </c>
      <c r="F1644" s="2">
        <v>610148001</v>
      </c>
      <c r="G1644" s="2" t="s">
        <v>42</v>
      </c>
      <c r="L1644" s="2" t="s">
        <v>3164</v>
      </c>
      <c r="M1644" t="s">
        <v>43</v>
      </c>
      <c r="N1644" t="s">
        <v>42</v>
      </c>
      <c r="P1644" s="23">
        <v>67.63</v>
      </c>
      <c r="Q1644" s="4">
        <f t="shared" si="25"/>
        <v>-18.759722016856426</v>
      </c>
      <c r="R1644" s="23" t="s">
        <v>109</v>
      </c>
      <c r="T1644" s="23" t="s">
        <v>2658</v>
      </c>
    </row>
    <row r="1645" spans="1:20" x14ac:dyDescent="0.25">
      <c r="A1645" s="42">
        <v>45737</v>
      </c>
      <c r="B1645" s="1">
        <v>269402727</v>
      </c>
      <c r="C1645" t="s">
        <v>544</v>
      </c>
      <c r="D1645" s="22">
        <v>199000</v>
      </c>
      <c r="E1645" t="s">
        <v>46</v>
      </c>
      <c r="F1645" s="2">
        <v>210115002</v>
      </c>
      <c r="G1645" s="2" t="s">
        <v>47</v>
      </c>
      <c r="L1645" s="2" t="s">
        <v>3165</v>
      </c>
      <c r="N1645" t="s">
        <v>544</v>
      </c>
      <c r="P1645" s="23">
        <v>67.86</v>
      </c>
      <c r="Q1645" s="4">
        <f t="shared" si="25"/>
        <v>2932.5081049218979</v>
      </c>
      <c r="R1645" s="23" t="s">
        <v>109</v>
      </c>
    </row>
    <row r="1646" spans="1:20" x14ac:dyDescent="0.25">
      <c r="A1646" s="42">
        <v>45737</v>
      </c>
      <c r="B1646" s="1">
        <v>269402758</v>
      </c>
      <c r="C1646" t="s">
        <v>544</v>
      </c>
      <c r="D1646" s="22">
        <v>16000</v>
      </c>
      <c r="E1646" t="s">
        <v>46</v>
      </c>
      <c r="F1646" s="2">
        <v>210115002</v>
      </c>
      <c r="G1646" s="2" t="s">
        <v>47</v>
      </c>
      <c r="L1646" s="2" t="s">
        <v>3166</v>
      </c>
      <c r="N1646" t="s">
        <v>544</v>
      </c>
      <c r="P1646" s="23">
        <v>67.86</v>
      </c>
      <c r="Q1646" s="4">
        <f t="shared" si="25"/>
        <v>235.77954612437372</v>
      </c>
      <c r="R1646" s="23" t="s">
        <v>109</v>
      </c>
    </row>
    <row r="1647" spans="1:20" x14ac:dyDescent="0.25">
      <c r="A1647" s="42">
        <v>45737</v>
      </c>
      <c r="B1647" s="1">
        <v>810176879</v>
      </c>
      <c r="C1647" t="s">
        <v>3167</v>
      </c>
      <c r="D1647" s="22">
        <v>-4071.6</v>
      </c>
      <c r="E1647" t="s">
        <v>35</v>
      </c>
      <c r="F1647" s="2">
        <v>212901001</v>
      </c>
      <c r="G1647" s="2" t="s">
        <v>121</v>
      </c>
      <c r="L1647" s="2" t="s">
        <v>3168</v>
      </c>
      <c r="M1647" t="s">
        <v>67</v>
      </c>
      <c r="N1647" t="s">
        <v>68</v>
      </c>
      <c r="P1647" s="23">
        <v>67.86</v>
      </c>
      <c r="Q1647" s="4">
        <f t="shared" si="25"/>
        <v>-60</v>
      </c>
      <c r="R1647" s="23" t="s">
        <v>109</v>
      </c>
    </row>
    <row r="1648" spans="1:20" x14ac:dyDescent="0.25">
      <c r="A1648" s="42">
        <v>45737</v>
      </c>
      <c r="B1648" s="1">
        <v>810176880</v>
      </c>
      <c r="C1648" t="s">
        <v>3169</v>
      </c>
      <c r="D1648" s="22">
        <v>-4071.6</v>
      </c>
      <c r="E1648" t="s">
        <v>35</v>
      </c>
      <c r="F1648" s="2">
        <v>212901001</v>
      </c>
      <c r="G1648" s="2" t="s">
        <v>121</v>
      </c>
      <c r="L1648" s="2" t="s">
        <v>3170</v>
      </c>
      <c r="M1648" t="s">
        <v>67</v>
      </c>
      <c r="N1648" t="s">
        <v>68</v>
      </c>
      <c r="P1648" s="23">
        <v>67.86</v>
      </c>
      <c r="Q1648" s="4">
        <f t="shared" si="25"/>
        <v>-60</v>
      </c>
      <c r="R1648" s="23" t="s">
        <v>109</v>
      </c>
    </row>
    <row r="1649" spans="1:18" x14ac:dyDescent="0.25">
      <c r="A1649" s="42">
        <v>45737</v>
      </c>
      <c r="B1649" s="1">
        <v>710176876</v>
      </c>
      <c r="C1649" t="s">
        <v>3171</v>
      </c>
      <c r="D1649" s="22">
        <v>-4071.6</v>
      </c>
      <c r="E1649" t="s">
        <v>35</v>
      </c>
      <c r="F1649" s="2">
        <v>212901001</v>
      </c>
      <c r="G1649" s="2" t="s">
        <v>121</v>
      </c>
      <c r="L1649" s="2" t="s">
        <v>3172</v>
      </c>
      <c r="M1649" t="s">
        <v>67</v>
      </c>
      <c r="N1649" t="s">
        <v>68</v>
      </c>
      <c r="P1649" s="23">
        <v>67.86</v>
      </c>
      <c r="Q1649" s="4">
        <f t="shared" si="25"/>
        <v>-60</v>
      </c>
      <c r="R1649" s="23" t="s">
        <v>109</v>
      </c>
    </row>
    <row r="1650" spans="1:18" x14ac:dyDescent="0.25">
      <c r="A1650" s="42">
        <v>45737</v>
      </c>
      <c r="B1650" s="1">
        <v>810176877</v>
      </c>
      <c r="C1650" t="s">
        <v>3173</v>
      </c>
      <c r="D1650" s="22">
        <v>-4071.6</v>
      </c>
      <c r="E1650" t="s">
        <v>35</v>
      </c>
      <c r="F1650" s="2">
        <v>212901001</v>
      </c>
      <c r="G1650" s="2" t="s">
        <v>121</v>
      </c>
      <c r="L1650" s="2" t="s">
        <v>3174</v>
      </c>
      <c r="M1650" t="s">
        <v>67</v>
      </c>
      <c r="N1650" t="s">
        <v>68</v>
      </c>
      <c r="P1650" s="23">
        <v>67.86</v>
      </c>
      <c r="Q1650" s="4">
        <f t="shared" si="25"/>
        <v>-60</v>
      </c>
      <c r="R1650" s="23" t="s">
        <v>109</v>
      </c>
    </row>
    <row r="1651" spans="1:18" x14ac:dyDescent="0.25">
      <c r="A1651" s="42">
        <v>45737</v>
      </c>
      <c r="B1651" s="1">
        <v>810176878</v>
      </c>
      <c r="C1651" t="s">
        <v>3175</v>
      </c>
      <c r="D1651" s="22">
        <v>-4071.6</v>
      </c>
      <c r="E1651" t="s">
        <v>35</v>
      </c>
      <c r="F1651" s="2">
        <v>212901001</v>
      </c>
      <c r="G1651" s="2" t="s">
        <v>121</v>
      </c>
      <c r="L1651" s="2" t="s">
        <v>3176</v>
      </c>
      <c r="M1651" t="s">
        <v>67</v>
      </c>
      <c r="N1651" t="s">
        <v>68</v>
      </c>
      <c r="P1651" s="23">
        <v>67.86</v>
      </c>
      <c r="Q1651" s="4">
        <f t="shared" si="25"/>
        <v>-60</v>
      </c>
      <c r="R1651" s="23" t="s">
        <v>109</v>
      </c>
    </row>
    <row r="1652" spans="1:18" x14ac:dyDescent="0.25">
      <c r="A1652" s="42">
        <v>45737</v>
      </c>
      <c r="B1652" s="1">
        <v>810176883</v>
      </c>
      <c r="C1652" t="s">
        <v>3177</v>
      </c>
      <c r="D1652" s="22">
        <v>-4071.6</v>
      </c>
      <c r="E1652" t="s">
        <v>35</v>
      </c>
      <c r="F1652" s="2">
        <v>212901001</v>
      </c>
      <c r="G1652" s="2" t="s">
        <v>121</v>
      </c>
      <c r="L1652" s="2" t="s">
        <v>3178</v>
      </c>
      <c r="M1652" t="s">
        <v>67</v>
      </c>
      <c r="N1652" t="s">
        <v>68</v>
      </c>
      <c r="P1652" s="23">
        <v>67.86</v>
      </c>
      <c r="Q1652" s="4">
        <f t="shared" si="25"/>
        <v>-60</v>
      </c>
      <c r="R1652" s="23" t="s">
        <v>109</v>
      </c>
    </row>
    <row r="1653" spans="1:18" x14ac:dyDescent="0.25">
      <c r="A1653" s="42">
        <v>45737</v>
      </c>
      <c r="B1653" s="1">
        <v>810176881</v>
      </c>
      <c r="C1653" t="s">
        <v>3179</v>
      </c>
      <c r="D1653" s="22">
        <v>-4071.6</v>
      </c>
      <c r="E1653" t="s">
        <v>35</v>
      </c>
      <c r="F1653" s="2">
        <v>212901001</v>
      </c>
      <c r="G1653" s="2" t="s">
        <v>121</v>
      </c>
      <c r="L1653" s="2" t="s">
        <v>3180</v>
      </c>
      <c r="M1653" t="s">
        <v>67</v>
      </c>
      <c r="N1653" t="s">
        <v>68</v>
      </c>
      <c r="P1653" s="23">
        <v>67.86</v>
      </c>
      <c r="Q1653" s="4">
        <f t="shared" si="25"/>
        <v>-60</v>
      </c>
      <c r="R1653" s="23" t="s">
        <v>109</v>
      </c>
    </row>
    <row r="1654" spans="1:18" x14ac:dyDescent="0.25">
      <c r="A1654" s="42">
        <v>45737</v>
      </c>
      <c r="B1654" s="1">
        <v>910176889</v>
      </c>
      <c r="C1654" t="s">
        <v>3181</v>
      </c>
      <c r="D1654" s="22">
        <v>-4071.6</v>
      </c>
      <c r="E1654" t="s">
        <v>35</v>
      </c>
      <c r="F1654" s="2">
        <v>212901001</v>
      </c>
      <c r="G1654" s="2" t="s">
        <v>121</v>
      </c>
      <c r="L1654" s="2" t="s">
        <v>3182</v>
      </c>
      <c r="M1654" t="s">
        <v>67</v>
      </c>
      <c r="N1654" t="s">
        <v>68</v>
      </c>
      <c r="P1654" s="23">
        <v>67.86</v>
      </c>
      <c r="Q1654" s="4">
        <f t="shared" si="25"/>
        <v>-60</v>
      </c>
      <c r="R1654" s="23" t="s">
        <v>109</v>
      </c>
    </row>
    <row r="1655" spans="1:18" x14ac:dyDescent="0.25">
      <c r="A1655" s="42">
        <v>45737</v>
      </c>
      <c r="B1655" s="1">
        <v>910176887</v>
      </c>
      <c r="C1655" t="s">
        <v>3183</v>
      </c>
      <c r="D1655" s="22">
        <v>-4071.6</v>
      </c>
      <c r="E1655" t="s">
        <v>35</v>
      </c>
      <c r="F1655" s="2">
        <v>212901001</v>
      </c>
      <c r="G1655" s="2" t="s">
        <v>121</v>
      </c>
      <c r="L1655" s="2" t="s">
        <v>3184</v>
      </c>
      <c r="M1655" t="s">
        <v>67</v>
      </c>
      <c r="N1655" t="s">
        <v>68</v>
      </c>
      <c r="P1655" s="23">
        <v>67.86</v>
      </c>
      <c r="Q1655" s="4">
        <f t="shared" si="25"/>
        <v>-60</v>
      </c>
      <c r="R1655" s="23" t="s">
        <v>109</v>
      </c>
    </row>
    <row r="1656" spans="1:18" x14ac:dyDescent="0.25">
      <c r="A1656" s="42">
        <v>45737</v>
      </c>
      <c r="B1656" s="1">
        <v>910176886</v>
      </c>
      <c r="C1656" t="s">
        <v>3185</v>
      </c>
      <c r="D1656" s="22">
        <v>-4071.6</v>
      </c>
      <c r="E1656" t="s">
        <v>35</v>
      </c>
      <c r="F1656" s="2">
        <v>212901001</v>
      </c>
      <c r="G1656" s="2" t="s">
        <v>121</v>
      </c>
      <c r="L1656" s="2" t="s">
        <v>3186</v>
      </c>
      <c r="M1656" t="s">
        <v>67</v>
      </c>
      <c r="N1656" t="s">
        <v>68</v>
      </c>
      <c r="P1656" s="23">
        <v>67.86</v>
      </c>
      <c r="Q1656" s="4">
        <f t="shared" si="25"/>
        <v>-60</v>
      </c>
      <c r="R1656" s="23" t="s">
        <v>109</v>
      </c>
    </row>
    <row r="1657" spans="1:18" x14ac:dyDescent="0.25">
      <c r="A1657" s="42">
        <v>45737</v>
      </c>
      <c r="B1657" s="1">
        <v>810176884</v>
      </c>
      <c r="C1657" t="s">
        <v>3187</v>
      </c>
      <c r="D1657" s="22">
        <v>-4071.6</v>
      </c>
      <c r="E1657" t="s">
        <v>35</v>
      </c>
      <c r="F1657" s="2">
        <v>212901001</v>
      </c>
      <c r="G1657" s="2" t="s">
        <v>121</v>
      </c>
      <c r="L1657" s="2" t="s">
        <v>3188</v>
      </c>
      <c r="M1657" t="s">
        <v>67</v>
      </c>
      <c r="N1657" t="s">
        <v>68</v>
      </c>
      <c r="P1657" s="23">
        <v>67.86</v>
      </c>
      <c r="Q1657" s="4">
        <f t="shared" si="25"/>
        <v>-60</v>
      </c>
      <c r="R1657" s="23" t="s">
        <v>109</v>
      </c>
    </row>
    <row r="1658" spans="1:18" x14ac:dyDescent="0.25">
      <c r="A1658" s="42">
        <v>45737</v>
      </c>
      <c r="B1658" s="1">
        <v>910176890</v>
      </c>
      <c r="C1658" t="s">
        <v>3189</v>
      </c>
      <c r="D1658" s="22">
        <v>-4071.6</v>
      </c>
      <c r="E1658" t="s">
        <v>35</v>
      </c>
      <c r="F1658" s="2">
        <v>212901001</v>
      </c>
      <c r="G1658" s="2" t="s">
        <v>121</v>
      </c>
      <c r="L1658" s="2" t="s">
        <v>3190</v>
      </c>
      <c r="M1658" t="s">
        <v>67</v>
      </c>
      <c r="N1658" t="s">
        <v>68</v>
      </c>
      <c r="P1658" s="23">
        <v>67.86</v>
      </c>
      <c r="Q1658" s="4">
        <f t="shared" si="25"/>
        <v>-60</v>
      </c>
      <c r="R1658" s="23" t="s">
        <v>109</v>
      </c>
    </row>
    <row r="1659" spans="1:18" x14ac:dyDescent="0.25">
      <c r="A1659" s="42">
        <v>45737</v>
      </c>
      <c r="B1659" s="1">
        <v>810176885</v>
      </c>
      <c r="C1659" t="s">
        <v>3191</v>
      </c>
      <c r="D1659" s="22">
        <v>-4071.6</v>
      </c>
      <c r="E1659" t="s">
        <v>35</v>
      </c>
      <c r="F1659" s="2">
        <v>212901001</v>
      </c>
      <c r="G1659" s="2" t="s">
        <v>121</v>
      </c>
      <c r="L1659" s="2" t="s">
        <v>3192</v>
      </c>
      <c r="M1659" t="s">
        <v>67</v>
      </c>
      <c r="N1659" t="s">
        <v>68</v>
      </c>
      <c r="P1659" s="23">
        <v>67.86</v>
      </c>
      <c r="Q1659" s="4">
        <f t="shared" si="25"/>
        <v>-60</v>
      </c>
      <c r="R1659" s="23" t="s">
        <v>109</v>
      </c>
    </row>
    <row r="1660" spans="1:18" x14ac:dyDescent="0.25">
      <c r="A1660" s="42">
        <v>45737</v>
      </c>
      <c r="B1660" s="1">
        <v>810176882</v>
      </c>
      <c r="C1660" t="s">
        <v>3193</v>
      </c>
      <c r="D1660" s="22">
        <v>-4071.6</v>
      </c>
      <c r="E1660" t="s">
        <v>35</v>
      </c>
      <c r="F1660" s="2">
        <v>212901001</v>
      </c>
      <c r="G1660" s="2" t="s">
        <v>121</v>
      </c>
      <c r="L1660" s="2" t="s">
        <v>3194</v>
      </c>
      <c r="M1660" t="s">
        <v>67</v>
      </c>
      <c r="N1660" t="s">
        <v>68</v>
      </c>
      <c r="P1660" s="23">
        <v>67.86</v>
      </c>
      <c r="Q1660" s="4">
        <f t="shared" si="25"/>
        <v>-60</v>
      </c>
      <c r="R1660" s="23" t="s">
        <v>109</v>
      </c>
    </row>
    <row r="1661" spans="1:18" x14ac:dyDescent="0.25">
      <c r="A1661" s="42">
        <v>45737</v>
      </c>
      <c r="B1661" s="1">
        <v>910176888</v>
      </c>
      <c r="C1661" t="s">
        <v>3195</v>
      </c>
      <c r="D1661" s="22">
        <v>-4071.6</v>
      </c>
      <c r="E1661" t="s">
        <v>35</v>
      </c>
      <c r="F1661" s="2">
        <v>212901001</v>
      </c>
      <c r="G1661" s="2" t="s">
        <v>121</v>
      </c>
      <c r="L1661" s="2" t="s">
        <v>3196</v>
      </c>
      <c r="M1661" t="s">
        <v>67</v>
      </c>
      <c r="N1661" t="s">
        <v>68</v>
      </c>
      <c r="P1661" s="23">
        <v>67.86</v>
      </c>
      <c r="Q1661" s="4">
        <f t="shared" si="25"/>
        <v>-60</v>
      </c>
      <c r="R1661" s="23" t="s">
        <v>109</v>
      </c>
    </row>
    <row r="1662" spans="1:18" x14ac:dyDescent="0.25">
      <c r="A1662" s="42">
        <v>45737</v>
      </c>
      <c r="B1662" s="1">
        <v>910176892</v>
      </c>
      <c r="C1662" t="s">
        <v>3197</v>
      </c>
      <c r="D1662" s="22">
        <v>-10179</v>
      </c>
      <c r="E1662" t="s">
        <v>35</v>
      </c>
      <c r="F1662" s="2">
        <v>212901001</v>
      </c>
      <c r="G1662" s="2" t="s">
        <v>121</v>
      </c>
      <c r="L1662" s="2" t="s">
        <v>3198</v>
      </c>
      <c r="M1662" t="s">
        <v>67</v>
      </c>
      <c r="N1662" t="s">
        <v>68</v>
      </c>
      <c r="P1662" s="23">
        <v>67.86</v>
      </c>
      <c r="Q1662" s="4">
        <f t="shared" si="25"/>
        <v>-150</v>
      </c>
      <c r="R1662" s="23" t="s">
        <v>109</v>
      </c>
    </row>
    <row r="1663" spans="1:18" x14ac:dyDescent="0.25">
      <c r="A1663" s="42">
        <v>45737</v>
      </c>
      <c r="B1663" s="1">
        <v>910176891</v>
      </c>
      <c r="C1663" t="s">
        <v>3199</v>
      </c>
      <c r="D1663" s="22">
        <v>-4071.6</v>
      </c>
      <c r="E1663" t="s">
        <v>35</v>
      </c>
      <c r="F1663" s="2">
        <v>212901001</v>
      </c>
      <c r="G1663" s="2" t="s">
        <v>121</v>
      </c>
      <c r="L1663" s="2" t="s">
        <v>3200</v>
      </c>
      <c r="M1663" t="s">
        <v>67</v>
      </c>
      <c r="N1663" t="s">
        <v>68</v>
      </c>
      <c r="P1663" s="23">
        <v>67.86</v>
      </c>
      <c r="Q1663" s="4">
        <f t="shared" si="25"/>
        <v>-60</v>
      </c>
      <c r="R1663" s="23" t="s">
        <v>109</v>
      </c>
    </row>
    <row r="1664" spans="1:18" x14ac:dyDescent="0.25">
      <c r="A1664" s="42">
        <v>45737</v>
      </c>
      <c r="B1664" s="1">
        <v>10176895</v>
      </c>
      <c r="C1664" t="s">
        <v>3201</v>
      </c>
      <c r="D1664" s="22">
        <v>-5428.8</v>
      </c>
      <c r="E1664" t="s">
        <v>35</v>
      </c>
      <c r="F1664" s="2">
        <v>212901001</v>
      </c>
      <c r="G1664" s="2" t="s">
        <v>121</v>
      </c>
      <c r="L1664" s="2" t="s">
        <v>3202</v>
      </c>
      <c r="M1664" t="s">
        <v>67</v>
      </c>
      <c r="N1664" t="s">
        <v>68</v>
      </c>
      <c r="P1664" s="23">
        <v>67.86</v>
      </c>
      <c r="Q1664" s="4">
        <f t="shared" si="25"/>
        <v>-80</v>
      </c>
      <c r="R1664" s="23" t="s">
        <v>109</v>
      </c>
    </row>
    <row r="1665" spans="1:18" x14ac:dyDescent="0.25">
      <c r="A1665" s="42">
        <v>45737</v>
      </c>
      <c r="B1665" s="1">
        <v>910176893</v>
      </c>
      <c r="C1665" t="s">
        <v>3203</v>
      </c>
      <c r="D1665" s="22">
        <v>-6786</v>
      </c>
      <c r="E1665" t="s">
        <v>35</v>
      </c>
      <c r="F1665" s="2">
        <v>212901001</v>
      </c>
      <c r="G1665" s="2" t="s">
        <v>121</v>
      </c>
      <c r="L1665" s="2" t="s">
        <v>3204</v>
      </c>
      <c r="M1665" t="s">
        <v>67</v>
      </c>
      <c r="N1665" t="s">
        <v>68</v>
      </c>
      <c r="P1665" s="23">
        <v>67.86</v>
      </c>
      <c r="Q1665" s="4">
        <f t="shared" si="25"/>
        <v>-100</v>
      </c>
      <c r="R1665" s="23" t="s">
        <v>109</v>
      </c>
    </row>
    <row r="1666" spans="1:18" x14ac:dyDescent="0.25">
      <c r="A1666" s="42">
        <v>45737</v>
      </c>
      <c r="B1666" s="1">
        <v>10176896</v>
      </c>
      <c r="C1666" t="s">
        <v>3205</v>
      </c>
      <c r="D1666" s="22">
        <v>-5428.8</v>
      </c>
      <c r="E1666" t="s">
        <v>35</v>
      </c>
      <c r="F1666" s="2">
        <v>212901001</v>
      </c>
      <c r="G1666" s="2" t="s">
        <v>121</v>
      </c>
      <c r="L1666" s="2" t="s">
        <v>3206</v>
      </c>
      <c r="M1666" t="s">
        <v>67</v>
      </c>
      <c r="N1666" t="s">
        <v>68</v>
      </c>
      <c r="P1666" s="23">
        <v>67.86</v>
      </c>
      <c r="Q1666" s="4">
        <f t="shared" si="25"/>
        <v>-80</v>
      </c>
      <c r="R1666" s="23" t="s">
        <v>109</v>
      </c>
    </row>
    <row r="1667" spans="1:18" x14ac:dyDescent="0.25">
      <c r="A1667" s="42">
        <v>45737</v>
      </c>
      <c r="B1667" s="1">
        <v>910176894</v>
      </c>
      <c r="C1667" t="s">
        <v>3207</v>
      </c>
      <c r="D1667" s="22">
        <v>-5428.8</v>
      </c>
      <c r="E1667" t="s">
        <v>35</v>
      </c>
      <c r="F1667" s="2">
        <v>212901001</v>
      </c>
      <c r="G1667" s="2" t="s">
        <v>121</v>
      </c>
      <c r="L1667" s="2" t="s">
        <v>3208</v>
      </c>
      <c r="M1667" t="s">
        <v>67</v>
      </c>
      <c r="N1667" t="s">
        <v>68</v>
      </c>
      <c r="P1667" s="23">
        <v>67.86</v>
      </c>
      <c r="Q1667" s="4">
        <f t="shared" si="25"/>
        <v>-80</v>
      </c>
      <c r="R1667" s="23" t="s">
        <v>109</v>
      </c>
    </row>
    <row r="1668" spans="1:18" x14ac:dyDescent="0.25">
      <c r="A1668" s="42">
        <v>45737</v>
      </c>
      <c r="B1668" s="1">
        <v>10176897</v>
      </c>
      <c r="C1668" t="s">
        <v>3209</v>
      </c>
      <c r="D1668" s="22">
        <v>-5428.8</v>
      </c>
      <c r="E1668" t="s">
        <v>35</v>
      </c>
      <c r="F1668" s="2">
        <v>212901001</v>
      </c>
      <c r="G1668" s="2" t="s">
        <v>121</v>
      </c>
      <c r="L1668" s="2" t="s">
        <v>3210</v>
      </c>
      <c r="M1668" t="s">
        <v>67</v>
      </c>
      <c r="N1668" t="s">
        <v>68</v>
      </c>
      <c r="P1668" s="23">
        <v>67.86</v>
      </c>
      <c r="Q1668" s="4">
        <f t="shared" si="25"/>
        <v>-80</v>
      </c>
      <c r="R1668" s="23" t="s">
        <v>109</v>
      </c>
    </row>
    <row r="1669" spans="1:18" x14ac:dyDescent="0.25">
      <c r="A1669" s="42">
        <v>45737</v>
      </c>
      <c r="B1669" s="1">
        <v>10176899</v>
      </c>
      <c r="C1669" t="s">
        <v>3211</v>
      </c>
      <c r="D1669" s="22">
        <v>-5428.8</v>
      </c>
      <c r="E1669" t="s">
        <v>35</v>
      </c>
      <c r="F1669" s="2">
        <v>212901001</v>
      </c>
      <c r="G1669" s="2" t="s">
        <v>121</v>
      </c>
      <c r="L1669" s="2" t="s">
        <v>3212</v>
      </c>
      <c r="M1669" t="s">
        <v>67</v>
      </c>
      <c r="N1669" t="s">
        <v>68</v>
      </c>
      <c r="P1669" s="23">
        <v>67.86</v>
      </c>
      <c r="Q1669" s="4">
        <f t="shared" si="25"/>
        <v>-80</v>
      </c>
      <c r="R1669" s="23" t="s">
        <v>109</v>
      </c>
    </row>
    <row r="1670" spans="1:18" x14ac:dyDescent="0.25">
      <c r="A1670" s="42">
        <v>45737</v>
      </c>
      <c r="B1670" s="1">
        <v>10176898</v>
      </c>
      <c r="C1670" t="s">
        <v>3213</v>
      </c>
      <c r="D1670" s="22">
        <v>-5428.8</v>
      </c>
      <c r="E1670" t="s">
        <v>35</v>
      </c>
      <c r="F1670" s="2">
        <v>212901001</v>
      </c>
      <c r="G1670" s="2" t="s">
        <v>121</v>
      </c>
      <c r="L1670" s="2" t="s">
        <v>3214</v>
      </c>
      <c r="M1670" t="s">
        <v>67</v>
      </c>
      <c r="N1670" t="s">
        <v>68</v>
      </c>
      <c r="P1670" s="23">
        <v>67.86</v>
      </c>
      <c r="Q1670" s="4">
        <f t="shared" si="25"/>
        <v>-80</v>
      </c>
      <c r="R1670" s="23" t="s">
        <v>109</v>
      </c>
    </row>
    <row r="1671" spans="1:18" x14ac:dyDescent="0.25">
      <c r="A1671" s="42">
        <v>45737</v>
      </c>
      <c r="B1671" s="1">
        <v>10176900</v>
      </c>
      <c r="C1671" t="s">
        <v>3215</v>
      </c>
      <c r="D1671" s="22">
        <v>-3393</v>
      </c>
      <c r="E1671" t="s">
        <v>35</v>
      </c>
      <c r="F1671" s="2">
        <v>212901001</v>
      </c>
      <c r="G1671" s="2" t="s">
        <v>121</v>
      </c>
      <c r="L1671" s="2" t="s">
        <v>3216</v>
      </c>
      <c r="M1671" t="s">
        <v>67</v>
      </c>
      <c r="N1671" t="s">
        <v>68</v>
      </c>
      <c r="P1671" s="23">
        <v>67.86</v>
      </c>
      <c r="Q1671" s="4">
        <f t="shared" si="25"/>
        <v>-50</v>
      </c>
      <c r="R1671" s="23" t="s">
        <v>109</v>
      </c>
    </row>
    <row r="1672" spans="1:18" x14ac:dyDescent="0.25">
      <c r="A1672" s="42">
        <v>45737</v>
      </c>
      <c r="B1672" s="1">
        <v>10176903</v>
      </c>
      <c r="C1672" t="s">
        <v>3217</v>
      </c>
      <c r="D1672" s="22">
        <v>-3393</v>
      </c>
      <c r="E1672" t="s">
        <v>35</v>
      </c>
      <c r="F1672" s="2">
        <v>212901001</v>
      </c>
      <c r="G1672" s="2" t="s">
        <v>121</v>
      </c>
      <c r="L1672" s="2" t="s">
        <v>3218</v>
      </c>
      <c r="M1672" t="s">
        <v>67</v>
      </c>
      <c r="N1672" t="s">
        <v>68</v>
      </c>
      <c r="P1672" s="23">
        <v>67.86</v>
      </c>
      <c r="Q1672" s="4">
        <f t="shared" si="25"/>
        <v>-50</v>
      </c>
      <c r="R1672" s="23" t="s">
        <v>109</v>
      </c>
    </row>
    <row r="1673" spans="1:18" x14ac:dyDescent="0.25">
      <c r="A1673" s="42">
        <v>45737</v>
      </c>
      <c r="B1673" s="1">
        <v>10176901</v>
      </c>
      <c r="C1673" t="s">
        <v>3219</v>
      </c>
      <c r="D1673" s="22">
        <v>-3393</v>
      </c>
      <c r="E1673" t="s">
        <v>35</v>
      </c>
      <c r="F1673" s="2">
        <v>212901001</v>
      </c>
      <c r="G1673" s="2" t="s">
        <v>121</v>
      </c>
      <c r="L1673" s="2" t="s">
        <v>3220</v>
      </c>
      <c r="M1673" t="s">
        <v>67</v>
      </c>
      <c r="N1673" t="s">
        <v>68</v>
      </c>
      <c r="P1673" s="23">
        <v>67.86</v>
      </c>
      <c r="Q1673" s="4">
        <f t="shared" si="25"/>
        <v>-50</v>
      </c>
      <c r="R1673" s="23" t="s">
        <v>109</v>
      </c>
    </row>
    <row r="1674" spans="1:18" x14ac:dyDescent="0.25">
      <c r="A1674" s="42">
        <v>45737</v>
      </c>
      <c r="B1674" s="1">
        <v>10176902</v>
      </c>
      <c r="C1674" t="s">
        <v>3221</v>
      </c>
      <c r="D1674" s="22">
        <v>-3393</v>
      </c>
      <c r="E1674" t="s">
        <v>35</v>
      </c>
      <c r="F1674" s="2">
        <v>212901001</v>
      </c>
      <c r="G1674" s="2" t="s">
        <v>121</v>
      </c>
      <c r="L1674" s="2" t="s">
        <v>3222</v>
      </c>
      <c r="M1674" t="s">
        <v>67</v>
      </c>
      <c r="N1674" t="s">
        <v>68</v>
      </c>
      <c r="P1674" s="23">
        <v>67.86</v>
      </c>
      <c r="Q1674" s="4">
        <f t="shared" si="25"/>
        <v>-50</v>
      </c>
      <c r="R1674" s="23" t="s">
        <v>109</v>
      </c>
    </row>
    <row r="1675" spans="1:18" x14ac:dyDescent="0.25">
      <c r="A1675" s="42">
        <v>45737</v>
      </c>
      <c r="B1675" s="1">
        <v>110176904</v>
      </c>
      <c r="C1675" t="s">
        <v>3223</v>
      </c>
      <c r="D1675" s="22">
        <v>-3393</v>
      </c>
      <c r="E1675" t="s">
        <v>35</v>
      </c>
      <c r="F1675" s="2">
        <v>212901001</v>
      </c>
      <c r="G1675" s="2" t="s">
        <v>121</v>
      </c>
      <c r="L1675" s="2" t="s">
        <v>3224</v>
      </c>
      <c r="M1675" t="s">
        <v>67</v>
      </c>
      <c r="N1675" t="s">
        <v>68</v>
      </c>
      <c r="P1675" s="23">
        <v>67.86</v>
      </c>
      <c r="Q1675" s="4">
        <f t="shared" ref="Q1675:Q1738" si="26">D1675/P1675</f>
        <v>-50</v>
      </c>
      <c r="R1675" s="23" t="s">
        <v>109</v>
      </c>
    </row>
    <row r="1676" spans="1:18" x14ac:dyDescent="0.25">
      <c r="A1676" s="42">
        <v>45737</v>
      </c>
      <c r="B1676" s="1">
        <v>110176906</v>
      </c>
      <c r="C1676" t="s">
        <v>3225</v>
      </c>
      <c r="D1676" s="22">
        <v>-3393</v>
      </c>
      <c r="E1676" t="s">
        <v>35</v>
      </c>
      <c r="F1676" s="2">
        <v>212901001</v>
      </c>
      <c r="G1676" s="2" t="s">
        <v>121</v>
      </c>
      <c r="L1676" s="2" t="s">
        <v>3226</v>
      </c>
      <c r="M1676" t="s">
        <v>67</v>
      </c>
      <c r="N1676" t="s">
        <v>68</v>
      </c>
      <c r="P1676" s="23">
        <v>67.86</v>
      </c>
      <c r="Q1676" s="4">
        <f t="shared" si="26"/>
        <v>-50</v>
      </c>
      <c r="R1676" s="23" t="s">
        <v>109</v>
      </c>
    </row>
    <row r="1677" spans="1:18" x14ac:dyDescent="0.25">
      <c r="A1677" s="42">
        <v>45737</v>
      </c>
      <c r="B1677" s="1">
        <v>110176908</v>
      </c>
      <c r="C1677" t="s">
        <v>3227</v>
      </c>
      <c r="D1677" s="22">
        <v>-2714.4</v>
      </c>
      <c r="E1677" t="s">
        <v>35</v>
      </c>
      <c r="F1677" s="2">
        <v>212901001</v>
      </c>
      <c r="G1677" s="2" t="s">
        <v>121</v>
      </c>
      <c r="L1677" s="2" t="s">
        <v>3228</v>
      </c>
      <c r="M1677" t="s">
        <v>67</v>
      </c>
      <c r="N1677" t="s">
        <v>68</v>
      </c>
      <c r="P1677" s="23">
        <v>67.86</v>
      </c>
      <c r="Q1677" s="4">
        <f t="shared" si="26"/>
        <v>-40</v>
      </c>
      <c r="R1677" s="23" t="s">
        <v>109</v>
      </c>
    </row>
    <row r="1678" spans="1:18" x14ac:dyDescent="0.25">
      <c r="A1678" s="42">
        <v>45737</v>
      </c>
      <c r="B1678" s="1">
        <v>110176907</v>
      </c>
      <c r="C1678" t="s">
        <v>3229</v>
      </c>
      <c r="D1678" s="22">
        <v>-2714.4</v>
      </c>
      <c r="E1678" t="s">
        <v>35</v>
      </c>
      <c r="F1678" s="2">
        <v>212901001</v>
      </c>
      <c r="G1678" s="2" t="s">
        <v>121</v>
      </c>
      <c r="L1678" s="2" t="s">
        <v>3230</v>
      </c>
      <c r="M1678" t="s">
        <v>67</v>
      </c>
      <c r="N1678" t="s">
        <v>68</v>
      </c>
      <c r="P1678" s="23">
        <v>67.86</v>
      </c>
      <c r="Q1678" s="4">
        <f t="shared" si="26"/>
        <v>-40</v>
      </c>
      <c r="R1678" s="23" t="s">
        <v>109</v>
      </c>
    </row>
    <row r="1679" spans="1:18" x14ac:dyDescent="0.25">
      <c r="A1679" s="42">
        <v>45737</v>
      </c>
      <c r="B1679" s="1">
        <v>110176910</v>
      </c>
      <c r="C1679" t="s">
        <v>3231</v>
      </c>
      <c r="D1679" s="22">
        <v>-2714.4</v>
      </c>
      <c r="E1679" t="s">
        <v>35</v>
      </c>
      <c r="F1679" s="2">
        <v>212901001</v>
      </c>
      <c r="G1679" s="2" t="s">
        <v>121</v>
      </c>
      <c r="L1679" s="2" t="s">
        <v>3232</v>
      </c>
      <c r="M1679" t="s">
        <v>67</v>
      </c>
      <c r="N1679" t="s">
        <v>68</v>
      </c>
      <c r="P1679" s="23">
        <v>67.86</v>
      </c>
      <c r="Q1679" s="4">
        <f t="shared" si="26"/>
        <v>-40</v>
      </c>
      <c r="R1679" s="23" t="s">
        <v>109</v>
      </c>
    </row>
    <row r="1680" spans="1:18" x14ac:dyDescent="0.25">
      <c r="A1680" s="42">
        <v>45737</v>
      </c>
      <c r="B1680" s="1">
        <v>110176911</v>
      </c>
      <c r="C1680" t="s">
        <v>3233</v>
      </c>
      <c r="D1680" s="22">
        <v>-2714.4</v>
      </c>
      <c r="E1680" t="s">
        <v>35</v>
      </c>
      <c r="F1680" s="2">
        <v>212901001</v>
      </c>
      <c r="G1680" s="2" t="s">
        <v>121</v>
      </c>
      <c r="L1680" s="2" t="s">
        <v>3234</v>
      </c>
      <c r="M1680" t="s">
        <v>67</v>
      </c>
      <c r="N1680" t="s">
        <v>68</v>
      </c>
      <c r="P1680" s="23">
        <v>67.86</v>
      </c>
      <c r="Q1680" s="4">
        <f t="shared" si="26"/>
        <v>-40</v>
      </c>
      <c r="R1680" s="23" t="s">
        <v>109</v>
      </c>
    </row>
    <row r="1681" spans="1:18" x14ac:dyDescent="0.25">
      <c r="A1681" s="42">
        <v>45737</v>
      </c>
      <c r="B1681" s="1">
        <v>110176909</v>
      </c>
      <c r="C1681" t="s">
        <v>3235</v>
      </c>
      <c r="D1681" s="22">
        <v>-2714.4</v>
      </c>
      <c r="E1681" t="s">
        <v>35</v>
      </c>
      <c r="F1681" s="2">
        <v>212901001</v>
      </c>
      <c r="G1681" s="2" t="s">
        <v>121</v>
      </c>
      <c r="L1681" s="2" t="s">
        <v>3236</v>
      </c>
      <c r="M1681" t="s">
        <v>67</v>
      </c>
      <c r="N1681" t="s">
        <v>68</v>
      </c>
      <c r="P1681" s="23">
        <v>67.86</v>
      </c>
      <c r="Q1681" s="4">
        <f t="shared" si="26"/>
        <v>-40</v>
      </c>
      <c r="R1681" s="23" t="s">
        <v>109</v>
      </c>
    </row>
    <row r="1682" spans="1:18" x14ac:dyDescent="0.25">
      <c r="A1682" s="42">
        <v>45737</v>
      </c>
      <c r="B1682" s="1">
        <v>110176912</v>
      </c>
      <c r="C1682" t="s">
        <v>3237</v>
      </c>
      <c r="D1682" s="22">
        <v>-2714.4</v>
      </c>
      <c r="E1682" t="s">
        <v>35</v>
      </c>
      <c r="F1682" s="2">
        <v>212901001</v>
      </c>
      <c r="G1682" s="2" t="s">
        <v>121</v>
      </c>
      <c r="L1682" s="2" t="s">
        <v>3238</v>
      </c>
      <c r="M1682" t="s">
        <v>67</v>
      </c>
      <c r="N1682" t="s">
        <v>68</v>
      </c>
      <c r="P1682" s="23">
        <v>67.86</v>
      </c>
      <c r="Q1682" s="4">
        <f t="shared" si="26"/>
        <v>-40</v>
      </c>
      <c r="R1682" s="23" t="s">
        <v>109</v>
      </c>
    </row>
    <row r="1683" spans="1:18" x14ac:dyDescent="0.25">
      <c r="A1683" s="42">
        <v>45737</v>
      </c>
      <c r="B1683" s="1">
        <v>110176914</v>
      </c>
      <c r="C1683" t="s">
        <v>3239</v>
      </c>
      <c r="D1683" s="22">
        <v>-2714.4</v>
      </c>
      <c r="E1683" t="s">
        <v>35</v>
      </c>
      <c r="F1683" s="2">
        <v>212901001</v>
      </c>
      <c r="G1683" s="2" t="s">
        <v>121</v>
      </c>
      <c r="L1683" s="2" t="s">
        <v>3240</v>
      </c>
      <c r="M1683" t="s">
        <v>67</v>
      </c>
      <c r="N1683" t="s">
        <v>68</v>
      </c>
      <c r="P1683" s="23">
        <v>67.86</v>
      </c>
      <c r="Q1683" s="4">
        <f t="shared" si="26"/>
        <v>-40</v>
      </c>
      <c r="R1683" s="23" t="s">
        <v>109</v>
      </c>
    </row>
    <row r="1684" spans="1:18" x14ac:dyDescent="0.25">
      <c r="A1684" s="42">
        <v>45737</v>
      </c>
      <c r="B1684" s="1">
        <v>210176915</v>
      </c>
      <c r="C1684" t="s">
        <v>3241</v>
      </c>
      <c r="D1684" s="22">
        <v>-6786</v>
      </c>
      <c r="E1684" t="s">
        <v>35</v>
      </c>
      <c r="F1684" s="2">
        <v>212901001</v>
      </c>
      <c r="G1684" s="2" t="s">
        <v>121</v>
      </c>
      <c r="L1684" s="2" t="s">
        <v>3242</v>
      </c>
      <c r="M1684" t="s">
        <v>67</v>
      </c>
      <c r="N1684" t="s">
        <v>68</v>
      </c>
      <c r="P1684" s="23">
        <v>67.86</v>
      </c>
      <c r="Q1684" s="4">
        <f t="shared" si="26"/>
        <v>-100</v>
      </c>
      <c r="R1684" s="23" t="s">
        <v>109</v>
      </c>
    </row>
    <row r="1685" spans="1:18" x14ac:dyDescent="0.25">
      <c r="A1685" s="42">
        <v>45737</v>
      </c>
      <c r="B1685" s="1">
        <v>210176916</v>
      </c>
      <c r="C1685" t="s">
        <v>3243</v>
      </c>
      <c r="D1685" s="22">
        <v>-6786</v>
      </c>
      <c r="E1685" t="s">
        <v>35</v>
      </c>
      <c r="F1685" s="2">
        <v>212901001</v>
      </c>
      <c r="G1685" s="2" t="s">
        <v>121</v>
      </c>
      <c r="L1685" s="2" t="s">
        <v>3244</v>
      </c>
      <c r="M1685" t="s">
        <v>67</v>
      </c>
      <c r="N1685" t="s">
        <v>68</v>
      </c>
      <c r="P1685" s="23">
        <v>67.86</v>
      </c>
      <c r="Q1685" s="4">
        <f t="shared" si="26"/>
        <v>-100</v>
      </c>
      <c r="R1685" s="23" t="s">
        <v>109</v>
      </c>
    </row>
    <row r="1686" spans="1:18" x14ac:dyDescent="0.25">
      <c r="A1686" s="42">
        <v>45737</v>
      </c>
      <c r="B1686" s="1">
        <v>210176917</v>
      </c>
      <c r="C1686" t="s">
        <v>3245</v>
      </c>
      <c r="D1686" s="22">
        <v>-10179</v>
      </c>
      <c r="E1686" t="s">
        <v>35</v>
      </c>
      <c r="F1686" s="2">
        <v>212901001</v>
      </c>
      <c r="G1686" s="2" t="s">
        <v>121</v>
      </c>
      <c r="L1686" s="2" t="s">
        <v>3246</v>
      </c>
      <c r="M1686" t="s">
        <v>67</v>
      </c>
      <c r="N1686" t="s">
        <v>68</v>
      </c>
      <c r="P1686" s="23">
        <v>67.86</v>
      </c>
      <c r="Q1686" s="4">
        <f t="shared" si="26"/>
        <v>-150</v>
      </c>
      <c r="R1686" s="23" t="s">
        <v>109</v>
      </c>
    </row>
    <row r="1687" spans="1:18" x14ac:dyDescent="0.25">
      <c r="A1687" s="42">
        <v>45737</v>
      </c>
      <c r="B1687" s="1">
        <v>210176920</v>
      </c>
      <c r="C1687" t="s">
        <v>3247</v>
      </c>
      <c r="D1687" s="22">
        <v>-7464.6</v>
      </c>
      <c r="E1687" t="s">
        <v>35</v>
      </c>
      <c r="F1687" s="2">
        <v>212901001</v>
      </c>
      <c r="G1687" s="2" t="s">
        <v>121</v>
      </c>
      <c r="L1687" s="2" t="s">
        <v>3248</v>
      </c>
      <c r="M1687" t="s">
        <v>67</v>
      </c>
      <c r="N1687" t="s">
        <v>68</v>
      </c>
      <c r="P1687" s="23">
        <v>67.86</v>
      </c>
      <c r="Q1687" s="4">
        <f t="shared" si="26"/>
        <v>-110</v>
      </c>
      <c r="R1687" s="23" t="s">
        <v>109</v>
      </c>
    </row>
    <row r="1688" spans="1:18" x14ac:dyDescent="0.25">
      <c r="A1688" s="42">
        <v>45737</v>
      </c>
      <c r="B1688" s="1">
        <v>210176918</v>
      </c>
      <c r="C1688" t="s">
        <v>3249</v>
      </c>
      <c r="D1688" s="22">
        <v>-2035.8</v>
      </c>
      <c r="E1688" t="s">
        <v>35</v>
      </c>
      <c r="F1688" s="2">
        <v>212901001</v>
      </c>
      <c r="G1688" s="2" t="s">
        <v>121</v>
      </c>
      <c r="L1688" s="2" t="s">
        <v>3250</v>
      </c>
      <c r="M1688" t="s">
        <v>67</v>
      </c>
      <c r="N1688" t="s">
        <v>68</v>
      </c>
      <c r="P1688" s="23">
        <v>67.86</v>
      </c>
      <c r="Q1688" s="4">
        <f t="shared" si="26"/>
        <v>-30</v>
      </c>
      <c r="R1688" s="23" t="s">
        <v>109</v>
      </c>
    </row>
    <row r="1689" spans="1:18" x14ac:dyDescent="0.25">
      <c r="A1689" s="42">
        <v>45737</v>
      </c>
      <c r="B1689" s="1">
        <v>210176922</v>
      </c>
      <c r="C1689" t="s">
        <v>3251</v>
      </c>
      <c r="D1689" s="22">
        <v>-6786</v>
      </c>
      <c r="E1689" t="s">
        <v>35</v>
      </c>
      <c r="F1689" s="2">
        <v>212901001</v>
      </c>
      <c r="G1689" s="2" t="s">
        <v>121</v>
      </c>
      <c r="L1689" s="2" t="s">
        <v>3252</v>
      </c>
      <c r="M1689" t="s">
        <v>67</v>
      </c>
      <c r="N1689" t="s">
        <v>68</v>
      </c>
      <c r="P1689" s="23">
        <v>67.86</v>
      </c>
      <c r="Q1689" s="4">
        <f t="shared" si="26"/>
        <v>-100</v>
      </c>
      <c r="R1689" s="23" t="s">
        <v>109</v>
      </c>
    </row>
    <row r="1690" spans="1:18" x14ac:dyDescent="0.25">
      <c r="A1690" s="42">
        <v>45737</v>
      </c>
      <c r="B1690" s="1">
        <v>210176921</v>
      </c>
      <c r="C1690" t="s">
        <v>3253</v>
      </c>
      <c r="D1690" s="22">
        <v>-5428.8</v>
      </c>
      <c r="E1690" t="s">
        <v>35</v>
      </c>
      <c r="F1690" s="2">
        <v>212901001</v>
      </c>
      <c r="G1690" s="2" t="s">
        <v>121</v>
      </c>
      <c r="L1690" s="2" t="s">
        <v>3254</v>
      </c>
      <c r="M1690" t="s">
        <v>67</v>
      </c>
      <c r="N1690" t="s">
        <v>68</v>
      </c>
      <c r="P1690" s="23">
        <v>67.86</v>
      </c>
      <c r="Q1690" s="4">
        <f t="shared" si="26"/>
        <v>-80</v>
      </c>
      <c r="R1690" s="23" t="s">
        <v>109</v>
      </c>
    </row>
    <row r="1691" spans="1:18" x14ac:dyDescent="0.25">
      <c r="A1691" s="42">
        <v>45737</v>
      </c>
      <c r="B1691" s="1">
        <v>210176923</v>
      </c>
      <c r="C1691" t="s">
        <v>3255</v>
      </c>
      <c r="D1691" s="22">
        <v>-1017.9</v>
      </c>
      <c r="E1691" t="s">
        <v>35</v>
      </c>
      <c r="F1691" s="2">
        <v>212901001</v>
      </c>
      <c r="G1691" s="2" t="s">
        <v>121</v>
      </c>
      <c r="L1691" s="2" t="s">
        <v>3256</v>
      </c>
      <c r="M1691" t="s">
        <v>67</v>
      </c>
      <c r="N1691" t="s">
        <v>68</v>
      </c>
      <c r="P1691" s="23">
        <v>67.86</v>
      </c>
      <c r="Q1691" s="4">
        <f t="shared" si="26"/>
        <v>-15</v>
      </c>
      <c r="R1691" s="23" t="s">
        <v>109</v>
      </c>
    </row>
    <row r="1692" spans="1:18" x14ac:dyDescent="0.25">
      <c r="A1692" s="42">
        <v>45737</v>
      </c>
      <c r="B1692" s="1">
        <v>310176928</v>
      </c>
      <c r="C1692" t="s">
        <v>3257</v>
      </c>
      <c r="D1692" s="22">
        <v>-2850.12</v>
      </c>
      <c r="E1692" t="s">
        <v>35</v>
      </c>
      <c r="F1692" s="2">
        <v>212901001</v>
      </c>
      <c r="G1692" s="2" t="s">
        <v>121</v>
      </c>
      <c r="L1692" s="2" t="s">
        <v>3258</v>
      </c>
      <c r="M1692" t="s">
        <v>67</v>
      </c>
      <c r="N1692" t="s">
        <v>68</v>
      </c>
      <c r="P1692" s="23">
        <v>67.86</v>
      </c>
      <c r="Q1692" s="4">
        <f t="shared" si="26"/>
        <v>-42</v>
      </c>
      <c r="R1692" s="23" t="s">
        <v>109</v>
      </c>
    </row>
    <row r="1693" spans="1:18" x14ac:dyDescent="0.25">
      <c r="A1693" s="42">
        <v>45737</v>
      </c>
      <c r="B1693" s="1">
        <v>310176927</v>
      </c>
      <c r="C1693" t="s">
        <v>3259</v>
      </c>
      <c r="D1693" s="22">
        <v>-4071.6</v>
      </c>
      <c r="E1693" t="s">
        <v>35</v>
      </c>
      <c r="F1693" s="2">
        <v>212901001</v>
      </c>
      <c r="G1693" s="2" t="s">
        <v>121</v>
      </c>
      <c r="L1693" s="2" t="s">
        <v>3260</v>
      </c>
      <c r="M1693" t="s">
        <v>67</v>
      </c>
      <c r="N1693" t="s">
        <v>68</v>
      </c>
      <c r="P1693" s="23">
        <v>67.86</v>
      </c>
      <c r="Q1693" s="4">
        <f t="shared" si="26"/>
        <v>-60</v>
      </c>
      <c r="R1693" s="23" t="s">
        <v>109</v>
      </c>
    </row>
    <row r="1694" spans="1:18" x14ac:dyDescent="0.25">
      <c r="A1694" s="42">
        <v>45737</v>
      </c>
      <c r="B1694" s="1">
        <v>310176925</v>
      </c>
      <c r="C1694" t="s">
        <v>3261</v>
      </c>
      <c r="D1694" s="22">
        <v>-4750.2</v>
      </c>
      <c r="E1694" t="s">
        <v>35</v>
      </c>
      <c r="F1694" s="2">
        <v>212901001</v>
      </c>
      <c r="G1694" s="2" t="s">
        <v>121</v>
      </c>
      <c r="L1694" s="2" t="s">
        <v>3262</v>
      </c>
      <c r="M1694" t="s">
        <v>67</v>
      </c>
      <c r="N1694" t="s">
        <v>68</v>
      </c>
      <c r="P1694" s="23">
        <v>67.86</v>
      </c>
      <c r="Q1694" s="4">
        <f t="shared" si="26"/>
        <v>-70</v>
      </c>
      <c r="R1694" s="23" t="s">
        <v>109</v>
      </c>
    </row>
    <row r="1695" spans="1:18" x14ac:dyDescent="0.25">
      <c r="A1695" s="42">
        <v>45737</v>
      </c>
      <c r="B1695" s="1">
        <v>310176930</v>
      </c>
      <c r="C1695" t="s">
        <v>3263</v>
      </c>
      <c r="D1695" s="22">
        <v>-3393</v>
      </c>
      <c r="E1695" t="s">
        <v>35</v>
      </c>
      <c r="F1695" s="2">
        <v>212901001</v>
      </c>
      <c r="G1695" s="2" t="s">
        <v>121</v>
      </c>
      <c r="L1695" s="2" t="s">
        <v>3264</v>
      </c>
      <c r="M1695" t="s">
        <v>67</v>
      </c>
      <c r="N1695" t="s">
        <v>68</v>
      </c>
      <c r="P1695" s="23">
        <v>67.86</v>
      </c>
      <c r="Q1695" s="4">
        <f t="shared" si="26"/>
        <v>-50</v>
      </c>
      <c r="R1695" s="23" t="s">
        <v>109</v>
      </c>
    </row>
    <row r="1696" spans="1:18" x14ac:dyDescent="0.25">
      <c r="A1696" s="42">
        <v>45737</v>
      </c>
      <c r="B1696" s="1">
        <v>310176929</v>
      </c>
      <c r="C1696" t="s">
        <v>3265</v>
      </c>
      <c r="D1696" s="22">
        <v>-3393</v>
      </c>
      <c r="E1696" t="s">
        <v>35</v>
      </c>
      <c r="F1696" s="2">
        <v>212901001</v>
      </c>
      <c r="G1696" s="2" t="s">
        <v>121</v>
      </c>
      <c r="L1696" s="2" t="s">
        <v>3266</v>
      </c>
      <c r="M1696" t="s">
        <v>67</v>
      </c>
      <c r="N1696" t="s">
        <v>68</v>
      </c>
      <c r="P1696" s="23">
        <v>67.86</v>
      </c>
      <c r="Q1696" s="4">
        <f t="shared" si="26"/>
        <v>-50</v>
      </c>
      <c r="R1696" s="23" t="s">
        <v>109</v>
      </c>
    </row>
    <row r="1697" spans="1:18" x14ac:dyDescent="0.25">
      <c r="A1697" s="42">
        <v>45737</v>
      </c>
      <c r="B1697" s="1">
        <v>210176924</v>
      </c>
      <c r="C1697" t="s">
        <v>3267</v>
      </c>
      <c r="D1697" s="22">
        <v>-4750.2</v>
      </c>
      <c r="E1697" t="s">
        <v>35</v>
      </c>
      <c r="F1697" s="2">
        <v>212901001</v>
      </c>
      <c r="G1697" s="2" t="s">
        <v>121</v>
      </c>
      <c r="L1697" s="2" t="s">
        <v>3268</v>
      </c>
      <c r="M1697" t="s">
        <v>67</v>
      </c>
      <c r="N1697" t="s">
        <v>68</v>
      </c>
      <c r="P1697" s="23">
        <v>67.86</v>
      </c>
      <c r="Q1697" s="4">
        <f t="shared" si="26"/>
        <v>-70</v>
      </c>
      <c r="R1697" s="23" t="s">
        <v>109</v>
      </c>
    </row>
    <row r="1698" spans="1:18" x14ac:dyDescent="0.25">
      <c r="A1698" s="42">
        <v>45737</v>
      </c>
      <c r="B1698" s="1">
        <v>310176931</v>
      </c>
      <c r="C1698" t="s">
        <v>3269</v>
      </c>
      <c r="D1698" s="22">
        <v>-3393</v>
      </c>
      <c r="E1698" t="s">
        <v>35</v>
      </c>
      <c r="F1698" s="2">
        <v>212901001</v>
      </c>
      <c r="G1698" s="2" t="s">
        <v>121</v>
      </c>
      <c r="L1698" s="2" t="s">
        <v>3270</v>
      </c>
      <c r="M1698" t="s">
        <v>67</v>
      </c>
      <c r="N1698" t="s">
        <v>68</v>
      </c>
      <c r="P1698" s="23">
        <v>67.86</v>
      </c>
      <c r="Q1698" s="4">
        <f t="shared" si="26"/>
        <v>-50</v>
      </c>
      <c r="R1698" s="23" t="s">
        <v>109</v>
      </c>
    </row>
    <row r="1699" spans="1:18" x14ac:dyDescent="0.25">
      <c r="A1699" s="42">
        <v>45737</v>
      </c>
      <c r="B1699" s="1">
        <v>310176933</v>
      </c>
      <c r="C1699" t="s">
        <v>3271</v>
      </c>
      <c r="D1699" s="22">
        <v>-2850.12</v>
      </c>
      <c r="E1699" t="s">
        <v>35</v>
      </c>
      <c r="F1699" s="2">
        <v>212901001</v>
      </c>
      <c r="G1699" s="2" t="s">
        <v>121</v>
      </c>
      <c r="L1699" s="2" t="s">
        <v>3272</v>
      </c>
      <c r="M1699" t="s">
        <v>67</v>
      </c>
      <c r="N1699" t="s">
        <v>68</v>
      </c>
      <c r="P1699" s="23">
        <v>67.86</v>
      </c>
      <c r="Q1699" s="4">
        <f t="shared" si="26"/>
        <v>-42</v>
      </c>
      <c r="R1699" s="23" t="s">
        <v>109</v>
      </c>
    </row>
    <row r="1700" spans="1:18" x14ac:dyDescent="0.25">
      <c r="A1700" s="42">
        <v>45737</v>
      </c>
      <c r="B1700" s="1">
        <v>310176937</v>
      </c>
      <c r="C1700" t="s">
        <v>3273</v>
      </c>
      <c r="D1700" s="22">
        <v>-3393</v>
      </c>
      <c r="E1700" t="s">
        <v>35</v>
      </c>
      <c r="F1700" s="2">
        <v>212901001</v>
      </c>
      <c r="G1700" s="2" t="s">
        <v>121</v>
      </c>
      <c r="L1700" s="2" t="s">
        <v>3274</v>
      </c>
      <c r="M1700" t="s">
        <v>67</v>
      </c>
      <c r="N1700" t="s">
        <v>68</v>
      </c>
      <c r="P1700" s="23">
        <v>67.86</v>
      </c>
      <c r="Q1700" s="4">
        <f t="shared" si="26"/>
        <v>-50</v>
      </c>
      <c r="R1700" s="23" t="s">
        <v>109</v>
      </c>
    </row>
    <row r="1701" spans="1:18" x14ac:dyDescent="0.25">
      <c r="A1701" s="42">
        <v>45737</v>
      </c>
      <c r="B1701" s="1">
        <v>410176938</v>
      </c>
      <c r="C1701" t="s">
        <v>3263</v>
      </c>
      <c r="D1701" s="22">
        <v>-3393</v>
      </c>
      <c r="E1701" t="s">
        <v>35</v>
      </c>
      <c r="F1701" s="2">
        <v>212901001</v>
      </c>
      <c r="G1701" s="2" t="s">
        <v>121</v>
      </c>
      <c r="L1701" s="2" t="s">
        <v>3275</v>
      </c>
      <c r="M1701" t="s">
        <v>67</v>
      </c>
      <c r="N1701" t="s">
        <v>68</v>
      </c>
      <c r="P1701" s="23">
        <v>67.86</v>
      </c>
      <c r="Q1701" s="4">
        <f t="shared" si="26"/>
        <v>-50</v>
      </c>
      <c r="R1701" s="23" t="s">
        <v>109</v>
      </c>
    </row>
    <row r="1702" spans="1:18" x14ac:dyDescent="0.25">
      <c r="A1702" s="42">
        <v>45737</v>
      </c>
      <c r="B1702" s="1">
        <v>310176932</v>
      </c>
      <c r="C1702" t="s">
        <v>3276</v>
      </c>
      <c r="D1702" s="22">
        <v>-3393</v>
      </c>
      <c r="E1702" t="s">
        <v>35</v>
      </c>
      <c r="F1702" s="2">
        <v>212901001</v>
      </c>
      <c r="G1702" s="2" t="s">
        <v>121</v>
      </c>
      <c r="L1702" s="2" t="s">
        <v>3277</v>
      </c>
      <c r="M1702" t="s">
        <v>67</v>
      </c>
      <c r="N1702" t="s">
        <v>68</v>
      </c>
      <c r="P1702" s="23">
        <v>67.86</v>
      </c>
      <c r="Q1702" s="4">
        <f t="shared" si="26"/>
        <v>-50</v>
      </c>
      <c r="R1702" s="23" t="s">
        <v>109</v>
      </c>
    </row>
    <row r="1703" spans="1:18" x14ac:dyDescent="0.25">
      <c r="A1703" s="42">
        <v>45737</v>
      </c>
      <c r="B1703" s="1">
        <v>410176939</v>
      </c>
      <c r="C1703" t="s">
        <v>3278</v>
      </c>
      <c r="D1703" s="22">
        <v>-2850.12</v>
      </c>
      <c r="E1703" t="s">
        <v>35</v>
      </c>
      <c r="F1703" s="2">
        <v>212901001</v>
      </c>
      <c r="G1703" s="2" t="s">
        <v>121</v>
      </c>
      <c r="L1703" s="2" t="s">
        <v>3279</v>
      </c>
      <c r="M1703" t="s">
        <v>67</v>
      </c>
      <c r="N1703" t="s">
        <v>68</v>
      </c>
      <c r="P1703" s="23">
        <v>67.86</v>
      </c>
      <c r="Q1703" s="4">
        <f t="shared" si="26"/>
        <v>-42</v>
      </c>
      <c r="R1703" s="23" t="s">
        <v>109</v>
      </c>
    </row>
    <row r="1704" spans="1:18" x14ac:dyDescent="0.25">
      <c r="A1704" s="42">
        <v>45737</v>
      </c>
      <c r="B1704" s="1">
        <v>410176940</v>
      </c>
      <c r="C1704" t="s">
        <v>3280</v>
      </c>
      <c r="D1704" s="22">
        <v>-3393</v>
      </c>
      <c r="E1704" t="s">
        <v>35</v>
      </c>
      <c r="F1704" s="2">
        <v>212901001</v>
      </c>
      <c r="G1704" s="2" t="s">
        <v>121</v>
      </c>
      <c r="L1704" s="2" t="s">
        <v>3281</v>
      </c>
      <c r="M1704" t="s">
        <v>67</v>
      </c>
      <c r="N1704" t="s">
        <v>68</v>
      </c>
      <c r="P1704" s="23">
        <v>67.86</v>
      </c>
      <c r="Q1704" s="4">
        <f t="shared" si="26"/>
        <v>-50</v>
      </c>
      <c r="R1704" s="23" t="s">
        <v>109</v>
      </c>
    </row>
    <row r="1705" spans="1:18" x14ac:dyDescent="0.25">
      <c r="A1705" s="42">
        <v>45737</v>
      </c>
      <c r="B1705" s="1">
        <v>310176934</v>
      </c>
      <c r="C1705" t="s">
        <v>3282</v>
      </c>
      <c r="D1705" s="22">
        <v>-3393</v>
      </c>
      <c r="E1705" t="s">
        <v>35</v>
      </c>
      <c r="F1705" s="2">
        <v>212901001</v>
      </c>
      <c r="G1705" s="2" t="s">
        <v>121</v>
      </c>
      <c r="L1705" s="2" t="s">
        <v>3283</v>
      </c>
      <c r="M1705" t="s">
        <v>67</v>
      </c>
      <c r="N1705" t="s">
        <v>68</v>
      </c>
      <c r="P1705" s="23">
        <v>67.86</v>
      </c>
      <c r="Q1705" s="4">
        <f t="shared" si="26"/>
        <v>-50</v>
      </c>
      <c r="R1705" s="23" t="s">
        <v>109</v>
      </c>
    </row>
    <row r="1706" spans="1:18" x14ac:dyDescent="0.25">
      <c r="A1706" s="42">
        <v>45737</v>
      </c>
      <c r="B1706" s="1">
        <v>410176943</v>
      </c>
      <c r="C1706" t="s">
        <v>3284</v>
      </c>
      <c r="D1706" s="22">
        <v>-3393</v>
      </c>
      <c r="E1706" t="s">
        <v>35</v>
      </c>
      <c r="F1706" s="2">
        <v>212901001</v>
      </c>
      <c r="G1706" s="2" t="s">
        <v>121</v>
      </c>
      <c r="L1706" s="2" t="s">
        <v>3285</v>
      </c>
      <c r="M1706" t="s">
        <v>67</v>
      </c>
      <c r="N1706" t="s">
        <v>68</v>
      </c>
      <c r="P1706" s="23">
        <v>67.86</v>
      </c>
      <c r="Q1706" s="4">
        <f t="shared" si="26"/>
        <v>-50</v>
      </c>
      <c r="R1706" s="23" t="s">
        <v>109</v>
      </c>
    </row>
    <row r="1707" spans="1:18" x14ac:dyDescent="0.25">
      <c r="A1707" s="42">
        <v>45737</v>
      </c>
      <c r="B1707" s="1">
        <v>410176941</v>
      </c>
      <c r="C1707" t="s">
        <v>3286</v>
      </c>
      <c r="D1707" s="22">
        <v>-3393</v>
      </c>
      <c r="E1707" t="s">
        <v>35</v>
      </c>
      <c r="F1707" s="2">
        <v>212901001</v>
      </c>
      <c r="G1707" s="2" t="s">
        <v>121</v>
      </c>
      <c r="L1707" s="2" t="s">
        <v>3287</v>
      </c>
      <c r="M1707" t="s">
        <v>67</v>
      </c>
      <c r="N1707" t="s">
        <v>68</v>
      </c>
      <c r="P1707" s="23">
        <v>67.86</v>
      </c>
      <c r="Q1707" s="4">
        <f t="shared" si="26"/>
        <v>-50</v>
      </c>
      <c r="R1707" s="23" t="s">
        <v>109</v>
      </c>
    </row>
    <row r="1708" spans="1:18" x14ac:dyDescent="0.25">
      <c r="A1708" s="42">
        <v>45737</v>
      </c>
      <c r="B1708" s="1">
        <v>410176942</v>
      </c>
      <c r="C1708" t="s">
        <v>3288</v>
      </c>
      <c r="D1708" s="22">
        <v>-3393</v>
      </c>
      <c r="E1708" t="s">
        <v>35</v>
      </c>
      <c r="F1708" s="2">
        <v>212901001</v>
      </c>
      <c r="G1708" s="2" t="s">
        <v>121</v>
      </c>
      <c r="L1708" s="2" t="s">
        <v>3289</v>
      </c>
      <c r="M1708" t="s">
        <v>67</v>
      </c>
      <c r="N1708" t="s">
        <v>68</v>
      </c>
      <c r="P1708" s="23">
        <v>67.86</v>
      </c>
      <c r="Q1708" s="4">
        <f t="shared" si="26"/>
        <v>-50</v>
      </c>
      <c r="R1708" s="23" t="s">
        <v>109</v>
      </c>
    </row>
    <row r="1709" spans="1:18" x14ac:dyDescent="0.25">
      <c r="A1709" s="42">
        <v>45737</v>
      </c>
      <c r="B1709" s="1">
        <v>410176944</v>
      </c>
      <c r="C1709" t="s">
        <v>3290</v>
      </c>
      <c r="D1709" s="22">
        <v>-3393</v>
      </c>
      <c r="E1709" t="s">
        <v>35</v>
      </c>
      <c r="F1709" s="2">
        <v>212901001</v>
      </c>
      <c r="G1709" s="2" t="s">
        <v>121</v>
      </c>
      <c r="L1709" s="2" t="s">
        <v>3291</v>
      </c>
      <c r="M1709" t="s">
        <v>67</v>
      </c>
      <c r="N1709" t="s">
        <v>68</v>
      </c>
      <c r="P1709" s="23">
        <v>67.86</v>
      </c>
      <c r="Q1709" s="4">
        <f t="shared" si="26"/>
        <v>-50</v>
      </c>
      <c r="R1709" s="23" t="s">
        <v>109</v>
      </c>
    </row>
    <row r="1710" spans="1:18" x14ac:dyDescent="0.25">
      <c r="A1710" s="42">
        <v>45737</v>
      </c>
      <c r="B1710" s="1">
        <v>410176946</v>
      </c>
      <c r="C1710" t="s">
        <v>3292</v>
      </c>
      <c r="D1710" s="22">
        <v>-1357.2</v>
      </c>
      <c r="E1710" t="s">
        <v>35</v>
      </c>
      <c r="F1710" s="2">
        <v>212901001</v>
      </c>
      <c r="G1710" s="2" t="s">
        <v>121</v>
      </c>
      <c r="L1710" s="2" t="s">
        <v>3293</v>
      </c>
      <c r="M1710" t="s">
        <v>67</v>
      </c>
      <c r="N1710" t="s">
        <v>68</v>
      </c>
      <c r="P1710" s="23">
        <v>67.86</v>
      </c>
      <c r="Q1710" s="4">
        <f t="shared" si="26"/>
        <v>-20</v>
      </c>
      <c r="R1710" s="23" t="s">
        <v>109</v>
      </c>
    </row>
    <row r="1711" spans="1:18" x14ac:dyDescent="0.25">
      <c r="A1711" s="42">
        <v>45737</v>
      </c>
      <c r="B1711" s="1">
        <v>410176945</v>
      </c>
      <c r="C1711" t="s">
        <v>3294</v>
      </c>
      <c r="D1711" s="22">
        <v>-1357.2</v>
      </c>
      <c r="E1711" t="s">
        <v>35</v>
      </c>
      <c r="F1711" s="2">
        <v>212901001</v>
      </c>
      <c r="G1711" s="2" t="s">
        <v>121</v>
      </c>
      <c r="L1711" s="2" t="s">
        <v>3295</v>
      </c>
      <c r="M1711" t="s">
        <v>67</v>
      </c>
      <c r="N1711" t="s">
        <v>68</v>
      </c>
      <c r="P1711" s="23">
        <v>67.86</v>
      </c>
      <c r="Q1711" s="4">
        <f t="shared" si="26"/>
        <v>-20</v>
      </c>
      <c r="R1711" s="23" t="s">
        <v>109</v>
      </c>
    </row>
    <row r="1712" spans="1:18" x14ac:dyDescent="0.25">
      <c r="A1712" s="42">
        <v>45737</v>
      </c>
      <c r="B1712" s="1">
        <v>510176949</v>
      </c>
      <c r="C1712" t="s">
        <v>3296</v>
      </c>
      <c r="D1712" s="22">
        <v>-6786</v>
      </c>
      <c r="E1712" t="s">
        <v>35</v>
      </c>
      <c r="F1712" s="2">
        <v>212901001</v>
      </c>
      <c r="G1712" s="2" t="s">
        <v>121</v>
      </c>
      <c r="L1712" s="2" t="s">
        <v>3297</v>
      </c>
      <c r="M1712" t="s">
        <v>67</v>
      </c>
      <c r="N1712" t="s">
        <v>68</v>
      </c>
      <c r="P1712" s="23">
        <v>67.86</v>
      </c>
      <c r="Q1712" s="4">
        <f t="shared" si="26"/>
        <v>-100</v>
      </c>
      <c r="R1712" s="23" t="s">
        <v>109</v>
      </c>
    </row>
    <row r="1713" spans="1:20" x14ac:dyDescent="0.25">
      <c r="A1713" s="42">
        <v>45737</v>
      </c>
      <c r="B1713" s="1">
        <v>510176950</v>
      </c>
      <c r="C1713" t="s">
        <v>3298</v>
      </c>
      <c r="D1713" s="22">
        <v>-13572</v>
      </c>
      <c r="E1713" t="s">
        <v>35</v>
      </c>
      <c r="F1713" s="2">
        <v>212901001</v>
      </c>
      <c r="G1713" s="2" t="s">
        <v>121</v>
      </c>
      <c r="L1713" s="2" t="s">
        <v>3299</v>
      </c>
      <c r="M1713" t="s">
        <v>67</v>
      </c>
      <c r="N1713" t="s">
        <v>68</v>
      </c>
      <c r="P1713" s="23">
        <v>67.86</v>
      </c>
      <c r="Q1713" s="4">
        <f t="shared" si="26"/>
        <v>-200</v>
      </c>
      <c r="R1713" s="23" t="s">
        <v>109</v>
      </c>
    </row>
    <row r="1714" spans="1:20" x14ac:dyDescent="0.25">
      <c r="A1714" s="42">
        <v>45737</v>
      </c>
      <c r="B1714" s="1">
        <v>510176953</v>
      </c>
      <c r="C1714" t="s">
        <v>3300</v>
      </c>
      <c r="D1714" s="22">
        <v>-2714.4</v>
      </c>
      <c r="E1714" t="s">
        <v>35</v>
      </c>
      <c r="F1714" s="2">
        <v>212901001</v>
      </c>
      <c r="G1714" s="2" t="s">
        <v>121</v>
      </c>
      <c r="L1714" s="2" t="s">
        <v>3301</v>
      </c>
      <c r="M1714" t="s">
        <v>67</v>
      </c>
      <c r="N1714" t="s">
        <v>68</v>
      </c>
      <c r="P1714" s="23">
        <v>67.86</v>
      </c>
      <c r="Q1714" s="4">
        <f t="shared" si="26"/>
        <v>-40</v>
      </c>
      <c r="R1714" s="23" t="s">
        <v>109</v>
      </c>
    </row>
    <row r="1715" spans="1:20" x14ac:dyDescent="0.25">
      <c r="A1715" s="42">
        <v>45737</v>
      </c>
      <c r="B1715" s="1">
        <v>410176948</v>
      </c>
      <c r="C1715" t="s">
        <v>3302</v>
      </c>
      <c r="D1715" s="22">
        <v>-1357.2</v>
      </c>
      <c r="E1715" t="s">
        <v>35</v>
      </c>
      <c r="F1715" s="2">
        <v>212901001</v>
      </c>
      <c r="G1715" s="2" t="s">
        <v>121</v>
      </c>
      <c r="L1715" s="2" t="s">
        <v>3303</v>
      </c>
      <c r="M1715" t="s">
        <v>67</v>
      </c>
      <c r="N1715" t="s">
        <v>68</v>
      </c>
      <c r="P1715" s="23">
        <v>67.86</v>
      </c>
      <c r="Q1715" s="4">
        <f t="shared" si="26"/>
        <v>-20</v>
      </c>
      <c r="R1715" s="23" t="s">
        <v>109</v>
      </c>
    </row>
    <row r="1716" spans="1:20" x14ac:dyDescent="0.25">
      <c r="A1716" s="42">
        <v>45737</v>
      </c>
      <c r="B1716" s="1">
        <v>510176951</v>
      </c>
      <c r="C1716" t="s">
        <v>3304</v>
      </c>
      <c r="D1716" s="22">
        <v>-7736.04</v>
      </c>
      <c r="E1716" t="s">
        <v>35</v>
      </c>
      <c r="F1716" s="2">
        <v>212901001</v>
      </c>
      <c r="G1716" s="2" t="s">
        <v>121</v>
      </c>
      <c r="L1716" s="2" t="s">
        <v>3305</v>
      </c>
      <c r="M1716" t="s">
        <v>67</v>
      </c>
      <c r="N1716" t="s">
        <v>68</v>
      </c>
      <c r="P1716" s="23">
        <v>67.86</v>
      </c>
      <c r="Q1716" s="4">
        <f t="shared" si="26"/>
        <v>-114</v>
      </c>
      <c r="R1716" s="23" t="s">
        <v>109</v>
      </c>
    </row>
    <row r="1717" spans="1:20" x14ac:dyDescent="0.25">
      <c r="A1717" s="42">
        <v>45737</v>
      </c>
      <c r="B1717" s="1">
        <v>510176952</v>
      </c>
      <c r="C1717" t="s">
        <v>3306</v>
      </c>
      <c r="D1717" s="22">
        <v>-2035.8</v>
      </c>
      <c r="E1717" t="s">
        <v>35</v>
      </c>
      <c r="F1717" s="2">
        <v>212901001</v>
      </c>
      <c r="G1717" s="2" t="s">
        <v>121</v>
      </c>
      <c r="L1717" s="2" t="s">
        <v>3307</v>
      </c>
      <c r="M1717" t="s">
        <v>67</v>
      </c>
      <c r="N1717" t="s">
        <v>68</v>
      </c>
      <c r="P1717" s="23">
        <v>67.86</v>
      </c>
      <c r="Q1717" s="4">
        <f t="shared" si="26"/>
        <v>-30</v>
      </c>
      <c r="R1717" s="23" t="s">
        <v>109</v>
      </c>
    </row>
    <row r="1718" spans="1:20" x14ac:dyDescent="0.25">
      <c r="A1718" s="42">
        <v>45737</v>
      </c>
      <c r="B1718" s="1">
        <v>410176947</v>
      </c>
      <c r="C1718" t="s">
        <v>3308</v>
      </c>
      <c r="D1718" s="22">
        <v>-1357.2</v>
      </c>
      <c r="E1718" t="s">
        <v>35</v>
      </c>
      <c r="F1718" s="2">
        <v>212901001</v>
      </c>
      <c r="G1718" s="2" t="s">
        <v>121</v>
      </c>
      <c r="L1718" s="2" t="s">
        <v>3309</v>
      </c>
      <c r="M1718" t="s">
        <v>67</v>
      </c>
      <c r="N1718" t="s">
        <v>68</v>
      </c>
      <c r="P1718" s="23">
        <v>67.86</v>
      </c>
      <c r="Q1718" s="4">
        <f t="shared" si="26"/>
        <v>-20</v>
      </c>
      <c r="R1718" s="23" t="s">
        <v>109</v>
      </c>
    </row>
    <row r="1719" spans="1:20" x14ac:dyDescent="0.25">
      <c r="A1719" s="42">
        <v>45737</v>
      </c>
      <c r="B1719" s="1">
        <v>50377520</v>
      </c>
      <c r="C1719" t="s">
        <v>3310</v>
      </c>
      <c r="D1719" s="22">
        <v>-9500.4</v>
      </c>
      <c r="E1719" t="s">
        <v>35</v>
      </c>
      <c r="F1719" s="2">
        <v>212901001</v>
      </c>
      <c r="G1719" s="2" t="s">
        <v>121</v>
      </c>
      <c r="L1719" s="2" t="s">
        <v>3311</v>
      </c>
      <c r="M1719" t="s">
        <v>67</v>
      </c>
      <c r="N1719" t="s">
        <v>68</v>
      </c>
      <c r="P1719" s="23">
        <v>67.86</v>
      </c>
      <c r="Q1719" s="4">
        <f t="shared" si="26"/>
        <v>-140</v>
      </c>
      <c r="R1719" s="23" t="s">
        <v>109</v>
      </c>
    </row>
    <row r="1720" spans="1:20" x14ac:dyDescent="0.25">
      <c r="A1720" s="42">
        <v>45737</v>
      </c>
      <c r="B1720" s="1">
        <v>50377520</v>
      </c>
      <c r="C1720" t="s">
        <v>296</v>
      </c>
      <c r="D1720" s="22">
        <v>-14.25</v>
      </c>
      <c r="E1720" t="s">
        <v>35</v>
      </c>
      <c r="F1720" s="2">
        <v>610148001</v>
      </c>
      <c r="G1720" s="2" t="s">
        <v>42</v>
      </c>
      <c r="L1720" s="2" t="s">
        <v>3312</v>
      </c>
      <c r="M1720" t="s">
        <v>43</v>
      </c>
      <c r="N1720" t="s">
        <v>42</v>
      </c>
      <c r="P1720" s="23">
        <v>67.86</v>
      </c>
      <c r="Q1720" s="4">
        <f t="shared" si="26"/>
        <v>-0.20999115826702033</v>
      </c>
      <c r="R1720" s="23" t="s">
        <v>109</v>
      </c>
      <c r="T1720" s="23" t="s">
        <v>2658</v>
      </c>
    </row>
    <row r="1721" spans="1:20" x14ac:dyDescent="0.25">
      <c r="A1721" s="42">
        <v>45737</v>
      </c>
      <c r="B1721" s="1">
        <v>50377520</v>
      </c>
      <c r="C1721" t="s">
        <v>118</v>
      </c>
      <c r="D1721" s="22">
        <v>-754.09</v>
      </c>
      <c r="E1721" t="s">
        <v>35</v>
      </c>
      <c r="F1721" s="2">
        <v>610148001</v>
      </c>
      <c r="G1721" s="2" t="s">
        <v>42</v>
      </c>
      <c r="L1721" s="2" t="s">
        <v>3313</v>
      </c>
      <c r="M1721" t="s">
        <v>43</v>
      </c>
      <c r="N1721" t="s">
        <v>42</v>
      </c>
      <c r="P1721" s="23">
        <v>67.86</v>
      </c>
      <c r="Q1721" s="4">
        <f t="shared" si="26"/>
        <v>-11.112437371058061</v>
      </c>
      <c r="R1721" s="23" t="s">
        <v>109</v>
      </c>
      <c r="T1721" s="23" t="s">
        <v>2658</v>
      </c>
    </row>
    <row r="1722" spans="1:20" x14ac:dyDescent="0.25">
      <c r="A1722" s="42">
        <v>45740</v>
      </c>
      <c r="B1722" s="1">
        <v>210284833</v>
      </c>
      <c r="C1722" t="s">
        <v>3314</v>
      </c>
      <c r="D1722" s="22">
        <v>-500</v>
      </c>
      <c r="E1722" t="s">
        <v>35</v>
      </c>
      <c r="F1722" s="2">
        <v>110110001</v>
      </c>
      <c r="G1722" s="2" t="s">
        <v>1276</v>
      </c>
      <c r="L1722" s="2" t="s">
        <v>3315</v>
      </c>
      <c r="M1722" t="s">
        <v>2629</v>
      </c>
      <c r="N1722" t="s">
        <v>115</v>
      </c>
      <c r="P1722" s="23">
        <v>68.31</v>
      </c>
      <c r="Q1722" s="4">
        <f t="shared" si="26"/>
        <v>-7.3195725369638414</v>
      </c>
      <c r="R1722" s="23" t="s">
        <v>109</v>
      </c>
      <c r="T1722" s="23" t="s">
        <v>3316</v>
      </c>
    </row>
    <row r="1723" spans="1:20" x14ac:dyDescent="0.25">
      <c r="A1723" s="42">
        <v>45740</v>
      </c>
      <c r="B1723" s="1">
        <v>210284833</v>
      </c>
      <c r="C1723" t="s">
        <v>306</v>
      </c>
      <c r="D1723" s="22">
        <v>-1.5</v>
      </c>
      <c r="E1723" t="s">
        <v>35</v>
      </c>
      <c r="F1723" s="2">
        <v>610148001</v>
      </c>
      <c r="G1723" s="2" t="s">
        <v>42</v>
      </c>
      <c r="L1723" s="2" t="s">
        <v>3317</v>
      </c>
      <c r="M1723" t="s">
        <v>43</v>
      </c>
      <c r="N1723" t="s">
        <v>42</v>
      </c>
      <c r="P1723" s="23">
        <v>68.31</v>
      </c>
      <c r="Q1723" s="4">
        <f t="shared" si="26"/>
        <v>-2.1958717610891524E-2</v>
      </c>
      <c r="R1723" s="23" t="s">
        <v>109</v>
      </c>
      <c r="T1723" s="23" t="s">
        <v>2658</v>
      </c>
    </row>
    <row r="1724" spans="1:20" x14ac:dyDescent="0.25">
      <c r="A1724" s="42">
        <v>45740</v>
      </c>
      <c r="B1724" s="1">
        <v>110287231</v>
      </c>
      <c r="C1724" t="s">
        <v>3318</v>
      </c>
      <c r="D1724" s="22">
        <v>-27214.02</v>
      </c>
      <c r="E1724" t="s">
        <v>35</v>
      </c>
      <c r="F1724" s="2">
        <v>210101001</v>
      </c>
      <c r="G1724" s="2" t="s">
        <v>36</v>
      </c>
      <c r="L1724" s="2" t="s">
        <v>3319</v>
      </c>
      <c r="M1724" t="s">
        <v>303</v>
      </c>
      <c r="N1724" t="s">
        <v>304</v>
      </c>
      <c r="P1724" s="23">
        <v>68.31</v>
      </c>
      <c r="Q1724" s="4">
        <f t="shared" si="26"/>
        <v>-398.38998682476944</v>
      </c>
      <c r="R1724" s="23" t="s">
        <v>109</v>
      </c>
    </row>
    <row r="1725" spans="1:20" x14ac:dyDescent="0.25">
      <c r="A1725" s="42">
        <v>45740</v>
      </c>
      <c r="B1725" s="1">
        <v>110287231</v>
      </c>
      <c r="C1725" t="s">
        <v>306</v>
      </c>
      <c r="D1725" s="22">
        <v>-81.64</v>
      </c>
      <c r="E1725" t="s">
        <v>35</v>
      </c>
      <c r="F1725" s="2">
        <v>610148001</v>
      </c>
      <c r="G1725" s="2" t="s">
        <v>42</v>
      </c>
      <c r="L1725" s="2" t="s">
        <v>3320</v>
      </c>
      <c r="M1725" t="s">
        <v>43</v>
      </c>
      <c r="N1725" t="s">
        <v>42</v>
      </c>
      <c r="P1725" s="23">
        <v>68.31</v>
      </c>
      <c r="Q1725" s="4">
        <f t="shared" si="26"/>
        <v>-1.1951398038354559</v>
      </c>
      <c r="R1725" s="23" t="s">
        <v>109</v>
      </c>
      <c r="T1725" s="23" t="s">
        <v>2658</v>
      </c>
    </row>
    <row r="1726" spans="1:20" x14ac:dyDescent="0.25">
      <c r="A1726" s="42">
        <v>45740</v>
      </c>
      <c r="B1726" s="1">
        <v>710292840</v>
      </c>
      <c r="C1726" t="s">
        <v>3321</v>
      </c>
      <c r="D1726" s="22">
        <v>-5979.88</v>
      </c>
      <c r="E1726" t="s">
        <v>35</v>
      </c>
      <c r="F1726" s="2">
        <v>110114001</v>
      </c>
      <c r="G1726" s="2" t="s">
        <v>301</v>
      </c>
      <c r="L1726" s="2" t="s">
        <v>3322</v>
      </c>
      <c r="M1726" t="s">
        <v>38</v>
      </c>
      <c r="N1726" t="s">
        <v>39</v>
      </c>
      <c r="P1726" s="23">
        <v>68.31</v>
      </c>
      <c r="Q1726" s="4">
        <f t="shared" si="26"/>
        <v>-87.540330844678664</v>
      </c>
      <c r="R1726" s="23" t="s">
        <v>109</v>
      </c>
      <c r="S1726" s="33" t="s">
        <v>1353</v>
      </c>
    </row>
    <row r="1727" spans="1:20" x14ac:dyDescent="0.25">
      <c r="A1727" s="42">
        <v>45740</v>
      </c>
      <c r="B1727" s="1">
        <v>710292840</v>
      </c>
      <c r="C1727" t="s">
        <v>306</v>
      </c>
      <c r="D1727" s="22">
        <v>-17.940000000000001</v>
      </c>
      <c r="E1727" t="s">
        <v>35</v>
      </c>
      <c r="F1727" s="2">
        <v>610148001</v>
      </c>
      <c r="G1727" s="2" t="s">
        <v>42</v>
      </c>
      <c r="L1727" s="2" t="s">
        <v>3323</v>
      </c>
      <c r="M1727" t="s">
        <v>43</v>
      </c>
      <c r="N1727" t="s">
        <v>42</v>
      </c>
      <c r="P1727" s="23">
        <v>68.31</v>
      </c>
      <c r="Q1727" s="4">
        <f t="shared" si="26"/>
        <v>-0.26262626262626265</v>
      </c>
      <c r="R1727" s="23" t="s">
        <v>109</v>
      </c>
      <c r="T1727" s="23" t="s">
        <v>2658</v>
      </c>
    </row>
    <row r="1728" spans="1:20" x14ac:dyDescent="0.25">
      <c r="A1728" s="42">
        <v>45740</v>
      </c>
      <c r="B1728" s="1">
        <v>141648306</v>
      </c>
      <c r="C1728" t="s">
        <v>3324</v>
      </c>
      <c r="D1728" s="22">
        <v>-8402.16</v>
      </c>
      <c r="E1728" t="s">
        <v>35</v>
      </c>
      <c r="F1728" s="2">
        <v>210101001</v>
      </c>
      <c r="G1728" s="2" t="s">
        <v>36</v>
      </c>
      <c r="L1728" s="2" t="s">
        <v>3325</v>
      </c>
      <c r="M1728" t="s">
        <v>3326</v>
      </c>
      <c r="N1728" t="s">
        <v>3327</v>
      </c>
      <c r="P1728" s="23">
        <v>68.31</v>
      </c>
      <c r="Q1728" s="4">
        <f t="shared" si="26"/>
        <v>-123.00043917435221</v>
      </c>
      <c r="R1728" s="23" t="s">
        <v>109</v>
      </c>
    </row>
    <row r="1729" spans="1:20" x14ac:dyDescent="0.25">
      <c r="A1729" s="42">
        <v>45740</v>
      </c>
      <c r="B1729" s="1">
        <v>637026637</v>
      </c>
      <c r="C1729" t="s">
        <v>3328</v>
      </c>
      <c r="D1729" s="22">
        <v>13946.17</v>
      </c>
      <c r="E1729" t="s">
        <v>46</v>
      </c>
      <c r="F1729" s="2">
        <v>110106001</v>
      </c>
      <c r="G1729" s="2" t="s">
        <v>2034</v>
      </c>
      <c r="L1729" s="2" t="s">
        <v>3329</v>
      </c>
      <c r="N1729" t="s">
        <v>3330</v>
      </c>
      <c r="P1729" s="23">
        <v>68.31</v>
      </c>
      <c r="Q1729" s="4">
        <f t="shared" si="26"/>
        <v>204.16000585565803</v>
      </c>
      <c r="R1729" s="23" t="s">
        <v>109</v>
      </c>
    </row>
    <row r="1730" spans="1:20" x14ac:dyDescent="0.25">
      <c r="A1730" s="42">
        <v>45740</v>
      </c>
      <c r="B1730" s="1">
        <v>637026637</v>
      </c>
      <c r="C1730" t="s">
        <v>2037</v>
      </c>
      <c r="D1730" s="22">
        <v>-209.19</v>
      </c>
      <c r="E1730" t="s">
        <v>35</v>
      </c>
      <c r="F1730" s="2">
        <v>610148001</v>
      </c>
      <c r="G1730" s="2" t="s">
        <v>42</v>
      </c>
      <c r="L1730" s="2" t="s">
        <v>3331</v>
      </c>
      <c r="M1730" t="s">
        <v>43</v>
      </c>
      <c r="N1730" t="s">
        <v>42</v>
      </c>
      <c r="P1730" s="23">
        <v>68.31</v>
      </c>
      <c r="Q1730" s="4">
        <f t="shared" si="26"/>
        <v>-3.062362758014932</v>
      </c>
      <c r="R1730" s="23" t="s">
        <v>109</v>
      </c>
      <c r="T1730" s="23" t="s">
        <v>2658</v>
      </c>
    </row>
    <row r="1731" spans="1:20" x14ac:dyDescent="0.25">
      <c r="A1731" s="42">
        <v>45740</v>
      </c>
      <c r="B1731" s="1">
        <v>210301519</v>
      </c>
      <c r="C1731" t="s">
        <v>1819</v>
      </c>
      <c r="D1731" s="22">
        <v>-60</v>
      </c>
      <c r="E1731" t="s">
        <v>35</v>
      </c>
      <c r="F1731" s="2">
        <v>210101001</v>
      </c>
      <c r="G1731" s="2" t="s">
        <v>36</v>
      </c>
      <c r="L1731" s="2" t="s">
        <v>3332</v>
      </c>
      <c r="M1731" t="s">
        <v>725</v>
      </c>
      <c r="N1731" t="s">
        <v>726</v>
      </c>
      <c r="P1731" s="23">
        <v>68.31</v>
      </c>
      <c r="Q1731" s="4">
        <f t="shared" si="26"/>
        <v>-0.87834870443566093</v>
      </c>
      <c r="R1731" s="23" t="s">
        <v>109</v>
      </c>
      <c r="S1731" t="s">
        <v>1353</v>
      </c>
    </row>
    <row r="1732" spans="1:20" x14ac:dyDescent="0.25">
      <c r="A1732" s="42">
        <v>45740</v>
      </c>
      <c r="B1732" s="1">
        <v>210301519</v>
      </c>
      <c r="C1732" t="s">
        <v>306</v>
      </c>
      <c r="D1732" s="22">
        <v>-0.18</v>
      </c>
      <c r="E1732" t="s">
        <v>35</v>
      </c>
      <c r="F1732" s="2">
        <v>610148001</v>
      </c>
      <c r="G1732" s="2" t="s">
        <v>42</v>
      </c>
      <c r="L1732" s="2" t="s">
        <v>3333</v>
      </c>
      <c r="M1732" t="s">
        <v>43</v>
      </c>
      <c r="N1732" t="s">
        <v>42</v>
      </c>
      <c r="P1732" s="23">
        <v>68.31</v>
      </c>
      <c r="Q1732" s="4">
        <f t="shared" si="26"/>
        <v>-2.6350461133069825E-3</v>
      </c>
      <c r="R1732" s="23" t="s">
        <v>109</v>
      </c>
      <c r="T1732" s="23" t="s">
        <v>2658</v>
      </c>
    </row>
    <row r="1733" spans="1:20" x14ac:dyDescent="0.25">
      <c r="A1733" s="42">
        <v>45741</v>
      </c>
      <c r="B1733" s="1">
        <v>810026649</v>
      </c>
      <c r="C1733" t="s">
        <v>3334</v>
      </c>
      <c r="D1733" s="22">
        <v>15231.82</v>
      </c>
      <c r="E1733" t="s">
        <v>46</v>
      </c>
      <c r="F1733" s="2">
        <v>110106001</v>
      </c>
      <c r="G1733" s="2" t="s">
        <v>2034</v>
      </c>
      <c r="L1733" s="2" t="s">
        <v>3335</v>
      </c>
      <c r="N1733" t="s">
        <v>3330</v>
      </c>
      <c r="P1733" s="23">
        <v>68.39</v>
      </c>
      <c r="Q1733" s="4">
        <f t="shared" si="26"/>
        <v>222.71998830238337</v>
      </c>
      <c r="R1733" s="23" t="s">
        <v>109</v>
      </c>
    </row>
    <row r="1734" spans="1:20" x14ac:dyDescent="0.25">
      <c r="A1734" s="42">
        <v>45741</v>
      </c>
      <c r="B1734" s="1">
        <v>810026649</v>
      </c>
      <c r="C1734" t="s">
        <v>2037</v>
      </c>
      <c r="D1734" s="22">
        <v>-228.47</v>
      </c>
      <c r="E1734" t="s">
        <v>35</v>
      </c>
      <c r="F1734" s="2">
        <v>610148001</v>
      </c>
      <c r="G1734" s="2" t="s">
        <v>42</v>
      </c>
      <c r="L1734" s="2" t="s">
        <v>3336</v>
      </c>
      <c r="M1734" t="s">
        <v>43</v>
      </c>
      <c r="N1734" t="s">
        <v>42</v>
      </c>
      <c r="P1734" s="23">
        <v>68.39</v>
      </c>
      <c r="Q1734" s="4">
        <f t="shared" si="26"/>
        <v>-3.3406930837841791</v>
      </c>
      <c r="R1734" s="23" t="s">
        <v>109</v>
      </c>
      <c r="T1734" s="23" t="s">
        <v>2658</v>
      </c>
    </row>
    <row r="1735" spans="1:20" x14ac:dyDescent="0.25">
      <c r="A1735" s="42">
        <v>45741</v>
      </c>
      <c r="B1735" s="1">
        <v>110338653</v>
      </c>
      <c r="C1735" t="s">
        <v>3337</v>
      </c>
      <c r="D1735" s="22">
        <v>-3009.16</v>
      </c>
      <c r="E1735" t="s">
        <v>35</v>
      </c>
      <c r="F1735" s="2">
        <v>210101001</v>
      </c>
      <c r="G1735" s="2" t="s">
        <v>36</v>
      </c>
      <c r="L1735" s="2" t="s">
        <v>3338</v>
      </c>
      <c r="M1735" t="s">
        <v>788</v>
      </c>
      <c r="N1735" t="s">
        <v>789</v>
      </c>
      <c r="P1735" s="23">
        <v>68.39</v>
      </c>
      <c r="Q1735" s="4">
        <f t="shared" si="26"/>
        <v>-44</v>
      </c>
      <c r="R1735" s="23" t="s">
        <v>109</v>
      </c>
    </row>
    <row r="1736" spans="1:20" x14ac:dyDescent="0.25">
      <c r="A1736" s="42">
        <v>45741</v>
      </c>
      <c r="B1736" s="1">
        <v>110338653</v>
      </c>
      <c r="C1736" t="s">
        <v>306</v>
      </c>
      <c r="D1736" s="22">
        <v>-9.0299999999999994</v>
      </c>
      <c r="E1736" t="s">
        <v>35</v>
      </c>
      <c r="F1736" s="2">
        <v>610148001</v>
      </c>
      <c r="G1736" s="2" t="s">
        <v>42</v>
      </c>
      <c r="L1736" s="2" t="s">
        <v>3339</v>
      </c>
      <c r="M1736" t="s">
        <v>43</v>
      </c>
      <c r="N1736" t="s">
        <v>42</v>
      </c>
      <c r="P1736" s="23">
        <v>68.39</v>
      </c>
      <c r="Q1736" s="4">
        <f t="shared" si="26"/>
        <v>-0.13203684749232342</v>
      </c>
      <c r="R1736" s="23" t="s">
        <v>109</v>
      </c>
      <c r="T1736" s="23" t="s">
        <v>2658</v>
      </c>
    </row>
    <row r="1737" spans="1:20" x14ac:dyDescent="0.25">
      <c r="A1737" s="42">
        <v>45741</v>
      </c>
      <c r="B1737" s="1">
        <v>232026656</v>
      </c>
      <c r="C1737" t="s">
        <v>3340</v>
      </c>
      <c r="D1737" s="22">
        <v>15231.82</v>
      </c>
      <c r="E1737" t="s">
        <v>46</v>
      </c>
      <c r="F1737" s="2">
        <v>110106001</v>
      </c>
      <c r="G1737" s="2" t="s">
        <v>2034</v>
      </c>
      <c r="L1737" s="2" t="s">
        <v>3341</v>
      </c>
      <c r="N1737" t="s">
        <v>3330</v>
      </c>
      <c r="P1737" s="23">
        <v>68.39</v>
      </c>
      <c r="Q1737" s="4">
        <f t="shared" si="26"/>
        <v>222.71998830238337</v>
      </c>
      <c r="R1737" s="23" t="s">
        <v>109</v>
      </c>
    </row>
    <row r="1738" spans="1:20" x14ac:dyDescent="0.25">
      <c r="A1738" s="42">
        <v>45741</v>
      </c>
      <c r="B1738" s="1">
        <v>232026656</v>
      </c>
      <c r="C1738" t="s">
        <v>2037</v>
      </c>
      <c r="D1738" s="22">
        <v>-228.47</v>
      </c>
      <c r="E1738" t="s">
        <v>35</v>
      </c>
      <c r="F1738" s="2">
        <v>610148001</v>
      </c>
      <c r="G1738" s="2" t="s">
        <v>42</v>
      </c>
      <c r="L1738" s="2" t="s">
        <v>3342</v>
      </c>
      <c r="M1738" t="s">
        <v>43</v>
      </c>
      <c r="N1738" t="s">
        <v>42</v>
      </c>
      <c r="P1738" s="23">
        <v>68.39</v>
      </c>
      <c r="Q1738" s="4">
        <f t="shared" si="26"/>
        <v>-3.3406930837841791</v>
      </c>
      <c r="R1738" s="23" t="s">
        <v>109</v>
      </c>
      <c r="T1738" s="23" t="s">
        <v>2658</v>
      </c>
    </row>
    <row r="1739" spans="1:20" x14ac:dyDescent="0.25">
      <c r="A1739" s="42">
        <v>45741</v>
      </c>
      <c r="B1739" s="1">
        <v>210347130</v>
      </c>
      <c r="C1739" t="s">
        <v>3343</v>
      </c>
      <c r="D1739" s="22">
        <v>-14164.76</v>
      </c>
      <c r="E1739" t="s">
        <v>35</v>
      </c>
      <c r="F1739" s="2">
        <v>210101001</v>
      </c>
      <c r="G1739" s="2" t="s">
        <v>36</v>
      </c>
      <c r="L1739" s="2" t="s">
        <v>3344</v>
      </c>
      <c r="M1739" t="s">
        <v>760</v>
      </c>
      <c r="N1739" t="s">
        <v>761</v>
      </c>
      <c r="P1739" s="23">
        <v>68.39</v>
      </c>
      <c r="Q1739" s="4">
        <f t="shared" ref="Q1739:Q1802" si="27">D1739/P1739</f>
        <v>-207.11741482672906</v>
      </c>
      <c r="R1739" s="23" t="s">
        <v>109</v>
      </c>
    </row>
    <row r="1740" spans="1:20" x14ac:dyDescent="0.25">
      <c r="A1740" s="42">
        <v>45741</v>
      </c>
      <c r="B1740" s="1">
        <v>210347130</v>
      </c>
      <c r="C1740" t="s">
        <v>306</v>
      </c>
      <c r="D1740" s="22">
        <v>-42.49</v>
      </c>
      <c r="E1740" t="s">
        <v>35</v>
      </c>
      <c r="F1740" s="2">
        <v>610148001</v>
      </c>
      <c r="G1740" s="2" t="s">
        <v>42</v>
      </c>
      <c r="L1740" s="2" t="s">
        <v>3345</v>
      </c>
      <c r="M1740" t="s">
        <v>43</v>
      </c>
      <c r="N1740" t="s">
        <v>42</v>
      </c>
      <c r="P1740" s="23">
        <v>68.39</v>
      </c>
      <c r="Q1740" s="4">
        <f t="shared" si="27"/>
        <v>-0.62128966223132043</v>
      </c>
      <c r="R1740" s="23" t="s">
        <v>109</v>
      </c>
      <c r="T1740" s="23" t="s">
        <v>2658</v>
      </c>
    </row>
    <row r="1741" spans="1:20" x14ac:dyDescent="0.25">
      <c r="A1741" s="42">
        <v>45741</v>
      </c>
      <c r="B1741" s="1">
        <v>910350139</v>
      </c>
      <c r="C1741" t="s">
        <v>3346</v>
      </c>
      <c r="D1741" s="22">
        <v>-13804.09</v>
      </c>
      <c r="E1741" t="s">
        <v>35</v>
      </c>
      <c r="F1741" s="2">
        <v>210101001</v>
      </c>
      <c r="G1741" s="2" t="s">
        <v>36</v>
      </c>
      <c r="L1741" s="2" t="s">
        <v>3347</v>
      </c>
      <c r="M1741" t="s">
        <v>1866</v>
      </c>
      <c r="N1741" t="s">
        <v>1867</v>
      </c>
      <c r="P1741" s="23">
        <v>68.39</v>
      </c>
      <c r="Q1741" s="4">
        <f t="shared" si="27"/>
        <v>-201.84369059804064</v>
      </c>
      <c r="R1741" s="23" t="s">
        <v>109</v>
      </c>
    </row>
    <row r="1742" spans="1:20" x14ac:dyDescent="0.25">
      <c r="A1742" s="42">
        <v>45741</v>
      </c>
      <c r="B1742" s="1">
        <v>910350139</v>
      </c>
      <c r="C1742" t="s">
        <v>306</v>
      </c>
      <c r="D1742" s="22">
        <v>-41.41</v>
      </c>
      <c r="E1742" t="s">
        <v>35</v>
      </c>
      <c r="F1742" s="2">
        <v>610148001</v>
      </c>
      <c r="G1742" s="2" t="s">
        <v>42</v>
      </c>
      <c r="L1742" s="2" t="s">
        <v>3348</v>
      </c>
      <c r="M1742" t="s">
        <v>43</v>
      </c>
      <c r="N1742" t="s">
        <v>42</v>
      </c>
      <c r="P1742" s="23">
        <v>68.39</v>
      </c>
      <c r="Q1742" s="4">
        <f t="shared" si="27"/>
        <v>-0.60549787980698933</v>
      </c>
      <c r="R1742" s="23" t="s">
        <v>109</v>
      </c>
      <c r="T1742" s="23" t="s">
        <v>2658</v>
      </c>
    </row>
    <row r="1743" spans="1:20" x14ac:dyDescent="0.25">
      <c r="A1743" s="42">
        <v>45741</v>
      </c>
      <c r="B1743" s="1">
        <v>910350177</v>
      </c>
      <c r="C1743" t="s">
        <v>3349</v>
      </c>
      <c r="D1743" s="22">
        <v>-992.21</v>
      </c>
      <c r="E1743" t="s">
        <v>35</v>
      </c>
      <c r="F1743" s="2">
        <v>210101001</v>
      </c>
      <c r="G1743" s="2" t="s">
        <v>36</v>
      </c>
      <c r="L1743" s="2" t="s">
        <v>3350</v>
      </c>
      <c r="M1743" t="s">
        <v>788</v>
      </c>
      <c r="N1743" t="s">
        <v>789</v>
      </c>
      <c r="P1743" s="23">
        <v>68.39</v>
      </c>
      <c r="Q1743" s="4">
        <f t="shared" si="27"/>
        <v>-14.508115221523616</v>
      </c>
      <c r="R1743" s="23" t="s">
        <v>109</v>
      </c>
    </row>
    <row r="1744" spans="1:20" x14ac:dyDescent="0.25">
      <c r="A1744" s="42">
        <v>45741</v>
      </c>
      <c r="B1744" s="1">
        <v>910350177</v>
      </c>
      <c r="C1744" t="s">
        <v>306</v>
      </c>
      <c r="D1744" s="22">
        <v>-2.98</v>
      </c>
      <c r="E1744" t="s">
        <v>35</v>
      </c>
      <c r="F1744" s="2">
        <v>610148001</v>
      </c>
      <c r="G1744" s="2" t="s">
        <v>42</v>
      </c>
      <c r="L1744" s="2" t="s">
        <v>3351</v>
      </c>
      <c r="M1744" t="s">
        <v>43</v>
      </c>
      <c r="N1744" t="s">
        <v>42</v>
      </c>
      <c r="P1744" s="23">
        <v>68.39</v>
      </c>
      <c r="Q1744" s="4">
        <f t="shared" si="27"/>
        <v>-4.3573621874543063E-2</v>
      </c>
      <c r="R1744" s="23" t="s">
        <v>109</v>
      </c>
      <c r="T1744" s="23" t="s">
        <v>2658</v>
      </c>
    </row>
    <row r="1745" spans="1:20" x14ac:dyDescent="0.25">
      <c r="A1745" s="42">
        <v>45741</v>
      </c>
      <c r="B1745" s="1">
        <v>710350919</v>
      </c>
      <c r="C1745" t="s">
        <v>3352</v>
      </c>
      <c r="D1745" s="22">
        <v>-34509.589999999997</v>
      </c>
      <c r="E1745" t="s">
        <v>35</v>
      </c>
      <c r="F1745" s="2">
        <v>210101001</v>
      </c>
      <c r="G1745" s="2" t="s">
        <v>36</v>
      </c>
      <c r="L1745" s="2" t="s">
        <v>3353</v>
      </c>
      <c r="M1745" t="s">
        <v>303</v>
      </c>
      <c r="N1745" t="s">
        <v>304</v>
      </c>
      <c r="P1745" s="23">
        <v>68.39</v>
      </c>
      <c r="Q1745" s="4">
        <f t="shared" si="27"/>
        <v>-504.59994151191688</v>
      </c>
      <c r="R1745" s="23" t="s">
        <v>109</v>
      </c>
    </row>
    <row r="1746" spans="1:20" x14ac:dyDescent="0.25">
      <c r="A1746" s="42">
        <v>45741</v>
      </c>
      <c r="B1746" s="1">
        <v>710350919</v>
      </c>
      <c r="C1746" t="s">
        <v>306</v>
      </c>
      <c r="D1746" s="22">
        <v>-103.53</v>
      </c>
      <c r="E1746" t="s">
        <v>35</v>
      </c>
      <c r="F1746" s="2">
        <v>610148001</v>
      </c>
      <c r="G1746" s="2" t="s">
        <v>42</v>
      </c>
      <c r="L1746" s="2" t="s">
        <v>3354</v>
      </c>
      <c r="M1746" t="s">
        <v>43</v>
      </c>
      <c r="N1746" t="s">
        <v>42</v>
      </c>
      <c r="P1746" s="23">
        <v>68.39</v>
      </c>
      <c r="Q1746" s="4">
        <f t="shared" si="27"/>
        <v>-1.5138178096212898</v>
      </c>
      <c r="R1746" s="23" t="s">
        <v>109</v>
      </c>
      <c r="T1746" s="23" t="s">
        <v>2658</v>
      </c>
    </row>
    <row r="1747" spans="1:20" x14ac:dyDescent="0.25">
      <c r="A1747" s="42">
        <v>45741</v>
      </c>
      <c r="B1747" s="1">
        <v>410351039</v>
      </c>
      <c r="C1747" t="s">
        <v>3355</v>
      </c>
      <c r="D1747" s="22">
        <v>-3966.67</v>
      </c>
      <c r="E1747" t="s">
        <v>35</v>
      </c>
      <c r="F1747" s="2">
        <v>210101001</v>
      </c>
      <c r="G1747" s="2" t="s">
        <v>36</v>
      </c>
      <c r="L1747" s="2" t="s">
        <v>3356</v>
      </c>
      <c r="M1747" t="s">
        <v>2028</v>
      </c>
      <c r="N1747" t="s">
        <v>2029</v>
      </c>
      <c r="P1747" s="23">
        <v>68.39</v>
      </c>
      <c r="Q1747" s="4">
        <f t="shared" si="27"/>
        <v>-58.000731101038163</v>
      </c>
      <c r="R1747" s="23" t="s">
        <v>109</v>
      </c>
    </row>
    <row r="1748" spans="1:20" x14ac:dyDescent="0.25">
      <c r="A1748" s="42">
        <v>45741</v>
      </c>
      <c r="B1748" s="1">
        <v>410351039</v>
      </c>
      <c r="C1748" t="s">
        <v>306</v>
      </c>
      <c r="D1748" s="22">
        <v>-11.9</v>
      </c>
      <c r="E1748" t="s">
        <v>35</v>
      </c>
      <c r="F1748" s="2">
        <v>610148001</v>
      </c>
      <c r="G1748" s="2" t="s">
        <v>42</v>
      </c>
      <c r="L1748" s="2" t="s">
        <v>3357</v>
      </c>
      <c r="M1748" t="s">
        <v>43</v>
      </c>
      <c r="N1748" t="s">
        <v>42</v>
      </c>
      <c r="P1748" s="23">
        <v>68.39</v>
      </c>
      <c r="Q1748" s="4">
        <f t="shared" si="27"/>
        <v>-0.17400204708290687</v>
      </c>
      <c r="R1748" s="23" t="s">
        <v>109</v>
      </c>
      <c r="T1748" s="23" t="s">
        <v>2658</v>
      </c>
    </row>
    <row r="1749" spans="1:20" x14ac:dyDescent="0.25">
      <c r="A1749" s="42">
        <v>45741</v>
      </c>
      <c r="B1749" s="1">
        <v>410355996</v>
      </c>
      <c r="C1749" t="s">
        <v>3358</v>
      </c>
      <c r="D1749" s="22">
        <v>-3419.5</v>
      </c>
      <c r="E1749" t="s">
        <v>35</v>
      </c>
      <c r="F1749" s="2">
        <v>210101001</v>
      </c>
      <c r="G1749" s="2" t="s">
        <v>36</v>
      </c>
      <c r="L1749" s="2" t="s">
        <v>3359</v>
      </c>
      <c r="M1749" t="s">
        <v>114</v>
      </c>
      <c r="N1749" t="s">
        <v>115</v>
      </c>
      <c r="P1749" s="23">
        <v>68.39</v>
      </c>
      <c r="Q1749" s="4">
        <f t="shared" si="27"/>
        <v>-50</v>
      </c>
      <c r="R1749" s="23" t="s">
        <v>109</v>
      </c>
    </row>
    <row r="1750" spans="1:20" x14ac:dyDescent="0.25">
      <c r="A1750" s="42">
        <v>45741</v>
      </c>
      <c r="B1750" s="1">
        <v>410355996</v>
      </c>
      <c r="C1750" t="s">
        <v>306</v>
      </c>
      <c r="D1750" s="22">
        <v>-10.26</v>
      </c>
      <c r="E1750" t="s">
        <v>35</v>
      </c>
      <c r="F1750" s="2">
        <v>610148001</v>
      </c>
      <c r="G1750" s="2" t="s">
        <v>42</v>
      </c>
      <c r="L1750" s="2" t="s">
        <v>3360</v>
      </c>
      <c r="M1750" t="s">
        <v>43</v>
      </c>
      <c r="N1750" t="s">
        <v>42</v>
      </c>
      <c r="P1750" s="23">
        <v>68.39</v>
      </c>
      <c r="Q1750" s="4">
        <f t="shared" si="27"/>
        <v>-0.15002193303114489</v>
      </c>
      <c r="R1750" s="23" t="s">
        <v>109</v>
      </c>
      <c r="T1750" s="23" t="s">
        <v>2658</v>
      </c>
    </row>
    <row r="1751" spans="1:20" x14ac:dyDescent="0.25">
      <c r="A1751" s="42">
        <v>45742</v>
      </c>
      <c r="B1751" s="1">
        <v>0</v>
      </c>
      <c r="C1751" t="s">
        <v>1565</v>
      </c>
      <c r="D1751" s="22">
        <v>-0.13</v>
      </c>
      <c r="E1751" t="s">
        <v>35</v>
      </c>
      <c r="F1751" s="2">
        <v>610148001</v>
      </c>
      <c r="G1751" s="2" t="s">
        <v>42</v>
      </c>
      <c r="L1751" s="2" t="s">
        <v>3361</v>
      </c>
      <c r="M1751" t="s">
        <v>43</v>
      </c>
      <c r="N1751" t="s">
        <v>42</v>
      </c>
      <c r="P1751" s="23">
        <v>68.7</v>
      </c>
      <c r="Q1751" s="4">
        <f t="shared" si="27"/>
        <v>-1.8922852983988354E-3</v>
      </c>
      <c r="R1751" s="23" t="s">
        <v>109</v>
      </c>
      <c r="T1751" s="23" t="s">
        <v>2658</v>
      </c>
    </row>
    <row r="1752" spans="1:20" x14ac:dyDescent="0.25">
      <c r="A1752" s="42">
        <v>45742</v>
      </c>
      <c r="B1752" s="1">
        <v>510411910</v>
      </c>
      <c r="C1752" t="s">
        <v>3362</v>
      </c>
      <c r="D1752" s="22">
        <v>-3898.23</v>
      </c>
      <c r="E1752" t="s">
        <v>35</v>
      </c>
      <c r="F1752" s="2">
        <v>110114001</v>
      </c>
      <c r="G1752" s="2" t="s">
        <v>301</v>
      </c>
      <c r="L1752" s="2" t="s">
        <v>3363</v>
      </c>
      <c r="M1752" s="52" t="s">
        <v>521</v>
      </c>
      <c r="N1752" s="52" t="s">
        <v>3364</v>
      </c>
      <c r="O1752" s="52"/>
      <c r="P1752" s="23">
        <v>68.7</v>
      </c>
      <c r="Q1752" s="4">
        <f t="shared" si="27"/>
        <v>-56.742794759825323</v>
      </c>
      <c r="R1752" s="23" t="s">
        <v>109</v>
      </c>
      <c r="S1752" s="33" t="s">
        <v>2726</v>
      </c>
    </row>
    <row r="1753" spans="1:20" x14ac:dyDescent="0.25">
      <c r="A1753" s="42">
        <v>45742</v>
      </c>
      <c r="B1753" s="1">
        <v>510411910</v>
      </c>
      <c r="C1753" t="s">
        <v>306</v>
      </c>
      <c r="D1753" s="22">
        <v>-11.69</v>
      </c>
      <c r="E1753" t="s">
        <v>35</v>
      </c>
      <c r="F1753" s="2">
        <v>610148001</v>
      </c>
      <c r="G1753" s="2" t="s">
        <v>42</v>
      </c>
      <c r="L1753" s="2" t="s">
        <v>3365</v>
      </c>
      <c r="M1753" t="s">
        <v>43</v>
      </c>
      <c r="N1753" t="s">
        <v>42</v>
      </c>
      <c r="P1753" s="23">
        <v>68.7</v>
      </c>
      <c r="Q1753" s="4">
        <f t="shared" si="27"/>
        <v>-0.17016011644832604</v>
      </c>
      <c r="R1753" s="23" t="s">
        <v>109</v>
      </c>
      <c r="T1753" s="23" t="s">
        <v>2658</v>
      </c>
    </row>
    <row r="1754" spans="1:20" x14ac:dyDescent="0.25">
      <c r="A1754" s="42">
        <v>45742</v>
      </c>
      <c r="B1754" s="1">
        <v>143021301</v>
      </c>
      <c r="C1754" t="s">
        <v>3366</v>
      </c>
      <c r="D1754" s="22">
        <v>8965.7800000000007</v>
      </c>
      <c r="E1754" t="s">
        <v>46</v>
      </c>
      <c r="F1754" s="2">
        <v>110106001</v>
      </c>
      <c r="G1754" s="2" t="s">
        <v>2034</v>
      </c>
      <c r="L1754" s="2" t="s">
        <v>3367</v>
      </c>
      <c r="N1754" t="s">
        <v>3330</v>
      </c>
      <c r="P1754" s="23">
        <v>68.7</v>
      </c>
      <c r="Q1754" s="4">
        <f t="shared" si="27"/>
        <v>130.50625909752549</v>
      </c>
      <c r="R1754" s="23" t="s">
        <v>109</v>
      </c>
    </row>
    <row r="1755" spans="1:20" x14ac:dyDescent="0.25">
      <c r="A1755" s="42">
        <v>45742</v>
      </c>
      <c r="B1755" s="1">
        <v>143021301</v>
      </c>
      <c r="C1755" t="s">
        <v>2037</v>
      </c>
      <c r="D1755" s="22">
        <v>-134.47999999999999</v>
      </c>
      <c r="E1755" t="s">
        <v>35</v>
      </c>
      <c r="F1755" s="2">
        <v>610148001</v>
      </c>
      <c r="G1755" s="2" t="s">
        <v>42</v>
      </c>
      <c r="L1755" s="2" t="s">
        <v>3368</v>
      </c>
      <c r="M1755" t="s">
        <v>43</v>
      </c>
      <c r="N1755" t="s">
        <v>42</v>
      </c>
      <c r="P1755" s="23">
        <v>68.7</v>
      </c>
      <c r="Q1755" s="4">
        <f t="shared" si="27"/>
        <v>-1.9574963609898106</v>
      </c>
      <c r="R1755" s="23" t="s">
        <v>109</v>
      </c>
      <c r="T1755" s="23" t="s">
        <v>2658</v>
      </c>
    </row>
    <row r="1756" spans="1:20" x14ac:dyDescent="0.25">
      <c r="A1756" s="42">
        <v>45743</v>
      </c>
      <c r="B1756" s="1">
        <v>141524815</v>
      </c>
      <c r="C1756" t="s">
        <v>3369</v>
      </c>
      <c r="D1756" s="22">
        <v>20000</v>
      </c>
      <c r="E1756" t="s">
        <v>46</v>
      </c>
      <c r="F1756" s="2">
        <v>210115002</v>
      </c>
      <c r="G1756" s="2" t="s">
        <v>47</v>
      </c>
      <c r="L1756" s="2" t="s">
        <v>3370</v>
      </c>
      <c r="N1756" s="48" t="s">
        <v>3369</v>
      </c>
      <c r="O1756" s="48"/>
      <c r="P1756" s="23">
        <v>69.02</v>
      </c>
      <c r="Q1756" s="4">
        <f t="shared" si="27"/>
        <v>289.77108084613155</v>
      </c>
      <c r="R1756" s="23" t="s">
        <v>109</v>
      </c>
    </row>
    <row r="1757" spans="1:20" x14ac:dyDescent="0.25">
      <c r="A1757" s="42">
        <v>45743</v>
      </c>
      <c r="B1757" s="1">
        <v>210471277</v>
      </c>
      <c r="C1757" t="s">
        <v>3371</v>
      </c>
      <c r="D1757" s="22">
        <v>-30904.400000000001</v>
      </c>
      <c r="E1757" t="s">
        <v>35</v>
      </c>
      <c r="F1757" s="2">
        <v>110114001</v>
      </c>
      <c r="G1757" s="2" t="s">
        <v>301</v>
      </c>
      <c r="L1757" s="2" t="s">
        <v>3372</v>
      </c>
      <c r="M1757" t="s">
        <v>760</v>
      </c>
      <c r="N1757" s="48" t="s">
        <v>761</v>
      </c>
      <c r="O1757" s="48"/>
      <c r="P1757" s="23">
        <v>69.02</v>
      </c>
      <c r="Q1757" s="4">
        <f t="shared" si="27"/>
        <v>-447.76006954505942</v>
      </c>
      <c r="R1757" s="23" t="s">
        <v>109</v>
      </c>
      <c r="S1757" s="33" t="s">
        <v>2726</v>
      </c>
    </row>
    <row r="1758" spans="1:20" x14ac:dyDescent="0.25">
      <c r="A1758" s="42">
        <v>45743</v>
      </c>
      <c r="B1758" s="1">
        <v>210471277</v>
      </c>
      <c r="C1758" t="s">
        <v>306</v>
      </c>
      <c r="D1758" s="22">
        <v>-92.71</v>
      </c>
      <c r="E1758" t="s">
        <v>35</v>
      </c>
      <c r="F1758" s="2">
        <v>610148001</v>
      </c>
      <c r="G1758" s="2" t="s">
        <v>42</v>
      </c>
      <c r="L1758" s="2" t="s">
        <v>3373</v>
      </c>
      <c r="M1758" t="s">
        <v>43</v>
      </c>
      <c r="N1758" t="s">
        <v>42</v>
      </c>
      <c r="P1758" s="23">
        <v>69.02</v>
      </c>
      <c r="Q1758" s="4">
        <f t="shared" si="27"/>
        <v>-1.3432338452622428</v>
      </c>
      <c r="R1758" s="23" t="s">
        <v>109</v>
      </c>
      <c r="S1758" s="23" t="s">
        <v>2658</v>
      </c>
    </row>
    <row r="1759" spans="1:20" x14ac:dyDescent="0.25">
      <c r="A1759" s="42">
        <v>45743</v>
      </c>
      <c r="B1759" s="1">
        <v>162454264</v>
      </c>
      <c r="C1759" t="s">
        <v>3369</v>
      </c>
      <c r="D1759" s="22">
        <v>50000</v>
      </c>
      <c r="E1759" t="s">
        <v>46</v>
      </c>
      <c r="F1759" s="2">
        <v>210115002</v>
      </c>
      <c r="G1759" s="2" t="s">
        <v>47</v>
      </c>
      <c r="L1759" s="2" t="s">
        <v>3374</v>
      </c>
      <c r="N1759" s="48" t="s">
        <v>3369</v>
      </c>
      <c r="O1759" s="48"/>
      <c r="P1759" s="23">
        <v>69.02</v>
      </c>
      <c r="Q1759" s="4">
        <f t="shared" si="27"/>
        <v>724.42770211532888</v>
      </c>
      <c r="R1759" s="23" t="s">
        <v>109</v>
      </c>
    </row>
    <row r="1760" spans="1:20" x14ac:dyDescent="0.25">
      <c r="A1760" s="42">
        <v>45743</v>
      </c>
      <c r="B1760" s="1">
        <v>162640758</v>
      </c>
      <c r="C1760" t="s">
        <v>3375</v>
      </c>
      <c r="D1760" s="22">
        <v>-35432.18</v>
      </c>
      <c r="E1760" t="s">
        <v>35</v>
      </c>
      <c r="F1760" s="2">
        <v>210101001</v>
      </c>
      <c r="G1760" s="2" t="s">
        <v>36</v>
      </c>
      <c r="L1760" s="2" t="s">
        <v>3376</v>
      </c>
      <c r="M1760" t="s">
        <v>2635</v>
      </c>
      <c r="N1760" s="48" t="s">
        <v>2636</v>
      </c>
      <c r="O1760" s="48"/>
      <c r="P1760" s="23">
        <v>69.02</v>
      </c>
      <c r="Q1760" s="4">
        <f t="shared" si="27"/>
        <v>-513.36105476673436</v>
      </c>
      <c r="R1760" s="23" t="s">
        <v>109</v>
      </c>
    </row>
    <row r="1761" spans="1:23" x14ac:dyDescent="0.25">
      <c r="A1761" s="42">
        <v>45743</v>
      </c>
      <c r="B1761" s="1">
        <v>195245976</v>
      </c>
      <c r="C1761" t="s">
        <v>3369</v>
      </c>
      <c r="D1761" s="22">
        <v>440000</v>
      </c>
      <c r="E1761" t="s">
        <v>46</v>
      </c>
      <c r="F1761" s="2">
        <v>210115002</v>
      </c>
      <c r="G1761" s="2" t="s">
        <v>47</v>
      </c>
      <c r="L1761" s="2" t="s">
        <v>3377</v>
      </c>
      <c r="N1761" s="48" t="s">
        <v>3369</v>
      </c>
      <c r="O1761" s="48"/>
      <c r="P1761" s="23">
        <v>69.02</v>
      </c>
      <c r="Q1761" s="4">
        <f t="shared" si="27"/>
        <v>6374.9637786148942</v>
      </c>
      <c r="R1761" s="23" t="s">
        <v>109</v>
      </c>
    </row>
    <row r="1762" spans="1:23" x14ac:dyDescent="0.25">
      <c r="A1762" s="42">
        <v>45743</v>
      </c>
      <c r="B1762" s="1">
        <v>810490930</v>
      </c>
      <c r="C1762" t="s">
        <v>3378</v>
      </c>
      <c r="D1762" s="22">
        <v>-2748</v>
      </c>
      <c r="E1762" t="s">
        <v>35</v>
      </c>
      <c r="F1762" s="2">
        <v>212901001</v>
      </c>
      <c r="G1762" s="2" t="s">
        <v>121</v>
      </c>
      <c r="L1762" s="2" t="s">
        <v>3379</v>
      </c>
      <c r="M1762" t="s">
        <v>67</v>
      </c>
      <c r="N1762" s="2" t="s">
        <v>68</v>
      </c>
      <c r="O1762" s="2"/>
      <c r="P1762" s="23">
        <v>69.02</v>
      </c>
      <c r="Q1762" s="4">
        <f t="shared" si="27"/>
        <v>-39.814546508258481</v>
      </c>
      <c r="R1762" s="23" t="s">
        <v>109</v>
      </c>
      <c r="U1762">
        <v>2</v>
      </c>
      <c r="V1762" t="e">
        <f>VLOOKUP(Tabla3[[#This Row],[Nº]],[1]!NOMINA[#Data],4,FALSE)</f>
        <v>#REF!</v>
      </c>
      <c r="W1762" t="e">
        <f>VLOOKUP(Tabla3[[#This Row],[Nº]],[1]!NOMINA[#Data],5,FALSE)</f>
        <v>#REF!</v>
      </c>
    </row>
    <row r="1763" spans="1:23" x14ac:dyDescent="0.25">
      <c r="A1763" s="42">
        <v>45743</v>
      </c>
      <c r="B1763" s="1">
        <v>810490933</v>
      </c>
      <c r="C1763" t="s">
        <v>3380</v>
      </c>
      <c r="D1763" s="22">
        <v>-2748</v>
      </c>
      <c r="E1763" t="s">
        <v>35</v>
      </c>
      <c r="F1763" s="2">
        <v>212901001</v>
      </c>
      <c r="G1763" s="2" t="s">
        <v>121</v>
      </c>
      <c r="L1763" s="2" t="s">
        <v>3381</v>
      </c>
      <c r="M1763" t="s">
        <v>67</v>
      </c>
      <c r="N1763" s="2" t="s">
        <v>68</v>
      </c>
      <c r="O1763" s="2"/>
      <c r="P1763" s="23">
        <v>69.02</v>
      </c>
      <c r="Q1763" s="4">
        <f t="shared" si="27"/>
        <v>-39.814546508258481</v>
      </c>
      <c r="R1763" s="23" t="s">
        <v>109</v>
      </c>
      <c r="U1763">
        <v>3</v>
      </c>
      <c r="V1763" t="e">
        <f>VLOOKUP(U1763,[1]!NOMINA[#Data],4,FALSE)</f>
        <v>#REF!</v>
      </c>
      <c r="W1763" t="e">
        <f>VLOOKUP(U1763,[1]!NOMINA[#Data],5,FALSE)</f>
        <v>#REF!</v>
      </c>
    </row>
    <row r="1764" spans="1:23" x14ac:dyDescent="0.25">
      <c r="A1764" s="42">
        <v>45743</v>
      </c>
      <c r="B1764" s="1">
        <v>810490931</v>
      </c>
      <c r="C1764" t="s">
        <v>3382</v>
      </c>
      <c r="D1764" s="22">
        <v>-2748</v>
      </c>
      <c r="E1764" t="s">
        <v>35</v>
      </c>
      <c r="F1764" s="2">
        <v>212901001</v>
      </c>
      <c r="G1764" s="2" t="s">
        <v>121</v>
      </c>
      <c r="L1764" s="2" t="s">
        <v>3383</v>
      </c>
      <c r="M1764" t="s">
        <v>67</v>
      </c>
      <c r="N1764" s="2" t="s">
        <v>68</v>
      </c>
      <c r="O1764" s="2"/>
      <c r="P1764" s="23">
        <v>69.02</v>
      </c>
      <c r="Q1764" s="4">
        <f t="shared" si="27"/>
        <v>-39.814546508258481</v>
      </c>
      <c r="R1764" s="23" t="s">
        <v>109</v>
      </c>
      <c r="U1764">
        <v>1</v>
      </c>
      <c r="V1764" t="e">
        <f>VLOOKUP(U1764,[1]!NOMINA[#Data],4,FALSE)</f>
        <v>#REF!</v>
      </c>
      <c r="W1764" t="e">
        <f>VLOOKUP(U1764,[1]!NOMINA[#Data],5,FALSE)</f>
        <v>#REF!</v>
      </c>
    </row>
    <row r="1765" spans="1:23" x14ac:dyDescent="0.25">
      <c r="A1765" s="42">
        <v>45743</v>
      </c>
      <c r="B1765" s="1">
        <v>810490936</v>
      </c>
      <c r="C1765" t="s">
        <v>3384</v>
      </c>
      <c r="D1765" s="22">
        <v>-2748</v>
      </c>
      <c r="E1765" t="s">
        <v>35</v>
      </c>
      <c r="F1765" s="2">
        <v>212901001</v>
      </c>
      <c r="G1765" s="2" t="s">
        <v>121</v>
      </c>
      <c r="L1765" s="2" t="s">
        <v>3385</v>
      </c>
      <c r="M1765" t="s">
        <v>67</v>
      </c>
      <c r="N1765" s="48" t="s">
        <v>68</v>
      </c>
      <c r="O1765" s="48"/>
      <c r="P1765" s="23">
        <v>69.02</v>
      </c>
      <c r="Q1765" s="4">
        <f t="shared" si="27"/>
        <v>-39.814546508258481</v>
      </c>
      <c r="R1765" s="23" t="s">
        <v>109</v>
      </c>
      <c r="U1765">
        <v>2</v>
      </c>
      <c r="V1765" t="e">
        <f>VLOOKUP(Tabla3[[#This Row],[Nº]],[1]!NOMINA[#Data],4,FALSE)</f>
        <v>#REF!</v>
      </c>
      <c r="W1765" t="e">
        <f>VLOOKUP(Tabla3[[#This Row],[Nº]],[1]!NOMINA[#Data],5,FALSE)</f>
        <v>#REF!</v>
      </c>
    </row>
    <row r="1766" spans="1:23" x14ac:dyDescent="0.25">
      <c r="A1766" s="42">
        <v>45743</v>
      </c>
      <c r="B1766" s="1">
        <v>810490934</v>
      </c>
      <c r="C1766" t="s">
        <v>3386</v>
      </c>
      <c r="D1766" s="22">
        <v>-2748</v>
      </c>
      <c r="E1766" t="s">
        <v>35</v>
      </c>
      <c r="F1766" s="2">
        <v>212901001</v>
      </c>
      <c r="G1766" s="2" t="s">
        <v>121</v>
      </c>
      <c r="L1766" s="2" t="s">
        <v>3387</v>
      </c>
      <c r="M1766" t="s">
        <v>67</v>
      </c>
      <c r="N1766" s="48" t="s">
        <v>68</v>
      </c>
      <c r="O1766" s="48"/>
      <c r="P1766" s="23">
        <v>69.02</v>
      </c>
      <c r="Q1766" s="4">
        <f t="shared" si="27"/>
        <v>-39.814546508258481</v>
      </c>
      <c r="R1766" s="23" t="s">
        <v>109</v>
      </c>
      <c r="U1766">
        <v>28</v>
      </c>
      <c r="V1766" t="e">
        <f>VLOOKUP(U1766,[1]!NOMINA[#Data],4,FALSE)</f>
        <v>#REF!</v>
      </c>
      <c r="W1766" t="e">
        <f>VLOOKUP(U1766,[1]!NOMINA[#Data],5,FALSE)</f>
        <v>#REF!</v>
      </c>
    </row>
    <row r="1767" spans="1:23" x14ac:dyDescent="0.25">
      <c r="A1767" s="42">
        <v>45743</v>
      </c>
      <c r="B1767" s="1">
        <v>810490935</v>
      </c>
      <c r="C1767" t="s">
        <v>3388</v>
      </c>
      <c r="D1767" s="22">
        <v>-2748</v>
      </c>
      <c r="E1767" t="s">
        <v>35</v>
      </c>
      <c r="F1767" s="2">
        <v>212901001</v>
      </c>
      <c r="G1767" s="2" t="s">
        <v>121</v>
      </c>
      <c r="L1767" s="2" t="s">
        <v>3389</v>
      </c>
      <c r="M1767" t="s">
        <v>67</v>
      </c>
      <c r="N1767" s="48" t="s">
        <v>68</v>
      </c>
      <c r="O1767" s="48"/>
      <c r="P1767" s="23">
        <v>69.02</v>
      </c>
      <c r="Q1767" s="4">
        <f t="shared" si="27"/>
        <v>-39.814546508258481</v>
      </c>
      <c r="R1767" s="23" t="s">
        <v>109</v>
      </c>
      <c r="U1767">
        <v>22</v>
      </c>
      <c r="V1767" t="e">
        <f>VLOOKUP(Tabla3[[#This Row],[Nº]],[1]!NOMINA[#Data],4,FALSE)</f>
        <v>#REF!</v>
      </c>
      <c r="W1767" t="e">
        <f>VLOOKUP(U1767,[1]!NOMINA[#Data],5,FALSE)</f>
        <v>#REF!</v>
      </c>
    </row>
    <row r="1768" spans="1:23" x14ac:dyDescent="0.25">
      <c r="A1768" s="42">
        <v>45743</v>
      </c>
      <c r="B1768" s="1">
        <v>810490937</v>
      </c>
      <c r="C1768" t="s">
        <v>3390</v>
      </c>
      <c r="D1768" s="22">
        <v>-2748</v>
      </c>
      <c r="E1768" t="s">
        <v>35</v>
      </c>
      <c r="F1768" s="2">
        <v>212901001</v>
      </c>
      <c r="G1768" s="2" t="s">
        <v>121</v>
      </c>
      <c r="L1768" s="2" t="s">
        <v>3391</v>
      </c>
      <c r="M1768" t="s">
        <v>67</v>
      </c>
      <c r="N1768" s="48" t="s">
        <v>68</v>
      </c>
      <c r="O1768" s="48"/>
      <c r="P1768" s="23">
        <v>69.02</v>
      </c>
      <c r="Q1768" s="4">
        <f t="shared" si="27"/>
        <v>-39.814546508258481</v>
      </c>
      <c r="R1768" s="23" t="s">
        <v>109</v>
      </c>
      <c r="U1768">
        <v>36</v>
      </c>
      <c r="V1768" t="e">
        <f>VLOOKUP(U1768,[1]!NOMINA[#Data],4,FALSE)</f>
        <v>#REF!</v>
      </c>
      <c r="W1768" t="e">
        <f>VLOOKUP(U1768,[1]!NOMINA[#Data],5,FALSE)</f>
        <v>#REF!</v>
      </c>
    </row>
    <row r="1769" spans="1:23" x14ac:dyDescent="0.25">
      <c r="A1769" s="42">
        <v>45743</v>
      </c>
      <c r="B1769" s="1">
        <v>810490938</v>
      </c>
      <c r="C1769" t="s">
        <v>3392</v>
      </c>
      <c r="D1769" s="22">
        <v>-2748</v>
      </c>
      <c r="E1769" t="s">
        <v>35</v>
      </c>
      <c r="F1769" s="2">
        <v>212901001</v>
      </c>
      <c r="G1769" s="2" t="s">
        <v>121</v>
      </c>
      <c r="L1769" s="2" t="s">
        <v>3393</v>
      </c>
      <c r="M1769" t="s">
        <v>67</v>
      </c>
      <c r="N1769" s="48" t="s">
        <v>68</v>
      </c>
      <c r="O1769" s="48"/>
      <c r="P1769" s="23">
        <v>69.02</v>
      </c>
      <c r="Q1769" s="4">
        <f t="shared" si="27"/>
        <v>-39.814546508258481</v>
      </c>
      <c r="R1769" s="23" t="s">
        <v>109</v>
      </c>
      <c r="U1769">
        <v>39</v>
      </c>
      <c r="V1769" t="e">
        <f>VLOOKUP(U1769,[1]!NOMINA[#Data],4,FALSE)</f>
        <v>#REF!</v>
      </c>
      <c r="W1769" t="e">
        <f>VLOOKUP(U1769,[1]!NOMINA[#Data],5,FALSE)</f>
        <v>#REF!</v>
      </c>
    </row>
    <row r="1770" spans="1:23" x14ac:dyDescent="0.25">
      <c r="A1770" s="42">
        <v>45743</v>
      </c>
      <c r="B1770" s="1">
        <v>910490940</v>
      </c>
      <c r="C1770" t="s">
        <v>3394</v>
      </c>
      <c r="D1770" s="22">
        <v>-2748</v>
      </c>
      <c r="E1770" t="s">
        <v>35</v>
      </c>
      <c r="F1770" s="2">
        <v>212901001</v>
      </c>
      <c r="G1770" s="2" t="s">
        <v>121</v>
      </c>
      <c r="L1770" s="2" t="s">
        <v>3395</v>
      </c>
      <c r="M1770" t="s">
        <v>67</v>
      </c>
      <c r="N1770" s="48" t="s">
        <v>68</v>
      </c>
      <c r="O1770" s="48"/>
      <c r="P1770" s="23">
        <v>69.02</v>
      </c>
      <c r="Q1770" s="4">
        <f t="shared" si="27"/>
        <v>-39.814546508258481</v>
      </c>
      <c r="R1770" s="23" t="s">
        <v>109</v>
      </c>
      <c r="U1770">
        <v>41</v>
      </c>
      <c r="V1770" t="e">
        <f>VLOOKUP(U1770,[1]!NOMINA[#Data],4,FALSE)</f>
        <v>#REF!</v>
      </c>
      <c r="W1770" t="e">
        <f>VLOOKUP(U1770,[1]!NOMINA[#Data],5,FALSE)</f>
        <v>#REF!</v>
      </c>
    </row>
    <row r="1771" spans="1:23" x14ac:dyDescent="0.25">
      <c r="A1771" s="42">
        <v>45743</v>
      </c>
      <c r="B1771" s="1">
        <v>910490941</v>
      </c>
      <c r="C1771" t="s">
        <v>3396</v>
      </c>
      <c r="D1771" s="22">
        <v>-2748</v>
      </c>
      <c r="E1771" t="s">
        <v>35</v>
      </c>
      <c r="F1771" s="2">
        <v>212901001</v>
      </c>
      <c r="G1771" s="2" t="s">
        <v>121</v>
      </c>
      <c r="L1771" s="2" t="s">
        <v>3397</v>
      </c>
      <c r="M1771" t="s">
        <v>67</v>
      </c>
      <c r="N1771" s="48" t="s">
        <v>68</v>
      </c>
      <c r="O1771" s="48"/>
      <c r="P1771" s="23">
        <v>69.02</v>
      </c>
      <c r="Q1771" s="4">
        <f t="shared" si="27"/>
        <v>-39.814546508258481</v>
      </c>
      <c r="R1771" s="23" t="s">
        <v>109</v>
      </c>
      <c r="U1771">
        <v>23</v>
      </c>
      <c r="V1771" t="e">
        <f>VLOOKUP(U1771,[1]!NOMINA[#Data],4,FALSE)</f>
        <v>#REF!</v>
      </c>
      <c r="W1771" t="e">
        <f>VLOOKUP(U1771,[1]!NOMINA[#Data],5,FALSE)</f>
        <v>#REF!</v>
      </c>
    </row>
    <row r="1772" spans="1:23" x14ac:dyDescent="0.25">
      <c r="A1772" s="42">
        <v>45743</v>
      </c>
      <c r="B1772" s="1">
        <v>810490939</v>
      </c>
      <c r="C1772" t="s">
        <v>3398</v>
      </c>
      <c r="D1772" s="22">
        <v>-2748</v>
      </c>
      <c r="E1772" t="s">
        <v>35</v>
      </c>
      <c r="F1772" s="2">
        <v>212901001</v>
      </c>
      <c r="G1772" s="2" t="s">
        <v>121</v>
      </c>
      <c r="L1772" s="2" t="s">
        <v>3399</v>
      </c>
      <c r="M1772" t="s">
        <v>67</v>
      </c>
      <c r="N1772" s="48" t="s">
        <v>68</v>
      </c>
      <c r="O1772" s="48"/>
      <c r="P1772" s="23">
        <v>69.02</v>
      </c>
      <c r="Q1772" s="4">
        <f t="shared" si="27"/>
        <v>-39.814546508258481</v>
      </c>
      <c r="R1772" s="23" t="s">
        <v>109</v>
      </c>
      <c r="U1772">
        <v>19</v>
      </c>
      <c r="V1772" t="e">
        <f>VLOOKUP(U1772,[1]!NOMINA[#Data],4,FALSE)</f>
        <v>#REF!</v>
      </c>
      <c r="W1772" t="e">
        <f>VLOOKUP(U1772,[1]!NOMINA[#Data],5,FALSE)</f>
        <v>#REF!</v>
      </c>
    </row>
    <row r="1773" spans="1:23" x14ac:dyDescent="0.25">
      <c r="A1773" s="42">
        <v>45743</v>
      </c>
      <c r="B1773" s="1">
        <v>910490943</v>
      </c>
      <c r="C1773" t="s">
        <v>3400</v>
      </c>
      <c r="D1773" s="22">
        <v>-2748</v>
      </c>
      <c r="E1773" t="s">
        <v>35</v>
      </c>
      <c r="F1773" s="2">
        <v>212901001</v>
      </c>
      <c r="G1773" s="2" t="s">
        <v>121</v>
      </c>
      <c r="L1773" s="2" t="s">
        <v>3401</v>
      </c>
      <c r="M1773" t="s">
        <v>67</v>
      </c>
      <c r="N1773" s="48" t="s">
        <v>68</v>
      </c>
      <c r="O1773" s="48"/>
      <c r="P1773" s="23">
        <v>69.02</v>
      </c>
      <c r="Q1773" s="4">
        <f t="shared" si="27"/>
        <v>-39.814546508258481</v>
      </c>
      <c r="R1773" s="23" t="s">
        <v>109</v>
      </c>
      <c r="U1773">
        <v>17</v>
      </c>
      <c r="V1773" t="e">
        <f>VLOOKUP(U1773,[1]!NOMINA[#Data],4,FALSE)</f>
        <v>#REF!</v>
      </c>
      <c r="W1773" t="e">
        <f>VLOOKUP(U1773,[1]!NOMINA[#Data],5,FALSE)</f>
        <v>#REF!</v>
      </c>
    </row>
    <row r="1774" spans="1:23" x14ac:dyDescent="0.25">
      <c r="A1774" s="42">
        <v>45743</v>
      </c>
      <c r="B1774" s="1">
        <v>910490945</v>
      </c>
      <c r="C1774" t="s">
        <v>3402</v>
      </c>
      <c r="D1774" s="22">
        <v>-2748</v>
      </c>
      <c r="E1774" t="s">
        <v>35</v>
      </c>
      <c r="F1774" s="2">
        <v>212901001</v>
      </c>
      <c r="G1774" s="2" t="s">
        <v>121</v>
      </c>
      <c r="L1774" s="2" t="s">
        <v>3403</v>
      </c>
      <c r="M1774" t="s">
        <v>67</v>
      </c>
      <c r="N1774" s="48" t="s">
        <v>68</v>
      </c>
      <c r="O1774" s="48"/>
      <c r="P1774" s="23">
        <v>69.02</v>
      </c>
      <c r="Q1774" s="4">
        <f t="shared" si="27"/>
        <v>-39.814546508258481</v>
      </c>
      <c r="R1774" s="23" t="s">
        <v>109</v>
      </c>
      <c r="U1774">
        <v>15</v>
      </c>
      <c r="V1774" t="e">
        <f>VLOOKUP(U1774,[1]!NOMINA[#Data],4,FALSE)</f>
        <v>#REF!</v>
      </c>
      <c r="W1774" t="e">
        <f>VLOOKUP(U1774,[1]!NOMINA[#Data],5,FALSE)</f>
        <v>#REF!</v>
      </c>
    </row>
    <row r="1775" spans="1:23" x14ac:dyDescent="0.25">
      <c r="A1775" s="42">
        <v>45743</v>
      </c>
      <c r="B1775" s="1">
        <v>910490942</v>
      </c>
      <c r="C1775" t="s">
        <v>3404</v>
      </c>
      <c r="D1775" s="22">
        <v>-2748</v>
      </c>
      <c r="E1775" t="s">
        <v>35</v>
      </c>
      <c r="F1775" s="2">
        <v>212901001</v>
      </c>
      <c r="G1775" s="2" t="s">
        <v>121</v>
      </c>
      <c r="L1775" s="2" t="s">
        <v>3405</v>
      </c>
      <c r="M1775" t="s">
        <v>67</v>
      </c>
      <c r="N1775" s="48" t="s">
        <v>68</v>
      </c>
      <c r="O1775" s="48"/>
      <c r="P1775" s="23">
        <v>69.02</v>
      </c>
      <c r="Q1775" s="4">
        <f t="shared" si="27"/>
        <v>-39.814546508258481</v>
      </c>
      <c r="R1775" s="23" t="s">
        <v>109</v>
      </c>
      <c r="U1775">
        <v>14</v>
      </c>
      <c r="V1775" t="e">
        <f>VLOOKUP(U1775,[1]!NOMINA[#Data],4,FALSE)</f>
        <v>#REF!</v>
      </c>
      <c r="W1775" t="e">
        <f>VLOOKUP(U1775,[1]!NOMINA[#Data],5,FALSE)</f>
        <v>#REF!</v>
      </c>
    </row>
    <row r="1776" spans="1:23" x14ac:dyDescent="0.25">
      <c r="A1776" s="42">
        <v>45743</v>
      </c>
      <c r="B1776" s="1">
        <v>910490947</v>
      </c>
      <c r="C1776" t="s">
        <v>3406</v>
      </c>
      <c r="D1776" s="22">
        <v>-2748</v>
      </c>
      <c r="E1776" t="s">
        <v>35</v>
      </c>
      <c r="F1776" s="2">
        <v>212901001</v>
      </c>
      <c r="G1776" s="2" t="s">
        <v>121</v>
      </c>
      <c r="L1776" s="2" t="s">
        <v>3407</v>
      </c>
      <c r="M1776" t="s">
        <v>67</v>
      </c>
      <c r="N1776" s="48" t="s">
        <v>68</v>
      </c>
      <c r="O1776" s="48"/>
      <c r="P1776" s="23">
        <v>69.02</v>
      </c>
      <c r="Q1776" s="4">
        <f t="shared" si="27"/>
        <v>-39.814546508258481</v>
      </c>
      <c r="R1776" s="23" t="s">
        <v>109</v>
      </c>
      <c r="U1776">
        <v>26</v>
      </c>
      <c r="V1776" t="e">
        <f>VLOOKUP(Tabla3[[#This Row],[Nº]],[1]!NOMINA[#Data],4,FALSE)</f>
        <v>#REF!</v>
      </c>
      <c r="W1776" t="e">
        <f>VLOOKUP(Tabla3[[#This Row],[Nº]],[1]!NOMINA[#Data],5,FALSE)</f>
        <v>#REF!</v>
      </c>
    </row>
    <row r="1777" spans="1:23" x14ac:dyDescent="0.25">
      <c r="A1777" s="42">
        <v>45743</v>
      </c>
      <c r="B1777" s="1">
        <v>910490944</v>
      </c>
      <c r="C1777" t="s">
        <v>3408</v>
      </c>
      <c r="D1777" s="22">
        <v>-2748</v>
      </c>
      <c r="E1777" t="s">
        <v>35</v>
      </c>
      <c r="F1777" s="2">
        <v>212901001</v>
      </c>
      <c r="G1777" s="2" t="s">
        <v>121</v>
      </c>
      <c r="L1777" s="2" t="s">
        <v>3409</v>
      </c>
      <c r="M1777" t="s">
        <v>67</v>
      </c>
      <c r="N1777" s="48" t="s">
        <v>68</v>
      </c>
      <c r="O1777" s="48"/>
      <c r="P1777" s="23">
        <v>69.02</v>
      </c>
      <c r="Q1777" s="4">
        <f t="shared" si="27"/>
        <v>-39.814546508258481</v>
      </c>
      <c r="R1777" s="23" t="s">
        <v>109</v>
      </c>
      <c r="U1777">
        <v>8</v>
      </c>
      <c r="V1777" t="e">
        <f>VLOOKUP(U1777,[1]!NOMINA[#Data],4,FALSE)</f>
        <v>#REF!</v>
      </c>
      <c r="W1777" t="e">
        <f>VLOOKUP(U1777,[1]!NOMINA[#Data],5,FALSE)</f>
        <v>#REF!</v>
      </c>
    </row>
    <row r="1778" spans="1:23" x14ac:dyDescent="0.25">
      <c r="A1778" s="42">
        <v>45743</v>
      </c>
      <c r="B1778" s="1">
        <v>910490948</v>
      </c>
      <c r="C1778" t="s">
        <v>3410</v>
      </c>
      <c r="D1778" s="22">
        <v>-2748</v>
      </c>
      <c r="E1778" t="s">
        <v>35</v>
      </c>
      <c r="F1778" s="2">
        <v>212901001</v>
      </c>
      <c r="G1778" s="2" t="s">
        <v>121</v>
      </c>
      <c r="L1778" s="2" t="s">
        <v>3411</v>
      </c>
      <c r="M1778" t="s">
        <v>67</v>
      </c>
      <c r="N1778" s="48" t="s">
        <v>68</v>
      </c>
      <c r="O1778" s="48"/>
      <c r="P1778" s="23">
        <v>69.02</v>
      </c>
      <c r="Q1778" s="4">
        <f t="shared" si="27"/>
        <v>-39.814546508258481</v>
      </c>
      <c r="R1778" s="23" t="s">
        <v>109</v>
      </c>
      <c r="U1778">
        <v>13</v>
      </c>
      <c r="V1778" t="e">
        <f>VLOOKUP(U1778,[1]!NOMINA[#Data],4,FALSE)</f>
        <v>#REF!</v>
      </c>
      <c r="W1778" t="e">
        <f>VLOOKUP(U1778,[1]!NOMINA[#Data],5,FALSE)</f>
        <v>#REF!</v>
      </c>
    </row>
    <row r="1779" spans="1:23" x14ac:dyDescent="0.25">
      <c r="A1779" s="42">
        <v>45743</v>
      </c>
      <c r="B1779" s="1">
        <v>910490946</v>
      </c>
      <c r="C1779" t="s">
        <v>3412</v>
      </c>
      <c r="D1779" s="22">
        <v>-2748</v>
      </c>
      <c r="E1779" t="s">
        <v>35</v>
      </c>
      <c r="F1779" s="2">
        <v>212901001</v>
      </c>
      <c r="G1779" s="2" t="s">
        <v>121</v>
      </c>
      <c r="L1779" s="2" t="s">
        <v>3413</v>
      </c>
      <c r="M1779" t="s">
        <v>67</v>
      </c>
      <c r="N1779" s="48" t="s">
        <v>68</v>
      </c>
      <c r="O1779" s="48"/>
      <c r="P1779" s="23">
        <v>69.02</v>
      </c>
      <c r="Q1779" s="4">
        <f t="shared" si="27"/>
        <v>-39.814546508258481</v>
      </c>
      <c r="R1779" s="23" t="s">
        <v>109</v>
      </c>
      <c r="U1779">
        <v>1</v>
      </c>
      <c r="V1779" t="e">
        <f>VLOOKUP(U1779,[1]!NOMINA[#Data],4,FALSE)</f>
        <v>#REF!</v>
      </c>
      <c r="W1779" t="e">
        <f>VLOOKUP(U1779,[1]!NOMINA[#Data],5,FALSE)</f>
        <v>#REF!</v>
      </c>
    </row>
    <row r="1780" spans="1:23" x14ac:dyDescent="0.25">
      <c r="A1780" s="42">
        <v>45743</v>
      </c>
      <c r="B1780" s="1">
        <v>10490949</v>
      </c>
      <c r="C1780" t="s">
        <v>3414</v>
      </c>
      <c r="D1780" s="22">
        <v>-1374</v>
      </c>
      <c r="E1780" t="s">
        <v>35</v>
      </c>
      <c r="F1780" s="2">
        <v>212901001</v>
      </c>
      <c r="G1780" s="2" t="s">
        <v>121</v>
      </c>
      <c r="L1780" s="2" t="s">
        <v>3415</v>
      </c>
      <c r="M1780" t="s">
        <v>67</v>
      </c>
      <c r="N1780" s="48" t="s">
        <v>68</v>
      </c>
      <c r="O1780" s="48"/>
      <c r="P1780" s="23">
        <v>69.02</v>
      </c>
      <c r="Q1780" s="4">
        <f t="shared" si="27"/>
        <v>-19.90727325412924</v>
      </c>
      <c r="R1780" s="23" t="s">
        <v>109</v>
      </c>
      <c r="U1780">
        <v>4</v>
      </c>
      <c r="V1780" t="e">
        <f>VLOOKUP(U1780,[1]!NOMINA[#Data],4,FALSE)</f>
        <v>#REF!</v>
      </c>
      <c r="W1780" t="e">
        <f>VLOOKUP(U1780,[1]!NOMINA[#Data],5,FALSE)</f>
        <v>#REF!</v>
      </c>
    </row>
    <row r="1781" spans="1:23" x14ac:dyDescent="0.25">
      <c r="A1781" s="42">
        <v>45743</v>
      </c>
      <c r="B1781" s="1">
        <v>10490950</v>
      </c>
      <c r="C1781" t="s">
        <v>3416</v>
      </c>
      <c r="D1781" s="22">
        <v>-2748</v>
      </c>
      <c r="E1781" t="s">
        <v>35</v>
      </c>
      <c r="F1781" s="2">
        <v>212901001</v>
      </c>
      <c r="G1781" s="2" t="s">
        <v>121</v>
      </c>
      <c r="L1781" s="2" t="s">
        <v>3417</v>
      </c>
      <c r="M1781" t="s">
        <v>67</v>
      </c>
      <c r="N1781" s="48" t="s">
        <v>68</v>
      </c>
      <c r="O1781" s="48"/>
      <c r="P1781" s="23">
        <v>69.02</v>
      </c>
      <c r="Q1781" s="4">
        <f t="shared" si="27"/>
        <v>-39.814546508258481</v>
      </c>
      <c r="R1781" s="23" t="s">
        <v>109</v>
      </c>
      <c r="U1781">
        <v>20</v>
      </c>
      <c r="V1781" t="e">
        <f>VLOOKUP(Tabla3[[#This Row],[Nº]],[1]!NOMINA[#Data],4,FALSE)</f>
        <v>#REF!</v>
      </c>
      <c r="W1781" t="e">
        <f>VLOOKUP(Tabla3[[#This Row],[Nº]],[1]!NOMINA[#Data],5,FALSE)</f>
        <v>#REF!</v>
      </c>
    </row>
    <row r="1782" spans="1:23" x14ac:dyDescent="0.25">
      <c r="A1782" s="42">
        <v>45743</v>
      </c>
      <c r="B1782" s="1">
        <v>10490953</v>
      </c>
      <c r="C1782" t="s">
        <v>3418</v>
      </c>
      <c r="D1782" s="22">
        <v>-2748</v>
      </c>
      <c r="E1782" t="s">
        <v>35</v>
      </c>
      <c r="F1782" s="2">
        <v>212901001</v>
      </c>
      <c r="G1782" s="2" t="s">
        <v>121</v>
      </c>
      <c r="L1782" s="2" t="s">
        <v>3419</v>
      </c>
      <c r="M1782" t="s">
        <v>67</v>
      </c>
      <c r="N1782" s="48" t="s">
        <v>68</v>
      </c>
      <c r="O1782" s="48"/>
      <c r="P1782" s="23">
        <v>69.02</v>
      </c>
      <c r="Q1782" s="4">
        <f t="shared" si="27"/>
        <v>-39.814546508258481</v>
      </c>
      <c r="R1782" s="23" t="s">
        <v>109</v>
      </c>
      <c r="U1782">
        <v>43</v>
      </c>
      <c r="V1782" t="e">
        <f>VLOOKUP(U1782,[1]!NOMINA[#Data],4,FALSE)</f>
        <v>#REF!</v>
      </c>
      <c r="W1782" t="e">
        <f>VLOOKUP(U1782,[1]!NOMINA[#Data],5,FALSE)</f>
        <v>#REF!</v>
      </c>
    </row>
    <row r="1783" spans="1:23" x14ac:dyDescent="0.25">
      <c r="A1783" s="42">
        <v>45743</v>
      </c>
      <c r="B1783" s="1">
        <v>10490956</v>
      </c>
      <c r="C1783" t="s">
        <v>3420</v>
      </c>
      <c r="D1783" s="22">
        <v>-2748</v>
      </c>
      <c r="E1783" t="s">
        <v>35</v>
      </c>
      <c r="F1783" s="2">
        <v>212901001</v>
      </c>
      <c r="G1783" s="2" t="s">
        <v>121</v>
      </c>
      <c r="L1783" s="2" t="s">
        <v>3421</v>
      </c>
      <c r="M1783" t="s">
        <v>67</v>
      </c>
      <c r="N1783" s="48" t="s">
        <v>68</v>
      </c>
      <c r="O1783" s="48"/>
      <c r="P1783" s="23">
        <v>69.02</v>
      </c>
      <c r="Q1783" s="4">
        <f t="shared" si="27"/>
        <v>-39.814546508258481</v>
      </c>
      <c r="R1783" s="23" t="s">
        <v>109</v>
      </c>
      <c r="U1783">
        <v>12</v>
      </c>
      <c r="V1783" t="e">
        <f>VLOOKUP(U1783,[1]!NOMINA[#Data],4,FALSE)</f>
        <v>#REF!</v>
      </c>
      <c r="W1783" t="e">
        <f>VLOOKUP(U1783,[1]!NOMINA[#Data],5,FALSE)</f>
        <v>#REF!</v>
      </c>
    </row>
    <row r="1784" spans="1:23" x14ac:dyDescent="0.25">
      <c r="A1784" s="42">
        <v>45743</v>
      </c>
      <c r="B1784" s="1">
        <v>10490951</v>
      </c>
      <c r="C1784" t="s">
        <v>3422</v>
      </c>
      <c r="D1784" s="22">
        <v>-2748</v>
      </c>
      <c r="E1784" t="s">
        <v>35</v>
      </c>
      <c r="F1784" s="2">
        <v>212901001</v>
      </c>
      <c r="G1784" s="2" t="s">
        <v>121</v>
      </c>
      <c r="L1784" s="2" t="s">
        <v>3423</v>
      </c>
      <c r="M1784" t="s">
        <v>67</v>
      </c>
      <c r="N1784" s="48" t="s">
        <v>68</v>
      </c>
      <c r="O1784" s="48"/>
      <c r="P1784" s="23">
        <v>69.02</v>
      </c>
      <c r="Q1784" s="4">
        <f t="shared" si="27"/>
        <v>-39.814546508258481</v>
      </c>
      <c r="R1784" s="23" t="s">
        <v>109</v>
      </c>
      <c r="U1784">
        <v>16</v>
      </c>
      <c r="V1784" t="e">
        <f>VLOOKUP(Tabla3[[#This Row],[Nº]],[1]!NOMINA[#Data],4,FALSE)</f>
        <v>#REF!</v>
      </c>
      <c r="W1784" t="e">
        <f>VLOOKUP(Tabla3[[#This Row],[Nº]],[1]!NOMINA[#Data],5,FALSE)</f>
        <v>#REF!</v>
      </c>
    </row>
    <row r="1785" spans="1:23" x14ac:dyDescent="0.25">
      <c r="A1785" s="42">
        <v>45743</v>
      </c>
      <c r="B1785" s="1">
        <v>10490952</v>
      </c>
      <c r="C1785" t="s">
        <v>3424</v>
      </c>
      <c r="D1785" s="22">
        <v>-2748</v>
      </c>
      <c r="E1785" t="s">
        <v>35</v>
      </c>
      <c r="F1785" s="2">
        <v>212901001</v>
      </c>
      <c r="G1785" s="2" t="s">
        <v>121</v>
      </c>
      <c r="L1785" s="2" t="s">
        <v>3425</v>
      </c>
      <c r="M1785" t="s">
        <v>67</v>
      </c>
      <c r="N1785" s="48" t="s">
        <v>68</v>
      </c>
      <c r="O1785" s="48"/>
      <c r="P1785" s="23">
        <v>69.02</v>
      </c>
      <c r="Q1785" s="4">
        <f t="shared" si="27"/>
        <v>-39.814546508258481</v>
      </c>
      <c r="R1785" s="23" t="s">
        <v>109</v>
      </c>
      <c r="U1785">
        <v>6</v>
      </c>
      <c r="V1785" t="e">
        <f>VLOOKUP(U1785,[1]!NOMINA[#Data],4,FALSE)</f>
        <v>#REF!</v>
      </c>
      <c r="W1785" t="e">
        <f>VLOOKUP(U1785,[1]!NOMINA[#Data],5,FALSE)</f>
        <v>#REF!</v>
      </c>
    </row>
    <row r="1786" spans="1:23" x14ac:dyDescent="0.25">
      <c r="A1786" s="42">
        <v>45743</v>
      </c>
      <c r="B1786" s="1">
        <v>10490957</v>
      </c>
      <c r="C1786" t="s">
        <v>3426</v>
      </c>
      <c r="D1786" s="22">
        <v>-2748</v>
      </c>
      <c r="E1786" t="s">
        <v>35</v>
      </c>
      <c r="F1786" s="2">
        <v>212901001</v>
      </c>
      <c r="G1786" s="2" t="s">
        <v>121</v>
      </c>
      <c r="L1786" s="2" t="s">
        <v>3427</v>
      </c>
      <c r="M1786" t="s">
        <v>67</v>
      </c>
      <c r="N1786" s="48" t="s">
        <v>68</v>
      </c>
      <c r="O1786" s="48"/>
      <c r="P1786" s="23">
        <v>69.02</v>
      </c>
      <c r="Q1786" s="4">
        <f t="shared" si="27"/>
        <v>-39.814546508258481</v>
      </c>
      <c r="R1786" s="23" t="s">
        <v>109</v>
      </c>
      <c r="U1786">
        <v>7</v>
      </c>
      <c r="V1786" t="e">
        <f>VLOOKUP(U1786,[1]!NOMINA[#Data],4,FALSE)</f>
        <v>#REF!</v>
      </c>
      <c r="W1786" t="e">
        <f>VLOOKUP(U1786,[1]!NOMINA[#Data],5,FALSE)</f>
        <v>#REF!</v>
      </c>
    </row>
    <row r="1787" spans="1:23" x14ac:dyDescent="0.25">
      <c r="A1787" s="42">
        <v>45743</v>
      </c>
      <c r="B1787" s="1">
        <v>10490954</v>
      </c>
      <c r="C1787" t="s">
        <v>3428</v>
      </c>
      <c r="D1787" s="22">
        <v>-2748</v>
      </c>
      <c r="E1787" t="s">
        <v>35</v>
      </c>
      <c r="F1787" s="2">
        <v>212901001</v>
      </c>
      <c r="G1787" s="2" t="s">
        <v>121</v>
      </c>
      <c r="L1787" s="2" t="s">
        <v>3429</v>
      </c>
      <c r="M1787" t="s">
        <v>67</v>
      </c>
      <c r="N1787" s="48" t="s">
        <v>68</v>
      </c>
      <c r="O1787" s="48"/>
      <c r="P1787" s="23">
        <v>69.02</v>
      </c>
      <c r="Q1787" s="4">
        <f t="shared" si="27"/>
        <v>-39.814546508258481</v>
      </c>
      <c r="R1787" s="23" t="s">
        <v>109</v>
      </c>
      <c r="U1787">
        <v>3</v>
      </c>
      <c r="V1787" t="e">
        <f>VLOOKUP(U1787,[1]!NOMINA[#Data],4,FALSE)</f>
        <v>#REF!</v>
      </c>
      <c r="W1787" t="e">
        <f>VLOOKUP(U1787,[1]!NOMINA[#Data],5,FALSE)</f>
        <v>#REF!</v>
      </c>
    </row>
    <row r="1788" spans="1:23" x14ac:dyDescent="0.25">
      <c r="A1788" s="42">
        <v>45743</v>
      </c>
      <c r="B1788" s="1">
        <v>10490955</v>
      </c>
      <c r="C1788" t="s">
        <v>3430</v>
      </c>
      <c r="D1788" s="22">
        <v>-2748</v>
      </c>
      <c r="E1788" t="s">
        <v>35</v>
      </c>
      <c r="F1788" s="2">
        <v>212901001</v>
      </c>
      <c r="G1788" s="2" t="s">
        <v>121</v>
      </c>
      <c r="L1788" s="2" t="s">
        <v>3431</v>
      </c>
      <c r="M1788" t="s">
        <v>67</v>
      </c>
      <c r="N1788" s="48" t="s">
        <v>68</v>
      </c>
      <c r="O1788" s="48"/>
      <c r="P1788" s="23">
        <v>69.02</v>
      </c>
      <c r="Q1788" s="4">
        <f t="shared" si="27"/>
        <v>-39.814546508258481</v>
      </c>
      <c r="R1788" s="23" t="s">
        <v>109</v>
      </c>
      <c r="U1788">
        <v>24</v>
      </c>
      <c r="V1788" t="e">
        <f>VLOOKUP(U1788,[1]!NOMINA[#Data],4,FALSE)</f>
        <v>#REF!</v>
      </c>
      <c r="W1788" t="e">
        <f>VLOOKUP(U1788,[1]!NOMINA[#Data],5,FALSE)</f>
        <v>#REF!</v>
      </c>
    </row>
    <row r="1789" spans="1:23" x14ac:dyDescent="0.25">
      <c r="A1789" s="42">
        <v>45743</v>
      </c>
      <c r="B1789" s="1">
        <v>10490958</v>
      </c>
      <c r="C1789" t="s">
        <v>3432</v>
      </c>
      <c r="D1789" s="22">
        <v>-2748</v>
      </c>
      <c r="E1789" t="s">
        <v>35</v>
      </c>
      <c r="F1789" s="2">
        <v>212901001</v>
      </c>
      <c r="G1789" s="2" t="s">
        <v>121</v>
      </c>
      <c r="L1789" s="2" t="s">
        <v>3433</v>
      </c>
      <c r="M1789" t="s">
        <v>67</v>
      </c>
      <c r="N1789" s="48" t="s">
        <v>68</v>
      </c>
      <c r="O1789" s="48"/>
      <c r="P1789" s="23">
        <v>69.02</v>
      </c>
      <c r="Q1789" s="4">
        <f t="shared" si="27"/>
        <v>-39.814546508258481</v>
      </c>
      <c r="R1789" s="23" t="s">
        <v>109</v>
      </c>
      <c r="U1789">
        <v>5</v>
      </c>
      <c r="V1789" t="e">
        <f>VLOOKUP(U1789,[1]!NOMINA[#Data],4,FALSE)</f>
        <v>#REF!</v>
      </c>
      <c r="W1789" t="e">
        <f>VLOOKUP(U1789,[1]!NOMINA[#Data],5,FALSE)</f>
        <v>#REF!</v>
      </c>
    </row>
    <row r="1790" spans="1:23" x14ac:dyDescent="0.25">
      <c r="A1790" s="42">
        <v>45743</v>
      </c>
      <c r="B1790" s="1">
        <v>110490960</v>
      </c>
      <c r="C1790" t="s">
        <v>3434</v>
      </c>
      <c r="D1790" s="22">
        <v>-2748</v>
      </c>
      <c r="E1790" t="s">
        <v>35</v>
      </c>
      <c r="F1790" s="2">
        <v>212901001</v>
      </c>
      <c r="G1790" s="2" t="s">
        <v>121</v>
      </c>
      <c r="L1790" s="2" t="s">
        <v>3435</v>
      </c>
      <c r="M1790" t="s">
        <v>67</v>
      </c>
      <c r="N1790" s="48" t="s">
        <v>68</v>
      </c>
      <c r="O1790" s="48"/>
      <c r="P1790" s="23">
        <v>69.02</v>
      </c>
      <c r="Q1790" s="4">
        <f t="shared" si="27"/>
        <v>-39.814546508258481</v>
      </c>
      <c r="R1790" s="23" t="s">
        <v>109</v>
      </c>
      <c r="U1790">
        <v>42</v>
      </c>
      <c r="V1790" t="e">
        <f>VLOOKUP(U1790,[1]!NOMINA[#Data],4,FALSE)</f>
        <v>#REF!</v>
      </c>
      <c r="W1790" t="e">
        <f>VLOOKUP(U1790,[1]!NOMINA[#Data],5,FALSE)</f>
        <v>#REF!</v>
      </c>
    </row>
    <row r="1791" spans="1:23" x14ac:dyDescent="0.25">
      <c r="A1791" s="42">
        <v>45743</v>
      </c>
      <c r="B1791" s="1">
        <v>110490961</v>
      </c>
      <c r="C1791" t="s">
        <v>3436</v>
      </c>
      <c r="D1791" s="22">
        <v>-2748</v>
      </c>
      <c r="E1791" t="s">
        <v>35</v>
      </c>
      <c r="F1791" s="2">
        <v>212901001</v>
      </c>
      <c r="G1791" s="2" t="s">
        <v>121</v>
      </c>
      <c r="L1791" s="2" t="s">
        <v>3437</v>
      </c>
      <c r="M1791" t="s">
        <v>67</v>
      </c>
      <c r="N1791" s="48" t="s">
        <v>68</v>
      </c>
      <c r="O1791" s="48"/>
      <c r="P1791" s="23">
        <v>69.02</v>
      </c>
      <c r="Q1791" s="4">
        <f t="shared" si="27"/>
        <v>-39.814546508258481</v>
      </c>
      <c r="R1791" s="23" t="s">
        <v>109</v>
      </c>
      <c r="U1791">
        <v>27</v>
      </c>
      <c r="V1791" t="e">
        <f>VLOOKUP(U1791,[1]!NOMINA[#Data],4,FALSE)</f>
        <v>#REF!</v>
      </c>
      <c r="W1791" t="e">
        <f>VLOOKUP(U1791,[1]!NOMINA[#Data],5,FALSE)</f>
        <v>#REF!</v>
      </c>
    </row>
    <row r="1792" spans="1:23" x14ac:dyDescent="0.25">
      <c r="A1792" s="42">
        <v>45743</v>
      </c>
      <c r="B1792" s="1">
        <v>110490963</v>
      </c>
      <c r="C1792" t="s">
        <v>3438</v>
      </c>
      <c r="D1792" s="22">
        <v>-2748</v>
      </c>
      <c r="E1792" t="s">
        <v>35</v>
      </c>
      <c r="F1792" s="2">
        <v>212901001</v>
      </c>
      <c r="G1792" s="2" t="s">
        <v>121</v>
      </c>
      <c r="L1792" s="2" t="s">
        <v>3439</v>
      </c>
      <c r="M1792" t="s">
        <v>67</v>
      </c>
      <c r="N1792" s="48" t="s">
        <v>68</v>
      </c>
      <c r="O1792" s="48"/>
      <c r="P1792" s="23">
        <v>69.02</v>
      </c>
      <c r="Q1792" s="4">
        <f t="shared" si="27"/>
        <v>-39.814546508258481</v>
      </c>
      <c r="R1792" s="23" t="s">
        <v>109</v>
      </c>
      <c r="U1792">
        <v>21</v>
      </c>
      <c r="V1792" t="e">
        <f>VLOOKUP(U1792,[1]!NOMINA[#Data],4,FALSE)</f>
        <v>#REF!</v>
      </c>
      <c r="W1792" t="e">
        <f>VLOOKUP(U1792,[1]!NOMINA[#Data],5,FALSE)</f>
        <v>#REF!</v>
      </c>
    </row>
    <row r="1793" spans="1:23" x14ac:dyDescent="0.25">
      <c r="A1793" s="42">
        <v>45743</v>
      </c>
      <c r="B1793" s="1">
        <v>110490962</v>
      </c>
      <c r="C1793" t="s">
        <v>3440</v>
      </c>
      <c r="D1793" s="22">
        <v>-2748</v>
      </c>
      <c r="E1793" t="s">
        <v>35</v>
      </c>
      <c r="F1793" s="2">
        <v>212901001</v>
      </c>
      <c r="G1793" s="2" t="s">
        <v>121</v>
      </c>
      <c r="L1793" s="2" t="s">
        <v>3441</v>
      </c>
      <c r="M1793" t="s">
        <v>67</v>
      </c>
      <c r="N1793" s="48" t="s">
        <v>68</v>
      </c>
      <c r="O1793" s="48"/>
      <c r="P1793" s="23">
        <v>69.02</v>
      </c>
      <c r="Q1793" s="4">
        <f t="shared" si="27"/>
        <v>-39.814546508258481</v>
      </c>
      <c r="R1793" s="23" t="s">
        <v>109</v>
      </c>
      <c r="U1793">
        <v>25</v>
      </c>
      <c r="V1793" t="e">
        <f>VLOOKUP(U1793,[1]!NOMINA[#Data],4,FALSE)</f>
        <v>#REF!</v>
      </c>
      <c r="W1793" t="e">
        <f>VLOOKUP(U1793,[1]!NOMINA[#Data],5,FALSE)</f>
        <v>#REF!</v>
      </c>
    </row>
    <row r="1794" spans="1:23" x14ac:dyDescent="0.25">
      <c r="A1794" s="42">
        <v>45743</v>
      </c>
      <c r="B1794" s="1">
        <v>110490966</v>
      </c>
      <c r="C1794" t="s">
        <v>3442</v>
      </c>
      <c r="D1794" s="22">
        <v>-2748</v>
      </c>
      <c r="E1794" t="s">
        <v>35</v>
      </c>
      <c r="F1794" s="2">
        <v>212901001</v>
      </c>
      <c r="G1794" s="2" t="s">
        <v>121</v>
      </c>
      <c r="L1794" s="2" t="s">
        <v>3443</v>
      </c>
      <c r="M1794" t="s">
        <v>67</v>
      </c>
      <c r="N1794" s="48" t="s">
        <v>68</v>
      </c>
      <c r="O1794" s="48"/>
      <c r="P1794" s="23">
        <v>69.02</v>
      </c>
      <c r="Q1794" s="4">
        <f t="shared" si="27"/>
        <v>-39.814546508258481</v>
      </c>
      <c r="R1794" s="23" t="s">
        <v>109</v>
      </c>
      <c r="U1794">
        <v>37</v>
      </c>
      <c r="V1794" t="e">
        <f>VLOOKUP(Tabla3[[#This Row],[Nº]],[1]!NOMINA[#Data],4,FALSE)</f>
        <v>#REF!</v>
      </c>
      <c r="W1794" t="e">
        <f>VLOOKUP(Tabla3[[#This Row],[Nº]],[1]!NOMINA[#Data],5,FALSE)</f>
        <v>#REF!</v>
      </c>
    </row>
    <row r="1795" spans="1:23" x14ac:dyDescent="0.25">
      <c r="A1795" s="42">
        <v>45743</v>
      </c>
      <c r="B1795" s="1">
        <v>110490959</v>
      </c>
      <c r="C1795" t="s">
        <v>3444</v>
      </c>
      <c r="D1795" s="22">
        <v>-2748</v>
      </c>
      <c r="E1795" t="s">
        <v>35</v>
      </c>
      <c r="F1795" s="2">
        <v>212901001</v>
      </c>
      <c r="G1795" s="2" t="s">
        <v>121</v>
      </c>
      <c r="L1795" s="2" t="s">
        <v>3445</v>
      </c>
      <c r="M1795" t="s">
        <v>67</v>
      </c>
      <c r="N1795" s="48" t="s">
        <v>68</v>
      </c>
      <c r="O1795" s="48"/>
      <c r="P1795" s="23">
        <v>69.02</v>
      </c>
      <c r="Q1795" s="4">
        <f t="shared" si="27"/>
        <v>-39.814546508258481</v>
      </c>
      <c r="R1795" s="23" t="s">
        <v>109</v>
      </c>
      <c r="U1795">
        <v>11</v>
      </c>
      <c r="V1795" t="e">
        <f>VLOOKUP(U1795,[1]!NOMINA[#Data],4,FALSE)</f>
        <v>#REF!</v>
      </c>
      <c r="W1795" t="e">
        <f>VLOOKUP(U1795,[1]!NOMINA[#Data],5,FALSE)</f>
        <v>#REF!</v>
      </c>
    </row>
    <row r="1796" spans="1:23" x14ac:dyDescent="0.25">
      <c r="A1796" s="42">
        <v>45743</v>
      </c>
      <c r="B1796" s="1">
        <v>110490965</v>
      </c>
      <c r="C1796" t="s">
        <v>3446</v>
      </c>
      <c r="D1796" s="22">
        <v>-2748</v>
      </c>
      <c r="E1796" t="s">
        <v>35</v>
      </c>
      <c r="F1796" s="2">
        <v>212901001</v>
      </c>
      <c r="G1796" s="2" t="s">
        <v>121</v>
      </c>
      <c r="L1796" s="2" t="s">
        <v>3447</v>
      </c>
      <c r="M1796" t="s">
        <v>67</v>
      </c>
      <c r="N1796" s="48" t="s">
        <v>68</v>
      </c>
      <c r="O1796" s="48"/>
      <c r="P1796" s="23">
        <v>69.02</v>
      </c>
      <c r="Q1796" s="4">
        <f t="shared" si="27"/>
        <v>-39.814546508258481</v>
      </c>
      <c r="R1796" s="23" t="s">
        <v>109</v>
      </c>
      <c r="U1796">
        <v>10</v>
      </c>
      <c r="V1796" t="e">
        <f>VLOOKUP(U1796,[1]!NOMINA[#Data],4,FALSE)</f>
        <v>#REF!</v>
      </c>
      <c r="W1796" t="e">
        <f>VLOOKUP(U1796,[1]!NOMINA[#Data],5,FALSE)</f>
        <v>#REF!</v>
      </c>
    </row>
    <row r="1797" spans="1:23" x14ac:dyDescent="0.25">
      <c r="A1797" s="42">
        <v>45743</v>
      </c>
      <c r="B1797" s="1">
        <v>110490970</v>
      </c>
      <c r="C1797" t="s">
        <v>3448</v>
      </c>
      <c r="D1797" s="22">
        <v>-60.3</v>
      </c>
      <c r="E1797" t="s">
        <v>35</v>
      </c>
      <c r="F1797" s="2">
        <v>212901001</v>
      </c>
      <c r="G1797" s="2" t="s">
        <v>121</v>
      </c>
      <c r="L1797" s="2" t="s">
        <v>3449</v>
      </c>
      <c r="M1797" t="s">
        <v>67</v>
      </c>
      <c r="N1797" s="48" t="s">
        <v>68</v>
      </c>
      <c r="O1797" s="48"/>
      <c r="P1797" s="23">
        <v>69.02</v>
      </c>
      <c r="Q1797" s="4">
        <f t="shared" si="27"/>
        <v>-0.87365980875108662</v>
      </c>
      <c r="R1797" s="23" t="s">
        <v>109</v>
      </c>
      <c r="U1797">
        <v>9</v>
      </c>
      <c r="V1797" t="e">
        <f>VLOOKUP(U1797,[1]!NOMINA[#Data],4,FALSE)</f>
        <v>#REF!</v>
      </c>
      <c r="W1797" t="e">
        <f>VLOOKUP(U1797,[1]!NOMINA[#Data],5,FALSE)</f>
        <v>#REF!</v>
      </c>
    </row>
    <row r="1798" spans="1:23" x14ac:dyDescent="0.25">
      <c r="A1798" s="42">
        <v>45743</v>
      </c>
      <c r="B1798" s="1">
        <v>110490969</v>
      </c>
      <c r="C1798" t="s">
        <v>3450</v>
      </c>
      <c r="D1798" s="22">
        <v>-2748</v>
      </c>
      <c r="E1798" t="s">
        <v>35</v>
      </c>
      <c r="F1798" s="2">
        <v>212901001</v>
      </c>
      <c r="G1798" s="2" t="s">
        <v>121</v>
      </c>
      <c r="L1798" s="2" t="s">
        <v>3451</v>
      </c>
      <c r="M1798" t="s">
        <v>67</v>
      </c>
      <c r="N1798" s="48" t="s">
        <v>68</v>
      </c>
      <c r="O1798" s="48"/>
      <c r="P1798" s="23">
        <v>69.02</v>
      </c>
      <c r="Q1798" s="4">
        <f t="shared" si="27"/>
        <v>-39.814546508258481</v>
      </c>
      <c r="R1798" s="23" t="s">
        <v>109</v>
      </c>
      <c r="U1798">
        <v>38</v>
      </c>
      <c r="V1798" t="e">
        <f>VLOOKUP(U1798,[1]!NOMINA[#Data],4,FALSE)</f>
        <v>#REF!</v>
      </c>
      <c r="W1798" t="e">
        <f>VLOOKUP(U1798,[1]!NOMINA[#Data],5,FALSE)</f>
        <v>#REF!</v>
      </c>
    </row>
    <row r="1799" spans="1:23" x14ac:dyDescent="0.25">
      <c r="A1799" s="42">
        <v>45743</v>
      </c>
      <c r="B1799" s="1">
        <v>110490968</v>
      </c>
      <c r="C1799" t="s">
        <v>3452</v>
      </c>
      <c r="D1799" s="22">
        <v>-2748</v>
      </c>
      <c r="E1799" t="s">
        <v>35</v>
      </c>
      <c r="F1799" s="2">
        <v>212901001</v>
      </c>
      <c r="G1799" s="2" t="s">
        <v>121</v>
      </c>
      <c r="L1799" s="2" t="s">
        <v>3453</v>
      </c>
      <c r="M1799" t="s">
        <v>67</v>
      </c>
      <c r="N1799" s="48" t="s">
        <v>68</v>
      </c>
      <c r="O1799" s="48"/>
      <c r="P1799" s="23">
        <v>69.02</v>
      </c>
      <c r="Q1799" s="4">
        <f t="shared" si="27"/>
        <v>-39.814546508258481</v>
      </c>
      <c r="R1799" s="23" t="s">
        <v>109</v>
      </c>
      <c r="U1799">
        <v>9</v>
      </c>
      <c r="V1799" t="e">
        <f>VLOOKUP(U1799,[1]!NOMINA[#Data],4,FALSE)</f>
        <v>#REF!</v>
      </c>
      <c r="W1799" t="e">
        <f>VLOOKUP(U1799,[1]!NOMINA[#Data],5,FALSE)</f>
        <v>#REF!</v>
      </c>
    </row>
    <row r="1800" spans="1:23" x14ac:dyDescent="0.25">
      <c r="A1800" s="42">
        <v>45743</v>
      </c>
      <c r="B1800" s="1">
        <v>210490972</v>
      </c>
      <c r="C1800" t="s">
        <v>3454</v>
      </c>
      <c r="D1800" s="22">
        <v>-60.3</v>
      </c>
      <c r="E1800" t="s">
        <v>35</v>
      </c>
      <c r="F1800" s="2">
        <v>212901001</v>
      </c>
      <c r="G1800" s="2" t="s">
        <v>121</v>
      </c>
      <c r="L1800" s="2" t="s">
        <v>3455</v>
      </c>
      <c r="M1800" t="s">
        <v>67</v>
      </c>
      <c r="N1800" s="48" t="s">
        <v>68</v>
      </c>
      <c r="O1800" s="48"/>
      <c r="P1800" s="23">
        <v>69.02</v>
      </c>
      <c r="Q1800" s="4">
        <f t="shared" si="27"/>
        <v>-0.87365980875108662</v>
      </c>
      <c r="R1800" s="23" t="s">
        <v>109</v>
      </c>
      <c r="U1800">
        <v>26</v>
      </c>
      <c r="V1800" t="e">
        <f>VLOOKUP(Tabla3[[#This Row],[Nº]],[1]!NOMINA[#Data],4,FALSE)</f>
        <v>#REF!</v>
      </c>
      <c r="W1800" t="e">
        <f>VLOOKUP(Tabla3[[#This Row],[Nº]],[1]!NOMINA[#Data],5,FALSE)</f>
        <v>#REF!</v>
      </c>
    </row>
    <row r="1801" spans="1:23" x14ac:dyDescent="0.25">
      <c r="A1801" s="42">
        <v>45743</v>
      </c>
      <c r="B1801" s="1">
        <v>210490975</v>
      </c>
      <c r="C1801" t="s">
        <v>3456</v>
      </c>
      <c r="D1801" s="22">
        <v>-60.3</v>
      </c>
      <c r="E1801" t="s">
        <v>35</v>
      </c>
      <c r="F1801" s="2">
        <v>212901001</v>
      </c>
      <c r="G1801" s="2" t="s">
        <v>121</v>
      </c>
      <c r="L1801" s="2" t="s">
        <v>3457</v>
      </c>
      <c r="M1801" t="s">
        <v>67</v>
      </c>
      <c r="N1801" s="48" t="s">
        <v>68</v>
      </c>
      <c r="O1801" s="48"/>
      <c r="P1801" s="23">
        <v>69.02</v>
      </c>
      <c r="Q1801" s="4">
        <f t="shared" si="27"/>
        <v>-0.87365980875108662</v>
      </c>
      <c r="R1801" s="23" t="s">
        <v>109</v>
      </c>
      <c r="U1801">
        <v>10</v>
      </c>
      <c r="V1801" t="e">
        <f>VLOOKUP(U1801,[1]!NOMINA[#Data],4,FALSE)</f>
        <v>#REF!</v>
      </c>
      <c r="W1801" t="e">
        <f>VLOOKUP(U1801,[1]!NOMINA[#Data],5,FALSE)</f>
        <v>#REF!</v>
      </c>
    </row>
    <row r="1802" spans="1:23" x14ac:dyDescent="0.25">
      <c r="A1802" s="42">
        <v>45743</v>
      </c>
      <c r="B1802" s="1">
        <v>110490971</v>
      </c>
      <c r="C1802" t="s">
        <v>3458</v>
      </c>
      <c r="D1802" s="22">
        <v>-60.3</v>
      </c>
      <c r="E1802" t="s">
        <v>35</v>
      </c>
      <c r="F1802" s="2">
        <v>212901001</v>
      </c>
      <c r="G1802" s="2" t="s">
        <v>121</v>
      </c>
      <c r="L1802" s="2" t="s">
        <v>3459</v>
      </c>
      <c r="M1802" t="s">
        <v>67</v>
      </c>
      <c r="N1802" s="48" t="s">
        <v>68</v>
      </c>
      <c r="O1802" s="48"/>
      <c r="P1802" s="23">
        <v>69.02</v>
      </c>
      <c r="Q1802" s="4">
        <f t="shared" si="27"/>
        <v>-0.87365980875108662</v>
      </c>
      <c r="R1802" s="23" t="s">
        <v>109</v>
      </c>
      <c r="U1802">
        <v>18</v>
      </c>
      <c r="V1802" t="e">
        <f>VLOOKUP(Tabla3[[#This Row],[Nº]],[1]!NOMINA[#Data],4,FALSE)</f>
        <v>#REF!</v>
      </c>
      <c r="W1802" t="e">
        <f>VLOOKUP(Tabla3[[#This Row],[Nº]],[1]!NOMINA[#Data],5,FALSE)</f>
        <v>#REF!</v>
      </c>
    </row>
    <row r="1803" spans="1:23" x14ac:dyDescent="0.25">
      <c r="A1803" s="42">
        <v>45743</v>
      </c>
      <c r="B1803" s="1">
        <v>210490973</v>
      </c>
      <c r="C1803" t="s">
        <v>3460</v>
      </c>
      <c r="D1803" s="22">
        <v>-60.3</v>
      </c>
      <c r="E1803" t="s">
        <v>35</v>
      </c>
      <c r="F1803" s="2">
        <v>212901001</v>
      </c>
      <c r="G1803" s="2" t="s">
        <v>121</v>
      </c>
      <c r="L1803" s="2" t="s">
        <v>3461</v>
      </c>
      <c r="M1803" t="s">
        <v>67</v>
      </c>
      <c r="N1803" s="48" t="s">
        <v>68</v>
      </c>
      <c r="O1803" s="48"/>
      <c r="P1803" s="23">
        <v>69.02</v>
      </c>
      <c r="Q1803" s="4">
        <f t="shared" ref="Q1803:Q1866" si="28">D1803/P1803</f>
        <v>-0.87365980875108662</v>
      </c>
      <c r="R1803" s="23" t="s">
        <v>109</v>
      </c>
      <c r="U1803">
        <v>38</v>
      </c>
      <c r="V1803" t="e">
        <f>VLOOKUP(U1803,[1]!NOMINA[#Data],4,FALSE)</f>
        <v>#REF!</v>
      </c>
      <c r="W1803" t="e">
        <f>VLOOKUP(U1803,[1]!NOMINA[#Data],5,FALSE)</f>
        <v>#REF!</v>
      </c>
    </row>
    <row r="1804" spans="1:23" x14ac:dyDescent="0.25">
      <c r="A1804" s="42">
        <v>45743</v>
      </c>
      <c r="B1804" s="1">
        <v>210490978</v>
      </c>
      <c r="C1804" t="s">
        <v>3462</v>
      </c>
      <c r="D1804" s="22">
        <v>-60.3</v>
      </c>
      <c r="E1804" t="s">
        <v>35</v>
      </c>
      <c r="F1804" s="2">
        <v>212901001</v>
      </c>
      <c r="G1804" s="2" t="s">
        <v>121</v>
      </c>
      <c r="L1804" s="2" t="s">
        <v>3463</v>
      </c>
      <c r="M1804" t="s">
        <v>67</v>
      </c>
      <c r="N1804" s="48" t="s">
        <v>68</v>
      </c>
      <c r="O1804" s="48"/>
      <c r="P1804" s="23">
        <v>69.02</v>
      </c>
      <c r="Q1804" s="4">
        <f t="shared" si="28"/>
        <v>-0.87365980875108662</v>
      </c>
      <c r="R1804" s="23" t="s">
        <v>109</v>
      </c>
      <c r="U1804">
        <v>15</v>
      </c>
      <c r="V1804" t="e">
        <f>VLOOKUP(U1804,[1]!NOMINA[#Data],4,FALSE)</f>
        <v>#REF!</v>
      </c>
      <c r="W1804" t="e">
        <f>VLOOKUP(U1804,[1]!NOMINA[#Data],5,FALSE)</f>
        <v>#REF!</v>
      </c>
    </row>
    <row r="1805" spans="1:23" x14ac:dyDescent="0.25">
      <c r="A1805" s="42">
        <v>45743</v>
      </c>
      <c r="B1805" s="1">
        <v>210490974</v>
      </c>
      <c r="C1805" t="s">
        <v>3464</v>
      </c>
      <c r="D1805" s="22">
        <v>-60.3</v>
      </c>
      <c r="E1805" t="s">
        <v>35</v>
      </c>
      <c r="F1805" s="2">
        <v>212901001</v>
      </c>
      <c r="G1805" s="2" t="s">
        <v>121</v>
      </c>
      <c r="L1805" s="2" t="s">
        <v>3465</v>
      </c>
      <c r="M1805" t="s">
        <v>67</v>
      </c>
      <c r="N1805" s="48" t="s">
        <v>68</v>
      </c>
      <c r="O1805" s="48"/>
      <c r="P1805" s="23">
        <v>69.02</v>
      </c>
      <c r="Q1805" s="4">
        <f t="shared" si="28"/>
        <v>-0.87365980875108662</v>
      </c>
      <c r="R1805" s="23" t="s">
        <v>109</v>
      </c>
      <c r="U1805">
        <v>20</v>
      </c>
      <c r="V1805" t="e">
        <f>VLOOKUP(Tabla3[[#This Row],[Nº]],[1]!NOMINA[#Data],4,FALSE)</f>
        <v>#REF!</v>
      </c>
      <c r="W1805" t="e">
        <f>VLOOKUP(Tabla3[[#This Row],[Nº]],[1]!NOMINA[#Data],5,FALSE)</f>
        <v>#REF!</v>
      </c>
    </row>
    <row r="1806" spans="1:23" x14ac:dyDescent="0.25">
      <c r="A1806" s="42">
        <v>45743</v>
      </c>
      <c r="B1806" s="1">
        <v>210490977</v>
      </c>
      <c r="C1806" t="s">
        <v>3456</v>
      </c>
      <c r="D1806" s="22">
        <v>-21.69</v>
      </c>
      <c r="E1806" t="s">
        <v>35</v>
      </c>
      <c r="F1806" s="2">
        <v>212901001</v>
      </c>
      <c r="G1806" s="2" t="s">
        <v>121</v>
      </c>
      <c r="L1806" s="2" t="s">
        <v>3466</v>
      </c>
      <c r="M1806" t="s">
        <v>67</v>
      </c>
      <c r="N1806" s="48" t="s">
        <v>68</v>
      </c>
      <c r="O1806" s="48"/>
      <c r="P1806" s="23">
        <v>69.02</v>
      </c>
      <c r="Q1806" s="4">
        <f t="shared" si="28"/>
        <v>-0.3142567371776297</v>
      </c>
      <c r="R1806" s="23" t="s">
        <v>109</v>
      </c>
      <c r="U1806">
        <v>10</v>
      </c>
      <c r="V1806" t="e">
        <f>VLOOKUP(U1806,[1]!NOMINA[#Data],4,FALSE)</f>
        <v>#REF!</v>
      </c>
      <c r="W1806" t="e">
        <f>VLOOKUP(U1806,[1]!NOMINA[#Data],5,FALSE)</f>
        <v>#REF!</v>
      </c>
    </row>
    <row r="1807" spans="1:23" x14ac:dyDescent="0.25">
      <c r="A1807" s="42">
        <v>45743</v>
      </c>
      <c r="B1807" s="1">
        <v>210490976</v>
      </c>
      <c r="C1807" t="s">
        <v>3467</v>
      </c>
      <c r="D1807" s="22">
        <v>-60.3</v>
      </c>
      <c r="E1807" t="s">
        <v>35</v>
      </c>
      <c r="F1807" s="2">
        <v>212901001</v>
      </c>
      <c r="G1807" s="2" t="s">
        <v>121</v>
      </c>
      <c r="L1807" s="2" t="s">
        <v>3468</v>
      </c>
      <c r="M1807" t="s">
        <v>67</v>
      </c>
      <c r="N1807" s="48" t="s">
        <v>68</v>
      </c>
      <c r="O1807" s="48"/>
      <c r="P1807" s="23">
        <v>69.02</v>
      </c>
      <c r="Q1807" s="4">
        <f t="shared" si="28"/>
        <v>-0.87365980875108662</v>
      </c>
      <c r="R1807" s="23" t="s">
        <v>109</v>
      </c>
      <c r="U1807">
        <v>13</v>
      </c>
      <c r="V1807" t="e">
        <f>VLOOKUP(U1807,[1]!NOMINA[#Data],4,FALSE)</f>
        <v>#REF!</v>
      </c>
      <c r="W1807" t="e">
        <f>VLOOKUP(U1807,[1]!NOMINA[#Data],5,FALSE)</f>
        <v>#REF!</v>
      </c>
    </row>
    <row r="1808" spans="1:23" x14ac:dyDescent="0.25">
      <c r="A1808" s="42">
        <v>45743</v>
      </c>
      <c r="B1808" s="1">
        <v>210490980</v>
      </c>
      <c r="C1808" t="s">
        <v>3469</v>
      </c>
      <c r="D1808" s="22">
        <v>-60.3</v>
      </c>
      <c r="E1808" t="s">
        <v>35</v>
      </c>
      <c r="F1808" s="2">
        <v>212901001</v>
      </c>
      <c r="G1808" s="2" t="s">
        <v>121</v>
      </c>
      <c r="L1808" s="2" t="s">
        <v>3470</v>
      </c>
      <c r="M1808" t="s">
        <v>67</v>
      </c>
      <c r="N1808" s="48" t="s">
        <v>68</v>
      </c>
      <c r="O1808" s="48"/>
      <c r="P1808" s="23">
        <v>69.02</v>
      </c>
      <c r="Q1808" s="4">
        <f t="shared" si="28"/>
        <v>-0.87365980875108662</v>
      </c>
      <c r="R1808" s="23" t="s">
        <v>109</v>
      </c>
      <c r="U1808">
        <v>8</v>
      </c>
      <c r="V1808" t="e">
        <f>VLOOKUP(U1808,[1]!NOMINA[#Data],4,FALSE)</f>
        <v>#REF!</v>
      </c>
      <c r="W1808" t="e">
        <f>VLOOKUP(U1808,[1]!NOMINA[#Data],5,FALSE)</f>
        <v>#REF!</v>
      </c>
    </row>
    <row r="1809" spans="1:23" x14ac:dyDescent="0.25">
      <c r="A1809" s="42">
        <v>45743</v>
      </c>
      <c r="B1809" s="1">
        <v>210490979</v>
      </c>
      <c r="C1809" t="s">
        <v>3471</v>
      </c>
      <c r="D1809" s="22">
        <v>-60.3</v>
      </c>
      <c r="E1809" t="s">
        <v>35</v>
      </c>
      <c r="F1809" s="2">
        <v>212901001</v>
      </c>
      <c r="G1809" s="2" t="s">
        <v>121</v>
      </c>
      <c r="L1809" s="2" t="s">
        <v>3472</v>
      </c>
      <c r="M1809" t="s">
        <v>67</v>
      </c>
      <c r="N1809" s="48" t="s">
        <v>68</v>
      </c>
      <c r="O1809" s="48"/>
      <c r="P1809" s="23">
        <v>69.02</v>
      </c>
      <c r="Q1809" s="4">
        <f t="shared" si="28"/>
        <v>-0.87365980875108662</v>
      </c>
      <c r="R1809" s="23" t="s">
        <v>109</v>
      </c>
      <c r="U1809">
        <v>11</v>
      </c>
      <c r="V1809" t="e">
        <f>VLOOKUP(U1809,[1]!NOMINA[#Data],4,FALSE)</f>
        <v>#REF!</v>
      </c>
      <c r="W1809" t="e">
        <f>VLOOKUP(U1809,[1]!NOMINA[#Data],5,FALSE)</f>
        <v>#REF!</v>
      </c>
    </row>
    <row r="1810" spans="1:23" x14ac:dyDescent="0.25">
      <c r="A1810" s="42">
        <v>45743</v>
      </c>
      <c r="B1810" s="1">
        <v>210490981</v>
      </c>
      <c r="C1810" t="s">
        <v>3473</v>
      </c>
      <c r="D1810" s="22">
        <v>-60.3</v>
      </c>
      <c r="E1810" t="s">
        <v>35</v>
      </c>
      <c r="F1810" s="2">
        <v>212901001</v>
      </c>
      <c r="G1810" s="2" t="s">
        <v>121</v>
      </c>
      <c r="L1810" s="2" t="s">
        <v>3474</v>
      </c>
      <c r="M1810" t="s">
        <v>67</v>
      </c>
      <c r="N1810" s="48" t="s">
        <v>68</v>
      </c>
      <c r="O1810" s="48"/>
      <c r="P1810" s="23">
        <v>69.02</v>
      </c>
      <c r="Q1810" s="4">
        <f t="shared" si="28"/>
        <v>-0.87365980875108662</v>
      </c>
      <c r="R1810" s="23" t="s">
        <v>109</v>
      </c>
      <c r="U1810">
        <v>23</v>
      </c>
      <c r="V1810" t="e">
        <f>VLOOKUP(U1810,[1]!NOMINA[#Data],4,FALSE)</f>
        <v>#REF!</v>
      </c>
      <c r="W1810" t="e">
        <f>VLOOKUP(U1810,[1]!NOMINA[#Data],5,FALSE)</f>
        <v>#REF!</v>
      </c>
    </row>
    <row r="1811" spans="1:23" x14ac:dyDescent="0.25">
      <c r="A1811" s="42">
        <v>45743</v>
      </c>
      <c r="B1811" s="1">
        <v>310490982</v>
      </c>
      <c r="C1811" t="s">
        <v>3475</v>
      </c>
      <c r="D1811" s="22">
        <v>-60.3</v>
      </c>
      <c r="E1811" t="s">
        <v>35</v>
      </c>
      <c r="F1811" s="2">
        <v>212901001</v>
      </c>
      <c r="G1811" s="2" t="s">
        <v>121</v>
      </c>
      <c r="L1811" s="2" t="s">
        <v>3476</v>
      </c>
      <c r="M1811" t="s">
        <v>67</v>
      </c>
      <c r="N1811" s="48" t="s">
        <v>68</v>
      </c>
      <c r="O1811" s="48"/>
      <c r="P1811" s="23">
        <v>69.02</v>
      </c>
      <c r="Q1811" s="4">
        <f t="shared" si="28"/>
        <v>-0.87365980875108662</v>
      </c>
      <c r="R1811" s="23" t="s">
        <v>109</v>
      </c>
      <c r="U1811">
        <v>43</v>
      </c>
      <c r="V1811" t="e">
        <f>VLOOKUP(U1811,[1]!NOMINA[#Data],4,FALSE)</f>
        <v>#REF!</v>
      </c>
      <c r="W1811" t="e">
        <f>VLOOKUP(U1811,[1]!NOMINA[#Data],5,FALSE)</f>
        <v>#REF!</v>
      </c>
    </row>
    <row r="1812" spans="1:23" x14ac:dyDescent="0.25">
      <c r="A1812" s="42">
        <v>45743</v>
      </c>
      <c r="B1812" s="1">
        <v>310490983</v>
      </c>
      <c r="C1812" t="s">
        <v>3477</v>
      </c>
      <c r="D1812" s="22">
        <v>-60.3</v>
      </c>
      <c r="E1812" t="s">
        <v>35</v>
      </c>
      <c r="F1812" s="2">
        <v>212901001</v>
      </c>
      <c r="G1812" s="2" t="s">
        <v>121</v>
      </c>
      <c r="L1812" s="2" t="s">
        <v>3478</v>
      </c>
      <c r="M1812" t="s">
        <v>67</v>
      </c>
      <c r="N1812" s="48" t="s">
        <v>68</v>
      </c>
      <c r="O1812" s="48"/>
      <c r="P1812" s="23">
        <v>69.02</v>
      </c>
      <c r="Q1812" s="4">
        <f t="shared" si="28"/>
        <v>-0.87365980875108662</v>
      </c>
      <c r="R1812" s="23" t="s">
        <v>109</v>
      </c>
      <c r="U1812">
        <v>17</v>
      </c>
      <c r="V1812" t="e">
        <f>VLOOKUP(U1812,[1]!NOMINA[#Data],4,FALSE)</f>
        <v>#REF!</v>
      </c>
      <c r="W1812" t="e">
        <f>VLOOKUP(U1812,[1]!NOMINA[#Data],5,FALSE)</f>
        <v>#REF!</v>
      </c>
    </row>
    <row r="1813" spans="1:23" x14ac:dyDescent="0.25">
      <c r="A1813" s="42">
        <v>45743</v>
      </c>
      <c r="B1813" s="1">
        <v>310490986</v>
      </c>
      <c r="C1813" t="s">
        <v>3479</v>
      </c>
      <c r="D1813" s="22">
        <v>-60.3</v>
      </c>
      <c r="E1813" t="s">
        <v>35</v>
      </c>
      <c r="F1813" s="2">
        <v>212901001</v>
      </c>
      <c r="G1813" s="2" t="s">
        <v>121</v>
      </c>
      <c r="L1813" s="2" t="s">
        <v>3480</v>
      </c>
      <c r="M1813" t="s">
        <v>67</v>
      </c>
      <c r="N1813" s="48" t="s">
        <v>68</v>
      </c>
      <c r="O1813" s="48"/>
      <c r="P1813" s="23">
        <v>69.02</v>
      </c>
      <c r="Q1813" s="4">
        <f t="shared" si="28"/>
        <v>-0.87365980875108662</v>
      </c>
      <c r="R1813" s="23" t="s">
        <v>109</v>
      </c>
      <c r="U1813">
        <v>4</v>
      </c>
      <c r="V1813" t="e">
        <f>VLOOKUP(U1813,[1]!NOMINA[#Data],4,FALSE)</f>
        <v>#REF!</v>
      </c>
      <c r="W1813" t="e">
        <f>VLOOKUP(U1813,[1]!NOMINA[#Data],5,FALSE)</f>
        <v>#REF!</v>
      </c>
    </row>
    <row r="1814" spans="1:23" x14ac:dyDescent="0.25">
      <c r="A1814" s="42">
        <v>45743</v>
      </c>
      <c r="B1814" s="1">
        <v>310490985</v>
      </c>
      <c r="C1814" t="s">
        <v>3481</v>
      </c>
      <c r="D1814" s="22">
        <v>-60.3</v>
      </c>
      <c r="E1814" t="s">
        <v>35</v>
      </c>
      <c r="F1814" s="2">
        <v>212901001</v>
      </c>
      <c r="G1814" s="2" t="s">
        <v>121</v>
      </c>
      <c r="L1814" s="2" t="s">
        <v>3482</v>
      </c>
      <c r="M1814" t="s">
        <v>67</v>
      </c>
      <c r="N1814" s="48" t="s">
        <v>68</v>
      </c>
      <c r="O1814" s="48"/>
      <c r="P1814" s="23">
        <v>69.02</v>
      </c>
      <c r="Q1814" s="4">
        <f t="shared" si="28"/>
        <v>-0.87365980875108662</v>
      </c>
      <c r="R1814" s="23" t="s">
        <v>109</v>
      </c>
      <c r="U1814">
        <v>14</v>
      </c>
      <c r="V1814" t="e">
        <f>VLOOKUP(U1814,[1]!NOMINA[#Data],4,FALSE)</f>
        <v>#REF!</v>
      </c>
      <c r="W1814" t="e">
        <f>VLOOKUP(U1814,[1]!NOMINA[#Data],5,FALSE)</f>
        <v>#REF!</v>
      </c>
    </row>
    <row r="1815" spans="1:23" x14ac:dyDescent="0.25">
      <c r="A1815" s="42">
        <v>45743</v>
      </c>
      <c r="B1815" s="1">
        <v>310490984</v>
      </c>
      <c r="C1815" t="s">
        <v>3483</v>
      </c>
      <c r="D1815" s="22">
        <v>-60.3</v>
      </c>
      <c r="E1815" t="s">
        <v>35</v>
      </c>
      <c r="F1815" s="2">
        <v>212901001</v>
      </c>
      <c r="G1815" s="2" t="s">
        <v>121</v>
      </c>
      <c r="L1815" s="2" t="s">
        <v>3484</v>
      </c>
      <c r="M1815" t="s">
        <v>67</v>
      </c>
      <c r="N1815" s="48" t="s">
        <v>68</v>
      </c>
      <c r="O1815" s="48"/>
      <c r="P1815" s="23">
        <v>69.02</v>
      </c>
      <c r="Q1815" s="4">
        <f t="shared" si="28"/>
        <v>-0.87365980875108662</v>
      </c>
      <c r="R1815" s="23" t="s">
        <v>109</v>
      </c>
      <c r="U1815">
        <v>22</v>
      </c>
      <c r="V1815" t="e">
        <f>VLOOKUP(Tabla3[[#This Row],[Nº]],[1]!NOMINA[#Data],4,FALSE)</f>
        <v>#REF!</v>
      </c>
      <c r="W1815" t="e">
        <f>VLOOKUP(U1815,[1]!NOMINA[#Data],5,FALSE)</f>
        <v>#REF!</v>
      </c>
    </row>
    <row r="1816" spans="1:23" x14ac:dyDescent="0.25">
      <c r="A1816" s="42">
        <v>45743</v>
      </c>
      <c r="B1816" s="1">
        <v>310490987</v>
      </c>
      <c r="C1816" t="s">
        <v>3485</v>
      </c>
      <c r="D1816" s="22">
        <v>-60.3</v>
      </c>
      <c r="E1816" t="s">
        <v>35</v>
      </c>
      <c r="F1816" s="2">
        <v>212901001</v>
      </c>
      <c r="G1816" s="2" t="s">
        <v>121</v>
      </c>
      <c r="L1816" s="2" t="s">
        <v>3486</v>
      </c>
      <c r="M1816" t="s">
        <v>67</v>
      </c>
      <c r="N1816" s="48" t="s">
        <v>68</v>
      </c>
      <c r="O1816" s="48"/>
      <c r="P1816" s="23">
        <v>69.02</v>
      </c>
      <c r="Q1816" s="4">
        <f t="shared" si="28"/>
        <v>-0.87365980875108662</v>
      </c>
      <c r="R1816" s="23" t="s">
        <v>109</v>
      </c>
      <c r="U1816">
        <v>42</v>
      </c>
      <c r="V1816" t="e">
        <f>VLOOKUP(U1816,[1]!NOMINA[#Data],4,FALSE)</f>
        <v>#REF!</v>
      </c>
      <c r="W1816" t="e">
        <f>VLOOKUP(U1816,[1]!NOMINA[#Data],5,FALSE)</f>
        <v>#REF!</v>
      </c>
    </row>
    <row r="1817" spans="1:23" x14ac:dyDescent="0.25">
      <c r="A1817" s="42">
        <v>45743</v>
      </c>
      <c r="B1817" s="1">
        <v>310490988</v>
      </c>
      <c r="C1817" t="s">
        <v>3487</v>
      </c>
      <c r="D1817" s="22">
        <v>-60.3</v>
      </c>
      <c r="E1817" t="s">
        <v>35</v>
      </c>
      <c r="F1817" s="2">
        <v>212901001</v>
      </c>
      <c r="G1817" s="2" t="s">
        <v>121</v>
      </c>
      <c r="L1817" s="2" t="s">
        <v>3488</v>
      </c>
      <c r="M1817" t="s">
        <v>67</v>
      </c>
      <c r="N1817" s="48" t="s">
        <v>68</v>
      </c>
      <c r="O1817" s="48"/>
      <c r="P1817" s="23">
        <v>69.02</v>
      </c>
      <c r="Q1817" s="4">
        <f t="shared" si="28"/>
        <v>-0.87365980875108662</v>
      </c>
      <c r="R1817" s="23" t="s">
        <v>109</v>
      </c>
      <c r="U1817">
        <v>39</v>
      </c>
      <c r="V1817" t="e">
        <f>VLOOKUP(U1817,[1]!NOMINA[#Data],4,FALSE)</f>
        <v>#REF!</v>
      </c>
      <c r="W1817" t="e">
        <f>VLOOKUP(U1817,[1]!NOMINA[#Data],5,FALSE)</f>
        <v>#REF!</v>
      </c>
    </row>
    <row r="1818" spans="1:23" x14ac:dyDescent="0.25">
      <c r="A1818" s="42">
        <v>45743</v>
      </c>
      <c r="B1818" s="1">
        <v>310490989</v>
      </c>
      <c r="C1818" t="s">
        <v>3489</v>
      </c>
      <c r="D1818" s="22">
        <v>-60.3</v>
      </c>
      <c r="E1818" t="s">
        <v>35</v>
      </c>
      <c r="F1818" s="2">
        <v>212901001</v>
      </c>
      <c r="G1818" s="2" t="s">
        <v>121</v>
      </c>
      <c r="L1818" s="2" t="s">
        <v>3490</v>
      </c>
      <c r="M1818" t="s">
        <v>67</v>
      </c>
      <c r="N1818" s="48" t="s">
        <v>68</v>
      </c>
      <c r="O1818" s="48"/>
      <c r="P1818" s="23">
        <v>69.02</v>
      </c>
      <c r="Q1818" s="4">
        <f t="shared" si="28"/>
        <v>-0.87365980875108662</v>
      </c>
      <c r="R1818" s="23" t="s">
        <v>109</v>
      </c>
      <c r="U1818">
        <v>21</v>
      </c>
      <c r="V1818" t="e">
        <f>VLOOKUP(U1818,[1]!NOMINA[#Data],4,FALSE)</f>
        <v>#REF!</v>
      </c>
      <c r="W1818" t="e">
        <f>VLOOKUP(U1818,[1]!NOMINA[#Data],5,FALSE)</f>
        <v>#REF!</v>
      </c>
    </row>
    <row r="1819" spans="1:23" x14ac:dyDescent="0.25">
      <c r="A1819" s="42">
        <v>45743</v>
      </c>
      <c r="B1819" s="1">
        <v>310490991</v>
      </c>
      <c r="C1819" t="s">
        <v>3491</v>
      </c>
      <c r="D1819" s="22">
        <v>-60.3</v>
      </c>
      <c r="E1819" t="s">
        <v>35</v>
      </c>
      <c r="F1819" s="2">
        <v>212901001</v>
      </c>
      <c r="G1819" s="2" t="s">
        <v>121</v>
      </c>
      <c r="L1819" s="2" t="s">
        <v>3492</v>
      </c>
      <c r="M1819" t="s">
        <v>67</v>
      </c>
      <c r="N1819" s="48" t="s">
        <v>68</v>
      </c>
      <c r="O1819" s="48"/>
      <c r="P1819" s="23">
        <v>69.02</v>
      </c>
      <c r="Q1819" s="4">
        <f t="shared" si="28"/>
        <v>-0.87365980875108662</v>
      </c>
      <c r="R1819" s="23" t="s">
        <v>109</v>
      </c>
      <c r="U1819">
        <v>25</v>
      </c>
      <c r="V1819" t="e">
        <f>VLOOKUP(U1819,[1]!NOMINA[#Data],4,FALSE)</f>
        <v>#REF!</v>
      </c>
      <c r="W1819" t="e">
        <f>VLOOKUP(U1819,[1]!NOMINA[#Data],5,FALSE)</f>
        <v>#REF!</v>
      </c>
    </row>
    <row r="1820" spans="1:23" x14ac:dyDescent="0.25">
      <c r="A1820" s="42">
        <v>45743</v>
      </c>
      <c r="B1820" s="1">
        <v>310490990</v>
      </c>
      <c r="C1820" t="s">
        <v>3493</v>
      </c>
      <c r="D1820" s="22">
        <v>-60.3</v>
      </c>
      <c r="E1820" t="s">
        <v>35</v>
      </c>
      <c r="F1820" s="2">
        <v>212901001</v>
      </c>
      <c r="G1820" s="2" t="s">
        <v>121</v>
      </c>
      <c r="L1820" s="2" t="s">
        <v>3494</v>
      </c>
      <c r="M1820" t="s">
        <v>67</v>
      </c>
      <c r="N1820" s="48" t="s">
        <v>68</v>
      </c>
      <c r="O1820" s="48"/>
      <c r="P1820" s="23">
        <v>69.02</v>
      </c>
      <c r="Q1820" s="4">
        <f t="shared" si="28"/>
        <v>-0.87365980875108662</v>
      </c>
      <c r="R1820" s="23" t="s">
        <v>109</v>
      </c>
      <c r="U1820">
        <v>12</v>
      </c>
      <c r="V1820" t="e">
        <f>VLOOKUP(U1820,[1]!NOMINA[#Data],4,FALSE)</f>
        <v>#REF!</v>
      </c>
      <c r="W1820" t="e">
        <f>VLOOKUP(U1820,[1]!NOMINA[#Data],5,FALSE)</f>
        <v>#REF!</v>
      </c>
    </row>
    <row r="1821" spans="1:23" x14ac:dyDescent="0.25">
      <c r="A1821" s="42">
        <v>45743</v>
      </c>
      <c r="B1821" s="1">
        <v>410490993</v>
      </c>
      <c r="C1821" t="s">
        <v>3495</v>
      </c>
      <c r="D1821" s="22">
        <v>-60.3</v>
      </c>
      <c r="E1821" t="s">
        <v>35</v>
      </c>
      <c r="F1821" s="2">
        <v>212901001</v>
      </c>
      <c r="G1821" s="2" t="s">
        <v>121</v>
      </c>
      <c r="L1821" s="2" t="s">
        <v>3496</v>
      </c>
      <c r="M1821" t="s">
        <v>67</v>
      </c>
      <c r="N1821" s="48" t="s">
        <v>68</v>
      </c>
      <c r="O1821" s="48"/>
      <c r="P1821" s="23">
        <v>69.02</v>
      </c>
      <c r="Q1821" s="4">
        <f t="shared" si="28"/>
        <v>-0.87365980875108662</v>
      </c>
      <c r="R1821" s="23" t="s">
        <v>109</v>
      </c>
      <c r="U1821">
        <v>2</v>
      </c>
      <c r="V1821" t="e">
        <f>VLOOKUP(Tabla3[[#This Row],[Nº]],[1]!NOMINA[#Data],4,FALSE)</f>
        <v>#REF!</v>
      </c>
      <c r="W1821" t="e">
        <f>VLOOKUP(Tabla3[[#This Row],[Nº]],[1]!NOMINA[#Data],5,FALSE)</f>
        <v>#REF!</v>
      </c>
    </row>
    <row r="1822" spans="1:23" x14ac:dyDescent="0.25">
      <c r="A1822" s="42">
        <v>45743</v>
      </c>
      <c r="B1822" s="1">
        <v>410490997</v>
      </c>
      <c r="C1822" t="s">
        <v>3497</v>
      </c>
      <c r="D1822" s="22">
        <v>-60.3</v>
      </c>
      <c r="E1822" t="s">
        <v>35</v>
      </c>
      <c r="F1822" s="2">
        <v>212901001</v>
      </c>
      <c r="G1822" s="2" t="s">
        <v>121</v>
      </c>
      <c r="L1822" s="2" t="s">
        <v>3498</v>
      </c>
      <c r="M1822" t="s">
        <v>67</v>
      </c>
      <c r="N1822" s="48" t="s">
        <v>68</v>
      </c>
      <c r="O1822" s="48"/>
      <c r="P1822" s="23">
        <v>69.02</v>
      </c>
      <c r="Q1822" s="4">
        <f t="shared" si="28"/>
        <v>-0.87365980875108662</v>
      </c>
      <c r="R1822" s="23" t="s">
        <v>109</v>
      </c>
      <c r="U1822">
        <v>28</v>
      </c>
      <c r="V1822" t="e">
        <f>VLOOKUP(U1822,[1]!NOMINA[#Data],4,FALSE)</f>
        <v>#REF!</v>
      </c>
      <c r="W1822" t="e">
        <f>VLOOKUP(U1822,[1]!NOMINA[#Data],5,FALSE)</f>
        <v>#REF!</v>
      </c>
    </row>
    <row r="1823" spans="1:23" x14ac:dyDescent="0.25">
      <c r="A1823" s="42">
        <v>45743</v>
      </c>
      <c r="B1823" s="1">
        <v>410490994</v>
      </c>
      <c r="C1823" t="s">
        <v>3499</v>
      </c>
      <c r="D1823" s="22">
        <v>-60.3</v>
      </c>
      <c r="E1823" t="s">
        <v>35</v>
      </c>
      <c r="F1823" s="2">
        <v>212901001</v>
      </c>
      <c r="G1823" s="2" t="s">
        <v>121</v>
      </c>
      <c r="L1823" s="2" t="s">
        <v>3500</v>
      </c>
      <c r="M1823" t="s">
        <v>67</v>
      </c>
      <c r="N1823" s="48" t="s">
        <v>68</v>
      </c>
      <c r="O1823" s="48"/>
      <c r="P1823" s="23">
        <v>69.02</v>
      </c>
      <c r="Q1823" s="4">
        <f t="shared" si="28"/>
        <v>-0.87365980875108662</v>
      </c>
      <c r="R1823" s="23" t="s">
        <v>109</v>
      </c>
      <c r="U1823">
        <v>6</v>
      </c>
      <c r="V1823" t="e">
        <f>VLOOKUP(U1823,[1]!NOMINA[#Data],4,FALSE)</f>
        <v>#REF!</v>
      </c>
      <c r="W1823" t="e">
        <f>VLOOKUP(U1823,[1]!NOMINA[#Data],5,FALSE)</f>
        <v>#REF!</v>
      </c>
    </row>
    <row r="1824" spans="1:23" x14ac:dyDescent="0.25">
      <c r="A1824" s="42">
        <v>45743</v>
      </c>
      <c r="B1824" s="1">
        <v>310490992</v>
      </c>
      <c r="C1824" t="s">
        <v>3501</v>
      </c>
      <c r="D1824" s="22">
        <v>-60.3</v>
      </c>
      <c r="E1824" t="s">
        <v>35</v>
      </c>
      <c r="F1824" s="2">
        <v>212901001</v>
      </c>
      <c r="G1824" s="2" t="s">
        <v>121</v>
      </c>
      <c r="L1824" s="2" t="s">
        <v>3502</v>
      </c>
      <c r="M1824" t="s">
        <v>67</v>
      </c>
      <c r="N1824" s="48" t="s">
        <v>68</v>
      </c>
      <c r="O1824" s="48"/>
      <c r="P1824" s="23">
        <v>69.02</v>
      </c>
      <c r="Q1824" s="4">
        <f t="shared" si="28"/>
        <v>-0.87365980875108662</v>
      </c>
      <c r="R1824" s="23" t="s">
        <v>109</v>
      </c>
      <c r="U1824">
        <v>24</v>
      </c>
      <c r="V1824" t="e">
        <f>VLOOKUP(U1824,[1]!NOMINA[#Data],4,FALSE)</f>
        <v>#REF!</v>
      </c>
      <c r="W1824" t="e">
        <f>VLOOKUP(U1824,[1]!NOMINA[#Data],5,FALSE)</f>
        <v>#REF!</v>
      </c>
    </row>
    <row r="1825" spans="1:23" x14ac:dyDescent="0.25">
      <c r="A1825" s="42">
        <v>45743</v>
      </c>
      <c r="B1825" s="1">
        <v>410490995</v>
      </c>
      <c r="C1825" t="s">
        <v>3503</v>
      </c>
      <c r="D1825" s="22">
        <v>-60.3</v>
      </c>
      <c r="E1825" t="s">
        <v>35</v>
      </c>
      <c r="F1825" s="2">
        <v>212901001</v>
      </c>
      <c r="G1825" s="2" t="s">
        <v>121</v>
      </c>
      <c r="L1825" s="2" t="s">
        <v>3504</v>
      </c>
      <c r="M1825" t="s">
        <v>67</v>
      </c>
      <c r="N1825" s="48" t="s">
        <v>68</v>
      </c>
      <c r="O1825" s="48"/>
      <c r="P1825" s="23">
        <v>69.02</v>
      </c>
      <c r="Q1825" s="4">
        <f t="shared" si="28"/>
        <v>-0.87365980875108662</v>
      </c>
      <c r="R1825" s="23" t="s">
        <v>109</v>
      </c>
      <c r="U1825">
        <v>3</v>
      </c>
      <c r="V1825" t="e">
        <f>VLOOKUP(U1825,[1]!NOMINA[#Data],4,FALSE)</f>
        <v>#REF!</v>
      </c>
      <c r="W1825" t="e">
        <f>VLOOKUP(U1825,[1]!NOMINA[#Data],5,FALSE)</f>
        <v>#REF!</v>
      </c>
    </row>
    <row r="1826" spans="1:23" x14ac:dyDescent="0.25">
      <c r="A1826" s="42">
        <v>45743</v>
      </c>
      <c r="B1826" s="1">
        <v>410490999</v>
      </c>
      <c r="C1826" t="s">
        <v>3505</v>
      </c>
      <c r="D1826" s="22">
        <v>-60.3</v>
      </c>
      <c r="E1826" t="s">
        <v>35</v>
      </c>
      <c r="F1826" s="2">
        <v>212901001</v>
      </c>
      <c r="G1826" s="2" t="s">
        <v>121</v>
      </c>
      <c r="L1826" s="2" t="s">
        <v>3506</v>
      </c>
      <c r="M1826" t="s">
        <v>67</v>
      </c>
      <c r="N1826" s="48" t="s">
        <v>68</v>
      </c>
      <c r="O1826" s="48"/>
      <c r="P1826" s="23">
        <v>69.02</v>
      </c>
      <c r="Q1826" s="4">
        <f t="shared" si="28"/>
        <v>-0.87365980875108662</v>
      </c>
      <c r="R1826" s="23" t="s">
        <v>109</v>
      </c>
      <c r="U1826">
        <v>27</v>
      </c>
      <c r="V1826" t="e">
        <f>VLOOKUP(U1826,[1]!NOMINA[#Data],4,FALSE)</f>
        <v>#REF!</v>
      </c>
      <c r="W1826" t="e">
        <f>VLOOKUP(U1826,[1]!NOMINA[#Data],5,FALSE)</f>
        <v>#REF!</v>
      </c>
    </row>
    <row r="1827" spans="1:23" x14ac:dyDescent="0.25">
      <c r="A1827" s="42">
        <v>45743</v>
      </c>
      <c r="B1827" s="1">
        <v>410490998</v>
      </c>
      <c r="C1827" t="s">
        <v>3507</v>
      </c>
      <c r="D1827" s="22">
        <v>-60.3</v>
      </c>
      <c r="E1827" t="s">
        <v>35</v>
      </c>
      <c r="F1827" s="2">
        <v>212901001</v>
      </c>
      <c r="G1827" s="2" t="s">
        <v>121</v>
      </c>
      <c r="L1827" s="2" t="s">
        <v>3508</v>
      </c>
      <c r="M1827" t="s">
        <v>67</v>
      </c>
      <c r="N1827" s="48" t="s">
        <v>68</v>
      </c>
      <c r="O1827" s="48"/>
      <c r="P1827" s="23">
        <v>69.02</v>
      </c>
      <c r="Q1827" s="4">
        <f t="shared" si="28"/>
        <v>-0.87365980875108662</v>
      </c>
      <c r="R1827" s="23" t="s">
        <v>109</v>
      </c>
      <c r="U1827">
        <v>19</v>
      </c>
      <c r="V1827" t="e">
        <f>VLOOKUP(U1827,[1]!NOMINA[#Data],4,FALSE)</f>
        <v>#REF!</v>
      </c>
      <c r="W1827" t="e">
        <f>VLOOKUP(U1827,[1]!NOMINA[#Data],5,FALSE)</f>
        <v>#REF!</v>
      </c>
    </row>
    <row r="1828" spans="1:23" x14ac:dyDescent="0.25">
      <c r="A1828" s="42">
        <v>45743</v>
      </c>
      <c r="B1828" s="1">
        <v>410490996</v>
      </c>
      <c r="C1828" t="s">
        <v>3509</v>
      </c>
      <c r="D1828" s="22">
        <v>-60.3</v>
      </c>
      <c r="E1828" t="s">
        <v>35</v>
      </c>
      <c r="F1828" s="2">
        <v>212901001</v>
      </c>
      <c r="G1828" s="2" t="s">
        <v>121</v>
      </c>
      <c r="L1828" s="2" t="s">
        <v>3510</v>
      </c>
      <c r="M1828" t="s">
        <v>67</v>
      </c>
      <c r="N1828" s="48" t="s">
        <v>68</v>
      </c>
      <c r="O1828" s="48"/>
      <c r="P1828" s="23">
        <v>69.02</v>
      </c>
      <c r="Q1828" s="4">
        <f t="shared" si="28"/>
        <v>-0.87365980875108662</v>
      </c>
      <c r="R1828" s="23" t="s">
        <v>109</v>
      </c>
      <c r="U1828">
        <v>5</v>
      </c>
      <c r="V1828" t="e">
        <f>VLOOKUP(U1828,[1]!NOMINA[#Data],4,FALSE)</f>
        <v>#REF!</v>
      </c>
      <c r="W1828" t="e">
        <f>VLOOKUP(U1828,[1]!NOMINA[#Data],5,FALSE)</f>
        <v>#REF!</v>
      </c>
    </row>
    <row r="1829" spans="1:23" x14ac:dyDescent="0.25">
      <c r="A1829" s="42">
        <v>45743</v>
      </c>
      <c r="B1829" s="1">
        <v>410491000</v>
      </c>
      <c r="C1829" t="s">
        <v>3511</v>
      </c>
      <c r="D1829" s="22">
        <v>-60.3</v>
      </c>
      <c r="E1829" t="s">
        <v>35</v>
      </c>
      <c r="F1829" s="2">
        <v>212901001</v>
      </c>
      <c r="G1829" s="2" t="s">
        <v>121</v>
      </c>
      <c r="L1829" s="2" t="s">
        <v>3512</v>
      </c>
      <c r="M1829" t="s">
        <v>67</v>
      </c>
      <c r="N1829" s="48" t="s">
        <v>68</v>
      </c>
      <c r="O1829" s="48"/>
      <c r="P1829" s="23">
        <v>69.02</v>
      </c>
      <c r="Q1829" s="4">
        <f t="shared" si="28"/>
        <v>-0.87365980875108662</v>
      </c>
      <c r="R1829" s="23" t="s">
        <v>109</v>
      </c>
      <c r="U1829">
        <v>16</v>
      </c>
      <c r="V1829" t="e">
        <f>VLOOKUP(Tabla3[[#This Row],[Nº]],[1]!NOMINA[#Data],4,FALSE)</f>
        <v>#REF!</v>
      </c>
      <c r="W1829" t="e">
        <f>VLOOKUP(Tabla3[[#This Row],[Nº]],[1]!NOMINA[#Data],5,FALSE)</f>
        <v>#REF!</v>
      </c>
    </row>
    <row r="1830" spans="1:23" x14ac:dyDescent="0.25">
      <c r="A1830" s="42">
        <v>45743</v>
      </c>
      <c r="B1830" s="1">
        <v>410491001</v>
      </c>
      <c r="C1830" t="s">
        <v>3503</v>
      </c>
      <c r="D1830" s="22">
        <v>-21.69</v>
      </c>
      <c r="E1830" t="s">
        <v>35</v>
      </c>
      <c r="F1830" s="2">
        <v>212901001</v>
      </c>
      <c r="G1830" s="2" t="s">
        <v>121</v>
      </c>
      <c r="L1830" s="2" t="s">
        <v>3513</v>
      </c>
      <c r="M1830" t="s">
        <v>67</v>
      </c>
      <c r="N1830" s="48" t="s">
        <v>68</v>
      </c>
      <c r="O1830" s="48"/>
      <c r="P1830" s="23">
        <v>69.02</v>
      </c>
      <c r="Q1830" s="4">
        <f t="shared" si="28"/>
        <v>-0.3142567371776297</v>
      </c>
      <c r="R1830" s="23" t="s">
        <v>109</v>
      </c>
      <c r="U1830">
        <v>3</v>
      </c>
      <c r="V1830" t="e">
        <f>VLOOKUP(U1830,[1]!NOMINA[#Data],4,FALSE)</f>
        <v>#REF!</v>
      </c>
      <c r="W1830" t="e">
        <f>VLOOKUP(U1830,[1]!NOMINA[#Data],5,FALSE)</f>
        <v>#REF!</v>
      </c>
    </row>
    <row r="1831" spans="1:23" x14ac:dyDescent="0.25">
      <c r="A1831" s="42">
        <v>45743</v>
      </c>
      <c r="B1831" s="1">
        <v>410491002</v>
      </c>
      <c r="C1831" t="s">
        <v>3514</v>
      </c>
      <c r="D1831" s="22">
        <v>-60.3</v>
      </c>
      <c r="E1831" t="s">
        <v>35</v>
      </c>
      <c r="F1831" s="2">
        <v>212901001</v>
      </c>
      <c r="G1831" s="2" t="s">
        <v>121</v>
      </c>
      <c r="L1831" s="2" t="s">
        <v>3515</v>
      </c>
      <c r="M1831" t="s">
        <v>67</v>
      </c>
      <c r="N1831" s="48" t="s">
        <v>68</v>
      </c>
      <c r="O1831" s="48"/>
      <c r="P1831" s="23">
        <v>69.02</v>
      </c>
      <c r="Q1831" s="4">
        <f t="shared" si="28"/>
        <v>-0.87365980875108662</v>
      </c>
      <c r="R1831" s="23" t="s">
        <v>109</v>
      </c>
      <c r="U1831">
        <v>7</v>
      </c>
      <c r="V1831" t="e">
        <f>VLOOKUP(U1831,[1]!NOMINA[#Data],4,FALSE)</f>
        <v>#REF!</v>
      </c>
      <c r="W1831" t="e">
        <f>VLOOKUP(U1831,[1]!NOMINA[#Data],5,FALSE)</f>
        <v>#REF!</v>
      </c>
    </row>
    <row r="1832" spans="1:23" x14ac:dyDescent="0.25">
      <c r="A1832" s="42">
        <v>45743</v>
      </c>
      <c r="B1832" s="1">
        <v>810491044</v>
      </c>
      <c r="C1832" t="s">
        <v>3516</v>
      </c>
      <c r="D1832" s="53">
        <v>-5105.78</v>
      </c>
      <c r="E1832" t="s">
        <v>35</v>
      </c>
      <c r="F1832" s="2">
        <v>212901001</v>
      </c>
      <c r="G1832" s="2" t="s">
        <v>121</v>
      </c>
      <c r="L1832" s="2" t="s">
        <v>3517</v>
      </c>
      <c r="M1832" t="s">
        <v>67</v>
      </c>
      <c r="N1832" s="48" t="s">
        <v>68</v>
      </c>
      <c r="O1832" s="48"/>
      <c r="P1832" s="23">
        <v>69.02</v>
      </c>
      <c r="Q1832" s="4">
        <f t="shared" si="28"/>
        <v>-73.975369458128085</v>
      </c>
      <c r="R1832" s="23" t="s">
        <v>109</v>
      </c>
      <c r="U1832">
        <v>9</v>
      </c>
      <c r="V1832" t="e">
        <f>VLOOKUP(U1832,[1]!NOMINA[#Data],4,FALSE)</f>
        <v>#REF!</v>
      </c>
      <c r="W1832" t="e">
        <f>VLOOKUP(U1832,[1]!NOMINA[#Data],5,FALSE)</f>
        <v>#REF!</v>
      </c>
    </row>
    <row r="1833" spans="1:23" x14ac:dyDescent="0.25">
      <c r="A1833" s="42">
        <v>45743</v>
      </c>
      <c r="B1833" s="1">
        <v>410491003</v>
      </c>
      <c r="C1833" t="s">
        <v>3518</v>
      </c>
      <c r="D1833" s="22">
        <v>-60.3</v>
      </c>
      <c r="E1833" t="s">
        <v>35</v>
      </c>
      <c r="F1833" s="2">
        <v>212901001</v>
      </c>
      <c r="G1833" s="2" t="s">
        <v>121</v>
      </c>
      <c r="L1833" s="2" t="s">
        <v>3519</v>
      </c>
      <c r="M1833" t="s">
        <v>67</v>
      </c>
      <c r="N1833" s="48" t="s">
        <v>68</v>
      </c>
      <c r="O1833" s="48"/>
      <c r="P1833" s="23">
        <v>69.02</v>
      </c>
      <c r="Q1833" s="4">
        <f t="shared" si="28"/>
        <v>-0.87365980875108662</v>
      </c>
      <c r="R1833" s="23" t="s">
        <v>109</v>
      </c>
      <c r="U1833">
        <v>1</v>
      </c>
      <c r="V1833" t="e">
        <f>VLOOKUP(U1833,[1]!NOMINA[#Data],4,FALSE)</f>
        <v>#REF!</v>
      </c>
      <c r="W1833" t="e">
        <f>VLOOKUP(U1833,[1]!NOMINA[#Data],5,FALSE)</f>
        <v>#REF!</v>
      </c>
    </row>
    <row r="1834" spans="1:23" x14ac:dyDescent="0.25">
      <c r="A1834" s="42">
        <v>45743</v>
      </c>
      <c r="B1834" s="1">
        <v>510491004</v>
      </c>
      <c r="C1834" t="s">
        <v>3520</v>
      </c>
      <c r="D1834" s="22">
        <v>-60.3</v>
      </c>
      <c r="E1834" t="s">
        <v>35</v>
      </c>
      <c r="F1834" s="2">
        <v>212901001</v>
      </c>
      <c r="G1834" s="2" t="s">
        <v>121</v>
      </c>
      <c r="L1834" s="2" t="s">
        <v>3521</v>
      </c>
      <c r="M1834" t="s">
        <v>67</v>
      </c>
      <c r="N1834" s="2" t="s">
        <v>68</v>
      </c>
      <c r="O1834" s="2"/>
      <c r="P1834" s="23">
        <v>69.02</v>
      </c>
      <c r="Q1834" s="4">
        <f t="shared" si="28"/>
        <v>-0.87365980875108662</v>
      </c>
      <c r="R1834" s="23" t="s">
        <v>109</v>
      </c>
      <c r="U1834">
        <v>36</v>
      </c>
      <c r="V1834" t="e">
        <f>VLOOKUP(U1834,[1]!NOMINA[#Data],4,FALSE)</f>
        <v>#REF!</v>
      </c>
      <c r="W1834" t="e">
        <f>VLOOKUP(U1834,[1]!NOMINA[#Data],5,FALSE)</f>
        <v>#REF!</v>
      </c>
    </row>
    <row r="1835" spans="1:23" x14ac:dyDescent="0.25">
      <c r="A1835" s="42">
        <v>45743</v>
      </c>
      <c r="B1835" s="1">
        <v>610491018</v>
      </c>
      <c r="C1835" t="s">
        <v>3522</v>
      </c>
      <c r="D1835" s="53">
        <v>-2348.85</v>
      </c>
      <c r="E1835" t="s">
        <v>35</v>
      </c>
      <c r="F1835" s="2">
        <v>212901001</v>
      </c>
      <c r="G1835" s="2" t="s">
        <v>121</v>
      </c>
      <c r="L1835" s="2" t="s">
        <v>3523</v>
      </c>
      <c r="M1835" t="s">
        <v>67</v>
      </c>
      <c r="N1835" s="48" t="s">
        <v>68</v>
      </c>
      <c r="O1835" s="48"/>
      <c r="P1835" s="23">
        <v>69.02</v>
      </c>
      <c r="Q1835" s="4">
        <f t="shared" si="28"/>
        <v>-34.031440162271807</v>
      </c>
      <c r="R1835" s="23" t="s">
        <v>109</v>
      </c>
      <c r="U1835">
        <v>26</v>
      </c>
      <c r="V1835" t="e">
        <f>VLOOKUP(Tabla3[[#This Row],[Nº]],[1]!NOMINA[#Data],4,FALSE)</f>
        <v>#REF!</v>
      </c>
      <c r="W1835" t="e">
        <f>VLOOKUP(Tabla3[[#This Row],[Nº]],[1]!NOMINA[#Data],5,FALSE)</f>
        <v>#REF!</v>
      </c>
    </row>
    <row r="1836" spans="1:23" x14ac:dyDescent="0.25">
      <c r="A1836" s="42">
        <v>45743</v>
      </c>
      <c r="B1836" s="1">
        <v>810491041</v>
      </c>
      <c r="C1836" t="s">
        <v>3524</v>
      </c>
      <c r="D1836" s="53">
        <v>-5105.78</v>
      </c>
      <c r="E1836" t="s">
        <v>35</v>
      </c>
      <c r="F1836" s="2">
        <v>212901001</v>
      </c>
      <c r="G1836" s="2" t="s">
        <v>121</v>
      </c>
      <c r="L1836" s="2" t="s">
        <v>3525</v>
      </c>
      <c r="M1836" t="s">
        <v>67</v>
      </c>
      <c r="N1836" s="48" t="s">
        <v>68</v>
      </c>
      <c r="O1836" s="48"/>
      <c r="P1836" s="23">
        <v>69.02</v>
      </c>
      <c r="Q1836" s="4">
        <f t="shared" si="28"/>
        <v>-73.975369458128085</v>
      </c>
      <c r="R1836" s="23" t="s">
        <v>109</v>
      </c>
      <c r="U1836">
        <v>10</v>
      </c>
      <c r="V1836" t="e">
        <f>VLOOKUP(U1836,[1]!NOMINA[#Data],4,FALSE)</f>
        <v>#REF!</v>
      </c>
      <c r="W1836" t="e">
        <f>VLOOKUP(U1836,[1]!NOMINA[#Data],5,FALSE)</f>
        <v>#REF!</v>
      </c>
    </row>
    <row r="1837" spans="1:23" x14ac:dyDescent="0.25">
      <c r="A1837" s="42">
        <v>45743</v>
      </c>
      <c r="B1837" s="1">
        <v>710491027</v>
      </c>
      <c r="C1837" t="s">
        <v>3526</v>
      </c>
      <c r="D1837" s="53">
        <v>-5276.85</v>
      </c>
      <c r="E1837" t="s">
        <v>35</v>
      </c>
      <c r="F1837" s="2">
        <v>212901001</v>
      </c>
      <c r="G1837" s="2" t="s">
        <v>121</v>
      </c>
      <c r="L1837" s="2" t="s">
        <v>3527</v>
      </c>
      <c r="M1837" t="s">
        <v>67</v>
      </c>
      <c r="N1837" s="48" t="s">
        <v>68</v>
      </c>
      <c r="O1837" s="48"/>
      <c r="P1837" s="23">
        <v>69.02</v>
      </c>
      <c r="Q1837" s="4">
        <f t="shared" si="28"/>
        <v>-76.45392639814547</v>
      </c>
      <c r="R1837" s="23" t="s">
        <v>109</v>
      </c>
      <c r="U1837">
        <v>18</v>
      </c>
      <c r="V1837" t="e">
        <f>VLOOKUP(Tabla3[[#This Row],[Nº]],[1]!NOMINA[#Data],4,FALSE)</f>
        <v>#REF!</v>
      </c>
      <c r="W1837" t="e">
        <f>VLOOKUP(Tabla3[[#This Row],[Nº]],[1]!NOMINA[#Data],5,FALSE)</f>
        <v>#REF!</v>
      </c>
    </row>
    <row r="1838" spans="1:23" x14ac:dyDescent="0.25">
      <c r="A1838" s="42">
        <v>45743</v>
      </c>
      <c r="B1838" s="1">
        <v>810491043</v>
      </c>
      <c r="C1838" t="s">
        <v>3528</v>
      </c>
      <c r="D1838" s="53">
        <v>-5248.68</v>
      </c>
      <c r="E1838" t="s">
        <v>35</v>
      </c>
      <c r="F1838" s="2">
        <v>212901001</v>
      </c>
      <c r="G1838" s="2" t="s">
        <v>121</v>
      </c>
      <c r="L1838" s="2" t="s">
        <v>3529</v>
      </c>
      <c r="M1838" t="s">
        <v>67</v>
      </c>
      <c r="N1838" s="48" t="s">
        <v>68</v>
      </c>
      <c r="O1838" s="48"/>
      <c r="P1838" s="23">
        <v>69.02</v>
      </c>
      <c r="Q1838" s="4">
        <f t="shared" si="28"/>
        <v>-76.045783830773701</v>
      </c>
      <c r="R1838" s="23" t="s">
        <v>109</v>
      </c>
      <c r="U1838">
        <v>38</v>
      </c>
      <c r="V1838" t="e">
        <f>VLOOKUP(U1838,[1]!NOMINA[#Data],4,FALSE)</f>
        <v>#REF!</v>
      </c>
      <c r="W1838" t="e">
        <f>VLOOKUP(U1838,[1]!NOMINA[#Data],5,FALSE)</f>
        <v>#REF!</v>
      </c>
    </row>
    <row r="1839" spans="1:23" x14ac:dyDescent="0.25">
      <c r="A1839" s="42">
        <v>45743</v>
      </c>
      <c r="B1839" s="1">
        <v>610491015</v>
      </c>
      <c r="C1839" t="s">
        <v>3530</v>
      </c>
      <c r="D1839" s="53">
        <v>-5276.85</v>
      </c>
      <c r="E1839" t="s">
        <v>35</v>
      </c>
      <c r="F1839" s="2">
        <v>212901001</v>
      </c>
      <c r="G1839" s="2" t="s">
        <v>121</v>
      </c>
      <c r="L1839" s="2" t="s">
        <v>3531</v>
      </c>
      <c r="M1839" t="s">
        <v>67</v>
      </c>
      <c r="N1839" s="48" t="s">
        <v>68</v>
      </c>
      <c r="O1839" s="48"/>
      <c r="P1839" s="23">
        <v>69.02</v>
      </c>
      <c r="Q1839" s="4">
        <f t="shared" si="28"/>
        <v>-76.45392639814547</v>
      </c>
      <c r="R1839" s="23" t="s">
        <v>109</v>
      </c>
      <c r="U1839">
        <v>15</v>
      </c>
      <c r="V1839" t="e">
        <f>VLOOKUP(U1839,[1]!NOMINA[#Data],4,FALSE)</f>
        <v>#REF!</v>
      </c>
      <c r="W1839" t="e">
        <f>VLOOKUP(U1839,[1]!NOMINA[#Data],5,FALSE)</f>
        <v>#REF!</v>
      </c>
    </row>
    <row r="1840" spans="1:23" x14ac:dyDescent="0.25">
      <c r="A1840" s="42">
        <v>45743</v>
      </c>
      <c r="B1840" s="1">
        <v>610491022</v>
      </c>
      <c r="C1840" t="s">
        <v>3532</v>
      </c>
      <c r="D1840" s="53">
        <v>-4922.3599999999997</v>
      </c>
      <c r="E1840" t="s">
        <v>35</v>
      </c>
      <c r="F1840" s="2">
        <v>212901001</v>
      </c>
      <c r="G1840" s="2" t="s">
        <v>121</v>
      </c>
      <c r="L1840" s="2" t="s">
        <v>3533</v>
      </c>
      <c r="M1840" t="s">
        <v>67</v>
      </c>
      <c r="N1840" s="48" t="s">
        <v>68</v>
      </c>
      <c r="O1840" s="48"/>
      <c r="P1840" s="23">
        <v>69.02</v>
      </c>
      <c r="Q1840" s="4">
        <f t="shared" si="28"/>
        <v>-71.317878875688208</v>
      </c>
      <c r="R1840" s="23" t="s">
        <v>109</v>
      </c>
      <c r="U1840">
        <v>20</v>
      </c>
      <c r="V1840" t="e">
        <f>VLOOKUP(Tabla3[[#This Row],[Nº]],[1]!NOMINA[#Data],4,FALSE)</f>
        <v>#REF!</v>
      </c>
      <c r="W1840" t="e">
        <f>VLOOKUP(Tabla3[[#This Row],[Nº]],[1]!NOMINA[#Data],5,FALSE)</f>
        <v>#REF!</v>
      </c>
    </row>
    <row r="1841" spans="1:23" x14ac:dyDescent="0.25">
      <c r="A1841" s="42">
        <v>45743</v>
      </c>
      <c r="B1841" s="1">
        <v>510491010</v>
      </c>
      <c r="C1841" t="s">
        <v>3534</v>
      </c>
      <c r="D1841" s="53">
        <v>-1077.22</v>
      </c>
      <c r="E1841" t="s">
        <v>35</v>
      </c>
      <c r="F1841" s="2">
        <v>212901001</v>
      </c>
      <c r="G1841" s="2" t="s">
        <v>121</v>
      </c>
      <c r="L1841" s="2" t="s">
        <v>3535</v>
      </c>
      <c r="M1841" t="s">
        <v>67</v>
      </c>
      <c r="N1841" s="48" t="s">
        <v>68</v>
      </c>
      <c r="O1841" s="48"/>
      <c r="P1841" s="23">
        <v>69.02</v>
      </c>
      <c r="Q1841" s="4">
        <f t="shared" si="28"/>
        <v>-15.607360185453492</v>
      </c>
      <c r="R1841" s="23" t="s">
        <v>109</v>
      </c>
      <c r="U1841">
        <v>41</v>
      </c>
      <c r="V1841" t="e">
        <f>VLOOKUP(U1841,[1]!NOMINA[#Data],4,FALSE)</f>
        <v>#REF!</v>
      </c>
      <c r="W1841" t="e">
        <f>VLOOKUP(U1841,[1]!NOMINA[#Data],5,FALSE)</f>
        <v>#REF!</v>
      </c>
    </row>
    <row r="1842" spans="1:23" x14ac:dyDescent="0.25">
      <c r="A1842" s="42">
        <v>45743</v>
      </c>
      <c r="B1842" s="1">
        <v>610491020</v>
      </c>
      <c r="C1842" t="s">
        <v>3536</v>
      </c>
      <c r="D1842" s="53">
        <v>-5087.24</v>
      </c>
      <c r="E1842" t="s">
        <v>35</v>
      </c>
      <c r="F1842" s="2">
        <v>212901001</v>
      </c>
      <c r="G1842" s="2" t="s">
        <v>121</v>
      </c>
      <c r="L1842" s="2" t="s">
        <v>3537</v>
      </c>
      <c r="M1842" t="s">
        <v>67</v>
      </c>
      <c r="N1842" s="48" t="s">
        <v>68</v>
      </c>
      <c r="O1842" s="48"/>
      <c r="P1842" s="23">
        <v>69.02</v>
      </c>
      <c r="Q1842" s="4">
        <f t="shared" si="28"/>
        <v>-73.70675166618372</v>
      </c>
      <c r="R1842" s="23" t="s">
        <v>109</v>
      </c>
      <c r="U1842">
        <v>13</v>
      </c>
      <c r="V1842" t="e">
        <f>VLOOKUP(U1842,[1]!NOMINA[#Data],4,FALSE)</f>
        <v>#REF!</v>
      </c>
      <c r="W1842" t="e">
        <f>VLOOKUP(U1842,[1]!NOMINA[#Data],5,FALSE)</f>
        <v>#REF!</v>
      </c>
    </row>
    <row r="1843" spans="1:23" x14ac:dyDescent="0.25">
      <c r="A1843" s="42">
        <v>45743</v>
      </c>
      <c r="B1843" s="1">
        <v>610491019</v>
      </c>
      <c r="C1843" t="s">
        <v>3538</v>
      </c>
      <c r="D1843" s="53">
        <v>-5105.78</v>
      </c>
      <c r="E1843" t="s">
        <v>35</v>
      </c>
      <c r="F1843" s="2">
        <v>212901001</v>
      </c>
      <c r="G1843" s="2" t="s">
        <v>121</v>
      </c>
      <c r="L1843" s="2" t="s">
        <v>3539</v>
      </c>
      <c r="M1843" t="s">
        <v>67</v>
      </c>
      <c r="N1843" s="48" t="s">
        <v>68</v>
      </c>
      <c r="O1843" s="48"/>
      <c r="P1843" s="23">
        <v>69.02</v>
      </c>
      <c r="Q1843" s="4">
        <f t="shared" si="28"/>
        <v>-73.975369458128085</v>
      </c>
      <c r="R1843" s="23" t="s">
        <v>109</v>
      </c>
      <c r="U1843">
        <v>8</v>
      </c>
      <c r="V1843" t="e">
        <f>VLOOKUP(U1843,[1]!NOMINA[#Data],4,FALSE)</f>
        <v>#REF!</v>
      </c>
      <c r="W1843" t="e">
        <f>VLOOKUP(U1843,[1]!NOMINA[#Data],5,FALSE)</f>
        <v>#REF!</v>
      </c>
    </row>
    <row r="1844" spans="1:23" x14ac:dyDescent="0.25">
      <c r="A1844" s="42">
        <v>45743</v>
      </c>
      <c r="B1844" s="1">
        <v>810491038</v>
      </c>
      <c r="C1844" t="s">
        <v>3540</v>
      </c>
      <c r="D1844" s="53">
        <v>-5795.53</v>
      </c>
      <c r="E1844" t="s">
        <v>35</v>
      </c>
      <c r="F1844" s="2">
        <v>212901001</v>
      </c>
      <c r="G1844" s="2" t="s">
        <v>121</v>
      </c>
      <c r="L1844" s="2" t="s">
        <v>3541</v>
      </c>
      <c r="M1844" t="s">
        <v>67</v>
      </c>
      <c r="N1844" s="48" t="s">
        <v>68</v>
      </c>
      <c r="O1844" s="48"/>
      <c r="P1844" s="23">
        <v>69.02</v>
      </c>
      <c r="Q1844" s="4">
        <f t="shared" si="28"/>
        <v>-83.968849608809037</v>
      </c>
      <c r="R1844" s="23" t="s">
        <v>109</v>
      </c>
      <c r="U1844">
        <v>11</v>
      </c>
      <c r="V1844" t="e">
        <f>VLOOKUP(U1844,[1]!NOMINA[#Data],4,FALSE)</f>
        <v>#REF!</v>
      </c>
      <c r="W1844" t="e">
        <f>VLOOKUP(U1844,[1]!NOMINA[#Data],5,FALSE)</f>
        <v>#REF!</v>
      </c>
    </row>
    <row r="1845" spans="1:23" x14ac:dyDescent="0.25">
      <c r="A1845" s="42">
        <v>45743</v>
      </c>
      <c r="B1845" s="1">
        <v>510491011</v>
      </c>
      <c r="C1845" t="s">
        <v>3542</v>
      </c>
      <c r="D1845" s="53">
        <v>-2348.17</v>
      </c>
      <c r="E1845" t="s">
        <v>35</v>
      </c>
      <c r="F1845" s="2">
        <v>212901001</v>
      </c>
      <c r="G1845" s="2" t="s">
        <v>121</v>
      </c>
      <c r="L1845" s="2" t="s">
        <v>3543</v>
      </c>
      <c r="M1845" t="s">
        <v>67</v>
      </c>
      <c r="N1845" s="48" t="s">
        <v>68</v>
      </c>
      <c r="O1845" s="48"/>
      <c r="P1845" s="23">
        <v>69.02</v>
      </c>
      <c r="Q1845" s="4">
        <f t="shared" si="28"/>
        <v>-34.021587945523038</v>
      </c>
      <c r="R1845" s="23" t="s">
        <v>109</v>
      </c>
      <c r="U1845">
        <v>23</v>
      </c>
      <c r="V1845" t="e">
        <f>VLOOKUP(U1845,[1]!NOMINA[#Data],4,FALSE)</f>
        <v>#REF!</v>
      </c>
      <c r="W1845" t="e">
        <f>VLOOKUP(U1845,[1]!NOMINA[#Data],5,FALSE)</f>
        <v>#REF!</v>
      </c>
    </row>
    <row r="1846" spans="1:23" x14ac:dyDescent="0.25">
      <c r="A1846" s="42">
        <v>45743</v>
      </c>
      <c r="B1846" s="1">
        <v>610491013</v>
      </c>
      <c r="C1846" t="s">
        <v>3544</v>
      </c>
      <c r="D1846" s="53">
        <v>-5276.85</v>
      </c>
      <c r="E1846" t="s">
        <v>35</v>
      </c>
      <c r="F1846" s="2">
        <v>212901001</v>
      </c>
      <c r="G1846" s="2" t="s">
        <v>121</v>
      </c>
      <c r="L1846" s="2" t="s">
        <v>3545</v>
      </c>
      <c r="M1846" t="s">
        <v>67</v>
      </c>
      <c r="N1846" s="48" t="s">
        <v>68</v>
      </c>
      <c r="O1846" s="48"/>
      <c r="P1846" s="23">
        <v>69.02</v>
      </c>
      <c r="Q1846" s="4">
        <f t="shared" si="28"/>
        <v>-76.45392639814547</v>
      </c>
      <c r="R1846" s="23" t="s">
        <v>109</v>
      </c>
      <c r="U1846">
        <v>17</v>
      </c>
      <c r="V1846" t="e">
        <f>VLOOKUP(U1846,[1]!NOMINA[#Data],4,FALSE)</f>
        <v>#REF!</v>
      </c>
      <c r="W1846" t="e">
        <f>VLOOKUP(U1846,[1]!NOMINA[#Data],5,FALSE)</f>
        <v>#REF!</v>
      </c>
    </row>
    <row r="1847" spans="1:23" x14ac:dyDescent="0.25">
      <c r="A1847" s="42">
        <v>45743</v>
      </c>
      <c r="B1847" s="1">
        <v>710491025</v>
      </c>
      <c r="C1847" t="s">
        <v>3546</v>
      </c>
      <c r="D1847" s="53">
        <v>-9102.75</v>
      </c>
      <c r="E1847" t="s">
        <v>35</v>
      </c>
      <c r="F1847" s="2">
        <v>212901001</v>
      </c>
      <c r="G1847" s="2" t="s">
        <v>121</v>
      </c>
      <c r="L1847" s="2" t="s">
        <v>3547</v>
      </c>
      <c r="M1847" t="s">
        <v>67</v>
      </c>
      <c r="N1847" s="48" t="s">
        <v>68</v>
      </c>
      <c r="O1847" s="48"/>
      <c r="P1847" s="23">
        <v>69.02</v>
      </c>
      <c r="Q1847" s="4">
        <f t="shared" si="28"/>
        <v>-131.88568530860621</v>
      </c>
      <c r="R1847" s="23" t="s">
        <v>109</v>
      </c>
      <c r="U1847">
        <v>4</v>
      </c>
      <c r="V1847" t="e">
        <f>VLOOKUP(U1847,[1]!NOMINA[#Data],4,FALSE)</f>
        <v>#REF!</v>
      </c>
      <c r="W1847" t="e">
        <f>VLOOKUP(U1847,[1]!NOMINA[#Data],5,FALSE)</f>
        <v>#REF!</v>
      </c>
    </row>
    <row r="1848" spans="1:23" x14ac:dyDescent="0.25">
      <c r="A1848" s="42">
        <v>45743</v>
      </c>
      <c r="B1848" s="1">
        <v>610491016</v>
      </c>
      <c r="C1848" t="s">
        <v>3548</v>
      </c>
      <c r="D1848" s="53">
        <v>-5276.85</v>
      </c>
      <c r="E1848" t="s">
        <v>35</v>
      </c>
      <c r="F1848" s="2">
        <v>212901001</v>
      </c>
      <c r="G1848" s="2" t="s">
        <v>121</v>
      </c>
      <c r="L1848" s="2" t="s">
        <v>3549</v>
      </c>
      <c r="M1848" t="s">
        <v>67</v>
      </c>
      <c r="N1848" s="48" t="s">
        <v>68</v>
      </c>
      <c r="O1848" s="48"/>
      <c r="P1848" s="23">
        <v>69.02</v>
      </c>
      <c r="Q1848" s="4">
        <f t="shared" si="28"/>
        <v>-76.45392639814547</v>
      </c>
      <c r="R1848" s="23" t="s">
        <v>109</v>
      </c>
      <c r="U1848">
        <v>14</v>
      </c>
      <c r="V1848" t="e">
        <f>VLOOKUP(U1848,[1]!NOMINA[#Data],4,FALSE)</f>
        <v>#REF!</v>
      </c>
      <c r="W1848" t="e">
        <f>VLOOKUP(U1848,[1]!NOMINA[#Data],5,FALSE)</f>
        <v>#REF!</v>
      </c>
    </row>
    <row r="1849" spans="1:23" x14ac:dyDescent="0.25">
      <c r="A1849" s="42">
        <v>45743</v>
      </c>
      <c r="B1849" s="1">
        <v>610491023</v>
      </c>
      <c r="C1849" t="s">
        <v>3550</v>
      </c>
      <c r="D1849" s="22">
        <v>-13674.74</v>
      </c>
      <c r="E1849" t="s">
        <v>35</v>
      </c>
      <c r="F1849" s="2">
        <v>212901001</v>
      </c>
      <c r="G1849" s="2" t="s">
        <v>121</v>
      </c>
      <c r="L1849" s="2" t="s">
        <v>3551</v>
      </c>
      <c r="M1849" t="s">
        <v>67</v>
      </c>
      <c r="N1849" s="48" t="s">
        <v>68</v>
      </c>
      <c r="O1849" s="48"/>
      <c r="P1849" s="23">
        <v>69.02</v>
      </c>
      <c r="Q1849" s="4">
        <f t="shared" si="28"/>
        <v>-198.12720950449145</v>
      </c>
      <c r="R1849" s="23" t="s">
        <v>109</v>
      </c>
      <c r="U1849">
        <v>43</v>
      </c>
      <c r="V1849" t="e">
        <f>VLOOKUP(U1849,[1]!NOMINA[#Data],4,FALSE)</f>
        <v>#REF!</v>
      </c>
      <c r="W1849" t="e">
        <f>VLOOKUP(U1849,[1]!NOMINA[#Data],5,FALSE)</f>
        <v>#REF!</v>
      </c>
    </row>
    <row r="1850" spans="1:23" x14ac:dyDescent="0.25">
      <c r="A1850" s="42">
        <v>45743</v>
      </c>
      <c r="B1850" s="1">
        <v>510491007</v>
      </c>
      <c r="C1850" t="s">
        <v>3552</v>
      </c>
      <c r="D1850" s="53">
        <v>-3380.73</v>
      </c>
      <c r="E1850" t="s">
        <v>35</v>
      </c>
      <c r="F1850" s="2">
        <v>212901001</v>
      </c>
      <c r="G1850" s="2" t="s">
        <v>121</v>
      </c>
      <c r="L1850" s="2" t="s">
        <v>3553</v>
      </c>
      <c r="M1850" t="s">
        <v>67</v>
      </c>
      <c r="N1850" s="48" t="s">
        <v>68</v>
      </c>
      <c r="O1850" s="48"/>
      <c r="P1850" s="23">
        <v>69.02</v>
      </c>
      <c r="Q1850" s="4">
        <f t="shared" si="28"/>
        <v>-48.981889307447119</v>
      </c>
      <c r="R1850" s="23" t="s">
        <v>109</v>
      </c>
      <c r="U1850">
        <v>22</v>
      </c>
      <c r="V1850" t="e">
        <f>VLOOKUP(Tabla3[[#This Row],[Nº]],[1]!NOMINA[#Data],4,FALSE)</f>
        <v>#REF!</v>
      </c>
      <c r="W1850" t="e">
        <f>VLOOKUP(U1850,[1]!NOMINA[#Data],5,FALSE)</f>
        <v>#REF!</v>
      </c>
    </row>
    <row r="1851" spans="1:23" x14ac:dyDescent="0.25">
      <c r="A1851" s="42">
        <v>45743</v>
      </c>
      <c r="B1851" s="1">
        <v>710491033</v>
      </c>
      <c r="C1851" t="s">
        <v>3554</v>
      </c>
      <c r="D1851" s="53">
        <v>-3485.84</v>
      </c>
      <c r="E1851" t="s">
        <v>35</v>
      </c>
      <c r="F1851" s="2">
        <v>212901001</v>
      </c>
      <c r="G1851" s="2" t="s">
        <v>121</v>
      </c>
      <c r="L1851" s="2" t="s">
        <v>3555</v>
      </c>
      <c r="M1851" t="s">
        <v>67</v>
      </c>
      <c r="N1851" s="48" t="s">
        <v>68</v>
      </c>
      <c r="O1851" s="48"/>
      <c r="P1851" s="23">
        <v>69.02</v>
      </c>
      <c r="Q1851" s="4">
        <f t="shared" si="28"/>
        <v>-50.504781222833969</v>
      </c>
      <c r="R1851" s="23" t="s">
        <v>109</v>
      </c>
      <c r="U1851">
        <v>42</v>
      </c>
      <c r="V1851" t="e">
        <f>VLOOKUP(U1851,[1]!NOMINA[#Data],4,FALSE)</f>
        <v>#REF!</v>
      </c>
      <c r="W1851" t="e">
        <f>VLOOKUP(U1851,[1]!NOMINA[#Data],5,FALSE)</f>
        <v>#REF!</v>
      </c>
    </row>
    <row r="1852" spans="1:23" x14ac:dyDescent="0.25">
      <c r="A1852" s="42">
        <v>45743</v>
      </c>
      <c r="B1852" s="1">
        <v>510491009</v>
      </c>
      <c r="C1852" t="s">
        <v>3556</v>
      </c>
      <c r="D1852" s="53">
        <v>-5267.92</v>
      </c>
      <c r="E1852" t="s">
        <v>35</v>
      </c>
      <c r="F1852" s="2">
        <v>212901001</v>
      </c>
      <c r="G1852" s="2" t="s">
        <v>121</v>
      </c>
      <c r="L1852" s="2" t="s">
        <v>3557</v>
      </c>
      <c r="M1852" t="s">
        <v>67</v>
      </c>
      <c r="N1852" s="48" t="s">
        <v>68</v>
      </c>
      <c r="O1852" s="48"/>
      <c r="P1852" s="23">
        <v>69.02</v>
      </c>
      <c r="Q1852" s="4">
        <f t="shared" si="28"/>
        <v>-76.324543610547678</v>
      </c>
      <c r="R1852" s="23" t="s">
        <v>109</v>
      </c>
      <c r="U1852">
        <v>39</v>
      </c>
      <c r="V1852" t="e">
        <f>VLOOKUP(U1852,[1]!NOMINA[#Data],4,FALSE)</f>
        <v>#REF!</v>
      </c>
      <c r="W1852" t="e">
        <f>VLOOKUP(U1852,[1]!NOMINA[#Data],5,FALSE)</f>
        <v>#REF!</v>
      </c>
    </row>
    <row r="1853" spans="1:23" x14ac:dyDescent="0.25">
      <c r="A1853" s="42">
        <v>45743</v>
      </c>
      <c r="B1853" s="1">
        <v>810491035</v>
      </c>
      <c r="C1853" t="s">
        <v>3558</v>
      </c>
      <c r="D1853" s="53">
        <v>-3380.73</v>
      </c>
      <c r="E1853" t="s">
        <v>35</v>
      </c>
      <c r="F1853" s="2">
        <v>212901001</v>
      </c>
      <c r="G1853" s="2" t="s">
        <v>121</v>
      </c>
      <c r="L1853" s="2" t="s">
        <v>3559</v>
      </c>
      <c r="M1853" t="s">
        <v>67</v>
      </c>
      <c r="N1853" s="48" t="s">
        <v>68</v>
      </c>
      <c r="O1853" s="48"/>
      <c r="P1853" s="23">
        <v>69.02</v>
      </c>
      <c r="Q1853" s="4">
        <f t="shared" si="28"/>
        <v>-48.981889307447119</v>
      </c>
      <c r="R1853" s="23" t="s">
        <v>109</v>
      </c>
      <c r="U1853">
        <v>21</v>
      </c>
      <c r="V1853" t="e">
        <f>VLOOKUP(U1853,[1]!NOMINA[#Data],4,FALSE)</f>
        <v>#REF!</v>
      </c>
      <c r="W1853" t="e">
        <f>VLOOKUP(U1853,[1]!NOMINA[#Data],5,FALSE)</f>
        <v>#REF!</v>
      </c>
    </row>
    <row r="1854" spans="1:23" x14ac:dyDescent="0.25">
      <c r="A1854" s="42">
        <v>45743</v>
      </c>
      <c r="B1854" s="1">
        <v>710491034</v>
      </c>
      <c r="C1854" t="s">
        <v>3560</v>
      </c>
      <c r="D1854" s="53">
        <v>-2348.85</v>
      </c>
      <c r="E1854" t="s">
        <v>35</v>
      </c>
      <c r="F1854" s="2">
        <v>212901001</v>
      </c>
      <c r="G1854" s="2" t="s">
        <v>121</v>
      </c>
      <c r="L1854" s="2" t="s">
        <v>3561</v>
      </c>
      <c r="M1854" t="s">
        <v>67</v>
      </c>
      <c r="N1854" s="48" t="s">
        <v>68</v>
      </c>
      <c r="O1854" s="48"/>
      <c r="P1854" s="23">
        <v>69.02</v>
      </c>
      <c r="Q1854" s="4">
        <f t="shared" si="28"/>
        <v>-34.031440162271807</v>
      </c>
      <c r="R1854" s="23" t="s">
        <v>109</v>
      </c>
      <c r="U1854">
        <v>27</v>
      </c>
      <c r="V1854" t="e">
        <f>VLOOKUP(U1854,[1]!NOMINA[#Data],4,FALSE)</f>
        <v>#REF!</v>
      </c>
      <c r="W1854" t="e">
        <f>VLOOKUP(U1854,[1]!NOMINA[#Data],5,FALSE)</f>
        <v>#REF!</v>
      </c>
    </row>
    <row r="1855" spans="1:23" x14ac:dyDescent="0.25">
      <c r="A1855" s="42">
        <v>45743</v>
      </c>
      <c r="B1855" s="1">
        <v>810491036</v>
      </c>
      <c r="C1855" t="s">
        <v>3562</v>
      </c>
      <c r="D1855" s="53">
        <v>-2348.85</v>
      </c>
      <c r="E1855" t="s">
        <v>35</v>
      </c>
      <c r="F1855" s="2">
        <v>212901001</v>
      </c>
      <c r="G1855" s="2" t="s">
        <v>121</v>
      </c>
      <c r="L1855" s="2" t="s">
        <v>3563</v>
      </c>
      <c r="M1855" t="s">
        <v>67</v>
      </c>
      <c r="N1855" s="48" t="s">
        <v>68</v>
      </c>
      <c r="O1855" s="48"/>
      <c r="P1855" s="23">
        <v>69.02</v>
      </c>
      <c r="Q1855" s="4">
        <f t="shared" si="28"/>
        <v>-34.031440162271807</v>
      </c>
      <c r="R1855" s="23" t="s">
        <v>109</v>
      </c>
      <c r="U1855">
        <v>25</v>
      </c>
      <c r="V1855" t="e">
        <f>VLOOKUP(U1855,[1]!NOMINA[#Data],4,FALSE)</f>
        <v>#REF!</v>
      </c>
      <c r="W1855" t="e">
        <f>VLOOKUP(U1855,[1]!NOMINA[#Data],5,FALSE)</f>
        <v>#REF!</v>
      </c>
    </row>
    <row r="1856" spans="1:23" x14ac:dyDescent="0.25">
      <c r="A1856" s="42">
        <v>45743</v>
      </c>
      <c r="B1856" s="1">
        <v>610491024</v>
      </c>
      <c r="C1856" t="s">
        <v>3564</v>
      </c>
      <c r="D1856" s="53">
        <v>-5935.68</v>
      </c>
      <c r="E1856" t="s">
        <v>35</v>
      </c>
      <c r="F1856" s="2">
        <v>212901001</v>
      </c>
      <c r="G1856" s="2" t="s">
        <v>121</v>
      </c>
      <c r="L1856" s="2" t="s">
        <v>3565</v>
      </c>
      <c r="M1856" t="s">
        <v>67</v>
      </c>
      <c r="N1856" s="48" t="s">
        <v>68</v>
      </c>
      <c r="O1856" s="48"/>
      <c r="P1856" s="23">
        <v>69.02</v>
      </c>
      <c r="Q1856" s="4">
        <f t="shared" si="28"/>
        <v>-85.999420457838312</v>
      </c>
      <c r="R1856" s="23" t="s">
        <v>109</v>
      </c>
      <c r="U1856">
        <v>12</v>
      </c>
      <c r="V1856" t="e">
        <f>VLOOKUP(U1856,[1]!NOMINA[#Data],4,FALSE)</f>
        <v>#REF!</v>
      </c>
      <c r="W1856" t="e">
        <f>VLOOKUP(U1856,[1]!NOMINA[#Data],5,FALSE)</f>
        <v>#REF!</v>
      </c>
    </row>
    <row r="1857" spans="1:23" x14ac:dyDescent="0.25">
      <c r="A1857" s="42">
        <v>45743</v>
      </c>
      <c r="B1857" s="1">
        <v>510491005</v>
      </c>
      <c r="C1857" t="s">
        <v>3566</v>
      </c>
      <c r="D1857" s="22">
        <v>-37032.74</v>
      </c>
      <c r="E1857" t="s">
        <v>35</v>
      </c>
      <c r="F1857" s="2">
        <v>212901001</v>
      </c>
      <c r="G1857" s="2" t="s">
        <v>121</v>
      </c>
      <c r="L1857" s="2" t="s">
        <v>3567</v>
      </c>
      <c r="M1857" t="s">
        <v>67</v>
      </c>
      <c r="N1857" s="48" t="s">
        <v>68</v>
      </c>
      <c r="O1857" s="48"/>
      <c r="P1857" s="23">
        <v>69.02</v>
      </c>
      <c r="Q1857" s="4">
        <f t="shared" si="28"/>
        <v>-536.55085482468849</v>
      </c>
      <c r="R1857" s="23" t="s">
        <v>109</v>
      </c>
      <c r="U1857">
        <v>2</v>
      </c>
      <c r="V1857" t="e">
        <f>VLOOKUP(Tabla3[[#This Row],[Nº]],[1]!NOMINA[#Data],4,FALSE)</f>
        <v>#REF!</v>
      </c>
      <c r="W1857" t="e">
        <f>VLOOKUP(Tabla3[[#This Row],[Nº]],[1]!NOMINA[#Data],5,FALSE)</f>
        <v>#REF!</v>
      </c>
    </row>
    <row r="1858" spans="1:23" x14ac:dyDescent="0.25">
      <c r="A1858" s="42">
        <v>45743</v>
      </c>
      <c r="B1858" s="1">
        <v>510491006</v>
      </c>
      <c r="C1858" t="s">
        <v>3568</v>
      </c>
      <c r="D1858" s="53">
        <v>-2693.04</v>
      </c>
      <c r="E1858" t="s">
        <v>35</v>
      </c>
      <c r="F1858" s="2">
        <v>212901001</v>
      </c>
      <c r="G1858" s="2" t="s">
        <v>121</v>
      </c>
      <c r="L1858" s="2" t="s">
        <v>3569</v>
      </c>
      <c r="M1858" t="s">
        <v>67</v>
      </c>
      <c r="N1858" s="48" t="s">
        <v>68</v>
      </c>
      <c r="O1858" s="48"/>
      <c r="P1858" s="23">
        <v>69.02</v>
      </c>
      <c r="Q1858" s="4">
        <f t="shared" si="28"/>
        <v>-39.01825557809331</v>
      </c>
      <c r="R1858" s="23" t="s">
        <v>109</v>
      </c>
      <c r="U1858">
        <v>28</v>
      </c>
      <c r="V1858" t="e">
        <f>VLOOKUP(U1858,[1]!NOMINA[#Data],4,FALSE)</f>
        <v>#REF!</v>
      </c>
      <c r="W1858" t="e">
        <f>VLOOKUP(U1858,[1]!NOMINA[#Data],5,FALSE)</f>
        <v>#REF!</v>
      </c>
    </row>
    <row r="1859" spans="1:23" x14ac:dyDescent="0.25">
      <c r="A1859" s="42">
        <v>45743</v>
      </c>
      <c r="B1859" s="1">
        <v>710491028</v>
      </c>
      <c r="C1859" t="s">
        <v>3570</v>
      </c>
      <c r="D1859" s="53">
        <v>-9667.4599999999991</v>
      </c>
      <c r="E1859" t="s">
        <v>35</v>
      </c>
      <c r="F1859" s="2">
        <v>212901001</v>
      </c>
      <c r="G1859" s="2" t="s">
        <v>121</v>
      </c>
      <c r="L1859" s="2" t="s">
        <v>3571</v>
      </c>
      <c r="M1859" t="s">
        <v>67</v>
      </c>
      <c r="N1859" s="48" t="s">
        <v>68</v>
      </c>
      <c r="O1859" s="48"/>
      <c r="P1859" s="23">
        <v>69.02</v>
      </c>
      <c r="Q1859" s="4">
        <f t="shared" si="28"/>
        <v>-140.06751666183715</v>
      </c>
      <c r="R1859" s="23" t="s">
        <v>109</v>
      </c>
      <c r="U1859">
        <v>6</v>
      </c>
      <c r="V1859" t="e">
        <f>VLOOKUP(U1859,[1]!NOMINA[#Data],4,FALSE)</f>
        <v>#REF!</v>
      </c>
      <c r="W1859" t="e">
        <f>VLOOKUP(U1859,[1]!NOMINA[#Data],5,FALSE)</f>
        <v>#REF!</v>
      </c>
    </row>
    <row r="1860" spans="1:23" x14ac:dyDescent="0.25">
      <c r="A1860" s="42">
        <v>45743</v>
      </c>
      <c r="B1860" s="1">
        <v>710491031</v>
      </c>
      <c r="C1860" t="s">
        <v>3572</v>
      </c>
      <c r="D1860" s="53">
        <v>-3384.85</v>
      </c>
      <c r="E1860" t="s">
        <v>35</v>
      </c>
      <c r="F1860" s="2">
        <v>212901001</v>
      </c>
      <c r="G1860" s="2" t="s">
        <v>121</v>
      </c>
      <c r="L1860" s="2" t="s">
        <v>3573</v>
      </c>
      <c r="M1860" t="s">
        <v>67</v>
      </c>
      <c r="N1860" s="48" t="s">
        <v>68</v>
      </c>
      <c r="O1860" s="48"/>
      <c r="P1860" s="23">
        <v>69.02</v>
      </c>
      <c r="Q1860" s="4">
        <f t="shared" si="28"/>
        <v>-49.041582150101419</v>
      </c>
      <c r="R1860" s="23" t="s">
        <v>109</v>
      </c>
      <c r="U1860">
        <v>24</v>
      </c>
      <c r="V1860" t="e">
        <f>VLOOKUP(U1860,[1]!NOMINA[#Data],4,FALSE)</f>
        <v>#REF!</v>
      </c>
      <c r="W1860" t="e">
        <f>VLOOKUP(U1860,[1]!NOMINA[#Data],5,FALSE)</f>
        <v>#REF!</v>
      </c>
    </row>
    <row r="1861" spans="1:23" x14ac:dyDescent="0.25">
      <c r="A1861" s="42">
        <v>45743</v>
      </c>
      <c r="B1861" s="1">
        <v>710491030</v>
      </c>
      <c r="C1861" t="s">
        <v>3574</v>
      </c>
      <c r="D1861" s="53">
        <v>-20395.66</v>
      </c>
      <c r="E1861" t="s">
        <v>35</v>
      </c>
      <c r="F1861" s="2">
        <v>212901001</v>
      </c>
      <c r="G1861" s="2" t="s">
        <v>121</v>
      </c>
      <c r="L1861" s="2" t="s">
        <v>3575</v>
      </c>
      <c r="M1861" t="s">
        <v>67</v>
      </c>
      <c r="N1861" s="48" t="s">
        <v>68</v>
      </c>
      <c r="O1861" s="48"/>
      <c r="P1861" s="23">
        <v>69.02</v>
      </c>
      <c r="Q1861" s="4">
        <f t="shared" si="28"/>
        <v>-295.50362213851059</v>
      </c>
      <c r="R1861" s="23" t="s">
        <v>109</v>
      </c>
      <c r="U1861">
        <v>3</v>
      </c>
      <c r="V1861" t="e">
        <f>VLOOKUP(U1861,[1]!NOMINA[#Data],4,FALSE)</f>
        <v>#REF!</v>
      </c>
      <c r="W1861" t="e">
        <f>VLOOKUP(U1861,[1]!NOMINA[#Data],5,FALSE)</f>
        <v>#REF!</v>
      </c>
    </row>
    <row r="1862" spans="1:23" x14ac:dyDescent="0.25">
      <c r="A1862" s="42">
        <v>45743</v>
      </c>
      <c r="B1862" s="1">
        <v>510491012</v>
      </c>
      <c r="C1862" t="s">
        <v>3576</v>
      </c>
      <c r="D1862" s="53">
        <v>-3957.81</v>
      </c>
      <c r="E1862" t="s">
        <v>35</v>
      </c>
      <c r="F1862" s="2">
        <v>212901001</v>
      </c>
      <c r="G1862" s="2" t="s">
        <v>121</v>
      </c>
      <c r="L1862" s="2" t="s">
        <v>3577</v>
      </c>
      <c r="M1862" t="s">
        <v>67</v>
      </c>
      <c r="N1862" s="48" t="s">
        <v>68</v>
      </c>
      <c r="O1862" s="48"/>
      <c r="P1862" s="23">
        <v>69.02</v>
      </c>
      <c r="Q1862" s="4">
        <f t="shared" si="28"/>
        <v>-57.342944074181396</v>
      </c>
      <c r="R1862" s="23" t="s">
        <v>109</v>
      </c>
      <c r="U1862">
        <v>19</v>
      </c>
      <c r="V1862" t="e">
        <f>VLOOKUP(U1862,[1]!NOMINA[#Data],4,FALSE)</f>
        <v>#REF!</v>
      </c>
      <c r="W1862" t="e">
        <f>VLOOKUP(U1862,[1]!NOMINA[#Data],5,FALSE)</f>
        <v>#REF!</v>
      </c>
    </row>
    <row r="1863" spans="1:23" x14ac:dyDescent="0.25">
      <c r="A1863" s="42">
        <v>45743</v>
      </c>
      <c r="B1863" s="1">
        <v>710491032</v>
      </c>
      <c r="C1863" t="s">
        <v>3578</v>
      </c>
      <c r="D1863" s="53">
        <v>-5149.07</v>
      </c>
      <c r="E1863" t="s">
        <v>35</v>
      </c>
      <c r="F1863" s="2">
        <v>212901001</v>
      </c>
      <c r="G1863" s="2" t="s">
        <v>121</v>
      </c>
      <c r="L1863" s="2" t="s">
        <v>3579</v>
      </c>
      <c r="M1863" t="s">
        <v>67</v>
      </c>
      <c r="N1863" s="48" t="s">
        <v>68</v>
      </c>
      <c r="O1863" s="48"/>
      <c r="P1863" s="23">
        <v>69.02</v>
      </c>
      <c r="Q1863" s="4">
        <f t="shared" si="28"/>
        <v>-74.602578962619532</v>
      </c>
      <c r="R1863" s="23" t="s">
        <v>109</v>
      </c>
      <c r="U1863">
        <v>5</v>
      </c>
      <c r="V1863" t="e">
        <f>VLOOKUP(U1863,[1]!NOMINA[#Data],4,FALSE)</f>
        <v>#REF!</v>
      </c>
      <c r="W1863" t="e">
        <f>VLOOKUP(U1863,[1]!NOMINA[#Data],5,FALSE)</f>
        <v>#REF!</v>
      </c>
    </row>
    <row r="1864" spans="1:23" x14ac:dyDescent="0.25">
      <c r="A1864" s="42">
        <v>45743</v>
      </c>
      <c r="B1864" s="1">
        <v>810491045</v>
      </c>
      <c r="C1864" t="s">
        <v>3580</v>
      </c>
      <c r="D1864" s="53">
        <v>-5276.85</v>
      </c>
      <c r="E1864" t="s">
        <v>35</v>
      </c>
      <c r="F1864" s="2">
        <v>212901001</v>
      </c>
      <c r="G1864" s="2" t="s">
        <v>121</v>
      </c>
      <c r="L1864" s="2" t="s">
        <v>3581</v>
      </c>
      <c r="M1864" t="s">
        <v>67</v>
      </c>
      <c r="N1864" s="48" t="s">
        <v>68</v>
      </c>
      <c r="O1864" s="48"/>
      <c r="P1864" s="23">
        <v>69.02</v>
      </c>
      <c r="Q1864" s="4">
        <f t="shared" si="28"/>
        <v>-76.45392639814547</v>
      </c>
      <c r="R1864" s="23" t="s">
        <v>109</v>
      </c>
      <c r="U1864">
        <v>16</v>
      </c>
      <c r="V1864" t="e">
        <f>VLOOKUP(Tabla3[[#This Row],[Nº]],[1]!NOMINA[#Data],4,FALSE)</f>
        <v>#REF!</v>
      </c>
      <c r="W1864" t="e">
        <f>VLOOKUP(Tabla3[[#This Row],[Nº]],[1]!NOMINA[#Data],5,FALSE)</f>
        <v>#REF!</v>
      </c>
    </row>
    <row r="1865" spans="1:23" x14ac:dyDescent="0.25">
      <c r="A1865" s="42">
        <v>45743</v>
      </c>
      <c r="B1865" s="1">
        <v>810491037</v>
      </c>
      <c r="C1865" t="s">
        <v>3582</v>
      </c>
      <c r="D1865" s="53">
        <v>-1077.22</v>
      </c>
      <c r="E1865" t="s">
        <v>35</v>
      </c>
      <c r="F1865" s="2">
        <v>212901001</v>
      </c>
      <c r="G1865" s="2" t="s">
        <v>121</v>
      </c>
      <c r="L1865" s="2" t="s">
        <v>3583</v>
      </c>
      <c r="M1865" t="s">
        <v>67</v>
      </c>
      <c r="N1865" s="48" t="s">
        <v>68</v>
      </c>
      <c r="O1865" s="48"/>
      <c r="P1865" s="23">
        <v>69.02</v>
      </c>
      <c r="Q1865" s="4">
        <f t="shared" si="28"/>
        <v>-15.607360185453492</v>
      </c>
      <c r="R1865" s="23" t="s">
        <v>109</v>
      </c>
      <c r="U1865">
        <v>37</v>
      </c>
      <c r="V1865" t="e">
        <f>VLOOKUP(Tabla3[[#This Row],[Nº]],[1]!NOMINA[#Data],4,FALSE)</f>
        <v>#REF!</v>
      </c>
      <c r="W1865" t="e">
        <f>VLOOKUP(Tabla3[[#This Row],[Nº]],[1]!NOMINA[#Data],5,FALSE)</f>
        <v>#REF!</v>
      </c>
    </row>
    <row r="1866" spans="1:23" x14ac:dyDescent="0.25">
      <c r="A1866" s="42">
        <v>45743</v>
      </c>
      <c r="B1866" s="1">
        <v>710491029</v>
      </c>
      <c r="C1866" t="s">
        <v>3584</v>
      </c>
      <c r="D1866" s="53">
        <v>-2671.74</v>
      </c>
      <c r="E1866" t="s">
        <v>35</v>
      </c>
      <c r="F1866" s="2">
        <v>212901001</v>
      </c>
      <c r="G1866" s="2" t="s">
        <v>121</v>
      </c>
      <c r="L1866" s="2" t="s">
        <v>3585</v>
      </c>
      <c r="M1866" t="s">
        <v>67</v>
      </c>
      <c r="N1866" s="48" t="s">
        <v>68</v>
      </c>
      <c r="O1866" s="48"/>
      <c r="P1866" s="23">
        <v>69.02</v>
      </c>
      <c r="Q1866" s="4">
        <f t="shared" si="28"/>
        <v>-38.709649376992175</v>
      </c>
      <c r="R1866" s="23" t="s">
        <v>109</v>
      </c>
      <c r="U1866">
        <v>7</v>
      </c>
      <c r="V1866" t="e">
        <f>VLOOKUP(U1866,[1]!NOMINA[#Data],4,FALSE)</f>
        <v>#REF!</v>
      </c>
      <c r="W1866" t="e">
        <f>VLOOKUP(U1866,[1]!NOMINA[#Data],5,FALSE)</f>
        <v>#REF!</v>
      </c>
    </row>
    <row r="1867" spans="1:23" x14ac:dyDescent="0.25">
      <c r="A1867" s="42">
        <v>45743</v>
      </c>
      <c r="B1867" s="1">
        <v>810491047</v>
      </c>
      <c r="C1867" t="s">
        <v>3586</v>
      </c>
      <c r="D1867" s="22">
        <v>-687</v>
      </c>
      <c r="E1867" t="s">
        <v>35</v>
      </c>
      <c r="F1867" s="2">
        <v>212901001</v>
      </c>
      <c r="G1867" s="2" t="s">
        <v>121</v>
      </c>
      <c r="L1867" s="2" t="s">
        <v>3587</v>
      </c>
      <c r="M1867" t="s">
        <v>67</v>
      </c>
      <c r="N1867" s="48" t="s">
        <v>68</v>
      </c>
      <c r="O1867" s="48"/>
      <c r="P1867" s="23">
        <v>69.02</v>
      </c>
      <c r="Q1867" s="4">
        <f t="shared" ref="Q1867:Q1930" si="29">D1867/P1867</f>
        <v>-9.9536366270646202</v>
      </c>
      <c r="R1867" s="23" t="s">
        <v>109</v>
      </c>
      <c r="U1867">
        <v>28</v>
      </c>
      <c r="V1867" t="e">
        <f>VLOOKUP(U1867,[1]!NOMINA[#Data],4,FALSE)</f>
        <v>#REF!</v>
      </c>
      <c r="W1867" t="e">
        <f>VLOOKUP(U1867,[1]!NOMINA[#Data],5,FALSE)</f>
        <v>#REF!</v>
      </c>
    </row>
    <row r="1868" spans="1:23" x14ac:dyDescent="0.25">
      <c r="A1868" s="42">
        <v>45743</v>
      </c>
      <c r="B1868" s="1">
        <v>610491021</v>
      </c>
      <c r="C1868" t="s">
        <v>3588</v>
      </c>
      <c r="D1868" s="22">
        <v>-30162.74</v>
      </c>
      <c r="E1868" t="s">
        <v>35</v>
      </c>
      <c r="F1868" s="2">
        <v>212901001</v>
      </c>
      <c r="G1868" s="2" t="s">
        <v>121</v>
      </c>
      <c r="L1868" s="2" t="s">
        <v>3589</v>
      </c>
      <c r="M1868" t="s">
        <v>67</v>
      </c>
      <c r="N1868" s="48" t="s">
        <v>68</v>
      </c>
      <c r="O1868" s="48"/>
      <c r="P1868" s="23">
        <v>69.02</v>
      </c>
      <c r="Q1868" s="4">
        <f t="shared" si="29"/>
        <v>-437.01448855404237</v>
      </c>
      <c r="R1868" s="23" t="s">
        <v>109</v>
      </c>
      <c r="U1868">
        <v>1</v>
      </c>
      <c r="V1868" t="e">
        <f>VLOOKUP(U1868,[1]!NOMINA[#Data],4,FALSE)</f>
        <v>#REF!</v>
      </c>
      <c r="W1868" t="e">
        <f>VLOOKUP(U1868,[1]!NOMINA[#Data],5,FALSE)</f>
        <v>#REF!</v>
      </c>
    </row>
    <row r="1869" spans="1:23" x14ac:dyDescent="0.25">
      <c r="A1869" s="42">
        <v>45743</v>
      </c>
      <c r="B1869" s="1">
        <v>510491008</v>
      </c>
      <c r="C1869" t="s">
        <v>3590</v>
      </c>
      <c r="D1869" s="53">
        <v>-3388.97</v>
      </c>
      <c r="E1869" t="s">
        <v>35</v>
      </c>
      <c r="F1869" s="2">
        <v>212901001</v>
      </c>
      <c r="G1869" s="2" t="s">
        <v>121</v>
      </c>
      <c r="L1869" s="2" t="s">
        <v>3591</v>
      </c>
      <c r="M1869" t="s">
        <v>67</v>
      </c>
      <c r="N1869" s="48" t="s">
        <v>68</v>
      </c>
      <c r="O1869" s="48"/>
      <c r="P1869" s="23">
        <v>69.02</v>
      </c>
      <c r="Q1869" s="4">
        <f t="shared" si="29"/>
        <v>-49.101274992755719</v>
      </c>
      <c r="R1869" s="23" t="s">
        <v>109</v>
      </c>
      <c r="U1869">
        <v>36</v>
      </c>
      <c r="V1869" t="e">
        <f>VLOOKUP(U1869,[1]!NOMINA[#Data],4,FALSE)</f>
        <v>#REF!</v>
      </c>
      <c r="W1869" t="e">
        <f>VLOOKUP(U1869,[1]!NOMINA[#Data],5,FALSE)</f>
        <v>#REF!</v>
      </c>
    </row>
    <row r="1870" spans="1:23" x14ac:dyDescent="0.25">
      <c r="A1870" s="42">
        <v>45743</v>
      </c>
      <c r="B1870" s="1">
        <v>910491049</v>
      </c>
      <c r="C1870" t="s">
        <v>3592</v>
      </c>
      <c r="D1870" s="22">
        <v>-687</v>
      </c>
      <c r="E1870" t="s">
        <v>35</v>
      </c>
      <c r="F1870" s="2">
        <v>212901001</v>
      </c>
      <c r="G1870" s="2" t="s">
        <v>121</v>
      </c>
      <c r="L1870" s="2" t="s">
        <v>3593</v>
      </c>
      <c r="M1870" t="s">
        <v>67</v>
      </c>
      <c r="N1870" s="48" t="s">
        <v>68</v>
      </c>
      <c r="O1870" s="48"/>
      <c r="P1870" s="23">
        <v>69.02</v>
      </c>
      <c r="Q1870" s="4">
        <f t="shared" si="29"/>
        <v>-9.9536366270646202</v>
      </c>
      <c r="R1870" s="23" t="s">
        <v>109</v>
      </c>
      <c r="U1870">
        <v>39</v>
      </c>
      <c r="V1870" t="e">
        <f>VLOOKUP(U1870,[1]!NOMINA[#Data],4,FALSE)</f>
        <v>#REF!</v>
      </c>
      <c r="W1870" t="e">
        <f>VLOOKUP(U1870,[1]!NOMINA[#Data],5,FALSE)</f>
        <v>#REF!</v>
      </c>
    </row>
    <row r="1871" spans="1:23" x14ac:dyDescent="0.25">
      <c r="A1871" s="42">
        <v>45743</v>
      </c>
      <c r="B1871" s="1">
        <v>810491046</v>
      </c>
      <c r="C1871" t="s">
        <v>3594</v>
      </c>
      <c r="D1871" s="22">
        <v>-20610</v>
      </c>
      <c r="E1871" t="s">
        <v>35</v>
      </c>
      <c r="F1871" s="2">
        <v>212901001</v>
      </c>
      <c r="G1871" s="2" t="s">
        <v>121</v>
      </c>
      <c r="L1871" s="2" t="s">
        <v>3595</v>
      </c>
      <c r="M1871" t="s">
        <v>67</v>
      </c>
      <c r="N1871" s="48" t="s">
        <v>68</v>
      </c>
      <c r="O1871" s="48"/>
      <c r="P1871" s="23">
        <v>69.02</v>
      </c>
      <c r="Q1871" s="4">
        <f t="shared" si="29"/>
        <v>-298.60909881193857</v>
      </c>
      <c r="R1871" s="23" t="s">
        <v>109</v>
      </c>
      <c r="U1871">
        <v>2</v>
      </c>
      <c r="V1871" t="e">
        <f>VLOOKUP(Tabla3[[#This Row],[Nº]],[1]!NOMINA[#Data],4,FALSE)</f>
        <v>#REF!</v>
      </c>
      <c r="W1871" t="e">
        <f>VLOOKUP(Tabla3[[#This Row],[Nº]],[1]!NOMINA[#Data],5,FALSE)</f>
        <v>#REF!</v>
      </c>
    </row>
    <row r="1872" spans="1:23" x14ac:dyDescent="0.25">
      <c r="A1872" s="42">
        <v>45743</v>
      </c>
      <c r="B1872" s="1">
        <v>910491050</v>
      </c>
      <c r="C1872" t="s">
        <v>3596</v>
      </c>
      <c r="D1872" s="22">
        <v>-687</v>
      </c>
      <c r="E1872" t="s">
        <v>35</v>
      </c>
      <c r="F1872" s="2">
        <v>212901001</v>
      </c>
      <c r="G1872" s="2" t="s">
        <v>121</v>
      </c>
      <c r="L1872" s="2" t="s">
        <v>3597</v>
      </c>
      <c r="M1872" t="s">
        <v>67</v>
      </c>
      <c r="N1872" s="48" t="s">
        <v>68</v>
      </c>
      <c r="O1872" s="48"/>
      <c r="P1872" s="23">
        <v>69.02</v>
      </c>
      <c r="Q1872" s="4">
        <f t="shared" si="29"/>
        <v>-9.9536366270646202</v>
      </c>
      <c r="R1872" s="23" t="s">
        <v>109</v>
      </c>
      <c r="U1872">
        <v>41</v>
      </c>
      <c r="V1872" t="e">
        <f>VLOOKUP(U1872,[1]!NOMINA[#Data],4,FALSE)</f>
        <v>#REF!</v>
      </c>
      <c r="W1872" t="e">
        <f>VLOOKUP(U1872,[1]!NOMINA[#Data],5,FALSE)</f>
        <v>#REF!</v>
      </c>
    </row>
    <row r="1873" spans="1:23" x14ac:dyDescent="0.25">
      <c r="A1873" s="42">
        <v>45743</v>
      </c>
      <c r="B1873" s="1">
        <v>910491054</v>
      </c>
      <c r="C1873" t="s">
        <v>3598</v>
      </c>
      <c r="D1873" s="22">
        <v>-687</v>
      </c>
      <c r="E1873" t="s">
        <v>35</v>
      </c>
      <c r="F1873" s="2">
        <v>212901001</v>
      </c>
      <c r="G1873" s="2" t="s">
        <v>121</v>
      </c>
      <c r="L1873" s="2" t="s">
        <v>3599</v>
      </c>
      <c r="M1873" t="s">
        <v>67</v>
      </c>
      <c r="N1873" s="48" t="s">
        <v>68</v>
      </c>
      <c r="O1873" s="48"/>
      <c r="P1873" s="23">
        <v>69.02</v>
      </c>
      <c r="Q1873" s="4">
        <f t="shared" si="29"/>
        <v>-9.9536366270646202</v>
      </c>
      <c r="R1873" s="23" t="s">
        <v>109</v>
      </c>
      <c r="U1873">
        <v>17</v>
      </c>
      <c r="V1873" t="e">
        <f>VLOOKUP(U1873,[1]!NOMINA[#Data],4,FALSE)</f>
        <v>#REF!</v>
      </c>
      <c r="W1873" t="e">
        <f>VLOOKUP(U1873,[1]!NOMINA[#Data],5,FALSE)</f>
        <v>#REF!</v>
      </c>
    </row>
    <row r="1874" spans="1:23" x14ac:dyDescent="0.25">
      <c r="A1874" s="42">
        <v>45743</v>
      </c>
      <c r="B1874" s="1">
        <v>910491051</v>
      </c>
      <c r="C1874" t="s">
        <v>3600</v>
      </c>
      <c r="D1874" s="22">
        <v>-4122</v>
      </c>
      <c r="E1874" t="s">
        <v>35</v>
      </c>
      <c r="F1874" s="2">
        <v>212901001</v>
      </c>
      <c r="G1874" s="2" t="s">
        <v>121</v>
      </c>
      <c r="L1874" s="2" t="s">
        <v>3601</v>
      </c>
      <c r="M1874" t="s">
        <v>67</v>
      </c>
      <c r="N1874" s="48" t="s">
        <v>68</v>
      </c>
      <c r="O1874" s="48"/>
      <c r="P1874" s="23">
        <v>69.02</v>
      </c>
      <c r="Q1874" s="4">
        <f t="shared" si="29"/>
        <v>-59.721819762387717</v>
      </c>
      <c r="R1874" s="23" t="s">
        <v>109</v>
      </c>
      <c r="U1874">
        <v>36</v>
      </c>
      <c r="V1874" t="e">
        <f>VLOOKUP(U1874,[1]!NOMINA[#Data],4,FALSE)</f>
        <v>#REF!</v>
      </c>
      <c r="W1874" t="e">
        <f>VLOOKUP(U1874,[1]!NOMINA[#Data],5,FALSE)</f>
        <v>#REF!</v>
      </c>
    </row>
    <row r="1875" spans="1:23" x14ac:dyDescent="0.25">
      <c r="A1875" s="42">
        <v>45743</v>
      </c>
      <c r="B1875" s="1">
        <v>810491048</v>
      </c>
      <c r="C1875" t="s">
        <v>3602</v>
      </c>
      <c r="D1875" s="22">
        <v>-4122</v>
      </c>
      <c r="E1875" t="s">
        <v>35</v>
      </c>
      <c r="F1875" s="2">
        <v>212901001</v>
      </c>
      <c r="G1875" s="2" t="s">
        <v>121</v>
      </c>
      <c r="L1875" s="2" t="s">
        <v>3603</v>
      </c>
      <c r="M1875" t="s">
        <v>67</v>
      </c>
      <c r="N1875" s="48" t="s">
        <v>68</v>
      </c>
      <c r="O1875" s="48"/>
      <c r="P1875" s="23">
        <v>69.02</v>
      </c>
      <c r="Q1875" s="4">
        <f t="shared" si="29"/>
        <v>-59.721819762387717</v>
      </c>
      <c r="R1875" s="23" t="s">
        <v>109</v>
      </c>
      <c r="U1875">
        <v>19</v>
      </c>
      <c r="V1875" t="e">
        <f>VLOOKUP(U1875,[1]!NOMINA[#Data],4,FALSE)</f>
        <v>#REF!</v>
      </c>
      <c r="W1875" t="e">
        <f>VLOOKUP(U1875,[1]!NOMINA[#Data],5,FALSE)</f>
        <v>#REF!</v>
      </c>
    </row>
    <row r="1876" spans="1:23" x14ac:dyDescent="0.25">
      <c r="A1876" s="42">
        <v>45743</v>
      </c>
      <c r="B1876" s="1">
        <v>910491055</v>
      </c>
      <c r="C1876" t="s">
        <v>3604</v>
      </c>
      <c r="D1876" s="22">
        <v>-687</v>
      </c>
      <c r="E1876" t="s">
        <v>35</v>
      </c>
      <c r="F1876" s="2">
        <v>212901001</v>
      </c>
      <c r="G1876" s="2" t="s">
        <v>121</v>
      </c>
      <c r="L1876" s="2" t="s">
        <v>3605</v>
      </c>
      <c r="M1876" t="s">
        <v>67</v>
      </c>
      <c r="N1876" s="48" t="s">
        <v>68</v>
      </c>
      <c r="O1876" s="48"/>
      <c r="P1876" s="23">
        <v>69.02</v>
      </c>
      <c r="Q1876" s="4">
        <f t="shared" si="29"/>
        <v>-9.9536366270646202</v>
      </c>
      <c r="R1876" s="23" t="s">
        <v>109</v>
      </c>
      <c r="U1876">
        <v>15</v>
      </c>
      <c r="V1876" t="e">
        <f>VLOOKUP(U1876,[1]!NOMINA[#Data],4,FALSE)</f>
        <v>#REF!</v>
      </c>
      <c r="W1876" t="e">
        <f>VLOOKUP(U1876,[1]!NOMINA[#Data],5,FALSE)</f>
        <v>#REF!</v>
      </c>
    </row>
    <row r="1877" spans="1:23" x14ac:dyDescent="0.25">
      <c r="A1877" s="42">
        <v>45743</v>
      </c>
      <c r="B1877" s="1">
        <v>910491052</v>
      </c>
      <c r="C1877" t="s">
        <v>3606</v>
      </c>
      <c r="D1877" s="22">
        <v>-687</v>
      </c>
      <c r="E1877" t="s">
        <v>35</v>
      </c>
      <c r="F1877" s="2">
        <v>212901001</v>
      </c>
      <c r="G1877" s="2" t="s">
        <v>121</v>
      </c>
      <c r="L1877" s="2" t="s">
        <v>3607</v>
      </c>
      <c r="M1877" t="s">
        <v>67</v>
      </c>
      <c r="N1877" s="48" t="s">
        <v>68</v>
      </c>
      <c r="O1877" s="48"/>
      <c r="P1877" s="23">
        <v>69.02</v>
      </c>
      <c r="Q1877" s="4">
        <f t="shared" si="29"/>
        <v>-9.9536366270646202</v>
      </c>
      <c r="R1877" s="23" t="s">
        <v>109</v>
      </c>
      <c r="U1877">
        <v>14</v>
      </c>
      <c r="V1877" t="e">
        <f>VLOOKUP(U1877,[1]!NOMINA[#Data],4,FALSE)</f>
        <v>#REF!</v>
      </c>
      <c r="W1877" t="e">
        <f>VLOOKUP(U1877,[1]!NOMINA[#Data],5,FALSE)</f>
        <v>#REF!</v>
      </c>
    </row>
    <row r="1878" spans="1:23" x14ac:dyDescent="0.25">
      <c r="A1878" s="42">
        <v>45743</v>
      </c>
      <c r="B1878" s="1">
        <v>910491056</v>
      </c>
      <c r="C1878" t="s">
        <v>3608</v>
      </c>
      <c r="D1878" s="22">
        <v>-687</v>
      </c>
      <c r="E1878" t="s">
        <v>35</v>
      </c>
      <c r="F1878" s="2">
        <v>212901001</v>
      </c>
      <c r="G1878" s="2" t="s">
        <v>121</v>
      </c>
      <c r="L1878" s="2" t="s">
        <v>3609</v>
      </c>
      <c r="M1878" t="s">
        <v>67</v>
      </c>
      <c r="N1878" s="48" t="s">
        <v>68</v>
      </c>
      <c r="O1878" s="48"/>
      <c r="P1878" s="23">
        <v>69.02</v>
      </c>
      <c r="Q1878" s="4">
        <f t="shared" si="29"/>
        <v>-9.9536366270646202</v>
      </c>
      <c r="R1878" s="23" t="s">
        <v>109</v>
      </c>
      <c r="U1878">
        <v>8</v>
      </c>
      <c r="V1878" t="e">
        <f>VLOOKUP(U1878,[1]!NOMINA[#Data],4,FALSE)</f>
        <v>#REF!</v>
      </c>
      <c r="W1878" t="e">
        <f>VLOOKUP(U1878,[1]!NOMINA[#Data],5,FALSE)</f>
        <v>#REF!</v>
      </c>
    </row>
    <row r="1879" spans="1:23" x14ac:dyDescent="0.25">
      <c r="A1879" s="42">
        <v>45743</v>
      </c>
      <c r="B1879" s="1">
        <v>910491058</v>
      </c>
      <c r="C1879" t="s">
        <v>3610</v>
      </c>
      <c r="D1879" s="22">
        <v>-13740</v>
      </c>
      <c r="E1879" t="s">
        <v>35</v>
      </c>
      <c r="F1879" s="2">
        <v>212901001</v>
      </c>
      <c r="G1879" s="2" t="s">
        <v>121</v>
      </c>
      <c r="L1879" s="2" t="s">
        <v>3611</v>
      </c>
      <c r="M1879" t="s">
        <v>67</v>
      </c>
      <c r="N1879" s="48" t="s">
        <v>68</v>
      </c>
      <c r="O1879" s="48"/>
      <c r="P1879" s="23">
        <v>69.02</v>
      </c>
      <c r="Q1879" s="4">
        <f t="shared" si="29"/>
        <v>-199.0727325412924</v>
      </c>
      <c r="R1879" s="23" t="s">
        <v>109</v>
      </c>
      <c r="U1879">
        <v>1</v>
      </c>
      <c r="V1879" t="e">
        <f>VLOOKUP(U1879,[1]!NOMINA[#Data],4,FALSE)</f>
        <v>#REF!</v>
      </c>
      <c r="W1879" t="e">
        <f>VLOOKUP(U1879,[1]!NOMINA[#Data],5,FALSE)</f>
        <v>#REF!</v>
      </c>
    </row>
    <row r="1880" spans="1:23" x14ac:dyDescent="0.25">
      <c r="A1880" s="42">
        <v>45743</v>
      </c>
      <c r="B1880" s="1">
        <v>910491059</v>
      </c>
      <c r="C1880" t="s">
        <v>3612</v>
      </c>
      <c r="D1880" s="22">
        <v>-4122</v>
      </c>
      <c r="E1880" t="s">
        <v>35</v>
      </c>
      <c r="F1880" s="2">
        <v>212901001</v>
      </c>
      <c r="G1880" s="2" t="s">
        <v>121</v>
      </c>
      <c r="L1880" s="2" t="s">
        <v>3613</v>
      </c>
      <c r="M1880" t="s">
        <v>67</v>
      </c>
      <c r="N1880" s="48" t="s">
        <v>68</v>
      </c>
      <c r="O1880" s="48"/>
      <c r="P1880" s="23">
        <v>69.02</v>
      </c>
      <c r="Q1880" s="4">
        <f t="shared" si="29"/>
        <v>-59.721819762387717</v>
      </c>
      <c r="R1880" s="23" t="s">
        <v>109</v>
      </c>
      <c r="U1880">
        <v>43</v>
      </c>
      <c r="V1880" t="e">
        <f>VLOOKUP(U1880,[1]!NOMINA[#Data],4,FALSE)</f>
        <v>#REF!</v>
      </c>
      <c r="W1880" t="e">
        <f>VLOOKUP(U1880,[1]!NOMINA[#Data],5,FALSE)</f>
        <v>#REF!</v>
      </c>
    </row>
    <row r="1881" spans="1:23" x14ac:dyDescent="0.25">
      <c r="A1881" s="42">
        <v>45743</v>
      </c>
      <c r="B1881" s="1">
        <v>910491057</v>
      </c>
      <c r="C1881" t="s">
        <v>3614</v>
      </c>
      <c r="D1881" s="22">
        <v>-687</v>
      </c>
      <c r="E1881" t="s">
        <v>35</v>
      </c>
      <c r="F1881" s="2">
        <v>212901001</v>
      </c>
      <c r="G1881" s="2" t="s">
        <v>121</v>
      </c>
      <c r="L1881" s="2" t="s">
        <v>3615</v>
      </c>
      <c r="M1881" t="s">
        <v>67</v>
      </c>
      <c r="N1881" s="48" t="s">
        <v>68</v>
      </c>
      <c r="O1881" s="48"/>
      <c r="P1881" s="23">
        <v>69.02</v>
      </c>
      <c r="Q1881" s="4">
        <f t="shared" si="29"/>
        <v>-9.9536366270646202</v>
      </c>
      <c r="R1881" s="23" t="s">
        <v>109</v>
      </c>
      <c r="U1881">
        <v>13</v>
      </c>
      <c r="V1881" t="e">
        <f>VLOOKUP(U1881,[1]!NOMINA[#Data],4,FALSE)</f>
        <v>#REF!</v>
      </c>
      <c r="W1881" t="e">
        <f>VLOOKUP(U1881,[1]!NOMINA[#Data],5,FALSE)</f>
        <v>#REF!</v>
      </c>
    </row>
    <row r="1882" spans="1:23" x14ac:dyDescent="0.25">
      <c r="A1882" s="42">
        <v>45743</v>
      </c>
      <c r="B1882" s="1">
        <v>10491060</v>
      </c>
      <c r="C1882" t="s">
        <v>3616</v>
      </c>
      <c r="D1882" s="22">
        <v>-687</v>
      </c>
      <c r="E1882" t="s">
        <v>35</v>
      </c>
      <c r="F1882" s="2">
        <v>212901001</v>
      </c>
      <c r="G1882" s="2" t="s">
        <v>121</v>
      </c>
      <c r="L1882" s="2" t="s">
        <v>3617</v>
      </c>
      <c r="M1882" t="s">
        <v>67</v>
      </c>
      <c r="N1882" s="48" t="s">
        <v>68</v>
      </c>
      <c r="O1882" s="48"/>
      <c r="P1882" s="23">
        <v>69.02</v>
      </c>
      <c r="Q1882" s="4">
        <f t="shared" si="29"/>
        <v>-9.9536366270646202</v>
      </c>
      <c r="R1882" s="23" t="s">
        <v>109</v>
      </c>
      <c r="U1882">
        <v>12</v>
      </c>
      <c r="V1882" t="e">
        <f>VLOOKUP(U1882,[1]!NOMINA[#Data],4,FALSE)</f>
        <v>#REF!</v>
      </c>
      <c r="W1882" t="e">
        <f>VLOOKUP(U1882,[1]!NOMINA[#Data],5,FALSE)</f>
        <v>#REF!</v>
      </c>
    </row>
    <row r="1883" spans="1:23" x14ac:dyDescent="0.25">
      <c r="A1883" s="42">
        <v>45743</v>
      </c>
      <c r="B1883" s="1">
        <v>10491061</v>
      </c>
      <c r="C1883" t="s">
        <v>3618</v>
      </c>
      <c r="D1883" s="22">
        <v>-687</v>
      </c>
      <c r="E1883" t="s">
        <v>35</v>
      </c>
      <c r="F1883" s="2">
        <v>212901001</v>
      </c>
      <c r="G1883" s="2" t="s">
        <v>121</v>
      </c>
      <c r="L1883" s="2" t="s">
        <v>3619</v>
      </c>
      <c r="M1883" t="s">
        <v>67</v>
      </c>
      <c r="N1883" s="48" t="s">
        <v>68</v>
      </c>
      <c r="O1883" s="48"/>
      <c r="P1883" s="23">
        <v>69.02</v>
      </c>
      <c r="Q1883" s="4">
        <f t="shared" si="29"/>
        <v>-9.9536366270646202</v>
      </c>
      <c r="R1883" s="23" t="s">
        <v>109</v>
      </c>
      <c r="U1883">
        <v>16</v>
      </c>
      <c r="V1883" t="e">
        <f>VLOOKUP(Tabla3[[#This Row],[Nº]],[1]!NOMINA[#Data],4,FALSE)</f>
        <v>#REF!</v>
      </c>
      <c r="W1883" t="e">
        <f>VLOOKUP(Tabla3[[#This Row],[Nº]],[1]!NOMINA[#Data],5,FALSE)</f>
        <v>#REF!</v>
      </c>
    </row>
    <row r="1884" spans="1:23" x14ac:dyDescent="0.25">
      <c r="A1884" s="42">
        <v>45743</v>
      </c>
      <c r="B1884" s="1">
        <v>10491064</v>
      </c>
      <c r="C1884" t="s">
        <v>3620</v>
      </c>
      <c r="D1884" s="22">
        <v>-4122</v>
      </c>
      <c r="E1884" t="s">
        <v>35</v>
      </c>
      <c r="F1884" s="2">
        <v>212901001</v>
      </c>
      <c r="G1884" s="2" t="s">
        <v>121</v>
      </c>
      <c r="L1884" s="2" t="s">
        <v>3621</v>
      </c>
      <c r="M1884" t="s">
        <v>67</v>
      </c>
      <c r="N1884" s="48" t="s">
        <v>68</v>
      </c>
      <c r="O1884" s="48"/>
      <c r="P1884" s="23">
        <v>69.02</v>
      </c>
      <c r="Q1884" s="4">
        <f t="shared" si="29"/>
        <v>-59.721819762387717</v>
      </c>
      <c r="R1884" s="23" t="s">
        <v>109</v>
      </c>
      <c r="U1884">
        <v>3</v>
      </c>
      <c r="V1884" t="e">
        <f>VLOOKUP(U1884,[1]!NOMINA[#Data],4,FALSE)</f>
        <v>#REF!</v>
      </c>
      <c r="W1884" t="e">
        <f>VLOOKUP(U1884,[1]!NOMINA[#Data],5,FALSE)</f>
        <v>#REF!</v>
      </c>
    </row>
    <row r="1885" spans="1:23" x14ac:dyDescent="0.25">
      <c r="A1885" s="42">
        <v>45743</v>
      </c>
      <c r="B1885" s="1">
        <v>10491062</v>
      </c>
      <c r="C1885" t="s">
        <v>3622</v>
      </c>
      <c r="D1885" s="22">
        <v>-687</v>
      </c>
      <c r="E1885" t="s">
        <v>35</v>
      </c>
      <c r="F1885" s="2">
        <v>212901001</v>
      </c>
      <c r="G1885" s="2" t="s">
        <v>121</v>
      </c>
      <c r="L1885" s="2" t="s">
        <v>3623</v>
      </c>
      <c r="M1885" t="s">
        <v>67</v>
      </c>
      <c r="N1885" s="48" t="s">
        <v>68</v>
      </c>
      <c r="O1885" s="48"/>
      <c r="P1885" s="23">
        <v>69.02</v>
      </c>
      <c r="Q1885" s="4">
        <f t="shared" si="29"/>
        <v>-9.9536366270646202</v>
      </c>
      <c r="R1885" s="23" t="s">
        <v>109</v>
      </c>
      <c r="U1885">
        <v>6</v>
      </c>
      <c r="V1885" t="e">
        <f>VLOOKUP(U1885,[1]!NOMINA[#Data],4,FALSE)</f>
        <v>#REF!</v>
      </c>
      <c r="W1885" t="e">
        <f>VLOOKUP(U1885,[1]!NOMINA[#Data],5,FALSE)</f>
        <v>#REF!</v>
      </c>
    </row>
    <row r="1886" spans="1:23" x14ac:dyDescent="0.25">
      <c r="A1886" s="42">
        <v>45743</v>
      </c>
      <c r="B1886" s="1">
        <v>10491065</v>
      </c>
      <c r="C1886" t="s">
        <v>3624</v>
      </c>
      <c r="D1886" s="22">
        <v>-687</v>
      </c>
      <c r="E1886" t="s">
        <v>35</v>
      </c>
      <c r="F1886" s="2">
        <v>212901001</v>
      </c>
      <c r="G1886" s="2" t="s">
        <v>121</v>
      </c>
      <c r="L1886" s="2" t="s">
        <v>3625</v>
      </c>
      <c r="M1886" t="s">
        <v>67</v>
      </c>
      <c r="N1886" s="48" t="s">
        <v>68</v>
      </c>
      <c r="O1886" s="48"/>
      <c r="P1886" s="23">
        <v>69.02</v>
      </c>
      <c r="Q1886" s="4">
        <f t="shared" si="29"/>
        <v>-9.9536366270646202</v>
      </c>
      <c r="R1886" s="23" t="s">
        <v>109</v>
      </c>
      <c r="U1886">
        <v>7</v>
      </c>
      <c r="V1886" t="e">
        <f>VLOOKUP(U1886,[1]!NOMINA[#Data],4,FALSE)</f>
        <v>#REF!</v>
      </c>
      <c r="W1886" t="e">
        <f>VLOOKUP(U1886,[1]!NOMINA[#Data],5,FALSE)</f>
        <v>#REF!</v>
      </c>
    </row>
    <row r="1887" spans="1:23" x14ac:dyDescent="0.25">
      <c r="A1887" s="42">
        <v>45743</v>
      </c>
      <c r="B1887" s="1">
        <v>10491063</v>
      </c>
      <c r="C1887" t="s">
        <v>3626</v>
      </c>
      <c r="D1887" s="22">
        <v>-687</v>
      </c>
      <c r="E1887" t="s">
        <v>35</v>
      </c>
      <c r="F1887" s="2">
        <v>212901001</v>
      </c>
      <c r="G1887" s="2" t="s">
        <v>121</v>
      </c>
      <c r="L1887" s="2" t="s">
        <v>3627</v>
      </c>
      <c r="M1887" t="s">
        <v>67</v>
      </c>
      <c r="N1887" s="48" t="s">
        <v>68</v>
      </c>
      <c r="O1887" s="48"/>
      <c r="P1887" s="23">
        <v>69.02</v>
      </c>
      <c r="Q1887" s="4">
        <f t="shared" si="29"/>
        <v>-9.9536366270646202</v>
      </c>
      <c r="R1887" s="23" t="s">
        <v>109</v>
      </c>
      <c r="U1887">
        <v>37</v>
      </c>
      <c r="V1887" t="e">
        <f>VLOOKUP(Tabla3[[#This Row],[Nº]],[1]!NOMINA[#Data],4,FALSE)</f>
        <v>#REF!</v>
      </c>
      <c r="W1887" t="e">
        <f>VLOOKUP(Tabla3[[#This Row],[Nº]],[1]!NOMINA[#Data],5,FALSE)</f>
        <v>#REF!</v>
      </c>
    </row>
    <row r="1888" spans="1:23" x14ac:dyDescent="0.25">
      <c r="A1888" s="42">
        <v>45743</v>
      </c>
      <c r="B1888" s="1">
        <v>10491067</v>
      </c>
      <c r="C1888" t="s">
        <v>3628</v>
      </c>
      <c r="D1888" s="22">
        <v>-687</v>
      </c>
      <c r="E1888" t="s">
        <v>35</v>
      </c>
      <c r="F1888" s="2">
        <v>212901001</v>
      </c>
      <c r="G1888" s="2" t="s">
        <v>121</v>
      </c>
      <c r="L1888" s="2" t="s">
        <v>3629</v>
      </c>
      <c r="M1888" t="s">
        <v>67</v>
      </c>
      <c r="N1888" s="48" t="s">
        <v>68</v>
      </c>
      <c r="O1888" s="48"/>
      <c r="P1888" s="23">
        <v>69.02</v>
      </c>
      <c r="Q1888" s="4">
        <f t="shared" si="29"/>
        <v>-9.9536366270646202</v>
      </c>
      <c r="R1888" s="23" t="s">
        <v>109</v>
      </c>
      <c r="U1888">
        <v>11</v>
      </c>
      <c r="V1888" t="e">
        <f>VLOOKUP(U1888,[1]!NOMINA[#Data],4,FALSE)</f>
        <v>#REF!</v>
      </c>
      <c r="W1888" t="e">
        <f>VLOOKUP(U1888,[1]!NOMINA[#Data],5,FALSE)</f>
        <v>#REF!</v>
      </c>
    </row>
    <row r="1889" spans="1:23" x14ac:dyDescent="0.25">
      <c r="A1889" s="42">
        <v>45743</v>
      </c>
      <c r="B1889" s="1">
        <v>10491066</v>
      </c>
      <c r="C1889" t="s">
        <v>3630</v>
      </c>
      <c r="D1889" s="22">
        <v>-687</v>
      </c>
      <c r="E1889" t="s">
        <v>35</v>
      </c>
      <c r="F1889" s="2">
        <v>212901001</v>
      </c>
      <c r="G1889" s="2" t="s">
        <v>121</v>
      </c>
      <c r="L1889" s="2" t="s">
        <v>3631</v>
      </c>
      <c r="M1889" t="s">
        <v>67</v>
      </c>
      <c r="N1889" s="48" t="s">
        <v>68</v>
      </c>
      <c r="O1889" s="48"/>
      <c r="P1889" s="23">
        <v>69.02</v>
      </c>
      <c r="Q1889" s="4">
        <f t="shared" si="29"/>
        <v>-9.9536366270646202</v>
      </c>
      <c r="R1889" s="23" t="s">
        <v>109</v>
      </c>
      <c r="U1889">
        <v>10</v>
      </c>
      <c r="V1889" t="e">
        <f>VLOOKUP(U1889,[1]!NOMINA[#Data],4,FALSE)</f>
        <v>#REF!</v>
      </c>
      <c r="W1889" t="e">
        <f>VLOOKUP(U1889,[1]!NOMINA[#Data],5,FALSE)</f>
        <v>#REF!</v>
      </c>
    </row>
    <row r="1890" spans="1:23" x14ac:dyDescent="0.25">
      <c r="A1890" s="42">
        <v>45743</v>
      </c>
      <c r="B1890" s="1">
        <v>10491068</v>
      </c>
      <c r="C1890" t="s">
        <v>3632</v>
      </c>
      <c r="D1890" s="22">
        <v>-687</v>
      </c>
      <c r="E1890" t="s">
        <v>35</v>
      </c>
      <c r="F1890" s="2">
        <v>212901001</v>
      </c>
      <c r="G1890" s="2" t="s">
        <v>121</v>
      </c>
      <c r="L1890" s="2" t="s">
        <v>3633</v>
      </c>
      <c r="M1890" t="s">
        <v>67</v>
      </c>
      <c r="N1890" s="48" t="s">
        <v>68</v>
      </c>
      <c r="O1890" s="48"/>
      <c r="P1890" s="23">
        <v>69.02</v>
      </c>
      <c r="Q1890" s="4">
        <f t="shared" si="29"/>
        <v>-9.9536366270646202</v>
      </c>
      <c r="R1890" s="23" t="s">
        <v>109</v>
      </c>
      <c r="U1890">
        <v>38</v>
      </c>
      <c r="V1890" t="e">
        <f>VLOOKUP(U1890,[1]!NOMINA[#Data],4,FALSE)</f>
        <v>#REF!</v>
      </c>
      <c r="W1890" t="e">
        <f>VLOOKUP(U1890,[1]!NOMINA[#Data],5,FALSE)</f>
        <v>#REF!</v>
      </c>
    </row>
    <row r="1891" spans="1:23" x14ac:dyDescent="0.25">
      <c r="A1891" s="42">
        <v>45743</v>
      </c>
      <c r="B1891" s="1">
        <v>10491070</v>
      </c>
      <c r="C1891" t="s">
        <v>3634</v>
      </c>
      <c r="D1891" s="22">
        <v>-687</v>
      </c>
      <c r="E1891" t="s">
        <v>35</v>
      </c>
      <c r="F1891" s="2">
        <v>212901001</v>
      </c>
      <c r="G1891" s="2" t="s">
        <v>121</v>
      </c>
      <c r="L1891" s="2" t="s">
        <v>3635</v>
      </c>
      <c r="M1891" t="s">
        <v>67</v>
      </c>
      <c r="N1891" s="48" t="s">
        <v>68</v>
      </c>
      <c r="O1891" s="48"/>
      <c r="P1891" s="23">
        <v>69.02</v>
      </c>
      <c r="Q1891" s="4">
        <f t="shared" si="29"/>
        <v>-9.9536366270646202</v>
      </c>
      <c r="R1891" s="23" t="s">
        <v>109</v>
      </c>
      <c r="U1891">
        <v>9</v>
      </c>
      <c r="V1891" t="e">
        <f>VLOOKUP(U1891,[1]!NOMINA[#Data],4,FALSE)</f>
        <v>#REF!</v>
      </c>
      <c r="W1891" t="e">
        <f>VLOOKUP(U1891,[1]!NOMINA[#Data],5,FALSE)</f>
        <v>#REF!</v>
      </c>
    </row>
    <row r="1892" spans="1:23" x14ac:dyDescent="0.25">
      <c r="A1892" s="42">
        <v>45743</v>
      </c>
      <c r="B1892" s="1">
        <v>10491071</v>
      </c>
      <c r="C1892" t="s">
        <v>3636</v>
      </c>
      <c r="D1892" s="22">
        <v>-3435</v>
      </c>
      <c r="E1892" t="s">
        <v>35</v>
      </c>
      <c r="F1892" s="2">
        <v>212901001</v>
      </c>
      <c r="G1892" s="2" t="s">
        <v>121</v>
      </c>
      <c r="L1892" s="2" t="s">
        <v>3637</v>
      </c>
      <c r="M1892" t="s">
        <v>67</v>
      </c>
      <c r="N1892" s="48" t="s">
        <v>68</v>
      </c>
      <c r="O1892" s="48"/>
      <c r="P1892" s="23">
        <v>69.02</v>
      </c>
      <c r="Q1892" s="4">
        <f t="shared" si="29"/>
        <v>-49.768183135323099</v>
      </c>
      <c r="R1892" s="23" t="s">
        <v>109</v>
      </c>
    </row>
    <row r="1893" spans="1:23" x14ac:dyDescent="0.25">
      <c r="A1893" s="42">
        <v>45743</v>
      </c>
      <c r="B1893" s="1">
        <v>10491069</v>
      </c>
      <c r="C1893" t="s">
        <v>3638</v>
      </c>
      <c r="D1893" s="22">
        <v>-687</v>
      </c>
      <c r="E1893" t="s">
        <v>35</v>
      </c>
      <c r="F1893" s="2">
        <v>212901001</v>
      </c>
      <c r="G1893" s="2" t="s">
        <v>121</v>
      </c>
      <c r="L1893" s="2" t="s">
        <v>3639</v>
      </c>
      <c r="M1893" t="s">
        <v>67</v>
      </c>
      <c r="N1893" s="48" t="s">
        <v>68</v>
      </c>
      <c r="O1893" s="48"/>
      <c r="P1893" s="23">
        <v>69.02</v>
      </c>
      <c r="Q1893" s="4">
        <f t="shared" si="29"/>
        <v>-9.9536366270646202</v>
      </c>
      <c r="R1893" s="23" t="s">
        <v>109</v>
      </c>
      <c r="U1893">
        <v>18</v>
      </c>
      <c r="V1893" t="e">
        <f>VLOOKUP(Tabla3[[#This Row],[Nº]],[1]!NOMINA[#Data],4,FALSE)</f>
        <v>#REF!</v>
      </c>
      <c r="W1893" t="e">
        <f>VLOOKUP(Tabla3[[#This Row],[Nº]],[1]!NOMINA[#Data],5,FALSE)</f>
        <v>#REF!</v>
      </c>
    </row>
    <row r="1894" spans="1:23" x14ac:dyDescent="0.25">
      <c r="A1894" s="42">
        <v>45743</v>
      </c>
      <c r="B1894" s="1">
        <v>110491074</v>
      </c>
      <c r="C1894" t="s">
        <v>3640</v>
      </c>
      <c r="D1894" s="22">
        <v>-3435</v>
      </c>
      <c r="E1894" t="s">
        <v>35</v>
      </c>
      <c r="F1894" s="2">
        <v>212901001</v>
      </c>
      <c r="G1894" s="2" t="s">
        <v>121</v>
      </c>
      <c r="L1894" s="2" t="s">
        <v>3641</v>
      </c>
      <c r="M1894" t="s">
        <v>67</v>
      </c>
      <c r="N1894" s="48" t="s">
        <v>68</v>
      </c>
      <c r="O1894" s="48"/>
      <c r="P1894" s="23">
        <v>69.02</v>
      </c>
      <c r="Q1894" s="4">
        <f t="shared" si="29"/>
        <v>-49.768183135323099</v>
      </c>
      <c r="R1894" s="23" t="s">
        <v>109</v>
      </c>
    </row>
    <row r="1895" spans="1:23" x14ac:dyDescent="0.25">
      <c r="A1895" s="42">
        <v>45743</v>
      </c>
      <c r="B1895" s="1">
        <v>10491073</v>
      </c>
      <c r="C1895" t="s">
        <v>3642</v>
      </c>
      <c r="D1895" s="22">
        <v>-3435</v>
      </c>
      <c r="E1895" t="s">
        <v>35</v>
      </c>
      <c r="F1895" s="2">
        <v>212901001</v>
      </c>
      <c r="G1895" s="2" t="s">
        <v>121</v>
      </c>
      <c r="L1895" s="2" t="s">
        <v>3643</v>
      </c>
      <c r="M1895" t="s">
        <v>67</v>
      </c>
      <c r="N1895" s="48" t="s">
        <v>68</v>
      </c>
      <c r="O1895" s="48"/>
      <c r="P1895" s="23">
        <v>69.02</v>
      </c>
      <c r="Q1895" s="4">
        <f t="shared" si="29"/>
        <v>-49.768183135323099</v>
      </c>
      <c r="R1895" s="23" t="s">
        <v>109</v>
      </c>
    </row>
    <row r="1896" spans="1:23" x14ac:dyDescent="0.25">
      <c r="A1896" s="42">
        <v>45743</v>
      </c>
      <c r="B1896" s="1">
        <v>110491075</v>
      </c>
      <c r="C1896" t="s">
        <v>3644</v>
      </c>
      <c r="D1896" s="22">
        <v>-1374</v>
      </c>
      <c r="E1896" t="s">
        <v>35</v>
      </c>
      <c r="F1896" s="2">
        <v>212901001</v>
      </c>
      <c r="G1896" s="2" t="s">
        <v>121</v>
      </c>
      <c r="L1896" s="2" t="s">
        <v>3645</v>
      </c>
      <c r="M1896" t="s">
        <v>67</v>
      </c>
      <c r="N1896" s="48" t="s">
        <v>68</v>
      </c>
      <c r="O1896" s="48"/>
      <c r="P1896" s="23">
        <v>69.02</v>
      </c>
      <c r="Q1896" s="4">
        <f t="shared" si="29"/>
        <v>-19.90727325412924</v>
      </c>
      <c r="R1896" s="23" t="s">
        <v>109</v>
      </c>
      <c r="U1896">
        <v>4</v>
      </c>
      <c r="V1896" t="e">
        <f>VLOOKUP(U1896,[1]!NOMINA[#Data],4,FALSE)</f>
        <v>#REF!</v>
      </c>
      <c r="W1896" t="e">
        <f>VLOOKUP(U1896,[1]!NOMINA[#Data],5,FALSE)</f>
        <v>#REF!</v>
      </c>
    </row>
    <row r="1897" spans="1:23" x14ac:dyDescent="0.25">
      <c r="A1897" s="42">
        <v>45743</v>
      </c>
      <c r="B1897" s="1">
        <v>110491077</v>
      </c>
      <c r="C1897" t="s">
        <v>3646</v>
      </c>
      <c r="D1897" s="22">
        <v>-2748</v>
      </c>
      <c r="E1897" t="s">
        <v>35</v>
      </c>
      <c r="F1897" s="2">
        <v>212901001</v>
      </c>
      <c r="G1897" s="2" t="s">
        <v>121</v>
      </c>
      <c r="L1897" s="2" t="s">
        <v>3647</v>
      </c>
      <c r="M1897" t="s">
        <v>67</v>
      </c>
      <c r="N1897" s="48" t="s">
        <v>68</v>
      </c>
      <c r="O1897" s="48"/>
      <c r="P1897" s="23">
        <v>69.02</v>
      </c>
      <c r="Q1897" s="4">
        <f t="shared" si="29"/>
        <v>-39.814546508258481</v>
      </c>
      <c r="R1897" s="23" t="s">
        <v>109</v>
      </c>
      <c r="U1897">
        <v>18</v>
      </c>
      <c r="V1897" t="e">
        <f>VLOOKUP(Tabla3[[#This Row],[Nº]],[1]!NOMINA[#Data],4,FALSE)</f>
        <v>#REF!</v>
      </c>
      <c r="W1897" t="e">
        <f>VLOOKUP(Tabla3[[#This Row],[Nº]],[1]!NOMINA[#Data],5,FALSE)</f>
        <v>#REF!</v>
      </c>
    </row>
    <row r="1898" spans="1:23" x14ac:dyDescent="0.25">
      <c r="A1898" s="42">
        <v>45743</v>
      </c>
      <c r="B1898" s="1">
        <v>110491076</v>
      </c>
      <c r="C1898" t="s">
        <v>3648</v>
      </c>
      <c r="D1898" s="22">
        <v>-2748</v>
      </c>
      <c r="E1898" t="s">
        <v>35</v>
      </c>
      <c r="F1898" s="2">
        <v>212901001</v>
      </c>
      <c r="G1898" s="2" t="s">
        <v>121</v>
      </c>
      <c r="L1898" s="2" t="s">
        <v>3649</v>
      </c>
      <c r="M1898" t="s">
        <v>67</v>
      </c>
      <c r="N1898" s="48" t="s">
        <v>68</v>
      </c>
      <c r="O1898" s="48"/>
      <c r="P1898" s="23">
        <v>69.02</v>
      </c>
      <c r="Q1898" s="4">
        <f t="shared" si="29"/>
        <v>-39.814546508258481</v>
      </c>
      <c r="R1898" s="23" t="s">
        <v>109</v>
      </c>
      <c r="U1898">
        <v>29</v>
      </c>
      <c r="V1898" t="e">
        <f>VLOOKUP(U1898,[1]!NOMINA[#Data],4,FALSE)</f>
        <v>#REF!</v>
      </c>
      <c r="W1898" t="e">
        <f>VLOOKUP(U1898,[1]!NOMINA[#Data],5,FALSE)</f>
        <v>#REF!</v>
      </c>
    </row>
    <row r="1899" spans="1:23" x14ac:dyDescent="0.25">
      <c r="A1899" s="42">
        <v>45743</v>
      </c>
      <c r="B1899" s="1">
        <v>110491078</v>
      </c>
      <c r="C1899" t="s">
        <v>3650</v>
      </c>
      <c r="D1899" s="22">
        <v>-2748</v>
      </c>
      <c r="E1899" t="s">
        <v>35</v>
      </c>
      <c r="F1899" s="2">
        <v>212901001</v>
      </c>
      <c r="G1899" s="2" t="s">
        <v>121</v>
      </c>
      <c r="L1899" s="2" t="s">
        <v>3651</v>
      </c>
      <c r="M1899" t="s">
        <v>67</v>
      </c>
      <c r="N1899" s="48" t="s">
        <v>68</v>
      </c>
      <c r="O1899" s="48"/>
      <c r="P1899" s="23">
        <v>69.02</v>
      </c>
      <c r="Q1899" s="4">
        <f t="shared" si="29"/>
        <v>-39.814546508258481</v>
      </c>
      <c r="R1899" s="23" t="s">
        <v>109</v>
      </c>
      <c r="U1899">
        <v>44</v>
      </c>
      <c r="V1899" t="e">
        <f>VLOOKUP(U1899,[1]!NOMINA[#Data],4,FALSE)</f>
        <v>#REF!</v>
      </c>
      <c r="W1899" t="e">
        <f>VLOOKUP(U1899,[1]!NOMINA[#Data],5,FALSE)</f>
        <v>#REF!</v>
      </c>
    </row>
    <row r="1900" spans="1:23" x14ac:dyDescent="0.25">
      <c r="A1900" s="42">
        <v>45743</v>
      </c>
      <c r="B1900" s="1">
        <v>50385808</v>
      </c>
      <c r="C1900" t="s">
        <v>3652</v>
      </c>
      <c r="D1900" s="22">
        <v>-12285.47</v>
      </c>
      <c r="E1900" t="s">
        <v>35</v>
      </c>
      <c r="F1900" s="2">
        <v>212901001</v>
      </c>
      <c r="G1900" s="2" t="s">
        <v>121</v>
      </c>
      <c r="L1900" s="2" t="s">
        <v>3653</v>
      </c>
      <c r="M1900" t="s">
        <v>67</v>
      </c>
      <c r="N1900" s="48" t="s">
        <v>68</v>
      </c>
      <c r="O1900" s="48"/>
      <c r="P1900" s="23">
        <v>69.02</v>
      </c>
      <c r="Q1900" s="4">
        <f t="shared" si="29"/>
        <v>-177.99869603013619</v>
      </c>
      <c r="R1900" s="23" t="s">
        <v>109</v>
      </c>
      <c r="U1900">
        <v>40</v>
      </c>
      <c r="V1900" t="e">
        <f>VLOOKUP(U1900,[1]!NOMINA[#Data],4,FALSE)</f>
        <v>#REF!</v>
      </c>
      <c r="W1900" t="e">
        <f>VLOOKUP(U1900,[1]!NOMINA[#Data],5,FALSE)</f>
        <v>#REF!</v>
      </c>
    </row>
    <row r="1901" spans="1:23" x14ac:dyDescent="0.25">
      <c r="A1901" s="42">
        <v>45743</v>
      </c>
      <c r="B1901" s="1">
        <v>50385808</v>
      </c>
      <c r="C1901" t="s">
        <v>296</v>
      </c>
      <c r="D1901" s="22">
        <v>-18.420000000000002</v>
      </c>
      <c r="E1901" t="s">
        <v>35</v>
      </c>
      <c r="F1901" s="2">
        <v>610148001</v>
      </c>
      <c r="G1901" s="2" t="s">
        <v>42</v>
      </c>
      <c r="L1901" s="2" t="s">
        <v>3654</v>
      </c>
      <c r="M1901" t="s">
        <v>43</v>
      </c>
      <c r="N1901" t="s">
        <v>42</v>
      </c>
      <c r="P1901" s="23">
        <v>69.02</v>
      </c>
      <c r="Q1901" s="4">
        <f t="shared" si="29"/>
        <v>-0.26687916545928719</v>
      </c>
      <c r="R1901" s="23" t="s">
        <v>109</v>
      </c>
      <c r="S1901" s="23" t="s">
        <v>2658</v>
      </c>
    </row>
    <row r="1902" spans="1:23" x14ac:dyDescent="0.25">
      <c r="A1902" s="42">
        <v>45743</v>
      </c>
      <c r="B1902" s="1">
        <v>50385808</v>
      </c>
      <c r="C1902" t="s">
        <v>118</v>
      </c>
      <c r="D1902" s="22">
        <v>-1056.24</v>
      </c>
      <c r="E1902" t="s">
        <v>35</v>
      </c>
      <c r="F1902" s="2">
        <v>610148001</v>
      </c>
      <c r="G1902" s="2" t="s">
        <v>42</v>
      </c>
      <c r="L1902" s="2" t="s">
        <v>3655</v>
      </c>
      <c r="M1902" t="s">
        <v>43</v>
      </c>
      <c r="N1902" t="s">
        <v>42</v>
      </c>
      <c r="P1902" s="23">
        <v>69.02</v>
      </c>
      <c r="Q1902" s="4">
        <f t="shared" si="29"/>
        <v>-15.303390321645901</v>
      </c>
      <c r="R1902" s="23" t="s">
        <v>109</v>
      </c>
      <c r="S1902" s="23" t="s">
        <v>2658</v>
      </c>
    </row>
    <row r="1903" spans="1:23" x14ac:dyDescent="0.25">
      <c r="A1903" s="42">
        <v>45744</v>
      </c>
      <c r="B1903" s="1">
        <v>60730598</v>
      </c>
      <c r="C1903" t="s">
        <v>967</v>
      </c>
      <c r="D1903" s="22">
        <v>-104.16</v>
      </c>
      <c r="E1903" t="s">
        <v>35</v>
      </c>
      <c r="F1903" s="2">
        <v>610148001</v>
      </c>
      <c r="G1903" s="2" t="s">
        <v>42</v>
      </c>
      <c r="L1903" s="2" t="s">
        <v>3656</v>
      </c>
      <c r="M1903" t="s">
        <v>43</v>
      </c>
      <c r="N1903" t="s">
        <v>42</v>
      </c>
      <c r="P1903" s="23">
        <v>69.44</v>
      </c>
      <c r="Q1903" s="4">
        <f t="shared" si="29"/>
        <v>-1.5</v>
      </c>
      <c r="R1903" s="23" t="s">
        <v>109</v>
      </c>
      <c r="S1903" s="23" t="s">
        <v>2658</v>
      </c>
    </row>
    <row r="1904" spans="1:23" x14ac:dyDescent="0.25">
      <c r="A1904" s="42">
        <v>45744</v>
      </c>
      <c r="B1904" s="1">
        <v>200249449</v>
      </c>
      <c r="C1904" t="s">
        <v>3657</v>
      </c>
      <c r="D1904" s="22">
        <v>1310.45</v>
      </c>
      <c r="E1904" t="s">
        <v>46</v>
      </c>
      <c r="F1904" s="2">
        <v>110106001</v>
      </c>
      <c r="G1904" s="2" t="s">
        <v>2034</v>
      </c>
      <c r="L1904" s="2" t="s">
        <v>3658</v>
      </c>
      <c r="N1904" t="s">
        <v>3330</v>
      </c>
      <c r="P1904" s="23">
        <v>69.44</v>
      </c>
      <c r="Q1904" s="4">
        <f t="shared" si="29"/>
        <v>18.871687788018434</v>
      </c>
      <c r="R1904" s="23" t="s">
        <v>109</v>
      </c>
    </row>
    <row r="1905" spans="1:19" x14ac:dyDescent="0.25">
      <c r="A1905" s="42">
        <v>45744</v>
      </c>
      <c r="B1905" s="1">
        <v>200249449</v>
      </c>
      <c r="C1905" t="s">
        <v>2037</v>
      </c>
      <c r="D1905" s="22">
        <v>-19.649999999999999</v>
      </c>
      <c r="E1905" t="s">
        <v>35</v>
      </c>
      <c r="F1905" s="2">
        <v>610148001</v>
      </c>
      <c r="G1905" s="2" t="s">
        <v>42</v>
      </c>
      <c r="L1905" s="2" t="s">
        <v>3659</v>
      </c>
      <c r="M1905" t="s">
        <v>43</v>
      </c>
      <c r="N1905" s="48" t="s">
        <v>42</v>
      </c>
      <c r="O1905" s="48"/>
      <c r="P1905" s="23">
        <v>69.44</v>
      </c>
      <c r="Q1905" s="4">
        <f t="shared" si="29"/>
        <v>-0.28297811059907835</v>
      </c>
      <c r="R1905" s="23" t="s">
        <v>109</v>
      </c>
      <c r="S1905" s="23" t="s">
        <v>2658</v>
      </c>
    </row>
    <row r="1906" spans="1:19" x14ac:dyDescent="0.25">
      <c r="A1906" s="42">
        <v>45744</v>
      </c>
      <c r="B1906" s="1">
        <v>200250356</v>
      </c>
      <c r="C1906" t="s">
        <v>3657</v>
      </c>
      <c r="D1906" s="22">
        <v>9000</v>
      </c>
      <c r="E1906" t="s">
        <v>46</v>
      </c>
      <c r="F1906" s="2">
        <v>110106001</v>
      </c>
      <c r="G1906" s="2" t="s">
        <v>2034</v>
      </c>
      <c r="L1906" s="2" t="s">
        <v>3660</v>
      </c>
      <c r="N1906" t="s">
        <v>3330</v>
      </c>
      <c r="P1906" s="23">
        <v>69.44</v>
      </c>
      <c r="Q1906" s="4">
        <f t="shared" si="29"/>
        <v>129.60829493087559</v>
      </c>
      <c r="R1906" s="23" t="s">
        <v>109</v>
      </c>
    </row>
    <row r="1907" spans="1:19" x14ac:dyDescent="0.25">
      <c r="A1907" s="42">
        <v>45744</v>
      </c>
      <c r="B1907" s="1">
        <v>200250356</v>
      </c>
      <c r="C1907" t="s">
        <v>2037</v>
      </c>
      <c r="D1907" s="22">
        <v>-135</v>
      </c>
      <c r="E1907" t="s">
        <v>35</v>
      </c>
      <c r="F1907" s="2">
        <v>610148001</v>
      </c>
      <c r="G1907" s="2" t="s">
        <v>42</v>
      </c>
      <c r="L1907" s="2" t="s">
        <v>3661</v>
      </c>
      <c r="M1907" t="s">
        <v>43</v>
      </c>
      <c r="N1907" s="48" t="s">
        <v>42</v>
      </c>
      <c r="O1907" s="48"/>
      <c r="P1907" s="23">
        <v>69.44</v>
      </c>
      <c r="Q1907" s="4">
        <f t="shared" si="29"/>
        <v>-1.9441244239631337</v>
      </c>
      <c r="R1907" s="23" t="s">
        <v>109</v>
      </c>
      <c r="S1907" s="23" t="s">
        <v>2658</v>
      </c>
    </row>
    <row r="1908" spans="1:19" x14ac:dyDescent="0.25">
      <c r="A1908" s="42">
        <v>45744</v>
      </c>
      <c r="B1908" s="1">
        <v>105902425</v>
      </c>
      <c r="C1908" t="s">
        <v>107</v>
      </c>
      <c r="D1908" s="22">
        <v>265000</v>
      </c>
      <c r="E1908" t="s">
        <v>46</v>
      </c>
      <c r="F1908" s="2">
        <v>210115002</v>
      </c>
      <c r="G1908" s="2" t="s">
        <v>47</v>
      </c>
      <c r="L1908" s="2" t="s">
        <v>3662</v>
      </c>
      <c r="N1908" t="s">
        <v>107</v>
      </c>
      <c r="P1908" s="23">
        <v>69.44</v>
      </c>
      <c r="Q1908" s="4">
        <f t="shared" si="29"/>
        <v>3816.2442396313363</v>
      </c>
      <c r="R1908" s="23" t="s">
        <v>109</v>
      </c>
    </row>
    <row r="1909" spans="1:19" x14ac:dyDescent="0.25">
      <c r="A1909" s="42">
        <v>45744</v>
      </c>
      <c r="B1909" s="1">
        <v>110516186</v>
      </c>
      <c r="C1909" t="s">
        <v>3663</v>
      </c>
      <c r="D1909" s="22">
        <v>-8332.7999999999993</v>
      </c>
      <c r="E1909" t="s">
        <v>35</v>
      </c>
      <c r="F1909" s="2">
        <v>212901001</v>
      </c>
      <c r="G1909" s="2" t="s">
        <v>121</v>
      </c>
      <c r="L1909" s="2" t="s">
        <v>3664</v>
      </c>
      <c r="M1909" t="s">
        <v>67</v>
      </c>
      <c r="N1909" s="48" t="s">
        <v>68</v>
      </c>
      <c r="O1909" s="48"/>
      <c r="P1909" s="23">
        <v>69.44</v>
      </c>
      <c r="Q1909" s="4">
        <f t="shared" si="29"/>
        <v>-120</v>
      </c>
      <c r="R1909" s="23" t="s">
        <v>109</v>
      </c>
    </row>
    <row r="1910" spans="1:19" x14ac:dyDescent="0.25">
      <c r="A1910" s="45">
        <v>45744</v>
      </c>
      <c r="B1910" s="26">
        <v>110516188</v>
      </c>
      <c r="C1910" s="27" t="s">
        <v>3665</v>
      </c>
      <c r="D1910" s="28">
        <v>-9374.4</v>
      </c>
      <c r="E1910" s="27" t="s">
        <v>35</v>
      </c>
      <c r="F1910" s="29">
        <v>610156001</v>
      </c>
      <c r="G1910" s="29" t="s">
        <v>91</v>
      </c>
      <c r="H1910" s="107"/>
      <c r="I1910" s="101"/>
      <c r="J1910" s="101"/>
      <c r="K1910" s="29"/>
      <c r="L1910" s="2" t="s">
        <v>3666</v>
      </c>
      <c r="M1910" s="27" t="s">
        <v>93</v>
      </c>
      <c r="N1910" s="27" t="s">
        <v>94</v>
      </c>
      <c r="O1910" s="27" t="s">
        <v>59</v>
      </c>
      <c r="P1910" s="31">
        <v>69.44</v>
      </c>
      <c r="Q1910" s="4">
        <f t="shared" si="29"/>
        <v>-135</v>
      </c>
      <c r="R1910" s="23" t="s">
        <v>109</v>
      </c>
      <c r="S1910" s="23" t="s">
        <v>3667</v>
      </c>
    </row>
    <row r="1911" spans="1:19" x14ac:dyDescent="0.25">
      <c r="A1911" s="42">
        <v>45744</v>
      </c>
      <c r="B1911" s="1">
        <v>110516189</v>
      </c>
      <c r="C1911" t="s">
        <v>3668</v>
      </c>
      <c r="D1911" s="22">
        <v>-6944</v>
      </c>
      <c r="E1911" t="s">
        <v>35</v>
      </c>
      <c r="F1911" s="2">
        <v>212901001</v>
      </c>
      <c r="G1911" s="2" t="s">
        <v>121</v>
      </c>
      <c r="L1911" s="2" t="s">
        <v>3669</v>
      </c>
      <c r="M1911" t="s">
        <v>67</v>
      </c>
      <c r="N1911" s="48" t="s">
        <v>68</v>
      </c>
      <c r="O1911" s="48"/>
      <c r="P1911" s="23">
        <v>69.44</v>
      </c>
      <c r="Q1911" s="4">
        <f t="shared" si="29"/>
        <v>-100</v>
      </c>
      <c r="R1911" s="23" t="s">
        <v>109</v>
      </c>
    </row>
    <row r="1912" spans="1:19" x14ac:dyDescent="0.25">
      <c r="A1912" s="42">
        <v>45744</v>
      </c>
      <c r="B1912" s="1">
        <v>110516192</v>
      </c>
      <c r="C1912" t="s">
        <v>3670</v>
      </c>
      <c r="D1912" s="22">
        <v>-4860.8</v>
      </c>
      <c r="E1912" t="s">
        <v>35</v>
      </c>
      <c r="F1912" s="2">
        <v>212901001</v>
      </c>
      <c r="G1912" s="2" t="s">
        <v>121</v>
      </c>
      <c r="L1912" s="2" t="s">
        <v>3671</v>
      </c>
      <c r="M1912" t="s">
        <v>67</v>
      </c>
      <c r="N1912" s="48" t="s">
        <v>68</v>
      </c>
      <c r="O1912" s="48"/>
      <c r="P1912" s="23">
        <v>69.44</v>
      </c>
      <c r="Q1912" s="4">
        <f t="shared" si="29"/>
        <v>-70</v>
      </c>
      <c r="R1912" s="23" t="s">
        <v>109</v>
      </c>
    </row>
    <row r="1913" spans="1:19" x14ac:dyDescent="0.25">
      <c r="A1913" s="42">
        <v>45744</v>
      </c>
      <c r="B1913" s="1">
        <v>110516190</v>
      </c>
      <c r="C1913" t="s">
        <v>3672</v>
      </c>
      <c r="D1913" s="22">
        <v>-1242.5</v>
      </c>
      <c r="E1913" t="s">
        <v>35</v>
      </c>
      <c r="F1913" s="2">
        <v>210101001</v>
      </c>
      <c r="G1913" s="2" t="s">
        <v>36</v>
      </c>
      <c r="L1913" s="2" t="s">
        <v>3673</v>
      </c>
      <c r="M1913" t="s">
        <v>114</v>
      </c>
      <c r="N1913" s="48" t="s">
        <v>115</v>
      </c>
      <c r="O1913" s="48"/>
      <c r="P1913" s="23">
        <v>69.44</v>
      </c>
      <c r="Q1913" s="4">
        <f t="shared" si="29"/>
        <v>-17.893145161290324</v>
      </c>
      <c r="R1913" s="23" t="s">
        <v>109</v>
      </c>
    </row>
    <row r="1914" spans="1:19" x14ac:dyDescent="0.25">
      <c r="A1914" s="42">
        <v>45744</v>
      </c>
      <c r="B1914" s="1">
        <v>110516191</v>
      </c>
      <c r="C1914" t="s">
        <v>3674</v>
      </c>
      <c r="D1914" s="22">
        <v>-2708.16</v>
      </c>
      <c r="E1914" t="s">
        <v>35</v>
      </c>
      <c r="F1914" s="2">
        <v>212901001</v>
      </c>
      <c r="G1914" s="2" t="s">
        <v>121</v>
      </c>
      <c r="L1914" s="2" t="s">
        <v>3675</v>
      </c>
      <c r="M1914" t="s">
        <v>67</v>
      </c>
      <c r="N1914" t="s">
        <v>68</v>
      </c>
      <c r="P1914" s="23">
        <v>69.44</v>
      </c>
      <c r="Q1914" s="4">
        <f t="shared" si="29"/>
        <v>-39</v>
      </c>
      <c r="R1914" s="23" t="s">
        <v>109</v>
      </c>
    </row>
    <row r="1915" spans="1:19" x14ac:dyDescent="0.25">
      <c r="A1915" s="42">
        <v>45744</v>
      </c>
      <c r="B1915" s="1">
        <v>210516194</v>
      </c>
      <c r="C1915" t="s">
        <v>3676</v>
      </c>
      <c r="D1915" s="22">
        <v>-694.4</v>
      </c>
      <c r="E1915" t="s">
        <v>35</v>
      </c>
      <c r="F1915" s="2">
        <v>212901001</v>
      </c>
      <c r="G1915" s="2" t="s">
        <v>121</v>
      </c>
      <c r="L1915" s="2" t="s">
        <v>3677</v>
      </c>
      <c r="M1915" t="s">
        <v>67</v>
      </c>
      <c r="N1915" t="s">
        <v>68</v>
      </c>
      <c r="P1915" s="23">
        <v>69.44</v>
      </c>
      <c r="Q1915" s="4">
        <f t="shared" si="29"/>
        <v>-10</v>
      </c>
      <c r="R1915" s="23" t="s">
        <v>109</v>
      </c>
    </row>
    <row r="1916" spans="1:19" x14ac:dyDescent="0.25">
      <c r="A1916" s="42">
        <v>45744</v>
      </c>
      <c r="B1916" s="1">
        <v>210516199</v>
      </c>
      <c r="C1916" t="s">
        <v>3678</v>
      </c>
      <c r="D1916" s="22">
        <v>-1388.8</v>
      </c>
      <c r="E1916" t="s">
        <v>35</v>
      </c>
      <c r="F1916" s="2">
        <v>212901001</v>
      </c>
      <c r="G1916" s="2" t="s">
        <v>121</v>
      </c>
      <c r="L1916" s="2" t="s">
        <v>3679</v>
      </c>
      <c r="M1916" t="s">
        <v>67</v>
      </c>
      <c r="N1916" t="s">
        <v>68</v>
      </c>
      <c r="P1916" s="23">
        <v>69.44</v>
      </c>
      <c r="Q1916" s="4">
        <f t="shared" si="29"/>
        <v>-20</v>
      </c>
      <c r="R1916" s="23" t="s">
        <v>109</v>
      </c>
    </row>
    <row r="1917" spans="1:19" x14ac:dyDescent="0.25">
      <c r="A1917" s="42">
        <v>45744</v>
      </c>
      <c r="B1917" s="1">
        <v>210516196</v>
      </c>
      <c r="C1917" t="s">
        <v>3680</v>
      </c>
      <c r="D1917" s="22">
        <v>-1388.8</v>
      </c>
      <c r="E1917" t="s">
        <v>35</v>
      </c>
      <c r="F1917" s="2">
        <v>212901001</v>
      </c>
      <c r="G1917" s="2" t="s">
        <v>121</v>
      </c>
      <c r="L1917" s="2" t="s">
        <v>3681</v>
      </c>
      <c r="M1917" t="s">
        <v>67</v>
      </c>
      <c r="N1917" t="s">
        <v>68</v>
      </c>
      <c r="P1917" s="23">
        <v>69.44</v>
      </c>
      <c r="Q1917" s="4">
        <f t="shared" si="29"/>
        <v>-20</v>
      </c>
      <c r="R1917" s="23" t="s">
        <v>109</v>
      </c>
    </row>
    <row r="1918" spans="1:19" x14ac:dyDescent="0.25">
      <c r="A1918" s="42">
        <v>45744</v>
      </c>
      <c r="B1918" s="1">
        <v>210516201</v>
      </c>
      <c r="C1918" t="s">
        <v>3682</v>
      </c>
      <c r="D1918" s="22">
        <v>-1388.8</v>
      </c>
      <c r="E1918" t="s">
        <v>35</v>
      </c>
      <c r="F1918" s="2">
        <v>212901001</v>
      </c>
      <c r="G1918" s="2" t="s">
        <v>121</v>
      </c>
      <c r="L1918" s="2" t="s">
        <v>3683</v>
      </c>
      <c r="M1918" t="s">
        <v>67</v>
      </c>
      <c r="N1918" t="s">
        <v>68</v>
      </c>
      <c r="P1918" s="23">
        <v>69.44</v>
      </c>
      <c r="Q1918" s="4">
        <f t="shared" si="29"/>
        <v>-20</v>
      </c>
      <c r="R1918" s="23" t="s">
        <v>109</v>
      </c>
    </row>
    <row r="1919" spans="1:19" x14ac:dyDescent="0.25">
      <c r="A1919" s="42">
        <v>45744</v>
      </c>
      <c r="B1919" s="1">
        <v>210516202</v>
      </c>
      <c r="C1919" t="s">
        <v>3684</v>
      </c>
      <c r="D1919" s="22">
        <v>-8652.6</v>
      </c>
      <c r="E1919" t="s">
        <v>35</v>
      </c>
      <c r="F1919" s="2">
        <v>110114001</v>
      </c>
      <c r="G1919" s="2" t="s">
        <v>301</v>
      </c>
      <c r="L1919" s="2" t="s">
        <v>3685</v>
      </c>
      <c r="M1919" t="s">
        <v>114</v>
      </c>
      <c r="N1919" t="s">
        <v>115</v>
      </c>
      <c r="P1919" s="23">
        <v>69.44</v>
      </c>
      <c r="Q1919" s="4">
        <f t="shared" si="29"/>
        <v>-124.60541474654379</v>
      </c>
      <c r="R1919" s="23" t="s">
        <v>109</v>
      </c>
      <c r="S1919" s="33" t="s">
        <v>2576</v>
      </c>
    </row>
    <row r="1920" spans="1:19" x14ac:dyDescent="0.25">
      <c r="A1920" s="42">
        <v>45744</v>
      </c>
      <c r="B1920" s="1">
        <v>210516198</v>
      </c>
      <c r="C1920" t="s">
        <v>3686</v>
      </c>
      <c r="D1920" s="22">
        <v>-1388.8</v>
      </c>
      <c r="E1920" t="s">
        <v>35</v>
      </c>
      <c r="F1920" s="2">
        <v>212901001</v>
      </c>
      <c r="G1920" s="2" t="s">
        <v>121</v>
      </c>
      <c r="L1920" s="2" t="s">
        <v>3687</v>
      </c>
      <c r="M1920" t="s">
        <v>67</v>
      </c>
      <c r="N1920" t="s">
        <v>68</v>
      </c>
      <c r="P1920" s="23">
        <v>69.44</v>
      </c>
      <c r="Q1920" s="4">
        <f t="shared" si="29"/>
        <v>-20</v>
      </c>
      <c r="R1920" s="23" t="s">
        <v>109</v>
      </c>
    </row>
    <row r="1921" spans="1:19" x14ac:dyDescent="0.25">
      <c r="A1921" s="42">
        <v>45744</v>
      </c>
      <c r="B1921" s="1">
        <v>210516205</v>
      </c>
      <c r="C1921" t="s">
        <v>3688</v>
      </c>
      <c r="D1921" s="22">
        <v>-189987.84</v>
      </c>
      <c r="E1921" t="s">
        <v>35</v>
      </c>
      <c r="F1921" s="2">
        <v>110114001</v>
      </c>
      <c r="G1921" s="2" t="s">
        <v>301</v>
      </c>
      <c r="L1921" s="2" t="s">
        <v>3689</v>
      </c>
      <c r="M1921" t="s">
        <v>38</v>
      </c>
      <c r="N1921" t="s">
        <v>39</v>
      </c>
      <c r="P1921" s="23">
        <v>69.44</v>
      </c>
      <c r="Q1921" s="4">
        <f t="shared" si="29"/>
        <v>-2736</v>
      </c>
      <c r="R1921" s="23" t="s">
        <v>109</v>
      </c>
      <c r="S1921" s="33" t="s">
        <v>2576</v>
      </c>
    </row>
    <row r="1922" spans="1:19" x14ac:dyDescent="0.25">
      <c r="A1922" s="42">
        <v>45744</v>
      </c>
      <c r="B1922" s="1">
        <v>210516203</v>
      </c>
      <c r="C1922" t="s">
        <v>3690</v>
      </c>
      <c r="D1922" s="22">
        <v>-12665.85</v>
      </c>
      <c r="E1922" t="s">
        <v>35</v>
      </c>
      <c r="F1922" s="2">
        <v>210101001</v>
      </c>
      <c r="G1922" s="2" t="s">
        <v>36</v>
      </c>
      <c r="L1922" s="2" t="s">
        <v>3691</v>
      </c>
      <c r="M1922" t="s">
        <v>714</v>
      </c>
      <c r="N1922" t="s">
        <v>715</v>
      </c>
      <c r="P1922" s="23">
        <v>69.44</v>
      </c>
      <c r="Q1922" s="4">
        <f t="shared" si="29"/>
        <v>-182.39991359447006</v>
      </c>
      <c r="R1922" s="23" t="s">
        <v>109</v>
      </c>
    </row>
    <row r="1923" spans="1:19" x14ac:dyDescent="0.25">
      <c r="A1923" s="42">
        <v>45744</v>
      </c>
      <c r="B1923" s="1">
        <v>210516195</v>
      </c>
      <c r="C1923" t="s">
        <v>3692</v>
      </c>
      <c r="D1923" s="22">
        <v>-4166.3999999999996</v>
      </c>
      <c r="E1923" t="s">
        <v>35</v>
      </c>
      <c r="F1923" s="2">
        <v>212901001</v>
      </c>
      <c r="G1923" s="2" t="s">
        <v>121</v>
      </c>
      <c r="L1923" s="2" t="s">
        <v>3693</v>
      </c>
      <c r="M1923" t="s">
        <v>67</v>
      </c>
      <c r="N1923" s="48" t="s">
        <v>68</v>
      </c>
      <c r="O1923" s="48"/>
      <c r="P1923" s="23">
        <v>69.44</v>
      </c>
      <c r="Q1923" s="4">
        <f t="shared" si="29"/>
        <v>-60</v>
      </c>
      <c r="R1923" s="23" t="s">
        <v>109</v>
      </c>
    </row>
    <row r="1924" spans="1:19" x14ac:dyDescent="0.25">
      <c r="A1924" s="42">
        <v>45744</v>
      </c>
      <c r="B1924" s="1">
        <v>110516193</v>
      </c>
      <c r="C1924" t="s">
        <v>3694</v>
      </c>
      <c r="D1924" s="22">
        <v>-3472</v>
      </c>
      <c r="E1924" t="s">
        <v>35</v>
      </c>
      <c r="F1924" s="2">
        <v>212901001</v>
      </c>
      <c r="G1924" s="2" t="s">
        <v>121</v>
      </c>
      <c r="L1924" s="2" t="s">
        <v>3695</v>
      </c>
      <c r="M1924" t="s">
        <v>67</v>
      </c>
      <c r="N1924" t="s">
        <v>68</v>
      </c>
      <c r="P1924" s="23">
        <v>69.44</v>
      </c>
      <c r="Q1924" s="4">
        <f t="shared" si="29"/>
        <v>-50</v>
      </c>
      <c r="R1924" s="23" t="s">
        <v>109</v>
      </c>
    </row>
    <row r="1925" spans="1:19" x14ac:dyDescent="0.25">
      <c r="A1925" s="42">
        <v>45744</v>
      </c>
      <c r="B1925" s="1">
        <v>210516200</v>
      </c>
      <c r="C1925" t="s">
        <v>3696</v>
      </c>
      <c r="D1925" s="22">
        <v>-1388.8</v>
      </c>
      <c r="E1925" t="s">
        <v>35</v>
      </c>
      <c r="F1925" s="2">
        <v>212901001</v>
      </c>
      <c r="G1925" s="2" t="s">
        <v>121</v>
      </c>
      <c r="L1925" s="2" t="s">
        <v>3697</v>
      </c>
      <c r="M1925" t="s">
        <v>67</v>
      </c>
      <c r="N1925" t="s">
        <v>68</v>
      </c>
      <c r="P1925" s="23">
        <v>69.44</v>
      </c>
      <c r="Q1925" s="4">
        <f t="shared" si="29"/>
        <v>-20</v>
      </c>
      <c r="R1925" s="23" t="s">
        <v>109</v>
      </c>
    </row>
    <row r="1926" spans="1:19" x14ac:dyDescent="0.25">
      <c r="A1926" s="42">
        <v>45744</v>
      </c>
      <c r="B1926" s="1">
        <v>50354694</v>
      </c>
      <c r="C1926" t="s">
        <v>118</v>
      </c>
      <c r="D1926" s="22">
        <v>-650.11</v>
      </c>
      <c r="E1926" t="s">
        <v>35</v>
      </c>
      <c r="F1926" s="2">
        <v>610148001</v>
      </c>
      <c r="G1926" s="2" t="s">
        <v>42</v>
      </c>
      <c r="L1926" s="2" t="s">
        <v>3698</v>
      </c>
      <c r="M1926" t="s">
        <v>43</v>
      </c>
      <c r="N1926" t="s">
        <v>42</v>
      </c>
      <c r="P1926" s="23">
        <v>69.44</v>
      </c>
      <c r="Q1926" s="4">
        <f t="shared" si="29"/>
        <v>-9.3621831797235036</v>
      </c>
      <c r="R1926" s="23" t="s">
        <v>109</v>
      </c>
      <c r="S1926" s="23" t="s">
        <v>2658</v>
      </c>
    </row>
    <row r="1927" spans="1:19" x14ac:dyDescent="0.25">
      <c r="A1927" s="42">
        <v>45744</v>
      </c>
      <c r="B1927" s="1">
        <v>123005494</v>
      </c>
      <c r="C1927" t="s">
        <v>107</v>
      </c>
      <c r="D1927" s="22">
        <v>520000</v>
      </c>
      <c r="E1927" t="s">
        <v>46</v>
      </c>
      <c r="F1927" s="2">
        <v>210115002</v>
      </c>
      <c r="G1927" s="2" t="s">
        <v>47</v>
      </c>
      <c r="L1927" s="2" t="s">
        <v>3699</v>
      </c>
      <c r="N1927" t="s">
        <v>107</v>
      </c>
      <c r="P1927" s="23">
        <v>69.44</v>
      </c>
      <c r="Q1927" s="4">
        <f t="shared" si="29"/>
        <v>7488.4792626728113</v>
      </c>
      <c r="R1927" s="23" t="s">
        <v>109</v>
      </c>
    </row>
    <row r="1928" spans="1:19" x14ac:dyDescent="0.25">
      <c r="A1928" s="42">
        <v>45744</v>
      </c>
      <c r="B1928" s="1">
        <v>810524080</v>
      </c>
      <c r="C1928" t="s">
        <v>3700</v>
      </c>
      <c r="D1928" s="22">
        <v>-6944</v>
      </c>
      <c r="E1928" t="s">
        <v>35</v>
      </c>
      <c r="F1928" s="2">
        <v>212901001</v>
      </c>
      <c r="G1928" s="2" t="s">
        <v>121</v>
      </c>
      <c r="L1928" s="2" t="s">
        <v>3701</v>
      </c>
      <c r="M1928" t="s">
        <v>67</v>
      </c>
      <c r="N1928" s="48" t="s">
        <v>68</v>
      </c>
      <c r="O1928" s="48"/>
      <c r="P1928" s="23">
        <v>69.44</v>
      </c>
      <c r="Q1928" s="4">
        <f t="shared" si="29"/>
        <v>-100</v>
      </c>
      <c r="R1928" s="23" t="s">
        <v>109</v>
      </c>
    </row>
    <row r="1929" spans="1:19" x14ac:dyDescent="0.25">
      <c r="A1929" s="42">
        <v>45744</v>
      </c>
      <c r="B1929" s="1">
        <v>910524081</v>
      </c>
      <c r="C1929" t="s">
        <v>3702</v>
      </c>
      <c r="D1929" s="22">
        <v>-6944</v>
      </c>
      <c r="E1929" t="s">
        <v>35</v>
      </c>
      <c r="F1929" s="2">
        <v>212901001</v>
      </c>
      <c r="G1929" s="2" t="s">
        <v>121</v>
      </c>
      <c r="L1929" s="2" t="s">
        <v>3703</v>
      </c>
      <c r="M1929" t="s">
        <v>67</v>
      </c>
      <c r="N1929" s="48" t="s">
        <v>68</v>
      </c>
      <c r="O1929" s="48"/>
      <c r="P1929" s="23">
        <v>69.44</v>
      </c>
      <c r="Q1929" s="4">
        <f t="shared" si="29"/>
        <v>-100</v>
      </c>
      <c r="R1929" s="23" t="s">
        <v>109</v>
      </c>
    </row>
    <row r="1930" spans="1:19" x14ac:dyDescent="0.25">
      <c r="A1930" s="42">
        <v>45744</v>
      </c>
      <c r="B1930" s="1">
        <v>910524082</v>
      </c>
      <c r="C1930" t="s">
        <v>3704</v>
      </c>
      <c r="D1930" s="22">
        <v>-6944</v>
      </c>
      <c r="E1930" t="s">
        <v>35</v>
      </c>
      <c r="F1930" s="2">
        <v>212901001</v>
      </c>
      <c r="G1930" s="2" t="s">
        <v>121</v>
      </c>
      <c r="L1930" s="2" t="s">
        <v>3705</v>
      </c>
      <c r="M1930" t="s">
        <v>67</v>
      </c>
      <c r="N1930" s="48" t="s">
        <v>68</v>
      </c>
      <c r="O1930" s="48"/>
      <c r="P1930" s="23">
        <v>69.44</v>
      </c>
      <c r="Q1930" s="4">
        <f t="shared" si="29"/>
        <v>-100</v>
      </c>
      <c r="R1930" s="23" t="s">
        <v>109</v>
      </c>
    </row>
    <row r="1931" spans="1:19" x14ac:dyDescent="0.25">
      <c r="A1931" s="42">
        <v>45744</v>
      </c>
      <c r="B1931" s="1">
        <v>810524079</v>
      </c>
      <c r="C1931" t="s">
        <v>3706</v>
      </c>
      <c r="D1931" s="22">
        <v>-6944</v>
      </c>
      <c r="E1931" t="s">
        <v>35</v>
      </c>
      <c r="F1931" s="2">
        <v>212901001</v>
      </c>
      <c r="G1931" s="2" t="s">
        <v>121</v>
      </c>
      <c r="L1931" s="2" t="s">
        <v>3707</v>
      </c>
      <c r="M1931" t="s">
        <v>67</v>
      </c>
      <c r="N1931" s="48" t="s">
        <v>68</v>
      </c>
      <c r="O1931" s="48"/>
      <c r="P1931" s="23">
        <v>69.44</v>
      </c>
      <c r="Q1931" s="4">
        <f t="shared" ref="Q1931:Q1994" si="30">D1931/P1931</f>
        <v>-100</v>
      </c>
      <c r="R1931" s="23" t="s">
        <v>109</v>
      </c>
    </row>
    <row r="1932" spans="1:19" x14ac:dyDescent="0.25">
      <c r="A1932" s="42">
        <v>45744</v>
      </c>
      <c r="B1932" s="1">
        <v>910524086</v>
      </c>
      <c r="C1932" t="s">
        <v>3708</v>
      </c>
      <c r="D1932" s="22">
        <v>-6944</v>
      </c>
      <c r="E1932" t="s">
        <v>35</v>
      </c>
      <c r="F1932" s="2">
        <v>212901001</v>
      </c>
      <c r="G1932" s="2" t="s">
        <v>121</v>
      </c>
      <c r="L1932" s="2" t="s">
        <v>3709</v>
      </c>
      <c r="M1932" t="s">
        <v>67</v>
      </c>
      <c r="N1932" s="48" t="s">
        <v>68</v>
      </c>
      <c r="O1932" s="48"/>
      <c r="P1932" s="23">
        <v>69.44</v>
      </c>
      <c r="Q1932" s="4">
        <f t="shared" si="30"/>
        <v>-100</v>
      </c>
      <c r="R1932" s="23" t="s">
        <v>109</v>
      </c>
    </row>
    <row r="1933" spans="1:19" x14ac:dyDescent="0.25">
      <c r="A1933" s="42">
        <v>45744</v>
      </c>
      <c r="B1933" s="1">
        <v>910524083</v>
      </c>
      <c r="C1933" t="s">
        <v>3710</v>
      </c>
      <c r="D1933" s="22">
        <v>-6944</v>
      </c>
      <c r="E1933" t="s">
        <v>35</v>
      </c>
      <c r="F1933" s="2">
        <v>212901001</v>
      </c>
      <c r="G1933" s="2" t="s">
        <v>121</v>
      </c>
      <c r="L1933" s="2" t="s">
        <v>3711</v>
      </c>
      <c r="M1933" t="s">
        <v>67</v>
      </c>
      <c r="N1933" s="48" t="s">
        <v>68</v>
      </c>
      <c r="O1933" s="48"/>
      <c r="P1933" s="23">
        <v>69.44</v>
      </c>
      <c r="Q1933" s="4">
        <f t="shared" si="30"/>
        <v>-100</v>
      </c>
      <c r="R1933" s="23" t="s">
        <v>109</v>
      </c>
    </row>
    <row r="1934" spans="1:19" x14ac:dyDescent="0.25">
      <c r="A1934" s="42">
        <v>45744</v>
      </c>
      <c r="B1934" s="1">
        <v>910524085</v>
      </c>
      <c r="C1934" t="s">
        <v>3712</v>
      </c>
      <c r="D1934" s="22">
        <v>-6944</v>
      </c>
      <c r="E1934" t="s">
        <v>35</v>
      </c>
      <c r="F1934" s="2">
        <v>212901001</v>
      </c>
      <c r="G1934" s="2" t="s">
        <v>121</v>
      </c>
      <c r="L1934" s="2" t="s">
        <v>3713</v>
      </c>
      <c r="M1934" t="s">
        <v>67</v>
      </c>
      <c r="N1934" s="48" t="s">
        <v>68</v>
      </c>
      <c r="O1934" s="48"/>
      <c r="P1934" s="23">
        <v>69.44</v>
      </c>
      <c r="Q1934" s="4">
        <f t="shared" si="30"/>
        <v>-100</v>
      </c>
      <c r="R1934" s="23" t="s">
        <v>109</v>
      </c>
    </row>
    <row r="1935" spans="1:19" x14ac:dyDescent="0.25">
      <c r="A1935" s="42">
        <v>45744</v>
      </c>
      <c r="B1935" s="1">
        <v>910524084</v>
      </c>
      <c r="C1935" t="s">
        <v>3714</v>
      </c>
      <c r="D1935" s="22">
        <v>-6944</v>
      </c>
      <c r="E1935" t="s">
        <v>35</v>
      </c>
      <c r="F1935" s="2">
        <v>212901001</v>
      </c>
      <c r="G1935" s="2" t="s">
        <v>121</v>
      </c>
      <c r="L1935" s="2" t="s">
        <v>3715</v>
      </c>
      <c r="M1935" t="s">
        <v>67</v>
      </c>
      <c r="N1935" s="48" t="s">
        <v>68</v>
      </c>
      <c r="O1935" s="48"/>
      <c r="P1935" s="23">
        <v>69.44</v>
      </c>
      <c r="Q1935" s="4">
        <f t="shared" si="30"/>
        <v>-100</v>
      </c>
      <c r="R1935" s="23" t="s">
        <v>109</v>
      </c>
    </row>
    <row r="1936" spans="1:19" x14ac:dyDescent="0.25">
      <c r="A1936" s="42">
        <v>45744</v>
      </c>
      <c r="B1936" s="1">
        <v>910524087</v>
      </c>
      <c r="C1936" t="s">
        <v>3716</v>
      </c>
      <c r="D1936" s="22">
        <v>-6944</v>
      </c>
      <c r="E1936" t="s">
        <v>35</v>
      </c>
      <c r="F1936" s="2">
        <v>212901001</v>
      </c>
      <c r="G1936" s="2" t="s">
        <v>121</v>
      </c>
      <c r="L1936" s="2" t="s">
        <v>3717</v>
      </c>
      <c r="M1936" t="s">
        <v>67</v>
      </c>
      <c r="N1936" s="48" t="s">
        <v>68</v>
      </c>
      <c r="O1936" s="48"/>
      <c r="P1936" s="23">
        <v>69.44</v>
      </c>
      <c r="Q1936" s="4">
        <f t="shared" si="30"/>
        <v>-100</v>
      </c>
      <c r="R1936" s="23" t="s">
        <v>109</v>
      </c>
    </row>
    <row r="1937" spans="1:18" x14ac:dyDescent="0.25">
      <c r="A1937" s="42">
        <v>45744</v>
      </c>
      <c r="B1937" s="1">
        <v>910524089</v>
      </c>
      <c r="C1937" t="s">
        <v>3718</v>
      </c>
      <c r="D1937" s="22">
        <v>-6944</v>
      </c>
      <c r="E1937" t="s">
        <v>35</v>
      </c>
      <c r="F1937" s="2">
        <v>212901001</v>
      </c>
      <c r="G1937" s="2" t="s">
        <v>121</v>
      </c>
      <c r="L1937" s="2" t="s">
        <v>3719</v>
      </c>
      <c r="M1937" t="s">
        <v>67</v>
      </c>
      <c r="N1937" s="48" t="s">
        <v>68</v>
      </c>
      <c r="O1937" s="48"/>
      <c r="P1937" s="23">
        <v>69.44</v>
      </c>
      <c r="Q1937" s="4">
        <f t="shared" si="30"/>
        <v>-100</v>
      </c>
      <c r="R1937" s="23" t="s">
        <v>109</v>
      </c>
    </row>
    <row r="1938" spans="1:18" x14ac:dyDescent="0.25">
      <c r="A1938" s="42">
        <v>45744</v>
      </c>
      <c r="B1938" s="1">
        <v>910524088</v>
      </c>
      <c r="C1938" t="s">
        <v>3720</v>
      </c>
      <c r="D1938" s="22">
        <v>-6944</v>
      </c>
      <c r="E1938" t="s">
        <v>35</v>
      </c>
      <c r="F1938" s="2">
        <v>212901001</v>
      </c>
      <c r="G1938" s="2" t="s">
        <v>121</v>
      </c>
      <c r="L1938" s="2" t="s">
        <v>3721</v>
      </c>
      <c r="M1938" t="s">
        <v>67</v>
      </c>
      <c r="N1938" s="48" t="s">
        <v>68</v>
      </c>
      <c r="O1938" s="48"/>
      <c r="P1938" s="23">
        <v>69.44</v>
      </c>
      <c r="Q1938" s="4">
        <f t="shared" si="30"/>
        <v>-100</v>
      </c>
      <c r="R1938" s="23" t="s">
        <v>109</v>
      </c>
    </row>
    <row r="1939" spans="1:18" x14ac:dyDescent="0.25">
      <c r="A1939" s="42">
        <v>45744</v>
      </c>
      <c r="B1939" s="1">
        <v>10524094</v>
      </c>
      <c r="C1939" t="s">
        <v>3722</v>
      </c>
      <c r="D1939" s="22">
        <v>-6944</v>
      </c>
      <c r="E1939" t="s">
        <v>35</v>
      </c>
      <c r="F1939" s="2">
        <v>212901001</v>
      </c>
      <c r="G1939" s="2" t="s">
        <v>121</v>
      </c>
      <c r="L1939" s="2" t="s">
        <v>3723</v>
      </c>
      <c r="M1939" t="s">
        <v>67</v>
      </c>
      <c r="N1939" s="48" t="s">
        <v>68</v>
      </c>
      <c r="O1939" s="48"/>
      <c r="P1939" s="23">
        <v>69.44</v>
      </c>
      <c r="Q1939" s="4">
        <f t="shared" si="30"/>
        <v>-100</v>
      </c>
      <c r="R1939" s="23" t="s">
        <v>109</v>
      </c>
    </row>
    <row r="1940" spans="1:18" x14ac:dyDescent="0.25">
      <c r="A1940" s="42">
        <v>45744</v>
      </c>
      <c r="B1940" s="1">
        <v>10524096</v>
      </c>
      <c r="C1940" t="s">
        <v>3724</v>
      </c>
      <c r="D1940" s="22">
        <v>-6944</v>
      </c>
      <c r="E1940" t="s">
        <v>35</v>
      </c>
      <c r="F1940" s="2">
        <v>212901001</v>
      </c>
      <c r="G1940" s="2" t="s">
        <v>121</v>
      </c>
      <c r="L1940" s="2" t="s">
        <v>3725</v>
      </c>
      <c r="M1940" t="s">
        <v>67</v>
      </c>
      <c r="N1940" s="48" t="s">
        <v>68</v>
      </c>
      <c r="O1940" s="48"/>
      <c r="P1940" s="23">
        <v>69.44</v>
      </c>
      <c r="Q1940" s="4">
        <f t="shared" si="30"/>
        <v>-100</v>
      </c>
      <c r="R1940" s="23" t="s">
        <v>109</v>
      </c>
    </row>
    <row r="1941" spans="1:18" x14ac:dyDescent="0.25">
      <c r="A1941" s="42">
        <v>45744</v>
      </c>
      <c r="B1941" s="1">
        <v>10524095</v>
      </c>
      <c r="C1941" t="s">
        <v>3726</v>
      </c>
      <c r="D1941" s="22">
        <v>-6944</v>
      </c>
      <c r="E1941" t="s">
        <v>35</v>
      </c>
      <c r="F1941" s="2">
        <v>212901001</v>
      </c>
      <c r="G1941" s="2" t="s">
        <v>121</v>
      </c>
      <c r="L1941" s="2" t="s">
        <v>3727</v>
      </c>
      <c r="M1941" t="s">
        <v>67</v>
      </c>
      <c r="N1941" s="48" t="s">
        <v>68</v>
      </c>
      <c r="O1941" s="48"/>
      <c r="P1941" s="23">
        <v>69.44</v>
      </c>
      <c r="Q1941" s="4">
        <f t="shared" si="30"/>
        <v>-100</v>
      </c>
      <c r="R1941" s="23" t="s">
        <v>109</v>
      </c>
    </row>
    <row r="1942" spans="1:18" x14ac:dyDescent="0.25">
      <c r="A1942" s="42">
        <v>45744</v>
      </c>
      <c r="B1942" s="1">
        <v>910524091</v>
      </c>
      <c r="C1942" t="s">
        <v>3728</v>
      </c>
      <c r="D1942" s="22">
        <v>-6944</v>
      </c>
      <c r="E1942" t="s">
        <v>35</v>
      </c>
      <c r="F1942" s="2">
        <v>212901001</v>
      </c>
      <c r="G1942" s="2" t="s">
        <v>121</v>
      </c>
      <c r="L1942" s="2" t="s">
        <v>3729</v>
      </c>
      <c r="M1942" t="s">
        <v>67</v>
      </c>
      <c r="N1942" s="48" t="s">
        <v>68</v>
      </c>
      <c r="O1942" s="48"/>
      <c r="P1942" s="23">
        <v>69.44</v>
      </c>
      <c r="Q1942" s="4">
        <f t="shared" si="30"/>
        <v>-100</v>
      </c>
      <c r="R1942" s="23" t="s">
        <v>109</v>
      </c>
    </row>
    <row r="1943" spans="1:18" x14ac:dyDescent="0.25">
      <c r="A1943" s="42">
        <v>45744</v>
      </c>
      <c r="B1943" s="1">
        <v>10524093</v>
      </c>
      <c r="C1943" t="s">
        <v>3730</v>
      </c>
      <c r="D1943" s="22">
        <v>-6944</v>
      </c>
      <c r="E1943" t="s">
        <v>35</v>
      </c>
      <c r="F1943" s="2">
        <v>212901001</v>
      </c>
      <c r="G1943" s="2" t="s">
        <v>121</v>
      </c>
      <c r="L1943" s="2" t="s">
        <v>3731</v>
      </c>
      <c r="M1943" t="s">
        <v>67</v>
      </c>
      <c r="N1943" s="48" t="s">
        <v>68</v>
      </c>
      <c r="O1943" s="48"/>
      <c r="P1943" s="23">
        <v>69.44</v>
      </c>
      <c r="Q1943" s="4">
        <f t="shared" si="30"/>
        <v>-100</v>
      </c>
      <c r="R1943" s="23" t="s">
        <v>109</v>
      </c>
    </row>
    <row r="1944" spans="1:18" x14ac:dyDescent="0.25">
      <c r="A1944" s="42">
        <v>45744</v>
      </c>
      <c r="B1944" s="1">
        <v>10524100</v>
      </c>
      <c r="C1944" t="s">
        <v>3732</v>
      </c>
      <c r="D1944" s="22">
        <v>-8332.7999999999993</v>
      </c>
      <c r="E1944" t="s">
        <v>35</v>
      </c>
      <c r="F1944" s="2">
        <v>212901001</v>
      </c>
      <c r="G1944" s="2" t="s">
        <v>121</v>
      </c>
      <c r="L1944" s="2" t="s">
        <v>3733</v>
      </c>
      <c r="M1944" t="s">
        <v>67</v>
      </c>
      <c r="N1944" s="48" t="s">
        <v>68</v>
      </c>
      <c r="O1944" s="48"/>
      <c r="P1944" s="23">
        <v>69.44</v>
      </c>
      <c r="Q1944" s="4">
        <f t="shared" si="30"/>
        <v>-120</v>
      </c>
      <c r="R1944" s="23" t="s">
        <v>109</v>
      </c>
    </row>
    <row r="1945" spans="1:18" x14ac:dyDescent="0.25">
      <c r="A1945" s="42">
        <v>45744</v>
      </c>
      <c r="B1945" s="1">
        <v>10524097</v>
      </c>
      <c r="C1945" t="s">
        <v>3734</v>
      </c>
      <c r="D1945" s="22">
        <v>-13193.6</v>
      </c>
      <c r="E1945" t="s">
        <v>35</v>
      </c>
      <c r="F1945" s="2">
        <v>212901001</v>
      </c>
      <c r="G1945" s="2" t="s">
        <v>121</v>
      </c>
      <c r="L1945" s="2" t="s">
        <v>3735</v>
      </c>
      <c r="M1945" t="s">
        <v>67</v>
      </c>
      <c r="N1945" s="48" t="s">
        <v>68</v>
      </c>
      <c r="O1945" s="48"/>
      <c r="P1945" s="23">
        <v>69.44</v>
      </c>
      <c r="Q1945" s="4">
        <f t="shared" si="30"/>
        <v>-190</v>
      </c>
      <c r="R1945" s="23" t="s">
        <v>109</v>
      </c>
    </row>
    <row r="1946" spans="1:18" x14ac:dyDescent="0.25">
      <c r="A1946" s="42">
        <v>45744</v>
      </c>
      <c r="B1946" s="1">
        <v>10524102</v>
      </c>
      <c r="C1946" t="s">
        <v>3736</v>
      </c>
      <c r="D1946" s="22">
        <v>-8332.7999999999993</v>
      </c>
      <c r="E1946" t="s">
        <v>35</v>
      </c>
      <c r="F1946" s="2">
        <v>212901001</v>
      </c>
      <c r="G1946" s="2" t="s">
        <v>121</v>
      </c>
      <c r="L1946" s="2" t="s">
        <v>3737</v>
      </c>
      <c r="M1946" t="s">
        <v>67</v>
      </c>
      <c r="N1946" s="48" t="s">
        <v>68</v>
      </c>
      <c r="O1946" s="48"/>
      <c r="P1946" s="23">
        <v>69.44</v>
      </c>
      <c r="Q1946" s="4">
        <f t="shared" si="30"/>
        <v>-120</v>
      </c>
      <c r="R1946" s="23" t="s">
        <v>109</v>
      </c>
    </row>
    <row r="1947" spans="1:18" x14ac:dyDescent="0.25">
      <c r="A1947" s="42">
        <v>45744</v>
      </c>
      <c r="B1947" s="1">
        <v>10524099</v>
      </c>
      <c r="C1947" t="s">
        <v>3738</v>
      </c>
      <c r="D1947" s="22">
        <v>-8332.7999999999993</v>
      </c>
      <c r="E1947" t="s">
        <v>35</v>
      </c>
      <c r="F1947" s="2">
        <v>212901001</v>
      </c>
      <c r="G1947" s="2" t="s">
        <v>121</v>
      </c>
      <c r="L1947" s="2" t="s">
        <v>3739</v>
      </c>
      <c r="M1947" t="s">
        <v>67</v>
      </c>
      <c r="N1947" s="48" t="s">
        <v>68</v>
      </c>
      <c r="O1947" s="48"/>
      <c r="P1947" s="23">
        <v>69.44</v>
      </c>
      <c r="Q1947" s="4">
        <f t="shared" si="30"/>
        <v>-120</v>
      </c>
      <c r="R1947" s="23" t="s">
        <v>109</v>
      </c>
    </row>
    <row r="1948" spans="1:18" x14ac:dyDescent="0.25">
      <c r="A1948" s="42">
        <v>45744</v>
      </c>
      <c r="B1948" s="1">
        <v>10524098</v>
      </c>
      <c r="C1948" t="s">
        <v>3740</v>
      </c>
      <c r="D1948" s="22">
        <v>-9721.6</v>
      </c>
      <c r="E1948" t="s">
        <v>35</v>
      </c>
      <c r="F1948" s="2">
        <v>212901001</v>
      </c>
      <c r="G1948" s="2" t="s">
        <v>121</v>
      </c>
      <c r="L1948" s="2" t="s">
        <v>3741</v>
      </c>
      <c r="M1948" t="s">
        <v>67</v>
      </c>
      <c r="N1948" s="48" t="s">
        <v>68</v>
      </c>
      <c r="O1948" s="48"/>
      <c r="P1948" s="23">
        <v>69.44</v>
      </c>
      <c r="Q1948" s="4">
        <f t="shared" si="30"/>
        <v>-140</v>
      </c>
      <c r="R1948" s="23" t="s">
        <v>109</v>
      </c>
    </row>
    <row r="1949" spans="1:18" x14ac:dyDescent="0.25">
      <c r="A1949" s="42">
        <v>45744</v>
      </c>
      <c r="B1949" s="1">
        <v>110524104</v>
      </c>
      <c r="C1949" t="s">
        <v>3742</v>
      </c>
      <c r="D1949" s="22">
        <v>-8332.7999999999993</v>
      </c>
      <c r="E1949" t="s">
        <v>35</v>
      </c>
      <c r="F1949" s="2">
        <v>212901001</v>
      </c>
      <c r="G1949" s="2" t="s">
        <v>121</v>
      </c>
      <c r="L1949" s="2" t="s">
        <v>3743</v>
      </c>
      <c r="M1949" t="s">
        <v>67</v>
      </c>
      <c r="N1949" s="48" t="s">
        <v>68</v>
      </c>
      <c r="O1949" s="48"/>
      <c r="P1949" s="23">
        <v>69.44</v>
      </c>
      <c r="Q1949" s="4">
        <f t="shared" si="30"/>
        <v>-120</v>
      </c>
      <c r="R1949" s="23" t="s">
        <v>109</v>
      </c>
    </row>
    <row r="1950" spans="1:18" x14ac:dyDescent="0.25">
      <c r="A1950" s="42">
        <v>45744</v>
      </c>
      <c r="B1950" s="1">
        <v>10524103</v>
      </c>
      <c r="C1950" t="s">
        <v>3744</v>
      </c>
      <c r="D1950" s="22">
        <v>-8332.7999999999993</v>
      </c>
      <c r="E1950" t="s">
        <v>35</v>
      </c>
      <c r="F1950" s="2">
        <v>212901001</v>
      </c>
      <c r="G1950" s="2" t="s">
        <v>121</v>
      </c>
      <c r="L1950" s="2" t="s">
        <v>3745</v>
      </c>
      <c r="M1950" t="s">
        <v>67</v>
      </c>
      <c r="N1950" s="48" t="s">
        <v>68</v>
      </c>
      <c r="O1950" s="48"/>
      <c r="P1950" s="23">
        <v>69.44</v>
      </c>
      <c r="Q1950" s="4">
        <f t="shared" si="30"/>
        <v>-120</v>
      </c>
      <c r="R1950" s="23" t="s">
        <v>109</v>
      </c>
    </row>
    <row r="1951" spans="1:18" x14ac:dyDescent="0.25">
      <c r="A1951" s="42">
        <v>45744</v>
      </c>
      <c r="B1951" s="1">
        <v>10524101</v>
      </c>
      <c r="C1951" t="s">
        <v>3746</v>
      </c>
      <c r="D1951" s="22">
        <v>-8332.7999999999993</v>
      </c>
      <c r="E1951" t="s">
        <v>35</v>
      </c>
      <c r="F1951" s="2">
        <v>212901001</v>
      </c>
      <c r="G1951" s="2" t="s">
        <v>121</v>
      </c>
      <c r="L1951" s="2" t="s">
        <v>3747</v>
      </c>
      <c r="M1951" t="s">
        <v>67</v>
      </c>
      <c r="N1951" s="48" t="s">
        <v>68</v>
      </c>
      <c r="O1951" s="48"/>
      <c r="P1951" s="23">
        <v>69.44</v>
      </c>
      <c r="Q1951" s="4">
        <f t="shared" si="30"/>
        <v>-120</v>
      </c>
      <c r="R1951" s="23" t="s">
        <v>109</v>
      </c>
    </row>
    <row r="1952" spans="1:18" x14ac:dyDescent="0.25">
      <c r="A1952" s="42">
        <v>45744</v>
      </c>
      <c r="B1952" s="1">
        <v>110524107</v>
      </c>
      <c r="C1952" t="s">
        <v>3748</v>
      </c>
      <c r="D1952" s="22">
        <v>-6249.6</v>
      </c>
      <c r="E1952" t="s">
        <v>35</v>
      </c>
      <c r="F1952" s="2">
        <v>212901001</v>
      </c>
      <c r="G1952" s="2" t="s">
        <v>121</v>
      </c>
      <c r="L1952" s="2" t="s">
        <v>3749</v>
      </c>
      <c r="M1952" t="s">
        <v>67</v>
      </c>
      <c r="N1952" s="48" t="s">
        <v>68</v>
      </c>
      <c r="O1952" s="48"/>
      <c r="P1952" s="23">
        <v>69.44</v>
      </c>
      <c r="Q1952" s="4">
        <f t="shared" si="30"/>
        <v>-90.000000000000014</v>
      </c>
      <c r="R1952" s="23" t="s">
        <v>109</v>
      </c>
    </row>
    <row r="1953" spans="1:18" x14ac:dyDescent="0.25">
      <c r="A1953" s="42">
        <v>45744</v>
      </c>
      <c r="B1953" s="1">
        <v>110524110</v>
      </c>
      <c r="C1953" t="s">
        <v>3750</v>
      </c>
      <c r="D1953" s="22">
        <v>-6249.6</v>
      </c>
      <c r="E1953" t="s">
        <v>35</v>
      </c>
      <c r="F1953" s="2">
        <v>212901001</v>
      </c>
      <c r="G1953" s="2" t="s">
        <v>121</v>
      </c>
      <c r="L1953" s="2" t="s">
        <v>3751</v>
      </c>
      <c r="M1953" t="s">
        <v>67</v>
      </c>
      <c r="N1953" s="48" t="s">
        <v>68</v>
      </c>
      <c r="O1953" s="48"/>
      <c r="P1953" s="23">
        <v>69.44</v>
      </c>
      <c r="Q1953" s="4">
        <f t="shared" si="30"/>
        <v>-90.000000000000014</v>
      </c>
      <c r="R1953" s="23" t="s">
        <v>109</v>
      </c>
    </row>
    <row r="1954" spans="1:18" x14ac:dyDescent="0.25">
      <c r="A1954" s="42">
        <v>45744</v>
      </c>
      <c r="B1954" s="1">
        <v>110524111</v>
      </c>
      <c r="C1954" t="s">
        <v>3752</v>
      </c>
      <c r="D1954" s="22">
        <v>-6249.6</v>
      </c>
      <c r="E1954" t="s">
        <v>35</v>
      </c>
      <c r="F1954" s="2">
        <v>212901001</v>
      </c>
      <c r="G1954" s="2" t="s">
        <v>121</v>
      </c>
      <c r="L1954" s="2" t="s">
        <v>3753</v>
      </c>
      <c r="M1954" t="s">
        <v>67</v>
      </c>
      <c r="N1954" s="48" t="s">
        <v>68</v>
      </c>
      <c r="O1954" s="48"/>
      <c r="P1954" s="23">
        <v>69.44</v>
      </c>
      <c r="Q1954" s="4">
        <f t="shared" si="30"/>
        <v>-90.000000000000014</v>
      </c>
      <c r="R1954" s="23" t="s">
        <v>109</v>
      </c>
    </row>
    <row r="1955" spans="1:18" x14ac:dyDescent="0.25">
      <c r="A1955" s="42">
        <v>45744</v>
      </c>
      <c r="B1955" s="1">
        <v>110524106</v>
      </c>
      <c r="C1955" t="s">
        <v>3754</v>
      </c>
      <c r="D1955" s="22">
        <v>-5694.08</v>
      </c>
      <c r="E1955" t="s">
        <v>35</v>
      </c>
      <c r="F1955" s="2">
        <v>212901001</v>
      </c>
      <c r="G1955" s="2" t="s">
        <v>121</v>
      </c>
      <c r="L1955" s="2" t="s">
        <v>3755</v>
      </c>
      <c r="M1955" t="s">
        <v>67</v>
      </c>
      <c r="N1955" s="48" t="s">
        <v>68</v>
      </c>
      <c r="O1955" s="48"/>
      <c r="P1955" s="23">
        <v>69.44</v>
      </c>
      <c r="Q1955" s="4">
        <f t="shared" si="30"/>
        <v>-82</v>
      </c>
      <c r="R1955" s="23" t="s">
        <v>109</v>
      </c>
    </row>
    <row r="1956" spans="1:18" x14ac:dyDescent="0.25">
      <c r="A1956" s="42">
        <v>45744</v>
      </c>
      <c r="B1956" s="1">
        <v>110524108</v>
      </c>
      <c r="C1956" t="s">
        <v>3756</v>
      </c>
      <c r="D1956" s="22">
        <v>-6249.6</v>
      </c>
      <c r="E1956" t="s">
        <v>35</v>
      </c>
      <c r="F1956" s="2">
        <v>212901001</v>
      </c>
      <c r="G1956" s="2" t="s">
        <v>121</v>
      </c>
      <c r="L1956" s="2" t="s">
        <v>3757</v>
      </c>
      <c r="M1956" t="s">
        <v>67</v>
      </c>
      <c r="N1956" s="48" t="s">
        <v>68</v>
      </c>
      <c r="O1956" s="48"/>
      <c r="P1956" s="23">
        <v>69.44</v>
      </c>
      <c r="Q1956" s="4">
        <f t="shared" si="30"/>
        <v>-90.000000000000014</v>
      </c>
      <c r="R1956" s="23" t="s">
        <v>109</v>
      </c>
    </row>
    <row r="1957" spans="1:18" x14ac:dyDescent="0.25">
      <c r="A1957" s="42">
        <v>45744</v>
      </c>
      <c r="B1957" s="1">
        <v>110524109</v>
      </c>
      <c r="C1957" t="s">
        <v>3758</v>
      </c>
      <c r="D1957" s="22">
        <v>-6249.6</v>
      </c>
      <c r="E1957" t="s">
        <v>35</v>
      </c>
      <c r="F1957" s="2">
        <v>212901001</v>
      </c>
      <c r="G1957" s="2" t="s">
        <v>121</v>
      </c>
      <c r="L1957" s="2" t="s">
        <v>3759</v>
      </c>
      <c r="M1957" t="s">
        <v>67</v>
      </c>
      <c r="N1957" s="48" t="s">
        <v>68</v>
      </c>
      <c r="O1957" s="48"/>
      <c r="P1957" s="23">
        <v>69.44</v>
      </c>
      <c r="Q1957" s="4">
        <f t="shared" si="30"/>
        <v>-90.000000000000014</v>
      </c>
      <c r="R1957" s="23" t="s">
        <v>109</v>
      </c>
    </row>
    <row r="1958" spans="1:18" x14ac:dyDescent="0.25">
      <c r="A1958" s="42">
        <v>45744</v>
      </c>
      <c r="B1958" s="1">
        <v>110524114</v>
      </c>
      <c r="C1958" t="s">
        <v>3760</v>
      </c>
      <c r="D1958" s="22">
        <v>-5555.2</v>
      </c>
      <c r="E1958" t="s">
        <v>35</v>
      </c>
      <c r="F1958" s="2">
        <v>212901001</v>
      </c>
      <c r="G1958" s="2" t="s">
        <v>121</v>
      </c>
      <c r="L1958" s="2" t="s">
        <v>3761</v>
      </c>
      <c r="M1958" t="s">
        <v>67</v>
      </c>
      <c r="N1958" s="48" t="s">
        <v>68</v>
      </c>
      <c r="O1958" s="48"/>
      <c r="P1958" s="23">
        <v>69.44</v>
      </c>
      <c r="Q1958" s="4">
        <f t="shared" si="30"/>
        <v>-80</v>
      </c>
      <c r="R1958" s="23" t="s">
        <v>109</v>
      </c>
    </row>
    <row r="1959" spans="1:18" x14ac:dyDescent="0.25">
      <c r="A1959" s="42">
        <v>45744</v>
      </c>
      <c r="B1959" s="1">
        <v>110524113</v>
      </c>
      <c r="C1959" t="s">
        <v>3762</v>
      </c>
      <c r="D1959" s="22">
        <v>-5555.2</v>
      </c>
      <c r="E1959" t="s">
        <v>35</v>
      </c>
      <c r="F1959" s="2">
        <v>212901001</v>
      </c>
      <c r="G1959" s="2" t="s">
        <v>121</v>
      </c>
      <c r="L1959" s="2" t="s">
        <v>3763</v>
      </c>
      <c r="M1959" t="s">
        <v>67</v>
      </c>
      <c r="N1959" s="48" t="s">
        <v>68</v>
      </c>
      <c r="O1959" s="48"/>
      <c r="P1959" s="23">
        <v>69.44</v>
      </c>
      <c r="Q1959" s="4">
        <f t="shared" si="30"/>
        <v>-80</v>
      </c>
      <c r="R1959" s="23" t="s">
        <v>109</v>
      </c>
    </row>
    <row r="1960" spans="1:18" x14ac:dyDescent="0.25">
      <c r="A1960" s="42">
        <v>45744</v>
      </c>
      <c r="B1960" s="1">
        <v>110524112</v>
      </c>
      <c r="C1960" t="s">
        <v>3764</v>
      </c>
      <c r="D1960" s="22">
        <v>-5555.2</v>
      </c>
      <c r="E1960" t="s">
        <v>35</v>
      </c>
      <c r="F1960" s="2">
        <v>212901001</v>
      </c>
      <c r="G1960" s="2" t="s">
        <v>121</v>
      </c>
      <c r="L1960" s="2" t="s">
        <v>3765</v>
      </c>
      <c r="M1960" t="s">
        <v>67</v>
      </c>
      <c r="N1960" s="48" t="s">
        <v>68</v>
      </c>
      <c r="O1960" s="48"/>
      <c r="P1960" s="23">
        <v>69.44</v>
      </c>
      <c r="Q1960" s="4">
        <f t="shared" si="30"/>
        <v>-80</v>
      </c>
      <c r="R1960" s="23" t="s">
        <v>109</v>
      </c>
    </row>
    <row r="1961" spans="1:18" x14ac:dyDescent="0.25">
      <c r="A1961" s="42">
        <v>45744</v>
      </c>
      <c r="B1961" s="1">
        <v>210524121</v>
      </c>
      <c r="C1961" t="s">
        <v>3766</v>
      </c>
      <c r="D1961" s="22">
        <v>-13193.6</v>
      </c>
      <c r="E1961" t="s">
        <v>35</v>
      </c>
      <c r="F1961" s="2">
        <v>212901001</v>
      </c>
      <c r="G1961" s="2" t="s">
        <v>121</v>
      </c>
      <c r="L1961" s="2" t="s">
        <v>3767</v>
      </c>
      <c r="M1961" t="s">
        <v>67</v>
      </c>
      <c r="N1961" s="48" t="s">
        <v>68</v>
      </c>
      <c r="O1961" s="48"/>
      <c r="P1961" s="23">
        <v>69.44</v>
      </c>
      <c r="Q1961" s="4">
        <f t="shared" si="30"/>
        <v>-190</v>
      </c>
      <c r="R1961" s="23" t="s">
        <v>109</v>
      </c>
    </row>
    <row r="1962" spans="1:18" x14ac:dyDescent="0.25">
      <c r="A1962" s="42">
        <v>45744</v>
      </c>
      <c r="B1962" s="1">
        <v>210524116</v>
      </c>
      <c r="C1962" t="s">
        <v>3768</v>
      </c>
      <c r="D1962" s="22">
        <v>-5555.2</v>
      </c>
      <c r="E1962" t="s">
        <v>35</v>
      </c>
      <c r="F1962" s="2">
        <v>212901001</v>
      </c>
      <c r="G1962" s="2" t="s">
        <v>121</v>
      </c>
      <c r="L1962" s="2" t="s">
        <v>3769</v>
      </c>
      <c r="M1962" t="s">
        <v>67</v>
      </c>
      <c r="N1962" s="48" t="s">
        <v>68</v>
      </c>
      <c r="O1962" s="48"/>
      <c r="P1962" s="23">
        <v>69.44</v>
      </c>
      <c r="Q1962" s="4">
        <f t="shared" si="30"/>
        <v>-80</v>
      </c>
      <c r="R1962" s="23" t="s">
        <v>109</v>
      </c>
    </row>
    <row r="1963" spans="1:18" x14ac:dyDescent="0.25">
      <c r="A1963" s="42">
        <v>45744</v>
      </c>
      <c r="B1963" s="1">
        <v>210524119</v>
      </c>
      <c r="C1963" t="s">
        <v>3770</v>
      </c>
      <c r="D1963" s="22">
        <v>-6944</v>
      </c>
      <c r="E1963" t="s">
        <v>35</v>
      </c>
      <c r="F1963" s="2">
        <v>212901001</v>
      </c>
      <c r="G1963" s="2" t="s">
        <v>121</v>
      </c>
      <c r="L1963" s="2" t="s">
        <v>3771</v>
      </c>
      <c r="M1963" t="s">
        <v>67</v>
      </c>
      <c r="N1963" s="48" t="s">
        <v>68</v>
      </c>
      <c r="O1963" s="48"/>
      <c r="P1963" s="23">
        <v>69.44</v>
      </c>
      <c r="Q1963" s="4">
        <f t="shared" si="30"/>
        <v>-100</v>
      </c>
      <c r="R1963" s="23" t="s">
        <v>109</v>
      </c>
    </row>
    <row r="1964" spans="1:18" x14ac:dyDescent="0.25">
      <c r="A1964" s="42">
        <v>45744</v>
      </c>
      <c r="B1964" s="1">
        <v>210524117</v>
      </c>
      <c r="C1964" t="s">
        <v>3772</v>
      </c>
      <c r="D1964" s="22">
        <v>-5555.2</v>
      </c>
      <c r="E1964" t="s">
        <v>35</v>
      </c>
      <c r="F1964" s="2">
        <v>212901001</v>
      </c>
      <c r="G1964" s="2" t="s">
        <v>121</v>
      </c>
      <c r="L1964" s="2" t="s">
        <v>3773</v>
      </c>
      <c r="M1964" t="s">
        <v>67</v>
      </c>
      <c r="N1964" s="48" t="s">
        <v>68</v>
      </c>
      <c r="O1964" s="48"/>
      <c r="P1964" s="23">
        <v>69.44</v>
      </c>
      <c r="Q1964" s="4">
        <f t="shared" si="30"/>
        <v>-80</v>
      </c>
      <c r="R1964" s="23" t="s">
        <v>109</v>
      </c>
    </row>
    <row r="1965" spans="1:18" x14ac:dyDescent="0.25">
      <c r="A1965" s="42">
        <v>45744</v>
      </c>
      <c r="B1965" s="1">
        <v>210524120</v>
      </c>
      <c r="C1965" t="s">
        <v>3774</v>
      </c>
      <c r="D1965" s="22">
        <v>-9721.6</v>
      </c>
      <c r="E1965" t="s">
        <v>35</v>
      </c>
      <c r="F1965" s="2">
        <v>212901001</v>
      </c>
      <c r="G1965" s="2" t="s">
        <v>121</v>
      </c>
      <c r="L1965" s="2" t="s">
        <v>3775</v>
      </c>
      <c r="M1965" t="s">
        <v>67</v>
      </c>
      <c r="N1965" s="48" t="s">
        <v>68</v>
      </c>
      <c r="O1965" s="48"/>
      <c r="P1965" s="23">
        <v>69.44</v>
      </c>
      <c r="Q1965" s="4">
        <f t="shared" si="30"/>
        <v>-140</v>
      </c>
      <c r="R1965" s="23" t="s">
        <v>109</v>
      </c>
    </row>
    <row r="1966" spans="1:18" x14ac:dyDescent="0.25">
      <c r="A1966" s="42">
        <v>45744</v>
      </c>
      <c r="B1966" s="1">
        <v>210524118</v>
      </c>
      <c r="C1966" t="s">
        <v>3776</v>
      </c>
      <c r="D1966" s="22">
        <v>-5555.2</v>
      </c>
      <c r="E1966" t="s">
        <v>35</v>
      </c>
      <c r="F1966" s="2">
        <v>212901001</v>
      </c>
      <c r="G1966" s="2" t="s">
        <v>121</v>
      </c>
      <c r="L1966" s="2" t="s">
        <v>3777</v>
      </c>
      <c r="M1966" t="s">
        <v>67</v>
      </c>
      <c r="N1966" s="48" t="s">
        <v>68</v>
      </c>
      <c r="O1966" s="48"/>
      <c r="P1966" s="23">
        <v>69.44</v>
      </c>
      <c r="Q1966" s="4">
        <f t="shared" si="30"/>
        <v>-80</v>
      </c>
      <c r="R1966" s="23" t="s">
        <v>109</v>
      </c>
    </row>
    <row r="1967" spans="1:18" x14ac:dyDescent="0.25">
      <c r="A1967" s="42">
        <v>45744</v>
      </c>
      <c r="B1967" s="1">
        <v>210524115</v>
      </c>
      <c r="C1967" t="s">
        <v>3778</v>
      </c>
      <c r="D1967" s="22">
        <v>-5555.2</v>
      </c>
      <c r="E1967" t="s">
        <v>35</v>
      </c>
      <c r="F1967" s="2">
        <v>212901001</v>
      </c>
      <c r="G1967" s="2" t="s">
        <v>121</v>
      </c>
      <c r="L1967" s="2" t="s">
        <v>3779</v>
      </c>
      <c r="M1967" t="s">
        <v>67</v>
      </c>
      <c r="N1967" s="48" t="s">
        <v>68</v>
      </c>
      <c r="O1967" s="48"/>
      <c r="P1967" s="23">
        <v>69.44</v>
      </c>
      <c r="Q1967" s="4">
        <f t="shared" si="30"/>
        <v>-80</v>
      </c>
      <c r="R1967" s="23" t="s">
        <v>109</v>
      </c>
    </row>
    <row r="1968" spans="1:18" x14ac:dyDescent="0.25">
      <c r="A1968" s="42">
        <v>45744</v>
      </c>
      <c r="B1968" s="1">
        <v>210524126</v>
      </c>
      <c r="C1968" t="s">
        <v>3780</v>
      </c>
      <c r="D1968" s="22">
        <v>-9721.6</v>
      </c>
      <c r="E1968" t="s">
        <v>35</v>
      </c>
      <c r="F1968" s="2">
        <v>212901001</v>
      </c>
      <c r="G1968" s="2" t="s">
        <v>121</v>
      </c>
      <c r="L1968" s="2" t="s">
        <v>3781</v>
      </c>
      <c r="M1968" t="s">
        <v>67</v>
      </c>
      <c r="N1968" s="48" t="s">
        <v>68</v>
      </c>
      <c r="O1968" s="48"/>
      <c r="P1968" s="23">
        <v>69.44</v>
      </c>
      <c r="Q1968" s="4">
        <f t="shared" si="30"/>
        <v>-140</v>
      </c>
      <c r="R1968" s="23" t="s">
        <v>109</v>
      </c>
    </row>
    <row r="1969" spans="1:18" x14ac:dyDescent="0.25">
      <c r="A1969" s="42">
        <v>45744</v>
      </c>
      <c r="B1969" s="1">
        <v>210524123</v>
      </c>
      <c r="C1969" t="s">
        <v>3782</v>
      </c>
      <c r="D1969" s="22">
        <v>-4860.8</v>
      </c>
      <c r="E1969" t="s">
        <v>35</v>
      </c>
      <c r="F1969" s="2">
        <v>212901001</v>
      </c>
      <c r="G1969" s="2" t="s">
        <v>121</v>
      </c>
      <c r="L1969" s="2" t="s">
        <v>3783</v>
      </c>
      <c r="M1969" t="s">
        <v>67</v>
      </c>
      <c r="N1969" s="48" t="s">
        <v>68</v>
      </c>
      <c r="O1969" s="48"/>
      <c r="P1969" s="23">
        <v>69.44</v>
      </c>
      <c r="Q1969" s="4">
        <f t="shared" si="30"/>
        <v>-70</v>
      </c>
      <c r="R1969" s="23" t="s">
        <v>109</v>
      </c>
    </row>
    <row r="1970" spans="1:18" x14ac:dyDescent="0.25">
      <c r="A1970" s="42">
        <v>45744</v>
      </c>
      <c r="B1970" s="1">
        <v>310524128</v>
      </c>
      <c r="C1970" t="s">
        <v>3784</v>
      </c>
      <c r="D1970" s="22">
        <v>-6319.04</v>
      </c>
      <c r="E1970" t="s">
        <v>35</v>
      </c>
      <c r="F1970" s="2">
        <v>212901001</v>
      </c>
      <c r="G1970" s="2" t="s">
        <v>121</v>
      </c>
      <c r="L1970" s="2" t="s">
        <v>3785</v>
      </c>
      <c r="M1970" t="s">
        <v>67</v>
      </c>
      <c r="N1970" s="48" t="s">
        <v>68</v>
      </c>
      <c r="O1970" s="48"/>
      <c r="P1970" s="23">
        <v>69.44</v>
      </c>
      <c r="Q1970" s="4">
        <f t="shared" si="30"/>
        <v>-91</v>
      </c>
      <c r="R1970" s="23" t="s">
        <v>109</v>
      </c>
    </row>
    <row r="1971" spans="1:18" x14ac:dyDescent="0.25">
      <c r="A1971" s="42">
        <v>45744</v>
      </c>
      <c r="B1971" s="1">
        <v>210524124</v>
      </c>
      <c r="C1971" t="s">
        <v>3786</v>
      </c>
      <c r="D1971" s="22">
        <v>-10416</v>
      </c>
      <c r="E1971" t="s">
        <v>35</v>
      </c>
      <c r="F1971" s="2">
        <v>212901001</v>
      </c>
      <c r="G1971" s="2" t="s">
        <v>121</v>
      </c>
      <c r="L1971" s="2" t="s">
        <v>3787</v>
      </c>
      <c r="M1971" t="s">
        <v>67</v>
      </c>
      <c r="N1971" s="48" t="s">
        <v>68</v>
      </c>
      <c r="O1971" s="48"/>
      <c r="P1971" s="23">
        <v>69.44</v>
      </c>
      <c r="Q1971" s="4">
        <f t="shared" si="30"/>
        <v>-150</v>
      </c>
      <c r="R1971" s="23" t="s">
        <v>109</v>
      </c>
    </row>
    <row r="1972" spans="1:18" x14ac:dyDescent="0.25">
      <c r="A1972" s="42">
        <v>45744</v>
      </c>
      <c r="B1972" s="1">
        <v>210524125</v>
      </c>
      <c r="C1972" t="s">
        <v>3788</v>
      </c>
      <c r="D1972" s="22">
        <v>-8332.7999999999993</v>
      </c>
      <c r="E1972" t="s">
        <v>35</v>
      </c>
      <c r="F1972" s="2">
        <v>212901001</v>
      </c>
      <c r="G1972" s="2" t="s">
        <v>121</v>
      </c>
      <c r="L1972" s="2" t="s">
        <v>3789</v>
      </c>
      <c r="M1972" t="s">
        <v>67</v>
      </c>
      <c r="N1972" s="48" t="s">
        <v>68</v>
      </c>
      <c r="O1972" s="48"/>
      <c r="P1972" s="23">
        <v>69.44</v>
      </c>
      <c r="Q1972" s="4">
        <f t="shared" si="30"/>
        <v>-120</v>
      </c>
      <c r="R1972" s="23" t="s">
        <v>109</v>
      </c>
    </row>
    <row r="1973" spans="1:18" x14ac:dyDescent="0.25">
      <c r="A1973" s="42">
        <v>45744</v>
      </c>
      <c r="B1973" s="1">
        <v>310524130</v>
      </c>
      <c r="C1973" t="s">
        <v>3790</v>
      </c>
      <c r="D1973" s="22">
        <v>-7638.4</v>
      </c>
      <c r="E1973" t="s">
        <v>35</v>
      </c>
      <c r="F1973" s="2">
        <v>212901001</v>
      </c>
      <c r="G1973" s="2" t="s">
        <v>121</v>
      </c>
      <c r="L1973" s="2" t="s">
        <v>3791</v>
      </c>
      <c r="M1973" t="s">
        <v>67</v>
      </c>
      <c r="N1973" s="48" t="s">
        <v>68</v>
      </c>
      <c r="O1973" s="48"/>
      <c r="P1973" s="23">
        <v>69.44</v>
      </c>
      <c r="Q1973" s="4">
        <f t="shared" si="30"/>
        <v>-110</v>
      </c>
      <c r="R1973" s="23" t="s">
        <v>109</v>
      </c>
    </row>
    <row r="1974" spans="1:18" x14ac:dyDescent="0.25">
      <c r="A1974" s="42">
        <v>45744</v>
      </c>
      <c r="B1974" s="1">
        <v>310524129</v>
      </c>
      <c r="C1974" t="s">
        <v>3792</v>
      </c>
      <c r="D1974" s="22">
        <v>-7638.4</v>
      </c>
      <c r="E1974" t="s">
        <v>35</v>
      </c>
      <c r="F1974" s="2">
        <v>212901001</v>
      </c>
      <c r="G1974" s="2" t="s">
        <v>121</v>
      </c>
      <c r="L1974" s="2" t="s">
        <v>3793</v>
      </c>
      <c r="M1974" t="s">
        <v>67</v>
      </c>
      <c r="N1974" s="48" t="s">
        <v>68</v>
      </c>
      <c r="O1974" s="48"/>
      <c r="P1974" s="23">
        <v>69.44</v>
      </c>
      <c r="Q1974" s="4">
        <f t="shared" si="30"/>
        <v>-110</v>
      </c>
      <c r="R1974" s="23" t="s">
        <v>109</v>
      </c>
    </row>
    <row r="1975" spans="1:18" x14ac:dyDescent="0.25">
      <c r="A1975" s="42">
        <v>45744</v>
      </c>
      <c r="B1975" s="1">
        <v>310524133</v>
      </c>
      <c r="C1975" t="s">
        <v>3794</v>
      </c>
      <c r="D1975" s="22">
        <v>-7638.4</v>
      </c>
      <c r="E1975" t="s">
        <v>35</v>
      </c>
      <c r="F1975" s="2">
        <v>212901001</v>
      </c>
      <c r="G1975" s="2" t="s">
        <v>121</v>
      </c>
      <c r="L1975" s="2" t="s">
        <v>3795</v>
      </c>
      <c r="M1975" t="s">
        <v>67</v>
      </c>
      <c r="N1975" s="48" t="s">
        <v>68</v>
      </c>
      <c r="O1975" s="48"/>
      <c r="P1975" s="23">
        <v>69.44</v>
      </c>
      <c r="Q1975" s="4">
        <f t="shared" si="30"/>
        <v>-110</v>
      </c>
      <c r="R1975" s="23" t="s">
        <v>109</v>
      </c>
    </row>
    <row r="1976" spans="1:18" x14ac:dyDescent="0.25">
      <c r="A1976" s="42">
        <v>45744</v>
      </c>
      <c r="B1976" s="1">
        <v>310524138</v>
      </c>
      <c r="C1976" t="s">
        <v>3796</v>
      </c>
      <c r="D1976" s="22">
        <v>-6249.6</v>
      </c>
      <c r="E1976" t="s">
        <v>35</v>
      </c>
      <c r="F1976" s="2">
        <v>212901001</v>
      </c>
      <c r="G1976" s="2" t="s">
        <v>121</v>
      </c>
      <c r="L1976" s="2" t="s">
        <v>3797</v>
      </c>
      <c r="M1976" t="s">
        <v>67</v>
      </c>
      <c r="N1976" s="48" t="s">
        <v>68</v>
      </c>
      <c r="O1976" s="48"/>
      <c r="P1976" s="23">
        <v>69.44</v>
      </c>
      <c r="Q1976" s="4">
        <f t="shared" si="30"/>
        <v>-90.000000000000014</v>
      </c>
      <c r="R1976" s="23" t="s">
        <v>109</v>
      </c>
    </row>
    <row r="1977" spans="1:18" x14ac:dyDescent="0.25">
      <c r="A1977" s="42">
        <v>45744</v>
      </c>
      <c r="B1977" s="1">
        <v>310524134</v>
      </c>
      <c r="C1977" t="s">
        <v>3798</v>
      </c>
      <c r="D1977" s="22">
        <v>-6249.6</v>
      </c>
      <c r="E1977" t="s">
        <v>35</v>
      </c>
      <c r="F1977" s="2">
        <v>212901001</v>
      </c>
      <c r="G1977" s="2" t="s">
        <v>121</v>
      </c>
      <c r="L1977" s="2" t="s">
        <v>3799</v>
      </c>
      <c r="M1977" t="s">
        <v>67</v>
      </c>
      <c r="N1977" s="48" t="s">
        <v>68</v>
      </c>
      <c r="O1977" s="48"/>
      <c r="P1977" s="23">
        <v>69.44</v>
      </c>
      <c r="Q1977" s="4">
        <f t="shared" si="30"/>
        <v>-90.000000000000014</v>
      </c>
      <c r="R1977" s="23" t="s">
        <v>109</v>
      </c>
    </row>
    <row r="1978" spans="1:18" x14ac:dyDescent="0.25">
      <c r="A1978" s="42">
        <v>45744</v>
      </c>
      <c r="B1978" s="1">
        <v>310524135</v>
      </c>
      <c r="C1978" t="s">
        <v>3800</v>
      </c>
      <c r="D1978" s="22">
        <v>-6249.6</v>
      </c>
      <c r="E1978" t="s">
        <v>35</v>
      </c>
      <c r="F1978" s="2">
        <v>212901001</v>
      </c>
      <c r="G1978" s="2" t="s">
        <v>121</v>
      </c>
      <c r="L1978" s="2" t="s">
        <v>3801</v>
      </c>
      <c r="M1978" t="s">
        <v>67</v>
      </c>
      <c r="N1978" s="48" t="s">
        <v>68</v>
      </c>
      <c r="O1978" s="48"/>
      <c r="P1978" s="23">
        <v>69.44</v>
      </c>
      <c r="Q1978" s="4">
        <f t="shared" si="30"/>
        <v>-90.000000000000014</v>
      </c>
      <c r="R1978" s="23" t="s">
        <v>109</v>
      </c>
    </row>
    <row r="1979" spans="1:18" x14ac:dyDescent="0.25">
      <c r="A1979" s="42">
        <v>45744</v>
      </c>
      <c r="B1979" s="1">
        <v>410524143</v>
      </c>
      <c r="C1979" t="s">
        <v>3802</v>
      </c>
      <c r="D1979" s="22">
        <v>-6249.6</v>
      </c>
      <c r="E1979" t="s">
        <v>35</v>
      </c>
      <c r="F1979" s="2">
        <v>212901001</v>
      </c>
      <c r="G1979" s="2" t="s">
        <v>121</v>
      </c>
      <c r="L1979" s="2" t="s">
        <v>3803</v>
      </c>
      <c r="M1979" t="s">
        <v>67</v>
      </c>
      <c r="N1979" s="48" t="s">
        <v>68</v>
      </c>
      <c r="O1979" s="48"/>
      <c r="P1979" s="23">
        <v>69.44</v>
      </c>
      <c r="Q1979" s="4">
        <f t="shared" si="30"/>
        <v>-90.000000000000014</v>
      </c>
      <c r="R1979" s="23" t="s">
        <v>109</v>
      </c>
    </row>
    <row r="1980" spans="1:18" x14ac:dyDescent="0.25">
      <c r="A1980" s="42">
        <v>45744</v>
      </c>
      <c r="B1980" s="1">
        <v>410524141</v>
      </c>
      <c r="C1980" t="s">
        <v>3804</v>
      </c>
      <c r="D1980" s="22">
        <v>-6249.6</v>
      </c>
      <c r="E1980" t="s">
        <v>35</v>
      </c>
      <c r="F1980" s="2">
        <v>212901001</v>
      </c>
      <c r="G1980" s="2" t="s">
        <v>121</v>
      </c>
      <c r="L1980" s="2" t="s">
        <v>3805</v>
      </c>
      <c r="M1980" t="s">
        <v>67</v>
      </c>
      <c r="N1980" s="48" t="s">
        <v>68</v>
      </c>
      <c r="O1980" s="48"/>
      <c r="P1980" s="23">
        <v>69.44</v>
      </c>
      <c r="Q1980" s="4">
        <f t="shared" si="30"/>
        <v>-90.000000000000014</v>
      </c>
      <c r="R1980" s="23" t="s">
        <v>109</v>
      </c>
    </row>
    <row r="1981" spans="1:18" x14ac:dyDescent="0.25">
      <c r="A1981" s="42">
        <v>45744</v>
      </c>
      <c r="B1981" s="1">
        <v>310524139</v>
      </c>
      <c r="C1981" t="s">
        <v>3796</v>
      </c>
      <c r="D1981" s="22">
        <v>-6249.6</v>
      </c>
      <c r="E1981" t="s">
        <v>35</v>
      </c>
      <c r="F1981" s="2">
        <v>212901001</v>
      </c>
      <c r="G1981" s="2" t="s">
        <v>121</v>
      </c>
      <c r="L1981" s="2" t="s">
        <v>3806</v>
      </c>
      <c r="M1981" t="s">
        <v>67</v>
      </c>
      <c r="N1981" s="48" t="s">
        <v>68</v>
      </c>
      <c r="O1981" s="48"/>
      <c r="P1981" s="23">
        <v>69.44</v>
      </c>
      <c r="Q1981" s="4">
        <f t="shared" si="30"/>
        <v>-90.000000000000014</v>
      </c>
      <c r="R1981" s="23" t="s">
        <v>109</v>
      </c>
    </row>
    <row r="1982" spans="1:18" x14ac:dyDescent="0.25">
      <c r="A1982" s="42">
        <v>45744</v>
      </c>
      <c r="B1982" s="1">
        <v>410524142</v>
      </c>
      <c r="C1982" t="s">
        <v>3807</v>
      </c>
      <c r="D1982" s="22">
        <v>-6249.6</v>
      </c>
      <c r="E1982" t="s">
        <v>35</v>
      </c>
      <c r="F1982" s="2">
        <v>212901001</v>
      </c>
      <c r="G1982" s="2" t="s">
        <v>121</v>
      </c>
      <c r="L1982" s="2" t="s">
        <v>3808</v>
      </c>
      <c r="M1982" t="s">
        <v>67</v>
      </c>
      <c r="N1982" s="48" t="s">
        <v>68</v>
      </c>
      <c r="O1982" s="48"/>
      <c r="P1982" s="23">
        <v>69.44</v>
      </c>
      <c r="Q1982" s="4">
        <f t="shared" si="30"/>
        <v>-90.000000000000014</v>
      </c>
      <c r="R1982" s="23" t="s">
        <v>109</v>
      </c>
    </row>
    <row r="1983" spans="1:18" x14ac:dyDescent="0.25">
      <c r="A1983" s="42">
        <v>45744</v>
      </c>
      <c r="B1983" s="1">
        <v>310524140</v>
      </c>
      <c r="C1983" t="s">
        <v>3809</v>
      </c>
      <c r="D1983" s="22">
        <v>-6249.6</v>
      </c>
      <c r="E1983" t="s">
        <v>35</v>
      </c>
      <c r="F1983" s="2">
        <v>212901001</v>
      </c>
      <c r="G1983" s="2" t="s">
        <v>121</v>
      </c>
      <c r="L1983" s="2" t="s">
        <v>3810</v>
      </c>
      <c r="M1983" t="s">
        <v>67</v>
      </c>
      <c r="N1983" s="48" t="s">
        <v>68</v>
      </c>
      <c r="O1983" s="48"/>
      <c r="P1983" s="23">
        <v>69.44</v>
      </c>
      <c r="Q1983" s="4">
        <f t="shared" si="30"/>
        <v>-90.000000000000014</v>
      </c>
      <c r="R1983" s="23" t="s">
        <v>109</v>
      </c>
    </row>
    <row r="1984" spans="1:18" x14ac:dyDescent="0.25">
      <c r="A1984" s="42">
        <v>45744</v>
      </c>
      <c r="B1984" s="1">
        <v>410524148</v>
      </c>
      <c r="C1984" t="s">
        <v>3811</v>
      </c>
      <c r="D1984" s="22">
        <v>-6249.6</v>
      </c>
      <c r="E1984" t="s">
        <v>35</v>
      </c>
      <c r="F1984" s="2">
        <v>212901001</v>
      </c>
      <c r="G1984" s="2" t="s">
        <v>121</v>
      </c>
      <c r="L1984" s="2" t="s">
        <v>3812</v>
      </c>
      <c r="M1984" t="s">
        <v>67</v>
      </c>
      <c r="N1984" s="48" t="s">
        <v>68</v>
      </c>
      <c r="O1984" s="48"/>
      <c r="P1984" s="23">
        <v>69.44</v>
      </c>
      <c r="Q1984" s="4">
        <f t="shared" si="30"/>
        <v>-90.000000000000014</v>
      </c>
      <c r="R1984" s="23" t="s">
        <v>109</v>
      </c>
    </row>
    <row r="1985" spans="1:20" x14ac:dyDescent="0.25">
      <c r="A1985" s="42">
        <v>45744</v>
      </c>
      <c r="B1985" s="1">
        <v>410524144</v>
      </c>
      <c r="C1985" t="s">
        <v>3813</v>
      </c>
      <c r="D1985" s="22">
        <v>-6249.6</v>
      </c>
      <c r="E1985" t="s">
        <v>35</v>
      </c>
      <c r="F1985" s="2">
        <v>212901001</v>
      </c>
      <c r="G1985" s="2" t="s">
        <v>121</v>
      </c>
      <c r="L1985" s="2" t="s">
        <v>3814</v>
      </c>
      <c r="M1985" t="s">
        <v>67</v>
      </c>
      <c r="N1985" s="48" t="s">
        <v>68</v>
      </c>
      <c r="O1985" s="48"/>
      <c r="P1985" s="23">
        <v>69.44</v>
      </c>
      <c r="Q1985" s="4">
        <f t="shared" si="30"/>
        <v>-90.000000000000014</v>
      </c>
      <c r="R1985" s="23" t="s">
        <v>109</v>
      </c>
    </row>
    <row r="1986" spans="1:20" x14ac:dyDescent="0.25">
      <c r="A1986" s="42">
        <v>45744</v>
      </c>
      <c r="B1986" s="1">
        <v>410524146</v>
      </c>
      <c r="C1986" t="s">
        <v>3815</v>
      </c>
      <c r="D1986" s="22">
        <v>-6249.6</v>
      </c>
      <c r="E1986" t="s">
        <v>35</v>
      </c>
      <c r="F1986" s="2">
        <v>212901001</v>
      </c>
      <c r="G1986" s="2" t="s">
        <v>121</v>
      </c>
      <c r="L1986" s="2" t="s">
        <v>3816</v>
      </c>
      <c r="M1986" t="s">
        <v>67</v>
      </c>
      <c r="N1986" s="48" t="s">
        <v>68</v>
      </c>
      <c r="O1986" s="48"/>
      <c r="P1986" s="23">
        <v>69.44</v>
      </c>
      <c r="Q1986" s="4">
        <f t="shared" si="30"/>
        <v>-90.000000000000014</v>
      </c>
      <c r="R1986" s="23" t="s">
        <v>109</v>
      </c>
    </row>
    <row r="1987" spans="1:20" x14ac:dyDescent="0.25">
      <c r="A1987" s="42">
        <v>45744</v>
      </c>
      <c r="B1987" s="1">
        <v>410524147</v>
      </c>
      <c r="C1987" t="s">
        <v>3817</v>
      </c>
      <c r="D1987" s="22">
        <v>-6249.6</v>
      </c>
      <c r="E1987" t="s">
        <v>35</v>
      </c>
      <c r="F1987" s="2">
        <v>212901001</v>
      </c>
      <c r="G1987" s="2" t="s">
        <v>121</v>
      </c>
      <c r="L1987" s="2" t="s">
        <v>3818</v>
      </c>
      <c r="M1987" t="s">
        <v>67</v>
      </c>
      <c r="N1987" s="48" t="s">
        <v>68</v>
      </c>
      <c r="O1987" s="48"/>
      <c r="P1987" s="23">
        <v>69.44</v>
      </c>
      <c r="Q1987" s="4">
        <f t="shared" si="30"/>
        <v>-90.000000000000014</v>
      </c>
      <c r="R1987" s="23" t="s">
        <v>109</v>
      </c>
    </row>
    <row r="1988" spans="1:20" x14ac:dyDescent="0.25">
      <c r="A1988" s="42">
        <v>45744</v>
      </c>
      <c r="B1988" s="1">
        <v>410524150</v>
      </c>
      <c r="C1988" t="s">
        <v>3819</v>
      </c>
      <c r="D1988" s="22">
        <v>-6249.6</v>
      </c>
      <c r="E1988" t="s">
        <v>35</v>
      </c>
      <c r="F1988" s="2">
        <v>212901001</v>
      </c>
      <c r="G1988" s="2" t="s">
        <v>121</v>
      </c>
      <c r="L1988" s="2" t="s">
        <v>3820</v>
      </c>
      <c r="M1988" t="s">
        <v>67</v>
      </c>
      <c r="N1988" s="48" t="s">
        <v>68</v>
      </c>
      <c r="O1988" s="48"/>
      <c r="P1988" s="23">
        <v>69.44</v>
      </c>
      <c r="Q1988" s="4">
        <f t="shared" si="30"/>
        <v>-90.000000000000014</v>
      </c>
      <c r="R1988" s="23" t="s">
        <v>109</v>
      </c>
    </row>
    <row r="1989" spans="1:20" x14ac:dyDescent="0.25">
      <c r="A1989" s="42">
        <v>45744</v>
      </c>
      <c r="B1989" s="1">
        <v>410524151</v>
      </c>
      <c r="C1989" t="s">
        <v>3821</v>
      </c>
      <c r="D1989" s="22">
        <v>-6249.6</v>
      </c>
      <c r="E1989" t="s">
        <v>35</v>
      </c>
      <c r="F1989" s="2">
        <v>212901001</v>
      </c>
      <c r="G1989" s="2" t="s">
        <v>121</v>
      </c>
      <c r="L1989" s="2" t="s">
        <v>3822</v>
      </c>
      <c r="M1989" t="s">
        <v>67</v>
      </c>
      <c r="N1989" s="48" t="s">
        <v>68</v>
      </c>
      <c r="O1989" s="48"/>
      <c r="P1989" s="23">
        <v>69.44</v>
      </c>
      <c r="Q1989" s="4">
        <f t="shared" si="30"/>
        <v>-90.000000000000014</v>
      </c>
      <c r="R1989" s="23" t="s">
        <v>109</v>
      </c>
    </row>
    <row r="1990" spans="1:20" x14ac:dyDescent="0.25">
      <c r="A1990" s="42">
        <v>45744</v>
      </c>
      <c r="B1990" s="1">
        <v>410524149</v>
      </c>
      <c r="C1990" t="s">
        <v>3823</v>
      </c>
      <c r="D1990" s="22">
        <v>-6249.6</v>
      </c>
      <c r="E1990" t="s">
        <v>35</v>
      </c>
      <c r="F1990" s="2">
        <v>212901001</v>
      </c>
      <c r="G1990" s="2" t="s">
        <v>121</v>
      </c>
      <c r="L1990" s="2" t="s">
        <v>3824</v>
      </c>
      <c r="M1990" t="s">
        <v>67</v>
      </c>
      <c r="N1990" t="s">
        <v>68</v>
      </c>
      <c r="P1990" s="23">
        <v>69.44</v>
      </c>
      <c r="Q1990" s="4">
        <f t="shared" si="30"/>
        <v>-90.000000000000014</v>
      </c>
      <c r="R1990" s="23" t="s">
        <v>109</v>
      </c>
    </row>
    <row r="1991" spans="1:20" x14ac:dyDescent="0.25">
      <c r="A1991" s="42">
        <v>45744</v>
      </c>
      <c r="B1991" s="1">
        <v>510524156</v>
      </c>
      <c r="C1991" t="s">
        <v>3825</v>
      </c>
      <c r="D1991" s="22">
        <v>-6944</v>
      </c>
      <c r="E1991" t="s">
        <v>35</v>
      </c>
      <c r="F1991" s="2">
        <v>110114001</v>
      </c>
      <c r="G1991" s="2" t="s">
        <v>301</v>
      </c>
      <c r="L1991" s="2" t="s">
        <v>3826</v>
      </c>
      <c r="M1991" t="s">
        <v>534</v>
      </c>
      <c r="N1991" t="s">
        <v>535</v>
      </c>
      <c r="P1991" s="23">
        <v>69.44</v>
      </c>
      <c r="Q1991" s="4">
        <f t="shared" si="30"/>
        <v>-100</v>
      </c>
      <c r="R1991" s="23" t="s">
        <v>109</v>
      </c>
      <c r="S1991" s="33" t="s">
        <v>2576</v>
      </c>
    </row>
    <row r="1992" spans="1:20" x14ac:dyDescent="0.25">
      <c r="A1992" s="42">
        <v>45744</v>
      </c>
      <c r="B1992" s="1">
        <v>510524155</v>
      </c>
      <c r="C1992" t="s">
        <v>3827</v>
      </c>
      <c r="D1992" s="22">
        <v>-4166.3999999999996</v>
      </c>
      <c r="E1992" t="s">
        <v>35</v>
      </c>
      <c r="F1992" s="2">
        <v>212901001</v>
      </c>
      <c r="G1992" s="2" t="s">
        <v>121</v>
      </c>
      <c r="L1992" s="2" t="s">
        <v>3828</v>
      </c>
      <c r="M1992" t="s">
        <v>67</v>
      </c>
      <c r="N1992" s="48" t="s">
        <v>68</v>
      </c>
      <c r="O1992" s="48"/>
      <c r="P1992" s="23">
        <v>69.44</v>
      </c>
      <c r="Q1992" s="4">
        <f t="shared" si="30"/>
        <v>-60</v>
      </c>
      <c r="R1992" s="23" t="s">
        <v>109</v>
      </c>
    </row>
    <row r="1993" spans="1:20" x14ac:dyDescent="0.25">
      <c r="A1993" s="42">
        <v>45744</v>
      </c>
      <c r="B1993" s="1">
        <v>510524154</v>
      </c>
      <c r="C1993" t="s">
        <v>3829</v>
      </c>
      <c r="D1993" s="22">
        <v>-4166.3999999999996</v>
      </c>
      <c r="E1993" t="s">
        <v>35</v>
      </c>
      <c r="F1993" s="2">
        <v>212901001</v>
      </c>
      <c r="G1993" s="2" t="s">
        <v>121</v>
      </c>
      <c r="L1993" s="2" t="s">
        <v>3830</v>
      </c>
      <c r="M1993" t="s">
        <v>67</v>
      </c>
      <c r="N1993" s="48" t="s">
        <v>68</v>
      </c>
      <c r="O1993" s="48"/>
      <c r="P1993" s="23">
        <v>69.44</v>
      </c>
      <c r="Q1993" s="4">
        <f t="shared" si="30"/>
        <v>-60</v>
      </c>
      <c r="R1993" s="23" t="s">
        <v>109</v>
      </c>
    </row>
    <row r="1994" spans="1:20" x14ac:dyDescent="0.25">
      <c r="A1994" s="42">
        <v>45744</v>
      </c>
      <c r="B1994" s="1">
        <v>510524153</v>
      </c>
      <c r="C1994" t="s">
        <v>3831</v>
      </c>
      <c r="D1994" s="22">
        <v>-4166.3999999999996</v>
      </c>
      <c r="E1994" t="s">
        <v>35</v>
      </c>
      <c r="F1994" s="2">
        <v>212901001</v>
      </c>
      <c r="G1994" s="2" t="s">
        <v>121</v>
      </c>
      <c r="L1994" s="2" t="s">
        <v>3832</v>
      </c>
      <c r="M1994" t="s">
        <v>67</v>
      </c>
      <c r="N1994" s="48" t="s">
        <v>68</v>
      </c>
      <c r="O1994" s="48"/>
      <c r="P1994" s="23">
        <v>69.44</v>
      </c>
      <c r="Q1994" s="4">
        <f t="shared" si="30"/>
        <v>-60</v>
      </c>
      <c r="R1994" s="23" t="s">
        <v>109</v>
      </c>
    </row>
    <row r="1995" spans="1:20" x14ac:dyDescent="0.25">
      <c r="A1995" s="42">
        <v>45744</v>
      </c>
      <c r="B1995" s="1">
        <v>510524157</v>
      </c>
      <c r="C1995" t="s">
        <v>3833</v>
      </c>
      <c r="D1995" s="22">
        <v>-13888</v>
      </c>
      <c r="E1995" t="s">
        <v>35</v>
      </c>
      <c r="F1995" s="2">
        <v>212901001</v>
      </c>
      <c r="G1995" s="2" t="s">
        <v>121</v>
      </c>
      <c r="L1995" s="2" t="s">
        <v>3834</v>
      </c>
      <c r="M1995" t="s">
        <v>67</v>
      </c>
      <c r="N1995" s="48" t="s">
        <v>68</v>
      </c>
      <c r="O1995" s="48"/>
      <c r="P1995" s="23">
        <v>69.44</v>
      </c>
      <c r="Q1995" s="4">
        <f t="shared" ref="Q1995:Q2058" si="31">D1995/P1995</f>
        <v>-200</v>
      </c>
      <c r="R1995" s="23" t="s">
        <v>109</v>
      </c>
    </row>
    <row r="1996" spans="1:20" x14ac:dyDescent="0.25">
      <c r="A1996" s="42">
        <v>45744</v>
      </c>
      <c r="B1996" s="1">
        <v>510524152</v>
      </c>
      <c r="C1996" t="s">
        <v>3835</v>
      </c>
      <c r="D1996" s="22">
        <v>-4166.3999999999996</v>
      </c>
      <c r="E1996" t="s">
        <v>35</v>
      </c>
      <c r="F1996" s="2">
        <v>212901001</v>
      </c>
      <c r="G1996" s="2" t="s">
        <v>121</v>
      </c>
      <c r="L1996" s="2" t="s">
        <v>3836</v>
      </c>
      <c r="M1996" t="s">
        <v>67</v>
      </c>
      <c r="N1996" t="s">
        <v>68</v>
      </c>
      <c r="P1996" s="23">
        <v>69.44</v>
      </c>
      <c r="Q1996" s="4">
        <f t="shared" si="31"/>
        <v>-60</v>
      </c>
      <c r="R1996" s="23" t="s">
        <v>109</v>
      </c>
    </row>
    <row r="1997" spans="1:20" x14ac:dyDescent="0.25">
      <c r="A1997" s="45">
        <v>45744</v>
      </c>
      <c r="B1997" s="26">
        <v>510524158</v>
      </c>
      <c r="C1997" s="27" t="s">
        <v>54</v>
      </c>
      <c r="D1997" s="28">
        <v>-8332.7999999999993</v>
      </c>
      <c r="E1997" s="27" t="s">
        <v>35</v>
      </c>
      <c r="F1997" s="29">
        <v>610129001</v>
      </c>
      <c r="G1997" s="29" t="s">
        <v>55</v>
      </c>
      <c r="H1997" s="107"/>
      <c r="I1997" s="101"/>
      <c r="J1997" s="101"/>
      <c r="K1997" s="29"/>
      <c r="L1997" s="2" t="s">
        <v>3837</v>
      </c>
      <c r="M1997" s="27" t="s">
        <v>57</v>
      </c>
      <c r="N1997" s="27" t="s">
        <v>58</v>
      </c>
      <c r="O1997" s="27" t="s">
        <v>59</v>
      </c>
      <c r="P1997" s="31">
        <v>69.44</v>
      </c>
      <c r="Q1997" s="4">
        <f t="shared" si="31"/>
        <v>-120</v>
      </c>
      <c r="R1997" s="23" t="s">
        <v>109</v>
      </c>
      <c r="T1997" s="23" t="s">
        <v>3838</v>
      </c>
    </row>
    <row r="1998" spans="1:20" x14ac:dyDescent="0.25">
      <c r="A1998" s="42">
        <v>45744</v>
      </c>
      <c r="B1998" s="1">
        <v>510524159</v>
      </c>
      <c r="C1998" t="s">
        <v>3839</v>
      </c>
      <c r="D1998" s="22">
        <v>-4860.8</v>
      </c>
      <c r="E1998" t="s">
        <v>35</v>
      </c>
      <c r="F1998" s="2">
        <v>212901001</v>
      </c>
      <c r="G1998" s="2" t="s">
        <v>121</v>
      </c>
      <c r="L1998" s="2" t="s">
        <v>3840</v>
      </c>
      <c r="M1998" t="s">
        <v>67</v>
      </c>
      <c r="N1998" t="s">
        <v>68</v>
      </c>
      <c r="P1998" s="23">
        <v>69.44</v>
      </c>
      <c r="Q1998" s="4">
        <f t="shared" si="31"/>
        <v>-70</v>
      </c>
      <c r="R1998" s="23" t="s">
        <v>109</v>
      </c>
    </row>
    <row r="1999" spans="1:20" x14ac:dyDescent="0.25">
      <c r="A1999" s="42">
        <v>45744</v>
      </c>
      <c r="B1999" s="1">
        <v>510524160</v>
      </c>
      <c r="C1999" t="s">
        <v>3841</v>
      </c>
      <c r="D1999" s="22">
        <v>-5555.2</v>
      </c>
      <c r="E1999" t="s">
        <v>35</v>
      </c>
      <c r="F1999" s="2">
        <v>212901001</v>
      </c>
      <c r="G1999" s="2" t="s">
        <v>121</v>
      </c>
      <c r="L1999" s="2" t="s">
        <v>3842</v>
      </c>
      <c r="M1999" t="s">
        <v>67</v>
      </c>
      <c r="N1999" s="48" t="s">
        <v>68</v>
      </c>
      <c r="O1999" s="48"/>
      <c r="P1999" s="23">
        <v>69.44</v>
      </c>
      <c r="Q1999" s="4">
        <f t="shared" si="31"/>
        <v>-80</v>
      </c>
      <c r="R1999" s="23" t="s">
        <v>109</v>
      </c>
    </row>
    <row r="2000" spans="1:20" x14ac:dyDescent="0.25">
      <c r="A2000" s="42">
        <v>45744</v>
      </c>
      <c r="B2000" s="1">
        <v>50361888</v>
      </c>
      <c r="C2000" t="s">
        <v>3843</v>
      </c>
      <c r="D2000" s="22">
        <v>-12499.2</v>
      </c>
      <c r="E2000" t="s">
        <v>35</v>
      </c>
      <c r="F2000" s="2">
        <v>212901001</v>
      </c>
      <c r="G2000" s="2" t="s">
        <v>121</v>
      </c>
      <c r="L2000" s="2" t="s">
        <v>3844</v>
      </c>
      <c r="M2000" t="s">
        <v>67</v>
      </c>
      <c r="N2000" s="48" t="s">
        <v>68</v>
      </c>
      <c r="O2000" s="48"/>
      <c r="P2000" s="23">
        <v>69.44</v>
      </c>
      <c r="Q2000" s="4">
        <f t="shared" si="31"/>
        <v>-180.00000000000003</v>
      </c>
      <c r="R2000" s="23" t="s">
        <v>109</v>
      </c>
    </row>
    <row r="2001" spans="1:20" x14ac:dyDescent="0.25">
      <c r="A2001" s="42">
        <v>45744</v>
      </c>
      <c r="B2001" s="1">
        <v>50361888</v>
      </c>
      <c r="C2001" t="s">
        <v>296</v>
      </c>
      <c r="D2001" s="22">
        <v>-18.739999999999998</v>
      </c>
      <c r="E2001" t="s">
        <v>35</v>
      </c>
      <c r="F2001" s="2">
        <v>610148001</v>
      </c>
      <c r="G2001" s="2" t="s">
        <v>42</v>
      </c>
      <c r="L2001" s="2" t="s">
        <v>3845</v>
      </c>
      <c r="M2001" t="s">
        <v>43</v>
      </c>
      <c r="N2001" t="s">
        <v>42</v>
      </c>
      <c r="P2001" s="23">
        <v>69.44</v>
      </c>
      <c r="Q2001" s="4">
        <f t="shared" si="31"/>
        <v>-0.26987327188940091</v>
      </c>
      <c r="R2001" s="23" t="s">
        <v>109</v>
      </c>
      <c r="T2001" s="23" t="s">
        <v>2658</v>
      </c>
    </row>
    <row r="2002" spans="1:20" x14ac:dyDescent="0.25">
      <c r="A2002" s="42">
        <v>45744</v>
      </c>
      <c r="B2002" s="1">
        <v>50361888</v>
      </c>
      <c r="C2002" t="s">
        <v>118</v>
      </c>
      <c r="D2002" s="22">
        <v>-1255.6400000000001</v>
      </c>
      <c r="E2002" t="s">
        <v>35</v>
      </c>
      <c r="F2002" s="2">
        <v>610148001</v>
      </c>
      <c r="G2002" s="2" t="s">
        <v>42</v>
      </c>
      <c r="L2002" s="2" t="s">
        <v>3846</v>
      </c>
      <c r="M2002" t="s">
        <v>43</v>
      </c>
      <c r="N2002" t="s">
        <v>42</v>
      </c>
      <c r="P2002" s="23">
        <v>69.44</v>
      </c>
      <c r="Q2002" s="4">
        <f t="shared" si="31"/>
        <v>-18.082373271889402</v>
      </c>
      <c r="R2002" s="23" t="s">
        <v>109</v>
      </c>
      <c r="T2002" s="23" t="s">
        <v>2658</v>
      </c>
    </row>
    <row r="2003" spans="1:20" x14ac:dyDescent="0.25">
      <c r="A2003" s="42">
        <v>45744</v>
      </c>
      <c r="B2003" s="1">
        <v>10529967</v>
      </c>
      <c r="C2003" t="s">
        <v>3847</v>
      </c>
      <c r="D2003" s="22">
        <v>-12888.06</v>
      </c>
      <c r="E2003" t="s">
        <v>35</v>
      </c>
      <c r="F2003" s="2">
        <v>110114001</v>
      </c>
      <c r="G2003" s="2" t="s">
        <v>301</v>
      </c>
      <c r="L2003" s="2" t="s">
        <v>3848</v>
      </c>
      <c r="N2003" s="48" t="s">
        <v>3849</v>
      </c>
      <c r="O2003" s="48"/>
      <c r="P2003" s="23">
        <v>69.44</v>
      </c>
      <c r="Q2003" s="4">
        <f t="shared" si="31"/>
        <v>-185.59994239631337</v>
      </c>
      <c r="R2003" s="23" t="s">
        <v>109</v>
      </c>
    </row>
    <row r="2004" spans="1:20" x14ac:dyDescent="0.25">
      <c r="A2004" s="42">
        <v>45744</v>
      </c>
      <c r="B2004" s="1">
        <v>10529967</v>
      </c>
      <c r="C2004" t="s">
        <v>306</v>
      </c>
      <c r="D2004" s="22">
        <v>-38.659999999999997</v>
      </c>
      <c r="E2004" t="s">
        <v>35</v>
      </c>
      <c r="F2004" s="2">
        <v>610148001</v>
      </c>
      <c r="G2004" s="2" t="s">
        <v>42</v>
      </c>
      <c r="L2004" s="2" t="s">
        <v>3850</v>
      </c>
      <c r="M2004" t="s">
        <v>43</v>
      </c>
      <c r="N2004" t="s">
        <v>42</v>
      </c>
      <c r="P2004" s="23">
        <v>69.44</v>
      </c>
      <c r="Q2004" s="4">
        <f t="shared" si="31"/>
        <v>-0.55673963133640547</v>
      </c>
      <c r="R2004" s="23" t="s">
        <v>109</v>
      </c>
      <c r="T2004" s="23" t="s">
        <v>2658</v>
      </c>
    </row>
    <row r="2005" spans="1:20" x14ac:dyDescent="0.25">
      <c r="A2005" s="42">
        <v>45744</v>
      </c>
      <c r="B2005" s="1">
        <v>134842094</v>
      </c>
      <c r="C2005" t="s">
        <v>107</v>
      </c>
      <c r="D2005" s="22">
        <v>65000</v>
      </c>
      <c r="E2005" t="s">
        <v>46</v>
      </c>
      <c r="F2005" s="2">
        <v>210115002</v>
      </c>
      <c r="G2005" s="2" t="s">
        <v>47</v>
      </c>
      <c r="L2005" s="2" t="s">
        <v>3851</v>
      </c>
      <c r="N2005" t="s">
        <v>107</v>
      </c>
      <c r="P2005" s="23">
        <v>69.44</v>
      </c>
      <c r="Q2005" s="4">
        <f t="shared" si="31"/>
        <v>936.05990783410141</v>
      </c>
      <c r="R2005" s="23" t="s">
        <v>109</v>
      </c>
    </row>
    <row r="2006" spans="1:20" x14ac:dyDescent="0.25">
      <c r="A2006" s="42">
        <v>45744</v>
      </c>
      <c r="B2006" s="1">
        <v>610531355</v>
      </c>
      <c r="C2006" t="s">
        <v>3852</v>
      </c>
      <c r="D2006" s="22">
        <v>-68199.570000000007</v>
      </c>
      <c r="E2006" t="s">
        <v>35</v>
      </c>
      <c r="F2006" s="2">
        <v>110114001</v>
      </c>
      <c r="G2006" s="2" t="s">
        <v>301</v>
      </c>
      <c r="L2006" s="2" t="s">
        <v>3853</v>
      </c>
      <c r="M2006" t="s">
        <v>3854</v>
      </c>
      <c r="N2006" t="s">
        <v>3855</v>
      </c>
      <c r="P2006" s="23">
        <v>69.44</v>
      </c>
      <c r="Q2006" s="4">
        <f t="shared" si="31"/>
        <v>-982.13666474654394</v>
      </c>
      <c r="R2006" s="23" t="s">
        <v>109</v>
      </c>
      <c r="S2006" s="33" t="s">
        <v>2576</v>
      </c>
    </row>
    <row r="2007" spans="1:20" x14ac:dyDescent="0.25">
      <c r="A2007" s="42">
        <v>45744</v>
      </c>
      <c r="B2007" s="1">
        <v>610531355</v>
      </c>
      <c r="C2007" t="s">
        <v>306</v>
      </c>
      <c r="D2007" s="22">
        <v>-204.6</v>
      </c>
      <c r="E2007" t="s">
        <v>35</v>
      </c>
      <c r="F2007" s="2">
        <v>610148001</v>
      </c>
      <c r="G2007" s="2" t="s">
        <v>42</v>
      </c>
      <c r="L2007" s="2" t="s">
        <v>3856</v>
      </c>
      <c r="M2007" t="s">
        <v>43</v>
      </c>
      <c r="N2007" t="s">
        <v>42</v>
      </c>
      <c r="P2007" s="23">
        <v>69.44</v>
      </c>
      <c r="Q2007" s="4">
        <f t="shared" si="31"/>
        <v>-2.9464285714285716</v>
      </c>
      <c r="R2007" s="23" t="s">
        <v>109</v>
      </c>
      <c r="T2007" s="23" t="s">
        <v>2658</v>
      </c>
    </row>
    <row r="2008" spans="1:20" x14ac:dyDescent="0.25">
      <c r="A2008" s="42">
        <v>45744</v>
      </c>
      <c r="B2008" s="1">
        <v>410538995</v>
      </c>
      <c r="C2008" t="s">
        <v>3857</v>
      </c>
      <c r="D2008" s="22">
        <v>-7732.84</v>
      </c>
      <c r="E2008" t="s">
        <v>35</v>
      </c>
      <c r="F2008" s="2">
        <v>110114001</v>
      </c>
      <c r="G2008" s="2" t="s">
        <v>301</v>
      </c>
      <c r="L2008" s="2" t="s">
        <v>3858</v>
      </c>
      <c r="M2008" t="s">
        <v>760</v>
      </c>
      <c r="N2008" t="s">
        <v>761</v>
      </c>
      <c r="P2008" s="23">
        <v>69.44</v>
      </c>
      <c r="Q2008" s="4">
        <f t="shared" si="31"/>
        <v>-111.36002304147466</v>
      </c>
      <c r="R2008" s="23" t="s">
        <v>109</v>
      </c>
      <c r="S2008" s="33" t="s">
        <v>2576</v>
      </c>
    </row>
    <row r="2009" spans="1:20" x14ac:dyDescent="0.25">
      <c r="A2009" s="42">
        <v>45744</v>
      </c>
      <c r="B2009" s="1">
        <v>410538995</v>
      </c>
      <c r="C2009" t="s">
        <v>306</v>
      </c>
      <c r="D2009" s="22">
        <v>-23.2</v>
      </c>
      <c r="E2009" t="s">
        <v>35</v>
      </c>
      <c r="F2009" s="2">
        <v>610148001</v>
      </c>
      <c r="G2009" s="2" t="s">
        <v>42</v>
      </c>
      <c r="L2009" s="2" t="s">
        <v>3859</v>
      </c>
      <c r="M2009" t="s">
        <v>43</v>
      </c>
      <c r="N2009" t="s">
        <v>42</v>
      </c>
      <c r="P2009" s="23">
        <v>69.44</v>
      </c>
      <c r="Q2009" s="4">
        <f t="shared" si="31"/>
        <v>-0.33410138248847926</v>
      </c>
      <c r="R2009" s="23" t="s">
        <v>109</v>
      </c>
      <c r="T2009" s="23" t="s">
        <v>2658</v>
      </c>
    </row>
    <row r="2010" spans="1:20" x14ac:dyDescent="0.25">
      <c r="A2010" s="42">
        <v>45744</v>
      </c>
      <c r="B2010" s="1">
        <v>154540225</v>
      </c>
      <c r="C2010" t="s">
        <v>107</v>
      </c>
      <c r="D2010" s="22">
        <v>55000</v>
      </c>
      <c r="E2010" t="s">
        <v>46</v>
      </c>
      <c r="F2010" s="2">
        <v>210115002</v>
      </c>
      <c r="G2010" s="2" t="s">
        <v>47</v>
      </c>
      <c r="L2010" s="2" t="s">
        <v>3860</v>
      </c>
      <c r="N2010" t="s">
        <v>107</v>
      </c>
      <c r="P2010" s="23">
        <v>69.44</v>
      </c>
      <c r="Q2010" s="4">
        <f t="shared" si="31"/>
        <v>792.0506912442396</v>
      </c>
      <c r="R2010" s="23" t="s">
        <v>109</v>
      </c>
    </row>
    <row r="2011" spans="1:20" x14ac:dyDescent="0.25">
      <c r="A2011" s="42">
        <v>45744</v>
      </c>
      <c r="B2011" s="1">
        <v>510544846</v>
      </c>
      <c r="C2011" t="s">
        <v>3861</v>
      </c>
      <c r="D2011" s="22">
        <v>-54563.07</v>
      </c>
      <c r="E2011" t="s">
        <v>35</v>
      </c>
      <c r="F2011" s="2">
        <v>110114001</v>
      </c>
      <c r="G2011" s="2" t="s">
        <v>301</v>
      </c>
      <c r="L2011" s="2" t="s">
        <v>3862</v>
      </c>
      <c r="M2011" t="s">
        <v>1318</v>
      </c>
      <c r="N2011" t="s">
        <v>1319</v>
      </c>
      <c r="P2011" s="23">
        <v>69.44</v>
      </c>
      <c r="Q2011" s="4">
        <f t="shared" si="31"/>
        <v>-785.75849654377885</v>
      </c>
      <c r="R2011" s="23" t="s">
        <v>109</v>
      </c>
      <c r="S2011" s="33" t="s">
        <v>2576</v>
      </c>
    </row>
    <row r="2012" spans="1:20" x14ac:dyDescent="0.25">
      <c r="A2012" s="42">
        <v>45744</v>
      </c>
      <c r="B2012" s="1">
        <v>510544846</v>
      </c>
      <c r="C2012" t="s">
        <v>306</v>
      </c>
      <c r="D2012" s="22">
        <v>-163.69</v>
      </c>
      <c r="E2012" t="s">
        <v>35</v>
      </c>
      <c r="F2012" s="2">
        <v>610148001</v>
      </c>
      <c r="G2012" s="2" t="s">
        <v>42</v>
      </c>
      <c r="L2012" s="2" t="s">
        <v>3863</v>
      </c>
      <c r="M2012" t="s">
        <v>43</v>
      </c>
      <c r="N2012" t="s">
        <v>42</v>
      </c>
      <c r="P2012" s="23">
        <v>69.44</v>
      </c>
      <c r="Q2012" s="4">
        <f t="shared" si="31"/>
        <v>-2.3572868663594471</v>
      </c>
      <c r="R2012" s="23" t="s">
        <v>109</v>
      </c>
      <c r="T2012" s="23" t="s">
        <v>2658</v>
      </c>
    </row>
    <row r="2013" spans="1:20" x14ac:dyDescent="0.25">
      <c r="A2013" s="42">
        <v>45747</v>
      </c>
      <c r="B2013" s="1">
        <v>134435399</v>
      </c>
      <c r="C2013" t="s">
        <v>107</v>
      </c>
      <c r="D2013" s="22">
        <v>20000</v>
      </c>
      <c r="E2013" t="s">
        <v>46</v>
      </c>
      <c r="F2013" s="2">
        <v>210115002</v>
      </c>
      <c r="G2013" s="2" t="s">
        <v>47</v>
      </c>
      <c r="L2013" s="2" t="s">
        <v>3864</v>
      </c>
      <c r="N2013" t="s">
        <v>107</v>
      </c>
      <c r="P2013" s="23">
        <v>69.569999999999993</v>
      </c>
      <c r="Q2013" s="4">
        <f t="shared" si="31"/>
        <v>287.48023573379334</v>
      </c>
      <c r="R2013" s="23" t="s">
        <v>109</v>
      </c>
    </row>
    <row r="2014" spans="1:20" x14ac:dyDescent="0.25">
      <c r="A2014" s="42">
        <v>45747</v>
      </c>
      <c r="B2014" s="1">
        <v>610724853</v>
      </c>
      <c r="C2014" t="s">
        <v>3865</v>
      </c>
      <c r="D2014" s="22">
        <v>-1959.97</v>
      </c>
      <c r="E2014" t="s">
        <v>35</v>
      </c>
      <c r="F2014" s="2">
        <v>110114001</v>
      </c>
      <c r="G2014" s="2" t="s">
        <v>301</v>
      </c>
      <c r="L2014" s="2" t="s">
        <v>3866</v>
      </c>
      <c r="M2014" t="s">
        <v>303</v>
      </c>
      <c r="N2014" t="s">
        <v>304</v>
      </c>
      <c r="P2014" s="23">
        <v>69.569999999999993</v>
      </c>
      <c r="Q2014" s="4">
        <f t="shared" si="31"/>
        <v>-28.172631881558146</v>
      </c>
      <c r="R2014" s="23" t="s">
        <v>109</v>
      </c>
      <c r="S2014" s="33" t="s">
        <v>2726</v>
      </c>
    </row>
    <row r="2015" spans="1:20" x14ac:dyDescent="0.25">
      <c r="A2015" s="42">
        <v>45747</v>
      </c>
      <c r="B2015" s="1">
        <v>610724854</v>
      </c>
      <c r="C2015" t="s">
        <v>3867</v>
      </c>
      <c r="D2015" s="22">
        <v>-2434.94</v>
      </c>
      <c r="E2015" t="s">
        <v>35</v>
      </c>
      <c r="F2015" s="2">
        <v>110114001</v>
      </c>
      <c r="G2015" s="2" t="s">
        <v>301</v>
      </c>
      <c r="L2015" s="2" t="s">
        <v>3868</v>
      </c>
      <c r="M2015" t="s">
        <v>303</v>
      </c>
      <c r="N2015" t="s">
        <v>304</v>
      </c>
      <c r="P2015" s="23">
        <v>69.569999999999993</v>
      </c>
      <c r="Q2015" s="4">
        <f t="shared" si="31"/>
        <v>-34.999856259882137</v>
      </c>
      <c r="R2015" s="23" t="s">
        <v>109</v>
      </c>
      <c r="S2015" s="33" t="s">
        <v>2726</v>
      </c>
    </row>
    <row r="2016" spans="1:20" x14ac:dyDescent="0.25">
      <c r="A2016" s="42">
        <v>45747</v>
      </c>
      <c r="B2016" s="1">
        <v>50391506</v>
      </c>
      <c r="C2016" t="s">
        <v>3869</v>
      </c>
      <c r="D2016" s="22">
        <v>-18088.2</v>
      </c>
      <c r="E2016" t="s">
        <v>35</v>
      </c>
      <c r="F2016" s="2">
        <v>110114001</v>
      </c>
      <c r="G2016" s="2" t="s">
        <v>301</v>
      </c>
      <c r="L2016" s="2" t="s">
        <v>3870</v>
      </c>
      <c r="M2016" t="s">
        <v>2028</v>
      </c>
      <c r="N2016" s="48" t="s">
        <v>2029</v>
      </c>
      <c r="O2016" s="48"/>
      <c r="P2016" s="23">
        <v>69.569999999999993</v>
      </c>
      <c r="Q2016" s="4">
        <f t="shared" si="31"/>
        <v>-260.00000000000006</v>
      </c>
      <c r="R2016" s="23" t="s">
        <v>109</v>
      </c>
      <c r="S2016" s="33" t="s">
        <v>2726</v>
      </c>
    </row>
    <row r="2017" spans="1:20" x14ac:dyDescent="0.25">
      <c r="A2017" s="42">
        <v>45747</v>
      </c>
      <c r="B2017" s="1">
        <v>50391506</v>
      </c>
      <c r="C2017" t="s">
        <v>296</v>
      </c>
      <c r="D2017" s="22">
        <v>-27.13</v>
      </c>
      <c r="E2017" t="s">
        <v>35</v>
      </c>
      <c r="F2017" s="2">
        <v>610148001</v>
      </c>
      <c r="G2017" s="2" t="s">
        <v>42</v>
      </c>
      <c r="L2017" s="2" t="s">
        <v>3871</v>
      </c>
      <c r="M2017" t="s">
        <v>43</v>
      </c>
      <c r="N2017" t="s">
        <v>42</v>
      </c>
      <c r="P2017" s="23">
        <v>69.569999999999993</v>
      </c>
      <c r="Q2017" s="4">
        <f t="shared" si="31"/>
        <v>-0.38996693977289065</v>
      </c>
      <c r="R2017" s="23" t="s">
        <v>109</v>
      </c>
      <c r="T2017" s="23" t="s">
        <v>2658</v>
      </c>
    </row>
    <row r="2018" spans="1:20" x14ac:dyDescent="0.25">
      <c r="A2018" s="42">
        <v>45747</v>
      </c>
      <c r="B2018" s="1">
        <v>50391506</v>
      </c>
      <c r="C2018" t="s">
        <v>118</v>
      </c>
      <c r="D2018" s="22">
        <v>-10.98</v>
      </c>
      <c r="E2018" t="s">
        <v>35</v>
      </c>
      <c r="F2018" s="2">
        <v>610148001</v>
      </c>
      <c r="G2018" s="2" t="s">
        <v>42</v>
      </c>
      <c r="L2018" s="2" t="s">
        <v>3872</v>
      </c>
      <c r="M2018" t="s">
        <v>43</v>
      </c>
      <c r="N2018" t="s">
        <v>42</v>
      </c>
      <c r="P2018" s="23">
        <v>69.569999999999993</v>
      </c>
      <c r="Q2018" s="4">
        <f t="shared" si="31"/>
        <v>-0.15782664941785254</v>
      </c>
      <c r="R2018" s="23" t="s">
        <v>109</v>
      </c>
      <c r="T2018" s="23" t="s">
        <v>2658</v>
      </c>
    </row>
    <row r="2019" spans="1:20" x14ac:dyDescent="0.25">
      <c r="A2019" s="42">
        <v>45747</v>
      </c>
      <c r="B2019" s="1">
        <v>203038176</v>
      </c>
      <c r="C2019" t="s">
        <v>3873</v>
      </c>
      <c r="D2019" s="22">
        <v>10628.46</v>
      </c>
      <c r="E2019" t="s">
        <v>46</v>
      </c>
      <c r="F2019" s="2">
        <v>110106001</v>
      </c>
      <c r="G2019" s="2" t="s">
        <v>2034</v>
      </c>
      <c r="L2019" s="2" t="s">
        <v>3874</v>
      </c>
      <c r="N2019" t="s">
        <v>2036</v>
      </c>
      <c r="P2019" s="23">
        <v>69.569999999999993</v>
      </c>
      <c r="Q2019" s="4">
        <f t="shared" si="31"/>
        <v>152.77360931435965</v>
      </c>
      <c r="R2019" s="23" t="s">
        <v>109</v>
      </c>
    </row>
    <row r="2020" spans="1:20" x14ac:dyDescent="0.25">
      <c r="A2020" s="42">
        <v>45747</v>
      </c>
      <c r="B2020" s="1">
        <v>203038176</v>
      </c>
      <c r="C2020" t="s">
        <v>2037</v>
      </c>
      <c r="D2020" s="22">
        <v>-159.41999999999999</v>
      </c>
      <c r="E2020" t="s">
        <v>35</v>
      </c>
      <c r="F2020" s="2">
        <v>610148001</v>
      </c>
      <c r="G2020" s="2" t="s">
        <v>42</v>
      </c>
      <c r="L2020" s="2" t="s">
        <v>3875</v>
      </c>
      <c r="M2020" t="s">
        <v>43</v>
      </c>
      <c r="N2020" t="s">
        <v>42</v>
      </c>
      <c r="P2020" s="23">
        <v>69.569999999999993</v>
      </c>
      <c r="Q2020" s="4">
        <f t="shared" si="31"/>
        <v>-2.2915049590340666</v>
      </c>
      <c r="R2020" s="23" t="s">
        <v>109</v>
      </c>
      <c r="T2020" s="23" t="s">
        <v>2658</v>
      </c>
    </row>
    <row r="2021" spans="1:20" x14ac:dyDescent="0.25">
      <c r="A2021" s="42">
        <v>45747</v>
      </c>
      <c r="B2021" s="1">
        <v>210733877</v>
      </c>
      <c r="C2021" t="s">
        <v>3876</v>
      </c>
      <c r="D2021" s="22">
        <v>-270</v>
      </c>
      <c r="E2021" t="s">
        <v>35</v>
      </c>
      <c r="F2021" s="2">
        <v>210101001</v>
      </c>
      <c r="G2021" s="2" t="s">
        <v>36</v>
      </c>
      <c r="L2021" s="2" t="s">
        <v>3877</v>
      </c>
      <c r="M2021" t="s">
        <v>114</v>
      </c>
      <c r="N2021" t="s">
        <v>115</v>
      </c>
      <c r="P2021" s="23">
        <v>69.569999999999993</v>
      </c>
      <c r="Q2021" s="4">
        <f t="shared" si="31"/>
        <v>-3.8809831824062098</v>
      </c>
      <c r="R2021" s="23" t="s">
        <v>109</v>
      </c>
    </row>
    <row r="2022" spans="1:20" x14ac:dyDescent="0.25">
      <c r="A2022" s="42">
        <v>45747</v>
      </c>
      <c r="B2022" s="1">
        <v>210733877</v>
      </c>
      <c r="C2022" t="s">
        <v>306</v>
      </c>
      <c r="D2022" s="22">
        <v>-0.81</v>
      </c>
      <c r="E2022" t="s">
        <v>35</v>
      </c>
      <c r="F2022" s="2">
        <v>610148001</v>
      </c>
      <c r="G2022" s="2" t="s">
        <v>42</v>
      </c>
      <c r="L2022" s="2" t="s">
        <v>3878</v>
      </c>
      <c r="M2022" t="s">
        <v>43</v>
      </c>
      <c r="N2022" t="s">
        <v>42</v>
      </c>
      <c r="P2022" s="23">
        <v>69.569999999999993</v>
      </c>
      <c r="Q2022" s="4">
        <f t="shared" si="31"/>
        <v>-1.1642949547218631E-2</v>
      </c>
      <c r="R2022" s="23" t="s">
        <v>109</v>
      </c>
      <c r="T2022" s="23" t="s">
        <v>2658</v>
      </c>
    </row>
    <row r="2023" spans="1:20" x14ac:dyDescent="0.25">
      <c r="A2023" s="42">
        <v>45747</v>
      </c>
      <c r="B2023" s="1">
        <v>0</v>
      </c>
      <c r="C2023" t="s">
        <v>1192</v>
      </c>
      <c r="D2023" s="22">
        <v>-0.5</v>
      </c>
      <c r="E2023" t="s">
        <v>35</v>
      </c>
      <c r="F2023" s="2">
        <v>610148001</v>
      </c>
      <c r="G2023" s="2" t="s">
        <v>42</v>
      </c>
      <c r="L2023" s="2" t="s">
        <v>3879</v>
      </c>
      <c r="M2023" t="s">
        <v>43</v>
      </c>
      <c r="N2023" t="s">
        <v>42</v>
      </c>
      <c r="P2023" s="23">
        <v>69.569999999999993</v>
      </c>
      <c r="Q2023" s="4">
        <f t="shared" si="31"/>
        <v>-7.1870058933448337E-3</v>
      </c>
      <c r="R2023" s="23" t="s">
        <v>109</v>
      </c>
      <c r="T2023" s="23" t="s">
        <v>2658</v>
      </c>
    </row>
    <row r="2024" spans="1:20" x14ac:dyDescent="0.25">
      <c r="A2024" s="42">
        <v>45747</v>
      </c>
      <c r="B2024" s="1">
        <v>0</v>
      </c>
      <c r="C2024" t="s">
        <v>1194</v>
      </c>
      <c r="D2024" s="22">
        <v>-0.5</v>
      </c>
      <c r="E2024" t="s">
        <v>35</v>
      </c>
      <c r="F2024" s="2">
        <v>610148001</v>
      </c>
      <c r="G2024" s="2" t="s">
        <v>42</v>
      </c>
      <c r="L2024" s="2" t="s">
        <v>3880</v>
      </c>
      <c r="M2024" t="s">
        <v>43</v>
      </c>
      <c r="N2024" t="s">
        <v>42</v>
      </c>
      <c r="P2024" s="23">
        <v>69.569999999999993</v>
      </c>
      <c r="Q2024" s="4">
        <f t="shared" si="31"/>
        <v>-7.1870058933448337E-3</v>
      </c>
      <c r="R2024" s="23" t="s">
        <v>109</v>
      </c>
      <c r="T2024" s="23" t="s">
        <v>2658</v>
      </c>
    </row>
    <row r="2025" spans="1:20" x14ac:dyDescent="0.25">
      <c r="A2025" s="42">
        <v>45717</v>
      </c>
      <c r="B2025" s="1" t="s">
        <v>3881</v>
      </c>
      <c r="C2025" t="s">
        <v>2540</v>
      </c>
      <c r="D2025" s="22">
        <v>-0.5</v>
      </c>
      <c r="E2025" t="s">
        <v>35</v>
      </c>
      <c r="F2025" s="2">
        <v>610148001</v>
      </c>
      <c r="G2025" s="2" t="s">
        <v>42</v>
      </c>
      <c r="L2025" s="2" t="s">
        <v>3882</v>
      </c>
      <c r="M2025" t="s">
        <v>43</v>
      </c>
      <c r="N2025" t="s">
        <v>42</v>
      </c>
      <c r="P2025" s="23">
        <v>64.48</v>
      </c>
      <c r="Q2025" s="4">
        <f t="shared" si="31"/>
        <v>-7.7543424317617861E-3</v>
      </c>
      <c r="R2025" s="23" t="s">
        <v>1198</v>
      </c>
      <c r="T2025" s="35" t="s">
        <v>2658</v>
      </c>
    </row>
    <row r="2026" spans="1:20" x14ac:dyDescent="0.25">
      <c r="A2026" s="42">
        <v>45721</v>
      </c>
      <c r="B2026" s="1" t="s">
        <v>3883</v>
      </c>
      <c r="C2026" t="s">
        <v>3884</v>
      </c>
      <c r="D2026" s="22">
        <v>-10.1</v>
      </c>
      <c r="E2026" t="s">
        <v>35</v>
      </c>
      <c r="F2026" s="2">
        <v>213201001</v>
      </c>
      <c r="G2026" s="2" t="s">
        <v>1245</v>
      </c>
      <c r="L2026" s="2" t="s">
        <v>3885</v>
      </c>
      <c r="M2026" t="s">
        <v>1247</v>
      </c>
      <c r="N2026" t="s">
        <v>1248</v>
      </c>
      <c r="P2026" s="23">
        <v>64.48</v>
      </c>
      <c r="Q2026" s="4">
        <f t="shared" si="31"/>
        <v>-0.15663771712158808</v>
      </c>
      <c r="R2026" s="23" t="s">
        <v>1198</v>
      </c>
      <c r="T2026" s="38" t="s">
        <v>3886</v>
      </c>
    </row>
    <row r="2027" spans="1:20" x14ac:dyDescent="0.25">
      <c r="A2027" s="42">
        <v>45721</v>
      </c>
      <c r="B2027" s="1" t="s">
        <v>3887</v>
      </c>
      <c r="C2027" t="s">
        <v>3888</v>
      </c>
      <c r="D2027" s="22">
        <v>-59.4</v>
      </c>
      <c r="E2027" t="s">
        <v>35</v>
      </c>
      <c r="F2027" s="2">
        <v>213101001</v>
      </c>
      <c r="G2027" s="2" t="s">
        <v>1252</v>
      </c>
      <c r="L2027" s="2" t="s">
        <v>3889</v>
      </c>
      <c r="M2027" t="s">
        <v>1254</v>
      </c>
      <c r="N2027" t="s">
        <v>1255</v>
      </c>
      <c r="P2027" s="23">
        <v>64.48</v>
      </c>
      <c r="Q2027" s="4">
        <f t="shared" si="31"/>
        <v>-0.9212158808933002</v>
      </c>
      <c r="R2027" s="23" t="s">
        <v>1198</v>
      </c>
      <c r="T2027" s="35" t="s">
        <v>3886</v>
      </c>
    </row>
    <row r="2028" spans="1:20" x14ac:dyDescent="0.25">
      <c r="A2028" s="42">
        <v>45729</v>
      </c>
      <c r="B2028" s="1" t="s">
        <v>3890</v>
      </c>
      <c r="C2028" t="s">
        <v>544</v>
      </c>
      <c r="D2028" s="22">
        <v>725000</v>
      </c>
      <c r="E2028" t="s">
        <v>46</v>
      </c>
      <c r="F2028" s="2">
        <v>210115002</v>
      </c>
      <c r="G2028" s="2" t="s">
        <v>47</v>
      </c>
      <c r="L2028" s="2" t="s">
        <v>3891</v>
      </c>
      <c r="N2028" t="s">
        <v>544</v>
      </c>
      <c r="P2028" s="23">
        <v>66.25</v>
      </c>
      <c r="Q2028" s="4">
        <f t="shared" si="31"/>
        <v>10943.396226415094</v>
      </c>
      <c r="R2028" s="23" t="s">
        <v>1198</v>
      </c>
      <c r="T2028" s="34"/>
    </row>
    <row r="2029" spans="1:20" x14ac:dyDescent="0.25">
      <c r="A2029" s="42">
        <v>45729</v>
      </c>
      <c r="B2029" s="1" t="s">
        <v>1214</v>
      </c>
      <c r="C2029" t="s">
        <v>3892</v>
      </c>
      <c r="D2029" s="22">
        <v>-55323.6</v>
      </c>
      <c r="E2029" t="s">
        <v>35</v>
      </c>
      <c r="F2029" s="2">
        <v>210101001</v>
      </c>
      <c r="G2029" s="2" t="s">
        <v>36</v>
      </c>
      <c r="L2029" s="2" t="s">
        <v>3893</v>
      </c>
      <c r="M2029" t="s">
        <v>38</v>
      </c>
      <c r="N2029" t="s">
        <v>39</v>
      </c>
      <c r="P2029" s="23">
        <v>66.25</v>
      </c>
      <c r="Q2029" s="4">
        <f t="shared" si="31"/>
        <v>-835.07320754716977</v>
      </c>
      <c r="R2029" s="23" t="s">
        <v>1198</v>
      </c>
      <c r="T2029" s="34"/>
    </row>
    <row r="2030" spans="1:20" x14ac:dyDescent="0.25">
      <c r="A2030" s="42">
        <v>45729</v>
      </c>
      <c r="B2030" s="1" t="s">
        <v>1214</v>
      </c>
      <c r="C2030" t="s">
        <v>3894</v>
      </c>
      <c r="D2030" s="22">
        <v>-27661.599999999999</v>
      </c>
      <c r="E2030" t="s">
        <v>35</v>
      </c>
      <c r="F2030" s="2">
        <v>210101001</v>
      </c>
      <c r="G2030" s="2" t="s">
        <v>36</v>
      </c>
      <c r="L2030" s="2" t="s">
        <v>3895</v>
      </c>
      <c r="M2030" t="s">
        <v>2028</v>
      </c>
      <c r="N2030" t="s">
        <v>2029</v>
      </c>
      <c r="P2030" s="23">
        <v>66.25</v>
      </c>
      <c r="Q2030" s="4">
        <f t="shared" si="31"/>
        <v>-417.53358490566035</v>
      </c>
      <c r="R2030" s="23" t="s">
        <v>1198</v>
      </c>
      <c r="T2030" s="34"/>
    </row>
    <row r="2031" spans="1:20" x14ac:dyDescent="0.25">
      <c r="A2031" s="42">
        <v>45729</v>
      </c>
      <c r="B2031" s="1" t="s">
        <v>1208</v>
      </c>
      <c r="C2031" t="s">
        <v>3896</v>
      </c>
      <c r="D2031" s="22">
        <v>-25192.5</v>
      </c>
      <c r="E2031" t="s">
        <v>35</v>
      </c>
      <c r="F2031" s="2">
        <v>210101001</v>
      </c>
      <c r="G2031" s="2" t="s">
        <v>36</v>
      </c>
      <c r="L2031" s="2" t="s">
        <v>3897</v>
      </c>
      <c r="M2031" t="s">
        <v>714</v>
      </c>
      <c r="N2031" t="s">
        <v>715</v>
      </c>
      <c r="P2031" s="23">
        <v>66.25</v>
      </c>
      <c r="Q2031" s="4">
        <f t="shared" si="31"/>
        <v>-380.2641509433962</v>
      </c>
      <c r="R2031" s="23" t="s">
        <v>1198</v>
      </c>
      <c r="T2031" s="34"/>
    </row>
    <row r="2032" spans="1:20" x14ac:dyDescent="0.25">
      <c r="A2032" s="42">
        <v>45729</v>
      </c>
      <c r="B2032" s="1" t="s">
        <v>1211</v>
      </c>
      <c r="C2032" t="s">
        <v>3892</v>
      </c>
      <c r="D2032" s="22">
        <v>-200000</v>
      </c>
      <c r="E2032" t="s">
        <v>35</v>
      </c>
      <c r="F2032" s="2">
        <v>210101001</v>
      </c>
      <c r="G2032" s="2" t="s">
        <v>36</v>
      </c>
      <c r="L2032" s="2" t="s">
        <v>3898</v>
      </c>
      <c r="M2032" t="s">
        <v>38</v>
      </c>
      <c r="N2032" t="s">
        <v>39</v>
      </c>
      <c r="P2032" s="23">
        <v>66.25</v>
      </c>
      <c r="Q2032" s="4">
        <f t="shared" si="31"/>
        <v>-3018.867924528302</v>
      </c>
      <c r="R2032" s="23" t="s">
        <v>1198</v>
      </c>
      <c r="T2032" s="34"/>
    </row>
    <row r="2033" spans="1:20" x14ac:dyDescent="0.25">
      <c r="A2033" s="42">
        <v>45729</v>
      </c>
      <c r="B2033" s="1" t="s">
        <v>1214</v>
      </c>
      <c r="C2033" t="s">
        <v>3894</v>
      </c>
      <c r="D2033" s="22">
        <v>-200000</v>
      </c>
      <c r="E2033" t="s">
        <v>35</v>
      </c>
      <c r="F2033" s="2">
        <v>210101001</v>
      </c>
      <c r="G2033" s="2" t="s">
        <v>36</v>
      </c>
      <c r="L2033" s="2" t="s">
        <v>3899</v>
      </c>
      <c r="M2033" t="s">
        <v>2028</v>
      </c>
      <c r="N2033" t="s">
        <v>2029</v>
      </c>
      <c r="P2033" s="23">
        <v>66.25</v>
      </c>
      <c r="Q2033" s="4">
        <f t="shared" si="31"/>
        <v>-3018.867924528302</v>
      </c>
      <c r="R2033" s="23" t="s">
        <v>1198</v>
      </c>
      <c r="T2033" s="34"/>
    </row>
    <row r="2034" spans="1:20" x14ac:dyDescent="0.25">
      <c r="A2034" s="42">
        <v>45729</v>
      </c>
      <c r="B2034" s="1" t="s">
        <v>1214</v>
      </c>
      <c r="C2034" t="s">
        <v>3892</v>
      </c>
      <c r="D2034" s="22">
        <v>-200000</v>
      </c>
      <c r="E2034" t="s">
        <v>35</v>
      </c>
      <c r="F2034" s="2">
        <v>210101001</v>
      </c>
      <c r="G2034" s="2" t="s">
        <v>36</v>
      </c>
      <c r="L2034" s="2" t="s">
        <v>3900</v>
      </c>
      <c r="M2034" t="s">
        <v>38</v>
      </c>
      <c r="N2034" t="s">
        <v>39</v>
      </c>
      <c r="P2034" s="23">
        <v>66.25</v>
      </c>
      <c r="Q2034" s="4">
        <f t="shared" si="31"/>
        <v>-3018.867924528302</v>
      </c>
      <c r="R2034" s="23" t="s">
        <v>1198</v>
      </c>
      <c r="T2034" s="34"/>
    </row>
    <row r="2035" spans="1:20" x14ac:dyDescent="0.25">
      <c r="A2035" s="42">
        <v>45729</v>
      </c>
      <c r="B2035" s="1" t="s">
        <v>1217</v>
      </c>
      <c r="C2035" t="s">
        <v>3901</v>
      </c>
      <c r="D2035" s="22">
        <v>-16238.3</v>
      </c>
      <c r="E2035" t="s">
        <v>35</v>
      </c>
      <c r="F2035" s="2">
        <v>210101001</v>
      </c>
      <c r="G2035" s="2" t="s">
        <v>36</v>
      </c>
      <c r="L2035" s="2" t="s">
        <v>3902</v>
      </c>
      <c r="M2035" t="s">
        <v>1376</v>
      </c>
      <c r="N2035" t="s">
        <v>1377</v>
      </c>
      <c r="P2035" s="23">
        <v>66.25</v>
      </c>
      <c r="Q2035" s="4">
        <f t="shared" si="31"/>
        <v>-245.10641509433961</v>
      </c>
      <c r="R2035" s="23" t="s">
        <v>1198</v>
      </c>
      <c r="T2035" s="34"/>
    </row>
    <row r="2036" spans="1:20" x14ac:dyDescent="0.25">
      <c r="A2036" s="42">
        <v>45729</v>
      </c>
      <c r="B2036" s="1" t="s">
        <v>1227</v>
      </c>
      <c r="C2036" t="s">
        <v>1221</v>
      </c>
      <c r="D2036" s="22">
        <v>-500</v>
      </c>
      <c r="E2036" t="s">
        <v>35</v>
      </c>
      <c r="F2036" s="2">
        <v>610148001</v>
      </c>
      <c r="G2036" s="2" t="s">
        <v>42</v>
      </c>
      <c r="L2036" s="2" t="s">
        <v>3903</v>
      </c>
      <c r="M2036" t="s">
        <v>43</v>
      </c>
      <c r="N2036" t="s">
        <v>42</v>
      </c>
      <c r="P2036" s="23">
        <v>66.25</v>
      </c>
      <c r="Q2036" s="4">
        <f t="shared" si="31"/>
        <v>-7.5471698113207548</v>
      </c>
      <c r="R2036" s="23" t="s">
        <v>1198</v>
      </c>
      <c r="T2036" s="35" t="s">
        <v>2658</v>
      </c>
    </row>
    <row r="2037" spans="1:20" x14ac:dyDescent="0.25">
      <c r="A2037" s="42">
        <v>45729</v>
      </c>
      <c r="B2037" s="1" t="s">
        <v>1220</v>
      </c>
      <c r="C2037" t="s">
        <v>1221</v>
      </c>
      <c r="D2037" s="22">
        <v>-40.590000000000003</v>
      </c>
      <c r="E2037" t="s">
        <v>35</v>
      </c>
      <c r="F2037" s="2">
        <v>610148001</v>
      </c>
      <c r="G2037" s="2" t="s">
        <v>42</v>
      </c>
      <c r="L2037" s="2" t="s">
        <v>3904</v>
      </c>
      <c r="M2037" t="s">
        <v>43</v>
      </c>
      <c r="N2037" t="s">
        <v>42</v>
      </c>
      <c r="P2037" s="23">
        <v>66.25</v>
      </c>
      <c r="Q2037" s="4">
        <f t="shared" si="31"/>
        <v>-0.61267924528301887</v>
      </c>
      <c r="R2037" s="23" t="s">
        <v>1198</v>
      </c>
      <c r="T2037" s="35" t="s">
        <v>2658</v>
      </c>
    </row>
    <row r="2038" spans="1:20" x14ac:dyDescent="0.25">
      <c r="A2038" s="42">
        <v>45729</v>
      </c>
      <c r="B2038" s="1" t="s">
        <v>1225</v>
      </c>
      <c r="C2038" t="s">
        <v>1221</v>
      </c>
      <c r="D2038" s="22">
        <v>-138.30000000000001</v>
      </c>
      <c r="E2038" t="s">
        <v>35</v>
      </c>
      <c r="F2038" s="2">
        <v>610148001</v>
      </c>
      <c r="G2038" s="2" t="s">
        <v>42</v>
      </c>
      <c r="L2038" s="2" t="s">
        <v>3905</v>
      </c>
      <c r="M2038" t="s">
        <v>43</v>
      </c>
      <c r="N2038" t="s">
        <v>42</v>
      </c>
      <c r="P2038" s="23">
        <v>66.25</v>
      </c>
      <c r="Q2038" s="4">
        <f t="shared" si="31"/>
        <v>-2.0875471698113208</v>
      </c>
      <c r="R2038" s="23" t="s">
        <v>1198</v>
      </c>
      <c r="T2038" s="35" t="s">
        <v>2658</v>
      </c>
    </row>
    <row r="2039" spans="1:20" x14ac:dyDescent="0.25">
      <c r="A2039" s="42">
        <v>45729</v>
      </c>
      <c r="B2039" s="1" t="s">
        <v>1225</v>
      </c>
      <c r="C2039" t="s">
        <v>1221</v>
      </c>
      <c r="D2039" s="22">
        <v>-500</v>
      </c>
      <c r="E2039" t="s">
        <v>35</v>
      </c>
      <c r="F2039" s="2">
        <v>610148001</v>
      </c>
      <c r="G2039" s="2" t="s">
        <v>42</v>
      </c>
      <c r="L2039" s="2" t="s">
        <v>3906</v>
      </c>
      <c r="M2039" t="s">
        <v>43</v>
      </c>
      <c r="N2039" t="s">
        <v>42</v>
      </c>
      <c r="P2039" s="23">
        <v>66.25</v>
      </c>
      <c r="Q2039" s="4">
        <f t="shared" si="31"/>
        <v>-7.5471698113207548</v>
      </c>
      <c r="R2039" s="23" t="s">
        <v>1198</v>
      </c>
      <c r="T2039" s="35" t="s">
        <v>2658</v>
      </c>
    </row>
    <row r="2040" spans="1:20" x14ac:dyDescent="0.25">
      <c r="A2040" s="42">
        <v>45729</v>
      </c>
      <c r="B2040" s="1" t="s">
        <v>1225</v>
      </c>
      <c r="C2040" t="s">
        <v>1221</v>
      </c>
      <c r="D2040" s="22">
        <v>-500</v>
      </c>
      <c r="E2040" t="s">
        <v>35</v>
      </c>
      <c r="F2040" s="2">
        <v>610148001</v>
      </c>
      <c r="G2040" s="2" t="s">
        <v>42</v>
      </c>
      <c r="L2040" s="2" t="s">
        <v>3907</v>
      </c>
      <c r="M2040" t="s">
        <v>43</v>
      </c>
      <c r="N2040" t="s">
        <v>42</v>
      </c>
      <c r="P2040" s="23">
        <v>66.25</v>
      </c>
      <c r="Q2040" s="4">
        <f t="shared" si="31"/>
        <v>-7.5471698113207548</v>
      </c>
      <c r="R2040" s="23" t="s">
        <v>1198</v>
      </c>
      <c r="T2040" s="35" t="s">
        <v>2658</v>
      </c>
    </row>
    <row r="2041" spans="1:20" x14ac:dyDescent="0.25">
      <c r="A2041" s="42">
        <v>45729</v>
      </c>
      <c r="B2041" s="1" t="s">
        <v>1225</v>
      </c>
      <c r="C2041" t="s">
        <v>1221</v>
      </c>
      <c r="D2041" s="22">
        <v>-69.150000000000006</v>
      </c>
      <c r="E2041" t="s">
        <v>35</v>
      </c>
      <c r="F2041" s="2">
        <v>610148001</v>
      </c>
      <c r="G2041" s="2" t="s">
        <v>42</v>
      </c>
      <c r="L2041" s="2" t="s">
        <v>3908</v>
      </c>
      <c r="M2041" t="s">
        <v>43</v>
      </c>
      <c r="N2041" t="s">
        <v>42</v>
      </c>
      <c r="P2041" s="23">
        <v>66.25</v>
      </c>
      <c r="Q2041" s="4">
        <f t="shared" si="31"/>
        <v>-1.0437735849056604</v>
      </c>
      <c r="R2041" s="23" t="s">
        <v>1198</v>
      </c>
      <c r="T2041" s="35" t="s">
        <v>2658</v>
      </c>
    </row>
    <row r="2042" spans="1:20" x14ac:dyDescent="0.25">
      <c r="A2042" s="42">
        <v>45729</v>
      </c>
      <c r="B2042" s="1" t="s">
        <v>1223</v>
      </c>
      <c r="C2042" t="s">
        <v>1221</v>
      </c>
      <c r="D2042" s="22">
        <v>-62.98</v>
      </c>
      <c r="E2042" t="s">
        <v>35</v>
      </c>
      <c r="F2042" s="2">
        <v>610148001</v>
      </c>
      <c r="G2042" s="2" t="s">
        <v>42</v>
      </c>
      <c r="L2042" s="2" t="s">
        <v>3909</v>
      </c>
      <c r="M2042" t="s">
        <v>43</v>
      </c>
      <c r="N2042" t="s">
        <v>42</v>
      </c>
      <c r="P2042" s="23">
        <v>66.25</v>
      </c>
      <c r="Q2042" s="4">
        <f t="shared" si="31"/>
        <v>-0.9506415094339622</v>
      </c>
      <c r="R2042" s="23" t="s">
        <v>1198</v>
      </c>
      <c r="T2042" s="35" t="s">
        <v>2658</v>
      </c>
    </row>
    <row r="2043" spans="1:20" x14ac:dyDescent="0.25">
      <c r="A2043" s="42">
        <v>45730</v>
      </c>
      <c r="B2043" s="1" t="s">
        <v>3910</v>
      </c>
      <c r="C2043" t="s">
        <v>544</v>
      </c>
      <c r="D2043" s="22">
        <v>320000</v>
      </c>
      <c r="E2043" t="s">
        <v>46</v>
      </c>
      <c r="F2043" s="2">
        <v>210115002</v>
      </c>
      <c r="G2043" s="2" t="s">
        <v>47</v>
      </c>
      <c r="L2043" s="2" t="s">
        <v>3911</v>
      </c>
      <c r="N2043" t="s">
        <v>544</v>
      </c>
      <c r="P2043" s="23">
        <v>66.44</v>
      </c>
      <c r="Q2043" s="4">
        <f t="shared" si="31"/>
        <v>4816.3756773028299</v>
      </c>
      <c r="R2043" s="23" t="s">
        <v>1198</v>
      </c>
    </row>
    <row r="2044" spans="1:20" x14ac:dyDescent="0.25">
      <c r="A2044" s="42">
        <v>45730</v>
      </c>
      <c r="B2044" s="1" t="s">
        <v>3912</v>
      </c>
      <c r="C2044" t="s">
        <v>544</v>
      </c>
      <c r="D2044" s="22">
        <v>35000</v>
      </c>
      <c r="E2044" t="s">
        <v>46</v>
      </c>
      <c r="F2044" s="2">
        <v>210115002</v>
      </c>
      <c r="G2044" s="2" t="s">
        <v>47</v>
      </c>
      <c r="L2044" s="2" t="s">
        <v>3913</v>
      </c>
      <c r="N2044" t="s">
        <v>544</v>
      </c>
      <c r="P2044" s="23">
        <v>66.44</v>
      </c>
      <c r="Q2044" s="4">
        <f t="shared" si="31"/>
        <v>526.79108970499703</v>
      </c>
      <c r="R2044" s="23" t="s">
        <v>1198</v>
      </c>
    </row>
    <row r="2045" spans="1:20" x14ac:dyDescent="0.25">
      <c r="A2045" s="42">
        <v>45730</v>
      </c>
      <c r="B2045" s="1" t="s">
        <v>3914</v>
      </c>
      <c r="C2045" t="s">
        <v>3915</v>
      </c>
      <c r="D2045" s="22">
        <v>-10887</v>
      </c>
      <c r="E2045" t="s">
        <v>35</v>
      </c>
      <c r="F2045" s="2">
        <v>210101001</v>
      </c>
      <c r="G2045" s="2" t="s">
        <v>36</v>
      </c>
      <c r="L2045" s="2" t="s">
        <v>3916</v>
      </c>
      <c r="M2045" t="s">
        <v>114</v>
      </c>
      <c r="N2045" t="s">
        <v>115</v>
      </c>
      <c r="P2045" s="23">
        <v>66.44</v>
      </c>
      <c r="Q2045" s="4">
        <f t="shared" si="31"/>
        <v>-163.86213124623723</v>
      </c>
      <c r="R2045" s="23" t="s">
        <v>1198</v>
      </c>
    </row>
    <row r="2046" spans="1:20" x14ac:dyDescent="0.25">
      <c r="A2046" s="42">
        <v>45730</v>
      </c>
      <c r="B2046" s="1" t="s">
        <v>3917</v>
      </c>
      <c r="C2046" t="s">
        <v>3918</v>
      </c>
      <c r="D2046" s="22">
        <v>-26907.040000000001</v>
      </c>
      <c r="E2046" t="s">
        <v>35</v>
      </c>
      <c r="F2046" s="2">
        <v>210101001</v>
      </c>
      <c r="G2046" s="2" t="s">
        <v>36</v>
      </c>
      <c r="L2046" s="2" t="s">
        <v>3919</v>
      </c>
      <c r="M2046" t="s">
        <v>714</v>
      </c>
      <c r="N2046" t="s">
        <v>715</v>
      </c>
      <c r="P2046" s="23">
        <v>66.44</v>
      </c>
      <c r="Q2046" s="4">
        <f t="shared" si="31"/>
        <v>-404.98254063816978</v>
      </c>
      <c r="R2046" s="23" t="s">
        <v>1198</v>
      </c>
    </row>
    <row r="2047" spans="1:20" x14ac:dyDescent="0.25">
      <c r="A2047" s="42">
        <v>45730</v>
      </c>
      <c r="B2047" s="1" t="s">
        <v>1214</v>
      </c>
      <c r="C2047" t="s">
        <v>3920</v>
      </c>
      <c r="D2047" s="22">
        <v>-7972.8</v>
      </c>
      <c r="E2047" t="s">
        <v>35</v>
      </c>
      <c r="F2047" s="2">
        <v>212901001</v>
      </c>
      <c r="G2047" s="2" t="s">
        <v>121</v>
      </c>
      <c r="L2047" s="2" t="s">
        <v>3921</v>
      </c>
      <c r="M2047" t="s">
        <v>67</v>
      </c>
      <c r="N2047" t="s">
        <v>68</v>
      </c>
      <c r="P2047" s="23">
        <v>66.44</v>
      </c>
      <c r="Q2047" s="4">
        <f t="shared" si="31"/>
        <v>-120</v>
      </c>
      <c r="R2047" s="23" t="s">
        <v>1198</v>
      </c>
    </row>
    <row r="2048" spans="1:20" x14ac:dyDescent="0.25">
      <c r="A2048" s="42">
        <v>45730</v>
      </c>
      <c r="B2048" s="1" t="s">
        <v>2573</v>
      </c>
      <c r="C2048" t="s">
        <v>3922</v>
      </c>
      <c r="D2048" s="22">
        <v>-4650.8</v>
      </c>
      <c r="E2048" t="s">
        <v>35</v>
      </c>
      <c r="F2048" s="2">
        <v>212901001</v>
      </c>
      <c r="G2048" s="2" t="s">
        <v>121</v>
      </c>
      <c r="L2048" s="2" t="s">
        <v>3923</v>
      </c>
      <c r="M2048" t="s">
        <v>67</v>
      </c>
      <c r="N2048" t="s">
        <v>68</v>
      </c>
      <c r="P2048" s="23">
        <v>66.44</v>
      </c>
      <c r="Q2048" s="4">
        <f t="shared" si="31"/>
        <v>-70</v>
      </c>
      <c r="R2048" s="23" t="s">
        <v>1198</v>
      </c>
    </row>
    <row r="2049" spans="1:20" x14ac:dyDescent="0.25">
      <c r="A2049" s="42">
        <v>45730</v>
      </c>
      <c r="B2049" s="1" t="s">
        <v>3924</v>
      </c>
      <c r="C2049" t="s">
        <v>3925</v>
      </c>
      <c r="D2049" s="22">
        <v>-2325.4</v>
      </c>
      <c r="E2049" t="s">
        <v>35</v>
      </c>
      <c r="F2049" s="2">
        <v>212901001</v>
      </c>
      <c r="G2049" s="2" t="s">
        <v>121</v>
      </c>
      <c r="L2049" s="2" t="s">
        <v>3926</v>
      </c>
      <c r="M2049" t="s">
        <v>67</v>
      </c>
      <c r="N2049" t="s">
        <v>68</v>
      </c>
      <c r="P2049" s="23">
        <v>66.44</v>
      </c>
      <c r="Q2049" s="4">
        <f t="shared" si="31"/>
        <v>-35</v>
      </c>
      <c r="R2049" s="23" t="s">
        <v>1198</v>
      </c>
    </row>
    <row r="2050" spans="1:20" x14ac:dyDescent="0.25">
      <c r="A2050" s="42">
        <v>45730</v>
      </c>
      <c r="B2050" s="1" t="s">
        <v>3927</v>
      </c>
      <c r="C2050" t="s">
        <v>3928</v>
      </c>
      <c r="D2050" s="22">
        <v>-1328.8</v>
      </c>
      <c r="E2050" t="s">
        <v>35</v>
      </c>
      <c r="F2050" s="2">
        <v>212901001</v>
      </c>
      <c r="G2050" s="2" t="s">
        <v>121</v>
      </c>
      <c r="L2050" s="2" t="s">
        <v>3929</v>
      </c>
      <c r="M2050" t="s">
        <v>67</v>
      </c>
      <c r="N2050" t="s">
        <v>68</v>
      </c>
      <c r="P2050" s="23">
        <v>66.44</v>
      </c>
      <c r="Q2050" s="4">
        <f t="shared" si="31"/>
        <v>-20</v>
      </c>
      <c r="R2050" s="23" t="s">
        <v>1198</v>
      </c>
    </row>
    <row r="2051" spans="1:20" x14ac:dyDescent="0.25">
      <c r="A2051" s="42">
        <v>45730</v>
      </c>
      <c r="B2051" s="1" t="s">
        <v>3930</v>
      </c>
      <c r="C2051" t="s">
        <v>3931</v>
      </c>
      <c r="D2051" s="22">
        <v>-664.4</v>
      </c>
      <c r="E2051" t="s">
        <v>35</v>
      </c>
      <c r="F2051" s="2">
        <v>212901001</v>
      </c>
      <c r="G2051" s="2" t="s">
        <v>121</v>
      </c>
      <c r="L2051" s="2" t="s">
        <v>3932</v>
      </c>
      <c r="M2051" t="s">
        <v>67</v>
      </c>
      <c r="N2051" t="s">
        <v>68</v>
      </c>
      <c r="P2051" s="23">
        <v>66.44</v>
      </c>
      <c r="Q2051" s="4">
        <f t="shared" si="31"/>
        <v>-10</v>
      </c>
      <c r="R2051" s="23" t="s">
        <v>1198</v>
      </c>
    </row>
    <row r="2052" spans="1:20" x14ac:dyDescent="0.25">
      <c r="A2052" s="42">
        <v>45730</v>
      </c>
      <c r="B2052" s="1" t="s">
        <v>3933</v>
      </c>
      <c r="C2052" t="s">
        <v>3934</v>
      </c>
      <c r="D2052" s="22">
        <v>-1328.8</v>
      </c>
      <c r="E2052" t="s">
        <v>35</v>
      </c>
      <c r="F2052" s="2">
        <v>212901001</v>
      </c>
      <c r="G2052" s="2" t="s">
        <v>121</v>
      </c>
      <c r="L2052" s="2" t="s">
        <v>3935</v>
      </c>
      <c r="M2052" t="s">
        <v>67</v>
      </c>
      <c r="N2052" t="s">
        <v>68</v>
      </c>
      <c r="P2052" s="23">
        <v>66.44</v>
      </c>
      <c r="Q2052" s="4">
        <f t="shared" si="31"/>
        <v>-20</v>
      </c>
      <c r="R2052" s="23" t="s">
        <v>1198</v>
      </c>
    </row>
    <row r="2053" spans="1:20" x14ac:dyDescent="0.25">
      <c r="A2053" s="42">
        <v>45730</v>
      </c>
      <c r="B2053" s="1" t="s">
        <v>3936</v>
      </c>
      <c r="C2053" t="s">
        <v>3937</v>
      </c>
      <c r="D2053" s="22">
        <v>-6479.31</v>
      </c>
      <c r="E2053" t="s">
        <v>35</v>
      </c>
      <c r="F2053" s="2">
        <v>110114001</v>
      </c>
      <c r="G2053" s="2" t="s">
        <v>301</v>
      </c>
      <c r="L2053" s="2" t="s">
        <v>3938</v>
      </c>
      <c r="M2053" t="s">
        <v>114</v>
      </c>
      <c r="N2053" t="s">
        <v>115</v>
      </c>
      <c r="P2053" s="23">
        <v>66.44</v>
      </c>
      <c r="Q2053" s="4">
        <f t="shared" si="31"/>
        <v>-97.521222155328118</v>
      </c>
      <c r="R2053" s="23" t="s">
        <v>1198</v>
      </c>
      <c r="S2053" s="33" t="s">
        <v>1353</v>
      </c>
    </row>
    <row r="2054" spans="1:20" x14ac:dyDescent="0.25">
      <c r="A2054" s="42">
        <v>45730</v>
      </c>
      <c r="B2054" s="1" t="s">
        <v>1208</v>
      </c>
      <c r="C2054" t="s">
        <v>3939</v>
      </c>
      <c r="D2054" s="22">
        <v>-200000</v>
      </c>
      <c r="E2054" t="s">
        <v>35</v>
      </c>
      <c r="F2054" s="2">
        <v>210101001</v>
      </c>
      <c r="G2054" s="2" t="s">
        <v>36</v>
      </c>
      <c r="L2054" s="2" t="s">
        <v>3940</v>
      </c>
      <c r="M2054" t="s">
        <v>38</v>
      </c>
      <c r="N2054" t="s">
        <v>39</v>
      </c>
      <c r="P2054" s="23">
        <v>66.44</v>
      </c>
      <c r="Q2054" s="4">
        <f t="shared" si="31"/>
        <v>-3010.2347983142686</v>
      </c>
      <c r="R2054" s="23" t="s">
        <v>1198</v>
      </c>
    </row>
    <row r="2055" spans="1:20" x14ac:dyDescent="0.25">
      <c r="A2055" s="42">
        <v>45730</v>
      </c>
      <c r="B2055" s="1" t="s">
        <v>2571</v>
      </c>
      <c r="C2055" t="s">
        <v>3941</v>
      </c>
      <c r="D2055" s="22">
        <v>-3322</v>
      </c>
      <c r="E2055" t="s">
        <v>35</v>
      </c>
      <c r="F2055" s="2">
        <v>212901001</v>
      </c>
      <c r="G2055" s="2" t="s">
        <v>121</v>
      </c>
      <c r="L2055" s="2" t="s">
        <v>3942</v>
      </c>
      <c r="M2055" t="s">
        <v>67</v>
      </c>
      <c r="N2055" t="s">
        <v>68</v>
      </c>
      <c r="P2055" s="23">
        <v>66.44</v>
      </c>
      <c r="Q2055" s="4">
        <f t="shared" si="31"/>
        <v>-50</v>
      </c>
      <c r="R2055" s="23" t="s">
        <v>1198</v>
      </c>
    </row>
    <row r="2056" spans="1:20" x14ac:dyDescent="0.25">
      <c r="A2056" s="42">
        <v>45730</v>
      </c>
      <c r="B2056" s="1" t="s">
        <v>3943</v>
      </c>
      <c r="C2056" t="s">
        <v>3944</v>
      </c>
      <c r="D2056" s="22">
        <v>-1328.8</v>
      </c>
      <c r="E2056" t="s">
        <v>35</v>
      </c>
      <c r="F2056" s="2">
        <v>212901001</v>
      </c>
      <c r="G2056" s="2" t="s">
        <v>121</v>
      </c>
      <c r="L2056" s="2" t="s">
        <v>3945</v>
      </c>
      <c r="M2056" t="s">
        <v>67</v>
      </c>
      <c r="N2056" t="s">
        <v>68</v>
      </c>
      <c r="P2056" s="23">
        <v>66.44</v>
      </c>
      <c r="Q2056" s="4">
        <f t="shared" si="31"/>
        <v>-20</v>
      </c>
      <c r="R2056" s="23" t="s">
        <v>1198</v>
      </c>
    </row>
    <row r="2057" spans="1:20" x14ac:dyDescent="0.25">
      <c r="A2057" s="42">
        <v>45730</v>
      </c>
      <c r="B2057" s="1" t="s">
        <v>1211</v>
      </c>
      <c r="C2057" t="s">
        <v>3939</v>
      </c>
      <c r="D2057" s="22">
        <v>-71768.31</v>
      </c>
      <c r="E2057" t="s">
        <v>35</v>
      </c>
      <c r="F2057" s="2">
        <v>110114001</v>
      </c>
      <c r="G2057" s="2" t="s">
        <v>301</v>
      </c>
      <c r="L2057" s="2" t="s">
        <v>3946</v>
      </c>
      <c r="M2057" t="s">
        <v>38</v>
      </c>
      <c r="N2057" t="s">
        <v>39</v>
      </c>
      <c r="P2057" s="23">
        <v>66.44</v>
      </c>
      <c r="Q2057" s="4">
        <f t="shared" si="31"/>
        <v>-1080.1973208910294</v>
      </c>
      <c r="R2057" s="23" t="s">
        <v>1198</v>
      </c>
      <c r="S2057" s="33" t="s">
        <v>1353</v>
      </c>
    </row>
    <row r="2058" spans="1:20" x14ac:dyDescent="0.25">
      <c r="A2058" s="42">
        <v>45730</v>
      </c>
      <c r="B2058" s="1" t="s">
        <v>1217</v>
      </c>
      <c r="C2058" t="s">
        <v>3947</v>
      </c>
      <c r="D2058" s="22">
        <v>-3388.44</v>
      </c>
      <c r="E2058" t="s">
        <v>35</v>
      </c>
      <c r="F2058" s="2">
        <v>212901001</v>
      </c>
      <c r="G2058" s="2" t="s">
        <v>121</v>
      </c>
      <c r="L2058" s="2" t="s">
        <v>3948</v>
      </c>
      <c r="M2058" t="s">
        <v>67</v>
      </c>
      <c r="N2058" t="s">
        <v>68</v>
      </c>
      <c r="P2058" s="23">
        <v>66.44</v>
      </c>
      <c r="Q2058" s="4">
        <f t="shared" si="31"/>
        <v>-51</v>
      </c>
      <c r="R2058" s="23" t="s">
        <v>1198</v>
      </c>
    </row>
    <row r="2059" spans="1:20" x14ac:dyDescent="0.25">
      <c r="A2059" s="42">
        <v>45730</v>
      </c>
      <c r="B2059" s="1" t="s">
        <v>3949</v>
      </c>
      <c r="C2059" t="s">
        <v>3950</v>
      </c>
      <c r="D2059" s="22">
        <v>-7171.82</v>
      </c>
      <c r="E2059" t="s">
        <v>35</v>
      </c>
      <c r="F2059" s="2">
        <v>210101001</v>
      </c>
      <c r="G2059" s="2" t="s">
        <v>36</v>
      </c>
      <c r="L2059" s="2" t="s">
        <v>3951</v>
      </c>
      <c r="M2059" t="s">
        <v>714</v>
      </c>
      <c r="N2059" t="s">
        <v>715</v>
      </c>
      <c r="P2059" s="23">
        <v>66.44</v>
      </c>
      <c r="Q2059" s="4">
        <f t="shared" ref="Q2059:Q2122" si="32">D2059/P2059</f>
        <v>-107.94431065623118</v>
      </c>
      <c r="R2059" s="23" t="s">
        <v>1198</v>
      </c>
    </row>
    <row r="2060" spans="1:20" x14ac:dyDescent="0.25">
      <c r="A2060" s="42">
        <v>45730</v>
      </c>
      <c r="B2060" s="1" t="s">
        <v>3952</v>
      </c>
      <c r="C2060" t="s">
        <v>3953</v>
      </c>
      <c r="D2060" s="22">
        <v>-1328.8</v>
      </c>
      <c r="E2060" t="s">
        <v>35</v>
      </c>
      <c r="F2060" s="2">
        <v>212901001</v>
      </c>
      <c r="G2060" s="2" t="s">
        <v>121</v>
      </c>
      <c r="L2060" s="2" t="s">
        <v>3954</v>
      </c>
      <c r="M2060" t="s">
        <v>67</v>
      </c>
      <c r="N2060" t="s">
        <v>68</v>
      </c>
      <c r="P2060" s="23">
        <v>66.44</v>
      </c>
      <c r="Q2060" s="4">
        <f t="shared" si="32"/>
        <v>-20</v>
      </c>
      <c r="R2060" s="23" t="s">
        <v>1198</v>
      </c>
    </row>
    <row r="2061" spans="1:20" x14ac:dyDescent="0.25">
      <c r="A2061" s="42">
        <v>45730</v>
      </c>
      <c r="B2061" s="1" t="s">
        <v>3955</v>
      </c>
      <c r="C2061" t="s">
        <v>1221</v>
      </c>
      <c r="D2061" s="22">
        <v>-17.920000000000002</v>
      </c>
      <c r="E2061" t="s">
        <v>35</v>
      </c>
      <c r="F2061" s="2">
        <v>610148001</v>
      </c>
      <c r="G2061" s="2" t="s">
        <v>42</v>
      </c>
      <c r="L2061" s="2" t="s">
        <v>3956</v>
      </c>
      <c r="M2061" t="s">
        <v>43</v>
      </c>
      <c r="N2061" t="s">
        <v>42</v>
      </c>
      <c r="P2061" s="23">
        <v>66.44</v>
      </c>
      <c r="Q2061" s="4">
        <f t="shared" si="32"/>
        <v>-0.26971703792895851</v>
      </c>
      <c r="R2061" s="23" t="s">
        <v>1198</v>
      </c>
      <c r="T2061" s="35" t="s">
        <v>2658</v>
      </c>
    </row>
    <row r="2062" spans="1:20" x14ac:dyDescent="0.25">
      <c r="A2062" s="42">
        <v>45730</v>
      </c>
      <c r="B2062" s="1" t="s">
        <v>1225</v>
      </c>
      <c r="C2062" t="s">
        <v>1221</v>
      </c>
      <c r="D2062" s="22">
        <v>-19.93</v>
      </c>
      <c r="E2062" t="s">
        <v>35</v>
      </c>
      <c r="F2062" s="2">
        <v>610148001</v>
      </c>
      <c r="G2062" s="2" t="s">
        <v>42</v>
      </c>
      <c r="L2062" s="2" t="s">
        <v>3957</v>
      </c>
      <c r="M2062" t="s">
        <v>43</v>
      </c>
      <c r="N2062" t="s">
        <v>42</v>
      </c>
      <c r="P2062" s="23">
        <v>66.44</v>
      </c>
      <c r="Q2062" s="4">
        <f t="shared" si="32"/>
        <v>-0.29996989765201687</v>
      </c>
      <c r="R2062" s="23" t="s">
        <v>1198</v>
      </c>
      <c r="T2062" s="35" t="s">
        <v>2658</v>
      </c>
    </row>
    <row r="2063" spans="1:20" x14ac:dyDescent="0.25">
      <c r="A2063" s="42">
        <v>45730</v>
      </c>
      <c r="B2063" s="1" t="s">
        <v>3958</v>
      </c>
      <c r="C2063" t="s">
        <v>1221</v>
      </c>
      <c r="D2063" s="22">
        <v>-3.32</v>
      </c>
      <c r="E2063" t="s">
        <v>35</v>
      </c>
      <c r="F2063" s="2">
        <v>610148001</v>
      </c>
      <c r="G2063" s="2" t="s">
        <v>42</v>
      </c>
      <c r="L2063" s="2" t="s">
        <v>3959</v>
      </c>
      <c r="M2063" t="s">
        <v>43</v>
      </c>
      <c r="N2063" t="s">
        <v>42</v>
      </c>
      <c r="P2063" s="23">
        <v>66.44</v>
      </c>
      <c r="Q2063" s="4">
        <f t="shared" si="32"/>
        <v>-4.9969897652016856E-2</v>
      </c>
      <c r="R2063" s="23" t="s">
        <v>1198</v>
      </c>
      <c r="T2063" s="35" t="s">
        <v>2658</v>
      </c>
    </row>
    <row r="2064" spans="1:20" x14ac:dyDescent="0.25">
      <c r="A2064" s="42">
        <v>45730</v>
      </c>
      <c r="B2064" s="1" t="s">
        <v>3960</v>
      </c>
      <c r="C2064" t="s">
        <v>1221</v>
      </c>
      <c r="D2064" s="22">
        <v>-3.32</v>
      </c>
      <c r="E2064" t="s">
        <v>35</v>
      </c>
      <c r="F2064" s="2">
        <v>610148001</v>
      </c>
      <c r="G2064" s="2" t="s">
        <v>42</v>
      </c>
      <c r="L2064" s="2" t="s">
        <v>3961</v>
      </c>
      <c r="M2064" t="s">
        <v>43</v>
      </c>
      <c r="N2064" t="s">
        <v>42</v>
      </c>
      <c r="P2064" s="23">
        <v>66.44</v>
      </c>
      <c r="Q2064" s="4">
        <f t="shared" si="32"/>
        <v>-4.9969897652016856E-2</v>
      </c>
      <c r="R2064" s="23" t="s">
        <v>1198</v>
      </c>
      <c r="T2064" s="35" t="s">
        <v>2658</v>
      </c>
    </row>
    <row r="2065" spans="1:20" x14ac:dyDescent="0.25">
      <c r="A2065" s="42">
        <v>45730</v>
      </c>
      <c r="B2065" s="1" t="s">
        <v>3962</v>
      </c>
      <c r="C2065" t="s">
        <v>1221</v>
      </c>
      <c r="D2065" s="22">
        <v>-27.21</v>
      </c>
      <c r="E2065" t="s">
        <v>35</v>
      </c>
      <c r="F2065" s="2">
        <v>610148001</v>
      </c>
      <c r="G2065" s="2" t="s">
        <v>42</v>
      </c>
      <c r="L2065" s="2" t="s">
        <v>3963</v>
      </c>
      <c r="M2065" t="s">
        <v>43</v>
      </c>
      <c r="N2065" t="s">
        <v>42</v>
      </c>
      <c r="P2065" s="23">
        <v>66.44</v>
      </c>
      <c r="Q2065" s="4">
        <f t="shared" si="32"/>
        <v>-0.40954244431065628</v>
      </c>
      <c r="R2065" s="23" t="s">
        <v>1198</v>
      </c>
      <c r="T2065" s="35" t="s">
        <v>2658</v>
      </c>
    </row>
    <row r="2066" spans="1:20" x14ac:dyDescent="0.25">
      <c r="A2066" s="42">
        <v>45730</v>
      </c>
      <c r="B2066" s="1" t="s">
        <v>2582</v>
      </c>
      <c r="C2066" t="s">
        <v>1221</v>
      </c>
      <c r="D2066" s="22">
        <v>-11.62</v>
      </c>
      <c r="E2066" t="s">
        <v>35</v>
      </c>
      <c r="F2066" s="2">
        <v>610148001</v>
      </c>
      <c r="G2066" s="2" t="s">
        <v>42</v>
      </c>
      <c r="L2066" s="2" t="s">
        <v>3964</v>
      </c>
      <c r="M2066" t="s">
        <v>43</v>
      </c>
      <c r="N2066" t="s">
        <v>42</v>
      </c>
      <c r="P2066" s="23">
        <v>66.44</v>
      </c>
      <c r="Q2066" s="4">
        <f t="shared" si="32"/>
        <v>-0.17489464178205899</v>
      </c>
      <c r="R2066" s="23" t="s">
        <v>1198</v>
      </c>
      <c r="T2066" s="35" t="s">
        <v>2658</v>
      </c>
    </row>
    <row r="2067" spans="1:20" x14ac:dyDescent="0.25">
      <c r="A2067" s="42">
        <v>45730</v>
      </c>
      <c r="B2067" s="1" t="s">
        <v>3965</v>
      </c>
      <c r="C2067" t="s">
        <v>1221</v>
      </c>
      <c r="D2067" s="22">
        <v>-5.81</v>
      </c>
      <c r="E2067" t="s">
        <v>35</v>
      </c>
      <c r="F2067" s="2">
        <v>610148001</v>
      </c>
      <c r="G2067" s="2" t="s">
        <v>42</v>
      </c>
      <c r="L2067" s="2" t="s">
        <v>3966</v>
      </c>
      <c r="M2067" t="s">
        <v>43</v>
      </c>
      <c r="N2067" t="s">
        <v>42</v>
      </c>
      <c r="P2067" s="23">
        <v>66.44</v>
      </c>
      <c r="Q2067" s="4">
        <f t="shared" si="32"/>
        <v>-8.7447320891029495E-2</v>
      </c>
      <c r="R2067" s="23" t="s">
        <v>1198</v>
      </c>
      <c r="T2067" s="35" t="s">
        <v>2658</v>
      </c>
    </row>
    <row r="2068" spans="1:20" x14ac:dyDescent="0.25">
      <c r="A2068" s="42">
        <v>45730</v>
      </c>
      <c r="B2068" s="1" t="s">
        <v>3967</v>
      </c>
      <c r="C2068" t="s">
        <v>1221</v>
      </c>
      <c r="D2068" s="22">
        <v>-3.32</v>
      </c>
      <c r="E2068" t="s">
        <v>35</v>
      </c>
      <c r="F2068" s="2">
        <v>610148001</v>
      </c>
      <c r="G2068" s="2" t="s">
        <v>42</v>
      </c>
      <c r="L2068" s="2" t="s">
        <v>3968</v>
      </c>
      <c r="M2068" t="s">
        <v>43</v>
      </c>
      <c r="N2068" t="s">
        <v>42</v>
      </c>
      <c r="P2068" s="23">
        <v>66.44</v>
      </c>
      <c r="Q2068" s="4">
        <f t="shared" si="32"/>
        <v>-4.9969897652016856E-2</v>
      </c>
      <c r="R2068" s="23" t="s">
        <v>1198</v>
      </c>
      <c r="T2068" s="35" t="s">
        <v>2658</v>
      </c>
    </row>
    <row r="2069" spans="1:20" x14ac:dyDescent="0.25">
      <c r="A2069" s="42">
        <v>45730</v>
      </c>
      <c r="B2069" s="1" t="s">
        <v>3969</v>
      </c>
      <c r="C2069" t="s">
        <v>1221</v>
      </c>
      <c r="D2069" s="22">
        <v>-1.66</v>
      </c>
      <c r="E2069" t="s">
        <v>35</v>
      </c>
      <c r="F2069" s="2">
        <v>610148001</v>
      </c>
      <c r="G2069" s="2" t="s">
        <v>42</v>
      </c>
      <c r="L2069" s="2" t="s">
        <v>3970</v>
      </c>
      <c r="M2069" t="s">
        <v>43</v>
      </c>
      <c r="N2069" t="s">
        <v>42</v>
      </c>
      <c r="P2069" s="23">
        <v>66.44</v>
      </c>
      <c r="Q2069" s="4">
        <f t="shared" si="32"/>
        <v>-2.4984948826008428E-2</v>
      </c>
      <c r="R2069" s="23" t="s">
        <v>1198</v>
      </c>
      <c r="T2069" s="35" t="s">
        <v>2658</v>
      </c>
    </row>
    <row r="2070" spans="1:20" x14ac:dyDescent="0.25">
      <c r="A2070" s="42">
        <v>45730</v>
      </c>
      <c r="B2070" s="1" t="s">
        <v>1220</v>
      </c>
      <c r="C2070" t="s">
        <v>1221</v>
      </c>
      <c r="D2070" s="22">
        <v>-8.4700000000000006</v>
      </c>
      <c r="E2070" t="s">
        <v>35</v>
      </c>
      <c r="F2070" s="2">
        <v>610148001</v>
      </c>
      <c r="G2070" s="2" t="s">
        <v>42</v>
      </c>
      <c r="L2070" s="2" t="s">
        <v>3971</v>
      </c>
      <c r="M2070" t="s">
        <v>43</v>
      </c>
      <c r="N2070" t="s">
        <v>42</v>
      </c>
      <c r="P2070" s="23">
        <v>66.44</v>
      </c>
      <c r="Q2070" s="4">
        <f t="shared" si="32"/>
        <v>-0.12748344370860928</v>
      </c>
      <c r="R2070" s="23" t="s">
        <v>1198</v>
      </c>
      <c r="T2070" s="35" t="s">
        <v>2658</v>
      </c>
    </row>
    <row r="2071" spans="1:20" x14ac:dyDescent="0.25">
      <c r="A2071" s="42">
        <v>45730</v>
      </c>
      <c r="B2071" s="1" t="s">
        <v>1223</v>
      </c>
      <c r="C2071" t="s">
        <v>1221</v>
      </c>
      <c r="D2071" s="22">
        <v>-500</v>
      </c>
      <c r="E2071" t="s">
        <v>35</v>
      </c>
      <c r="F2071" s="2">
        <v>610148001</v>
      </c>
      <c r="G2071" s="2" t="s">
        <v>42</v>
      </c>
      <c r="L2071" s="2" t="s">
        <v>3972</v>
      </c>
      <c r="M2071" t="s">
        <v>43</v>
      </c>
      <c r="N2071" t="s">
        <v>42</v>
      </c>
      <c r="P2071" s="23">
        <v>66.44</v>
      </c>
      <c r="Q2071" s="4">
        <f t="shared" si="32"/>
        <v>-7.5255869957856714</v>
      </c>
      <c r="R2071" s="23" t="s">
        <v>1198</v>
      </c>
      <c r="T2071" s="35" t="s">
        <v>2658</v>
      </c>
    </row>
    <row r="2072" spans="1:20" x14ac:dyDescent="0.25">
      <c r="A2072" s="42">
        <v>45730</v>
      </c>
      <c r="B2072" s="1" t="s">
        <v>3973</v>
      </c>
      <c r="C2072" t="s">
        <v>1221</v>
      </c>
      <c r="D2072" s="22">
        <v>-16.190000000000001</v>
      </c>
      <c r="E2072" t="s">
        <v>35</v>
      </c>
      <c r="F2072" s="2">
        <v>610148001</v>
      </c>
      <c r="G2072" s="2" t="s">
        <v>42</v>
      </c>
      <c r="L2072" s="2" t="s">
        <v>3974</v>
      </c>
      <c r="M2072" t="s">
        <v>43</v>
      </c>
      <c r="N2072" t="s">
        <v>42</v>
      </c>
      <c r="P2072" s="23">
        <v>66.44</v>
      </c>
      <c r="Q2072" s="4">
        <f t="shared" si="32"/>
        <v>-0.24367850692354007</v>
      </c>
      <c r="R2072" s="23" t="s">
        <v>1198</v>
      </c>
      <c r="T2072" s="35" t="s">
        <v>2658</v>
      </c>
    </row>
    <row r="2073" spans="1:20" x14ac:dyDescent="0.25">
      <c r="A2073" s="42">
        <v>45730</v>
      </c>
      <c r="B2073" s="1" t="s">
        <v>1227</v>
      </c>
      <c r="C2073" t="s">
        <v>1221</v>
      </c>
      <c r="D2073" s="22">
        <v>-179.42</v>
      </c>
      <c r="E2073" t="s">
        <v>35</v>
      </c>
      <c r="F2073" s="2">
        <v>610148001</v>
      </c>
      <c r="G2073" s="2" t="s">
        <v>42</v>
      </c>
      <c r="L2073" s="2" t="s">
        <v>3975</v>
      </c>
      <c r="M2073" t="s">
        <v>43</v>
      </c>
      <c r="N2073" t="s">
        <v>42</v>
      </c>
      <c r="P2073" s="23">
        <v>66.44</v>
      </c>
      <c r="Q2073" s="4">
        <f t="shared" si="32"/>
        <v>-2.7004816375677301</v>
      </c>
      <c r="R2073" s="23" t="s">
        <v>1198</v>
      </c>
      <c r="T2073" s="35" t="s">
        <v>2658</v>
      </c>
    </row>
    <row r="2074" spans="1:20" x14ac:dyDescent="0.25">
      <c r="A2074" s="42">
        <v>45730</v>
      </c>
      <c r="B2074" s="1" t="s">
        <v>2585</v>
      </c>
      <c r="C2074" t="s">
        <v>1221</v>
      </c>
      <c r="D2074" s="22">
        <v>-8.3000000000000007</v>
      </c>
      <c r="E2074" t="s">
        <v>35</v>
      </c>
      <c r="F2074" s="2">
        <v>610148001</v>
      </c>
      <c r="G2074" s="2" t="s">
        <v>42</v>
      </c>
      <c r="L2074" s="2" t="s">
        <v>3976</v>
      </c>
      <c r="M2074" t="s">
        <v>43</v>
      </c>
      <c r="N2074" t="s">
        <v>42</v>
      </c>
      <c r="P2074" s="23">
        <v>66.44</v>
      </c>
      <c r="Q2074" s="4">
        <f t="shared" si="32"/>
        <v>-0.12492474413004216</v>
      </c>
      <c r="R2074" s="23" t="s">
        <v>1198</v>
      </c>
      <c r="T2074" s="35" t="s">
        <v>2658</v>
      </c>
    </row>
    <row r="2075" spans="1:20" x14ac:dyDescent="0.25">
      <c r="A2075" s="42">
        <v>45730</v>
      </c>
      <c r="B2075" s="1" t="s">
        <v>3977</v>
      </c>
      <c r="C2075" t="s">
        <v>1221</v>
      </c>
      <c r="D2075" s="22">
        <v>-3.32</v>
      </c>
      <c r="E2075" t="s">
        <v>35</v>
      </c>
      <c r="F2075" s="2">
        <v>610148001</v>
      </c>
      <c r="G2075" s="2" t="s">
        <v>42</v>
      </c>
      <c r="L2075" s="2" t="s">
        <v>3978</v>
      </c>
      <c r="M2075" t="s">
        <v>43</v>
      </c>
      <c r="N2075" t="s">
        <v>42</v>
      </c>
      <c r="P2075" s="23">
        <v>66.44</v>
      </c>
      <c r="Q2075" s="4">
        <f t="shared" si="32"/>
        <v>-4.9969897652016856E-2</v>
      </c>
      <c r="R2075" s="23" t="s">
        <v>1198</v>
      </c>
      <c r="T2075" s="35" t="s">
        <v>2658</v>
      </c>
    </row>
    <row r="2076" spans="1:20" x14ac:dyDescent="0.25">
      <c r="A2076" s="42">
        <v>45730</v>
      </c>
      <c r="B2076" s="1" t="s">
        <v>3979</v>
      </c>
      <c r="C2076" t="s">
        <v>1221</v>
      </c>
      <c r="D2076" s="22">
        <v>-67.260000000000005</v>
      </c>
      <c r="E2076" t="s">
        <v>35</v>
      </c>
      <c r="F2076" s="2">
        <v>610148001</v>
      </c>
      <c r="G2076" s="2" t="s">
        <v>42</v>
      </c>
      <c r="L2076" s="2" t="s">
        <v>3980</v>
      </c>
      <c r="M2076" t="s">
        <v>43</v>
      </c>
      <c r="N2076" t="s">
        <v>42</v>
      </c>
      <c r="P2076" s="23">
        <v>66.44</v>
      </c>
      <c r="Q2076" s="4">
        <f t="shared" si="32"/>
        <v>-1.0123419626730885</v>
      </c>
      <c r="R2076" s="23" t="s">
        <v>1198</v>
      </c>
      <c r="T2076" s="35" t="s">
        <v>2658</v>
      </c>
    </row>
    <row r="2077" spans="1:20" x14ac:dyDescent="0.25">
      <c r="A2077" s="42">
        <v>45730</v>
      </c>
      <c r="B2077" s="1" t="s">
        <v>3981</v>
      </c>
      <c r="C2077" t="s">
        <v>544</v>
      </c>
      <c r="D2077" s="22">
        <v>905000</v>
      </c>
      <c r="E2077" t="s">
        <v>46</v>
      </c>
      <c r="F2077" s="2">
        <v>210115002</v>
      </c>
      <c r="G2077" s="2" t="s">
        <v>47</v>
      </c>
      <c r="L2077" s="2" t="s">
        <v>3982</v>
      </c>
      <c r="N2077" t="s">
        <v>544</v>
      </c>
      <c r="P2077" s="23">
        <v>66.44</v>
      </c>
      <c r="Q2077" s="4">
        <f t="shared" si="32"/>
        <v>13621.312462372065</v>
      </c>
      <c r="R2077" s="23" t="s">
        <v>1198</v>
      </c>
    </row>
    <row r="2078" spans="1:20" x14ac:dyDescent="0.25">
      <c r="A2078" s="42">
        <v>45730</v>
      </c>
      <c r="B2078" s="1" t="s">
        <v>2573</v>
      </c>
      <c r="C2078" t="s">
        <v>3983</v>
      </c>
      <c r="D2078" s="22">
        <v>-7599.91</v>
      </c>
      <c r="E2078" t="s">
        <v>35</v>
      </c>
      <c r="F2078" s="2">
        <v>210101001</v>
      </c>
      <c r="G2078" s="2" t="s">
        <v>36</v>
      </c>
      <c r="L2078" s="2" t="s">
        <v>3984</v>
      </c>
      <c r="M2078" t="s">
        <v>788</v>
      </c>
      <c r="N2078" t="s">
        <v>789</v>
      </c>
      <c r="P2078" s="23">
        <v>66.44</v>
      </c>
      <c r="Q2078" s="4">
        <f t="shared" si="32"/>
        <v>-114.38756773028297</v>
      </c>
      <c r="R2078" s="23" t="s">
        <v>1198</v>
      </c>
    </row>
    <row r="2079" spans="1:20" x14ac:dyDescent="0.25">
      <c r="A2079" s="42">
        <v>45730</v>
      </c>
      <c r="B2079" s="1" t="s">
        <v>1211</v>
      </c>
      <c r="C2079" t="s">
        <v>3985</v>
      </c>
      <c r="D2079" s="22">
        <v>-200000</v>
      </c>
      <c r="E2079" t="s">
        <v>35</v>
      </c>
      <c r="F2079" s="2">
        <v>210101001</v>
      </c>
      <c r="G2079" s="2" t="s">
        <v>36</v>
      </c>
      <c r="L2079" s="2" t="s">
        <v>3986</v>
      </c>
      <c r="M2079" t="s">
        <v>38</v>
      </c>
      <c r="N2079" t="s">
        <v>39</v>
      </c>
      <c r="P2079" s="23">
        <v>66.44</v>
      </c>
      <c r="Q2079" s="4">
        <f t="shared" si="32"/>
        <v>-3010.2347983142686</v>
      </c>
      <c r="R2079" s="23" t="s">
        <v>1198</v>
      </c>
    </row>
    <row r="2080" spans="1:20" x14ac:dyDescent="0.25">
      <c r="A2080" s="42">
        <v>45730</v>
      </c>
      <c r="B2080" s="1" t="s">
        <v>1217</v>
      </c>
      <c r="C2080" t="s">
        <v>3985</v>
      </c>
      <c r="D2080" s="22">
        <v>-153310.54</v>
      </c>
      <c r="E2080" t="s">
        <v>35</v>
      </c>
      <c r="F2080" s="2">
        <v>110114001</v>
      </c>
      <c r="G2080" s="2" t="s">
        <v>301</v>
      </c>
      <c r="L2080" s="2" t="s">
        <v>3987</v>
      </c>
      <c r="M2080" t="s">
        <v>38</v>
      </c>
      <c r="N2080" t="s">
        <v>39</v>
      </c>
      <c r="P2080" s="23">
        <v>66.44</v>
      </c>
      <c r="Q2080" s="4">
        <f t="shared" si="32"/>
        <v>-2307.5036122817583</v>
      </c>
      <c r="R2080" s="23" t="s">
        <v>1198</v>
      </c>
      <c r="S2080" s="33" t="s">
        <v>3988</v>
      </c>
    </row>
    <row r="2081" spans="1:20" x14ac:dyDescent="0.25">
      <c r="A2081" s="42">
        <v>45730</v>
      </c>
      <c r="B2081" s="1" t="s">
        <v>1208</v>
      </c>
      <c r="C2081" t="s">
        <v>3985</v>
      </c>
      <c r="D2081" s="22">
        <v>-200000</v>
      </c>
      <c r="E2081" t="s">
        <v>35</v>
      </c>
      <c r="F2081" s="2">
        <v>210101001</v>
      </c>
      <c r="G2081" s="2" t="s">
        <v>36</v>
      </c>
      <c r="L2081" s="2" t="s">
        <v>3989</v>
      </c>
      <c r="M2081" t="s">
        <v>38</v>
      </c>
      <c r="N2081" t="s">
        <v>39</v>
      </c>
      <c r="P2081" s="23">
        <v>66.44</v>
      </c>
      <c r="Q2081" s="4">
        <f t="shared" si="32"/>
        <v>-3010.2347983142686</v>
      </c>
      <c r="R2081" s="23" t="s">
        <v>1198</v>
      </c>
    </row>
    <row r="2082" spans="1:20" x14ac:dyDescent="0.25">
      <c r="A2082" s="42">
        <v>45730</v>
      </c>
      <c r="B2082" s="1" t="s">
        <v>3930</v>
      </c>
      <c r="C2082" t="s">
        <v>3990</v>
      </c>
      <c r="D2082" s="22">
        <v>-134359.76999999999</v>
      </c>
      <c r="E2082" t="s">
        <v>35</v>
      </c>
      <c r="F2082" s="2">
        <v>210101001</v>
      </c>
      <c r="G2082" s="2" t="s">
        <v>36</v>
      </c>
      <c r="L2082" s="2" t="s">
        <v>3991</v>
      </c>
      <c r="M2082" t="s">
        <v>38</v>
      </c>
      <c r="N2082" t="s">
        <v>39</v>
      </c>
      <c r="P2082" s="23">
        <v>66.44</v>
      </c>
      <c r="Q2082" s="4">
        <f t="shared" si="32"/>
        <v>-2022.2722757375075</v>
      </c>
      <c r="R2082" s="23" t="s">
        <v>1198</v>
      </c>
    </row>
    <row r="2083" spans="1:20" x14ac:dyDescent="0.25">
      <c r="A2083" s="42">
        <v>45730</v>
      </c>
      <c r="B2083" s="1" t="s">
        <v>1214</v>
      </c>
      <c r="C2083" t="s">
        <v>3985</v>
      </c>
      <c r="D2083" s="22">
        <v>-200000</v>
      </c>
      <c r="E2083" t="s">
        <v>35</v>
      </c>
      <c r="F2083" s="2">
        <v>210101001</v>
      </c>
      <c r="G2083" s="2" t="s">
        <v>36</v>
      </c>
      <c r="L2083" s="2" t="s">
        <v>3992</v>
      </c>
      <c r="M2083" t="s">
        <v>38</v>
      </c>
      <c r="N2083" t="s">
        <v>39</v>
      </c>
      <c r="P2083" s="23">
        <v>66.44</v>
      </c>
      <c r="Q2083" s="4">
        <f t="shared" si="32"/>
        <v>-3010.2347983142686</v>
      </c>
      <c r="R2083" s="23" t="s">
        <v>1198</v>
      </c>
    </row>
    <row r="2084" spans="1:20" x14ac:dyDescent="0.25">
      <c r="A2084" s="42">
        <v>45730</v>
      </c>
      <c r="B2084" s="1" t="s">
        <v>2571</v>
      </c>
      <c r="C2084" t="s">
        <v>3993</v>
      </c>
      <c r="D2084" s="22">
        <v>-13256.11</v>
      </c>
      <c r="E2084" t="s">
        <v>35</v>
      </c>
      <c r="F2084" s="2">
        <v>210101001</v>
      </c>
      <c r="G2084" s="2" t="s">
        <v>36</v>
      </c>
      <c r="L2084" s="2" t="s">
        <v>3994</v>
      </c>
      <c r="M2084" t="s">
        <v>1318</v>
      </c>
      <c r="N2084" t="s">
        <v>1319</v>
      </c>
      <c r="P2084" s="23">
        <v>66.44</v>
      </c>
      <c r="Q2084" s="4">
        <f t="shared" si="32"/>
        <v>-199.52001806140882</v>
      </c>
      <c r="R2084" s="23" t="s">
        <v>1198</v>
      </c>
    </row>
    <row r="2085" spans="1:20" x14ac:dyDescent="0.25">
      <c r="A2085" s="42">
        <v>45730</v>
      </c>
      <c r="B2085" s="1" t="s">
        <v>2582</v>
      </c>
      <c r="C2085" t="s">
        <v>1221</v>
      </c>
      <c r="D2085" s="22">
        <v>-18.989999999999998</v>
      </c>
      <c r="E2085" t="s">
        <v>35</v>
      </c>
      <c r="F2085" s="2">
        <v>610148001</v>
      </c>
      <c r="G2085" s="2" t="s">
        <v>42</v>
      </c>
      <c r="L2085" s="2" t="s">
        <v>3995</v>
      </c>
      <c r="M2085" t="s">
        <v>43</v>
      </c>
      <c r="N2085" t="s">
        <v>42</v>
      </c>
      <c r="P2085" s="23">
        <v>66.44</v>
      </c>
      <c r="Q2085" s="4">
        <f t="shared" si="32"/>
        <v>-0.2858217940999398</v>
      </c>
      <c r="R2085" s="23" t="s">
        <v>1198</v>
      </c>
      <c r="T2085" s="35" t="s">
        <v>2658</v>
      </c>
    </row>
    <row r="2086" spans="1:20" x14ac:dyDescent="0.25">
      <c r="A2086" s="42">
        <v>45730</v>
      </c>
      <c r="B2086" s="1" t="s">
        <v>1223</v>
      </c>
      <c r="C2086" t="s">
        <v>1221</v>
      </c>
      <c r="D2086" s="22">
        <v>-500</v>
      </c>
      <c r="E2086" t="s">
        <v>35</v>
      </c>
      <c r="F2086" s="2">
        <v>610148001</v>
      </c>
      <c r="G2086" s="2" t="s">
        <v>42</v>
      </c>
      <c r="L2086" s="2" t="s">
        <v>3996</v>
      </c>
      <c r="M2086" t="s">
        <v>43</v>
      </c>
      <c r="N2086" t="s">
        <v>42</v>
      </c>
      <c r="P2086" s="23">
        <v>66.44</v>
      </c>
      <c r="Q2086" s="4">
        <f t="shared" si="32"/>
        <v>-7.5255869957856714</v>
      </c>
      <c r="R2086" s="23" t="s">
        <v>1198</v>
      </c>
      <c r="T2086" s="35" t="s">
        <v>2658</v>
      </c>
    </row>
    <row r="2087" spans="1:20" x14ac:dyDescent="0.25">
      <c r="A2087" s="42">
        <v>45730</v>
      </c>
      <c r="B2087" s="1" t="s">
        <v>2585</v>
      </c>
      <c r="C2087" t="s">
        <v>1221</v>
      </c>
      <c r="D2087" s="22">
        <v>-33.14</v>
      </c>
      <c r="E2087" t="s">
        <v>35</v>
      </c>
      <c r="F2087" s="2">
        <v>610148001</v>
      </c>
      <c r="G2087" s="2" t="s">
        <v>42</v>
      </c>
      <c r="L2087" s="2" t="s">
        <v>3997</v>
      </c>
      <c r="M2087" t="s">
        <v>43</v>
      </c>
      <c r="N2087" t="s">
        <v>42</v>
      </c>
      <c r="P2087" s="23">
        <v>66.44</v>
      </c>
      <c r="Q2087" s="4">
        <f t="shared" si="32"/>
        <v>-0.49879590608067431</v>
      </c>
      <c r="R2087" s="23" t="s">
        <v>1198</v>
      </c>
      <c r="T2087" s="35" t="s">
        <v>2658</v>
      </c>
    </row>
    <row r="2088" spans="1:20" x14ac:dyDescent="0.25">
      <c r="A2088" s="42">
        <v>45730</v>
      </c>
      <c r="B2088" s="1" t="s">
        <v>1227</v>
      </c>
      <c r="C2088" t="s">
        <v>1221</v>
      </c>
      <c r="D2088" s="22">
        <v>-500</v>
      </c>
      <c r="E2088" t="s">
        <v>35</v>
      </c>
      <c r="F2088" s="2">
        <v>610148001</v>
      </c>
      <c r="G2088" s="2" t="s">
        <v>42</v>
      </c>
      <c r="L2088" s="2" t="s">
        <v>3998</v>
      </c>
      <c r="M2088" t="s">
        <v>43</v>
      </c>
      <c r="N2088" t="s">
        <v>42</v>
      </c>
      <c r="P2088" s="23">
        <v>66.44</v>
      </c>
      <c r="Q2088" s="4">
        <f t="shared" si="32"/>
        <v>-7.5255869957856714</v>
      </c>
      <c r="R2088" s="23" t="s">
        <v>1198</v>
      </c>
      <c r="T2088" s="35" t="s">
        <v>2658</v>
      </c>
    </row>
    <row r="2089" spans="1:20" x14ac:dyDescent="0.25">
      <c r="A2089" s="42">
        <v>45730</v>
      </c>
      <c r="B2089" s="1" t="s">
        <v>3969</v>
      </c>
      <c r="C2089" t="s">
        <v>1221</v>
      </c>
      <c r="D2089" s="22">
        <v>-335.89</v>
      </c>
      <c r="E2089" t="s">
        <v>35</v>
      </c>
      <c r="F2089" s="2">
        <v>610148001</v>
      </c>
      <c r="G2089" s="2" t="s">
        <v>42</v>
      </c>
      <c r="L2089" s="2" t="s">
        <v>3999</v>
      </c>
      <c r="M2089" t="s">
        <v>43</v>
      </c>
      <c r="N2089" t="s">
        <v>42</v>
      </c>
      <c r="P2089" s="23">
        <v>66.44</v>
      </c>
      <c r="Q2089" s="4">
        <f t="shared" si="32"/>
        <v>-5.0555388320288985</v>
      </c>
      <c r="R2089" s="23" t="s">
        <v>1198</v>
      </c>
      <c r="T2089" s="35" t="s">
        <v>2658</v>
      </c>
    </row>
    <row r="2090" spans="1:20" x14ac:dyDescent="0.25">
      <c r="A2090" s="42">
        <v>45730</v>
      </c>
      <c r="B2090" s="1" t="s">
        <v>1225</v>
      </c>
      <c r="C2090" t="s">
        <v>1221</v>
      </c>
      <c r="D2090" s="22">
        <v>-500</v>
      </c>
      <c r="E2090" t="s">
        <v>35</v>
      </c>
      <c r="F2090" s="2">
        <v>610148001</v>
      </c>
      <c r="G2090" s="2" t="s">
        <v>42</v>
      </c>
      <c r="L2090" s="2" t="s">
        <v>4000</v>
      </c>
      <c r="M2090" t="s">
        <v>43</v>
      </c>
      <c r="N2090" t="s">
        <v>42</v>
      </c>
      <c r="P2090" s="23">
        <v>66.44</v>
      </c>
      <c r="Q2090" s="4">
        <f t="shared" si="32"/>
        <v>-7.5255869957856714</v>
      </c>
      <c r="R2090" s="23" t="s">
        <v>1198</v>
      </c>
      <c r="T2090" s="35" t="s">
        <v>2658</v>
      </c>
    </row>
    <row r="2091" spans="1:20" x14ac:dyDescent="0.25">
      <c r="A2091" s="42">
        <v>45730</v>
      </c>
      <c r="B2091" s="1" t="s">
        <v>1220</v>
      </c>
      <c r="C2091" t="s">
        <v>1221</v>
      </c>
      <c r="D2091" s="22">
        <v>-383.27</v>
      </c>
      <c r="E2091" t="s">
        <v>35</v>
      </c>
      <c r="F2091" s="2">
        <v>610148001</v>
      </c>
      <c r="G2091" s="2" t="s">
        <v>42</v>
      </c>
      <c r="L2091" s="2" t="s">
        <v>4001</v>
      </c>
      <c r="M2091" t="s">
        <v>43</v>
      </c>
      <c r="N2091" t="s">
        <v>42</v>
      </c>
      <c r="P2091" s="23">
        <v>66.44</v>
      </c>
      <c r="Q2091" s="4">
        <f t="shared" si="32"/>
        <v>-5.7686634557495484</v>
      </c>
      <c r="R2091" s="23" t="s">
        <v>1198</v>
      </c>
      <c r="T2091" s="35" t="s">
        <v>2658</v>
      </c>
    </row>
    <row r="2092" spans="1:20" x14ac:dyDescent="0.25">
      <c r="A2092" s="42">
        <v>45730</v>
      </c>
      <c r="B2092" s="1" t="s">
        <v>4002</v>
      </c>
      <c r="C2092" t="s">
        <v>544</v>
      </c>
      <c r="D2092" s="22">
        <v>310000</v>
      </c>
      <c r="E2092" t="s">
        <v>46</v>
      </c>
      <c r="F2092" s="2">
        <v>210115002</v>
      </c>
      <c r="G2092" s="2" t="s">
        <v>47</v>
      </c>
      <c r="L2092" s="2" t="s">
        <v>4003</v>
      </c>
      <c r="N2092" t="s">
        <v>544</v>
      </c>
      <c r="P2092" s="23">
        <v>66.44</v>
      </c>
      <c r="Q2092" s="4">
        <f t="shared" si="32"/>
        <v>4665.8639373871165</v>
      </c>
      <c r="R2092" s="23" t="s">
        <v>1198</v>
      </c>
    </row>
    <row r="2093" spans="1:20" x14ac:dyDescent="0.25">
      <c r="A2093" s="42">
        <v>45730</v>
      </c>
      <c r="B2093" s="1" t="s">
        <v>4004</v>
      </c>
      <c r="C2093" t="s">
        <v>4005</v>
      </c>
      <c r="D2093" s="22">
        <v>-2657.6</v>
      </c>
      <c r="E2093" t="s">
        <v>35</v>
      </c>
      <c r="F2093" s="2">
        <v>212901001</v>
      </c>
      <c r="G2093" s="2" t="s">
        <v>121</v>
      </c>
      <c r="L2093" s="2" t="s">
        <v>4006</v>
      </c>
      <c r="M2093" t="s">
        <v>67</v>
      </c>
      <c r="N2093" t="s">
        <v>68</v>
      </c>
      <c r="P2093" s="23">
        <v>66.44</v>
      </c>
      <c r="Q2093" s="4">
        <f t="shared" si="32"/>
        <v>-40</v>
      </c>
      <c r="R2093" s="23" t="s">
        <v>1198</v>
      </c>
    </row>
    <row r="2094" spans="1:20" x14ac:dyDescent="0.25">
      <c r="A2094" s="42">
        <v>45730</v>
      </c>
      <c r="B2094" s="1" t="s">
        <v>1214</v>
      </c>
      <c r="C2094" t="s">
        <v>4007</v>
      </c>
      <c r="D2094" s="22">
        <v>-3986.4</v>
      </c>
      <c r="E2094" t="s">
        <v>35</v>
      </c>
      <c r="F2094" s="2">
        <v>212901001</v>
      </c>
      <c r="G2094" s="2" t="s">
        <v>121</v>
      </c>
      <c r="L2094" s="2" t="s">
        <v>4008</v>
      </c>
      <c r="M2094" t="s">
        <v>67</v>
      </c>
      <c r="N2094" t="s">
        <v>68</v>
      </c>
      <c r="P2094" s="23">
        <v>66.44</v>
      </c>
      <c r="Q2094" s="4">
        <f t="shared" si="32"/>
        <v>-60</v>
      </c>
      <c r="R2094" s="23" t="s">
        <v>1198</v>
      </c>
    </row>
    <row r="2095" spans="1:20" x14ac:dyDescent="0.25">
      <c r="A2095" s="42">
        <v>45730</v>
      </c>
      <c r="B2095" s="1" t="s">
        <v>2573</v>
      </c>
      <c r="C2095" t="s">
        <v>4009</v>
      </c>
      <c r="D2095" s="22">
        <v>-3986.4</v>
      </c>
      <c r="E2095" t="s">
        <v>35</v>
      </c>
      <c r="F2095" s="2">
        <v>212901001</v>
      </c>
      <c r="G2095" s="2" t="s">
        <v>121</v>
      </c>
      <c r="L2095" s="2" t="s">
        <v>4010</v>
      </c>
      <c r="M2095" t="s">
        <v>67</v>
      </c>
      <c r="N2095" t="s">
        <v>68</v>
      </c>
      <c r="P2095" s="23">
        <v>66.44</v>
      </c>
      <c r="Q2095" s="4">
        <f t="shared" si="32"/>
        <v>-60</v>
      </c>
      <c r="R2095" s="23" t="s">
        <v>1198</v>
      </c>
    </row>
    <row r="2096" spans="1:20" x14ac:dyDescent="0.25">
      <c r="A2096" s="42">
        <v>45730</v>
      </c>
      <c r="B2096" s="1" t="s">
        <v>3924</v>
      </c>
      <c r="C2096" t="s">
        <v>4011</v>
      </c>
      <c r="D2096" s="22">
        <v>-3986.4</v>
      </c>
      <c r="E2096" t="s">
        <v>35</v>
      </c>
      <c r="F2096" s="2">
        <v>212901001</v>
      </c>
      <c r="G2096" s="2" t="s">
        <v>121</v>
      </c>
      <c r="L2096" s="2" t="s">
        <v>4012</v>
      </c>
      <c r="M2096" t="s">
        <v>67</v>
      </c>
      <c r="N2096" t="s">
        <v>68</v>
      </c>
      <c r="P2096" s="23">
        <v>66.44</v>
      </c>
      <c r="Q2096" s="4">
        <f t="shared" si="32"/>
        <v>-60</v>
      </c>
      <c r="R2096" s="23" t="s">
        <v>1198</v>
      </c>
    </row>
    <row r="2097" spans="1:18" x14ac:dyDescent="0.25">
      <c r="A2097" s="42">
        <v>45730</v>
      </c>
      <c r="B2097" s="1" t="s">
        <v>3914</v>
      </c>
      <c r="C2097" t="s">
        <v>4013</v>
      </c>
      <c r="D2097" s="22">
        <v>-3986.4</v>
      </c>
      <c r="E2097" t="s">
        <v>35</v>
      </c>
      <c r="F2097" s="2">
        <v>212901001</v>
      </c>
      <c r="G2097" s="2" t="s">
        <v>121</v>
      </c>
      <c r="L2097" s="2" t="s">
        <v>4014</v>
      </c>
      <c r="M2097" t="s">
        <v>67</v>
      </c>
      <c r="N2097" t="s">
        <v>68</v>
      </c>
      <c r="P2097" s="23">
        <v>66.44</v>
      </c>
      <c r="Q2097" s="4">
        <f t="shared" si="32"/>
        <v>-60</v>
      </c>
      <c r="R2097" s="23" t="s">
        <v>1198</v>
      </c>
    </row>
    <row r="2098" spans="1:18" x14ac:dyDescent="0.25">
      <c r="A2098" s="42">
        <v>45730</v>
      </c>
      <c r="B2098" s="1" t="s">
        <v>4015</v>
      </c>
      <c r="C2098" t="s">
        <v>4016</v>
      </c>
      <c r="D2098" s="22">
        <v>-3322</v>
      </c>
      <c r="E2098" t="s">
        <v>35</v>
      </c>
      <c r="F2098" s="2">
        <v>212901001</v>
      </c>
      <c r="G2098" s="2" t="s">
        <v>121</v>
      </c>
      <c r="L2098" s="2" t="s">
        <v>4017</v>
      </c>
      <c r="M2098" t="s">
        <v>67</v>
      </c>
      <c r="N2098" t="s">
        <v>68</v>
      </c>
      <c r="P2098" s="23">
        <v>66.44</v>
      </c>
      <c r="Q2098" s="4">
        <f t="shared" si="32"/>
        <v>-50</v>
      </c>
      <c r="R2098" s="23" t="s">
        <v>1198</v>
      </c>
    </row>
    <row r="2099" spans="1:18" x14ac:dyDescent="0.25">
      <c r="A2099" s="42">
        <v>45730</v>
      </c>
      <c r="B2099" s="1" t="s">
        <v>4018</v>
      </c>
      <c r="C2099" t="s">
        <v>4019</v>
      </c>
      <c r="D2099" s="22">
        <v>-5315.2</v>
      </c>
      <c r="E2099" t="s">
        <v>35</v>
      </c>
      <c r="F2099" s="2">
        <v>212901001</v>
      </c>
      <c r="G2099" s="2" t="s">
        <v>121</v>
      </c>
      <c r="L2099" s="2" t="s">
        <v>4020</v>
      </c>
      <c r="M2099" t="s">
        <v>67</v>
      </c>
      <c r="N2099" t="s">
        <v>68</v>
      </c>
      <c r="P2099" s="23">
        <v>66.44</v>
      </c>
      <c r="Q2099" s="4">
        <f t="shared" si="32"/>
        <v>-80</v>
      </c>
      <c r="R2099" s="23" t="s">
        <v>1198</v>
      </c>
    </row>
    <row r="2100" spans="1:18" x14ac:dyDescent="0.25">
      <c r="A2100" s="42">
        <v>45730</v>
      </c>
      <c r="B2100" s="1" t="s">
        <v>4021</v>
      </c>
      <c r="C2100" t="s">
        <v>4022</v>
      </c>
      <c r="D2100" s="22">
        <v>-5315.2</v>
      </c>
      <c r="E2100" t="s">
        <v>35</v>
      </c>
      <c r="F2100" s="2">
        <v>212901001</v>
      </c>
      <c r="G2100" s="2" t="s">
        <v>121</v>
      </c>
      <c r="L2100" s="2" t="s">
        <v>4023</v>
      </c>
      <c r="M2100" t="s">
        <v>67</v>
      </c>
      <c r="N2100" t="s">
        <v>68</v>
      </c>
      <c r="P2100" s="23">
        <v>66.44</v>
      </c>
      <c r="Q2100" s="4">
        <f t="shared" si="32"/>
        <v>-80</v>
      </c>
      <c r="R2100" s="23" t="s">
        <v>1198</v>
      </c>
    </row>
    <row r="2101" spans="1:18" x14ac:dyDescent="0.25">
      <c r="A2101" s="42">
        <v>45730</v>
      </c>
      <c r="B2101" s="1" t="s">
        <v>4024</v>
      </c>
      <c r="C2101" t="s">
        <v>4025</v>
      </c>
      <c r="D2101" s="22">
        <v>-2657.6</v>
      </c>
      <c r="E2101" t="s">
        <v>35</v>
      </c>
      <c r="F2101" s="2">
        <v>212901001</v>
      </c>
      <c r="G2101" s="2" t="s">
        <v>121</v>
      </c>
      <c r="L2101" s="2" t="s">
        <v>4026</v>
      </c>
      <c r="M2101" t="s">
        <v>67</v>
      </c>
      <c r="N2101" t="s">
        <v>68</v>
      </c>
      <c r="P2101" s="23">
        <v>66.44</v>
      </c>
      <c r="Q2101" s="4">
        <f t="shared" si="32"/>
        <v>-40</v>
      </c>
      <c r="R2101" s="23" t="s">
        <v>1198</v>
      </c>
    </row>
    <row r="2102" spans="1:18" x14ac:dyDescent="0.25">
      <c r="A2102" s="42">
        <v>45730</v>
      </c>
      <c r="B2102" s="1" t="s">
        <v>4027</v>
      </c>
      <c r="C2102" t="s">
        <v>4028</v>
      </c>
      <c r="D2102" s="22">
        <v>-5315.2</v>
      </c>
      <c r="E2102" t="s">
        <v>35</v>
      </c>
      <c r="F2102" s="2">
        <v>212901001</v>
      </c>
      <c r="G2102" s="2" t="s">
        <v>121</v>
      </c>
      <c r="L2102" s="2" t="s">
        <v>4029</v>
      </c>
      <c r="M2102" t="s">
        <v>67</v>
      </c>
      <c r="N2102" t="s">
        <v>68</v>
      </c>
      <c r="P2102" s="23">
        <v>66.44</v>
      </c>
      <c r="Q2102" s="4">
        <f t="shared" si="32"/>
        <v>-80</v>
      </c>
      <c r="R2102" s="23" t="s">
        <v>1198</v>
      </c>
    </row>
    <row r="2103" spans="1:18" x14ac:dyDescent="0.25">
      <c r="A2103" s="42">
        <v>45730</v>
      </c>
      <c r="B2103" s="1" t="s">
        <v>4030</v>
      </c>
      <c r="C2103" t="s">
        <v>4031</v>
      </c>
      <c r="D2103" s="22">
        <v>-13288</v>
      </c>
      <c r="E2103" t="s">
        <v>35</v>
      </c>
      <c r="F2103" s="2">
        <v>212901001</v>
      </c>
      <c r="G2103" s="2" t="s">
        <v>121</v>
      </c>
      <c r="L2103" s="2" t="s">
        <v>4032</v>
      </c>
      <c r="M2103" t="s">
        <v>67</v>
      </c>
      <c r="N2103" t="s">
        <v>68</v>
      </c>
      <c r="P2103" s="23">
        <v>66.44</v>
      </c>
      <c r="Q2103" s="4">
        <f t="shared" si="32"/>
        <v>-200</v>
      </c>
      <c r="R2103" s="23" t="s">
        <v>1198</v>
      </c>
    </row>
    <row r="2104" spans="1:18" x14ac:dyDescent="0.25">
      <c r="A2104" s="42">
        <v>45730</v>
      </c>
      <c r="B2104" s="1" t="s">
        <v>4033</v>
      </c>
      <c r="C2104" t="s">
        <v>4034</v>
      </c>
      <c r="D2104" s="22">
        <v>-1993.2</v>
      </c>
      <c r="E2104" t="s">
        <v>35</v>
      </c>
      <c r="F2104" s="2">
        <v>212901001</v>
      </c>
      <c r="G2104" s="2" t="s">
        <v>121</v>
      </c>
      <c r="L2104" s="2" t="s">
        <v>4035</v>
      </c>
      <c r="M2104" t="s">
        <v>67</v>
      </c>
      <c r="N2104" t="s">
        <v>68</v>
      </c>
      <c r="P2104" s="23">
        <v>66.44</v>
      </c>
      <c r="Q2104" s="4">
        <f t="shared" si="32"/>
        <v>-30</v>
      </c>
      <c r="R2104" s="23" t="s">
        <v>1198</v>
      </c>
    </row>
    <row r="2105" spans="1:18" x14ac:dyDescent="0.25">
      <c r="A2105" s="42">
        <v>45730</v>
      </c>
      <c r="B2105" s="1" t="s">
        <v>1208</v>
      </c>
      <c r="C2105" t="s">
        <v>4036</v>
      </c>
      <c r="D2105" s="22">
        <v>-3986.4</v>
      </c>
      <c r="E2105" t="s">
        <v>35</v>
      </c>
      <c r="F2105" s="2">
        <v>212901001</v>
      </c>
      <c r="G2105" s="2" t="s">
        <v>121</v>
      </c>
      <c r="L2105" s="2" t="s">
        <v>4037</v>
      </c>
      <c r="M2105" t="s">
        <v>67</v>
      </c>
      <c r="N2105" t="s">
        <v>68</v>
      </c>
      <c r="P2105" s="23">
        <v>66.44</v>
      </c>
      <c r="Q2105" s="4">
        <f t="shared" si="32"/>
        <v>-60</v>
      </c>
      <c r="R2105" s="23" t="s">
        <v>1198</v>
      </c>
    </row>
    <row r="2106" spans="1:18" x14ac:dyDescent="0.25">
      <c r="A2106" s="42">
        <v>45730</v>
      </c>
      <c r="B2106" s="1" t="s">
        <v>2571</v>
      </c>
      <c r="C2106" t="s">
        <v>4038</v>
      </c>
      <c r="D2106" s="22">
        <v>-3986.4</v>
      </c>
      <c r="E2106" t="s">
        <v>35</v>
      </c>
      <c r="F2106" s="2">
        <v>212901001</v>
      </c>
      <c r="G2106" s="2" t="s">
        <v>121</v>
      </c>
      <c r="L2106" s="2" t="s">
        <v>4039</v>
      </c>
      <c r="M2106" t="s">
        <v>67</v>
      </c>
      <c r="N2106" t="s">
        <v>68</v>
      </c>
      <c r="P2106" s="23">
        <v>66.44</v>
      </c>
      <c r="Q2106" s="4">
        <f t="shared" si="32"/>
        <v>-60</v>
      </c>
      <c r="R2106" s="23" t="s">
        <v>1198</v>
      </c>
    </row>
    <row r="2107" spans="1:18" x14ac:dyDescent="0.25">
      <c r="A2107" s="42">
        <v>45730</v>
      </c>
      <c r="B2107" s="1" t="s">
        <v>3943</v>
      </c>
      <c r="C2107" t="s">
        <v>4040</v>
      </c>
      <c r="D2107" s="22">
        <v>-3986.4</v>
      </c>
      <c r="E2107" t="s">
        <v>35</v>
      </c>
      <c r="F2107" s="2">
        <v>212901001</v>
      </c>
      <c r="G2107" s="2" t="s">
        <v>121</v>
      </c>
      <c r="L2107" s="2" t="s">
        <v>4041</v>
      </c>
      <c r="M2107" t="s">
        <v>67</v>
      </c>
      <c r="N2107" t="s">
        <v>68</v>
      </c>
      <c r="P2107" s="23">
        <v>66.44</v>
      </c>
      <c r="Q2107" s="4">
        <f t="shared" si="32"/>
        <v>-60</v>
      </c>
      <c r="R2107" s="23" t="s">
        <v>1198</v>
      </c>
    </row>
    <row r="2108" spans="1:18" x14ac:dyDescent="0.25">
      <c r="A2108" s="42">
        <v>45730</v>
      </c>
      <c r="B2108" s="1" t="s">
        <v>3927</v>
      </c>
      <c r="C2108" t="s">
        <v>4042</v>
      </c>
      <c r="D2108" s="22">
        <v>-3986.4</v>
      </c>
      <c r="E2108" t="s">
        <v>35</v>
      </c>
      <c r="F2108" s="2">
        <v>212901001</v>
      </c>
      <c r="G2108" s="2" t="s">
        <v>121</v>
      </c>
      <c r="L2108" s="2" t="s">
        <v>4043</v>
      </c>
      <c r="M2108" t="s">
        <v>67</v>
      </c>
      <c r="N2108" t="s">
        <v>68</v>
      </c>
      <c r="P2108" s="23">
        <v>66.44</v>
      </c>
      <c r="Q2108" s="4">
        <f t="shared" si="32"/>
        <v>-60</v>
      </c>
      <c r="R2108" s="23" t="s">
        <v>1198</v>
      </c>
    </row>
    <row r="2109" spans="1:18" x14ac:dyDescent="0.25">
      <c r="A2109" s="42">
        <v>45730</v>
      </c>
      <c r="B2109" s="1" t="s">
        <v>3949</v>
      </c>
      <c r="C2109" t="s">
        <v>4044</v>
      </c>
      <c r="D2109" s="22">
        <v>-3986.4</v>
      </c>
      <c r="E2109" t="s">
        <v>35</v>
      </c>
      <c r="F2109" s="2">
        <v>212901001</v>
      </c>
      <c r="G2109" s="2" t="s">
        <v>121</v>
      </c>
      <c r="L2109" s="2" t="s">
        <v>4045</v>
      </c>
      <c r="M2109" t="s">
        <v>67</v>
      </c>
      <c r="N2109" t="s">
        <v>68</v>
      </c>
      <c r="P2109" s="23">
        <v>66.44</v>
      </c>
      <c r="Q2109" s="4">
        <f t="shared" si="32"/>
        <v>-60</v>
      </c>
      <c r="R2109" s="23" t="s">
        <v>1198</v>
      </c>
    </row>
    <row r="2110" spans="1:18" x14ac:dyDescent="0.25">
      <c r="A2110" s="42">
        <v>45730</v>
      </c>
      <c r="B2110" s="1" t="s">
        <v>4046</v>
      </c>
      <c r="C2110" t="s">
        <v>4047</v>
      </c>
      <c r="D2110" s="22">
        <v>-5315.2</v>
      </c>
      <c r="E2110" t="s">
        <v>35</v>
      </c>
      <c r="F2110" s="2">
        <v>212901001</v>
      </c>
      <c r="G2110" s="2" t="s">
        <v>121</v>
      </c>
      <c r="L2110" s="2" t="s">
        <v>4048</v>
      </c>
      <c r="M2110" t="s">
        <v>67</v>
      </c>
      <c r="N2110" t="s">
        <v>68</v>
      </c>
      <c r="P2110" s="23">
        <v>66.44</v>
      </c>
      <c r="Q2110" s="4">
        <f t="shared" si="32"/>
        <v>-80</v>
      </c>
      <c r="R2110" s="23" t="s">
        <v>1198</v>
      </c>
    </row>
    <row r="2111" spans="1:18" x14ac:dyDescent="0.25">
      <c r="A2111" s="42">
        <v>45730</v>
      </c>
      <c r="B2111" s="1" t="s">
        <v>4049</v>
      </c>
      <c r="C2111" t="s">
        <v>4050</v>
      </c>
      <c r="D2111" s="22">
        <v>-2790.48</v>
      </c>
      <c r="E2111" t="s">
        <v>35</v>
      </c>
      <c r="F2111" s="2">
        <v>212901001</v>
      </c>
      <c r="G2111" s="2" t="s">
        <v>121</v>
      </c>
      <c r="L2111" s="2" t="s">
        <v>4051</v>
      </c>
      <c r="M2111" t="s">
        <v>67</v>
      </c>
      <c r="N2111" t="s">
        <v>68</v>
      </c>
      <c r="P2111" s="23">
        <v>66.44</v>
      </c>
      <c r="Q2111" s="4">
        <f t="shared" si="32"/>
        <v>-42</v>
      </c>
      <c r="R2111" s="23" t="s">
        <v>1198</v>
      </c>
    </row>
    <row r="2112" spans="1:18" x14ac:dyDescent="0.25">
      <c r="A2112" s="42">
        <v>45730</v>
      </c>
      <c r="B2112" s="1" t="s">
        <v>4052</v>
      </c>
      <c r="C2112" t="s">
        <v>4053</v>
      </c>
      <c r="D2112" s="22">
        <v>-3322</v>
      </c>
      <c r="E2112" t="s">
        <v>35</v>
      </c>
      <c r="F2112" s="2">
        <v>212901001</v>
      </c>
      <c r="G2112" s="2" t="s">
        <v>121</v>
      </c>
      <c r="L2112" s="2" t="s">
        <v>4054</v>
      </c>
      <c r="M2112" t="s">
        <v>67</v>
      </c>
      <c r="N2112" t="s">
        <v>68</v>
      </c>
      <c r="P2112" s="23">
        <v>66.44</v>
      </c>
      <c r="Q2112" s="4">
        <f t="shared" si="32"/>
        <v>-50</v>
      </c>
      <c r="R2112" s="23" t="s">
        <v>1198</v>
      </c>
    </row>
    <row r="2113" spans="1:18" x14ac:dyDescent="0.25">
      <c r="A2113" s="42">
        <v>45730</v>
      </c>
      <c r="B2113" s="1" t="s">
        <v>4055</v>
      </c>
      <c r="C2113" t="s">
        <v>4056</v>
      </c>
      <c r="D2113" s="22">
        <v>-2657.6</v>
      </c>
      <c r="E2113" t="s">
        <v>35</v>
      </c>
      <c r="F2113" s="2">
        <v>212901001</v>
      </c>
      <c r="G2113" s="2" t="s">
        <v>121</v>
      </c>
      <c r="L2113" s="2" t="s">
        <v>4057</v>
      </c>
      <c r="M2113" t="s">
        <v>67</v>
      </c>
      <c r="N2113" t="s">
        <v>68</v>
      </c>
      <c r="P2113" s="23">
        <v>66.44</v>
      </c>
      <c r="Q2113" s="4">
        <f t="shared" si="32"/>
        <v>-40</v>
      </c>
      <c r="R2113" s="23" t="s">
        <v>1198</v>
      </c>
    </row>
    <row r="2114" spans="1:18" x14ac:dyDescent="0.25">
      <c r="A2114" s="42">
        <v>45730</v>
      </c>
      <c r="B2114" s="1" t="s">
        <v>4058</v>
      </c>
      <c r="C2114" t="s">
        <v>4059</v>
      </c>
      <c r="D2114" s="22">
        <v>-2657.6</v>
      </c>
      <c r="E2114" t="s">
        <v>35</v>
      </c>
      <c r="F2114" s="2">
        <v>212901001</v>
      </c>
      <c r="G2114" s="2" t="s">
        <v>121</v>
      </c>
      <c r="L2114" s="2" t="s">
        <v>4060</v>
      </c>
      <c r="M2114" t="s">
        <v>67</v>
      </c>
      <c r="N2114" t="s">
        <v>68</v>
      </c>
      <c r="P2114" s="23">
        <v>66.44</v>
      </c>
      <c r="Q2114" s="4">
        <f t="shared" si="32"/>
        <v>-40</v>
      </c>
      <c r="R2114" s="23" t="s">
        <v>1198</v>
      </c>
    </row>
    <row r="2115" spans="1:18" x14ac:dyDescent="0.25">
      <c r="A2115" s="42">
        <v>45730</v>
      </c>
      <c r="B2115" s="1" t="s">
        <v>4061</v>
      </c>
      <c r="C2115" t="s">
        <v>4062</v>
      </c>
      <c r="D2115" s="22">
        <v>-9966</v>
      </c>
      <c r="E2115" t="s">
        <v>35</v>
      </c>
      <c r="F2115" s="2">
        <v>212901001</v>
      </c>
      <c r="G2115" s="2" t="s">
        <v>121</v>
      </c>
      <c r="L2115" s="2" t="s">
        <v>4063</v>
      </c>
      <c r="M2115" t="s">
        <v>67</v>
      </c>
      <c r="N2115" t="s">
        <v>68</v>
      </c>
      <c r="P2115" s="23">
        <v>66.44</v>
      </c>
      <c r="Q2115" s="4">
        <f t="shared" si="32"/>
        <v>-150</v>
      </c>
      <c r="R2115" s="23" t="s">
        <v>1198</v>
      </c>
    </row>
    <row r="2116" spans="1:18" x14ac:dyDescent="0.25">
      <c r="A2116" s="42">
        <v>45730</v>
      </c>
      <c r="B2116" s="1" t="s">
        <v>4064</v>
      </c>
      <c r="C2116" t="s">
        <v>4065</v>
      </c>
      <c r="D2116" s="22">
        <v>-3322</v>
      </c>
      <c r="E2116" t="s">
        <v>35</v>
      </c>
      <c r="F2116" s="2">
        <v>212901001</v>
      </c>
      <c r="G2116" s="2" t="s">
        <v>121</v>
      </c>
      <c r="L2116" s="2" t="s">
        <v>4066</v>
      </c>
      <c r="M2116" t="s">
        <v>67</v>
      </c>
      <c r="N2116" t="s">
        <v>68</v>
      </c>
      <c r="P2116" s="23">
        <v>66.44</v>
      </c>
      <c r="Q2116" s="4">
        <f t="shared" si="32"/>
        <v>-50</v>
      </c>
      <c r="R2116" s="23" t="s">
        <v>1198</v>
      </c>
    </row>
    <row r="2117" spans="1:18" x14ac:dyDescent="0.25">
      <c r="A2117" s="42">
        <v>45730</v>
      </c>
      <c r="B2117" s="1" t="s">
        <v>4067</v>
      </c>
      <c r="C2117" t="s">
        <v>4068</v>
      </c>
      <c r="D2117" s="22">
        <v>-3322</v>
      </c>
      <c r="E2117" t="s">
        <v>35</v>
      </c>
      <c r="F2117" s="2">
        <v>212901001</v>
      </c>
      <c r="G2117" s="2" t="s">
        <v>121</v>
      </c>
      <c r="L2117" s="2" t="s">
        <v>4069</v>
      </c>
      <c r="M2117" t="s">
        <v>67</v>
      </c>
      <c r="N2117" t="s">
        <v>68</v>
      </c>
      <c r="P2117" s="23">
        <v>66.44</v>
      </c>
      <c r="Q2117" s="4">
        <f t="shared" si="32"/>
        <v>-50</v>
      </c>
      <c r="R2117" s="23" t="s">
        <v>1198</v>
      </c>
    </row>
    <row r="2118" spans="1:18" x14ac:dyDescent="0.25">
      <c r="A2118" s="42">
        <v>45730</v>
      </c>
      <c r="B2118" s="1" t="s">
        <v>4070</v>
      </c>
      <c r="C2118" t="s">
        <v>4071</v>
      </c>
      <c r="D2118" s="22">
        <v>-2657.6</v>
      </c>
      <c r="E2118" t="s">
        <v>35</v>
      </c>
      <c r="F2118" s="2">
        <v>212901001</v>
      </c>
      <c r="G2118" s="2" t="s">
        <v>121</v>
      </c>
      <c r="L2118" s="2" t="s">
        <v>4072</v>
      </c>
      <c r="M2118" t="s">
        <v>67</v>
      </c>
      <c r="N2118" t="s">
        <v>68</v>
      </c>
      <c r="P2118" s="23">
        <v>66.44</v>
      </c>
      <c r="Q2118" s="4">
        <f t="shared" si="32"/>
        <v>-40</v>
      </c>
      <c r="R2118" s="23" t="s">
        <v>1198</v>
      </c>
    </row>
    <row r="2119" spans="1:18" x14ac:dyDescent="0.25">
      <c r="A2119" s="42">
        <v>45730</v>
      </c>
      <c r="B2119" s="1" t="s">
        <v>4073</v>
      </c>
      <c r="C2119" t="s">
        <v>4074</v>
      </c>
      <c r="D2119" s="22">
        <v>-7308.4</v>
      </c>
      <c r="E2119" t="s">
        <v>35</v>
      </c>
      <c r="F2119" s="2">
        <v>212901001</v>
      </c>
      <c r="G2119" s="2" t="s">
        <v>121</v>
      </c>
      <c r="L2119" s="2" t="s">
        <v>4075</v>
      </c>
      <c r="M2119" t="s">
        <v>67</v>
      </c>
      <c r="N2119" t="s">
        <v>68</v>
      </c>
      <c r="P2119" s="23">
        <v>66.44</v>
      </c>
      <c r="Q2119" s="4">
        <f t="shared" si="32"/>
        <v>-110</v>
      </c>
      <c r="R2119" s="23" t="s">
        <v>1198</v>
      </c>
    </row>
    <row r="2120" spans="1:18" x14ac:dyDescent="0.25">
      <c r="A2120" s="42">
        <v>45730</v>
      </c>
      <c r="B2120" s="1" t="s">
        <v>4076</v>
      </c>
      <c r="C2120" t="s">
        <v>4077</v>
      </c>
      <c r="D2120" s="22">
        <v>-1195.92</v>
      </c>
      <c r="E2120" t="s">
        <v>35</v>
      </c>
      <c r="F2120" s="2">
        <v>212901001</v>
      </c>
      <c r="G2120" s="2" t="s">
        <v>121</v>
      </c>
      <c r="L2120" s="2" t="s">
        <v>4078</v>
      </c>
      <c r="M2120" t="s">
        <v>67</v>
      </c>
      <c r="N2120" t="s">
        <v>68</v>
      </c>
      <c r="P2120" s="23">
        <v>66.44</v>
      </c>
      <c r="Q2120" s="4">
        <f t="shared" si="32"/>
        <v>-18</v>
      </c>
      <c r="R2120" s="23" t="s">
        <v>1198</v>
      </c>
    </row>
    <row r="2121" spans="1:18" x14ac:dyDescent="0.25">
      <c r="A2121" s="42">
        <v>45730</v>
      </c>
      <c r="B2121" s="1" t="s">
        <v>4079</v>
      </c>
      <c r="C2121" t="s">
        <v>4080</v>
      </c>
      <c r="D2121" s="22">
        <v>-3322</v>
      </c>
      <c r="E2121" t="s">
        <v>35</v>
      </c>
      <c r="F2121" s="2">
        <v>212901001</v>
      </c>
      <c r="G2121" s="2" t="s">
        <v>121</v>
      </c>
      <c r="L2121" s="2" t="s">
        <v>4081</v>
      </c>
      <c r="M2121" t="s">
        <v>67</v>
      </c>
      <c r="N2121" t="s">
        <v>68</v>
      </c>
      <c r="P2121" s="23">
        <v>66.44</v>
      </c>
      <c r="Q2121" s="4">
        <f t="shared" si="32"/>
        <v>-50</v>
      </c>
      <c r="R2121" s="23" t="s">
        <v>1198</v>
      </c>
    </row>
    <row r="2122" spans="1:18" x14ac:dyDescent="0.25">
      <c r="A2122" s="42">
        <v>45730</v>
      </c>
      <c r="B2122" s="1" t="s">
        <v>4082</v>
      </c>
      <c r="C2122" t="s">
        <v>4083</v>
      </c>
      <c r="D2122" s="22">
        <v>-1328.8</v>
      </c>
      <c r="E2122" t="s">
        <v>35</v>
      </c>
      <c r="F2122" s="2">
        <v>212901001</v>
      </c>
      <c r="G2122" s="2" t="s">
        <v>121</v>
      </c>
      <c r="L2122" s="2" t="s">
        <v>4084</v>
      </c>
      <c r="M2122" t="s">
        <v>67</v>
      </c>
      <c r="N2122" t="s">
        <v>68</v>
      </c>
      <c r="P2122" s="23">
        <v>66.44</v>
      </c>
      <c r="Q2122" s="4">
        <f t="shared" si="32"/>
        <v>-20</v>
      </c>
      <c r="R2122" s="23" t="s">
        <v>1198</v>
      </c>
    </row>
    <row r="2123" spans="1:18" x14ac:dyDescent="0.25">
      <c r="A2123" s="42">
        <v>45730</v>
      </c>
      <c r="B2123" s="1" t="s">
        <v>4085</v>
      </c>
      <c r="C2123" t="s">
        <v>4086</v>
      </c>
      <c r="D2123" s="22">
        <v>-1328.8</v>
      </c>
      <c r="E2123" t="s">
        <v>35</v>
      </c>
      <c r="F2123" s="2">
        <v>212901001</v>
      </c>
      <c r="G2123" s="2" t="s">
        <v>121</v>
      </c>
      <c r="L2123" s="2" t="s">
        <v>4087</v>
      </c>
      <c r="M2123" t="s">
        <v>67</v>
      </c>
      <c r="N2123" t="s">
        <v>68</v>
      </c>
      <c r="P2123" s="23">
        <v>66.44</v>
      </c>
      <c r="Q2123" s="4">
        <f t="shared" ref="Q2123:Q2186" si="33">D2123/P2123</f>
        <v>-20</v>
      </c>
      <c r="R2123" s="23" t="s">
        <v>1198</v>
      </c>
    </row>
    <row r="2124" spans="1:18" x14ac:dyDescent="0.25">
      <c r="A2124" s="42">
        <v>45730</v>
      </c>
      <c r="B2124" s="1" t="s">
        <v>4088</v>
      </c>
      <c r="C2124" t="s">
        <v>4089</v>
      </c>
      <c r="D2124" s="22">
        <v>-6644</v>
      </c>
      <c r="E2124" t="s">
        <v>35</v>
      </c>
      <c r="F2124" s="2">
        <v>212901001</v>
      </c>
      <c r="G2124" s="2" t="s">
        <v>121</v>
      </c>
      <c r="L2124" s="2" t="s">
        <v>4090</v>
      </c>
      <c r="M2124" t="s">
        <v>67</v>
      </c>
      <c r="N2124" t="s">
        <v>68</v>
      </c>
      <c r="P2124" s="23">
        <v>66.44</v>
      </c>
      <c r="Q2124" s="4">
        <f t="shared" si="33"/>
        <v>-100</v>
      </c>
      <c r="R2124" s="23" t="s">
        <v>1198</v>
      </c>
    </row>
    <row r="2125" spans="1:18" x14ac:dyDescent="0.25">
      <c r="A2125" s="42">
        <v>45730</v>
      </c>
      <c r="B2125" s="1" t="s">
        <v>4091</v>
      </c>
      <c r="C2125" t="s">
        <v>4092</v>
      </c>
      <c r="D2125" s="22">
        <v>-5315.2</v>
      </c>
      <c r="E2125" t="s">
        <v>35</v>
      </c>
      <c r="F2125" s="2">
        <v>212901001</v>
      </c>
      <c r="G2125" s="2" t="s">
        <v>121</v>
      </c>
      <c r="L2125" s="2" t="s">
        <v>4093</v>
      </c>
      <c r="M2125" t="s">
        <v>67</v>
      </c>
      <c r="N2125" t="s">
        <v>68</v>
      </c>
      <c r="P2125" s="23">
        <v>66.44</v>
      </c>
      <c r="Q2125" s="4">
        <f t="shared" si="33"/>
        <v>-80</v>
      </c>
      <c r="R2125" s="23" t="s">
        <v>1198</v>
      </c>
    </row>
    <row r="2126" spans="1:18" x14ac:dyDescent="0.25">
      <c r="A2126" s="42">
        <v>45730</v>
      </c>
      <c r="B2126" s="1" t="s">
        <v>4094</v>
      </c>
      <c r="C2126" t="s">
        <v>4095</v>
      </c>
      <c r="D2126" s="22">
        <v>-3322</v>
      </c>
      <c r="E2126" t="s">
        <v>35</v>
      </c>
      <c r="F2126" s="2">
        <v>212901001</v>
      </c>
      <c r="G2126" s="2" t="s">
        <v>121</v>
      </c>
      <c r="L2126" s="2" t="s">
        <v>4096</v>
      </c>
      <c r="M2126" t="s">
        <v>67</v>
      </c>
      <c r="N2126" t="s">
        <v>68</v>
      </c>
      <c r="P2126" s="23">
        <v>66.44</v>
      </c>
      <c r="Q2126" s="4">
        <f t="shared" si="33"/>
        <v>-50</v>
      </c>
      <c r="R2126" s="23" t="s">
        <v>1198</v>
      </c>
    </row>
    <row r="2127" spans="1:18" x14ac:dyDescent="0.25">
      <c r="A2127" s="42">
        <v>45730</v>
      </c>
      <c r="B2127" s="1" t="s">
        <v>4097</v>
      </c>
      <c r="C2127" t="s">
        <v>4098</v>
      </c>
      <c r="D2127" s="22">
        <v>-6644</v>
      </c>
      <c r="E2127" t="s">
        <v>35</v>
      </c>
      <c r="F2127" s="2">
        <v>212901001</v>
      </c>
      <c r="G2127" s="2" t="s">
        <v>121</v>
      </c>
      <c r="L2127" s="2" t="s">
        <v>4099</v>
      </c>
      <c r="M2127" t="s">
        <v>67</v>
      </c>
      <c r="N2127" t="s">
        <v>68</v>
      </c>
      <c r="P2127" s="23">
        <v>66.44</v>
      </c>
      <c r="Q2127" s="4">
        <f t="shared" si="33"/>
        <v>-100</v>
      </c>
      <c r="R2127" s="23" t="s">
        <v>1198</v>
      </c>
    </row>
    <row r="2128" spans="1:18" x14ac:dyDescent="0.25">
      <c r="A2128" s="42">
        <v>45730</v>
      </c>
      <c r="B2128" s="1" t="s">
        <v>4100</v>
      </c>
      <c r="C2128" t="s">
        <v>4101</v>
      </c>
      <c r="D2128" s="22">
        <v>-3322</v>
      </c>
      <c r="E2128" t="s">
        <v>35</v>
      </c>
      <c r="F2128" s="2">
        <v>212901001</v>
      </c>
      <c r="G2128" s="2" t="s">
        <v>121</v>
      </c>
      <c r="L2128" s="2" t="s">
        <v>4102</v>
      </c>
      <c r="M2128" t="s">
        <v>67</v>
      </c>
      <c r="N2128" t="s">
        <v>68</v>
      </c>
      <c r="P2128" s="23">
        <v>66.44</v>
      </c>
      <c r="Q2128" s="4">
        <f t="shared" si="33"/>
        <v>-50</v>
      </c>
      <c r="R2128" s="23" t="s">
        <v>1198</v>
      </c>
    </row>
    <row r="2129" spans="1:18" x14ac:dyDescent="0.25">
      <c r="A2129" s="42">
        <v>45730</v>
      </c>
      <c r="B2129" s="1" t="s">
        <v>4103</v>
      </c>
      <c r="C2129" t="s">
        <v>4104</v>
      </c>
      <c r="D2129" s="22">
        <v>-3322</v>
      </c>
      <c r="E2129" t="s">
        <v>35</v>
      </c>
      <c r="F2129" s="2">
        <v>212901001</v>
      </c>
      <c r="G2129" s="2" t="s">
        <v>121</v>
      </c>
      <c r="L2129" s="2" t="s">
        <v>4105</v>
      </c>
      <c r="M2129" t="s">
        <v>67</v>
      </c>
      <c r="N2129" t="s">
        <v>68</v>
      </c>
      <c r="P2129" s="23">
        <v>66.44</v>
      </c>
      <c r="Q2129" s="4">
        <f t="shared" si="33"/>
        <v>-50</v>
      </c>
      <c r="R2129" s="23" t="s">
        <v>1198</v>
      </c>
    </row>
    <row r="2130" spans="1:18" x14ac:dyDescent="0.25">
      <c r="A2130" s="42">
        <v>45730</v>
      </c>
      <c r="B2130" s="1" t="s">
        <v>3936</v>
      </c>
      <c r="C2130" t="s">
        <v>4106</v>
      </c>
      <c r="D2130" s="22">
        <v>-3986.4</v>
      </c>
      <c r="E2130" t="s">
        <v>35</v>
      </c>
      <c r="F2130" s="2">
        <v>212901001</v>
      </c>
      <c r="G2130" s="2" t="s">
        <v>121</v>
      </c>
      <c r="L2130" s="2" t="s">
        <v>4107</v>
      </c>
      <c r="M2130" t="s">
        <v>67</v>
      </c>
      <c r="N2130" t="s">
        <v>68</v>
      </c>
      <c r="P2130" s="23">
        <v>66.44</v>
      </c>
      <c r="Q2130" s="4">
        <f t="shared" si="33"/>
        <v>-60</v>
      </c>
      <c r="R2130" s="23" t="s">
        <v>1198</v>
      </c>
    </row>
    <row r="2131" spans="1:18" x14ac:dyDescent="0.25">
      <c r="A2131" s="42">
        <v>45730</v>
      </c>
      <c r="B2131" s="1" t="s">
        <v>4108</v>
      </c>
      <c r="C2131" t="s">
        <v>4109</v>
      </c>
      <c r="D2131" s="22">
        <v>-9966</v>
      </c>
      <c r="E2131" t="s">
        <v>35</v>
      </c>
      <c r="F2131" s="2">
        <v>212901001</v>
      </c>
      <c r="G2131" s="2" t="s">
        <v>121</v>
      </c>
      <c r="L2131" s="2" t="s">
        <v>4110</v>
      </c>
      <c r="M2131" t="s">
        <v>67</v>
      </c>
      <c r="N2131" t="s">
        <v>68</v>
      </c>
      <c r="P2131" s="23">
        <v>66.44</v>
      </c>
      <c r="Q2131" s="4">
        <f t="shared" si="33"/>
        <v>-150</v>
      </c>
      <c r="R2131" s="23" t="s">
        <v>1198</v>
      </c>
    </row>
    <row r="2132" spans="1:18" x14ac:dyDescent="0.25">
      <c r="A2132" s="42">
        <v>45730</v>
      </c>
      <c r="B2132" s="1" t="s">
        <v>4111</v>
      </c>
      <c r="C2132" t="s">
        <v>4112</v>
      </c>
      <c r="D2132" s="22">
        <v>-3322</v>
      </c>
      <c r="E2132" t="s">
        <v>35</v>
      </c>
      <c r="F2132" s="2">
        <v>212901001</v>
      </c>
      <c r="G2132" s="2" t="s">
        <v>121</v>
      </c>
      <c r="L2132" s="2" t="s">
        <v>4113</v>
      </c>
      <c r="M2132" t="s">
        <v>67</v>
      </c>
      <c r="N2132" t="s">
        <v>68</v>
      </c>
      <c r="P2132" s="23">
        <v>66.44</v>
      </c>
      <c r="Q2132" s="4">
        <f t="shared" si="33"/>
        <v>-50</v>
      </c>
      <c r="R2132" s="23" t="s">
        <v>1198</v>
      </c>
    </row>
    <row r="2133" spans="1:18" x14ac:dyDescent="0.25">
      <c r="A2133" s="42">
        <v>45730</v>
      </c>
      <c r="B2133" s="1" t="s">
        <v>4114</v>
      </c>
      <c r="C2133" t="s">
        <v>4095</v>
      </c>
      <c r="D2133" s="22">
        <v>-3322</v>
      </c>
      <c r="E2133" t="s">
        <v>35</v>
      </c>
      <c r="F2133" s="2">
        <v>212901001</v>
      </c>
      <c r="G2133" s="2" t="s">
        <v>121</v>
      </c>
      <c r="L2133" s="2" t="s">
        <v>4115</v>
      </c>
      <c r="M2133" t="s">
        <v>67</v>
      </c>
      <c r="N2133" t="s">
        <v>68</v>
      </c>
      <c r="P2133" s="23">
        <v>66.44</v>
      </c>
      <c r="Q2133" s="4">
        <f t="shared" si="33"/>
        <v>-50</v>
      </c>
      <c r="R2133" s="23" t="s">
        <v>1198</v>
      </c>
    </row>
    <row r="2134" spans="1:18" x14ac:dyDescent="0.25">
      <c r="A2134" s="42">
        <v>45730</v>
      </c>
      <c r="B2134" s="1" t="s">
        <v>4116</v>
      </c>
      <c r="C2134" t="s">
        <v>4117</v>
      </c>
      <c r="D2134" s="22">
        <v>-2657.6</v>
      </c>
      <c r="E2134" t="s">
        <v>35</v>
      </c>
      <c r="F2134" s="2">
        <v>212901001</v>
      </c>
      <c r="G2134" s="2" t="s">
        <v>121</v>
      </c>
      <c r="L2134" s="2" t="s">
        <v>4118</v>
      </c>
      <c r="M2134" t="s">
        <v>67</v>
      </c>
      <c r="N2134" t="s">
        <v>68</v>
      </c>
      <c r="P2134" s="23">
        <v>66.44</v>
      </c>
      <c r="Q2134" s="4">
        <f t="shared" si="33"/>
        <v>-40</v>
      </c>
      <c r="R2134" s="23" t="s">
        <v>1198</v>
      </c>
    </row>
    <row r="2135" spans="1:18" x14ac:dyDescent="0.25">
      <c r="A2135" s="42">
        <v>45730</v>
      </c>
      <c r="B2135" s="1" t="s">
        <v>4119</v>
      </c>
      <c r="C2135" t="s">
        <v>4120</v>
      </c>
      <c r="D2135" s="22">
        <v>-4650.8</v>
      </c>
      <c r="E2135" t="s">
        <v>35</v>
      </c>
      <c r="F2135" s="2">
        <v>212901001</v>
      </c>
      <c r="G2135" s="2" t="s">
        <v>121</v>
      </c>
      <c r="L2135" s="2" t="s">
        <v>4121</v>
      </c>
      <c r="M2135" t="s">
        <v>67</v>
      </c>
      <c r="N2135" t="s">
        <v>68</v>
      </c>
      <c r="P2135" s="23">
        <v>66.44</v>
      </c>
      <c r="Q2135" s="4">
        <f t="shared" si="33"/>
        <v>-70</v>
      </c>
      <c r="R2135" s="23" t="s">
        <v>1198</v>
      </c>
    </row>
    <row r="2136" spans="1:18" x14ac:dyDescent="0.25">
      <c r="A2136" s="42">
        <v>45730</v>
      </c>
      <c r="B2136" s="1" t="s">
        <v>4122</v>
      </c>
      <c r="C2136" t="s">
        <v>4123</v>
      </c>
      <c r="D2136" s="22">
        <v>-3322</v>
      </c>
      <c r="E2136" t="s">
        <v>35</v>
      </c>
      <c r="F2136" s="2">
        <v>212901001</v>
      </c>
      <c r="G2136" s="2" t="s">
        <v>121</v>
      </c>
      <c r="L2136" s="2" t="s">
        <v>4124</v>
      </c>
      <c r="M2136" t="s">
        <v>67</v>
      </c>
      <c r="N2136" t="s">
        <v>68</v>
      </c>
      <c r="P2136" s="23">
        <v>66.44</v>
      </c>
      <c r="Q2136" s="4">
        <f t="shared" si="33"/>
        <v>-50</v>
      </c>
      <c r="R2136" s="23" t="s">
        <v>1198</v>
      </c>
    </row>
    <row r="2137" spans="1:18" x14ac:dyDescent="0.25">
      <c r="A2137" s="42">
        <v>45730</v>
      </c>
      <c r="B2137" s="1" t="s">
        <v>3917</v>
      </c>
      <c r="C2137" t="s">
        <v>4125</v>
      </c>
      <c r="D2137" s="22">
        <v>-3986.4</v>
      </c>
      <c r="E2137" t="s">
        <v>35</v>
      </c>
      <c r="F2137" s="2">
        <v>212901001</v>
      </c>
      <c r="G2137" s="2" t="s">
        <v>121</v>
      </c>
      <c r="L2137" s="2" t="s">
        <v>4126</v>
      </c>
      <c r="M2137" t="s">
        <v>67</v>
      </c>
      <c r="N2137" t="s">
        <v>68</v>
      </c>
      <c r="P2137" s="23">
        <v>66.44</v>
      </c>
      <c r="Q2137" s="4">
        <f t="shared" si="33"/>
        <v>-60</v>
      </c>
      <c r="R2137" s="23" t="s">
        <v>1198</v>
      </c>
    </row>
    <row r="2138" spans="1:18" x14ac:dyDescent="0.25">
      <c r="A2138" s="42">
        <v>45730</v>
      </c>
      <c r="B2138" s="1" t="s">
        <v>4127</v>
      </c>
      <c r="C2138" t="s">
        <v>4128</v>
      </c>
      <c r="D2138" s="22">
        <v>-5315.2</v>
      </c>
      <c r="E2138" t="s">
        <v>35</v>
      </c>
      <c r="F2138" s="2">
        <v>212901001</v>
      </c>
      <c r="G2138" s="2" t="s">
        <v>121</v>
      </c>
      <c r="L2138" s="2" t="s">
        <v>4129</v>
      </c>
      <c r="M2138" t="s">
        <v>67</v>
      </c>
      <c r="N2138" t="s">
        <v>68</v>
      </c>
      <c r="P2138" s="23">
        <v>66.44</v>
      </c>
      <c r="Q2138" s="4">
        <f t="shared" si="33"/>
        <v>-80</v>
      </c>
      <c r="R2138" s="23" t="s">
        <v>1198</v>
      </c>
    </row>
    <row r="2139" spans="1:18" x14ac:dyDescent="0.25">
      <c r="A2139" s="42">
        <v>45730</v>
      </c>
      <c r="B2139" s="1" t="s">
        <v>4130</v>
      </c>
      <c r="C2139" t="s">
        <v>4131</v>
      </c>
      <c r="D2139" s="22">
        <v>-2657.6</v>
      </c>
      <c r="E2139" t="s">
        <v>35</v>
      </c>
      <c r="F2139" s="2">
        <v>212901001</v>
      </c>
      <c r="G2139" s="2" t="s">
        <v>121</v>
      </c>
      <c r="L2139" s="2" t="s">
        <v>4132</v>
      </c>
      <c r="M2139" t="s">
        <v>67</v>
      </c>
      <c r="N2139" t="s">
        <v>68</v>
      </c>
      <c r="P2139" s="23">
        <v>66.44</v>
      </c>
      <c r="Q2139" s="4">
        <f t="shared" si="33"/>
        <v>-40</v>
      </c>
      <c r="R2139" s="23" t="s">
        <v>1198</v>
      </c>
    </row>
    <row r="2140" spans="1:18" x14ac:dyDescent="0.25">
      <c r="A2140" s="42">
        <v>45730</v>
      </c>
      <c r="B2140" s="1" t="s">
        <v>4133</v>
      </c>
      <c r="C2140" t="s">
        <v>4134</v>
      </c>
      <c r="D2140" s="22">
        <v>-6644</v>
      </c>
      <c r="E2140" t="s">
        <v>35</v>
      </c>
      <c r="F2140" s="2">
        <v>212901001</v>
      </c>
      <c r="G2140" s="2" t="s">
        <v>121</v>
      </c>
      <c r="L2140" s="2" t="s">
        <v>4135</v>
      </c>
      <c r="M2140" t="s">
        <v>67</v>
      </c>
      <c r="N2140" t="s">
        <v>68</v>
      </c>
      <c r="P2140" s="23">
        <v>66.44</v>
      </c>
      <c r="Q2140" s="4">
        <f t="shared" si="33"/>
        <v>-100</v>
      </c>
      <c r="R2140" s="23" t="s">
        <v>1198</v>
      </c>
    </row>
    <row r="2141" spans="1:18" x14ac:dyDescent="0.25">
      <c r="A2141" s="42">
        <v>45730</v>
      </c>
      <c r="B2141" s="1" t="s">
        <v>4136</v>
      </c>
      <c r="C2141" t="s">
        <v>4137</v>
      </c>
      <c r="D2141" s="22">
        <v>-4650.8</v>
      </c>
      <c r="E2141" t="s">
        <v>35</v>
      </c>
      <c r="F2141" s="2">
        <v>212901001</v>
      </c>
      <c r="G2141" s="2" t="s">
        <v>121</v>
      </c>
      <c r="L2141" s="2" t="s">
        <v>4138</v>
      </c>
      <c r="M2141" t="s">
        <v>67</v>
      </c>
      <c r="N2141" t="s">
        <v>68</v>
      </c>
      <c r="P2141" s="23">
        <v>66.44</v>
      </c>
      <c r="Q2141" s="4">
        <f t="shared" si="33"/>
        <v>-70</v>
      </c>
      <c r="R2141" s="23" t="s">
        <v>1198</v>
      </c>
    </row>
    <row r="2142" spans="1:18" x14ac:dyDescent="0.25">
      <c r="A2142" s="42">
        <v>45730</v>
      </c>
      <c r="B2142" s="1" t="s">
        <v>4139</v>
      </c>
      <c r="C2142" t="s">
        <v>4140</v>
      </c>
      <c r="D2142" s="22">
        <v>-3322</v>
      </c>
      <c r="E2142" t="s">
        <v>35</v>
      </c>
      <c r="F2142" s="2">
        <v>212901001</v>
      </c>
      <c r="G2142" s="2" t="s">
        <v>121</v>
      </c>
      <c r="L2142" s="2" t="s">
        <v>4141</v>
      </c>
      <c r="M2142" t="s">
        <v>67</v>
      </c>
      <c r="N2142" t="s">
        <v>68</v>
      </c>
      <c r="P2142" s="23">
        <v>66.44</v>
      </c>
      <c r="Q2142" s="4">
        <f t="shared" si="33"/>
        <v>-50</v>
      </c>
      <c r="R2142" s="23" t="s">
        <v>1198</v>
      </c>
    </row>
    <row r="2143" spans="1:18" x14ac:dyDescent="0.25">
      <c r="A2143" s="42">
        <v>45730</v>
      </c>
      <c r="B2143" s="1" t="s">
        <v>4142</v>
      </c>
      <c r="C2143" t="s">
        <v>4143</v>
      </c>
      <c r="D2143" s="22">
        <v>-3322</v>
      </c>
      <c r="E2143" t="s">
        <v>35</v>
      </c>
      <c r="F2143" s="2">
        <v>212901001</v>
      </c>
      <c r="G2143" s="2" t="s">
        <v>121</v>
      </c>
      <c r="L2143" s="2" t="s">
        <v>4144</v>
      </c>
      <c r="M2143" t="s">
        <v>67</v>
      </c>
      <c r="N2143" t="s">
        <v>68</v>
      </c>
      <c r="P2143" s="23">
        <v>66.44</v>
      </c>
      <c r="Q2143" s="4">
        <f t="shared" si="33"/>
        <v>-50</v>
      </c>
      <c r="R2143" s="23" t="s">
        <v>1198</v>
      </c>
    </row>
    <row r="2144" spans="1:18" x14ac:dyDescent="0.25">
      <c r="A2144" s="42">
        <v>45730</v>
      </c>
      <c r="B2144" s="1" t="s">
        <v>4145</v>
      </c>
      <c r="C2144" t="s">
        <v>4146</v>
      </c>
      <c r="D2144" s="22">
        <v>-1328.8</v>
      </c>
      <c r="E2144" t="s">
        <v>35</v>
      </c>
      <c r="F2144" s="2">
        <v>212901001</v>
      </c>
      <c r="G2144" s="2" t="s">
        <v>121</v>
      </c>
      <c r="L2144" s="2" t="s">
        <v>4147</v>
      </c>
      <c r="M2144" t="s">
        <v>67</v>
      </c>
      <c r="N2144" t="s">
        <v>68</v>
      </c>
      <c r="P2144" s="23">
        <v>66.44</v>
      </c>
      <c r="Q2144" s="4">
        <f t="shared" si="33"/>
        <v>-20</v>
      </c>
      <c r="R2144" s="23" t="s">
        <v>1198</v>
      </c>
    </row>
    <row r="2145" spans="1:20" x14ac:dyDescent="0.25">
      <c r="A2145" s="42">
        <v>45730</v>
      </c>
      <c r="B2145" s="1" t="s">
        <v>4148</v>
      </c>
      <c r="C2145" t="s">
        <v>4149</v>
      </c>
      <c r="D2145" s="22">
        <v>-3322</v>
      </c>
      <c r="E2145" t="s">
        <v>35</v>
      </c>
      <c r="F2145" s="2">
        <v>212901001</v>
      </c>
      <c r="G2145" s="2" t="s">
        <v>121</v>
      </c>
      <c r="L2145" s="2" t="s">
        <v>4150</v>
      </c>
      <c r="M2145" t="s">
        <v>67</v>
      </c>
      <c r="N2145" t="s">
        <v>68</v>
      </c>
      <c r="P2145" s="23">
        <v>66.44</v>
      </c>
      <c r="Q2145" s="4">
        <f t="shared" si="33"/>
        <v>-50</v>
      </c>
      <c r="R2145" s="23" t="s">
        <v>1198</v>
      </c>
    </row>
    <row r="2146" spans="1:20" x14ac:dyDescent="0.25">
      <c r="A2146" s="42">
        <v>45730</v>
      </c>
      <c r="B2146" s="1" t="s">
        <v>4151</v>
      </c>
      <c r="C2146" t="s">
        <v>4152</v>
      </c>
      <c r="D2146" s="22">
        <v>-6644</v>
      </c>
      <c r="E2146" t="s">
        <v>35</v>
      </c>
      <c r="F2146" s="2">
        <v>212901001</v>
      </c>
      <c r="G2146" s="2" t="s">
        <v>121</v>
      </c>
      <c r="L2146" s="2" t="s">
        <v>4153</v>
      </c>
      <c r="M2146" t="s">
        <v>67</v>
      </c>
      <c r="N2146" t="s">
        <v>68</v>
      </c>
      <c r="P2146" s="23">
        <v>66.44</v>
      </c>
      <c r="Q2146" s="4">
        <f t="shared" si="33"/>
        <v>-100</v>
      </c>
      <c r="R2146" s="23" t="s">
        <v>1198</v>
      </c>
    </row>
    <row r="2147" spans="1:20" x14ac:dyDescent="0.25">
      <c r="A2147" s="45">
        <v>45730</v>
      </c>
      <c r="B2147" s="26" t="s">
        <v>4154</v>
      </c>
      <c r="C2147" s="27" t="s">
        <v>54</v>
      </c>
      <c r="D2147" s="28">
        <v>-7972.8</v>
      </c>
      <c r="E2147" s="27" t="s">
        <v>35</v>
      </c>
      <c r="F2147" s="29">
        <v>610129001</v>
      </c>
      <c r="G2147" s="29" t="s">
        <v>55</v>
      </c>
      <c r="H2147" s="107"/>
      <c r="I2147" s="101"/>
      <c r="J2147" s="101"/>
      <c r="K2147" s="29"/>
      <c r="L2147" s="2" t="s">
        <v>4155</v>
      </c>
      <c r="M2147" s="27" t="s">
        <v>57</v>
      </c>
      <c r="N2147" s="27" t="s">
        <v>58</v>
      </c>
      <c r="O2147" s="27" t="s">
        <v>59</v>
      </c>
      <c r="P2147" s="31">
        <v>66.44</v>
      </c>
      <c r="Q2147" s="4">
        <f t="shared" si="33"/>
        <v>-120</v>
      </c>
      <c r="R2147" s="23" t="s">
        <v>1198</v>
      </c>
      <c r="T2147" s="35" t="s">
        <v>4156</v>
      </c>
    </row>
    <row r="2148" spans="1:20" x14ac:dyDescent="0.25">
      <c r="A2148" s="42">
        <v>45730</v>
      </c>
      <c r="B2148" s="1" t="s">
        <v>1217</v>
      </c>
      <c r="C2148" t="s">
        <v>4157</v>
      </c>
      <c r="D2148" s="22">
        <v>-3986.4</v>
      </c>
      <c r="E2148" t="s">
        <v>35</v>
      </c>
      <c r="F2148" s="2">
        <v>212901001</v>
      </c>
      <c r="G2148" s="2" t="s">
        <v>121</v>
      </c>
      <c r="L2148" s="2" t="s">
        <v>4158</v>
      </c>
      <c r="M2148" t="s">
        <v>67</v>
      </c>
      <c r="N2148" t="s">
        <v>68</v>
      </c>
      <c r="P2148" s="23">
        <v>66.44</v>
      </c>
      <c r="Q2148" s="4">
        <f t="shared" si="33"/>
        <v>-60</v>
      </c>
      <c r="R2148" s="23" t="s">
        <v>1198</v>
      </c>
    </row>
    <row r="2149" spans="1:20" x14ac:dyDescent="0.25">
      <c r="A2149" s="42">
        <v>45730</v>
      </c>
      <c r="B2149" s="1" t="s">
        <v>3933</v>
      </c>
      <c r="C2149" t="s">
        <v>4159</v>
      </c>
      <c r="D2149" s="22">
        <v>-3986.4</v>
      </c>
      <c r="E2149" t="s">
        <v>35</v>
      </c>
      <c r="F2149" s="2">
        <v>212901001</v>
      </c>
      <c r="G2149" s="2" t="s">
        <v>121</v>
      </c>
      <c r="L2149" s="2" t="s">
        <v>4160</v>
      </c>
      <c r="M2149" t="s">
        <v>67</v>
      </c>
      <c r="N2149" t="s">
        <v>68</v>
      </c>
      <c r="P2149" s="23">
        <v>66.44</v>
      </c>
      <c r="Q2149" s="4">
        <f t="shared" si="33"/>
        <v>-60</v>
      </c>
      <c r="R2149" s="23" t="s">
        <v>1198</v>
      </c>
    </row>
    <row r="2150" spans="1:20" x14ac:dyDescent="0.25">
      <c r="A2150" s="42">
        <v>45730</v>
      </c>
      <c r="B2150" s="1" t="s">
        <v>4161</v>
      </c>
      <c r="C2150" t="s">
        <v>4162</v>
      </c>
      <c r="D2150" s="22">
        <v>-5315.2</v>
      </c>
      <c r="E2150" t="s">
        <v>35</v>
      </c>
      <c r="F2150" s="2">
        <v>212901001</v>
      </c>
      <c r="G2150" s="2" t="s">
        <v>121</v>
      </c>
      <c r="L2150" s="2" t="s">
        <v>4163</v>
      </c>
      <c r="M2150" t="s">
        <v>67</v>
      </c>
      <c r="N2150" t="s">
        <v>68</v>
      </c>
      <c r="P2150" s="23">
        <v>66.44</v>
      </c>
      <c r="Q2150" s="4">
        <f t="shared" si="33"/>
        <v>-80</v>
      </c>
      <c r="R2150" s="23" t="s">
        <v>1198</v>
      </c>
    </row>
    <row r="2151" spans="1:20" x14ac:dyDescent="0.25">
      <c r="A2151" s="42">
        <v>45730</v>
      </c>
      <c r="B2151" s="1" t="s">
        <v>4164</v>
      </c>
      <c r="C2151" t="s">
        <v>4165</v>
      </c>
      <c r="D2151" s="22">
        <v>-2657.6</v>
      </c>
      <c r="E2151" t="s">
        <v>35</v>
      </c>
      <c r="F2151" s="2">
        <v>212901001</v>
      </c>
      <c r="G2151" s="2" t="s">
        <v>121</v>
      </c>
      <c r="L2151" s="2" t="s">
        <v>4166</v>
      </c>
      <c r="M2151" t="s">
        <v>67</v>
      </c>
      <c r="N2151" t="s">
        <v>68</v>
      </c>
      <c r="P2151" s="23">
        <v>66.44</v>
      </c>
      <c r="Q2151" s="4">
        <f t="shared" si="33"/>
        <v>-40</v>
      </c>
      <c r="R2151" s="23" t="s">
        <v>1198</v>
      </c>
    </row>
    <row r="2152" spans="1:20" x14ac:dyDescent="0.25">
      <c r="A2152" s="42">
        <v>45730</v>
      </c>
      <c r="B2152" s="1" t="s">
        <v>4167</v>
      </c>
      <c r="C2152" t="s">
        <v>4168</v>
      </c>
      <c r="D2152" s="22">
        <v>-6644</v>
      </c>
      <c r="E2152" t="s">
        <v>35</v>
      </c>
      <c r="F2152" s="2">
        <v>212901001</v>
      </c>
      <c r="G2152" s="2" t="s">
        <v>121</v>
      </c>
      <c r="L2152" s="2" t="s">
        <v>4169</v>
      </c>
      <c r="M2152" t="s">
        <v>67</v>
      </c>
      <c r="N2152" t="s">
        <v>68</v>
      </c>
      <c r="P2152" s="23">
        <v>66.44</v>
      </c>
      <c r="Q2152" s="4">
        <f t="shared" si="33"/>
        <v>-100</v>
      </c>
      <c r="R2152" s="23" t="s">
        <v>1198</v>
      </c>
    </row>
    <row r="2153" spans="1:20" x14ac:dyDescent="0.25">
      <c r="A2153" s="42">
        <v>45730</v>
      </c>
      <c r="B2153" s="1" t="s">
        <v>4170</v>
      </c>
      <c r="C2153" t="s">
        <v>4171</v>
      </c>
      <c r="D2153" s="22">
        <v>-3322</v>
      </c>
      <c r="E2153" t="s">
        <v>35</v>
      </c>
      <c r="F2153" s="2">
        <v>212901001</v>
      </c>
      <c r="G2153" s="2" t="s">
        <v>121</v>
      </c>
      <c r="L2153" s="2" t="s">
        <v>4172</v>
      </c>
      <c r="M2153" t="s">
        <v>67</v>
      </c>
      <c r="N2153" t="s">
        <v>68</v>
      </c>
      <c r="P2153" s="23">
        <v>66.44</v>
      </c>
      <c r="Q2153" s="4">
        <f t="shared" si="33"/>
        <v>-50</v>
      </c>
      <c r="R2153" s="23" t="s">
        <v>1198</v>
      </c>
    </row>
    <row r="2154" spans="1:20" x14ac:dyDescent="0.25">
      <c r="A2154" s="42">
        <v>45730</v>
      </c>
      <c r="B2154" s="1" t="s">
        <v>4173</v>
      </c>
      <c r="C2154" t="s">
        <v>4174</v>
      </c>
      <c r="D2154" s="22">
        <v>-2790.48</v>
      </c>
      <c r="E2154" t="s">
        <v>35</v>
      </c>
      <c r="F2154" s="2">
        <v>212901001</v>
      </c>
      <c r="G2154" s="2" t="s">
        <v>121</v>
      </c>
      <c r="L2154" s="2" t="s">
        <v>4175</v>
      </c>
      <c r="M2154" t="s">
        <v>67</v>
      </c>
      <c r="N2154" t="s">
        <v>68</v>
      </c>
      <c r="P2154" s="23">
        <v>66.44</v>
      </c>
      <c r="Q2154" s="4">
        <f t="shared" si="33"/>
        <v>-42</v>
      </c>
      <c r="R2154" s="23" t="s">
        <v>1198</v>
      </c>
    </row>
    <row r="2155" spans="1:20" x14ac:dyDescent="0.25">
      <c r="A2155" s="42">
        <v>45730</v>
      </c>
      <c r="B2155" s="1" t="s">
        <v>4176</v>
      </c>
      <c r="C2155" t="s">
        <v>4177</v>
      </c>
      <c r="D2155" s="22">
        <v>-3322</v>
      </c>
      <c r="E2155" t="s">
        <v>35</v>
      </c>
      <c r="F2155" s="2">
        <v>212901001</v>
      </c>
      <c r="G2155" s="2" t="s">
        <v>121</v>
      </c>
      <c r="L2155" s="2" t="s">
        <v>4178</v>
      </c>
      <c r="M2155" t="s">
        <v>67</v>
      </c>
      <c r="N2155" t="s">
        <v>68</v>
      </c>
      <c r="P2155" s="23">
        <v>66.44</v>
      </c>
      <c r="Q2155" s="4">
        <f t="shared" si="33"/>
        <v>-50</v>
      </c>
      <c r="R2155" s="23" t="s">
        <v>1198</v>
      </c>
    </row>
    <row r="2156" spans="1:20" x14ac:dyDescent="0.25">
      <c r="A2156" s="42">
        <v>45730</v>
      </c>
      <c r="B2156" s="1" t="s">
        <v>1211</v>
      </c>
      <c r="C2156" t="s">
        <v>4179</v>
      </c>
      <c r="D2156" s="22">
        <v>-3986.4</v>
      </c>
      <c r="E2156" t="s">
        <v>35</v>
      </c>
      <c r="F2156" s="2">
        <v>212901001</v>
      </c>
      <c r="G2156" s="2" t="s">
        <v>121</v>
      </c>
      <c r="L2156" s="2" t="s">
        <v>4180</v>
      </c>
      <c r="M2156" t="s">
        <v>67</v>
      </c>
      <c r="N2156" t="s">
        <v>68</v>
      </c>
      <c r="P2156" s="23">
        <v>66.44</v>
      </c>
      <c r="Q2156" s="4">
        <f t="shared" si="33"/>
        <v>-60</v>
      </c>
      <c r="R2156" s="23" t="s">
        <v>1198</v>
      </c>
    </row>
    <row r="2157" spans="1:20" x14ac:dyDescent="0.25">
      <c r="A2157" s="42">
        <v>45730</v>
      </c>
      <c r="B2157" s="1" t="s">
        <v>3930</v>
      </c>
      <c r="C2157" t="s">
        <v>4181</v>
      </c>
      <c r="D2157" s="22">
        <v>-3986.4</v>
      </c>
      <c r="E2157" t="s">
        <v>35</v>
      </c>
      <c r="F2157" s="2">
        <v>212901001</v>
      </c>
      <c r="G2157" s="2" t="s">
        <v>121</v>
      </c>
      <c r="L2157" s="2" t="s">
        <v>4182</v>
      </c>
      <c r="M2157" t="s">
        <v>67</v>
      </c>
      <c r="N2157" t="s">
        <v>68</v>
      </c>
      <c r="P2157" s="23">
        <v>66.44</v>
      </c>
      <c r="Q2157" s="4">
        <f t="shared" si="33"/>
        <v>-60</v>
      </c>
      <c r="R2157" s="23" t="s">
        <v>1198</v>
      </c>
    </row>
    <row r="2158" spans="1:20" x14ac:dyDescent="0.25">
      <c r="A2158" s="42">
        <v>45730</v>
      </c>
      <c r="B2158" s="1" t="s">
        <v>3952</v>
      </c>
      <c r="C2158" t="s">
        <v>4183</v>
      </c>
      <c r="D2158" s="22">
        <v>-3986.4</v>
      </c>
      <c r="E2158" t="s">
        <v>35</v>
      </c>
      <c r="F2158" s="2">
        <v>212901001</v>
      </c>
      <c r="G2158" s="2" t="s">
        <v>121</v>
      </c>
      <c r="L2158" s="2" t="s">
        <v>4184</v>
      </c>
      <c r="M2158" t="s">
        <v>67</v>
      </c>
      <c r="N2158" t="s">
        <v>68</v>
      </c>
      <c r="P2158" s="23">
        <v>66.44</v>
      </c>
      <c r="Q2158" s="4">
        <f t="shared" si="33"/>
        <v>-60</v>
      </c>
      <c r="R2158" s="23" t="s">
        <v>1198</v>
      </c>
    </row>
    <row r="2159" spans="1:20" x14ac:dyDescent="0.25">
      <c r="A2159" s="42">
        <v>45730</v>
      </c>
      <c r="B2159" s="1" t="s">
        <v>4185</v>
      </c>
      <c r="C2159" t="s">
        <v>4186</v>
      </c>
      <c r="D2159" s="22">
        <v>-1993.2</v>
      </c>
      <c r="E2159" t="s">
        <v>35</v>
      </c>
      <c r="F2159" s="2">
        <v>212901001</v>
      </c>
      <c r="G2159" s="2" t="s">
        <v>121</v>
      </c>
      <c r="L2159" s="2" t="s">
        <v>4187</v>
      </c>
      <c r="M2159" t="s">
        <v>67</v>
      </c>
      <c r="N2159" t="s">
        <v>68</v>
      </c>
      <c r="P2159" s="23">
        <v>66.44</v>
      </c>
      <c r="Q2159" s="4">
        <f t="shared" si="33"/>
        <v>-30</v>
      </c>
      <c r="R2159" s="23" t="s">
        <v>1198</v>
      </c>
    </row>
    <row r="2160" spans="1:20" x14ac:dyDescent="0.25">
      <c r="A2160" s="42">
        <v>45730</v>
      </c>
      <c r="B2160" s="1" t="s">
        <v>4188</v>
      </c>
      <c r="C2160" t="s">
        <v>4189</v>
      </c>
      <c r="D2160" s="22">
        <v>-4650.8</v>
      </c>
      <c r="E2160" t="s">
        <v>35</v>
      </c>
      <c r="F2160" s="2">
        <v>212901001</v>
      </c>
      <c r="G2160" s="2" t="s">
        <v>121</v>
      </c>
      <c r="L2160" s="2" t="s">
        <v>4190</v>
      </c>
      <c r="M2160" t="s">
        <v>67</v>
      </c>
      <c r="N2160" t="s">
        <v>68</v>
      </c>
      <c r="P2160" s="23">
        <v>66.44</v>
      </c>
      <c r="Q2160" s="4">
        <f t="shared" si="33"/>
        <v>-70</v>
      </c>
      <c r="R2160" s="23" t="s">
        <v>1198</v>
      </c>
    </row>
    <row r="2161" spans="1:20" x14ac:dyDescent="0.25">
      <c r="A2161" s="42">
        <v>45730</v>
      </c>
      <c r="B2161" s="1" t="s">
        <v>4191</v>
      </c>
      <c r="C2161" t="s">
        <v>4192</v>
      </c>
      <c r="D2161" s="22">
        <v>-3322</v>
      </c>
      <c r="E2161" t="s">
        <v>35</v>
      </c>
      <c r="F2161" s="2">
        <v>212901001</v>
      </c>
      <c r="G2161" s="2" t="s">
        <v>121</v>
      </c>
      <c r="L2161" s="2" t="s">
        <v>4193</v>
      </c>
      <c r="M2161" t="s">
        <v>67</v>
      </c>
      <c r="N2161" t="s">
        <v>68</v>
      </c>
      <c r="P2161" s="23">
        <v>66.44</v>
      </c>
      <c r="Q2161" s="4">
        <f t="shared" si="33"/>
        <v>-50</v>
      </c>
      <c r="R2161" s="23" t="s">
        <v>1198</v>
      </c>
    </row>
    <row r="2162" spans="1:20" x14ac:dyDescent="0.25">
      <c r="A2162" s="42">
        <v>45730</v>
      </c>
      <c r="B2162" s="1" t="s">
        <v>4194</v>
      </c>
      <c r="C2162" t="s">
        <v>4195</v>
      </c>
      <c r="D2162" s="22">
        <v>-3322</v>
      </c>
      <c r="E2162" t="s">
        <v>35</v>
      </c>
      <c r="F2162" s="2">
        <v>212901001</v>
      </c>
      <c r="G2162" s="2" t="s">
        <v>121</v>
      </c>
      <c r="L2162" s="2" t="s">
        <v>4196</v>
      </c>
      <c r="M2162" t="s">
        <v>67</v>
      </c>
      <c r="N2162" t="s">
        <v>68</v>
      </c>
      <c r="P2162" s="23">
        <v>66.44</v>
      </c>
      <c r="Q2162" s="4">
        <f t="shared" si="33"/>
        <v>-50</v>
      </c>
      <c r="R2162" s="23" t="s">
        <v>1198</v>
      </c>
    </row>
    <row r="2163" spans="1:20" x14ac:dyDescent="0.25">
      <c r="A2163" s="42">
        <v>45730</v>
      </c>
      <c r="B2163" s="1" t="s">
        <v>4197</v>
      </c>
      <c r="C2163" t="s">
        <v>4198</v>
      </c>
      <c r="D2163" s="22">
        <v>-3322</v>
      </c>
      <c r="E2163" t="s">
        <v>35</v>
      </c>
      <c r="F2163" s="2">
        <v>212901001</v>
      </c>
      <c r="G2163" s="2" t="s">
        <v>121</v>
      </c>
      <c r="L2163" s="2" t="s">
        <v>4199</v>
      </c>
      <c r="M2163" t="s">
        <v>67</v>
      </c>
      <c r="N2163" t="s">
        <v>68</v>
      </c>
      <c r="P2163" s="23">
        <v>66.44</v>
      </c>
      <c r="Q2163" s="4">
        <f t="shared" si="33"/>
        <v>-50</v>
      </c>
      <c r="R2163" s="23" t="s">
        <v>1198</v>
      </c>
    </row>
    <row r="2164" spans="1:20" x14ac:dyDescent="0.25">
      <c r="A2164" s="42">
        <v>45730</v>
      </c>
      <c r="B2164" s="1" t="s">
        <v>4200</v>
      </c>
      <c r="C2164" t="s">
        <v>4201</v>
      </c>
      <c r="D2164" s="22">
        <v>-1328.8</v>
      </c>
      <c r="E2164" t="s">
        <v>35</v>
      </c>
      <c r="F2164" s="2">
        <v>212901001</v>
      </c>
      <c r="G2164" s="2" t="s">
        <v>121</v>
      </c>
      <c r="L2164" s="2" t="s">
        <v>4202</v>
      </c>
      <c r="M2164" t="s">
        <v>67</v>
      </c>
      <c r="N2164" t="s">
        <v>68</v>
      </c>
      <c r="P2164" s="23">
        <v>66.44</v>
      </c>
      <c r="Q2164" s="4">
        <f t="shared" si="33"/>
        <v>-20</v>
      </c>
      <c r="R2164" s="23" t="s">
        <v>1198</v>
      </c>
    </row>
    <row r="2165" spans="1:20" x14ac:dyDescent="0.25">
      <c r="A2165" s="42">
        <v>45730</v>
      </c>
      <c r="B2165" s="1" t="s">
        <v>4203</v>
      </c>
      <c r="C2165" t="s">
        <v>4204</v>
      </c>
      <c r="D2165" s="22">
        <v>-9301.6</v>
      </c>
      <c r="E2165" t="s">
        <v>35</v>
      </c>
      <c r="F2165" s="2">
        <v>212901001</v>
      </c>
      <c r="G2165" s="2" t="s">
        <v>121</v>
      </c>
      <c r="L2165" s="2" t="s">
        <v>4205</v>
      </c>
      <c r="M2165" t="s">
        <v>67</v>
      </c>
      <c r="N2165" t="s">
        <v>68</v>
      </c>
      <c r="P2165" s="23">
        <v>66.44</v>
      </c>
      <c r="Q2165" s="4">
        <f t="shared" si="33"/>
        <v>-140</v>
      </c>
      <c r="R2165" s="23" t="s">
        <v>1198</v>
      </c>
    </row>
    <row r="2166" spans="1:20" x14ac:dyDescent="0.25">
      <c r="A2166" s="42">
        <v>45730</v>
      </c>
      <c r="B2166" s="1" t="s">
        <v>4206</v>
      </c>
      <c r="C2166" t="s">
        <v>1221</v>
      </c>
      <c r="D2166" s="22">
        <v>-8.3000000000000007</v>
      </c>
      <c r="E2166" t="s">
        <v>35</v>
      </c>
      <c r="F2166" s="2">
        <v>610148001</v>
      </c>
      <c r="G2166" s="2" t="s">
        <v>42</v>
      </c>
      <c r="L2166" s="2" t="s">
        <v>4207</v>
      </c>
      <c r="M2166" t="s">
        <v>43</v>
      </c>
      <c r="N2166" t="s">
        <v>42</v>
      </c>
      <c r="P2166" s="23">
        <v>66.44</v>
      </c>
      <c r="Q2166" s="4">
        <f t="shared" si="33"/>
        <v>-0.12492474413004216</v>
      </c>
      <c r="R2166" s="23" t="s">
        <v>1198</v>
      </c>
      <c r="T2166" s="35" t="s">
        <v>2658</v>
      </c>
    </row>
    <row r="2167" spans="1:20" x14ac:dyDescent="0.25">
      <c r="A2167" s="42">
        <v>45730</v>
      </c>
      <c r="B2167" s="1" t="s">
        <v>4208</v>
      </c>
      <c r="C2167" t="s">
        <v>1221</v>
      </c>
      <c r="D2167" s="22">
        <v>-3.32</v>
      </c>
      <c r="E2167" t="s">
        <v>35</v>
      </c>
      <c r="F2167" s="2">
        <v>610148001</v>
      </c>
      <c r="G2167" s="2" t="s">
        <v>42</v>
      </c>
      <c r="L2167" s="2" t="s">
        <v>4209</v>
      </c>
      <c r="M2167" t="s">
        <v>43</v>
      </c>
      <c r="N2167" t="s">
        <v>42</v>
      </c>
      <c r="P2167" s="23">
        <v>66.44</v>
      </c>
      <c r="Q2167" s="4">
        <f t="shared" si="33"/>
        <v>-4.9969897652016856E-2</v>
      </c>
      <c r="R2167" s="23" t="s">
        <v>1198</v>
      </c>
      <c r="T2167" s="35" t="s">
        <v>2658</v>
      </c>
    </row>
    <row r="2168" spans="1:20" x14ac:dyDescent="0.25">
      <c r="A2168" s="42">
        <v>45730</v>
      </c>
      <c r="B2168" s="1" t="s">
        <v>4210</v>
      </c>
      <c r="C2168" t="s">
        <v>1221</v>
      </c>
      <c r="D2168" s="22">
        <v>-33.22</v>
      </c>
      <c r="E2168" t="s">
        <v>35</v>
      </c>
      <c r="F2168" s="2">
        <v>610148001</v>
      </c>
      <c r="G2168" s="2" t="s">
        <v>42</v>
      </c>
      <c r="L2168" s="2" t="s">
        <v>4211</v>
      </c>
      <c r="M2168" t="s">
        <v>43</v>
      </c>
      <c r="N2168" t="s">
        <v>42</v>
      </c>
      <c r="P2168" s="23">
        <v>66.44</v>
      </c>
      <c r="Q2168" s="4">
        <f t="shared" si="33"/>
        <v>-0.5</v>
      </c>
      <c r="R2168" s="23" t="s">
        <v>1198</v>
      </c>
      <c r="T2168" s="35" t="s">
        <v>2658</v>
      </c>
    </row>
    <row r="2169" spans="1:20" x14ac:dyDescent="0.25">
      <c r="A2169" s="42">
        <v>45730</v>
      </c>
      <c r="B2169" s="1" t="s">
        <v>4212</v>
      </c>
      <c r="C2169" t="s">
        <v>1221</v>
      </c>
      <c r="D2169" s="22">
        <v>-6.64</v>
      </c>
      <c r="E2169" t="s">
        <v>35</v>
      </c>
      <c r="F2169" s="2">
        <v>610148001</v>
      </c>
      <c r="G2169" s="2" t="s">
        <v>42</v>
      </c>
      <c r="L2169" s="2" t="s">
        <v>4213</v>
      </c>
      <c r="M2169" t="s">
        <v>43</v>
      </c>
      <c r="N2169" t="s">
        <v>42</v>
      </c>
      <c r="P2169" s="23">
        <v>66.44</v>
      </c>
      <c r="Q2169" s="4">
        <f t="shared" si="33"/>
        <v>-9.9939795304033713E-2</v>
      </c>
      <c r="R2169" s="23" t="s">
        <v>1198</v>
      </c>
      <c r="T2169" s="35" t="s">
        <v>2658</v>
      </c>
    </row>
    <row r="2170" spans="1:20" x14ac:dyDescent="0.25">
      <c r="A2170" s="42">
        <v>45730</v>
      </c>
      <c r="B2170" s="1" t="s">
        <v>1223</v>
      </c>
      <c r="C2170" t="s">
        <v>1221</v>
      </c>
      <c r="D2170" s="22">
        <v>-9.9600000000000009</v>
      </c>
      <c r="E2170" t="s">
        <v>35</v>
      </c>
      <c r="F2170" s="2">
        <v>610148001</v>
      </c>
      <c r="G2170" s="2" t="s">
        <v>42</v>
      </c>
      <c r="L2170" s="2" t="s">
        <v>4214</v>
      </c>
      <c r="M2170" t="s">
        <v>43</v>
      </c>
      <c r="N2170" t="s">
        <v>42</v>
      </c>
      <c r="P2170" s="23">
        <v>66.44</v>
      </c>
      <c r="Q2170" s="4">
        <f t="shared" si="33"/>
        <v>-0.14990969295605058</v>
      </c>
      <c r="R2170" s="23" t="s">
        <v>1198</v>
      </c>
      <c r="T2170" s="35" t="s">
        <v>2658</v>
      </c>
    </row>
    <row r="2171" spans="1:20" x14ac:dyDescent="0.25">
      <c r="A2171" s="42">
        <v>45730</v>
      </c>
      <c r="B2171" s="1" t="s">
        <v>3977</v>
      </c>
      <c r="C2171" t="s">
        <v>1221</v>
      </c>
      <c r="D2171" s="22">
        <v>-9.9600000000000009</v>
      </c>
      <c r="E2171" t="s">
        <v>35</v>
      </c>
      <c r="F2171" s="2">
        <v>610148001</v>
      </c>
      <c r="G2171" s="2" t="s">
        <v>42</v>
      </c>
      <c r="L2171" s="2" t="s">
        <v>4215</v>
      </c>
      <c r="M2171" t="s">
        <v>43</v>
      </c>
      <c r="N2171" t="s">
        <v>42</v>
      </c>
      <c r="P2171" s="23">
        <v>66.44</v>
      </c>
      <c r="Q2171" s="4">
        <f t="shared" si="33"/>
        <v>-0.14990969295605058</v>
      </c>
      <c r="R2171" s="23" t="s">
        <v>1198</v>
      </c>
      <c r="T2171" s="35" t="s">
        <v>2658</v>
      </c>
    </row>
    <row r="2172" spans="1:20" x14ac:dyDescent="0.25">
      <c r="A2172" s="42">
        <v>45730</v>
      </c>
      <c r="B2172" s="1" t="s">
        <v>3973</v>
      </c>
      <c r="C2172" t="s">
        <v>1221</v>
      </c>
      <c r="D2172" s="22">
        <v>-9.9600000000000009</v>
      </c>
      <c r="E2172" t="s">
        <v>35</v>
      </c>
      <c r="F2172" s="2">
        <v>610148001</v>
      </c>
      <c r="G2172" s="2" t="s">
        <v>42</v>
      </c>
      <c r="L2172" s="2" t="s">
        <v>4216</v>
      </c>
      <c r="M2172" t="s">
        <v>43</v>
      </c>
      <c r="N2172" t="s">
        <v>42</v>
      </c>
      <c r="P2172" s="23">
        <v>66.44</v>
      </c>
      <c r="Q2172" s="4">
        <f t="shared" si="33"/>
        <v>-0.14990969295605058</v>
      </c>
      <c r="R2172" s="23" t="s">
        <v>1198</v>
      </c>
      <c r="T2172" s="35" t="s">
        <v>2658</v>
      </c>
    </row>
    <row r="2173" spans="1:20" x14ac:dyDescent="0.25">
      <c r="A2173" s="42">
        <v>45730</v>
      </c>
      <c r="B2173" s="1" t="s">
        <v>4217</v>
      </c>
      <c r="C2173" t="s">
        <v>1221</v>
      </c>
      <c r="D2173" s="22">
        <v>-13.28</v>
      </c>
      <c r="E2173" t="s">
        <v>35</v>
      </c>
      <c r="F2173" s="2">
        <v>610148001</v>
      </c>
      <c r="G2173" s="2" t="s">
        <v>42</v>
      </c>
      <c r="L2173" s="2" t="s">
        <v>4218</v>
      </c>
      <c r="M2173" t="s">
        <v>43</v>
      </c>
      <c r="N2173" t="s">
        <v>42</v>
      </c>
      <c r="P2173" s="23">
        <v>66.44</v>
      </c>
      <c r="Q2173" s="4">
        <f t="shared" si="33"/>
        <v>-0.19987959060806743</v>
      </c>
      <c r="R2173" s="23" t="s">
        <v>1198</v>
      </c>
      <c r="T2173" s="35" t="s">
        <v>2658</v>
      </c>
    </row>
    <row r="2174" spans="1:20" x14ac:dyDescent="0.25">
      <c r="A2174" s="42">
        <v>45730</v>
      </c>
      <c r="B2174" s="1" t="s">
        <v>4219</v>
      </c>
      <c r="C2174" t="s">
        <v>1221</v>
      </c>
      <c r="D2174" s="22">
        <v>-13.28</v>
      </c>
      <c r="E2174" t="s">
        <v>35</v>
      </c>
      <c r="F2174" s="2">
        <v>610148001</v>
      </c>
      <c r="G2174" s="2" t="s">
        <v>42</v>
      </c>
      <c r="L2174" s="2" t="s">
        <v>4220</v>
      </c>
      <c r="M2174" t="s">
        <v>43</v>
      </c>
      <c r="N2174" t="s">
        <v>42</v>
      </c>
      <c r="P2174" s="23">
        <v>66.44</v>
      </c>
      <c r="Q2174" s="4">
        <f t="shared" si="33"/>
        <v>-0.19987959060806743</v>
      </c>
      <c r="R2174" s="23" t="s">
        <v>1198</v>
      </c>
      <c r="T2174" s="35" t="s">
        <v>2658</v>
      </c>
    </row>
    <row r="2175" spans="1:20" x14ac:dyDescent="0.25">
      <c r="A2175" s="42">
        <v>45730</v>
      </c>
      <c r="B2175" s="1" t="s">
        <v>4221</v>
      </c>
      <c r="C2175" t="s">
        <v>1221</v>
      </c>
      <c r="D2175" s="22">
        <v>-8.3000000000000007</v>
      </c>
      <c r="E2175" t="s">
        <v>35</v>
      </c>
      <c r="F2175" s="2">
        <v>610148001</v>
      </c>
      <c r="G2175" s="2" t="s">
        <v>42</v>
      </c>
      <c r="L2175" s="2" t="s">
        <v>4222</v>
      </c>
      <c r="M2175" t="s">
        <v>43</v>
      </c>
      <c r="N2175" t="s">
        <v>42</v>
      </c>
      <c r="P2175" s="23">
        <v>66.44</v>
      </c>
      <c r="Q2175" s="4">
        <f t="shared" si="33"/>
        <v>-0.12492474413004216</v>
      </c>
      <c r="R2175" s="23" t="s">
        <v>1198</v>
      </c>
      <c r="T2175" s="35" t="s">
        <v>2658</v>
      </c>
    </row>
    <row r="2176" spans="1:20" x14ac:dyDescent="0.25">
      <c r="A2176" s="42">
        <v>45730</v>
      </c>
      <c r="B2176" s="1" t="s">
        <v>4223</v>
      </c>
      <c r="C2176" t="s">
        <v>1221</v>
      </c>
      <c r="D2176" s="22">
        <v>-18.27</v>
      </c>
      <c r="E2176" t="s">
        <v>35</v>
      </c>
      <c r="F2176" s="2">
        <v>610148001</v>
      </c>
      <c r="G2176" s="2" t="s">
        <v>42</v>
      </c>
      <c r="L2176" s="2" t="s">
        <v>4224</v>
      </c>
      <c r="M2176" t="s">
        <v>43</v>
      </c>
      <c r="N2176" t="s">
        <v>42</v>
      </c>
      <c r="P2176" s="23">
        <v>66.44</v>
      </c>
      <c r="Q2176" s="4">
        <f t="shared" si="33"/>
        <v>-0.27498494882600844</v>
      </c>
      <c r="R2176" s="23" t="s">
        <v>1198</v>
      </c>
      <c r="T2176" s="35" t="s">
        <v>2658</v>
      </c>
    </row>
    <row r="2177" spans="1:20" x14ac:dyDescent="0.25">
      <c r="A2177" s="42">
        <v>45730</v>
      </c>
      <c r="B2177" s="1" t="s">
        <v>4225</v>
      </c>
      <c r="C2177" t="s">
        <v>1221</v>
      </c>
      <c r="D2177" s="22">
        <v>-6.64</v>
      </c>
      <c r="E2177" t="s">
        <v>35</v>
      </c>
      <c r="F2177" s="2">
        <v>610148001</v>
      </c>
      <c r="G2177" s="2" t="s">
        <v>42</v>
      </c>
      <c r="L2177" s="2" t="s">
        <v>4226</v>
      </c>
      <c r="M2177" t="s">
        <v>43</v>
      </c>
      <c r="N2177" t="s">
        <v>42</v>
      </c>
      <c r="P2177" s="23">
        <v>66.44</v>
      </c>
      <c r="Q2177" s="4">
        <f t="shared" si="33"/>
        <v>-9.9939795304033713E-2</v>
      </c>
      <c r="R2177" s="23" t="s">
        <v>1198</v>
      </c>
      <c r="T2177" s="35" t="s">
        <v>2658</v>
      </c>
    </row>
    <row r="2178" spans="1:20" x14ac:dyDescent="0.25">
      <c r="A2178" s="42">
        <v>45730</v>
      </c>
      <c r="B2178" s="1" t="s">
        <v>4227</v>
      </c>
      <c r="C2178" t="s">
        <v>1221</v>
      </c>
      <c r="D2178" s="22">
        <v>-6.64</v>
      </c>
      <c r="E2178" t="s">
        <v>35</v>
      </c>
      <c r="F2178" s="2">
        <v>610148001</v>
      </c>
      <c r="G2178" s="2" t="s">
        <v>42</v>
      </c>
      <c r="L2178" s="2" t="s">
        <v>4228</v>
      </c>
      <c r="M2178" t="s">
        <v>43</v>
      </c>
      <c r="N2178" t="s">
        <v>42</v>
      </c>
      <c r="P2178" s="23">
        <v>66.44</v>
      </c>
      <c r="Q2178" s="4">
        <f t="shared" si="33"/>
        <v>-9.9939795304033713E-2</v>
      </c>
      <c r="R2178" s="23" t="s">
        <v>1198</v>
      </c>
      <c r="T2178" s="35" t="s">
        <v>2658</v>
      </c>
    </row>
    <row r="2179" spans="1:20" x14ac:dyDescent="0.25">
      <c r="A2179" s="42">
        <v>45730</v>
      </c>
      <c r="B2179" s="1" t="s">
        <v>4229</v>
      </c>
      <c r="C2179" t="s">
        <v>1221</v>
      </c>
      <c r="D2179" s="22">
        <v>-16.61</v>
      </c>
      <c r="E2179" t="s">
        <v>35</v>
      </c>
      <c r="F2179" s="2">
        <v>610148001</v>
      </c>
      <c r="G2179" s="2" t="s">
        <v>42</v>
      </c>
      <c r="L2179" s="2" t="s">
        <v>4230</v>
      </c>
      <c r="M2179" t="s">
        <v>43</v>
      </c>
      <c r="N2179" t="s">
        <v>42</v>
      </c>
      <c r="P2179" s="23">
        <v>66.44</v>
      </c>
      <c r="Q2179" s="4">
        <f t="shared" si="33"/>
        <v>-0.25</v>
      </c>
      <c r="R2179" s="23" t="s">
        <v>1198</v>
      </c>
      <c r="T2179" s="35" t="s">
        <v>2658</v>
      </c>
    </row>
    <row r="2180" spans="1:20" x14ac:dyDescent="0.25">
      <c r="A2180" s="42">
        <v>45730</v>
      </c>
      <c r="B2180" s="1" t="s">
        <v>4231</v>
      </c>
      <c r="C2180" t="s">
        <v>1221</v>
      </c>
      <c r="D2180" s="22">
        <v>-24.91</v>
      </c>
      <c r="E2180" t="s">
        <v>35</v>
      </c>
      <c r="F2180" s="2">
        <v>610148001</v>
      </c>
      <c r="G2180" s="2" t="s">
        <v>42</v>
      </c>
      <c r="L2180" s="2" t="s">
        <v>4232</v>
      </c>
      <c r="M2180" t="s">
        <v>43</v>
      </c>
      <c r="N2180" t="s">
        <v>42</v>
      </c>
      <c r="P2180" s="23">
        <v>66.44</v>
      </c>
      <c r="Q2180" s="4">
        <f t="shared" si="33"/>
        <v>-0.37492474413004218</v>
      </c>
      <c r="R2180" s="23" t="s">
        <v>1198</v>
      </c>
      <c r="T2180" s="35" t="s">
        <v>2658</v>
      </c>
    </row>
    <row r="2181" spans="1:20" x14ac:dyDescent="0.25">
      <c r="A2181" s="42">
        <v>45730</v>
      </c>
      <c r="B2181" s="1" t="s">
        <v>4233</v>
      </c>
      <c r="C2181" t="s">
        <v>1221</v>
      </c>
      <c r="D2181" s="22">
        <v>-8.3000000000000007</v>
      </c>
      <c r="E2181" t="s">
        <v>35</v>
      </c>
      <c r="F2181" s="2">
        <v>610148001</v>
      </c>
      <c r="G2181" s="2" t="s">
        <v>42</v>
      </c>
      <c r="L2181" s="2" t="s">
        <v>4234</v>
      </c>
      <c r="M2181" t="s">
        <v>43</v>
      </c>
      <c r="N2181" t="s">
        <v>42</v>
      </c>
      <c r="P2181" s="23">
        <v>66.44</v>
      </c>
      <c r="Q2181" s="4">
        <f t="shared" si="33"/>
        <v>-0.12492474413004216</v>
      </c>
      <c r="R2181" s="23" t="s">
        <v>1198</v>
      </c>
      <c r="T2181" s="35" t="s">
        <v>2658</v>
      </c>
    </row>
    <row r="2182" spans="1:20" x14ac:dyDescent="0.25">
      <c r="A2182" s="42">
        <v>45730</v>
      </c>
      <c r="B2182" s="1" t="s">
        <v>4235</v>
      </c>
      <c r="C2182" t="s">
        <v>1221</v>
      </c>
      <c r="D2182" s="22">
        <v>-8.3000000000000007</v>
      </c>
      <c r="E2182" t="s">
        <v>35</v>
      </c>
      <c r="F2182" s="2">
        <v>610148001</v>
      </c>
      <c r="G2182" s="2" t="s">
        <v>42</v>
      </c>
      <c r="L2182" s="2" t="s">
        <v>4236</v>
      </c>
      <c r="M2182" t="s">
        <v>43</v>
      </c>
      <c r="N2182" t="s">
        <v>42</v>
      </c>
      <c r="P2182" s="23">
        <v>66.44</v>
      </c>
      <c r="Q2182" s="4">
        <f t="shared" si="33"/>
        <v>-0.12492474413004216</v>
      </c>
      <c r="R2182" s="23" t="s">
        <v>1198</v>
      </c>
      <c r="T2182" s="35" t="s">
        <v>2658</v>
      </c>
    </row>
    <row r="2183" spans="1:20" x14ac:dyDescent="0.25">
      <c r="A2183" s="42">
        <v>45730</v>
      </c>
      <c r="B2183" s="1" t="s">
        <v>4237</v>
      </c>
      <c r="C2183" t="s">
        <v>1221</v>
      </c>
      <c r="D2183" s="22">
        <v>-4.9800000000000004</v>
      </c>
      <c r="E2183" t="s">
        <v>35</v>
      </c>
      <c r="F2183" s="2">
        <v>610148001</v>
      </c>
      <c r="G2183" s="2" t="s">
        <v>42</v>
      </c>
      <c r="L2183" s="2" t="s">
        <v>4238</v>
      </c>
      <c r="M2183" t="s">
        <v>43</v>
      </c>
      <c r="N2183" t="s">
        <v>42</v>
      </c>
      <c r="P2183" s="23">
        <v>66.44</v>
      </c>
      <c r="Q2183" s="4">
        <f t="shared" si="33"/>
        <v>-7.4954846478025292E-2</v>
      </c>
      <c r="R2183" s="23" t="s">
        <v>1198</v>
      </c>
      <c r="T2183" s="35" t="s">
        <v>2658</v>
      </c>
    </row>
    <row r="2184" spans="1:20" x14ac:dyDescent="0.25">
      <c r="A2184" s="42">
        <v>45730</v>
      </c>
      <c r="B2184" s="1" t="s">
        <v>1225</v>
      </c>
      <c r="C2184" t="s">
        <v>1221</v>
      </c>
      <c r="D2184" s="22">
        <v>-9.9600000000000009</v>
      </c>
      <c r="E2184" t="s">
        <v>35</v>
      </c>
      <c r="F2184" s="2">
        <v>610148001</v>
      </c>
      <c r="G2184" s="2" t="s">
        <v>42</v>
      </c>
      <c r="L2184" s="2" t="s">
        <v>4239</v>
      </c>
      <c r="M2184" t="s">
        <v>43</v>
      </c>
      <c r="N2184" t="s">
        <v>42</v>
      </c>
      <c r="P2184" s="23">
        <v>66.44</v>
      </c>
      <c r="Q2184" s="4">
        <f t="shared" si="33"/>
        <v>-0.14990969295605058</v>
      </c>
      <c r="R2184" s="23" t="s">
        <v>1198</v>
      </c>
      <c r="T2184" s="35" t="s">
        <v>2658</v>
      </c>
    </row>
    <row r="2185" spans="1:20" x14ac:dyDescent="0.25">
      <c r="A2185" s="42">
        <v>45730</v>
      </c>
      <c r="B2185" s="1" t="s">
        <v>4240</v>
      </c>
      <c r="C2185" t="s">
        <v>1221</v>
      </c>
      <c r="D2185" s="22">
        <v>-16.61</v>
      </c>
      <c r="E2185" t="s">
        <v>35</v>
      </c>
      <c r="F2185" s="2">
        <v>610148001</v>
      </c>
      <c r="G2185" s="2" t="s">
        <v>42</v>
      </c>
      <c r="L2185" s="2" t="s">
        <v>4241</v>
      </c>
      <c r="M2185" t="s">
        <v>43</v>
      </c>
      <c r="N2185" t="s">
        <v>42</v>
      </c>
      <c r="P2185" s="23">
        <v>66.44</v>
      </c>
      <c r="Q2185" s="4">
        <f t="shared" si="33"/>
        <v>-0.25</v>
      </c>
      <c r="R2185" s="23" t="s">
        <v>1198</v>
      </c>
      <c r="T2185" s="35" t="s">
        <v>2658</v>
      </c>
    </row>
    <row r="2186" spans="1:20" x14ac:dyDescent="0.25">
      <c r="A2186" s="42">
        <v>45730</v>
      </c>
      <c r="B2186" s="1" t="s">
        <v>4242</v>
      </c>
      <c r="C2186" t="s">
        <v>1221</v>
      </c>
      <c r="D2186" s="22">
        <v>-13.28</v>
      </c>
      <c r="E2186" t="s">
        <v>35</v>
      </c>
      <c r="F2186" s="2">
        <v>610148001</v>
      </c>
      <c r="G2186" s="2" t="s">
        <v>42</v>
      </c>
      <c r="L2186" s="2" t="s">
        <v>4243</v>
      </c>
      <c r="M2186" t="s">
        <v>43</v>
      </c>
      <c r="N2186" t="s">
        <v>42</v>
      </c>
      <c r="P2186" s="23">
        <v>66.44</v>
      </c>
      <c r="Q2186" s="4">
        <f t="shared" si="33"/>
        <v>-0.19987959060806743</v>
      </c>
      <c r="R2186" s="23" t="s">
        <v>1198</v>
      </c>
      <c r="T2186" s="35" t="s">
        <v>2658</v>
      </c>
    </row>
    <row r="2187" spans="1:20" x14ac:dyDescent="0.25">
      <c r="A2187" s="42">
        <v>45730</v>
      </c>
      <c r="B2187" s="1" t="s">
        <v>4244</v>
      </c>
      <c r="C2187" t="s">
        <v>1221</v>
      </c>
      <c r="D2187" s="22">
        <v>-8.3000000000000007</v>
      </c>
      <c r="E2187" t="s">
        <v>35</v>
      </c>
      <c r="F2187" s="2">
        <v>610148001</v>
      </c>
      <c r="G2187" s="2" t="s">
        <v>42</v>
      </c>
      <c r="L2187" s="2" t="s">
        <v>4245</v>
      </c>
      <c r="M2187" t="s">
        <v>43</v>
      </c>
      <c r="N2187" t="s">
        <v>42</v>
      </c>
      <c r="P2187" s="23">
        <v>66.44</v>
      </c>
      <c r="Q2187" s="4">
        <f t="shared" ref="Q2187:Q2250" si="34">D2187/P2187</f>
        <v>-0.12492474413004216</v>
      </c>
      <c r="R2187" s="23" t="s">
        <v>1198</v>
      </c>
      <c r="T2187" s="35" t="s">
        <v>2658</v>
      </c>
    </row>
    <row r="2188" spans="1:20" x14ac:dyDescent="0.25">
      <c r="A2188" s="42">
        <v>45730</v>
      </c>
      <c r="B2188" s="1" t="s">
        <v>4246</v>
      </c>
      <c r="C2188" t="s">
        <v>1221</v>
      </c>
      <c r="D2188" s="22">
        <v>-11.62</v>
      </c>
      <c r="E2188" t="s">
        <v>35</v>
      </c>
      <c r="F2188" s="2">
        <v>610148001</v>
      </c>
      <c r="G2188" s="2" t="s">
        <v>42</v>
      </c>
      <c r="L2188" s="2" t="s">
        <v>4247</v>
      </c>
      <c r="M2188" t="s">
        <v>43</v>
      </c>
      <c r="N2188" t="s">
        <v>42</v>
      </c>
      <c r="P2188" s="23">
        <v>66.44</v>
      </c>
      <c r="Q2188" s="4">
        <f t="shared" si="34"/>
        <v>-0.17489464178205899</v>
      </c>
      <c r="R2188" s="23" t="s">
        <v>1198</v>
      </c>
      <c r="T2188" s="35" t="s">
        <v>2658</v>
      </c>
    </row>
    <row r="2189" spans="1:20" x14ac:dyDescent="0.25">
      <c r="A2189" s="42">
        <v>45730</v>
      </c>
      <c r="B2189" s="1" t="s">
        <v>3969</v>
      </c>
      <c r="C2189" t="s">
        <v>1221</v>
      </c>
      <c r="D2189" s="22">
        <v>-9.9600000000000009</v>
      </c>
      <c r="E2189" t="s">
        <v>35</v>
      </c>
      <c r="F2189" s="2">
        <v>610148001</v>
      </c>
      <c r="G2189" s="2" t="s">
        <v>42</v>
      </c>
      <c r="L2189" s="2" t="s">
        <v>4248</v>
      </c>
      <c r="M2189" t="s">
        <v>43</v>
      </c>
      <c r="N2189" t="s">
        <v>42</v>
      </c>
      <c r="P2189" s="23">
        <v>66.44</v>
      </c>
      <c r="Q2189" s="4">
        <f t="shared" si="34"/>
        <v>-0.14990969295605058</v>
      </c>
      <c r="R2189" s="23" t="s">
        <v>1198</v>
      </c>
      <c r="T2189" s="35" t="s">
        <v>2658</v>
      </c>
    </row>
    <row r="2190" spans="1:20" x14ac:dyDescent="0.25">
      <c r="A2190" s="42">
        <v>45730</v>
      </c>
      <c r="B2190" s="1" t="s">
        <v>4249</v>
      </c>
      <c r="C2190" t="s">
        <v>1221</v>
      </c>
      <c r="D2190" s="22">
        <v>-24.91</v>
      </c>
      <c r="E2190" t="s">
        <v>35</v>
      </c>
      <c r="F2190" s="2">
        <v>610148001</v>
      </c>
      <c r="G2190" s="2" t="s">
        <v>42</v>
      </c>
      <c r="L2190" s="2" t="s">
        <v>4250</v>
      </c>
      <c r="M2190" t="s">
        <v>43</v>
      </c>
      <c r="N2190" t="s">
        <v>42</v>
      </c>
      <c r="P2190" s="23">
        <v>66.44</v>
      </c>
      <c r="Q2190" s="4">
        <f t="shared" si="34"/>
        <v>-0.37492474413004218</v>
      </c>
      <c r="R2190" s="23" t="s">
        <v>1198</v>
      </c>
      <c r="T2190" s="35" t="s">
        <v>2658</v>
      </c>
    </row>
    <row r="2191" spans="1:20" x14ac:dyDescent="0.25">
      <c r="A2191" s="42">
        <v>45730</v>
      </c>
      <c r="B2191" s="1" t="s">
        <v>4251</v>
      </c>
      <c r="C2191" t="s">
        <v>1221</v>
      </c>
      <c r="D2191" s="22">
        <v>-8.3000000000000007</v>
      </c>
      <c r="E2191" t="s">
        <v>35</v>
      </c>
      <c r="F2191" s="2">
        <v>610148001</v>
      </c>
      <c r="G2191" s="2" t="s">
        <v>42</v>
      </c>
      <c r="L2191" s="2" t="s">
        <v>4252</v>
      </c>
      <c r="M2191" t="s">
        <v>43</v>
      </c>
      <c r="N2191" t="s">
        <v>42</v>
      </c>
      <c r="P2191" s="23">
        <v>66.44</v>
      </c>
      <c r="Q2191" s="4">
        <f t="shared" si="34"/>
        <v>-0.12492474413004216</v>
      </c>
      <c r="R2191" s="23" t="s">
        <v>1198</v>
      </c>
      <c r="T2191" s="35" t="s">
        <v>2658</v>
      </c>
    </row>
    <row r="2192" spans="1:20" x14ac:dyDescent="0.25">
      <c r="A2192" s="42">
        <v>45730</v>
      </c>
      <c r="B2192" s="1" t="s">
        <v>4253</v>
      </c>
      <c r="C2192" t="s">
        <v>1221</v>
      </c>
      <c r="D2192" s="22">
        <v>-6.97</v>
      </c>
      <c r="E2192" t="s">
        <v>35</v>
      </c>
      <c r="F2192" s="2">
        <v>610148001</v>
      </c>
      <c r="G2192" s="2" t="s">
        <v>42</v>
      </c>
      <c r="L2192" s="2" t="s">
        <v>4254</v>
      </c>
      <c r="M2192" t="s">
        <v>43</v>
      </c>
      <c r="N2192" t="s">
        <v>42</v>
      </c>
      <c r="P2192" s="23">
        <v>66.44</v>
      </c>
      <c r="Q2192" s="4">
        <f t="shared" si="34"/>
        <v>-0.10490668272125225</v>
      </c>
      <c r="R2192" s="23" t="s">
        <v>1198</v>
      </c>
      <c r="T2192" s="35" t="s">
        <v>2658</v>
      </c>
    </row>
    <row r="2193" spans="1:20" x14ac:dyDescent="0.25">
      <c r="A2193" s="42">
        <v>45730</v>
      </c>
      <c r="B2193" s="1" t="s">
        <v>4255</v>
      </c>
      <c r="C2193" t="s">
        <v>1221</v>
      </c>
      <c r="D2193" s="22">
        <v>-8.3000000000000007</v>
      </c>
      <c r="E2193" t="s">
        <v>35</v>
      </c>
      <c r="F2193" s="2">
        <v>610148001</v>
      </c>
      <c r="G2193" s="2" t="s">
        <v>42</v>
      </c>
      <c r="L2193" s="2" t="s">
        <v>4256</v>
      </c>
      <c r="M2193" t="s">
        <v>43</v>
      </c>
      <c r="N2193" t="s">
        <v>42</v>
      </c>
      <c r="P2193" s="23">
        <v>66.44</v>
      </c>
      <c r="Q2193" s="4">
        <f t="shared" si="34"/>
        <v>-0.12492474413004216</v>
      </c>
      <c r="R2193" s="23" t="s">
        <v>1198</v>
      </c>
      <c r="T2193" s="35" t="s">
        <v>2658</v>
      </c>
    </row>
    <row r="2194" spans="1:20" x14ac:dyDescent="0.25">
      <c r="A2194" s="42">
        <v>45730</v>
      </c>
      <c r="B2194" s="1" t="s">
        <v>3979</v>
      </c>
      <c r="C2194" t="s">
        <v>1221</v>
      </c>
      <c r="D2194" s="22">
        <v>-9.9600000000000009</v>
      </c>
      <c r="E2194" t="s">
        <v>35</v>
      </c>
      <c r="F2194" s="2">
        <v>610148001</v>
      </c>
      <c r="G2194" s="2" t="s">
        <v>42</v>
      </c>
      <c r="L2194" s="2" t="s">
        <v>4257</v>
      </c>
      <c r="M2194" t="s">
        <v>43</v>
      </c>
      <c r="N2194" t="s">
        <v>42</v>
      </c>
      <c r="P2194" s="23">
        <v>66.44</v>
      </c>
      <c r="Q2194" s="4">
        <f t="shared" si="34"/>
        <v>-0.14990969295605058</v>
      </c>
      <c r="R2194" s="23" t="s">
        <v>1198</v>
      </c>
      <c r="T2194" s="35" t="s">
        <v>2658</v>
      </c>
    </row>
    <row r="2195" spans="1:20" x14ac:dyDescent="0.25">
      <c r="A2195" s="42">
        <v>45730</v>
      </c>
      <c r="B2195" s="1" t="s">
        <v>4258</v>
      </c>
      <c r="C2195" t="s">
        <v>1221</v>
      </c>
      <c r="D2195" s="22">
        <v>-6.64</v>
      </c>
      <c r="E2195" t="s">
        <v>35</v>
      </c>
      <c r="F2195" s="2">
        <v>610148001</v>
      </c>
      <c r="G2195" s="2" t="s">
        <v>42</v>
      </c>
      <c r="L2195" s="2" t="s">
        <v>4259</v>
      </c>
      <c r="M2195" t="s">
        <v>43</v>
      </c>
      <c r="N2195" t="s">
        <v>42</v>
      </c>
      <c r="P2195" s="23">
        <v>66.44</v>
      </c>
      <c r="Q2195" s="4">
        <f t="shared" si="34"/>
        <v>-9.9939795304033713E-2</v>
      </c>
      <c r="R2195" s="23" t="s">
        <v>1198</v>
      </c>
      <c r="T2195" s="35" t="s">
        <v>2658</v>
      </c>
    </row>
    <row r="2196" spans="1:20" x14ac:dyDescent="0.25">
      <c r="A2196" s="42">
        <v>45730</v>
      </c>
      <c r="B2196" s="1" t="s">
        <v>4260</v>
      </c>
      <c r="C2196" t="s">
        <v>1221</v>
      </c>
      <c r="D2196" s="22">
        <v>-6.64</v>
      </c>
      <c r="E2196" t="s">
        <v>35</v>
      </c>
      <c r="F2196" s="2">
        <v>610148001</v>
      </c>
      <c r="G2196" s="2" t="s">
        <v>42</v>
      </c>
      <c r="L2196" s="2" t="s">
        <v>4261</v>
      </c>
      <c r="M2196" t="s">
        <v>43</v>
      </c>
      <c r="N2196" t="s">
        <v>42</v>
      </c>
      <c r="P2196" s="23">
        <v>66.44</v>
      </c>
      <c r="Q2196" s="4">
        <f t="shared" si="34"/>
        <v>-9.9939795304033713E-2</v>
      </c>
      <c r="R2196" s="23" t="s">
        <v>1198</v>
      </c>
      <c r="T2196" s="35" t="s">
        <v>2658</v>
      </c>
    </row>
    <row r="2197" spans="1:20" x14ac:dyDescent="0.25">
      <c r="A2197" s="42">
        <v>45730</v>
      </c>
      <c r="B2197" s="1" t="s">
        <v>4262</v>
      </c>
      <c r="C2197" t="s">
        <v>1221</v>
      </c>
      <c r="D2197" s="22">
        <v>-6.64</v>
      </c>
      <c r="E2197" t="s">
        <v>35</v>
      </c>
      <c r="F2197" s="2">
        <v>610148001</v>
      </c>
      <c r="G2197" s="2" t="s">
        <v>42</v>
      </c>
      <c r="L2197" s="2" t="s">
        <v>4263</v>
      </c>
      <c r="M2197" t="s">
        <v>43</v>
      </c>
      <c r="N2197" t="s">
        <v>42</v>
      </c>
      <c r="P2197" s="23">
        <v>66.44</v>
      </c>
      <c r="Q2197" s="4">
        <f t="shared" si="34"/>
        <v>-9.9939795304033713E-2</v>
      </c>
      <c r="R2197" s="23" t="s">
        <v>1198</v>
      </c>
      <c r="T2197" s="35" t="s">
        <v>2658</v>
      </c>
    </row>
    <row r="2198" spans="1:20" x14ac:dyDescent="0.25">
      <c r="A2198" s="42">
        <v>45730</v>
      </c>
      <c r="B2198" s="1" t="s">
        <v>4264</v>
      </c>
      <c r="C2198" t="s">
        <v>1221</v>
      </c>
      <c r="D2198" s="22">
        <v>-4.9800000000000004</v>
      </c>
      <c r="E2198" t="s">
        <v>35</v>
      </c>
      <c r="F2198" s="2">
        <v>610148001</v>
      </c>
      <c r="G2198" s="2" t="s">
        <v>42</v>
      </c>
      <c r="L2198" s="2" t="s">
        <v>4265</v>
      </c>
      <c r="M2198" t="s">
        <v>43</v>
      </c>
      <c r="N2198" t="s">
        <v>42</v>
      </c>
      <c r="P2198" s="23">
        <v>66.44</v>
      </c>
      <c r="Q2198" s="4">
        <f t="shared" si="34"/>
        <v>-7.4954846478025292E-2</v>
      </c>
      <c r="R2198" s="23" t="s">
        <v>1198</v>
      </c>
      <c r="T2198" s="35" t="s">
        <v>2658</v>
      </c>
    </row>
    <row r="2199" spans="1:20" x14ac:dyDescent="0.25">
      <c r="A2199" s="42">
        <v>45730</v>
      </c>
      <c r="B2199" s="1" t="s">
        <v>4266</v>
      </c>
      <c r="C2199" t="s">
        <v>1221</v>
      </c>
      <c r="D2199" s="22">
        <v>-13.28</v>
      </c>
      <c r="E2199" t="s">
        <v>35</v>
      </c>
      <c r="F2199" s="2">
        <v>610148001</v>
      </c>
      <c r="G2199" s="2" t="s">
        <v>42</v>
      </c>
      <c r="L2199" s="2" t="s">
        <v>4267</v>
      </c>
      <c r="M2199" t="s">
        <v>43</v>
      </c>
      <c r="N2199" t="s">
        <v>42</v>
      </c>
      <c r="P2199" s="23">
        <v>66.44</v>
      </c>
      <c r="Q2199" s="4">
        <f t="shared" si="34"/>
        <v>-0.19987959060806743</v>
      </c>
      <c r="R2199" s="23" t="s">
        <v>1198</v>
      </c>
      <c r="T2199" s="35" t="s">
        <v>2658</v>
      </c>
    </row>
    <row r="2200" spans="1:20" x14ac:dyDescent="0.25">
      <c r="A2200" s="42">
        <v>45730</v>
      </c>
      <c r="B2200" s="1" t="s">
        <v>4268</v>
      </c>
      <c r="C2200" t="s">
        <v>1221</v>
      </c>
      <c r="D2200" s="22">
        <v>-8.3000000000000007</v>
      </c>
      <c r="E2200" t="s">
        <v>35</v>
      </c>
      <c r="F2200" s="2">
        <v>610148001</v>
      </c>
      <c r="G2200" s="2" t="s">
        <v>42</v>
      </c>
      <c r="L2200" s="2" t="s">
        <v>4269</v>
      </c>
      <c r="M2200" t="s">
        <v>43</v>
      </c>
      <c r="N2200" t="s">
        <v>42</v>
      </c>
      <c r="P2200" s="23">
        <v>66.44</v>
      </c>
      <c r="Q2200" s="4">
        <f t="shared" si="34"/>
        <v>-0.12492474413004216</v>
      </c>
      <c r="R2200" s="23" t="s">
        <v>1198</v>
      </c>
      <c r="T2200" s="35" t="s">
        <v>2658</v>
      </c>
    </row>
    <row r="2201" spans="1:20" x14ac:dyDescent="0.25">
      <c r="A2201" s="42">
        <v>45730</v>
      </c>
      <c r="B2201" s="1" t="s">
        <v>4270</v>
      </c>
      <c r="C2201" t="s">
        <v>1221</v>
      </c>
      <c r="D2201" s="22">
        <v>-3.32</v>
      </c>
      <c r="E2201" t="s">
        <v>35</v>
      </c>
      <c r="F2201" s="2">
        <v>610148001</v>
      </c>
      <c r="G2201" s="2" t="s">
        <v>42</v>
      </c>
      <c r="L2201" s="2" t="s">
        <v>4271</v>
      </c>
      <c r="M2201" t="s">
        <v>43</v>
      </c>
      <c r="N2201" t="s">
        <v>42</v>
      </c>
      <c r="P2201" s="23">
        <v>66.44</v>
      </c>
      <c r="Q2201" s="4">
        <f t="shared" si="34"/>
        <v>-4.9969897652016856E-2</v>
      </c>
      <c r="R2201" s="23" t="s">
        <v>1198</v>
      </c>
      <c r="T2201" s="35" t="s">
        <v>2658</v>
      </c>
    </row>
    <row r="2202" spans="1:20" x14ac:dyDescent="0.25">
      <c r="A2202" s="42">
        <v>45730</v>
      </c>
      <c r="B2202" s="1" t="s">
        <v>4272</v>
      </c>
      <c r="C2202" t="s">
        <v>1221</v>
      </c>
      <c r="D2202" s="22">
        <v>-3.32</v>
      </c>
      <c r="E2202" t="s">
        <v>35</v>
      </c>
      <c r="F2202" s="2">
        <v>610148001</v>
      </c>
      <c r="G2202" s="2" t="s">
        <v>42</v>
      </c>
      <c r="L2202" s="2" t="s">
        <v>4273</v>
      </c>
      <c r="M2202" t="s">
        <v>43</v>
      </c>
      <c r="N2202" t="s">
        <v>42</v>
      </c>
      <c r="P2202" s="23">
        <v>66.44</v>
      </c>
      <c r="Q2202" s="4">
        <f t="shared" si="34"/>
        <v>-4.9969897652016856E-2</v>
      </c>
      <c r="R2202" s="23" t="s">
        <v>1198</v>
      </c>
      <c r="T2202" s="35" t="s">
        <v>2658</v>
      </c>
    </row>
    <row r="2203" spans="1:20" x14ac:dyDescent="0.25">
      <c r="A2203" s="42">
        <v>45730</v>
      </c>
      <c r="B2203" s="1" t="s">
        <v>4274</v>
      </c>
      <c r="C2203" t="s">
        <v>1221</v>
      </c>
      <c r="D2203" s="22">
        <v>-19.93</v>
      </c>
      <c r="E2203" t="s">
        <v>35</v>
      </c>
      <c r="F2203" s="2">
        <v>610148001</v>
      </c>
      <c r="G2203" s="2" t="s">
        <v>42</v>
      </c>
      <c r="L2203" s="2" t="s">
        <v>4275</v>
      </c>
      <c r="M2203" t="s">
        <v>43</v>
      </c>
      <c r="N2203" t="s">
        <v>42</v>
      </c>
      <c r="P2203" s="23">
        <v>66.44</v>
      </c>
      <c r="Q2203" s="4">
        <f t="shared" si="34"/>
        <v>-0.29996989765201687</v>
      </c>
      <c r="R2203" s="23" t="s">
        <v>1198</v>
      </c>
      <c r="T2203" s="35" t="s">
        <v>2658</v>
      </c>
    </row>
    <row r="2204" spans="1:20" x14ac:dyDescent="0.25">
      <c r="A2204" s="42">
        <v>45730</v>
      </c>
      <c r="B2204" s="1" t="s">
        <v>1227</v>
      </c>
      <c r="C2204" t="s">
        <v>1221</v>
      </c>
      <c r="D2204" s="22">
        <v>-9.9600000000000009</v>
      </c>
      <c r="E2204" t="s">
        <v>35</v>
      </c>
      <c r="F2204" s="2">
        <v>610148001</v>
      </c>
      <c r="G2204" s="2" t="s">
        <v>42</v>
      </c>
      <c r="L2204" s="2" t="s">
        <v>4276</v>
      </c>
      <c r="M2204" t="s">
        <v>43</v>
      </c>
      <c r="N2204" t="s">
        <v>42</v>
      </c>
      <c r="P2204" s="23">
        <v>66.44</v>
      </c>
      <c r="Q2204" s="4">
        <f t="shared" si="34"/>
        <v>-0.14990969295605058</v>
      </c>
      <c r="R2204" s="23" t="s">
        <v>1198</v>
      </c>
      <c r="T2204" s="35" t="s">
        <v>2658</v>
      </c>
    </row>
    <row r="2205" spans="1:20" x14ac:dyDescent="0.25">
      <c r="A2205" s="42">
        <v>45730</v>
      </c>
      <c r="B2205" s="1" t="s">
        <v>1220</v>
      </c>
      <c r="C2205" t="s">
        <v>1221</v>
      </c>
      <c r="D2205" s="22">
        <v>-9.9600000000000009</v>
      </c>
      <c r="E2205" t="s">
        <v>35</v>
      </c>
      <c r="F2205" s="2">
        <v>610148001</v>
      </c>
      <c r="G2205" s="2" t="s">
        <v>42</v>
      </c>
      <c r="L2205" s="2" t="s">
        <v>4277</v>
      </c>
      <c r="M2205" t="s">
        <v>43</v>
      </c>
      <c r="N2205" t="s">
        <v>42</v>
      </c>
      <c r="P2205" s="23">
        <v>66.44</v>
      </c>
      <c r="Q2205" s="4">
        <f t="shared" si="34"/>
        <v>-0.14990969295605058</v>
      </c>
      <c r="R2205" s="23" t="s">
        <v>1198</v>
      </c>
      <c r="T2205" s="35" t="s">
        <v>2658</v>
      </c>
    </row>
    <row r="2206" spans="1:20" x14ac:dyDescent="0.25">
      <c r="A2206" s="42">
        <v>45730</v>
      </c>
      <c r="B2206" s="1" t="s">
        <v>2582</v>
      </c>
      <c r="C2206" t="s">
        <v>1221</v>
      </c>
      <c r="D2206" s="22">
        <v>-9.9600000000000009</v>
      </c>
      <c r="E2206" t="s">
        <v>35</v>
      </c>
      <c r="F2206" s="2">
        <v>610148001</v>
      </c>
      <c r="G2206" s="2" t="s">
        <v>42</v>
      </c>
      <c r="L2206" s="2" t="s">
        <v>4278</v>
      </c>
      <c r="M2206" t="s">
        <v>43</v>
      </c>
      <c r="N2206" t="s">
        <v>42</v>
      </c>
      <c r="P2206" s="23">
        <v>66.44</v>
      </c>
      <c r="Q2206" s="4">
        <f t="shared" si="34"/>
        <v>-0.14990969295605058</v>
      </c>
      <c r="R2206" s="23" t="s">
        <v>1198</v>
      </c>
      <c r="T2206" s="35" t="s">
        <v>2658</v>
      </c>
    </row>
    <row r="2207" spans="1:20" x14ac:dyDescent="0.25">
      <c r="A2207" s="42">
        <v>45730</v>
      </c>
      <c r="B2207" s="1" t="s">
        <v>3958</v>
      </c>
      <c r="C2207" t="s">
        <v>1221</v>
      </c>
      <c r="D2207" s="22">
        <v>-9.9600000000000009</v>
      </c>
      <c r="E2207" t="s">
        <v>35</v>
      </c>
      <c r="F2207" s="2">
        <v>610148001</v>
      </c>
      <c r="G2207" s="2" t="s">
        <v>42</v>
      </c>
      <c r="L2207" s="2" t="s">
        <v>4279</v>
      </c>
      <c r="M2207" t="s">
        <v>43</v>
      </c>
      <c r="N2207" t="s">
        <v>42</v>
      </c>
      <c r="P2207" s="23">
        <v>66.44</v>
      </c>
      <c r="Q2207" s="4">
        <f t="shared" si="34"/>
        <v>-0.14990969295605058</v>
      </c>
      <c r="R2207" s="23" t="s">
        <v>1198</v>
      </c>
      <c r="T2207" s="35" t="s">
        <v>2658</v>
      </c>
    </row>
    <row r="2208" spans="1:20" x14ac:dyDescent="0.25">
      <c r="A2208" s="42">
        <v>45730</v>
      </c>
      <c r="B2208" s="1" t="s">
        <v>3960</v>
      </c>
      <c r="C2208" t="s">
        <v>1221</v>
      </c>
      <c r="D2208" s="22">
        <v>-9.9600000000000009</v>
      </c>
      <c r="E2208" t="s">
        <v>35</v>
      </c>
      <c r="F2208" s="2">
        <v>610148001</v>
      </c>
      <c r="G2208" s="2" t="s">
        <v>42</v>
      </c>
      <c r="L2208" s="2" t="s">
        <v>4280</v>
      </c>
      <c r="M2208" t="s">
        <v>43</v>
      </c>
      <c r="N2208" t="s">
        <v>42</v>
      </c>
      <c r="P2208" s="23">
        <v>66.44</v>
      </c>
      <c r="Q2208" s="4">
        <f t="shared" si="34"/>
        <v>-0.14990969295605058</v>
      </c>
      <c r="R2208" s="23" t="s">
        <v>1198</v>
      </c>
      <c r="T2208" s="35" t="s">
        <v>2658</v>
      </c>
    </row>
    <row r="2209" spans="1:20" x14ac:dyDescent="0.25">
      <c r="A2209" s="42">
        <v>45730</v>
      </c>
      <c r="B2209" s="1" t="s">
        <v>4281</v>
      </c>
      <c r="C2209" t="s">
        <v>1221</v>
      </c>
      <c r="D2209" s="22">
        <v>-2.98</v>
      </c>
      <c r="E2209" t="s">
        <v>35</v>
      </c>
      <c r="F2209" s="2">
        <v>610148001</v>
      </c>
      <c r="G2209" s="2" t="s">
        <v>42</v>
      </c>
      <c r="L2209" s="2" t="s">
        <v>4282</v>
      </c>
      <c r="M2209" t="s">
        <v>43</v>
      </c>
      <c r="N2209" t="s">
        <v>42</v>
      </c>
      <c r="P2209" s="23">
        <v>66.44</v>
      </c>
      <c r="Q2209" s="4">
        <f t="shared" si="34"/>
        <v>-4.4852498494882605E-2</v>
      </c>
      <c r="R2209" s="23" t="s">
        <v>1198</v>
      </c>
      <c r="T2209" s="35" t="s">
        <v>2658</v>
      </c>
    </row>
    <row r="2210" spans="1:20" x14ac:dyDescent="0.25">
      <c r="A2210" s="42">
        <v>45730</v>
      </c>
      <c r="B2210" s="1" t="s">
        <v>3965</v>
      </c>
      <c r="C2210" t="s">
        <v>1221</v>
      </c>
      <c r="D2210" s="22">
        <v>-9.9600000000000009</v>
      </c>
      <c r="E2210" t="s">
        <v>35</v>
      </c>
      <c r="F2210" s="2">
        <v>610148001</v>
      </c>
      <c r="G2210" s="2" t="s">
        <v>42</v>
      </c>
      <c r="L2210" s="2" t="s">
        <v>4283</v>
      </c>
      <c r="M2210" t="s">
        <v>43</v>
      </c>
      <c r="N2210" t="s">
        <v>42</v>
      </c>
      <c r="P2210" s="23">
        <v>66.44</v>
      </c>
      <c r="Q2210" s="4">
        <f t="shared" si="34"/>
        <v>-0.14990969295605058</v>
      </c>
      <c r="R2210" s="23" t="s">
        <v>1198</v>
      </c>
      <c r="T2210" s="35" t="s">
        <v>2658</v>
      </c>
    </row>
    <row r="2211" spans="1:20" x14ac:dyDescent="0.25">
      <c r="A2211" s="42">
        <v>45730</v>
      </c>
      <c r="B2211" s="1" t="s">
        <v>4284</v>
      </c>
      <c r="C2211" t="s">
        <v>1221</v>
      </c>
      <c r="D2211" s="22">
        <v>-13.28</v>
      </c>
      <c r="E2211" t="s">
        <v>35</v>
      </c>
      <c r="F2211" s="2">
        <v>610148001</v>
      </c>
      <c r="G2211" s="2" t="s">
        <v>42</v>
      </c>
      <c r="L2211" s="2" t="s">
        <v>4285</v>
      </c>
      <c r="M2211" t="s">
        <v>43</v>
      </c>
      <c r="N2211" t="s">
        <v>42</v>
      </c>
      <c r="P2211" s="23">
        <v>66.44</v>
      </c>
      <c r="Q2211" s="4">
        <f t="shared" si="34"/>
        <v>-0.19987959060806743</v>
      </c>
      <c r="R2211" s="23" t="s">
        <v>1198</v>
      </c>
      <c r="T2211" s="35" t="s">
        <v>2658</v>
      </c>
    </row>
    <row r="2212" spans="1:20" x14ac:dyDescent="0.25">
      <c r="A2212" s="42">
        <v>45730</v>
      </c>
      <c r="B2212" s="1" t="s">
        <v>4286</v>
      </c>
      <c r="C2212" t="s">
        <v>1221</v>
      </c>
      <c r="D2212" s="22">
        <v>-8.3000000000000007</v>
      </c>
      <c r="E2212" t="s">
        <v>35</v>
      </c>
      <c r="F2212" s="2">
        <v>610148001</v>
      </c>
      <c r="G2212" s="2" t="s">
        <v>42</v>
      </c>
      <c r="L2212" s="2" t="s">
        <v>4287</v>
      </c>
      <c r="M2212" t="s">
        <v>43</v>
      </c>
      <c r="N2212" t="s">
        <v>42</v>
      </c>
      <c r="P2212" s="23">
        <v>66.44</v>
      </c>
      <c r="Q2212" s="4">
        <f t="shared" si="34"/>
        <v>-0.12492474413004216</v>
      </c>
      <c r="R2212" s="23" t="s">
        <v>1198</v>
      </c>
      <c r="T2212" s="35" t="s">
        <v>2658</v>
      </c>
    </row>
    <row r="2213" spans="1:20" x14ac:dyDescent="0.25">
      <c r="A2213" s="42">
        <v>45730</v>
      </c>
      <c r="B2213" s="1" t="s">
        <v>4288</v>
      </c>
      <c r="C2213" t="s">
        <v>1221</v>
      </c>
      <c r="D2213" s="22">
        <v>-11.62</v>
      </c>
      <c r="E2213" t="s">
        <v>35</v>
      </c>
      <c r="F2213" s="2">
        <v>610148001</v>
      </c>
      <c r="G2213" s="2" t="s">
        <v>42</v>
      </c>
      <c r="L2213" s="2" t="s">
        <v>4289</v>
      </c>
      <c r="M2213" t="s">
        <v>43</v>
      </c>
      <c r="N2213" t="s">
        <v>42</v>
      </c>
      <c r="P2213" s="23">
        <v>66.44</v>
      </c>
      <c r="Q2213" s="4">
        <f t="shared" si="34"/>
        <v>-0.17489464178205899</v>
      </c>
      <c r="R2213" s="23" t="s">
        <v>1198</v>
      </c>
      <c r="T2213" s="35" t="s">
        <v>2658</v>
      </c>
    </row>
    <row r="2214" spans="1:20" x14ac:dyDescent="0.25">
      <c r="A2214" s="42">
        <v>45730</v>
      </c>
      <c r="B2214" s="1" t="s">
        <v>4290</v>
      </c>
      <c r="C2214" t="s">
        <v>1221</v>
      </c>
      <c r="D2214" s="22">
        <v>-8.3000000000000007</v>
      </c>
      <c r="E2214" t="s">
        <v>35</v>
      </c>
      <c r="F2214" s="2">
        <v>610148001</v>
      </c>
      <c r="G2214" s="2" t="s">
        <v>42</v>
      </c>
      <c r="L2214" s="2" t="s">
        <v>4291</v>
      </c>
      <c r="M2214" t="s">
        <v>43</v>
      </c>
      <c r="N2214" t="s">
        <v>42</v>
      </c>
      <c r="P2214" s="23">
        <v>66.44</v>
      </c>
      <c r="Q2214" s="4">
        <f t="shared" si="34"/>
        <v>-0.12492474413004216</v>
      </c>
      <c r="R2214" s="23" t="s">
        <v>1198</v>
      </c>
      <c r="T2214" s="35" t="s">
        <v>2658</v>
      </c>
    </row>
    <row r="2215" spans="1:20" x14ac:dyDescent="0.25">
      <c r="A2215" s="42">
        <v>45730</v>
      </c>
      <c r="B2215" s="1" t="s">
        <v>4292</v>
      </c>
      <c r="C2215" t="s">
        <v>1221</v>
      </c>
      <c r="D2215" s="22">
        <v>-8.3000000000000007</v>
      </c>
      <c r="E2215" t="s">
        <v>35</v>
      </c>
      <c r="F2215" s="2">
        <v>610148001</v>
      </c>
      <c r="G2215" s="2" t="s">
        <v>42</v>
      </c>
      <c r="L2215" s="2" t="s">
        <v>4293</v>
      </c>
      <c r="M2215" t="s">
        <v>43</v>
      </c>
      <c r="N2215" t="s">
        <v>42</v>
      </c>
      <c r="P2215" s="23">
        <v>66.44</v>
      </c>
      <c r="Q2215" s="4">
        <f t="shared" si="34"/>
        <v>-0.12492474413004216</v>
      </c>
      <c r="R2215" s="23" t="s">
        <v>1198</v>
      </c>
      <c r="T2215" s="35" t="s">
        <v>2658</v>
      </c>
    </row>
    <row r="2216" spans="1:20" x14ac:dyDescent="0.25">
      <c r="A2216" s="42">
        <v>45730</v>
      </c>
      <c r="B2216" s="1" t="s">
        <v>4294</v>
      </c>
      <c r="C2216" t="s">
        <v>1221</v>
      </c>
      <c r="D2216" s="22">
        <v>-8.3000000000000007</v>
      </c>
      <c r="E2216" t="s">
        <v>35</v>
      </c>
      <c r="F2216" s="2">
        <v>610148001</v>
      </c>
      <c r="G2216" s="2" t="s">
        <v>42</v>
      </c>
      <c r="L2216" s="2" t="s">
        <v>4295</v>
      </c>
      <c r="M2216" t="s">
        <v>43</v>
      </c>
      <c r="N2216" t="s">
        <v>42</v>
      </c>
      <c r="P2216" s="23">
        <v>66.44</v>
      </c>
      <c r="Q2216" s="4">
        <f t="shared" si="34"/>
        <v>-0.12492474413004216</v>
      </c>
      <c r="R2216" s="23" t="s">
        <v>1198</v>
      </c>
      <c r="T2216" s="35" t="s">
        <v>2658</v>
      </c>
    </row>
    <row r="2217" spans="1:20" x14ac:dyDescent="0.25">
      <c r="A2217" s="42">
        <v>45730</v>
      </c>
      <c r="B2217" s="1" t="s">
        <v>2585</v>
      </c>
      <c r="C2217" t="s">
        <v>1221</v>
      </c>
      <c r="D2217" s="22">
        <v>-9.9600000000000009</v>
      </c>
      <c r="E2217" t="s">
        <v>35</v>
      </c>
      <c r="F2217" s="2">
        <v>610148001</v>
      </c>
      <c r="G2217" s="2" t="s">
        <v>42</v>
      </c>
      <c r="L2217" s="2" t="s">
        <v>4296</v>
      </c>
      <c r="M2217" t="s">
        <v>43</v>
      </c>
      <c r="N2217" t="s">
        <v>42</v>
      </c>
      <c r="P2217" s="23">
        <v>66.44</v>
      </c>
      <c r="Q2217" s="4">
        <f t="shared" si="34"/>
        <v>-0.14990969295605058</v>
      </c>
      <c r="R2217" s="23" t="s">
        <v>1198</v>
      </c>
      <c r="T2217" s="35" t="s">
        <v>2658</v>
      </c>
    </row>
    <row r="2218" spans="1:20" x14ac:dyDescent="0.25">
      <c r="A2218" s="42">
        <v>45730</v>
      </c>
      <c r="B2218" s="1" t="s">
        <v>4297</v>
      </c>
      <c r="C2218" t="s">
        <v>1221</v>
      </c>
      <c r="D2218" s="22">
        <v>-8.3000000000000007</v>
      </c>
      <c r="E2218" t="s">
        <v>35</v>
      </c>
      <c r="F2218" s="2">
        <v>610148001</v>
      </c>
      <c r="G2218" s="2" t="s">
        <v>42</v>
      </c>
      <c r="L2218" s="2" t="s">
        <v>4298</v>
      </c>
      <c r="M2218" t="s">
        <v>43</v>
      </c>
      <c r="N2218" t="s">
        <v>42</v>
      </c>
      <c r="P2218" s="23">
        <v>66.44</v>
      </c>
      <c r="Q2218" s="4">
        <f t="shared" si="34"/>
        <v>-0.12492474413004216</v>
      </c>
      <c r="R2218" s="23" t="s">
        <v>1198</v>
      </c>
      <c r="T2218" s="35" t="s">
        <v>2658</v>
      </c>
    </row>
    <row r="2219" spans="1:20" x14ac:dyDescent="0.25">
      <c r="A2219" s="42">
        <v>45730</v>
      </c>
      <c r="B2219" s="1" t="s">
        <v>4299</v>
      </c>
      <c r="C2219" t="s">
        <v>1221</v>
      </c>
      <c r="D2219" s="22">
        <v>-8.3000000000000007</v>
      </c>
      <c r="E2219" t="s">
        <v>35</v>
      </c>
      <c r="F2219" s="2">
        <v>610148001</v>
      </c>
      <c r="G2219" s="2" t="s">
        <v>42</v>
      </c>
      <c r="L2219" s="2" t="s">
        <v>4300</v>
      </c>
      <c r="M2219" t="s">
        <v>43</v>
      </c>
      <c r="N2219" t="s">
        <v>42</v>
      </c>
      <c r="P2219" s="23">
        <v>66.44</v>
      </c>
      <c r="Q2219" s="4">
        <f t="shared" si="34"/>
        <v>-0.12492474413004216</v>
      </c>
      <c r="R2219" s="23" t="s">
        <v>1198</v>
      </c>
      <c r="T2219" s="35" t="s">
        <v>2658</v>
      </c>
    </row>
    <row r="2220" spans="1:20" x14ac:dyDescent="0.25">
      <c r="A2220" s="42">
        <v>45730</v>
      </c>
      <c r="B2220" s="1" t="s">
        <v>4301</v>
      </c>
      <c r="C2220" t="s">
        <v>1221</v>
      </c>
      <c r="D2220" s="22">
        <v>-8.3000000000000007</v>
      </c>
      <c r="E2220" t="s">
        <v>35</v>
      </c>
      <c r="F2220" s="2">
        <v>610148001</v>
      </c>
      <c r="G2220" s="2" t="s">
        <v>42</v>
      </c>
      <c r="L2220" s="2" t="s">
        <v>4302</v>
      </c>
      <c r="M2220" t="s">
        <v>43</v>
      </c>
      <c r="N2220" t="s">
        <v>42</v>
      </c>
      <c r="P2220" s="23">
        <v>66.44</v>
      </c>
      <c r="Q2220" s="4">
        <f t="shared" si="34"/>
        <v>-0.12492474413004216</v>
      </c>
      <c r="R2220" s="23" t="s">
        <v>1198</v>
      </c>
      <c r="T2220" s="35" t="s">
        <v>2658</v>
      </c>
    </row>
    <row r="2221" spans="1:20" x14ac:dyDescent="0.25">
      <c r="A2221" s="42">
        <v>45730</v>
      </c>
      <c r="B2221" s="1" t="s">
        <v>4303</v>
      </c>
      <c r="C2221" t="s">
        <v>1221</v>
      </c>
      <c r="D2221" s="22">
        <v>-8.3000000000000007</v>
      </c>
      <c r="E2221" t="s">
        <v>35</v>
      </c>
      <c r="F2221" s="2">
        <v>610148001</v>
      </c>
      <c r="G2221" s="2" t="s">
        <v>42</v>
      </c>
      <c r="L2221" s="2" t="s">
        <v>4304</v>
      </c>
      <c r="M2221" t="s">
        <v>43</v>
      </c>
      <c r="N2221" t="s">
        <v>42</v>
      </c>
      <c r="P2221" s="23">
        <v>66.44</v>
      </c>
      <c r="Q2221" s="4">
        <f t="shared" si="34"/>
        <v>-0.12492474413004216</v>
      </c>
      <c r="R2221" s="23" t="s">
        <v>1198</v>
      </c>
      <c r="T2221" s="35" t="s">
        <v>2658</v>
      </c>
    </row>
    <row r="2222" spans="1:20" x14ac:dyDescent="0.25">
      <c r="A2222" s="42">
        <v>45730</v>
      </c>
      <c r="B2222" s="1" t="s">
        <v>4305</v>
      </c>
      <c r="C2222" t="s">
        <v>1221</v>
      </c>
      <c r="D2222" s="22">
        <v>-3.32</v>
      </c>
      <c r="E2222" t="s">
        <v>35</v>
      </c>
      <c r="F2222" s="2">
        <v>610148001</v>
      </c>
      <c r="G2222" s="2" t="s">
        <v>42</v>
      </c>
      <c r="L2222" s="2" t="s">
        <v>4306</v>
      </c>
      <c r="M2222" t="s">
        <v>43</v>
      </c>
      <c r="N2222" t="s">
        <v>42</v>
      </c>
      <c r="P2222" s="23">
        <v>66.44</v>
      </c>
      <c r="Q2222" s="4">
        <f t="shared" si="34"/>
        <v>-4.9969897652016856E-2</v>
      </c>
      <c r="R2222" s="23" t="s">
        <v>1198</v>
      </c>
      <c r="T2222" s="35" t="s">
        <v>2658</v>
      </c>
    </row>
    <row r="2223" spans="1:20" x14ac:dyDescent="0.25">
      <c r="A2223" s="42">
        <v>45730</v>
      </c>
      <c r="B2223" s="1" t="s">
        <v>4307</v>
      </c>
      <c r="C2223" t="s">
        <v>1221</v>
      </c>
      <c r="D2223" s="22">
        <v>-16.61</v>
      </c>
      <c r="E2223" t="s">
        <v>35</v>
      </c>
      <c r="F2223" s="2">
        <v>610148001</v>
      </c>
      <c r="G2223" s="2" t="s">
        <v>42</v>
      </c>
      <c r="L2223" s="2" t="s">
        <v>4308</v>
      </c>
      <c r="M2223" t="s">
        <v>43</v>
      </c>
      <c r="N2223" t="s">
        <v>42</v>
      </c>
      <c r="P2223" s="23">
        <v>66.44</v>
      </c>
      <c r="Q2223" s="4">
        <f t="shared" si="34"/>
        <v>-0.25</v>
      </c>
      <c r="R2223" s="23" t="s">
        <v>1198</v>
      </c>
      <c r="T2223" s="35" t="s">
        <v>2658</v>
      </c>
    </row>
    <row r="2224" spans="1:20" x14ac:dyDescent="0.25">
      <c r="A2224" s="42">
        <v>45730</v>
      </c>
      <c r="B2224" s="1" t="s">
        <v>4309</v>
      </c>
      <c r="C2224" t="s">
        <v>1221</v>
      </c>
      <c r="D2224" s="22">
        <v>-13.28</v>
      </c>
      <c r="E2224" t="s">
        <v>35</v>
      </c>
      <c r="F2224" s="2">
        <v>610148001</v>
      </c>
      <c r="G2224" s="2" t="s">
        <v>42</v>
      </c>
      <c r="L2224" s="2" t="s">
        <v>4310</v>
      </c>
      <c r="M2224" t="s">
        <v>43</v>
      </c>
      <c r="N2224" t="s">
        <v>42</v>
      </c>
      <c r="P2224" s="23">
        <v>66.44</v>
      </c>
      <c r="Q2224" s="4">
        <f t="shared" si="34"/>
        <v>-0.19987959060806743</v>
      </c>
      <c r="R2224" s="23" t="s">
        <v>1198</v>
      </c>
      <c r="T2224" s="35" t="s">
        <v>2658</v>
      </c>
    </row>
    <row r="2225" spans="1:20" x14ac:dyDescent="0.25">
      <c r="A2225" s="42">
        <v>45730</v>
      </c>
      <c r="B2225" s="1" t="s">
        <v>4311</v>
      </c>
      <c r="C2225" t="s">
        <v>1221</v>
      </c>
      <c r="D2225" s="22">
        <v>-13.28</v>
      </c>
      <c r="E2225" t="s">
        <v>35</v>
      </c>
      <c r="F2225" s="2">
        <v>610148001</v>
      </c>
      <c r="G2225" s="2" t="s">
        <v>42</v>
      </c>
      <c r="L2225" s="2" t="s">
        <v>4312</v>
      </c>
      <c r="M2225" t="s">
        <v>43</v>
      </c>
      <c r="N2225" t="s">
        <v>42</v>
      </c>
      <c r="P2225" s="23">
        <v>66.44</v>
      </c>
      <c r="Q2225" s="4">
        <f t="shared" si="34"/>
        <v>-0.19987959060806743</v>
      </c>
      <c r="R2225" s="23" t="s">
        <v>1198</v>
      </c>
      <c r="T2225" s="35" t="s">
        <v>2658</v>
      </c>
    </row>
    <row r="2226" spans="1:20" x14ac:dyDescent="0.25">
      <c r="A2226" s="42">
        <v>45730</v>
      </c>
      <c r="B2226" s="1" t="s">
        <v>4313</v>
      </c>
      <c r="C2226" t="s">
        <v>1221</v>
      </c>
      <c r="D2226" s="22">
        <v>-8.3000000000000007</v>
      </c>
      <c r="E2226" t="s">
        <v>35</v>
      </c>
      <c r="F2226" s="2">
        <v>610148001</v>
      </c>
      <c r="G2226" s="2" t="s">
        <v>42</v>
      </c>
      <c r="L2226" s="2" t="s">
        <v>4314</v>
      </c>
      <c r="M2226" t="s">
        <v>43</v>
      </c>
      <c r="N2226" t="s">
        <v>42</v>
      </c>
      <c r="P2226" s="23">
        <v>66.44</v>
      </c>
      <c r="Q2226" s="4">
        <f t="shared" si="34"/>
        <v>-0.12492474413004216</v>
      </c>
      <c r="R2226" s="23" t="s">
        <v>1198</v>
      </c>
      <c r="T2226" s="35" t="s">
        <v>2658</v>
      </c>
    </row>
    <row r="2227" spans="1:20" x14ac:dyDescent="0.25">
      <c r="A2227" s="42">
        <v>45730</v>
      </c>
      <c r="B2227" s="1" t="s">
        <v>4315</v>
      </c>
      <c r="C2227" t="s">
        <v>1221</v>
      </c>
      <c r="D2227" s="22">
        <v>-8.3000000000000007</v>
      </c>
      <c r="E2227" t="s">
        <v>35</v>
      </c>
      <c r="F2227" s="2">
        <v>610148001</v>
      </c>
      <c r="G2227" s="2" t="s">
        <v>42</v>
      </c>
      <c r="L2227" s="2" t="s">
        <v>4316</v>
      </c>
      <c r="M2227" t="s">
        <v>43</v>
      </c>
      <c r="N2227" t="s">
        <v>42</v>
      </c>
      <c r="P2227" s="23">
        <v>66.44</v>
      </c>
      <c r="Q2227" s="4">
        <f t="shared" si="34"/>
        <v>-0.12492474413004216</v>
      </c>
      <c r="R2227" s="23" t="s">
        <v>1198</v>
      </c>
      <c r="T2227" s="35" t="s">
        <v>2658</v>
      </c>
    </row>
    <row r="2228" spans="1:20" x14ac:dyDescent="0.25">
      <c r="A2228" s="42">
        <v>45730</v>
      </c>
      <c r="B2228" s="1" t="s">
        <v>4317</v>
      </c>
      <c r="C2228" t="s">
        <v>1221</v>
      </c>
      <c r="D2228" s="22">
        <v>-6.64</v>
      </c>
      <c r="E2228" t="s">
        <v>35</v>
      </c>
      <c r="F2228" s="2">
        <v>610148001</v>
      </c>
      <c r="G2228" s="2" t="s">
        <v>42</v>
      </c>
      <c r="L2228" s="2" t="s">
        <v>4318</v>
      </c>
      <c r="M2228" t="s">
        <v>43</v>
      </c>
      <c r="N2228" t="s">
        <v>42</v>
      </c>
      <c r="P2228" s="23">
        <v>66.44</v>
      </c>
      <c r="Q2228" s="4">
        <f t="shared" si="34"/>
        <v>-9.9939795304033713E-2</v>
      </c>
      <c r="R2228" s="23" t="s">
        <v>1198</v>
      </c>
      <c r="T2228" s="35" t="s">
        <v>2658</v>
      </c>
    </row>
    <row r="2229" spans="1:20" x14ac:dyDescent="0.25">
      <c r="A2229" s="42">
        <v>45730</v>
      </c>
      <c r="B2229" s="1" t="s">
        <v>4319</v>
      </c>
      <c r="C2229" t="s">
        <v>1221</v>
      </c>
      <c r="D2229" s="22">
        <v>-16.61</v>
      </c>
      <c r="E2229" t="s">
        <v>35</v>
      </c>
      <c r="F2229" s="2">
        <v>610148001</v>
      </c>
      <c r="G2229" s="2" t="s">
        <v>42</v>
      </c>
      <c r="L2229" s="2" t="s">
        <v>4320</v>
      </c>
      <c r="M2229" t="s">
        <v>43</v>
      </c>
      <c r="N2229" t="s">
        <v>42</v>
      </c>
      <c r="P2229" s="23">
        <v>66.44</v>
      </c>
      <c r="Q2229" s="4">
        <f t="shared" si="34"/>
        <v>-0.25</v>
      </c>
      <c r="R2229" s="23" t="s">
        <v>1198</v>
      </c>
      <c r="T2229" s="35" t="s">
        <v>2658</v>
      </c>
    </row>
    <row r="2230" spans="1:20" x14ac:dyDescent="0.25">
      <c r="A2230" s="42">
        <v>45730</v>
      </c>
      <c r="B2230" s="1" t="s">
        <v>4321</v>
      </c>
      <c r="C2230" t="s">
        <v>1221</v>
      </c>
      <c r="D2230" s="22">
        <v>-16.61</v>
      </c>
      <c r="E2230" t="s">
        <v>35</v>
      </c>
      <c r="F2230" s="2">
        <v>610148001</v>
      </c>
      <c r="G2230" s="2" t="s">
        <v>42</v>
      </c>
      <c r="L2230" s="2" t="s">
        <v>4322</v>
      </c>
      <c r="M2230" t="s">
        <v>43</v>
      </c>
      <c r="N2230" t="s">
        <v>42</v>
      </c>
      <c r="P2230" s="23">
        <v>66.44</v>
      </c>
      <c r="Q2230" s="4">
        <f t="shared" si="34"/>
        <v>-0.25</v>
      </c>
      <c r="R2230" s="23" t="s">
        <v>1198</v>
      </c>
      <c r="T2230" s="35" t="s">
        <v>2658</v>
      </c>
    </row>
    <row r="2231" spans="1:20" x14ac:dyDescent="0.25">
      <c r="A2231" s="42">
        <v>45730</v>
      </c>
      <c r="B2231" s="1" t="s">
        <v>4323</v>
      </c>
      <c r="C2231" t="s">
        <v>1221</v>
      </c>
      <c r="D2231" s="22">
        <v>-11.62</v>
      </c>
      <c r="E2231" t="s">
        <v>35</v>
      </c>
      <c r="F2231" s="2">
        <v>610148001</v>
      </c>
      <c r="G2231" s="2" t="s">
        <v>42</v>
      </c>
      <c r="L2231" s="2" t="s">
        <v>4324</v>
      </c>
      <c r="M2231" t="s">
        <v>43</v>
      </c>
      <c r="N2231" t="s">
        <v>42</v>
      </c>
      <c r="P2231" s="23">
        <v>66.44</v>
      </c>
      <c r="Q2231" s="4">
        <f t="shared" si="34"/>
        <v>-0.17489464178205899</v>
      </c>
      <c r="R2231" s="23" t="s">
        <v>1198</v>
      </c>
      <c r="T2231" s="35" t="s">
        <v>2658</v>
      </c>
    </row>
    <row r="2232" spans="1:20" x14ac:dyDescent="0.25">
      <c r="A2232" s="42">
        <v>45730</v>
      </c>
      <c r="B2232" s="1" t="s">
        <v>4325</v>
      </c>
      <c r="C2232" t="s">
        <v>1221</v>
      </c>
      <c r="D2232" s="22">
        <v>-8.3000000000000007</v>
      </c>
      <c r="E2232" t="s">
        <v>35</v>
      </c>
      <c r="F2232" s="2">
        <v>610148001</v>
      </c>
      <c r="G2232" s="2" t="s">
        <v>42</v>
      </c>
      <c r="L2232" s="2" t="s">
        <v>4326</v>
      </c>
      <c r="M2232" t="s">
        <v>43</v>
      </c>
      <c r="N2232" t="s">
        <v>42</v>
      </c>
      <c r="P2232" s="23">
        <v>66.44</v>
      </c>
      <c r="Q2232" s="4">
        <f t="shared" si="34"/>
        <v>-0.12492474413004216</v>
      </c>
      <c r="R2232" s="23" t="s">
        <v>1198</v>
      </c>
      <c r="T2232" s="35" t="s">
        <v>2658</v>
      </c>
    </row>
    <row r="2233" spans="1:20" x14ac:dyDescent="0.25">
      <c r="A2233" s="42">
        <v>45730</v>
      </c>
      <c r="B2233" s="1" t="s">
        <v>4327</v>
      </c>
      <c r="C2233" t="s">
        <v>1221</v>
      </c>
      <c r="D2233" s="22">
        <v>-23.25</v>
      </c>
      <c r="E2233" t="s">
        <v>35</v>
      </c>
      <c r="F2233" s="2">
        <v>610148001</v>
      </c>
      <c r="G2233" s="2" t="s">
        <v>42</v>
      </c>
      <c r="L2233" s="2" t="s">
        <v>4328</v>
      </c>
      <c r="M2233" t="s">
        <v>43</v>
      </c>
      <c r="N2233" t="s">
        <v>42</v>
      </c>
      <c r="P2233" s="23">
        <v>66.44</v>
      </c>
      <c r="Q2233" s="4">
        <f t="shared" si="34"/>
        <v>-0.34993979530403374</v>
      </c>
      <c r="R2233" s="23" t="s">
        <v>1198</v>
      </c>
      <c r="T2233" s="35" t="s">
        <v>2658</v>
      </c>
    </row>
    <row r="2234" spans="1:20" x14ac:dyDescent="0.25">
      <c r="A2234" s="42">
        <v>45730</v>
      </c>
      <c r="B2234" s="1" t="s">
        <v>3967</v>
      </c>
      <c r="C2234" t="s">
        <v>1221</v>
      </c>
      <c r="D2234" s="22">
        <v>-9.9600000000000009</v>
      </c>
      <c r="E2234" t="s">
        <v>35</v>
      </c>
      <c r="F2234" s="2">
        <v>610148001</v>
      </c>
      <c r="G2234" s="2" t="s">
        <v>42</v>
      </c>
      <c r="L2234" s="2" t="s">
        <v>4329</v>
      </c>
      <c r="M2234" t="s">
        <v>43</v>
      </c>
      <c r="N2234" t="s">
        <v>42</v>
      </c>
      <c r="P2234" s="23">
        <v>66.44</v>
      </c>
      <c r="Q2234" s="4">
        <f t="shared" si="34"/>
        <v>-0.14990969295605058</v>
      </c>
      <c r="R2234" s="23" t="s">
        <v>1198</v>
      </c>
      <c r="T2234" s="35" t="s">
        <v>2658</v>
      </c>
    </row>
    <row r="2235" spans="1:20" x14ac:dyDescent="0.25">
      <c r="A2235" s="42">
        <v>45730</v>
      </c>
      <c r="B2235" s="1" t="s">
        <v>3962</v>
      </c>
      <c r="C2235" t="s">
        <v>1221</v>
      </c>
      <c r="D2235" s="22">
        <v>-9.9600000000000009</v>
      </c>
      <c r="E2235" t="s">
        <v>35</v>
      </c>
      <c r="F2235" s="2">
        <v>610148001</v>
      </c>
      <c r="G2235" s="2" t="s">
        <v>42</v>
      </c>
      <c r="L2235" s="2" t="s">
        <v>4330</v>
      </c>
      <c r="M2235" t="s">
        <v>43</v>
      </c>
      <c r="N2235" t="s">
        <v>42</v>
      </c>
      <c r="P2235" s="23">
        <v>66.44</v>
      </c>
      <c r="Q2235" s="4">
        <f t="shared" si="34"/>
        <v>-0.14990969295605058</v>
      </c>
      <c r="R2235" s="23" t="s">
        <v>1198</v>
      </c>
      <c r="T2235" s="35" t="s">
        <v>2658</v>
      </c>
    </row>
    <row r="2236" spans="1:20" x14ac:dyDescent="0.25">
      <c r="A2236" s="42">
        <v>45730</v>
      </c>
      <c r="B2236" s="1" t="s">
        <v>3955</v>
      </c>
      <c r="C2236" t="s">
        <v>1221</v>
      </c>
      <c r="D2236" s="22">
        <v>-9.9600000000000009</v>
      </c>
      <c r="E2236" t="s">
        <v>35</v>
      </c>
      <c r="F2236" s="2">
        <v>610148001</v>
      </c>
      <c r="G2236" s="2" t="s">
        <v>42</v>
      </c>
      <c r="L2236" s="2" t="s">
        <v>4331</v>
      </c>
      <c r="M2236" t="s">
        <v>43</v>
      </c>
      <c r="N2236" t="s">
        <v>42</v>
      </c>
      <c r="P2236" s="23">
        <v>66.44</v>
      </c>
      <c r="Q2236" s="4">
        <f t="shared" si="34"/>
        <v>-0.14990969295605058</v>
      </c>
      <c r="R2236" s="23" t="s">
        <v>1198</v>
      </c>
      <c r="T2236" s="35" t="s">
        <v>2658</v>
      </c>
    </row>
    <row r="2237" spans="1:20" x14ac:dyDescent="0.25">
      <c r="A2237" s="42">
        <v>45730</v>
      </c>
      <c r="B2237" s="1" t="s">
        <v>4332</v>
      </c>
      <c r="C2237" t="s">
        <v>1221</v>
      </c>
      <c r="D2237" s="22">
        <v>-6.97</v>
      </c>
      <c r="E2237" t="s">
        <v>35</v>
      </c>
      <c r="F2237" s="2">
        <v>610148001</v>
      </c>
      <c r="G2237" s="2" t="s">
        <v>42</v>
      </c>
      <c r="L2237" s="2" t="s">
        <v>4333</v>
      </c>
      <c r="M2237" t="s">
        <v>43</v>
      </c>
      <c r="N2237" t="s">
        <v>42</v>
      </c>
      <c r="P2237" s="23">
        <v>66.44</v>
      </c>
      <c r="Q2237" s="4">
        <f t="shared" si="34"/>
        <v>-0.10490668272125225</v>
      </c>
      <c r="R2237" s="23" t="s">
        <v>1198</v>
      </c>
      <c r="T2237" s="35" t="s">
        <v>2658</v>
      </c>
    </row>
    <row r="2238" spans="1:20" x14ac:dyDescent="0.25">
      <c r="A2238" s="42">
        <v>45730</v>
      </c>
      <c r="B2238" s="1" t="s">
        <v>4334</v>
      </c>
      <c r="C2238" t="s">
        <v>1221</v>
      </c>
      <c r="D2238" s="22">
        <v>-6.64</v>
      </c>
      <c r="E2238" t="s">
        <v>35</v>
      </c>
      <c r="F2238" s="2">
        <v>610148001</v>
      </c>
      <c r="G2238" s="2" t="s">
        <v>42</v>
      </c>
      <c r="L2238" s="2" t="s">
        <v>4335</v>
      </c>
      <c r="M2238" t="s">
        <v>43</v>
      </c>
      <c r="N2238" t="s">
        <v>42</v>
      </c>
      <c r="P2238" s="23">
        <v>66.44</v>
      </c>
      <c r="Q2238" s="4">
        <f t="shared" si="34"/>
        <v>-9.9939795304033713E-2</v>
      </c>
      <c r="R2238" s="23" t="s">
        <v>1198</v>
      </c>
      <c r="T2238" s="35" t="s">
        <v>2658</v>
      </c>
    </row>
    <row r="2239" spans="1:20" x14ac:dyDescent="0.25">
      <c r="A2239" s="42">
        <v>45734</v>
      </c>
      <c r="B2239" s="1" t="s">
        <v>4336</v>
      </c>
      <c r="C2239" t="s">
        <v>544</v>
      </c>
      <c r="D2239" s="22">
        <v>1600000</v>
      </c>
      <c r="E2239" t="s">
        <v>46</v>
      </c>
      <c r="F2239" s="2">
        <v>210115002</v>
      </c>
      <c r="G2239" s="2" t="s">
        <v>47</v>
      </c>
      <c r="L2239" s="2" t="s">
        <v>4337</v>
      </c>
      <c r="N2239" t="s">
        <v>544</v>
      </c>
      <c r="P2239" s="23">
        <v>66.790000000000006</v>
      </c>
      <c r="Q2239" s="4">
        <f t="shared" si="34"/>
        <v>23955.681988321601</v>
      </c>
      <c r="R2239" s="23" t="s">
        <v>1198</v>
      </c>
    </row>
    <row r="2240" spans="1:20" x14ac:dyDescent="0.25">
      <c r="A2240" s="42">
        <v>45734</v>
      </c>
      <c r="B2240" s="1" t="s">
        <v>3924</v>
      </c>
      <c r="C2240" t="s">
        <v>4338</v>
      </c>
      <c r="D2240" s="22">
        <v>-200000</v>
      </c>
      <c r="E2240" t="s">
        <v>35</v>
      </c>
      <c r="F2240" s="2">
        <v>110110001</v>
      </c>
      <c r="G2240" s="2" t="s">
        <v>1276</v>
      </c>
      <c r="L2240" s="2" t="s">
        <v>4339</v>
      </c>
      <c r="M2240" t="s">
        <v>2722</v>
      </c>
      <c r="N2240" t="s">
        <v>1279</v>
      </c>
      <c r="P2240" s="23">
        <v>66.790000000000006</v>
      </c>
      <c r="Q2240" s="4">
        <f t="shared" si="34"/>
        <v>-2994.4602485402002</v>
      </c>
      <c r="R2240" s="23" t="s">
        <v>1198</v>
      </c>
      <c r="S2240" t="s">
        <v>4340</v>
      </c>
      <c r="T2240" s="35" t="s">
        <v>4341</v>
      </c>
    </row>
    <row r="2241" spans="1:20" x14ac:dyDescent="0.25">
      <c r="A2241" s="42">
        <v>45734</v>
      </c>
      <c r="B2241" s="1" t="s">
        <v>3930</v>
      </c>
      <c r="C2241" t="s">
        <v>4342</v>
      </c>
      <c r="D2241" s="22">
        <v>-114347.17</v>
      </c>
      <c r="E2241" t="s">
        <v>35</v>
      </c>
      <c r="F2241" s="2">
        <v>210101001</v>
      </c>
      <c r="G2241" s="2" t="s">
        <v>36</v>
      </c>
      <c r="L2241" s="2" t="s">
        <v>4343</v>
      </c>
      <c r="M2241" t="s">
        <v>303</v>
      </c>
      <c r="N2241" t="s">
        <v>304</v>
      </c>
      <c r="P2241" s="23">
        <v>66.790000000000006</v>
      </c>
      <c r="Q2241" s="4">
        <f t="shared" si="34"/>
        <v>-1712.0402754903428</v>
      </c>
      <c r="R2241" s="23" t="s">
        <v>1198</v>
      </c>
    </row>
    <row r="2242" spans="1:20" x14ac:dyDescent="0.25">
      <c r="A2242" s="42">
        <v>45734</v>
      </c>
      <c r="B2242" s="1" t="s">
        <v>3943</v>
      </c>
      <c r="C2242" t="s">
        <v>4338</v>
      </c>
      <c r="D2242" s="22">
        <v>-200000</v>
      </c>
      <c r="E2242" t="s">
        <v>35</v>
      </c>
      <c r="F2242" s="2">
        <v>110110001</v>
      </c>
      <c r="G2242" s="2" t="s">
        <v>1276</v>
      </c>
      <c r="L2242" s="2" t="s">
        <v>4344</v>
      </c>
      <c r="M2242" t="s">
        <v>2722</v>
      </c>
      <c r="N2242" t="s">
        <v>1279</v>
      </c>
      <c r="P2242" s="23">
        <v>66.790000000000006</v>
      </c>
      <c r="Q2242" s="4">
        <f t="shared" si="34"/>
        <v>-2994.4602485402002</v>
      </c>
      <c r="R2242" s="23" t="s">
        <v>1198</v>
      </c>
      <c r="S2242" t="s">
        <v>4340</v>
      </c>
      <c r="T2242" s="35" t="s">
        <v>4341</v>
      </c>
    </row>
    <row r="2243" spans="1:20" x14ac:dyDescent="0.25">
      <c r="A2243" s="42">
        <v>45734</v>
      </c>
      <c r="B2243" s="1" t="s">
        <v>2571</v>
      </c>
      <c r="C2243" t="s">
        <v>4342</v>
      </c>
      <c r="D2243" s="22">
        <v>-200000</v>
      </c>
      <c r="E2243" t="s">
        <v>35</v>
      </c>
      <c r="F2243" s="2">
        <v>210101001</v>
      </c>
      <c r="G2243" s="2" t="s">
        <v>36</v>
      </c>
      <c r="L2243" s="2" t="s">
        <v>4345</v>
      </c>
      <c r="M2243" t="s">
        <v>303</v>
      </c>
      <c r="N2243" t="s">
        <v>304</v>
      </c>
      <c r="P2243" s="23">
        <v>66.790000000000006</v>
      </c>
      <c r="Q2243" s="4">
        <f t="shared" si="34"/>
        <v>-2994.4602485402002</v>
      </c>
      <c r="R2243" s="23" t="s">
        <v>1198</v>
      </c>
    </row>
    <row r="2244" spans="1:20" x14ac:dyDescent="0.25">
      <c r="A2244" s="42">
        <v>45734</v>
      </c>
      <c r="B2244" s="1" t="s">
        <v>3952</v>
      </c>
      <c r="C2244" t="s">
        <v>4338</v>
      </c>
      <c r="D2244" s="22">
        <v>-200000</v>
      </c>
      <c r="E2244" t="s">
        <v>35</v>
      </c>
      <c r="F2244" s="2">
        <v>110110001</v>
      </c>
      <c r="G2244" s="2" t="s">
        <v>1276</v>
      </c>
      <c r="L2244" s="2" t="s">
        <v>4346</v>
      </c>
      <c r="M2244" t="s">
        <v>2722</v>
      </c>
      <c r="N2244" t="s">
        <v>1279</v>
      </c>
      <c r="P2244" s="23">
        <v>66.790000000000006</v>
      </c>
      <c r="Q2244" s="4">
        <f t="shared" si="34"/>
        <v>-2994.4602485402002</v>
      </c>
      <c r="R2244" s="23" t="s">
        <v>1198</v>
      </c>
      <c r="S2244" t="s">
        <v>4340</v>
      </c>
      <c r="T2244" s="35" t="s">
        <v>4341</v>
      </c>
    </row>
    <row r="2245" spans="1:20" x14ac:dyDescent="0.25">
      <c r="A2245" s="42">
        <v>45734</v>
      </c>
      <c r="B2245" s="1" t="s">
        <v>2573</v>
      </c>
      <c r="C2245" t="s">
        <v>4342</v>
      </c>
      <c r="D2245" s="22">
        <v>-200000</v>
      </c>
      <c r="E2245" t="s">
        <v>35</v>
      </c>
      <c r="F2245" s="2">
        <v>210101001</v>
      </c>
      <c r="G2245" s="2" t="s">
        <v>36</v>
      </c>
      <c r="L2245" s="2" t="s">
        <v>4347</v>
      </c>
      <c r="M2245" t="s">
        <v>303</v>
      </c>
      <c r="N2245" t="s">
        <v>304</v>
      </c>
      <c r="P2245" s="23">
        <v>66.790000000000006</v>
      </c>
      <c r="Q2245" s="4">
        <f t="shared" si="34"/>
        <v>-2994.4602485402002</v>
      </c>
      <c r="R2245" s="23" t="s">
        <v>1198</v>
      </c>
    </row>
    <row r="2246" spans="1:20" x14ac:dyDescent="0.25">
      <c r="A2246" s="42">
        <v>45734</v>
      </c>
      <c r="B2246" s="1" t="s">
        <v>1217</v>
      </c>
      <c r="C2246" t="s">
        <v>4342</v>
      </c>
      <c r="D2246" s="22">
        <v>-200000</v>
      </c>
      <c r="E2246" t="s">
        <v>35</v>
      </c>
      <c r="F2246" s="2">
        <v>210101001</v>
      </c>
      <c r="G2246" s="2" t="s">
        <v>36</v>
      </c>
      <c r="L2246" s="2" t="s">
        <v>4348</v>
      </c>
      <c r="M2246" t="s">
        <v>303</v>
      </c>
      <c r="N2246" t="s">
        <v>304</v>
      </c>
      <c r="P2246" s="23">
        <v>66.790000000000006</v>
      </c>
      <c r="Q2246" s="4">
        <f t="shared" si="34"/>
        <v>-2994.4602485402002</v>
      </c>
      <c r="R2246" s="23" t="s">
        <v>1198</v>
      </c>
    </row>
    <row r="2247" spans="1:20" x14ac:dyDescent="0.25">
      <c r="A2247" s="42">
        <v>45734</v>
      </c>
      <c r="B2247" s="1" t="s">
        <v>3927</v>
      </c>
      <c r="C2247" t="s">
        <v>4338</v>
      </c>
      <c r="D2247" s="22">
        <v>-10371.08</v>
      </c>
      <c r="E2247" t="s">
        <v>35</v>
      </c>
      <c r="F2247" s="2">
        <v>110110001</v>
      </c>
      <c r="G2247" s="2" t="s">
        <v>1276</v>
      </c>
      <c r="L2247" s="2" t="s">
        <v>4349</v>
      </c>
      <c r="M2247" t="s">
        <v>2722</v>
      </c>
      <c r="N2247" t="s">
        <v>1279</v>
      </c>
      <c r="P2247" s="23">
        <v>66.790000000000006</v>
      </c>
      <c r="Q2247" s="4">
        <f t="shared" si="34"/>
        <v>-155.27893397215149</v>
      </c>
      <c r="R2247" s="23" t="s">
        <v>1198</v>
      </c>
      <c r="T2247" s="35" t="s">
        <v>4341</v>
      </c>
    </row>
    <row r="2248" spans="1:20" x14ac:dyDescent="0.25">
      <c r="A2248" s="42">
        <v>45734</v>
      </c>
      <c r="B2248" s="1" t="s">
        <v>3933</v>
      </c>
      <c r="C2248" t="s">
        <v>4338</v>
      </c>
      <c r="D2248" s="22">
        <v>-200000</v>
      </c>
      <c r="E2248" t="s">
        <v>35</v>
      </c>
      <c r="F2248" s="2">
        <v>110110001</v>
      </c>
      <c r="G2248" s="2" t="s">
        <v>1276</v>
      </c>
      <c r="L2248" s="2" t="s">
        <v>4350</v>
      </c>
      <c r="M2248" t="s">
        <v>2722</v>
      </c>
      <c r="N2248" t="s">
        <v>1279</v>
      </c>
      <c r="P2248" s="23">
        <v>66.790000000000006</v>
      </c>
      <c r="Q2248" s="4">
        <f t="shared" si="34"/>
        <v>-2994.4602485402002</v>
      </c>
      <c r="R2248" s="23" t="s">
        <v>1198</v>
      </c>
      <c r="T2248" s="35" t="s">
        <v>4341</v>
      </c>
    </row>
    <row r="2249" spans="1:20" x14ac:dyDescent="0.25">
      <c r="A2249" s="42">
        <v>45734</v>
      </c>
      <c r="B2249" s="1" t="s">
        <v>1214</v>
      </c>
      <c r="C2249" t="s">
        <v>4351</v>
      </c>
      <c r="D2249" s="22">
        <v>-16363.06</v>
      </c>
      <c r="E2249" t="s">
        <v>35</v>
      </c>
      <c r="F2249" s="2">
        <v>210101001</v>
      </c>
      <c r="G2249" s="2" t="s">
        <v>36</v>
      </c>
      <c r="L2249" s="2" t="s">
        <v>4352</v>
      </c>
      <c r="M2249" t="s">
        <v>2645</v>
      </c>
      <c r="N2249" t="s">
        <v>1187</v>
      </c>
      <c r="P2249" s="23">
        <v>66.790000000000006</v>
      </c>
      <c r="Q2249" s="4">
        <f t="shared" si="34"/>
        <v>-244.99266357239105</v>
      </c>
      <c r="R2249" s="23" t="s">
        <v>1198</v>
      </c>
    </row>
    <row r="2250" spans="1:20" ht="15.75" x14ac:dyDescent="0.25">
      <c r="A2250" s="54">
        <v>45734</v>
      </c>
      <c r="B2250" s="55" t="s">
        <v>4353</v>
      </c>
      <c r="C2250" s="3" t="s">
        <v>4354</v>
      </c>
      <c r="D2250" s="53">
        <v>-10494.89</v>
      </c>
      <c r="E2250" s="3" t="s">
        <v>35</v>
      </c>
      <c r="F2250" s="56">
        <v>110114001</v>
      </c>
      <c r="G2250" s="56" t="s">
        <v>301</v>
      </c>
      <c r="H2250" s="108"/>
      <c r="I2250" s="102"/>
      <c r="J2250" s="102"/>
      <c r="K2250" s="56"/>
      <c r="L2250" s="2" t="s">
        <v>4355</v>
      </c>
      <c r="M2250" s="57" t="s">
        <v>4356</v>
      </c>
      <c r="N2250" s="57" t="s">
        <v>4357</v>
      </c>
      <c r="O2250" s="57"/>
      <c r="P2250" s="23">
        <v>66.790000000000006</v>
      </c>
      <c r="Q2250" s="4">
        <f t="shared" si="34"/>
        <v>-157.13265458901031</v>
      </c>
      <c r="R2250" s="23" t="s">
        <v>1198</v>
      </c>
      <c r="S2250" s="33" t="s">
        <v>3147</v>
      </c>
    </row>
    <row r="2251" spans="1:20" x14ac:dyDescent="0.25">
      <c r="A2251" s="42">
        <v>45734</v>
      </c>
      <c r="B2251" s="1" t="s">
        <v>4353</v>
      </c>
      <c r="C2251" t="s">
        <v>1305</v>
      </c>
      <c r="D2251" s="22">
        <v>-31.48</v>
      </c>
      <c r="E2251" t="s">
        <v>35</v>
      </c>
      <c r="F2251" s="2">
        <v>610148001</v>
      </c>
      <c r="G2251" s="2" t="s">
        <v>42</v>
      </c>
      <c r="L2251" s="2" t="s">
        <v>4358</v>
      </c>
      <c r="M2251" t="s">
        <v>43</v>
      </c>
      <c r="N2251" t="s">
        <v>42</v>
      </c>
      <c r="P2251" s="23">
        <v>66.790000000000006</v>
      </c>
      <c r="Q2251" s="4">
        <f t="shared" ref="Q2251:Q2314" si="35">D2251/P2251</f>
        <v>-0.47132804312022752</v>
      </c>
      <c r="R2251" s="23" t="s">
        <v>1198</v>
      </c>
      <c r="T2251" s="35" t="s">
        <v>2658</v>
      </c>
    </row>
    <row r="2252" spans="1:20" x14ac:dyDescent="0.25">
      <c r="A2252" s="42">
        <v>45734</v>
      </c>
      <c r="B2252" s="1" t="s">
        <v>4359</v>
      </c>
      <c r="C2252" t="s">
        <v>4360</v>
      </c>
      <c r="D2252" s="22">
        <v>-3607.81</v>
      </c>
      <c r="E2252" t="s">
        <v>35</v>
      </c>
      <c r="F2252" s="2">
        <v>110114001</v>
      </c>
      <c r="G2252" s="2" t="s">
        <v>301</v>
      </c>
      <c r="L2252" s="2" t="s">
        <v>4361</v>
      </c>
      <c r="M2252" t="s">
        <v>4356</v>
      </c>
      <c r="N2252" t="s">
        <v>4357</v>
      </c>
      <c r="P2252" s="23">
        <v>66.790000000000006</v>
      </c>
      <c r="Q2252" s="4">
        <f t="shared" si="35"/>
        <v>-54.017218146429101</v>
      </c>
      <c r="R2252" s="23" t="s">
        <v>1198</v>
      </c>
      <c r="S2252" s="33" t="s">
        <v>3147</v>
      </c>
    </row>
    <row r="2253" spans="1:20" x14ac:dyDescent="0.25">
      <c r="A2253" s="42">
        <v>45734</v>
      </c>
      <c r="B2253" s="1" t="s">
        <v>4359</v>
      </c>
      <c r="C2253" t="s">
        <v>1305</v>
      </c>
      <c r="D2253" s="22">
        <v>-10.82</v>
      </c>
      <c r="E2253" t="s">
        <v>35</v>
      </c>
      <c r="F2253" s="2">
        <v>610148001</v>
      </c>
      <c r="G2253" s="2" t="s">
        <v>42</v>
      </c>
      <c r="L2253" s="2" t="s">
        <v>4362</v>
      </c>
      <c r="M2253" t="s">
        <v>43</v>
      </c>
      <c r="N2253" t="s">
        <v>42</v>
      </c>
      <c r="P2253" s="23">
        <v>66.790000000000006</v>
      </c>
      <c r="Q2253" s="4">
        <f t="shared" si="35"/>
        <v>-0.16200029944602484</v>
      </c>
      <c r="R2253" s="23" t="s">
        <v>1198</v>
      </c>
      <c r="T2253" s="35" t="s">
        <v>2658</v>
      </c>
    </row>
    <row r="2254" spans="1:20" x14ac:dyDescent="0.25">
      <c r="A2254" s="42">
        <v>45734</v>
      </c>
      <c r="B2254" s="1" t="s">
        <v>3960</v>
      </c>
      <c r="C2254" t="s">
        <v>1221</v>
      </c>
      <c r="D2254" s="22">
        <v>-25.92</v>
      </c>
      <c r="E2254" t="s">
        <v>35</v>
      </c>
      <c r="F2254" s="2">
        <v>610148001</v>
      </c>
      <c r="G2254" s="2" t="s">
        <v>42</v>
      </c>
      <c r="L2254" s="2" t="s">
        <v>4363</v>
      </c>
      <c r="M2254" t="s">
        <v>43</v>
      </c>
      <c r="N2254" t="s">
        <v>42</v>
      </c>
      <c r="P2254" s="23">
        <v>66.790000000000006</v>
      </c>
      <c r="Q2254" s="4">
        <f t="shared" si="35"/>
        <v>-0.38808204821080999</v>
      </c>
      <c r="R2254" s="23" t="s">
        <v>1198</v>
      </c>
      <c r="T2254" s="35" t="s">
        <v>2658</v>
      </c>
    </row>
    <row r="2255" spans="1:20" x14ac:dyDescent="0.25">
      <c r="A2255" s="42">
        <v>45734</v>
      </c>
      <c r="B2255" s="1" t="s">
        <v>3958</v>
      </c>
      <c r="C2255" t="s">
        <v>1221</v>
      </c>
      <c r="D2255" s="22">
        <v>-500</v>
      </c>
      <c r="E2255" t="s">
        <v>35</v>
      </c>
      <c r="F2255" s="2">
        <v>610148001</v>
      </c>
      <c r="G2255" s="2" t="s">
        <v>42</v>
      </c>
      <c r="L2255" s="2" t="s">
        <v>4364</v>
      </c>
      <c r="M2255" t="s">
        <v>43</v>
      </c>
      <c r="N2255" t="s">
        <v>42</v>
      </c>
      <c r="P2255" s="23">
        <v>66.790000000000006</v>
      </c>
      <c r="Q2255" s="4">
        <f t="shared" si="35"/>
        <v>-7.4861506213505011</v>
      </c>
      <c r="R2255" s="23" t="s">
        <v>1198</v>
      </c>
      <c r="T2255" s="35" t="s">
        <v>2658</v>
      </c>
    </row>
    <row r="2256" spans="1:20" x14ac:dyDescent="0.25">
      <c r="A2256" s="42">
        <v>45734</v>
      </c>
      <c r="B2256" s="1" t="s">
        <v>3965</v>
      </c>
      <c r="C2256" t="s">
        <v>1221</v>
      </c>
      <c r="D2256" s="22">
        <v>-500</v>
      </c>
      <c r="E2256" t="s">
        <v>35</v>
      </c>
      <c r="F2256" s="2">
        <v>610148001</v>
      </c>
      <c r="G2256" s="2" t="s">
        <v>42</v>
      </c>
      <c r="L2256" s="2" t="s">
        <v>4365</v>
      </c>
      <c r="M2256" t="s">
        <v>43</v>
      </c>
      <c r="N2256" t="s">
        <v>42</v>
      </c>
      <c r="P2256" s="23">
        <v>66.790000000000006</v>
      </c>
      <c r="Q2256" s="4">
        <f t="shared" si="35"/>
        <v>-7.4861506213505011</v>
      </c>
      <c r="R2256" s="23" t="s">
        <v>1198</v>
      </c>
      <c r="T2256" s="35" t="s">
        <v>2658</v>
      </c>
    </row>
    <row r="2257" spans="1:20" x14ac:dyDescent="0.25">
      <c r="A2257" s="42">
        <v>45734</v>
      </c>
      <c r="B2257" s="1" t="s">
        <v>2582</v>
      </c>
      <c r="C2257" t="s">
        <v>1221</v>
      </c>
      <c r="D2257" s="22">
        <v>-500</v>
      </c>
      <c r="E2257" t="s">
        <v>35</v>
      </c>
      <c r="F2257" s="2">
        <v>610148001</v>
      </c>
      <c r="G2257" s="2" t="s">
        <v>42</v>
      </c>
      <c r="L2257" s="2" t="s">
        <v>4366</v>
      </c>
      <c r="M2257" t="s">
        <v>43</v>
      </c>
      <c r="N2257" t="s">
        <v>42</v>
      </c>
      <c r="P2257" s="23">
        <v>66.790000000000006</v>
      </c>
      <c r="Q2257" s="4">
        <f t="shared" si="35"/>
        <v>-7.4861506213505011</v>
      </c>
      <c r="R2257" s="23" t="s">
        <v>1198</v>
      </c>
      <c r="T2257" s="35" t="s">
        <v>2658</v>
      </c>
    </row>
    <row r="2258" spans="1:20" x14ac:dyDescent="0.25">
      <c r="A2258" s="42">
        <v>45734</v>
      </c>
      <c r="B2258" s="1" t="s">
        <v>2585</v>
      </c>
      <c r="C2258" t="s">
        <v>1221</v>
      </c>
      <c r="D2258" s="22">
        <v>-500</v>
      </c>
      <c r="E2258" t="s">
        <v>35</v>
      </c>
      <c r="F2258" s="2">
        <v>610148001</v>
      </c>
      <c r="G2258" s="2" t="s">
        <v>42</v>
      </c>
      <c r="L2258" s="2" t="s">
        <v>4367</v>
      </c>
      <c r="M2258" t="s">
        <v>43</v>
      </c>
      <c r="N2258" t="s">
        <v>42</v>
      </c>
      <c r="P2258" s="23">
        <v>66.790000000000006</v>
      </c>
      <c r="Q2258" s="4">
        <f t="shared" si="35"/>
        <v>-7.4861506213505011</v>
      </c>
      <c r="R2258" s="23" t="s">
        <v>1198</v>
      </c>
      <c r="T2258" s="35" t="s">
        <v>2658</v>
      </c>
    </row>
    <row r="2259" spans="1:20" x14ac:dyDescent="0.25">
      <c r="A2259" s="42">
        <v>45734</v>
      </c>
      <c r="B2259" s="1" t="s">
        <v>3969</v>
      </c>
      <c r="C2259" t="s">
        <v>1221</v>
      </c>
      <c r="D2259" s="22">
        <v>-285.86</v>
      </c>
      <c r="E2259" t="s">
        <v>35</v>
      </c>
      <c r="F2259" s="2">
        <v>610148001</v>
      </c>
      <c r="G2259" s="2" t="s">
        <v>42</v>
      </c>
      <c r="L2259" s="2" t="s">
        <v>4368</v>
      </c>
      <c r="M2259" t="s">
        <v>43</v>
      </c>
      <c r="N2259" t="s">
        <v>42</v>
      </c>
      <c r="P2259" s="23">
        <v>66.790000000000006</v>
      </c>
      <c r="Q2259" s="4">
        <f t="shared" si="35"/>
        <v>-4.2799820332385083</v>
      </c>
      <c r="R2259" s="23" t="s">
        <v>1198</v>
      </c>
      <c r="T2259" s="35" t="s">
        <v>2658</v>
      </c>
    </row>
    <row r="2260" spans="1:20" x14ac:dyDescent="0.25">
      <c r="A2260" s="42">
        <v>45734</v>
      </c>
      <c r="B2260" s="1" t="s">
        <v>3967</v>
      </c>
      <c r="C2260" t="s">
        <v>1221</v>
      </c>
      <c r="D2260" s="22">
        <v>-500</v>
      </c>
      <c r="E2260" t="s">
        <v>35</v>
      </c>
      <c r="F2260" s="2">
        <v>610148001</v>
      </c>
      <c r="G2260" s="2" t="s">
        <v>42</v>
      </c>
      <c r="L2260" s="2" t="s">
        <v>4369</v>
      </c>
      <c r="M2260" t="s">
        <v>43</v>
      </c>
      <c r="N2260" t="s">
        <v>42</v>
      </c>
      <c r="P2260" s="23">
        <v>66.790000000000006</v>
      </c>
      <c r="Q2260" s="4">
        <f t="shared" si="35"/>
        <v>-7.4861506213505011</v>
      </c>
      <c r="R2260" s="23" t="s">
        <v>1198</v>
      </c>
      <c r="T2260" s="35" t="s">
        <v>2658</v>
      </c>
    </row>
    <row r="2261" spans="1:20" x14ac:dyDescent="0.25">
      <c r="A2261" s="42">
        <v>45734</v>
      </c>
      <c r="B2261" s="1" t="s">
        <v>3977</v>
      </c>
      <c r="C2261" t="s">
        <v>1221</v>
      </c>
      <c r="D2261" s="22">
        <v>-500</v>
      </c>
      <c r="E2261" t="s">
        <v>35</v>
      </c>
      <c r="F2261" s="2">
        <v>610148001</v>
      </c>
      <c r="G2261" s="2" t="s">
        <v>42</v>
      </c>
      <c r="L2261" s="2" t="s">
        <v>4370</v>
      </c>
      <c r="M2261" t="s">
        <v>43</v>
      </c>
      <c r="N2261" t="s">
        <v>42</v>
      </c>
      <c r="P2261" s="23">
        <v>66.790000000000006</v>
      </c>
      <c r="Q2261" s="4">
        <f t="shared" si="35"/>
        <v>-7.4861506213505011</v>
      </c>
      <c r="R2261" s="23" t="s">
        <v>1198</v>
      </c>
      <c r="T2261" s="35" t="s">
        <v>2658</v>
      </c>
    </row>
    <row r="2262" spans="1:20" x14ac:dyDescent="0.25">
      <c r="A2262" s="42">
        <v>45734</v>
      </c>
      <c r="B2262" s="1" t="s">
        <v>1225</v>
      </c>
      <c r="C2262" t="s">
        <v>1221</v>
      </c>
      <c r="D2262" s="22">
        <v>-40.9</v>
      </c>
      <c r="E2262" t="s">
        <v>35</v>
      </c>
      <c r="F2262" s="2">
        <v>610148001</v>
      </c>
      <c r="G2262" s="2" t="s">
        <v>42</v>
      </c>
      <c r="L2262" s="2" t="s">
        <v>4371</v>
      </c>
      <c r="M2262" t="s">
        <v>43</v>
      </c>
      <c r="N2262" t="s">
        <v>42</v>
      </c>
      <c r="P2262" s="23">
        <v>66.790000000000006</v>
      </c>
      <c r="Q2262" s="4">
        <f t="shared" si="35"/>
        <v>-0.61236712082647093</v>
      </c>
      <c r="R2262" s="23" t="s">
        <v>1198</v>
      </c>
      <c r="T2262" s="35" t="s">
        <v>2658</v>
      </c>
    </row>
    <row r="2263" spans="1:20" x14ac:dyDescent="0.25">
      <c r="A2263" s="42">
        <v>45734</v>
      </c>
      <c r="B2263" s="1" t="s">
        <v>1220</v>
      </c>
      <c r="C2263" t="s">
        <v>1221</v>
      </c>
      <c r="D2263" s="22">
        <v>-500</v>
      </c>
      <c r="E2263" t="s">
        <v>35</v>
      </c>
      <c r="F2263" s="2">
        <v>610148001</v>
      </c>
      <c r="G2263" s="2" t="s">
        <v>42</v>
      </c>
      <c r="L2263" s="2" t="s">
        <v>4372</v>
      </c>
      <c r="M2263" t="s">
        <v>43</v>
      </c>
      <c r="N2263" t="s">
        <v>42</v>
      </c>
      <c r="P2263" s="23">
        <v>66.790000000000006</v>
      </c>
      <c r="Q2263" s="4">
        <f t="shared" si="35"/>
        <v>-7.4861506213505011</v>
      </c>
      <c r="R2263" s="23" t="s">
        <v>1198</v>
      </c>
      <c r="T2263" s="35" t="s">
        <v>2658</v>
      </c>
    </row>
    <row r="2264" spans="1:20" x14ac:dyDescent="0.25">
      <c r="A2264" s="42">
        <v>45734</v>
      </c>
      <c r="B2264" s="1" t="s">
        <v>4373</v>
      </c>
      <c r="C2264" t="s">
        <v>544</v>
      </c>
      <c r="D2264" s="22">
        <v>550000</v>
      </c>
      <c r="E2264" t="s">
        <v>46</v>
      </c>
      <c r="F2264" s="2">
        <v>210115002</v>
      </c>
      <c r="G2264" s="2" t="s">
        <v>47</v>
      </c>
      <c r="L2264" s="2" t="s">
        <v>4374</v>
      </c>
      <c r="N2264" t="s">
        <v>544</v>
      </c>
      <c r="P2264" s="23">
        <v>66.790000000000006</v>
      </c>
      <c r="Q2264" s="4">
        <f t="shared" si="35"/>
        <v>8234.7656834855516</v>
      </c>
      <c r="R2264" s="23" t="s">
        <v>1198</v>
      </c>
    </row>
    <row r="2265" spans="1:20" x14ac:dyDescent="0.25">
      <c r="A2265" s="42">
        <v>45734</v>
      </c>
      <c r="B2265" s="1" t="s">
        <v>1208</v>
      </c>
      <c r="C2265" t="s">
        <v>4375</v>
      </c>
      <c r="D2265" s="22">
        <v>-542580.35</v>
      </c>
      <c r="E2265" t="s">
        <v>35</v>
      </c>
      <c r="F2265" s="2">
        <v>210101001</v>
      </c>
      <c r="G2265" s="2" t="s">
        <v>36</v>
      </c>
      <c r="L2265" s="2" t="s">
        <v>4376</v>
      </c>
      <c r="M2265" t="s">
        <v>2645</v>
      </c>
      <c r="N2265" t="s">
        <v>1187</v>
      </c>
      <c r="P2265" s="23">
        <v>66.790000000000006</v>
      </c>
      <c r="Q2265" s="4">
        <f t="shared" si="35"/>
        <v>-8123.6764485701442</v>
      </c>
      <c r="R2265" s="23" t="s">
        <v>1198</v>
      </c>
    </row>
    <row r="2266" spans="1:20" x14ac:dyDescent="0.25">
      <c r="A2266" s="42">
        <v>45734</v>
      </c>
      <c r="B2266" s="1" t="s">
        <v>1211</v>
      </c>
      <c r="C2266" t="s">
        <v>4377</v>
      </c>
      <c r="D2266" s="22">
        <v>-2130.6</v>
      </c>
      <c r="E2266" t="s">
        <v>35</v>
      </c>
      <c r="F2266" s="2">
        <v>210101001</v>
      </c>
      <c r="G2266" s="2" t="s">
        <v>36</v>
      </c>
      <c r="L2266" s="2" t="s">
        <v>4378</v>
      </c>
      <c r="M2266" t="s">
        <v>2912</v>
      </c>
      <c r="N2266" t="s">
        <v>2913</v>
      </c>
      <c r="P2266" s="23">
        <v>66.790000000000006</v>
      </c>
      <c r="Q2266" s="4">
        <f t="shared" si="35"/>
        <v>-31.899985027698754</v>
      </c>
      <c r="R2266" s="23" t="s">
        <v>1198</v>
      </c>
    </row>
    <row r="2267" spans="1:20" x14ac:dyDescent="0.25">
      <c r="A2267" s="42">
        <v>45734</v>
      </c>
      <c r="B2267" s="1" t="s">
        <v>1214</v>
      </c>
      <c r="C2267" t="s">
        <v>4379</v>
      </c>
      <c r="D2267" s="22">
        <v>-600</v>
      </c>
      <c r="E2267" t="s">
        <v>35</v>
      </c>
      <c r="F2267" s="2">
        <v>210101001</v>
      </c>
      <c r="G2267" s="2" t="s">
        <v>36</v>
      </c>
      <c r="L2267" s="2" t="s">
        <v>4380</v>
      </c>
      <c r="M2267" t="s">
        <v>1866</v>
      </c>
      <c r="N2267" t="s">
        <v>1867</v>
      </c>
      <c r="P2267" s="23">
        <v>66.790000000000006</v>
      </c>
      <c r="Q2267" s="4">
        <f t="shared" si="35"/>
        <v>-8.9833807456206003</v>
      </c>
      <c r="R2267" s="23" t="s">
        <v>1198</v>
      </c>
    </row>
    <row r="2268" spans="1:20" x14ac:dyDescent="0.25">
      <c r="A2268" s="42">
        <v>45734</v>
      </c>
      <c r="B2268" s="1" t="s">
        <v>1225</v>
      </c>
      <c r="C2268" t="s">
        <v>1221</v>
      </c>
      <c r="D2268" s="22">
        <v>-1.5</v>
      </c>
      <c r="E2268" t="s">
        <v>35</v>
      </c>
      <c r="F2268" s="2">
        <v>610148001</v>
      </c>
      <c r="G2268" s="2" t="s">
        <v>42</v>
      </c>
      <c r="L2268" s="2" t="s">
        <v>4381</v>
      </c>
      <c r="M2268" t="s">
        <v>43</v>
      </c>
      <c r="N2268" t="s">
        <v>42</v>
      </c>
      <c r="P2268" s="23">
        <v>66.790000000000006</v>
      </c>
      <c r="Q2268" s="4">
        <f t="shared" si="35"/>
        <v>-2.2458451864051501E-2</v>
      </c>
      <c r="R2268" s="23" t="s">
        <v>1198</v>
      </c>
      <c r="T2268" s="35" t="s">
        <v>2658</v>
      </c>
    </row>
    <row r="2269" spans="1:20" x14ac:dyDescent="0.25">
      <c r="A2269" s="42">
        <v>45734</v>
      </c>
      <c r="B2269" s="1" t="s">
        <v>1223</v>
      </c>
      <c r="C2269" t="s">
        <v>1221</v>
      </c>
      <c r="D2269" s="22">
        <v>-1356.45</v>
      </c>
      <c r="E2269" t="s">
        <v>35</v>
      </c>
      <c r="F2269" s="2">
        <v>610148001</v>
      </c>
      <c r="G2269" s="2" t="s">
        <v>42</v>
      </c>
      <c r="L2269" s="2" t="s">
        <v>4382</v>
      </c>
      <c r="M2269" t="s">
        <v>43</v>
      </c>
      <c r="N2269" t="s">
        <v>42</v>
      </c>
      <c r="P2269" s="23">
        <v>66.790000000000006</v>
      </c>
      <c r="Q2269" s="4">
        <f t="shared" si="35"/>
        <v>-20.309178020661776</v>
      </c>
      <c r="R2269" s="23" t="s">
        <v>1198</v>
      </c>
      <c r="T2269" s="35" t="s">
        <v>2658</v>
      </c>
    </row>
    <row r="2270" spans="1:20" x14ac:dyDescent="0.25">
      <c r="A2270" s="42">
        <v>45734</v>
      </c>
      <c r="B2270" s="1" t="s">
        <v>1227</v>
      </c>
      <c r="C2270" t="s">
        <v>1221</v>
      </c>
      <c r="D2270" s="22">
        <v>-5.32</v>
      </c>
      <c r="E2270" t="s">
        <v>35</v>
      </c>
      <c r="F2270" s="2">
        <v>610148001</v>
      </c>
      <c r="G2270" s="2" t="s">
        <v>42</v>
      </c>
      <c r="L2270" s="2" t="s">
        <v>4383</v>
      </c>
      <c r="M2270" t="s">
        <v>43</v>
      </c>
      <c r="N2270" t="s">
        <v>42</v>
      </c>
      <c r="P2270" s="23">
        <v>66.790000000000006</v>
      </c>
      <c r="Q2270" s="4">
        <f t="shared" si="35"/>
        <v>-7.9652642611169333E-2</v>
      </c>
      <c r="R2270" s="23" t="s">
        <v>1198</v>
      </c>
      <c r="T2270" s="35" t="s">
        <v>2658</v>
      </c>
    </row>
    <row r="2271" spans="1:20" x14ac:dyDescent="0.25">
      <c r="A2271" s="42">
        <v>45737</v>
      </c>
      <c r="B2271" s="1" t="s">
        <v>4384</v>
      </c>
      <c r="C2271" t="s">
        <v>4385</v>
      </c>
      <c r="D2271" s="22">
        <v>126716.66</v>
      </c>
      <c r="E2271" t="s">
        <v>46</v>
      </c>
      <c r="F2271" s="2">
        <v>110106001</v>
      </c>
      <c r="G2271" s="2" t="s">
        <v>2034</v>
      </c>
      <c r="L2271" s="2" t="s">
        <v>4386</v>
      </c>
      <c r="N2271" t="s">
        <v>4387</v>
      </c>
      <c r="P2271" s="23">
        <v>67.86</v>
      </c>
      <c r="Q2271" s="4">
        <f t="shared" si="35"/>
        <v>1867.3247863247864</v>
      </c>
      <c r="R2271" s="23" t="s">
        <v>1198</v>
      </c>
    </row>
    <row r="2272" spans="1:20" x14ac:dyDescent="0.25">
      <c r="A2272" s="42">
        <v>45737</v>
      </c>
      <c r="B2272" s="1" t="s">
        <v>4388</v>
      </c>
      <c r="C2272" t="s">
        <v>544</v>
      </c>
      <c r="D2272" s="22">
        <v>475000</v>
      </c>
      <c r="E2272" t="s">
        <v>46</v>
      </c>
      <c r="F2272" s="2">
        <v>210115002</v>
      </c>
      <c r="G2272" s="2" t="s">
        <v>47</v>
      </c>
      <c r="L2272" s="2" t="s">
        <v>4389</v>
      </c>
      <c r="N2272" t="s">
        <v>544</v>
      </c>
      <c r="P2272" s="23">
        <v>67.86</v>
      </c>
      <c r="Q2272" s="4">
        <f t="shared" si="35"/>
        <v>6999.7052755673449</v>
      </c>
      <c r="R2272" s="23" t="s">
        <v>1198</v>
      </c>
    </row>
    <row r="2273" spans="1:20" x14ac:dyDescent="0.25">
      <c r="A2273" s="42">
        <v>45737</v>
      </c>
      <c r="B2273" s="1" t="s">
        <v>3927</v>
      </c>
      <c r="C2273" t="s">
        <v>4390</v>
      </c>
      <c r="D2273" s="22">
        <v>-8652.6</v>
      </c>
      <c r="E2273" t="s">
        <v>35</v>
      </c>
      <c r="F2273" s="2">
        <v>210101001</v>
      </c>
      <c r="G2273" s="2" t="s">
        <v>36</v>
      </c>
      <c r="L2273" s="2" t="s">
        <v>4391</v>
      </c>
      <c r="M2273" t="s">
        <v>114</v>
      </c>
      <c r="N2273" t="s">
        <v>115</v>
      </c>
      <c r="P2273" s="23">
        <v>67.86</v>
      </c>
      <c r="Q2273" s="4">
        <f t="shared" si="35"/>
        <v>-127.50663129973475</v>
      </c>
      <c r="R2273" s="23" t="s">
        <v>1198</v>
      </c>
    </row>
    <row r="2274" spans="1:20" x14ac:dyDescent="0.25">
      <c r="A2274" s="42">
        <v>45737</v>
      </c>
      <c r="B2274" s="1" t="s">
        <v>3933</v>
      </c>
      <c r="C2274" t="s">
        <v>4392</v>
      </c>
      <c r="D2274" s="22">
        <v>-1357.2</v>
      </c>
      <c r="E2274" t="s">
        <v>35</v>
      </c>
      <c r="F2274" s="2">
        <v>212901001</v>
      </c>
      <c r="G2274" s="2" t="s">
        <v>121</v>
      </c>
      <c r="L2274" s="2" t="s">
        <v>4393</v>
      </c>
      <c r="M2274" t="s">
        <v>67</v>
      </c>
      <c r="N2274" t="s">
        <v>68</v>
      </c>
      <c r="P2274" s="23">
        <v>67.86</v>
      </c>
      <c r="Q2274" s="4">
        <f t="shared" si="35"/>
        <v>-20</v>
      </c>
      <c r="R2274" s="23" t="s">
        <v>1198</v>
      </c>
    </row>
    <row r="2275" spans="1:20" x14ac:dyDescent="0.25">
      <c r="A2275" s="42">
        <v>45737</v>
      </c>
      <c r="B2275" s="1" t="s">
        <v>3943</v>
      </c>
      <c r="C2275" t="s">
        <v>4394</v>
      </c>
      <c r="D2275" s="22">
        <v>-1357.2</v>
      </c>
      <c r="E2275" t="s">
        <v>35</v>
      </c>
      <c r="F2275" s="2">
        <v>212901001</v>
      </c>
      <c r="G2275" s="2" t="s">
        <v>121</v>
      </c>
      <c r="L2275" s="2" t="s">
        <v>4395</v>
      </c>
      <c r="M2275" t="s">
        <v>67</v>
      </c>
      <c r="N2275" t="s">
        <v>68</v>
      </c>
      <c r="P2275" s="23">
        <v>67.86</v>
      </c>
      <c r="Q2275" s="4">
        <f t="shared" si="35"/>
        <v>-20</v>
      </c>
      <c r="R2275" s="23" t="s">
        <v>1198</v>
      </c>
    </row>
    <row r="2276" spans="1:20" x14ac:dyDescent="0.25">
      <c r="A2276" s="45">
        <v>45737</v>
      </c>
      <c r="B2276" s="26" t="s">
        <v>1211</v>
      </c>
      <c r="C2276" s="27" t="s">
        <v>54</v>
      </c>
      <c r="D2276" s="28">
        <v>-8143.2</v>
      </c>
      <c r="E2276" s="27" t="s">
        <v>35</v>
      </c>
      <c r="F2276" s="29">
        <v>610129001</v>
      </c>
      <c r="G2276" s="29" t="s">
        <v>55</v>
      </c>
      <c r="H2276" s="107"/>
      <c r="I2276" s="101"/>
      <c r="J2276" s="101"/>
      <c r="K2276" s="29"/>
      <c r="L2276" s="2" t="s">
        <v>4396</v>
      </c>
      <c r="M2276" s="27" t="s">
        <v>57</v>
      </c>
      <c r="N2276" s="27" t="s">
        <v>58</v>
      </c>
      <c r="O2276" s="27" t="s">
        <v>59</v>
      </c>
      <c r="P2276" s="31">
        <v>67.86</v>
      </c>
      <c r="Q2276" s="4">
        <f t="shared" si="35"/>
        <v>-120</v>
      </c>
      <c r="R2276" s="23" t="s">
        <v>1198</v>
      </c>
      <c r="T2276" s="35" t="s">
        <v>4397</v>
      </c>
    </row>
    <row r="2277" spans="1:20" x14ac:dyDescent="0.25">
      <c r="A2277" s="42">
        <v>45737</v>
      </c>
      <c r="B2277" s="1" t="s">
        <v>3952</v>
      </c>
      <c r="C2277" t="s">
        <v>4398</v>
      </c>
      <c r="D2277" s="22">
        <v>-1357.2</v>
      </c>
      <c r="E2277" t="s">
        <v>35</v>
      </c>
      <c r="F2277" s="2">
        <v>212901001</v>
      </c>
      <c r="G2277" s="2" t="s">
        <v>121</v>
      </c>
      <c r="L2277" s="2" t="s">
        <v>4399</v>
      </c>
      <c r="M2277" t="s">
        <v>67</v>
      </c>
      <c r="N2277" t="s">
        <v>68</v>
      </c>
      <c r="P2277" s="23">
        <v>67.86</v>
      </c>
      <c r="Q2277" s="4">
        <f t="shared" si="35"/>
        <v>-20</v>
      </c>
      <c r="R2277" s="23" t="s">
        <v>1198</v>
      </c>
    </row>
    <row r="2278" spans="1:20" x14ac:dyDescent="0.25">
      <c r="A2278" s="42">
        <v>45737</v>
      </c>
      <c r="B2278" s="1" t="s">
        <v>3930</v>
      </c>
      <c r="C2278" t="s">
        <v>4400</v>
      </c>
      <c r="D2278" s="22">
        <v>-1357.2</v>
      </c>
      <c r="E2278" t="s">
        <v>35</v>
      </c>
      <c r="F2278" s="2">
        <v>212901001</v>
      </c>
      <c r="G2278" s="2" t="s">
        <v>121</v>
      </c>
      <c r="L2278" s="2" t="s">
        <v>4401</v>
      </c>
      <c r="M2278" t="s">
        <v>67</v>
      </c>
      <c r="N2278" t="s">
        <v>68</v>
      </c>
      <c r="P2278" s="23">
        <v>67.86</v>
      </c>
      <c r="Q2278" s="4">
        <f t="shared" si="35"/>
        <v>-20</v>
      </c>
      <c r="R2278" s="23" t="s">
        <v>1198</v>
      </c>
    </row>
    <row r="2279" spans="1:20" x14ac:dyDescent="0.25">
      <c r="A2279" s="42">
        <v>45737</v>
      </c>
      <c r="B2279" s="1" t="s">
        <v>1217</v>
      </c>
      <c r="C2279" t="s">
        <v>4402</v>
      </c>
      <c r="D2279" s="22">
        <v>-200000</v>
      </c>
      <c r="E2279" t="s">
        <v>35</v>
      </c>
      <c r="F2279" s="2">
        <v>210101001</v>
      </c>
      <c r="G2279" s="2" t="s">
        <v>36</v>
      </c>
      <c r="L2279" s="2" t="s">
        <v>4403</v>
      </c>
      <c r="M2279" t="s">
        <v>38</v>
      </c>
      <c r="N2279" t="s">
        <v>39</v>
      </c>
      <c r="P2279" s="23">
        <v>67.86</v>
      </c>
      <c r="Q2279" s="4">
        <f t="shared" si="35"/>
        <v>-2947.2443265546713</v>
      </c>
      <c r="R2279" s="23" t="s">
        <v>1198</v>
      </c>
    </row>
    <row r="2280" spans="1:20" x14ac:dyDescent="0.25">
      <c r="A2280" s="45">
        <v>45737</v>
      </c>
      <c r="B2280" s="26" t="s">
        <v>1214</v>
      </c>
      <c r="C2280" s="27" t="s">
        <v>4404</v>
      </c>
      <c r="D2280" s="28">
        <v>-6786</v>
      </c>
      <c r="E2280" s="27" t="s">
        <v>35</v>
      </c>
      <c r="F2280" s="29">
        <v>610122005</v>
      </c>
      <c r="G2280" s="29" t="s">
        <v>765</v>
      </c>
      <c r="H2280" s="107"/>
      <c r="I2280" s="101"/>
      <c r="J2280" s="101"/>
      <c r="K2280" s="29"/>
      <c r="L2280" s="2" t="s">
        <v>4405</v>
      </c>
      <c r="M2280" s="27" t="s">
        <v>1202</v>
      </c>
      <c r="N2280" s="27" t="s">
        <v>1203</v>
      </c>
      <c r="O2280" s="27" t="s">
        <v>59</v>
      </c>
      <c r="P2280" s="31">
        <v>67.86</v>
      </c>
      <c r="Q2280" s="4">
        <f t="shared" si="35"/>
        <v>-100</v>
      </c>
      <c r="R2280" s="23" t="s">
        <v>1198</v>
      </c>
      <c r="T2280" s="35" t="s">
        <v>4406</v>
      </c>
    </row>
    <row r="2281" spans="1:20" x14ac:dyDescent="0.25">
      <c r="A2281" s="42">
        <v>45737</v>
      </c>
      <c r="B2281" s="1" t="s">
        <v>3914</v>
      </c>
      <c r="C2281" t="s">
        <v>4407</v>
      </c>
      <c r="D2281" s="22">
        <v>-5721.19</v>
      </c>
      <c r="E2281" t="s">
        <v>35</v>
      </c>
      <c r="F2281" s="2">
        <v>210101001</v>
      </c>
      <c r="G2281" s="2" t="s">
        <v>36</v>
      </c>
      <c r="L2281" s="2" t="s">
        <v>4408</v>
      </c>
      <c r="M2281" t="s">
        <v>114</v>
      </c>
      <c r="N2281" t="s">
        <v>115</v>
      </c>
      <c r="P2281" s="23">
        <v>67.86</v>
      </c>
      <c r="Q2281" s="4">
        <f t="shared" si="35"/>
        <v>-84.308723843206593</v>
      </c>
      <c r="R2281" s="23" t="s">
        <v>1198</v>
      </c>
    </row>
    <row r="2282" spans="1:20" x14ac:dyDescent="0.25">
      <c r="A2282" s="42">
        <v>45737</v>
      </c>
      <c r="B2282" s="1" t="s">
        <v>3949</v>
      </c>
      <c r="C2282" t="s">
        <v>4409</v>
      </c>
      <c r="D2282" s="22">
        <v>-10154.57</v>
      </c>
      <c r="E2282" t="s">
        <v>35</v>
      </c>
      <c r="F2282" s="2">
        <v>210101001</v>
      </c>
      <c r="G2282" s="2" t="s">
        <v>36</v>
      </c>
      <c r="L2282" s="2" t="s">
        <v>4410</v>
      </c>
      <c r="M2282" t="s">
        <v>303</v>
      </c>
      <c r="N2282" t="s">
        <v>304</v>
      </c>
      <c r="P2282" s="23">
        <v>67.86</v>
      </c>
      <c r="Q2282" s="4">
        <f t="shared" si="35"/>
        <v>-149.63999410551133</v>
      </c>
      <c r="R2282" s="23" t="s">
        <v>1198</v>
      </c>
    </row>
    <row r="2283" spans="1:20" x14ac:dyDescent="0.25">
      <c r="A2283" s="42">
        <v>45737</v>
      </c>
      <c r="B2283" s="1" t="s">
        <v>3924</v>
      </c>
      <c r="C2283" t="s">
        <v>4411</v>
      </c>
      <c r="D2283" s="22">
        <v>-1357.2</v>
      </c>
      <c r="E2283" t="s">
        <v>35</v>
      </c>
      <c r="F2283" s="2">
        <v>212901001</v>
      </c>
      <c r="G2283" s="2" t="s">
        <v>121</v>
      </c>
      <c r="L2283" s="2" t="s">
        <v>4412</v>
      </c>
      <c r="M2283" t="s">
        <v>67</v>
      </c>
      <c r="N2283" t="s">
        <v>68</v>
      </c>
      <c r="P2283" s="23">
        <v>67.86</v>
      </c>
      <c r="Q2283" s="4">
        <f t="shared" si="35"/>
        <v>-20</v>
      </c>
      <c r="R2283" s="23" t="s">
        <v>1198</v>
      </c>
    </row>
    <row r="2284" spans="1:20" x14ac:dyDescent="0.25">
      <c r="A2284" s="42">
        <v>45737</v>
      </c>
      <c r="B2284" s="1" t="s">
        <v>2573</v>
      </c>
      <c r="C2284" t="s">
        <v>4413</v>
      </c>
      <c r="D2284" s="22">
        <v>-3393</v>
      </c>
      <c r="E2284" t="s">
        <v>35</v>
      </c>
      <c r="F2284" s="2">
        <v>212901001</v>
      </c>
      <c r="G2284" s="2" t="s">
        <v>121</v>
      </c>
      <c r="L2284" s="2" t="s">
        <v>4414</v>
      </c>
      <c r="M2284" t="s">
        <v>67</v>
      </c>
      <c r="N2284" t="s">
        <v>68</v>
      </c>
      <c r="P2284" s="23">
        <v>67.86</v>
      </c>
      <c r="Q2284" s="4">
        <f t="shared" si="35"/>
        <v>-50</v>
      </c>
      <c r="R2284" s="23" t="s">
        <v>1198</v>
      </c>
    </row>
    <row r="2285" spans="1:20" x14ac:dyDescent="0.25">
      <c r="A2285" s="42">
        <v>45737</v>
      </c>
      <c r="B2285" s="1" t="s">
        <v>1217</v>
      </c>
      <c r="C2285" t="s">
        <v>4415</v>
      </c>
      <c r="D2285" s="22">
        <v>-3257.28</v>
      </c>
      <c r="E2285" t="s">
        <v>35</v>
      </c>
      <c r="F2285" s="2">
        <v>212901001</v>
      </c>
      <c r="G2285" s="2" t="s">
        <v>121</v>
      </c>
      <c r="L2285" s="2" t="s">
        <v>4416</v>
      </c>
      <c r="M2285" t="s">
        <v>67</v>
      </c>
      <c r="N2285" t="s">
        <v>68</v>
      </c>
      <c r="P2285" s="23">
        <v>67.86</v>
      </c>
      <c r="Q2285" s="4">
        <f t="shared" si="35"/>
        <v>-48</v>
      </c>
      <c r="R2285" s="23" t="s">
        <v>1198</v>
      </c>
    </row>
    <row r="2286" spans="1:20" x14ac:dyDescent="0.25">
      <c r="A2286" s="42">
        <v>45737</v>
      </c>
      <c r="B2286" s="1" t="s">
        <v>1208</v>
      </c>
      <c r="C2286" t="s">
        <v>4402</v>
      </c>
      <c r="D2286" s="22">
        <v>-165003.22</v>
      </c>
      <c r="E2286" t="s">
        <v>35</v>
      </c>
      <c r="F2286" s="2">
        <v>210101001</v>
      </c>
      <c r="G2286" s="2" t="s">
        <v>36</v>
      </c>
      <c r="L2286" s="2" t="s">
        <v>4417</v>
      </c>
      <c r="M2286" t="s">
        <v>38</v>
      </c>
      <c r="N2286" t="s">
        <v>39</v>
      </c>
      <c r="P2286" s="23">
        <v>67.86</v>
      </c>
      <c r="Q2286" s="4">
        <f t="shared" si="35"/>
        <v>-2431.5240200412613</v>
      </c>
      <c r="R2286" s="23" t="s">
        <v>1198</v>
      </c>
    </row>
    <row r="2287" spans="1:20" x14ac:dyDescent="0.25">
      <c r="A2287" s="42">
        <v>45737</v>
      </c>
      <c r="B2287" s="1" t="s">
        <v>3936</v>
      </c>
      <c r="C2287" t="s">
        <v>4418</v>
      </c>
      <c r="D2287" s="22">
        <v>-58565.89</v>
      </c>
      <c r="E2287" t="s">
        <v>35</v>
      </c>
      <c r="F2287" s="2">
        <v>210101001</v>
      </c>
      <c r="G2287" s="2" t="s">
        <v>36</v>
      </c>
      <c r="L2287" s="2" t="s">
        <v>4419</v>
      </c>
      <c r="M2287" t="s">
        <v>38</v>
      </c>
      <c r="N2287" t="s">
        <v>39</v>
      </c>
      <c r="P2287" s="23">
        <v>67.86</v>
      </c>
      <c r="Q2287" s="4">
        <f t="shared" si="35"/>
        <v>-863.03993516062485</v>
      </c>
      <c r="R2287" s="23" t="s">
        <v>1198</v>
      </c>
    </row>
    <row r="2288" spans="1:20" x14ac:dyDescent="0.25">
      <c r="A2288" s="42">
        <v>45737</v>
      </c>
      <c r="B2288" s="1" t="s">
        <v>3965</v>
      </c>
      <c r="C2288" t="s">
        <v>1221</v>
      </c>
      <c r="D2288" s="22">
        <v>-3.39</v>
      </c>
      <c r="E2288" t="s">
        <v>35</v>
      </c>
      <c r="F2288" s="2">
        <v>610148001</v>
      </c>
      <c r="G2288" s="2" t="s">
        <v>42</v>
      </c>
      <c r="L2288" s="2" t="s">
        <v>4420</v>
      </c>
      <c r="M2288" t="s">
        <v>43</v>
      </c>
      <c r="N2288" t="s">
        <v>42</v>
      </c>
      <c r="P2288" s="23">
        <v>67.86</v>
      </c>
      <c r="Q2288" s="4">
        <f t="shared" si="35"/>
        <v>-4.9955791335101682E-2</v>
      </c>
      <c r="R2288" s="23" t="s">
        <v>1198</v>
      </c>
      <c r="T2288" s="35" t="s">
        <v>2658</v>
      </c>
    </row>
    <row r="2289" spans="1:20" x14ac:dyDescent="0.25">
      <c r="A2289" s="42">
        <v>45737</v>
      </c>
      <c r="B2289" s="1" t="s">
        <v>3960</v>
      </c>
      <c r="C2289" t="s">
        <v>1221</v>
      </c>
      <c r="D2289" s="22">
        <v>-21.63</v>
      </c>
      <c r="E2289" t="s">
        <v>35</v>
      </c>
      <c r="F2289" s="2">
        <v>610148001</v>
      </c>
      <c r="G2289" s="2" t="s">
        <v>42</v>
      </c>
      <c r="L2289" s="2" t="s">
        <v>4421</v>
      </c>
      <c r="M2289" t="s">
        <v>43</v>
      </c>
      <c r="N2289" t="s">
        <v>42</v>
      </c>
      <c r="P2289" s="23">
        <v>67.86</v>
      </c>
      <c r="Q2289" s="4">
        <f t="shared" si="35"/>
        <v>-0.31874447391688771</v>
      </c>
      <c r="R2289" s="23" t="s">
        <v>1198</v>
      </c>
      <c r="T2289" s="35" t="s">
        <v>2658</v>
      </c>
    </row>
    <row r="2290" spans="1:20" x14ac:dyDescent="0.25">
      <c r="A2290" s="42">
        <v>45737</v>
      </c>
      <c r="B2290" s="1" t="s">
        <v>3955</v>
      </c>
      <c r="C2290" t="s">
        <v>1221</v>
      </c>
      <c r="D2290" s="22">
        <v>-25.38</v>
      </c>
      <c r="E2290" t="s">
        <v>35</v>
      </c>
      <c r="F2290" s="2">
        <v>610148001</v>
      </c>
      <c r="G2290" s="2" t="s">
        <v>42</v>
      </c>
      <c r="L2290" s="2" t="s">
        <v>4422</v>
      </c>
      <c r="M2290" t="s">
        <v>43</v>
      </c>
      <c r="N2290" t="s">
        <v>42</v>
      </c>
      <c r="P2290" s="23">
        <v>67.86</v>
      </c>
      <c r="Q2290" s="4">
        <f t="shared" si="35"/>
        <v>-0.37400530503978779</v>
      </c>
      <c r="R2290" s="23" t="s">
        <v>1198</v>
      </c>
      <c r="T2290" s="35" t="s">
        <v>2658</v>
      </c>
    </row>
    <row r="2291" spans="1:20" x14ac:dyDescent="0.25">
      <c r="A2291" s="42">
        <v>45737</v>
      </c>
      <c r="B2291" s="1" t="s">
        <v>1225</v>
      </c>
      <c r="C2291" t="s">
        <v>1221</v>
      </c>
      <c r="D2291" s="22">
        <v>-16.96</v>
      </c>
      <c r="E2291" t="s">
        <v>35</v>
      </c>
      <c r="F2291" s="2">
        <v>610148001</v>
      </c>
      <c r="G2291" s="2" t="s">
        <v>42</v>
      </c>
      <c r="L2291" s="2" t="s">
        <v>4423</v>
      </c>
      <c r="M2291" t="s">
        <v>43</v>
      </c>
      <c r="N2291" t="s">
        <v>42</v>
      </c>
      <c r="P2291" s="23">
        <v>67.86</v>
      </c>
      <c r="Q2291" s="4">
        <f t="shared" si="35"/>
        <v>-0.24992631889183614</v>
      </c>
      <c r="R2291" s="23" t="s">
        <v>1198</v>
      </c>
      <c r="T2291" s="35" t="s">
        <v>2658</v>
      </c>
    </row>
    <row r="2292" spans="1:20" x14ac:dyDescent="0.25">
      <c r="A2292" s="42">
        <v>45737</v>
      </c>
      <c r="B2292" s="1" t="s">
        <v>1220</v>
      </c>
      <c r="C2292" t="s">
        <v>1221</v>
      </c>
      <c r="D2292" s="22">
        <v>-8.14</v>
      </c>
      <c r="E2292" t="s">
        <v>35</v>
      </c>
      <c r="F2292" s="2">
        <v>610148001</v>
      </c>
      <c r="G2292" s="2" t="s">
        <v>42</v>
      </c>
      <c r="L2292" s="2" t="s">
        <v>4424</v>
      </c>
      <c r="M2292" t="s">
        <v>43</v>
      </c>
      <c r="N2292" t="s">
        <v>42</v>
      </c>
      <c r="P2292" s="23">
        <v>67.86</v>
      </c>
      <c r="Q2292" s="4">
        <f t="shared" si="35"/>
        <v>-0.11995284409077514</v>
      </c>
      <c r="R2292" s="23" t="s">
        <v>1198</v>
      </c>
      <c r="T2292" s="35" t="s">
        <v>2658</v>
      </c>
    </row>
    <row r="2293" spans="1:20" x14ac:dyDescent="0.25">
      <c r="A2293" s="42">
        <v>45737</v>
      </c>
      <c r="B2293" s="1" t="s">
        <v>3958</v>
      </c>
      <c r="C2293" t="s">
        <v>1221</v>
      </c>
      <c r="D2293" s="22">
        <v>-3.39</v>
      </c>
      <c r="E2293" t="s">
        <v>35</v>
      </c>
      <c r="F2293" s="2">
        <v>610148001</v>
      </c>
      <c r="G2293" s="2" t="s">
        <v>42</v>
      </c>
      <c r="L2293" s="2" t="s">
        <v>4425</v>
      </c>
      <c r="M2293" t="s">
        <v>43</v>
      </c>
      <c r="N2293" t="s">
        <v>42</v>
      </c>
      <c r="P2293" s="23">
        <v>67.86</v>
      </c>
      <c r="Q2293" s="4">
        <f t="shared" si="35"/>
        <v>-4.9955791335101682E-2</v>
      </c>
      <c r="R2293" s="23" t="s">
        <v>1198</v>
      </c>
      <c r="T2293" s="35" t="s">
        <v>2658</v>
      </c>
    </row>
    <row r="2294" spans="1:20" x14ac:dyDescent="0.25">
      <c r="A2294" s="42">
        <v>45737</v>
      </c>
      <c r="B2294" s="1" t="s">
        <v>3962</v>
      </c>
      <c r="C2294" t="s">
        <v>1221</v>
      </c>
      <c r="D2294" s="22">
        <v>-14.3</v>
      </c>
      <c r="E2294" t="s">
        <v>35</v>
      </c>
      <c r="F2294" s="2">
        <v>610148001</v>
      </c>
      <c r="G2294" s="2" t="s">
        <v>42</v>
      </c>
      <c r="L2294" s="2" t="s">
        <v>4426</v>
      </c>
      <c r="M2294" t="s">
        <v>43</v>
      </c>
      <c r="N2294" t="s">
        <v>42</v>
      </c>
      <c r="P2294" s="23">
        <v>67.86</v>
      </c>
      <c r="Q2294" s="4">
        <f t="shared" si="35"/>
        <v>-0.21072796934865901</v>
      </c>
      <c r="R2294" s="23" t="s">
        <v>1198</v>
      </c>
      <c r="T2294" s="35" t="s">
        <v>2658</v>
      </c>
    </row>
    <row r="2295" spans="1:20" x14ac:dyDescent="0.25">
      <c r="A2295" s="42">
        <v>45737</v>
      </c>
      <c r="B2295" s="1" t="s">
        <v>1220</v>
      </c>
      <c r="C2295" t="s">
        <v>1221</v>
      </c>
      <c r="D2295" s="22">
        <v>-500</v>
      </c>
      <c r="E2295" t="s">
        <v>35</v>
      </c>
      <c r="F2295" s="2">
        <v>610148001</v>
      </c>
      <c r="G2295" s="2" t="s">
        <v>42</v>
      </c>
      <c r="L2295" s="2" t="s">
        <v>4427</v>
      </c>
      <c r="M2295" t="s">
        <v>43</v>
      </c>
      <c r="N2295" t="s">
        <v>42</v>
      </c>
      <c r="P2295" s="23">
        <v>67.86</v>
      </c>
      <c r="Q2295" s="4">
        <f t="shared" si="35"/>
        <v>-7.3681108163866789</v>
      </c>
      <c r="R2295" s="23" t="s">
        <v>1198</v>
      </c>
      <c r="T2295" s="35" t="s">
        <v>2658</v>
      </c>
    </row>
    <row r="2296" spans="1:20" x14ac:dyDescent="0.25">
      <c r="A2296" s="42">
        <v>45737</v>
      </c>
      <c r="B2296" s="1" t="s">
        <v>3973</v>
      </c>
      <c r="C2296" t="s">
        <v>1221</v>
      </c>
      <c r="D2296" s="22">
        <v>-146.41</v>
      </c>
      <c r="E2296" t="s">
        <v>35</v>
      </c>
      <c r="F2296" s="2">
        <v>610148001</v>
      </c>
      <c r="G2296" s="2" t="s">
        <v>42</v>
      </c>
      <c r="L2296" s="2" t="s">
        <v>4428</v>
      </c>
      <c r="M2296" t="s">
        <v>43</v>
      </c>
      <c r="N2296" t="s">
        <v>42</v>
      </c>
      <c r="P2296" s="23">
        <v>67.86</v>
      </c>
      <c r="Q2296" s="4">
        <f t="shared" si="35"/>
        <v>-2.1575302092543471</v>
      </c>
      <c r="R2296" s="23" t="s">
        <v>1198</v>
      </c>
      <c r="T2296" s="35" t="s">
        <v>2658</v>
      </c>
    </row>
    <row r="2297" spans="1:20" x14ac:dyDescent="0.25">
      <c r="A2297" s="42">
        <v>45737</v>
      </c>
      <c r="B2297" s="1" t="s">
        <v>1223</v>
      </c>
      <c r="C2297" t="s">
        <v>1221</v>
      </c>
      <c r="D2297" s="22">
        <v>-412.5</v>
      </c>
      <c r="E2297" t="s">
        <v>35</v>
      </c>
      <c r="F2297" s="2">
        <v>610148001</v>
      </c>
      <c r="G2297" s="2" t="s">
        <v>42</v>
      </c>
      <c r="L2297" s="2" t="s">
        <v>4429</v>
      </c>
      <c r="M2297" t="s">
        <v>43</v>
      </c>
      <c r="N2297" t="s">
        <v>42</v>
      </c>
      <c r="P2297" s="23">
        <v>67.86</v>
      </c>
      <c r="Q2297" s="4">
        <f t="shared" si="35"/>
        <v>-6.0786914235190102</v>
      </c>
      <c r="R2297" s="23" t="s">
        <v>1198</v>
      </c>
      <c r="T2297" s="35" t="s">
        <v>2658</v>
      </c>
    </row>
    <row r="2298" spans="1:20" x14ac:dyDescent="0.25">
      <c r="A2298" s="42">
        <v>45737</v>
      </c>
      <c r="B2298" s="1" t="s">
        <v>2582</v>
      </c>
      <c r="C2298" t="s">
        <v>1221</v>
      </c>
      <c r="D2298" s="22">
        <v>-8.48</v>
      </c>
      <c r="E2298" t="s">
        <v>35</v>
      </c>
      <c r="F2298" s="2">
        <v>610148001</v>
      </c>
      <c r="G2298" s="2" t="s">
        <v>42</v>
      </c>
      <c r="L2298" s="2" t="s">
        <v>4430</v>
      </c>
      <c r="M2298" t="s">
        <v>43</v>
      </c>
      <c r="N2298" t="s">
        <v>42</v>
      </c>
      <c r="P2298" s="23">
        <v>67.86</v>
      </c>
      <c r="Q2298" s="4">
        <f t="shared" si="35"/>
        <v>-0.12496315944591807</v>
      </c>
      <c r="R2298" s="23" t="s">
        <v>1198</v>
      </c>
      <c r="T2298" s="35" t="s">
        <v>2658</v>
      </c>
    </row>
    <row r="2299" spans="1:20" x14ac:dyDescent="0.25">
      <c r="A2299" s="42">
        <v>45737</v>
      </c>
      <c r="B2299" s="1" t="s">
        <v>3967</v>
      </c>
      <c r="C2299" t="s">
        <v>1221</v>
      </c>
      <c r="D2299" s="22">
        <v>-3.39</v>
      </c>
      <c r="E2299" t="s">
        <v>35</v>
      </c>
      <c r="F2299" s="2">
        <v>610148001</v>
      </c>
      <c r="G2299" s="2" t="s">
        <v>42</v>
      </c>
      <c r="L2299" s="2" t="s">
        <v>4431</v>
      </c>
      <c r="M2299" t="s">
        <v>43</v>
      </c>
      <c r="N2299" t="s">
        <v>42</v>
      </c>
      <c r="P2299" s="23">
        <v>67.86</v>
      </c>
      <c r="Q2299" s="4">
        <f t="shared" si="35"/>
        <v>-4.9955791335101682E-2</v>
      </c>
      <c r="R2299" s="23" t="s">
        <v>1198</v>
      </c>
      <c r="T2299" s="35" t="s">
        <v>2658</v>
      </c>
    </row>
    <row r="2300" spans="1:20" x14ac:dyDescent="0.25">
      <c r="A2300" s="42">
        <v>45737</v>
      </c>
      <c r="B2300" s="1" t="s">
        <v>3977</v>
      </c>
      <c r="C2300" t="s">
        <v>1221</v>
      </c>
      <c r="D2300" s="22">
        <v>-3.39</v>
      </c>
      <c r="E2300" t="s">
        <v>35</v>
      </c>
      <c r="F2300" s="2">
        <v>610148001</v>
      </c>
      <c r="G2300" s="2" t="s">
        <v>42</v>
      </c>
      <c r="L2300" s="2" t="s">
        <v>4432</v>
      </c>
      <c r="M2300" t="s">
        <v>43</v>
      </c>
      <c r="N2300" t="s">
        <v>42</v>
      </c>
      <c r="P2300" s="23">
        <v>67.86</v>
      </c>
      <c r="Q2300" s="4">
        <f t="shared" si="35"/>
        <v>-4.9955791335101682E-2</v>
      </c>
      <c r="R2300" s="23" t="s">
        <v>1198</v>
      </c>
      <c r="T2300" s="35" t="s">
        <v>2658</v>
      </c>
    </row>
    <row r="2301" spans="1:20" x14ac:dyDescent="0.25">
      <c r="A2301" s="42">
        <v>45737</v>
      </c>
      <c r="B2301" s="1" t="s">
        <v>1227</v>
      </c>
      <c r="C2301" t="s">
        <v>1221</v>
      </c>
      <c r="D2301" s="22">
        <v>-20.350000000000001</v>
      </c>
      <c r="E2301" t="s">
        <v>35</v>
      </c>
      <c r="F2301" s="2">
        <v>610148001</v>
      </c>
      <c r="G2301" s="2" t="s">
        <v>42</v>
      </c>
      <c r="L2301" s="2" t="s">
        <v>4433</v>
      </c>
      <c r="M2301" t="s">
        <v>43</v>
      </c>
      <c r="N2301" t="s">
        <v>42</v>
      </c>
      <c r="P2301" s="23">
        <v>67.86</v>
      </c>
      <c r="Q2301" s="4">
        <f t="shared" si="35"/>
        <v>-0.29988211022693784</v>
      </c>
      <c r="R2301" s="23" t="s">
        <v>1198</v>
      </c>
      <c r="T2301" s="35" t="s">
        <v>2658</v>
      </c>
    </row>
    <row r="2302" spans="1:20" x14ac:dyDescent="0.25">
      <c r="A2302" s="42">
        <v>45737</v>
      </c>
      <c r="B2302" s="1" t="s">
        <v>3969</v>
      </c>
      <c r="C2302" t="s">
        <v>1221</v>
      </c>
      <c r="D2302" s="22">
        <v>-3.39</v>
      </c>
      <c r="E2302" t="s">
        <v>35</v>
      </c>
      <c r="F2302" s="2">
        <v>610148001</v>
      </c>
      <c r="G2302" s="2" t="s">
        <v>42</v>
      </c>
      <c r="L2302" s="2" t="s">
        <v>4434</v>
      </c>
      <c r="M2302" t="s">
        <v>43</v>
      </c>
      <c r="N2302" t="s">
        <v>42</v>
      </c>
      <c r="P2302" s="23">
        <v>67.86</v>
      </c>
      <c r="Q2302" s="4">
        <f t="shared" si="35"/>
        <v>-4.9955791335101682E-2</v>
      </c>
      <c r="R2302" s="23" t="s">
        <v>1198</v>
      </c>
      <c r="T2302" s="35" t="s">
        <v>2658</v>
      </c>
    </row>
    <row r="2303" spans="1:20" x14ac:dyDescent="0.25">
      <c r="A2303" s="42">
        <v>45737</v>
      </c>
      <c r="B2303" s="1" t="s">
        <v>4435</v>
      </c>
      <c r="C2303" t="s">
        <v>544</v>
      </c>
      <c r="D2303" s="22">
        <v>40000</v>
      </c>
      <c r="E2303" t="s">
        <v>46</v>
      </c>
      <c r="F2303" s="2">
        <v>210115002</v>
      </c>
      <c r="G2303" s="2" t="s">
        <v>47</v>
      </c>
      <c r="L2303" s="2" t="s">
        <v>4436</v>
      </c>
      <c r="N2303" t="s">
        <v>544</v>
      </c>
      <c r="P2303" s="23">
        <v>67.86</v>
      </c>
      <c r="Q2303" s="4">
        <f t="shared" si="35"/>
        <v>589.44886531093425</v>
      </c>
      <c r="R2303" s="23" t="s">
        <v>1198</v>
      </c>
    </row>
    <row r="2304" spans="1:20" x14ac:dyDescent="0.25">
      <c r="A2304" s="42">
        <v>45737</v>
      </c>
      <c r="B2304" s="1" t="s">
        <v>1208</v>
      </c>
      <c r="C2304" t="s">
        <v>4437</v>
      </c>
      <c r="D2304" s="22">
        <v>-4750.2</v>
      </c>
      <c r="E2304" t="s">
        <v>35</v>
      </c>
      <c r="F2304" s="2">
        <v>212901001</v>
      </c>
      <c r="G2304" s="2" t="s">
        <v>121</v>
      </c>
      <c r="L2304" s="2" t="s">
        <v>4438</v>
      </c>
      <c r="M2304" t="s">
        <v>67</v>
      </c>
      <c r="N2304" t="s">
        <v>68</v>
      </c>
      <c r="P2304" s="23">
        <v>67.86</v>
      </c>
      <c r="Q2304" s="4">
        <f t="shared" si="35"/>
        <v>-70</v>
      </c>
      <c r="R2304" s="23" t="s">
        <v>1198</v>
      </c>
    </row>
    <row r="2305" spans="1:20" x14ac:dyDescent="0.25">
      <c r="A2305" s="42">
        <v>45737</v>
      </c>
      <c r="B2305" s="1" t="s">
        <v>1214</v>
      </c>
      <c r="C2305" t="s">
        <v>4439</v>
      </c>
      <c r="D2305" s="22">
        <v>-17902.330000000002</v>
      </c>
      <c r="E2305" t="s">
        <v>35</v>
      </c>
      <c r="F2305" s="2">
        <v>110114001</v>
      </c>
      <c r="G2305" s="2" t="s">
        <v>301</v>
      </c>
      <c r="L2305" s="2" t="s">
        <v>4440</v>
      </c>
      <c r="M2305" t="s">
        <v>303</v>
      </c>
      <c r="N2305" t="s">
        <v>304</v>
      </c>
      <c r="P2305" s="23">
        <v>67.86</v>
      </c>
      <c r="Q2305" s="4">
        <f t="shared" si="35"/>
        <v>-263.81270262304747</v>
      </c>
      <c r="R2305" s="23" t="s">
        <v>1198</v>
      </c>
      <c r="S2305" s="33" t="s">
        <v>2726</v>
      </c>
    </row>
    <row r="2306" spans="1:20" x14ac:dyDescent="0.25">
      <c r="A2306" s="42">
        <v>45737</v>
      </c>
      <c r="B2306" s="1" t="s">
        <v>1211</v>
      </c>
      <c r="C2306" t="s">
        <v>4441</v>
      </c>
      <c r="D2306" s="22">
        <v>-43188.4</v>
      </c>
      <c r="E2306" t="s">
        <v>35</v>
      </c>
      <c r="F2306" s="2">
        <v>210101001</v>
      </c>
      <c r="G2306" s="2" t="s">
        <v>36</v>
      </c>
      <c r="L2306" s="2" t="s">
        <v>4442</v>
      </c>
      <c r="M2306" t="s">
        <v>38</v>
      </c>
      <c r="N2306" t="s">
        <v>39</v>
      </c>
      <c r="P2306" s="23">
        <v>67.86</v>
      </c>
      <c r="Q2306" s="4">
        <f t="shared" si="35"/>
        <v>-636.43383436486886</v>
      </c>
      <c r="R2306" s="23" t="s">
        <v>1198</v>
      </c>
    </row>
    <row r="2307" spans="1:20" x14ac:dyDescent="0.25">
      <c r="A2307" s="42">
        <v>45737</v>
      </c>
      <c r="B2307" s="1" t="s">
        <v>1217</v>
      </c>
      <c r="C2307" t="s">
        <v>4443</v>
      </c>
      <c r="D2307" s="22">
        <v>-148809</v>
      </c>
      <c r="E2307" t="s">
        <v>35</v>
      </c>
      <c r="F2307" s="2">
        <v>210101001</v>
      </c>
      <c r="G2307" s="2" t="s">
        <v>36</v>
      </c>
      <c r="L2307" s="2" t="s">
        <v>4444</v>
      </c>
      <c r="M2307" t="s">
        <v>2912</v>
      </c>
      <c r="N2307" t="s">
        <v>2913</v>
      </c>
      <c r="P2307" s="23">
        <v>67.86</v>
      </c>
      <c r="Q2307" s="4">
        <f t="shared" si="35"/>
        <v>-2192.8824049513705</v>
      </c>
      <c r="R2307" s="23" t="s">
        <v>1198</v>
      </c>
    </row>
    <row r="2308" spans="1:20" x14ac:dyDescent="0.25">
      <c r="A2308" s="42">
        <v>45737</v>
      </c>
      <c r="B2308" s="1" t="s">
        <v>1220</v>
      </c>
      <c r="C2308" t="s">
        <v>1221</v>
      </c>
      <c r="D2308" s="22">
        <v>-372.02</v>
      </c>
      <c r="E2308" t="s">
        <v>35</v>
      </c>
      <c r="F2308" s="2">
        <v>610148001</v>
      </c>
      <c r="G2308" s="2" t="s">
        <v>42</v>
      </c>
      <c r="L2308" s="2" t="s">
        <v>4445</v>
      </c>
      <c r="M2308" t="s">
        <v>43</v>
      </c>
      <c r="N2308" t="s">
        <v>42</v>
      </c>
      <c r="P2308" s="23">
        <v>67.86</v>
      </c>
      <c r="Q2308" s="4">
        <f t="shared" si="35"/>
        <v>-5.4821691718243439</v>
      </c>
      <c r="R2308" s="23" t="s">
        <v>1198</v>
      </c>
      <c r="T2308" s="35" t="s">
        <v>2658</v>
      </c>
    </row>
    <row r="2309" spans="1:20" x14ac:dyDescent="0.25">
      <c r="A2309" s="42">
        <v>45737</v>
      </c>
      <c r="B2309" s="1" t="s">
        <v>1225</v>
      </c>
      <c r="C2309" t="s">
        <v>1221</v>
      </c>
      <c r="D2309" s="22">
        <v>-44.75</v>
      </c>
      <c r="E2309" t="s">
        <v>35</v>
      </c>
      <c r="F2309" s="2">
        <v>610148001</v>
      </c>
      <c r="G2309" s="2" t="s">
        <v>42</v>
      </c>
      <c r="L2309" s="2" t="s">
        <v>4446</v>
      </c>
      <c r="M2309" t="s">
        <v>43</v>
      </c>
      <c r="N2309" t="s">
        <v>42</v>
      </c>
      <c r="P2309" s="23">
        <v>67.86</v>
      </c>
      <c r="Q2309" s="4">
        <f t="shared" si="35"/>
        <v>-0.65944591806660768</v>
      </c>
      <c r="R2309" s="23" t="s">
        <v>1198</v>
      </c>
      <c r="T2309" s="35" t="s">
        <v>2658</v>
      </c>
    </row>
    <row r="2310" spans="1:20" x14ac:dyDescent="0.25">
      <c r="A2310" s="42">
        <v>45737</v>
      </c>
      <c r="B2310" s="1" t="s">
        <v>1227</v>
      </c>
      <c r="C2310" t="s">
        <v>1221</v>
      </c>
      <c r="D2310" s="22">
        <v>-107.97</v>
      </c>
      <c r="E2310" t="s">
        <v>35</v>
      </c>
      <c r="F2310" s="2">
        <v>610148001</v>
      </c>
      <c r="G2310" s="2" t="s">
        <v>42</v>
      </c>
      <c r="L2310" s="2" t="s">
        <v>4447</v>
      </c>
      <c r="M2310" t="s">
        <v>43</v>
      </c>
      <c r="N2310" t="s">
        <v>42</v>
      </c>
      <c r="P2310" s="23">
        <v>67.86</v>
      </c>
      <c r="Q2310" s="4">
        <f t="shared" si="35"/>
        <v>-1.5910698496905393</v>
      </c>
      <c r="R2310" s="23" t="s">
        <v>1198</v>
      </c>
      <c r="T2310" s="35" t="s">
        <v>2658</v>
      </c>
    </row>
    <row r="2311" spans="1:20" x14ac:dyDescent="0.25">
      <c r="A2311" s="42">
        <v>45737</v>
      </c>
      <c r="B2311" s="1" t="s">
        <v>1223</v>
      </c>
      <c r="C2311" t="s">
        <v>1221</v>
      </c>
      <c r="D2311" s="22">
        <v>-11.87</v>
      </c>
      <c r="E2311" t="s">
        <v>35</v>
      </c>
      <c r="F2311" s="2">
        <v>610148001</v>
      </c>
      <c r="G2311" s="2" t="s">
        <v>42</v>
      </c>
      <c r="L2311" s="2" t="s">
        <v>4448</v>
      </c>
      <c r="M2311" t="s">
        <v>43</v>
      </c>
      <c r="N2311" t="s">
        <v>42</v>
      </c>
      <c r="P2311" s="23">
        <v>67.86</v>
      </c>
      <c r="Q2311" s="4">
        <f t="shared" si="35"/>
        <v>-0.17491895078101974</v>
      </c>
      <c r="R2311" s="23" t="s">
        <v>1198</v>
      </c>
      <c r="T2311" s="35" t="s">
        <v>2658</v>
      </c>
    </row>
    <row r="2312" spans="1:20" x14ac:dyDescent="0.25">
      <c r="A2312" s="42">
        <v>45737</v>
      </c>
      <c r="B2312" s="1" t="s">
        <v>4449</v>
      </c>
      <c r="C2312" t="s">
        <v>4450</v>
      </c>
      <c r="D2312" s="22">
        <v>1115821.98</v>
      </c>
      <c r="E2312" t="s">
        <v>46</v>
      </c>
      <c r="F2312" s="2">
        <v>110106001</v>
      </c>
      <c r="G2312" s="2" t="s">
        <v>2034</v>
      </c>
      <c r="L2312" s="2" t="s">
        <v>4451</v>
      </c>
      <c r="N2312" t="s">
        <v>4452</v>
      </c>
      <c r="P2312" s="23">
        <v>67.86</v>
      </c>
      <c r="Q2312" s="4">
        <f t="shared" si="35"/>
        <v>16443</v>
      </c>
      <c r="R2312" s="23" t="s">
        <v>1198</v>
      </c>
    </row>
    <row r="2313" spans="1:20" x14ac:dyDescent="0.25">
      <c r="A2313" s="42">
        <v>45740</v>
      </c>
      <c r="B2313" s="1" t="s">
        <v>1217</v>
      </c>
      <c r="C2313" t="s">
        <v>4453</v>
      </c>
      <c r="D2313" s="22">
        <v>-54992.28</v>
      </c>
      <c r="E2313" t="s">
        <v>35</v>
      </c>
      <c r="F2313" s="2">
        <v>110114001</v>
      </c>
      <c r="G2313" s="2" t="s">
        <v>301</v>
      </c>
      <c r="L2313" s="2" t="s">
        <v>4454</v>
      </c>
      <c r="M2313" t="s">
        <v>38</v>
      </c>
      <c r="N2313" t="s">
        <v>39</v>
      </c>
      <c r="P2313" s="23">
        <v>68.31</v>
      </c>
      <c r="Q2313" s="4">
        <f t="shared" si="35"/>
        <v>-805.03996486605183</v>
      </c>
      <c r="R2313" s="23" t="s">
        <v>1198</v>
      </c>
      <c r="S2313" s="33" t="s">
        <v>2726</v>
      </c>
    </row>
    <row r="2314" spans="1:20" x14ac:dyDescent="0.25">
      <c r="A2314" s="42">
        <v>45740</v>
      </c>
      <c r="B2314" s="1" t="s">
        <v>1214</v>
      </c>
      <c r="C2314" t="s">
        <v>4455</v>
      </c>
      <c r="D2314" s="22">
        <v>-14263.48</v>
      </c>
      <c r="E2314" t="s">
        <v>35</v>
      </c>
      <c r="F2314" s="2">
        <v>210101001</v>
      </c>
      <c r="G2314" s="2" t="s">
        <v>36</v>
      </c>
      <c r="L2314" s="2" t="s">
        <v>4456</v>
      </c>
      <c r="M2314" t="s">
        <v>303</v>
      </c>
      <c r="N2314" t="s">
        <v>304</v>
      </c>
      <c r="P2314" s="23">
        <v>68.31</v>
      </c>
      <c r="Q2314" s="4">
        <f t="shared" si="35"/>
        <v>-208.80515297906601</v>
      </c>
      <c r="R2314" s="23" t="s">
        <v>1198</v>
      </c>
    </row>
    <row r="2315" spans="1:20" x14ac:dyDescent="0.25">
      <c r="A2315" s="42">
        <v>45740</v>
      </c>
      <c r="B2315" s="1" t="s">
        <v>1211</v>
      </c>
      <c r="C2315" t="s">
        <v>4457</v>
      </c>
      <c r="D2315" s="22">
        <v>-27321.15</v>
      </c>
      <c r="E2315" t="s">
        <v>35</v>
      </c>
      <c r="F2315" s="2">
        <v>210101001</v>
      </c>
      <c r="G2315" s="2" t="s">
        <v>36</v>
      </c>
      <c r="L2315" s="2" t="s">
        <v>4458</v>
      </c>
      <c r="M2315" t="s">
        <v>751</v>
      </c>
      <c r="N2315" t="s">
        <v>752</v>
      </c>
      <c r="P2315" s="23">
        <v>68.31</v>
      </c>
      <c r="Q2315" s="4">
        <f t="shared" ref="Q2315:Q2378" si="36">D2315/P2315</f>
        <v>-399.95827843653933</v>
      </c>
      <c r="R2315" s="23" t="s">
        <v>1198</v>
      </c>
    </row>
    <row r="2316" spans="1:20" x14ac:dyDescent="0.25">
      <c r="A2316" s="42">
        <v>45740</v>
      </c>
      <c r="B2316" s="1" t="s">
        <v>2573</v>
      </c>
      <c r="C2316" t="s">
        <v>4459</v>
      </c>
      <c r="D2316" s="22">
        <v>-5626.01</v>
      </c>
      <c r="E2316" t="s">
        <v>35</v>
      </c>
      <c r="F2316" s="2">
        <v>210101001</v>
      </c>
      <c r="G2316" s="2" t="s">
        <v>36</v>
      </c>
      <c r="L2316" s="2" t="s">
        <v>4460</v>
      </c>
      <c r="M2316" t="s">
        <v>303</v>
      </c>
      <c r="N2316" t="s">
        <v>304</v>
      </c>
      <c r="P2316" s="23">
        <v>68.31</v>
      </c>
      <c r="Q2316" s="4">
        <f t="shared" si="36"/>
        <v>-82.359976577367888</v>
      </c>
      <c r="R2316" s="23" t="s">
        <v>1198</v>
      </c>
    </row>
    <row r="2317" spans="1:20" x14ac:dyDescent="0.25">
      <c r="A2317" s="42">
        <v>45740</v>
      </c>
      <c r="B2317" s="1" t="s">
        <v>1208</v>
      </c>
      <c r="C2317" t="s">
        <v>4461</v>
      </c>
      <c r="D2317" s="22">
        <v>-61014.49</v>
      </c>
      <c r="E2317" t="s">
        <v>35</v>
      </c>
      <c r="F2317" s="2">
        <v>210101001</v>
      </c>
      <c r="G2317" s="2" t="s">
        <v>36</v>
      </c>
      <c r="L2317" s="2" t="s">
        <v>4462</v>
      </c>
      <c r="M2317" t="s">
        <v>38</v>
      </c>
      <c r="N2317" t="s">
        <v>39</v>
      </c>
      <c r="P2317" s="23">
        <v>68.31</v>
      </c>
      <c r="Q2317" s="4">
        <f t="shared" si="36"/>
        <v>-893.19997072170975</v>
      </c>
      <c r="R2317" s="23" t="s">
        <v>1198</v>
      </c>
    </row>
    <row r="2318" spans="1:20" x14ac:dyDescent="0.25">
      <c r="A2318" s="42">
        <v>45740</v>
      </c>
      <c r="B2318" s="1" t="s">
        <v>1223</v>
      </c>
      <c r="C2318" t="s">
        <v>1221</v>
      </c>
      <c r="D2318" s="22">
        <v>-152.53</v>
      </c>
      <c r="E2318" t="s">
        <v>35</v>
      </c>
      <c r="F2318" s="2">
        <v>610148001</v>
      </c>
      <c r="G2318" s="2" t="s">
        <v>42</v>
      </c>
      <c r="L2318" s="2" t="s">
        <v>4463</v>
      </c>
      <c r="M2318" t="s">
        <v>43</v>
      </c>
      <c r="N2318" t="s">
        <v>42</v>
      </c>
      <c r="P2318" s="23">
        <v>68.31</v>
      </c>
      <c r="Q2318" s="4">
        <f t="shared" si="36"/>
        <v>-2.2329087981261893</v>
      </c>
      <c r="R2318" s="23" t="s">
        <v>1198</v>
      </c>
      <c r="T2318" s="35" t="s">
        <v>2658</v>
      </c>
    </row>
    <row r="2319" spans="1:20" x14ac:dyDescent="0.25">
      <c r="A2319" s="42">
        <v>45740</v>
      </c>
      <c r="B2319" s="1" t="s">
        <v>1227</v>
      </c>
      <c r="C2319" t="s">
        <v>1221</v>
      </c>
      <c r="D2319" s="22">
        <v>-68.3</v>
      </c>
      <c r="E2319" t="s">
        <v>35</v>
      </c>
      <c r="F2319" s="2">
        <v>610148001</v>
      </c>
      <c r="G2319" s="2" t="s">
        <v>42</v>
      </c>
      <c r="L2319" s="2" t="s">
        <v>4464</v>
      </c>
      <c r="M2319" t="s">
        <v>43</v>
      </c>
      <c r="N2319" t="s">
        <v>42</v>
      </c>
      <c r="P2319" s="23">
        <v>68.31</v>
      </c>
      <c r="Q2319" s="4">
        <f t="shared" si="36"/>
        <v>-0.99985360854926064</v>
      </c>
      <c r="R2319" s="23" t="s">
        <v>1198</v>
      </c>
      <c r="T2319" s="35" t="s">
        <v>2658</v>
      </c>
    </row>
    <row r="2320" spans="1:20" x14ac:dyDescent="0.25">
      <c r="A2320" s="42">
        <v>45740</v>
      </c>
      <c r="B2320" s="1" t="s">
        <v>1220</v>
      </c>
      <c r="C2320" t="s">
        <v>1221</v>
      </c>
      <c r="D2320" s="22">
        <v>-137.47999999999999</v>
      </c>
      <c r="E2320" t="s">
        <v>35</v>
      </c>
      <c r="F2320" s="2">
        <v>610148001</v>
      </c>
      <c r="G2320" s="2" t="s">
        <v>42</v>
      </c>
      <c r="L2320" s="2" t="s">
        <v>4465</v>
      </c>
      <c r="M2320" t="s">
        <v>43</v>
      </c>
      <c r="N2320" t="s">
        <v>42</v>
      </c>
      <c r="P2320" s="23">
        <v>68.31</v>
      </c>
      <c r="Q2320" s="4">
        <f t="shared" si="36"/>
        <v>-2.0125896647635777</v>
      </c>
      <c r="R2320" s="23" t="s">
        <v>1198</v>
      </c>
      <c r="T2320" s="35" t="s">
        <v>2658</v>
      </c>
    </row>
    <row r="2321" spans="1:20" x14ac:dyDescent="0.25">
      <c r="A2321" s="42">
        <v>45740</v>
      </c>
      <c r="B2321" s="1" t="s">
        <v>2582</v>
      </c>
      <c r="C2321" t="s">
        <v>1221</v>
      </c>
      <c r="D2321" s="22">
        <v>-14.06</v>
      </c>
      <c r="E2321" t="s">
        <v>35</v>
      </c>
      <c r="F2321" s="2">
        <v>610148001</v>
      </c>
      <c r="G2321" s="2" t="s">
        <v>42</v>
      </c>
      <c r="L2321" s="2" t="s">
        <v>4466</v>
      </c>
      <c r="M2321" t="s">
        <v>43</v>
      </c>
      <c r="N2321" t="s">
        <v>42</v>
      </c>
      <c r="P2321" s="23">
        <v>68.31</v>
      </c>
      <c r="Q2321" s="4">
        <f t="shared" si="36"/>
        <v>-0.20582637973942322</v>
      </c>
      <c r="R2321" s="23" t="s">
        <v>1198</v>
      </c>
      <c r="T2321" s="35" t="s">
        <v>2658</v>
      </c>
    </row>
    <row r="2322" spans="1:20" x14ac:dyDescent="0.25">
      <c r="A2322" s="42">
        <v>45740</v>
      </c>
      <c r="B2322" s="1" t="s">
        <v>1225</v>
      </c>
      <c r="C2322" t="s">
        <v>1221</v>
      </c>
      <c r="D2322" s="22">
        <v>-35.65</v>
      </c>
      <c r="E2322" t="s">
        <v>35</v>
      </c>
      <c r="F2322" s="2">
        <v>610148001</v>
      </c>
      <c r="G2322" s="2" t="s">
        <v>42</v>
      </c>
      <c r="L2322" s="2" t="s">
        <v>4467</v>
      </c>
      <c r="M2322" t="s">
        <v>43</v>
      </c>
      <c r="N2322" t="s">
        <v>42</v>
      </c>
      <c r="P2322" s="23">
        <v>68.31</v>
      </c>
      <c r="Q2322" s="4">
        <f t="shared" si="36"/>
        <v>-0.52188552188552184</v>
      </c>
      <c r="R2322" s="23" t="s">
        <v>1198</v>
      </c>
      <c r="T2322" s="35" t="s">
        <v>2658</v>
      </c>
    </row>
    <row r="2323" spans="1:20" x14ac:dyDescent="0.25">
      <c r="A2323" s="42">
        <v>45740</v>
      </c>
      <c r="B2323" s="1" t="s">
        <v>4468</v>
      </c>
      <c r="C2323" t="s">
        <v>4469</v>
      </c>
      <c r="D2323" s="22">
        <v>21716.69</v>
      </c>
      <c r="E2323" t="s">
        <v>46</v>
      </c>
      <c r="F2323" s="2">
        <v>110106001</v>
      </c>
      <c r="G2323" s="2" t="s">
        <v>2034</v>
      </c>
      <c r="L2323" s="2" t="s">
        <v>4470</v>
      </c>
      <c r="N2323" t="s">
        <v>4471</v>
      </c>
      <c r="P2323" s="23">
        <v>68.31</v>
      </c>
      <c r="Q2323" s="4">
        <f t="shared" si="36"/>
        <v>317.91377543551454</v>
      </c>
      <c r="R2323" s="23" t="s">
        <v>1198</v>
      </c>
    </row>
    <row r="2324" spans="1:20" x14ac:dyDescent="0.25">
      <c r="A2324" s="42">
        <v>45740</v>
      </c>
      <c r="B2324" s="1" t="s">
        <v>4472</v>
      </c>
      <c r="C2324" t="s">
        <v>4473</v>
      </c>
      <c r="D2324" s="22">
        <v>-47543.76</v>
      </c>
      <c r="E2324" t="s">
        <v>35</v>
      </c>
      <c r="F2324" s="2">
        <v>210101001</v>
      </c>
      <c r="G2324" s="2" t="s">
        <v>36</v>
      </c>
      <c r="L2324" s="2" t="s">
        <v>4474</v>
      </c>
      <c r="M2324" t="s">
        <v>1866</v>
      </c>
      <c r="N2324" t="s">
        <v>1867</v>
      </c>
      <c r="P2324" s="23">
        <v>68.31</v>
      </c>
      <c r="Q2324" s="4">
        <f t="shared" si="36"/>
        <v>-696</v>
      </c>
      <c r="R2324" s="23" t="s">
        <v>1198</v>
      </c>
    </row>
    <row r="2325" spans="1:20" x14ac:dyDescent="0.25">
      <c r="A2325" s="42">
        <v>45740</v>
      </c>
      <c r="B2325" s="1" t="s">
        <v>4475</v>
      </c>
      <c r="C2325" t="s">
        <v>1221</v>
      </c>
      <c r="D2325" s="22">
        <v>-118.85</v>
      </c>
      <c r="E2325" t="s">
        <v>35</v>
      </c>
      <c r="F2325" s="2">
        <v>610148001</v>
      </c>
      <c r="G2325" s="2" t="s">
        <v>42</v>
      </c>
      <c r="L2325" s="2" t="s">
        <v>4476</v>
      </c>
      <c r="M2325" t="s">
        <v>43</v>
      </c>
      <c r="N2325" t="s">
        <v>42</v>
      </c>
      <c r="P2325" s="23">
        <v>68.31</v>
      </c>
      <c r="Q2325" s="4">
        <f t="shared" si="36"/>
        <v>-1.739862392036305</v>
      </c>
      <c r="R2325" s="23" t="s">
        <v>1198</v>
      </c>
      <c r="T2325" s="35" t="s">
        <v>2658</v>
      </c>
    </row>
    <row r="2326" spans="1:20" x14ac:dyDescent="0.25">
      <c r="A2326" s="42">
        <v>45741</v>
      </c>
      <c r="B2326" s="55" t="s">
        <v>1217</v>
      </c>
      <c r="C2326" s="3" t="s">
        <v>4477</v>
      </c>
      <c r="D2326" s="53">
        <v>-2054.6799999999998</v>
      </c>
      <c r="E2326" s="3" t="s">
        <v>35</v>
      </c>
      <c r="F2326" s="56">
        <v>110114001</v>
      </c>
      <c r="G2326" s="56" t="s">
        <v>301</v>
      </c>
      <c r="H2326" s="108"/>
      <c r="I2326" s="102"/>
      <c r="J2326" s="102"/>
      <c r="K2326" s="56"/>
      <c r="L2326" s="2" t="s">
        <v>4478</v>
      </c>
      <c r="M2326" s="3" t="s">
        <v>1239</v>
      </c>
      <c r="N2326" s="3" t="s">
        <v>1240</v>
      </c>
      <c r="O2326" s="3"/>
      <c r="P2326" s="23">
        <v>68.39</v>
      </c>
      <c r="Q2326" s="4">
        <f t="shared" si="36"/>
        <v>-30.04357362187454</v>
      </c>
      <c r="R2326" s="23" t="s">
        <v>1198</v>
      </c>
      <c r="S2326" s="33" t="s">
        <v>3147</v>
      </c>
    </row>
    <row r="2327" spans="1:20" x14ac:dyDescent="0.25">
      <c r="A2327" s="42">
        <v>45741</v>
      </c>
      <c r="B2327" s="1" t="s">
        <v>1208</v>
      </c>
      <c r="C2327" t="s">
        <v>4479</v>
      </c>
      <c r="D2327" s="22">
        <v>-39668.29</v>
      </c>
      <c r="E2327" t="s">
        <v>35</v>
      </c>
      <c r="F2327" s="2">
        <v>210101001</v>
      </c>
      <c r="G2327" s="2" t="s">
        <v>36</v>
      </c>
      <c r="L2327" s="2" t="s">
        <v>4480</v>
      </c>
      <c r="M2327" t="s">
        <v>38</v>
      </c>
      <c r="N2327" t="s">
        <v>39</v>
      </c>
      <c r="P2327" s="23">
        <v>68.39</v>
      </c>
      <c r="Q2327" s="4">
        <f t="shared" si="36"/>
        <v>-580.0305600233952</v>
      </c>
      <c r="R2327" s="23" t="s">
        <v>1198</v>
      </c>
    </row>
    <row r="2328" spans="1:20" x14ac:dyDescent="0.25">
      <c r="A2328" s="42">
        <v>45741</v>
      </c>
      <c r="B2328" s="1" t="s">
        <v>1211</v>
      </c>
      <c r="C2328" t="s">
        <v>4481</v>
      </c>
      <c r="D2328" s="22">
        <v>-437702.84</v>
      </c>
      <c r="E2328" t="s">
        <v>35</v>
      </c>
      <c r="F2328" s="2">
        <v>110114001</v>
      </c>
      <c r="G2328" s="2" t="s">
        <v>301</v>
      </c>
      <c r="L2328" s="2" t="s">
        <v>4482</v>
      </c>
      <c r="M2328" t="s">
        <v>4483</v>
      </c>
      <c r="N2328" t="s">
        <v>4484</v>
      </c>
      <c r="P2328" s="23">
        <v>68.39</v>
      </c>
      <c r="Q2328" s="4">
        <f t="shared" si="36"/>
        <v>-6400.1000146220213</v>
      </c>
      <c r="R2328" s="23" t="s">
        <v>1198</v>
      </c>
      <c r="S2328" s="33" t="s">
        <v>2726</v>
      </c>
    </row>
    <row r="2329" spans="1:20" x14ac:dyDescent="0.25">
      <c r="A2329" s="42">
        <v>45741</v>
      </c>
      <c r="B2329" s="1" t="s">
        <v>1214</v>
      </c>
      <c r="C2329" t="s">
        <v>4485</v>
      </c>
      <c r="D2329" s="22">
        <v>-1785.29</v>
      </c>
      <c r="E2329" t="s">
        <v>35</v>
      </c>
      <c r="F2329" s="2">
        <v>210101001</v>
      </c>
      <c r="G2329" s="2" t="s">
        <v>36</v>
      </c>
      <c r="L2329" s="2" t="s">
        <v>4486</v>
      </c>
      <c r="M2329" t="s">
        <v>303</v>
      </c>
      <c r="N2329" t="s">
        <v>304</v>
      </c>
      <c r="P2329" s="23">
        <v>68.39</v>
      </c>
      <c r="Q2329" s="4">
        <f t="shared" si="36"/>
        <v>-26.104547448457375</v>
      </c>
      <c r="R2329" s="23" t="s">
        <v>1198</v>
      </c>
    </row>
    <row r="2330" spans="1:20" x14ac:dyDescent="0.25">
      <c r="A2330" s="42">
        <v>45741</v>
      </c>
      <c r="B2330" s="1" t="s">
        <v>1225</v>
      </c>
      <c r="C2330" t="s">
        <v>1221</v>
      </c>
      <c r="D2330" s="22">
        <v>-4.46</v>
      </c>
      <c r="E2330" t="s">
        <v>35</v>
      </c>
      <c r="F2330" s="2">
        <v>610148001</v>
      </c>
      <c r="G2330" s="2" t="s">
        <v>42</v>
      </c>
      <c r="L2330" s="2" t="s">
        <v>4487</v>
      </c>
      <c r="M2330" t="s">
        <v>43</v>
      </c>
      <c r="N2330" t="s">
        <v>42</v>
      </c>
      <c r="P2330" s="23">
        <v>68.39</v>
      </c>
      <c r="Q2330" s="4">
        <f t="shared" si="36"/>
        <v>-6.5214212604181893E-2</v>
      </c>
      <c r="R2330" s="23" t="s">
        <v>1198</v>
      </c>
      <c r="T2330" s="35" t="s">
        <v>2658</v>
      </c>
    </row>
    <row r="2331" spans="1:20" x14ac:dyDescent="0.25">
      <c r="A2331" s="42">
        <v>45741</v>
      </c>
      <c r="B2331" s="1" t="s">
        <v>1220</v>
      </c>
      <c r="C2331" t="s">
        <v>1221</v>
      </c>
      <c r="D2331" s="22">
        <v>-5.13</v>
      </c>
      <c r="E2331" t="s">
        <v>35</v>
      </c>
      <c r="F2331" s="2">
        <v>610148001</v>
      </c>
      <c r="G2331" s="2" t="s">
        <v>42</v>
      </c>
      <c r="L2331" s="2" t="s">
        <v>4488</v>
      </c>
      <c r="M2331" t="s">
        <v>43</v>
      </c>
      <c r="N2331" t="s">
        <v>42</v>
      </c>
      <c r="P2331" s="23">
        <v>68.39</v>
      </c>
      <c r="Q2331" s="4">
        <f t="shared" si="36"/>
        <v>-7.5010966515572444E-2</v>
      </c>
      <c r="R2331" s="23" t="s">
        <v>1198</v>
      </c>
      <c r="T2331" s="35" t="s">
        <v>2658</v>
      </c>
    </row>
    <row r="2332" spans="1:20" x14ac:dyDescent="0.25">
      <c r="A2332" s="42">
        <v>45741</v>
      </c>
      <c r="B2332" s="1" t="s">
        <v>1227</v>
      </c>
      <c r="C2332" t="s">
        <v>1221</v>
      </c>
      <c r="D2332" s="22">
        <v>-1094.25</v>
      </c>
      <c r="E2332" t="s">
        <v>35</v>
      </c>
      <c r="F2332" s="2">
        <v>610148001</v>
      </c>
      <c r="G2332" s="2" t="s">
        <v>42</v>
      </c>
      <c r="L2332" s="2" t="s">
        <v>4489</v>
      </c>
      <c r="M2332" t="s">
        <v>43</v>
      </c>
      <c r="N2332" t="s">
        <v>42</v>
      </c>
      <c r="P2332" s="23">
        <v>68.39</v>
      </c>
      <c r="Q2332" s="4">
        <f t="shared" si="36"/>
        <v>-16.000146220207633</v>
      </c>
      <c r="R2332" s="23" t="s">
        <v>1198</v>
      </c>
      <c r="T2332" s="35" t="s">
        <v>2658</v>
      </c>
    </row>
    <row r="2333" spans="1:20" x14ac:dyDescent="0.25">
      <c r="A2333" s="42">
        <v>45741</v>
      </c>
      <c r="B2333" s="1" t="s">
        <v>1223</v>
      </c>
      <c r="C2333" t="s">
        <v>1221</v>
      </c>
      <c r="D2333" s="22">
        <v>-99.17</v>
      </c>
      <c r="E2333" t="s">
        <v>35</v>
      </c>
      <c r="F2333" s="2">
        <v>610148001</v>
      </c>
      <c r="G2333" s="2" t="s">
        <v>42</v>
      </c>
      <c r="L2333" s="2" t="s">
        <v>4490</v>
      </c>
      <c r="M2333" t="s">
        <v>43</v>
      </c>
      <c r="N2333" t="s">
        <v>42</v>
      </c>
      <c r="P2333" s="23">
        <v>68.39</v>
      </c>
      <c r="Q2333" s="4">
        <f t="shared" si="36"/>
        <v>-1.4500657990934347</v>
      </c>
      <c r="R2333" s="23" t="s">
        <v>1198</v>
      </c>
      <c r="T2333" s="35" t="s">
        <v>2658</v>
      </c>
    </row>
    <row r="2334" spans="1:20" x14ac:dyDescent="0.25">
      <c r="A2334" s="42">
        <v>45741</v>
      </c>
      <c r="B2334" s="1" t="s">
        <v>1208</v>
      </c>
      <c r="C2334" t="s">
        <v>4491</v>
      </c>
      <c r="D2334" s="22">
        <v>-57472.3</v>
      </c>
      <c r="E2334" t="s">
        <v>35</v>
      </c>
      <c r="F2334" s="2">
        <v>210101001</v>
      </c>
      <c r="G2334" s="2" t="s">
        <v>36</v>
      </c>
      <c r="L2334" s="2" t="s">
        <v>4492</v>
      </c>
      <c r="M2334" t="s">
        <v>1866</v>
      </c>
      <c r="N2334" t="s">
        <v>1867</v>
      </c>
      <c r="P2334" s="23">
        <v>68.39</v>
      </c>
      <c r="Q2334" s="4">
        <f t="shared" si="36"/>
        <v>-840.36116391285282</v>
      </c>
      <c r="R2334" s="23" t="s">
        <v>1198</v>
      </c>
    </row>
    <row r="2335" spans="1:20" x14ac:dyDescent="0.25">
      <c r="A2335" s="42">
        <v>45741</v>
      </c>
      <c r="B2335" s="1" t="s">
        <v>1211</v>
      </c>
      <c r="C2335" t="s">
        <v>4493</v>
      </c>
      <c r="D2335" s="22">
        <v>-8227.5499999999993</v>
      </c>
      <c r="E2335" t="s">
        <v>35</v>
      </c>
      <c r="F2335" s="2">
        <v>210101001</v>
      </c>
      <c r="G2335" s="2" t="s">
        <v>36</v>
      </c>
      <c r="L2335" s="2" t="s">
        <v>4494</v>
      </c>
      <c r="M2335" t="s">
        <v>760</v>
      </c>
      <c r="N2335" t="s">
        <v>761</v>
      </c>
      <c r="P2335" s="23">
        <v>68.39</v>
      </c>
      <c r="Q2335" s="4">
        <f t="shared" si="36"/>
        <v>-120.30340693083782</v>
      </c>
      <c r="R2335" s="23" t="s">
        <v>1198</v>
      </c>
    </row>
    <row r="2336" spans="1:20" x14ac:dyDescent="0.25">
      <c r="A2336" s="42">
        <v>45741</v>
      </c>
      <c r="B2336" s="1" t="s">
        <v>1227</v>
      </c>
      <c r="C2336" t="s">
        <v>1221</v>
      </c>
      <c r="D2336" s="22">
        <v>-20.56</v>
      </c>
      <c r="E2336" t="s">
        <v>35</v>
      </c>
      <c r="F2336" s="2">
        <v>610148001</v>
      </c>
      <c r="G2336" s="2" t="s">
        <v>42</v>
      </c>
      <c r="L2336" s="2" t="s">
        <v>4495</v>
      </c>
      <c r="M2336" t="s">
        <v>43</v>
      </c>
      <c r="N2336" t="s">
        <v>42</v>
      </c>
      <c r="P2336" s="23">
        <v>68.39</v>
      </c>
      <c r="Q2336" s="4">
        <f t="shared" si="36"/>
        <v>-0.30062874689282054</v>
      </c>
      <c r="R2336" s="23" t="s">
        <v>1198</v>
      </c>
      <c r="T2336" s="35" t="s">
        <v>2658</v>
      </c>
    </row>
    <row r="2337" spans="1:20" x14ac:dyDescent="0.25">
      <c r="A2337" s="42">
        <v>45741</v>
      </c>
      <c r="B2337" s="1" t="s">
        <v>1223</v>
      </c>
      <c r="C2337" t="s">
        <v>1221</v>
      </c>
      <c r="D2337" s="22">
        <v>-143.68</v>
      </c>
      <c r="E2337" t="s">
        <v>35</v>
      </c>
      <c r="F2337" s="2">
        <v>610148001</v>
      </c>
      <c r="G2337" s="2" t="s">
        <v>42</v>
      </c>
      <c r="L2337" s="2" t="s">
        <v>4496</v>
      </c>
      <c r="M2337" t="s">
        <v>43</v>
      </c>
      <c r="N2337" t="s">
        <v>42</v>
      </c>
      <c r="P2337" s="23">
        <v>68.39</v>
      </c>
      <c r="Q2337" s="4">
        <f t="shared" si="36"/>
        <v>-2.1008919432665594</v>
      </c>
      <c r="R2337" s="23" t="s">
        <v>1198</v>
      </c>
      <c r="T2337" s="35" t="s">
        <v>2658</v>
      </c>
    </row>
    <row r="2338" spans="1:20" x14ac:dyDescent="0.25">
      <c r="A2338" s="42">
        <v>45741</v>
      </c>
      <c r="B2338" s="1" t="s">
        <v>4497</v>
      </c>
      <c r="C2338" t="s">
        <v>544</v>
      </c>
      <c r="D2338" s="22">
        <v>800000</v>
      </c>
      <c r="E2338" t="s">
        <v>46</v>
      </c>
      <c r="F2338" s="2">
        <v>210115002</v>
      </c>
      <c r="G2338" s="2" t="s">
        <v>47</v>
      </c>
      <c r="L2338" s="2" t="s">
        <v>4498</v>
      </c>
      <c r="N2338" t="s">
        <v>544</v>
      </c>
      <c r="P2338" s="23">
        <v>68.39</v>
      </c>
      <c r="Q2338" s="4">
        <f t="shared" si="36"/>
        <v>11697.616610615587</v>
      </c>
      <c r="R2338" s="23" t="s">
        <v>1198</v>
      </c>
    </row>
    <row r="2339" spans="1:20" x14ac:dyDescent="0.25">
      <c r="A2339" s="42">
        <v>45741</v>
      </c>
      <c r="B2339" s="1" t="s">
        <v>2573</v>
      </c>
      <c r="C2339" t="s">
        <v>4499</v>
      </c>
      <c r="D2339" s="22">
        <v>-200000</v>
      </c>
      <c r="E2339" t="s">
        <v>35</v>
      </c>
      <c r="F2339" s="2">
        <v>210101001</v>
      </c>
      <c r="G2339" s="2" t="s">
        <v>36</v>
      </c>
      <c r="L2339" s="2" t="s">
        <v>4500</v>
      </c>
      <c r="M2339" t="s">
        <v>2028</v>
      </c>
      <c r="N2339" t="s">
        <v>2029</v>
      </c>
      <c r="P2339" s="23">
        <v>68.39</v>
      </c>
      <c r="Q2339" s="4">
        <f t="shared" si="36"/>
        <v>-2924.4041526538967</v>
      </c>
      <c r="R2339" s="23" t="s">
        <v>1198</v>
      </c>
    </row>
    <row r="2340" spans="1:20" x14ac:dyDescent="0.25">
      <c r="A2340" s="42">
        <v>45741</v>
      </c>
      <c r="B2340" s="1" t="s">
        <v>1217</v>
      </c>
      <c r="C2340" t="s">
        <v>4499</v>
      </c>
      <c r="D2340" s="22">
        <v>-200000</v>
      </c>
      <c r="E2340" t="s">
        <v>35</v>
      </c>
      <c r="F2340" s="2">
        <v>210101001</v>
      </c>
      <c r="G2340" s="2" t="s">
        <v>36</v>
      </c>
      <c r="L2340" s="2" t="s">
        <v>4501</v>
      </c>
      <c r="M2340" t="s">
        <v>2028</v>
      </c>
      <c r="N2340" t="s">
        <v>2029</v>
      </c>
      <c r="P2340" s="23">
        <v>68.39</v>
      </c>
      <c r="Q2340" s="4">
        <f t="shared" si="36"/>
        <v>-2924.4041526538967</v>
      </c>
      <c r="R2340" s="23" t="s">
        <v>1198</v>
      </c>
    </row>
    <row r="2341" spans="1:20" x14ac:dyDescent="0.25">
      <c r="A2341" s="42">
        <v>45741</v>
      </c>
      <c r="B2341" s="1" t="s">
        <v>1214</v>
      </c>
      <c r="C2341" t="s">
        <v>4499</v>
      </c>
      <c r="D2341" s="22">
        <v>-200000</v>
      </c>
      <c r="E2341" t="s">
        <v>35</v>
      </c>
      <c r="F2341" s="2">
        <v>210101001</v>
      </c>
      <c r="G2341" s="2" t="s">
        <v>36</v>
      </c>
      <c r="L2341" s="2" t="s">
        <v>4502</v>
      </c>
      <c r="M2341" t="s">
        <v>2028</v>
      </c>
      <c r="N2341" t="s">
        <v>2029</v>
      </c>
      <c r="P2341" s="23">
        <v>68.39</v>
      </c>
      <c r="Q2341" s="4">
        <f t="shared" si="36"/>
        <v>-2924.4041526538967</v>
      </c>
      <c r="R2341" s="23" t="s">
        <v>1198</v>
      </c>
    </row>
    <row r="2342" spans="1:20" x14ac:dyDescent="0.25">
      <c r="A2342" s="42">
        <v>45741</v>
      </c>
      <c r="B2342" s="1" t="s">
        <v>1208</v>
      </c>
      <c r="C2342" t="s">
        <v>4499</v>
      </c>
      <c r="D2342" s="22">
        <v>-200000</v>
      </c>
      <c r="E2342" t="s">
        <v>35</v>
      </c>
      <c r="F2342" s="2">
        <v>210101001</v>
      </c>
      <c r="G2342" s="2" t="s">
        <v>36</v>
      </c>
      <c r="L2342" s="2" t="s">
        <v>4503</v>
      </c>
      <c r="M2342" t="s">
        <v>2028</v>
      </c>
      <c r="N2342" t="s">
        <v>2029</v>
      </c>
      <c r="P2342" s="23">
        <v>68.39</v>
      </c>
      <c r="Q2342" s="4">
        <f t="shared" si="36"/>
        <v>-2924.4041526538967</v>
      </c>
      <c r="R2342" s="23" t="s">
        <v>1198</v>
      </c>
    </row>
    <row r="2343" spans="1:20" x14ac:dyDescent="0.25">
      <c r="A2343" s="42">
        <v>45741</v>
      </c>
      <c r="B2343" s="1" t="s">
        <v>2571</v>
      </c>
      <c r="C2343" t="s">
        <v>4499</v>
      </c>
      <c r="D2343" s="22">
        <v>-31321.200000000001</v>
      </c>
      <c r="E2343" t="s">
        <v>35</v>
      </c>
      <c r="F2343" s="2">
        <v>210101001</v>
      </c>
      <c r="G2343" s="2" t="s">
        <v>36</v>
      </c>
      <c r="L2343" s="2" t="s">
        <v>4504</v>
      </c>
      <c r="M2343" t="s">
        <v>2028</v>
      </c>
      <c r="N2343" t="s">
        <v>2029</v>
      </c>
      <c r="P2343" s="23">
        <v>68.39</v>
      </c>
      <c r="Q2343" s="4">
        <f t="shared" si="36"/>
        <v>-457.97923673051616</v>
      </c>
      <c r="R2343" s="23" t="s">
        <v>1198</v>
      </c>
    </row>
    <row r="2344" spans="1:20" x14ac:dyDescent="0.25">
      <c r="A2344" s="42">
        <v>45741</v>
      </c>
      <c r="B2344" s="1" t="s">
        <v>1211</v>
      </c>
      <c r="C2344" t="s">
        <v>4499</v>
      </c>
      <c r="D2344" s="22">
        <v>-200000</v>
      </c>
      <c r="E2344" t="s">
        <v>35</v>
      </c>
      <c r="F2344" s="2">
        <v>210101001</v>
      </c>
      <c r="G2344" s="2" t="s">
        <v>36</v>
      </c>
      <c r="L2344" s="2" t="s">
        <v>4505</v>
      </c>
      <c r="M2344" t="s">
        <v>2028</v>
      </c>
      <c r="N2344" t="s">
        <v>2029</v>
      </c>
      <c r="P2344" s="23">
        <v>68.39</v>
      </c>
      <c r="Q2344" s="4">
        <f t="shared" si="36"/>
        <v>-2924.4041526538967</v>
      </c>
      <c r="R2344" s="23" t="s">
        <v>1198</v>
      </c>
    </row>
    <row r="2345" spans="1:20" x14ac:dyDescent="0.25">
      <c r="A2345" s="42">
        <v>45741</v>
      </c>
      <c r="B2345" s="1" t="s">
        <v>1227</v>
      </c>
      <c r="C2345" t="s">
        <v>1221</v>
      </c>
      <c r="D2345" s="22">
        <v>-500</v>
      </c>
      <c r="E2345" t="s">
        <v>35</v>
      </c>
      <c r="F2345" s="2">
        <v>610148001</v>
      </c>
      <c r="G2345" s="2" t="s">
        <v>42</v>
      </c>
      <c r="L2345" s="2" t="s">
        <v>4506</v>
      </c>
      <c r="M2345" t="s">
        <v>43</v>
      </c>
      <c r="N2345" t="s">
        <v>42</v>
      </c>
      <c r="P2345" s="23">
        <v>68.39</v>
      </c>
      <c r="Q2345" s="4">
        <f t="shared" si="36"/>
        <v>-7.311010381634742</v>
      </c>
      <c r="R2345" s="23" t="s">
        <v>1198</v>
      </c>
      <c r="T2345" s="35" t="s">
        <v>2658</v>
      </c>
    </row>
    <row r="2346" spans="1:20" x14ac:dyDescent="0.25">
      <c r="A2346" s="42">
        <v>45741</v>
      </c>
      <c r="B2346" s="1" t="s">
        <v>1223</v>
      </c>
      <c r="C2346" t="s">
        <v>1221</v>
      </c>
      <c r="D2346" s="22">
        <v>-500</v>
      </c>
      <c r="E2346" t="s">
        <v>35</v>
      </c>
      <c r="F2346" s="2">
        <v>610148001</v>
      </c>
      <c r="G2346" s="2" t="s">
        <v>42</v>
      </c>
      <c r="L2346" s="2" t="s">
        <v>4507</v>
      </c>
      <c r="M2346" t="s">
        <v>43</v>
      </c>
      <c r="N2346" t="s">
        <v>42</v>
      </c>
      <c r="P2346" s="23">
        <v>68.39</v>
      </c>
      <c r="Q2346" s="4">
        <f t="shared" si="36"/>
        <v>-7.311010381634742</v>
      </c>
      <c r="R2346" s="23" t="s">
        <v>1198</v>
      </c>
      <c r="T2346" s="35" t="s">
        <v>2658</v>
      </c>
    </row>
    <row r="2347" spans="1:20" x14ac:dyDescent="0.25">
      <c r="A2347" s="42">
        <v>45741</v>
      </c>
      <c r="B2347" s="1" t="s">
        <v>2582</v>
      </c>
      <c r="C2347" t="s">
        <v>1221</v>
      </c>
      <c r="D2347" s="22">
        <v>-500</v>
      </c>
      <c r="E2347" t="s">
        <v>35</v>
      </c>
      <c r="F2347" s="2">
        <v>610148001</v>
      </c>
      <c r="G2347" s="2" t="s">
        <v>42</v>
      </c>
      <c r="L2347" s="2" t="s">
        <v>4508</v>
      </c>
      <c r="M2347" t="s">
        <v>43</v>
      </c>
      <c r="N2347" t="s">
        <v>42</v>
      </c>
      <c r="P2347" s="23">
        <v>68.39</v>
      </c>
      <c r="Q2347" s="4">
        <f t="shared" si="36"/>
        <v>-7.311010381634742</v>
      </c>
      <c r="R2347" s="23" t="s">
        <v>1198</v>
      </c>
      <c r="T2347" s="35" t="s">
        <v>2658</v>
      </c>
    </row>
    <row r="2348" spans="1:20" x14ac:dyDescent="0.25">
      <c r="A2348" s="42">
        <v>45741</v>
      </c>
      <c r="B2348" s="1" t="s">
        <v>1225</v>
      </c>
      <c r="C2348" t="s">
        <v>1221</v>
      </c>
      <c r="D2348" s="22">
        <v>-500</v>
      </c>
      <c r="E2348" t="s">
        <v>35</v>
      </c>
      <c r="F2348" s="2">
        <v>610148001</v>
      </c>
      <c r="G2348" s="2" t="s">
        <v>42</v>
      </c>
      <c r="L2348" s="2" t="s">
        <v>4509</v>
      </c>
      <c r="M2348" t="s">
        <v>43</v>
      </c>
      <c r="N2348" t="s">
        <v>42</v>
      </c>
      <c r="P2348" s="23">
        <v>68.39</v>
      </c>
      <c r="Q2348" s="4">
        <f t="shared" si="36"/>
        <v>-7.311010381634742</v>
      </c>
      <c r="R2348" s="23" t="s">
        <v>1198</v>
      </c>
      <c r="T2348" s="35" t="s">
        <v>2658</v>
      </c>
    </row>
    <row r="2349" spans="1:20" x14ac:dyDescent="0.25">
      <c r="A2349" s="42">
        <v>45741</v>
      </c>
      <c r="B2349" s="1" t="s">
        <v>1220</v>
      </c>
      <c r="C2349" t="s">
        <v>1221</v>
      </c>
      <c r="D2349" s="22">
        <v>-500</v>
      </c>
      <c r="E2349" t="s">
        <v>35</v>
      </c>
      <c r="F2349" s="2">
        <v>610148001</v>
      </c>
      <c r="G2349" s="2" t="s">
        <v>42</v>
      </c>
      <c r="L2349" s="2" t="s">
        <v>4510</v>
      </c>
      <c r="M2349" t="s">
        <v>43</v>
      </c>
      <c r="N2349" t="s">
        <v>42</v>
      </c>
      <c r="P2349" s="23">
        <v>68.39</v>
      </c>
      <c r="Q2349" s="4">
        <f t="shared" si="36"/>
        <v>-7.311010381634742</v>
      </c>
      <c r="R2349" s="23" t="s">
        <v>1198</v>
      </c>
      <c r="T2349" s="35" t="s">
        <v>2658</v>
      </c>
    </row>
    <row r="2350" spans="1:20" x14ac:dyDescent="0.25">
      <c r="A2350" s="42">
        <v>45741</v>
      </c>
      <c r="B2350" s="1" t="s">
        <v>2585</v>
      </c>
      <c r="C2350" t="s">
        <v>1221</v>
      </c>
      <c r="D2350" s="22">
        <v>-78.3</v>
      </c>
      <c r="E2350" t="s">
        <v>35</v>
      </c>
      <c r="F2350" s="2">
        <v>610148001</v>
      </c>
      <c r="G2350" s="2" t="s">
        <v>42</v>
      </c>
      <c r="L2350" s="2" t="s">
        <v>4511</v>
      </c>
      <c r="M2350" t="s">
        <v>43</v>
      </c>
      <c r="N2350" t="s">
        <v>42</v>
      </c>
      <c r="P2350" s="23">
        <v>68.39</v>
      </c>
      <c r="Q2350" s="4">
        <f t="shared" si="36"/>
        <v>-1.1449042257640005</v>
      </c>
      <c r="R2350" s="23" t="s">
        <v>1198</v>
      </c>
      <c r="T2350" s="35" t="s">
        <v>2658</v>
      </c>
    </row>
    <row r="2351" spans="1:20" x14ac:dyDescent="0.25">
      <c r="A2351" s="42">
        <v>45742</v>
      </c>
      <c r="B2351" s="1" t="s">
        <v>4512</v>
      </c>
      <c r="C2351" t="s">
        <v>544</v>
      </c>
      <c r="D2351" s="22">
        <v>150000</v>
      </c>
      <c r="E2351" t="s">
        <v>46</v>
      </c>
      <c r="F2351" s="2">
        <v>210115002</v>
      </c>
      <c r="G2351" s="2" t="s">
        <v>47</v>
      </c>
      <c r="L2351" s="2" t="s">
        <v>4513</v>
      </c>
      <c r="N2351" t="s">
        <v>544</v>
      </c>
      <c r="P2351" s="23">
        <v>68.7</v>
      </c>
      <c r="Q2351" s="4">
        <f t="shared" si="36"/>
        <v>2183.406113537118</v>
      </c>
      <c r="R2351" s="23" t="s">
        <v>1198</v>
      </c>
    </row>
    <row r="2352" spans="1:20" x14ac:dyDescent="0.25">
      <c r="A2352" s="42">
        <v>45742</v>
      </c>
      <c r="B2352" s="1" t="s">
        <v>1211</v>
      </c>
      <c r="C2352" t="s">
        <v>4514</v>
      </c>
      <c r="D2352" s="22">
        <v>-20719.919999999998</v>
      </c>
      <c r="E2352" t="s">
        <v>35</v>
      </c>
      <c r="F2352" s="2">
        <v>210101001</v>
      </c>
      <c r="G2352" s="2" t="s">
        <v>36</v>
      </c>
      <c r="L2352" s="2" t="s">
        <v>4515</v>
      </c>
      <c r="M2352" t="s">
        <v>760</v>
      </c>
      <c r="N2352" t="s">
        <v>761</v>
      </c>
      <c r="P2352" s="23">
        <v>68.7</v>
      </c>
      <c r="Q2352" s="4">
        <f t="shared" si="36"/>
        <v>-301.59999999999997</v>
      </c>
      <c r="R2352" s="23" t="s">
        <v>1198</v>
      </c>
    </row>
    <row r="2353" spans="1:20" x14ac:dyDescent="0.25">
      <c r="A2353" s="42">
        <v>45742</v>
      </c>
      <c r="B2353" s="1" t="s">
        <v>1208</v>
      </c>
      <c r="C2353" t="s">
        <v>4516</v>
      </c>
      <c r="D2353" s="22">
        <v>-240543.43</v>
      </c>
      <c r="E2353" t="s">
        <v>35</v>
      </c>
      <c r="F2353" s="2">
        <v>110114001</v>
      </c>
      <c r="G2353" s="2" t="s">
        <v>301</v>
      </c>
      <c r="L2353" s="2" t="s">
        <v>4517</v>
      </c>
      <c r="M2353" t="s">
        <v>38</v>
      </c>
      <c r="N2353" t="s">
        <v>39</v>
      </c>
      <c r="P2353" s="23">
        <v>68.7</v>
      </c>
      <c r="Q2353" s="4">
        <f t="shared" si="36"/>
        <v>-3501.3599708879183</v>
      </c>
      <c r="R2353" s="23" t="s">
        <v>1198</v>
      </c>
      <c r="S2353" s="33" t="s">
        <v>2726</v>
      </c>
    </row>
    <row r="2354" spans="1:20" x14ac:dyDescent="0.25">
      <c r="A2354" s="42">
        <v>45742</v>
      </c>
      <c r="B2354" s="1" t="s">
        <v>1227</v>
      </c>
      <c r="C2354" t="s">
        <v>1221</v>
      </c>
      <c r="D2354" s="22">
        <v>-51.79</v>
      </c>
      <c r="E2354" t="s">
        <v>35</v>
      </c>
      <c r="F2354" s="2">
        <v>610148001</v>
      </c>
      <c r="G2354" s="2" t="s">
        <v>42</v>
      </c>
      <c r="L2354" s="2" t="s">
        <v>4518</v>
      </c>
      <c r="M2354" t="s">
        <v>43</v>
      </c>
      <c r="N2354" t="s">
        <v>42</v>
      </c>
      <c r="P2354" s="23">
        <v>68.7</v>
      </c>
      <c r="Q2354" s="4">
        <f t="shared" si="36"/>
        <v>-0.75385735080058225</v>
      </c>
      <c r="R2354" s="23" t="s">
        <v>1198</v>
      </c>
      <c r="T2354" s="35" t="s">
        <v>2658</v>
      </c>
    </row>
    <row r="2355" spans="1:20" x14ac:dyDescent="0.25">
      <c r="A2355" s="42">
        <v>45742</v>
      </c>
      <c r="B2355" s="1" t="s">
        <v>1223</v>
      </c>
      <c r="C2355" t="s">
        <v>1221</v>
      </c>
      <c r="D2355" s="22">
        <v>-601.35</v>
      </c>
      <c r="E2355" t="s">
        <v>35</v>
      </c>
      <c r="F2355" s="2">
        <v>610148001</v>
      </c>
      <c r="G2355" s="2" t="s">
        <v>42</v>
      </c>
      <c r="L2355" s="2" t="s">
        <v>4519</v>
      </c>
      <c r="M2355" t="s">
        <v>43</v>
      </c>
      <c r="N2355" t="s">
        <v>42</v>
      </c>
      <c r="P2355" s="23">
        <v>68.7</v>
      </c>
      <c r="Q2355" s="4">
        <f t="shared" si="36"/>
        <v>-8.7532751091703052</v>
      </c>
      <c r="R2355" s="23" t="s">
        <v>1198</v>
      </c>
      <c r="T2355" s="35" t="s">
        <v>2658</v>
      </c>
    </row>
    <row r="2356" spans="1:20" x14ac:dyDescent="0.25">
      <c r="A2356" s="42">
        <v>45742</v>
      </c>
      <c r="B2356" s="1" t="s">
        <v>4520</v>
      </c>
      <c r="C2356" t="s">
        <v>544</v>
      </c>
      <c r="D2356" s="22">
        <v>160000</v>
      </c>
      <c r="E2356" t="s">
        <v>46</v>
      </c>
      <c r="F2356" s="2">
        <v>210115002</v>
      </c>
      <c r="G2356" s="2" t="s">
        <v>47</v>
      </c>
      <c r="L2356" s="2" t="s">
        <v>4521</v>
      </c>
      <c r="N2356" t="s">
        <v>544</v>
      </c>
      <c r="P2356" s="23">
        <v>68.7</v>
      </c>
      <c r="Q2356" s="4">
        <f t="shared" si="36"/>
        <v>2328.9665211062588</v>
      </c>
      <c r="R2356" s="23" t="s">
        <v>1198</v>
      </c>
    </row>
    <row r="2357" spans="1:20" x14ac:dyDescent="0.25">
      <c r="A2357" s="42">
        <v>45742</v>
      </c>
      <c r="B2357" s="1" t="s">
        <v>1208</v>
      </c>
      <c r="C2357" t="s">
        <v>4516</v>
      </c>
      <c r="D2357" s="22">
        <v>-178960.75</v>
      </c>
      <c r="E2357" t="s">
        <v>35</v>
      </c>
      <c r="F2357" s="2">
        <v>110114001</v>
      </c>
      <c r="G2357" s="2" t="s">
        <v>301</v>
      </c>
      <c r="L2357" s="2" t="s">
        <v>4522</v>
      </c>
      <c r="M2357" t="s">
        <v>38</v>
      </c>
      <c r="N2357" t="s">
        <v>39</v>
      </c>
      <c r="P2357" s="23">
        <v>68.7</v>
      </c>
      <c r="Q2357" s="4">
        <f t="shared" si="36"/>
        <v>-2604.9599708879182</v>
      </c>
      <c r="R2357" s="23" t="s">
        <v>1198</v>
      </c>
      <c r="S2357" s="33" t="s">
        <v>2726</v>
      </c>
    </row>
    <row r="2358" spans="1:20" x14ac:dyDescent="0.25">
      <c r="A2358" s="42">
        <v>45742</v>
      </c>
      <c r="B2358" s="1" t="s">
        <v>1223</v>
      </c>
      <c r="C2358" t="s">
        <v>1221</v>
      </c>
      <c r="D2358" s="22">
        <v>-447.4</v>
      </c>
      <c r="E2358" t="s">
        <v>35</v>
      </c>
      <c r="F2358" s="2">
        <v>610148001</v>
      </c>
      <c r="G2358" s="2" t="s">
        <v>42</v>
      </c>
      <c r="L2358" s="2" t="s">
        <v>4523</v>
      </c>
      <c r="M2358" t="s">
        <v>43</v>
      </c>
      <c r="N2358" t="s">
        <v>42</v>
      </c>
      <c r="P2358" s="23">
        <v>68.7</v>
      </c>
      <c r="Q2358" s="4">
        <f t="shared" si="36"/>
        <v>-6.5123726346433761</v>
      </c>
      <c r="R2358" s="23" t="s">
        <v>1198</v>
      </c>
      <c r="T2358" s="35" t="s">
        <v>2658</v>
      </c>
    </row>
    <row r="2359" spans="1:20" x14ac:dyDescent="0.25">
      <c r="A2359" s="42">
        <v>45743</v>
      </c>
      <c r="B2359" s="1" t="s">
        <v>4524</v>
      </c>
      <c r="C2359" t="s">
        <v>544</v>
      </c>
      <c r="D2359" s="22">
        <v>120000</v>
      </c>
      <c r="E2359" t="s">
        <v>46</v>
      </c>
      <c r="F2359" s="2">
        <v>210115002</v>
      </c>
      <c r="G2359" s="2" t="s">
        <v>47</v>
      </c>
      <c r="L2359" s="2" t="s">
        <v>4525</v>
      </c>
      <c r="N2359" t="s">
        <v>544</v>
      </c>
      <c r="P2359" s="23">
        <v>69.02</v>
      </c>
      <c r="Q2359" s="4">
        <f t="shared" si="36"/>
        <v>1738.6264850767895</v>
      </c>
      <c r="R2359" s="23" t="s">
        <v>1198</v>
      </c>
    </row>
    <row r="2360" spans="1:20" x14ac:dyDescent="0.25">
      <c r="A2360" s="42">
        <v>45743</v>
      </c>
      <c r="B2360" s="1" t="s">
        <v>1214</v>
      </c>
      <c r="C2360" t="s">
        <v>4526</v>
      </c>
      <c r="D2360" s="22">
        <v>-25178.49</v>
      </c>
      <c r="E2360" t="s">
        <v>35</v>
      </c>
      <c r="F2360" s="2">
        <v>110114001</v>
      </c>
      <c r="G2360" s="2" t="s">
        <v>301</v>
      </c>
      <c r="L2360" s="2" t="s">
        <v>4527</v>
      </c>
      <c r="M2360" t="s">
        <v>714</v>
      </c>
      <c r="N2360" t="s">
        <v>715</v>
      </c>
      <c r="P2360" s="23">
        <v>69.02</v>
      </c>
      <c r="Q2360" s="4">
        <f t="shared" si="36"/>
        <v>-364.79991306867578</v>
      </c>
      <c r="R2360" s="23" t="s">
        <v>1198</v>
      </c>
      <c r="S2360" s="33" t="s">
        <v>2726</v>
      </c>
    </row>
    <row r="2361" spans="1:20" x14ac:dyDescent="0.25">
      <c r="A2361" s="42">
        <v>45743</v>
      </c>
      <c r="B2361" s="1" t="s">
        <v>1211</v>
      </c>
      <c r="C2361" t="s">
        <v>4528</v>
      </c>
      <c r="D2361" s="22">
        <v>-31609.5</v>
      </c>
      <c r="E2361" t="s">
        <v>35</v>
      </c>
      <c r="F2361" s="2">
        <v>110114001</v>
      </c>
      <c r="G2361" s="2" t="s">
        <v>301</v>
      </c>
      <c r="L2361" s="2" t="s">
        <v>4529</v>
      </c>
      <c r="M2361" t="s">
        <v>521</v>
      </c>
      <c r="N2361" t="s">
        <v>522</v>
      </c>
      <c r="P2361" s="23">
        <v>69.02</v>
      </c>
      <c r="Q2361" s="4">
        <f t="shared" si="36"/>
        <v>-457.9759490002898</v>
      </c>
      <c r="R2361" s="23" t="s">
        <v>1198</v>
      </c>
      <c r="S2361" s="33" t="s">
        <v>2726</v>
      </c>
    </row>
    <row r="2362" spans="1:20" x14ac:dyDescent="0.25">
      <c r="A2362" s="42">
        <v>45743</v>
      </c>
      <c r="B2362" s="1" t="s">
        <v>1208</v>
      </c>
      <c r="C2362" t="s">
        <v>4530</v>
      </c>
      <c r="D2362" s="22">
        <v>-63753.599999999999</v>
      </c>
      <c r="E2362" t="s">
        <v>35</v>
      </c>
      <c r="F2362" s="2">
        <v>210101001</v>
      </c>
      <c r="G2362" s="2" t="s">
        <v>36</v>
      </c>
      <c r="L2362" s="2" t="s">
        <v>4531</v>
      </c>
      <c r="M2362" t="s">
        <v>38</v>
      </c>
      <c r="N2362" t="s">
        <v>39</v>
      </c>
      <c r="P2362" s="23">
        <v>69.02</v>
      </c>
      <c r="Q2362" s="4">
        <f t="shared" si="36"/>
        <v>-923.69747899159665</v>
      </c>
      <c r="R2362" s="23" t="s">
        <v>1198</v>
      </c>
    </row>
    <row r="2363" spans="1:20" x14ac:dyDescent="0.25">
      <c r="A2363" s="42">
        <v>45743</v>
      </c>
      <c r="B2363" s="1" t="s">
        <v>1223</v>
      </c>
      <c r="C2363" t="s">
        <v>1221</v>
      </c>
      <c r="D2363" s="22">
        <v>-159.38</v>
      </c>
      <c r="E2363" t="s">
        <v>35</v>
      </c>
      <c r="F2363" s="2">
        <v>610148001</v>
      </c>
      <c r="G2363" s="2" t="s">
        <v>42</v>
      </c>
      <c r="L2363" s="2" t="s">
        <v>4532</v>
      </c>
      <c r="M2363" t="s">
        <v>43</v>
      </c>
      <c r="N2363" t="s">
        <v>42</v>
      </c>
      <c r="P2363" s="23">
        <v>69.02</v>
      </c>
      <c r="Q2363" s="4">
        <f t="shared" si="36"/>
        <v>-2.3091857432628222</v>
      </c>
      <c r="R2363" s="23" t="s">
        <v>1198</v>
      </c>
      <c r="T2363" s="35" t="s">
        <v>2658</v>
      </c>
    </row>
    <row r="2364" spans="1:20" x14ac:dyDescent="0.25">
      <c r="A2364" s="42">
        <v>45743</v>
      </c>
      <c r="B2364" s="1" t="s">
        <v>1225</v>
      </c>
      <c r="C2364" t="s">
        <v>1221</v>
      </c>
      <c r="D2364" s="22">
        <v>-62.94</v>
      </c>
      <c r="E2364" t="s">
        <v>35</v>
      </c>
      <c r="F2364" s="2">
        <v>610148001</v>
      </c>
      <c r="G2364" s="2" t="s">
        <v>42</v>
      </c>
      <c r="L2364" s="2" t="s">
        <v>4533</v>
      </c>
      <c r="M2364" t="s">
        <v>43</v>
      </c>
      <c r="N2364" t="s">
        <v>42</v>
      </c>
      <c r="P2364" s="23">
        <v>69.02</v>
      </c>
      <c r="Q2364" s="4">
        <f t="shared" si="36"/>
        <v>-0.91190959142277606</v>
      </c>
      <c r="R2364" s="23" t="s">
        <v>1198</v>
      </c>
      <c r="T2364" s="35" t="s">
        <v>2658</v>
      </c>
    </row>
    <row r="2365" spans="1:20" x14ac:dyDescent="0.25">
      <c r="A2365" s="42">
        <v>45743</v>
      </c>
      <c r="B2365" s="1" t="s">
        <v>1227</v>
      </c>
      <c r="C2365" t="s">
        <v>1221</v>
      </c>
      <c r="D2365" s="22">
        <v>-79.02</v>
      </c>
      <c r="E2365" t="s">
        <v>35</v>
      </c>
      <c r="F2365" s="2">
        <v>610148001</v>
      </c>
      <c r="G2365" s="2" t="s">
        <v>42</v>
      </c>
      <c r="L2365" s="2" t="s">
        <v>4534</v>
      </c>
      <c r="M2365" t="s">
        <v>43</v>
      </c>
      <c r="N2365" t="s">
        <v>42</v>
      </c>
      <c r="P2365" s="23">
        <v>69.02</v>
      </c>
      <c r="Q2365" s="4">
        <f t="shared" si="36"/>
        <v>-1.1448855404230658</v>
      </c>
      <c r="R2365" s="23" t="s">
        <v>1198</v>
      </c>
      <c r="T2365" s="35" t="s">
        <v>2658</v>
      </c>
    </row>
    <row r="2366" spans="1:20" x14ac:dyDescent="0.25">
      <c r="A2366" s="42">
        <v>45743</v>
      </c>
      <c r="B2366" s="1" t="s">
        <v>4535</v>
      </c>
      <c r="C2366" t="s">
        <v>544</v>
      </c>
      <c r="D2366" s="22">
        <v>50000</v>
      </c>
      <c r="E2366" t="s">
        <v>46</v>
      </c>
      <c r="F2366" s="2">
        <v>210115002</v>
      </c>
      <c r="G2366" s="2" t="s">
        <v>47</v>
      </c>
      <c r="L2366" s="2" t="s">
        <v>4536</v>
      </c>
      <c r="N2366" t="s">
        <v>544</v>
      </c>
      <c r="P2366" s="23">
        <v>69.02</v>
      </c>
      <c r="Q2366" s="4">
        <f t="shared" si="36"/>
        <v>724.42770211532888</v>
      </c>
      <c r="R2366" s="23" t="s">
        <v>1198</v>
      </c>
    </row>
    <row r="2367" spans="1:20" x14ac:dyDescent="0.25">
      <c r="A2367" s="42">
        <v>45743</v>
      </c>
      <c r="B2367" s="1" t="s">
        <v>1214</v>
      </c>
      <c r="C2367" t="s">
        <v>4537</v>
      </c>
      <c r="D2367" s="22">
        <v>-11953.8</v>
      </c>
      <c r="E2367" t="s">
        <v>35</v>
      </c>
      <c r="F2367" s="2">
        <v>110114001</v>
      </c>
      <c r="G2367" s="2" t="s">
        <v>301</v>
      </c>
      <c r="L2367" s="2" t="s">
        <v>4538</v>
      </c>
      <c r="M2367" t="s">
        <v>1318</v>
      </c>
      <c r="N2367" t="s">
        <v>1319</v>
      </c>
      <c r="P2367" s="23">
        <v>69.02</v>
      </c>
      <c r="Q2367" s="4">
        <f t="shared" si="36"/>
        <v>-173.19327731092437</v>
      </c>
      <c r="R2367" s="23" t="s">
        <v>1198</v>
      </c>
      <c r="S2367" s="33" t="s">
        <v>2726</v>
      </c>
    </row>
    <row r="2368" spans="1:20" x14ac:dyDescent="0.25">
      <c r="A2368" s="42">
        <v>45743</v>
      </c>
      <c r="B2368" s="1" t="s">
        <v>1208</v>
      </c>
      <c r="C2368" t="s">
        <v>4539</v>
      </c>
      <c r="D2368" s="22">
        <v>-1761.39</v>
      </c>
      <c r="E2368" t="s">
        <v>35</v>
      </c>
      <c r="F2368" s="2">
        <v>110114001</v>
      </c>
      <c r="G2368" s="2" t="s">
        <v>301</v>
      </c>
      <c r="L2368" s="2" t="s">
        <v>4540</v>
      </c>
      <c r="M2368" t="s">
        <v>303</v>
      </c>
      <c r="N2368" t="s">
        <v>304</v>
      </c>
      <c r="P2368" s="23">
        <v>69.02</v>
      </c>
      <c r="Q2368" s="4">
        <f t="shared" si="36"/>
        <v>-25.519994204578385</v>
      </c>
      <c r="R2368" s="23" t="s">
        <v>1198</v>
      </c>
      <c r="S2368" s="33" t="s">
        <v>2726</v>
      </c>
    </row>
    <row r="2369" spans="1:23" x14ac:dyDescent="0.25">
      <c r="A2369" s="42">
        <v>45743</v>
      </c>
      <c r="B2369" s="1" t="s">
        <v>1217</v>
      </c>
      <c r="C2369" t="s">
        <v>4541</v>
      </c>
      <c r="D2369" s="22">
        <v>-4963.92</v>
      </c>
      <c r="E2369" t="s">
        <v>35</v>
      </c>
      <c r="F2369" s="2">
        <v>110114001</v>
      </c>
      <c r="G2369" s="2" t="s">
        <v>301</v>
      </c>
      <c r="L2369" s="2" t="s">
        <v>4542</v>
      </c>
      <c r="M2369" t="s">
        <v>760</v>
      </c>
      <c r="N2369" t="s">
        <v>761</v>
      </c>
      <c r="P2369" s="23">
        <v>69.02</v>
      </c>
      <c r="Q2369" s="4">
        <f t="shared" si="36"/>
        <v>-71.920023181686474</v>
      </c>
      <c r="R2369" s="23" t="s">
        <v>1198</v>
      </c>
      <c r="S2369" s="33" t="s">
        <v>2726</v>
      </c>
    </row>
    <row r="2370" spans="1:23" x14ac:dyDescent="0.25">
      <c r="A2370" s="42">
        <v>45743</v>
      </c>
      <c r="B2370" s="1" t="s">
        <v>1211</v>
      </c>
      <c r="C2370" t="s">
        <v>4543</v>
      </c>
      <c r="D2370" s="22">
        <v>-23556.78</v>
      </c>
      <c r="E2370" t="s">
        <v>35</v>
      </c>
      <c r="F2370" s="2">
        <v>110114001</v>
      </c>
      <c r="G2370" s="2" t="s">
        <v>301</v>
      </c>
      <c r="L2370" s="2" t="s">
        <v>4544</v>
      </c>
      <c r="M2370" t="s">
        <v>760</v>
      </c>
      <c r="N2370" t="s">
        <v>761</v>
      </c>
      <c r="P2370" s="23">
        <v>69.02</v>
      </c>
      <c r="Q2370" s="4">
        <f t="shared" si="36"/>
        <v>-341.30368009272672</v>
      </c>
      <c r="R2370" s="23" t="s">
        <v>1198</v>
      </c>
      <c r="S2370" s="33" t="s">
        <v>2726</v>
      </c>
    </row>
    <row r="2371" spans="1:23" x14ac:dyDescent="0.25">
      <c r="A2371" s="42">
        <v>45743</v>
      </c>
      <c r="B2371" s="1" t="s">
        <v>1227</v>
      </c>
      <c r="C2371" t="s">
        <v>1221</v>
      </c>
      <c r="D2371" s="22">
        <v>-58.89</v>
      </c>
      <c r="E2371" t="s">
        <v>35</v>
      </c>
      <c r="F2371" s="2">
        <v>610148001</v>
      </c>
      <c r="G2371" s="2" t="s">
        <v>42</v>
      </c>
      <c r="L2371" s="2" t="s">
        <v>4545</v>
      </c>
      <c r="M2371" t="s">
        <v>43</v>
      </c>
      <c r="N2371" t="s">
        <v>42</v>
      </c>
      <c r="P2371" s="23">
        <v>69.02</v>
      </c>
      <c r="Q2371" s="4">
        <f t="shared" si="36"/>
        <v>-0.85323094755143447</v>
      </c>
      <c r="R2371" s="23" t="s">
        <v>1198</v>
      </c>
      <c r="T2371" s="35" t="s">
        <v>2658</v>
      </c>
    </row>
    <row r="2372" spans="1:23" x14ac:dyDescent="0.25">
      <c r="A2372" s="42">
        <v>45743</v>
      </c>
      <c r="B2372" s="1" t="s">
        <v>1225</v>
      </c>
      <c r="C2372" t="s">
        <v>1221</v>
      </c>
      <c r="D2372" s="22">
        <v>-29.88</v>
      </c>
      <c r="E2372" t="s">
        <v>35</v>
      </c>
      <c r="F2372" s="2">
        <v>610148001</v>
      </c>
      <c r="G2372" s="2" t="s">
        <v>42</v>
      </c>
      <c r="L2372" s="2" t="s">
        <v>4546</v>
      </c>
      <c r="M2372" t="s">
        <v>43</v>
      </c>
      <c r="N2372" t="s">
        <v>42</v>
      </c>
      <c r="P2372" s="23">
        <v>69.02</v>
      </c>
      <c r="Q2372" s="4">
        <f t="shared" si="36"/>
        <v>-0.43291799478412057</v>
      </c>
      <c r="R2372" s="23" t="s">
        <v>1198</v>
      </c>
      <c r="T2372" s="35" t="s">
        <v>2658</v>
      </c>
    </row>
    <row r="2373" spans="1:23" x14ac:dyDescent="0.25">
      <c r="A2373" s="42">
        <v>45743</v>
      </c>
      <c r="B2373" s="1" t="s">
        <v>1220</v>
      </c>
      <c r="C2373" t="s">
        <v>1221</v>
      </c>
      <c r="D2373" s="22">
        <v>-12.4</v>
      </c>
      <c r="E2373" t="s">
        <v>35</v>
      </c>
      <c r="F2373" s="2">
        <v>610148001</v>
      </c>
      <c r="G2373" s="2" t="s">
        <v>42</v>
      </c>
      <c r="L2373" s="2" t="s">
        <v>4547</v>
      </c>
      <c r="M2373" t="s">
        <v>43</v>
      </c>
      <c r="N2373" t="s">
        <v>42</v>
      </c>
      <c r="P2373" s="23">
        <v>69.02</v>
      </c>
      <c r="Q2373" s="4">
        <f t="shared" si="36"/>
        <v>-0.17965807012460158</v>
      </c>
      <c r="R2373" s="23" t="s">
        <v>1198</v>
      </c>
      <c r="T2373" s="35" t="s">
        <v>2658</v>
      </c>
    </row>
    <row r="2374" spans="1:23" x14ac:dyDescent="0.25">
      <c r="A2374" s="42">
        <v>45743</v>
      </c>
      <c r="B2374" s="1" t="s">
        <v>1223</v>
      </c>
      <c r="C2374" t="s">
        <v>1221</v>
      </c>
      <c r="D2374" s="22">
        <v>-4.4000000000000004</v>
      </c>
      <c r="E2374" t="s">
        <v>35</v>
      </c>
      <c r="F2374" s="2">
        <v>610148001</v>
      </c>
      <c r="G2374" s="2" t="s">
        <v>42</v>
      </c>
      <c r="L2374" s="2" t="s">
        <v>4548</v>
      </c>
      <c r="M2374" t="s">
        <v>43</v>
      </c>
      <c r="N2374" t="s">
        <v>42</v>
      </c>
      <c r="P2374" s="23">
        <v>69.02</v>
      </c>
      <c r="Q2374" s="4">
        <f t="shared" si="36"/>
        <v>-6.3749637786148949E-2</v>
      </c>
      <c r="R2374" s="23" t="s">
        <v>1198</v>
      </c>
      <c r="T2374" s="34" t="s">
        <v>2658</v>
      </c>
    </row>
    <row r="2375" spans="1:23" x14ac:dyDescent="0.25">
      <c r="A2375" s="42">
        <v>45744</v>
      </c>
      <c r="B2375" s="1" t="s">
        <v>4549</v>
      </c>
      <c r="C2375" t="s">
        <v>4550</v>
      </c>
      <c r="D2375" s="22">
        <v>12888.06</v>
      </c>
      <c r="E2375" t="s">
        <v>46</v>
      </c>
      <c r="F2375" s="2">
        <v>110114001</v>
      </c>
      <c r="G2375" s="2" t="s">
        <v>301</v>
      </c>
      <c r="L2375" s="2" t="s">
        <v>4551</v>
      </c>
      <c r="N2375" t="s">
        <v>2353</v>
      </c>
      <c r="P2375" s="23">
        <v>69.44</v>
      </c>
      <c r="Q2375" s="4">
        <f t="shared" si="36"/>
        <v>185.59994239631337</v>
      </c>
      <c r="R2375" s="23" t="s">
        <v>1198</v>
      </c>
    </row>
    <row r="2376" spans="1:23" x14ac:dyDescent="0.25">
      <c r="A2376" s="42">
        <v>45747</v>
      </c>
      <c r="B2376" s="1" t="s">
        <v>4552</v>
      </c>
      <c r="C2376" t="s">
        <v>4553</v>
      </c>
      <c r="D2376" s="22">
        <v>1099.2</v>
      </c>
      <c r="E2376" t="s">
        <v>46</v>
      </c>
      <c r="F2376" s="2">
        <v>110114001</v>
      </c>
      <c r="G2376" s="2" t="s">
        <v>301</v>
      </c>
      <c r="L2376" s="2" t="s">
        <v>4554</v>
      </c>
      <c r="N2376" t="s">
        <v>2353</v>
      </c>
      <c r="P2376" s="23">
        <v>69.569999999999993</v>
      </c>
      <c r="Q2376" s="4">
        <f t="shared" si="36"/>
        <v>15.799913755929282</v>
      </c>
      <c r="R2376" s="23" t="s">
        <v>1198</v>
      </c>
    </row>
    <row r="2377" spans="1:23" x14ac:dyDescent="0.25">
      <c r="A2377" s="21">
        <v>45747</v>
      </c>
      <c r="B2377">
        <v>71600000000</v>
      </c>
      <c r="C2377" t="s">
        <v>1311</v>
      </c>
      <c r="D2377" s="22">
        <v>-0.5</v>
      </c>
      <c r="E2377" t="s">
        <v>35</v>
      </c>
      <c r="F2377" s="2">
        <v>610148001</v>
      </c>
      <c r="G2377" s="2" t="s">
        <v>42</v>
      </c>
      <c r="L2377" s="2" t="s">
        <v>4555</v>
      </c>
      <c r="M2377" t="s">
        <v>43</v>
      </c>
      <c r="N2377" t="s">
        <v>42</v>
      </c>
      <c r="P2377" s="23">
        <v>69.569999999999993</v>
      </c>
      <c r="Q2377" s="4">
        <f t="shared" si="36"/>
        <v>-7.1870058933448337E-3</v>
      </c>
      <c r="R2377" s="23" t="s">
        <v>40</v>
      </c>
      <c r="T2377" s="23" t="s">
        <v>2658</v>
      </c>
    </row>
    <row r="2378" spans="1:23" x14ac:dyDescent="0.25">
      <c r="A2378" s="21">
        <v>45747</v>
      </c>
      <c r="B2378">
        <v>91577700000</v>
      </c>
      <c r="C2378" t="s">
        <v>1314</v>
      </c>
      <c r="D2378" s="22">
        <v>-0.5</v>
      </c>
      <c r="E2378" t="s">
        <v>35</v>
      </c>
      <c r="F2378" s="2">
        <v>610148001</v>
      </c>
      <c r="G2378" s="2" t="s">
        <v>42</v>
      </c>
      <c r="L2378" s="2" t="s">
        <v>4556</v>
      </c>
      <c r="M2378" t="s">
        <v>43</v>
      </c>
      <c r="N2378" t="s">
        <v>42</v>
      </c>
      <c r="P2378" s="23">
        <v>69.569999999999993</v>
      </c>
      <c r="Q2378" s="4">
        <f t="shared" si="36"/>
        <v>-7.1870058933448337E-3</v>
      </c>
      <c r="R2378" s="23" t="s">
        <v>40</v>
      </c>
      <c r="T2378" s="23" t="s">
        <v>2658</v>
      </c>
    </row>
    <row r="2379" spans="1:23" x14ac:dyDescent="0.25">
      <c r="A2379" s="21">
        <v>45776</v>
      </c>
      <c r="B2379" s="1">
        <v>90</v>
      </c>
      <c r="C2379" t="s">
        <v>51</v>
      </c>
      <c r="D2379" s="22">
        <v>-64.58</v>
      </c>
      <c r="E2379" t="s">
        <v>35</v>
      </c>
      <c r="F2379" s="2">
        <v>610148001</v>
      </c>
      <c r="G2379" s="2" t="s">
        <v>42</v>
      </c>
      <c r="L2379" s="2" t="s">
        <v>4557</v>
      </c>
      <c r="M2379" t="s">
        <v>43</v>
      </c>
      <c r="N2379" t="s">
        <v>42</v>
      </c>
      <c r="P2379" s="23">
        <v>86.66</v>
      </c>
      <c r="Q2379" s="4">
        <f t="shared" ref="Q2379:Q2442" si="37">D2379/P2379</f>
        <v>-0.74521117009000692</v>
      </c>
      <c r="R2379" s="23" t="s">
        <v>53</v>
      </c>
      <c r="T2379" s="23" t="s">
        <v>4558</v>
      </c>
    </row>
    <row r="2380" spans="1:23" x14ac:dyDescent="0.25">
      <c r="A2380" s="21">
        <v>45776</v>
      </c>
      <c r="B2380" s="1">
        <v>89</v>
      </c>
      <c r="C2380" t="s">
        <v>4559</v>
      </c>
      <c r="D2380" s="22">
        <v>-21527.5</v>
      </c>
      <c r="E2380" t="s">
        <v>35</v>
      </c>
      <c r="F2380" s="2">
        <v>840101001</v>
      </c>
      <c r="G2380" s="2" t="s">
        <v>65</v>
      </c>
      <c r="L2380" s="2" t="s">
        <v>4560</v>
      </c>
      <c r="M2380" t="s">
        <v>67</v>
      </c>
      <c r="N2380" t="s">
        <v>68</v>
      </c>
      <c r="P2380" s="23">
        <v>86.66</v>
      </c>
      <c r="Q2380" s="4">
        <f t="shared" si="37"/>
        <v>-248.41333948765291</v>
      </c>
      <c r="R2380" s="23" t="s">
        <v>53</v>
      </c>
    </row>
    <row r="2381" spans="1:23" x14ac:dyDescent="0.25">
      <c r="A2381" s="21">
        <v>45776</v>
      </c>
      <c r="B2381" s="1">
        <v>88</v>
      </c>
      <c r="C2381" t="s">
        <v>107</v>
      </c>
      <c r="D2381" s="22">
        <v>25000</v>
      </c>
      <c r="E2381" t="s">
        <v>46</v>
      </c>
      <c r="F2381" s="2">
        <v>210115002</v>
      </c>
      <c r="G2381" s="2" t="s">
        <v>47</v>
      </c>
      <c r="L2381" s="2" t="s">
        <v>4561</v>
      </c>
      <c r="N2381" t="s">
        <v>107</v>
      </c>
      <c r="P2381" s="23">
        <v>86.66</v>
      </c>
      <c r="Q2381" s="4">
        <f t="shared" si="37"/>
        <v>288.48372951765521</v>
      </c>
      <c r="R2381" s="23" t="s">
        <v>53</v>
      </c>
    </row>
    <row r="2382" spans="1:23" x14ac:dyDescent="0.25">
      <c r="A2382" s="21">
        <v>45777</v>
      </c>
      <c r="B2382" s="1">
        <v>92</v>
      </c>
      <c r="C2382" t="s">
        <v>84</v>
      </c>
      <c r="D2382" s="22">
        <v>-0.5</v>
      </c>
      <c r="E2382" t="s">
        <v>35</v>
      </c>
      <c r="F2382" s="2">
        <v>610148001</v>
      </c>
      <c r="G2382" s="2" t="s">
        <v>42</v>
      </c>
      <c r="L2382" s="2" t="s">
        <v>4562</v>
      </c>
      <c r="M2382" t="s">
        <v>43</v>
      </c>
      <c r="N2382" t="s">
        <v>42</v>
      </c>
      <c r="P2382" s="23">
        <v>86.85</v>
      </c>
      <c r="Q2382" s="4">
        <f t="shared" si="37"/>
        <v>-5.7570523891767415E-3</v>
      </c>
      <c r="R2382" s="23" t="s">
        <v>53</v>
      </c>
      <c r="T2382" s="23" t="s">
        <v>4558</v>
      </c>
    </row>
    <row r="2383" spans="1:23" x14ac:dyDescent="0.25">
      <c r="A2383" s="21">
        <v>45777</v>
      </c>
      <c r="B2383" s="1">
        <v>91</v>
      </c>
      <c r="C2383" t="s">
        <v>86</v>
      </c>
      <c r="D2383" s="22">
        <v>-0.5</v>
      </c>
      <c r="E2383" t="s">
        <v>35</v>
      </c>
      <c r="F2383" s="2">
        <v>610148001</v>
      </c>
      <c r="G2383" s="2" t="s">
        <v>42</v>
      </c>
      <c r="L2383" s="2" t="s">
        <v>4563</v>
      </c>
      <c r="M2383" t="s">
        <v>43</v>
      </c>
      <c r="N2383" t="s">
        <v>42</v>
      </c>
      <c r="P2383" s="23">
        <v>86.85</v>
      </c>
      <c r="Q2383" s="4">
        <f t="shared" si="37"/>
        <v>-5.7570523891767415E-3</v>
      </c>
      <c r="R2383" s="23" t="s">
        <v>53</v>
      </c>
      <c r="T2383" s="23" t="s">
        <v>4558</v>
      </c>
    </row>
    <row r="2384" spans="1:23" x14ac:dyDescent="0.25">
      <c r="A2384" s="21">
        <v>45748</v>
      </c>
      <c r="B2384" s="1">
        <v>711589745</v>
      </c>
      <c r="C2384" t="s">
        <v>4564</v>
      </c>
      <c r="D2384" s="22">
        <v>2748</v>
      </c>
      <c r="E2384" t="s">
        <v>46</v>
      </c>
      <c r="F2384" s="2">
        <v>212901001</v>
      </c>
      <c r="G2384" s="2" t="s">
        <v>121</v>
      </c>
      <c r="L2384" s="2" t="s">
        <v>4565</v>
      </c>
      <c r="M2384" t="s">
        <v>67</v>
      </c>
      <c r="N2384" t="s">
        <v>68</v>
      </c>
      <c r="P2384" s="23">
        <v>69.78</v>
      </c>
      <c r="Q2384" s="4">
        <f t="shared" si="37"/>
        <v>39.380911435941528</v>
      </c>
      <c r="R2384" s="23" t="s">
        <v>109</v>
      </c>
      <c r="U2384">
        <v>1</v>
      </c>
      <c r="V2384" t="e">
        <f>VLOOKUP(U2384,[1]!NOMINA[#Data],4,FALSE)</f>
        <v>#REF!</v>
      </c>
      <c r="W2384" t="e">
        <f>VLOOKUP(U2384,[1]!NOMINA[#Data],5,FALSE)</f>
        <v>#REF!</v>
      </c>
    </row>
    <row r="2385" spans="1:20" x14ac:dyDescent="0.25">
      <c r="A2385" s="21">
        <v>45748</v>
      </c>
      <c r="B2385" s="1">
        <v>145555249</v>
      </c>
      <c r="C2385" t="s">
        <v>4566</v>
      </c>
      <c r="D2385" s="22">
        <v>128702.23</v>
      </c>
      <c r="E2385" t="s">
        <v>46</v>
      </c>
      <c r="F2385" s="2">
        <v>110106001</v>
      </c>
      <c r="G2385" s="2" t="s">
        <v>2034</v>
      </c>
      <c r="L2385" s="2" t="s">
        <v>4567</v>
      </c>
      <c r="N2385" t="s">
        <v>4568</v>
      </c>
      <c r="P2385" s="23">
        <v>69.78</v>
      </c>
      <c r="Q2385" s="4">
        <f t="shared" si="37"/>
        <v>1844.3999713384924</v>
      </c>
      <c r="R2385" s="23" t="s">
        <v>109</v>
      </c>
    </row>
    <row r="2386" spans="1:20" x14ac:dyDescent="0.25">
      <c r="A2386" s="21">
        <v>45748</v>
      </c>
      <c r="B2386" s="1">
        <v>710790898</v>
      </c>
      <c r="C2386" t="s">
        <v>4569</v>
      </c>
      <c r="D2386" s="22">
        <v>-84182.59</v>
      </c>
      <c r="E2386" t="s">
        <v>35</v>
      </c>
      <c r="F2386" s="2">
        <v>210101001</v>
      </c>
      <c r="G2386" s="2" t="s">
        <v>36</v>
      </c>
      <c r="L2386" s="2" t="s">
        <v>4570</v>
      </c>
      <c r="M2386" t="s">
        <v>303</v>
      </c>
      <c r="N2386" t="s">
        <v>304</v>
      </c>
      <c r="P2386" s="23">
        <v>69.78</v>
      </c>
      <c r="Q2386" s="4">
        <f t="shared" si="37"/>
        <v>-1206.3999713384924</v>
      </c>
      <c r="R2386" s="23" t="s">
        <v>109</v>
      </c>
    </row>
    <row r="2387" spans="1:20" x14ac:dyDescent="0.25">
      <c r="A2387" s="21">
        <v>45748</v>
      </c>
      <c r="B2387" s="1">
        <v>710790898</v>
      </c>
      <c r="C2387" t="s">
        <v>306</v>
      </c>
      <c r="D2387" s="22">
        <v>-252.55</v>
      </c>
      <c r="E2387" t="s">
        <v>35</v>
      </c>
      <c r="F2387" s="2">
        <v>610148001</v>
      </c>
      <c r="G2387" s="2" t="s">
        <v>42</v>
      </c>
      <c r="L2387" s="2" t="s">
        <v>4571</v>
      </c>
      <c r="M2387" t="s">
        <v>43</v>
      </c>
      <c r="N2387" t="s">
        <v>42</v>
      </c>
      <c r="P2387" s="23">
        <v>69.78</v>
      </c>
      <c r="Q2387" s="4">
        <f t="shared" si="37"/>
        <v>-3.6192318715964462</v>
      </c>
      <c r="R2387" s="23" t="s">
        <v>109</v>
      </c>
      <c r="T2387" s="23" t="s">
        <v>4558</v>
      </c>
    </row>
    <row r="2388" spans="1:20" x14ac:dyDescent="0.25">
      <c r="A2388" s="21">
        <v>45748</v>
      </c>
      <c r="B2388" s="1">
        <v>76937557</v>
      </c>
      <c r="C2388" t="s">
        <v>4572</v>
      </c>
      <c r="D2388" s="22">
        <v>56418.53</v>
      </c>
      <c r="E2388" t="s">
        <v>46</v>
      </c>
      <c r="F2388" s="2">
        <v>110106001</v>
      </c>
      <c r="G2388" s="2" t="s">
        <v>2034</v>
      </c>
      <c r="L2388" s="2" t="s">
        <v>4573</v>
      </c>
      <c r="N2388" t="s">
        <v>4568</v>
      </c>
      <c r="P2388" s="23">
        <v>69.78</v>
      </c>
      <c r="Q2388" s="4">
        <f t="shared" si="37"/>
        <v>808.52006305531665</v>
      </c>
      <c r="R2388" s="23" t="s">
        <v>109</v>
      </c>
    </row>
    <row r="2389" spans="1:20" x14ac:dyDescent="0.25">
      <c r="A2389" s="21">
        <v>45748</v>
      </c>
      <c r="B2389" s="1">
        <v>0</v>
      </c>
      <c r="C2389" t="s">
        <v>123</v>
      </c>
      <c r="D2389" s="22">
        <v>-69.56</v>
      </c>
      <c r="E2389" t="s">
        <v>35</v>
      </c>
      <c r="F2389" s="2">
        <v>610148001</v>
      </c>
      <c r="G2389" s="2" t="s">
        <v>42</v>
      </c>
      <c r="L2389" s="2" t="s">
        <v>4574</v>
      </c>
      <c r="M2389" t="s">
        <v>43</v>
      </c>
      <c r="N2389" t="s">
        <v>42</v>
      </c>
      <c r="P2389" s="23">
        <v>69.78</v>
      </c>
      <c r="Q2389" s="4">
        <f t="shared" si="37"/>
        <v>-0.99684723416451704</v>
      </c>
      <c r="R2389" s="23" t="s">
        <v>109</v>
      </c>
      <c r="T2389" s="23" t="s">
        <v>4558</v>
      </c>
    </row>
    <row r="2390" spans="1:20" x14ac:dyDescent="0.25">
      <c r="A2390" s="21">
        <v>45748</v>
      </c>
      <c r="B2390" s="1">
        <v>628118</v>
      </c>
      <c r="C2390" t="s">
        <v>4575</v>
      </c>
      <c r="D2390" s="22">
        <v>-28488.92</v>
      </c>
      <c r="E2390" t="s">
        <v>35</v>
      </c>
      <c r="F2390" s="2">
        <v>213401001</v>
      </c>
      <c r="G2390" s="2" t="s">
        <v>126</v>
      </c>
      <c r="L2390" s="2" t="s">
        <v>4576</v>
      </c>
      <c r="M2390" t="s">
        <v>128</v>
      </c>
      <c r="N2390" t="s">
        <v>129</v>
      </c>
      <c r="P2390" s="23">
        <v>69.78</v>
      </c>
      <c r="Q2390" s="4">
        <f t="shared" si="37"/>
        <v>-408.26769848094006</v>
      </c>
      <c r="R2390" s="23" t="s">
        <v>109</v>
      </c>
      <c r="T2390" s="23" t="s">
        <v>4577</v>
      </c>
    </row>
    <row r="2391" spans="1:20" x14ac:dyDescent="0.25">
      <c r="A2391" s="21">
        <v>45749</v>
      </c>
      <c r="B2391" s="1">
        <v>143640690</v>
      </c>
      <c r="C2391" t="s">
        <v>107</v>
      </c>
      <c r="D2391" s="22">
        <v>132000</v>
      </c>
      <c r="E2391" t="s">
        <v>46</v>
      </c>
      <c r="F2391" s="2">
        <v>210115002</v>
      </c>
      <c r="G2391" s="2" t="s">
        <v>47</v>
      </c>
      <c r="L2391" s="2" t="s">
        <v>4578</v>
      </c>
      <c r="N2391" t="s">
        <v>107</v>
      </c>
      <c r="P2391" s="23">
        <v>70.010000000000005</v>
      </c>
      <c r="Q2391" s="4">
        <f t="shared" si="37"/>
        <v>1885.4449364376517</v>
      </c>
      <c r="R2391" s="23" t="s">
        <v>109</v>
      </c>
    </row>
    <row r="2392" spans="1:20" x14ac:dyDescent="0.25">
      <c r="A2392" s="21">
        <v>45749</v>
      </c>
      <c r="B2392" s="1">
        <v>110844410</v>
      </c>
      <c r="C2392" t="s">
        <v>4579</v>
      </c>
      <c r="D2392" s="22">
        <v>-42230.03</v>
      </c>
      <c r="E2392" t="s">
        <v>35</v>
      </c>
      <c r="F2392" s="2">
        <v>210101001</v>
      </c>
      <c r="G2392" s="2" t="s">
        <v>36</v>
      </c>
      <c r="L2392" s="2" t="s">
        <v>4580</v>
      </c>
      <c r="M2392" t="s">
        <v>303</v>
      </c>
      <c r="N2392" t="s">
        <v>304</v>
      </c>
      <c r="P2392" s="23">
        <v>70.010000000000005</v>
      </c>
      <c r="Q2392" s="4">
        <f t="shared" si="37"/>
        <v>-603.19997143265243</v>
      </c>
      <c r="R2392" s="23" t="s">
        <v>109</v>
      </c>
    </row>
    <row r="2393" spans="1:20" x14ac:dyDescent="0.25">
      <c r="A2393" s="21">
        <v>45749</v>
      </c>
      <c r="B2393" s="1">
        <v>110844409</v>
      </c>
      <c r="C2393" t="s">
        <v>4581</v>
      </c>
      <c r="D2393" s="22">
        <v>-11901.7</v>
      </c>
      <c r="E2393" t="s">
        <v>35</v>
      </c>
      <c r="F2393" s="2">
        <v>210101001</v>
      </c>
      <c r="G2393" s="2" t="s">
        <v>36</v>
      </c>
      <c r="L2393" s="2" t="s">
        <v>4582</v>
      </c>
      <c r="M2393" t="s">
        <v>2028</v>
      </c>
      <c r="N2393" t="s">
        <v>2029</v>
      </c>
      <c r="P2393" s="23">
        <v>70.010000000000005</v>
      </c>
      <c r="Q2393" s="4">
        <f t="shared" si="37"/>
        <v>-170</v>
      </c>
      <c r="R2393" s="23" t="s">
        <v>109</v>
      </c>
    </row>
    <row r="2394" spans="1:20" x14ac:dyDescent="0.25">
      <c r="A2394" s="21">
        <v>45749</v>
      </c>
      <c r="B2394" s="1">
        <v>210844412</v>
      </c>
      <c r="C2394" t="s">
        <v>4583</v>
      </c>
      <c r="D2394" s="22">
        <v>-67405.63</v>
      </c>
      <c r="E2394" t="s">
        <v>35</v>
      </c>
      <c r="F2394" s="2">
        <v>210101001</v>
      </c>
      <c r="G2394" s="2" t="s">
        <v>36</v>
      </c>
      <c r="L2394" s="2" t="s">
        <v>4584</v>
      </c>
      <c r="M2394" t="s">
        <v>303</v>
      </c>
      <c r="N2394" t="s">
        <v>304</v>
      </c>
      <c r="P2394" s="23">
        <v>70.010000000000005</v>
      </c>
      <c r="Q2394" s="4">
        <f t="shared" si="37"/>
        <v>-962.80002856734757</v>
      </c>
      <c r="R2394" s="23" t="s">
        <v>109</v>
      </c>
    </row>
    <row r="2395" spans="1:20" x14ac:dyDescent="0.25">
      <c r="A2395" s="21">
        <v>45749</v>
      </c>
      <c r="B2395" s="1">
        <v>210844411</v>
      </c>
      <c r="C2395" t="s">
        <v>4585</v>
      </c>
      <c r="D2395" s="22">
        <v>-560.08000000000004</v>
      </c>
      <c r="E2395" t="s">
        <v>35</v>
      </c>
      <c r="F2395" s="2">
        <v>210101001</v>
      </c>
      <c r="G2395" s="2" t="s">
        <v>36</v>
      </c>
      <c r="L2395" s="2" t="s">
        <v>4586</v>
      </c>
      <c r="M2395" t="s">
        <v>788</v>
      </c>
      <c r="N2395" t="s">
        <v>789</v>
      </c>
      <c r="P2395" s="23">
        <v>70.010000000000005</v>
      </c>
      <c r="Q2395" s="4">
        <f t="shared" si="37"/>
        <v>-8</v>
      </c>
      <c r="R2395" s="23" t="s">
        <v>109</v>
      </c>
    </row>
    <row r="2396" spans="1:20" x14ac:dyDescent="0.25">
      <c r="A2396" s="21">
        <v>45749</v>
      </c>
      <c r="B2396" s="1">
        <v>210844415</v>
      </c>
      <c r="C2396" t="s">
        <v>4587</v>
      </c>
      <c r="D2396" s="22">
        <v>-42230.03</v>
      </c>
      <c r="E2396" t="s">
        <v>35</v>
      </c>
      <c r="F2396" s="2">
        <v>210101001</v>
      </c>
      <c r="G2396" s="2" t="s">
        <v>36</v>
      </c>
      <c r="L2396" s="2" t="s">
        <v>4588</v>
      </c>
      <c r="M2396" t="s">
        <v>1318</v>
      </c>
      <c r="N2396" t="s">
        <v>1319</v>
      </c>
      <c r="P2396" s="23">
        <v>70.010000000000005</v>
      </c>
      <c r="Q2396" s="4">
        <f t="shared" si="37"/>
        <v>-603.19997143265243</v>
      </c>
      <c r="R2396" s="23" t="s">
        <v>109</v>
      </c>
    </row>
    <row r="2397" spans="1:20" x14ac:dyDescent="0.25">
      <c r="A2397" s="21">
        <v>45749</v>
      </c>
      <c r="B2397" s="1">
        <v>210844413</v>
      </c>
      <c r="C2397" t="s">
        <v>4589</v>
      </c>
      <c r="D2397" s="22">
        <v>-5846.4</v>
      </c>
      <c r="E2397" t="s">
        <v>35</v>
      </c>
      <c r="F2397" s="2">
        <v>210101001</v>
      </c>
      <c r="G2397" s="2" t="s">
        <v>36</v>
      </c>
      <c r="L2397" s="2" t="s">
        <v>4590</v>
      </c>
      <c r="M2397" t="s">
        <v>303</v>
      </c>
      <c r="N2397" t="s">
        <v>304</v>
      </c>
      <c r="P2397" s="23">
        <v>70.010000000000005</v>
      </c>
      <c r="Q2397" s="4">
        <f t="shared" si="37"/>
        <v>-83.508070275674896</v>
      </c>
      <c r="R2397" s="23" t="s">
        <v>109</v>
      </c>
    </row>
    <row r="2398" spans="1:20" x14ac:dyDescent="0.25">
      <c r="A2398" s="21">
        <v>45749</v>
      </c>
      <c r="B2398" s="1">
        <v>210844414</v>
      </c>
      <c r="C2398" t="s">
        <v>4591</v>
      </c>
      <c r="D2398" s="22">
        <v>-45478.49</v>
      </c>
      <c r="E2398" t="s">
        <v>35</v>
      </c>
      <c r="F2398" s="2">
        <v>210101001</v>
      </c>
      <c r="G2398" s="2" t="s">
        <v>36</v>
      </c>
      <c r="L2398" s="2" t="s">
        <v>4592</v>
      </c>
      <c r="M2398" t="s">
        <v>788</v>
      </c>
      <c r="N2398" t="s">
        <v>789</v>
      </c>
      <c r="P2398" s="23">
        <v>70.010000000000005</v>
      </c>
      <c r="Q2398" s="4">
        <f t="shared" si="37"/>
        <v>-649.59991429795741</v>
      </c>
      <c r="R2398" s="23" t="s">
        <v>109</v>
      </c>
    </row>
    <row r="2399" spans="1:20" x14ac:dyDescent="0.25">
      <c r="A2399" s="21">
        <v>45749</v>
      </c>
      <c r="B2399" s="1">
        <v>210844417</v>
      </c>
      <c r="C2399" t="s">
        <v>4593</v>
      </c>
      <c r="D2399" s="22">
        <v>-2517.56</v>
      </c>
      <c r="E2399" t="s">
        <v>35</v>
      </c>
      <c r="F2399" s="2">
        <v>210101001</v>
      </c>
      <c r="G2399" s="2" t="s">
        <v>36</v>
      </c>
      <c r="L2399" s="2" t="s">
        <v>4594</v>
      </c>
      <c r="M2399" t="s">
        <v>760</v>
      </c>
      <c r="N2399" t="s">
        <v>761</v>
      </c>
      <c r="P2399" s="23">
        <v>70.010000000000005</v>
      </c>
      <c r="Q2399" s="4">
        <f t="shared" si="37"/>
        <v>-35.960005713469499</v>
      </c>
      <c r="R2399" s="23" t="s">
        <v>109</v>
      </c>
    </row>
    <row r="2400" spans="1:20" x14ac:dyDescent="0.25">
      <c r="A2400" s="21">
        <v>45749</v>
      </c>
      <c r="B2400" s="1">
        <v>210844416</v>
      </c>
      <c r="C2400" t="s">
        <v>4595</v>
      </c>
      <c r="D2400" s="22">
        <v>-3500.5</v>
      </c>
      <c r="E2400" t="s">
        <v>35</v>
      </c>
      <c r="F2400" s="2">
        <v>210101001</v>
      </c>
      <c r="G2400" s="2" t="s">
        <v>36</v>
      </c>
      <c r="L2400" s="2" t="s">
        <v>4596</v>
      </c>
      <c r="M2400" t="s">
        <v>114</v>
      </c>
      <c r="N2400" t="s">
        <v>115</v>
      </c>
      <c r="P2400" s="23">
        <v>70.010000000000005</v>
      </c>
      <c r="Q2400" s="4">
        <f t="shared" si="37"/>
        <v>-49.999999999999993</v>
      </c>
      <c r="R2400" s="23" t="s">
        <v>109</v>
      </c>
    </row>
    <row r="2401" spans="1:20" x14ac:dyDescent="0.25">
      <c r="A2401" s="21">
        <v>45749</v>
      </c>
      <c r="B2401" s="1">
        <v>50468958</v>
      </c>
      <c r="C2401" t="s">
        <v>118</v>
      </c>
      <c r="D2401" s="22">
        <v>-554.16999999999996</v>
      </c>
      <c r="E2401" t="s">
        <v>35</v>
      </c>
      <c r="F2401" s="2">
        <v>610148001</v>
      </c>
      <c r="G2401" s="2" t="s">
        <v>42</v>
      </c>
      <c r="L2401" s="2" t="s">
        <v>4597</v>
      </c>
      <c r="M2401" t="s">
        <v>43</v>
      </c>
      <c r="N2401" t="s">
        <v>42</v>
      </c>
      <c r="P2401" s="23">
        <v>70.010000000000005</v>
      </c>
      <c r="Q2401" s="4">
        <f t="shared" si="37"/>
        <v>-7.9155834880731311</v>
      </c>
      <c r="R2401" s="23" t="s">
        <v>109</v>
      </c>
      <c r="T2401" s="23" t="s">
        <v>4558</v>
      </c>
    </row>
    <row r="2402" spans="1:20" x14ac:dyDescent="0.25">
      <c r="A2402" s="21">
        <v>45750</v>
      </c>
      <c r="B2402" s="1">
        <v>105404078</v>
      </c>
      <c r="C2402" t="s">
        <v>107</v>
      </c>
      <c r="D2402" s="22">
        <v>45000</v>
      </c>
      <c r="E2402" t="s">
        <v>46</v>
      </c>
      <c r="F2402" s="2">
        <v>210115002</v>
      </c>
      <c r="G2402" s="2" t="s">
        <v>47</v>
      </c>
      <c r="L2402" s="2" t="s">
        <v>4598</v>
      </c>
      <c r="N2402" t="s">
        <v>107</v>
      </c>
      <c r="P2402" s="23">
        <v>70.25</v>
      </c>
      <c r="Q2402" s="4">
        <f t="shared" si="37"/>
        <v>640.56939501779357</v>
      </c>
      <c r="R2402" s="23" t="s">
        <v>109</v>
      </c>
    </row>
    <row r="2403" spans="1:20" x14ac:dyDescent="0.25">
      <c r="A2403" s="21">
        <v>45750</v>
      </c>
      <c r="B2403" s="1">
        <v>10881931</v>
      </c>
      <c r="C2403" t="s">
        <v>4599</v>
      </c>
      <c r="D2403" s="22">
        <v>-8154.8</v>
      </c>
      <c r="E2403" t="s">
        <v>35</v>
      </c>
      <c r="F2403" s="2">
        <v>210101001</v>
      </c>
      <c r="G2403" s="2" t="s">
        <v>36</v>
      </c>
      <c r="L2403" s="2" t="s">
        <v>4600</v>
      </c>
      <c r="M2403" t="s">
        <v>788</v>
      </c>
      <c r="N2403" t="s">
        <v>789</v>
      </c>
      <c r="P2403" s="23">
        <v>70.25</v>
      </c>
      <c r="Q2403" s="4">
        <f t="shared" si="37"/>
        <v>-116.08256227758007</v>
      </c>
      <c r="R2403" s="23" t="s">
        <v>109</v>
      </c>
    </row>
    <row r="2404" spans="1:20" x14ac:dyDescent="0.25">
      <c r="A2404" s="21">
        <v>45750</v>
      </c>
      <c r="B2404" s="1">
        <v>10881934</v>
      </c>
      <c r="C2404" t="s">
        <v>4601</v>
      </c>
      <c r="D2404" s="22">
        <v>-29875.1</v>
      </c>
      <c r="E2404" t="s">
        <v>35</v>
      </c>
      <c r="F2404" s="2">
        <v>210101001</v>
      </c>
      <c r="G2404" s="2" t="s">
        <v>36</v>
      </c>
      <c r="L2404" s="2" t="s">
        <v>4602</v>
      </c>
      <c r="M2404" t="s">
        <v>788</v>
      </c>
      <c r="N2404" t="s">
        <v>789</v>
      </c>
      <c r="P2404" s="23">
        <v>70.25</v>
      </c>
      <c r="Q2404" s="4">
        <f t="shared" si="37"/>
        <v>-425.26832740213518</v>
      </c>
      <c r="R2404" s="23" t="s">
        <v>109</v>
      </c>
    </row>
    <row r="2405" spans="1:20" x14ac:dyDescent="0.25">
      <c r="A2405" s="21">
        <v>45750</v>
      </c>
      <c r="B2405" s="1">
        <v>10881933</v>
      </c>
      <c r="C2405" t="s">
        <v>4603</v>
      </c>
      <c r="D2405" s="22">
        <v>-2424.31</v>
      </c>
      <c r="E2405" t="s">
        <v>35</v>
      </c>
      <c r="F2405" s="2">
        <v>210101001</v>
      </c>
      <c r="G2405" s="2" t="s">
        <v>36</v>
      </c>
      <c r="L2405" s="2" t="s">
        <v>4604</v>
      </c>
      <c r="M2405" t="s">
        <v>760</v>
      </c>
      <c r="N2405" t="s">
        <v>761</v>
      </c>
      <c r="P2405" s="23">
        <v>70.25</v>
      </c>
      <c r="Q2405" s="4">
        <f t="shared" si="37"/>
        <v>-34.509750889679715</v>
      </c>
      <c r="R2405" s="23" t="s">
        <v>109</v>
      </c>
    </row>
    <row r="2406" spans="1:20" x14ac:dyDescent="0.25">
      <c r="A2406" s="21">
        <v>45750</v>
      </c>
      <c r="B2406" s="1">
        <v>10881935</v>
      </c>
      <c r="C2406" t="s">
        <v>4605</v>
      </c>
      <c r="D2406" s="22">
        <v>-2743.98</v>
      </c>
      <c r="E2406" t="s">
        <v>35</v>
      </c>
      <c r="F2406" s="2">
        <v>210101001</v>
      </c>
      <c r="G2406" s="2" t="s">
        <v>36</v>
      </c>
      <c r="L2406" s="2" t="s">
        <v>4606</v>
      </c>
      <c r="M2406" t="s">
        <v>303</v>
      </c>
      <c r="N2406" t="s">
        <v>304</v>
      </c>
      <c r="P2406" s="23">
        <v>70.25</v>
      </c>
      <c r="Q2406" s="4">
        <f t="shared" si="37"/>
        <v>-39.060213523131672</v>
      </c>
      <c r="R2406" s="23" t="s">
        <v>109</v>
      </c>
    </row>
    <row r="2407" spans="1:20" x14ac:dyDescent="0.25">
      <c r="A2407" s="21">
        <v>45750</v>
      </c>
      <c r="B2407" s="1">
        <v>10881936</v>
      </c>
      <c r="C2407" t="s">
        <v>4607</v>
      </c>
      <c r="D2407" s="22">
        <v>-324.8</v>
      </c>
      <c r="E2407" t="s">
        <v>35</v>
      </c>
      <c r="F2407" s="2">
        <v>210101001</v>
      </c>
      <c r="G2407" s="2" t="s">
        <v>36</v>
      </c>
      <c r="L2407" s="2" t="s">
        <v>4608</v>
      </c>
      <c r="M2407" t="s">
        <v>303</v>
      </c>
      <c r="N2407" t="s">
        <v>304</v>
      </c>
      <c r="P2407" s="23">
        <v>70.25</v>
      </c>
      <c r="Q2407" s="4">
        <f t="shared" si="37"/>
        <v>-4.6234875444839858</v>
      </c>
      <c r="R2407" s="23" t="s">
        <v>109</v>
      </c>
    </row>
    <row r="2408" spans="1:20" x14ac:dyDescent="0.25">
      <c r="A2408" s="21">
        <v>45750</v>
      </c>
      <c r="B2408" s="1">
        <v>50426989</v>
      </c>
      <c r="C2408" t="s">
        <v>118</v>
      </c>
      <c r="D2408" s="22">
        <v>-108.8</v>
      </c>
      <c r="E2408" t="s">
        <v>35</v>
      </c>
      <c r="F2408" s="2">
        <v>610148001</v>
      </c>
      <c r="G2408" s="2" t="s">
        <v>42</v>
      </c>
      <c r="L2408" s="2" t="s">
        <v>4609</v>
      </c>
      <c r="M2408" t="s">
        <v>43</v>
      </c>
      <c r="N2408" t="s">
        <v>42</v>
      </c>
      <c r="P2408" s="23">
        <v>70.25</v>
      </c>
      <c r="Q2408" s="4">
        <f t="shared" si="37"/>
        <v>-1.5487544483985765</v>
      </c>
      <c r="R2408" s="23" t="s">
        <v>109</v>
      </c>
      <c r="T2408" s="23" t="s">
        <v>4558</v>
      </c>
    </row>
    <row r="2409" spans="1:20" x14ac:dyDescent="0.25">
      <c r="A2409" s="21">
        <v>45750</v>
      </c>
      <c r="B2409" s="1">
        <v>135208577</v>
      </c>
      <c r="C2409" t="s">
        <v>107</v>
      </c>
      <c r="D2409" s="22">
        <v>121000</v>
      </c>
      <c r="E2409" t="s">
        <v>46</v>
      </c>
      <c r="F2409" s="2">
        <v>210115002</v>
      </c>
      <c r="G2409" s="2" t="s">
        <v>47</v>
      </c>
      <c r="L2409" s="2" t="s">
        <v>4610</v>
      </c>
      <c r="N2409" t="s">
        <v>107</v>
      </c>
      <c r="P2409" s="23">
        <v>70.25</v>
      </c>
      <c r="Q2409" s="4">
        <f t="shared" si="37"/>
        <v>1722.4199288256227</v>
      </c>
      <c r="R2409" s="23" t="s">
        <v>109</v>
      </c>
    </row>
    <row r="2410" spans="1:20" x14ac:dyDescent="0.25">
      <c r="A2410" s="21">
        <v>45750</v>
      </c>
      <c r="B2410" s="1">
        <v>510892861</v>
      </c>
      <c r="C2410" t="s">
        <v>4591</v>
      </c>
      <c r="D2410" s="22">
        <v>-45478.49</v>
      </c>
      <c r="E2410" t="s">
        <v>35</v>
      </c>
      <c r="F2410" s="2">
        <v>210101001</v>
      </c>
      <c r="G2410" s="2" t="s">
        <v>36</v>
      </c>
      <c r="L2410" s="2" t="s">
        <v>4611</v>
      </c>
      <c r="M2410" t="s">
        <v>788</v>
      </c>
      <c r="N2410" t="s">
        <v>789</v>
      </c>
      <c r="P2410" s="23">
        <v>70.25</v>
      </c>
      <c r="Q2410" s="4">
        <f t="shared" si="37"/>
        <v>-647.38064056939504</v>
      </c>
      <c r="R2410" s="23" t="s">
        <v>109</v>
      </c>
    </row>
    <row r="2411" spans="1:20" x14ac:dyDescent="0.25">
      <c r="A2411" s="21">
        <v>45750</v>
      </c>
      <c r="B2411" s="1">
        <v>510892862</v>
      </c>
      <c r="C2411" t="s">
        <v>4612</v>
      </c>
      <c r="D2411" s="22">
        <v>-67636.7</v>
      </c>
      <c r="E2411" t="s">
        <v>35</v>
      </c>
      <c r="F2411" s="2">
        <v>210101001</v>
      </c>
      <c r="G2411" s="2" t="s">
        <v>36</v>
      </c>
      <c r="L2411" s="2" t="s">
        <v>4613</v>
      </c>
      <c r="M2411" t="s">
        <v>303</v>
      </c>
      <c r="N2411" t="s">
        <v>304</v>
      </c>
      <c r="P2411" s="23">
        <v>70.25</v>
      </c>
      <c r="Q2411" s="4">
        <f t="shared" si="37"/>
        <v>-962.8</v>
      </c>
      <c r="R2411" s="23" t="s">
        <v>109</v>
      </c>
    </row>
    <row r="2412" spans="1:20" x14ac:dyDescent="0.25">
      <c r="A2412" s="21">
        <v>45750</v>
      </c>
      <c r="B2412" s="1">
        <v>510892863</v>
      </c>
      <c r="C2412" t="s">
        <v>4614</v>
      </c>
      <c r="D2412" s="22">
        <v>-3389.96</v>
      </c>
      <c r="E2412" t="s">
        <v>35</v>
      </c>
      <c r="F2412" s="2">
        <v>210101001</v>
      </c>
      <c r="G2412" s="2" t="s">
        <v>36</v>
      </c>
      <c r="L2412" s="2" t="s">
        <v>4615</v>
      </c>
      <c r="M2412" t="s">
        <v>760</v>
      </c>
      <c r="N2412" t="s">
        <v>761</v>
      </c>
      <c r="P2412" s="23">
        <v>70.25</v>
      </c>
      <c r="Q2412" s="4">
        <f t="shared" si="37"/>
        <v>-48.255658362989323</v>
      </c>
      <c r="R2412" s="23" t="s">
        <v>109</v>
      </c>
    </row>
    <row r="2413" spans="1:20" x14ac:dyDescent="0.25">
      <c r="A2413" s="21">
        <v>45750</v>
      </c>
      <c r="B2413" s="1">
        <v>50469216</v>
      </c>
      <c r="C2413" t="s">
        <v>118</v>
      </c>
      <c r="D2413" s="22">
        <v>-291.26</v>
      </c>
      <c r="E2413" t="s">
        <v>35</v>
      </c>
      <c r="F2413" s="2">
        <v>610148001</v>
      </c>
      <c r="G2413" s="2" t="s">
        <v>42</v>
      </c>
      <c r="L2413" s="2" t="s">
        <v>4616</v>
      </c>
      <c r="M2413" t="s">
        <v>43</v>
      </c>
      <c r="N2413" t="s">
        <v>42</v>
      </c>
      <c r="P2413" s="23">
        <v>70.25</v>
      </c>
      <c r="Q2413" s="4">
        <f t="shared" si="37"/>
        <v>-4.1460498220640565</v>
      </c>
      <c r="R2413" s="23" t="s">
        <v>109</v>
      </c>
      <c r="T2413" s="23" t="s">
        <v>4558</v>
      </c>
    </row>
    <row r="2414" spans="1:20" x14ac:dyDescent="0.25">
      <c r="A2414" s="21">
        <v>45750</v>
      </c>
      <c r="B2414" s="1">
        <v>50469216</v>
      </c>
      <c r="C2414" t="s">
        <v>1565</v>
      </c>
      <c r="D2414" s="22">
        <v>-0.13</v>
      </c>
      <c r="E2414" t="s">
        <v>35</v>
      </c>
      <c r="F2414" s="2">
        <v>610148001</v>
      </c>
      <c r="G2414" s="2" t="s">
        <v>42</v>
      </c>
      <c r="L2414" s="2" t="s">
        <v>4617</v>
      </c>
      <c r="M2414" t="s">
        <v>43</v>
      </c>
      <c r="N2414" t="s">
        <v>42</v>
      </c>
      <c r="P2414" s="23">
        <v>70.25</v>
      </c>
      <c r="Q2414" s="4">
        <f t="shared" si="37"/>
        <v>-1.8505338078291815E-3</v>
      </c>
      <c r="R2414" s="23" t="s">
        <v>109</v>
      </c>
      <c r="T2414" s="23" t="s">
        <v>4558</v>
      </c>
    </row>
    <row r="2415" spans="1:20" x14ac:dyDescent="0.25">
      <c r="A2415" s="21">
        <v>45750</v>
      </c>
      <c r="B2415" s="1">
        <v>210893071</v>
      </c>
      <c r="C2415" t="s">
        <v>4618</v>
      </c>
      <c r="D2415" s="22">
        <v>-4736.1899999999996</v>
      </c>
      <c r="E2415" t="s">
        <v>35</v>
      </c>
      <c r="F2415" s="2">
        <v>210101001</v>
      </c>
      <c r="G2415" s="2" t="s">
        <v>36</v>
      </c>
      <c r="L2415" s="2" t="s">
        <v>4619</v>
      </c>
      <c r="M2415" t="s">
        <v>1600</v>
      </c>
      <c r="N2415" t="s">
        <v>1601</v>
      </c>
      <c r="P2415" s="23">
        <v>70.25</v>
      </c>
      <c r="Q2415" s="4">
        <f t="shared" si="37"/>
        <v>-67.419074733096082</v>
      </c>
      <c r="R2415" s="23" t="s">
        <v>109</v>
      </c>
    </row>
    <row r="2416" spans="1:20" x14ac:dyDescent="0.25">
      <c r="A2416" s="21">
        <v>45750</v>
      </c>
      <c r="B2416" s="1">
        <v>210893071</v>
      </c>
      <c r="C2416" t="s">
        <v>306</v>
      </c>
      <c r="D2416" s="22">
        <v>-14.21</v>
      </c>
      <c r="E2416" t="s">
        <v>35</v>
      </c>
      <c r="F2416" s="2">
        <v>610148001</v>
      </c>
      <c r="G2416" s="2" t="s">
        <v>42</v>
      </c>
      <c r="L2416" s="2" t="s">
        <v>4620</v>
      </c>
      <c r="M2416" t="s">
        <v>43</v>
      </c>
      <c r="N2416" t="s">
        <v>42</v>
      </c>
      <c r="P2416" s="23">
        <v>70.25</v>
      </c>
      <c r="Q2416" s="4">
        <f t="shared" si="37"/>
        <v>-0.20227758007117438</v>
      </c>
      <c r="R2416" s="23" t="s">
        <v>109</v>
      </c>
      <c r="T2416" s="23" t="s">
        <v>4558</v>
      </c>
    </row>
    <row r="2417" spans="1:20" x14ac:dyDescent="0.25">
      <c r="A2417" s="21">
        <v>45750</v>
      </c>
      <c r="B2417" s="1">
        <v>143855978</v>
      </c>
      <c r="C2417" t="s">
        <v>107</v>
      </c>
      <c r="D2417" s="22">
        <v>353000</v>
      </c>
      <c r="E2417" t="s">
        <v>46</v>
      </c>
      <c r="F2417" s="2">
        <v>210115002</v>
      </c>
      <c r="G2417" s="2" t="s">
        <v>47</v>
      </c>
      <c r="L2417" s="2" t="s">
        <v>4621</v>
      </c>
      <c r="N2417" t="s">
        <v>107</v>
      </c>
      <c r="P2417" s="23">
        <v>70.25</v>
      </c>
      <c r="Q2417" s="4">
        <f t="shared" si="37"/>
        <v>5024.9110320284699</v>
      </c>
      <c r="R2417" s="23" t="s">
        <v>109</v>
      </c>
    </row>
    <row r="2418" spans="1:20" x14ac:dyDescent="0.25">
      <c r="A2418" s="21">
        <v>45750</v>
      </c>
      <c r="B2418" s="1">
        <v>910895231</v>
      </c>
      <c r="C2418" t="s">
        <v>4622</v>
      </c>
      <c r="D2418" s="22">
        <v>-200000</v>
      </c>
      <c r="E2418" t="s">
        <v>35</v>
      </c>
      <c r="F2418" s="2">
        <v>210101001</v>
      </c>
      <c r="G2418" s="2" t="s">
        <v>36</v>
      </c>
      <c r="L2418" s="2" t="s">
        <v>4623</v>
      </c>
      <c r="M2418" t="s">
        <v>38</v>
      </c>
      <c r="N2418" t="s">
        <v>39</v>
      </c>
      <c r="P2418" s="23">
        <v>70.25</v>
      </c>
      <c r="Q2418" s="4">
        <f t="shared" si="37"/>
        <v>-2846.9750889679717</v>
      </c>
      <c r="R2418" s="23" t="s">
        <v>109</v>
      </c>
    </row>
    <row r="2419" spans="1:20" x14ac:dyDescent="0.25">
      <c r="A2419" s="21">
        <v>45750</v>
      </c>
      <c r="B2419" s="1">
        <v>910895231</v>
      </c>
      <c r="C2419" t="s">
        <v>306</v>
      </c>
      <c r="D2419" s="22">
        <v>-600</v>
      </c>
      <c r="E2419" t="s">
        <v>35</v>
      </c>
      <c r="F2419" s="2">
        <v>610148001</v>
      </c>
      <c r="G2419" s="2" t="s">
        <v>42</v>
      </c>
      <c r="L2419" s="2" t="s">
        <v>4624</v>
      </c>
      <c r="M2419" t="s">
        <v>43</v>
      </c>
      <c r="N2419" t="s">
        <v>42</v>
      </c>
      <c r="P2419" s="23">
        <v>70.25</v>
      </c>
      <c r="Q2419" s="4">
        <f t="shared" si="37"/>
        <v>-8.5409252669039137</v>
      </c>
      <c r="R2419" s="23" t="s">
        <v>109</v>
      </c>
      <c r="T2419" s="23" t="s">
        <v>4558</v>
      </c>
    </row>
    <row r="2420" spans="1:20" x14ac:dyDescent="0.25">
      <c r="A2420" s="21">
        <v>45750</v>
      </c>
      <c r="B2420" s="1">
        <v>210895255</v>
      </c>
      <c r="C2420" t="s">
        <v>4622</v>
      </c>
      <c r="D2420" s="22">
        <v>-152469.47</v>
      </c>
      <c r="E2420" t="s">
        <v>35</v>
      </c>
      <c r="F2420" s="2">
        <v>210101001</v>
      </c>
      <c r="G2420" s="2" t="s">
        <v>36</v>
      </c>
      <c r="L2420" s="2" t="s">
        <v>4625</v>
      </c>
      <c r="M2420" t="s">
        <v>38</v>
      </c>
      <c r="N2420" t="s">
        <v>39</v>
      </c>
      <c r="P2420" s="23">
        <v>70.25</v>
      </c>
      <c r="Q2420" s="4">
        <f t="shared" si="37"/>
        <v>-2170.3839145907473</v>
      </c>
      <c r="R2420" s="23" t="s">
        <v>109</v>
      </c>
    </row>
    <row r="2421" spans="1:20" x14ac:dyDescent="0.25">
      <c r="A2421" s="21">
        <v>45750</v>
      </c>
      <c r="B2421" s="1">
        <v>210895255</v>
      </c>
      <c r="C2421" t="s">
        <v>306</v>
      </c>
      <c r="D2421" s="22">
        <v>-457.41</v>
      </c>
      <c r="E2421" t="s">
        <v>35</v>
      </c>
      <c r="F2421" s="2">
        <v>610148001</v>
      </c>
      <c r="G2421" s="2" t="s">
        <v>42</v>
      </c>
      <c r="L2421" s="2" t="s">
        <v>4626</v>
      </c>
      <c r="M2421" t="s">
        <v>43</v>
      </c>
      <c r="N2421" t="s">
        <v>42</v>
      </c>
      <c r="P2421" s="23">
        <v>70.25</v>
      </c>
      <c r="Q2421" s="4">
        <f t="shared" si="37"/>
        <v>-6.5111743772241999</v>
      </c>
      <c r="R2421" s="23" t="s">
        <v>109</v>
      </c>
      <c r="T2421" s="23" t="s">
        <v>4558</v>
      </c>
    </row>
    <row r="2422" spans="1:20" x14ac:dyDescent="0.25">
      <c r="A2422" s="21">
        <v>45751</v>
      </c>
      <c r="B2422" s="1">
        <v>12021418</v>
      </c>
      <c r="C2422" t="s">
        <v>4627</v>
      </c>
      <c r="D2422" s="22">
        <v>9171.0499999999993</v>
      </c>
      <c r="E2422" t="s">
        <v>46</v>
      </c>
      <c r="F2422" s="2">
        <v>110106001</v>
      </c>
      <c r="G2422" s="2" t="s">
        <v>2034</v>
      </c>
      <c r="L2422" s="2" t="s">
        <v>4628</v>
      </c>
      <c r="N2422" t="s">
        <v>4629</v>
      </c>
      <c r="P2422" s="23">
        <v>70.59</v>
      </c>
      <c r="Q2422" s="4">
        <f t="shared" si="37"/>
        <v>129.91996033432497</v>
      </c>
      <c r="R2422" s="23" t="s">
        <v>109</v>
      </c>
    </row>
    <row r="2423" spans="1:20" x14ac:dyDescent="0.25">
      <c r="A2423" s="21">
        <v>45751</v>
      </c>
      <c r="B2423" s="1">
        <v>12021418</v>
      </c>
      <c r="C2423" t="s">
        <v>2037</v>
      </c>
      <c r="D2423" s="22">
        <v>-137.56</v>
      </c>
      <c r="E2423" t="s">
        <v>35</v>
      </c>
      <c r="F2423" s="2">
        <v>610148001</v>
      </c>
      <c r="G2423" s="2" t="s">
        <v>42</v>
      </c>
      <c r="L2423" s="2" t="s">
        <v>4630</v>
      </c>
      <c r="M2423" t="s">
        <v>43</v>
      </c>
      <c r="N2423" t="s">
        <v>42</v>
      </c>
      <c r="P2423" s="23">
        <v>70.59</v>
      </c>
      <c r="Q2423" s="4">
        <f t="shared" si="37"/>
        <v>-1.9487179487179487</v>
      </c>
      <c r="R2423" s="23" t="s">
        <v>109</v>
      </c>
      <c r="T2423" s="23" t="s">
        <v>4558</v>
      </c>
    </row>
    <row r="2424" spans="1:20" x14ac:dyDescent="0.25">
      <c r="A2424" s="21">
        <v>45751</v>
      </c>
      <c r="B2424" s="1">
        <v>206277025</v>
      </c>
      <c r="C2424" t="s">
        <v>4631</v>
      </c>
      <c r="D2424" s="22">
        <v>20962.41</v>
      </c>
      <c r="E2424" t="s">
        <v>46</v>
      </c>
      <c r="F2424" s="2">
        <v>110106001</v>
      </c>
      <c r="G2424" s="2" t="s">
        <v>2034</v>
      </c>
      <c r="L2424" s="2" t="s">
        <v>4632</v>
      </c>
      <c r="N2424" t="s">
        <v>4629</v>
      </c>
      <c r="P2424" s="23">
        <v>70.59</v>
      </c>
      <c r="Q2424" s="4">
        <f t="shared" si="37"/>
        <v>296.96005099872502</v>
      </c>
      <c r="R2424" s="23" t="s">
        <v>109</v>
      </c>
    </row>
    <row r="2425" spans="1:20" x14ac:dyDescent="0.25">
      <c r="A2425" s="21">
        <v>45751</v>
      </c>
      <c r="B2425" s="1">
        <v>206277025</v>
      </c>
      <c r="C2425" t="s">
        <v>2037</v>
      </c>
      <c r="D2425" s="22">
        <v>-314.43</v>
      </c>
      <c r="E2425" t="s">
        <v>35</v>
      </c>
      <c r="F2425" s="2">
        <v>610148001</v>
      </c>
      <c r="G2425" s="2" t="s">
        <v>42</v>
      </c>
      <c r="L2425" s="2" t="s">
        <v>4633</v>
      </c>
      <c r="M2425" t="s">
        <v>43</v>
      </c>
      <c r="N2425" t="s">
        <v>42</v>
      </c>
      <c r="P2425" s="23">
        <v>70.59</v>
      </c>
      <c r="Q2425" s="4">
        <f t="shared" si="37"/>
        <v>-4.4543136421589455</v>
      </c>
      <c r="R2425" s="23" t="s">
        <v>109</v>
      </c>
      <c r="T2425" s="23" t="s">
        <v>4558</v>
      </c>
    </row>
    <row r="2426" spans="1:20" x14ac:dyDescent="0.25">
      <c r="A2426" s="21">
        <v>45751</v>
      </c>
      <c r="B2426" s="1">
        <v>131834685</v>
      </c>
      <c r="C2426" t="s">
        <v>107</v>
      </c>
      <c r="D2426" s="22">
        <v>72000</v>
      </c>
      <c r="E2426" t="s">
        <v>46</v>
      </c>
      <c r="F2426" s="2">
        <v>210115002</v>
      </c>
      <c r="G2426" s="2" t="s">
        <v>47</v>
      </c>
      <c r="L2426" s="2" t="s">
        <v>4634</v>
      </c>
      <c r="N2426" t="s">
        <v>107</v>
      </c>
      <c r="P2426" s="23">
        <v>70.59</v>
      </c>
      <c r="Q2426" s="4">
        <f t="shared" si="37"/>
        <v>1019.974500637484</v>
      </c>
      <c r="R2426" s="23" t="s">
        <v>109</v>
      </c>
    </row>
    <row r="2427" spans="1:20" x14ac:dyDescent="0.25">
      <c r="A2427" s="21">
        <v>45751</v>
      </c>
      <c r="B2427" s="1">
        <v>110943895</v>
      </c>
      <c r="C2427" t="s">
        <v>4635</v>
      </c>
      <c r="D2427" s="22">
        <v>-35554</v>
      </c>
      <c r="E2427" t="s">
        <v>35</v>
      </c>
      <c r="F2427" s="2">
        <v>210101001</v>
      </c>
      <c r="G2427" s="2" t="s">
        <v>36</v>
      </c>
      <c r="L2427" s="2" t="s">
        <v>4636</v>
      </c>
      <c r="M2427" t="s">
        <v>2028</v>
      </c>
      <c r="N2427" t="s">
        <v>2029</v>
      </c>
      <c r="P2427" s="23">
        <v>70.59</v>
      </c>
      <c r="Q2427" s="4">
        <f t="shared" si="37"/>
        <v>-503.66907493979312</v>
      </c>
      <c r="R2427" s="23" t="s">
        <v>109</v>
      </c>
    </row>
    <row r="2428" spans="1:20" x14ac:dyDescent="0.25">
      <c r="A2428" s="21">
        <v>45751</v>
      </c>
      <c r="B2428" s="1">
        <v>10943894</v>
      </c>
      <c r="C2428" t="s">
        <v>4637</v>
      </c>
      <c r="D2428" s="22">
        <v>-35554</v>
      </c>
      <c r="E2428" t="s">
        <v>35</v>
      </c>
      <c r="F2428" s="2">
        <v>210101001</v>
      </c>
      <c r="G2428" s="2" t="s">
        <v>36</v>
      </c>
      <c r="L2428" s="2" t="s">
        <v>4638</v>
      </c>
      <c r="M2428" t="s">
        <v>2028</v>
      </c>
      <c r="N2428" t="s">
        <v>2029</v>
      </c>
      <c r="P2428" s="23">
        <v>70.59</v>
      </c>
      <c r="Q2428" s="4">
        <f t="shared" si="37"/>
        <v>-503.66907493979312</v>
      </c>
      <c r="R2428" s="23" t="s">
        <v>109</v>
      </c>
    </row>
    <row r="2429" spans="1:20" x14ac:dyDescent="0.25">
      <c r="A2429" s="21">
        <v>45751</v>
      </c>
      <c r="B2429" s="1">
        <v>50495705</v>
      </c>
      <c r="C2429" t="s">
        <v>118</v>
      </c>
      <c r="D2429" s="22">
        <v>-177.77</v>
      </c>
      <c r="E2429" t="s">
        <v>35</v>
      </c>
      <c r="F2429" s="2">
        <v>610148001</v>
      </c>
      <c r="G2429" s="2" t="s">
        <v>42</v>
      </c>
      <c r="L2429" s="2" t="s">
        <v>4639</v>
      </c>
      <c r="M2429" t="s">
        <v>43</v>
      </c>
      <c r="N2429" t="s">
        <v>42</v>
      </c>
      <c r="P2429" s="23">
        <v>70.59</v>
      </c>
      <c r="Q2429" s="4">
        <f t="shared" si="37"/>
        <v>-2.5183453746989657</v>
      </c>
      <c r="R2429" s="23" t="s">
        <v>109</v>
      </c>
      <c r="T2429" s="23" t="s">
        <v>4558</v>
      </c>
    </row>
    <row r="2430" spans="1:20" x14ac:dyDescent="0.25">
      <c r="A2430" s="21">
        <v>45751</v>
      </c>
      <c r="B2430" s="1">
        <v>133832602</v>
      </c>
      <c r="C2430" t="s">
        <v>107</v>
      </c>
      <c r="D2430" s="22">
        <v>335000</v>
      </c>
      <c r="E2430" t="s">
        <v>46</v>
      </c>
      <c r="F2430" s="2">
        <v>210115002</v>
      </c>
      <c r="G2430" s="2" t="s">
        <v>47</v>
      </c>
      <c r="L2430" s="2" t="s">
        <v>4640</v>
      </c>
      <c r="N2430" t="s">
        <v>107</v>
      </c>
      <c r="P2430" s="23">
        <v>70.59</v>
      </c>
      <c r="Q2430" s="4">
        <f t="shared" si="37"/>
        <v>4745.7146904660713</v>
      </c>
      <c r="R2430" s="23" t="s">
        <v>109</v>
      </c>
    </row>
    <row r="2431" spans="1:20" x14ac:dyDescent="0.25">
      <c r="A2431" s="21">
        <v>45751</v>
      </c>
      <c r="B2431" s="1">
        <v>710945535</v>
      </c>
      <c r="C2431" t="s">
        <v>4641</v>
      </c>
      <c r="D2431" s="22">
        <v>-5647.2</v>
      </c>
      <c r="E2431" t="s">
        <v>35</v>
      </c>
      <c r="F2431" s="2">
        <v>212901001</v>
      </c>
      <c r="G2431" s="2" t="s">
        <v>121</v>
      </c>
      <c r="L2431" s="2" t="s">
        <v>4642</v>
      </c>
      <c r="M2431" t="s">
        <v>67</v>
      </c>
      <c r="N2431" t="s">
        <v>68</v>
      </c>
      <c r="P2431" s="23">
        <v>70.59</v>
      </c>
      <c r="Q2431" s="4">
        <f t="shared" si="37"/>
        <v>-80</v>
      </c>
      <c r="R2431" s="23" t="s">
        <v>109</v>
      </c>
    </row>
    <row r="2432" spans="1:20" x14ac:dyDescent="0.25">
      <c r="A2432" s="21">
        <v>45751</v>
      </c>
      <c r="B2432" s="1">
        <v>810945539</v>
      </c>
      <c r="C2432" t="s">
        <v>4643</v>
      </c>
      <c r="D2432" s="22">
        <v>-4235.3999999999996</v>
      </c>
      <c r="E2432" t="s">
        <v>35</v>
      </c>
      <c r="F2432" s="2">
        <v>212901001</v>
      </c>
      <c r="G2432" s="2" t="s">
        <v>121</v>
      </c>
      <c r="L2432" s="2" t="s">
        <v>4644</v>
      </c>
      <c r="M2432" t="s">
        <v>67</v>
      </c>
      <c r="N2432" t="s">
        <v>68</v>
      </c>
      <c r="P2432" s="23">
        <v>70.59</v>
      </c>
      <c r="Q2432" s="4">
        <f t="shared" si="37"/>
        <v>-59.999999999999993</v>
      </c>
      <c r="R2432" s="23" t="s">
        <v>109</v>
      </c>
    </row>
    <row r="2433" spans="1:18" x14ac:dyDescent="0.25">
      <c r="A2433" s="21">
        <v>45751</v>
      </c>
      <c r="B2433" s="1">
        <v>810945537</v>
      </c>
      <c r="C2433" t="s">
        <v>4645</v>
      </c>
      <c r="D2433" s="22">
        <v>-4235.3999999999996</v>
      </c>
      <c r="E2433" t="s">
        <v>35</v>
      </c>
      <c r="F2433" s="2">
        <v>212901001</v>
      </c>
      <c r="G2433" s="2" t="s">
        <v>121</v>
      </c>
      <c r="L2433" s="2" t="s">
        <v>4646</v>
      </c>
      <c r="M2433" t="s">
        <v>67</v>
      </c>
      <c r="N2433" t="s">
        <v>68</v>
      </c>
      <c r="P2433" s="23">
        <v>70.59</v>
      </c>
      <c r="Q2433" s="4">
        <f t="shared" si="37"/>
        <v>-59.999999999999993</v>
      </c>
      <c r="R2433" s="23" t="s">
        <v>109</v>
      </c>
    </row>
    <row r="2434" spans="1:18" x14ac:dyDescent="0.25">
      <c r="A2434" s="21">
        <v>45751</v>
      </c>
      <c r="B2434" s="1">
        <v>810945536</v>
      </c>
      <c r="C2434" t="s">
        <v>4647</v>
      </c>
      <c r="D2434" s="22">
        <v>-2117.6999999999998</v>
      </c>
      <c r="E2434" t="s">
        <v>35</v>
      </c>
      <c r="F2434" s="2">
        <v>212901001</v>
      </c>
      <c r="G2434" s="2" t="s">
        <v>121</v>
      </c>
      <c r="L2434" s="2" t="s">
        <v>4648</v>
      </c>
      <c r="M2434" t="s">
        <v>67</v>
      </c>
      <c r="N2434" t="s">
        <v>68</v>
      </c>
      <c r="P2434" s="23">
        <v>70.59</v>
      </c>
      <c r="Q2434" s="4">
        <f t="shared" si="37"/>
        <v>-29.999999999999996</v>
      </c>
      <c r="R2434" s="23" t="s">
        <v>109</v>
      </c>
    </row>
    <row r="2435" spans="1:18" x14ac:dyDescent="0.25">
      <c r="A2435" s="21">
        <v>45751</v>
      </c>
      <c r="B2435" s="1">
        <v>810945543</v>
      </c>
      <c r="C2435" t="s">
        <v>4649</v>
      </c>
      <c r="D2435" s="22">
        <v>-4235.3999999999996</v>
      </c>
      <c r="E2435" t="s">
        <v>35</v>
      </c>
      <c r="F2435" s="2">
        <v>212901001</v>
      </c>
      <c r="G2435" s="2" t="s">
        <v>121</v>
      </c>
      <c r="L2435" s="2" t="s">
        <v>4650</v>
      </c>
      <c r="M2435" t="s">
        <v>67</v>
      </c>
      <c r="N2435" t="s">
        <v>68</v>
      </c>
      <c r="P2435" s="23">
        <v>70.59</v>
      </c>
      <c r="Q2435" s="4">
        <f t="shared" si="37"/>
        <v>-59.999999999999993</v>
      </c>
      <c r="R2435" s="23" t="s">
        <v>109</v>
      </c>
    </row>
    <row r="2436" spans="1:18" x14ac:dyDescent="0.25">
      <c r="A2436" s="21">
        <v>45751</v>
      </c>
      <c r="B2436" s="1">
        <v>810945540</v>
      </c>
      <c r="C2436" t="s">
        <v>4651</v>
      </c>
      <c r="D2436" s="22">
        <v>-4235.3999999999996</v>
      </c>
      <c r="E2436" t="s">
        <v>35</v>
      </c>
      <c r="F2436" s="2">
        <v>212901001</v>
      </c>
      <c r="G2436" s="2" t="s">
        <v>121</v>
      </c>
      <c r="L2436" s="2" t="s">
        <v>4652</v>
      </c>
      <c r="M2436" t="s">
        <v>67</v>
      </c>
      <c r="N2436" t="s">
        <v>68</v>
      </c>
      <c r="P2436" s="23">
        <v>70.59</v>
      </c>
      <c r="Q2436" s="4">
        <f t="shared" si="37"/>
        <v>-59.999999999999993</v>
      </c>
      <c r="R2436" s="23" t="s">
        <v>109</v>
      </c>
    </row>
    <row r="2437" spans="1:18" x14ac:dyDescent="0.25">
      <c r="A2437" s="21">
        <v>45751</v>
      </c>
      <c r="B2437" s="1">
        <v>810945541</v>
      </c>
      <c r="C2437" t="s">
        <v>4653</v>
      </c>
      <c r="D2437" s="22">
        <v>-4235.3999999999996</v>
      </c>
      <c r="E2437" t="s">
        <v>35</v>
      </c>
      <c r="F2437" s="2">
        <v>212901001</v>
      </c>
      <c r="G2437" s="2" t="s">
        <v>121</v>
      </c>
      <c r="L2437" s="2" t="s">
        <v>4654</v>
      </c>
      <c r="M2437" t="s">
        <v>67</v>
      </c>
      <c r="N2437" t="s">
        <v>68</v>
      </c>
      <c r="P2437" s="23">
        <v>70.59</v>
      </c>
      <c r="Q2437" s="4">
        <f t="shared" si="37"/>
        <v>-59.999999999999993</v>
      </c>
      <c r="R2437" s="23" t="s">
        <v>109</v>
      </c>
    </row>
    <row r="2438" spans="1:18" x14ac:dyDescent="0.25">
      <c r="A2438" s="21">
        <v>45751</v>
      </c>
      <c r="B2438" s="1">
        <v>810945542</v>
      </c>
      <c r="C2438" t="s">
        <v>4655</v>
      </c>
      <c r="D2438" s="22">
        <v>-4235.3999999999996</v>
      </c>
      <c r="E2438" t="s">
        <v>35</v>
      </c>
      <c r="F2438" s="2">
        <v>212901001</v>
      </c>
      <c r="G2438" s="2" t="s">
        <v>121</v>
      </c>
      <c r="L2438" s="2" t="s">
        <v>4656</v>
      </c>
      <c r="M2438" t="s">
        <v>67</v>
      </c>
      <c r="N2438" t="s">
        <v>68</v>
      </c>
      <c r="P2438" s="23">
        <v>70.59</v>
      </c>
      <c r="Q2438" s="4">
        <f t="shared" si="37"/>
        <v>-59.999999999999993</v>
      </c>
      <c r="R2438" s="23" t="s">
        <v>109</v>
      </c>
    </row>
    <row r="2439" spans="1:18" x14ac:dyDescent="0.25">
      <c r="A2439" s="21">
        <v>45751</v>
      </c>
      <c r="B2439" s="1">
        <v>810945547</v>
      </c>
      <c r="C2439" t="s">
        <v>4657</v>
      </c>
      <c r="D2439" s="22">
        <v>-4235.3999999999996</v>
      </c>
      <c r="E2439" t="s">
        <v>35</v>
      </c>
      <c r="F2439" s="2">
        <v>212901001</v>
      </c>
      <c r="G2439" s="2" t="s">
        <v>121</v>
      </c>
      <c r="L2439" s="2" t="s">
        <v>4658</v>
      </c>
      <c r="M2439" t="s">
        <v>67</v>
      </c>
      <c r="N2439" t="s">
        <v>68</v>
      </c>
      <c r="P2439" s="23">
        <v>70.59</v>
      </c>
      <c r="Q2439" s="4">
        <f t="shared" si="37"/>
        <v>-59.999999999999993</v>
      </c>
      <c r="R2439" s="23" t="s">
        <v>109</v>
      </c>
    </row>
    <row r="2440" spans="1:18" x14ac:dyDescent="0.25">
      <c r="A2440" s="21">
        <v>45751</v>
      </c>
      <c r="B2440" s="1">
        <v>810945544</v>
      </c>
      <c r="C2440" t="s">
        <v>4659</v>
      </c>
      <c r="D2440" s="22">
        <v>-4235.3999999999996</v>
      </c>
      <c r="E2440" t="s">
        <v>35</v>
      </c>
      <c r="F2440" s="2">
        <v>212901001</v>
      </c>
      <c r="G2440" s="2" t="s">
        <v>121</v>
      </c>
      <c r="L2440" s="2" t="s">
        <v>4660</v>
      </c>
      <c r="M2440" t="s">
        <v>67</v>
      </c>
      <c r="N2440" t="s">
        <v>68</v>
      </c>
      <c r="P2440" s="23">
        <v>70.59</v>
      </c>
      <c r="Q2440" s="4">
        <f t="shared" si="37"/>
        <v>-59.999999999999993</v>
      </c>
      <c r="R2440" s="23" t="s">
        <v>109</v>
      </c>
    </row>
    <row r="2441" spans="1:18" x14ac:dyDescent="0.25">
      <c r="A2441" s="21">
        <v>45751</v>
      </c>
      <c r="B2441" s="1">
        <v>810945545</v>
      </c>
      <c r="C2441" t="s">
        <v>4661</v>
      </c>
      <c r="D2441" s="22">
        <v>-4235.3999999999996</v>
      </c>
      <c r="E2441" t="s">
        <v>35</v>
      </c>
      <c r="F2441" s="2">
        <v>212901001</v>
      </c>
      <c r="G2441" s="2" t="s">
        <v>121</v>
      </c>
      <c r="L2441" s="2" t="s">
        <v>4662</v>
      </c>
      <c r="M2441" t="s">
        <v>67</v>
      </c>
      <c r="N2441" t="s">
        <v>68</v>
      </c>
      <c r="P2441" s="23">
        <v>70.59</v>
      </c>
      <c r="Q2441" s="4">
        <f t="shared" si="37"/>
        <v>-59.999999999999993</v>
      </c>
      <c r="R2441" s="23" t="s">
        <v>109</v>
      </c>
    </row>
    <row r="2442" spans="1:18" x14ac:dyDescent="0.25">
      <c r="A2442" s="21">
        <v>45751</v>
      </c>
      <c r="B2442" s="1">
        <v>910945552</v>
      </c>
      <c r="C2442" t="s">
        <v>4663</v>
      </c>
      <c r="D2442" s="22">
        <v>-4235.3999999999996</v>
      </c>
      <c r="E2442" t="s">
        <v>35</v>
      </c>
      <c r="F2442" s="2">
        <v>212901001</v>
      </c>
      <c r="G2442" s="2" t="s">
        <v>121</v>
      </c>
      <c r="L2442" s="2" t="s">
        <v>4664</v>
      </c>
      <c r="M2442" t="s">
        <v>67</v>
      </c>
      <c r="N2442" t="s">
        <v>68</v>
      </c>
      <c r="P2442" s="23">
        <v>70.59</v>
      </c>
      <c r="Q2442" s="4">
        <f t="shared" si="37"/>
        <v>-59.999999999999993</v>
      </c>
      <c r="R2442" s="23" t="s">
        <v>109</v>
      </c>
    </row>
    <row r="2443" spans="1:18" x14ac:dyDescent="0.25">
      <c r="A2443" s="21">
        <v>45751</v>
      </c>
      <c r="B2443" s="1">
        <v>910945548</v>
      </c>
      <c r="C2443" t="s">
        <v>4665</v>
      </c>
      <c r="D2443" s="22">
        <v>-4235.3999999999996</v>
      </c>
      <c r="E2443" t="s">
        <v>35</v>
      </c>
      <c r="F2443" s="2">
        <v>212901001</v>
      </c>
      <c r="G2443" s="2" t="s">
        <v>121</v>
      </c>
      <c r="L2443" s="2" t="s">
        <v>4666</v>
      </c>
      <c r="M2443" t="s">
        <v>67</v>
      </c>
      <c r="N2443" t="s">
        <v>68</v>
      </c>
      <c r="P2443" s="23">
        <v>70.59</v>
      </c>
      <c r="Q2443" s="4">
        <f t="shared" ref="Q2443:Q2506" si="38">D2443/P2443</f>
        <v>-59.999999999999993</v>
      </c>
      <c r="R2443" s="23" t="s">
        <v>109</v>
      </c>
    </row>
    <row r="2444" spans="1:18" x14ac:dyDescent="0.25">
      <c r="A2444" s="21">
        <v>45751</v>
      </c>
      <c r="B2444" s="1">
        <v>910945550</v>
      </c>
      <c r="C2444" t="s">
        <v>4667</v>
      </c>
      <c r="D2444" s="22">
        <v>-4235.3999999999996</v>
      </c>
      <c r="E2444" t="s">
        <v>35</v>
      </c>
      <c r="F2444" s="2">
        <v>212901001</v>
      </c>
      <c r="G2444" s="2" t="s">
        <v>121</v>
      </c>
      <c r="L2444" s="2" t="s">
        <v>4668</v>
      </c>
      <c r="M2444" t="s">
        <v>67</v>
      </c>
      <c r="N2444" t="s">
        <v>68</v>
      </c>
      <c r="P2444" s="23">
        <v>70.59</v>
      </c>
      <c r="Q2444" s="4">
        <f t="shared" si="38"/>
        <v>-59.999999999999993</v>
      </c>
      <c r="R2444" s="23" t="s">
        <v>109</v>
      </c>
    </row>
    <row r="2445" spans="1:18" x14ac:dyDescent="0.25">
      <c r="A2445" s="21">
        <v>45751</v>
      </c>
      <c r="B2445" s="1">
        <v>910945549</v>
      </c>
      <c r="C2445" t="s">
        <v>4669</v>
      </c>
      <c r="D2445" s="22">
        <v>-4235.3999999999996</v>
      </c>
      <c r="E2445" t="s">
        <v>35</v>
      </c>
      <c r="F2445" s="2">
        <v>212901001</v>
      </c>
      <c r="G2445" s="2" t="s">
        <v>121</v>
      </c>
      <c r="L2445" s="2" t="s">
        <v>4670</v>
      </c>
      <c r="M2445" t="s">
        <v>67</v>
      </c>
      <c r="N2445" t="s">
        <v>68</v>
      </c>
      <c r="P2445" s="23">
        <v>70.59</v>
      </c>
      <c r="Q2445" s="4">
        <f t="shared" si="38"/>
        <v>-59.999999999999993</v>
      </c>
      <c r="R2445" s="23" t="s">
        <v>109</v>
      </c>
    </row>
    <row r="2446" spans="1:18" x14ac:dyDescent="0.25">
      <c r="A2446" s="21">
        <v>45751</v>
      </c>
      <c r="B2446" s="1">
        <v>910945557</v>
      </c>
      <c r="C2446" t="s">
        <v>4671</v>
      </c>
      <c r="D2446" s="22">
        <v>-5647.2</v>
      </c>
      <c r="E2446" t="s">
        <v>35</v>
      </c>
      <c r="F2446" s="2">
        <v>212901001</v>
      </c>
      <c r="G2446" s="2" t="s">
        <v>121</v>
      </c>
      <c r="L2446" s="2" t="s">
        <v>4672</v>
      </c>
      <c r="M2446" t="s">
        <v>67</v>
      </c>
      <c r="N2446" t="s">
        <v>68</v>
      </c>
      <c r="P2446" s="23">
        <v>70.59</v>
      </c>
      <c r="Q2446" s="4">
        <f t="shared" si="38"/>
        <v>-80</v>
      </c>
      <c r="R2446" s="23" t="s">
        <v>109</v>
      </c>
    </row>
    <row r="2447" spans="1:18" x14ac:dyDescent="0.25">
      <c r="A2447" s="21">
        <v>45751</v>
      </c>
      <c r="B2447" s="1">
        <v>910945555</v>
      </c>
      <c r="C2447" t="s">
        <v>4673</v>
      </c>
      <c r="D2447" s="22">
        <v>-7059</v>
      </c>
      <c r="E2447" t="s">
        <v>35</v>
      </c>
      <c r="F2447" s="2">
        <v>212901001</v>
      </c>
      <c r="G2447" s="2" t="s">
        <v>121</v>
      </c>
      <c r="L2447" s="2" t="s">
        <v>4674</v>
      </c>
      <c r="M2447" t="s">
        <v>67</v>
      </c>
      <c r="N2447" t="s">
        <v>68</v>
      </c>
      <c r="P2447" s="23">
        <v>70.59</v>
      </c>
      <c r="Q2447" s="4">
        <f t="shared" si="38"/>
        <v>-100</v>
      </c>
      <c r="R2447" s="23" t="s">
        <v>109</v>
      </c>
    </row>
    <row r="2448" spans="1:18" x14ac:dyDescent="0.25">
      <c r="A2448" s="21">
        <v>45751</v>
      </c>
      <c r="B2448" s="1">
        <v>910945554</v>
      </c>
      <c r="C2448" t="s">
        <v>4675</v>
      </c>
      <c r="D2448" s="22">
        <v>-10588.5</v>
      </c>
      <c r="E2448" t="s">
        <v>35</v>
      </c>
      <c r="F2448" s="2">
        <v>212901001</v>
      </c>
      <c r="G2448" s="2" t="s">
        <v>121</v>
      </c>
      <c r="L2448" s="2" t="s">
        <v>4676</v>
      </c>
      <c r="M2448" t="s">
        <v>67</v>
      </c>
      <c r="N2448" t="s">
        <v>68</v>
      </c>
      <c r="P2448" s="23">
        <v>70.59</v>
      </c>
      <c r="Q2448" s="4">
        <f t="shared" si="38"/>
        <v>-150</v>
      </c>
      <c r="R2448" s="23" t="s">
        <v>109</v>
      </c>
    </row>
    <row r="2449" spans="1:18" x14ac:dyDescent="0.25">
      <c r="A2449" s="21">
        <v>45751</v>
      </c>
      <c r="B2449" s="1">
        <v>910945556</v>
      </c>
      <c r="C2449" t="s">
        <v>4677</v>
      </c>
      <c r="D2449" s="22">
        <v>-5647.2</v>
      </c>
      <c r="E2449" t="s">
        <v>35</v>
      </c>
      <c r="F2449" s="2">
        <v>212901001</v>
      </c>
      <c r="G2449" s="2" t="s">
        <v>121</v>
      </c>
      <c r="L2449" s="2" t="s">
        <v>4678</v>
      </c>
      <c r="M2449" t="s">
        <v>67</v>
      </c>
      <c r="N2449" t="s">
        <v>68</v>
      </c>
      <c r="P2449" s="23">
        <v>70.59</v>
      </c>
      <c r="Q2449" s="4">
        <f t="shared" si="38"/>
        <v>-80</v>
      </c>
      <c r="R2449" s="23" t="s">
        <v>109</v>
      </c>
    </row>
    <row r="2450" spans="1:18" x14ac:dyDescent="0.25">
      <c r="A2450" s="21">
        <v>45751</v>
      </c>
      <c r="B2450" s="1">
        <v>910945551</v>
      </c>
      <c r="C2450" t="s">
        <v>4679</v>
      </c>
      <c r="D2450" s="22">
        <v>-4235.3999999999996</v>
      </c>
      <c r="E2450" t="s">
        <v>35</v>
      </c>
      <c r="F2450" s="2">
        <v>212901001</v>
      </c>
      <c r="G2450" s="2" t="s">
        <v>121</v>
      </c>
      <c r="L2450" s="2" t="s">
        <v>4680</v>
      </c>
      <c r="M2450" t="s">
        <v>67</v>
      </c>
      <c r="N2450" t="s">
        <v>68</v>
      </c>
      <c r="P2450" s="23">
        <v>70.59</v>
      </c>
      <c r="Q2450" s="4">
        <f t="shared" si="38"/>
        <v>-59.999999999999993</v>
      </c>
      <c r="R2450" s="23" t="s">
        <v>109</v>
      </c>
    </row>
    <row r="2451" spans="1:18" x14ac:dyDescent="0.25">
      <c r="A2451" s="21">
        <v>45751</v>
      </c>
      <c r="B2451" s="1">
        <v>10945559</v>
      </c>
      <c r="C2451" t="s">
        <v>4681</v>
      </c>
      <c r="D2451" s="22">
        <v>-5647.2</v>
      </c>
      <c r="E2451" t="s">
        <v>35</v>
      </c>
      <c r="F2451" s="2">
        <v>212901001</v>
      </c>
      <c r="G2451" s="2" t="s">
        <v>121</v>
      </c>
      <c r="L2451" s="2" t="s">
        <v>4682</v>
      </c>
      <c r="M2451" t="s">
        <v>67</v>
      </c>
      <c r="N2451" t="s">
        <v>68</v>
      </c>
      <c r="P2451" s="23">
        <v>70.59</v>
      </c>
      <c r="Q2451" s="4">
        <f t="shared" si="38"/>
        <v>-80</v>
      </c>
      <c r="R2451" s="23" t="s">
        <v>109</v>
      </c>
    </row>
    <row r="2452" spans="1:18" x14ac:dyDescent="0.25">
      <c r="A2452" s="21">
        <v>45751</v>
      </c>
      <c r="B2452" s="1">
        <v>10945561</v>
      </c>
      <c r="C2452" t="s">
        <v>4683</v>
      </c>
      <c r="D2452" s="22">
        <v>-5647.2</v>
      </c>
      <c r="E2452" t="s">
        <v>35</v>
      </c>
      <c r="F2452" s="2">
        <v>212901001</v>
      </c>
      <c r="G2452" s="2" t="s">
        <v>121</v>
      </c>
      <c r="L2452" s="2" t="s">
        <v>4684</v>
      </c>
      <c r="M2452" t="s">
        <v>67</v>
      </c>
      <c r="N2452" t="s">
        <v>68</v>
      </c>
      <c r="P2452" s="23">
        <v>70.59</v>
      </c>
      <c r="Q2452" s="4">
        <f t="shared" si="38"/>
        <v>-80</v>
      </c>
      <c r="R2452" s="23" t="s">
        <v>109</v>
      </c>
    </row>
    <row r="2453" spans="1:18" x14ac:dyDescent="0.25">
      <c r="A2453" s="21">
        <v>45751</v>
      </c>
      <c r="B2453" s="1">
        <v>910945558</v>
      </c>
      <c r="C2453" t="s">
        <v>4685</v>
      </c>
      <c r="D2453" s="22">
        <v>-5647.2</v>
      </c>
      <c r="E2453" t="s">
        <v>35</v>
      </c>
      <c r="F2453" s="2">
        <v>212901001</v>
      </c>
      <c r="G2453" s="2" t="s">
        <v>121</v>
      </c>
      <c r="L2453" s="2" t="s">
        <v>4686</v>
      </c>
      <c r="M2453" t="s">
        <v>67</v>
      </c>
      <c r="N2453" t="s">
        <v>68</v>
      </c>
      <c r="P2453" s="23">
        <v>70.59</v>
      </c>
      <c r="Q2453" s="4">
        <f t="shared" si="38"/>
        <v>-80</v>
      </c>
      <c r="R2453" s="23" t="s">
        <v>109</v>
      </c>
    </row>
    <row r="2454" spans="1:18" x14ac:dyDescent="0.25">
      <c r="A2454" s="21">
        <v>45751</v>
      </c>
      <c r="B2454" s="1">
        <v>10945560</v>
      </c>
      <c r="C2454" t="s">
        <v>4687</v>
      </c>
      <c r="D2454" s="22">
        <v>-5647.2</v>
      </c>
      <c r="E2454" t="s">
        <v>35</v>
      </c>
      <c r="F2454" s="2">
        <v>212901001</v>
      </c>
      <c r="G2454" s="2" t="s">
        <v>121</v>
      </c>
      <c r="L2454" s="2" t="s">
        <v>4688</v>
      </c>
      <c r="M2454" t="s">
        <v>67</v>
      </c>
      <c r="N2454" t="s">
        <v>68</v>
      </c>
      <c r="P2454" s="23">
        <v>70.59</v>
      </c>
      <c r="Q2454" s="4">
        <f t="shared" si="38"/>
        <v>-80</v>
      </c>
      <c r="R2454" s="23" t="s">
        <v>109</v>
      </c>
    </row>
    <row r="2455" spans="1:18" x14ac:dyDescent="0.25">
      <c r="A2455" s="21">
        <v>45751</v>
      </c>
      <c r="B2455" s="1">
        <v>10945566</v>
      </c>
      <c r="C2455" t="s">
        <v>4689</v>
      </c>
      <c r="D2455" s="22">
        <v>-3529.5</v>
      </c>
      <c r="E2455" t="s">
        <v>35</v>
      </c>
      <c r="F2455" s="2">
        <v>212901001</v>
      </c>
      <c r="G2455" s="2" t="s">
        <v>121</v>
      </c>
      <c r="L2455" s="2" t="s">
        <v>4690</v>
      </c>
      <c r="M2455" t="s">
        <v>67</v>
      </c>
      <c r="N2455" t="s">
        <v>68</v>
      </c>
      <c r="P2455" s="23">
        <v>70.59</v>
      </c>
      <c r="Q2455" s="4">
        <f t="shared" si="38"/>
        <v>-50</v>
      </c>
      <c r="R2455" s="23" t="s">
        <v>109</v>
      </c>
    </row>
    <row r="2456" spans="1:18" x14ac:dyDescent="0.25">
      <c r="A2456" s="21">
        <v>45751</v>
      </c>
      <c r="B2456" s="1">
        <v>10945563</v>
      </c>
      <c r="C2456" t="s">
        <v>4691</v>
      </c>
      <c r="D2456" s="22">
        <v>-3529.5</v>
      </c>
      <c r="E2456" t="s">
        <v>35</v>
      </c>
      <c r="F2456" s="2">
        <v>212901001</v>
      </c>
      <c r="G2456" s="2" t="s">
        <v>121</v>
      </c>
      <c r="L2456" s="2" t="s">
        <v>4692</v>
      </c>
      <c r="M2456" t="s">
        <v>67</v>
      </c>
      <c r="N2456" t="s">
        <v>68</v>
      </c>
      <c r="P2456" s="23">
        <v>70.59</v>
      </c>
      <c r="Q2456" s="4">
        <f t="shared" si="38"/>
        <v>-50</v>
      </c>
      <c r="R2456" s="23" t="s">
        <v>109</v>
      </c>
    </row>
    <row r="2457" spans="1:18" x14ac:dyDescent="0.25">
      <c r="A2457" s="21">
        <v>45751</v>
      </c>
      <c r="B2457" s="1">
        <v>10945562</v>
      </c>
      <c r="C2457" t="s">
        <v>4693</v>
      </c>
      <c r="D2457" s="22">
        <v>-2964.78</v>
      </c>
      <c r="E2457" t="s">
        <v>35</v>
      </c>
      <c r="F2457" s="2">
        <v>212901001</v>
      </c>
      <c r="G2457" s="2" t="s">
        <v>121</v>
      </c>
      <c r="L2457" s="2" t="s">
        <v>4694</v>
      </c>
      <c r="M2457" t="s">
        <v>67</v>
      </c>
      <c r="N2457" t="s">
        <v>68</v>
      </c>
      <c r="P2457" s="23">
        <v>70.59</v>
      </c>
      <c r="Q2457" s="4">
        <f t="shared" si="38"/>
        <v>-42</v>
      </c>
      <c r="R2457" s="23" t="s">
        <v>109</v>
      </c>
    </row>
    <row r="2458" spans="1:18" x14ac:dyDescent="0.25">
      <c r="A2458" s="21">
        <v>45751</v>
      </c>
      <c r="B2458" s="1">
        <v>10945567</v>
      </c>
      <c r="C2458" t="s">
        <v>4695</v>
      </c>
      <c r="D2458" s="22">
        <v>-3529.5</v>
      </c>
      <c r="E2458" t="s">
        <v>35</v>
      </c>
      <c r="F2458" s="2">
        <v>212901001</v>
      </c>
      <c r="G2458" s="2" t="s">
        <v>121</v>
      </c>
      <c r="L2458" s="2" t="s">
        <v>4696</v>
      </c>
      <c r="M2458" t="s">
        <v>67</v>
      </c>
      <c r="N2458" t="s">
        <v>68</v>
      </c>
      <c r="P2458" s="23">
        <v>70.59</v>
      </c>
      <c r="Q2458" s="4">
        <f t="shared" si="38"/>
        <v>-50</v>
      </c>
      <c r="R2458" s="23" t="s">
        <v>109</v>
      </c>
    </row>
    <row r="2459" spans="1:18" x14ac:dyDescent="0.25">
      <c r="A2459" s="21">
        <v>45751</v>
      </c>
      <c r="B2459" s="1">
        <v>10945565</v>
      </c>
      <c r="C2459" t="s">
        <v>4697</v>
      </c>
      <c r="D2459" s="22">
        <v>-3529.5</v>
      </c>
      <c r="E2459" t="s">
        <v>35</v>
      </c>
      <c r="F2459" s="2">
        <v>212901001</v>
      </c>
      <c r="G2459" s="2" t="s">
        <v>121</v>
      </c>
      <c r="L2459" s="2" t="s">
        <v>4698</v>
      </c>
      <c r="M2459" t="s">
        <v>67</v>
      </c>
      <c r="N2459" t="s">
        <v>68</v>
      </c>
      <c r="P2459" s="23">
        <v>70.59</v>
      </c>
      <c r="Q2459" s="4">
        <f t="shared" si="38"/>
        <v>-50</v>
      </c>
      <c r="R2459" s="23" t="s">
        <v>109</v>
      </c>
    </row>
    <row r="2460" spans="1:18" x14ac:dyDescent="0.25">
      <c r="A2460" s="21">
        <v>45751</v>
      </c>
      <c r="B2460" s="1">
        <v>10945564</v>
      </c>
      <c r="C2460" t="s">
        <v>4699</v>
      </c>
      <c r="D2460" s="22">
        <v>-3529.5</v>
      </c>
      <c r="E2460" t="s">
        <v>35</v>
      </c>
      <c r="F2460" s="2">
        <v>212901001</v>
      </c>
      <c r="G2460" s="2" t="s">
        <v>121</v>
      </c>
      <c r="L2460" s="2" t="s">
        <v>4700</v>
      </c>
      <c r="M2460" t="s">
        <v>67</v>
      </c>
      <c r="N2460" t="s">
        <v>68</v>
      </c>
      <c r="P2460" s="23">
        <v>70.59</v>
      </c>
      <c r="Q2460" s="4">
        <f t="shared" si="38"/>
        <v>-50</v>
      </c>
      <c r="R2460" s="23" t="s">
        <v>109</v>
      </c>
    </row>
    <row r="2461" spans="1:18" x14ac:dyDescent="0.25">
      <c r="A2461" s="21">
        <v>45751</v>
      </c>
      <c r="B2461" s="1">
        <v>110945572</v>
      </c>
      <c r="C2461" t="s">
        <v>4701</v>
      </c>
      <c r="D2461" s="22">
        <v>-2823.6</v>
      </c>
      <c r="E2461" t="s">
        <v>35</v>
      </c>
      <c r="F2461" s="2">
        <v>212901001</v>
      </c>
      <c r="G2461" s="2" t="s">
        <v>121</v>
      </c>
      <c r="L2461" s="2" t="s">
        <v>4702</v>
      </c>
      <c r="M2461" t="s">
        <v>67</v>
      </c>
      <c r="N2461" t="s">
        <v>68</v>
      </c>
      <c r="P2461" s="23">
        <v>70.59</v>
      </c>
      <c r="Q2461" s="4">
        <f t="shared" si="38"/>
        <v>-40</v>
      </c>
      <c r="R2461" s="23" t="s">
        <v>109</v>
      </c>
    </row>
    <row r="2462" spans="1:18" x14ac:dyDescent="0.25">
      <c r="A2462" s="21">
        <v>45751</v>
      </c>
      <c r="B2462" s="1">
        <v>110945571</v>
      </c>
      <c r="C2462" t="s">
        <v>4703</v>
      </c>
      <c r="D2462" s="22">
        <v>-2823.6</v>
      </c>
      <c r="E2462" t="s">
        <v>35</v>
      </c>
      <c r="F2462" s="2">
        <v>212901001</v>
      </c>
      <c r="G2462" s="2" t="s">
        <v>121</v>
      </c>
      <c r="L2462" s="2" t="s">
        <v>4704</v>
      </c>
      <c r="M2462" t="s">
        <v>67</v>
      </c>
      <c r="N2462" t="s">
        <v>68</v>
      </c>
      <c r="P2462" s="23">
        <v>70.59</v>
      </c>
      <c r="Q2462" s="4">
        <f t="shared" si="38"/>
        <v>-40</v>
      </c>
      <c r="R2462" s="23" t="s">
        <v>109</v>
      </c>
    </row>
    <row r="2463" spans="1:18" x14ac:dyDescent="0.25">
      <c r="A2463" s="21">
        <v>45751</v>
      </c>
      <c r="B2463" s="1">
        <v>10945568</v>
      </c>
      <c r="C2463" t="s">
        <v>4705</v>
      </c>
      <c r="D2463" s="22">
        <v>-2823.6</v>
      </c>
      <c r="E2463" t="s">
        <v>35</v>
      </c>
      <c r="F2463" s="2">
        <v>212901001</v>
      </c>
      <c r="G2463" s="2" t="s">
        <v>121</v>
      </c>
      <c r="L2463" s="2" t="s">
        <v>4706</v>
      </c>
      <c r="M2463" t="s">
        <v>67</v>
      </c>
      <c r="N2463" t="s">
        <v>68</v>
      </c>
      <c r="P2463" s="23">
        <v>70.59</v>
      </c>
      <c r="Q2463" s="4">
        <f t="shared" si="38"/>
        <v>-40</v>
      </c>
      <c r="R2463" s="23" t="s">
        <v>109</v>
      </c>
    </row>
    <row r="2464" spans="1:18" x14ac:dyDescent="0.25">
      <c r="A2464" s="21">
        <v>45751</v>
      </c>
      <c r="B2464" s="1">
        <v>110945580</v>
      </c>
      <c r="C2464" t="s">
        <v>4707</v>
      </c>
      <c r="D2464" s="22">
        <v>-10588.5</v>
      </c>
      <c r="E2464" t="s">
        <v>35</v>
      </c>
      <c r="F2464" s="2">
        <v>212901001</v>
      </c>
      <c r="G2464" s="2" t="s">
        <v>121</v>
      </c>
      <c r="L2464" s="2" t="s">
        <v>4708</v>
      </c>
      <c r="M2464" t="s">
        <v>67</v>
      </c>
      <c r="N2464" t="s">
        <v>68</v>
      </c>
      <c r="P2464" s="23">
        <v>70.59</v>
      </c>
      <c r="Q2464" s="4">
        <f t="shared" si="38"/>
        <v>-150</v>
      </c>
      <c r="R2464" s="23" t="s">
        <v>109</v>
      </c>
    </row>
    <row r="2465" spans="1:18" x14ac:dyDescent="0.25">
      <c r="A2465" s="21">
        <v>45751</v>
      </c>
      <c r="B2465" s="1">
        <v>110945573</v>
      </c>
      <c r="C2465" t="s">
        <v>4709</v>
      </c>
      <c r="D2465" s="22">
        <v>-2823.6</v>
      </c>
      <c r="E2465" t="s">
        <v>35</v>
      </c>
      <c r="F2465" s="2">
        <v>212901001</v>
      </c>
      <c r="G2465" s="2" t="s">
        <v>121</v>
      </c>
      <c r="L2465" s="2" t="s">
        <v>4710</v>
      </c>
      <c r="M2465" t="s">
        <v>67</v>
      </c>
      <c r="N2465" t="s">
        <v>68</v>
      </c>
      <c r="P2465" s="23">
        <v>70.59</v>
      </c>
      <c r="Q2465" s="4">
        <f t="shared" si="38"/>
        <v>-40</v>
      </c>
      <c r="R2465" s="23" t="s">
        <v>109</v>
      </c>
    </row>
    <row r="2466" spans="1:18" x14ac:dyDescent="0.25">
      <c r="A2466" s="21">
        <v>45751</v>
      </c>
      <c r="B2466" s="1">
        <v>110945579</v>
      </c>
      <c r="C2466" t="s">
        <v>4711</v>
      </c>
      <c r="D2466" s="22">
        <v>-7059</v>
      </c>
      <c r="E2466" t="s">
        <v>35</v>
      </c>
      <c r="F2466" s="2">
        <v>212901001</v>
      </c>
      <c r="G2466" s="2" t="s">
        <v>121</v>
      </c>
      <c r="L2466" s="2" t="s">
        <v>4712</v>
      </c>
      <c r="M2466" t="s">
        <v>67</v>
      </c>
      <c r="N2466" t="s">
        <v>68</v>
      </c>
      <c r="P2466" s="23">
        <v>70.59</v>
      </c>
      <c r="Q2466" s="4">
        <f t="shared" si="38"/>
        <v>-100</v>
      </c>
      <c r="R2466" s="23" t="s">
        <v>109</v>
      </c>
    </row>
    <row r="2467" spans="1:18" x14ac:dyDescent="0.25">
      <c r="A2467" s="21">
        <v>45751</v>
      </c>
      <c r="B2467" s="1">
        <v>110945574</v>
      </c>
      <c r="C2467" t="s">
        <v>4713</v>
      </c>
      <c r="D2467" s="22">
        <v>-2823.6</v>
      </c>
      <c r="E2467" t="s">
        <v>35</v>
      </c>
      <c r="F2467" s="2">
        <v>212901001</v>
      </c>
      <c r="G2467" s="2" t="s">
        <v>121</v>
      </c>
      <c r="L2467" s="2" t="s">
        <v>4714</v>
      </c>
      <c r="M2467" t="s">
        <v>67</v>
      </c>
      <c r="N2467" t="s">
        <v>68</v>
      </c>
      <c r="P2467" s="23">
        <v>70.59</v>
      </c>
      <c r="Q2467" s="4">
        <f t="shared" si="38"/>
        <v>-40</v>
      </c>
      <c r="R2467" s="23" t="s">
        <v>109</v>
      </c>
    </row>
    <row r="2468" spans="1:18" x14ac:dyDescent="0.25">
      <c r="A2468" s="21">
        <v>45751</v>
      </c>
      <c r="B2468" s="1">
        <v>210945585</v>
      </c>
      <c r="C2468" t="s">
        <v>4715</v>
      </c>
      <c r="D2468" s="22">
        <v>-5435.43</v>
      </c>
      <c r="E2468" t="s">
        <v>35</v>
      </c>
      <c r="F2468" s="2">
        <v>212901001</v>
      </c>
      <c r="G2468" s="2" t="s">
        <v>121</v>
      </c>
      <c r="L2468" s="2" t="s">
        <v>4716</v>
      </c>
      <c r="M2468" t="s">
        <v>67</v>
      </c>
      <c r="N2468" t="s">
        <v>68</v>
      </c>
      <c r="P2468" s="23">
        <v>70.59</v>
      </c>
      <c r="Q2468" s="4">
        <f t="shared" si="38"/>
        <v>-77</v>
      </c>
      <c r="R2468" s="23" t="s">
        <v>109</v>
      </c>
    </row>
    <row r="2469" spans="1:18" x14ac:dyDescent="0.25">
      <c r="A2469" s="21">
        <v>45751</v>
      </c>
      <c r="B2469" s="1">
        <v>110945576</v>
      </c>
      <c r="C2469" t="s">
        <v>4717</v>
      </c>
      <c r="D2469" s="22">
        <v>-2823.6</v>
      </c>
      <c r="E2469" t="s">
        <v>35</v>
      </c>
      <c r="F2469" s="2">
        <v>212901001</v>
      </c>
      <c r="G2469" s="2" t="s">
        <v>121</v>
      </c>
      <c r="L2469" s="2" t="s">
        <v>4718</v>
      </c>
      <c r="M2469" t="s">
        <v>67</v>
      </c>
      <c r="N2469" t="s">
        <v>68</v>
      </c>
      <c r="P2469" s="23">
        <v>70.59</v>
      </c>
      <c r="Q2469" s="4">
        <f t="shared" si="38"/>
        <v>-40</v>
      </c>
      <c r="R2469" s="23" t="s">
        <v>109</v>
      </c>
    </row>
    <row r="2470" spans="1:18" x14ac:dyDescent="0.25">
      <c r="A2470" s="21">
        <v>45751</v>
      </c>
      <c r="B2470" s="1">
        <v>110945577</v>
      </c>
      <c r="C2470" t="s">
        <v>4719</v>
      </c>
      <c r="D2470" s="22">
        <v>-7059</v>
      </c>
      <c r="E2470" t="s">
        <v>35</v>
      </c>
      <c r="F2470" s="2">
        <v>212901001</v>
      </c>
      <c r="G2470" s="2" t="s">
        <v>121</v>
      </c>
      <c r="L2470" s="2" t="s">
        <v>4720</v>
      </c>
      <c r="M2470" t="s">
        <v>67</v>
      </c>
      <c r="N2470" t="s">
        <v>68</v>
      </c>
      <c r="P2470" s="23">
        <v>70.59</v>
      </c>
      <c r="Q2470" s="4">
        <f t="shared" si="38"/>
        <v>-100</v>
      </c>
      <c r="R2470" s="23" t="s">
        <v>109</v>
      </c>
    </row>
    <row r="2471" spans="1:18" x14ac:dyDescent="0.25">
      <c r="A2471" s="21">
        <v>45751</v>
      </c>
      <c r="B2471" s="1">
        <v>210945584</v>
      </c>
      <c r="C2471" t="s">
        <v>4721</v>
      </c>
      <c r="D2471" s="22">
        <v>-7059</v>
      </c>
      <c r="E2471" t="s">
        <v>35</v>
      </c>
      <c r="F2471" s="2">
        <v>212901001</v>
      </c>
      <c r="G2471" s="2" t="s">
        <v>121</v>
      </c>
      <c r="L2471" s="2" t="s">
        <v>4722</v>
      </c>
      <c r="M2471" t="s">
        <v>67</v>
      </c>
      <c r="N2471" t="s">
        <v>68</v>
      </c>
      <c r="P2471" s="23">
        <v>70.59</v>
      </c>
      <c r="Q2471" s="4">
        <f t="shared" si="38"/>
        <v>-100</v>
      </c>
      <c r="R2471" s="23" t="s">
        <v>109</v>
      </c>
    </row>
    <row r="2472" spans="1:18" x14ac:dyDescent="0.25">
      <c r="A2472" s="21">
        <v>45751</v>
      </c>
      <c r="B2472" s="1">
        <v>210945583</v>
      </c>
      <c r="C2472" t="s">
        <v>4723</v>
      </c>
      <c r="D2472" s="22">
        <v>-5647.2</v>
      </c>
      <c r="E2472" t="s">
        <v>35</v>
      </c>
      <c r="F2472" s="2">
        <v>212901001</v>
      </c>
      <c r="G2472" s="2" t="s">
        <v>121</v>
      </c>
      <c r="L2472" s="2" t="s">
        <v>4724</v>
      </c>
      <c r="M2472" t="s">
        <v>67</v>
      </c>
      <c r="N2472" t="s">
        <v>68</v>
      </c>
      <c r="P2472" s="23">
        <v>70.59</v>
      </c>
      <c r="Q2472" s="4">
        <f t="shared" si="38"/>
        <v>-80</v>
      </c>
      <c r="R2472" s="23" t="s">
        <v>109</v>
      </c>
    </row>
    <row r="2473" spans="1:18" x14ac:dyDescent="0.25">
      <c r="A2473" s="21">
        <v>45751</v>
      </c>
      <c r="B2473" s="1">
        <v>110945581</v>
      </c>
      <c r="C2473" t="s">
        <v>4725</v>
      </c>
      <c r="D2473" s="22">
        <v>-2117.6999999999998</v>
      </c>
      <c r="E2473" t="s">
        <v>35</v>
      </c>
      <c r="F2473" s="2">
        <v>212901001</v>
      </c>
      <c r="G2473" s="2" t="s">
        <v>121</v>
      </c>
      <c r="L2473" s="2" t="s">
        <v>4726</v>
      </c>
      <c r="M2473" t="s">
        <v>67</v>
      </c>
      <c r="N2473" t="s">
        <v>68</v>
      </c>
      <c r="P2473" s="23">
        <v>70.59</v>
      </c>
      <c r="Q2473" s="4">
        <f t="shared" si="38"/>
        <v>-29.999999999999996</v>
      </c>
      <c r="R2473" s="23" t="s">
        <v>109</v>
      </c>
    </row>
    <row r="2474" spans="1:18" x14ac:dyDescent="0.25">
      <c r="A2474" s="21">
        <v>45751</v>
      </c>
      <c r="B2474" s="1">
        <v>110945582</v>
      </c>
      <c r="C2474" t="s">
        <v>4727</v>
      </c>
      <c r="D2474" s="22">
        <v>-7764.9</v>
      </c>
      <c r="E2474" t="s">
        <v>35</v>
      </c>
      <c r="F2474" s="2">
        <v>212901001</v>
      </c>
      <c r="G2474" s="2" t="s">
        <v>121</v>
      </c>
      <c r="L2474" s="2" t="s">
        <v>4728</v>
      </c>
      <c r="M2474" t="s">
        <v>67</v>
      </c>
      <c r="N2474" t="s">
        <v>68</v>
      </c>
      <c r="P2474" s="23">
        <v>70.59</v>
      </c>
      <c r="Q2474" s="4">
        <f t="shared" si="38"/>
        <v>-109.99999999999999</v>
      </c>
      <c r="R2474" s="23" t="s">
        <v>109</v>
      </c>
    </row>
    <row r="2475" spans="1:18" x14ac:dyDescent="0.25">
      <c r="A2475" s="21">
        <v>45751</v>
      </c>
      <c r="B2475" s="1">
        <v>110945575</v>
      </c>
      <c r="C2475" t="s">
        <v>4729</v>
      </c>
      <c r="D2475" s="22">
        <v>-2823.6</v>
      </c>
      <c r="E2475" t="s">
        <v>35</v>
      </c>
      <c r="F2475" s="2">
        <v>212901001</v>
      </c>
      <c r="G2475" s="2" t="s">
        <v>121</v>
      </c>
      <c r="L2475" s="2" t="s">
        <v>4730</v>
      </c>
      <c r="M2475" t="s">
        <v>67</v>
      </c>
      <c r="N2475" t="s">
        <v>68</v>
      </c>
      <c r="P2475" s="23">
        <v>70.59</v>
      </c>
      <c r="Q2475" s="4">
        <f t="shared" si="38"/>
        <v>-40</v>
      </c>
      <c r="R2475" s="23" t="s">
        <v>109</v>
      </c>
    </row>
    <row r="2476" spans="1:18" x14ac:dyDescent="0.25">
      <c r="A2476" s="21">
        <v>45751</v>
      </c>
      <c r="B2476" s="1">
        <v>210945587</v>
      </c>
      <c r="C2476" t="s">
        <v>4731</v>
      </c>
      <c r="D2476" s="22">
        <v>-4941.3</v>
      </c>
      <c r="E2476" t="s">
        <v>35</v>
      </c>
      <c r="F2476" s="2">
        <v>212901001</v>
      </c>
      <c r="G2476" s="2" t="s">
        <v>121</v>
      </c>
      <c r="L2476" s="2" t="s">
        <v>4732</v>
      </c>
      <c r="M2476" t="s">
        <v>67</v>
      </c>
      <c r="N2476" t="s">
        <v>68</v>
      </c>
      <c r="P2476" s="23">
        <v>70.59</v>
      </c>
      <c r="Q2476" s="4">
        <f t="shared" si="38"/>
        <v>-70</v>
      </c>
      <c r="R2476" s="23" t="s">
        <v>109</v>
      </c>
    </row>
    <row r="2477" spans="1:18" x14ac:dyDescent="0.25">
      <c r="A2477" s="21">
        <v>45751</v>
      </c>
      <c r="B2477" s="1">
        <v>210945586</v>
      </c>
      <c r="C2477" t="s">
        <v>4733</v>
      </c>
      <c r="D2477" s="22">
        <v>-4941.3</v>
      </c>
      <c r="E2477" t="s">
        <v>35</v>
      </c>
      <c r="F2477" s="2">
        <v>212901001</v>
      </c>
      <c r="G2477" s="2" t="s">
        <v>121</v>
      </c>
      <c r="L2477" s="2" t="s">
        <v>4734</v>
      </c>
      <c r="M2477" t="s">
        <v>67</v>
      </c>
      <c r="N2477" t="s">
        <v>68</v>
      </c>
      <c r="P2477" s="23">
        <v>70.59</v>
      </c>
      <c r="Q2477" s="4">
        <f t="shared" si="38"/>
        <v>-70</v>
      </c>
      <c r="R2477" s="23" t="s">
        <v>109</v>
      </c>
    </row>
    <row r="2478" spans="1:18" x14ac:dyDescent="0.25">
      <c r="A2478" s="21">
        <v>45751</v>
      </c>
      <c r="B2478" s="1">
        <v>210945588</v>
      </c>
      <c r="C2478" t="s">
        <v>4735</v>
      </c>
      <c r="D2478" s="22">
        <v>-4941.3</v>
      </c>
      <c r="E2478" t="s">
        <v>35</v>
      </c>
      <c r="F2478" s="2">
        <v>212901001</v>
      </c>
      <c r="G2478" s="2" t="s">
        <v>121</v>
      </c>
      <c r="L2478" s="2" t="s">
        <v>4736</v>
      </c>
      <c r="M2478" t="s">
        <v>67</v>
      </c>
      <c r="N2478" t="s">
        <v>68</v>
      </c>
      <c r="P2478" s="23">
        <v>70.59</v>
      </c>
      <c r="Q2478" s="4">
        <f t="shared" si="38"/>
        <v>-70</v>
      </c>
      <c r="R2478" s="23" t="s">
        <v>109</v>
      </c>
    </row>
    <row r="2479" spans="1:18" x14ac:dyDescent="0.25">
      <c r="A2479" s="21">
        <v>45751</v>
      </c>
      <c r="B2479" s="1">
        <v>210945589</v>
      </c>
      <c r="C2479" t="s">
        <v>4737</v>
      </c>
      <c r="D2479" s="22">
        <v>-3529.5</v>
      </c>
      <c r="E2479" t="s">
        <v>35</v>
      </c>
      <c r="F2479" s="2">
        <v>212901001</v>
      </c>
      <c r="G2479" s="2" t="s">
        <v>121</v>
      </c>
      <c r="L2479" s="2" t="s">
        <v>4738</v>
      </c>
      <c r="M2479" t="s">
        <v>67</v>
      </c>
      <c r="N2479" t="s">
        <v>68</v>
      </c>
      <c r="P2479" s="23">
        <v>70.59</v>
      </c>
      <c r="Q2479" s="4">
        <f t="shared" si="38"/>
        <v>-50</v>
      </c>
      <c r="R2479" s="23" t="s">
        <v>109</v>
      </c>
    </row>
    <row r="2480" spans="1:18" x14ac:dyDescent="0.25">
      <c r="A2480" s="21">
        <v>45751</v>
      </c>
      <c r="B2480" s="1">
        <v>210945590</v>
      </c>
      <c r="C2480" t="s">
        <v>4739</v>
      </c>
      <c r="D2480" s="22">
        <v>-3529.5</v>
      </c>
      <c r="E2480" t="s">
        <v>35</v>
      </c>
      <c r="F2480" s="2">
        <v>212901001</v>
      </c>
      <c r="G2480" s="2" t="s">
        <v>121</v>
      </c>
      <c r="L2480" s="2" t="s">
        <v>4740</v>
      </c>
      <c r="M2480" t="s">
        <v>67</v>
      </c>
      <c r="N2480" t="s">
        <v>68</v>
      </c>
      <c r="P2480" s="23">
        <v>70.59</v>
      </c>
      <c r="Q2480" s="4">
        <f t="shared" si="38"/>
        <v>-50</v>
      </c>
      <c r="R2480" s="23" t="s">
        <v>109</v>
      </c>
    </row>
    <row r="2481" spans="1:18" x14ac:dyDescent="0.25">
      <c r="A2481" s="21">
        <v>45751</v>
      </c>
      <c r="B2481" s="1">
        <v>210945591</v>
      </c>
      <c r="C2481" t="s">
        <v>4741</v>
      </c>
      <c r="D2481" s="22">
        <v>-3529.5</v>
      </c>
      <c r="E2481" t="s">
        <v>35</v>
      </c>
      <c r="F2481" s="2">
        <v>212901001</v>
      </c>
      <c r="G2481" s="2" t="s">
        <v>121</v>
      </c>
      <c r="L2481" s="2" t="s">
        <v>4742</v>
      </c>
      <c r="M2481" t="s">
        <v>67</v>
      </c>
      <c r="N2481" t="s">
        <v>68</v>
      </c>
      <c r="P2481" s="23">
        <v>70.59</v>
      </c>
      <c r="Q2481" s="4">
        <f t="shared" si="38"/>
        <v>-50</v>
      </c>
      <c r="R2481" s="23" t="s">
        <v>109</v>
      </c>
    </row>
    <row r="2482" spans="1:18" x14ac:dyDescent="0.25">
      <c r="A2482" s="21">
        <v>45751</v>
      </c>
      <c r="B2482" s="1">
        <v>210945592</v>
      </c>
      <c r="C2482" t="s">
        <v>4743</v>
      </c>
      <c r="D2482" s="22">
        <v>-3529.5</v>
      </c>
      <c r="E2482" t="s">
        <v>35</v>
      </c>
      <c r="F2482" s="2">
        <v>212901001</v>
      </c>
      <c r="G2482" s="2" t="s">
        <v>121</v>
      </c>
      <c r="L2482" s="2" t="s">
        <v>4744</v>
      </c>
      <c r="M2482" t="s">
        <v>67</v>
      </c>
      <c r="N2482" t="s">
        <v>68</v>
      </c>
      <c r="P2482" s="23">
        <v>70.59</v>
      </c>
      <c r="Q2482" s="4">
        <f t="shared" si="38"/>
        <v>-50</v>
      </c>
      <c r="R2482" s="23" t="s">
        <v>109</v>
      </c>
    </row>
    <row r="2483" spans="1:18" x14ac:dyDescent="0.25">
      <c r="A2483" s="21">
        <v>45751</v>
      </c>
      <c r="B2483" s="1">
        <v>310945595</v>
      </c>
      <c r="C2483" t="s">
        <v>4745</v>
      </c>
      <c r="D2483" s="22">
        <v>-3529.5</v>
      </c>
      <c r="E2483" t="s">
        <v>35</v>
      </c>
      <c r="F2483" s="2">
        <v>212901001</v>
      </c>
      <c r="G2483" s="2" t="s">
        <v>121</v>
      </c>
      <c r="L2483" s="2" t="s">
        <v>4746</v>
      </c>
      <c r="M2483" t="s">
        <v>67</v>
      </c>
      <c r="N2483" t="s">
        <v>68</v>
      </c>
      <c r="P2483" s="23">
        <v>70.59</v>
      </c>
      <c r="Q2483" s="4">
        <f t="shared" si="38"/>
        <v>-50</v>
      </c>
      <c r="R2483" s="23" t="s">
        <v>109</v>
      </c>
    </row>
    <row r="2484" spans="1:18" x14ac:dyDescent="0.25">
      <c r="A2484" s="21">
        <v>45751</v>
      </c>
      <c r="B2484" s="1">
        <v>310945594</v>
      </c>
      <c r="C2484" t="s">
        <v>4747</v>
      </c>
      <c r="D2484" s="22">
        <v>-3529.5</v>
      </c>
      <c r="E2484" t="s">
        <v>35</v>
      </c>
      <c r="F2484" s="2">
        <v>212901001</v>
      </c>
      <c r="G2484" s="2" t="s">
        <v>121</v>
      </c>
      <c r="L2484" s="2" t="s">
        <v>4748</v>
      </c>
      <c r="M2484" t="s">
        <v>67</v>
      </c>
      <c r="N2484" t="s">
        <v>68</v>
      </c>
      <c r="P2484" s="23">
        <v>70.59</v>
      </c>
      <c r="Q2484" s="4">
        <f t="shared" si="38"/>
        <v>-50</v>
      </c>
      <c r="R2484" s="23" t="s">
        <v>109</v>
      </c>
    </row>
    <row r="2485" spans="1:18" x14ac:dyDescent="0.25">
      <c r="A2485" s="21">
        <v>45751</v>
      </c>
      <c r="B2485" s="1">
        <v>310945596</v>
      </c>
      <c r="C2485" t="s">
        <v>4739</v>
      </c>
      <c r="D2485" s="22">
        <v>-3529.5</v>
      </c>
      <c r="E2485" t="s">
        <v>35</v>
      </c>
      <c r="F2485" s="2">
        <v>212901001</v>
      </c>
      <c r="G2485" s="2" t="s">
        <v>121</v>
      </c>
      <c r="L2485" s="2" t="s">
        <v>4749</v>
      </c>
      <c r="M2485" t="s">
        <v>67</v>
      </c>
      <c r="N2485" t="s">
        <v>68</v>
      </c>
      <c r="P2485" s="23">
        <v>70.59</v>
      </c>
      <c r="Q2485" s="4">
        <f t="shared" si="38"/>
        <v>-50</v>
      </c>
      <c r="R2485" s="23" t="s">
        <v>109</v>
      </c>
    </row>
    <row r="2486" spans="1:18" x14ac:dyDescent="0.25">
      <c r="A2486" s="21">
        <v>45751</v>
      </c>
      <c r="B2486" s="1">
        <v>310945593</v>
      </c>
      <c r="C2486" t="s">
        <v>4750</v>
      </c>
      <c r="D2486" s="22">
        <v>-3529.5</v>
      </c>
      <c r="E2486" t="s">
        <v>35</v>
      </c>
      <c r="F2486" s="2">
        <v>212901001</v>
      </c>
      <c r="G2486" s="2" t="s">
        <v>121</v>
      </c>
      <c r="L2486" s="2" t="s">
        <v>4751</v>
      </c>
      <c r="M2486" t="s">
        <v>67</v>
      </c>
      <c r="N2486" t="s">
        <v>68</v>
      </c>
      <c r="P2486" s="23">
        <v>70.59</v>
      </c>
      <c r="Q2486" s="4">
        <f t="shared" si="38"/>
        <v>-50</v>
      </c>
      <c r="R2486" s="23" t="s">
        <v>109</v>
      </c>
    </row>
    <row r="2487" spans="1:18" x14ac:dyDescent="0.25">
      <c r="A2487" s="21">
        <v>45751</v>
      </c>
      <c r="B2487" s="1">
        <v>310945601</v>
      </c>
      <c r="C2487" t="s">
        <v>4752</v>
      </c>
      <c r="D2487" s="22">
        <v>-3529.5</v>
      </c>
      <c r="E2487" t="s">
        <v>35</v>
      </c>
      <c r="F2487" s="2">
        <v>212901001</v>
      </c>
      <c r="G2487" s="2" t="s">
        <v>121</v>
      </c>
      <c r="L2487" s="2" t="s">
        <v>4753</v>
      </c>
      <c r="M2487" t="s">
        <v>67</v>
      </c>
      <c r="N2487" t="s">
        <v>68</v>
      </c>
      <c r="P2487" s="23">
        <v>70.59</v>
      </c>
      <c r="Q2487" s="4">
        <f t="shared" si="38"/>
        <v>-50</v>
      </c>
      <c r="R2487" s="23" t="s">
        <v>109</v>
      </c>
    </row>
    <row r="2488" spans="1:18" x14ac:dyDescent="0.25">
      <c r="A2488" s="21">
        <v>45751</v>
      </c>
      <c r="B2488" s="1">
        <v>310945599</v>
      </c>
      <c r="C2488" t="s">
        <v>4754</v>
      </c>
      <c r="D2488" s="22">
        <v>-3529.5</v>
      </c>
      <c r="E2488" t="s">
        <v>35</v>
      </c>
      <c r="F2488" s="2">
        <v>212901001</v>
      </c>
      <c r="G2488" s="2" t="s">
        <v>121</v>
      </c>
      <c r="L2488" s="2" t="s">
        <v>4755</v>
      </c>
      <c r="M2488" t="s">
        <v>67</v>
      </c>
      <c r="N2488" t="s">
        <v>68</v>
      </c>
      <c r="P2488" s="23">
        <v>70.59</v>
      </c>
      <c r="Q2488" s="4">
        <f t="shared" si="38"/>
        <v>-50</v>
      </c>
      <c r="R2488" s="23" t="s">
        <v>109</v>
      </c>
    </row>
    <row r="2489" spans="1:18" x14ac:dyDescent="0.25">
      <c r="A2489" s="21">
        <v>45751</v>
      </c>
      <c r="B2489" s="1">
        <v>310945603</v>
      </c>
      <c r="C2489" t="s">
        <v>4756</v>
      </c>
      <c r="D2489" s="22">
        <v>-3529.5</v>
      </c>
      <c r="E2489" t="s">
        <v>35</v>
      </c>
      <c r="F2489" s="2">
        <v>212901001</v>
      </c>
      <c r="G2489" s="2" t="s">
        <v>121</v>
      </c>
      <c r="L2489" s="2" t="s">
        <v>4757</v>
      </c>
      <c r="M2489" t="s">
        <v>67</v>
      </c>
      <c r="N2489" t="s">
        <v>68</v>
      </c>
      <c r="P2489" s="23">
        <v>70.59</v>
      </c>
      <c r="Q2489" s="4">
        <f t="shared" si="38"/>
        <v>-50</v>
      </c>
      <c r="R2489" s="23" t="s">
        <v>109</v>
      </c>
    </row>
    <row r="2490" spans="1:18" x14ac:dyDescent="0.25">
      <c r="A2490" s="21">
        <v>45751</v>
      </c>
      <c r="B2490" s="1">
        <v>310945598</v>
      </c>
      <c r="C2490" t="s">
        <v>4758</v>
      </c>
      <c r="D2490" s="22">
        <v>-3529.5</v>
      </c>
      <c r="E2490" t="s">
        <v>35</v>
      </c>
      <c r="F2490" s="2">
        <v>212901001</v>
      </c>
      <c r="G2490" s="2" t="s">
        <v>121</v>
      </c>
      <c r="L2490" s="2" t="s">
        <v>4759</v>
      </c>
      <c r="M2490" t="s">
        <v>67</v>
      </c>
      <c r="N2490" t="s">
        <v>68</v>
      </c>
      <c r="P2490" s="23">
        <v>70.59</v>
      </c>
      <c r="Q2490" s="4">
        <f t="shared" si="38"/>
        <v>-50</v>
      </c>
      <c r="R2490" s="23" t="s">
        <v>109</v>
      </c>
    </row>
    <row r="2491" spans="1:18" x14ac:dyDescent="0.25">
      <c r="A2491" s="21">
        <v>45751</v>
      </c>
      <c r="B2491" s="1">
        <v>310945602</v>
      </c>
      <c r="C2491" t="s">
        <v>4760</v>
      </c>
      <c r="D2491" s="22">
        <v>-3529.5</v>
      </c>
      <c r="E2491" t="s">
        <v>35</v>
      </c>
      <c r="F2491" s="2">
        <v>212901001</v>
      </c>
      <c r="G2491" s="2" t="s">
        <v>121</v>
      </c>
      <c r="L2491" s="2" t="s">
        <v>4761</v>
      </c>
      <c r="M2491" t="s">
        <v>67</v>
      </c>
      <c r="N2491" t="s">
        <v>68</v>
      </c>
      <c r="P2491" s="23">
        <v>70.59</v>
      </c>
      <c r="Q2491" s="4">
        <f t="shared" si="38"/>
        <v>-50</v>
      </c>
      <c r="R2491" s="23" t="s">
        <v>109</v>
      </c>
    </row>
    <row r="2492" spans="1:18" x14ac:dyDescent="0.25">
      <c r="A2492" s="21">
        <v>45751</v>
      </c>
      <c r="B2492" s="1">
        <v>310945600</v>
      </c>
      <c r="C2492" t="s">
        <v>4762</v>
      </c>
      <c r="D2492" s="22">
        <v>-3529.5</v>
      </c>
      <c r="E2492" t="s">
        <v>35</v>
      </c>
      <c r="F2492" s="2">
        <v>212901001</v>
      </c>
      <c r="G2492" s="2" t="s">
        <v>121</v>
      </c>
      <c r="L2492" s="2" t="s">
        <v>4763</v>
      </c>
      <c r="M2492" t="s">
        <v>67</v>
      </c>
      <c r="N2492" t="s">
        <v>68</v>
      </c>
      <c r="P2492" s="23">
        <v>70.59</v>
      </c>
      <c r="Q2492" s="4">
        <f t="shared" si="38"/>
        <v>-50</v>
      </c>
      <c r="R2492" s="23" t="s">
        <v>109</v>
      </c>
    </row>
    <row r="2493" spans="1:18" x14ac:dyDescent="0.25">
      <c r="A2493" s="21">
        <v>45751</v>
      </c>
      <c r="B2493" s="1">
        <v>410945604</v>
      </c>
      <c r="C2493" t="s">
        <v>4764</v>
      </c>
      <c r="D2493" s="22">
        <v>-2964.78</v>
      </c>
      <c r="E2493" t="s">
        <v>35</v>
      </c>
      <c r="F2493" s="2">
        <v>212901001</v>
      </c>
      <c r="G2493" s="2" t="s">
        <v>121</v>
      </c>
      <c r="L2493" s="2" t="s">
        <v>4765</v>
      </c>
      <c r="M2493" t="s">
        <v>67</v>
      </c>
      <c r="N2493" t="s">
        <v>68</v>
      </c>
      <c r="P2493" s="23">
        <v>70.59</v>
      </c>
      <c r="Q2493" s="4">
        <f t="shared" si="38"/>
        <v>-42</v>
      </c>
      <c r="R2493" s="23" t="s">
        <v>109</v>
      </c>
    </row>
    <row r="2494" spans="1:18" x14ac:dyDescent="0.25">
      <c r="A2494" s="21">
        <v>45751</v>
      </c>
      <c r="B2494" s="1">
        <v>410945605</v>
      </c>
      <c r="C2494" t="s">
        <v>4766</v>
      </c>
      <c r="D2494" s="22">
        <v>-1411.8</v>
      </c>
      <c r="E2494" t="s">
        <v>35</v>
      </c>
      <c r="F2494" s="2">
        <v>212901001</v>
      </c>
      <c r="G2494" s="2" t="s">
        <v>121</v>
      </c>
      <c r="L2494" s="2" t="s">
        <v>4767</v>
      </c>
      <c r="M2494" t="s">
        <v>67</v>
      </c>
      <c r="N2494" t="s">
        <v>68</v>
      </c>
      <c r="P2494" s="23">
        <v>70.59</v>
      </c>
      <c r="Q2494" s="4">
        <f t="shared" si="38"/>
        <v>-20</v>
      </c>
      <c r="R2494" s="23" t="s">
        <v>109</v>
      </c>
    </row>
    <row r="2495" spans="1:18" x14ac:dyDescent="0.25">
      <c r="A2495" s="21">
        <v>45751</v>
      </c>
      <c r="B2495" s="1">
        <v>410945609</v>
      </c>
      <c r="C2495" t="s">
        <v>4768</v>
      </c>
      <c r="D2495" s="22">
        <v>-7059</v>
      </c>
      <c r="E2495" t="s">
        <v>35</v>
      </c>
      <c r="F2495" s="2">
        <v>212901001</v>
      </c>
      <c r="G2495" s="2" t="s">
        <v>121</v>
      </c>
      <c r="L2495" s="2" t="s">
        <v>4769</v>
      </c>
      <c r="M2495" t="s">
        <v>67</v>
      </c>
      <c r="N2495" t="s">
        <v>68</v>
      </c>
      <c r="P2495" s="23">
        <v>70.59</v>
      </c>
      <c r="Q2495" s="4">
        <f t="shared" si="38"/>
        <v>-100</v>
      </c>
      <c r="R2495" s="23" t="s">
        <v>109</v>
      </c>
    </row>
    <row r="2496" spans="1:18" x14ac:dyDescent="0.25">
      <c r="A2496" s="21">
        <v>45751</v>
      </c>
      <c r="B2496" s="1">
        <v>410945606</v>
      </c>
      <c r="C2496" t="s">
        <v>4770</v>
      </c>
      <c r="D2496" s="22">
        <v>-1411.8</v>
      </c>
      <c r="E2496" t="s">
        <v>35</v>
      </c>
      <c r="F2496" s="2">
        <v>212901001</v>
      </c>
      <c r="G2496" s="2" t="s">
        <v>121</v>
      </c>
      <c r="L2496" s="2" t="s">
        <v>4771</v>
      </c>
      <c r="M2496" t="s">
        <v>67</v>
      </c>
      <c r="N2496" t="s">
        <v>68</v>
      </c>
      <c r="P2496" s="23">
        <v>70.59</v>
      </c>
      <c r="Q2496" s="4">
        <f t="shared" si="38"/>
        <v>-20</v>
      </c>
      <c r="R2496" s="23" t="s">
        <v>109</v>
      </c>
    </row>
    <row r="2497" spans="1:20" x14ac:dyDescent="0.25">
      <c r="A2497" s="21">
        <v>45751</v>
      </c>
      <c r="B2497" s="1">
        <v>410945607</v>
      </c>
      <c r="C2497" t="s">
        <v>4772</v>
      </c>
      <c r="D2497" s="22">
        <v>-1411.8</v>
      </c>
      <c r="E2497" t="s">
        <v>35</v>
      </c>
      <c r="F2497" s="2">
        <v>212901001</v>
      </c>
      <c r="G2497" s="2" t="s">
        <v>121</v>
      </c>
      <c r="L2497" s="2" t="s">
        <v>4773</v>
      </c>
      <c r="M2497" t="s">
        <v>67</v>
      </c>
      <c r="N2497" t="s">
        <v>68</v>
      </c>
      <c r="P2497" s="23">
        <v>70.59</v>
      </c>
      <c r="Q2497" s="4">
        <f t="shared" si="38"/>
        <v>-20</v>
      </c>
      <c r="R2497" s="23" t="s">
        <v>109</v>
      </c>
    </row>
    <row r="2498" spans="1:20" x14ac:dyDescent="0.25">
      <c r="A2498" s="21">
        <v>45751</v>
      </c>
      <c r="B2498" s="1">
        <v>410945608</v>
      </c>
      <c r="C2498" t="s">
        <v>4774</v>
      </c>
      <c r="D2498" s="22">
        <v>-1411.8</v>
      </c>
      <c r="E2498" t="s">
        <v>35</v>
      </c>
      <c r="F2498" s="2">
        <v>212901001</v>
      </c>
      <c r="G2498" s="2" t="s">
        <v>121</v>
      </c>
      <c r="L2498" s="2" t="s">
        <v>4775</v>
      </c>
      <c r="M2498" t="s">
        <v>67</v>
      </c>
      <c r="N2498" t="s">
        <v>68</v>
      </c>
      <c r="P2498" s="23">
        <v>70.59</v>
      </c>
      <c r="Q2498" s="4">
        <f t="shared" si="38"/>
        <v>-20</v>
      </c>
      <c r="R2498" s="23" t="s">
        <v>109</v>
      </c>
    </row>
    <row r="2499" spans="1:20" x14ac:dyDescent="0.25">
      <c r="A2499" s="21">
        <v>45751</v>
      </c>
      <c r="B2499" s="1">
        <v>410945610</v>
      </c>
      <c r="C2499" t="s">
        <v>4776</v>
      </c>
      <c r="D2499" s="22">
        <v>-14118</v>
      </c>
      <c r="E2499" t="s">
        <v>35</v>
      </c>
      <c r="F2499" s="2">
        <v>212901001</v>
      </c>
      <c r="G2499" s="2" t="s">
        <v>121</v>
      </c>
      <c r="L2499" s="2" t="s">
        <v>4777</v>
      </c>
      <c r="M2499" t="s">
        <v>67</v>
      </c>
      <c r="N2499" t="s">
        <v>68</v>
      </c>
      <c r="P2499" s="23">
        <v>70.59</v>
      </c>
      <c r="Q2499" s="4">
        <f t="shared" si="38"/>
        <v>-200</v>
      </c>
      <c r="R2499" s="23" t="s">
        <v>109</v>
      </c>
    </row>
    <row r="2500" spans="1:20" x14ac:dyDescent="0.25">
      <c r="A2500" s="21">
        <v>45751</v>
      </c>
      <c r="B2500" s="1">
        <v>410945611</v>
      </c>
      <c r="C2500" t="s">
        <v>4778</v>
      </c>
      <c r="D2500" s="22">
        <v>-8611.98</v>
      </c>
      <c r="E2500" t="s">
        <v>35</v>
      </c>
      <c r="F2500" s="2">
        <v>212901001</v>
      </c>
      <c r="G2500" s="2" t="s">
        <v>121</v>
      </c>
      <c r="L2500" s="2" t="s">
        <v>4779</v>
      </c>
      <c r="M2500" t="s">
        <v>67</v>
      </c>
      <c r="N2500" t="s">
        <v>68</v>
      </c>
      <c r="P2500" s="23">
        <v>70.59</v>
      </c>
      <c r="Q2500" s="4">
        <f t="shared" si="38"/>
        <v>-121.99999999999999</v>
      </c>
      <c r="R2500" s="23" t="s">
        <v>109</v>
      </c>
    </row>
    <row r="2501" spans="1:20" x14ac:dyDescent="0.25">
      <c r="A2501" s="21">
        <v>45751</v>
      </c>
      <c r="B2501" s="1">
        <v>410945613</v>
      </c>
      <c r="C2501" t="s">
        <v>4780</v>
      </c>
      <c r="D2501" s="22">
        <v>-2823.6</v>
      </c>
      <c r="E2501" t="s">
        <v>35</v>
      </c>
      <c r="F2501" s="2">
        <v>212901001</v>
      </c>
      <c r="G2501" s="2" t="s">
        <v>121</v>
      </c>
      <c r="L2501" s="2" t="s">
        <v>4781</v>
      </c>
      <c r="M2501" t="s">
        <v>67</v>
      </c>
      <c r="N2501" t="s">
        <v>68</v>
      </c>
      <c r="P2501" s="23">
        <v>70.59</v>
      </c>
      <c r="Q2501" s="4">
        <f t="shared" si="38"/>
        <v>-40</v>
      </c>
      <c r="R2501" s="23" t="s">
        <v>109</v>
      </c>
    </row>
    <row r="2502" spans="1:20" x14ac:dyDescent="0.25">
      <c r="A2502" s="21">
        <v>45751</v>
      </c>
      <c r="B2502" s="1">
        <v>410945612</v>
      </c>
      <c r="C2502" t="s">
        <v>4782</v>
      </c>
      <c r="D2502" s="22">
        <v>-2117.6999999999998</v>
      </c>
      <c r="E2502" t="s">
        <v>35</v>
      </c>
      <c r="F2502" s="2">
        <v>212901001</v>
      </c>
      <c r="G2502" s="2" t="s">
        <v>121</v>
      </c>
      <c r="L2502" s="2" t="s">
        <v>4783</v>
      </c>
      <c r="M2502" t="s">
        <v>67</v>
      </c>
      <c r="N2502" t="s">
        <v>68</v>
      </c>
      <c r="P2502" s="23">
        <v>70.59</v>
      </c>
      <c r="Q2502" s="4">
        <f t="shared" si="38"/>
        <v>-29.999999999999996</v>
      </c>
      <c r="R2502" s="23" t="s">
        <v>109</v>
      </c>
    </row>
    <row r="2503" spans="1:20" x14ac:dyDescent="0.25">
      <c r="A2503" s="21">
        <v>45751</v>
      </c>
      <c r="B2503" s="1">
        <v>50483470</v>
      </c>
      <c r="C2503" t="s">
        <v>4784</v>
      </c>
      <c r="D2503" s="22">
        <v>-9882.6</v>
      </c>
      <c r="E2503" t="s">
        <v>35</v>
      </c>
      <c r="F2503" s="2">
        <v>212901001</v>
      </c>
      <c r="G2503" s="2" t="s">
        <v>121</v>
      </c>
      <c r="L2503" s="2" t="s">
        <v>4785</v>
      </c>
      <c r="M2503" t="s">
        <v>67</v>
      </c>
      <c r="N2503" t="s">
        <v>68</v>
      </c>
      <c r="P2503" s="23">
        <v>70.59</v>
      </c>
      <c r="Q2503" s="4">
        <f t="shared" si="38"/>
        <v>-140</v>
      </c>
      <c r="R2503" s="23" t="s">
        <v>109</v>
      </c>
    </row>
    <row r="2504" spans="1:20" x14ac:dyDescent="0.25">
      <c r="A2504" s="21">
        <v>45751</v>
      </c>
      <c r="B2504" s="1">
        <v>50483470</v>
      </c>
      <c r="C2504" t="s">
        <v>296</v>
      </c>
      <c r="D2504" s="22">
        <v>-14.82</v>
      </c>
      <c r="E2504" t="s">
        <v>35</v>
      </c>
      <c r="F2504" s="2">
        <v>610148001</v>
      </c>
      <c r="G2504" s="2" t="s">
        <v>42</v>
      </c>
      <c r="L2504" s="2" t="s">
        <v>4786</v>
      </c>
      <c r="M2504" t="s">
        <v>43</v>
      </c>
      <c r="N2504" t="s">
        <v>42</v>
      </c>
      <c r="P2504" s="23">
        <v>70.59</v>
      </c>
      <c r="Q2504" s="4">
        <f t="shared" si="38"/>
        <v>-0.20994475138121546</v>
      </c>
      <c r="R2504" s="23" t="s">
        <v>109</v>
      </c>
      <c r="T2504" s="23" t="s">
        <v>4558</v>
      </c>
    </row>
    <row r="2505" spans="1:20" x14ac:dyDescent="0.25">
      <c r="A2505" s="21">
        <v>45751</v>
      </c>
      <c r="B2505" s="1">
        <v>50483470</v>
      </c>
      <c r="C2505" t="s">
        <v>118</v>
      </c>
      <c r="D2505" s="22">
        <v>-798.19</v>
      </c>
      <c r="E2505" t="s">
        <v>35</v>
      </c>
      <c r="F2505" s="2">
        <v>610148001</v>
      </c>
      <c r="G2505" s="2" t="s">
        <v>42</v>
      </c>
      <c r="L2505" s="2" t="s">
        <v>4787</v>
      </c>
      <c r="M2505" t="s">
        <v>43</v>
      </c>
      <c r="N2505" t="s">
        <v>42</v>
      </c>
      <c r="P2505" s="23">
        <v>70.59</v>
      </c>
      <c r="Q2505" s="4">
        <f t="shared" si="38"/>
        <v>-11.307408981442132</v>
      </c>
      <c r="R2505" s="23" t="s">
        <v>109</v>
      </c>
      <c r="T2505" s="23" t="s">
        <v>4558</v>
      </c>
    </row>
    <row r="2506" spans="1:20" x14ac:dyDescent="0.25">
      <c r="A2506" s="21">
        <v>45751</v>
      </c>
      <c r="B2506" s="1">
        <v>140919996</v>
      </c>
      <c r="C2506" t="s">
        <v>107</v>
      </c>
      <c r="D2506" s="22">
        <v>90000</v>
      </c>
      <c r="E2506" t="s">
        <v>46</v>
      </c>
      <c r="F2506" s="2">
        <v>210115002</v>
      </c>
      <c r="G2506" s="2" t="s">
        <v>47</v>
      </c>
      <c r="L2506" s="2" t="s">
        <v>4788</v>
      </c>
      <c r="N2506" t="s">
        <v>107</v>
      </c>
      <c r="P2506" s="23">
        <v>70.59</v>
      </c>
      <c r="Q2506" s="4">
        <f t="shared" si="38"/>
        <v>1274.968125796855</v>
      </c>
      <c r="R2506" s="23" t="s">
        <v>109</v>
      </c>
    </row>
    <row r="2507" spans="1:20" x14ac:dyDescent="0.25">
      <c r="A2507" s="21">
        <v>45751</v>
      </c>
      <c r="B2507" s="1">
        <v>910947883</v>
      </c>
      <c r="C2507" t="s">
        <v>4789</v>
      </c>
      <c r="D2507" s="22">
        <v>-95461.54</v>
      </c>
      <c r="E2507" t="s">
        <v>35</v>
      </c>
      <c r="F2507" s="2">
        <v>210101001</v>
      </c>
      <c r="G2507" s="2" t="s">
        <v>36</v>
      </c>
      <c r="L2507" s="2" t="s">
        <v>4790</v>
      </c>
      <c r="M2507" t="s">
        <v>2028</v>
      </c>
      <c r="N2507" t="s">
        <v>2029</v>
      </c>
      <c r="P2507" s="23">
        <v>70.59</v>
      </c>
      <c r="Q2507" s="4">
        <f t="shared" ref="Q2507:Q2570" si="39">D2507/P2507</f>
        <v>-1352.338008216461</v>
      </c>
      <c r="R2507" s="23" t="s">
        <v>109</v>
      </c>
    </row>
    <row r="2508" spans="1:20" x14ac:dyDescent="0.25">
      <c r="A2508" s="21">
        <v>45751</v>
      </c>
      <c r="B2508" s="1">
        <v>910947883</v>
      </c>
      <c r="C2508" t="s">
        <v>306</v>
      </c>
      <c r="D2508" s="22">
        <v>-286.38</v>
      </c>
      <c r="E2508" t="s">
        <v>35</v>
      </c>
      <c r="F2508" s="2">
        <v>610148001</v>
      </c>
      <c r="G2508" s="2" t="s">
        <v>42</v>
      </c>
      <c r="L2508" s="2" t="s">
        <v>4791</v>
      </c>
      <c r="M2508" t="s">
        <v>43</v>
      </c>
      <c r="N2508" t="s">
        <v>42</v>
      </c>
      <c r="P2508" s="23">
        <v>70.59</v>
      </c>
      <c r="Q2508" s="4">
        <f t="shared" si="39"/>
        <v>-4.0569485762855928</v>
      </c>
      <c r="R2508" s="23" t="s">
        <v>109</v>
      </c>
      <c r="T2508" s="23" t="s">
        <v>4558</v>
      </c>
    </row>
    <row r="2509" spans="1:20" x14ac:dyDescent="0.25">
      <c r="A2509" s="21">
        <v>45751</v>
      </c>
      <c r="B2509" s="1">
        <v>150814085</v>
      </c>
      <c r="C2509" t="s">
        <v>107</v>
      </c>
      <c r="D2509" s="22">
        <v>50000</v>
      </c>
      <c r="E2509" t="s">
        <v>46</v>
      </c>
      <c r="F2509" s="2">
        <v>210115002</v>
      </c>
      <c r="G2509" s="2" t="s">
        <v>47</v>
      </c>
      <c r="L2509" s="2" t="s">
        <v>4792</v>
      </c>
      <c r="N2509" t="s">
        <v>107</v>
      </c>
      <c r="P2509" s="23">
        <v>70.59</v>
      </c>
      <c r="Q2509" s="4">
        <f t="shared" si="39"/>
        <v>708.31562544269718</v>
      </c>
      <c r="R2509" s="23" t="s">
        <v>109</v>
      </c>
    </row>
    <row r="2510" spans="1:20" x14ac:dyDescent="0.25">
      <c r="A2510" s="21">
        <v>45751</v>
      </c>
      <c r="B2510" s="1">
        <v>610952741</v>
      </c>
      <c r="C2510" t="s">
        <v>4793</v>
      </c>
      <c r="D2510" s="22">
        <v>-36664.449999999997</v>
      </c>
      <c r="E2510" t="s">
        <v>35</v>
      </c>
      <c r="F2510" s="2">
        <v>210101001</v>
      </c>
      <c r="G2510" s="2" t="s">
        <v>36</v>
      </c>
      <c r="L2510" s="2" t="s">
        <v>4794</v>
      </c>
      <c r="M2510" t="s">
        <v>2645</v>
      </c>
      <c r="N2510" t="s">
        <v>1187</v>
      </c>
      <c r="P2510" s="23">
        <v>70.59</v>
      </c>
      <c r="Q2510" s="4">
        <f t="shared" si="39"/>
        <v>-519.40005666524996</v>
      </c>
      <c r="R2510" s="23" t="s">
        <v>109</v>
      </c>
    </row>
    <row r="2511" spans="1:20" x14ac:dyDescent="0.25">
      <c r="A2511" s="21">
        <v>45751</v>
      </c>
      <c r="B2511" s="1">
        <v>50416147</v>
      </c>
      <c r="C2511" t="s">
        <v>4795</v>
      </c>
      <c r="D2511" s="22">
        <v>-13314.02</v>
      </c>
      <c r="E2511" t="s">
        <v>35</v>
      </c>
      <c r="F2511" s="2">
        <v>110106001</v>
      </c>
      <c r="G2511" s="2" t="s">
        <v>2034</v>
      </c>
      <c r="L2511" s="2" t="s">
        <v>4796</v>
      </c>
      <c r="N2511" t="s">
        <v>2353</v>
      </c>
      <c r="P2511" s="23">
        <v>70.59</v>
      </c>
      <c r="Q2511" s="4">
        <f t="shared" si="39"/>
        <v>-188.6105680691316</v>
      </c>
      <c r="R2511" s="23" t="s">
        <v>109</v>
      </c>
    </row>
    <row r="2512" spans="1:20" x14ac:dyDescent="0.25">
      <c r="A2512" s="21">
        <v>45751</v>
      </c>
      <c r="B2512" s="1">
        <v>50416147</v>
      </c>
      <c r="C2512" t="s">
        <v>296</v>
      </c>
      <c r="D2512" s="22">
        <v>-19.97</v>
      </c>
      <c r="E2512" t="s">
        <v>35</v>
      </c>
      <c r="F2512" s="2">
        <v>610148001</v>
      </c>
      <c r="G2512" s="2" t="s">
        <v>42</v>
      </c>
      <c r="L2512" s="2" t="s">
        <v>4797</v>
      </c>
      <c r="M2512" t="s">
        <v>43</v>
      </c>
      <c r="N2512" t="s">
        <v>42</v>
      </c>
      <c r="P2512" s="23">
        <v>70.59</v>
      </c>
      <c r="Q2512" s="4">
        <f t="shared" si="39"/>
        <v>-0.28290126080181327</v>
      </c>
      <c r="R2512" s="23" t="s">
        <v>109</v>
      </c>
      <c r="T2512" s="23" t="s">
        <v>4558</v>
      </c>
    </row>
    <row r="2513" spans="1:20" x14ac:dyDescent="0.25">
      <c r="A2513" s="21">
        <v>45751</v>
      </c>
      <c r="B2513" s="1">
        <v>50416147</v>
      </c>
      <c r="C2513" t="s">
        <v>118</v>
      </c>
      <c r="D2513" s="22">
        <v>-91.66</v>
      </c>
      <c r="E2513" t="s">
        <v>35</v>
      </c>
      <c r="F2513" s="2">
        <v>610148001</v>
      </c>
      <c r="G2513" s="2" t="s">
        <v>42</v>
      </c>
      <c r="L2513" s="2" t="s">
        <v>4798</v>
      </c>
      <c r="M2513" t="s">
        <v>43</v>
      </c>
      <c r="N2513" t="s">
        <v>42</v>
      </c>
      <c r="P2513" s="23">
        <v>70.59</v>
      </c>
      <c r="Q2513" s="4">
        <f t="shared" si="39"/>
        <v>-1.2984842045615526</v>
      </c>
      <c r="R2513" s="23" t="s">
        <v>109</v>
      </c>
      <c r="T2513" s="23" t="s">
        <v>4558</v>
      </c>
    </row>
    <row r="2514" spans="1:20" x14ac:dyDescent="0.25">
      <c r="A2514" s="21">
        <v>45754</v>
      </c>
      <c r="B2514" s="1">
        <v>211068660</v>
      </c>
      <c r="C2514" t="s">
        <v>4799</v>
      </c>
      <c r="D2514" s="22">
        <v>-6786</v>
      </c>
      <c r="E2514" t="s">
        <v>35</v>
      </c>
      <c r="F2514" s="2">
        <v>210101001</v>
      </c>
      <c r="G2514" s="2" t="s">
        <v>36</v>
      </c>
      <c r="L2514" s="2" t="s">
        <v>4800</v>
      </c>
      <c r="M2514" t="s">
        <v>788</v>
      </c>
      <c r="N2514" t="s">
        <v>789</v>
      </c>
      <c r="P2514" s="23">
        <v>72.19</v>
      </c>
      <c r="Q2514" s="4">
        <f t="shared" si="39"/>
        <v>-94.001939326776565</v>
      </c>
      <c r="R2514" s="23" t="s">
        <v>109</v>
      </c>
    </row>
    <row r="2515" spans="1:20" x14ac:dyDescent="0.25">
      <c r="A2515" s="21">
        <v>45754</v>
      </c>
      <c r="B2515" s="1">
        <v>211068660</v>
      </c>
      <c r="C2515" t="s">
        <v>306</v>
      </c>
      <c r="D2515" s="22">
        <v>-20.36</v>
      </c>
      <c r="E2515" t="s">
        <v>35</v>
      </c>
      <c r="F2515" s="2">
        <v>610148001</v>
      </c>
      <c r="G2515" s="2" t="s">
        <v>42</v>
      </c>
      <c r="L2515" s="2" t="s">
        <v>4801</v>
      </c>
      <c r="M2515" t="s">
        <v>43</v>
      </c>
      <c r="N2515" t="s">
        <v>42</v>
      </c>
      <c r="P2515" s="23">
        <v>72.19</v>
      </c>
      <c r="Q2515" s="4">
        <f t="shared" si="39"/>
        <v>-0.28203352264856629</v>
      </c>
      <c r="R2515" s="23" t="s">
        <v>109</v>
      </c>
      <c r="T2515" s="23" t="s">
        <v>4558</v>
      </c>
    </row>
    <row r="2516" spans="1:20" x14ac:dyDescent="0.25">
      <c r="A2516" s="21">
        <v>45754</v>
      </c>
      <c r="B2516" s="1">
        <v>922013174</v>
      </c>
      <c r="C2516" t="s">
        <v>4802</v>
      </c>
      <c r="D2516" s="22">
        <v>10718.77</v>
      </c>
      <c r="E2516" t="s">
        <v>46</v>
      </c>
      <c r="F2516" s="2">
        <v>110106001</v>
      </c>
      <c r="G2516" s="2" t="s">
        <v>2034</v>
      </c>
      <c r="L2516" s="2" t="s">
        <v>4803</v>
      </c>
      <c r="N2516" t="s">
        <v>4629</v>
      </c>
      <c r="P2516" s="23">
        <v>72.19</v>
      </c>
      <c r="Q2516" s="4">
        <f t="shared" si="39"/>
        <v>148.47998337719906</v>
      </c>
      <c r="R2516" s="23" t="s">
        <v>109</v>
      </c>
    </row>
    <row r="2517" spans="1:20" x14ac:dyDescent="0.25">
      <c r="A2517" s="21">
        <v>45754</v>
      </c>
      <c r="B2517" s="1">
        <v>922013174</v>
      </c>
      <c r="C2517" t="s">
        <v>2037</v>
      </c>
      <c r="D2517" s="22">
        <v>-160.78</v>
      </c>
      <c r="E2517" t="s">
        <v>35</v>
      </c>
      <c r="F2517" s="2">
        <v>610148001</v>
      </c>
      <c r="G2517" s="2" t="s">
        <v>42</v>
      </c>
      <c r="L2517" s="2" t="s">
        <v>4804</v>
      </c>
      <c r="M2517" t="s">
        <v>43</v>
      </c>
      <c r="N2517" t="s">
        <v>42</v>
      </c>
      <c r="P2517" s="23">
        <v>72.19</v>
      </c>
      <c r="Q2517" s="4">
        <f t="shared" si="39"/>
        <v>-2.2271782795401025</v>
      </c>
      <c r="R2517" s="23" t="s">
        <v>109</v>
      </c>
      <c r="T2517" s="23" t="s">
        <v>4558</v>
      </c>
    </row>
    <row r="2518" spans="1:20" x14ac:dyDescent="0.25">
      <c r="A2518" s="21">
        <v>45754</v>
      </c>
      <c r="B2518" s="1">
        <v>811091734</v>
      </c>
      <c r="C2518" t="s">
        <v>4805</v>
      </c>
      <c r="D2518" s="22">
        <v>-8052.72</v>
      </c>
      <c r="E2518" t="s">
        <v>35</v>
      </c>
      <c r="F2518" s="2">
        <v>210101001</v>
      </c>
      <c r="G2518" s="2" t="s">
        <v>36</v>
      </c>
      <c r="L2518" s="2" t="s">
        <v>4806</v>
      </c>
      <c r="M2518" t="s">
        <v>788</v>
      </c>
      <c r="N2518" t="s">
        <v>789</v>
      </c>
      <c r="P2518" s="23">
        <v>72.19</v>
      </c>
      <c r="Q2518" s="4">
        <f t="shared" si="39"/>
        <v>-111.54896800110819</v>
      </c>
      <c r="R2518" s="23" t="s">
        <v>109</v>
      </c>
    </row>
    <row r="2519" spans="1:20" x14ac:dyDescent="0.25">
      <c r="A2519" s="21">
        <v>45754</v>
      </c>
      <c r="B2519" s="1">
        <v>811091734</v>
      </c>
      <c r="C2519" t="s">
        <v>306</v>
      </c>
      <c r="D2519" s="22">
        <v>-24.16</v>
      </c>
      <c r="E2519" t="s">
        <v>35</v>
      </c>
      <c r="F2519" s="2">
        <v>610148001</v>
      </c>
      <c r="G2519" s="2" t="s">
        <v>42</v>
      </c>
      <c r="L2519" s="2" t="s">
        <v>4807</v>
      </c>
      <c r="M2519" t="s">
        <v>43</v>
      </c>
      <c r="N2519" t="s">
        <v>42</v>
      </c>
      <c r="P2519" s="23">
        <v>72.19</v>
      </c>
      <c r="Q2519" s="4">
        <f t="shared" si="39"/>
        <v>-0.33467239229810225</v>
      </c>
      <c r="R2519" s="23" t="s">
        <v>109</v>
      </c>
      <c r="T2519" s="23" t="s">
        <v>4558</v>
      </c>
    </row>
    <row r="2520" spans="1:20" x14ac:dyDescent="0.25">
      <c r="A2520" s="21">
        <v>45754</v>
      </c>
      <c r="B2520" s="1">
        <v>151358700</v>
      </c>
      <c r="C2520" t="s">
        <v>107</v>
      </c>
      <c r="D2520" s="22">
        <v>40000</v>
      </c>
      <c r="E2520" t="s">
        <v>46</v>
      </c>
      <c r="F2520" s="2">
        <v>210115002</v>
      </c>
      <c r="G2520" s="2" t="s">
        <v>47</v>
      </c>
      <c r="L2520" s="2" t="s">
        <v>4808</v>
      </c>
      <c r="N2520" t="s">
        <v>107</v>
      </c>
      <c r="P2520" s="23">
        <v>72.19</v>
      </c>
      <c r="Q2520" s="4">
        <f t="shared" si="39"/>
        <v>554.09336473195731</v>
      </c>
      <c r="R2520" s="23" t="s">
        <v>109</v>
      </c>
    </row>
    <row r="2521" spans="1:20" x14ac:dyDescent="0.25">
      <c r="A2521" s="21">
        <v>45754</v>
      </c>
      <c r="B2521" s="1">
        <v>208759405</v>
      </c>
      <c r="C2521" t="s">
        <v>4809</v>
      </c>
      <c r="D2521" s="22">
        <v>10719</v>
      </c>
      <c r="E2521" t="s">
        <v>46</v>
      </c>
      <c r="F2521" s="2">
        <v>110106001</v>
      </c>
      <c r="G2521" s="2" t="s">
        <v>2034</v>
      </c>
      <c r="L2521" s="2" t="s">
        <v>4810</v>
      </c>
      <c r="N2521" t="s">
        <v>3330</v>
      </c>
      <c r="P2521" s="23">
        <v>72.19</v>
      </c>
      <c r="Q2521" s="4">
        <f t="shared" si="39"/>
        <v>148.48316941404627</v>
      </c>
      <c r="R2521" s="23" t="s">
        <v>109</v>
      </c>
    </row>
    <row r="2522" spans="1:20" x14ac:dyDescent="0.25">
      <c r="A2522" s="21">
        <v>45754</v>
      </c>
      <c r="B2522" s="1">
        <v>208759405</v>
      </c>
      <c r="C2522" t="s">
        <v>2037</v>
      </c>
      <c r="D2522" s="22">
        <v>-160.78</v>
      </c>
      <c r="E2522" t="s">
        <v>35</v>
      </c>
      <c r="F2522" s="2">
        <v>610148001</v>
      </c>
      <c r="G2522" s="2" t="s">
        <v>42</v>
      </c>
      <c r="L2522" s="2" t="s">
        <v>4811</v>
      </c>
      <c r="M2522" t="s">
        <v>43</v>
      </c>
      <c r="N2522" t="s">
        <v>42</v>
      </c>
      <c r="P2522" s="23">
        <v>72.19</v>
      </c>
      <c r="Q2522" s="4">
        <f t="shared" si="39"/>
        <v>-2.2271782795401025</v>
      </c>
      <c r="R2522" s="23" t="s">
        <v>109</v>
      </c>
      <c r="T2522" s="23" t="s">
        <v>4558</v>
      </c>
    </row>
    <row r="2523" spans="1:20" x14ac:dyDescent="0.25">
      <c r="A2523" s="21">
        <v>45754</v>
      </c>
      <c r="B2523" s="1">
        <v>711100259</v>
      </c>
      <c r="C2523" t="s">
        <v>4812</v>
      </c>
      <c r="D2523" s="22">
        <v>-35168.080000000002</v>
      </c>
      <c r="E2523" t="s">
        <v>35</v>
      </c>
      <c r="F2523" s="2">
        <v>210101001</v>
      </c>
      <c r="G2523" s="2" t="s">
        <v>36</v>
      </c>
      <c r="L2523" s="2" t="s">
        <v>4813</v>
      </c>
      <c r="M2523" t="s">
        <v>303</v>
      </c>
      <c r="N2523" t="s">
        <v>304</v>
      </c>
      <c r="P2523" s="23">
        <v>72.19</v>
      </c>
      <c r="Q2523" s="4">
        <f t="shared" si="39"/>
        <v>-487.15999445906641</v>
      </c>
      <c r="R2523" s="23" t="s">
        <v>109</v>
      </c>
    </row>
    <row r="2524" spans="1:20" x14ac:dyDescent="0.25">
      <c r="A2524" s="21">
        <v>45754</v>
      </c>
      <c r="B2524" s="1">
        <v>711100259</v>
      </c>
      <c r="C2524" t="s">
        <v>306</v>
      </c>
      <c r="D2524" s="22">
        <v>-105.5</v>
      </c>
      <c r="E2524" t="s">
        <v>35</v>
      </c>
      <c r="F2524" s="2">
        <v>610148001</v>
      </c>
      <c r="G2524" s="2" t="s">
        <v>42</v>
      </c>
      <c r="L2524" s="2" t="s">
        <v>4814</v>
      </c>
      <c r="M2524" t="s">
        <v>43</v>
      </c>
      <c r="N2524" t="s">
        <v>42</v>
      </c>
      <c r="P2524" s="23">
        <v>72.19</v>
      </c>
      <c r="Q2524" s="4">
        <f t="shared" si="39"/>
        <v>-1.4614212494805374</v>
      </c>
      <c r="R2524" s="23" t="s">
        <v>109</v>
      </c>
      <c r="T2524" s="23" t="s">
        <v>4558</v>
      </c>
    </row>
    <row r="2525" spans="1:20" x14ac:dyDescent="0.25">
      <c r="A2525" s="21">
        <v>45755</v>
      </c>
      <c r="B2525" s="1">
        <v>329021476</v>
      </c>
      <c r="C2525" t="s">
        <v>4815</v>
      </c>
      <c r="D2525" s="22">
        <v>10892.49</v>
      </c>
      <c r="E2525" t="s">
        <v>46</v>
      </c>
      <c r="F2525" s="2">
        <v>110106001</v>
      </c>
      <c r="G2525" s="2" t="s">
        <v>2034</v>
      </c>
      <c r="L2525" s="2" t="s">
        <v>4816</v>
      </c>
      <c r="N2525" t="s">
        <v>3330</v>
      </c>
      <c r="P2525" s="23">
        <v>73.36</v>
      </c>
      <c r="Q2525" s="4">
        <f t="shared" si="39"/>
        <v>148.47996183206106</v>
      </c>
      <c r="R2525" s="23" t="s">
        <v>109</v>
      </c>
    </row>
    <row r="2526" spans="1:20" x14ac:dyDescent="0.25">
      <c r="A2526" s="21">
        <v>45755</v>
      </c>
      <c r="B2526" s="1">
        <v>329021476</v>
      </c>
      <c r="C2526" t="s">
        <v>2037</v>
      </c>
      <c r="D2526" s="22">
        <v>-163.38</v>
      </c>
      <c r="E2526" t="s">
        <v>35</v>
      </c>
      <c r="F2526" s="2">
        <v>610148001</v>
      </c>
      <c r="G2526" s="2" t="s">
        <v>42</v>
      </c>
      <c r="L2526" s="2" t="s">
        <v>4817</v>
      </c>
      <c r="M2526" t="s">
        <v>43</v>
      </c>
      <c r="N2526" t="s">
        <v>42</v>
      </c>
      <c r="P2526" s="23">
        <v>73.36</v>
      </c>
      <c r="Q2526" s="4">
        <f t="shared" si="39"/>
        <v>-2.2270992366412212</v>
      </c>
      <c r="R2526" s="23" t="s">
        <v>109</v>
      </c>
      <c r="T2526" s="23" t="s">
        <v>4558</v>
      </c>
    </row>
    <row r="2527" spans="1:20" x14ac:dyDescent="0.25">
      <c r="A2527" s="21">
        <v>45755</v>
      </c>
      <c r="B2527" s="1">
        <v>411129823</v>
      </c>
      <c r="C2527" t="s">
        <v>4818</v>
      </c>
      <c r="D2527" s="22">
        <v>-3668</v>
      </c>
      <c r="E2527" t="s">
        <v>35</v>
      </c>
      <c r="F2527" s="2">
        <v>210101001</v>
      </c>
      <c r="G2527" s="2" t="s">
        <v>36</v>
      </c>
      <c r="L2527" s="2" t="s">
        <v>4819</v>
      </c>
      <c r="M2527" t="s">
        <v>114</v>
      </c>
      <c r="N2527" t="s">
        <v>115</v>
      </c>
      <c r="P2527" s="23">
        <v>73.36</v>
      </c>
      <c r="Q2527" s="4">
        <f t="shared" si="39"/>
        <v>-50</v>
      </c>
      <c r="R2527" s="23" t="s">
        <v>109</v>
      </c>
    </row>
    <row r="2528" spans="1:20" x14ac:dyDescent="0.25">
      <c r="A2528" s="21">
        <v>45755</v>
      </c>
      <c r="B2528" s="1">
        <v>411129823</v>
      </c>
      <c r="C2528" t="s">
        <v>306</v>
      </c>
      <c r="D2528" s="22">
        <v>-11</v>
      </c>
      <c r="E2528" t="s">
        <v>35</v>
      </c>
      <c r="F2528" s="2">
        <v>610148001</v>
      </c>
      <c r="G2528" s="2" t="s">
        <v>42</v>
      </c>
      <c r="L2528" s="2" t="s">
        <v>4820</v>
      </c>
      <c r="M2528" t="s">
        <v>43</v>
      </c>
      <c r="N2528" t="s">
        <v>42</v>
      </c>
      <c r="P2528" s="23">
        <v>73.36</v>
      </c>
      <c r="Q2528" s="4">
        <f t="shared" si="39"/>
        <v>-0.1499454743729553</v>
      </c>
      <c r="R2528" s="23" t="s">
        <v>109</v>
      </c>
      <c r="T2528" s="23" t="s">
        <v>4558</v>
      </c>
    </row>
    <row r="2529" spans="1:20" x14ac:dyDescent="0.25">
      <c r="A2529" s="21">
        <v>45755</v>
      </c>
      <c r="B2529" s="1">
        <v>209300314</v>
      </c>
      <c r="C2529" t="s">
        <v>4821</v>
      </c>
      <c r="D2529" s="22">
        <v>10892.49</v>
      </c>
      <c r="E2529" t="s">
        <v>46</v>
      </c>
      <c r="F2529" s="2">
        <v>110106001</v>
      </c>
      <c r="G2529" s="2" t="s">
        <v>2034</v>
      </c>
      <c r="L2529" s="2" t="s">
        <v>4822</v>
      </c>
      <c r="N2529" t="s">
        <v>3330</v>
      </c>
      <c r="P2529" s="23">
        <v>73.36</v>
      </c>
      <c r="Q2529" s="4">
        <f t="shared" si="39"/>
        <v>148.47996183206106</v>
      </c>
      <c r="R2529" s="23" t="s">
        <v>109</v>
      </c>
    </row>
    <row r="2530" spans="1:20" x14ac:dyDescent="0.25">
      <c r="A2530" s="21">
        <v>45755</v>
      </c>
      <c r="B2530" s="1">
        <v>209300314</v>
      </c>
      <c r="C2530" t="s">
        <v>2037</v>
      </c>
      <c r="D2530" s="22">
        <v>-163.38</v>
      </c>
      <c r="E2530" t="s">
        <v>35</v>
      </c>
      <c r="F2530" s="2">
        <v>610148001</v>
      </c>
      <c r="G2530" s="2" t="s">
        <v>42</v>
      </c>
      <c r="L2530" s="2" t="s">
        <v>4823</v>
      </c>
      <c r="M2530" t="s">
        <v>43</v>
      </c>
      <c r="N2530" t="s">
        <v>42</v>
      </c>
      <c r="P2530" s="23">
        <v>73.36</v>
      </c>
      <c r="Q2530" s="4">
        <f t="shared" si="39"/>
        <v>-2.2270992366412212</v>
      </c>
      <c r="R2530" s="23" t="s">
        <v>109</v>
      </c>
      <c r="T2530" s="23" t="s">
        <v>4558</v>
      </c>
    </row>
    <row r="2531" spans="1:20" x14ac:dyDescent="0.25">
      <c r="A2531" s="21">
        <v>45755</v>
      </c>
      <c r="B2531" s="1">
        <v>611145823</v>
      </c>
      <c r="C2531" t="s">
        <v>4824</v>
      </c>
      <c r="D2531" s="22">
        <v>-19061.810000000001</v>
      </c>
      <c r="E2531" t="s">
        <v>35</v>
      </c>
      <c r="F2531" s="2">
        <v>210101001</v>
      </c>
      <c r="G2531" s="2" t="s">
        <v>36</v>
      </c>
      <c r="L2531" s="2" t="s">
        <v>4825</v>
      </c>
      <c r="M2531" t="s">
        <v>1866</v>
      </c>
      <c r="N2531" t="s">
        <v>1867</v>
      </c>
      <c r="P2531" s="23">
        <v>73.36</v>
      </c>
      <c r="Q2531" s="4">
        <f t="shared" si="39"/>
        <v>-259.83928571428572</v>
      </c>
      <c r="R2531" s="23" t="s">
        <v>109</v>
      </c>
    </row>
    <row r="2532" spans="1:20" x14ac:dyDescent="0.25">
      <c r="A2532" s="21">
        <v>45755</v>
      </c>
      <c r="B2532" s="1">
        <v>611145823</v>
      </c>
      <c r="C2532" t="s">
        <v>306</v>
      </c>
      <c r="D2532" s="22">
        <v>-57.19</v>
      </c>
      <c r="E2532" t="s">
        <v>35</v>
      </c>
      <c r="F2532" s="2">
        <v>610148001</v>
      </c>
      <c r="G2532" s="2" t="s">
        <v>42</v>
      </c>
      <c r="L2532" s="2" t="s">
        <v>4826</v>
      </c>
      <c r="M2532" t="s">
        <v>43</v>
      </c>
      <c r="N2532" t="s">
        <v>42</v>
      </c>
      <c r="P2532" s="23">
        <v>73.36</v>
      </c>
      <c r="Q2532" s="4">
        <f t="shared" si="39"/>
        <v>-0.77958015267175573</v>
      </c>
      <c r="R2532" s="23" t="s">
        <v>109</v>
      </c>
      <c r="T2532" s="23" t="s">
        <v>4558</v>
      </c>
    </row>
    <row r="2533" spans="1:20" x14ac:dyDescent="0.25">
      <c r="A2533" s="21">
        <v>45755</v>
      </c>
      <c r="B2533" s="1">
        <v>129015161</v>
      </c>
      <c r="C2533" t="s">
        <v>4827</v>
      </c>
      <c r="D2533" s="22">
        <v>11200</v>
      </c>
      <c r="E2533" t="s">
        <v>46</v>
      </c>
      <c r="F2533" s="2">
        <v>110106001</v>
      </c>
      <c r="G2533" s="2" t="s">
        <v>2034</v>
      </c>
      <c r="L2533" s="2" t="s">
        <v>4828</v>
      </c>
      <c r="N2533" t="s">
        <v>3330</v>
      </c>
      <c r="P2533" s="23">
        <v>73.36</v>
      </c>
      <c r="Q2533" s="4">
        <f t="shared" si="39"/>
        <v>152.67175572519085</v>
      </c>
      <c r="R2533" s="23" t="s">
        <v>109</v>
      </c>
    </row>
    <row r="2534" spans="1:20" x14ac:dyDescent="0.25">
      <c r="A2534" s="21">
        <v>45755</v>
      </c>
      <c r="B2534" s="1">
        <v>129015161</v>
      </c>
      <c r="C2534" t="s">
        <v>2037</v>
      </c>
      <c r="D2534" s="22">
        <v>-168</v>
      </c>
      <c r="E2534" t="s">
        <v>35</v>
      </c>
      <c r="F2534" s="2">
        <v>610148001</v>
      </c>
      <c r="G2534" s="2" t="s">
        <v>42</v>
      </c>
      <c r="L2534" s="2" t="s">
        <v>4829</v>
      </c>
      <c r="M2534" t="s">
        <v>43</v>
      </c>
      <c r="N2534" t="s">
        <v>42</v>
      </c>
      <c r="P2534" s="23">
        <v>73.36</v>
      </c>
      <c r="Q2534" s="4">
        <f t="shared" si="39"/>
        <v>-2.2900763358778624</v>
      </c>
      <c r="R2534" s="23" t="s">
        <v>109</v>
      </c>
      <c r="T2534" s="23" t="s">
        <v>4558</v>
      </c>
    </row>
    <row r="2535" spans="1:20" x14ac:dyDescent="0.25">
      <c r="A2535" s="21">
        <v>45755</v>
      </c>
      <c r="B2535" s="1">
        <v>237015163</v>
      </c>
      <c r="C2535" t="s">
        <v>4827</v>
      </c>
      <c r="D2535" s="22">
        <v>1054.05</v>
      </c>
      <c r="E2535" t="s">
        <v>46</v>
      </c>
      <c r="F2535" s="2">
        <v>110106001</v>
      </c>
      <c r="G2535" s="2" t="s">
        <v>2034</v>
      </c>
      <c r="L2535" s="2" t="s">
        <v>4830</v>
      </c>
      <c r="N2535" t="s">
        <v>3330</v>
      </c>
      <c r="P2535" s="23">
        <v>73.36</v>
      </c>
      <c r="Q2535" s="4">
        <f t="shared" si="39"/>
        <v>14.368184296619411</v>
      </c>
      <c r="R2535" s="23" t="s">
        <v>109</v>
      </c>
    </row>
    <row r="2536" spans="1:20" x14ac:dyDescent="0.25">
      <c r="A2536" s="21">
        <v>45755</v>
      </c>
      <c r="B2536" s="1">
        <v>237015163</v>
      </c>
      <c r="C2536" t="s">
        <v>2037</v>
      </c>
      <c r="D2536" s="22">
        <v>-15.81</v>
      </c>
      <c r="E2536" t="s">
        <v>35</v>
      </c>
      <c r="F2536" s="2">
        <v>610148001</v>
      </c>
      <c r="G2536" s="2" t="s">
        <v>42</v>
      </c>
      <c r="L2536" s="2" t="s">
        <v>4831</v>
      </c>
      <c r="M2536" t="s">
        <v>43</v>
      </c>
      <c r="N2536" t="s">
        <v>42</v>
      </c>
      <c r="P2536" s="23">
        <v>73.36</v>
      </c>
      <c r="Q2536" s="4">
        <f t="shared" si="39"/>
        <v>-0.21551254089422028</v>
      </c>
      <c r="R2536" s="23" t="s">
        <v>109</v>
      </c>
      <c r="T2536" s="23" t="s">
        <v>4558</v>
      </c>
    </row>
    <row r="2537" spans="1:20" x14ac:dyDescent="0.25">
      <c r="A2537" s="21">
        <v>45755</v>
      </c>
      <c r="B2537" s="1">
        <v>811147150</v>
      </c>
      <c r="C2537" t="s">
        <v>4832</v>
      </c>
      <c r="D2537" s="22">
        <v>-3000</v>
      </c>
      <c r="E2537" t="s">
        <v>35</v>
      </c>
      <c r="F2537" s="2">
        <v>210101001</v>
      </c>
      <c r="G2537" s="2" t="s">
        <v>36</v>
      </c>
      <c r="L2537" s="2" t="s">
        <v>4833</v>
      </c>
      <c r="M2537" t="s">
        <v>788</v>
      </c>
      <c r="N2537" t="s">
        <v>789</v>
      </c>
      <c r="P2537" s="23">
        <v>73.36</v>
      </c>
      <c r="Q2537" s="4">
        <f t="shared" si="39"/>
        <v>-40.894220283533258</v>
      </c>
      <c r="R2537" s="23" t="s">
        <v>109</v>
      </c>
    </row>
    <row r="2538" spans="1:20" x14ac:dyDescent="0.25">
      <c r="A2538" s="21">
        <v>45755</v>
      </c>
      <c r="B2538" s="1">
        <v>811147150</v>
      </c>
      <c r="C2538" t="s">
        <v>306</v>
      </c>
      <c r="D2538" s="22">
        <v>-9</v>
      </c>
      <c r="E2538" t="s">
        <v>35</v>
      </c>
      <c r="F2538" s="2">
        <v>610148001</v>
      </c>
      <c r="G2538" s="2" t="s">
        <v>42</v>
      </c>
      <c r="L2538" s="2" t="s">
        <v>4834</v>
      </c>
      <c r="M2538" t="s">
        <v>43</v>
      </c>
      <c r="N2538" t="s">
        <v>42</v>
      </c>
      <c r="P2538" s="23">
        <v>73.36</v>
      </c>
      <c r="Q2538" s="4">
        <f t="shared" si="39"/>
        <v>-0.12268266085059978</v>
      </c>
      <c r="R2538" s="23" t="s">
        <v>109</v>
      </c>
      <c r="T2538" s="23" t="s">
        <v>4558</v>
      </c>
    </row>
    <row r="2539" spans="1:20" x14ac:dyDescent="0.25">
      <c r="A2539" s="21">
        <v>45756</v>
      </c>
      <c r="B2539" s="1">
        <v>411192418</v>
      </c>
      <c r="C2539" t="s">
        <v>4835</v>
      </c>
      <c r="D2539" s="22">
        <v>-27.38</v>
      </c>
      <c r="E2539" t="s">
        <v>35</v>
      </c>
      <c r="F2539" s="2">
        <v>210101001</v>
      </c>
      <c r="G2539" s="2" t="s">
        <v>36</v>
      </c>
      <c r="L2539" s="2" t="s">
        <v>4836</v>
      </c>
      <c r="M2539" t="s">
        <v>1866</v>
      </c>
      <c r="N2539" t="s">
        <v>1867</v>
      </c>
      <c r="P2539" s="23">
        <v>74.28</v>
      </c>
      <c r="Q2539" s="4">
        <f t="shared" si="39"/>
        <v>-0.36860527732902532</v>
      </c>
      <c r="R2539" s="23" t="s">
        <v>109</v>
      </c>
    </row>
    <row r="2540" spans="1:20" x14ac:dyDescent="0.25">
      <c r="A2540" s="21">
        <v>45756</v>
      </c>
      <c r="B2540" s="1">
        <v>411192418</v>
      </c>
      <c r="C2540" t="s">
        <v>306</v>
      </c>
      <c r="D2540" s="22">
        <v>-0.08</v>
      </c>
      <c r="E2540" t="s">
        <v>35</v>
      </c>
      <c r="F2540" s="2">
        <v>610148001</v>
      </c>
      <c r="G2540" s="2" t="s">
        <v>42</v>
      </c>
      <c r="L2540" s="2" t="s">
        <v>4837</v>
      </c>
      <c r="M2540" t="s">
        <v>43</v>
      </c>
      <c r="N2540" t="s">
        <v>42</v>
      </c>
      <c r="P2540" s="23">
        <v>74.28</v>
      </c>
      <c r="Q2540" s="4">
        <f t="shared" si="39"/>
        <v>-1.0770059235325794E-3</v>
      </c>
      <c r="R2540" s="23" t="s">
        <v>109</v>
      </c>
      <c r="T2540" s="23" t="s">
        <v>4558</v>
      </c>
    </row>
    <row r="2541" spans="1:20" x14ac:dyDescent="0.25">
      <c r="A2541" s="21">
        <v>45756</v>
      </c>
      <c r="B2541" s="1">
        <v>411192472</v>
      </c>
      <c r="C2541" t="s">
        <v>4838</v>
      </c>
      <c r="D2541" s="22">
        <v>-41.7</v>
      </c>
      <c r="E2541" t="s">
        <v>35</v>
      </c>
      <c r="F2541" s="2">
        <v>210101001</v>
      </c>
      <c r="G2541" s="2" t="s">
        <v>36</v>
      </c>
      <c r="L2541" s="2" t="s">
        <v>4839</v>
      </c>
      <c r="M2541" t="s">
        <v>521</v>
      </c>
      <c r="N2541" t="s">
        <v>3364</v>
      </c>
      <c r="P2541" s="23">
        <v>74.28</v>
      </c>
      <c r="Q2541" s="4">
        <f t="shared" si="39"/>
        <v>-0.56138933764135701</v>
      </c>
      <c r="R2541" s="23" t="s">
        <v>109</v>
      </c>
    </row>
    <row r="2542" spans="1:20" x14ac:dyDescent="0.25">
      <c r="A2542" s="21">
        <v>45756</v>
      </c>
      <c r="B2542" s="1">
        <v>411192472</v>
      </c>
      <c r="C2542" t="s">
        <v>306</v>
      </c>
      <c r="D2542" s="22">
        <v>-0.13</v>
      </c>
      <c r="E2542" t="s">
        <v>35</v>
      </c>
      <c r="F2542" s="2">
        <v>610148001</v>
      </c>
      <c r="G2542" s="2" t="s">
        <v>42</v>
      </c>
      <c r="L2542" s="2" t="s">
        <v>4840</v>
      </c>
      <c r="M2542" t="s">
        <v>43</v>
      </c>
      <c r="N2542" t="s">
        <v>42</v>
      </c>
      <c r="P2542" s="23">
        <v>74.28</v>
      </c>
      <c r="Q2542" s="4">
        <f t="shared" si="39"/>
        <v>-1.7501346257404416E-3</v>
      </c>
      <c r="R2542" s="23" t="s">
        <v>109</v>
      </c>
      <c r="T2542" s="23" t="s">
        <v>4558</v>
      </c>
    </row>
    <row r="2543" spans="1:20" x14ac:dyDescent="0.25">
      <c r="A2543" s="21">
        <v>45757</v>
      </c>
      <c r="B2543" s="1">
        <v>611221256</v>
      </c>
      <c r="C2543" t="s">
        <v>4841</v>
      </c>
      <c r="D2543" s="22">
        <v>-2542.1999999999998</v>
      </c>
      <c r="E2543" t="s">
        <v>35</v>
      </c>
      <c r="F2543" s="2">
        <v>210101001</v>
      </c>
      <c r="G2543" s="2" t="s">
        <v>36</v>
      </c>
      <c r="L2543" s="2" t="s">
        <v>4842</v>
      </c>
      <c r="M2543" t="s">
        <v>714</v>
      </c>
      <c r="N2543" t="s">
        <v>715</v>
      </c>
      <c r="P2543" s="23">
        <v>75.8</v>
      </c>
      <c r="Q2543" s="4">
        <f t="shared" si="39"/>
        <v>-33.538258575197887</v>
      </c>
      <c r="R2543" s="23" t="s">
        <v>109</v>
      </c>
    </row>
    <row r="2544" spans="1:20" x14ac:dyDescent="0.25">
      <c r="A2544" s="21">
        <v>45757</v>
      </c>
      <c r="B2544" s="1">
        <v>611221256</v>
      </c>
      <c r="C2544" t="s">
        <v>306</v>
      </c>
      <c r="D2544" s="22">
        <v>-7.63</v>
      </c>
      <c r="E2544" t="s">
        <v>35</v>
      </c>
      <c r="F2544" s="2">
        <v>610148001</v>
      </c>
      <c r="G2544" s="2" t="s">
        <v>42</v>
      </c>
      <c r="L2544" s="2" t="s">
        <v>4843</v>
      </c>
      <c r="M2544" t="s">
        <v>43</v>
      </c>
      <c r="N2544" t="s">
        <v>42</v>
      </c>
      <c r="P2544" s="23">
        <v>75.8</v>
      </c>
      <c r="Q2544" s="4">
        <f t="shared" si="39"/>
        <v>-0.10065963060686016</v>
      </c>
      <c r="R2544" s="23" t="s">
        <v>109</v>
      </c>
      <c r="T2544" s="23" t="s">
        <v>4558</v>
      </c>
    </row>
    <row r="2545" spans="1:20" x14ac:dyDescent="0.25">
      <c r="A2545" s="21">
        <v>45757</v>
      </c>
      <c r="B2545" s="1">
        <v>111226299</v>
      </c>
      <c r="C2545" t="s">
        <v>4844</v>
      </c>
      <c r="D2545" s="22">
        <v>-2428.02</v>
      </c>
      <c r="E2545" t="s">
        <v>35</v>
      </c>
      <c r="F2545" s="2">
        <v>210101001</v>
      </c>
      <c r="G2545" s="2" t="s">
        <v>36</v>
      </c>
      <c r="L2545" s="2" t="s">
        <v>4845</v>
      </c>
      <c r="M2545" t="s">
        <v>788</v>
      </c>
      <c r="N2545" t="s">
        <v>789</v>
      </c>
      <c r="P2545" s="23">
        <v>75.8</v>
      </c>
      <c r="Q2545" s="4">
        <f t="shared" si="39"/>
        <v>-32.031926121372031</v>
      </c>
      <c r="R2545" s="23" t="s">
        <v>109</v>
      </c>
    </row>
    <row r="2546" spans="1:20" x14ac:dyDescent="0.25">
      <c r="A2546" s="21">
        <v>45757</v>
      </c>
      <c r="B2546" s="1">
        <v>111226299</v>
      </c>
      <c r="C2546" t="s">
        <v>306</v>
      </c>
      <c r="D2546" s="22">
        <v>-7.28</v>
      </c>
      <c r="E2546" t="s">
        <v>35</v>
      </c>
      <c r="F2546" s="2">
        <v>610148001</v>
      </c>
      <c r="G2546" s="2" t="s">
        <v>42</v>
      </c>
      <c r="L2546" s="2" t="s">
        <v>4846</v>
      </c>
      <c r="M2546" t="s">
        <v>43</v>
      </c>
      <c r="N2546" t="s">
        <v>42</v>
      </c>
      <c r="P2546" s="23">
        <v>75.8</v>
      </c>
      <c r="Q2546" s="4">
        <f t="shared" si="39"/>
        <v>-9.6042216358839055E-2</v>
      </c>
      <c r="R2546" s="23" t="s">
        <v>109</v>
      </c>
      <c r="T2546" s="23" t="s">
        <v>4558</v>
      </c>
    </row>
    <row r="2547" spans="1:20" x14ac:dyDescent="0.25">
      <c r="A2547" s="21">
        <v>45757</v>
      </c>
      <c r="B2547" s="1">
        <v>611235654</v>
      </c>
      <c r="C2547" t="s">
        <v>4847</v>
      </c>
      <c r="D2547" s="22">
        <v>-5062.92</v>
      </c>
      <c r="E2547" t="s">
        <v>35</v>
      </c>
      <c r="F2547" s="2">
        <v>210101001</v>
      </c>
      <c r="G2547" s="2" t="s">
        <v>36</v>
      </c>
      <c r="L2547" s="2" t="s">
        <v>4848</v>
      </c>
      <c r="M2547" t="s">
        <v>303</v>
      </c>
      <c r="N2547" t="s">
        <v>304</v>
      </c>
      <c r="P2547" s="23">
        <v>75.8</v>
      </c>
      <c r="Q2547" s="4">
        <f t="shared" si="39"/>
        <v>-66.793139841688657</v>
      </c>
      <c r="R2547" s="23" t="s">
        <v>109</v>
      </c>
    </row>
    <row r="2548" spans="1:20" x14ac:dyDescent="0.25">
      <c r="A2548" s="21">
        <v>45757</v>
      </c>
      <c r="B2548" s="1">
        <v>511235653</v>
      </c>
      <c r="C2548" t="s">
        <v>4849</v>
      </c>
      <c r="D2548" s="22">
        <v>-10480.870000000001</v>
      </c>
      <c r="E2548" t="s">
        <v>35</v>
      </c>
      <c r="F2548" s="2">
        <v>210101001</v>
      </c>
      <c r="G2548" s="2" t="s">
        <v>36</v>
      </c>
      <c r="L2548" s="2" t="s">
        <v>4850</v>
      </c>
      <c r="M2548" t="s">
        <v>2028</v>
      </c>
      <c r="N2548" t="s">
        <v>2029</v>
      </c>
      <c r="P2548" s="23">
        <v>75.8</v>
      </c>
      <c r="Q2548" s="4">
        <f t="shared" si="39"/>
        <v>-138.27005277044856</v>
      </c>
      <c r="R2548" s="23" t="s">
        <v>109</v>
      </c>
    </row>
    <row r="2549" spans="1:20" x14ac:dyDescent="0.25">
      <c r="A2549" s="21">
        <v>45757</v>
      </c>
      <c r="B2549" s="1">
        <v>50472392</v>
      </c>
      <c r="C2549" t="s">
        <v>118</v>
      </c>
      <c r="D2549" s="22">
        <v>-38.85</v>
      </c>
      <c r="E2549" t="s">
        <v>35</v>
      </c>
      <c r="F2549" s="2">
        <v>610148001</v>
      </c>
      <c r="G2549" s="2" t="s">
        <v>42</v>
      </c>
      <c r="L2549" s="2" t="s">
        <v>4851</v>
      </c>
      <c r="M2549" t="s">
        <v>43</v>
      </c>
      <c r="N2549" t="s">
        <v>42</v>
      </c>
      <c r="P2549" s="23">
        <v>75.8</v>
      </c>
      <c r="Q2549" s="4">
        <f t="shared" si="39"/>
        <v>-0.5125329815303431</v>
      </c>
      <c r="R2549" s="23" t="s">
        <v>109</v>
      </c>
      <c r="T2549" s="23" t="s">
        <v>4558</v>
      </c>
    </row>
    <row r="2550" spans="1:20" x14ac:dyDescent="0.25">
      <c r="A2550" s="21">
        <v>45758</v>
      </c>
      <c r="B2550" s="1">
        <v>114901125</v>
      </c>
      <c r="C2550" t="s">
        <v>107</v>
      </c>
      <c r="D2550" s="22">
        <v>360000</v>
      </c>
      <c r="E2550" t="s">
        <v>46</v>
      </c>
      <c r="F2550" s="2">
        <v>210115002</v>
      </c>
      <c r="G2550" s="2" t="s">
        <v>47</v>
      </c>
      <c r="L2550" s="2" t="s">
        <v>4852</v>
      </c>
      <c r="N2550" t="s">
        <v>107</v>
      </c>
      <c r="P2550" s="23">
        <v>77.260000000000005</v>
      </c>
      <c r="Q2550" s="4">
        <f t="shared" si="39"/>
        <v>4659.5909914574158</v>
      </c>
      <c r="R2550" s="23" t="s">
        <v>109</v>
      </c>
    </row>
    <row r="2551" spans="1:20" x14ac:dyDescent="0.25">
      <c r="A2551" s="21">
        <v>45758</v>
      </c>
      <c r="B2551" s="1">
        <v>811282132</v>
      </c>
      <c r="C2551" t="s">
        <v>4853</v>
      </c>
      <c r="D2551" s="22">
        <v>-4635.6000000000004</v>
      </c>
      <c r="E2551" t="s">
        <v>35</v>
      </c>
      <c r="F2551" s="2">
        <v>212901001</v>
      </c>
      <c r="G2551" s="2" t="s">
        <v>121</v>
      </c>
      <c r="L2551" s="2" t="s">
        <v>4854</v>
      </c>
      <c r="M2551" t="s">
        <v>67</v>
      </c>
      <c r="N2551" t="s">
        <v>68</v>
      </c>
      <c r="P2551" s="23">
        <v>77.260000000000005</v>
      </c>
      <c r="Q2551" s="4">
        <f t="shared" si="39"/>
        <v>-60</v>
      </c>
      <c r="R2551" s="23" t="s">
        <v>109</v>
      </c>
    </row>
    <row r="2552" spans="1:20" x14ac:dyDescent="0.25">
      <c r="A2552" s="21">
        <v>45758</v>
      </c>
      <c r="B2552" s="1">
        <v>811282130</v>
      </c>
      <c r="C2552" t="s">
        <v>4855</v>
      </c>
      <c r="D2552" s="22">
        <v>-2317.8000000000002</v>
      </c>
      <c r="E2552" t="s">
        <v>35</v>
      </c>
      <c r="F2552" s="2">
        <v>212901001</v>
      </c>
      <c r="G2552" s="2" t="s">
        <v>121</v>
      </c>
      <c r="L2552" s="2" t="s">
        <v>4856</v>
      </c>
      <c r="M2552" t="s">
        <v>67</v>
      </c>
      <c r="N2552" t="s">
        <v>68</v>
      </c>
      <c r="P2552" s="23">
        <v>77.260000000000005</v>
      </c>
      <c r="Q2552" s="4">
        <f t="shared" si="39"/>
        <v>-30</v>
      </c>
      <c r="R2552" s="23" t="s">
        <v>109</v>
      </c>
    </row>
    <row r="2553" spans="1:20" x14ac:dyDescent="0.25">
      <c r="A2553" s="21">
        <v>45758</v>
      </c>
      <c r="B2553" s="1">
        <v>811282131</v>
      </c>
      <c r="C2553" t="s">
        <v>4857</v>
      </c>
      <c r="D2553" s="22">
        <v>-4635.6000000000004</v>
      </c>
      <c r="E2553" t="s">
        <v>35</v>
      </c>
      <c r="F2553" s="2">
        <v>212901001</v>
      </c>
      <c r="G2553" s="2" t="s">
        <v>121</v>
      </c>
      <c r="L2553" s="2" t="s">
        <v>4858</v>
      </c>
      <c r="M2553" t="s">
        <v>67</v>
      </c>
      <c r="N2553" t="s">
        <v>68</v>
      </c>
      <c r="P2553" s="23">
        <v>77.260000000000005</v>
      </c>
      <c r="Q2553" s="4">
        <f t="shared" si="39"/>
        <v>-60</v>
      </c>
      <c r="R2553" s="23" t="s">
        <v>109</v>
      </c>
    </row>
    <row r="2554" spans="1:20" x14ac:dyDescent="0.25">
      <c r="A2554" s="21">
        <v>45758</v>
      </c>
      <c r="B2554" s="1">
        <v>711282129</v>
      </c>
      <c r="C2554" t="s">
        <v>4859</v>
      </c>
      <c r="D2554" s="22">
        <v>-6180.8</v>
      </c>
      <c r="E2554" t="s">
        <v>35</v>
      </c>
      <c r="F2554" s="2">
        <v>212901001</v>
      </c>
      <c r="G2554" s="2" t="s">
        <v>121</v>
      </c>
      <c r="L2554" s="2" t="s">
        <v>4860</v>
      </c>
      <c r="M2554" t="s">
        <v>67</v>
      </c>
      <c r="N2554" t="s">
        <v>68</v>
      </c>
      <c r="P2554" s="23">
        <v>77.260000000000005</v>
      </c>
      <c r="Q2554" s="4">
        <f t="shared" si="39"/>
        <v>-80</v>
      </c>
      <c r="R2554" s="23" t="s">
        <v>109</v>
      </c>
    </row>
    <row r="2555" spans="1:20" x14ac:dyDescent="0.25">
      <c r="A2555" s="21">
        <v>45758</v>
      </c>
      <c r="B2555" s="1">
        <v>811282133</v>
      </c>
      <c r="C2555" t="s">
        <v>4861</v>
      </c>
      <c r="D2555" s="22">
        <v>-4635.6000000000004</v>
      </c>
      <c r="E2555" t="s">
        <v>35</v>
      </c>
      <c r="F2555" s="2">
        <v>212901001</v>
      </c>
      <c r="G2555" s="2" t="s">
        <v>121</v>
      </c>
      <c r="L2555" s="2" t="s">
        <v>4862</v>
      </c>
      <c r="M2555" t="s">
        <v>67</v>
      </c>
      <c r="N2555" t="s">
        <v>68</v>
      </c>
      <c r="P2555" s="23">
        <v>77.260000000000005</v>
      </c>
      <c r="Q2555" s="4">
        <f t="shared" si="39"/>
        <v>-60</v>
      </c>
      <c r="R2555" s="23" t="s">
        <v>109</v>
      </c>
    </row>
    <row r="2556" spans="1:20" x14ac:dyDescent="0.25">
      <c r="A2556" s="21">
        <v>45758</v>
      </c>
      <c r="B2556" s="1">
        <v>811282136</v>
      </c>
      <c r="C2556" t="s">
        <v>4863</v>
      </c>
      <c r="D2556" s="22">
        <v>-4635.6000000000004</v>
      </c>
      <c r="E2556" t="s">
        <v>35</v>
      </c>
      <c r="F2556" s="2">
        <v>212901001</v>
      </c>
      <c r="G2556" s="2" t="s">
        <v>121</v>
      </c>
      <c r="L2556" s="2" t="s">
        <v>4864</v>
      </c>
      <c r="M2556" t="s">
        <v>67</v>
      </c>
      <c r="N2556" t="s">
        <v>68</v>
      </c>
      <c r="P2556" s="23">
        <v>77.260000000000005</v>
      </c>
      <c r="Q2556" s="4">
        <f t="shared" si="39"/>
        <v>-60</v>
      </c>
      <c r="R2556" s="23" t="s">
        <v>109</v>
      </c>
    </row>
    <row r="2557" spans="1:20" x14ac:dyDescent="0.25">
      <c r="A2557" s="21">
        <v>45758</v>
      </c>
      <c r="B2557" s="1">
        <v>811282135</v>
      </c>
      <c r="C2557" t="s">
        <v>4865</v>
      </c>
      <c r="D2557" s="22">
        <v>-4635.6000000000004</v>
      </c>
      <c r="E2557" t="s">
        <v>35</v>
      </c>
      <c r="F2557" s="2">
        <v>212901001</v>
      </c>
      <c r="G2557" s="2" t="s">
        <v>121</v>
      </c>
      <c r="L2557" s="2" t="s">
        <v>4866</v>
      </c>
      <c r="M2557" t="s">
        <v>67</v>
      </c>
      <c r="N2557" t="s">
        <v>68</v>
      </c>
      <c r="P2557" s="23">
        <v>77.260000000000005</v>
      </c>
      <c r="Q2557" s="4">
        <f t="shared" si="39"/>
        <v>-60</v>
      </c>
      <c r="R2557" s="23" t="s">
        <v>109</v>
      </c>
    </row>
    <row r="2558" spans="1:20" x14ac:dyDescent="0.25">
      <c r="A2558" s="21">
        <v>45758</v>
      </c>
      <c r="B2558" s="1">
        <v>811282134</v>
      </c>
      <c r="C2558" t="s">
        <v>4867</v>
      </c>
      <c r="D2558" s="22">
        <v>-4635.6000000000004</v>
      </c>
      <c r="E2558" t="s">
        <v>35</v>
      </c>
      <c r="F2558" s="2">
        <v>212901001</v>
      </c>
      <c r="G2558" s="2" t="s">
        <v>121</v>
      </c>
      <c r="L2558" s="2" t="s">
        <v>4868</v>
      </c>
      <c r="M2558" t="s">
        <v>67</v>
      </c>
      <c r="N2558" t="s">
        <v>68</v>
      </c>
      <c r="P2558" s="23">
        <v>77.260000000000005</v>
      </c>
      <c r="Q2558" s="4">
        <f t="shared" si="39"/>
        <v>-60</v>
      </c>
      <c r="R2558" s="23" t="s">
        <v>109</v>
      </c>
    </row>
    <row r="2559" spans="1:20" x14ac:dyDescent="0.25">
      <c r="A2559" s="21">
        <v>45758</v>
      </c>
      <c r="B2559" s="1">
        <v>811282139</v>
      </c>
      <c r="C2559" t="s">
        <v>4869</v>
      </c>
      <c r="D2559" s="22">
        <v>-4635.6000000000004</v>
      </c>
      <c r="E2559" t="s">
        <v>35</v>
      </c>
      <c r="F2559" s="2">
        <v>212901001</v>
      </c>
      <c r="G2559" s="2" t="s">
        <v>121</v>
      </c>
      <c r="L2559" s="2" t="s">
        <v>4870</v>
      </c>
      <c r="M2559" t="s">
        <v>67</v>
      </c>
      <c r="N2559" t="s">
        <v>68</v>
      </c>
      <c r="P2559" s="23">
        <v>77.260000000000005</v>
      </c>
      <c r="Q2559" s="4">
        <f t="shared" si="39"/>
        <v>-60</v>
      </c>
      <c r="R2559" s="23" t="s">
        <v>109</v>
      </c>
    </row>
    <row r="2560" spans="1:20" x14ac:dyDescent="0.25">
      <c r="A2560" s="21">
        <v>45758</v>
      </c>
      <c r="B2560" s="1">
        <v>811282138</v>
      </c>
      <c r="C2560" t="s">
        <v>4871</v>
      </c>
      <c r="D2560" s="22">
        <v>-4635.6000000000004</v>
      </c>
      <c r="E2560" t="s">
        <v>35</v>
      </c>
      <c r="F2560" s="2">
        <v>212901001</v>
      </c>
      <c r="G2560" s="2" t="s">
        <v>121</v>
      </c>
      <c r="L2560" s="2" t="s">
        <v>4872</v>
      </c>
      <c r="M2560" t="s">
        <v>67</v>
      </c>
      <c r="N2560" t="s">
        <v>68</v>
      </c>
      <c r="P2560" s="23">
        <v>77.260000000000005</v>
      </c>
      <c r="Q2560" s="4">
        <f t="shared" si="39"/>
        <v>-60</v>
      </c>
      <c r="R2560" s="23" t="s">
        <v>109</v>
      </c>
    </row>
    <row r="2561" spans="1:18" x14ac:dyDescent="0.25">
      <c r="A2561" s="21">
        <v>45758</v>
      </c>
      <c r="B2561" s="1">
        <v>911282144</v>
      </c>
      <c r="C2561" t="s">
        <v>4873</v>
      </c>
      <c r="D2561" s="22">
        <v>-4635.6000000000004</v>
      </c>
      <c r="E2561" t="s">
        <v>35</v>
      </c>
      <c r="F2561" s="2">
        <v>212901001</v>
      </c>
      <c r="G2561" s="2" t="s">
        <v>121</v>
      </c>
      <c r="L2561" s="2" t="s">
        <v>4874</v>
      </c>
      <c r="M2561" t="s">
        <v>67</v>
      </c>
      <c r="N2561" t="s">
        <v>68</v>
      </c>
      <c r="P2561" s="23">
        <v>77.260000000000005</v>
      </c>
      <c r="Q2561" s="4">
        <f t="shared" si="39"/>
        <v>-60</v>
      </c>
      <c r="R2561" s="23" t="s">
        <v>109</v>
      </c>
    </row>
    <row r="2562" spans="1:18" x14ac:dyDescent="0.25">
      <c r="A2562" s="21">
        <v>45758</v>
      </c>
      <c r="B2562" s="1">
        <v>811282140</v>
      </c>
      <c r="C2562" t="s">
        <v>4875</v>
      </c>
      <c r="D2562" s="22">
        <v>-4635.6000000000004</v>
      </c>
      <c r="E2562" t="s">
        <v>35</v>
      </c>
      <c r="F2562" s="2">
        <v>212901001</v>
      </c>
      <c r="G2562" s="2" t="s">
        <v>121</v>
      </c>
      <c r="L2562" s="2" t="s">
        <v>4876</v>
      </c>
      <c r="M2562" t="s">
        <v>67</v>
      </c>
      <c r="N2562" t="s">
        <v>68</v>
      </c>
      <c r="P2562" s="23">
        <v>77.260000000000005</v>
      </c>
      <c r="Q2562" s="4">
        <f t="shared" si="39"/>
        <v>-60</v>
      </c>
      <c r="R2562" s="23" t="s">
        <v>109</v>
      </c>
    </row>
    <row r="2563" spans="1:18" x14ac:dyDescent="0.25">
      <c r="A2563" s="21">
        <v>45758</v>
      </c>
      <c r="B2563" s="1">
        <v>811282142</v>
      </c>
      <c r="C2563" t="s">
        <v>4877</v>
      </c>
      <c r="D2563" s="22">
        <v>-4635.6000000000004</v>
      </c>
      <c r="E2563" t="s">
        <v>35</v>
      </c>
      <c r="F2563" s="2">
        <v>212901001</v>
      </c>
      <c r="G2563" s="2" t="s">
        <v>121</v>
      </c>
      <c r="L2563" s="2" t="s">
        <v>4878</v>
      </c>
      <c r="M2563" t="s">
        <v>67</v>
      </c>
      <c r="N2563" t="s">
        <v>68</v>
      </c>
      <c r="P2563" s="23">
        <v>77.260000000000005</v>
      </c>
      <c r="Q2563" s="4">
        <f t="shared" si="39"/>
        <v>-60</v>
      </c>
      <c r="R2563" s="23" t="s">
        <v>109</v>
      </c>
    </row>
    <row r="2564" spans="1:18" x14ac:dyDescent="0.25">
      <c r="A2564" s="21">
        <v>45758</v>
      </c>
      <c r="B2564" s="1">
        <v>911282143</v>
      </c>
      <c r="C2564" t="s">
        <v>4879</v>
      </c>
      <c r="D2564" s="22">
        <v>-4635.6000000000004</v>
      </c>
      <c r="E2564" t="s">
        <v>35</v>
      </c>
      <c r="F2564" s="2">
        <v>212901001</v>
      </c>
      <c r="G2564" s="2" t="s">
        <v>121</v>
      </c>
      <c r="L2564" s="2" t="s">
        <v>4880</v>
      </c>
      <c r="M2564" t="s">
        <v>67</v>
      </c>
      <c r="N2564" t="s">
        <v>68</v>
      </c>
      <c r="P2564" s="23">
        <v>77.260000000000005</v>
      </c>
      <c r="Q2564" s="4">
        <f t="shared" si="39"/>
        <v>-60</v>
      </c>
      <c r="R2564" s="23" t="s">
        <v>109</v>
      </c>
    </row>
    <row r="2565" spans="1:18" x14ac:dyDescent="0.25">
      <c r="A2565" s="21">
        <v>45758</v>
      </c>
      <c r="B2565" s="1">
        <v>911282145</v>
      </c>
      <c r="C2565" t="s">
        <v>4881</v>
      </c>
      <c r="D2565" s="22">
        <v>-4635.6000000000004</v>
      </c>
      <c r="E2565" t="s">
        <v>35</v>
      </c>
      <c r="F2565" s="2">
        <v>212901001</v>
      </c>
      <c r="G2565" s="2" t="s">
        <v>121</v>
      </c>
      <c r="L2565" s="2" t="s">
        <v>4882</v>
      </c>
      <c r="M2565" t="s">
        <v>67</v>
      </c>
      <c r="N2565" t="s">
        <v>68</v>
      </c>
      <c r="P2565" s="23">
        <v>77.260000000000005</v>
      </c>
      <c r="Q2565" s="4">
        <f t="shared" si="39"/>
        <v>-60</v>
      </c>
      <c r="R2565" s="23" t="s">
        <v>109</v>
      </c>
    </row>
    <row r="2566" spans="1:18" x14ac:dyDescent="0.25">
      <c r="A2566" s="21">
        <v>45758</v>
      </c>
      <c r="B2566" s="1">
        <v>911282147</v>
      </c>
      <c r="C2566" t="s">
        <v>4883</v>
      </c>
      <c r="D2566" s="22">
        <v>-4635.6000000000004</v>
      </c>
      <c r="E2566" t="s">
        <v>35</v>
      </c>
      <c r="F2566" s="2">
        <v>212901001</v>
      </c>
      <c r="G2566" s="2" t="s">
        <v>121</v>
      </c>
      <c r="L2566" s="2" t="s">
        <v>4884</v>
      </c>
      <c r="M2566" t="s">
        <v>67</v>
      </c>
      <c r="N2566" t="s">
        <v>68</v>
      </c>
      <c r="P2566" s="23">
        <v>77.260000000000005</v>
      </c>
      <c r="Q2566" s="4">
        <f t="shared" si="39"/>
        <v>-60</v>
      </c>
      <c r="R2566" s="23" t="s">
        <v>109</v>
      </c>
    </row>
    <row r="2567" spans="1:18" x14ac:dyDescent="0.25">
      <c r="A2567" s="21">
        <v>45758</v>
      </c>
      <c r="B2567" s="1">
        <v>11282155</v>
      </c>
      <c r="C2567" t="s">
        <v>4885</v>
      </c>
      <c r="D2567" s="22">
        <v>-6180.8</v>
      </c>
      <c r="E2567" t="s">
        <v>35</v>
      </c>
      <c r="F2567" s="2">
        <v>212901001</v>
      </c>
      <c r="G2567" s="2" t="s">
        <v>121</v>
      </c>
      <c r="L2567" s="2" t="s">
        <v>4886</v>
      </c>
      <c r="M2567" t="s">
        <v>67</v>
      </c>
      <c r="N2567" t="s">
        <v>68</v>
      </c>
      <c r="P2567" s="23">
        <v>77.260000000000005</v>
      </c>
      <c r="Q2567" s="4">
        <f t="shared" si="39"/>
        <v>-80</v>
      </c>
      <c r="R2567" s="23" t="s">
        <v>109</v>
      </c>
    </row>
    <row r="2568" spans="1:18" x14ac:dyDescent="0.25">
      <c r="A2568" s="21">
        <v>45758</v>
      </c>
      <c r="B2568" s="1">
        <v>911282149</v>
      </c>
      <c r="C2568" t="s">
        <v>4887</v>
      </c>
      <c r="D2568" s="22">
        <v>-11589</v>
      </c>
      <c r="E2568" t="s">
        <v>35</v>
      </c>
      <c r="F2568" s="2">
        <v>212901001</v>
      </c>
      <c r="G2568" s="2" t="s">
        <v>121</v>
      </c>
      <c r="L2568" s="2" t="s">
        <v>4888</v>
      </c>
      <c r="M2568" t="s">
        <v>67</v>
      </c>
      <c r="N2568" t="s">
        <v>68</v>
      </c>
      <c r="P2568" s="23">
        <v>77.260000000000005</v>
      </c>
      <c r="Q2568" s="4">
        <f t="shared" si="39"/>
        <v>-150</v>
      </c>
      <c r="R2568" s="23" t="s">
        <v>109</v>
      </c>
    </row>
    <row r="2569" spans="1:18" x14ac:dyDescent="0.25">
      <c r="A2569" s="21">
        <v>45758</v>
      </c>
      <c r="B2569" s="1">
        <v>11282157</v>
      </c>
      <c r="C2569" t="s">
        <v>4889</v>
      </c>
      <c r="D2569" s="22">
        <v>-6180.8</v>
      </c>
      <c r="E2569" t="s">
        <v>35</v>
      </c>
      <c r="F2569" s="2">
        <v>212901001</v>
      </c>
      <c r="G2569" s="2" t="s">
        <v>121</v>
      </c>
      <c r="L2569" s="2" t="s">
        <v>4890</v>
      </c>
      <c r="M2569" t="s">
        <v>67</v>
      </c>
      <c r="N2569" t="s">
        <v>68</v>
      </c>
      <c r="P2569" s="23">
        <v>77.260000000000005</v>
      </c>
      <c r="Q2569" s="4">
        <f t="shared" si="39"/>
        <v>-80</v>
      </c>
      <c r="R2569" s="23" t="s">
        <v>109</v>
      </c>
    </row>
    <row r="2570" spans="1:18" x14ac:dyDescent="0.25">
      <c r="A2570" s="21">
        <v>45758</v>
      </c>
      <c r="B2570" s="1">
        <v>911282150</v>
      </c>
      <c r="C2570" t="s">
        <v>4891</v>
      </c>
      <c r="D2570" s="22">
        <v>-7726</v>
      </c>
      <c r="E2570" t="s">
        <v>35</v>
      </c>
      <c r="F2570" s="2">
        <v>212901001</v>
      </c>
      <c r="G2570" s="2" t="s">
        <v>121</v>
      </c>
      <c r="L2570" s="2" t="s">
        <v>4892</v>
      </c>
      <c r="M2570" t="s">
        <v>67</v>
      </c>
      <c r="N2570" t="s">
        <v>68</v>
      </c>
      <c r="P2570" s="23">
        <v>77.260000000000005</v>
      </c>
      <c r="Q2570" s="4">
        <f t="shared" si="39"/>
        <v>-100</v>
      </c>
      <c r="R2570" s="23" t="s">
        <v>109</v>
      </c>
    </row>
    <row r="2571" spans="1:18" x14ac:dyDescent="0.25">
      <c r="A2571" s="21">
        <v>45758</v>
      </c>
      <c r="B2571" s="1">
        <v>911282151</v>
      </c>
      <c r="C2571" t="s">
        <v>4893</v>
      </c>
      <c r="D2571" s="22">
        <v>-6180.8</v>
      </c>
      <c r="E2571" t="s">
        <v>35</v>
      </c>
      <c r="F2571" s="2">
        <v>212901001</v>
      </c>
      <c r="G2571" s="2" t="s">
        <v>121</v>
      </c>
      <c r="L2571" s="2" t="s">
        <v>4894</v>
      </c>
      <c r="M2571" t="s">
        <v>67</v>
      </c>
      <c r="N2571" t="s">
        <v>68</v>
      </c>
      <c r="P2571" s="23">
        <v>77.260000000000005</v>
      </c>
      <c r="Q2571" s="4">
        <f t="shared" ref="Q2571:Q2634" si="40">D2571/P2571</f>
        <v>-80</v>
      </c>
      <c r="R2571" s="23" t="s">
        <v>109</v>
      </c>
    </row>
    <row r="2572" spans="1:18" x14ac:dyDescent="0.25">
      <c r="A2572" s="21">
        <v>45758</v>
      </c>
      <c r="B2572" s="1">
        <v>911282152</v>
      </c>
      <c r="C2572" t="s">
        <v>4895</v>
      </c>
      <c r="D2572" s="22">
        <v>-6180.8</v>
      </c>
      <c r="E2572" t="s">
        <v>35</v>
      </c>
      <c r="F2572" s="2">
        <v>212901001</v>
      </c>
      <c r="G2572" s="2" t="s">
        <v>121</v>
      </c>
      <c r="L2572" s="2" t="s">
        <v>4896</v>
      </c>
      <c r="M2572" t="s">
        <v>67</v>
      </c>
      <c r="N2572" t="s">
        <v>68</v>
      </c>
      <c r="P2572" s="23">
        <v>77.260000000000005</v>
      </c>
      <c r="Q2572" s="4">
        <f t="shared" si="40"/>
        <v>-80</v>
      </c>
      <c r="R2572" s="23" t="s">
        <v>109</v>
      </c>
    </row>
    <row r="2573" spans="1:18" x14ac:dyDescent="0.25">
      <c r="A2573" s="21">
        <v>45758</v>
      </c>
      <c r="B2573" s="1">
        <v>911282153</v>
      </c>
      <c r="C2573" t="s">
        <v>4897</v>
      </c>
      <c r="D2573" s="22">
        <v>-6180.8</v>
      </c>
      <c r="E2573" t="s">
        <v>35</v>
      </c>
      <c r="F2573" s="2">
        <v>212901001</v>
      </c>
      <c r="G2573" s="2" t="s">
        <v>121</v>
      </c>
      <c r="L2573" s="2" t="s">
        <v>4898</v>
      </c>
      <c r="M2573" t="s">
        <v>67</v>
      </c>
      <c r="N2573" t="s">
        <v>68</v>
      </c>
      <c r="P2573" s="23">
        <v>77.260000000000005</v>
      </c>
      <c r="Q2573" s="4">
        <f t="shared" si="40"/>
        <v>-80</v>
      </c>
      <c r="R2573" s="23" t="s">
        <v>109</v>
      </c>
    </row>
    <row r="2574" spans="1:18" x14ac:dyDescent="0.25">
      <c r="A2574" s="21">
        <v>45758</v>
      </c>
      <c r="B2574" s="1">
        <v>11282156</v>
      </c>
      <c r="C2574" t="s">
        <v>4899</v>
      </c>
      <c r="D2574" s="22">
        <v>-6180.8</v>
      </c>
      <c r="E2574" t="s">
        <v>35</v>
      </c>
      <c r="F2574" s="2">
        <v>212901001</v>
      </c>
      <c r="G2574" s="2" t="s">
        <v>121</v>
      </c>
      <c r="L2574" s="2" t="s">
        <v>4900</v>
      </c>
      <c r="M2574" t="s">
        <v>67</v>
      </c>
      <c r="N2574" t="s">
        <v>68</v>
      </c>
      <c r="P2574" s="23">
        <v>77.260000000000005</v>
      </c>
      <c r="Q2574" s="4">
        <f t="shared" si="40"/>
        <v>-80</v>
      </c>
      <c r="R2574" s="23" t="s">
        <v>109</v>
      </c>
    </row>
    <row r="2575" spans="1:18" x14ac:dyDescent="0.25">
      <c r="A2575" s="21">
        <v>45758</v>
      </c>
      <c r="B2575" s="1">
        <v>11282159</v>
      </c>
      <c r="C2575" t="s">
        <v>4901</v>
      </c>
      <c r="D2575" s="22">
        <v>-3863</v>
      </c>
      <c r="E2575" t="s">
        <v>35</v>
      </c>
      <c r="F2575" s="2">
        <v>212901001</v>
      </c>
      <c r="G2575" s="2" t="s">
        <v>121</v>
      </c>
      <c r="L2575" s="2" t="s">
        <v>4902</v>
      </c>
      <c r="M2575" t="s">
        <v>67</v>
      </c>
      <c r="N2575" t="s">
        <v>68</v>
      </c>
      <c r="P2575" s="23">
        <v>77.260000000000005</v>
      </c>
      <c r="Q2575" s="4">
        <f t="shared" si="40"/>
        <v>-50</v>
      </c>
      <c r="R2575" s="23" t="s">
        <v>109</v>
      </c>
    </row>
    <row r="2576" spans="1:18" x14ac:dyDescent="0.25">
      <c r="A2576" s="21">
        <v>45758</v>
      </c>
      <c r="B2576" s="1">
        <v>11282158</v>
      </c>
      <c r="C2576" t="s">
        <v>4903</v>
      </c>
      <c r="D2576" s="22">
        <v>-3244.92</v>
      </c>
      <c r="E2576" t="s">
        <v>35</v>
      </c>
      <c r="F2576" s="2">
        <v>212901001</v>
      </c>
      <c r="G2576" s="2" t="s">
        <v>121</v>
      </c>
      <c r="L2576" s="2" t="s">
        <v>4904</v>
      </c>
      <c r="M2576" t="s">
        <v>67</v>
      </c>
      <c r="N2576" t="s">
        <v>68</v>
      </c>
      <c r="P2576" s="23">
        <v>77.260000000000005</v>
      </c>
      <c r="Q2576" s="4">
        <f t="shared" si="40"/>
        <v>-42</v>
      </c>
      <c r="R2576" s="23" t="s">
        <v>109</v>
      </c>
    </row>
    <row r="2577" spans="1:18" x14ac:dyDescent="0.25">
      <c r="A2577" s="21">
        <v>45758</v>
      </c>
      <c r="B2577" s="1">
        <v>11282161</v>
      </c>
      <c r="C2577" t="s">
        <v>4905</v>
      </c>
      <c r="D2577" s="22">
        <v>-3244.92</v>
      </c>
      <c r="E2577" t="s">
        <v>35</v>
      </c>
      <c r="F2577" s="2">
        <v>212901001</v>
      </c>
      <c r="G2577" s="2" t="s">
        <v>121</v>
      </c>
      <c r="L2577" s="2" t="s">
        <v>4906</v>
      </c>
      <c r="M2577" t="s">
        <v>67</v>
      </c>
      <c r="N2577" t="s">
        <v>68</v>
      </c>
      <c r="P2577" s="23">
        <v>77.260000000000005</v>
      </c>
      <c r="Q2577" s="4">
        <f t="shared" si="40"/>
        <v>-42</v>
      </c>
      <c r="R2577" s="23" t="s">
        <v>109</v>
      </c>
    </row>
    <row r="2578" spans="1:18" x14ac:dyDescent="0.25">
      <c r="A2578" s="21">
        <v>45758</v>
      </c>
      <c r="B2578" s="1">
        <v>11282160</v>
      </c>
      <c r="C2578" t="s">
        <v>4907</v>
      </c>
      <c r="D2578" s="22">
        <v>-3863</v>
      </c>
      <c r="E2578" t="s">
        <v>35</v>
      </c>
      <c r="F2578" s="2">
        <v>212901001</v>
      </c>
      <c r="G2578" s="2" t="s">
        <v>121</v>
      </c>
      <c r="L2578" s="2" t="s">
        <v>4908</v>
      </c>
      <c r="M2578" t="s">
        <v>67</v>
      </c>
      <c r="N2578" t="s">
        <v>68</v>
      </c>
      <c r="P2578" s="23">
        <v>77.260000000000005</v>
      </c>
      <c r="Q2578" s="4">
        <f t="shared" si="40"/>
        <v>-50</v>
      </c>
      <c r="R2578" s="23" t="s">
        <v>109</v>
      </c>
    </row>
    <row r="2579" spans="1:18" x14ac:dyDescent="0.25">
      <c r="A2579" s="21">
        <v>45758</v>
      </c>
      <c r="B2579" s="1">
        <v>11282162</v>
      </c>
      <c r="C2579" t="s">
        <v>4909</v>
      </c>
      <c r="D2579" s="22">
        <v>-3863</v>
      </c>
      <c r="E2579" t="s">
        <v>35</v>
      </c>
      <c r="F2579" s="2">
        <v>212901001</v>
      </c>
      <c r="G2579" s="2" t="s">
        <v>121</v>
      </c>
      <c r="L2579" s="2" t="s">
        <v>4910</v>
      </c>
      <c r="M2579" t="s">
        <v>67</v>
      </c>
      <c r="N2579" t="s">
        <v>68</v>
      </c>
      <c r="P2579" s="23">
        <v>77.260000000000005</v>
      </c>
      <c r="Q2579" s="4">
        <f t="shared" si="40"/>
        <v>-50</v>
      </c>
      <c r="R2579" s="23" t="s">
        <v>109</v>
      </c>
    </row>
    <row r="2580" spans="1:18" x14ac:dyDescent="0.25">
      <c r="A2580" s="21">
        <v>45758</v>
      </c>
      <c r="B2580" s="1">
        <v>111282165</v>
      </c>
      <c r="C2580" t="s">
        <v>4911</v>
      </c>
      <c r="D2580" s="22">
        <v>-3090.4</v>
      </c>
      <c r="E2580" t="s">
        <v>35</v>
      </c>
      <c r="F2580" s="2">
        <v>212901001</v>
      </c>
      <c r="G2580" s="2" t="s">
        <v>121</v>
      </c>
      <c r="L2580" s="2" t="s">
        <v>4912</v>
      </c>
      <c r="M2580" t="s">
        <v>67</v>
      </c>
      <c r="N2580" t="s">
        <v>68</v>
      </c>
      <c r="P2580" s="23">
        <v>77.260000000000005</v>
      </c>
      <c r="Q2580" s="4">
        <f t="shared" si="40"/>
        <v>-40</v>
      </c>
      <c r="R2580" s="23" t="s">
        <v>109</v>
      </c>
    </row>
    <row r="2581" spans="1:18" x14ac:dyDescent="0.25">
      <c r="A2581" s="21">
        <v>45758</v>
      </c>
      <c r="B2581" s="1">
        <v>111282164</v>
      </c>
      <c r="C2581" t="s">
        <v>4913</v>
      </c>
      <c r="D2581" s="22">
        <v>-3090.4</v>
      </c>
      <c r="E2581" t="s">
        <v>35</v>
      </c>
      <c r="F2581" s="2">
        <v>212901001</v>
      </c>
      <c r="G2581" s="2" t="s">
        <v>121</v>
      </c>
      <c r="L2581" s="2" t="s">
        <v>4914</v>
      </c>
      <c r="M2581" t="s">
        <v>67</v>
      </c>
      <c r="N2581" t="s">
        <v>68</v>
      </c>
      <c r="P2581" s="23">
        <v>77.260000000000005</v>
      </c>
      <c r="Q2581" s="4">
        <f t="shared" si="40"/>
        <v>-40</v>
      </c>
      <c r="R2581" s="23" t="s">
        <v>109</v>
      </c>
    </row>
    <row r="2582" spans="1:18" x14ac:dyDescent="0.25">
      <c r="A2582" s="21">
        <v>45758</v>
      </c>
      <c r="B2582" s="1">
        <v>111282166</v>
      </c>
      <c r="C2582" t="s">
        <v>4915</v>
      </c>
      <c r="D2582" s="22">
        <v>-3090.4</v>
      </c>
      <c r="E2582" t="s">
        <v>35</v>
      </c>
      <c r="F2582" s="2">
        <v>212901001</v>
      </c>
      <c r="G2582" s="2" t="s">
        <v>121</v>
      </c>
      <c r="L2582" s="2" t="s">
        <v>4916</v>
      </c>
      <c r="M2582" t="s">
        <v>67</v>
      </c>
      <c r="N2582" t="s">
        <v>68</v>
      </c>
      <c r="P2582" s="23">
        <v>77.260000000000005</v>
      </c>
      <c r="Q2582" s="4">
        <f t="shared" si="40"/>
        <v>-40</v>
      </c>
      <c r="R2582" s="23" t="s">
        <v>109</v>
      </c>
    </row>
    <row r="2583" spans="1:18" x14ac:dyDescent="0.25">
      <c r="A2583" s="21">
        <v>45758</v>
      </c>
      <c r="B2583" s="1">
        <v>111282167</v>
      </c>
      <c r="C2583" t="s">
        <v>4917</v>
      </c>
      <c r="D2583" s="22">
        <v>-3090.4</v>
      </c>
      <c r="E2583" t="s">
        <v>35</v>
      </c>
      <c r="F2583" s="2">
        <v>212901001</v>
      </c>
      <c r="G2583" s="2" t="s">
        <v>121</v>
      </c>
      <c r="L2583" s="2" t="s">
        <v>4918</v>
      </c>
      <c r="M2583" t="s">
        <v>67</v>
      </c>
      <c r="N2583" t="s">
        <v>68</v>
      </c>
      <c r="P2583" s="23">
        <v>77.260000000000005</v>
      </c>
      <c r="Q2583" s="4">
        <f t="shared" si="40"/>
        <v>-40</v>
      </c>
      <c r="R2583" s="23" t="s">
        <v>109</v>
      </c>
    </row>
    <row r="2584" spans="1:18" x14ac:dyDescent="0.25">
      <c r="A2584" s="21">
        <v>45758</v>
      </c>
      <c r="B2584" s="1">
        <v>11282163</v>
      </c>
      <c r="C2584" t="s">
        <v>4919</v>
      </c>
      <c r="D2584" s="22">
        <v>-3863</v>
      </c>
      <c r="E2584" t="s">
        <v>35</v>
      </c>
      <c r="F2584" s="2">
        <v>212901001</v>
      </c>
      <c r="G2584" s="2" t="s">
        <v>121</v>
      </c>
      <c r="L2584" s="2" t="s">
        <v>4920</v>
      </c>
      <c r="M2584" t="s">
        <v>67</v>
      </c>
      <c r="N2584" t="s">
        <v>68</v>
      </c>
      <c r="P2584" s="23">
        <v>77.260000000000005</v>
      </c>
      <c r="Q2584" s="4">
        <f t="shared" si="40"/>
        <v>-50</v>
      </c>
      <c r="R2584" s="23" t="s">
        <v>109</v>
      </c>
    </row>
    <row r="2585" spans="1:18" x14ac:dyDescent="0.25">
      <c r="A2585" s="21">
        <v>45758</v>
      </c>
      <c r="B2585" s="1">
        <v>111282170</v>
      </c>
      <c r="C2585" t="s">
        <v>4921</v>
      </c>
      <c r="D2585" s="22">
        <v>-3090.4</v>
      </c>
      <c r="E2585" t="s">
        <v>35</v>
      </c>
      <c r="F2585" s="2">
        <v>212901001</v>
      </c>
      <c r="G2585" s="2" t="s">
        <v>121</v>
      </c>
      <c r="L2585" s="2" t="s">
        <v>4922</v>
      </c>
      <c r="M2585" t="s">
        <v>67</v>
      </c>
      <c r="N2585" t="s">
        <v>68</v>
      </c>
      <c r="P2585" s="23">
        <v>77.260000000000005</v>
      </c>
      <c r="Q2585" s="4">
        <f t="shared" si="40"/>
        <v>-40</v>
      </c>
      <c r="R2585" s="23" t="s">
        <v>109</v>
      </c>
    </row>
    <row r="2586" spans="1:18" x14ac:dyDescent="0.25">
      <c r="A2586" s="21">
        <v>45758</v>
      </c>
      <c r="B2586" s="1">
        <v>111282169</v>
      </c>
      <c r="C2586" t="s">
        <v>4923</v>
      </c>
      <c r="D2586" s="22">
        <v>-3090.4</v>
      </c>
      <c r="E2586" t="s">
        <v>35</v>
      </c>
      <c r="F2586" s="2">
        <v>212901001</v>
      </c>
      <c r="G2586" s="2" t="s">
        <v>121</v>
      </c>
      <c r="L2586" s="2" t="s">
        <v>4924</v>
      </c>
      <c r="M2586" t="s">
        <v>67</v>
      </c>
      <c r="N2586" t="s">
        <v>68</v>
      </c>
      <c r="P2586" s="23">
        <v>77.260000000000005</v>
      </c>
      <c r="Q2586" s="4">
        <f t="shared" si="40"/>
        <v>-40</v>
      </c>
      <c r="R2586" s="23" t="s">
        <v>109</v>
      </c>
    </row>
    <row r="2587" spans="1:18" x14ac:dyDescent="0.25">
      <c r="A2587" s="21">
        <v>45758</v>
      </c>
      <c r="B2587" s="1">
        <v>111282171</v>
      </c>
      <c r="C2587" t="s">
        <v>4925</v>
      </c>
      <c r="D2587" s="22">
        <v>-3090.4</v>
      </c>
      <c r="E2587" t="s">
        <v>35</v>
      </c>
      <c r="F2587" s="2">
        <v>212901001</v>
      </c>
      <c r="G2587" s="2" t="s">
        <v>121</v>
      </c>
      <c r="L2587" s="2" t="s">
        <v>4926</v>
      </c>
      <c r="M2587" t="s">
        <v>67</v>
      </c>
      <c r="N2587" t="s">
        <v>68</v>
      </c>
      <c r="P2587" s="23">
        <v>77.260000000000005</v>
      </c>
      <c r="Q2587" s="4">
        <f t="shared" si="40"/>
        <v>-40</v>
      </c>
      <c r="R2587" s="23" t="s">
        <v>109</v>
      </c>
    </row>
    <row r="2588" spans="1:18" x14ac:dyDescent="0.25">
      <c r="A2588" s="21">
        <v>45758</v>
      </c>
      <c r="B2588" s="1">
        <v>211282172</v>
      </c>
      <c r="C2588" t="s">
        <v>4927</v>
      </c>
      <c r="D2588" s="22">
        <v>-7726</v>
      </c>
      <c r="E2588" t="s">
        <v>35</v>
      </c>
      <c r="F2588" s="2">
        <v>212901001</v>
      </c>
      <c r="G2588" s="2" t="s">
        <v>121</v>
      </c>
      <c r="L2588" s="2" t="s">
        <v>4928</v>
      </c>
      <c r="M2588" t="s">
        <v>67</v>
      </c>
      <c r="N2588" t="s">
        <v>68</v>
      </c>
      <c r="P2588" s="23">
        <v>77.260000000000005</v>
      </c>
      <c r="Q2588" s="4">
        <f t="shared" si="40"/>
        <v>-100</v>
      </c>
      <c r="R2588" s="23" t="s">
        <v>109</v>
      </c>
    </row>
    <row r="2589" spans="1:18" x14ac:dyDescent="0.25">
      <c r="A2589" s="21">
        <v>45758</v>
      </c>
      <c r="B2589" s="1">
        <v>211282174</v>
      </c>
      <c r="C2589" t="s">
        <v>4929</v>
      </c>
      <c r="D2589" s="22">
        <v>-11589</v>
      </c>
      <c r="E2589" t="s">
        <v>35</v>
      </c>
      <c r="F2589" s="2">
        <v>212901001</v>
      </c>
      <c r="G2589" s="2" t="s">
        <v>121</v>
      </c>
      <c r="L2589" s="2" t="s">
        <v>4930</v>
      </c>
      <c r="M2589" t="s">
        <v>67</v>
      </c>
      <c r="N2589" t="s">
        <v>68</v>
      </c>
      <c r="P2589" s="23">
        <v>77.260000000000005</v>
      </c>
      <c r="Q2589" s="4">
        <f t="shared" si="40"/>
        <v>-150</v>
      </c>
      <c r="R2589" s="23" t="s">
        <v>109</v>
      </c>
    </row>
    <row r="2590" spans="1:18" x14ac:dyDescent="0.25">
      <c r="A2590" s="21">
        <v>45758</v>
      </c>
      <c r="B2590" s="1">
        <v>211282173</v>
      </c>
      <c r="C2590" t="s">
        <v>4931</v>
      </c>
      <c r="D2590" s="22">
        <v>-7726</v>
      </c>
      <c r="E2590" t="s">
        <v>35</v>
      </c>
      <c r="F2590" s="2">
        <v>212901001</v>
      </c>
      <c r="G2590" s="2" t="s">
        <v>121</v>
      </c>
      <c r="L2590" s="2" t="s">
        <v>4932</v>
      </c>
      <c r="M2590" t="s">
        <v>67</v>
      </c>
      <c r="N2590" t="s">
        <v>68</v>
      </c>
      <c r="P2590" s="23">
        <v>77.260000000000005</v>
      </c>
      <c r="Q2590" s="4">
        <f t="shared" si="40"/>
        <v>-100</v>
      </c>
      <c r="R2590" s="23" t="s">
        <v>109</v>
      </c>
    </row>
    <row r="2591" spans="1:18" x14ac:dyDescent="0.25">
      <c r="A2591" s="21">
        <v>45758</v>
      </c>
      <c r="B2591" s="1">
        <v>211282175</v>
      </c>
      <c r="C2591" t="s">
        <v>4933</v>
      </c>
      <c r="D2591" s="22">
        <v>-2317.8000000000002</v>
      </c>
      <c r="E2591" t="s">
        <v>35</v>
      </c>
      <c r="F2591" s="2">
        <v>212901001</v>
      </c>
      <c r="G2591" s="2" t="s">
        <v>121</v>
      </c>
      <c r="L2591" s="2" t="s">
        <v>4934</v>
      </c>
      <c r="M2591" t="s">
        <v>67</v>
      </c>
      <c r="N2591" t="s">
        <v>68</v>
      </c>
      <c r="P2591" s="23">
        <v>77.260000000000005</v>
      </c>
      <c r="Q2591" s="4">
        <f t="shared" si="40"/>
        <v>-30</v>
      </c>
      <c r="R2591" s="23" t="s">
        <v>109</v>
      </c>
    </row>
    <row r="2592" spans="1:18" x14ac:dyDescent="0.25">
      <c r="A2592" s="21">
        <v>45758</v>
      </c>
      <c r="B2592" s="1">
        <v>211282176</v>
      </c>
      <c r="C2592" t="s">
        <v>4935</v>
      </c>
      <c r="D2592" s="22">
        <v>-8498.6</v>
      </c>
      <c r="E2592" t="s">
        <v>35</v>
      </c>
      <c r="F2592" s="2">
        <v>212901001</v>
      </c>
      <c r="G2592" s="2" t="s">
        <v>121</v>
      </c>
      <c r="L2592" s="2" t="s">
        <v>4936</v>
      </c>
      <c r="M2592" t="s">
        <v>67</v>
      </c>
      <c r="N2592" t="s">
        <v>68</v>
      </c>
      <c r="P2592" s="23">
        <v>77.260000000000005</v>
      </c>
      <c r="Q2592" s="4">
        <f t="shared" si="40"/>
        <v>-110</v>
      </c>
      <c r="R2592" s="23" t="s">
        <v>109</v>
      </c>
    </row>
    <row r="2593" spans="1:18" x14ac:dyDescent="0.25">
      <c r="A2593" s="21">
        <v>45758</v>
      </c>
      <c r="B2593" s="1">
        <v>211282178</v>
      </c>
      <c r="C2593" t="s">
        <v>4937</v>
      </c>
      <c r="D2593" s="22">
        <v>-7726</v>
      </c>
      <c r="E2593" t="s">
        <v>35</v>
      </c>
      <c r="F2593" s="2">
        <v>212901001</v>
      </c>
      <c r="G2593" s="2" t="s">
        <v>121</v>
      </c>
      <c r="L2593" s="2" t="s">
        <v>4938</v>
      </c>
      <c r="M2593" t="s">
        <v>67</v>
      </c>
      <c r="N2593" t="s">
        <v>68</v>
      </c>
      <c r="P2593" s="23">
        <v>77.260000000000005</v>
      </c>
      <c r="Q2593" s="4">
        <f t="shared" si="40"/>
        <v>-100</v>
      </c>
      <c r="R2593" s="23" t="s">
        <v>109</v>
      </c>
    </row>
    <row r="2594" spans="1:18" x14ac:dyDescent="0.25">
      <c r="A2594" s="21">
        <v>45758</v>
      </c>
      <c r="B2594" s="1">
        <v>211282180</v>
      </c>
      <c r="C2594" t="s">
        <v>4939</v>
      </c>
      <c r="D2594" s="22">
        <v>-3553.96</v>
      </c>
      <c r="E2594" t="s">
        <v>35</v>
      </c>
      <c r="F2594" s="2">
        <v>212901001</v>
      </c>
      <c r="G2594" s="2" t="s">
        <v>121</v>
      </c>
      <c r="L2594" s="2" t="s">
        <v>4940</v>
      </c>
      <c r="M2594" t="s">
        <v>67</v>
      </c>
      <c r="N2594" t="s">
        <v>68</v>
      </c>
      <c r="P2594" s="23">
        <v>77.260000000000005</v>
      </c>
      <c r="Q2594" s="4">
        <f t="shared" si="40"/>
        <v>-46</v>
      </c>
      <c r="R2594" s="23" t="s">
        <v>109</v>
      </c>
    </row>
    <row r="2595" spans="1:18" x14ac:dyDescent="0.25">
      <c r="A2595" s="21">
        <v>45758</v>
      </c>
      <c r="B2595" s="1">
        <v>211282177</v>
      </c>
      <c r="C2595" t="s">
        <v>4941</v>
      </c>
      <c r="D2595" s="22">
        <v>-6180.8</v>
      </c>
      <c r="E2595" t="s">
        <v>35</v>
      </c>
      <c r="F2595" s="2">
        <v>212901001</v>
      </c>
      <c r="G2595" s="2" t="s">
        <v>121</v>
      </c>
      <c r="L2595" s="2" t="s">
        <v>4942</v>
      </c>
      <c r="M2595" t="s">
        <v>67</v>
      </c>
      <c r="N2595" t="s">
        <v>68</v>
      </c>
      <c r="P2595" s="23">
        <v>77.260000000000005</v>
      </c>
      <c r="Q2595" s="4">
        <f t="shared" si="40"/>
        <v>-80</v>
      </c>
      <c r="R2595" s="23" t="s">
        <v>109</v>
      </c>
    </row>
    <row r="2596" spans="1:18" x14ac:dyDescent="0.25">
      <c r="A2596" s="21">
        <v>45758</v>
      </c>
      <c r="B2596" s="1">
        <v>211282182</v>
      </c>
      <c r="C2596" t="s">
        <v>4943</v>
      </c>
      <c r="D2596" s="22">
        <v>-5408.2</v>
      </c>
      <c r="E2596" t="s">
        <v>35</v>
      </c>
      <c r="F2596" s="2">
        <v>212901001</v>
      </c>
      <c r="G2596" s="2" t="s">
        <v>121</v>
      </c>
      <c r="L2596" s="2" t="s">
        <v>4944</v>
      </c>
      <c r="M2596" t="s">
        <v>67</v>
      </c>
      <c r="N2596" t="s">
        <v>68</v>
      </c>
      <c r="P2596" s="23">
        <v>77.260000000000005</v>
      </c>
      <c r="Q2596" s="4">
        <f t="shared" si="40"/>
        <v>-70</v>
      </c>
      <c r="R2596" s="23" t="s">
        <v>109</v>
      </c>
    </row>
    <row r="2597" spans="1:18" x14ac:dyDescent="0.25">
      <c r="A2597" s="21">
        <v>45758</v>
      </c>
      <c r="B2597" s="1">
        <v>311282183</v>
      </c>
      <c r="C2597" t="s">
        <v>4945</v>
      </c>
      <c r="D2597" s="22">
        <v>-5408.2</v>
      </c>
      <c r="E2597" t="s">
        <v>35</v>
      </c>
      <c r="F2597" s="2">
        <v>212901001</v>
      </c>
      <c r="G2597" s="2" t="s">
        <v>121</v>
      </c>
      <c r="L2597" s="2" t="s">
        <v>4946</v>
      </c>
      <c r="M2597" t="s">
        <v>67</v>
      </c>
      <c r="N2597" t="s">
        <v>68</v>
      </c>
      <c r="P2597" s="23">
        <v>77.260000000000005</v>
      </c>
      <c r="Q2597" s="4">
        <f t="shared" si="40"/>
        <v>-70</v>
      </c>
      <c r="R2597" s="23" t="s">
        <v>109</v>
      </c>
    </row>
    <row r="2598" spans="1:18" x14ac:dyDescent="0.25">
      <c r="A2598" s="21">
        <v>45758</v>
      </c>
      <c r="B2598" s="1">
        <v>311282185</v>
      </c>
      <c r="C2598" t="s">
        <v>4947</v>
      </c>
      <c r="D2598" s="22">
        <v>-5408.2</v>
      </c>
      <c r="E2598" t="s">
        <v>35</v>
      </c>
      <c r="F2598" s="2">
        <v>212901001</v>
      </c>
      <c r="G2598" s="2" t="s">
        <v>121</v>
      </c>
      <c r="L2598" s="2" t="s">
        <v>4948</v>
      </c>
      <c r="M2598" t="s">
        <v>67</v>
      </c>
      <c r="N2598" t="s">
        <v>68</v>
      </c>
      <c r="P2598" s="23">
        <v>77.260000000000005</v>
      </c>
      <c r="Q2598" s="4">
        <f t="shared" si="40"/>
        <v>-70</v>
      </c>
      <c r="R2598" s="23" t="s">
        <v>109</v>
      </c>
    </row>
    <row r="2599" spans="1:18" x14ac:dyDescent="0.25">
      <c r="A2599" s="21">
        <v>45758</v>
      </c>
      <c r="B2599" s="1">
        <v>311282187</v>
      </c>
      <c r="C2599" t="s">
        <v>4949</v>
      </c>
      <c r="D2599" s="22">
        <v>-3863</v>
      </c>
      <c r="E2599" t="s">
        <v>35</v>
      </c>
      <c r="F2599" s="2">
        <v>212901001</v>
      </c>
      <c r="G2599" s="2" t="s">
        <v>121</v>
      </c>
      <c r="L2599" s="2" t="s">
        <v>4950</v>
      </c>
      <c r="M2599" t="s">
        <v>67</v>
      </c>
      <c r="N2599" t="s">
        <v>68</v>
      </c>
      <c r="P2599" s="23">
        <v>77.260000000000005</v>
      </c>
      <c r="Q2599" s="4">
        <f t="shared" si="40"/>
        <v>-50</v>
      </c>
      <c r="R2599" s="23" t="s">
        <v>109</v>
      </c>
    </row>
    <row r="2600" spans="1:18" x14ac:dyDescent="0.25">
      <c r="A2600" s="21">
        <v>45758</v>
      </c>
      <c r="B2600" s="1">
        <v>311282186</v>
      </c>
      <c r="C2600" t="s">
        <v>4951</v>
      </c>
      <c r="D2600" s="22">
        <v>-3244.92</v>
      </c>
      <c r="E2600" t="s">
        <v>35</v>
      </c>
      <c r="F2600" s="2">
        <v>212901001</v>
      </c>
      <c r="G2600" s="2" t="s">
        <v>121</v>
      </c>
      <c r="L2600" s="2" t="s">
        <v>4952</v>
      </c>
      <c r="M2600" t="s">
        <v>67</v>
      </c>
      <c r="N2600" t="s">
        <v>68</v>
      </c>
      <c r="P2600" s="23">
        <v>77.260000000000005</v>
      </c>
      <c r="Q2600" s="4">
        <f t="shared" si="40"/>
        <v>-42</v>
      </c>
      <c r="R2600" s="23" t="s">
        <v>109</v>
      </c>
    </row>
    <row r="2601" spans="1:18" x14ac:dyDescent="0.25">
      <c r="A2601" s="21">
        <v>45758</v>
      </c>
      <c r="B2601" s="1">
        <v>311282190</v>
      </c>
      <c r="C2601" t="s">
        <v>4953</v>
      </c>
      <c r="D2601" s="22">
        <v>-3863</v>
      </c>
      <c r="E2601" t="s">
        <v>35</v>
      </c>
      <c r="F2601" s="2">
        <v>212901001</v>
      </c>
      <c r="G2601" s="2" t="s">
        <v>121</v>
      </c>
      <c r="L2601" s="2" t="s">
        <v>4954</v>
      </c>
      <c r="M2601" t="s">
        <v>67</v>
      </c>
      <c r="N2601" t="s">
        <v>68</v>
      </c>
      <c r="P2601" s="23">
        <v>77.260000000000005</v>
      </c>
      <c r="Q2601" s="4">
        <f t="shared" si="40"/>
        <v>-50</v>
      </c>
      <c r="R2601" s="23" t="s">
        <v>109</v>
      </c>
    </row>
    <row r="2602" spans="1:18" x14ac:dyDescent="0.25">
      <c r="A2602" s="21">
        <v>45758</v>
      </c>
      <c r="B2602" s="1">
        <v>311282188</v>
      </c>
      <c r="C2602" t="s">
        <v>4955</v>
      </c>
      <c r="D2602" s="22">
        <v>-3863</v>
      </c>
      <c r="E2602" t="s">
        <v>35</v>
      </c>
      <c r="F2602" s="2">
        <v>212901001</v>
      </c>
      <c r="G2602" s="2" t="s">
        <v>121</v>
      </c>
      <c r="L2602" s="2" t="s">
        <v>4956</v>
      </c>
      <c r="M2602" t="s">
        <v>67</v>
      </c>
      <c r="N2602" t="s">
        <v>68</v>
      </c>
      <c r="P2602" s="23">
        <v>77.260000000000005</v>
      </c>
      <c r="Q2602" s="4">
        <f t="shared" si="40"/>
        <v>-50</v>
      </c>
      <c r="R2602" s="23" t="s">
        <v>109</v>
      </c>
    </row>
    <row r="2603" spans="1:18" x14ac:dyDescent="0.25">
      <c r="A2603" s="21">
        <v>45758</v>
      </c>
      <c r="B2603" s="1">
        <v>411282196</v>
      </c>
      <c r="C2603" t="s">
        <v>4957</v>
      </c>
      <c r="D2603" s="22">
        <v>-3863</v>
      </c>
      <c r="E2603" t="s">
        <v>35</v>
      </c>
      <c r="F2603" s="2">
        <v>212901001</v>
      </c>
      <c r="G2603" s="2" t="s">
        <v>121</v>
      </c>
      <c r="L2603" s="2" t="s">
        <v>4958</v>
      </c>
      <c r="M2603" t="s">
        <v>67</v>
      </c>
      <c r="N2603" t="s">
        <v>68</v>
      </c>
      <c r="P2603" s="23">
        <v>77.260000000000005</v>
      </c>
      <c r="Q2603" s="4">
        <f t="shared" si="40"/>
        <v>-50</v>
      </c>
      <c r="R2603" s="23" t="s">
        <v>109</v>
      </c>
    </row>
    <row r="2604" spans="1:18" x14ac:dyDescent="0.25">
      <c r="A2604" s="21">
        <v>45758</v>
      </c>
      <c r="B2604" s="1">
        <v>311282189</v>
      </c>
      <c r="C2604" t="s">
        <v>4959</v>
      </c>
      <c r="D2604" s="22">
        <v>-3244.92</v>
      </c>
      <c r="E2604" t="s">
        <v>35</v>
      </c>
      <c r="F2604" s="2">
        <v>212901001</v>
      </c>
      <c r="G2604" s="2" t="s">
        <v>121</v>
      </c>
      <c r="L2604" s="2" t="s">
        <v>4960</v>
      </c>
      <c r="M2604" t="s">
        <v>67</v>
      </c>
      <c r="N2604" t="s">
        <v>68</v>
      </c>
      <c r="P2604" s="23">
        <v>77.260000000000005</v>
      </c>
      <c r="Q2604" s="4">
        <f t="shared" si="40"/>
        <v>-42</v>
      </c>
      <c r="R2604" s="23" t="s">
        <v>109</v>
      </c>
    </row>
    <row r="2605" spans="1:18" x14ac:dyDescent="0.25">
      <c r="A2605" s="21">
        <v>45758</v>
      </c>
      <c r="B2605" s="1">
        <v>311282191</v>
      </c>
      <c r="C2605" t="s">
        <v>4949</v>
      </c>
      <c r="D2605" s="22">
        <v>-3863</v>
      </c>
      <c r="E2605" t="s">
        <v>35</v>
      </c>
      <c r="F2605" s="2">
        <v>212901001</v>
      </c>
      <c r="G2605" s="2" t="s">
        <v>121</v>
      </c>
      <c r="L2605" s="2" t="s">
        <v>4961</v>
      </c>
      <c r="M2605" t="s">
        <v>67</v>
      </c>
      <c r="N2605" t="s">
        <v>68</v>
      </c>
      <c r="P2605" s="23">
        <v>77.260000000000005</v>
      </c>
      <c r="Q2605" s="4">
        <f t="shared" si="40"/>
        <v>-50</v>
      </c>
      <c r="R2605" s="23" t="s">
        <v>109</v>
      </c>
    </row>
    <row r="2606" spans="1:18" x14ac:dyDescent="0.25">
      <c r="A2606" s="21">
        <v>45758</v>
      </c>
      <c r="B2606" s="1">
        <v>411282195</v>
      </c>
      <c r="C2606" t="s">
        <v>4962</v>
      </c>
      <c r="D2606" s="22">
        <v>-3863</v>
      </c>
      <c r="E2606" t="s">
        <v>35</v>
      </c>
      <c r="F2606" s="2">
        <v>212901001</v>
      </c>
      <c r="G2606" s="2" t="s">
        <v>121</v>
      </c>
      <c r="L2606" s="2" t="s">
        <v>4963</v>
      </c>
      <c r="M2606" t="s">
        <v>67</v>
      </c>
      <c r="N2606" t="s">
        <v>68</v>
      </c>
      <c r="P2606" s="23">
        <v>77.260000000000005</v>
      </c>
      <c r="Q2606" s="4">
        <f t="shared" si="40"/>
        <v>-50</v>
      </c>
      <c r="R2606" s="23" t="s">
        <v>109</v>
      </c>
    </row>
    <row r="2607" spans="1:18" x14ac:dyDescent="0.25">
      <c r="A2607" s="21">
        <v>45758</v>
      </c>
      <c r="B2607" s="1">
        <v>411282197</v>
      </c>
      <c r="C2607" t="s">
        <v>4964</v>
      </c>
      <c r="D2607" s="22">
        <v>-3863</v>
      </c>
      <c r="E2607" t="s">
        <v>35</v>
      </c>
      <c r="F2607" s="2">
        <v>212901001</v>
      </c>
      <c r="G2607" s="2" t="s">
        <v>121</v>
      </c>
      <c r="L2607" s="2" t="s">
        <v>4965</v>
      </c>
      <c r="M2607" t="s">
        <v>67</v>
      </c>
      <c r="N2607" t="s">
        <v>68</v>
      </c>
      <c r="P2607" s="23">
        <v>77.260000000000005</v>
      </c>
      <c r="Q2607" s="4">
        <f t="shared" si="40"/>
        <v>-50</v>
      </c>
      <c r="R2607" s="23" t="s">
        <v>109</v>
      </c>
    </row>
    <row r="2608" spans="1:18" x14ac:dyDescent="0.25">
      <c r="A2608" s="21">
        <v>45758</v>
      </c>
      <c r="B2608" s="1">
        <v>411282198</v>
      </c>
      <c r="C2608" t="s">
        <v>4966</v>
      </c>
      <c r="D2608" s="22">
        <v>-2626.84</v>
      </c>
      <c r="E2608" t="s">
        <v>35</v>
      </c>
      <c r="F2608" s="2">
        <v>212901001</v>
      </c>
      <c r="G2608" s="2" t="s">
        <v>121</v>
      </c>
      <c r="L2608" s="2" t="s">
        <v>4967</v>
      </c>
      <c r="M2608" t="s">
        <v>67</v>
      </c>
      <c r="N2608" t="s">
        <v>68</v>
      </c>
      <c r="P2608" s="23">
        <v>77.260000000000005</v>
      </c>
      <c r="Q2608" s="4">
        <f t="shared" si="40"/>
        <v>-34</v>
      </c>
      <c r="R2608" s="23" t="s">
        <v>109</v>
      </c>
    </row>
    <row r="2609" spans="1:20" x14ac:dyDescent="0.25">
      <c r="A2609" s="21">
        <v>45758</v>
      </c>
      <c r="B2609" s="1">
        <v>411282199</v>
      </c>
      <c r="C2609" t="s">
        <v>4968</v>
      </c>
      <c r="D2609" s="22">
        <v>-3863</v>
      </c>
      <c r="E2609" t="s">
        <v>35</v>
      </c>
      <c r="F2609" s="2">
        <v>212901001</v>
      </c>
      <c r="G2609" s="2" t="s">
        <v>121</v>
      </c>
      <c r="L2609" s="2" t="s">
        <v>4969</v>
      </c>
      <c r="M2609" t="s">
        <v>67</v>
      </c>
      <c r="N2609" t="s">
        <v>68</v>
      </c>
      <c r="P2609" s="23">
        <v>77.260000000000005</v>
      </c>
      <c r="Q2609" s="4">
        <f t="shared" si="40"/>
        <v>-50</v>
      </c>
      <c r="R2609" s="23" t="s">
        <v>109</v>
      </c>
    </row>
    <row r="2610" spans="1:20" x14ac:dyDescent="0.25">
      <c r="A2610" s="21">
        <v>45758</v>
      </c>
      <c r="B2610" s="1">
        <v>411282201</v>
      </c>
      <c r="C2610" t="s">
        <v>4970</v>
      </c>
      <c r="D2610" s="22">
        <v>-3863</v>
      </c>
      <c r="E2610" t="s">
        <v>35</v>
      </c>
      <c r="F2610" s="2">
        <v>212901001</v>
      </c>
      <c r="G2610" s="2" t="s">
        <v>121</v>
      </c>
      <c r="L2610" s="2" t="s">
        <v>4971</v>
      </c>
      <c r="M2610" t="s">
        <v>67</v>
      </c>
      <c r="N2610" t="s">
        <v>68</v>
      </c>
      <c r="P2610" s="23">
        <v>77.260000000000005</v>
      </c>
      <c r="Q2610" s="4">
        <f t="shared" si="40"/>
        <v>-50</v>
      </c>
      <c r="R2610" s="23" t="s">
        <v>109</v>
      </c>
    </row>
    <row r="2611" spans="1:20" x14ac:dyDescent="0.25">
      <c r="A2611" s="21">
        <v>45758</v>
      </c>
      <c r="B2611" s="1">
        <v>411282200</v>
      </c>
      <c r="C2611" t="s">
        <v>4972</v>
      </c>
      <c r="D2611" s="22">
        <v>-3863</v>
      </c>
      <c r="E2611" t="s">
        <v>35</v>
      </c>
      <c r="F2611" s="2">
        <v>212901001</v>
      </c>
      <c r="G2611" s="2" t="s">
        <v>121</v>
      </c>
      <c r="L2611" s="2" t="s">
        <v>4973</v>
      </c>
      <c r="M2611" t="s">
        <v>67</v>
      </c>
      <c r="N2611" t="s">
        <v>68</v>
      </c>
      <c r="P2611" s="23">
        <v>77.260000000000005</v>
      </c>
      <c r="Q2611" s="4">
        <f t="shared" si="40"/>
        <v>-50</v>
      </c>
      <c r="R2611" s="23" t="s">
        <v>109</v>
      </c>
    </row>
    <row r="2612" spans="1:20" x14ac:dyDescent="0.25">
      <c r="A2612" s="21">
        <v>45758</v>
      </c>
      <c r="B2612" s="1">
        <v>411282202</v>
      </c>
      <c r="C2612" t="s">
        <v>4974</v>
      </c>
      <c r="D2612" s="22">
        <v>-3863</v>
      </c>
      <c r="E2612" t="s">
        <v>35</v>
      </c>
      <c r="F2612" s="2">
        <v>212901001</v>
      </c>
      <c r="G2612" s="2" t="s">
        <v>121</v>
      </c>
      <c r="L2612" s="2" t="s">
        <v>4975</v>
      </c>
      <c r="M2612" t="s">
        <v>67</v>
      </c>
      <c r="N2612" t="s">
        <v>68</v>
      </c>
      <c r="P2612" s="23">
        <v>77.260000000000005</v>
      </c>
      <c r="Q2612" s="4">
        <f t="shared" si="40"/>
        <v>-50</v>
      </c>
      <c r="R2612" s="23" t="s">
        <v>109</v>
      </c>
    </row>
    <row r="2613" spans="1:20" x14ac:dyDescent="0.25">
      <c r="A2613" s="21">
        <v>45758</v>
      </c>
      <c r="B2613" s="1">
        <v>411282203</v>
      </c>
      <c r="C2613" t="s">
        <v>4976</v>
      </c>
      <c r="D2613" s="22">
        <v>-3863</v>
      </c>
      <c r="E2613" t="s">
        <v>35</v>
      </c>
      <c r="F2613" s="2">
        <v>212901001</v>
      </c>
      <c r="G2613" s="2" t="s">
        <v>121</v>
      </c>
      <c r="L2613" s="2" t="s">
        <v>4977</v>
      </c>
      <c r="M2613" t="s">
        <v>67</v>
      </c>
      <c r="N2613" t="s">
        <v>68</v>
      </c>
      <c r="P2613" s="23">
        <v>77.260000000000005</v>
      </c>
      <c r="Q2613" s="4">
        <f t="shared" si="40"/>
        <v>-50</v>
      </c>
      <c r="R2613" s="23" t="s">
        <v>109</v>
      </c>
    </row>
    <row r="2614" spans="1:20" x14ac:dyDescent="0.25">
      <c r="A2614" s="21">
        <v>45758</v>
      </c>
      <c r="B2614" s="1">
        <v>511282204</v>
      </c>
      <c r="C2614" t="s">
        <v>4978</v>
      </c>
      <c r="D2614" s="22">
        <v>-1545.2</v>
      </c>
      <c r="E2614" t="s">
        <v>35</v>
      </c>
      <c r="F2614" s="2">
        <v>212901001</v>
      </c>
      <c r="G2614" s="2" t="s">
        <v>121</v>
      </c>
      <c r="L2614" s="2" t="s">
        <v>4979</v>
      </c>
      <c r="M2614" t="s">
        <v>67</v>
      </c>
      <c r="N2614" t="s">
        <v>68</v>
      </c>
      <c r="P2614" s="23">
        <v>77.260000000000005</v>
      </c>
      <c r="Q2614" s="4">
        <f t="shared" si="40"/>
        <v>-20</v>
      </c>
      <c r="R2614" s="23" t="s">
        <v>109</v>
      </c>
    </row>
    <row r="2615" spans="1:20" x14ac:dyDescent="0.25">
      <c r="A2615" s="21">
        <v>45758</v>
      </c>
      <c r="B2615" s="1">
        <v>511282206</v>
      </c>
      <c r="C2615" t="s">
        <v>4980</v>
      </c>
      <c r="D2615" s="22">
        <v>-1545.2</v>
      </c>
      <c r="E2615" t="s">
        <v>35</v>
      </c>
      <c r="F2615" s="2">
        <v>212901001</v>
      </c>
      <c r="G2615" s="2" t="s">
        <v>121</v>
      </c>
      <c r="L2615" s="2" t="s">
        <v>4981</v>
      </c>
      <c r="M2615" t="s">
        <v>67</v>
      </c>
      <c r="N2615" t="s">
        <v>68</v>
      </c>
      <c r="P2615" s="23">
        <v>77.260000000000005</v>
      </c>
      <c r="Q2615" s="4">
        <f t="shared" si="40"/>
        <v>-20</v>
      </c>
      <c r="R2615" s="23" t="s">
        <v>109</v>
      </c>
    </row>
    <row r="2616" spans="1:20" x14ac:dyDescent="0.25">
      <c r="A2616" s="21">
        <v>45758</v>
      </c>
      <c r="B2616" s="1">
        <v>511282210</v>
      </c>
      <c r="C2616" t="s">
        <v>4982</v>
      </c>
      <c r="D2616" s="22">
        <v>-7726</v>
      </c>
      <c r="E2616" t="s">
        <v>35</v>
      </c>
      <c r="F2616" s="2">
        <v>212901001</v>
      </c>
      <c r="G2616" s="2" t="s">
        <v>121</v>
      </c>
      <c r="L2616" s="2" t="s">
        <v>4983</v>
      </c>
      <c r="M2616" t="s">
        <v>67</v>
      </c>
      <c r="N2616" t="s">
        <v>68</v>
      </c>
      <c r="P2616" s="23">
        <v>77.260000000000005</v>
      </c>
      <c r="Q2616" s="4">
        <f t="shared" si="40"/>
        <v>-100</v>
      </c>
      <c r="R2616" s="23" t="s">
        <v>109</v>
      </c>
    </row>
    <row r="2617" spans="1:20" x14ac:dyDescent="0.25">
      <c r="A2617" s="21">
        <v>45758</v>
      </c>
      <c r="B2617" s="1">
        <v>511282209</v>
      </c>
      <c r="C2617" t="s">
        <v>4984</v>
      </c>
      <c r="D2617" s="22">
        <v>-1545.2</v>
      </c>
      <c r="E2617" t="s">
        <v>35</v>
      </c>
      <c r="F2617" s="2">
        <v>212901001</v>
      </c>
      <c r="G2617" s="2" t="s">
        <v>121</v>
      </c>
      <c r="L2617" s="2" t="s">
        <v>4985</v>
      </c>
      <c r="M2617" t="s">
        <v>67</v>
      </c>
      <c r="N2617" t="s">
        <v>68</v>
      </c>
      <c r="P2617" s="23">
        <v>77.260000000000005</v>
      </c>
      <c r="Q2617" s="4">
        <f t="shared" si="40"/>
        <v>-20</v>
      </c>
      <c r="R2617" s="23" t="s">
        <v>109</v>
      </c>
    </row>
    <row r="2618" spans="1:20" x14ac:dyDescent="0.25">
      <c r="A2618" s="21">
        <v>45758</v>
      </c>
      <c r="B2618" s="1">
        <v>511282207</v>
      </c>
      <c r="C2618" t="s">
        <v>4986</v>
      </c>
      <c r="D2618" s="22">
        <v>-1545.2</v>
      </c>
      <c r="E2618" t="s">
        <v>35</v>
      </c>
      <c r="F2618" s="2">
        <v>212901001</v>
      </c>
      <c r="G2618" s="2" t="s">
        <v>121</v>
      </c>
      <c r="L2618" s="2" t="s">
        <v>4987</v>
      </c>
      <c r="M2618" t="s">
        <v>67</v>
      </c>
      <c r="N2618" t="s">
        <v>68</v>
      </c>
      <c r="P2618" s="23">
        <v>77.260000000000005</v>
      </c>
      <c r="Q2618" s="4">
        <f t="shared" si="40"/>
        <v>-20</v>
      </c>
      <c r="R2618" s="23" t="s">
        <v>109</v>
      </c>
    </row>
    <row r="2619" spans="1:20" x14ac:dyDescent="0.25">
      <c r="A2619" s="21">
        <v>45758</v>
      </c>
      <c r="B2619" s="1">
        <v>511282211</v>
      </c>
      <c r="C2619" t="s">
        <v>4988</v>
      </c>
      <c r="D2619" s="22">
        <v>-15452</v>
      </c>
      <c r="E2619" t="s">
        <v>35</v>
      </c>
      <c r="F2619" s="2">
        <v>212901001</v>
      </c>
      <c r="G2619" s="2" t="s">
        <v>121</v>
      </c>
      <c r="L2619" s="2" t="s">
        <v>4989</v>
      </c>
      <c r="M2619" t="s">
        <v>67</v>
      </c>
      <c r="N2619" t="s">
        <v>68</v>
      </c>
      <c r="P2619" s="23">
        <v>77.260000000000005</v>
      </c>
      <c r="Q2619" s="4">
        <f t="shared" si="40"/>
        <v>-200</v>
      </c>
      <c r="R2619" s="23" t="s">
        <v>109</v>
      </c>
    </row>
    <row r="2620" spans="1:20" x14ac:dyDescent="0.25">
      <c r="A2620" s="21">
        <v>45758</v>
      </c>
      <c r="B2620" s="1">
        <v>511282212</v>
      </c>
      <c r="C2620" t="s">
        <v>4990</v>
      </c>
      <c r="D2620" s="22">
        <v>-9425.7199999999993</v>
      </c>
      <c r="E2620" t="s">
        <v>35</v>
      </c>
      <c r="F2620" s="2">
        <v>212901001</v>
      </c>
      <c r="G2620" s="2" t="s">
        <v>121</v>
      </c>
      <c r="L2620" s="2" t="s">
        <v>4991</v>
      </c>
      <c r="M2620" t="s">
        <v>67</v>
      </c>
      <c r="N2620" t="s">
        <v>68</v>
      </c>
      <c r="P2620" s="23">
        <v>77.260000000000005</v>
      </c>
      <c r="Q2620" s="4">
        <f t="shared" si="40"/>
        <v>-121.99999999999999</v>
      </c>
      <c r="R2620" s="23" t="s">
        <v>109</v>
      </c>
    </row>
    <row r="2621" spans="1:20" x14ac:dyDescent="0.25">
      <c r="A2621" s="21">
        <v>45758</v>
      </c>
      <c r="B2621" s="1">
        <v>611282214</v>
      </c>
      <c r="C2621" t="s">
        <v>4992</v>
      </c>
      <c r="D2621" s="22">
        <v>-3090.4</v>
      </c>
      <c r="E2621" t="s">
        <v>35</v>
      </c>
      <c r="F2621" s="2">
        <v>212901001</v>
      </c>
      <c r="G2621" s="2" t="s">
        <v>121</v>
      </c>
      <c r="L2621" s="2" t="s">
        <v>4993</v>
      </c>
      <c r="M2621" t="s">
        <v>67</v>
      </c>
      <c r="N2621" t="s">
        <v>68</v>
      </c>
      <c r="P2621" s="23">
        <v>77.260000000000005</v>
      </c>
      <c r="Q2621" s="4">
        <f t="shared" si="40"/>
        <v>-40</v>
      </c>
      <c r="R2621" s="23" t="s">
        <v>109</v>
      </c>
    </row>
    <row r="2622" spans="1:20" x14ac:dyDescent="0.25">
      <c r="A2622" s="21">
        <v>45758</v>
      </c>
      <c r="B2622" s="1">
        <v>511282213</v>
      </c>
      <c r="C2622" t="s">
        <v>4994</v>
      </c>
      <c r="D2622" s="22">
        <v>-2317.8000000000002</v>
      </c>
      <c r="E2622" t="s">
        <v>35</v>
      </c>
      <c r="F2622" s="2">
        <v>212901001</v>
      </c>
      <c r="G2622" s="2" t="s">
        <v>121</v>
      </c>
      <c r="L2622" s="2" t="s">
        <v>4995</v>
      </c>
      <c r="M2622" t="s">
        <v>67</v>
      </c>
      <c r="N2622" t="s">
        <v>68</v>
      </c>
      <c r="P2622" s="23">
        <v>77.260000000000005</v>
      </c>
      <c r="Q2622" s="4">
        <f t="shared" si="40"/>
        <v>-30</v>
      </c>
      <c r="R2622" s="23" t="s">
        <v>109</v>
      </c>
    </row>
    <row r="2623" spans="1:20" x14ac:dyDescent="0.25">
      <c r="A2623" s="21">
        <v>45758</v>
      </c>
      <c r="B2623" s="1">
        <v>50441894</v>
      </c>
      <c r="C2623" t="s">
        <v>4996</v>
      </c>
      <c r="D2623" s="22">
        <v>-10816.4</v>
      </c>
      <c r="E2623" t="s">
        <v>35</v>
      </c>
      <c r="F2623" s="2">
        <v>212901001</v>
      </c>
      <c r="G2623" s="2" t="s">
        <v>121</v>
      </c>
      <c r="L2623" s="2" t="s">
        <v>4997</v>
      </c>
      <c r="M2623" t="s">
        <v>67</v>
      </c>
      <c r="N2623" t="s">
        <v>68</v>
      </c>
      <c r="P2623" s="23">
        <v>77.260000000000005</v>
      </c>
      <c r="Q2623" s="4">
        <f t="shared" si="40"/>
        <v>-140</v>
      </c>
      <c r="R2623" s="23" t="s">
        <v>109</v>
      </c>
    </row>
    <row r="2624" spans="1:20" x14ac:dyDescent="0.25">
      <c r="A2624" s="21">
        <v>45758</v>
      </c>
      <c r="B2624" s="1">
        <v>50441894</v>
      </c>
      <c r="C2624" t="s">
        <v>296</v>
      </c>
      <c r="D2624" s="22">
        <v>-16.22</v>
      </c>
      <c r="E2624" t="s">
        <v>35</v>
      </c>
      <c r="F2624" s="2">
        <v>610148001</v>
      </c>
      <c r="G2624" s="2" t="s">
        <v>42</v>
      </c>
      <c r="L2624" s="2" t="s">
        <v>4998</v>
      </c>
      <c r="M2624" t="s">
        <v>43</v>
      </c>
      <c r="N2624" t="s">
        <v>42</v>
      </c>
      <c r="P2624" s="23">
        <v>77.260000000000005</v>
      </c>
      <c r="Q2624" s="4">
        <f t="shared" si="40"/>
        <v>-0.20994046078177581</v>
      </c>
      <c r="R2624" s="23" t="s">
        <v>109</v>
      </c>
      <c r="T2624" s="23" t="s">
        <v>4558</v>
      </c>
    </row>
    <row r="2625" spans="1:23" x14ac:dyDescent="0.25">
      <c r="A2625" s="21">
        <v>45758</v>
      </c>
      <c r="B2625" s="1">
        <v>50441894</v>
      </c>
      <c r="C2625" t="s">
        <v>118</v>
      </c>
      <c r="D2625" s="22">
        <v>-861.44</v>
      </c>
      <c r="E2625" t="s">
        <v>35</v>
      </c>
      <c r="F2625" s="2">
        <v>610148001</v>
      </c>
      <c r="G2625" s="2" t="s">
        <v>42</v>
      </c>
      <c r="L2625" s="2" t="s">
        <v>4999</v>
      </c>
      <c r="M2625" t="s">
        <v>43</v>
      </c>
      <c r="N2625" t="s">
        <v>42</v>
      </c>
      <c r="P2625" s="23">
        <v>77.260000000000005</v>
      </c>
      <c r="Q2625" s="4">
        <f t="shared" si="40"/>
        <v>-11.149883510225214</v>
      </c>
      <c r="R2625" s="23" t="s">
        <v>109</v>
      </c>
      <c r="T2625" s="23" t="s">
        <v>4558</v>
      </c>
    </row>
    <row r="2626" spans="1:23" x14ac:dyDescent="0.25">
      <c r="A2626" s="21">
        <v>45758</v>
      </c>
      <c r="B2626" s="1">
        <v>140501270</v>
      </c>
      <c r="C2626" t="s">
        <v>107</v>
      </c>
      <c r="D2626" s="22">
        <v>60000</v>
      </c>
      <c r="E2626" t="s">
        <v>46</v>
      </c>
      <c r="F2626" s="2">
        <v>210115002</v>
      </c>
      <c r="G2626" s="2" t="s">
        <v>47</v>
      </c>
      <c r="L2626" s="2" t="s">
        <v>5000</v>
      </c>
      <c r="N2626" t="s">
        <v>107</v>
      </c>
      <c r="P2626" s="23">
        <v>77.260000000000005</v>
      </c>
      <c r="Q2626" s="4">
        <f t="shared" si="40"/>
        <v>776.59849857623601</v>
      </c>
      <c r="R2626" s="23" t="s">
        <v>109</v>
      </c>
    </row>
    <row r="2627" spans="1:23" x14ac:dyDescent="0.25">
      <c r="A2627" s="21">
        <v>45758</v>
      </c>
      <c r="B2627" s="1">
        <v>211293059</v>
      </c>
      <c r="C2627" t="s">
        <v>5001</v>
      </c>
      <c r="D2627" s="22">
        <v>-50110.77</v>
      </c>
      <c r="E2627" t="s">
        <v>35</v>
      </c>
      <c r="F2627" s="2">
        <v>210101001</v>
      </c>
      <c r="G2627" s="2" t="s">
        <v>36</v>
      </c>
      <c r="L2627" s="2" t="s">
        <v>5002</v>
      </c>
      <c r="M2627" t="s">
        <v>303</v>
      </c>
      <c r="N2627" t="s">
        <v>304</v>
      </c>
      <c r="P2627" s="23">
        <v>77.260000000000005</v>
      </c>
      <c r="Q2627" s="4">
        <f t="shared" si="40"/>
        <v>-648.59914574165145</v>
      </c>
      <c r="R2627" s="23" t="s">
        <v>109</v>
      </c>
    </row>
    <row r="2628" spans="1:23" x14ac:dyDescent="0.25">
      <c r="A2628" s="21">
        <v>45758</v>
      </c>
      <c r="B2628" s="1">
        <v>211293057</v>
      </c>
      <c r="C2628" t="s">
        <v>5003</v>
      </c>
      <c r="D2628" s="22">
        <v>-3863</v>
      </c>
      <c r="E2628" t="s">
        <v>35</v>
      </c>
      <c r="F2628" s="2">
        <v>212901001</v>
      </c>
      <c r="G2628" s="2" t="s">
        <v>121</v>
      </c>
      <c r="L2628" s="2" t="s">
        <v>5004</v>
      </c>
      <c r="M2628" t="s">
        <v>67</v>
      </c>
      <c r="N2628" t="s">
        <v>68</v>
      </c>
      <c r="P2628" s="23">
        <v>77.260000000000005</v>
      </c>
      <c r="Q2628" s="4">
        <f t="shared" si="40"/>
        <v>-50</v>
      </c>
      <c r="R2628" s="23" t="s">
        <v>109</v>
      </c>
    </row>
    <row r="2629" spans="1:23" x14ac:dyDescent="0.25">
      <c r="A2629" s="21">
        <v>45758</v>
      </c>
      <c r="B2629" s="1">
        <v>211293058</v>
      </c>
      <c r="C2629" t="s">
        <v>5005</v>
      </c>
      <c r="D2629" s="22">
        <v>-3357.46</v>
      </c>
      <c r="E2629" t="s">
        <v>35</v>
      </c>
      <c r="F2629" s="2">
        <v>110114001</v>
      </c>
      <c r="G2629" s="2" t="s">
        <v>301</v>
      </c>
      <c r="L2629" s="2" t="s">
        <v>5006</v>
      </c>
      <c r="M2629" t="s">
        <v>114</v>
      </c>
      <c r="N2629" t="s">
        <v>115</v>
      </c>
      <c r="P2629" s="23">
        <v>77.260000000000005</v>
      </c>
      <c r="Q2629" s="4">
        <f t="shared" si="40"/>
        <v>-43.456639917162825</v>
      </c>
      <c r="R2629" s="23" t="s">
        <v>109</v>
      </c>
      <c r="S2629" s="33" t="s">
        <v>3147</v>
      </c>
    </row>
    <row r="2630" spans="1:23" x14ac:dyDescent="0.25">
      <c r="A2630" s="21">
        <v>45758</v>
      </c>
      <c r="B2630" s="1">
        <v>50489095</v>
      </c>
      <c r="C2630" t="s">
        <v>118</v>
      </c>
      <c r="D2630" s="22">
        <v>-143.32</v>
      </c>
      <c r="E2630" t="s">
        <v>35</v>
      </c>
      <c r="F2630" s="2">
        <v>610148001</v>
      </c>
      <c r="G2630" s="2" t="s">
        <v>42</v>
      </c>
      <c r="L2630" s="2" t="s">
        <v>5007</v>
      </c>
      <c r="M2630" t="s">
        <v>43</v>
      </c>
      <c r="N2630" t="s">
        <v>42</v>
      </c>
      <c r="P2630" s="23">
        <v>77.260000000000005</v>
      </c>
      <c r="Q2630" s="4">
        <f t="shared" si="40"/>
        <v>-1.8550349469324356</v>
      </c>
      <c r="R2630" s="23" t="s">
        <v>109</v>
      </c>
      <c r="T2630" s="23" t="s">
        <v>4558</v>
      </c>
    </row>
    <row r="2631" spans="1:23" x14ac:dyDescent="0.25">
      <c r="A2631" s="21">
        <v>45761</v>
      </c>
      <c r="B2631" s="1">
        <v>213563431</v>
      </c>
      <c r="C2631" t="s">
        <v>5008</v>
      </c>
      <c r="D2631" s="22">
        <v>6908.22</v>
      </c>
      <c r="E2631" t="s">
        <v>46</v>
      </c>
      <c r="F2631" s="2">
        <v>110106001</v>
      </c>
      <c r="G2631" s="2" t="s">
        <v>2034</v>
      </c>
      <c r="L2631" s="2" t="s">
        <v>5009</v>
      </c>
      <c r="N2631" t="s">
        <v>5010</v>
      </c>
      <c r="P2631" s="23">
        <v>78.36</v>
      </c>
      <c r="Q2631" s="4">
        <f t="shared" si="40"/>
        <v>88.160030627871365</v>
      </c>
      <c r="R2631" s="23" t="s">
        <v>109</v>
      </c>
    </row>
    <row r="2632" spans="1:23" x14ac:dyDescent="0.25">
      <c r="A2632" s="21">
        <v>45761</v>
      </c>
      <c r="B2632" s="1">
        <v>213563431</v>
      </c>
      <c r="C2632" t="s">
        <v>2037</v>
      </c>
      <c r="D2632" s="22">
        <v>-103.62</v>
      </c>
      <c r="E2632" t="s">
        <v>35</v>
      </c>
      <c r="F2632" s="2">
        <v>610148001</v>
      </c>
      <c r="G2632" s="2" t="s">
        <v>42</v>
      </c>
      <c r="L2632" s="2" t="s">
        <v>5011</v>
      </c>
      <c r="M2632" t="s">
        <v>43</v>
      </c>
      <c r="N2632" t="s">
        <v>42</v>
      </c>
      <c r="P2632" s="23">
        <v>78.36</v>
      </c>
      <c r="Q2632" s="4">
        <f t="shared" si="40"/>
        <v>-1.3223583460949464</v>
      </c>
      <c r="R2632" s="23" t="s">
        <v>109</v>
      </c>
      <c r="T2632" s="23" t="s">
        <v>4558</v>
      </c>
    </row>
    <row r="2633" spans="1:23" x14ac:dyDescent="0.25">
      <c r="A2633" s="21">
        <v>45761</v>
      </c>
      <c r="B2633" s="1">
        <v>112235891</v>
      </c>
      <c r="C2633" t="s">
        <v>5012</v>
      </c>
      <c r="D2633" s="22">
        <v>-3291.12</v>
      </c>
      <c r="E2633" t="s">
        <v>35</v>
      </c>
      <c r="F2633" s="2">
        <v>210101001</v>
      </c>
      <c r="G2633" s="2" t="s">
        <v>5013</v>
      </c>
      <c r="L2633" s="2" t="s">
        <v>5014</v>
      </c>
      <c r="M2633" t="s">
        <v>5015</v>
      </c>
      <c r="N2633" t="s">
        <v>1240</v>
      </c>
      <c r="P2633" s="23">
        <v>78.36</v>
      </c>
      <c r="Q2633" s="4">
        <f t="shared" si="40"/>
        <v>-42</v>
      </c>
      <c r="R2633" s="23" t="s">
        <v>109</v>
      </c>
    </row>
    <row r="2634" spans="1:23" x14ac:dyDescent="0.25">
      <c r="A2634" s="21">
        <v>45761</v>
      </c>
      <c r="B2634" s="1">
        <v>50457908</v>
      </c>
      <c r="C2634" t="s">
        <v>107</v>
      </c>
      <c r="D2634" s="22">
        <v>310000</v>
      </c>
      <c r="E2634" t="s">
        <v>46</v>
      </c>
      <c r="F2634" s="2">
        <v>210115002</v>
      </c>
      <c r="G2634" s="2" t="s">
        <v>47</v>
      </c>
      <c r="L2634" s="2" t="s">
        <v>5016</v>
      </c>
      <c r="N2634" t="s">
        <v>107</v>
      </c>
      <c r="P2634" s="23">
        <v>78.36</v>
      </c>
      <c r="Q2634" s="4">
        <f t="shared" si="40"/>
        <v>3956.1000510464523</v>
      </c>
      <c r="R2634" s="23" t="s">
        <v>109</v>
      </c>
    </row>
    <row r="2635" spans="1:23" x14ac:dyDescent="0.25">
      <c r="A2635" s="21">
        <v>45761</v>
      </c>
      <c r="B2635" s="1">
        <v>711430718</v>
      </c>
      <c r="C2635" t="s">
        <v>5017</v>
      </c>
      <c r="D2635" s="22">
        <v>-7406.59</v>
      </c>
      <c r="E2635" t="s">
        <v>35</v>
      </c>
      <c r="F2635" s="2">
        <v>212901001</v>
      </c>
      <c r="G2635" s="2" t="s">
        <v>121</v>
      </c>
      <c r="L2635" s="2" t="s">
        <v>5018</v>
      </c>
      <c r="M2635" t="s">
        <v>67</v>
      </c>
      <c r="N2635" t="s">
        <v>68</v>
      </c>
      <c r="P2635" s="23">
        <v>78.36</v>
      </c>
      <c r="Q2635" s="4">
        <f t="shared" ref="Q2635:Q2698" si="41">D2635/P2635</f>
        <v>-94.52003573251659</v>
      </c>
      <c r="R2635" s="23" t="s">
        <v>109</v>
      </c>
      <c r="U2635">
        <v>9</v>
      </c>
      <c r="V2635" t="e">
        <f>VLOOKUP(U2635,[1]!NOMINA[#Data],4,FALSE)</f>
        <v>#REF!</v>
      </c>
      <c r="W2635" t="e">
        <f>VLOOKUP(U2635,[1]!NOMINA[#Data],5,FALSE)</f>
        <v>#REF!</v>
      </c>
    </row>
    <row r="2636" spans="1:23" x14ac:dyDescent="0.25">
      <c r="A2636" s="21">
        <v>45761</v>
      </c>
      <c r="B2636" s="1">
        <v>711430719</v>
      </c>
      <c r="C2636" t="s">
        <v>5019</v>
      </c>
      <c r="D2636" s="22">
        <v>-3056.04</v>
      </c>
      <c r="E2636" t="s">
        <v>35</v>
      </c>
      <c r="F2636" s="2">
        <v>212901001</v>
      </c>
      <c r="G2636" s="2" t="s">
        <v>121</v>
      </c>
      <c r="L2636" s="2" t="s">
        <v>5020</v>
      </c>
      <c r="M2636" t="s">
        <v>67</v>
      </c>
      <c r="N2636" t="s">
        <v>68</v>
      </c>
      <c r="P2636" s="23">
        <v>78.36</v>
      </c>
      <c r="Q2636" s="4">
        <f t="shared" si="41"/>
        <v>-39</v>
      </c>
      <c r="R2636" s="23" t="s">
        <v>109</v>
      </c>
      <c r="U2636">
        <v>26</v>
      </c>
      <c r="V2636" t="e">
        <f>VLOOKUP(Tabla3[[#This Row],[Nº]],[1]!NOMINA[#Data],4,FALSE)</f>
        <v>#REF!</v>
      </c>
      <c r="W2636" t="e">
        <f>VLOOKUP(Tabla3[[#This Row],[Nº]],[1]!NOMINA[#Data],5,FALSE)</f>
        <v>#REF!</v>
      </c>
    </row>
    <row r="2637" spans="1:23" x14ac:dyDescent="0.25">
      <c r="A2637" s="21">
        <v>45761</v>
      </c>
      <c r="B2637" s="1">
        <v>711430720</v>
      </c>
      <c r="C2637" t="s">
        <v>5021</v>
      </c>
      <c r="D2637" s="22">
        <v>-1232.5999999999999</v>
      </c>
      <c r="E2637" t="s">
        <v>35</v>
      </c>
      <c r="F2637" s="2">
        <v>212901001</v>
      </c>
      <c r="G2637" s="2" t="s">
        <v>121</v>
      </c>
      <c r="L2637" s="2" t="s">
        <v>5022</v>
      </c>
      <c r="M2637" t="s">
        <v>67</v>
      </c>
      <c r="N2637" t="s">
        <v>68</v>
      </c>
      <c r="P2637" s="23">
        <v>78.36</v>
      </c>
      <c r="Q2637" s="4">
        <f t="shared" si="41"/>
        <v>-15.729964267483409</v>
      </c>
      <c r="R2637" s="23" t="s">
        <v>109</v>
      </c>
      <c r="U2637">
        <v>29</v>
      </c>
      <c r="V2637" t="e">
        <f>VLOOKUP(U2637,[1]!NOMINA[#Data],4,FALSE)</f>
        <v>#REF!</v>
      </c>
      <c r="W2637" t="e">
        <f>VLOOKUP(U2637,[1]!NOMINA[#Data],5,FALSE)</f>
        <v>#REF!</v>
      </c>
    </row>
    <row r="2638" spans="1:23" x14ac:dyDescent="0.25">
      <c r="A2638" s="21">
        <v>45761</v>
      </c>
      <c r="B2638" s="1">
        <v>811430723</v>
      </c>
      <c r="C2638" t="s">
        <v>5023</v>
      </c>
      <c r="D2638" s="22">
        <v>-6631.61</v>
      </c>
      <c r="E2638" t="s">
        <v>35</v>
      </c>
      <c r="F2638" s="2">
        <v>212901001</v>
      </c>
      <c r="G2638" s="2" t="s">
        <v>121</v>
      </c>
      <c r="L2638" s="2" t="s">
        <v>5024</v>
      </c>
      <c r="M2638" t="s">
        <v>67</v>
      </c>
      <c r="N2638" t="s">
        <v>68</v>
      </c>
      <c r="P2638" s="23">
        <v>78.36</v>
      </c>
      <c r="Q2638" s="4">
        <f t="shared" si="41"/>
        <v>-84.630040837161815</v>
      </c>
      <c r="R2638" s="23" t="s">
        <v>109</v>
      </c>
      <c r="U2638">
        <v>18</v>
      </c>
      <c r="V2638" t="e">
        <f>VLOOKUP(Tabla3[[#This Row],[Nº]],[1]!NOMINA[#Data],4,FALSE)</f>
        <v>#REF!</v>
      </c>
      <c r="W2638" t="e">
        <f>VLOOKUP(Tabla3[[#This Row],[Nº]],[1]!NOMINA[#Data],5,FALSE)</f>
        <v>#REF!</v>
      </c>
    </row>
    <row r="2639" spans="1:23" x14ac:dyDescent="0.25">
      <c r="A2639" s="21">
        <v>45761</v>
      </c>
      <c r="B2639" s="1">
        <v>711430721</v>
      </c>
      <c r="C2639" t="s">
        <v>5025</v>
      </c>
      <c r="D2639" s="22">
        <v>-1651.83</v>
      </c>
      <c r="E2639" t="s">
        <v>35</v>
      </c>
      <c r="F2639" s="2">
        <v>212901001</v>
      </c>
      <c r="G2639" s="2" t="s">
        <v>121</v>
      </c>
      <c r="L2639" s="2" t="s">
        <v>5026</v>
      </c>
      <c r="M2639" t="s">
        <v>67</v>
      </c>
      <c r="N2639" t="s">
        <v>68</v>
      </c>
      <c r="P2639" s="23">
        <v>78.36</v>
      </c>
      <c r="Q2639" s="4">
        <f t="shared" si="41"/>
        <v>-21.080015313935682</v>
      </c>
      <c r="R2639" s="23" t="s">
        <v>109</v>
      </c>
      <c r="U2639">
        <v>44</v>
      </c>
      <c r="V2639" t="e">
        <f>VLOOKUP(U2639,[1]!NOMINA[#Data],4,FALSE)</f>
        <v>#REF!</v>
      </c>
      <c r="W2639" t="e">
        <f>VLOOKUP(U2639,[1]!NOMINA[#Data],5,FALSE)</f>
        <v>#REF!</v>
      </c>
    </row>
    <row r="2640" spans="1:23" x14ac:dyDescent="0.25">
      <c r="A2640" s="21">
        <v>45761</v>
      </c>
      <c r="B2640" s="1">
        <v>711430722</v>
      </c>
      <c r="C2640" t="s">
        <v>5027</v>
      </c>
      <c r="D2640" s="22">
        <v>-6619.85</v>
      </c>
      <c r="E2640" t="s">
        <v>35</v>
      </c>
      <c r="F2640" s="2">
        <v>212901001</v>
      </c>
      <c r="G2640" s="2" t="s">
        <v>121</v>
      </c>
      <c r="L2640" s="2" t="s">
        <v>5028</v>
      </c>
      <c r="M2640" t="s">
        <v>67</v>
      </c>
      <c r="N2640" t="s">
        <v>68</v>
      </c>
      <c r="P2640" s="23">
        <v>78.36</v>
      </c>
      <c r="Q2640" s="4">
        <f t="shared" si="41"/>
        <v>-84.47996426748341</v>
      </c>
      <c r="R2640" s="23" t="s">
        <v>109</v>
      </c>
      <c r="U2640">
        <v>10</v>
      </c>
      <c r="V2640" t="e">
        <f>VLOOKUP(U2640,[1]!NOMINA[#Data],4,FALSE)</f>
        <v>#REF!</v>
      </c>
      <c r="W2640" t="e">
        <f>VLOOKUP(U2640,[1]!NOMINA[#Data],5,FALSE)</f>
        <v>#REF!</v>
      </c>
    </row>
    <row r="2641" spans="1:23" x14ac:dyDescent="0.25">
      <c r="A2641" s="21">
        <v>45761</v>
      </c>
      <c r="B2641" s="1">
        <v>811430725</v>
      </c>
      <c r="C2641" t="s">
        <v>5029</v>
      </c>
      <c r="D2641" s="22">
        <v>-7419.12</v>
      </c>
      <c r="E2641" t="s">
        <v>35</v>
      </c>
      <c r="F2641" s="2">
        <v>212901001</v>
      </c>
      <c r="G2641" s="2" t="s">
        <v>121</v>
      </c>
      <c r="L2641" s="2" t="s">
        <v>5030</v>
      </c>
      <c r="M2641" t="s">
        <v>67</v>
      </c>
      <c r="N2641" t="s">
        <v>68</v>
      </c>
      <c r="P2641" s="23">
        <v>78.36</v>
      </c>
      <c r="Q2641" s="4">
        <f t="shared" si="41"/>
        <v>-94.679938744257271</v>
      </c>
      <c r="R2641" s="23" t="s">
        <v>109</v>
      </c>
      <c r="U2641">
        <v>15</v>
      </c>
      <c r="V2641" t="e">
        <f>VLOOKUP(U2641,[1]!NOMINA[#Data],4,FALSE)</f>
        <v>#REF!</v>
      </c>
      <c r="W2641" t="e">
        <f>VLOOKUP(U2641,[1]!NOMINA[#Data],5,FALSE)</f>
        <v>#REF!</v>
      </c>
    </row>
    <row r="2642" spans="1:23" x14ac:dyDescent="0.25">
      <c r="A2642" s="21">
        <v>45761</v>
      </c>
      <c r="B2642" s="1">
        <v>811430724</v>
      </c>
      <c r="C2642" t="s">
        <v>5031</v>
      </c>
      <c r="D2642" s="22">
        <v>-6595.56</v>
      </c>
      <c r="E2642" t="s">
        <v>35</v>
      </c>
      <c r="F2642" s="2">
        <v>212901001</v>
      </c>
      <c r="G2642" s="2" t="s">
        <v>121</v>
      </c>
      <c r="L2642" s="2" t="s">
        <v>5032</v>
      </c>
      <c r="M2642" t="s">
        <v>67</v>
      </c>
      <c r="N2642" t="s">
        <v>68</v>
      </c>
      <c r="P2642" s="23">
        <v>78.36</v>
      </c>
      <c r="Q2642" s="4">
        <f t="shared" si="41"/>
        <v>-84.169984686064325</v>
      </c>
      <c r="R2642" s="23" t="s">
        <v>109</v>
      </c>
      <c r="U2642">
        <v>38</v>
      </c>
      <c r="V2642" t="e">
        <f>VLOOKUP(U2642,[1]!NOMINA[#Data],4,FALSE)</f>
        <v>#REF!</v>
      </c>
      <c r="W2642" t="e">
        <f>VLOOKUP(U2642,[1]!NOMINA[#Data],5,FALSE)</f>
        <v>#REF!</v>
      </c>
    </row>
    <row r="2643" spans="1:23" x14ac:dyDescent="0.25">
      <c r="A2643" s="21">
        <v>45761</v>
      </c>
      <c r="B2643" s="1">
        <v>811430728</v>
      </c>
      <c r="C2643" t="s">
        <v>5033</v>
      </c>
      <c r="D2643" s="22">
        <v>-7379.16</v>
      </c>
      <c r="E2643" t="s">
        <v>35</v>
      </c>
      <c r="F2643" s="2">
        <v>212901001</v>
      </c>
      <c r="G2643" s="2" t="s">
        <v>121</v>
      </c>
      <c r="L2643" s="2" t="s">
        <v>5034</v>
      </c>
      <c r="M2643" t="s">
        <v>67</v>
      </c>
      <c r="N2643" t="s">
        <v>68</v>
      </c>
      <c r="P2643" s="23">
        <v>78.36</v>
      </c>
      <c r="Q2643" s="4">
        <f t="shared" si="41"/>
        <v>-94.169984686064311</v>
      </c>
      <c r="R2643" s="23" t="s">
        <v>109</v>
      </c>
      <c r="U2643">
        <v>13</v>
      </c>
      <c r="V2643" t="e">
        <f>VLOOKUP(U2643,[1]!NOMINA[#Data],4,FALSE)</f>
        <v>#REF!</v>
      </c>
      <c r="W2643" t="e">
        <f>VLOOKUP(U2643,[1]!NOMINA[#Data],5,FALSE)</f>
        <v>#REF!</v>
      </c>
    </row>
    <row r="2644" spans="1:23" x14ac:dyDescent="0.25">
      <c r="A2644" s="21">
        <v>45761</v>
      </c>
      <c r="B2644" s="1">
        <v>811430726</v>
      </c>
      <c r="C2644" t="s">
        <v>5035</v>
      </c>
      <c r="D2644" s="22">
        <v>-6382.42</v>
      </c>
      <c r="E2644" t="s">
        <v>35</v>
      </c>
      <c r="F2644" s="2">
        <v>212901001</v>
      </c>
      <c r="G2644" s="2" t="s">
        <v>121</v>
      </c>
      <c r="L2644" s="2" t="s">
        <v>5036</v>
      </c>
      <c r="M2644" t="s">
        <v>67</v>
      </c>
      <c r="N2644" t="s">
        <v>68</v>
      </c>
      <c r="P2644" s="23">
        <v>78.36</v>
      </c>
      <c r="Q2644" s="4">
        <f t="shared" si="41"/>
        <v>-81.44997447677386</v>
      </c>
      <c r="R2644" s="23" t="s">
        <v>109</v>
      </c>
      <c r="U2644">
        <v>20</v>
      </c>
      <c r="V2644" t="e">
        <f>VLOOKUP(Tabla3[[#This Row],[Nº]],[1]!NOMINA[#Data],4,FALSE)</f>
        <v>#REF!</v>
      </c>
      <c r="W2644" t="e">
        <f>VLOOKUP(Tabla3[[#This Row],[Nº]],[1]!NOMINA[#Data],5,FALSE)</f>
        <v>#REF!</v>
      </c>
    </row>
    <row r="2645" spans="1:23" x14ac:dyDescent="0.25">
      <c r="A2645" s="21">
        <v>45761</v>
      </c>
      <c r="B2645" s="1">
        <v>811430727</v>
      </c>
      <c r="C2645" t="s">
        <v>5037</v>
      </c>
      <c r="D2645" s="22">
        <v>-3081.12</v>
      </c>
      <c r="E2645" t="s">
        <v>35</v>
      </c>
      <c r="F2645" s="2">
        <v>212901001</v>
      </c>
      <c r="G2645" s="2" t="s">
        <v>121</v>
      </c>
      <c r="L2645" s="2" t="s">
        <v>5038</v>
      </c>
      <c r="M2645" t="s">
        <v>67</v>
      </c>
      <c r="N2645" t="s">
        <v>68</v>
      </c>
      <c r="P2645" s="23">
        <v>78.36</v>
      </c>
      <c r="Q2645" s="4">
        <f t="shared" si="41"/>
        <v>-39.320061255742722</v>
      </c>
      <c r="R2645" s="23" t="s">
        <v>109</v>
      </c>
      <c r="U2645">
        <v>41</v>
      </c>
      <c r="V2645" t="e">
        <f>VLOOKUP(U2645,[1]!NOMINA[#Data],4,FALSE)</f>
        <v>#REF!</v>
      </c>
      <c r="W2645" t="e">
        <f>VLOOKUP(U2645,[1]!NOMINA[#Data],5,FALSE)</f>
        <v>#REF!</v>
      </c>
    </row>
    <row r="2646" spans="1:23" x14ac:dyDescent="0.25">
      <c r="A2646" s="21">
        <v>45761</v>
      </c>
      <c r="B2646" s="1">
        <v>811430730</v>
      </c>
      <c r="C2646" t="s">
        <v>5039</v>
      </c>
      <c r="D2646" s="22">
        <v>-7406.59</v>
      </c>
      <c r="E2646" t="s">
        <v>35</v>
      </c>
      <c r="F2646" s="2">
        <v>212901001</v>
      </c>
      <c r="G2646" s="2" t="s">
        <v>121</v>
      </c>
      <c r="L2646" s="2" t="s">
        <v>5040</v>
      </c>
      <c r="M2646" t="s">
        <v>67</v>
      </c>
      <c r="N2646" t="s">
        <v>68</v>
      </c>
      <c r="P2646" s="23">
        <v>78.36</v>
      </c>
      <c r="Q2646" s="4">
        <f t="shared" si="41"/>
        <v>-94.52003573251659</v>
      </c>
      <c r="R2646" s="23" t="s">
        <v>109</v>
      </c>
      <c r="U2646">
        <v>8</v>
      </c>
      <c r="V2646" t="e">
        <f>VLOOKUP(U2646,[1]!NOMINA[#Data],4,FALSE)</f>
        <v>#REF!</v>
      </c>
      <c r="W2646" t="e">
        <f>VLOOKUP(U2646,[1]!NOMINA[#Data],5,FALSE)</f>
        <v>#REF!</v>
      </c>
    </row>
    <row r="2647" spans="1:23" x14ac:dyDescent="0.25">
      <c r="A2647" s="21">
        <v>45761</v>
      </c>
      <c r="B2647" s="1">
        <v>811430731</v>
      </c>
      <c r="C2647" t="s">
        <v>5041</v>
      </c>
      <c r="D2647" s="22">
        <v>-3054.47</v>
      </c>
      <c r="E2647" t="s">
        <v>35</v>
      </c>
      <c r="F2647" s="2">
        <v>212901001</v>
      </c>
      <c r="G2647" s="2" t="s">
        <v>121</v>
      </c>
      <c r="L2647" s="2" t="s">
        <v>5042</v>
      </c>
      <c r="M2647" t="s">
        <v>67</v>
      </c>
      <c r="N2647" t="s">
        <v>68</v>
      </c>
      <c r="P2647" s="23">
        <v>78.36</v>
      </c>
      <c r="Q2647" s="4">
        <f t="shared" si="41"/>
        <v>-38.97996426748341</v>
      </c>
      <c r="R2647" s="23" t="s">
        <v>109</v>
      </c>
      <c r="U2647">
        <v>23</v>
      </c>
      <c r="V2647" t="e">
        <f>VLOOKUP(U2647,[1]!NOMINA[#Data],4,FALSE)</f>
        <v>#REF!</v>
      </c>
      <c r="W2647" t="e">
        <f>VLOOKUP(U2647,[1]!NOMINA[#Data],5,FALSE)</f>
        <v>#REF!</v>
      </c>
    </row>
    <row r="2648" spans="1:23" x14ac:dyDescent="0.25">
      <c r="A2648" s="21">
        <v>45761</v>
      </c>
      <c r="B2648" s="1">
        <v>811430729</v>
      </c>
      <c r="C2648" t="s">
        <v>5043</v>
      </c>
      <c r="D2648" s="22">
        <v>-7406.59</v>
      </c>
      <c r="E2648" t="s">
        <v>35</v>
      </c>
      <c r="F2648" s="2">
        <v>212901001</v>
      </c>
      <c r="G2648" s="2" t="s">
        <v>121</v>
      </c>
      <c r="L2648" s="2" t="s">
        <v>5044</v>
      </c>
      <c r="M2648" t="s">
        <v>67</v>
      </c>
      <c r="N2648" t="s">
        <v>68</v>
      </c>
      <c r="P2648" s="23">
        <v>78.36</v>
      </c>
      <c r="Q2648" s="4">
        <f t="shared" si="41"/>
        <v>-94.52003573251659</v>
      </c>
      <c r="R2648" s="23" t="s">
        <v>109</v>
      </c>
      <c r="U2648">
        <v>11</v>
      </c>
      <c r="V2648" t="e">
        <f>VLOOKUP(U2648,[1]!NOMINA[#Data],4,FALSE)</f>
        <v>#REF!</v>
      </c>
      <c r="W2648" t="e">
        <f>VLOOKUP(U2648,[1]!NOMINA[#Data],5,FALSE)</f>
        <v>#REF!</v>
      </c>
    </row>
    <row r="2649" spans="1:23" x14ac:dyDescent="0.25">
      <c r="A2649" s="21">
        <v>45761</v>
      </c>
      <c r="B2649" s="1">
        <v>811430733</v>
      </c>
      <c r="C2649" t="s">
        <v>5045</v>
      </c>
      <c r="D2649" s="22">
        <v>-17696.82</v>
      </c>
      <c r="E2649" t="s">
        <v>35</v>
      </c>
      <c r="F2649" s="2">
        <v>212901001</v>
      </c>
      <c r="G2649" s="2" t="s">
        <v>121</v>
      </c>
      <c r="L2649" s="2" t="s">
        <v>5046</v>
      </c>
      <c r="M2649" t="s">
        <v>67</v>
      </c>
      <c r="N2649" t="s">
        <v>68</v>
      </c>
      <c r="P2649" s="23">
        <v>78.36</v>
      </c>
      <c r="Q2649" s="4">
        <f t="shared" si="41"/>
        <v>-225.83996937212862</v>
      </c>
      <c r="R2649" s="23" t="s">
        <v>109</v>
      </c>
      <c r="U2649">
        <v>43</v>
      </c>
      <c r="V2649" t="e">
        <f>VLOOKUP(U2649,[1]!NOMINA[#Data],4,FALSE)</f>
        <v>#REF!</v>
      </c>
      <c r="W2649" t="e">
        <f>VLOOKUP(U2649,[1]!NOMINA[#Data],5,FALSE)</f>
        <v>#REF!</v>
      </c>
    </row>
    <row r="2650" spans="1:23" x14ac:dyDescent="0.25">
      <c r="A2650" s="21">
        <v>45761</v>
      </c>
      <c r="B2650" s="1">
        <v>911430735</v>
      </c>
      <c r="C2650" t="s">
        <v>5047</v>
      </c>
      <c r="D2650" s="22">
        <v>-8136.9</v>
      </c>
      <c r="E2650" t="s">
        <v>35</v>
      </c>
      <c r="F2650" s="2">
        <v>212901001</v>
      </c>
      <c r="G2650" s="2" t="s">
        <v>121</v>
      </c>
      <c r="L2650" s="2" t="s">
        <v>5048</v>
      </c>
      <c r="M2650" t="s">
        <v>67</v>
      </c>
      <c r="N2650" t="s">
        <v>68</v>
      </c>
      <c r="P2650" s="23">
        <v>78.36</v>
      </c>
      <c r="Q2650" s="4">
        <f t="shared" si="41"/>
        <v>-103.83996937212864</v>
      </c>
      <c r="R2650" s="23" t="s">
        <v>109</v>
      </c>
      <c r="U2650">
        <v>4</v>
      </c>
      <c r="V2650" t="e">
        <f>VLOOKUP(U2650,[1]!NOMINA[#Data],4,FALSE)</f>
        <v>#REF!</v>
      </c>
      <c r="W2650" t="e">
        <f>VLOOKUP(U2650,[1]!NOMINA[#Data],5,FALSE)</f>
        <v>#REF!</v>
      </c>
    </row>
    <row r="2651" spans="1:23" x14ac:dyDescent="0.25">
      <c r="A2651" s="21">
        <v>45761</v>
      </c>
      <c r="B2651" s="1">
        <v>911430734</v>
      </c>
      <c r="C2651" t="s">
        <v>5049</v>
      </c>
      <c r="D2651" s="22">
        <v>-7419.12</v>
      </c>
      <c r="E2651" t="s">
        <v>35</v>
      </c>
      <c r="F2651" s="2">
        <v>212901001</v>
      </c>
      <c r="G2651" s="2" t="s">
        <v>121</v>
      </c>
      <c r="L2651" s="2" t="s">
        <v>5050</v>
      </c>
      <c r="M2651" t="s">
        <v>67</v>
      </c>
      <c r="N2651" t="s">
        <v>68</v>
      </c>
      <c r="P2651" s="23">
        <v>78.36</v>
      </c>
      <c r="Q2651" s="4">
        <f t="shared" si="41"/>
        <v>-94.679938744257271</v>
      </c>
      <c r="R2651" s="23" t="s">
        <v>109</v>
      </c>
      <c r="U2651">
        <v>17</v>
      </c>
      <c r="V2651" t="e">
        <f>VLOOKUP(U2651,[1]!NOMINA[#Data],4,FALSE)</f>
        <v>#REF!</v>
      </c>
      <c r="W2651" t="e">
        <f>VLOOKUP(U2651,[1]!NOMINA[#Data],5,FALSE)</f>
        <v>#REF!</v>
      </c>
    </row>
    <row r="2652" spans="1:23" x14ac:dyDescent="0.25">
      <c r="A2652" s="21">
        <v>45761</v>
      </c>
      <c r="B2652" s="1">
        <v>911430736</v>
      </c>
      <c r="C2652" t="s">
        <v>5051</v>
      </c>
      <c r="D2652" s="22">
        <v>-4389.7299999999996</v>
      </c>
      <c r="E2652" t="s">
        <v>35</v>
      </c>
      <c r="F2652" s="2">
        <v>212901001</v>
      </c>
      <c r="G2652" s="2" t="s">
        <v>121</v>
      </c>
      <c r="L2652" s="2" t="s">
        <v>5052</v>
      </c>
      <c r="M2652" t="s">
        <v>67</v>
      </c>
      <c r="N2652" t="s">
        <v>68</v>
      </c>
      <c r="P2652" s="23">
        <v>78.36</v>
      </c>
      <c r="Q2652" s="4">
        <f t="shared" si="41"/>
        <v>-56.020035732516583</v>
      </c>
      <c r="R2652" s="23" t="s">
        <v>109</v>
      </c>
      <c r="U2652">
        <v>14</v>
      </c>
      <c r="V2652" t="e">
        <f>VLOOKUP(U2652,[1]!NOMINA[#Data],4,FALSE)</f>
        <v>#REF!</v>
      </c>
      <c r="W2652" t="e">
        <f>VLOOKUP(U2652,[1]!NOMINA[#Data],5,FALSE)</f>
        <v>#REF!</v>
      </c>
    </row>
    <row r="2653" spans="1:23" x14ac:dyDescent="0.25">
      <c r="A2653" s="21">
        <v>45761</v>
      </c>
      <c r="B2653" s="1">
        <v>911430737</v>
      </c>
      <c r="C2653" t="s">
        <v>5053</v>
      </c>
      <c r="D2653" s="22">
        <v>-6631.61</v>
      </c>
      <c r="E2653" t="s">
        <v>35</v>
      </c>
      <c r="F2653" s="2">
        <v>212901001</v>
      </c>
      <c r="G2653" s="2" t="s">
        <v>121</v>
      </c>
      <c r="L2653" s="2" t="s">
        <v>5054</v>
      </c>
      <c r="M2653" t="s">
        <v>67</v>
      </c>
      <c r="N2653" t="s">
        <v>68</v>
      </c>
      <c r="P2653" s="23">
        <v>78.36</v>
      </c>
      <c r="Q2653" s="4">
        <f t="shared" si="41"/>
        <v>-84.630040837161815</v>
      </c>
      <c r="R2653" s="23" t="s">
        <v>109</v>
      </c>
      <c r="U2653">
        <v>22</v>
      </c>
      <c r="V2653" t="e">
        <f>VLOOKUP(Tabla3[[#This Row],[Nº]],[1]!NOMINA[#Data],4,FALSE)</f>
        <v>#REF!</v>
      </c>
      <c r="W2653" t="e">
        <f>VLOOKUP(U2653,[1]!NOMINA[#Data],5,FALSE)</f>
        <v>#REF!</v>
      </c>
    </row>
    <row r="2654" spans="1:23" x14ac:dyDescent="0.25">
      <c r="A2654" s="21">
        <v>45761</v>
      </c>
      <c r="B2654" s="1">
        <v>911430739</v>
      </c>
      <c r="C2654" t="s">
        <v>5055</v>
      </c>
      <c r="D2654" s="22">
        <v>-6620.64</v>
      </c>
      <c r="E2654" t="s">
        <v>35</v>
      </c>
      <c r="F2654" s="2">
        <v>212901001</v>
      </c>
      <c r="G2654" s="2" t="s">
        <v>121</v>
      </c>
      <c r="L2654" s="2" t="s">
        <v>5056</v>
      </c>
      <c r="M2654" t="s">
        <v>67</v>
      </c>
      <c r="N2654" t="s">
        <v>68</v>
      </c>
      <c r="P2654" s="23">
        <v>78.36</v>
      </c>
      <c r="Q2654" s="4">
        <f t="shared" si="41"/>
        <v>-84.490045941807054</v>
      </c>
      <c r="R2654" s="23" t="s">
        <v>109</v>
      </c>
      <c r="U2654">
        <v>39</v>
      </c>
      <c r="V2654" t="e">
        <f>VLOOKUP(U2654,[1]!NOMINA[#Data],4,FALSE)</f>
        <v>#REF!</v>
      </c>
      <c r="W2654" t="e">
        <f>VLOOKUP(U2654,[1]!NOMINA[#Data],5,FALSE)</f>
        <v>#REF!</v>
      </c>
    </row>
    <row r="2655" spans="1:23" x14ac:dyDescent="0.25">
      <c r="A2655" s="21">
        <v>45761</v>
      </c>
      <c r="B2655" s="1">
        <v>911430738</v>
      </c>
      <c r="C2655" t="s">
        <v>5057</v>
      </c>
      <c r="D2655" s="22">
        <v>-4385.03</v>
      </c>
      <c r="E2655" t="s">
        <v>35</v>
      </c>
      <c r="F2655" s="2">
        <v>212901001</v>
      </c>
      <c r="G2655" s="2" t="s">
        <v>121</v>
      </c>
      <c r="L2655" s="2" t="s">
        <v>5058</v>
      </c>
      <c r="M2655" t="s">
        <v>67</v>
      </c>
      <c r="N2655" t="s">
        <v>68</v>
      </c>
      <c r="P2655" s="23">
        <v>78.36</v>
      </c>
      <c r="Q2655" s="4">
        <f t="shared" si="41"/>
        <v>-55.960056151097497</v>
      </c>
      <c r="R2655" s="23" t="s">
        <v>109</v>
      </c>
      <c r="U2655">
        <v>42</v>
      </c>
      <c r="V2655" t="e">
        <f>VLOOKUP(U2655,[1]!NOMINA[#Data],4,FALSE)</f>
        <v>#REF!</v>
      </c>
      <c r="W2655" t="e">
        <f>VLOOKUP(U2655,[1]!NOMINA[#Data],5,FALSE)</f>
        <v>#REF!</v>
      </c>
    </row>
    <row r="2656" spans="1:23" x14ac:dyDescent="0.25">
      <c r="A2656" s="21">
        <v>45761</v>
      </c>
      <c r="B2656" s="1">
        <v>911430741</v>
      </c>
      <c r="C2656" t="s">
        <v>5059</v>
      </c>
      <c r="D2656" s="22">
        <v>-4389.7299999999996</v>
      </c>
      <c r="E2656" t="s">
        <v>35</v>
      </c>
      <c r="F2656" s="2">
        <v>212901001</v>
      </c>
      <c r="G2656" s="2" t="s">
        <v>121</v>
      </c>
      <c r="L2656" s="2" t="s">
        <v>5060</v>
      </c>
      <c r="M2656" t="s">
        <v>67</v>
      </c>
      <c r="N2656" t="s">
        <v>68</v>
      </c>
      <c r="P2656" s="23">
        <v>78.36</v>
      </c>
      <c r="Q2656" s="4">
        <f t="shared" si="41"/>
        <v>-56.020035732516583</v>
      </c>
      <c r="R2656" s="23" t="s">
        <v>109</v>
      </c>
      <c r="U2656">
        <v>21</v>
      </c>
      <c r="V2656" t="e">
        <f>VLOOKUP(U2656,[1]!NOMINA[#Data],4,FALSE)</f>
        <v>#REF!</v>
      </c>
      <c r="W2656" t="e">
        <f>VLOOKUP(U2656,[1]!NOMINA[#Data],5,FALSE)</f>
        <v>#REF!</v>
      </c>
    </row>
    <row r="2657" spans="1:23" x14ac:dyDescent="0.25">
      <c r="A2657" s="21">
        <v>45761</v>
      </c>
      <c r="B2657" s="1">
        <v>911430743</v>
      </c>
      <c r="C2657" t="s">
        <v>5061</v>
      </c>
      <c r="D2657" s="22">
        <v>-3056.04</v>
      </c>
      <c r="E2657" t="s">
        <v>35</v>
      </c>
      <c r="F2657" s="2">
        <v>212901001</v>
      </c>
      <c r="G2657" s="2" t="s">
        <v>121</v>
      </c>
      <c r="L2657" s="2" t="s">
        <v>5062</v>
      </c>
      <c r="M2657" t="s">
        <v>67</v>
      </c>
      <c r="N2657" t="s">
        <v>68</v>
      </c>
      <c r="P2657" s="23">
        <v>78.36</v>
      </c>
      <c r="Q2657" s="4">
        <f t="shared" si="41"/>
        <v>-39</v>
      </c>
      <c r="R2657" s="23" t="s">
        <v>109</v>
      </c>
      <c r="U2657">
        <v>25</v>
      </c>
      <c r="V2657" t="e">
        <f>VLOOKUP(U2657,[1]!NOMINA[#Data],4,FALSE)</f>
        <v>#REF!</v>
      </c>
      <c r="W2657" t="e">
        <f>VLOOKUP(U2657,[1]!NOMINA[#Data],5,FALSE)</f>
        <v>#REF!</v>
      </c>
    </row>
    <row r="2658" spans="1:23" x14ac:dyDescent="0.25">
      <c r="A2658" s="21">
        <v>45761</v>
      </c>
      <c r="B2658" s="1">
        <v>911430744</v>
      </c>
      <c r="C2658" t="s">
        <v>5063</v>
      </c>
      <c r="D2658" s="22">
        <v>-7379.16</v>
      </c>
      <c r="E2658" t="s">
        <v>35</v>
      </c>
      <c r="F2658" s="2">
        <v>212901001</v>
      </c>
      <c r="G2658" s="2" t="s">
        <v>121</v>
      </c>
      <c r="L2658" s="2" t="s">
        <v>5064</v>
      </c>
      <c r="M2658" t="s">
        <v>67</v>
      </c>
      <c r="N2658" t="s">
        <v>68</v>
      </c>
      <c r="P2658" s="23">
        <v>78.36</v>
      </c>
      <c r="Q2658" s="4">
        <f t="shared" si="41"/>
        <v>-94.169984686064311</v>
      </c>
      <c r="R2658" s="23" t="s">
        <v>109</v>
      </c>
      <c r="U2658">
        <v>12</v>
      </c>
      <c r="V2658" t="e">
        <f>VLOOKUP(U2658,[1]!NOMINA[#Data],4,FALSE)</f>
        <v>#REF!</v>
      </c>
      <c r="W2658" t="e">
        <f>VLOOKUP(U2658,[1]!NOMINA[#Data],5,FALSE)</f>
        <v>#REF!</v>
      </c>
    </row>
    <row r="2659" spans="1:23" x14ac:dyDescent="0.25">
      <c r="A2659" s="21">
        <v>45761</v>
      </c>
      <c r="B2659" s="1">
        <v>911430745</v>
      </c>
      <c r="C2659" t="s">
        <v>5065</v>
      </c>
      <c r="D2659" s="22">
        <v>-39114.959999999999</v>
      </c>
      <c r="E2659" t="s">
        <v>35</v>
      </c>
      <c r="F2659" s="2">
        <v>212901001</v>
      </c>
      <c r="G2659" s="2" t="s">
        <v>121</v>
      </c>
      <c r="L2659" s="2" t="s">
        <v>5066</v>
      </c>
      <c r="M2659" t="s">
        <v>67</v>
      </c>
      <c r="N2659" t="s">
        <v>68</v>
      </c>
      <c r="P2659" s="23">
        <v>78.36</v>
      </c>
      <c r="Q2659" s="4">
        <f t="shared" si="41"/>
        <v>-499.16998468606431</v>
      </c>
      <c r="R2659" s="23" t="s">
        <v>109</v>
      </c>
      <c r="U2659">
        <v>2</v>
      </c>
      <c r="V2659" t="e">
        <f>VLOOKUP(Tabla3[[#This Row],[Nº]],[1]!NOMINA[#Data],4,FALSE)</f>
        <v>#REF!</v>
      </c>
      <c r="W2659" t="e">
        <f>VLOOKUP(Tabla3[[#This Row],[Nº]],[1]!NOMINA[#Data],5,FALSE)</f>
        <v>#REF!</v>
      </c>
    </row>
    <row r="2660" spans="1:23" x14ac:dyDescent="0.25">
      <c r="A2660" s="21">
        <v>45761</v>
      </c>
      <c r="B2660" s="1">
        <v>11430746</v>
      </c>
      <c r="C2660" t="s">
        <v>5067</v>
      </c>
      <c r="D2660" s="22">
        <v>-3500.34</v>
      </c>
      <c r="E2660" t="s">
        <v>35</v>
      </c>
      <c r="F2660" s="2">
        <v>212901001</v>
      </c>
      <c r="G2660" s="2" t="s">
        <v>121</v>
      </c>
      <c r="L2660" s="2" t="s">
        <v>5068</v>
      </c>
      <c r="M2660" t="s">
        <v>67</v>
      </c>
      <c r="N2660" t="s">
        <v>68</v>
      </c>
      <c r="P2660" s="23">
        <v>78.36</v>
      </c>
      <c r="Q2660" s="4">
        <f t="shared" si="41"/>
        <v>-44.669984686064318</v>
      </c>
      <c r="R2660" s="23" t="s">
        <v>109</v>
      </c>
      <c r="U2660">
        <v>28</v>
      </c>
      <c r="V2660" t="e">
        <f>VLOOKUP(U2660,[1]!NOMINA[#Data],4,FALSE)</f>
        <v>#REF!</v>
      </c>
      <c r="W2660" t="e">
        <f>VLOOKUP(U2660,[1]!NOMINA[#Data],5,FALSE)</f>
        <v>#REF!</v>
      </c>
    </row>
    <row r="2661" spans="1:23" x14ac:dyDescent="0.25">
      <c r="A2661" s="21">
        <v>45761</v>
      </c>
      <c r="B2661" s="1">
        <v>11430750</v>
      </c>
      <c r="C2661" t="s">
        <v>5069</v>
      </c>
      <c r="D2661" s="22">
        <v>-21614.04</v>
      </c>
      <c r="E2661" t="s">
        <v>35</v>
      </c>
      <c r="F2661" s="2">
        <v>212901001</v>
      </c>
      <c r="G2661" s="2" t="s">
        <v>121</v>
      </c>
      <c r="L2661" s="2" t="s">
        <v>5070</v>
      </c>
      <c r="M2661" t="s">
        <v>67</v>
      </c>
      <c r="N2661" t="s">
        <v>68</v>
      </c>
      <c r="P2661" s="23">
        <v>78.36</v>
      </c>
      <c r="Q2661" s="4">
        <f t="shared" si="41"/>
        <v>-275.83001531393569</v>
      </c>
      <c r="R2661" s="23" t="s">
        <v>109</v>
      </c>
      <c r="U2661">
        <v>3</v>
      </c>
      <c r="V2661" t="e">
        <f>VLOOKUP(U2661,[1]!NOMINA[#Data],4,FALSE)</f>
        <v>#REF!</v>
      </c>
      <c r="W2661" t="e">
        <f>VLOOKUP(U2661,[1]!NOMINA[#Data],5,FALSE)</f>
        <v>#REF!</v>
      </c>
    </row>
    <row r="2662" spans="1:23" x14ac:dyDescent="0.25">
      <c r="A2662" s="21">
        <v>45761</v>
      </c>
      <c r="B2662" s="1">
        <v>11430752</v>
      </c>
      <c r="C2662" t="s">
        <v>5071</v>
      </c>
      <c r="D2662" s="22">
        <v>-4399.91</v>
      </c>
      <c r="E2662" t="s">
        <v>35</v>
      </c>
      <c r="F2662" s="2">
        <v>212901001</v>
      </c>
      <c r="G2662" s="2" t="s">
        <v>121</v>
      </c>
      <c r="L2662" s="2" t="s">
        <v>5072</v>
      </c>
      <c r="M2662" t="s">
        <v>67</v>
      </c>
      <c r="N2662" t="s">
        <v>68</v>
      </c>
      <c r="P2662" s="23">
        <v>78.36</v>
      </c>
      <c r="Q2662" s="4">
        <f t="shared" si="41"/>
        <v>-56.149948953547728</v>
      </c>
      <c r="R2662" s="23" t="s">
        <v>109</v>
      </c>
      <c r="U2662">
        <v>19</v>
      </c>
      <c r="V2662" t="e">
        <f>VLOOKUP(U2662,[1]!NOMINA[#Data],4,FALSE)</f>
        <v>#REF!</v>
      </c>
      <c r="W2662" t="e">
        <f>VLOOKUP(U2662,[1]!NOMINA[#Data],5,FALSE)</f>
        <v>#REF!</v>
      </c>
    </row>
    <row r="2663" spans="1:23" x14ac:dyDescent="0.25">
      <c r="A2663" s="21">
        <v>45761</v>
      </c>
      <c r="B2663" s="1">
        <v>11430747</v>
      </c>
      <c r="C2663" t="s">
        <v>5073</v>
      </c>
      <c r="D2663" s="22">
        <v>-12342.48</v>
      </c>
      <c r="E2663" t="s">
        <v>35</v>
      </c>
      <c r="F2663" s="2">
        <v>212901001</v>
      </c>
      <c r="G2663" s="2" t="s">
        <v>121</v>
      </c>
      <c r="L2663" s="2" t="s">
        <v>5074</v>
      </c>
      <c r="M2663" t="s">
        <v>67</v>
      </c>
      <c r="N2663" t="s">
        <v>68</v>
      </c>
      <c r="P2663" s="23">
        <v>78.36</v>
      </c>
      <c r="Q2663" s="4">
        <f t="shared" si="41"/>
        <v>-157.50995405819296</v>
      </c>
      <c r="R2663" s="23" t="s">
        <v>109</v>
      </c>
      <c r="U2663">
        <v>6</v>
      </c>
      <c r="V2663" t="e">
        <f>VLOOKUP(U2663,[1]!NOMINA[#Data],4,FALSE)</f>
        <v>#REF!</v>
      </c>
      <c r="W2663" t="e">
        <f>VLOOKUP(U2663,[1]!NOMINA[#Data],5,FALSE)</f>
        <v>#REF!</v>
      </c>
    </row>
    <row r="2664" spans="1:23" x14ac:dyDescent="0.25">
      <c r="A2664" s="21">
        <v>45761</v>
      </c>
      <c r="B2664" s="1">
        <v>11430756</v>
      </c>
      <c r="C2664" t="s">
        <v>5075</v>
      </c>
      <c r="D2664" s="22">
        <v>-3500.34</v>
      </c>
      <c r="E2664" t="s">
        <v>35</v>
      </c>
      <c r="F2664" s="2">
        <v>212901001</v>
      </c>
      <c r="G2664" s="2" t="s">
        <v>121</v>
      </c>
      <c r="L2664" s="2" t="s">
        <v>5076</v>
      </c>
      <c r="M2664" t="s">
        <v>67</v>
      </c>
      <c r="N2664" t="s">
        <v>68</v>
      </c>
      <c r="P2664" s="23">
        <v>78.36</v>
      </c>
      <c r="Q2664" s="4">
        <f t="shared" si="41"/>
        <v>-44.669984686064318</v>
      </c>
      <c r="R2664" s="23" t="s">
        <v>109</v>
      </c>
      <c r="U2664">
        <v>37</v>
      </c>
      <c r="V2664" t="e">
        <f>VLOOKUP(Tabla3[[#This Row],[Nº]],[1]!NOMINA[#Data],4,FALSE)</f>
        <v>#REF!</v>
      </c>
      <c r="W2664" t="e">
        <f>VLOOKUP(Tabla3[[#This Row],[Nº]],[1]!NOMINA[#Data],5,FALSE)</f>
        <v>#REF!</v>
      </c>
    </row>
    <row r="2665" spans="1:23" x14ac:dyDescent="0.25">
      <c r="A2665" s="21">
        <v>45761</v>
      </c>
      <c r="B2665" s="1">
        <v>11430754</v>
      </c>
      <c r="C2665" t="s">
        <v>5077</v>
      </c>
      <c r="D2665" s="22">
        <v>-6404.36</v>
      </c>
      <c r="E2665" t="s">
        <v>35</v>
      </c>
      <c r="F2665" s="2">
        <v>212901001</v>
      </c>
      <c r="G2665" s="2" t="s">
        <v>121</v>
      </c>
      <c r="L2665" s="2" t="s">
        <v>5078</v>
      </c>
      <c r="M2665" t="s">
        <v>67</v>
      </c>
      <c r="N2665" t="s">
        <v>68</v>
      </c>
      <c r="P2665" s="23">
        <v>78.36</v>
      </c>
      <c r="Q2665" s="4">
        <f t="shared" si="41"/>
        <v>-81.72996426748341</v>
      </c>
      <c r="R2665" s="23" t="s">
        <v>109</v>
      </c>
      <c r="U2665">
        <v>5</v>
      </c>
      <c r="V2665" t="e">
        <f>VLOOKUP(U2665,[1]!NOMINA[#Data],4,FALSE)</f>
        <v>#REF!</v>
      </c>
      <c r="W2665" t="e">
        <f>VLOOKUP(U2665,[1]!NOMINA[#Data],5,FALSE)</f>
        <v>#REF!</v>
      </c>
    </row>
    <row r="2666" spans="1:23" x14ac:dyDescent="0.25">
      <c r="A2666" s="21">
        <v>45761</v>
      </c>
      <c r="B2666" s="1">
        <v>11430755</v>
      </c>
      <c r="C2666" t="s">
        <v>5079</v>
      </c>
      <c r="D2666" s="22">
        <v>-6631.61</v>
      </c>
      <c r="E2666" t="s">
        <v>35</v>
      </c>
      <c r="F2666" s="2">
        <v>212901001</v>
      </c>
      <c r="G2666" s="2" t="s">
        <v>121</v>
      </c>
      <c r="L2666" s="2" t="s">
        <v>5080</v>
      </c>
      <c r="M2666" t="s">
        <v>67</v>
      </c>
      <c r="N2666" t="s">
        <v>68</v>
      </c>
      <c r="P2666" s="23">
        <v>78.36</v>
      </c>
      <c r="Q2666" s="4">
        <f t="shared" si="41"/>
        <v>-84.630040837161815</v>
      </c>
      <c r="R2666" s="23" t="s">
        <v>109</v>
      </c>
      <c r="U2666">
        <v>16</v>
      </c>
      <c r="V2666" t="e">
        <f>VLOOKUP(Tabla3[[#This Row],[Nº]],[1]!NOMINA[#Data],4,FALSE)</f>
        <v>#REF!</v>
      </c>
      <c r="W2666" t="e">
        <f>VLOOKUP(Tabla3[[#This Row],[Nº]],[1]!NOMINA[#Data],5,FALSE)</f>
        <v>#REF!</v>
      </c>
    </row>
    <row r="2667" spans="1:23" x14ac:dyDescent="0.25">
      <c r="A2667" s="21">
        <v>45761</v>
      </c>
      <c r="B2667" s="1">
        <v>111430760</v>
      </c>
      <c r="C2667" s="3" t="s">
        <v>5081</v>
      </c>
      <c r="D2667" s="22">
        <v>-61.65</v>
      </c>
      <c r="E2667" t="s">
        <v>35</v>
      </c>
      <c r="F2667" s="2">
        <v>212901001</v>
      </c>
      <c r="G2667" s="2" t="s">
        <v>121</v>
      </c>
      <c r="L2667" s="2" t="s">
        <v>5082</v>
      </c>
      <c r="M2667" t="s">
        <v>67</v>
      </c>
      <c r="N2667" t="s">
        <v>68</v>
      </c>
      <c r="P2667" s="23">
        <v>78.36</v>
      </c>
      <c r="Q2667" s="4">
        <f t="shared" si="41"/>
        <v>-0.78675344563552829</v>
      </c>
      <c r="R2667" s="23" t="s">
        <v>109</v>
      </c>
      <c r="U2667">
        <v>9</v>
      </c>
      <c r="V2667" t="e">
        <f>VLOOKUP(U2667,[1]!NOMINA[#Data],4,FALSE)</f>
        <v>#REF!</v>
      </c>
      <c r="W2667" t="e">
        <f>VLOOKUP(U2667,[1]!NOMINA[#Data],5,FALSE)</f>
        <v>#REF!</v>
      </c>
    </row>
    <row r="2668" spans="1:23" x14ac:dyDescent="0.25">
      <c r="A2668" s="21">
        <v>45761</v>
      </c>
      <c r="B2668" s="1">
        <v>11430757</v>
      </c>
      <c r="C2668" t="s">
        <v>5083</v>
      </c>
      <c r="D2668" s="22">
        <v>-3424.33</v>
      </c>
      <c r="E2668" t="s">
        <v>35</v>
      </c>
      <c r="F2668" s="2">
        <v>212901001</v>
      </c>
      <c r="G2668" s="2" t="s">
        <v>121</v>
      </c>
      <c r="L2668" s="2" t="s">
        <v>5084</v>
      </c>
      <c r="M2668" t="s">
        <v>67</v>
      </c>
      <c r="N2668" t="s">
        <v>68</v>
      </c>
      <c r="P2668" s="23">
        <v>78.36</v>
      </c>
      <c r="Q2668" s="4">
        <f t="shared" si="41"/>
        <v>-43.69997447677386</v>
      </c>
      <c r="R2668" s="23" t="s">
        <v>109</v>
      </c>
      <c r="U2668">
        <v>7</v>
      </c>
      <c r="V2668" t="e">
        <f>VLOOKUP(U2668,[1]!NOMINA[#Data],4,FALSE)</f>
        <v>#REF!</v>
      </c>
      <c r="W2668" t="e">
        <f>VLOOKUP(U2668,[1]!NOMINA[#Data],5,FALSE)</f>
        <v>#REF!</v>
      </c>
    </row>
    <row r="2669" spans="1:23" x14ac:dyDescent="0.25">
      <c r="A2669" s="21">
        <v>45761</v>
      </c>
      <c r="B2669" s="1">
        <v>111430758</v>
      </c>
      <c r="C2669" t="s">
        <v>5085</v>
      </c>
      <c r="D2669" s="22">
        <v>-31278.959999999999</v>
      </c>
      <c r="E2669" t="s">
        <v>35</v>
      </c>
      <c r="F2669" s="2">
        <v>212901001</v>
      </c>
      <c r="G2669" s="2" t="s">
        <v>121</v>
      </c>
      <c r="L2669" s="2" t="s">
        <v>5086</v>
      </c>
      <c r="M2669" t="s">
        <v>67</v>
      </c>
      <c r="N2669" t="s">
        <v>68</v>
      </c>
      <c r="P2669" s="23">
        <v>78.36</v>
      </c>
      <c r="Q2669" s="4">
        <f t="shared" si="41"/>
        <v>-399.16998468606431</v>
      </c>
      <c r="R2669" s="23" t="s">
        <v>109</v>
      </c>
      <c r="U2669">
        <v>1</v>
      </c>
      <c r="V2669" t="e">
        <f>VLOOKUP(U2669,[1]!NOMINA[#Data],4,FALSE)</f>
        <v>#REF!</v>
      </c>
      <c r="W2669" t="e">
        <f>VLOOKUP(U2669,[1]!NOMINA[#Data],5,FALSE)</f>
        <v>#REF!</v>
      </c>
    </row>
    <row r="2670" spans="1:23" x14ac:dyDescent="0.25">
      <c r="A2670" s="21">
        <v>45761</v>
      </c>
      <c r="B2670" s="1">
        <v>11430748</v>
      </c>
      <c r="C2670" t="s">
        <v>5087</v>
      </c>
      <c r="D2670" s="22">
        <v>-4395.21</v>
      </c>
      <c r="E2670" t="s">
        <v>35</v>
      </c>
      <c r="F2670" s="2">
        <v>212901001</v>
      </c>
      <c r="G2670" s="2" t="s">
        <v>121</v>
      </c>
      <c r="L2670" s="2" t="s">
        <v>5088</v>
      </c>
      <c r="M2670" t="s">
        <v>67</v>
      </c>
      <c r="N2670" t="s">
        <v>68</v>
      </c>
      <c r="P2670" s="23">
        <v>78.36</v>
      </c>
      <c r="Q2670" s="4">
        <f t="shared" si="41"/>
        <v>-56.089969372128635</v>
      </c>
      <c r="R2670" s="23" t="s">
        <v>109</v>
      </c>
      <c r="U2670">
        <v>24</v>
      </c>
      <c r="V2670" t="e">
        <f>VLOOKUP(U2670,[1]!NOMINA[#Data],4,FALSE)</f>
        <v>#REF!</v>
      </c>
      <c r="W2670" t="e">
        <f>VLOOKUP(U2670,[1]!NOMINA[#Data],5,FALSE)</f>
        <v>#REF!</v>
      </c>
    </row>
    <row r="2671" spans="1:23" x14ac:dyDescent="0.25">
      <c r="A2671" s="21">
        <v>45761</v>
      </c>
      <c r="B2671" s="1">
        <v>111430759</v>
      </c>
      <c r="C2671" s="3" t="s">
        <v>5089</v>
      </c>
      <c r="D2671" s="22">
        <v>-4924.93</v>
      </c>
      <c r="E2671" t="s">
        <v>35</v>
      </c>
      <c r="F2671" s="2">
        <v>212901001</v>
      </c>
      <c r="G2671" s="2" t="s">
        <v>121</v>
      </c>
      <c r="L2671" s="2" t="s">
        <v>5090</v>
      </c>
      <c r="M2671" t="s">
        <v>67</v>
      </c>
      <c r="N2671" t="s">
        <v>68</v>
      </c>
      <c r="P2671" s="23">
        <v>78.36</v>
      </c>
      <c r="Q2671" s="4">
        <f t="shared" si="41"/>
        <v>-62.850051046452279</v>
      </c>
      <c r="R2671" s="23" t="s">
        <v>109</v>
      </c>
      <c r="U2671">
        <v>36</v>
      </c>
      <c r="V2671" t="e">
        <f>VLOOKUP(U2671,[1]!NOMINA[#Data],4,FALSE)</f>
        <v>#REF!</v>
      </c>
      <c r="W2671" t="e">
        <f>VLOOKUP(U2671,[1]!NOMINA[#Data],5,FALSE)</f>
        <v>#REF!</v>
      </c>
    </row>
    <row r="2672" spans="1:23" x14ac:dyDescent="0.25">
      <c r="A2672" s="21">
        <v>45761</v>
      </c>
      <c r="B2672" s="1">
        <v>111430762</v>
      </c>
      <c r="C2672" t="s">
        <v>5091</v>
      </c>
      <c r="D2672" s="22">
        <v>-61.65</v>
      </c>
      <c r="E2672" t="s">
        <v>35</v>
      </c>
      <c r="F2672" s="2">
        <v>212901001</v>
      </c>
      <c r="G2672" s="2" t="s">
        <v>121</v>
      </c>
      <c r="L2672" s="2" t="s">
        <v>5092</v>
      </c>
      <c r="M2672" t="s">
        <v>67</v>
      </c>
      <c r="N2672" t="s">
        <v>68</v>
      </c>
      <c r="P2672" s="23">
        <v>78.36</v>
      </c>
      <c r="Q2672" s="4">
        <f t="shared" si="41"/>
        <v>-0.78675344563552829</v>
      </c>
      <c r="R2672" s="23" t="s">
        <v>109</v>
      </c>
      <c r="U2672">
        <v>26</v>
      </c>
      <c r="V2672" t="e">
        <f>VLOOKUP(Tabla3[[#This Row],[Nº]],[1]!NOMINA[#Data],4,FALSE)</f>
        <v>#REF!</v>
      </c>
      <c r="W2672" t="e">
        <f>VLOOKUP(Tabla3[[#This Row],[Nº]],[1]!NOMINA[#Data],5,FALSE)</f>
        <v>#REF!</v>
      </c>
    </row>
    <row r="2673" spans="1:23" x14ac:dyDescent="0.25">
      <c r="A2673" s="21">
        <v>45761</v>
      </c>
      <c r="B2673" s="1">
        <v>111430765</v>
      </c>
      <c r="C2673" s="3" t="s">
        <v>5093</v>
      </c>
      <c r="D2673" s="22">
        <v>-61.65</v>
      </c>
      <c r="E2673" t="s">
        <v>35</v>
      </c>
      <c r="F2673" s="2">
        <v>212901001</v>
      </c>
      <c r="G2673" s="2" t="s">
        <v>121</v>
      </c>
      <c r="L2673" s="2" t="s">
        <v>5094</v>
      </c>
      <c r="M2673" t="s">
        <v>67</v>
      </c>
      <c r="N2673" t="s">
        <v>68</v>
      </c>
      <c r="P2673" s="23">
        <v>78.36</v>
      </c>
      <c r="Q2673" s="4">
        <f t="shared" si="41"/>
        <v>-0.78675344563552829</v>
      </c>
      <c r="R2673" s="23" t="s">
        <v>109</v>
      </c>
      <c r="U2673">
        <v>10</v>
      </c>
      <c r="V2673" t="e">
        <f>VLOOKUP(U2673,[1]!NOMINA[#Data],4,FALSE)</f>
        <v>#REF!</v>
      </c>
      <c r="W2673" t="e">
        <f>VLOOKUP(U2673,[1]!NOMINA[#Data],5,FALSE)</f>
        <v>#REF!</v>
      </c>
    </row>
    <row r="2674" spans="1:23" x14ac:dyDescent="0.25">
      <c r="A2674" s="21">
        <v>45761</v>
      </c>
      <c r="B2674" s="1">
        <v>111430763</v>
      </c>
      <c r="C2674" s="3" t="s">
        <v>5095</v>
      </c>
      <c r="D2674" s="22">
        <v>-23.04</v>
      </c>
      <c r="E2674" t="s">
        <v>35</v>
      </c>
      <c r="F2674" s="2">
        <v>212901001</v>
      </c>
      <c r="G2674" s="2" t="s">
        <v>121</v>
      </c>
      <c r="L2674" s="2" t="s">
        <v>5096</v>
      </c>
      <c r="M2674" t="s">
        <v>67</v>
      </c>
      <c r="N2674" t="s">
        <v>68</v>
      </c>
      <c r="P2674" s="23">
        <v>78.36</v>
      </c>
      <c r="Q2674" s="4">
        <f t="shared" si="41"/>
        <v>-0.29402756508422662</v>
      </c>
      <c r="R2674" s="23" t="s">
        <v>109</v>
      </c>
      <c r="U2674">
        <v>29</v>
      </c>
      <c r="V2674" t="e">
        <f>VLOOKUP(U2674,[1]!NOMINA[#Data],4,FALSE)</f>
        <v>#REF!</v>
      </c>
      <c r="W2674" t="e">
        <f>VLOOKUP(U2674,[1]!NOMINA[#Data],5,FALSE)</f>
        <v>#REF!</v>
      </c>
    </row>
    <row r="2675" spans="1:23" x14ac:dyDescent="0.25">
      <c r="A2675" s="21">
        <v>45761</v>
      </c>
      <c r="B2675" s="1">
        <v>111430766</v>
      </c>
      <c r="C2675" s="3" t="s">
        <v>5097</v>
      </c>
      <c r="D2675" s="22">
        <v>-61.65</v>
      </c>
      <c r="E2675" t="s">
        <v>35</v>
      </c>
      <c r="F2675" s="2">
        <v>212901001</v>
      </c>
      <c r="G2675" s="2" t="s">
        <v>121</v>
      </c>
      <c r="L2675" s="2" t="s">
        <v>5098</v>
      </c>
      <c r="M2675" t="s">
        <v>67</v>
      </c>
      <c r="N2675" t="s">
        <v>68</v>
      </c>
      <c r="P2675" s="23">
        <v>78.36</v>
      </c>
      <c r="Q2675" s="4">
        <f t="shared" si="41"/>
        <v>-0.78675344563552829</v>
      </c>
      <c r="R2675" s="23" t="s">
        <v>109</v>
      </c>
      <c r="U2675">
        <v>18</v>
      </c>
      <c r="V2675" t="e">
        <f>VLOOKUP(Tabla3[[#This Row],[Nº]],[1]!NOMINA[#Data],4,FALSE)</f>
        <v>#REF!</v>
      </c>
      <c r="W2675" t="e">
        <f>VLOOKUP(Tabla3[[#This Row],[Nº]],[1]!NOMINA[#Data],5,FALSE)</f>
        <v>#REF!</v>
      </c>
    </row>
    <row r="2676" spans="1:23" x14ac:dyDescent="0.25">
      <c r="A2676" s="21">
        <v>45761</v>
      </c>
      <c r="B2676" s="1">
        <v>111430764</v>
      </c>
      <c r="C2676" s="3" t="s">
        <v>5099</v>
      </c>
      <c r="D2676" s="22">
        <v>-23.04</v>
      </c>
      <c r="E2676" t="s">
        <v>35</v>
      </c>
      <c r="F2676" s="2">
        <v>212901001</v>
      </c>
      <c r="G2676" s="2" t="s">
        <v>121</v>
      </c>
      <c r="L2676" s="2" t="s">
        <v>5100</v>
      </c>
      <c r="M2676" t="s">
        <v>67</v>
      </c>
      <c r="N2676" t="s">
        <v>68</v>
      </c>
      <c r="P2676" s="23">
        <v>78.36</v>
      </c>
      <c r="Q2676" s="4">
        <f t="shared" si="41"/>
        <v>-0.29402756508422662</v>
      </c>
      <c r="R2676" s="23" t="s">
        <v>109</v>
      </c>
      <c r="U2676">
        <v>44</v>
      </c>
      <c r="V2676" t="e">
        <f>VLOOKUP(U2676,[1]!NOMINA[#Data],4,FALSE)</f>
        <v>#REF!</v>
      </c>
      <c r="W2676" t="e">
        <f>VLOOKUP(U2676,[1]!NOMINA[#Data],5,FALSE)</f>
        <v>#REF!</v>
      </c>
    </row>
    <row r="2677" spans="1:23" x14ac:dyDescent="0.25">
      <c r="A2677" s="21">
        <v>45761</v>
      </c>
      <c r="B2677" s="1">
        <v>11430751</v>
      </c>
      <c r="C2677" t="s">
        <v>5101</v>
      </c>
      <c r="D2677" s="22">
        <v>-3056.04</v>
      </c>
      <c r="E2677" t="s">
        <v>35</v>
      </c>
      <c r="F2677" s="2">
        <v>212901001</v>
      </c>
      <c r="G2677" s="2" t="s">
        <v>121</v>
      </c>
      <c r="L2677" s="2" t="s">
        <v>5102</v>
      </c>
      <c r="M2677" t="s">
        <v>67</v>
      </c>
      <c r="N2677" t="s">
        <v>68</v>
      </c>
      <c r="P2677" s="23">
        <v>78.36</v>
      </c>
      <c r="Q2677" s="4">
        <f t="shared" si="41"/>
        <v>-39</v>
      </c>
      <c r="R2677" s="23" t="s">
        <v>109</v>
      </c>
      <c r="U2677">
        <v>27</v>
      </c>
      <c r="V2677" t="e">
        <f>VLOOKUP(U2677,[1]!NOMINA[#Data],4,FALSE)</f>
        <v>#REF!</v>
      </c>
      <c r="W2677" t="e">
        <f>VLOOKUP(U2677,[1]!NOMINA[#Data],5,FALSE)</f>
        <v>#REF!</v>
      </c>
    </row>
    <row r="2678" spans="1:23" x14ac:dyDescent="0.25">
      <c r="A2678" s="21">
        <v>45761</v>
      </c>
      <c r="B2678" s="1">
        <v>111430767</v>
      </c>
      <c r="C2678" s="3" t="s">
        <v>5103</v>
      </c>
      <c r="D2678" s="22">
        <v>-61.65</v>
      </c>
      <c r="E2678" t="s">
        <v>35</v>
      </c>
      <c r="F2678" s="2">
        <v>212901001</v>
      </c>
      <c r="G2678" s="2" t="s">
        <v>121</v>
      </c>
      <c r="L2678" s="2" t="s">
        <v>5104</v>
      </c>
      <c r="M2678" t="s">
        <v>67</v>
      </c>
      <c r="N2678" t="s">
        <v>68</v>
      </c>
      <c r="P2678" s="23">
        <v>78.36</v>
      </c>
      <c r="Q2678" s="4">
        <f t="shared" si="41"/>
        <v>-0.78675344563552829</v>
      </c>
      <c r="R2678" s="23" t="s">
        <v>109</v>
      </c>
      <c r="U2678">
        <v>38</v>
      </c>
      <c r="V2678" t="e">
        <f>VLOOKUP(U2678,[1]!NOMINA[#Data],4,FALSE)</f>
        <v>#REF!</v>
      </c>
      <c r="W2678" t="e">
        <f>VLOOKUP(U2678,[1]!NOMINA[#Data],5,FALSE)</f>
        <v>#REF!</v>
      </c>
    </row>
    <row r="2679" spans="1:23" x14ac:dyDescent="0.25">
      <c r="A2679" s="21">
        <v>45761</v>
      </c>
      <c r="B2679" s="1">
        <v>111430769</v>
      </c>
      <c r="C2679" t="s">
        <v>5105</v>
      </c>
      <c r="D2679" s="22">
        <v>-61.65</v>
      </c>
      <c r="E2679" t="s">
        <v>35</v>
      </c>
      <c r="F2679" s="2">
        <v>212901001</v>
      </c>
      <c r="G2679" s="2" t="s">
        <v>121</v>
      </c>
      <c r="L2679" s="2" t="s">
        <v>5106</v>
      </c>
      <c r="M2679" t="s">
        <v>67</v>
      </c>
      <c r="N2679" t="s">
        <v>68</v>
      </c>
      <c r="P2679" s="23">
        <v>78.36</v>
      </c>
      <c r="Q2679" s="4">
        <f t="shared" si="41"/>
        <v>-0.78675344563552829</v>
      </c>
      <c r="R2679" s="23" t="s">
        <v>109</v>
      </c>
      <c r="U2679">
        <v>15</v>
      </c>
      <c r="V2679" t="e">
        <f>VLOOKUP(U2679,[1]!NOMINA[#Data],4,FALSE)</f>
        <v>#REF!</v>
      </c>
      <c r="W2679" t="e">
        <f>VLOOKUP(U2679,[1]!NOMINA[#Data],5,FALSE)</f>
        <v>#REF!</v>
      </c>
    </row>
    <row r="2680" spans="1:23" x14ac:dyDescent="0.25">
      <c r="A2680" s="21">
        <v>45761</v>
      </c>
      <c r="B2680" s="1">
        <v>111430768</v>
      </c>
      <c r="C2680" t="s">
        <v>5107</v>
      </c>
      <c r="D2680" s="22">
        <v>-61.65</v>
      </c>
      <c r="E2680" t="s">
        <v>35</v>
      </c>
      <c r="F2680" s="2">
        <v>212901001</v>
      </c>
      <c r="G2680" s="2" t="s">
        <v>121</v>
      </c>
      <c r="L2680" s="2" t="s">
        <v>5108</v>
      </c>
      <c r="M2680" t="s">
        <v>67</v>
      </c>
      <c r="N2680" t="s">
        <v>68</v>
      </c>
      <c r="P2680" s="23">
        <v>78.36</v>
      </c>
      <c r="Q2680" s="4">
        <f t="shared" si="41"/>
        <v>-0.78675344563552829</v>
      </c>
      <c r="R2680" s="23" t="s">
        <v>109</v>
      </c>
      <c r="U2680">
        <v>1</v>
      </c>
      <c r="V2680" t="e">
        <f>VLOOKUP(U2680,[1]!NOMINA[#Data],4,FALSE)</f>
        <v>#REF!</v>
      </c>
      <c r="W2680" t="e">
        <f>VLOOKUP(U2680,[1]!NOMINA[#Data],5,FALSE)</f>
        <v>#REF!</v>
      </c>
    </row>
    <row r="2681" spans="1:23" x14ac:dyDescent="0.25">
      <c r="A2681" s="21">
        <v>45761</v>
      </c>
      <c r="B2681" s="1">
        <v>211430773</v>
      </c>
      <c r="C2681" t="s">
        <v>5109</v>
      </c>
      <c r="D2681" s="22">
        <v>-61.65</v>
      </c>
      <c r="E2681" t="s">
        <v>35</v>
      </c>
      <c r="F2681" s="2">
        <v>212901001</v>
      </c>
      <c r="G2681" s="2" t="s">
        <v>121</v>
      </c>
      <c r="L2681" s="2" t="s">
        <v>5110</v>
      </c>
      <c r="M2681" t="s">
        <v>67</v>
      </c>
      <c r="N2681" t="s">
        <v>68</v>
      </c>
      <c r="P2681" s="23">
        <v>78.36</v>
      </c>
      <c r="Q2681" s="4">
        <f t="shared" si="41"/>
        <v>-0.78675344563552829</v>
      </c>
      <c r="R2681" s="23" t="s">
        <v>109</v>
      </c>
      <c r="U2681">
        <v>20</v>
      </c>
      <c r="V2681" t="e">
        <f>VLOOKUP(Tabla3[[#This Row],[Nº]],[1]!NOMINA[#Data],4,FALSE)</f>
        <v>#REF!</v>
      </c>
      <c r="W2681" t="e">
        <f>VLOOKUP(Tabla3[[#This Row],[Nº]],[1]!NOMINA[#Data],5,FALSE)</f>
        <v>#REF!</v>
      </c>
    </row>
    <row r="2682" spans="1:23" x14ac:dyDescent="0.25">
      <c r="A2682" s="21">
        <v>45761</v>
      </c>
      <c r="B2682" s="1">
        <v>211430770</v>
      </c>
      <c r="C2682" t="s">
        <v>5111</v>
      </c>
      <c r="D2682" s="22">
        <v>-61.65</v>
      </c>
      <c r="E2682" t="s">
        <v>35</v>
      </c>
      <c r="F2682" s="2">
        <v>212901001</v>
      </c>
      <c r="G2682" s="2" t="s">
        <v>121</v>
      </c>
      <c r="L2682" s="2" t="s">
        <v>5112</v>
      </c>
      <c r="M2682" t="s">
        <v>67</v>
      </c>
      <c r="N2682" t="s">
        <v>68</v>
      </c>
      <c r="P2682" s="23">
        <v>78.36</v>
      </c>
      <c r="Q2682" s="4">
        <f t="shared" si="41"/>
        <v>-0.78675344563552829</v>
      </c>
      <c r="R2682" s="23" t="s">
        <v>109</v>
      </c>
      <c r="U2682">
        <v>41</v>
      </c>
      <c r="V2682" t="e">
        <f>VLOOKUP(U2682,[1]!NOMINA[#Data],4,FALSE)</f>
        <v>#REF!</v>
      </c>
      <c r="W2682" t="e">
        <f>VLOOKUP(U2682,[1]!NOMINA[#Data],5,FALSE)</f>
        <v>#REF!</v>
      </c>
    </row>
    <row r="2683" spans="1:23" x14ac:dyDescent="0.25">
      <c r="A2683" s="21">
        <v>45761</v>
      </c>
      <c r="B2683" s="1">
        <v>211430771</v>
      </c>
      <c r="C2683" t="s">
        <v>5113</v>
      </c>
      <c r="D2683" s="22">
        <v>-61.65</v>
      </c>
      <c r="E2683" t="s">
        <v>35</v>
      </c>
      <c r="F2683" s="2">
        <v>212901001</v>
      </c>
      <c r="G2683" s="2" t="s">
        <v>121</v>
      </c>
      <c r="L2683" s="2" t="s">
        <v>5114</v>
      </c>
      <c r="M2683" t="s">
        <v>67</v>
      </c>
      <c r="N2683" t="s">
        <v>68</v>
      </c>
      <c r="P2683" s="23">
        <v>78.36</v>
      </c>
      <c r="Q2683" s="4">
        <f t="shared" si="41"/>
        <v>-0.78675344563552829</v>
      </c>
      <c r="R2683" s="23" t="s">
        <v>109</v>
      </c>
      <c r="U2683">
        <v>13</v>
      </c>
      <c r="V2683" t="e">
        <f>VLOOKUP(U2683,[1]!NOMINA[#Data],4,FALSE)</f>
        <v>#REF!</v>
      </c>
      <c r="W2683" t="e">
        <f>VLOOKUP(U2683,[1]!NOMINA[#Data],5,FALSE)</f>
        <v>#REF!</v>
      </c>
    </row>
    <row r="2684" spans="1:23" x14ac:dyDescent="0.25">
      <c r="A2684" s="21">
        <v>45761</v>
      </c>
      <c r="B2684" s="1">
        <v>211430774</v>
      </c>
      <c r="C2684" t="s">
        <v>5115</v>
      </c>
      <c r="D2684" s="22">
        <v>-61.65</v>
      </c>
      <c r="E2684" t="s">
        <v>35</v>
      </c>
      <c r="F2684" s="2">
        <v>212901001</v>
      </c>
      <c r="G2684" s="2" t="s">
        <v>121</v>
      </c>
      <c r="L2684" s="2" t="s">
        <v>5116</v>
      </c>
      <c r="M2684" t="s">
        <v>67</v>
      </c>
      <c r="N2684" t="s">
        <v>68</v>
      </c>
      <c r="P2684" s="23">
        <v>78.36</v>
      </c>
      <c r="Q2684" s="4">
        <f t="shared" si="41"/>
        <v>-0.78675344563552829</v>
      </c>
      <c r="R2684" s="23" t="s">
        <v>109</v>
      </c>
      <c r="U2684">
        <v>8</v>
      </c>
      <c r="V2684" t="e">
        <f>VLOOKUP(U2684,[1]!NOMINA[#Data],4,FALSE)</f>
        <v>#REF!</v>
      </c>
      <c r="W2684" t="e">
        <f>VLOOKUP(U2684,[1]!NOMINA[#Data],5,FALSE)</f>
        <v>#REF!</v>
      </c>
    </row>
    <row r="2685" spans="1:23" x14ac:dyDescent="0.25">
      <c r="A2685" s="21">
        <v>45761</v>
      </c>
      <c r="B2685" s="1">
        <v>211430775</v>
      </c>
      <c r="C2685" s="3" t="s">
        <v>5117</v>
      </c>
      <c r="D2685" s="22">
        <v>-61.65</v>
      </c>
      <c r="E2685" t="s">
        <v>35</v>
      </c>
      <c r="F2685" s="2">
        <v>212901001</v>
      </c>
      <c r="G2685" s="2" t="s">
        <v>121</v>
      </c>
      <c r="L2685" s="2" t="s">
        <v>5118</v>
      </c>
      <c r="M2685" t="s">
        <v>67</v>
      </c>
      <c r="N2685" t="s">
        <v>68</v>
      </c>
      <c r="P2685" s="23">
        <v>78.36</v>
      </c>
      <c r="Q2685" s="4">
        <f t="shared" si="41"/>
        <v>-0.78675344563552829</v>
      </c>
      <c r="R2685" s="23" t="s">
        <v>109</v>
      </c>
      <c r="U2685">
        <v>11</v>
      </c>
      <c r="V2685" t="e">
        <f>VLOOKUP(U2685,[1]!NOMINA[#Data],4,FALSE)</f>
        <v>#REF!</v>
      </c>
      <c r="W2685" t="e">
        <f>VLOOKUP(U2685,[1]!NOMINA[#Data],5,FALSE)</f>
        <v>#REF!</v>
      </c>
    </row>
    <row r="2686" spans="1:23" x14ac:dyDescent="0.25">
      <c r="A2686" s="21">
        <v>45761</v>
      </c>
      <c r="B2686" s="1">
        <v>211430776</v>
      </c>
      <c r="C2686" t="s">
        <v>5119</v>
      </c>
      <c r="D2686" s="22">
        <v>-61.65</v>
      </c>
      <c r="E2686" t="s">
        <v>35</v>
      </c>
      <c r="F2686" s="2">
        <v>212901001</v>
      </c>
      <c r="G2686" s="2" t="s">
        <v>121</v>
      </c>
      <c r="L2686" s="2" t="s">
        <v>5120</v>
      </c>
      <c r="M2686" t="s">
        <v>67</v>
      </c>
      <c r="N2686" t="s">
        <v>68</v>
      </c>
      <c r="P2686" s="23">
        <v>78.36</v>
      </c>
      <c r="Q2686" s="4">
        <f t="shared" si="41"/>
        <v>-0.78675344563552829</v>
      </c>
      <c r="R2686" s="23" t="s">
        <v>109</v>
      </c>
      <c r="U2686">
        <v>23</v>
      </c>
      <c r="V2686" t="e">
        <f>VLOOKUP(U2686,[1]!NOMINA[#Data],4,FALSE)</f>
        <v>#REF!</v>
      </c>
      <c r="W2686" t="e">
        <f>VLOOKUP(U2686,[1]!NOMINA[#Data],5,FALSE)</f>
        <v>#REF!</v>
      </c>
    </row>
    <row r="2687" spans="1:23" x14ac:dyDescent="0.25">
      <c r="A2687" s="21">
        <v>45761</v>
      </c>
      <c r="B2687" s="1">
        <v>211430779</v>
      </c>
      <c r="C2687" s="3" t="s">
        <v>5121</v>
      </c>
      <c r="D2687" s="22">
        <v>-61.65</v>
      </c>
      <c r="E2687" t="s">
        <v>35</v>
      </c>
      <c r="F2687" s="2">
        <v>212901001</v>
      </c>
      <c r="G2687" s="2" t="s">
        <v>121</v>
      </c>
      <c r="L2687" s="2" t="s">
        <v>5122</v>
      </c>
      <c r="M2687" t="s">
        <v>67</v>
      </c>
      <c r="N2687" t="s">
        <v>68</v>
      </c>
      <c r="P2687" s="23">
        <v>78.36</v>
      </c>
      <c r="Q2687" s="4">
        <f t="shared" si="41"/>
        <v>-0.78675344563552829</v>
      </c>
      <c r="R2687" s="23" t="s">
        <v>109</v>
      </c>
      <c r="U2687">
        <v>43</v>
      </c>
      <c r="V2687" t="e">
        <f>VLOOKUP(U2687,[1]!NOMINA[#Data],4,FALSE)</f>
        <v>#REF!</v>
      </c>
      <c r="W2687" t="e">
        <f>VLOOKUP(U2687,[1]!NOMINA[#Data],5,FALSE)</f>
        <v>#REF!</v>
      </c>
    </row>
    <row r="2688" spans="1:23" x14ac:dyDescent="0.25">
      <c r="A2688" s="21">
        <v>45761</v>
      </c>
      <c r="B2688" s="1">
        <v>211430778</v>
      </c>
      <c r="C2688" t="s">
        <v>5123</v>
      </c>
      <c r="D2688" s="22">
        <v>-61.65</v>
      </c>
      <c r="E2688" t="s">
        <v>35</v>
      </c>
      <c r="F2688" s="2">
        <v>212901001</v>
      </c>
      <c r="G2688" s="2" t="s">
        <v>121</v>
      </c>
      <c r="L2688" s="2" t="s">
        <v>5124</v>
      </c>
      <c r="M2688" t="s">
        <v>67</v>
      </c>
      <c r="N2688" t="s">
        <v>68</v>
      </c>
      <c r="P2688" s="23">
        <v>78.36</v>
      </c>
      <c r="Q2688" s="4">
        <f t="shared" si="41"/>
        <v>-0.78675344563552829</v>
      </c>
      <c r="R2688" s="23" t="s">
        <v>109</v>
      </c>
      <c r="U2688">
        <v>17</v>
      </c>
      <c r="V2688" t="e">
        <f>VLOOKUP(U2688,[1]!NOMINA[#Data],4,FALSE)</f>
        <v>#REF!</v>
      </c>
      <c r="W2688" t="e">
        <f>VLOOKUP(U2688,[1]!NOMINA[#Data],5,FALSE)</f>
        <v>#REF!</v>
      </c>
    </row>
    <row r="2689" spans="1:23" x14ac:dyDescent="0.25">
      <c r="A2689" s="21">
        <v>45761</v>
      </c>
      <c r="B2689" s="1">
        <v>211430780</v>
      </c>
      <c r="C2689" t="s">
        <v>5125</v>
      </c>
      <c r="D2689" s="22">
        <v>-61.65</v>
      </c>
      <c r="E2689" t="s">
        <v>35</v>
      </c>
      <c r="F2689" s="2">
        <v>212901001</v>
      </c>
      <c r="G2689" s="2" t="s">
        <v>121</v>
      </c>
      <c r="L2689" s="2" t="s">
        <v>5126</v>
      </c>
      <c r="M2689" t="s">
        <v>67</v>
      </c>
      <c r="N2689" t="s">
        <v>68</v>
      </c>
      <c r="P2689" s="23">
        <v>78.36</v>
      </c>
      <c r="Q2689" s="4">
        <f t="shared" si="41"/>
        <v>-0.78675344563552829</v>
      </c>
      <c r="R2689" s="23" t="s">
        <v>109</v>
      </c>
      <c r="U2689">
        <v>4</v>
      </c>
      <c r="V2689" t="e">
        <f>VLOOKUP(U2689,[1]!NOMINA[#Data],4,FALSE)</f>
        <v>#REF!</v>
      </c>
      <c r="W2689" t="e">
        <f>VLOOKUP(U2689,[1]!NOMINA[#Data],5,FALSE)</f>
        <v>#REF!</v>
      </c>
    </row>
    <row r="2690" spans="1:23" x14ac:dyDescent="0.25">
      <c r="A2690" s="21">
        <v>45761</v>
      </c>
      <c r="B2690" s="1">
        <v>311430781</v>
      </c>
      <c r="C2690" t="s">
        <v>5127</v>
      </c>
      <c r="D2690" s="22">
        <v>-61.65</v>
      </c>
      <c r="E2690" t="s">
        <v>35</v>
      </c>
      <c r="F2690" s="2">
        <v>212901001</v>
      </c>
      <c r="G2690" s="2" t="s">
        <v>121</v>
      </c>
      <c r="L2690" s="2" t="s">
        <v>5128</v>
      </c>
      <c r="M2690" t="s">
        <v>67</v>
      </c>
      <c r="N2690" t="s">
        <v>68</v>
      </c>
      <c r="P2690" s="23">
        <v>78.36</v>
      </c>
      <c r="Q2690" s="4">
        <f t="shared" si="41"/>
        <v>-0.78675344563552829</v>
      </c>
      <c r="R2690" s="23" t="s">
        <v>109</v>
      </c>
      <c r="U2690">
        <v>14</v>
      </c>
      <c r="V2690" t="e">
        <f>VLOOKUP(U2690,[1]!NOMINA[#Data],4,FALSE)</f>
        <v>#REF!</v>
      </c>
      <c r="W2690" t="e">
        <f>VLOOKUP(U2690,[1]!NOMINA[#Data],5,FALSE)</f>
        <v>#REF!</v>
      </c>
    </row>
    <row r="2691" spans="1:23" x14ac:dyDescent="0.25">
      <c r="A2691" s="21">
        <v>45761</v>
      </c>
      <c r="B2691" s="1">
        <v>311430782</v>
      </c>
      <c r="C2691" s="3" t="s">
        <v>5129</v>
      </c>
      <c r="D2691" s="22">
        <v>-61.65</v>
      </c>
      <c r="E2691" t="s">
        <v>35</v>
      </c>
      <c r="F2691" s="2">
        <v>212901001</v>
      </c>
      <c r="G2691" s="2" t="s">
        <v>121</v>
      </c>
      <c r="L2691" s="2" t="s">
        <v>5130</v>
      </c>
      <c r="M2691" t="s">
        <v>67</v>
      </c>
      <c r="N2691" t="s">
        <v>68</v>
      </c>
      <c r="P2691" s="23">
        <v>78.36</v>
      </c>
      <c r="Q2691" s="4">
        <f t="shared" si="41"/>
        <v>-0.78675344563552829</v>
      </c>
      <c r="R2691" s="23" t="s">
        <v>109</v>
      </c>
      <c r="U2691">
        <v>22</v>
      </c>
      <c r="V2691" t="e">
        <f>VLOOKUP(Tabla3[[#This Row],[Nº]],[1]!NOMINA[#Data],4,FALSE)</f>
        <v>#REF!</v>
      </c>
      <c r="W2691" t="e">
        <f>VLOOKUP(U2691,[1]!NOMINA[#Data],5,FALSE)</f>
        <v>#REF!</v>
      </c>
    </row>
    <row r="2692" spans="1:23" x14ac:dyDescent="0.25">
      <c r="A2692" s="21">
        <v>45761</v>
      </c>
      <c r="B2692" s="1">
        <v>311430783</v>
      </c>
      <c r="C2692" t="s">
        <v>5131</v>
      </c>
      <c r="D2692" s="22">
        <v>-61.65</v>
      </c>
      <c r="E2692" t="s">
        <v>35</v>
      </c>
      <c r="F2692" s="2">
        <v>212901001</v>
      </c>
      <c r="G2692" s="2" t="s">
        <v>121</v>
      </c>
      <c r="L2692" s="2" t="s">
        <v>5132</v>
      </c>
      <c r="M2692" t="s">
        <v>67</v>
      </c>
      <c r="N2692" t="s">
        <v>68</v>
      </c>
      <c r="P2692" s="23">
        <v>78.36</v>
      </c>
      <c r="Q2692" s="4">
        <f t="shared" si="41"/>
        <v>-0.78675344563552829</v>
      </c>
      <c r="R2692" s="23" t="s">
        <v>109</v>
      </c>
      <c r="U2692">
        <v>42</v>
      </c>
      <c r="V2692" t="e">
        <f>VLOOKUP(U2692,[1]!NOMINA[#Data],4,FALSE)</f>
        <v>#REF!</v>
      </c>
      <c r="W2692" t="e">
        <f>VLOOKUP(U2692,[1]!NOMINA[#Data],5,FALSE)</f>
        <v>#REF!</v>
      </c>
    </row>
    <row r="2693" spans="1:23" x14ac:dyDescent="0.25">
      <c r="A2693" s="21">
        <v>45761</v>
      </c>
      <c r="B2693" s="1">
        <v>311430784</v>
      </c>
      <c r="C2693" t="s">
        <v>5133</v>
      </c>
      <c r="D2693" s="22">
        <v>-61.65</v>
      </c>
      <c r="E2693" t="s">
        <v>35</v>
      </c>
      <c r="F2693" s="2">
        <v>212901001</v>
      </c>
      <c r="G2693" s="2" t="s">
        <v>121</v>
      </c>
      <c r="L2693" s="2" t="s">
        <v>5134</v>
      </c>
      <c r="M2693" t="s">
        <v>67</v>
      </c>
      <c r="N2693" t="s">
        <v>68</v>
      </c>
      <c r="P2693" s="23">
        <v>78.36</v>
      </c>
      <c r="Q2693" s="4">
        <f t="shared" si="41"/>
        <v>-0.78675344563552829</v>
      </c>
      <c r="R2693" s="23" t="s">
        <v>109</v>
      </c>
      <c r="U2693">
        <v>39</v>
      </c>
      <c r="V2693" t="e">
        <f>VLOOKUP(U2693,[1]!NOMINA[#Data],4,FALSE)</f>
        <v>#REF!</v>
      </c>
      <c r="W2693" t="e">
        <f>VLOOKUP(U2693,[1]!NOMINA[#Data],5,FALSE)</f>
        <v>#REF!</v>
      </c>
    </row>
    <row r="2694" spans="1:23" x14ac:dyDescent="0.25">
      <c r="A2694" s="21">
        <v>45761</v>
      </c>
      <c r="B2694" s="1">
        <v>311430788</v>
      </c>
      <c r="C2694" t="s">
        <v>5135</v>
      </c>
      <c r="D2694" s="22">
        <v>-61.65</v>
      </c>
      <c r="E2694" t="s">
        <v>35</v>
      </c>
      <c r="F2694" s="2">
        <v>212901001</v>
      </c>
      <c r="G2694" s="2" t="s">
        <v>121</v>
      </c>
      <c r="L2694" s="2" t="s">
        <v>5136</v>
      </c>
      <c r="M2694" t="s">
        <v>67</v>
      </c>
      <c r="N2694" t="s">
        <v>68</v>
      </c>
      <c r="P2694" s="23">
        <v>78.36</v>
      </c>
      <c r="Q2694" s="4">
        <f t="shared" si="41"/>
        <v>-0.78675344563552829</v>
      </c>
      <c r="R2694" s="23" t="s">
        <v>109</v>
      </c>
      <c r="U2694">
        <v>21</v>
      </c>
      <c r="V2694" t="e">
        <f>VLOOKUP(U2694,[1]!NOMINA[#Data],4,FALSE)</f>
        <v>#REF!</v>
      </c>
      <c r="W2694" t="e">
        <f>VLOOKUP(U2694,[1]!NOMINA[#Data],5,FALSE)</f>
        <v>#REF!</v>
      </c>
    </row>
    <row r="2695" spans="1:23" x14ac:dyDescent="0.25">
      <c r="A2695" s="21">
        <v>45761</v>
      </c>
      <c r="B2695" s="1">
        <v>311430785</v>
      </c>
      <c r="C2695" t="s">
        <v>5137</v>
      </c>
      <c r="D2695" s="22">
        <v>-61.65</v>
      </c>
      <c r="E2695" t="s">
        <v>35</v>
      </c>
      <c r="F2695" s="2">
        <v>212901001</v>
      </c>
      <c r="G2695" s="2" t="s">
        <v>121</v>
      </c>
      <c r="L2695" s="2" t="s">
        <v>5138</v>
      </c>
      <c r="M2695" t="s">
        <v>67</v>
      </c>
      <c r="N2695" t="s">
        <v>68</v>
      </c>
      <c r="P2695" s="23">
        <v>78.36</v>
      </c>
      <c r="Q2695" s="4">
        <f t="shared" si="41"/>
        <v>-0.78675344563552829</v>
      </c>
      <c r="R2695" s="23" t="s">
        <v>109</v>
      </c>
      <c r="U2695">
        <v>25</v>
      </c>
      <c r="V2695" t="e">
        <f>VLOOKUP(U2695,[1]!NOMINA[#Data],4,FALSE)</f>
        <v>#REF!</v>
      </c>
      <c r="W2695" t="e">
        <f>VLOOKUP(U2695,[1]!NOMINA[#Data],5,FALSE)</f>
        <v>#REF!</v>
      </c>
    </row>
    <row r="2696" spans="1:23" x14ac:dyDescent="0.25">
      <c r="A2696" s="21">
        <v>45761</v>
      </c>
      <c r="B2696" s="1">
        <v>311430787</v>
      </c>
      <c r="C2696" t="s">
        <v>5139</v>
      </c>
      <c r="D2696" s="22">
        <v>-61.65</v>
      </c>
      <c r="E2696" t="s">
        <v>35</v>
      </c>
      <c r="F2696" s="2">
        <v>212901001</v>
      </c>
      <c r="G2696" s="2" t="s">
        <v>121</v>
      </c>
      <c r="L2696" s="2" t="s">
        <v>5140</v>
      </c>
      <c r="M2696" t="s">
        <v>67</v>
      </c>
      <c r="N2696" t="s">
        <v>68</v>
      </c>
      <c r="P2696" s="23">
        <v>78.36</v>
      </c>
      <c r="Q2696" s="4">
        <f t="shared" si="41"/>
        <v>-0.78675344563552829</v>
      </c>
      <c r="R2696" s="23" t="s">
        <v>109</v>
      </c>
      <c r="U2696">
        <v>12</v>
      </c>
      <c r="V2696" t="e">
        <f>VLOOKUP(U2696,[1]!NOMINA[#Data],4,FALSE)</f>
        <v>#REF!</v>
      </c>
      <c r="W2696" t="e">
        <f>VLOOKUP(U2696,[1]!NOMINA[#Data],5,FALSE)</f>
        <v>#REF!</v>
      </c>
    </row>
    <row r="2697" spans="1:23" x14ac:dyDescent="0.25">
      <c r="A2697" s="21">
        <v>45761</v>
      </c>
      <c r="B2697" s="1">
        <v>311430789</v>
      </c>
      <c r="C2697" t="s">
        <v>5141</v>
      </c>
      <c r="D2697" s="22">
        <v>-61.65</v>
      </c>
      <c r="E2697" t="s">
        <v>35</v>
      </c>
      <c r="F2697" s="2">
        <v>212901001</v>
      </c>
      <c r="G2697" s="2" t="s">
        <v>121</v>
      </c>
      <c r="L2697" s="2" t="s">
        <v>5142</v>
      </c>
      <c r="M2697" t="s">
        <v>67</v>
      </c>
      <c r="N2697" t="s">
        <v>68</v>
      </c>
      <c r="P2697" s="23">
        <v>78.36</v>
      </c>
      <c r="Q2697" s="4">
        <f t="shared" si="41"/>
        <v>-0.78675344563552829</v>
      </c>
      <c r="R2697" s="23" t="s">
        <v>109</v>
      </c>
      <c r="U2697">
        <v>2</v>
      </c>
      <c r="V2697" t="e">
        <f>VLOOKUP(Tabla3[[#This Row],[Nº]],[1]!NOMINA[#Data],4,FALSE)</f>
        <v>#REF!</v>
      </c>
      <c r="W2697" t="e">
        <f>VLOOKUP(Tabla3[[#This Row],[Nº]],[1]!NOMINA[#Data],5,FALSE)</f>
        <v>#REF!</v>
      </c>
    </row>
    <row r="2698" spans="1:23" x14ac:dyDescent="0.25">
      <c r="A2698" s="21">
        <v>45761</v>
      </c>
      <c r="B2698" s="1">
        <v>311430790</v>
      </c>
      <c r="C2698" s="3" t="s">
        <v>5143</v>
      </c>
      <c r="D2698" s="22">
        <v>-61.65</v>
      </c>
      <c r="E2698" t="s">
        <v>35</v>
      </c>
      <c r="F2698" s="2">
        <v>212901001</v>
      </c>
      <c r="G2698" s="2" t="s">
        <v>121</v>
      </c>
      <c r="L2698" s="2" t="s">
        <v>5144</v>
      </c>
      <c r="M2698" t="s">
        <v>67</v>
      </c>
      <c r="N2698" t="s">
        <v>68</v>
      </c>
      <c r="P2698" s="23">
        <v>78.36</v>
      </c>
      <c r="Q2698" s="4">
        <f t="shared" si="41"/>
        <v>-0.78675344563552829</v>
      </c>
      <c r="R2698" s="23" t="s">
        <v>109</v>
      </c>
      <c r="U2698">
        <v>28</v>
      </c>
      <c r="V2698" t="e">
        <f>VLOOKUP(U2698,[1]!NOMINA[#Data],4,FALSE)</f>
        <v>#REF!</v>
      </c>
      <c r="W2698" t="e">
        <f>VLOOKUP(U2698,[1]!NOMINA[#Data],5,FALSE)</f>
        <v>#REF!</v>
      </c>
    </row>
    <row r="2699" spans="1:23" x14ac:dyDescent="0.25">
      <c r="A2699" s="21">
        <v>45761</v>
      </c>
      <c r="B2699" s="1">
        <v>311430792</v>
      </c>
      <c r="C2699" t="s">
        <v>5145</v>
      </c>
      <c r="D2699" s="22">
        <v>-61.65</v>
      </c>
      <c r="E2699" t="s">
        <v>35</v>
      </c>
      <c r="F2699" s="2">
        <v>212901001</v>
      </c>
      <c r="G2699" s="2" t="s">
        <v>121</v>
      </c>
      <c r="L2699" s="2" t="s">
        <v>5146</v>
      </c>
      <c r="M2699" t="s">
        <v>67</v>
      </c>
      <c r="N2699" t="s">
        <v>68</v>
      </c>
      <c r="P2699" s="23">
        <v>78.36</v>
      </c>
      <c r="Q2699" s="4">
        <f t="shared" ref="Q2699:Q2762" si="42">D2699/P2699</f>
        <v>-0.78675344563552829</v>
      </c>
      <c r="R2699" s="23" t="s">
        <v>109</v>
      </c>
      <c r="U2699">
        <v>6</v>
      </c>
      <c r="V2699" t="e">
        <f>VLOOKUP(U2699,[1]!NOMINA[#Data],4,FALSE)</f>
        <v>#REF!</v>
      </c>
      <c r="W2699" t="e">
        <f>VLOOKUP(U2699,[1]!NOMINA[#Data],5,FALSE)</f>
        <v>#REF!</v>
      </c>
    </row>
    <row r="2700" spans="1:23" x14ac:dyDescent="0.25">
      <c r="A2700" s="21">
        <v>45761</v>
      </c>
      <c r="B2700" s="1">
        <v>311430793</v>
      </c>
      <c r="C2700" t="s">
        <v>5147</v>
      </c>
      <c r="D2700" s="22">
        <v>-61.65</v>
      </c>
      <c r="E2700" t="s">
        <v>35</v>
      </c>
      <c r="F2700" s="2">
        <v>212901001</v>
      </c>
      <c r="G2700" s="2" t="s">
        <v>121</v>
      </c>
      <c r="L2700" s="2" t="s">
        <v>5148</v>
      </c>
      <c r="M2700" t="s">
        <v>67</v>
      </c>
      <c r="N2700" t="s">
        <v>68</v>
      </c>
      <c r="P2700" s="23">
        <v>78.36</v>
      </c>
      <c r="Q2700" s="4">
        <f t="shared" si="42"/>
        <v>-0.78675344563552829</v>
      </c>
      <c r="R2700" s="23" t="s">
        <v>109</v>
      </c>
      <c r="U2700">
        <v>24</v>
      </c>
      <c r="V2700" t="e">
        <f>VLOOKUP(U2700,[1]!NOMINA[#Data],4,FALSE)</f>
        <v>#REF!</v>
      </c>
      <c r="W2700" t="e">
        <f>VLOOKUP(U2700,[1]!NOMINA[#Data],5,FALSE)</f>
        <v>#REF!</v>
      </c>
    </row>
    <row r="2701" spans="1:23" x14ac:dyDescent="0.25">
      <c r="A2701" s="21">
        <v>45761</v>
      </c>
      <c r="B2701" s="1">
        <v>411430794</v>
      </c>
      <c r="C2701" t="s">
        <v>5149</v>
      </c>
      <c r="D2701" s="22">
        <v>-61.65</v>
      </c>
      <c r="E2701" t="s">
        <v>35</v>
      </c>
      <c r="F2701" s="2">
        <v>212901001</v>
      </c>
      <c r="G2701" s="2" t="s">
        <v>121</v>
      </c>
      <c r="L2701" s="2" t="s">
        <v>5150</v>
      </c>
      <c r="M2701" t="s">
        <v>67</v>
      </c>
      <c r="N2701" t="s">
        <v>68</v>
      </c>
      <c r="P2701" s="23">
        <v>78.36</v>
      </c>
      <c r="Q2701" s="4">
        <f t="shared" si="42"/>
        <v>-0.78675344563552829</v>
      </c>
      <c r="R2701" s="23" t="s">
        <v>109</v>
      </c>
      <c r="U2701">
        <v>3</v>
      </c>
      <c r="V2701" t="e">
        <f>VLOOKUP(U2701,[1]!NOMINA[#Data],4,FALSE)</f>
        <v>#REF!</v>
      </c>
      <c r="W2701" t="e">
        <f>VLOOKUP(U2701,[1]!NOMINA[#Data],5,FALSE)</f>
        <v>#REF!</v>
      </c>
    </row>
    <row r="2702" spans="1:23" x14ac:dyDescent="0.25">
      <c r="A2702" s="21">
        <v>45761</v>
      </c>
      <c r="B2702" s="1">
        <v>411430796</v>
      </c>
      <c r="C2702" s="3" t="s">
        <v>5151</v>
      </c>
      <c r="D2702" s="22">
        <v>-61.65</v>
      </c>
      <c r="E2702" t="s">
        <v>35</v>
      </c>
      <c r="F2702" s="2">
        <v>212901001</v>
      </c>
      <c r="G2702" s="2" t="s">
        <v>121</v>
      </c>
      <c r="L2702" s="2" t="s">
        <v>5152</v>
      </c>
      <c r="M2702" t="s">
        <v>67</v>
      </c>
      <c r="N2702" t="s">
        <v>68</v>
      </c>
      <c r="P2702" s="23">
        <v>78.36</v>
      </c>
      <c r="Q2702" s="4">
        <f t="shared" si="42"/>
        <v>-0.78675344563552829</v>
      </c>
      <c r="R2702" s="23" t="s">
        <v>109</v>
      </c>
      <c r="U2702">
        <v>27</v>
      </c>
      <c r="V2702" t="e">
        <f>VLOOKUP(U2702,[1]!NOMINA[#Data],4,FALSE)</f>
        <v>#REF!</v>
      </c>
      <c r="W2702" t="e">
        <f>VLOOKUP(U2702,[1]!NOMINA[#Data],5,FALSE)</f>
        <v>#REF!</v>
      </c>
    </row>
    <row r="2703" spans="1:23" x14ac:dyDescent="0.25">
      <c r="A2703" s="21">
        <v>45761</v>
      </c>
      <c r="B2703" s="1">
        <v>411430795</v>
      </c>
      <c r="C2703" t="s">
        <v>5153</v>
      </c>
      <c r="D2703" s="22">
        <v>-61.65</v>
      </c>
      <c r="E2703" t="s">
        <v>35</v>
      </c>
      <c r="F2703" s="2">
        <v>212901001</v>
      </c>
      <c r="G2703" s="2" t="s">
        <v>121</v>
      </c>
      <c r="L2703" s="2" t="s">
        <v>5154</v>
      </c>
      <c r="M2703" t="s">
        <v>67</v>
      </c>
      <c r="N2703" t="s">
        <v>68</v>
      </c>
      <c r="P2703" s="23">
        <v>78.36</v>
      </c>
      <c r="Q2703" s="4">
        <f t="shared" si="42"/>
        <v>-0.78675344563552829</v>
      </c>
      <c r="R2703" s="23" t="s">
        <v>109</v>
      </c>
      <c r="U2703">
        <v>19</v>
      </c>
      <c r="V2703" t="e">
        <f>VLOOKUP(U2703,[1]!NOMINA[#Data],4,FALSE)</f>
        <v>#REF!</v>
      </c>
      <c r="W2703" t="e">
        <f>VLOOKUP(U2703,[1]!NOMINA[#Data],5,FALSE)</f>
        <v>#REF!</v>
      </c>
    </row>
    <row r="2704" spans="1:23" x14ac:dyDescent="0.25">
      <c r="A2704" s="21">
        <v>45761</v>
      </c>
      <c r="B2704" s="1">
        <v>411430798</v>
      </c>
      <c r="C2704" t="s">
        <v>5155</v>
      </c>
      <c r="D2704" s="22">
        <v>-61.65</v>
      </c>
      <c r="E2704" t="s">
        <v>35</v>
      </c>
      <c r="F2704" s="2">
        <v>212901001</v>
      </c>
      <c r="G2704" s="2" t="s">
        <v>121</v>
      </c>
      <c r="L2704" s="2" t="s">
        <v>5156</v>
      </c>
      <c r="M2704" t="s">
        <v>67</v>
      </c>
      <c r="N2704" t="s">
        <v>68</v>
      </c>
      <c r="P2704" s="23">
        <v>78.36</v>
      </c>
      <c r="Q2704" s="4">
        <f t="shared" si="42"/>
        <v>-0.78675344563552829</v>
      </c>
      <c r="R2704" s="23" t="s">
        <v>109</v>
      </c>
      <c r="U2704">
        <v>5</v>
      </c>
      <c r="V2704" t="e">
        <f>VLOOKUP(U2704,[1]!NOMINA[#Data],4,FALSE)</f>
        <v>#REF!</v>
      </c>
      <c r="W2704" t="e">
        <f>VLOOKUP(U2704,[1]!NOMINA[#Data],5,FALSE)</f>
        <v>#REF!</v>
      </c>
    </row>
    <row r="2705" spans="1:23" x14ac:dyDescent="0.25">
      <c r="A2705" s="21">
        <v>45761</v>
      </c>
      <c r="B2705" s="1">
        <v>411430797</v>
      </c>
      <c r="C2705" t="s">
        <v>5157</v>
      </c>
      <c r="D2705" s="22">
        <v>-61.65</v>
      </c>
      <c r="E2705" t="s">
        <v>35</v>
      </c>
      <c r="F2705" s="2">
        <v>212901001</v>
      </c>
      <c r="G2705" s="2" t="s">
        <v>121</v>
      </c>
      <c r="L2705" s="2" t="s">
        <v>5158</v>
      </c>
      <c r="M2705" t="s">
        <v>67</v>
      </c>
      <c r="N2705" t="s">
        <v>68</v>
      </c>
      <c r="P2705" s="23">
        <v>78.36</v>
      </c>
      <c r="Q2705" s="4">
        <f t="shared" si="42"/>
        <v>-0.78675344563552829</v>
      </c>
      <c r="R2705" s="23" t="s">
        <v>109</v>
      </c>
      <c r="U2705">
        <v>16</v>
      </c>
      <c r="V2705" t="e">
        <f>VLOOKUP(Tabla3[[#This Row],[Nº]],[1]!NOMINA[#Data],4,FALSE)</f>
        <v>#REF!</v>
      </c>
      <c r="W2705" t="e">
        <f>VLOOKUP(Tabla3[[#This Row],[Nº]],[1]!NOMINA[#Data],5,FALSE)</f>
        <v>#REF!</v>
      </c>
    </row>
    <row r="2706" spans="1:23" x14ac:dyDescent="0.25">
      <c r="A2706" s="21">
        <v>45761</v>
      </c>
      <c r="B2706" s="1">
        <v>411430801</v>
      </c>
      <c r="C2706" s="3" t="s">
        <v>5159</v>
      </c>
      <c r="D2706" s="22">
        <v>-61.65</v>
      </c>
      <c r="E2706" t="s">
        <v>35</v>
      </c>
      <c r="F2706" s="2">
        <v>212901001</v>
      </c>
      <c r="G2706" s="2" t="s">
        <v>121</v>
      </c>
      <c r="L2706" s="2" t="s">
        <v>5160</v>
      </c>
      <c r="M2706" t="s">
        <v>67</v>
      </c>
      <c r="N2706" t="s">
        <v>68</v>
      </c>
      <c r="P2706" s="23">
        <v>78.36</v>
      </c>
      <c r="Q2706" s="4">
        <f t="shared" si="42"/>
        <v>-0.78675344563552829</v>
      </c>
      <c r="R2706" s="23" t="s">
        <v>109</v>
      </c>
      <c r="U2706">
        <v>37</v>
      </c>
      <c r="V2706" t="e">
        <f>VLOOKUP(Tabla3[[#This Row],[Nº]],[1]!NOMINA[#Data],4,FALSE)</f>
        <v>#REF!</v>
      </c>
      <c r="W2706" t="e">
        <f>VLOOKUP(Tabla3[[#This Row],[Nº]],[1]!NOMINA[#Data],5,FALSE)</f>
        <v>#REF!</v>
      </c>
    </row>
    <row r="2707" spans="1:23" x14ac:dyDescent="0.25">
      <c r="A2707" s="21">
        <v>45761</v>
      </c>
      <c r="B2707" s="1">
        <v>411430799</v>
      </c>
      <c r="C2707" t="s">
        <v>5161</v>
      </c>
      <c r="D2707" s="22">
        <v>-61.65</v>
      </c>
      <c r="E2707" t="s">
        <v>35</v>
      </c>
      <c r="F2707" s="2">
        <v>212901001</v>
      </c>
      <c r="G2707" s="2" t="s">
        <v>121</v>
      </c>
      <c r="L2707" s="2" t="s">
        <v>5162</v>
      </c>
      <c r="M2707" t="s">
        <v>67</v>
      </c>
      <c r="N2707" t="s">
        <v>68</v>
      </c>
      <c r="P2707" s="23">
        <v>78.36</v>
      </c>
      <c r="Q2707" s="4">
        <f t="shared" si="42"/>
        <v>-0.78675344563552829</v>
      </c>
      <c r="R2707" s="23" t="s">
        <v>109</v>
      </c>
      <c r="U2707">
        <v>7</v>
      </c>
      <c r="V2707" t="e">
        <f>VLOOKUP(U2707,[1]!NOMINA[#Data],4,FALSE)</f>
        <v>#REF!</v>
      </c>
      <c r="W2707" t="e">
        <f>VLOOKUP(U2707,[1]!NOMINA[#Data],5,FALSE)</f>
        <v>#REF!</v>
      </c>
    </row>
    <row r="2708" spans="1:23" x14ac:dyDescent="0.25">
      <c r="A2708" s="21">
        <v>45761</v>
      </c>
      <c r="B2708" s="1">
        <v>411430800</v>
      </c>
      <c r="C2708" t="s">
        <v>5107</v>
      </c>
      <c r="D2708" s="22">
        <v>-61.65</v>
      </c>
      <c r="E2708" t="s">
        <v>35</v>
      </c>
      <c r="F2708" s="2">
        <v>212901001</v>
      </c>
      <c r="G2708" s="2" t="s">
        <v>121</v>
      </c>
      <c r="L2708" s="2" t="s">
        <v>5163</v>
      </c>
      <c r="M2708" t="s">
        <v>67</v>
      </c>
      <c r="N2708" t="s">
        <v>68</v>
      </c>
      <c r="P2708" s="23">
        <v>78.36</v>
      </c>
      <c r="Q2708" s="4">
        <f t="shared" si="42"/>
        <v>-0.78675344563552829</v>
      </c>
      <c r="R2708" s="23" t="s">
        <v>109</v>
      </c>
      <c r="U2708">
        <v>1</v>
      </c>
      <c r="V2708" t="e">
        <f>VLOOKUP(U2708,[1]!NOMINA[#Data],4,FALSE)</f>
        <v>#REF!</v>
      </c>
      <c r="W2708" t="e">
        <f>VLOOKUP(U2708,[1]!NOMINA[#Data],5,FALSE)</f>
        <v>#REF!</v>
      </c>
    </row>
    <row r="2709" spans="1:23" x14ac:dyDescent="0.25">
      <c r="A2709" s="21">
        <v>45761</v>
      </c>
      <c r="B2709" s="1">
        <v>50448173</v>
      </c>
      <c r="C2709" s="3" t="s">
        <v>5164</v>
      </c>
      <c r="D2709" s="22">
        <v>-11097.87</v>
      </c>
      <c r="E2709" t="s">
        <v>35</v>
      </c>
      <c r="F2709" s="2">
        <v>212901001</v>
      </c>
      <c r="G2709" s="2" t="s">
        <v>121</v>
      </c>
      <c r="L2709" s="2" t="s">
        <v>5165</v>
      </c>
      <c r="M2709" t="s">
        <v>67</v>
      </c>
      <c r="N2709" t="s">
        <v>68</v>
      </c>
      <c r="P2709" s="23">
        <v>78.36</v>
      </c>
      <c r="Q2709" s="4">
        <f t="shared" si="42"/>
        <v>-141.62672281776418</v>
      </c>
      <c r="R2709" s="23" t="s">
        <v>109</v>
      </c>
      <c r="U2709">
        <v>40</v>
      </c>
      <c r="V2709" t="e">
        <f>VLOOKUP(U2709,[1]!NOMINA[#Data],4,FALSE)</f>
        <v>#REF!</v>
      </c>
      <c r="W2709" t="e">
        <f>VLOOKUP(U2709,[1]!NOMINA[#Data],5,FALSE)</f>
        <v>#REF!</v>
      </c>
    </row>
    <row r="2710" spans="1:23" x14ac:dyDescent="0.25">
      <c r="A2710" s="21">
        <v>45761</v>
      </c>
      <c r="B2710" s="1">
        <v>50448173</v>
      </c>
      <c r="C2710" t="s">
        <v>296</v>
      </c>
      <c r="D2710" s="22">
        <v>-16.64</v>
      </c>
      <c r="E2710" t="s">
        <v>35</v>
      </c>
      <c r="F2710" s="2">
        <v>610148001</v>
      </c>
      <c r="G2710" s="2" t="s">
        <v>42</v>
      </c>
      <c r="L2710" s="2" t="s">
        <v>5166</v>
      </c>
      <c r="M2710" t="s">
        <v>43</v>
      </c>
      <c r="N2710" t="s">
        <v>42</v>
      </c>
      <c r="P2710" s="23">
        <v>78.36</v>
      </c>
      <c r="Q2710" s="4">
        <f t="shared" si="42"/>
        <v>-0.21235324144971926</v>
      </c>
      <c r="R2710" s="23" t="s">
        <v>109</v>
      </c>
      <c r="T2710" s="23" t="s">
        <v>4558</v>
      </c>
    </row>
    <row r="2711" spans="1:23" x14ac:dyDescent="0.25">
      <c r="A2711" s="21">
        <v>45761</v>
      </c>
      <c r="B2711" s="1">
        <v>50448173</v>
      </c>
      <c r="C2711" t="s">
        <v>118</v>
      </c>
      <c r="D2711" s="22">
        <v>-730.54</v>
      </c>
      <c r="E2711" t="s">
        <v>35</v>
      </c>
      <c r="F2711" s="2">
        <v>610148001</v>
      </c>
      <c r="G2711" s="2" t="s">
        <v>42</v>
      </c>
      <c r="L2711" s="2" t="s">
        <v>5167</v>
      </c>
      <c r="M2711" t="s">
        <v>43</v>
      </c>
      <c r="N2711" t="s">
        <v>42</v>
      </c>
      <c r="P2711" s="23">
        <v>78.36</v>
      </c>
      <c r="Q2711" s="4">
        <f t="shared" si="42"/>
        <v>-9.3228688106176616</v>
      </c>
      <c r="R2711" s="23" t="s">
        <v>109</v>
      </c>
      <c r="T2711" s="23" t="s">
        <v>4558</v>
      </c>
    </row>
    <row r="2712" spans="1:23" x14ac:dyDescent="0.25">
      <c r="A2712" s="21">
        <v>45762</v>
      </c>
      <c r="B2712" s="1">
        <v>111950484</v>
      </c>
      <c r="C2712" t="s">
        <v>107</v>
      </c>
      <c r="D2712" s="22">
        <v>650000</v>
      </c>
      <c r="E2712" t="s">
        <v>46</v>
      </c>
      <c r="F2712" s="2">
        <v>210115002</v>
      </c>
      <c r="G2712" s="2" t="s">
        <v>47</v>
      </c>
      <c r="L2712" s="2" t="s">
        <v>5168</v>
      </c>
      <c r="N2712" t="s">
        <v>107</v>
      </c>
      <c r="P2712" s="23">
        <v>78.59</v>
      </c>
      <c r="Q2712" s="4">
        <f t="shared" si="42"/>
        <v>8270.772362896043</v>
      </c>
      <c r="R2712" s="23" t="s">
        <v>109</v>
      </c>
    </row>
    <row r="2713" spans="1:23" x14ac:dyDescent="0.25">
      <c r="A2713" s="21">
        <v>45762</v>
      </c>
      <c r="B2713" s="1">
        <v>511470608</v>
      </c>
      <c r="C2713" t="s">
        <v>5169</v>
      </c>
      <c r="D2713" s="58">
        <v>-174277.6</v>
      </c>
      <c r="E2713" t="s">
        <v>35</v>
      </c>
      <c r="F2713" s="2">
        <v>110114001</v>
      </c>
      <c r="G2713" s="2" t="s">
        <v>301</v>
      </c>
      <c r="L2713" s="2" t="s">
        <v>5170</v>
      </c>
      <c r="M2713" t="s">
        <v>38</v>
      </c>
      <c r="N2713" t="s">
        <v>39</v>
      </c>
      <c r="P2713" s="23">
        <v>78.59</v>
      </c>
      <c r="Q2713" s="4">
        <f t="shared" si="42"/>
        <v>-2217.5543962336174</v>
      </c>
      <c r="R2713" s="23" t="s">
        <v>109</v>
      </c>
      <c r="S2713" s="33" t="s">
        <v>5171</v>
      </c>
    </row>
    <row r="2714" spans="1:23" x14ac:dyDescent="0.25">
      <c r="A2714" s="21">
        <v>45762</v>
      </c>
      <c r="B2714" s="1">
        <v>511470610</v>
      </c>
      <c r="C2714" t="s">
        <v>5172</v>
      </c>
      <c r="D2714" s="22">
        <v>-22791.1</v>
      </c>
      <c r="E2714" t="s">
        <v>35</v>
      </c>
      <c r="F2714" s="2">
        <v>210101001</v>
      </c>
      <c r="G2714" s="2" t="s">
        <v>36</v>
      </c>
      <c r="L2714" s="2" t="s">
        <v>5173</v>
      </c>
      <c r="M2714" t="s">
        <v>2028</v>
      </c>
      <c r="N2714" t="s">
        <v>2029</v>
      </c>
      <c r="P2714" s="23">
        <v>78.59</v>
      </c>
      <c r="Q2714" s="4">
        <f t="shared" si="42"/>
        <v>-289.99999999999994</v>
      </c>
      <c r="R2714" s="23" t="s">
        <v>109</v>
      </c>
    </row>
    <row r="2715" spans="1:23" x14ac:dyDescent="0.25">
      <c r="A2715" s="21">
        <v>45762</v>
      </c>
      <c r="B2715" s="1">
        <v>511470609</v>
      </c>
      <c r="C2715" t="s">
        <v>5174</v>
      </c>
      <c r="D2715" s="22">
        <v>-590</v>
      </c>
      <c r="E2715" t="s">
        <v>35</v>
      </c>
      <c r="F2715" s="2">
        <v>110114001</v>
      </c>
      <c r="G2715" s="2" t="s">
        <v>301</v>
      </c>
      <c r="L2715" s="2" t="s">
        <v>5175</v>
      </c>
      <c r="M2715" t="s">
        <v>788</v>
      </c>
      <c r="N2715" t="s">
        <v>789</v>
      </c>
      <c r="P2715" s="23">
        <v>78.59</v>
      </c>
      <c r="Q2715" s="4">
        <f t="shared" si="42"/>
        <v>-7.5073164524748695</v>
      </c>
      <c r="R2715" s="23" t="s">
        <v>109</v>
      </c>
      <c r="S2715" s="33" t="s">
        <v>3147</v>
      </c>
    </row>
    <row r="2716" spans="1:23" x14ac:dyDescent="0.25">
      <c r="A2716" s="21">
        <v>45762</v>
      </c>
      <c r="B2716" s="1">
        <v>511470607</v>
      </c>
      <c r="C2716" t="s">
        <v>5169</v>
      </c>
      <c r="D2716" s="22">
        <v>-200000</v>
      </c>
      <c r="E2716" t="s">
        <v>35</v>
      </c>
      <c r="F2716" s="2">
        <v>110114001</v>
      </c>
      <c r="G2716" s="2" t="s">
        <v>301</v>
      </c>
      <c r="L2716" s="2" t="s">
        <v>5176</v>
      </c>
      <c r="M2716" t="s">
        <v>38</v>
      </c>
      <c r="N2716" t="s">
        <v>39</v>
      </c>
      <c r="P2716" s="23">
        <v>78.59</v>
      </c>
      <c r="Q2716" s="4">
        <f t="shared" si="42"/>
        <v>-2544.8530347372439</v>
      </c>
      <c r="R2716" s="23" t="s">
        <v>109</v>
      </c>
      <c r="S2716" s="33" t="s">
        <v>2726</v>
      </c>
    </row>
    <row r="2717" spans="1:23" x14ac:dyDescent="0.25">
      <c r="A2717" s="21">
        <v>45762</v>
      </c>
      <c r="B2717" s="1">
        <v>50453648</v>
      </c>
      <c r="C2717" t="s">
        <v>118</v>
      </c>
      <c r="D2717" s="22">
        <v>-994.14</v>
      </c>
      <c r="E2717" t="s">
        <v>35</v>
      </c>
      <c r="F2717" s="2">
        <v>610148001</v>
      </c>
      <c r="G2717" s="2" t="s">
        <v>42</v>
      </c>
      <c r="L2717" s="2" t="s">
        <v>5177</v>
      </c>
      <c r="M2717" t="s">
        <v>43</v>
      </c>
      <c r="N2717" t="s">
        <v>42</v>
      </c>
      <c r="P2717" s="23">
        <v>78.59</v>
      </c>
      <c r="Q2717" s="4">
        <f t="shared" si="42"/>
        <v>-12.649700979768417</v>
      </c>
      <c r="R2717" s="23" t="s">
        <v>109</v>
      </c>
      <c r="T2717" s="23" t="s">
        <v>4558</v>
      </c>
    </row>
    <row r="2718" spans="1:23" x14ac:dyDescent="0.25">
      <c r="A2718" s="21">
        <v>45762</v>
      </c>
      <c r="B2718" s="1">
        <v>113246460</v>
      </c>
      <c r="C2718" t="s">
        <v>5178</v>
      </c>
      <c r="D2718" s="22">
        <v>-255250.89</v>
      </c>
      <c r="E2718" t="s">
        <v>35</v>
      </c>
      <c r="L2718" s="2" t="s">
        <v>5179</v>
      </c>
      <c r="N2718" t="s">
        <v>2681</v>
      </c>
      <c r="P2718" s="23">
        <v>78.59</v>
      </c>
      <c r="Q2718" s="4">
        <f t="shared" si="42"/>
        <v>-3247.8800101794122</v>
      </c>
      <c r="R2718" s="23" t="s">
        <v>109</v>
      </c>
      <c r="S2718" s="3" t="s">
        <v>1811</v>
      </c>
    </row>
    <row r="2719" spans="1:23" x14ac:dyDescent="0.25">
      <c r="A2719" s="21">
        <v>45762</v>
      </c>
      <c r="B2719" s="1">
        <v>131705670</v>
      </c>
      <c r="C2719" t="s">
        <v>107</v>
      </c>
      <c r="D2719" s="22">
        <v>132000</v>
      </c>
      <c r="E2719" t="s">
        <v>46</v>
      </c>
      <c r="F2719" s="2">
        <v>210115002</v>
      </c>
      <c r="G2719" s="2" t="s">
        <v>47</v>
      </c>
      <c r="L2719" s="2" t="s">
        <v>5180</v>
      </c>
      <c r="N2719" t="s">
        <v>107</v>
      </c>
      <c r="P2719" s="23">
        <v>78.59</v>
      </c>
      <c r="Q2719" s="4">
        <f t="shared" si="42"/>
        <v>1679.603002926581</v>
      </c>
      <c r="R2719" s="23" t="s">
        <v>109</v>
      </c>
    </row>
    <row r="2720" spans="1:23" x14ac:dyDescent="0.25">
      <c r="A2720" s="21">
        <v>45762</v>
      </c>
      <c r="B2720" s="1">
        <v>111480218</v>
      </c>
      <c r="C2720" t="s">
        <v>5181</v>
      </c>
      <c r="D2720" s="22">
        <v>-57185.56</v>
      </c>
      <c r="E2720" t="s">
        <v>35</v>
      </c>
      <c r="F2720" s="2">
        <v>110114001</v>
      </c>
      <c r="G2720" s="2" t="s">
        <v>301</v>
      </c>
      <c r="L2720" s="2" t="s">
        <v>5182</v>
      </c>
      <c r="M2720" t="s">
        <v>1866</v>
      </c>
      <c r="N2720" t="s">
        <v>1867</v>
      </c>
      <c r="P2720" s="23">
        <v>78.59</v>
      </c>
      <c r="Q2720" s="4">
        <f t="shared" si="42"/>
        <v>-727.64422954574366</v>
      </c>
      <c r="R2720" s="23" t="s">
        <v>109</v>
      </c>
      <c r="S2720" s="33" t="s">
        <v>3147</v>
      </c>
    </row>
    <row r="2721" spans="1:20" x14ac:dyDescent="0.25">
      <c r="A2721" s="21">
        <v>45762</v>
      </c>
      <c r="B2721" s="1">
        <v>111480219</v>
      </c>
      <c r="C2721" t="s">
        <v>5183</v>
      </c>
      <c r="D2721" s="22">
        <v>-65820.7</v>
      </c>
      <c r="E2721" t="s">
        <v>35</v>
      </c>
      <c r="F2721" s="2">
        <v>110114001</v>
      </c>
      <c r="G2721" s="2" t="s">
        <v>301</v>
      </c>
      <c r="L2721" s="2" t="s">
        <v>5184</v>
      </c>
      <c r="M2721" t="s">
        <v>1866</v>
      </c>
      <c r="N2721" t="s">
        <v>1867</v>
      </c>
      <c r="P2721" s="23">
        <v>78.59</v>
      </c>
      <c r="Q2721" s="4">
        <f t="shared" si="42"/>
        <v>-837.5200407176485</v>
      </c>
      <c r="R2721" s="23" t="s">
        <v>109</v>
      </c>
      <c r="S2721" s="33" t="s">
        <v>3147</v>
      </c>
    </row>
    <row r="2722" spans="1:20" x14ac:dyDescent="0.25">
      <c r="A2722" s="21">
        <v>45762</v>
      </c>
      <c r="B2722" s="1">
        <v>111480217</v>
      </c>
      <c r="C2722" t="s">
        <v>5185</v>
      </c>
      <c r="D2722" s="22">
        <v>-8605.92</v>
      </c>
      <c r="E2722" t="s">
        <v>35</v>
      </c>
      <c r="F2722" s="2">
        <v>110114001</v>
      </c>
      <c r="G2722" s="2" t="s">
        <v>301</v>
      </c>
      <c r="L2722" s="2" t="s">
        <v>5186</v>
      </c>
      <c r="M2722" t="s">
        <v>1318</v>
      </c>
      <c r="N2722" t="s">
        <v>1319</v>
      </c>
      <c r="P2722" s="23">
        <v>78.59</v>
      </c>
      <c r="Q2722" s="4">
        <f t="shared" si="42"/>
        <v>-109.5040081435297</v>
      </c>
      <c r="R2722" s="23" t="s">
        <v>109</v>
      </c>
      <c r="S2722" s="33" t="s">
        <v>3147</v>
      </c>
    </row>
    <row r="2723" spans="1:20" x14ac:dyDescent="0.25">
      <c r="A2723" s="21">
        <v>45762</v>
      </c>
      <c r="B2723" s="1">
        <v>50492367</v>
      </c>
      <c r="C2723" t="s">
        <v>118</v>
      </c>
      <c r="D2723" s="22">
        <v>-329.03</v>
      </c>
      <c r="E2723" t="s">
        <v>35</v>
      </c>
      <c r="F2723" s="2">
        <v>610148001</v>
      </c>
      <c r="G2723" s="2" t="s">
        <v>42</v>
      </c>
      <c r="L2723" s="2" t="s">
        <v>5187</v>
      </c>
      <c r="M2723" t="s">
        <v>43</v>
      </c>
      <c r="N2723" t="s">
        <v>42</v>
      </c>
      <c r="P2723" s="23">
        <v>78.59</v>
      </c>
      <c r="Q2723" s="4">
        <f t="shared" si="42"/>
        <v>-4.1866649700979766</v>
      </c>
      <c r="R2723" s="23" t="s">
        <v>109</v>
      </c>
      <c r="T2723" s="23" t="s">
        <v>4558</v>
      </c>
    </row>
    <row r="2724" spans="1:20" x14ac:dyDescent="0.25">
      <c r="A2724" s="21">
        <v>45763</v>
      </c>
      <c r="B2724" s="1">
        <v>13027043</v>
      </c>
      <c r="C2724" t="s">
        <v>5188</v>
      </c>
      <c r="D2724" s="22">
        <v>17768.599999999999</v>
      </c>
      <c r="E2724" t="s">
        <v>46</v>
      </c>
      <c r="F2724" s="2">
        <v>110106001</v>
      </c>
      <c r="G2724" s="2" t="s">
        <v>2034</v>
      </c>
      <c r="L2724" s="2" t="s">
        <v>5189</v>
      </c>
      <c r="N2724" t="s">
        <v>5010</v>
      </c>
      <c r="P2724" s="23">
        <v>79.78</v>
      </c>
      <c r="Q2724" s="4">
        <f t="shared" si="42"/>
        <v>222.71997994484832</v>
      </c>
      <c r="R2724" s="23" t="s">
        <v>109</v>
      </c>
    </row>
    <row r="2725" spans="1:20" x14ac:dyDescent="0.25">
      <c r="A2725" s="21">
        <v>45763</v>
      </c>
      <c r="B2725" s="1">
        <v>13027043</v>
      </c>
      <c r="C2725" t="s">
        <v>2037</v>
      </c>
      <c r="D2725" s="22">
        <v>-266.52</v>
      </c>
      <c r="E2725" t="s">
        <v>35</v>
      </c>
      <c r="F2725" s="2">
        <v>610148001</v>
      </c>
      <c r="G2725" s="2" t="s">
        <v>42</v>
      </c>
      <c r="L2725" s="2" t="s">
        <v>5190</v>
      </c>
      <c r="M2725" t="s">
        <v>43</v>
      </c>
      <c r="N2725" t="s">
        <v>42</v>
      </c>
      <c r="P2725" s="23">
        <v>79.78</v>
      </c>
      <c r="Q2725" s="4">
        <f t="shared" si="42"/>
        <v>-3.3406868889445973</v>
      </c>
      <c r="R2725" s="23" t="s">
        <v>109</v>
      </c>
      <c r="T2725" s="23" t="s">
        <v>4558</v>
      </c>
    </row>
    <row r="2726" spans="1:20" x14ac:dyDescent="0.25">
      <c r="A2726" s="21">
        <v>45763</v>
      </c>
      <c r="B2726" s="1">
        <v>111555359</v>
      </c>
      <c r="C2726" t="s">
        <v>5191</v>
      </c>
      <c r="D2726" s="22">
        <v>-37017.919999999998</v>
      </c>
      <c r="E2726" t="s">
        <v>35</v>
      </c>
      <c r="F2726" s="2">
        <v>210101001</v>
      </c>
      <c r="G2726" s="2" t="s">
        <v>36</v>
      </c>
      <c r="L2726" s="2" t="s">
        <v>5192</v>
      </c>
      <c r="M2726" t="s">
        <v>1866</v>
      </c>
      <c r="N2726" t="s">
        <v>1867</v>
      </c>
      <c r="P2726" s="23">
        <v>79.78</v>
      </c>
      <c r="Q2726" s="4">
        <f t="shared" si="42"/>
        <v>-463.99999999999994</v>
      </c>
      <c r="R2726" s="23" t="s">
        <v>109</v>
      </c>
    </row>
    <row r="2727" spans="1:20" x14ac:dyDescent="0.25">
      <c r="A2727" s="21">
        <v>45763</v>
      </c>
      <c r="B2727" s="1">
        <v>111555359</v>
      </c>
      <c r="C2727" t="s">
        <v>306</v>
      </c>
      <c r="D2727" s="22">
        <v>-111.05</v>
      </c>
      <c r="E2727" t="s">
        <v>35</v>
      </c>
      <c r="F2727" s="2">
        <v>610148001</v>
      </c>
      <c r="G2727" s="2" t="s">
        <v>42</v>
      </c>
      <c r="L2727" s="2" t="s">
        <v>5193</v>
      </c>
      <c r="M2727" t="s">
        <v>43</v>
      </c>
      <c r="N2727" t="s">
        <v>42</v>
      </c>
      <c r="P2727" s="23">
        <v>79.78</v>
      </c>
      <c r="Q2727" s="4">
        <f t="shared" si="42"/>
        <v>-1.3919528703935824</v>
      </c>
      <c r="R2727" s="23" t="s">
        <v>109</v>
      </c>
      <c r="T2727" s="23" t="s">
        <v>4558</v>
      </c>
    </row>
    <row r="2728" spans="1:20" x14ac:dyDescent="0.25">
      <c r="A2728" s="21">
        <v>45763</v>
      </c>
      <c r="B2728" s="1">
        <v>120331177</v>
      </c>
      <c r="C2728" t="s">
        <v>107</v>
      </c>
      <c r="D2728" s="22">
        <v>65000</v>
      </c>
      <c r="E2728" t="s">
        <v>46</v>
      </c>
      <c r="F2728" s="2">
        <v>210115002</v>
      </c>
      <c r="G2728" s="2" t="s">
        <v>47</v>
      </c>
      <c r="L2728" s="2" t="s">
        <v>5194</v>
      </c>
      <c r="N2728" t="s">
        <v>107</v>
      </c>
      <c r="P2728" s="23">
        <v>79.78</v>
      </c>
      <c r="Q2728" s="4">
        <f t="shared" si="42"/>
        <v>814.74053647530707</v>
      </c>
      <c r="R2728" s="23" t="s">
        <v>109</v>
      </c>
    </row>
    <row r="2729" spans="1:20" x14ac:dyDescent="0.25">
      <c r="A2729" s="21">
        <v>45763</v>
      </c>
      <c r="B2729" s="1">
        <v>120858207</v>
      </c>
      <c r="C2729" t="s">
        <v>107</v>
      </c>
      <c r="D2729" s="22">
        <v>40000</v>
      </c>
      <c r="E2729" t="s">
        <v>46</v>
      </c>
      <c r="F2729" s="2">
        <v>210115002</v>
      </c>
      <c r="G2729" s="2" t="s">
        <v>47</v>
      </c>
      <c r="L2729" s="2" t="s">
        <v>5195</v>
      </c>
      <c r="N2729" t="s">
        <v>107</v>
      </c>
      <c r="P2729" s="23">
        <v>79.78</v>
      </c>
      <c r="Q2729" s="4">
        <f t="shared" si="42"/>
        <v>501.37879167711208</v>
      </c>
      <c r="R2729" s="23" t="s">
        <v>109</v>
      </c>
    </row>
    <row r="2730" spans="1:20" x14ac:dyDescent="0.25">
      <c r="A2730" s="21">
        <v>45763</v>
      </c>
      <c r="B2730" s="1">
        <v>611559760</v>
      </c>
      <c r="C2730" t="s">
        <v>5196</v>
      </c>
      <c r="D2730" s="22">
        <v>-3989</v>
      </c>
      <c r="E2730" t="s">
        <v>35</v>
      </c>
      <c r="F2730" s="2">
        <v>212901001</v>
      </c>
      <c r="G2730" s="2" t="s">
        <v>121</v>
      </c>
      <c r="L2730" s="2" t="s">
        <v>5197</v>
      </c>
      <c r="M2730" t="s">
        <v>67</v>
      </c>
      <c r="N2730" t="s">
        <v>68</v>
      </c>
      <c r="P2730" s="23">
        <v>79.78</v>
      </c>
      <c r="Q2730" s="4">
        <f t="shared" si="42"/>
        <v>-50</v>
      </c>
      <c r="R2730" s="23" t="s">
        <v>109</v>
      </c>
    </row>
    <row r="2731" spans="1:20" x14ac:dyDescent="0.25">
      <c r="A2731" s="21">
        <v>45763</v>
      </c>
      <c r="B2731" s="1">
        <v>611559759</v>
      </c>
      <c r="C2731" t="s">
        <v>5198</v>
      </c>
      <c r="D2731" s="22">
        <v>-2233.84</v>
      </c>
      <c r="E2731" t="s">
        <v>35</v>
      </c>
      <c r="F2731" s="2">
        <v>212901001</v>
      </c>
      <c r="G2731" s="2" t="s">
        <v>121</v>
      </c>
      <c r="L2731" s="2" t="s">
        <v>5199</v>
      </c>
      <c r="M2731" t="s">
        <v>67</v>
      </c>
      <c r="N2731" t="s">
        <v>68</v>
      </c>
      <c r="P2731" s="23">
        <v>79.78</v>
      </c>
      <c r="Q2731" s="4">
        <f t="shared" si="42"/>
        <v>-28</v>
      </c>
      <c r="R2731" s="23" t="s">
        <v>109</v>
      </c>
    </row>
    <row r="2732" spans="1:20" x14ac:dyDescent="0.25">
      <c r="A2732" s="21">
        <v>45763</v>
      </c>
      <c r="B2732" s="1">
        <v>611559761</v>
      </c>
      <c r="C2732" t="s">
        <v>5200</v>
      </c>
      <c r="D2732" s="22">
        <v>-5584.6</v>
      </c>
      <c r="E2732" t="s">
        <v>35</v>
      </c>
      <c r="F2732" s="2">
        <v>212901001</v>
      </c>
      <c r="G2732" s="2" t="s">
        <v>121</v>
      </c>
      <c r="L2732" s="2" t="s">
        <v>5201</v>
      </c>
      <c r="M2732" t="s">
        <v>67</v>
      </c>
      <c r="N2732" t="s">
        <v>68</v>
      </c>
      <c r="P2732" s="23">
        <v>79.78</v>
      </c>
      <c r="Q2732" s="4">
        <f t="shared" si="42"/>
        <v>-70</v>
      </c>
      <c r="R2732" s="23" t="s">
        <v>109</v>
      </c>
    </row>
    <row r="2733" spans="1:20" x14ac:dyDescent="0.25">
      <c r="A2733" s="21">
        <v>45763</v>
      </c>
      <c r="B2733" s="1">
        <v>611559765</v>
      </c>
      <c r="C2733" t="s">
        <v>5202</v>
      </c>
      <c r="D2733" s="22">
        <v>-1595.6</v>
      </c>
      <c r="E2733" t="s">
        <v>35</v>
      </c>
      <c r="F2733" s="2">
        <v>212901001</v>
      </c>
      <c r="G2733" s="2" t="s">
        <v>121</v>
      </c>
      <c r="L2733" s="2" t="s">
        <v>5203</v>
      </c>
      <c r="M2733" t="s">
        <v>67</v>
      </c>
      <c r="N2733" t="s">
        <v>68</v>
      </c>
      <c r="P2733" s="23">
        <v>79.78</v>
      </c>
      <c r="Q2733" s="4">
        <f t="shared" si="42"/>
        <v>-20</v>
      </c>
      <c r="R2733" s="23" t="s">
        <v>109</v>
      </c>
    </row>
    <row r="2734" spans="1:20" x14ac:dyDescent="0.25">
      <c r="A2734" s="21">
        <v>45763</v>
      </c>
      <c r="B2734" s="1">
        <v>611559762</v>
      </c>
      <c r="C2734" t="s">
        <v>5204</v>
      </c>
      <c r="D2734" s="22">
        <v>-1595.6</v>
      </c>
      <c r="E2734" t="s">
        <v>35</v>
      </c>
      <c r="F2734" s="2">
        <v>212901001</v>
      </c>
      <c r="G2734" s="2" t="s">
        <v>121</v>
      </c>
      <c r="L2734" s="2" t="s">
        <v>5205</v>
      </c>
      <c r="M2734" t="s">
        <v>67</v>
      </c>
      <c r="N2734" t="s">
        <v>68</v>
      </c>
      <c r="P2734" s="23">
        <v>79.78</v>
      </c>
      <c r="Q2734" s="4">
        <f t="shared" si="42"/>
        <v>-20</v>
      </c>
      <c r="R2734" s="23" t="s">
        <v>109</v>
      </c>
    </row>
    <row r="2735" spans="1:20" x14ac:dyDescent="0.25">
      <c r="A2735" s="21">
        <v>45763</v>
      </c>
      <c r="B2735" s="1">
        <v>611559764</v>
      </c>
      <c r="C2735" t="s">
        <v>5206</v>
      </c>
      <c r="D2735" s="22">
        <v>-1595.6</v>
      </c>
      <c r="E2735" t="s">
        <v>35</v>
      </c>
      <c r="F2735" s="2">
        <v>212901001</v>
      </c>
      <c r="G2735" s="2" t="s">
        <v>121</v>
      </c>
      <c r="L2735" s="2" t="s">
        <v>5207</v>
      </c>
      <c r="M2735" t="s">
        <v>67</v>
      </c>
      <c r="N2735" t="s">
        <v>68</v>
      </c>
      <c r="P2735" s="23">
        <v>79.78</v>
      </c>
      <c r="Q2735" s="4">
        <f t="shared" si="42"/>
        <v>-20</v>
      </c>
      <c r="R2735" s="23" t="s">
        <v>109</v>
      </c>
    </row>
    <row r="2736" spans="1:20" x14ac:dyDescent="0.25">
      <c r="A2736" s="21">
        <v>45763</v>
      </c>
      <c r="B2736" s="1">
        <v>611559763</v>
      </c>
      <c r="C2736" t="s">
        <v>5208</v>
      </c>
      <c r="D2736" s="22">
        <v>-1595.6</v>
      </c>
      <c r="E2736" t="s">
        <v>35</v>
      </c>
      <c r="F2736" s="2">
        <v>212901001</v>
      </c>
      <c r="G2736" s="2" t="s">
        <v>121</v>
      </c>
      <c r="L2736" s="2" t="s">
        <v>5209</v>
      </c>
      <c r="M2736" t="s">
        <v>67</v>
      </c>
      <c r="N2736" t="s">
        <v>68</v>
      </c>
      <c r="P2736" s="23">
        <v>79.78</v>
      </c>
      <c r="Q2736" s="4">
        <f t="shared" si="42"/>
        <v>-20</v>
      </c>
      <c r="R2736" s="23" t="s">
        <v>109</v>
      </c>
    </row>
    <row r="2737" spans="1:20" x14ac:dyDescent="0.25">
      <c r="A2737" s="32">
        <v>45763</v>
      </c>
      <c r="B2737" s="26">
        <v>711559770</v>
      </c>
      <c r="C2737" s="27" t="s">
        <v>54</v>
      </c>
      <c r="D2737" s="28">
        <v>-9573.6</v>
      </c>
      <c r="E2737" s="27" t="s">
        <v>35</v>
      </c>
      <c r="F2737" s="29">
        <v>610129001</v>
      </c>
      <c r="G2737" s="29" t="s">
        <v>55</v>
      </c>
      <c r="H2737" s="107"/>
      <c r="I2737" s="101"/>
      <c r="J2737" s="101"/>
      <c r="K2737" s="29"/>
      <c r="L2737" s="2" t="s">
        <v>5210</v>
      </c>
      <c r="M2737" s="27" t="s">
        <v>57</v>
      </c>
      <c r="N2737" s="27" t="s">
        <v>58</v>
      </c>
      <c r="O2737" s="27" t="s">
        <v>59</v>
      </c>
      <c r="P2737" s="31">
        <v>79.78</v>
      </c>
      <c r="Q2737" s="4">
        <f t="shared" si="42"/>
        <v>-120</v>
      </c>
      <c r="R2737" s="23" t="s">
        <v>109</v>
      </c>
      <c r="T2737" s="23" t="s">
        <v>5211</v>
      </c>
    </row>
    <row r="2738" spans="1:20" x14ac:dyDescent="0.25">
      <c r="A2738" s="21">
        <v>45763</v>
      </c>
      <c r="B2738" s="1">
        <v>711559767</v>
      </c>
      <c r="C2738" t="s">
        <v>54</v>
      </c>
      <c r="D2738" s="22">
        <v>-1513.8</v>
      </c>
      <c r="E2738" t="s">
        <v>35</v>
      </c>
      <c r="F2738" s="2">
        <v>210101001</v>
      </c>
      <c r="G2738" s="2" t="s">
        <v>36</v>
      </c>
      <c r="L2738" s="2" t="s">
        <v>5212</v>
      </c>
      <c r="M2738" t="s">
        <v>114</v>
      </c>
      <c r="N2738" t="s">
        <v>115</v>
      </c>
      <c r="P2738" s="23">
        <v>79.78</v>
      </c>
      <c r="Q2738" s="4">
        <f t="shared" si="42"/>
        <v>-18.974680371020305</v>
      </c>
      <c r="R2738" s="23" t="s">
        <v>109</v>
      </c>
    </row>
    <row r="2739" spans="1:20" x14ac:dyDescent="0.25">
      <c r="A2739" s="21">
        <v>45763</v>
      </c>
      <c r="B2739" s="1">
        <v>711559766</v>
      </c>
      <c r="C2739" t="s">
        <v>54</v>
      </c>
      <c r="D2739" s="22">
        <v>-7746.3</v>
      </c>
      <c r="E2739" t="s">
        <v>35</v>
      </c>
      <c r="F2739" s="2">
        <v>210101001</v>
      </c>
      <c r="G2739" s="2" t="s">
        <v>36</v>
      </c>
      <c r="L2739" s="2" t="s">
        <v>5213</v>
      </c>
      <c r="M2739" t="s">
        <v>114</v>
      </c>
      <c r="N2739" t="s">
        <v>115</v>
      </c>
      <c r="P2739" s="23">
        <v>79.78</v>
      </c>
      <c r="Q2739" s="4">
        <f t="shared" si="42"/>
        <v>-97.09576334921033</v>
      </c>
      <c r="R2739" s="23" t="s">
        <v>109</v>
      </c>
    </row>
    <row r="2740" spans="1:20" x14ac:dyDescent="0.25">
      <c r="A2740" s="21">
        <v>45763</v>
      </c>
      <c r="B2740" s="1">
        <v>711559771</v>
      </c>
      <c r="C2740" t="s">
        <v>54</v>
      </c>
      <c r="D2740" s="22">
        <v>-916.4</v>
      </c>
      <c r="E2740" t="s">
        <v>35</v>
      </c>
      <c r="F2740" s="2">
        <v>210101001</v>
      </c>
      <c r="G2740" s="2" t="s">
        <v>36</v>
      </c>
      <c r="L2740" s="2" t="s">
        <v>5214</v>
      </c>
      <c r="M2740" t="s">
        <v>114</v>
      </c>
      <c r="N2740" t="s">
        <v>115</v>
      </c>
      <c r="P2740" s="23">
        <v>79.78</v>
      </c>
      <c r="Q2740" s="4">
        <f t="shared" si="42"/>
        <v>-11.486588117322636</v>
      </c>
      <c r="R2740" s="23" t="s">
        <v>109</v>
      </c>
    </row>
    <row r="2741" spans="1:20" x14ac:dyDescent="0.25">
      <c r="A2741" s="21">
        <v>45763</v>
      </c>
      <c r="B2741" s="1">
        <v>711559773</v>
      </c>
      <c r="C2741" t="s">
        <v>54</v>
      </c>
      <c r="D2741" s="22">
        <v>-73110.39</v>
      </c>
      <c r="E2741" t="s">
        <v>35</v>
      </c>
      <c r="F2741" s="2">
        <v>110114001</v>
      </c>
      <c r="G2741" s="2" t="s">
        <v>301</v>
      </c>
      <c r="L2741" s="2" t="s">
        <v>5215</v>
      </c>
      <c r="M2741" t="s">
        <v>1866</v>
      </c>
      <c r="N2741" t="s">
        <v>1867</v>
      </c>
      <c r="P2741" s="23">
        <v>79.78</v>
      </c>
      <c r="Q2741" s="4">
        <f t="shared" si="42"/>
        <v>-916.39997493106034</v>
      </c>
      <c r="R2741" s="23" t="s">
        <v>109</v>
      </c>
      <c r="S2741" s="33" t="s">
        <v>3147</v>
      </c>
    </row>
    <row r="2742" spans="1:20" x14ac:dyDescent="0.25">
      <c r="A2742" s="21">
        <v>45763</v>
      </c>
      <c r="B2742" s="1">
        <v>50443219</v>
      </c>
      <c r="C2742" t="s">
        <v>54</v>
      </c>
      <c r="D2742" s="22">
        <v>-277.62</v>
      </c>
      <c r="E2742" t="s">
        <v>35</v>
      </c>
      <c r="F2742" s="2">
        <v>610148001</v>
      </c>
      <c r="G2742" s="2" t="s">
        <v>42</v>
      </c>
      <c r="L2742" s="2" t="s">
        <v>5216</v>
      </c>
      <c r="M2742" t="s">
        <v>43</v>
      </c>
      <c r="N2742" t="s">
        <v>42</v>
      </c>
      <c r="P2742" s="23">
        <v>79.78</v>
      </c>
      <c r="Q2742" s="4">
        <f t="shared" si="42"/>
        <v>-3.4798195036349964</v>
      </c>
      <c r="R2742" s="23" t="s">
        <v>109</v>
      </c>
      <c r="T2742" s="23" t="s">
        <v>4558</v>
      </c>
    </row>
    <row r="2743" spans="1:20" x14ac:dyDescent="0.25">
      <c r="A2743" s="21">
        <v>45763</v>
      </c>
      <c r="B2743" s="1">
        <v>65503756</v>
      </c>
      <c r="C2743" t="s">
        <v>54</v>
      </c>
      <c r="D2743" s="22">
        <v>1480.72</v>
      </c>
      <c r="E2743" t="s">
        <v>46</v>
      </c>
      <c r="F2743" s="2">
        <v>110106001</v>
      </c>
      <c r="G2743" s="2" t="s">
        <v>2034</v>
      </c>
      <c r="L2743" s="2" t="s">
        <v>5217</v>
      </c>
      <c r="N2743" t="s">
        <v>3330</v>
      </c>
      <c r="P2743" s="23">
        <v>79.78</v>
      </c>
      <c r="Q2743" s="4">
        <f t="shared" si="42"/>
        <v>18.560040110303333</v>
      </c>
      <c r="R2743" s="23" t="s">
        <v>109</v>
      </c>
    </row>
    <row r="2744" spans="1:20" x14ac:dyDescent="0.25">
      <c r="A2744" s="21">
        <v>45763</v>
      </c>
      <c r="B2744" s="1">
        <v>65503756</v>
      </c>
      <c r="C2744" t="s">
        <v>54</v>
      </c>
      <c r="D2744" s="22">
        <v>-22.21</v>
      </c>
      <c r="E2744" t="s">
        <v>35</v>
      </c>
      <c r="F2744" s="2">
        <v>610148001</v>
      </c>
      <c r="G2744" s="2" t="s">
        <v>42</v>
      </c>
      <c r="L2744" s="2" t="s">
        <v>5218</v>
      </c>
      <c r="M2744" t="s">
        <v>43</v>
      </c>
      <c r="N2744" t="s">
        <v>42</v>
      </c>
      <c r="P2744" s="23">
        <v>79.78</v>
      </c>
      <c r="Q2744" s="4">
        <f t="shared" si="42"/>
        <v>-0.27839057407871648</v>
      </c>
      <c r="R2744" s="23" t="s">
        <v>109</v>
      </c>
      <c r="T2744" s="23" t="s">
        <v>4558</v>
      </c>
    </row>
    <row r="2745" spans="1:20" x14ac:dyDescent="0.25">
      <c r="A2745" s="21">
        <v>45763</v>
      </c>
      <c r="B2745" s="1">
        <v>140119486</v>
      </c>
      <c r="C2745" t="s">
        <v>54</v>
      </c>
      <c r="D2745" s="22">
        <v>420000</v>
      </c>
      <c r="E2745" t="s">
        <v>46</v>
      </c>
      <c r="F2745" s="2">
        <v>210115002</v>
      </c>
      <c r="G2745" s="2" t="s">
        <v>47</v>
      </c>
      <c r="L2745" s="2" t="s">
        <v>5219</v>
      </c>
      <c r="N2745" t="s">
        <v>107</v>
      </c>
      <c r="P2745" s="23">
        <v>79.78</v>
      </c>
      <c r="Q2745" s="4">
        <f t="shared" si="42"/>
        <v>5264.4773126096761</v>
      </c>
      <c r="R2745" s="23" t="s">
        <v>109</v>
      </c>
    </row>
    <row r="2746" spans="1:20" x14ac:dyDescent="0.25">
      <c r="A2746" s="21">
        <v>45763</v>
      </c>
      <c r="B2746" s="1">
        <v>511570073</v>
      </c>
      <c r="C2746" t="s">
        <v>54</v>
      </c>
      <c r="D2746" s="22">
        <v>-6382.4</v>
      </c>
      <c r="E2746" t="s">
        <v>35</v>
      </c>
      <c r="F2746" s="2">
        <v>212901001</v>
      </c>
      <c r="G2746" s="2" t="s">
        <v>121</v>
      </c>
      <c r="L2746" s="2" t="s">
        <v>5220</v>
      </c>
      <c r="M2746" t="s">
        <v>67</v>
      </c>
      <c r="N2746" t="s">
        <v>68</v>
      </c>
      <c r="P2746" s="23">
        <v>79.78</v>
      </c>
      <c r="Q2746" s="4">
        <f t="shared" si="42"/>
        <v>-80</v>
      </c>
      <c r="R2746" s="23" t="s">
        <v>109</v>
      </c>
    </row>
    <row r="2747" spans="1:20" x14ac:dyDescent="0.25">
      <c r="A2747" s="21">
        <v>45763</v>
      </c>
      <c r="B2747" s="1">
        <v>511570075</v>
      </c>
      <c r="C2747" t="s">
        <v>54</v>
      </c>
      <c r="D2747" s="22">
        <v>-2393.4</v>
      </c>
      <c r="E2747" t="s">
        <v>35</v>
      </c>
      <c r="F2747" s="2">
        <v>212901001</v>
      </c>
      <c r="G2747" s="2" t="s">
        <v>121</v>
      </c>
      <c r="L2747" s="2" t="s">
        <v>5221</v>
      </c>
      <c r="M2747" t="s">
        <v>67</v>
      </c>
      <c r="N2747" t="s">
        <v>68</v>
      </c>
      <c r="P2747" s="23">
        <v>79.78</v>
      </c>
      <c r="Q2747" s="4">
        <f t="shared" si="42"/>
        <v>-30</v>
      </c>
      <c r="R2747" s="23" t="s">
        <v>109</v>
      </c>
    </row>
    <row r="2748" spans="1:20" x14ac:dyDescent="0.25">
      <c r="A2748" s="21">
        <v>45763</v>
      </c>
      <c r="B2748" s="1">
        <v>511570076</v>
      </c>
      <c r="C2748" t="s">
        <v>54</v>
      </c>
      <c r="D2748" s="22">
        <v>-4786.8</v>
      </c>
      <c r="E2748" t="s">
        <v>35</v>
      </c>
      <c r="F2748" s="2">
        <v>212901001</v>
      </c>
      <c r="G2748" s="2" t="s">
        <v>121</v>
      </c>
      <c r="L2748" s="2" t="s">
        <v>5222</v>
      </c>
      <c r="M2748" t="s">
        <v>67</v>
      </c>
      <c r="N2748" t="s">
        <v>68</v>
      </c>
      <c r="P2748" s="23">
        <v>79.78</v>
      </c>
      <c r="Q2748" s="4">
        <f t="shared" si="42"/>
        <v>-60</v>
      </c>
      <c r="R2748" s="23" t="s">
        <v>109</v>
      </c>
    </row>
    <row r="2749" spans="1:20" x14ac:dyDescent="0.25">
      <c r="A2749" s="21">
        <v>45763</v>
      </c>
      <c r="B2749" s="1">
        <v>511570078</v>
      </c>
      <c r="C2749" t="s">
        <v>54</v>
      </c>
      <c r="D2749" s="22">
        <v>-4786.8</v>
      </c>
      <c r="E2749" t="s">
        <v>35</v>
      </c>
      <c r="F2749" s="2">
        <v>212901001</v>
      </c>
      <c r="G2749" s="2" t="s">
        <v>121</v>
      </c>
      <c r="L2749" s="2" t="s">
        <v>5223</v>
      </c>
      <c r="M2749" t="s">
        <v>67</v>
      </c>
      <c r="N2749" t="s">
        <v>68</v>
      </c>
      <c r="P2749" s="23">
        <v>79.78</v>
      </c>
      <c r="Q2749" s="4">
        <f t="shared" si="42"/>
        <v>-60</v>
      </c>
      <c r="R2749" s="23" t="s">
        <v>109</v>
      </c>
    </row>
    <row r="2750" spans="1:20" x14ac:dyDescent="0.25">
      <c r="A2750" s="21">
        <v>45763</v>
      </c>
      <c r="B2750" s="1">
        <v>611570079</v>
      </c>
      <c r="C2750" t="s">
        <v>54</v>
      </c>
      <c r="D2750" s="22">
        <v>-4786.8</v>
      </c>
      <c r="E2750" t="s">
        <v>35</v>
      </c>
      <c r="F2750" s="2">
        <v>212901001</v>
      </c>
      <c r="G2750" s="2" t="s">
        <v>121</v>
      </c>
      <c r="L2750" s="2" t="s">
        <v>5224</v>
      </c>
      <c r="M2750" t="s">
        <v>67</v>
      </c>
      <c r="N2750" t="s">
        <v>68</v>
      </c>
      <c r="P2750" s="23">
        <v>79.78</v>
      </c>
      <c r="Q2750" s="4">
        <f t="shared" si="42"/>
        <v>-60</v>
      </c>
      <c r="R2750" s="23" t="s">
        <v>109</v>
      </c>
    </row>
    <row r="2751" spans="1:20" x14ac:dyDescent="0.25">
      <c r="A2751" s="21">
        <v>45763</v>
      </c>
      <c r="B2751" s="1">
        <v>511570077</v>
      </c>
      <c r="C2751" t="s">
        <v>54</v>
      </c>
      <c r="D2751" s="22">
        <v>-4786.8</v>
      </c>
      <c r="E2751" t="s">
        <v>35</v>
      </c>
      <c r="F2751" s="2">
        <v>212901001</v>
      </c>
      <c r="G2751" s="2" t="s">
        <v>121</v>
      </c>
      <c r="L2751" s="2" t="s">
        <v>5225</v>
      </c>
      <c r="M2751" t="s">
        <v>67</v>
      </c>
      <c r="N2751" t="s">
        <v>68</v>
      </c>
      <c r="P2751" s="23">
        <v>79.78</v>
      </c>
      <c r="Q2751" s="4">
        <f t="shared" si="42"/>
        <v>-60</v>
      </c>
      <c r="R2751" s="23" t="s">
        <v>109</v>
      </c>
    </row>
    <row r="2752" spans="1:20" x14ac:dyDescent="0.25">
      <c r="A2752" s="21">
        <v>45763</v>
      </c>
      <c r="B2752" s="1">
        <v>611570081</v>
      </c>
      <c r="C2752" t="s">
        <v>54</v>
      </c>
      <c r="D2752" s="22">
        <v>-4786.8</v>
      </c>
      <c r="E2752" t="s">
        <v>35</v>
      </c>
      <c r="F2752" s="2">
        <v>212901001</v>
      </c>
      <c r="G2752" s="2" t="s">
        <v>121</v>
      </c>
      <c r="L2752" s="2" t="s">
        <v>5226</v>
      </c>
      <c r="M2752" t="s">
        <v>67</v>
      </c>
      <c r="N2752" t="s">
        <v>68</v>
      </c>
      <c r="P2752" s="23">
        <v>79.78</v>
      </c>
      <c r="Q2752" s="4">
        <f t="shared" si="42"/>
        <v>-60</v>
      </c>
      <c r="R2752" s="23" t="s">
        <v>109</v>
      </c>
    </row>
    <row r="2753" spans="1:18" x14ac:dyDescent="0.25">
      <c r="A2753" s="21">
        <v>45763</v>
      </c>
      <c r="B2753" s="1">
        <v>611570083</v>
      </c>
      <c r="C2753" t="s">
        <v>54</v>
      </c>
      <c r="D2753" s="22">
        <v>-4786.8</v>
      </c>
      <c r="E2753" t="s">
        <v>35</v>
      </c>
      <c r="F2753" s="2">
        <v>212901001</v>
      </c>
      <c r="G2753" s="2" t="s">
        <v>121</v>
      </c>
      <c r="L2753" s="2" t="s">
        <v>5227</v>
      </c>
      <c r="M2753" t="s">
        <v>67</v>
      </c>
      <c r="N2753" t="s">
        <v>68</v>
      </c>
      <c r="P2753" s="23">
        <v>79.78</v>
      </c>
      <c r="Q2753" s="4">
        <f t="shared" si="42"/>
        <v>-60</v>
      </c>
      <c r="R2753" s="23" t="s">
        <v>109</v>
      </c>
    </row>
    <row r="2754" spans="1:18" x14ac:dyDescent="0.25">
      <c r="A2754" s="21">
        <v>45763</v>
      </c>
      <c r="B2754" s="1">
        <v>611570084</v>
      </c>
      <c r="C2754" t="s">
        <v>54</v>
      </c>
      <c r="D2754" s="22">
        <v>-4786.8</v>
      </c>
      <c r="E2754" t="s">
        <v>35</v>
      </c>
      <c r="F2754" s="2">
        <v>212901001</v>
      </c>
      <c r="G2754" s="2" t="s">
        <v>121</v>
      </c>
      <c r="L2754" s="2" t="s">
        <v>5228</v>
      </c>
      <c r="M2754" t="s">
        <v>67</v>
      </c>
      <c r="N2754" t="s">
        <v>68</v>
      </c>
      <c r="P2754" s="23">
        <v>79.78</v>
      </c>
      <c r="Q2754" s="4">
        <f t="shared" si="42"/>
        <v>-60</v>
      </c>
      <c r="R2754" s="23" t="s">
        <v>109</v>
      </c>
    </row>
    <row r="2755" spans="1:18" x14ac:dyDescent="0.25">
      <c r="A2755" s="21">
        <v>45763</v>
      </c>
      <c r="B2755" s="1">
        <v>611570082</v>
      </c>
      <c r="C2755" t="s">
        <v>54</v>
      </c>
      <c r="D2755" s="22">
        <v>-4786.8</v>
      </c>
      <c r="E2755" t="s">
        <v>35</v>
      </c>
      <c r="F2755" s="2">
        <v>212901001</v>
      </c>
      <c r="G2755" s="2" t="s">
        <v>121</v>
      </c>
      <c r="L2755" s="2" t="s">
        <v>5229</v>
      </c>
      <c r="M2755" t="s">
        <v>67</v>
      </c>
      <c r="N2755" t="s">
        <v>68</v>
      </c>
      <c r="P2755" s="23">
        <v>79.78</v>
      </c>
      <c r="Q2755" s="4">
        <f t="shared" si="42"/>
        <v>-60</v>
      </c>
      <c r="R2755" s="23" t="s">
        <v>109</v>
      </c>
    </row>
    <row r="2756" spans="1:18" x14ac:dyDescent="0.25">
      <c r="A2756" s="21">
        <v>45763</v>
      </c>
      <c r="B2756" s="1">
        <v>611570080</v>
      </c>
      <c r="C2756" t="s">
        <v>54</v>
      </c>
      <c r="D2756" s="22">
        <v>-4786.8</v>
      </c>
      <c r="E2756" t="s">
        <v>35</v>
      </c>
      <c r="F2756" s="2">
        <v>212901001</v>
      </c>
      <c r="G2756" s="2" t="s">
        <v>121</v>
      </c>
      <c r="L2756" s="2" t="s">
        <v>5230</v>
      </c>
      <c r="M2756" t="s">
        <v>67</v>
      </c>
      <c r="N2756" t="s">
        <v>68</v>
      </c>
      <c r="P2756" s="23">
        <v>79.78</v>
      </c>
      <c r="Q2756" s="4">
        <f t="shared" si="42"/>
        <v>-60</v>
      </c>
      <c r="R2756" s="23" t="s">
        <v>109</v>
      </c>
    </row>
    <row r="2757" spans="1:18" x14ac:dyDescent="0.25">
      <c r="A2757" s="21">
        <v>45763</v>
      </c>
      <c r="B2757" s="1">
        <v>611570085</v>
      </c>
      <c r="C2757" t="s">
        <v>54</v>
      </c>
      <c r="D2757" s="22">
        <v>-4786.8</v>
      </c>
      <c r="E2757" t="s">
        <v>35</v>
      </c>
      <c r="F2757" s="2">
        <v>212901001</v>
      </c>
      <c r="G2757" s="2" t="s">
        <v>121</v>
      </c>
      <c r="L2757" s="2" t="s">
        <v>5231</v>
      </c>
      <c r="M2757" t="s">
        <v>67</v>
      </c>
      <c r="N2757" t="s">
        <v>68</v>
      </c>
      <c r="P2757" s="23">
        <v>79.78</v>
      </c>
      <c r="Q2757" s="4">
        <f t="shared" si="42"/>
        <v>-60</v>
      </c>
      <c r="R2757" s="23" t="s">
        <v>109</v>
      </c>
    </row>
    <row r="2758" spans="1:18" x14ac:dyDescent="0.25">
      <c r="A2758" s="21">
        <v>45763</v>
      </c>
      <c r="B2758" s="1">
        <v>611570086</v>
      </c>
      <c r="C2758" t="s">
        <v>54</v>
      </c>
      <c r="D2758" s="22">
        <v>-4786.8</v>
      </c>
      <c r="E2758" t="s">
        <v>35</v>
      </c>
      <c r="F2758" s="2">
        <v>212901001</v>
      </c>
      <c r="G2758" s="2" t="s">
        <v>121</v>
      </c>
      <c r="L2758" s="2" t="s">
        <v>5232</v>
      </c>
      <c r="M2758" t="s">
        <v>67</v>
      </c>
      <c r="N2758" t="s">
        <v>68</v>
      </c>
      <c r="P2758" s="23">
        <v>79.78</v>
      </c>
      <c r="Q2758" s="4">
        <f t="shared" si="42"/>
        <v>-60</v>
      </c>
      <c r="R2758" s="23" t="s">
        <v>109</v>
      </c>
    </row>
    <row r="2759" spans="1:18" x14ac:dyDescent="0.25">
      <c r="A2759" s="21">
        <v>45763</v>
      </c>
      <c r="B2759" s="1">
        <v>611570087</v>
      </c>
      <c r="C2759" t="s">
        <v>54</v>
      </c>
      <c r="D2759" s="22">
        <v>-4786.8</v>
      </c>
      <c r="E2759" t="s">
        <v>35</v>
      </c>
      <c r="F2759" s="2">
        <v>212901001</v>
      </c>
      <c r="G2759" s="2" t="s">
        <v>121</v>
      </c>
      <c r="L2759" s="2" t="s">
        <v>5233</v>
      </c>
      <c r="M2759" t="s">
        <v>67</v>
      </c>
      <c r="N2759" t="s">
        <v>68</v>
      </c>
      <c r="P2759" s="23">
        <v>79.78</v>
      </c>
      <c r="Q2759" s="4">
        <f t="shared" si="42"/>
        <v>-60</v>
      </c>
      <c r="R2759" s="23" t="s">
        <v>109</v>
      </c>
    </row>
    <row r="2760" spans="1:18" x14ac:dyDescent="0.25">
      <c r="A2760" s="21">
        <v>45763</v>
      </c>
      <c r="B2760" s="1">
        <v>611570088</v>
      </c>
      <c r="C2760" t="s">
        <v>54</v>
      </c>
      <c r="D2760" s="22">
        <v>-4786.8</v>
      </c>
      <c r="E2760" t="s">
        <v>35</v>
      </c>
      <c r="F2760" s="2">
        <v>212901001</v>
      </c>
      <c r="G2760" s="2" t="s">
        <v>121</v>
      </c>
      <c r="L2760" s="2" t="s">
        <v>5234</v>
      </c>
      <c r="M2760" t="s">
        <v>67</v>
      </c>
      <c r="N2760" t="s">
        <v>68</v>
      </c>
      <c r="P2760" s="23">
        <v>79.78</v>
      </c>
      <c r="Q2760" s="4">
        <f t="shared" si="42"/>
        <v>-60</v>
      </c>
      <c r="R2760" s="23" t="s">
        <v>109</v>
      </c>
    </row>
    <row r="2761" spans="1:18" x14ac:dyDescent="0.25">
      <c r="A2761" s="21">
        <v>45763</v>
      </c>
      <c r="B2761" s="1">
        <v>711570089</v>
      </c>
      <c r="C2761" t="s">
        <v>54</v>
      </c>
      <c r="D2761" s="22">
        <v>-4786.8</v>
      </c>
      <c r="E2761" t="s">
        <v>35</v>
      </c>
      <c r="F2761" s="2">
        <v>212901001</v>
      </c>
      <c r="G2761" s="2" t="s">
        <v>121</v>
      </c>
      <c r="L2761" s="2" t="s">
        <v>5235</v>
      </c>
      <c r="M2761" t="s">
        <v>67</v>
      </c>
      <c r="N2761" t="s">
        <v>68</v>
      </c>
      <c r="P2761" s="23">
        <v>79.78</v>
      </c>
      <c r="Q2761" s="4">
        <f t="shared" si="42"/>
        <v>-60</v>
      </c>
      <c r="R2761" s="23" t="s">
        <v>109</v>
      </c>
    </row>
    <row r="2762" spans="1:18" x14ac:dyDescent="0.25">
      <c r="A2762" s="21">
        <v>45763</v>
      </c>
      <c r="B2762" s="1">
        <v>711570093</v>
      </c>
      <c r="C2762" t="s">
        <v>54</v>
      </c>
      <c r="D2762" s="22">
        <v>-6382.4</v>
      </c>
      <c r="E2762" t="s">
        <v>35</v>
      </c>
      <c r="F2762" s="2">
        <v>212901001</v>
      </c>
      <c r="G2762" s="2" t="s">
        <v>121</v>
      </c>
      <c r="L2762" s="2" t="s">
        <v>5236</v>
      </c>
      <c r="M2762" t="s">
        <v>67</v>
      </c>
      <c r="N2762" t="s">
        <v>68</v>
      </c>
      <c r="P2762" s="23">
        <v>79.78</v>
      </c>
      <c r="Q2762" s="4">
        <f t="shared" si="42"/>
        <v>-80</v>
      </c>
      <c r="R2762" s="23" t="s">
        <v>109</v>
      </c>
    </row>
    <row r="2763" spans="1:18" x14ac:dyDescent="0.25">
      <c r="A2763" s="21">
        <v>45763</v>
      </c>
      <c r="B2763" s="1">
        <v>711570090</v>
      </c>
      <c r="C2763" t="s">
        <v>54</v>
      </c>
      <c r="D2763" s="22">
        <v>-11967</v>
      </c>
      <c r="E2763" t="s">
        <v>35</v>
      </c>
      <c r="F2763" s="2">
        <v>212901001</v>
      </c>
      <c r="G2763" s="2" t="s">
        <v>121</v>
      </c>
      <c r="L2763" s="2" t="s">
        <v>5237</v>
      </c>
      <c r="M2763" t="s">
        <v>67</v>
      </c>
      <c r="N2763" t="s">
        <v>68</v>
      </c>
      <c r="P2763" s="23">
        <v>79.78</v>
      </c>
      <c r="Q2763" s="4">
        <f t="shared" ref="Q2763:Q2826" si="43">D2763/P2763</f>
        <v>-150</v>
      </c>
      <c r="R2763" s="23" t="s">
        <v>109</v>
      </c>
    </row>
    <row r="2764" spans="1:18" x14ac:dyDescent="0.25">
      <c r="A2764" s="21">
        <v>45763</v>
      </c>
      <c r="B2764" s="1">
        <v>711570096</v>
      </c>
      <c r="C2764" t="s">
        <v>54</v>
      </c>
      <c r="D2764" s="22">
        <v>-6382.4</v>
      </c>
      <c r="E2764" t="s">
        <v>35</v>
      </c>
      <c r="F2764" s="2">
        <v>212901001</v>
      </c>
      <c r="G2764" s="2" t="s">
        <v>121</v>
      </c>
      <c r="L2764" s="2" t="s">
        <v>5238</v>
      </c>
      <c r="M2764" t="s">
        <v>67</v>
      </c>
      <c r="N2764" t="s">
        <v>68</v>
      </c>
      <c r="P2764" s="23">
        <v>79.78</v>
      </c>
      <c r="Q2764" s="4">
        <f t="shared" si="43"/>
        <v>-80</v>
      </c>
      <c r="R2764" s="23" t="s">
        <v>109</v>
      </c>
    </row>
    <row r="2765" spans="1:18" x14ac:dyDescent="0.25">
      <c r="A2765" s="21">
        <v>45763</v>
      </c>
      <c r="B2765" s="1">
        <v>711570098</v>
      </c>
      <c r="C2765" t="s">
        <v>54</v>
      </c>
      <c r="D2765" s="22">
        <v>-6382.4</v>
      </c>
      <c r="E2765" t="s">
        <v>35</v>
      </c>
      <c r="F2765" s="2">
        <v>212901001</v>
      </c>
      <c r="G2765" s="2" t="s">
        <v>121</v>
      </c>
      <c r="L2765" s="2" t="s">
        <v>5239</v>
      </c>
      <c r="M2765" t="s">
        <v>67</v>
      </c>
      <c r="N2765" t="s">
        <v>68</v>
      </c>
      <c r="P2765" s="23">
        <v>79.78</v>
      </c>
      <c r="Q2765" s="4">
        <f t="shared" si="43"/>
        <v>-80</v>
      </c>
      <c r="R2765" s="23" t="s">
        <v>109</v>
      </c>
    </row>
    <row r="2766" spans="1:18" x14ac:dyDescent="0.25">
      <c r="A2766" s="21">
        <v>45763</v>
      </c>
      <c r="B2766" s="1">
        <v>711570092</v>
      </c>
      <c r="C2766" t="s">
        <v>54</v>
      </c>
      <c r="D2766" s="22">
        <v>-6382.4</v>
      </c>
      <c r="E2766" t="s">
        <v>35</v>
      </c>
      <c r="F2766" s="2">
        <v>212901001</v>
      </c>
      <c r="G2766" s="2" t="s">
        <v>121</v>
      </c>
      <c r="L2766" s="2" t="s">
        <v>5240</v>
      </c>
      <c r="M2766" t="s">
        <v>67</v>
      </c>
      <c r="N2766" t="s">
        <v>68</v>
      </c>
      <c r="P2766" s="23">
        <v>79.78</v>
      </c>
      <c r="Q2766" s="4">
        <f t="shared" si="43"/>
        <v>-80</v>
      </c>
      <c r="R2766" s="23" t="s">
        <v>109</v>
      </c>
    </row>
    <row r="2767" spans="1:18" x14ac:dyDescent="0.25">
      <c r="A2767" s="21">
        <v>45763</v>
      </c>
      <c r="B2767" s="1">
        <v>711570091</v>
      </c>
      <c r="C2767" t="s">
        <v>54</v>
      </c>
      <c r="D2767" s="22">
        <v>-7978</v>
      </c>
      <c r="E2767" t="s">
        <v>35</v>
      </c>
      <c r="F2767" s="2">
        <v>212901001</v>
      </c>
      <c r="G2767" s="2" t="s">
        <v>121</v>
      </c>
      <c r="L2767" s="2" t="s">
        <v>5241</v>
      </c>
      <c r="M2767" t="s">
        <v>67</v>
      </c>
      <c r="N2767" t="s">
        <v>68</v>
      </c>
      <c r="P2767" s="23">
        <v>79.78</v>
      </c>
      <c r="Q2767" s="4">
        <f t="shared" si="43"/>
        <v>-100</v>
      </c>
      <c r="R2767" s="23" t="s">
        <v>109</v>
      </c>
    </row>
    <row r="2768" spans="1:18" x14ac:dyDescent="0.25">
      <c r="A2768" s="21">
        <v>45763</v>
      </c>
      <c r="B2768" s="1">
        <v>711570095</v>
      </c>
      <c r="C2768" t="s">
        <v>54</v>
      </c>
      <c r="D2768" s="22">
        <v>-6382.4</v>
      </c>
      <c r="E2768" t="s">
        <v>35</v>
      </c>
      <c r="F2768" s="2">
        <v>212901001</v>
      </c>
      <c r="G2768" s="2" t="s">
        <v>121</v>
      </c>
      <c r="L2768" s="2" t="s">
        <v>5242</v>
      </c>
      <c r="M2768" t="s">
        <v>67</v>
      </c>
      <c r="N2768" t="s">
        <v>68</v>
      </c>
      <c r="P2768" s="23">
        <v>79.78</v>
      </c>
      <c r="Q2768" s="4">
        <f t="shared" si="43"/>
        <v>-80</v>
      </c>
      <c r="R2768" s="23" t="s">
        <v>109</v>
      </c>
    </row>
    <row r="2769" spans="1:18" x14ac:dyDescent="0.25">
      <c r="A2769" s="21">
        <v>45763</v>
      </c>
      <c r="B2769" s="1">
        <v>711570097</v>
      </c>
      <c r="C2769" t="s">
        <v>54</v>
      </c>
      <c r="D2769" s="22">
        <v>-6382.4</v>
      </c>
      <c r="E2769" t="s">
        <v>35</v>
      </c>
      <c r="F2769" s="2">
        <v>212901001</v>
      </c>
      <c r="G2769" s="2" t="s">
        <v>121</v>
      </c>
      <c r="L2769" s="2" t="s">
        <v>5243</v>
      </c>
      <c r="M2769" t="s">
        <v>67</v>
      </c>
      <c r="N2769" t="s">
        <v>68</v>
      </c>
      <c r="P2769" s="23">
        <v>79.78</v>
      </c>
      <c r="Q2769" s="4">
        <f t="shared" si="43"/>
        <v>-80</v>
      </c>
      <c r="R2769" s="23" t="s">
        <v>109</v>
      </c>
    </row>
    <row r="2770" spans="1:18" x14ac:dyDescent="0.25">
      <c r="A2770" s="21">
        <v>45763</v>
      </c>
      <c r="B2770" s="1">
        <v>811570100</v>
      </c>
      <c r="C2770" t="s">
        <v>54</v>
      </c>
      <c r="D2770" s="22">
        <v>-3989</v>
      </c>
      <c r="E2770" t="s">
        <v>35</v>
      </c>
      <c r="F2770" s="2">
        <v>212901001</v>
      </c>
      <c r="G2770" s="2" t="s">
        <v>121</v>
      </c>
      <c r="L2770" s="2" t="s">
        <v>5244</v>
      </c>
      <c r="M2770" t="s">
        <v>67</v>
      </c>
      <c r="N2770" t="s">
        <v>68</v>
      </c>
      <c r="P2770" s="23">
        <v>79.78</v>
      </c>
      <c r="Q2770" s="4">
        <f t="shared" si="43"/>
        <v>-50</v>
      </c>
      <c r="R2770" s="23" t="s">
        <v>109</v>
      </c>
    </row>
    <row r="2771" spans="1:18" x14ac:dyDescent="0.25">
      <c r="A2771" s="21">
        <v>45763</v>
      </c>
      <c r="B2771" s="1">
        <v>811570103</v>
      </c>
      <c r="C2771" t="s">
        <v>54</v>
      </c>
      <c r="D2771" s="22">
        <v>-3989</v>
      </c>
      <c r="E2771" t="s">
        <v>35</v>
      </c>
      <c r="F2771" s="2">
        <v>212901001</v>
      </c>
      <c r="G2771" s="2" t="s">
        <v>121</v>
      </c>
      <c r="L2771" s="2" t="s">
        <v>5245</v>
      </c>
      <c r="M2771" t="s">
        <v>67</v>
      </c>
      <c r="N2771" t="s">
        <v>68</v>
      </c>
      <c r="P2771" s="23">
        <v>79.78</v>
      </c>
      <c r="Q2771" s="4">
        <f t="shared" si="43"/>
        <v>-50</v>
      </c>
      <c r="R2771" s="23" t="s">
        <v>109</v>
      </c>
    </row>
    <row r="2772" spans="1:18" x14ac:dyDescent="0.25">
      <c r="A2772" s="21">
        <v>45763</v>
      </c>
      <c r="B2772" s="1">
        <v>811570099</v>
      </c>
      <c r="C2772" t="s">
        <v>54</v>
      </c>
      <c r="D2772" s="22">
        <v>-2712.52</v>
      </c>
      <c r="E2772" t="s">
        <v>35</v>
      </c>
      <c r="F2772" s="2">
        <v>212901001</v>
      </c>
      <c r="G2772" s="2" t="s">
        <v>121</v>
      </c>
      <c r="L2772" s="2" t="s">
        <v>5246</v>
      </c>
      <c r="M2772" t="s">
        <v>67</v>
      </c>
      <c r="N2772" t="s">
        <v>68</v>
      </c>
      <c r="P2772" s="23">
        <v>79.78</v>
      </c>
      <c r="Q2772" s="4">
        <f t="shared" si="43"/>
        <v>-34</v>
      </c>
      <c r="R2772" s="23" t="s">
        <v>109</v>
      </c>
    </row>
    <row r="2773" spans="1:18" x14ac:dyDescent="0.25">
      <c r="A2773" s="21">
        <v>45763</v>
      </c>
      <c r="B2773" s="1">
        <v>811570104</v>
      </c>
      <c r="C2773" t="s">
        <v>54</v>
      </c>
      <c r="D2773" s="22">
        <v>-3989</v>
      </c>
      <c r="E2773" t="s">
        <v>35</v>
      </c>
      <c r="F2773" s="2">
        <v>212901001</v>
      </c>
      <c r="G2773" s="2" t="s">
        <v>121</v>
      </c>
      <c r="L2773" s="2" t="s">
        <v>5247</v>
      </c>
      <c r="M2773" t="s">
        <v>67</v>
      </c>
      <c r="N2773" t="s">
        <v>68</v>
      </c>
      <c r="P2773" s="23">
        <v>79.78</v>
      </c>
      <c r="Q2773" s="4">
        <f t="shared" si="43"/>
        <v>-50</v>
      </c>
      <c r="R2773" s="23" t="s">
        <v>109</v>
      </c>
    </row>
    <row r="2774" spans="1:18" x14ac:dyDescent="0.25">
      <c r="A2774" s="21">
        <v>45763</v>
      </c>
      <c r="B2774" s="1">
        <v>811570101</v>
      </c>
      <c r="C2774" t="s">
        <v>54</v>
      </c>
      <c r="D2774" s="22">
        <v>-3989</v>
      </c>
      <c r="E2774" t="s">
        <v>35</v>
      </c>
      <c r="F2774" s="2">
        <v>212901001</v>
      </c>
      <c r="G2774" s="2" t="s">
        <v>121</v>
      </c>
      <c r="L2774" s="2" t="s">
        <v>5248</v>
      </c>
      <c r="M2774" t="s">
        <v>67</v>
      </c>
      <c r="N2774" t="s">
        <v>68</v>
      </c>
      <c r="P2774" s="23">
        <v>79.78</v>
      </c>
      <c r="Q2774" s="4">
        <f t="shared" si="43"/>
        <v>-50</v>
      </c>
      <c r="R2774" s="23" t="s">
        <v>109</v>
      </c>
    </row>
    <row r="2775" spans="1:18" x14ac:dyDescent="0.25">
      <c r="A2775" s="21">
        <v>45763</v>
      </c>
      <c r="B2775" s="1">
        <v>811570107</v>
      </c>
      <c r="C2775" t="s">
        <v>54</v>
      </c>
      <c r="D2775" s="22">
        <v>-3191.2</v>
      </c>
      <c r="E2775" t="s">
        <v>35</v>
      </c>
      <c r="F2775" s="2">
        <v>212901001</v>
      </c>
      <c r="G2775" s="2" t="s">
        <v>121</v>
      </c>
      <c r="L2775" s="2" t="s">
        <v>5249</v>
      </c>
      <c r="M2775" t="s">
        <v>67</v>
      </c>
      <c r="N2775" t="s">
        <v>68</v>
      </c>
      <c r="P2775" s="23">
        <v>79.78</v>
      </c>
      <c r="Q2775" s="4">
        <f t="shared" si="43"/>
        <v>-40</v>
      </c>
      <c r="R2775" s="23" t="s">
        <v>109</v>
      </c>
    </row>
    <row r="2776" spans="1:18" x14ac:dyDescent="0.25">
      <c r="A2776" s="21">
        <v>45763</v>
      </c>
      <c r="B2776" s="1">
        <v>811570102</v>
      </c>
      <c r="C2776" t="s">
        <v>54</v>
      </c>
      <c r="D2776" s="22">
        <v>-3989</v>
      </c>
      <c r="E2776" t="s">
        <v>35</v>
      </c>
      <c r="F2776" s="2">
        <v>212901001</v>
      </c>
      <c r="G2776" s="2" t="s">
        <v>121</v>
      </c>
      <c r="L2776" s="2" t="s">
        <v>5250</v>
      </c>
      <c r="M2776" t="s">
        <v>67</v>
      </c>
      <c r="N2776" t="s">
        <v>68</v>
      </c>
      <c r="P2776" s="23">
        <v>79.78</v>
      </c>
      <c r="Q2776" s="4">
        <f t="shared" si="43"/>
        <v>-50</v>
      </c>
      <c r="R2776" s="23" t="s">
        <v>109</v>
      </c>
    </row>
    <row r="2777" spans="1:18" x14ac:dyDescent="0.25">
      <c r="A2777" s="21">
        <v>45763</v>
      </c>
      <c r="B2777" s="1">
        <v>811570105</v>
      </c>
      <c r="C2777" t="s">
        <v>54</v>
      </c>
      <c r="D2777" s="22">
        <v>-3191.2</v>
      </c>
      <c r="E2777" t="s">
        <v>35</v>
      </c>
      <c r="F2777" s="2">
        <v>212901001</v>
      </c>
      <c r="G2777" s="2" t="s">
        <v>121</v>
      </c>
      <c r="L2777" s="2" t="s">
        <v>5251</v>
      </c>
      <c r="M2777" t="s">
        <v>67</v>
      </c>
      <c r="N2777" t="s">
        <v>68</v>
      </c>
      <c r="P2777" s="23">
        <v>79.78</v>
      </c>
      <c r="Q2777" s="4">
        <f t="shared" si="43"/>
        <v>-40</v>
      </c>
      <c r="R2777" s="23" t="s">
        <v>109</v>
      </c>
    </row>
    <row r="2778" spans="1:18" x14ac:dyDescent="0.25">
      <c r="A2778" s="21">
        <v>45763</v>
      </c>
      <c r="B2778" s="1">
        <v>911570108</v>
      </c>
      <c r="C2778" t="s">
        <v>54</v>
      </c>
      <c r="D2778" s="22">
        <v>-3191.2</v>
      </c>
      <c r="E2778" t="s">
        <v>35</v>
      </c>
      <c r="F2778" s="2">
        <v>212901001</v>
      </c>
      <c r="G2778" s="2" t="s">
        <v>121</v>
      </c>
      <c r="L2778" s="2" t="s">
        <v>5252</v>
      </c>
      <c r="M2778" t="s">
        <v>67</v>
      </c>
      <c r="N2778" t="s">
        <v>68</v>
      </c>
      <c r="P2778" s="23">
        <v>79.78</v>
      </c>
      <c r="Q2778" s="4">
        <f t="shared" si="43"/>
        <v>-40</v>
      </c>
      <c r="R2778" s="23" t="s">
        <v>109</v>
      </c>
    </row>
    <row r="2779" spans="1:18" x14ac:dyDescent="0.25">
      <c r="A2779" s="21">
        <v>45763</v>
      </c>
      <c r="B2779" s="1">
        <v>811570106</v>
      </c>
      <c r="C2779" t="s">
        <v>54</v>
      </c>
      <c r="D2779" s="22">
        <v>-3191.2</v>
      </c>
      <c r="E2779" t="s">
        <v>35</v>
      </c>
      <c r="F2779" s="2">
        <v>212901001</v>
      </c>
      <c r="G2779" s="2" t="s">
        <v>121</v>
      </c>
      <c r="L2779" s="2" t="s">
        <v>5253</v>
      </c>
      <c r="M2779" t="s">
        <v>67</v>
      </c>
      <c r="N2779" t="s">
        <v>68</v>
      </c>
      <c r="P2779" s="23">
        <v>79.78</v>
      </c>
      <c r="Q2779" s="4">
        <f t="shared" si="43"/>
        <v>-40</v>
      </c>
      <c r="R2779" s="23" t="s">
        <v>109</v>
      </c>
    </row>
    <row r="2780" spans="1:18" x14ac:dyDescent="0.25">
      <c r="A2780" s="21">
        <v>45763</v>
      </c>
      <c r="B2780" s="1">
        <v>911570111</v>
      </c>
      <c r="C2780" t="s">
        <v>54</v>
      </c>
      <c r="D2780" s="22">
        <v>-3191.2</v>
      </c>
      <c r="E2780" t="s">
        <v>35</v>
      </c>
      <c r="F2780" s="2">
        <v>212901001</v>
      </c>
      <c r="G2780" s="2" t="s">
        <v>121</v>
      </c>
      <c r="L2780" s="2" t="s">
        <v>5254</v>
      </c>
      <c r="M2780" t="s">
        <v>67</v>
      </c>
      <c r="N2780" t="s">
        <v>68</v>
      </c>
      <c r="P2780" s="23">
        <v>79.78</v>
      </c>
      <c r="Q2780" s="4">
        <f t="shared" si="43"/>
        <v>-40</v>
      </c>
      <c r="R2780" s="23" t="s">
        <v>109</v>
      </c>
    </row>
    <row r="2781" spans="1:18" x14ac:dyDescent="0.25">
      <c r="A2781" s="21">
        <v>45763</v>
      </c>
      <c r="B2781" s="1">
        <v>911570109</v>
      </c>
      <c r="C2781" t="s">
        <v>54</v>
      </c>
      <c r="D2781" s="22">
        <v>-3191.2</v>
      </c>
      <c r="E2781" t="s">
        <v>35</v>
      </c>
      <c r="F2781" s="2">
        <v>212901001</v>
      </c>
      <c r="G2781" s="2" t="s">
        <v>121</v>
      </c>
      <c r="L2781" s="2" t="s">
        <v>5255</v>
      </c>
      <c r="M2781" t="s">
        <v>67</v>
      </c>
      <c r="N2781" t="s">
        <v>68</v>
      </c>
      <c r="P2781" s="23">
        <v>79.78</v>
      </c>
      <c r="Q2781" s="4">
        <f t="shared" si="43"/>
        <v>-40</v>
      </c>
      <c r="R2781" s="23" t="s">
        <v>109</v>
      </c>
    </row>
    <row r="2782" spans="1:18" x14ac:dyDescent="0.25">
      <c r="A2782" s="21">
        <v>45763</v>
      </c>
      <c r="B2782" s="1">
        <v>911570112</v>
      </c>
      <c r="C2782" t="s">
        <v>54</v>
      </c>
      <c r="D2782" s="22">
        <v>-7978</v>
      </c>
      <c r="E2782" t="s">
        <v>35</v>
      </c>
      <c r="F2782" s="2">
        <v>212901001</v>
      </c>
      <c r="G2782" s="2" t="s">
        <v>121</v>
      </c>
      <c r="L2782" s="2" t="s">
        <v>5256</v>
      </c>
      <c r="M2782" t="s">
        <v>67</v>
      </c>
      <c r="N2782" t="s">
        <v>68</v>
      </c>
      <c r="P2782" s="23">
        <v>79.78</v>
      </c>
      <c r="Q2782" s="4">
        <f t="shared" si="43"/>
        <v>-100</v>
      </c>
      <c r="R2782" s="23" t="s">
        <v>109</v>
      </c>
    </row>
    <row r="2783" spans="1:18" x14ac:dyDescent="0.25">
      <c r="A2783" s="21">
        <v>45763</v>
      </c>
      <c r="B2783" s="1">
        <v>911570110</v>
      </c>
      <c r="C2783" t="s">
        <v>54</v>
      </c>
      <c r="D2783" s="22">
        <v>-3191.2</v>
      </c>
      <c r="E2783" t="s">
        <v>35</v>
      </c>
      <c r="F2783" s="2">
        <v>212901001</v>
      </c>
      <c r="G2783" s="2" t="s">
        <v>121</v>
      </c>
      <c r="L2783" s="2" t="s">
        <v>5257</v>
      </c>
      <c r="M2783" t="s">
        <v>67</v>
      </c>
      <c r="N2783" t="s">
        <v>68</v>
      </c>
      <c r="P2783" s="23">
        <v>79.78</v>
      </c>
      <c r="Q2783" s="4">
        <f t="shared" si="43"/>
        <v>-40</v>
      </c>
      <c r="R2783" s="23" t="s">
        <v>109</v>
      </c>
    </row>
    <row r="2784" spans="1:18" x14ac:dyDescent="0.25">
      <c r="A2784" s="21">
        <v>45763</v>
      </c>
      <c r="B2784" s="1">
        <v>911570113</v>
      </c>
      <c r="C2784" t="s">
        <v>54</v>
      </c>
      <c r="D2784" s="22">
        <v>-7978</v>
      </c>
      <c r="E2784" t="s">
        <v>35</v>
      </c>
      <c r="F2784" s="2">
        <v>212901001</v>
      </c>
      <c r="G2784" s="2" t="s">
        <v>121</v>
      </c>
      <c r="L2784" s="2" t="s">
        <v>5258</v>
      </c>
      <c r="M2784" t="s">
        <v>67</v>
      </c>
      <c r="N2784" t="s">
        <v>68</v>
      </c>
      <c r="P2784" s="23">
        <v>79.78</v>
      </c>
      <c r="Q2784" s="4">
        <f t="shared" si="43"/>
        <v>-100</v>
      </c>
      <c r="R2784" s="23" t="s">
        <v>109</v>
      </c>
    </row>
    <row r="2785" spans="1:18" x14ac:dyDescent="0.25">
      <c r="A2785" s="21">
        <v>45763</v>
      </c>
      <c r="B2785" s="1">
        <v>911570114</v>
      </c>
      <c r="C2785" t="s">
        <v>54</v>
      </c>
      <c r="D2785" s="22">
        <v>-11967</v>
      </c>
      <c r="E2785" t="s">
        <v>35</v>
      </c>
      <c r="F2785" s="2">
        <v>212901001</v>
      </c>
      <c r="G2785" s="2" t="s">
        <v>121</v>
      </c>
      <c r="L2785" s="2" t="s">
        <v>5259</v>
      </c>
      <c r="M2785" t="s">
        <v>67</v>
      </c>
      <c r="N2785" t="s">
        <v>68</v>
      </c>
      <c r="P2785" s="23">
        <v>79.78</v>
      </c>
      <c r="Q2785" s="4">
        <f t="shared" si="43"/>
        <v>-150</v>
      </c>
      <c r="R2785" s="23" t="s">
        <v>109</v>
      </c>
    </row>
    <row r="2786" spans="1:18" x14ac:dyDescent="0.25">
      <c r="A2786" s="21">
        <v>45763</v>
      </c>
      <c r="B2786" s="1">
        <v>911570115</v>
      </c>
      <c r="C2786" t="s">
        <v>54</v>
      </c>
      <c r="D2786" s="22">
        <v>-2393.4</v>
      </c>
      <c r="E2786" t="s">
        <v>35</v>
      </c>
      <c r="F2786" s="2">
        <v>212901001</v>
      </c>
      <c r="G2786" s="2" t="s">
        <v>121</v>
      </c>
      <c r="L2786" s="2" t="s">
        <v>5260</v>
      </c>
      <c r="M2786" t="s">
        <v>67</v>
      </c>
      <c r="N2786" t="s">
        <v>68</v>
      </c>
      <c r="P2786" s="23">
        <v>79.78</v>
      </c>
      <c r="Q2786" s="4">
        <f t="shared" si="43"/>
        <v>-30</v>
      </c>
      <c r="R2786" s="23" t="s">
        <v>109</v>
      </c>
    </row>
    <row r="2787" spans="1:18" x14ac:dyDescent="0.25">
      <c r="A2787" s="21">
        <v>45763</v>
      </c>
      <c r="B2787" s="1">
        <v>911570117</v>
      </c>
      <c r="C2787" t="s">
        <v>54</v>
      </c>
      <c r="D2787" s="22">
        <v>-6382.4</v>
      </c>
      <c r="E2787" t="s">
        <v>35</v>
      </c>
      <c r="F2787" s="2">
        <v>212901001</v>
      </c>
      <c r="G2787" s="2" t="s">
        <v>121</v>
      </c>
      <c r="L2787" s="2" t="s">
        <v>5261</v>
      </c>
      <c r="M2787" t="s">
        <v>67</v>
      </c>
      <c r="N2787" t="s">
        <v>68</v>
      </c>
      <c r="P2787" s="23">
        <v>79.78</v>
      </c>
      <c r="Q2787" s="4">
        <f t="shared" si="43"/>
        <v>-80</v>
      </c>
      <c r="R2787" s="23" t="s">
        <v>109</v>
      </c>
    </row>
    <row r="2788" spans="1:18" x14ac:dyDescent="0.25">
      <c r="A2788" s="21">
        <v>45763</v>
      </c>
      <c r="B2788" s="1">
        <v>11570119</v>
      </c>
      <c r="C2788" t="s">
        <v>54</v>
      </c>
      <c r="D2788" s="22">
        <v>-2154.06</v>
      </c>
      <c r="E2788" t="s">
        <v>35</v>
      </c>
      <c r="F2788" s="2">
        <v>212901001</v>
      </c>
      <c r="G2788" s="2" t="s">
        <v>121</v>
      </c>
      <c r="L2788" s="2" t="s">
        <v>5262</v>
      </c>
      <c r="M2788" t="s">
        <v>67</v>
      </c>
      <c r="N2788" t="s">
        <v>68</v>
      </c>
      <c r="P2788" s="23">
        <v>79.78</v>
      </c>
      <c r="Q2788" s="4">
        <f t="shared" si="43"/>
        <v>-27</v>
      </c>
      <c r="R2788" s="23" t="s">
        <v>109</v>
      </c>
    </row>
    <row r="2789" spans="1:18" x14ac:dyDescent="0.25">
      <c r="A2789" s="21">
        <v>45763</v>
      </c>
      <c r="B2789" s="1">
        <v>911570116</v>
      </c>
      <c r="C2789" t="s">
        <v>54</v>
      </c>
      <c r="D2789" s="22">
        <v>-8775.7999999999993</v>
      </c>
      <c r="E2789" t="s">
        <v>35</v>
      </c>
      <c r="F2789" s="2">
        <v>212901001</v>
      </c>
      <c r="G2789" s="2" t="s">
        <v>121</v>
      </c>
      <c r="L2789" s="2" t="s">
        <v>5263</v>
      </c>
      <c r="M2789" t="s">
        <v>67</v>
      </c>
      <c r="N2789" t="s">
        <v>68</v>
      </c>
      <c r="P2789" s="23">
        <v>79.78</v>
      </c>
      <c r="Q2789" s="4">
        <f t="shared" si="43"/>
        <v>-109.99999999999999</v>
      </c>
      <c r="R2789" s="23" t="s">
        <v>109</v>
      </c>
    </row>
    <row r="2790" spans="1:18" x14ac:dyDescent="0.25">
      <c r="A2790" s="21">
        <v>45763</v>
      </c>
      <c r="B2790" s="1">
        <v>11570121</v>
      </c>
      <c r="C2790" t="s">
        <v>54</v>
      </c>
      <c r="D2790" s="22">
        <v>-5584.6</v>
      </c>
      <c r="E2790" t="s">
        <v>35</v>
      </c>
      <c r="F2790" s="2">
        <v>212901001</v>
      </c>
      <c r="G2790" s="2" t="s">
        <v>121</v>
      </c>
      <c r="L2790" s="2" t="s">
        <v>5264</v>
      </c>
      <c r="M2790" t="s">
        <v>67</v>
      </c>
      <c r="N2790" t="s">
        <v>68</v>
      </c>
      <c r="P2790" s="23">
        <v>79.78</v>
      </c>
      <c r="Q2790" s="4">
        <f t="shared" si="43"/>
        <v>-70</v>
      </c>
      <c r="R2790" s="23" t="s">
        <v>109</v>
      </c>
    </row>
    <row r="2791" spans="1:18" x14ac:dyDescent="0.25">
      <c r="A2791" s="21">
        <v>45763</v>
      </c>
      <c r="B2791" s="1">
        <v>11570118</v>
      </c>
      <c r="C2791" t="s">
        <v>54</v>
      </c>
      <c r="D2791" s="22">
        <v>-7978</v>
      </c>
      <c r="E2791" t="s">
        <v>35</v>
      </c>
      <c r="F2791" s="2">
        <v>212901001</v>
      </c>
      <c r="G2791" s="2" t="s">
        <v>121</v>
      </c>
      <c r="L2791" s="2" t="s">
        <v>5265</v>
      </c>
      <c r="M2791" t="s">
        <v>67</v>
      </c>
      <c r="N2791" t="s">
        <v>68</v>
      </c>
      <c r="P2791" s="23">
        <v>79.78</v>
      </c>
      <c r="Q2791" s="4">
        <f t="shared" si="43"/>
        <v>-100</v>
      </c>
      <c r="R2791" s="23" t="s">
        <v>109</v>
      </c>
    </row>
    <row r="2792" spans="1:18" x14ac:dyDescent="0.25">
      <c r="A2792" s="21">
        <v>45763</v>
      </c>
      <c r="B2792" s="1">
        <v>11570120</v>
      </c>
      <c r="C2792" t="s">
        <v>54</v>
      </c>
      <c r="D2792" s="22">
        <v>-5584.6</v>
      </c>
      <c r="E2792" t="s">
        <v>35</v>
      </c>
      <c r="F2792" s="2">
        <v>212901001</v>
      </c>
      <c r="G2792" s="2" t="s">
        <v>121</v>
      </c>
      <c r="L2792" s="2" t="s">
        <v>5266</v>
      </c>
      <c r="M2792" t="s">
        <v>67</v>
      </c>
      <c r="N2792" t="s">
        <v>68</v>
      </c>
      <c r="P2792" s="23">
        <v>79.78</v>
      </c>
      <c r="Q2792" s="4">
        <f t="shared" si="43"/>
        <v>-70</v>
      </c>
      <c r="R2792" s="23" t="s">
        <v>109</v>
      </c>
    </row>
    <row r="2793" spans="1:18" x14ac:dyDescent="0.25">
      <c r="A2793" s="21">
        <v>45763</v>
      </c>
      <c r="B2793" s="1">
        <v>11570122</v>
      </c>
      <c r="C2793" t="s">
        <v>54</v>
      </c>
      <c r="D2793" s="22">
        <v>-5584.6</v>
      </c>
      <c r="E2793" t="s">
        <v>35</v>
      </c>
      <c r="F2793" s="2">
        <v>212901001</v>
      </c>
      <c r="G2793" s="2" t="s">
        <v>121</v>
      </c>
      <c r="L2793" s="2" t="s">
        <v>5267</v>
      </c>
      <c r="M2793" t="s">
        <v>67</v>
      </c>
      <c r="N2793" t="s">
        <v>68</v>
      </c>
      <c r="P2793" s="23">
        <v>79.78</v>
      </c>
      <c r="Q2793" s="4">
        <f t="shared" si="43"/>
        <v>-70</v>
      </c>
      <c r="R2793" s="23" t="s">
        <v>109</v>
      </c>
    </row>
    <row r="2794" spans="1:18" x14ac:dyDescent="0.25">
      <c r="A2794" s="21">
        <v>45763</v>
      </c>
      <c r="B2794" s="1">
        <v>11570125</v>
      </c>
      <c r="C2794" t="s">
        <v>54</v>
      </c>
      <c r="D2794" s="22">
        <v>-3989</v>
      </c>
      <c r="E2794" t="s">
        <v>35</v>
      </c>
      <c r="F2794" s="2">
        <v>212901001</v>
      </c>
      <c r="G2794" s="2" t="s">
        <v>121</v>
      </c>
      <c r="L2794" s="2" t="s">
        <v>5268</v>
      </c>
      <c r="M2794" t="s">
        <v>67</v>
      </c>
      <c r="N2794" t="s">
        <v>68</v>
      </c>
      <c r="P2794" s="23">
        <v>79.78</v>
      </c>
      <c r="Q2794" s="4">
        <f t="shared" si="43"/>
        <v>-50</v>
      </c>
      <c r="R2794" s="23" t="s">
        <v>109</v>
      </c>
    </row>
    <row r="2795" spans="1:18" x14ac:dyDescent="0.25">
      <c r="A2795" s="21">
        <v>45763</v>
      </c>
      <c r="B2795" s="1">
        <v>11570127</v>
      </c>
      <c r="C2795" t="s">
        <v>54</v>
      </c>
      <c r="D2795" s="22">
        <v>-3989</v>
      </c>
      <c r="E2795" t="s">
        <v>35</v>
      </c>
      <c r="F2795" s="2">
        <v>212901001</v>
      </c>
      <c r="G2795" s="2" t="s">
        <v>121</v>
      </c>
      <c r="L2795" s="2" t="s">
        <v>5269</v>
      </c>
      <c r="M2795" t="s">
        <v>67</v>
      </c>
      <c r="N2795" t="s">
        <v>68</v>
      </c>
      <c r="P2795" s="23">
        <v>79.78</v>
      </c>
      <c r="Q2795" s="4">
        <f t="shared" si="43"/>
        <v>-50</v>
      </c>
      <c r="R2795" s="23" t="s">
        <v>109</v>
      </c>
    </row>
    <row r="2796" spans="1:18" x14ac:dyDescent="0.25">
      <c r="A2796" s="21">
        <v>45763</v>
      </c>
      <c r="B2796" s="1">
        <v>11570124</v>
      </c>
      <c r="C2796" t="s">
        <v>54</v>
      </c>
      <c r="D2796" s="22">
        <v>-3989</v>
      </c>
      <c r="E2796" t="s">
        <v>35</v>
      </c>
      <c r="F2796" s="2">
        <v>212901001</v>
      </c>
      <c r="G2796" s="2" t="s">
        <v>121</v>
      </c>
      <c r="L2796" s="2" t="s">
        <v>5270</v>
      </c>
      <c r="M2796" t="s">
        <v>67</v>
      </c>
      <c r="N2796" t="s">
        <v>68</v>
      </c>
      <c r="P2796" s="23">
        <v>79.78</v>
      </c>
      <c r="Q2796" s="4">
        <f t="shared" si="43"/>
        <v>-50</v>
      </c>
      <c r="R2796" s="23" t="s">
        <v>109</v>
      </c>
    </row>
    <row r="2797" spans="1:18" x14ac:dyDescent="0.25">
      <c r="A2797" s="21">
        <v>45763</v>
      </c>
      <c r="B2797" s="1">
        <v>11570123</v>
      </c>
      <c r="C2797" t="s">
        <v>54</v>
      </c>
      <c r="D2797" s="22">
        <v>-3989</v>
      </c>
      <c r="E2797" t="s">
        <v>35</v>
      </c>
      <c r="F2797" s="2">
        <v>212901001</v>
      </c>
      <c r="G2797" s="2" t="s">
        <v>121</v>
      </c>
      <c r="L2797" s="2" t="s">
        <v>5271</v>
      </c>
      <c r="M2797" t="s">
        <v>67</v>
      </c>
      <c r="N2797" t="s">
        <v>68</v>
      </c>
      <c r="P2797" s="23">
        <v>79.78</v>
      </c>
      <c r="Q2797" s="4">
        <f t="shared" si="43"/>
        <v>-50</v>
      </c>
      <c r="R2797" s="23" t="s">
        <v>109</v>
      </c>
    </row>
    <row r="2798" spans="1:18" x14ac:dyDescent="0.25">
      <c r="A2798" s="21">
        <v>45763</v>
      </c>
      <c r="B2798" s="1">
        <v>111570131</v>
      </c>
      <c r="C2798" t="s">
        <v>54</v>
      </c>
      <c r="D2798" s="22">
        <v>-3989</v>
      </c>
      <c r="E2798" t="s">
        <v>35</v>
      </c>
      <c r="F2798" s="2">
        <v>212901001</v>
      </c>
      <c r="G2798" s="2" t="s">
        <v>121</v>
      </c>
      <c r="L2798" s="2" t="s">
        <v>5272</v>
      </c>
      <c r="M2798" t="s">
        <v>67</v>
      </c>
      <c r="N2798" t="s">
        <v>68</v>
      </c>
      <c r="P2798" s="23">
        <v>79.78</v>
      </c>
      <c r="Q2798" s="4">
        <f t="shared" si="43"/>
        <v>-50</v>
      </c>
      <c r="R2798" s="23" t="s">
        <v>109</v>
      </c>
    </row>
    <row r="2799" spans="1:18" x14ac:dyDescent="0.25">
      <c r="A2799" s="21">
        <v>45763</v>
      </c>
      <c r="B2799" s="1">
        <v>111570129</v>
      </c>
      <c r="C2799" t="s">
        <v>54</v>
      </c>
      <c r="D2799" s="22">
        <v>-3989</v>
      </c>
      <c r="E2799" t="s">
        <v>35</v>
      </c>
      <c r="F2799" s="2">
        <v>212901001</v>
      </c>
      <c r="G2799" s="2" t="s">
        <v>121</v>
      </c>
      <c r="L2799" s="2" t="s">
        <v>5273</v>
      </c>
      <c r="M2799" t="s">
        <v>67</v>
      </c>
      <c r="N2799" t="s">
        <v>68</v>
      </c>
      <c r="P2799" s="23">
        <v>79.78</v>
      </c>
      <c r="Q2799" s="4">
        <f t="shared" si="43"/>
        <v>-50</v>
      </c>
      <c r="R2799" s="23" t="s">
        <v>109</v>
      </c>
    </row>
    <row r="2800" spans="1:18" x14ac:dyDescent="0.25">
      <c r="A2800" s="21">
        <v>45763</v>
      </c>
      <c r="B2800" s="1">
        <v>111570132</v>
      </c>
      <c r="C2800" t="s">
        <v>54</v>
      </c>
      <c r="D2800" s="22">
        <v>-3989</v>
      </c>
      <c r="E2800" t="s">
        <v>35</v>
      </c>
      <c r="F2800" s="2">
        <v>212901001</v>
      </c>
      <c r="G2800" s="2" t="s">
        <v>121</v>
      </c>
      <c r="L2800" s="2" t="s">
        <v>5274</v>
      </c>
      <c r="M2800" t="s">
        <v>67</v>
      </c>
      <c r="N2800" t="s">
        <v>68</v>
      </c>
      <c r="P2800" s="23">
        <v>79.78</v>
      </c>
      <c r="Q2800" s="4">
        <f t="shared" si="43"/>
        <v>-50</v>
      </c>
      <c r="R2800" s="23" t="s">
        <v>109</v>
      </c>
    </row>
    <row r="2801" spans="1:18" x14ac:dyDescent="0.25">
      <c r="A2801" s="21">
        <v>45763</v>
      </c>
      <c r="B2801" s="1">
        <v>111570128</v>
      </c>
      <c r="C2801" t="s">
        <v>54</v>
      </c>
      <c r="D2801" s="22">
        <v>-3989</v>
      </c>
      <c r="E2801" t="s">
        <v>35</v>
      </c>
      <c r="F2801" s="2">
        <v>212901001</v>
      </c>
      <c r="G2801" s="2" t="s">
        <v>121</v>
      </c>
      <c r="L2801" s="2" t="s">
        <v>5275</v>
      </c>
      <c r="M2801" t="s">
        <v>67</v>
      </c>
      <c r="N2801" t="s">
        <v>68</v>
      </c>
      <c r="P2801" s="23">
        <v>79.78</v>
      </c>
      <c r="Q2801" s="4">
        <f t="shared" si="43"/>
        <v>-50</v>
      </c>
      <c r="R2801" s="23" t="s">
        <v>109</v>
      </c>
    </row>
    <row r="2802" spans="1:18" x14ac:dyDescent="0.25">
      <c r="A2802" s="21">
        <v>45763</v>
      </c>
      <c r="B2802" s="1">
        <v>111570133</v>
      </c>
      <c r="C2802" t="s">
        <v>54</v>
      </c>
      <c r="D2802" s="22">
        <v>-3989</v>
      </c>
      <c r="E2802" t="s">
        <v>35</v>
      </c>
      <c r="F2802" s="2">
        <v>212901001</v>
      </c>
      <c r="G2802" s="2" t="s">
        <v>121</v>
      </c>
      <c r="L2802" s="2" t="s">
        <v>5276</v>
      </c>
      <c r="M2802" t="s">
        <v>67</v>
      </c>
      <c r="N2802" t="s">
        <v>68</v>
      </c>
      <c r="P2802" s="23">
        <v>79.78</v>
      </c>
      <c r="Q2802" s="4">
        <f t="shared" si="43"/>
        <v>-50</v>
      </c>
      <c r="R2802" s="23" t="s">
        <v>109</v>
      </c>
    </row>
    <row r="2803" spans="1:18" x14ac:dyDescent="0.25">
      <c r="A2803" s="21">
        <v>45763</v>
      </c>
      <c r="B2803" s="1">
        <v>111570134</v>
      </c>
      <c r="C2803" t="s">
        <v>54</v>
      </c>
      <c r="D2803" s="22">
        <v>-3989</v>
      </c>
      <c r="E2803" t="s">
        <v>35</v>
      </c>
      <c r="F2803" s="2">
        <v>212901001</v>
      </c>
      <c r="G2803" s="2" t="s">
        <v>121</v>
      </c>
      <c r="L2803" s="2" t="s">
        <v>5277</v>
      </c>
      <c r="M2803" t="s">
        <v>67</v>
      </c>
      <c r="N2803" t="s">
        <v>68</v>
      </c>
      <c r="P2803" s="23">
        <v>79.78</v>
      </c>
      <c r="Q2803" s="4">
        <f t="shared" si="43"/>
        <v>-50</v>
      </c>
      <c r="R2803" s="23" t="s">
        <v>109</v>
      </c>
    </row>
    <row r="2804" spans="1:18" x14ac:dyDescent="0.25">
      <c r="A2804" s="21">
        <v>45763</v>
      </c>
      <c r="B2804" s="1">
        <v>111570137</v>
      </c>
      <c r="C2804" t="s">
        <v>54</v>
      </c>
      <c r="D2804" s="22">
        <v>-3989</v>
      </c>
      <c r="E2804" t="s">
        <v>35</v>
      </c>
      <c r="F2804" s="2">
        <v>212901001</v>
      </c>
      <c r="G2804" s="2" t="s">
        <v>121</v>
      </c>
      <c r="L2804" s="2" t="s">
        <v>5278</v>
      </c>
      <c r="M2804" t="s">
        <v>67</v>
      </c>
      <c r="N2804" t="s">
        <v>68</v>
      </c>
      <c r="P2804" s="23">
        <v>79.78</v>
      </c>
      <c r="Q2804" s="4">
        <f t="shared" si="43"/>
        <v>-50</v>
      </c>
      <c r="R2804" s="23" t="s">
        <v>109</v>
      </c>
    </row>
    <row r="2805" spans="1:18" x14ac:dyDescent="0.25">
      <c r="A2805" s="21">
        <v>45763</v>
      </c>
      <c r="B2805" s="1">
        <v>111570139</v>
      </c>
      <c r="C2805" t="s">
        <v>54</v>
      </c>
      <c r="D2805" s="22">
        <v>-3989</v>
      </c>
      <c r="E2805" t="s">
        <v>35</v>
      </c>
      <c r="F2805" s="2">
        <v>212901001</v>
      </c>
      <c r="G2805" s="2" t="s">
        <v>121</v>
      </c>
      <c r="L2805" s="2" t="s">
        <v>5279</v>
      </c>
      <c r="M2805" t="s">
        <v>67</v>
      </c>
      <c r="N2805" t="s">
        <v>68</v>
      </c>
      <c r="P2805" s="23">
        <v>79.78</v>
      </c>
      <c r="Q2805" s="4">
        <f t="shared" si="43"/>
        <v>-50</v>
      </c>
      <c r="R2805" s="23" t="s">
        <v>109</v>
      </c>
    </row>
    <row r="2806" spans="1:18" x14ac:dyDescent="0.25">
      <c r="A2806" s="21">
        <v>45763</v>
      </c>
      <c r="B2806" s="1">
        <v>111570138</v>
      </c>
      <c r="C2806" t="s">
        <v>54</v>
      </c>
      <c r="D2806" s="22">
        <v>-3989</v>
      </c>
      <c r="E2806" t="s">
        <v>35</v>
      </c>
      <c r="F2806" s="2">
        <v>212901001</v>
      </c>
      <c r="G2806" s="2" t="s">
        <v>121</v>
      </c>
      <c r="L2806" s="2" t="s">
        <v>5280</v>
      </c>
      <c r="M2806" t="s">
        <v>67</v>
      </c>
      <c r="N2806" t="s">
        <v>68</v>
      </c>
      <c r="P2806" s="23">
        <v>79.78</v>
      </c>
      <c r="Q2806" s="4">
        <f t="shared" si="43"/>
        <v>-50</v>
      </c>
      <c r="R2806" s="23" t="s">
        <v>109</v>
      </c>
    </row>
    <row r="2807" spans="1:18" x14ac:dyDescent="0.25">
      <c r="A2807" s="21">
        <v>45763</v>
      </c>
      <c r="B2807" s="1">
        <v>111570135</v>
      </c>
      <c r="C2807" t="s">
        <v>54</v>
      </c>
      <c r="D2807" s="22">
        <v>-3989</v>
      </c>
      <c r="E2807" t="s">
        <v>35</v>
      </c>
      <c r="F2807" s="2">
        <v>212901001</v>
      </c>
      <c r="G2807" s="2" t="s">
        <v>121</v>
      </c>
      <c r="L2807" s="2" t="s">
        <v>5281</v>
      </c>
      <c r="M2807" t="s">
        <v>67</v>
      </c>
      <c r="N2807" t="s">
        <v>68</v>
      </c>
      <c r="P2807" s="23">
        <v>79.78</v>
      </c>
      <c r="Q2807" s="4">
        <f t="shared" si="43"/>
        <v>-50</v>
      </c>
      <c r="R2807" s="23" t="s">
        <v>109</v>
      </c>
    </row>
    <row r="2808" spans="1:18" x14ac:dyDescent="0.25">
      <c r="A2808" s="21">
        <v>45763</v>
      </c>
      <c r="B2808" s="1">
        <v>111570140</v>
      </c>
      <c r="C2808" t="s">
        <v>54</v>
      </c>
      <c r="D2808" s="22">
        <v>-3989</v>
      </c>
      <c r="E2808" t="s">
        <v>35</v>
      </c>
      <c r="F2808" s="2">
        <v>212901001</v>
      </c>
      <c r="G2808" s="2" t="s">
        <v>121</v>
      </c>
      <c r="L2808" s="2" t="s">
        <v>5282</v>
      </c>
      <c r="M2808" t="s">
        <v>67</v>
      </c>
      <c r="N2808" t="s">
        <v>68</v>
      </c>
      <c r="P2808" s="23">
        <v>79.78</v>
      </c>
      <c r="Q2808" s="4">
        <f t="shared" si="43"/>
        <v>-50</v>
      </c>
      <c r="R2808" s="23" t="s">
        <v>109</v>
      </c>
    </row>
    <row r="2809" spans="1:18" x14ac:dyDescent="0.25">
      <c r="A2809" s="21">
        <v>45763</v>
      </c>
      <c r="B2809" s="1">
        <v>211570144</v>
      </c>
      <c r="C2809" t="s">
        <v>54</v>
      </c>
      <c r="D2809" s="22">
        <v>-1595.6</v>
      </c>
      <c r="E2809" t="s">
        <v>35</v>
      </c>
      <c r="F2809" s="2">
        <v>212901001</v>
      </c>
      <c r="G2809" s="2" t="s">
        <v>121</v>
      </c>
      <c r="L2809" s="2" t="s">
        <v>5283</v>
      </c>
      <c r="M2809" t="s">
        <v>67</v>
      </c>
      <c r="N2809" t="s">
        <v>68</v>
      </c>
      <c r="P2809" s="23">
        <v>79.78</v>
      </c>
      <c r="Q2809" s="4">
        <f t="shared" si="43"/>
        <v>-20</v>
      </c>
      <c r="R2809" s="23" t="s">
        <v>109</v>
      </c>
    </row>
    <row r="2810" spans="1:18" x14ac:dyDescent="0.25">
      <c r="A2810" s="21">
        <v>45763</v>
      </c>
      <c r="B2810" s="1">
        <v>211570142</v>
      </c>
      <c r="C2810" t="s">
        <v>54</v>
      </c>
      <c r="D2810" s="22">
        <v>-1595.6</v>
      </c>
      <c r="E2810" t="s">
        <v>35</v>
      </c>
      <c r="F2810" s="2">
        <v>212901001</v>
      </c>
      <c r="G2810" s="2" t="s">
        <v>121</v>
      </c>
      <c r="L2810" s="2" t="s">
        <v>5284</v>
      </c>
      <c r="M2810" t="s">
        <v>67</v>
      </c>
      <c r="N2810" t="s">
        <v>68</v>
      </c>
      <c r="P2810" s="23">
        <v>79.78</v>
      </c>
      <c r="Q2810" s="4">
        <f t="shared" si="43"/>
        <v>-20</v>
      </c>
      <c r="R2810" s="23" t="s">
        <v>109</v>
      </c>
    </row>
    <row r="2811" spans="1:18" x14ac:dyDescent="0.25">
      <c r="A2811" s="21">
        <v>45763</v>
      </c>
      <c r="B2811" s="1">
        <v>211570141</v>
      </c>
      <c r="C2811" t="s">
        <v>54</v>
      </c>
      <c r="D2811" s="22">
        <v>-1595.6</v>
      </c>
      <c r="E2811" t="s">
        <v>35</v>
      </c>
      <c r="F2811" s="2">
        <v>212901001</v>
      </c>
      <c r="G2811" s="2" t="s">
        <v>121</v>
      </c>
      <c r="L2811" s="2" t="s">
        <v>5285</v>
      </c>
      <c r="M2811" t="s">
        <v>67</v>
      </c>
      <c r="N2811" t="s">
        <v>68</v>
      </c>
      <c r="P2811" s="23">
        <v>79.78</v>
      </c>
      <c r="Q2811" s="4">
        <f t="shared" si="43"/>
        <v>-20</v>
      </c>
      <c r="R2811" s="23" t="s">
        <v>109</v>
      </c>
    </row>
    <row r="2812" spans="1:18" x14ac:dyDescent="0.25">
      <c r="A2812" s="21">
        <v>45763</v>
      </c>
      <c r="B2812" s="1">
        <v>211570146</v>
      </c>
      <c r="C2812" t="s">
        <v>54</v>
      </c>
      <c r="D2812" s="22">
        <v>-7978</v>
      </c>
      <c r="E2812" t="s">
        <v>35</v>
      </c>
      <c r="F2812" s="2">
        <v>212901001</v>
      </c>
      <c r="G2812" s="2" t="s">
        <v>121</v>
      </c>
      <c r="L2812" s="2" t="s">
        <v>5286</v>
      </c>
      <c r="M2812" t="s">
        <v>67</v>
      </c>
      <c r="N2812" t="s">
        <v>68</v>
      </c>
      <c r="P2812" s="23">
        <v>79.78</v>
      </c>
      <c r="Q2812" s="4">
        <f t="shared" si="43"/>
        <v>-100</v>
      </c>
      <c r="R2812" s="23" t="s">
        <v>109</v>
      </c>
    </row>
    <row r="2813" spans="1:18" x14ac:dyDescent="0.25">
      <c r="A2813" s="21">
        <v>45763</v>
      </c>
      <c r="B2813" s="1">
        <v>211570150</v>
      </c>
      <c r="C2813" t="s">
        <v>54</v>
      </c>
      <c r="D2813" s="22">
        <v>-3191.2</v>
      </c>
      <c r="E2813" t="s">
        <v>35</v>
      </c>
      <c r="F2813" s="2">
        <v>212901001</v>
      </c>
      <c r="G2813" s="2" t="s">
        <v>121</v>
      </c>
      <c r="L2813" s="2" t="s">
        <v>5287</v>
      </c>
      <c r="M2813" t="s">
        <v>67</v>
      </c>
      <c r="N2813" t="s">
        <v>68</v>
      </c>
      <c r="P2813" s="23">
        <v>79.78</v>
      </c>
      <c r="Q2813" s="4">
        <f t="shared" si="43"/>
        <v>-40</v>
      </c>
      <c r="R2813" s="23" t="s">
        <v>109</v>
      </c>
    </row>
    <row r="2814" spans="1:18" x14ac:dyDescent="0.25">
      <c r="A2814" s="21">
        <v>45763</v>
      </c>
      <c r="B2814" s="1">
        <v>211570148</v>
      </c>
      <c r="C2814" t="s">
        <v>54</v>
      </c>
      <c r="D2814" s="22">
        <v>-9733.16</v>
      </c>
      <c r="E2814" t="s">
        <v>35</v>
      </c>
      <c r="F2814" s="2">
        <v>212901001</v>
      </c>
      <c r="G2814" s="2" t="s">
        <v>121</v>
      </c>
      <c r="L2814" s="2" t="s">
        <v>5288</v>
      </c>
      <c r="M2814" t="s">
        <v>67</v>
      </c>
      <c r="N2814" t="s">
        <v>68</v>
      </c>
      <c r="P2814" s="23">
        <v>79.78</v>
      </c>
      <c r="Q2814" s="4">
        <f t="shared" si="43"/>
        <v>-122</v>
      </c>
      <c r="R2814" s="23" t="s">
        <v>109</v>
      </c>
    </row>
    <row r="2815" spans="1:18" x14ac:dyDescent="0.25">
      <c r="A2815" s="21">
        <v>45763</v>
      </c>
      <c r="B2815" s="1">
        <v>211570143</v>
      </c>
      <c r="C2815" t="s">
        <v>54</v>
      </c>
      <c r="D2815" s="22">
        <v>-1595.6</v>
      </c>
      <c r="E2815" t="s">
        <v>35</v>
      </c>
      <c r="F2815" s="2">
        <v>212901001</v>
      </c>
      <c r="G2815" s="2" t="s">
        <v>121</v>
      </c>
      <c r="L2815" s="2" t="s">
        <v>5289</v>
      </c>
      <c r="M2815" t="s">
        <v>67</v>
      </c>
      <c r="N2815" t="s">
        <v>68</v>
      </c>
      <c r="P2815" s="23">
        <v>79.78</v>
      </c>
      <c r="Q2815" s="4">
        <f t="shared" si="43"/>
        <v>-20</v>
      </c>
      <c r="R2815" s="23" t="s">
        <v>109</v>
      </c>
    </row>
    <row r="2816" spans="1:18" x14ac:dyDescent="0.25">
      <c r="A2816" s="21">
        <v>45763</v>
      </c>
      <c r="B2816" s="1">
        <v>211570147</v>
      </c>
      <c r="C2816" t="s">
        <v>54</v>
      </c>
      <c r="D2816" s="22">
        <v>-15956</v>
      </c>
      <c r="E2816" t="s">
        <v>35</v>
      </c>
      <c r="F2816" s="2">
        <v>212901001</v>
      </c>
      <c r="G2816" s="2" t="s">
        <v>121</v>
      </c>
      <c r="L2816" s="2" t="s">
        <v>5290</v>
      </c>
      <c r="M2816" t="s">
        <v>67</v>
      </c>
      <c r="N2816" t="s">
        <v>68</v>
      </c>
      <c r="P2816" s="23">
        <v>79.78</v>
      </c>
      <c r="Q2816" s="4">
        <f t="shared" si="43"/>
        <v>-200</v>
      </c>
      <c r="R2816" s="23" t="s">
        <v>109</v>
      </c>
    </row>
    <row r="2817" spans="1:20" x14ac:dyDescent="0.25">
      <c r="A2817" s="21">
        <v>45763</v>
      </c>
      <c r="B2817" s="1">
        <v>211570149</v>
      </c>
      <c r="C2817" t="s">
        <v>54</v>
      </c>
      <c r="D2817" s="22">
        <v>-2393.4</v>
      </c>
      <c r="E2817" t="s">
        <v>35</v>
      </c>
      <c r="F2817" s="2">
        <v>212901001</v>
      </c>
      <c r="G2817" s="2" t="s">
        <v>121</v>
      </c>
      <c r="L2817" s="2" t="s">
        <v>5291</v>
      </c>
      <c r="M2817" t="s">
        <v>67</v>
      </c>
      <c r="N2817" t="s">
        <v>68</v>
      </c>
      <c r="P2817" s="23">
        <v>79.78</v>
      </c>
      <c r="Q2817" s="4">
        <f t="shared" si="43"/>
        <v>-30</v>
      </c>
      <c r="R2817" s="23" t="s">
        <v>109</v>
      </c>
    </row>
    <row r="2818" spans="1:20" x14ac:dyDescent="0.25">
      <c r="A2818" s="21">
        <v>45763</v>
      </c>
      <c r="B2818" s="1">
        <v>50432341</v>
      </c>
      <c r="C2818" t="s">
        <v>54</v>
      </c>
      <c r="D2818" s="22">
        <v>-11169.2</v>
      </c>
      <c r="E2818" t="s">
        <v>35</v>
      </c>
      <c r="F2818" s="2">
        <v>212901001</v>
      </c>
      <c r="G2818" s="2" t="s">
        <v>121</v>
      </c>
      <c r="L2818" s="2" t="s">
        <v>5292</v>
      </c>
      <c r="M2818" t="s">
        <v>67</v>
      </c>
      <c r="N2818" t="s">
        <v>68</v>
      </c>
      <c r="P2818" s="23">
        <v>79.78</v>
      </c>
      <c r="Q2818" s="4">
        <f t="shared" si="43"/>
        <v>-140</v>
      </c>
      <c r="R2818" s="23" t="s">
        <v>109</v>
      </c>
    </row>
    <row r="2819" spans="1:20" x14ac:dyDescent="0.25">
      <c r="A2819" s="21">
        <v>45763</v>
      </c>
      <c r="B2819" s="1">
        <v>50432341</v>
      </c>
      <c r="C2819" t="s">
        <v>54</v>
      </c>
      <c r="D2819" s="22">
        <v>-16.75</v>
      </c>
      <c r="E2819" t="s">
        <v>35</v>
      </c>
      <c r="F2819" s="2">
        <v>610148001</v>
      </c>
      <c r="G2819" s="2" t="s">
        <v>42</v>
      </c>
      <c r="L2819" s="2" t="s">
        <v>5293</v>
      </c>
      <c r="M2819" t="s">
        <v>43</v>
      </c>
      <c r="N2819" t="s">
        <v>42</v>
      </c>
      <c r="P2819" s="23">
        <v>79.78</v>
      </c>
      <c r="Q2819" s="4">
        <f t="shared" si="43"/>
        <v>-0.20995236901479067</v>
      </c>
      <c r="R2819" s="23" t="s">
        <v>109</v>
      </c>
      <c r="T2819" s="23" t="s">
        <v>4558</v>
      </c>
    </row>
    <row r="2820" spans="1:20" x14ac:dyDescent="0.25">
      <c r="A2820" s="21">
        <v>45763</v>
      </c>
      <c r="B2820" s="1">
        <v>50432341</v>
      </c>
      <c r="C2820" t="s">
        <v>54</v>
      </c>
      <c r="D2820" s="22">
        <v>-892.13</v>
      </c>
      <c r="E2820" t="s">
        <v>35</v>
      </c>
      <c r="F2820" s="2">
        <v>610148001</v>
      </c>
      <c r="G2820" s="2" t="s">
        <v>42</v>
      </c>
      <c r="L2820" s="2" t="s">
        <v>5294</v>
      </c>
      <c r="M2820" t="s">
        <v>43</v>
      </c>
      <c r="N2820" t="s">
        <v>42</v>
      </c>
      <c r="P2820" s="23">
        <v>79.78</v>
      </c>
      <c r="Q2820" s="4">
        <f t="shared" si="43"/>
        <v>-11.18237653547255</v>
      </c>
      <c r="R2820" s="23" t="s">
        <v>109</v>
      </c>
      <c r="T2820" s="23" t="s">
        <v>4558</v>
      </c>
    </row>
    <row r="2821" spans="1:20" x14ac:dyDescent="0.25">
      <c r="A2821" s="21">
        <v>45763</v>
      </c>
      <c r="B2821" s="1">
        <v>111570358</v>
      </c>
      <c r="C2821" t="s">
        <v>54</v>
      </c>
      <c r="D2821" s="22">
        <v>-7128.73</v>
      </c>
      <c r="E2821" t="s">
        <v>35</v>
      </c>
      <c r="F2821" s="2">
        <v>210101001</v>
      </c>
      <c r="G2821" s="2" t="s">
        <v>36</v>
      </c>
      <c r="L2821" s="2" t="s">
        <v>5295</v>
      </c>
      <c r="M2821" t="s">
        <v>760</v>
      </c>
      <c r="N2821" t="s">
        <v>761</v>
      </c>
      <c r="P2821" s="23">
        <v>79.78</v>
      </c>
      <c r="Q2821" s="4">
        <f t="shared" si="43"/>
        <v>-89.354850839809473</v>
      </c>
      <c r="R2821" s="23" t="s">
        <v>109</v>
      </c>
    </row>
    <row r="2822" spans="1:20" x14ac:dyDescent="0.25">
      <c r="A2822" s="21">
        <v>45763</v>
      </c>
      <c r="B2822" s="1">
        <v>111570358</v>
      </c>
      <c r="C2822" t="s">
        <v>54</v>
      </c>
      <c r="D2822" s="22">
        <v>-21.39</v>
      </c>
      <c r="E2822" t="s">
        <v>35</v>
      </c>
      <c r="F2822" s="2">
        <v>610148001</v>
      </c>
      <c r="G2822" s="2" t="s">
        <v>42</v>
      </c>
      <c r="L2822" s="2" t="s">
        <v>5296</v>
      </c>
      <c r="M2822" t="s">
        <v>43</v>
      </c>
      <c r="N2822" t="s">
        <v>42</v>
      </c>
      <c r="P2822" s="23">
        <v>79.78</v>
      </c>
      <c r="Q2822" s="4">
        <f t="shared" si="43"/>
        <v>-0.26811230884933568</v>
      </c>
      <c r="R2822" s="23" t="s">
        <v>109</v>
      </c>
      <c r="T2822" s="23" t="s">
        <v>4558</v>
      </c>
    </row>
    <row r="2823" spans="1:20" x14ac:dyDescent="0.25">
      <c r="A2823" s="21">
        <v>45763</v>
      </c>
      <c r="B2823" s="1">
        <v>11570409</v>
      </c>
      <c r="C2823" t="s">
        <v>54</v>
      </c>
      <c r="D2823" s="22">
        <v>-49349.93</v>
      </c>
      <c r="E2823" t="s">
        <v>35</v>
      </c>
      <c r="F2823" s="2">
        <v>210101001</v>
      </c>
      <c r="G2823" s="2" t="s">
        <v>36</v>
      </c>
      <c r="L2823" s="2" t="s">
        <v>5297</v>
      </c>
      <c r="M2823" t="s">
        <v>303</v>
      </c>
      <c r="N2823" t="s">
        <v>304</v>
      </c>
      <c r="P2823" s="23">
        <v>79.78</v>
      </c>
      <c r="Q2823" s="4">
        <f t="shared" si="43"/>
        <v>-618.57520681875155</v>
      </c>
      <c r="R2823" s="23" t="s">
        <v>109</v>
      </c>
    </row>
    <row r="2824" spans="1:20" x14ac:dyDescent="0.25">
      <c r="A2824" s="21">
        <v>45763</v>
      </c>
      <c r="B2824" s="1">
        <v>11570409</v>
      </c>
      <c r="C2824" t="s">
        <v>54</v>
      </c>
      <c r="D2824" s="22">
        <v>-148.05000000000001</v>
      </c>
      <c r="E2824" t="s">
        <v>35</v>
      </c>
      <c r="F2824" s="2">
        <v>610148001</v>
      </c>
      <c r="G2824" s="2" t="s">
        <v>42</v>
      </c>
      <c r="L2824" s="2" t="s">
        <v>5298</v>
      </c>
      <c r="M2824" t="s">
        <v>43</v>
      </c>
      <c r="N2824" t="s">
        <v>42</v>
      </c>
      <c r="P2824" s="23">
        <v>79.78</v>
      </c>
      <c r="Q2824" s="4">
        <f t="shared" si="43"/>
        <v>-1.855728252694911</v>
      </c>
      <c r="R2824" s="23" t="s">
        <v>109</v>
      </c>
      <c r="T2824" s="23" t="s">
        <v>4558</v>
      </c>
    </row>
    <row r="2825" spans="1:20" x14ac:dyDescent="0.25">
      <c r="A2825" s="21">
        <v>45768</v>
      </c>
      <c r="B2825" s="1">
        <v>132028537</v>
      </c>
      <c r="C2825" t="s">
        <v>54</v>
      </c>
      <c r="D2825" s="22">
        <v>220000</v>
      </c>
      <c r="E2825" t="s">
        <v>46</v>
      </c>
      <c r="F2825" s="2">
        <v>210115002</v>
      </c>
      <c r="G2825" s="2" t="s">
        <v>47</v>
      </c>
      <c r="L2825" s="2" t="s">
        <v>5299</v>
      </c>
      <c r="N2825" t="s">
        <v>107</v>
      </c>
      <c r="P2825" s="23">
        <v>80.959999999999994</v>
      </c>
      <c r="Q2825" s="4">
        <f t="shared" si="43"/>
        <v>2717.3913043478265</v>
      </c>
      <c r="R2825" s="23" t="s">
        <v>109</v>
      </c>
    </row>
    <row r="2826" spans="1:20" x14ac:dyDescent="0.25">
      <c r="A2826" s="21">
        <v>45768</v>
      </c>
      <c r="B2826" s="1">
        <v>211644523</v>
      </c>
      <c r="C2826" t="s">
        <v>54</v>
      </c>
      <c r="D2826" s="22">
        <v>-1596</v>
      </c>
      <c r="E2826" t="s">
        <v>35</v>
      </c>
      <c r="F2826" s="2">
        <v>110114001</v>
      </c>
      <c r="G2826" s="2" t="s">
        <v>301</v>
      </c>
      <c r="L2826" s="2" t="s">
        <v>5300</v>
      </c>
      <c r="M2826" t="s">
        <v>114</v>
      </c>
      <c r="N2826" t="s">
        <v>115</v>
      </c>
      <c r="P2826" s="23">
        <v>80.959999999999994</v>
      </c>
      <c r="Q2826" s="4">
        <f t="shared" si="43"/>
        <v>-19.713438735177867</v>
      </c>
      <c r="R2826" s="23" t="s">
        <v>109</v>
      </c>
      <c r="S2826" s="33" t="s">
        <v>3147</v>
      </c>
    </row>
    <row r="2827" spans="1:20" x14ac:dyDescent="0.25">
      <c r="A2827" s="21">
        <v>45768</v>
      </c>
      <c r="B2827" s="1">
        <v>211644526</v>
      </c>
      <c r="C2827" t="s">
        <v>54</v>
      </c>
      <c r="D2827" s="22">
        <v>-7607</v>
      </c>
      <c r="E2827" t="s">
        <v>35</v>
      </c>
      <c r="F2827" s="2">
        <v>210101001</v>
      </c>
      <c r="G2827" s="2" t="s">
        <v>36</v>
      </c>
      <c r="L2827" s="2" t="s">
        <v>5301</v>
      </c>
      <c r="M2827" t="s">
        <v>303</v>
      </c>
      <c r="N2827" t="s">
        <v>304</v>
      </c>
      <c r="P2827" s="23">
        <v>80.959999999999994</v>
      </c>
      <c r="Q2827" s="4">
        <f t="shared" ref="Q2827:Q2890" si="44">D2827/P2827</f>
        <v>-93.959980237154156</v>
      </c>
      <c r="R2827" s="23" t="s">
        <v>109</v>
      </c>
    </row>
    <row r="2828" spans="1:20" x14ac:dyDescent="0.25">
      <c r="A2828" s="21">
        <v>45768</v>
      </c>
      <c r="B2828" s="1">
        <v>311644527</v>
      </c>
      <c r="C2828" t="s">
        <v>54</v>
      </c>
      <c r="D2828" s="22">
        <v>-4132.2</v>
      </c>
      <c r="E2828" t="s">
        <v>35</v>
      </c>
      <c r="F2828" s="2">
        <v>210101001</v>
      </c>
      <c r="G2828" s="2" t="s">
        <v>36</v>
      </c>
      <c r="L2828" s="2" t="s">
        <v>5302</v>
      </c>
      <c r="M2828" t="s">
        <v>2912</v>
      </c>
      <c r="N2828" t="s">
        <v>2913</v>
      </c>
      <c r="P2828" s="23">
        <v>80.959999999999994</v>
      </c>
      <c r="Q2828" s="4">
        <f t="shared" si="44"/>
        <v>-51.040019762845851</v>
      </c>
      <c r="R2828" s="23" t="s">
        <v>109</v>
      </c>
    </row>
    <row r="2829" spans="1:20" x14ac:dyDescent="0.25">
      <c r="A2829" s="21">
        <v>45768</v>
      </c>
      <c r="B2829" s="1">
        <v>311644530</v>
      </c>
      <c r="C2829" t="s">
        <v>54</v>
      </c>
      <c r="D2829" s="22">
        <v>-21727.7</v>
      </c>
      <c r="E2829" t="s">
        <v>35</v>
      </c>
      <c r="F2829" s="2">
        <v>110114001</v>
      </c>
      <c r="G2829" s="2" t="s">
        <v>301</v>
      </c>
      <c r="L2829" s="2" t="s">
        <v>5303</v>
      </c>
      <c r="M2829" t="s">
        <v>303</v>
      </c>
      <c r="N2829" t="s">
        <v>304</v>
      </c>
      <c r="P2829" s="23">
        <v>80.959999999999994</v>
      </c>
      <c r="Q2829" s="4">
        <f t="shared" si="44"/>
        <v>-268.37574110671937</v>
      </c>
      <c r="R2829" s="23" t="s">
        <v>109</v>
      </c>
      <c r="S2829" s="33" t="s">
        <v>3147</v>
      </c>
    </row>
    <row r="2830" spans="1:20" x14ac:dyDescent="0.25">
      <c r="A2830" s="21">
        <v>45768</v>
      </c>
      <c r="B2830" s="1">
        <v>311644528</v>
      </c>
      <c r="C2830" t="s">
        <v>54</v>
      </c>
      <c r="D2830" s="22">
        <v>-3781.79</v>
      </c>
      <c r="E2830" t="s">
        <v>35</v>
      </c>
      <c r="F2830" s="2">
        <v>110114001</v>
      </c>
      <c r="G2830" s="2" t="s">
        <v>301</v>
      </c>
      <c r="L2830" s="2" t="s">
        <v>5304</v>
      </c>
      <c r="M2830" t="s">
        <v>303</v>
      </c>
      <c r="N2830" t="s">
        <v>5305</v>
      </c>
      <c r="P2830" s="23">
        <v>80.959999999999994</v>
      </c>
      <c r="Q2830" s="4">
        <f t="shared" si="44"/>
        <v>-46.71183300395257</v>
      </c>
      <c r="R2830" s="23" t="s">
        <v>109</v>
      </c>
      <c r="S2830" s="33" t="s">
        <v>3147</v>
      </c>
    </row>
    <row r="2831" spans="1:20" x14ac:dyDescent="0.25">
      <c r="A2831" s="21">
        <v>45768</v>
      </c>
      <c r="B2831" s="1">
        <v>311644529</v>
      </c>
      <c r="C2831" t="s">
        <v>54</v>
      </c>
      <c r="D2831" s="22">
        <v>-5071.33</v>
      </c>
      <c r="E2831" t="s">
        <v>35</v>
      </c>
      <c r="F2831" s="2">
        <v>210101001</v>
      </c>
      <c r="G2831" s="2" t="s">
        <v>36</v>
      </c>
      <c r="L2831" s="2" t="s">
        <v>5306</v>
      </c>
      <c r="M2831" t="s">
        <v>2912</v>
      </c>
      <c r="N2831" t="s">
        <v>2913</v>
      </c>
      <c r="P2831" s="23">
        <v>80.959999999999994</v>
      </c>
      <c r="Q2831" s="4">
        <f t="shared" si="44"/>
        <v>-62.639945652173914</v>
      </c>
      <c r="R2831" s="23" t="s">
        <v>109</v>
      </c>
    </row>
    <row r="2832" spans="1:20" x14ac:dyDescent="0.25">
      <c r="A2832" s="21">
        <v>45768</v>
      </c>
      <c r="B2832" s="1">
        <v>311644531</v>
      </c>
      <c r="C2832" t="s">
        <v>54</v>
      </c>
      <c r="D2832" s="22">
        <v>-3037.98</v>
      </c>
      <c r="E2832" t="s">
        <v>35</v>
      </c>
      <c r="F2832" s="2">
        <v>210101001</v>
      </c>
      <c r="G2832" s="2" t="s">
        <v>36</v>
      </c>
      <c r="L2832" s="2" t="s">
        <v>5307</v>
      </c>
      <c r="M2832" t="s">
        <v>729</v>
      </c>
      <c r="N2832" t="s">
        <v>730</v>
      </c>
      <c r="P2832" s="23">
        <v>80.959999999999994</v>
      </c>
      <c r="Q2832" s="4">
        <f t="shared" si="44"/>
        <v>-37.524456521739133</v>
      </c>
      <c r="R2832" s="23" t="s">
        <v>109</v>
      </c>
    </row>
    <row r="2833" spans="1:20" ht="15.75" x14ac:dyDescent="0.25">
      <c r="A2833" s="21">
        <v>45768</v>
      </c>
      <c r="B2833" s="1">
        <v>311644534</v>
      </c>
      <c r="C2833" t="s">
        <v>54</v>
      </c>
      <c r="D2833" s="59">
        <v>-19091.46</v>
      </c>
      <c r="E2833" t="s">
        <v>35</v>
      </c>
      <c r="F2833" s="2">
        <v>110114001</v>
      </c>
      <c r="G2833" s="2" t="s">
        <v>301</v>
      </c>
      <c r="L2833" s="2" t="s">
        <v>5308</v>
      </c>
      <c r="M2833" s="60" t="s">
        <v>1866</v>
      </c>
      <c r="N2833" s="60" t="s">
        <v>1867</v>
      </c>
      <c r="O2833" s="60"/>
      <c r="P2833" s="23">
        <v>80.959999999999994</v>
      </c>
      <c r="Q2833" s="4">
        <f t="shared" si="44"/>
        <v>-235.8134881422925</v>
      </c>
      <c r="R2833" s="23" t="s">
        <v>109</v>
      </c>
      <c r="S2833" s="33" t="s">
        <v>5309</v>
      </c>
    </row>
    <row r="2834" spans="1:20" x14ac:dyDescent="0.25">
      <c r="A2834" s="21">
        <v>45768</v>
      </c>
      <c r="B2834" s="1">
        <v>311644532</v>
      </c>
      <c r="C2834" t="s">
        <v>54</v>
      </c>
      <c r="D2834" s="22">
        <v>-28060.14</v>
      </c>
      <c r="E2834" t="s">
        <v>35</v>
      </c>
      <c r="F2834" s="2">
        <v>210101001</v>
      </c>
      <c r="G2834" s="2" t="s">
        <v>36</v>
      </c>
      <c r="L2834" s="2" t="s">
        <v>5310</v>
      </c>
      <c r="M2834" t="s">
        <v>1318</v>
      </c>
      <c r="N2834" t="s">
        <v>1319</v>
      </c>
      <c r="P2834" s="23">
        <v>80.959999999999994</v>
      </c>
      <c r="Q2834" s="4">
        <f t="shared" si="44"/>
        <v>-346.592638339921</v>
      </c>
      <c r="R2834" s="23" t="s">
        <v>109</v>
      </c>
    </row>
    <row r="2835" spans="1:20" x14ac:dyDescent="0.25">
      <c r="A2835" s="21">
        <v>45768</v>
      </c>
      <c r="B2835" s="1">
        <v>311644535</v>
      </c>
      <c r="C2835" t="s">
        <v>54</v>
      </c>
      <c r="D2835" s="22">
        <v>-2077.56</v>
      </c>
      <c r="E2835" t="s">
        <v>35</v>
      </c>
      <c r="F2835" s="2">
        <v>110114001</v>
      </c>
      <c r="G2835" s="2" t="s">
        <v>301</v>
      </c>
      <c r="L2835" s="2" t="s">
        <v>5311</v>
      </c>
      <c r="M2835" t="s">
        <v>1600</v>
      </c>
      <c r="N2835" t="s">
        <v>1601</v>
      </c>
      <c r="P2835" s="23">
        <v>80.959999999999994</v>
      </c>
      <c r="Q2835" s="4">
        <f t="shared" si="44"/>
        <v>-25.661561264822137</v>
      </c>
      <c r="R2835" s="23" t="s">
        <v>109</v>
      </c>
      <c r="S2835" s="33" t="s">
        <v>3147</v>
      </c>
    </row>
    <row r="2836" spans="1:20" x14ac:dyDescent="0.25">
      <c r="A2836" s="21">
        <v>45768</v>
      </c>
      <c r="B2836" s="1">
        <v>411644538</v>
      </c>
      <c r="C2836" t="s">
        <v>54</v>
      </c>
      <c r="D2836" s="22">
        <v>-86400.51</v>
      </c>
      <c r="E2836" t="s">
        <v>35</v>
      </c>
      <c r="F2836" s="2">
        <v>110114001</v>
      </c>
      <c r="G2836" s="2" t="s">
        <v>301</v>
      </c>
      <c r="L2836" s="2" t="s">
        <v>5312</v>
      </c>
      <c r="M2836" t="s">
        <v>1866</v>
      </c>
      <c r="N2836" t="s">
        <v>1867</v>
      </c>
      <c r="P2836" s="23">
        <v>80.959999999999994</v>
      </c>
      <c r="Q2836" s="4">
        <f t="shared" si="44"/>
        <v>-1067.1999752964427</v>
      </c>
      <c r="R2836" s="23" t="s">
        <v>109</v>
      </c>
      <c r="S2836" s="33" t="s">
        <v>3147</v>
      </c>
    </row>
    <row r="2837" spans="1:20" x14ac:dyDescent="0.25">
      <c r="A2837" s="21">
        <v>45768</v>
      </c>
      <c r="B2837" s="1">
        <v>411644537</v>
      </c>
      <c r="C2837" t="s">
        <v>54</v>
      </c>
      <c r="D2837" s="22">
        <v>-33808.9</v>
      </c>
      <c r="E2837" t="s">
        <v>35</v>
      </c>
      <c r="F2837" s="2">
        <v>210101001</v>
      </c>
      <c r="G2837" s="2" t="s">
        <v>36</v>
      </c>
      <c r="L2837" s="2" t="s">
        <v>5313</v>
      </c>
      <c r="M2837" t="s">
        <v>1866</v>
      </c>
      <c r="N2837" t="s">
        <v>1867</v>
      </c>
      <c r="P2837" s="23">
        <v>80.959999999999994</v>
      </c>
      <c r="Q2837" s="4">
        <f t="shared" si="44"/>
        <v>-417.60004940711468</v>
      </c>
      <c r="R2837" s="23" t="s">
        <v>109</v>
      </c>
    </row>
    <row r="2838" spans="1:20" x14ac:dyDescent="0.25">
      <c r="A2838" s="21">
        <v>45768</v>
      </c>
      <c r="B2838" s="1">
        <v>50491473</v>
      </c>
      <c r="C2838" t="s">
        <v>54</v>
      </c>
      <c r="D2838" s="22">
        <v>-540.98</v>
      </c>
      <c r="E2838" t="s">
        <v>35</v>
      </c>
      <c r="F2838" s="2">
        <v>610148001</v>
      </c>
      <c r="G2838" s="2" t="s">
        <v>42</v>
      </c>
      <c r="L2838" s="2" t="s">
        <v>5314</v>
      </c>
      <c r="M2838" t="s">
        <v>43</v>
      </c>
      <c r="N2838" t="s">
        <v>42</v>
      </c>
      <c r="P2838" s="23">
        <v>80.959999999999994</v>
      </c>
      <c r="Q2838" s="4">
        <f t="shared" si="44"/>
        <v>-6.6820652173913047</v>
      </c>
      <c r="R2838" s="23" t="s">
        <v>109</v>
      </c>
      <c r="T2838" s="23" t="s">
        <v>4558</v>
      </c>
    </row>
    <row r="2839" spans="1:20" x14ac:dyDescent="0.25">
      <c r="A2839" s="21">
        <v>45768</v>
      </c>
      <c r="B2839" s="1">
        <v>50491473</v>
      </c>
      <c r="C2839" t="s">
        <v>54</v>
      </c>
      <c r="D2839" s="22">
        <v>-0.13</v>
      </c>
      <c r="E2839" t="s">
        <v>35</v>
      </c>
      <c r="F2839" s="2">
        <v>610148001</v>
      </c>
      <c r="G2839" s="2" t="s">
        <v>42</v>
      </c>
      <c r="L2839" s="2" t="s">
        <v>5315</v>
      </c>
      <c r="M2839" t="s">
        <v>43</v>
      </c>
      <c r="N2839" t="s">
        <v>42</v>
      </c>
      <c r="P2839" s="23">
        <v>80.959999999999994</v>
      </c>
      <c r="Q2839" s="4">
        <f t="shared" si="44"/>
        <v>-1.605731225296443E-3</v>
      </c>
      <c r="R2839" s="23" t="s">
        <v>109</v>
      </c>
      <c r="T2839" s="23" t="s">
        <v>4558</v>
      </c>
    </row>
    <row r="2840" spans="1:20" x14ac:dyDescent="0.25">
      <c r="A2840" s="21">
        <v>45768</v>
      </c>
      <c r="B2840" s="1">
        <v>0</v>
      </c>
      <c r="C2840" t="s">
        <v>54</v>
      </c>
      <c r="D2840" s="22">
        <v>-0.13</v>
      </c>
      <c r="E2840" t="s">
        <v>35</v>
      </c>
      <c r="F2840" s="2">
        <v>610148001</v>
      </c>
      <c r="G2840" s="2" t="s">
        <v>42</v>
      </c>
      <c r="L2840" s="2" t="s">
        <v>5316</v>
      </c>
      <c r="M2840" t="s">
        <v>43</v>
      </c>
      <c r="N2840" t="s">
        <v>42</v>
      </c>
      <c r="P2840" s="23">
        <v>80.959999999999994</v>
      </c>
      <c r="Q2840" s="4">
        <f t="shared" si="44"/>
        <v>-1.605731225296443E-3</v>
      </c>
      <c r="R2840" s="23" t="s">
        <v>109</v>
      </c>
      <c r="T2840" s="23" t="s">
        <v>4558</v>
      </c>
    </row>
    <row r="2841" spans="1:20" x14ac:dyDescent="0.25">
      <c r="A2841" s="21">
        <v>45768</v>
      </c>
      <c r="B2841" s="1">
        <v>511649623</v>
      </c>
      <c r="C2841" t="s">
        <v>54</v>
      </c>
      <c r="D2841" s="22">
        <v>-4533.76</v>
      </c>
      <c r="E2841" t="s">
        <v>35</v>
      </c>
      <c r="F2841" s="2">
        <v>210101001</v>
      </c>
      <c r="G2841" s="2" t="s">
        <v>36</v>
      </c>
      <c r="L2841" s="2" t="s">
        <v>5317</v>
      </c>
      <c r="M2841" t="s">
        <v>1318</v>
      </c>
      <c r="N2841" t="s">
        <v>1319</v>
      </c>
      <c r="P2841" s="23">
        <v>80.959999999999994</v>
      </c>
      <c r="Q2841" s="4">
        <f t="shared" si="44"/>
        <v>-56.000000000000007</v>
      </c>
      <c r="R2841" s="23" t="s">
        <v>109</v>
      </c>
    </row>
    <row r="2842" spans="1:20" x14ac:dyDescent="0.25">
      <c r="A2842" s="21">
        <v>45768</v>
      </c>
      <c r="B2842" s="1">
        <v>511649622</v>
      </c>
      <c r="C2842" t="s">
        <v>54</v>
      </c>
      <c r="D2842" s="22">
        <v>-7101.75</v>
      </c>
      <c r="E2842" t="s">
        <v>35</v>
      </c>
      <c r="F2842" s="2">
        <v>210101001</v>
      </c>
      <c r="G2842" s="2" t="s">
        <v>36</v>
      </c>
      <c r="L2842" s="2" t="s">
        <v>5318</v>
      </c>
      <c r="M2842" t="s">
        <v>2912</v>
      </c>
      <c r="N2842" t="s">
        <v>2913</v>
      </c>
      <c r="P2842" s="23">
        <v>80.959999999999994</v>
      </c>
      <c r="Q2842" s="4">
        <f t="shared" si="44"/>
        <v>-87.71924407114625</v>
      </c>
      <c r="R2842" s="23" t="s">
        <v>109</v>
      </c>
    </row>
    <row r="2843" spans="1:20" x14ac:dyDescent="0.25">
      <c r="A2843" s="21">
        <v>45768</v>
      </c>
      <c r="B2843" s="1">
        <v>50429390</v>
      </c>
      <c r="C2843" t="s">
        <v>54</v>
      </c>
      <c r="D2843" s="22">
        <v>-29.08</v>
      </c>
      <c r="E2843" t="s">
        <v>35</v>
      </c>
      <c r="F2843" s="2">
        <v>610148001</v>
      </c>
      <c r="G2843" s="2" t="s">
        <v>42</v>
      </c>
      <c r="L2843" s="2" t="s">
        <v>5319</v>
      </c>
      <c r="M2843" t="s">
        <v>43</v>
      </c>
      <c r="N2843" t="s">
        <v>42</v>
      </c>
      <c r="P2843" s="23">
        <v>80.959999999999994</v>
      </c>
      <c r="Q2843" s="4">
        <f t="shared" si="44"/>
        <v>-0.35918972332015808</v>
      </c>
      <c r="R2843" s="23" t="s">
        <v>109</v>
      </c>
      <c r="T2843" s="23" t="s">
        <v>4558</v>
      </c>
    </row>
    <row r="2844" spans="1:20" x14ac:dyDescent="0.25">
      <c r="A2844" s="21">
        <v>45769</v>
      </c>
      <c r="B2844" s="1">
        <v>120306568</v>
      </c>
      <c r="C2844" t="s">
        <v>54</v>
      </c>
      <c r="D2844" s="22">
        <v>190000</v>
      </c>
      <c r="E2844" t="s">
        <v>46</v>
      </c>
      <c r="F2844" s="2">
        <v>210115002</v>
      </c>
      <c r="G2844" s="2" t="s">
        <v>47</v>
      </c>
      <c r="L2844" s="2" t="s">
        <v>5320</v>
      </c>
      <c r="N2844" t="s">
        <v>107</v>
      </c>
      <c r="P2844" s="23">
        <v>81.760000000000005</v>
      </c>
      <c r="Q2844" s="4">
        <f t="shared" si="44"/>
        <v>2323.8747553816047</v>
      </c>
      <c r="R2844" s="23" t="s">
        <v>109</v>
      </c>
    </row>
    <row r="2845" spans="1:20" x14ac:dyDescent="0.25">
      <c r="A2845" s="21">
        <v>45769</v>
      </c>
      <c r="B2845" s="1">
        <v>611698448</v>
      </c>
      <c r="C2845" t="s">
        <v>54</v>
      </c>
      <c r="D2845" s="22">
        <v>-32593.9</v>
      </c>
      <c r="E2845" t="s">
        <v>35</v>
      </c>
      <c r="F2845" s="2">
        <v>210101001</v>
      </c>
      <c r="G2845" s="2" t="s">
        <v>36</v>
      </c>
      <c r="L2845" s="2" t="s">
        <v>5321</v>
      </c>
      <c r="M2845" t="s">
        <v>1318</v>
      </c>
      <c r="N2845" t="s">
        <v>1319</v>
      </c>
      <c r="P2845" s="23">
        <v>81.760000000000005</v>
      </c>
      <c r="Q2845" s="4">
        <f t="shared" si="44"/>
        <v>-398.65337573385517</v>
      </c>
      <c r="R2845" s="23" t="s">
        <v>109</v>
      </c>
    </row>
    <row r="2846" spans="1:20" x14ac:dyDescent="0.25">
      <c r="A2846" s="21">
        <v>45769</v>
      </c>
      <c r="B2846" s="1">
        <v>611698449</v>
      </c>
      <c r="C2846" t="s">
        <v>54</v>
      </c>
      <c r="D2846" s="22">
        <v>-1784.35</v>
      </c>
      <c r="E2846" t="s">
        <v>35</v>
      </c>
      <c r="F2846" s="2">
        <v>110114001</v>
      </c>
      <c r="G2846" s="2" t="s">
        <v>301</v>
      </c>
      <c r="L2846" s="2" t="s">
        <v>5322</v>
      </c>
      <c r="M2846" t="s">
        <v>725</v>
      </c>
      <c r="N2846" t="s">
        <v>726</v>
      </c>
      <c r="P2846" s="23">
        <v>81.760000000000005</v>
      </c>
      <c r="Q2846" s="4">
        <f t="shared" si="44"/>
        <v>-21.824241682974556</v>
      </c>
      <c r="R2846" s="23" t="s">
        <v>109</v>
      </c>
      <c r="S2846" s="33" t="s">
        <v>5309</v>
      </c>
    </row>
    <row r="2847" spans="1:20" x14ac:dyDescent="0.25">
      <c r="A2847" s="21">
        <v>45769</v>
      </c>
      <c r="B2847" s="1">
        <v>611698450</v>
      </c>
      <c r="C2847" t="s">
        <v>54</v>
      </c>
      <c r="D2847" s="22">
        <v>-44925.48</v>
      </c>
      <c r="E2847" t="s">
        <v>35</v>
      </c>
      <c r="F2847" s="2">
        <v>110114001</v>
      </c>
      <c r="G2847" s="2" t="s">
        <v>301</v>
      </c>
      <c r="L2847" s="2" t="s">
        <v>5323</v>
      </c>
      <c r="M2847" t="s">
        <v>5324</v>
      </c>
      <c r="N2847" t="s">
        <v>5325</v>
      </c>
      <c r="P2847" s="23">
        <v>81.760000000000005</v>
      </c>
      <c r="Q2847" s="4">
        <f t="shared" si="44"/>
        <v>-549.47994129158508</v>
      </c>
      <c r="R2847" s="23" t="s">
        <v>109</v>
      </c>
      <c r="S2847" s="33" t="s">
        <v>3147</v>
      </c>
    </row>
    <row r="2848" spans="1:20" x14ac:dyDescent="0.25">
      <c r="A2848" s="21">
        <v>45769</v>
      </c>
      <c r="B2848" s="1">
        <v>611698452</v>
      </c>
      <c r="C2848" t="s">
        <v>54</v>
      </c>
      <c r="D2848" s="22">
        <v>-109318.2</v>
      </c>
      <c r="E2848" t="s">
        <v>35</v>
      </c>
      <c r="F2848" s="2">
        <v>110114001</v>
      </c>
      <c r="G2848" s="2" t="s">
        <v>301</v>
      </c>
      <c r="L2848" s="2" t="s">
        <v>5326</v>
      </c>
      <c r="M2848" t="s">
        <v>1866</v>
      </c>
      <c r="N2848" t="s">
        <v>1867</v>
      </c>
      <c r="P2848" s="23">
        <v>81.760000000000005</v>
      </c>
      <c r="Q2848" s="4">
        <f t="shared" si="44"/>
        <v>-1337.0621330724068</v>
      </c>
      <c r="R2848" s="23" t="s">
        <v>109</v>
      </c>
      <c r="S2848" s="33" t="s">
        <v>3147</v>
      </c>
    </row>
    <row r="2849" spans="1:23" x14ac:dyDescent="0.25">
      <c r="A2849" s="21">
        <v>45769</v>
      </c>
      <c r="B2849" s="1">
        <v>611698451</v>
      </c>
      <c r="C2849" t="s">
        <v>54</v>
      </c>
      <c r="D2849" s="22">
        <v>-654.08000000000004</v>
      </c>
      <c r="E2849" t="s">
        <v>35</v>
      </c>
      <c r="F2849" s="2">
        <v>110114001</v>
      </c>
      <c r="G2849" s="2" t="s">
        <v>301</v>
      </c>
      <c r="L2849" s="2" t="s">
        <v>5327</v>
      </c>
      <c r="M2849" t="s">
        <v>1239</v>
      </c>
      <c r="N2849" t="s">
        <v>1240</v>
      </c>
      <c r="P2849" s="23">
        <v>81.760000000000005</v>
      </c>
      <c r="Q2849" s="4">
        <f t="shared" si="44"/>
        <v>-8</v>
      </c>
      <c r="R2849" s="23" t="s">
        <v>109</v>
      </c>
      <c r="S2849" s="33" t="s">
        <v>3147</v>
      </c>
    </row>
    <row r="2850" spans="1:23" x14ac:dyDescent="0.25">
      <c r="A2850" s="21">
        <v>45769</v>
      </c>
      <c r="B2850" s="1">
        <v>50481240</v>
      </c>
      <c r="C2850" t="s">
        <v>54</v>
      </c>
      <c r="D2850" s="22">
        <v>-473.19</v>
      </c>
      <c r="E2850" t="s">
        <v>35</v>
      </c>
      <c r="F2850" s="2">
        <v>610148001</v>
      </c>
      <c r="G2850" s="2" t="s">
        <v>42</v>
      </c>
      <c r="L2850" s="2" t="s">
        <v>5328</v>
      </c>
      <c r="M2850" t="s">
        <v>43</v>
      </c>
      <c r="N2850" t="s">
        <v>42</v>
      </c>
      <c r="P2850" s="23">
        <v>81.760000000000005</v>
      </c>
      <c r="Q2850" s="4">
        <f t="shared" si="44"/>
        <v>-5.7875489236790605</v>
      </c>
      <c r="R2850" s="23" t="s">
        <v>109</v>
      </c>
      <c r="T2850" s="23" t="s">
        <v>4558</v>
      </c>
    </row>
    <row r="2851" spans="1:23" x14ac:dyDescent="0.25">
      <c r="A2851" s="21">
        <v>45770</v>
      </c>
      <c r="B2851" s="1">
        <v>976412734</v>
      </c>
      <c r="C2851" t="s">
        <v>54</v>
      </c>
      <c r="D2851" s="22">
        <v>100000</v>
      </c>
      <c r="E2851" t="s">
        <v>46</v>
      </c>
      <c r="F2851" s="2">
        <v>210115002</v>
      </c>
      <c r="G2851" s="2" t="s">
        <v>47</v>
      </c>
      <c r="L2851" s="2" t="s">
        <v>5329</v>
      </c>
      <c r="N2851" t="s">
        <v>693</v>
      </c>
      <c r="P2851" s="23">
        <v>82.38</v>
      </c>
      <c r="Q2851" s="4">
        <f t="shared" si="44"/>
        <v>1213.8868657441128</v>
      </c>
      <c r="R2851" s="23" t="s">
        <v>109</v>
      </c>
    </row>
    <row r="2852" spans="1:23" x14ac:dyDescent="0.25">
      <c r="A2852" s="21">
        <v>45770</v>
      </c>
      <c r="B2852" s="1">
        <v>85171007</v>
      </c>
      <c r="C2852" t="s">
        <v>54</v>
      </c>
      <c r="D2852" s="22">
        <v>100000</v>
      </c>
      <c r="E2852" t="s">
        <v>46</v>
      </c>
      <c r="F2852" s="2">
        <v>210115002</v>
      </c>
      <c r="G2852" s="2" t="s">
        <v>47</v>
      </c>
      <c r="L2852" s="2" t="s">
        <v>5330</v>
      </c>
      <c r="N2852" t="s">
        <v>693</v>
      </c>
      <c r="P2852" s="23">
        <v>82.38</v>
      </c>
      <c r="Q2852" s="4">
        <f t="shared" si="44"/>
        <v>1213.8868657441128</v>
      </c>
      <c r="R2852" s="23" t="s">
        <v>109</v>
      </c>
    </row>
    <row r="2853" spans="1:23" x14ac:dyDescent="0.25">
      <c r="A2853" s="21">
        <v>45770</v>
      </c>
      <c r="B2853" s="1">
        <v>911759141</v>
      </c>
      <c r="C2853" t="s">
        <v>54</v>
      </c>
      <c r="D2853" s="22">
        <v>-1818.88</v>
      </c>
      <c r="E2853" t="s">
        <v>35</v>
      </c>
      <c r="F2853" s="2">
        <v>210101001</v>
      </c>
      <c r="G2853" s="2" t="s">
        <v>36</v>
      </c>
      <c r="L2853" s="2" t="s">
        <v>5331</v>
      </c>
      <c r="M2853" t="s">
        <v>303</v>
      </c>
      <c r="N2853" t="s">
        <v>304</v>
      </c>
      <c r="P2853" s="23">
        <v>82.38</v>
      </c>
      <c r="Q2853" s="4">
        <f t="shared" si="44"/>
        <v>-22.079145423646519</v>
      </c>
      <c r="R2853" s="23" t="s">
        <v>109</v>
      </c>
    </row>
    <row r="2854" spans="1:23" x14ac:dyDescent="0.25">
      <c r="A2854" s="21">
        <v>45770</v>
      </c>
      <c r="B2854" s="1">
        <v>911759146</v>
      </c>
      <c r="C2854" t="s">
        <v>54</v>
      </c>
      <c r="D2854" s="22">
        <v>-6828.59</v>
      </c>
      <c r="E2854" t="s">
        <v>35</v>
      </c>
      <c r="F2854" s="2">
        <v>210101001</v>
      </c>
      <c r="G2854" s="2" t="s">
        <v>36</v>
      </c>
      <c r="L2854" s="2" t="s">
        <v>5332</v>
      </c>
      <c r="M2854" t="s">
        <v>788</v>
      </c>
      <c r="N2854" t="s">
        <v>789</v>
      </c>
      <c r="P2854" s="23">
        <v>82.38</v>
      </c>
      <c r="Q2854" s="4">
        <f t="shared" si="44"/>
        <v>-82.89135712551591</v>
      </c>
      <c r="R2854" s="23" t="s">
        <v>109</v>
      </c>
    </row>
    <row r="2855" spans="1:23" ht="15.75" x14ac:dyDescent="0.25">
      <c r="A2855" s="21">
        <v>45770</v>
      </c>
      <c r="B2855" s="1">
        <v>911759144</v>
      </c>
      <c r="C2855" t="s">
        <v>54</v>
      </c>
      <c r="D2855" s="59">
        <v>-24409.68</v>
      </c>
      <c r="E2855" t="s">
        <v>35</v>
      </c>
      <c r="F2855" s="2">
        <v>110114001</v>
      </c>
      <c r="G2855" s="2" t="s">
        <v>301</v>
      </c>
      <c r="L2855" s="2" t="s">
        <v>5333</v>
      </c>
      <c r="M2855" s="60" t="s">
        <v>788</v>
      </c>
      <c r="N2855" s="60" t="s">
        <v>789</v>
      </c>
      <c r="O2855" s="60"/>
      <c r="P2855" s="23">
        <v>82.38</v>
      </c>
      <c r="Q2855" s="4">
        <f t="shared" si="44"/>
        <v>-296.30589949016752</v>
      </c>
      <c r="R2855" s="23" t="s">
        <v>109</v>
      </c>
      <c r="S2855" s="33" t="s">
        <v>3147</v>
      </c>
    </row>
    <row r="2856" spans="1:23" x14ac:dyDescent="0.25">
      <c r="A2856" s="21">
        <v>45770</v>
      </c>
      <c r="B2856" s="1">
        <v>911759148</v>
      </c>
      <c r="C2856" t="s">
        <v>54</v>
      </c>
      <c r="D2856" s="22">
        <v>-43957.97</v>
      </c>
      <c r="E2856" t="s">
        <v>35</v>
      </c>
      <c r="F2856" s="2">
        <v>210101001</v>
      </c>
      <c r="G2856" s="2" t="s">
        <v>36</v>
      </c>
      <c r="L2856" s="2" t="s">
        <v>5334</v>
      </c>
      <c r="M2856" t="s">
        <v>760</v>
      </c>
      <c r="N2856" t="s">
        <v>761</v>
      </c>
      <c r="P2856" s="23">
        <v>82.38</v>
      </c>
      <c r="Q2856" s="4">
        <f t="shared" si="44"/>
        <v>-533.60002427773736</v>
      </c>
      <c r="R2856" s="23" t="s">
        <v>109</v>
      </c>
    </row>
    <row r="2857" spans="1:23" x14ac:dyDescent="0.25">
      <c r="A2857" s="21">
        <v>45770</v>
      </c>
      <c r="B2857" s="1">
        <v>911759147</v>
      </c>
      <c r="C2857" t="s">
        <v>54</v>
      </c>
      <c r="D2857" s="22">
        <v>-57329.52</v>
      </c>
      <c r="E2857" t="s">
        <v>35</v>
      </c>
      <c r="F2857" s="2">
        <v>210101001</v>
      </c>
      <c r="G2857" s="2" t="s">
        <v>36</v>
      </c>
      <c r="L2857" s="2" t="s">
        <v>5335</v>
      </c>
      <c r="M2857" t="s">
        <v>1866</v>
      </c>
      <c r="N2857" t="s">
        <v>1867</v>
      </c>
      <c r="P2857" s="23">
        <v>82.38</v>
      </c>
      <c r="Q2857" s="4">
        <f t="shared" si="44"/>
        <v>-695.91551347414418</v>
      </c>
      <c r="R2857" s="23" t="s">
        <v>109</v>
      </c>
    </row>
    <row r="2858" spans="1:23" x14ac:dyDescent="0.25">
      <c r="A2858" s="21">
        <v>45770</v>
      </c>
      <c r="B2858" s="1">
        <v>911759143</v>
      </c>
      <c r="C2858" t="s">
        <v>54</v>
      </c>
      <c r="D2858" s="22">
        <v>-18968.669999999998</v>
      </c>
      <c r="E2858" t="s">
        <v>35</v>
      </c>
      <c r="F2858" s="2">
        <v>110114001</v>
      </c>
      <c r="G2858" s="2" t="s">
        <v>301</v>
      </c>
      <c r="L2858" s="2" t="s">
        <v>5336</v>
      </c>
      <c r="M2858" t="s">
        <v>303</v>
      </c>
      <c r="N2858" t="s">
        <v>304</v>
      </c>
      <c r="P2858" s="23">
        <v>82.38</v>
      </c>
      <c r="Q2858" s="4">
        <f t="shared" si="44"/>
        <v>-230.25819373634377</v>
      </c>
      <c r="R2858" s="23" t="s">
        <v>109</v>
      </c>
      <c r="S2858" s="33" t="s">
        <v>3147</v>
      </c>
    </row>
    <row r="2859" spans="1:23" x14ac:dyDescent="0.25">
      <c r="A2859" s="21">
        <v>45770</v>
      </c>
      <c r="B2859" s="1">
        <v>50436181</v>
      </c>
      <c r="C2859" t="s">
        <v>54</v>
      </c>
      <c r="D2859" s="22">
        <v>-383.28</v>
      </c>
      <c r="E2859" t="s">
        <v>35</v>
      </c>
      <c r="F2859" s="2">
        <v>610148001</v>
      </c>
      <c r="G2859" s="2" t="s">
        <v>42</v>
      </c>
      <c r="L2859" s="2" t="s">
        <v>5337</v>
      </c>
      <c r="M2859" t="s">
        <v>43</v>
      </c>
      <c r="N2859" t="s">
        <v>42</v>
      </c>
      <c r="P2859" s="23">
        <v>82.38</v>
      </c>
      <c r="Q2859" s="4">
        <f t="shared" si="44"/>
        <v>-4.6525855790240351</v>
      </c>
      <c r="R2859" s="23" t="s">
        <v>109</v>
      </c>
      <c r="T2859" s="23" t="s">
        <v>4558</v>
      </c>
    </row>
    <row r="2860" spans="1:23" x14ac:dyDescent="0.25">
      <c r="A2860" s="21">
        <v>45770</v>
      </c>
      <c r="B2860" s="1">
        <v>911770364</v>
      </c>
      <c r="C2860" t="s">
        <v>54</v>
      </c>
      <c r="D2860" s="22">
        <v>-8874</v>
      </c>
      <c r="E2860" t="s">
        <v>35</v>
      </c>
      <c r="F2860" s="2">
        <v>110114001</v>
      </c>
      <c r="G2860" s="2" t="s">
        <v>301</v>
      </c>
      <c r="L2860" s="2" t="s">
        <v>5338</v>
      </c>
      <c r="M2860" t="s">
        <v>303</v>
      </c>
      <c r="N2860" t="s">
        <v>304</v>
      </c>
      <c r="P2860" s="23">
        <v>82.38</v>
      </c>
      <c r="Q2860" s="4">
        <f t="shared" si="44"/>
        <v>-107.72032046613256</v>
      </c>
      <c r="R2860" s="23" t="s">
        <v>109</v>
      </c>
      <c r="S2860" s="33" t="s">
        <v>5309</v>
      </c>
    </row>
    <row r="2861" spans="1:23" x14ac:dyDescent="0.25">
      <c r="A2861" s="21">
        <v>45770</v>
      </c>
      <c r="B2861" s="1">
        <v>911770364</v>
      </c>
      <c r="C2861" t="s">
        <v>54</v>
      </c>
      <c r="D2861" s="22">
        <v>-26.62</v>
      </c>
      <c r="E2861" t="s">
        <v>35</v>
      </c>
      <c r="F2861" s="2">
        <v>610148001</v>
      </c>
      <c r="G2861" s="2" t="s">
        <v>42</v>
      </c>
      <c r="L2861" s="2" t="s">
        <v>5339</v>
      </c>
      <c r="M2861" t="s">
        <v>43</v>
      </c>
      <c r="N2861" t="s">
        <v>42</v>
      </c>
      <c r="P2861" s="23">
        <v>82.38</v>
      </c>
      <c r="Q2861" s="4">
        <f t="shared" si="44"/>
        <v>-0.32313668366108284</v>
      </c>
      <c r="R2861" s="23" t="s">
        <v>109</v>
      </c>
      <c r="T2861" s="23" t="s">
        <v>4558</v>
      </c>
    </row>
    <row r="2862" spans="1:23" x14ac:dyDescent="0.25">
      <c r="A2862" s="21">
        <v>45770</v>
      </c>
      <c r="B2862" s="1">
        <v>211772977</v>
      </c>
      <c r="C2862" t="s">
        <v>54</v>
      </c>
      <c r="D2862" s="22">
        <v>-5469.63</v>
      </c>
      <c r="E2862" t="s">
        <v>35</v>
      </c>
      <c r="F2862" s="2">
        <v>212901001</v>
      </c>
      <c r="G2862" s="2" t="s">
        <v>121</v>
      </c>
      <c r="L2862" s="2" t="s">
        <v>5340</v>
      </c>
      <c r="M2862" t="s">
        <v>67</v>
      </c>
      <c r="N2862" t="s">
        <v>68</v>
      </c>
      <c r="P2862" s="23">
        <v>82.38</v>
      </c>
      <c r="Q2862" s="4">
        <f t="shared" si="44"/>
        <v>-66.395120174799715</v>
      </c>
      <c r="R2862" s="23" t="s">
        <v>109</v>
      </c>
      <c r="U2862">
        <v>44</v>
      </c>
      <c r="V2862" t="e">
        <f>VLOOKUP(U2862,[1]!NOMINA[#Data],4,FALSE)</f>
        <v>#REF!</v>
      </c>
      <c r="W2862" t="e">
        <f>VLOOKUP(U2862,[1]!NOMINA[#Data],5,FALSE)</f>
        <v>#REF!</v>
      </c>
    </row>
    <row r="2863" spans="1:23" x14ac:dyDescent="0.25">
      <c r="A2863" s="21">
        <v>45770</v>
      </c>
      <c r="B2863" s="1">
        <v>211772977</v>
      </c>
      <c r="C2863" t="s">
        <v>54</v>
      </c>
      <c r="D2863" s="22">
        <v>-16.41</v>
      </c>
      <c r="E2863" t="s">
        <v>35</v>
      </c>
      <c r="F2863" s="2">
        <v>610148001</v>
      </c>
      <c r="G2863" s="2" t="s">
        <v>42</v>
      </c>
      <c r="L2863" s="2" t="s">
        <v>5341</v>
      </c>
      <c r="M2863" t="s">
        <v>43</v>
      </c>
      <c r="N2863" t="s">
        <v>42</v>
      </c>
      <c r="P2863" s="23">
        <v>82.38</v>
      </c>
      <c r="Q2863" s="4">
        <f t="shared" si="44"/>
        <v>-0.19919883466860891</v>
      </c>
      <c r="R2863" s="23" t="s">
        <v>109</v>
      </c>
      <c r="T2863" s="23" t="s">
        <v>4558</v>
      </c>
    </row>
    <row r="2864" spans="1:23" x14ac:dyDescent="0.25">
      <c r="A2864" s="21">
        <v>45770</v>
      </c>
      <c r="B2864" s="1">
        <v>711773203</v>
      </c>
      <c r="C2864" t="s">
        <v>54</v>
      </c>
      <c r="D2864" s="22">
        <v>-5469.63</v>
      </c>
      <c r="E2864" t="s">
        <v>35</v>
      </c>
      <c r="F2864" s="2">
        <v>212901001</v>
      </c>
      <c r="G2864" s="2" t="s">
        <v>121</v>
      </c>
      <c r="L2864" s="2" t="s">
        <v>5342</v>
      </c>
      <c r="M2864" t="s">
        <v>67</v>
      </c>
      <c r="N2864" t="s">
        <v>68</v>
      </c>
      <c r="P2864" s="23">
        <v>82.38</v>
      </c>
      <c r="Q2864" s="4">
        <f t="shared" si="44"/>
        <v>-66.395120174799715</v>
      </c>
      <c r="R2864" s="23" t="s">
        <v>109</v>
      </c>
    </row>
    <row r="2865" spans="1:23" x14ac:dyDescent="0.25">
      <c r="A2865" s="21">
        <v>45770</v>
      </c>
      <c r="B2865" s="1">
        <v>711773203</v>
      </c>
      <c r="C2865" t="s">
        <v>54</v>
      </c>
      <c r="D2865" s="22">
        <v>-16.41</v>
      </c>
      <c r="E2865" t="s">
        <v>35</v>
      </c>
      <c r="F2865" s="2">
        <v>610148001</v>
      </c>
      <c r="G2865" s="2" t="s">
        <v>42</v>
      </c>
      <c r="L2865" s="2" t="s">
        <v>5343</v>
      </c>
      <c r="M2865" t="s">
        <v>43</v>
      </c>
      <c r="N2865" t="s">
        <v>42</v>
      </c>
      <c r="P2865" s="23">
        <v>82.38</v>
      </c>
      <c r="Q2865" s="4">
        <f t="shared" si="44"/>
        <v>-0.19919883466860891</v>
      </c>
      <c r="R2865" s="23" t="s">
        <v>109</v>
      </c>
      <c r="T2865" s="23" t="s">
        <v>4558</v>
      </c>
    </row>
    <row r="2866" spans="1:23" x14ac:dyDescent="0.25">
      <c r="A2866" s="21">
        <v>45770</v>
      </c>
      <c r="B2866" s="1">
        <v>311773492</v>
      </c>
      <c r="C2866" t="s">
        <v>54</v>
      </c>
      <c r="D2866" s="22">
        <v>-5469.63</v>
      </c>
      <c r="E2866" t="s">
        <v>35</v>
      </c>
      <c r="F2866" s="2">
        <v>212901001</v>
      </c>
      <c r="G2866" s="2" t="s">
        <v>121</v>
      </c>
      <c r="L2866" s="2" t="s">
        <v>5344</v>
      </c>
      <c r="M2866" t="s">
        <v>67</v>
      </c>
      <c r="N2866" t="s">
        <v>68</v>
      </c>
      <c r="P2866" s="23">
        <v>82.38</v>
      </c>
      <c r="Q2866" s="4">
        <f t="shared" si="44"/>
        <v>-66.395120174799715</v>
      </c>
      <c r="R2866" s="23" t="s">
        <v>109</v>
      </c>
      <c r="U2866">
        <v>41</v>
      </c>
      <c r="V2866" t="e">
        <f>VLOOKUP(U2866,[1]!NOMINA[#Data],4,FALSE)</f>
        <v>#REF!</v>
      </c>
      <c r="W2866" t="e">
        <f>VLOOKUP(U2866,[1]!NOMINA[#Data],5,FALSE)</f>
        <v>#REF!</v>
      </c>
    </row>
    <row r="2867" spans="1:23" x14ac:dyDescent="0.25">
      <c r="A2867" s="21">
        <v>45770</v>
      </c>
      <c r="B2867" s="1">
        <v>311773492</v>
      </c>
      <c r="C2867" t="s">
        <v>54</v>
      </c>
      <c r="D2867" s="22">
        <v>-16.41</v>
      </c>
      <c r="E2867" t="s">
        <v>35</v>
      </c>
      <c r="F2867" s="2">
        <v>610148001</v>
      </c>
      <c r="G2867" s="2" t="s">
        <v>42</v>
      </c>
      <c r="L2867" s="2" t="s">
        <v>5345</v>
      </c>
      <c r="M2867" t="s">
        <v>43</v>
      </c>
      <c r="N2867" t="s">
        <v>42</v>
      </c>
      <c r="P2867" s="23">
        <v>82.38</v>
      </c>
      <c r="Q2867" s="4">
        <f t="shared" si="44"/>
        <v>-0.19919883466860891</v>
      </c>
      <c r="R2867" s="23" t="s">
        <v>109</v>
      </c>
      <c r="T2867" s="23" t="s">
        <v>4558</v>
      </c>
    </row>
    <row r="2868" spans="1:23" x14ac:dyDescent="0.25">
      <c r="A2868" s="21">
        <v>45770</v>
      </c>
      <c r="B2868" s="1">
        <v>111775017</v>
      </c>
      <c r="C2868" t="s">
        <v>54</v>
      </c>
      <c r="D2868" s="22">
        <v>-6320.74</v>
      </c>
      <c r="E2868" t="s">
        <v>35</v>
      </c>
      <c r="F2868" s="2">
        <v>110114001</v>
      </c>
      <c r="G2868" s="2" t="s">
        <v>301</v>
      </c>
      <c r="L2868" s="2" t="s">
        <v>5346</v>
      </c>
      <c r="M2868" t="s">
        <v>38</v>
      </c>
      <c r="N2868" t="s">
        <v>39</v>
      </c>
      <c r="P2868" s="23">
        <v>82.38</v>
      </c>
      <c r="Q2868" s="4">
        <f t="shared" si="44"/>
        <v>-76.726632677834431</v>
      </c>
      <c r="R2868" s="23" t="s">
        <v>109</v>
      </c>
      <c r="S2868" s="33" t="s">
        <v>2726</v>
      </c>
    </row>
    <row r="2869" spans="1:23" x14ac:dyDescent="0.25">
      <c r="A2869" s="21">
        <v>45770</v>
      </c>
      <c r="B2869" s="1">
        <v>111775017</v>
      </c>
      <c r="C2869" t="s">
        <v>54</v>
      </c>
      <c r="D2869" s="22">
        <v>-18.96</v>
      </c>
      <c r="E2869" t="s">
        <v>35</v>
      </c>
      <c r="F2869" s="2">
        <v>610148001</v>
      </c>
      <c r="G2869" s="2" t="s">
        <v>42</v>
      </c>
      <c r="L2869" s="2" t="s">
        <v>5347</v>
      </c>
      <c r="M2869" t="s">
        <v>43</v>
      </c>
      <c r="N2869" t="s">
        <v>42</v>
      </c>
      <c r="P2869" s="23">
        <v>82.38</v>
      </c>
      <c r="Q2869" s="4">
        <f t="shared" si="44"/>
        <v>-0.23015294974508377</v>
      </c>
      <c r="R2869" s="23" t="s">
        <v>109</v>
      </c>
      <c r="T2869" s="23" t="s">
        <v>4558</v>
      </c>
    </row>
    <row r="2870" spans="1:23" x14ac:dyDescent="0.25">
      <c r="A2870" s="21">
        <v>45775</v>
      </c>
      <c r="B2870" s="1">
        <v>60720105</v>
      </c>
      <c r="C2870" t="s">
        <v>54</v>
      </c>
      <c r="D2870" s="22">
        <v>-104.16</v>
      </c>
      <c r="E2870" t="s">
        <v>35</v>
      </c>
      <c r="F2870" s="2">
        <v>610148001</v>
      </c>
      <c r="G2870" s="2" t="s">
        <v>42</v>
      </c>
      <c r="L2870" s="2" t="s">
        <v>5348</v>
      </c>
      <c r="M2870" t="s">
        <v>43</v>
      </c>
      <c r="N2870" t="s">
        <v>42</v>
      </c>
      <c r="P2870" s="23">
        <v>86.11</v>
      </c>
      <c r="Q2870" s="4">
        <f t="shared" si="44"/>
        <v>-1.2096156079433282</v>
      </c>
      <c r="R2870" s="23" t="s">
        <v>109</v>
      </c>
      <c r="T2870" s="23" t="s">
        <v>4558</v>
      </c>
    </row>
    <row r="2871" spans="1:23" x14ac:dyDescent="0.25">
      <c r="A2871" s="21">
        <v>45775</v>
      </c>
      <c r="B2871" s="1">
        <v>903010864</v>
      </c>
      <c r="C2871" t="s">
        <v>54</v>
      </c>
      <c r="D2871" s="22">
        <v>55938</v>
      </c>
      <c r="E2871" t="s">
        <v>46</v>
      </c>
      <c r="F2871" s="2">
        <v>110106001</v>
      </c>
      <c r="G2871" s="2" t="s">
        <v>2034</v>
      </c>
      <c r="L2871" s="2" t="s">
        <v>5349</v>
      </c>
      <c r="N2871" t="s">
        <v>3330</v>
      </c>
      <c r="P2871" s="23">
        <v>86.11</v>
      </c>
      <c r="Q2871" s="4">
        <f t="shared" si="44"/>
        <v>649.61096272209966</v>
      </c>
      <c r="R2871" s="23" t="s">
        <v>109</v>
      </c>
    </row>
    <row r="2872" spans="1:23" x14ac:dyDescent="0.25">
      <c r="A2872" s="21">
        <v>45775</v>
      </c>
      <c r="B2872" s="1">
        <v>903010864</v>
      </c>
      <c r="C2872" t="s">
        <v>54</v>
      </c>
      <c r="D2872" s="22">
        <v>-839.07</v>
      </c>
      <c r="E2872" t="s">
        <v>35</v>
      </c>
      <c r="F2872" s="2">
        <v>610148001</v>
      </c>
      <c r="G2872" s="2" t="s">
        <v>42</v>
      </c>
      <c r="L2872" s="2" t="s">
        <v>5350</v>
      </c>
      <c r="M2872" t="s">
        <v>43</v>
      </c>
      <c r="N2872" t="s">
        <v>42</v>
      </c>
      <c r="P2872" s="23">
        <v>86.11</v>
      </c>
      <c r="Q2872" s="4">
        <f t="shared" si="44"/>
        <v>-9.7441644408314954</v>
      </c>
      <c r="R2872" s="23" t="s">
        <v>109</v>
      </c>
      <c r="T2872" s="23" t="s">
        <v>4558</v>
      </c>
    </row>
    <row r="2873" spans="1:23" x14ac:dyDescent="0.25">
      <c r="A2873" s="21">
        <v>45775</v>
      </c>
      <c r="B2873" s="1">
        <v>225585956</v>
      </c>
      <c r="C2873" t="s">
        <v>54</v>
      </c>
      <c r="D2873" s="22">
        <v>12785.61</v>
      </c>
      <c r="E2873" t="s">
        <v>46</v>
      </c>
      <c r="F2873" s="2">
        <v>110106001</v>
      </c>
      <c r="G2873" s="2" t="s">
        <v>2034</v>
      </c>
      <c r="L2873" s="2" t="s">
        <v>5351</v>
      </c>
      <c r="N2873" t="s">
        <v>3330</v>
      </c>
      <c r="P2873" s="23">
        <v>86.11</v>
      </c>
      <c r="Q2873" s="4">
        <f t="shared" si="44"/>
        <v>148.47996748345142</v>
      </c>
      <c r="R2873" s="23" t="s">
        <v>109</v>
      </c>
    </row>
    <row r="2874" spans="1:23" x14ac:dyDescent="0.25">
      <c r="A2874" s="21">
        <v>45775</v>
      </c>
      <c r="B2874" s="1">
        <v>225585956</v>
      </c>
      <c r="C2874" t="s">
        <v>54</v>
      </c>
      <c r="D2874" s="22">
        <v>-191.78</v>
      </c>
      <c r="E2874" t="s">
        <v>35</v>
      </c>
      <c r="F2874" s="2">
        <v>610148001</v>
      </c>
      <c r="G2874" s="2" t="s">
        <v>42</v>
      </c>
      <c r="L2874" s="2" t="s">
        <v>5352</v>
      </c>
      <c r="M2874" t="s">
        <v>43</v>
      </c>
      <c r="N2874" t="s">
        <v>42</v>
      </c>
      <c r="P2874" s="23">
        <v>86.11</v>
      </c>
      <c r="Q2874" s="4">
        <f t="shared" si="44"/>
        <v>-2.2271513180815234</v>
      </c>
      <c r="R2874" s="23" t="s">
        <v>109</v>
      </c>
      <c r="T2874" s="23" t="s">
        <v>4558</v>
      </c>
    </row>
    <row r="2875" spans="1:23" x14ac:dyDescent="0.25">
      <c r="A2875" s="21">
        <v>45775</v>
      </c>
      <c r="B2875" s="1">
        <v>312021643</v>
      </c>
      <c r="C2875" t="s">
        <v>54</v>
      </c>
      <c r="D2875" s="22">
        <v>-2837.89</v>
      </c>
      <c r="E2875" t="s">
        <v>35</v>
      </c>
      <c r="F2875" s="2">
        <v>110114001</v>
      </c>
      <c r="G2875" s="2" t="s">
        <v>301</v>
      </c>
      <c r="L2875" s="2" t="s">
        <v>5353</v>
      </c>
      <c r="M2875" t="s">
        <v>714</v>
      </c>
      <c r="N2875" t="s">
        <v>715</v>
      </c>
      <c r="P2875" s="23">
        <v>86.11</v>
      </c>
      <c r="Q2875" s="4">
        <f t="shared" si="44"/>
        <v>-32.956567181512021</v>
      </c>
      <c r="R2875" s="23" t="s">
        <v>109</v>
      </c>
      <c r="S2875" s="33" t="s">
        <v>3147</v>
      </c>
    </row>
    <row r="2876" spans="1:23" x14ac:dyDescent="0.25">
      <c r="A2876" s="21">
        <v>45775</v>
      </c>
      <c r="B2876" s="1">
        <v>312021643</v>
      </c>
      <c r="C2876" t="s">
        <v>54</v>
      </c>
      <c r="D2876" s="22">
        <v>-8.51</v>
      </c>
      <c r="E2876" t="s">
        <v>35</v>
      </c>
      <c r="F2876" s="2">
        <v>610148001</v>
      </c>
      <c r="G2876" s="2" t="s">
        <v>42</v>
      </c>
      <c r="L2876" s="2" t="s">
        <v>5354</v>
      </c>
      <c r="M2876" t="s">
        <v>43</v>
      </c>
      <c r="N2876" t="s">
        <v>42</v>
      </c>
      <c r="P2876" s="23">
        <v>86.11</v>
      </c>
      <c r="Q2876" s="4">
        <f t="shared" si="44"/>
        <v>-9.8827081639763087E-2</v>
      </c>
      <c r="R2876" s="23" t="s">
        <v>109</v>
      </c>
      <c r="T2876" s="23" t="s">
        <v>4558</v>
      </c>
    </row>
    <row r="2877" spans="1:23" x14ac:dyDescent="0.25">
      <c r="A2877" s="21">
        <v>45776</v>
      </c>
      <c r="B2877" s="1">
        <v>50027165</v>
      </c>
      <c r="C2877" t="s">
        <v>54</v>
      </c>
      <c r="D2877" s="22">
        <v>19300.919999999998</v>
      </c>
      <c r="E2877" t="s">
        <v>46</v>
      </c>
      <c r="F2877" s="2">
        <v>110106001</v>
      </c>
      <c r="G2877" s="2" t="s">
        <v>2034</v>
      </c>
      <c r="L2877" s="2" t="s">
        <v>5355</v>
      </c>
      <c r="N2877" t="s">
        <v>3330</v>
      </c>
      <c r="P2877" s="23">
        <v>86.66</v>
      </c>
      <c r="Q2877" s="4">
        <f t="shared" si="44"/>
        <v>222.72005538887606</v>
      </c>
      <c r="R2877" s="23" t="s">
        <v>109</v>
      </c>
    </row>
    <row r="2878" spans="1:23" x14ac:dyDescent="0.25">
      <c r="A2878" s="21">
        <v>45776</v>
      </c>
      <c r="B2878" s="1">
        <v>50027165</v>
      </c>
      <c r="C2878" t="s">
        <v>54</v>
      </c>
      <c r="D2878" s="22">
        <v>-289.51</v>
      </c>
      <c r="E2878" t="s">
        <v>35</v>
      </c>
      <c r="F2878" s="2">
        <v>610148001</v>
      </c>
      <c r="G2878" s="2" t="s">
        <v>42</v>
      </c>
      <c r="L2878" s="2" t="s">
        <v>5356</v>
      </c>
      <c r="M2878" t="s">
        <v>43</v>
      </c>
      <c r="N2878" t="s">
        <v>42</v>
      </c>
      <c r="P2878" s="23">
        <v>86.66</v>
      </c>
      <c r="Q2878" s="4">
        <f t="shared" si="44"/>
        <v>-3.3407569813062543</v>
      </c>
      <c r="R2878" s="23" t="s">
        <v>109</v>
      </c>
      <c r="T2878" s="23" t="s">
        <v>4558</v>
      </c>
    </row>
    <row r="2879" spans="1:23" x14ac:dyDescent="0.25">
      <c r="A2879" s="21">
        <v>45776</v>
      </c>
      <c r="B2879" s="1">
        <v>444001055</v>
      </c>
      <c r="C2879" t="s">
        <v>54</v>
      </c>
      <c r="D2879" s="22">
        <v>48252</v>
      </c>
      <c r="E2879" t="s">
        <v>46</v>
      </c>
      <c r="F2879" s="2">
        <v>110106001</v>
      </c>
      <c r="G2879" s="2" t="s">
        <v>2034</v>
      </c>
      <c r="L2879" s="2" t="s">
        <v>5357</v>
      </c>
      <c r="N2879" t="s">
        <v>3330</v>
      </c>
      <c r="P2879" s="23">
        <v>86.66</v>
      </c>
      <c r="Q2879" s="4">
        <f t="shared" si="44"/>
        <v>556.79667666743603</v>
      </c>
      <c r="R2879" s="23" t="s">
        <v>109</v>
      </c>
    </row>
    <row r="2880" spans="1:23" x14ac:dyDescent="0.25">
      <c r="A2880" s="21">
        <v>45776</v>
      </c>
      <c r="B2880" s="1">
        <v>444001055</v>
      </c>
      <c r="C2880" t="s">
        <v>54</v>
      </c>
      <c r="D2880" s="22">
        <v>-723.78</v>
      </c>
      <c r="E2880" t="s">
        <v>35</v>
      </c>
      <c r="F2880" s="2">
        <v>610148001</v>
      </c>
      <c r="G2880" s="2" t="s">
        <v>42</v>
      </c>
      <c r="L2880" s="2" t="s">
        <v>5358</v>
      </c>
      <c r="M2880" t="s">
        <v>43</v>
      </c>
      <c r="N2880" t="s">
        <v>42</v>
      </c>
      <c r="P2880" s="23">
        <v>86.66</v>
      </c>
      <c r="Q2880" s="4">
        <f t="shared" si="44"/>
        <v>-8.3519501500115396</v>
      </c>
      <c r="R2880" s="23" t="s">
        <v>109</v>
      </c>
      <c r="T2880" s="23" t="s">
        <v>4558</v>
      </c>
    </row>
    <row r="2881" spans="1:20" x14ac:dyDescent="0.25">
      <c r="A2881" s="21">
        <v>45776</v>
      </c>
      <c r="B2881" s="1">
        <v>911002158</v>
      </c>
      <c r="C2881" t="s">
        <v>54</v>
      </c>
      <c r="D2881" s="22">
        <v>9650.4599999999991</v>
      </c>
      <c r="E2881" t="s">
        <v>46</v>
      </c>
      <c r="F2881" s="2">
        <v>110106001</v>
      </c>
      <c r="G2881" s="2" t="s">
        <v>2034</v>
      </c>
      <c r="L2881" s="2" t="s">
        <v>5359</v>
      </c>
      <c r="N2881" t="s">
        <v>3330</v>
      </c>
      <c r="P2881" s="23">
        <v>86.66</v>
      </c>
      <c r="Q2881" s="4">
        <f t="shared" si="44"/>
        <v>111.36002769443803</v>
      </c>
      <c r="R2881" s="23" t="s">
        <v>109</v>
      </c>
    </row>
    <row r="2882" spans="1:20" x14ac:dyDescent="0.25">
      <c r="A2882" s="21">
        <v>45776</v>
      </c>
      <c r="B2882" s="1">
        <v>911002158</v>
      </c>
      <c r="C2882" t="s">
        <v>54</v>
      </c>
      <c r="D2882" s="22">
        <v>-144.75</v>
      </c>
      <c r="E2882" t="s">
        <v>35</v>
      </c>
      <c r="F2882" s="2">
        <v>610148001</v>
      </c>
      <c r="G2882" s="2" t="s">
        <v>42</v>
      </c>
      <c r="L2882" s="2" t="s">
        <v>5360</v>
      </c>
      <c r="M2882" t="s">
        <v>43</v>
      </c>
      <c r="N2882" t="s">
        <v>42</v>
      </c>
      <c r="P2882" s="23">
        <v>86.66</v>
      </c>
      <c r="Q2882" s="4">
        <f t="shared" si="44"/>
        <v>-1.6703207939072238</v>
      </c>
      <c r="R2882" s="23" t="s">
        <v>109</v>
      </c>
      <c r="T2882" s="23" t="s">
        <v>4558</v>
      </c>
    </row>
    <row r="2883" spans="1:20" x14ac:dyDescent="0.25">
      <c r="A2883" s="21">
        <v>45776</v>
      </c>
      <c r="B2883" s="1">
        <v>912046273</v>
      </c>
      <c r="C2883" t="s">
        <v>54</v>
      </c>
      <c r="D2883" s="22">
        <v>-47946.04</v>
      </c>
      <c r="E2883" t="s">
        <v>35</v>
      </c>
      <c r="F2883" s="2">
        <v>110114001</v>
      </c>
      <c r="G2883" s="2" t="s">
        <v>301</v>
      </c>
      <c r="L2883" s="2" t="s">
        <v>5361</v>
      </c>
      <c r="M2883" t="s">
        <v>1380</v>
      </c>
      <c r="N2883" t="s">
        <v>1381</v>
      </c>
      <c r="P2883" s="23">
        <v>86.66</v>
      </c>
      <c r="Q2883" s="4">
        <f t="shared" si="44"/>
        <v>-553.2660973921071</v>
      </c>
      <c r="R2883" s="23" t="s">
        <v>109</v>
      </c>
      <c r="S2883" s="33" t="s">
        <v>3147</v>
      </c>
    </row>
    <row r="2884" spans="1:20" x14ac:dyDescent="0.25">
      <c r="A2884" s="21">
        <v>45776</v>
      </c>
      <c r="B2884" s="1">
        <v>912046273</v>
      </c>
      <c r="C2884" t="s">
        <v>54</v>
      </c>
      <c r="D2884" s="22">
        <v>-143.84</v>
      </c>
      <c r="E2884" t="s">
        <v>35</v>
      </c>
      <c r="F2884" s="2">
        <v>610148001</v>
      </c>
      <c r="G2884" s="2" t="s">
        <v>42</v>
      </c>
      <c r="L2884" s="2" t="s">
        <v>5362</v>
      </c>
      <c r="M2884" t="s">
        <v>43</v>
      </c>
      <c r="N2884" t="s">
        <v>42</v>
      </c>
      <c r="P2884" s="23">
        <v>86.66</v>
      </c>
      <c r="Q2884" s="4">
        <f t="shared" si="44"/>
        <v>-1.6598199861527811</v>
      </c>
      <c r="R2884" s="23" t="s">
        <v>109</v>
      </c>
      <c r="T2884" s="23" t="s">
        <v>4558</v>
      </c>
    </row>
    <row r="2885" spans="1:20" x14ac:dyDescent="0.25">
      <c r="A2885" s="21">
        <v>45776</v>
      </c>
      <c r="B2885" s="1">
        <v>912046828</v>
      </c>
      <c r="C2885" t="s">
        <v>54</v>
      </c>
      <c r="D2885" s="22">
        <v>-48252.29</v>
      </c>
      <c r="E2885" t="s">
        <v>35</v>
      </c>
      <c r="F2885" s="2">
        <v>110114001</v>
      </c>
      <c r="G2885" s="2" t="s">
        <v>301</v>
      </c>
      <c r="L2885" s="2" t="s">
        <v>5363</v>
      </c>
      <c r="M2885" t="s">
        <v>1325</v>
      </c>
      <c r="N2885" t="s">
        <v>1326</v>
      </c>
      <c r="P2885" s="23">
        <v>86.66</v>
      </c>
      <c r="Q2885" s="4">
        <f t="shared" si="44"/>
        <v>-556.80002307869836</v>
      </c>
      <c r="R2885" s="23" t="s">
        <v>109</v>
      </c>
      <c r="S2885" s="33" t="s">
        <v>3147</v>
      </c>
    </row>
    <row r="2886" spans="1:20" x14ac:dyDescent="0.25">
      <c r="A2886" s="21">
        <v>45776</v>
      </c>
      <c r="B2886" s="1">
        <v>912046828</v>
      </c>
      <c r="C2886" t="s">
        <v>54</v>
      </c>
      <c r="D2886" s="22">
        <v>-144.76</v>
      </c>
      <c r="E2886" t="s">
        <v>35</v>
      </c>
      <c r="F2886" s="2">
        <v>610148001</v>
      </c>
      <c r="G2886" s="2" t="s">
        <v>42</v>
      </c>
      <c r="L2886" s="2" t="s">
        <v>5364</v>
      </c>
      <c r="M2886" t="s">
        <v>43</v>
      </c>
      <c r="N2886" t="s">
        <v>42</v>
      </c>
      <c r="P2886" s="23">
        <v>86.66</v>
      </c>
      <c r="Q2886" s="4">
        <f t="shared" si="44"/>
        <v>-1.6704361873990305</v>
      </c>
      <c r="R2886" s="23" t="s">
        <v>109</v>
      </c>
      <c r="T2886" s="23" t="s">
        <v>4558</v>
      </c>
    </row>
    <row r="2887" spans="1:20" x14ac:dyDescent="0.25">
      <c r="A2887" s="21">
        <v>45776</v>
      </c>
      <c r="B2887" s="1">
        <v>226142945</v>
      </c>
      <c r="C2887" t="s">
        <v>54</v>
      </c>
      <c r="D2887" s="22">
        <v>12867.28</v>
      </c>
      <c r="E2887" t="s">
        <v>46</v>
      </c>
      <c r="F2887" s="2">
        <v>110106001</v>
      </c>
      <c r="G2887" s="2" t="s">
        <v>2034</v>
      </c>
      <c r="L2887" s="2" t="s">
        <v>5365</v>
      </c>
      <c r="N2887" t="s">
        <v>3330</v>
      </c>
      <c r="P2887" s="23">
        <v>86.66</v>
      </c>
      <c r="Q2887" s="4">
        <f t="shared" si="44"/>
        <v>148.4800369259174</v>
      </c>
      <c r="R2887" s="23" t="s">
        <v>109</v>
      </c>
    </row>
    <row r="2888" spans="1:20" x14ac:dyDescent="0.25">
      <c r="A2888" s="21">
        <v>45776</v>
      </c>
      <c r="B2888" s="1">
        <v>226142945</v>
      </c>
      <c r="C2888" t="s">
        <v>54</v>
      </c>
      <c r="D2888" s="22">
        <v>-193</v>
      </c>
      <c r="E2888" t="s">
        <v>35</v>
      </c>
      <c r="F2888" s="2">
        <v>610148001</v>
      </c>
      <c r="G2888" s="2" t="s">
        <v>42</v>
      </c>
      <c r="L2888" s="2" t="s">
        <v>5366</v>
      </c>
      <c r="M2888" t="s">
        <v>43</v>
      </c>
      <c r="N2888" t="s">
        <v>42</v>
      </c>
      <c r="P2888" s="23">
        <v>86.66</v>
      </c>
      <c r="Q2888" s="4">
        <f t="shared" si="44"/>
        <v>-2.2270943918762982</v>
      </c>
      <c r="R2888" s="23" t="s">
        <v>109</v>
      </c>
      <c r="T2888" s="23" t="s">
        <v>4558</v>
      </c>
    </row>
    <row r="2889" spans="1:20" x14ac:dyDescent="0.25">
      <c r="A2889" s="21">
        <v>45776</v>
      </c>
      <c r="B2889" s="1">
        <v>12046890</v>
      </c>
      <c r="C2889" t="s">
        <v>54</v>
      </c>
      <c r="D2889" s="22">
        <v>-676</v>
      </c>
      <c r="E2889" t="s">
        <v>35</v>
      </c>
      <c r="F2889" s="2">
        <v>110114001</v>
      </c>
      <c r="G2889" s="2" t="s">
        <v>301</v>
      </c>
      <c r="L2889" s="2" t="s">
        <v>5367</v>
      </c>
      <c r="M2889" t="s">
        <v>114</v>
      </c>
      <c r="N2889" t="s">
        <v>115</v>
      </c>
      <c r="P2889" s="23">
        <v>86.66</v>
      </c>
      <c r="Q2889" s="4">
        <f t="shared" si="44"/>
        <v>-7.8006000461573972</v>
      </c>
      <c r="R2889" s="23" t="s">
        <v>109</v>
      </c>
      <c r="S2889" s="33" t="s">
        <v>3147</v>
      </c>
    </row>
    <row r="2890" spans="1:20" x14ac:dyDescent="0.25">
      <c r="A2890" s="21">
        <v>45776</v>
      </c>
      <c r="B2890" s="1">
        <v>12046890</v>
      </c>
      <c r="C2890" t="s">
        <v>54</v>
      </c>
      <c r="D2890" s="22">
        <v>-2.0299999999999998</v>
      </c>
      <c r="E2890" t="s">
        <v>35</v>
      </c>
      <c r="F2890" s="2">
        <v>610148001</v>
      </c>
      <c r="G2890" s="2" t="s">
        <v>42</v>
      </c>
      <c r="L2890" s="2" t="s">
        <v>5368</v>
      </c>
      <c r="M2890" t="s">
        <v>43</v>
      </c>
      <c r="N2890" t="s">
        <v>42</v>
      </c>
      <c r="P2890" s="23">
        <v>86.66</v>
      </c>
      <c r="Q2890" s="4">
        <f t="shared" si="44"/>
        <v>-2.3424878836833602E-2</v>
      </c>
      <c r="R2890" s="23" t="s">
        <v>109</v>
      </c>
      <c r="T2890" s="23" t="s">
        <v>4558</v>
      </c>
    </row>
    <row r="2891" spans="1:20" x14ac:dyDescent="0.25">
      <c r="A2891" s="21">
        <v>45776</v>
      </c>
      <c r="B2891" s="1">
        <v>226231969</v>
      </c>
      <c r="C2891" t="s">
        <v>54</v>
      </c>
      <c r="D2891" s="22">
        <v>12867.28</v>
      </c>
      <c r="E2891" t="s">
        <v>46</v>
      </c>
      <c r="F2891" s="2">
        <v>110106001</v>
      </c>
      <c r="G2891" s="2" t="s">
        <v>2034</v>
      </c>
      <c r="L2891" s="2" t="s">
        <v>5369</v>
      </c>
      <c r="N2891" t="s">
        <v>3330</v>
      </c>
      <c r="P2891" s="23">
        <v>86.66</v>
      </c>
      <c r="Q2891" s="4">
        <f t="shared" ref="Q2891:Q2954" si="45">D2891/P2891</f>
        <v>148.4800369259174</v>
      </c>
      <c r="R2891" s="23" t="s">
        <v>109</v>
      </c>
    </row>
    <row r="2892" spans="1:20" x14ac:dyDescent="0.25">
      <c r="A2892" s="21">
        <v>45776</v>
      </c>
      <c r="B2892" s="1">
        <v>226231969</v>
      </c>
      <c r="C2892" t="s">
        <v>54</v>
      </c>
      <c r="D2892" s="22">
        <v>-193</v>
      </c>
      <c r="E2892" t="s">
        <v>35</v>
      </c>
      <c r="F2892" s="2">
        <v>610148001</v>
      </c>
      <c r="G2892" s="2" t="s">
        <v>42</v>
      </c>
      <c r="L2892" s="2" t="s">
        <v>5370</v>
      </c>
      <c r="M2892" t="s">
        <v>43</v>
      </c>
      <c r="N2892" t="s">
        <v>42</v>
      </c>
      <c r="P2892" s="23">
        <v>86.66</v>
      </c>
      <c r="Q2892" s="4">
        <f t="shared" si="45"/>
        <v>-2.2270943918762982</v>
      </c>
      <c r="R2892" s="23" t="s">
        <v>109</v>
      </c>
      <c r="T2892" s="23" t="s">
        <v>4558</v>
      </c>
    </row>
    <row r="2893" spans="1:20" x14ac:dyDescent="0.25">
      <c r="A2893" s="21">
        <v>45776</v>
      </c>
      <c r="B2893" s="1">
        <v>719002173</v>
      </c>
      <c r="C2893" t="s">
        <v>54</v>
      </c>
      <c r="D2893" s="22">
        <v>9650.4599999999991</v>
      </c>
      <c r="E2893" t="s">
        <v>46</v>
      </c>
      <c r="F2893" s="2">
        <v>110106001</v>
      </c>
      <c r="G2893" s="2" t="s">
        <v>2034</v>
      </c>
      <c r="L2893" s="2" t="s">
        <v>5371</v>
      </c>
      <c r="N2893" t="s">
        <v>3330</v>
      </c>
      <c r="P2893" s="23">
        <v>86.66</v>
      </c>
      <c r="Q2893" s="4">
        <f t="shared" si="45"/>
        <v>111.36002769443803</v>
      </c>
      <c r="R2893" s="23" t="s">
        <v>109</v>
      </c>
    </row>
    <row r="2894" spans="1:20" x14ac:dyDescent="0.25">
      <c r="A2894" s="21">
        <v>45776</v>
      </c>
      <c r="B2894" s="1">
        <v>719002173</v>
      </c>
      <c r="C2894" t="s">
        <v>54</v>
      </c>
      <c r="D2894" s="22">
        <v>-144.75</v>
      </c>
      <c r="E2894" t="s">
        <v>35</v>
      </c>
      <c r="F2894" s="2">
        <v>610148001</v>
      </c>
      <c r="G2894" s="2" t="s">
        <v>42</v>
      </c>
      <c r="L2894" s="2" t="s">
        <v>5372</v>
      </c>
      <c r="M2894" t="s">
        <v>43</v>
      </c>
      <c r="N2894" t="s">
        <v>42</v>
      </c>
      <c r="P2894" s="23">
        <v>86.66</v>
      </c>
      <c r="Q2894" s="4">
        <f t="shared" si="45"/>
        <v>-1.6703207939072238</v>
      </c>
      <c r="R2894" s="23" t="s">
        <v>109</v>
      </c>
      <c r="T2894" s="23" t="s">
        <v>4558</v>
      </c>
    </row>
    <row r="2895" spans="1:20" x14ac:dyDescent="0.25">
      <c r="A2895" s="21">
        <v>45776</v>
      </c>
      <c r="B2895" s="1">
        <v>45027170</v>
      </c>
      <c r="C2895" t="s">
        <v>54</v>
      </c>
      <c r="D2895" s="22">
        <v>19300.919999999998</v>
      </c>
      <c r="E2895" t="s">
        <v>46</v>
      </c>
      <c r="F2895" s="2">
        <v>110106001</v>
      </c>
      <c r="G2895" s="2" t="s">
        <v>2034</v>
      </c>
      <c r="L2895" s="2" t="s">
        <v>5373</v>
      </c>
      <c r="N2895" t="s">
        <v>3330</v>
      </c>
      <c r="P2895" s="23">
        <v>86.66</v>
      </c>
      <c r="Q2895" s="4">
        <f t="shared" si="45"/>
        <v>222.72005538887606</v>
      </c>
      <c r="R2895" s="23" t="s">
        <v>109</v>
      </c>
    </row>
    <row r="2896" spans="1:20" x14ac:dyDescent="0.25">
      <c r="A2896" s="21">
        <v>45776</v>
      </c>
      <c r="B2896" s="1">
        <v>45027170</v>
      </c>
      <c r="C2896" t="s">
        <v>54</v>
      </c>
      <c r="D2896" s="22">
        <v>-289.51</v>
      </c>
      <c r="E2896" t="s">
        <v>35</v>
      </c>
      <c r="F2896" s="2">
        <v>610148001</v>
      </c>
      <c r="G2896" s="2" t="s">
        <v>42</v>
      </c>
      <c r="L2896" s="2" t="s">
        <v>5374</v>
      </c>
      <c r="M2896" t="s">
        <v>43</v>
      </c>
      <c r="N2896" t="s">
        <v>42</v>
      </c>
      <c r="P2896" s="23">
        <v>86.66</v>
      </c>
      <c r="Q2896" s="4">
        <f t="shared" si="45"/>
        <v>-3.3407569813062543</v>
      </c>
      <c r="R2896" s="23" t="s">
        <v>109</v>
      </c>
      <c r="T2896" s="23" t="s">
        <v>4558</v>
      </c>
    </row>
    <row r="2897" spans="1:23" x14ac:dyDescent="0.25">
      <c r="A2897" s="21">
        <v>45776</v>
      </c>
      <c r="B2897" s="1">
        <v>352002189</v>
      </c>
      <c r="C2897" t="s">
        <v>54</v>
      </c>
      <c r="D2897" s="22">
        <v>9650.4599999999991</v>
      </c>
      <c r="E2897" t="s">
        <v>46</v>
      </c>
      <c r="F2897" s="2">
        <v>110106001</v>
      </c>
      <c r="G2897" s="2" t="s">
        <v>2034</v>
      </c>
      <c r="L2897" s="2" t="s">
        <v>5375</v>
      </c>
      <c r="N2897" t="s">
        <v>3330</v>
      </c>
      <c r="P2897" s="23">
        <v>86.66</v>
      </c>
      <c r="Q2897" s="4">
        <f t="shared" si="45"/>
        <v>111.36002769443803</v>
      </c>
      <c r="R2897" s="23" t="s">
        <v>109</v>
      </c>
    </row>
    <row r="2898" spans="1:23" x14ac:dyDescent="0.25">
      <c r="A2898" s="21">
        <v>45776</v>
      </c>
      <c r="B2898" s="1">
        <v>352002189</v>
      </c>
      <c r="C2898" t="s">
        <v>54</v>
      </c>
      <c r="D2898" s="22">
        <v>-144.75</v>
      </c>
      <c r="E2898" t="s">
        <v>35</v>
      </c>
      <c r="F2898" s="2">
        <v>610148001</v>
      </c>
      <c r="G2898" s="2" t="s">
        <v>42</v>
      </c>
      <c r="L2898" s="2" t="s">
        <v>5376</v>
      </c>
      <c r="M2898" t="s">
        <v>43</v>
      </c>
      <c r="N2898" t="s">
        <v>42</v>
      </c>
      <c r="P2898" s="23">
        <v>86.66</v>
      </c>
      <c r="Q2898" s="4">
        <f t="shared" si="45"/>
        <v>-1.6703207939072238</v>
      </c>
      <c r="R2898" s="23" t="s">
        <v>109</v>
      </c>
      <c r="T2898" s="23" t="s">
        <v>4558</v>
      </c>
    </row>
    <row r="2899" spans="1:23" x14ac:dyDescent="0.25">
      <c r="A2899" s="21">
        <v>45776</v>
      </c>
      <c r="B2899" s="1">
        <v>153349557</v>
      </c>
      <c r="C2899" t="s">
        <v>54</v>
      </c>
      <c r="D2899" s="22">
        <v>-41119.629999999997</v>
      </c>
      <c r="E2899" t="s">
        <v>35</v>
      </c>
      <c r="F2899" s="2">
        <v>210101001</v>
      </c>
      <c r="G2899" s="2" t="s">
        <v>36</v>
      </c>
      <c r="L2899" s="2" t="s">
        <v>5377</v>
      </c>
      <c r="M2899" t="s">
        <v>2635</v>
      </c>
      <c r="N2899" t="s">
        <v>2636</v>
      </c>
      <c r="P2899" s="23">
        <v>86.66</v>
      </c>
      <c r="Q2899" s="4">
        <f t="shared" si="45"/>
        <v>-474.49376875144242</v>
      </c>
      <c r="R2899" s="23" t="s">
        <v>109</v>
      </c>
    </row>
    <row r="2900" spans="1:23" x14ac:dyDescent="0.25">
      <c r="A2900" s="21">
        <v>45776</v>
      </c>
      <c r="B2900" s="1">
        <v>153623541</v>
      </c>
      <c r="C2900" t="s">
        <v>54</v>
      </c>
      <c r="D2900" s="22">
        <v>150000</v>
      </c>
      <c r="E2900" t="s">
        <v>46</v>
      </c>
      <c r="F2900" s="2">
        <v>210115002</v>
      </c>
      <c r="G2900" s="2" t="s">
        <v>47</v>
      </c>
      <c r="L2900" s="2" t="s">
        <v>5378</v>
      </c>
      <c r="N2900" t="s">
        <v>107</v>
      </c>
      <c r="P2900" s="23">
        <v>86.66</v>
      </c>
      <c r="Q2900" s="4">
        <f t="shared" si="45"/>
        <v>1730.9023771059312</v>
      </c>
      <c r="R2900" s="23" t="s">
        <v>109</v>
      </c>
    </row>
    <row r="2901" spans="1:23" x14ac:dyDescent="0.25">
      <c r="A2901" s="21">
        <v>45776</v>
      </c>
      <c r="B2901" s="1">
        <v>154628050</v>
      </c>
      <c r="C2901" t="s">
        <v>54</v>
      </c>
      <c r="D2901" s="22">
        <v>320000</v>
      </c>
      <c r="E2901" t="s">
        <v>46</v>
      </c>
      <c r="F2901" s="2">
        <v>210115002</v>
      </c>
      <c r="G2901" s="2" t="s">
        <v>47</v>
      </c>
      <c r="L2901" s="2" t="s">
        <v>5379</v>
      </c>
      <c r="N2901" t="s">
        <v>107</v>
      </c>
      <c r="P2901" s="23">
        <v>86.66</v>
      </c>
      <c r="Q2901" s="4">
        <f t="shared" si="45"/>
        <v>3692.5917378259869</v>
      </c>
      <c r="R2901" s="23" t="s">
        <v>109</v>
      </c>
    </row>
    <row r="2902" spans="1:23" x14ac:dyDescent="0.25">
      <c r="A2902" s="21">
        <v>45776</v>
      </c>
      <c r="B2902" s="1">
        <v>12072952</v>
      </c>
      <c r="C2902" t="s">
        <v>54</v>
      </c>
      <c r="D2902" s="22">
        <v>-6664.91</v>
      </c>
      <c r="E2902" t="s">
        <v>35</v>
      </c>
      <c r="F2902" s="2">
        <v>212901001</v>
      </c>
      <c r="G2902" s="2" t="s">
        <v>121</v>
      </c>
      <c r="L2902" s="2" t="s">
        <v>5380</v>
      </c>
      <c r="M2902" t="s">
        <v>67</v>
      </c>
      <c r="N2902" t="s">
        <v>68</v>
      </c>
      <c r="P2902" s="23">
        <v>86.66</v>
      </c>
      <c r="Q2902" s="4">
        <f t="shared" si="45"/>
        <v>-76.908723747980616</v>
      </c>
      <c r="R2902" s="23" t="s">
        <v>109</v>
      </c>
      <c r="U2902">
        <v>9</v>
      </c>
      <c r="V2902" t="e">
        <f>VLOOKUP(U2902,[1]!NOMINA[#Data],4,FALSE)</f>
        <v>#REF!</v>
      </c>
      <c r="W2902" t="e">
        <f>VLOOKUP(U2902,[1]!NOMINA[#Data],5,FALSE)</f>
        <v>#REF!</v>
      </c>
    </row>
    <row r="2903" spans="1:23" x14ac:dyDescent="0.25">
      <c r="A2903" s="21">
        <v>45776</v>
      </c>
      <c r="B2903" s="1">
        <v>12072955</v>
      </c>
      <c r="C2903" t="s">
        <v>54</v>
      </c>
      <c r="D2903" s="22">
        <v>-3392.73</v>
      </c>
      <c r="E2903" t="s">
        <v>35</v>
      </c>
      <c r="F2903" s="2">
        <v>212901001</v>
      </c>
      <c r="G2903" s="2" t="s">
        <v>121</v>
      </c>
      <c r="L2903" s="2" t="s">
        <v>5381</v>
      </c>
      <c r="M2903" t="s">
        <v>67</v>
      </c>
      <c r="N2903" t="s">
        <v>68</v>
      </c>
      <c r="P2903" s="23">
        <v>86.66</v>
      </c>
      <c r="Q2903" s="4">
        <f t="shared" si="45"/>
        <v>-39.149896145857376</v>
      </c>
      <c r="R2903" s="23" t="s">
        <v>109</v>
      </c>
      <c r="U2903">
        <v>29</v>
      </c>
      <c r="V2903" t="e">
        <f>VLOOKUP(U2903,[1]!NOMINA[#Data],4,FALSE)</f>
        <v>#REF!</v>
      </c>
      <c r="W2903" t="e">
        <f>VLOOKUP(U2903,[1]!NOMINA[#Data],5,FALSE)</f>
        <v>#REF!</v>
      </c>
    </row>
    <row r="2904" spans="1:23" x14ac:dyDescent="0.25">
      <c r="A2904" s="21">
        <v>45776</v>
      </c>
      <c r="B2904" s="1">
        <v>12072954</v>
      </c>
      <c r="C2904" t="s">
        <v>54</v>
      </c>
      <c r="D2904" s="22">
        <v>-2961.32</v>
      </c>
      <c r="E2904" t="s">
        <v>35</v>
      </c>
      <c r="F2904" s="2">
        <v>212901001</v>
      </c>
      <c r="G2904" s="2" t="s">
        <v>121</v>
      </c>
      <c r="L2904" s="2" t="s">
        <v>5382</v>
      </c>
      <c r="M2904" t="s">
        <v>67</v>
      </c>
      <c r="N2904" t="s">
        <v>68</v>
      </c>
      <c r="P2904" s="23">
        <v>86.66</v>
      </c>
      <c r="Q2904" s="4">
        <f t="shared" si="45"/>
        <v>-34.17170551580891</v>
      </c>
      <c r="R2904" s="23" t="s">
        <v>109</v>
      </c>
      <c r="U2904">
        <v>26</v>
      </c>
      <c r="V2904" t="e">
        <f>VLOOKUP(Tabla3[[#This Row],[Nº]],[1]!NOMINA[#Data],4,FALSE)</f>
        <v>#REF!</v>
      </c>
      <c r="W2904" t="e">
        <f>VLOOKUP(Tabla3[[#This Row],[Nº]],[1]!NOMINA[#Data],5,FALSE)</f>
        <v>#REF!</v>
      </c>
    </row>
    <row r="2905" spans="1:23" x14ac:dyDescent="0.25">
      <c r="A2905" s="21">
        <v>45776</v>
      </c>
      <c r="B2905" s="1">
        <v>12072958</v>
      </c>
      <c r="C2905" t="s">
        <v>54</v>
      </c>
      <c r="D2905" s="22">
        <v>-6416.92</v>
      </c>
      <c r="E2905" t="s">
        <v>35</v>
      </c>
      <c r="F2905" s="2">
        <v>212901001</v>
      </c>
      <c r="G2905" s="2" t="s">
        <v>121</v>
      </c>
      <c r="L2905" s="2" t="s">
        <v>5383</v>
      </c>
      <c r="M2905" t="s">
        <v>67</v>
      </c>
      <c r="N2905" t="s">
        <v>68</v>
      </c>
      <c r="P2905" s="23">
        <v>86.66</v>
      </c>
      <c r="Q2905" s="4">
        <f t="shared" si="45"/>
        <v>-74.047080544657291</v>
      </c>
      <c r="R2905" s="23" t="s">
        <v>109</v>
      </c>
      <c r="U2905">
        <v>10</v>
      </c>
      <c r="V2905" t="e">
        <f>VLOOKUP(U2905,[1]!NOMINA[#Data],4,FALSE)</f>
        <v>#REF!</v>
      </c>
      <c r="W2905" t="e">
        <f>VLOOKUP(U2905,[1]!NOMINA[#Data],5,FALSE)</f>
        <v>#REF!</v>
      </c>
    </row>
    <row r="2906" spans="1:23" x14ac:dyDescent="0.25">
      <c r="A2906" s="21">
        <v>45776</v>
      </c>
      <c r="B2906" s="1">
        <v>112072960</v>
      </c>
      <c r="C2906" t="s">
        <v>54</v>
      </c>
      <c r="D2906" s="22">
        <v>-6339.42</v>
      </c>
      <c r="E2906" t="s">
        <v>35</v>
      </c>
      <c r="F2906" s="2">
        <v>212901001</v>
      </c>
      <c r="G2906" s="2" t="s">
        <v>121</v>
      </c>
      <c r="L2906" s="2" t="s">
        <v>5384</v>
      </c>
      <c r="M2906" t="s">
        <v>67</v>
      </c>
      <c r="N2906" t="s">
        <v>68</v>
      </c>
      <c r="P2906" s="23">
        <v>86.66</v>
      </c>
      <c r="Q2906" s="4">
        <f t="shared" si="45"/>
        <v>-73.152780983152553</v>
      </c>
      <c r="R2906" s="23" t="s">
        <v>109</v>
      </c>
      <c r="U2906">
        <v>38</v>
      </c>
      <c r="V2906" t="e">
        <f>VLOOKUP(U2906,[1]!NOMINA[#Data],4,FALSE)</f>
        <v>#REF!</v>
      </c>
      <c r="W2906" t="e">
        <f>VLOOKUP(U2906,[1]!NOMINA[#Data],5,FALSE)</f>
        <v>#REF!</v>
      </c>
    </row>
    <row r="2907" spans="1:23" x14ac:dyDescent="0.25">
      <c r="A2907" s="21">
        <v>45776</v>
      </c>
      <c r="B2907" s="1">
        <v>12072959</v>
      </c>
      <c r="C2907" t="s">
        <v>54</v>
      </c>
      <c r="D2907" s="22">
        <v>-6374.72</v>
      </c>
      <c r="E2907" t="s">
        <v>35</v>
      </c>
      <c r="F2907" s="2">
        <v>212901001</v>
      </c>
      <c r="G2907" s="2" t="s">
        <v>121</v>
      </c>
      <c r="L2907" s="2" t="s">
        <v>5385</v>
      </c>
      <c r="M2907" t="s">
        <v>67</v>
      </c>
      <c r="N2907" t="s">
        <v>68</v>
      </c>
      <c r="P2907" s="23">
        <v>86.66</v>
      </c>
      <c r="Q2907" s="4">
        <f t="shared" si="45"/>
        <v>-73.560120009231483</v>
      </c>
      <c r="R2907" s="23" t="s">
        <v>109</v>
      </c>
      <c r="U2907">
        <v>18</v>
      </c>
      <c r="V2907" t="e">
        <f>VLOOKUP(Tabla3[[#This Row],[Nº]],[1]!NOMINA[#Data],4,FALSE)</f>
        <v>#REF!</v>
      </c>
      <c r="W2907" t="e">
        <f>VLOOKUP(Tabla3[[#This Row],[Nº]],[1]!NOMINA[#Data],5,FALSE)</f>
        <v>#REF!</v>
      </c>
    </row>
    <row r="2908" spans="1:23" x14ac:dyDescent="0.25">
      <c r="A2908" s="21">
        <v>45776</v>
      </c>
      <c r="B2908" s="1">
        <v>112072961</v>
      </c>
      <c r="C2908" t="s">
        <v>54</v>
      </c>
      <c r="D2908" s="22">
        <v>-6428.97</v>
      </c>
      <c r="E2908" t="s">
        <v>35</v>
      </c>
      <c r="F2908" s="2">
        <v>212901001</v>
      </c>
      <c r="G2908" s="2" t="s">
        <v>121</v>
      </c>
      <c r="L2908" s="2" t="s">
        <v>5386</v>
      </c>
      <c r="M2908" t="s">
        <v>67</v>
      </c>
      <c r="N2908" t="s">
        <v>68</v>
      </c>
      <c r="P2908" s="23">
        <v>86.66</v>
      </c>
      <c r="Q2908" s="4">
        <f t="shared" si="45"/>
        <v>-74.186129702284802</v>
      </c>
      <c r="R2908" s="23" t="s">
        <v>109</v>
      </c>
      <c r="U2908">
        <v>15</v>
      </c>
      <c r="V2908" t="e">
        <f>VLOOKUP(U2908,[1]!NOMINA[#Data],4,FALSE)</f>
        <v>#REF!</v>
      </c>
      <c r="W2908" t="e">
        <f>VLOOKUP(U2908,[1]!NOMINA[#Data],5,FALSE)</f>
        <v>#REF!</v>
      </c>
    </row>
    <row r="2909" spans="1:23" x14ac:dyDescent="0.25">
      <c r="A2909" s="21">
        <v>45776</v>
      </c>
      <c r="B2909" s="1">
        <v>12072956</v>
      </c>
      <c r="C2909" t="s">
        <v>54</v>
      </c>
      <c r="D2909" s="22">
        <v>-3392.73</v>
      </c>
      <c r="E2909" t="s">
        <v>35</v>
      </c>
      <c r="F2909" s="2">
        <v>212901001</v>
      </c>
      <c r="G2909" s="2" t="s">
        <v>121</v>
      </c>
      <c r="L2909" s="2" t="s">
        <v>5387</v>
      </c>
      <c r="M2909" t="s">
        <v>67</v>
      </c>
      <c r="N2909" t="s">
        <v>68</v>
      </c>
      <c r="P2909" s="23">
        <v>86.66</v>
      </c>
      <c r="Q2909" s="4">
        <f t="shared" si="45"/>
        <v>-39.149896145857376</v>
      </c>
      <c r="R2909" s="23" t="s">
        <v>109</v>
      </c>
      <c r="U2909">
        <v>44</v>
      </c>
      <c r="V2909" t="e">
        <f>VLOOKUP(U2909,[1]!NOMINA[#Data],4,FALSE)</f>
        <v>#REF!</v>
      </c>
      <c r="W2909" t="e">
        <f>VLOOKUP(U2909,[1]!NOMINA[#Data],5,FALSE)</f>
        <v>#REF!</v>
      </c>
    </row>
    <row r="2910" spans="1:23" x14ac:dyDescent="0.25">
      <c r="A2910" s="21">
        <v>45776</v>
      </c>
      <c r="B2910" s="1">
        <v>112072963</v>
      </c>
      <c r="C2910" t="s">
        <v>54</v>
      </c>
      <c r="D2910" s="22">
        <v>-3392.73</v>
      </c>
      <c r="E2910" t="s">
        <v>35</v>
      </c>
      <c r="F2910" s="2">
        <v>212901001</v>
      </c>
      <c r="G2910" s="2" t="s">
        <v>121</v>
      </c>
      <c r="L2910" s="2" t="s">
        <v>5388</v>
      </c>
      <c r="M2910" t="s">
        <v>67</v>
      </c>
      <c r="N2910" t="s">
        <v>68</v>
      </c>
      <c r="P2910" s="23">
        <v>86.66</v>
      </c>
      <c r="Q2910" s="4">
        <f t="shared" si="45"/>
        <v>-39.149896145857376</v>
      </c>
      <c r="R2910" s="23" t="s">
        <v>109</v>
      </c>
      <c r="U2910">
        <v>41</v>
      </c>
      <c r="V2910" t="e">
        <f>VLOOKUP(U2910,[1]!NOMINA[#Data],4,FALSE)</f>
        <v>#REF!</v>
      </c>
      <c r="W2910" t="e">
        <f>VLOOKUP(U2910,[1]!NOMINA[#Data],5,FALSE)</f>
        <v>#REF!</v>
      </c>
    </row>
    <row r="2911" spans="1:23" x14ac:dyDescent="0.25">
      <c r="A2911" s="21">
        <v>45776</v>
      </c>
      <c r="B2911" s="1">
        <v>112072964</v>
      </c>
      <c r="C2911" t="s">
        <v>54</v>
      </c>
      <c r="D2911" s="22">
        <v>-6393.67</v>
      </c>
      <c r="E2911" t="s">
        <v>35</v>
      </c>
      <c r="F2911" s="2">
        <v>212901001</v>
      </c>
      <c r="G2911" s="2" t="s">
        <v>121</v>
      </c>
      <c r="L2911" s="2" t="s">
        <v>5389</v>
      </c>
      <c r="M2911" t="s">
        <v>67</v>
      </c>
      <c r="N2911" t="s">
        <v>68</v>
      </c>
      <c r="P2911" s="23">
        <v>86.66</v>
      </c>
      <c r="Q2911" s="4">
        <f t="shared" si="45"/>
        <v>-73.778790676205873</v>
      </c>
      <c r="R2911" s="23" t="s">
        <v>109</v>
      </c>
      <c r="U2911">
        <v>13</v>
      </c>
      <c r="V2911" t="e">
        <f>VLOOKUP(U2911,[1]!NOMINA[#Data],4,FALSE)</f>
        <v>#REF!</v>
      </c>
      <c r="W2911" t="e">
        <f>VLOOKUP(U2911,[1]!NOMINA[#Data],5,FALSE)</f>
        <v>#REF!</v>
      </c>
    </row>
    <row r="2912" spans="1:23" x14ac:dyDescent="0.25">
      <c r="A2912" s="21">
        <v>45776</v>
      </c>
      <c r="B2912" s="1">
        <v>112072962</v>
      </c>
      <c r="C2912" t="s">
        <v>54</v>
      </c>
      <c r="D2912" s="22">
        <v>-6187</v>
      </c>
      <c r="E2912" t="s">
        <v>35</v>
      </c>
      <c r="F2912" s="2">
        <v>212901001</v>
      </c>
      <c r="G2912" s="2" t="s">
        <v>121</v>
      </c>
      <c r="L2912" s="2" t="s">
        <v>5390</v>
      </c>
      <c r="M2912" t="s">
        <v>67</v>
      </c>
      <c r="N2912" t="s">
        <v>68</v>
      </c>
      <c r="P2912" s="23">
        <v>86.66</v>
      </c>
      <c r="Q2912" s="4">
        <f t="shared" si="45"/>
        <v>-71.393953381029306</v>
      </c>
      <c r="R2912" s="23" t="s">
        <v>109</v>
      </c>
      <c r="U2912">
        <v>20</v>
      </c>
      <c r="V2912" t="e">
        <f>VLOOKUP(Tabla3[[#This Row],[Nº]],[1]!NOMINA[#Data],4,FALSE)</f>
        <v>#REF!</v>
      </c>
      <c r="W2912" t="e">
        <f>VLOOKUP(Tabla3[[#This Row],[Nº]],[1]!NOMINA[#Data],5,FALSE)</f>
        <v>#REF!</v>
      </c>
    </row>
    <row r="2913" spans="1:23" x14ac:dyDescent="0.25">
      <c r="A2913" s="21">
        <v>45776</v>
      </c>
      <c r="B2913" s="1">
        <v>112072968</v>
      </c>
      <c r="C2913" t="s">
        <v>54</v>
      </c>
      <c r="D2913" s="22">
        <v>-2960.46</v>
      </c>
      <c r="E2913" t="s">
        <v>35</v>
      </c>
      <c r="F2913" s="2">
        <v>212901001</v>
      </c>
      <c r="G2913" s="2" t="s">
        <v>121</v>
      </c>
      <c r="L2913" s="2" t="s">
        <v>5391</v>
      </c>
      <c r="M2913" t="s">
        <v>67</v>
      </c>
      <c r="N2913" t="s">
        <v>68</v>
      </c>
      <c r="P2913" s="23">
        <v>86.66</v>
      </c>
      <c r="Q2913" s="4">
        <f t="shared" si="45"/>
        <v>-34.161781675513502</v>
      </c>
      <c r="R2913" s="23" t="s">
        <v>109</v>
      </c>
      <c r="U2913">
        <v>23</v>
      </c>
      <c r="V2913" t="e">
        <f>VLOOKUP(U2913,[1]!NOMINA[#Data],4,FALSE)</f>
        <v>#REF!</v>
      </c>
      <c r="W2913" t="e">
        <f>VLOOKUP(U2913,[1]!NOMINA[#Data],5,FALSE)</f>
        <v>#REF!</v>
      </c>
    </row>
    <row r="2914" spans="1:23" x14ac:dyDescent="0.25">
      <c r="A2914" s="21">
        <v>45776</v>
      </c>
      <c r="B2914" s="1">
        <v>112072965</v>
      </c>
      <c r="C2914" t="s">
        <v>54</v>
      </c>
      <c r="D2914" s="22">
        <v>-6842.3</v>
      </c>
      <c r="E2914" t="s">
        <v>35</v>
      </c>
      <c r="F2914" s="2">
        <v>212901001</v>
      </c>
      <c r="G2914" s="2" t="s">
        <v>121</v>
      </c>
      <c r="L2914" s="2" t="s">
        <v>5392</v>
      </c>
      <c r="M2914" t="s">
        <v>67</v>
      </c>
      <c r="N2914" t="s">
        <v>68</v>
      </c>
      <c r="P2914" s="23">
        <v>86.66</v>
      </c>
      <c r="Q2914" s="4">
        <f t="shared" si="45"/>
        <v>-78.955688899146097</v>
      </c>
      <c r="R2914" s="23" t="s">
        <v>109</v>
      </c>
      <c r="U2914">
        <v>8</v>
      </c>
      <c r="V2914" t="e">
        <f>VLOOKUP(U2914,[1]!NOMINA[#Data],4,FALSE)</f>
        <v>#REF!</v>
      </c>
      <c r="W2914" t="e">
        <f>VLOOKUP(U2914,[1]!NOMINA[#Data],5,FALSE)</f>
        <v>#REF!</v>
      </c>
    </row>
    <row r="2915" spans="1:23" x14ac:dyDescent="0.25">
      <c r="A2915" s="21">
        <v>45776</v>
      </c>
      <c r="B2915" s="1">
        <v>112072967</v>
      </c>
      <c r="C2915" t="s">
        <v>54</v>
      </c>
      <c r="D2915" s="22">
        <v>-6538.33</v>
      </c>
      <c r="E2915" t="s">
        <v>35</v>
      </c>
      <c r="F2915" s="2">
        <v>212901001</v>
      </c>
      <c r="G2915" s="2" t="s">
        <v>121</v>
      </c>
      <c r="L2915" s="2" t="s">
        <v>5393</v>
      </c>
      <c r="M2915" t="s">
        <v>67</v>
      </c>
      <c r="N2915" t="s">
        <v>68</v>
      </c>
      <c r="P2915" s="23">
        <v>86.66</v>
      </c>
      <c r="Q2915" s="4">
        <f t="shared" si="45"/>
        <v>-75.448072928686827</v>
      </c>
      <c r="R2915" s="23" t="s">
        <v>109</v>
      </c>
      <c r="U2915">
        <v>11</v>
      </c>
      <c r="V2915" t="e">
        <f>VLOOKUP(U2915,[1]!NOMINA[#Data],4,FALSE)</f>
        <v>#REF!</v>
      </c>
      <c r="W2915" t="e">
        <f>VLOOKUP(U2915,[1]!NOMINA[#Data],5,FALSE)</f>
        <v>#REF!</v>
      </c>
    </row>
    <row r="2916" spans="1:23" x14ac:dyDescent="0.25">
      <c r="A2916" s="21">
        <v>45776</v>
      </c>
      <c r="B2916" s="1">
        <v>112072970</v>
      </c>
      <c r="C2916" t="s">
        <v>54</v>
      </c>
      <c r="D2916" s="22">
        <v>-15291.41</v>
      </c>
      <c r="E2916" t="s">
        <v>35</v>
      </c>
      <c r="F2916" s="2">
        <v>212901001</v>
      </c>
      <c r="G2916" s="2" t="s">
        <v>121</v>
      </c>
      <c r="L2916" s="2" t="s">
        <v>5394</v>
      </c>
      <c r="M2916" t="s">
        <v>67</v>
      </c>
      <c r="N2916" t="s">
        <v>68</v>
      </c>
      <c r="P2916" s="23">
        <v>86.66</v>
      </c>
      <c r="Q2916" s="4">
        <f t="shared" si="45"/>
        <v>-176.45291945534274</v>
      </c>
      <c r="R2916" s="23" t="s">
        <v>109</v>
      </c>
      <c r="U2916">
        <v>43</v>
      </c>
      <c r="V2916" t="e">
        <f>VLOOKUP(U2916,[1]!NOMINA[#Data],4,FALSE)</f>
        <v>#REF!</v>
      </c>
      <c r="W2916" t="e">
        <f>VLOOKUP(U2916,[1]!NOMINA[#Data],5,FALSE)</f>
        <v>#REF!</v>
      </c>
    </row>
    <row r="2917" spans="1:23" x14ac:dyDescent="0.25">
      <c r="A2917" s="21">
        <v>45776</v>
      </c>
      <c r="B2917" s="1">
        <v>212072973</v>
      </c>
      <c r="C2917" t="s">
        <v>54</v>
      </c>
      <c r="D2917" s="22">
        <v>-4254.7</v>
      </c>
      <c r="E2917" t="s">
        <v>35</v>
      </c>
      <c r="F2917" s="2">
        <v>212901001</v>
      </c>
      <c r="G2917" s="2" t="s">
        <v>121</v>
      </c>
      <c r="L2917" s="2" t="s">
        <v>5395</v>
      </c>
      <c r="M2917" t="s">
        <v>67</v>
      </c>
      <c r="N2917" t="s">
        <v>68</v>
      </c>
      <c r="P2917" s="23">
        <v>86.66</v>
      </c>
      <c r="Q2917" s="4">
        <f t="shared" si="45"/>
        <v>-49.096468959150705</v>
      </c>
      <c r="R2917" s="23" t="s">
        <v>109</v>
      </c>
      <c r="U2917">
        <v>14</v>
      </c>
      <c r="V2917" t="e">
        <f>VLOOKUP(U2917,[1]!NOMINA[#Data],4,FALSE)</f>
        <v>#REF!</v>
      </c>
      <c r="W2917" t="e">
        <f>VLOOKUP(U2917,[1]!NOMINA[#Data],5,FALSE)</f>
        <v>#REF!</v>
      </c>
    </row>
    <row r="2918" spans="1:23" x14ac:dyDescent="0.25">
      <c r="A2918" s="21">
        <v>45776</v>
      </c>
      <c r="B2918" s="1">
        <v>112072971</v>
      </c>
      <c r="C2918" t="s">
        <v>54</v>
      </c>
      <c r="D2918" s="22">
        <v>-6428.97</v>
      </c>
      <c r="E2918" t="s">
        <v>35</v>
      </c>
      <c r="F2918" s="2">
        <v>212901001</v>
      </c>
      <c r="G2918" s="2" t="s">
        <v>121</v>
      </c>
      <c r="L2918" s="2" t="s">
        <v>5396</v>
      </c>
      <c r="M2918" t="s">
        <v>67</v>
      </c>
      <c r="N2918" t="s">
        <v>68</v>
      </c>
      <c r="P2918" s="23">
        <v>86.66</v>
      </c>
      <c r="Q2918" s="4">
        <f t="shared" si="45"/>
        <v>-74.186129702284802</v>
      </c>
      <c r="R2918" s="23" t="s">
        <v>109</v>
      </c>
      <c r="U2918">
        <v>17</v>
      </c>
      <c r="V2918" t="e">
        <f>VLOOKUP(U2918,[1]!NOMINA[#Data],4,FALSE)</f>
        <v>#REF!</v>
      </c>
      <c r="W2918" t="e">
        <f>VLOOKUP(U2918,[1]!NOMINA[#Data],5,FALSE)</f>
        <v>#REF!</v>
      </c>
    </row>
    <row r="2919" spans="1:23" x14ac:dyDescent="0.25">
      <c r="A2919" s="21">
        <v>45776</v>
      </c>
      <c r="B2919" s="1">
        <v>212072972</v>
      </c>
      <c r="C2919" t="s">
        <v>54</v>
      </c>
      <c r="D2919" s="22">
        <v>-9466.93</v>
      </c>
      <c r="E2919" t="s">
        <v>35</v>
      </c>
      <c r="F2919" s="2">
        <v>212901001</v>
      </c>
      <c r="G2919" s="2" t="s">
        <v>121</v>
      </c>
      <c r="L2919" s="2" t="s">
        <v>5397</v>
      </c>
      <c r="M2919" t="s">
        <v>67</v>
      </c>
      <c r="N2919" t="s">
        <v>68</v>
      </c>
      <c r="P2919" s="23">
        <v>86.66</v>
      </c>
      <c r="Q2919" s="4">
        <f t="shared" si="45"/>
        <v>-109.24221093930304</v>
      </c>
      <c r="R2919" s="23" t="s">
        <v>109</v>
      </c>
      <c r="U2919">
        <v>4</v>
      </c>
      <c r="V2919" t="e">
        <f>VLOOKUP(U2919,[1]!NOMINA[#Data],4,FALSE)</f>
        <v>#REF!</v>
      </c>
      <c r="W2919" t="e">
        <f>VLOOKUP(U2919,[1]!NOMINA[#Data],5,FALSE)</f>
        <v>#REF!</v>
      </c>
    </row>
    <row r="2920" spans="1:23" x14ac:dyDescent="0.25">
      <c r="A2920" s="21">
        <v>45776</v>
      </c>
      <c r="B2920" s="1">
        <v>212072975</v>
      </c>
      <c r="C2920" t="s">
        <v>54</v>
      </c>
      <c r="D2920" s="22">
        <v>-3683.79</v>
      </c>
      <c r="E2920" t="s">
        <v>35</v>
      </c>
      <c r="F2920" s="2">
        <v>212901001</v>
      </c>
      <c r="G2920" s="2" t="s">
        <v>121</v>
      </c>
      <c r="L2920" s="2" t="s">
        <v>5398</v>
      </c>
      <c r="M2920" t="s">
        <v>67</v>
      </c>
      <c r="N2920" t="s">
        <v>68</v>
      </c>
      <c r="P2920" s="23">
        <v>86.66</v>
      </c>
      <c r="Q2920" s="4">
        <f t="shared" si="45"/>
        <v>-42.50853911839372</v>
      </c>
      <c r="R2920" s="23" t="s">
        <v>109</v>
      </c>
      <c r="U2920">
        <v>42</v>
      </c>
      <c r="V2920" t="e">
        <f>VLOOKUP(U2920,[1]!NOMINA[#Data],4,FALSE)</f>
        <v>#REF!</v>
      </c>
      <c r="W2920" t="e">
        <f>VLOOKUP(U2920,[1]!NOMINA[#Data],5,FALSE)</f>
        <v>#REF!</v>
      </c>
    </row>
    <row r="2921" spans="1:23" x14ac:dyDescent="0.25">
      <c r="A2921" s="21">
        <v>45776</v>
      </c>
      <c r="B2921" s="1">
        <v>212072974</v>
      </c>
      <c r="C2921" t="s">
        <v>54</v>
      </c>
      <c r="D2921" s="22">
        <v>-6428.97</v>
      </c>
      <c r="E2921" t="s">
        <v>35</v>
      </c>
      <c r="F2921" s="2">
        <v>212901001</v>
      </c>
      <c r="G2921" s="2" t="s">
        <v>121</v>
      </c>
      <c r="L2921" s="2" t="s">
        <v>5399</v>
      </c>
      <c r="M2921" t="s">
        <v>67</v>
      </c>
      <c r="N2921" t="s">
        <v>68</v>
      </c>
      <c r="P2921" s="23">
        <v>86.66</v>
      </c>
      <c r="Q2921" s="4">
        <f t="shared" si="45"/>
        <v>-74.186129702284802</v>
      </c>
      <c r="R2921" s="23" t="s">
        <v>109</v>
      </c>
      <c r="U2921">
        <v>22</v>
      </c>
      <c r="V2921" t="e">
        <f>VLOOKUP(Tabla3[[#This Row],[Nº]],[1]!NOMINA[#Data],4,FALSE)</f>
        <v>#REF!</v>
      </c>
      <c r="W2921" t="e">
        <f>VLOOKUP(U2921,[1]!NOMINA[#Data],5,FALSE)</f>
        <v>#REF!</v>
      </c>
    </row>
    <row r="2922" spans="1:23" x14ac:dyDescent="0.25">
      <c r="A2922" s="21">
        <v>45776</v>
      </c>
      <c r="B2922" s="1">
        <v>212072976</v>
      </c>
      <c r="C2922" t="s">
        <v>54</v>
      </c>
      <c r="D2922" s="22">
        <v>-6444.47</v>
      </c>
      <c r="E2922" t="s">
        <v>35</v>
      </c>
      <c r="F2922" s="2">
        <v>212901001</v>
      </c>
      <c r="G2922" s="2" t="s">
        <v>121</v>
      </c>
      <c r="L2922" s="2" t="s">
        <v>5400</v>
      </c>
      <c r="M2922" t="s">
        <v>67</v>
      </c>
      <c r="N2922" t="s">
        <v>68</v>
      </c>
      <c r="P2922" s="23">
        <v>86.66</v>
      </c>
      <c r="Q2922" s="4">
        <f t="shared" si="45"/>
        <v>-74.364989614585738</v>
      </c>
      <c r="R2922" s="23" t="s">
        <v>109</v>
      </c>
      <c r="U2922">
        <v>39</v>
      </c>
      <c r="V2922" t="e">
        <f>VLOOKUP(U2922,[1]!NOMINA[#Data],4,FALSE)</f>
        <v>#REF!</v>
      </c>
      <c r="W2922" t="e">
        <f>VLOOKUP(U2922,[1]!NOMINA[#Data],5,FALSE)</f>
        <v>#REF!</v>
      </c>
    </row>
    <row r="2923" spans="1:23" x14ac:dyDescent="0.25">
      <c r="A2923" s="21">
        <v>45776</v>
      </c>
      <c r="B2923" s="1">
        <v>212072977</v>
      </c>
      <c r="C2923" t="s">
        <v>54</v>
      </c>
      <c r="D2923" s="22">
        <v>-4254.7</v>
      </c>
      <c r="E2923" t="s">
        <v>35</v>
      </c>
      <c r="F2923" s="2">
        <v>212901001</v>
      </c>
      <c r="G2923" s="2" t="s">
        <v>121</v>
      </c>
      <c r="L2923" s="2" t="s">
        <v>5401</v>
      </c>
      <c r="M2923" t="s">
        <v>67</v>
      </c>
      <c r="N2923" t="s">
        <v>68</v>
      </c>
      <c r="P2923" s="23">
        <v>86.66</v>
      </c>
      <c r="Q2923" s="4">
        <f t="shared" si="45"/>
        <v>-49.096468959150705</v>
      </c>
      <c r="R2923" s="23" t="s">
        <v>109</v>
      </c>
      <c r="U2923">
        <v>21</v>
      </c>
      <c r="V2923" t="e">
        <f>VLOOKUP(U2923,[1]!NOMINA[#Data],4,FALSE)</f>
        <v>#REF!</v>
      </c>
      <c r="W2923" t="e">
        <f>VLOOKUP(U2923,[1]!NOMINA[#Data],5,FALSE)</f>
        <v>#REF!</v>
      </c>
    </row>
    <row r="2924" spans="1:23" x14ac:dyDescent="0.25">
      <c r="A2924" s="21">
        <v>45776</v>
      </c>
      <c r="B2924" s="1">
        <v>212072978</v>
      </c>
      <c r="C2924" t="s">
        <v>54</v>
      </c>
      <c r="D2924" s="22">
        <v>-2961.32</v>
      </c>
      <c r="E2924" t="s">
        <v>35</v>
      </c>
      <c r="F2924" s="2">
        <v>212901001</v>
      </c>
      <c r="G2924" s="2" t="s">
        <v>121</v>
      </c>
      <c r="L2924" s="2" t="s">
        <v>5402</v>
      </c>
      <c r="M2924" t="s">
        <v>67</v>
      </c>
      <c r="N2924" t="s">
        <v>68</v>
      </c>
      <c r="P2924" s="23">
        <v>86.66</v>
      </c>
      <c r="Q2924" s="4">
        <f t="shared" si="45"/>
        <v>-34.17170551580891</v>
      </c>
      <c r="R2924" s="23" t="s">
        <v>109</v>
      </c>
      <c r="U2924">
        <v>25</v>
      </c>
      <c r="V2924" t="e">
        <f>VLOOKUP(U2924,[1]!NOMINA[#Data],4,FALSE)</f>
        <v>#REF!</v>
      </c>
      <c r="W2924" t="e">
        <f>VLOOKUP(U2924,[1]!NOMINA[#Data],5,FALSE)</f>
        <v>#REF!</v>
      </c>
    </row>
    <row r="2925" spans="1:23" x14ac:dyDescent="0.25">
      <c r="A2925" s="21">
        <v>45776</v>
      </c>
      <c r="B2925" s="1">
        <v>312072984</v>
      </c>
      <c r="C2925" t="s">
        <v>54</v>
      </c>
      <c r="D2925" s="22">
        <v>-21419</v>
      </c>
      <c r="E2925" t="s">
        <v>35</v>
      </c>
      <c r="F2925" s="2">
        <v>212901001</v>
      </c>
      <c r="G2925" s="2" t="s">
        <v>121</v>
      </c>
      <c r="L2925" s="2" t="s">
        <v>5403</v>
      </c>
      <c r="M2925" t="s">
        <v>67</v>
      </c>
      <c r="N2925" t="s">
        <v>68</v>
      </c>
      <c r="P2925" s="23">
        <v>86.66</v>
      </c>
      <c r="Q2925" s="4">
        <f t="shared" si="45"/>
        <v>-247.16132010154629</v>
      </c>
      <c r="R2925" s="23" t="s">
        <v>109</v>
      </c>
      <c r="U2925">
        <v>3</v>
      </c>
      <c r="V2925" t="e">
        <f>VLOOKUP(U2925,[1]!NOMINA[#Data],4,FALSE)</f>
        <v>#REF!</v>
      </c>
      <c r="W2925" t="e">
        <f>VLOOKUP(U2925,[1]!NOMINA[#Data],5,FALSE)</f>
        <v>#REF!</v>
      </c>
    </row>
    <row r="2926" spans="1:23" x14ac:dyDescent="0.25">
      <c r="A2926" s="21">
        <v>45776</v>
      </c>
      <c r="B2926" s="1">
        <v>312072986</v>
      </c>
      <c r="C2926" t="s">
        <v>54</v>
      </c>
      <c r="D2926" s="22">
        <v>-4265.03</v>
      </c>
      <c r="E2926" t="s">
        <v>35</v>
      </c>
      <c r="F2926" s="2">
        <v>212901001</v>
      </c>
      <c r="G2926" s="2" t="s">
        <v>121</v>
      </c>
      <c r="L2926" s="2" t="s">
        <v>5404</v>
      </c>
      <c r="M2926" t="s">
        <v>67</v>
      </c>
      <c r="N2926" t="s">
        <v>68</v>
      </c>
      <c r="P2926" s="23">
        <v>86.66</v>
      </c>
      <c r="Q2926" s="4">
        <f t="shared" si="45"/>
        <v>-49.215670436187395</v>
      </c>
      <c r="R2926" s="23" t="s">
        <v>109</v>
      </c>
      <c r="U2926">
        <v>19</v>
      </c>
      <c r="V2926" t="e">
        <f>VLOOKUP(U2926,[1]!NOMINA[#Data],4,FALSE)</f>
        <v>#REF!</v>
      </c>
      <c r="W2926" t="e">
        <f>VLOOKUP(U2926,[1]!NOMINA[#Data],5,FALSE)</f>
        <v>#REF!</v>
      </c>
    </row>
    <row r="2927" spans="1:23" x14ac:dyDescent="0.25">
      <c r="A2927" s="21">
        <v>45776</v>
      </c>
      <c r="B2927" s="1">
        <v>312072985</v>
      </c>
      <c r="C2927" t="s">
        <v>54</v>
      </c>
      <c r="D2927" s="22">
        <v>-2961.32</v>
      </c>
      <c r="E2927" t="s">
        <v>35</v>
      </c>
      <c r="F2927" s="2">
        <v>212901001</v>
      </c>
      <c r="G2927" s="2" t="s">
        <v>121</v>
      </c>
      <c r="L2927" s="2" t="s">
        <v>5405</v>
      </c>
      <c r="M2927" t="s">
        <v>67</v>
      </c>
      <c r="N2927" t="s">
        <v>68</v>
      </c>
      <c r="P2927" s="23">
        <v>86.66</v>
      </c>
      <c r="Q2927" s="4">
        <f t="shared" si="45"/>
        <v>-34.17170551580891</v>
      </c>
      <c r="R2927" s="23" t="s">
        <v>109</v>
      </c>
      <c r="U2927">
        <v>27</v>
      </c>
      <c r="V2927" t="e">
        <f>VLOOKUP(U2927,[1]!NOMINA[#Data],4,FALSE)</f>
        <v>#REF!</v>
      </c>
      <c r="W2927" t="e">
        <f>VLOOKUP(U2927,[1]!NOMINA[#Data],5,FALSE)</f>
        <v>#REF!</v>
      </c>
    </row>
    <row r="2928" spans="1:23" x14ac:dyDescent="0.25">
      <c r="A2928" s="21">
        <v>45776</v>
      </c>
      <c r="B2928" s="1">
        <v>212072981</v>
      </c>
      <c r="C2928" t="s">
        <v>54</v>
      </c>
      <c r="D2928" s="22">
        <v>-3853.42</v>
      </c>
      <c r="E2928" t="s">
        <v>35</v>
      </c>
      <c r="F2928" s="2">
        <v>212901001</v>
      </c>
      <c r="G2928" s="2" t="s">
        <v>121</v>
      </c>
      <c r="L2928" s="2" t="s">
        <v>5406</v>
      </c>
      <c r="M2928" t="s">
        <v>67</v>
      </c>
      <c r="N2928" t="s">
        <v>68</v>
      </c>
      <c r="P2928" s="23">
        <v>86.66</v>
      </c>
      <c r="Q2928" s="4">
        <f t="shared" si="45"/>
        <v>-44.465958919916922</v>
      </c>
      <c r="R2928" s="23" t="s">
        <v>109</v>
      </c>
      <c r="U2928">
        <v>28</v>
      </c>
      <c r="V2928" t="e">
        <f>VLOOKUP(U2928,[1]!NOMINA[#Data],4,FALSE)</f>
        <v>#REF!</v>
      </c>
      <c r="W2928" t="e">
        <f>VLOOKUP(U2928,[1]!NOMINA[#Data],5,FALSE)</f>
        <v>#REF!</v>
      </c>
    </row>
    <row r="2929" spans="1:23" x14ac:dyDescent="0.25">
      <c r="A2929" s="21">
        <v>45776</v>
      </c>
      <c r="B2929" s="1">
        <v>212072979</v>
      </c>
      <c r="C2929" t="s">
        <v>54</v>
      </c>
      <c r="D2929" s="22">
        <v>-6393.67</v>
      </c>
      <c r="E2929" t="s">
        <v>35</v>
      </c>
      <c r="F2929" s="2">
        <v>212901001</v>
      </c>
      <c r="G2929" s="2" t="s">
        <v>121</v>
      </c>
      <c r="L2929" s="2" t="s">
        <v>5407</v>
      </c>
      <c r="M2929" t="s">
        <v>67</v>
      </c>
      <c r="N2929" t="s">
        <v>68</v>
      </c>
      <c r="P2929" s="23">
        <v>86.66</v>
      </c>
      <c r="Q2929" s="4">
        <f t="shared" si="45"/>
        <v>-73.778790676205873</v>
      </c>
      <c r="R2929" s="23" t="s">
        <v>109</v>
      </c>
      <c r="U2929">
        <v>12</v>
      </c>
      <c r="V2929" t="e">
        <f>VLOOKUP(U2929,[1]!NOMINA[#Data],4,FALSE)</f>
        <v>#REF!</v>
      </c>
      <c r="W2929" t="e">
        <f>VLOOKUP(U2929,[1]!NOMINA[#Data],5,FALSE)</f>
        <v>#REF!</v>
      </c>
    </row>
    <row r="2930" spans="1:23" x14ac:dyDescent="0.25">
      <c r="A2930" s="21">
        <v>45776</v>
      </c>
      <c r="B2930" s="1">
        <v>312072982</v>
      </c>
      <c r="C2930" t="s">
        <v>54</v>
      </c>
      <c r="D2930" s="22">
        <v>-10766.33</v>
      </c>
      <c r="E2930" t="s">
        <v>35</v>
      </c>
      <c r="F2930" s="2">
        <v>212901001</v>
      </c>
      <c r="G2930" s="2" t="s">
        <v>121</v>
      </c>
      <c r="L2930" s="2" t="s">
        <v>5408</v>
      </c>
      <c r="M2930" t="s">
        <v>67</v>
      </c>
      <c r="N2930" t="s">
        <v>68</v>
      </c>
      <c r="P2930" s="23">
        <v>86.66</v>
      </c>
      <c r="Q2930" s="4">
        <f t="shared" si="45"/>
        <v>-124.23644126471268</v>
      </c>
      <c r="R2930" s="23" t="s">
        <v>109</v>
      </c>
      <c r="U2930">
        <v>6</v>
      </c>
      <c r="V2930" t="e">
        <f>VLOOKUP(U2930,[1]!NOMINA[#Data],4,FALSE)</f>
        <v>#REF!</v>
      </c>
      <c r="W2930" t="e">
        <f>VLOOKUP(U2930,[1]!NOMINA[#Data],5,FALSE)</f>
        <v>#REF!</v>
      </c>
    </row>
    <row r="2931" spans="1:23" x14ac:dyDescent="0.25">
      <c r="A2931" s="21">
        <v>45776</v>
      </c>
      <c r="B2931" s="1">
        <v>312072983</v>
      </c>
      <c r="C2931" t="s">
        <v>54</v>
      </c>
      <c r="D2931" s="22">
        <v>-4259.8599999999997</v>
      </c>
      <c r="E2931" t="s">
        <v>35</v>
      </c>
      <c r="F2931" s="2">
        <v>212901001</v>
      </c>
      <c r="G2931" s="2" t="s">
        <v>121</v>
      </c>
      <c r="L2931" s="2" t="s">
        <v>5409</v>
      </c>
      <c r="M2931" t="s">
        <v>67</v>
      </c>
      <c r="N2931" t="s">
        <v>68</v>
      </c>
      <c r="P2931" s="23">
        <v>86.66</v>
      </c>
      <c r="Q2931" s="4">
        <f t="shared" si="45"/>
        <v>-49.156012000923148</v>
      </c>
      <c r="R2931" s="23" t="s">
        <v>109</v>
      </c>
      <c r="U2931">
        <v>24</v>
      </c>
      <c r="V2931" t="e">
        <f>VLOOKUP(U2931,[1]!NOMINA[#Data],4,FALSE)</f>
        <v>#REF!</v>
      </c>
      <c r="W2931" t="e">
        <f>VLOOKUP(U2931,[1]!NOMINA[#Data],5,FALSE)</f>
        <v>#REF!</v>
      </c>
    </row>
    <row r="2932" spans="1:23" x14ac:dyDescent="0.25">
      <c r="A2932" s="21">
        <v>45776</v>
      </c>
      <c r="B2932" s="1">
        <v>212072980</v>
      </c>
      <c r="C2932" t="s">
        <v>54</v>
      </c>
      <c r="D2932" s="22">
        <v>-42990.42</v>
      </c>
      <c r="E2932" t="s">
        <v>35</v>
      </c>
      <c r="F2932" s="2">
        <v>212901001</v>
      </c>
      <c r="G2932" s="2" t="s">
        <v>121</v>
      </c>
      <c r="L2932" s="2" t="s">
        <v>5410</v>
      </c>
      <c r="M2932" t="s">
        <v>67</v>
      </c>
      <c r="N2932" t="s">
        <v>68</v>
      </c>
      <c r="P2932" s="23">
        <v>86.66</v>
      </c>
      <c r="Q2932" s="4">
        <f t="shared" si="45"/>
        <v>-496.08146780521577</v>
      </c>
      <c r="R2932" s="23" t="s">
        <v>109</v>
      </c>
      <c r="U2932">
        <v>2</v>
      </c>
      <c r="V2932" t="e">
        <f>VLOOKUP(Tabla3[[#This Row],[Nº]],[1]!NOMINA[#Data],4,FALSE)</f>
        <v>#REF!</v>
      </c>
      <c r="W2932" t="e">
        <f>VLOOKUP(Tabla3[[#This Row],[Nº]],[1]!NOMINA[#Data],5,FALSE)</f>
        <v>#REF!</v>
      </c>
    </row>
    <row r="2933" spans="1:23" x14ac:dyDescent="0.25">
      <c r="A2933" s="21">
        <v>45776</v>
      </c>
      <c r="B2933" s="1">
        <v>312072988</v>
      </c>
      <c r="C2933" t="s">
        <v>54</v>
      </c>
      <c r="D2933" s="22">
        <v>-5945.9</v>
      </c>
      <c r="E2933" t="s">
        <v>35</v>
      </c>
      <c r="F2933" s="2">
        <v>212901001</v>
      </c>
      <c r="G2933" s="2" t="s">
        <v>121</v>
      </c>
      <c r="L2933" s="2" t="s">
        <v>5411</v>
      </c>
      <c r="M2933" t="s">
        <v>67</v>
      </c>
      <c r="N2933" t="s">
        <v>68</v>
      </c>
      <c r="P2933" s="23">
        <v>86.66</v>
      </c>
      <c r="Q2933" s="4">
        <f t="shared" si="45"/>
        <v>-68.611816293561048</v>
      </c>
      <c r="R2933" s="23" t="s">
        <v>109</v>
      </c>
      <c r="U2933">
        <v>16</v>
      </c>
      <c r="V2933" t="e">
        <f>VLOOKUP(Tabla3[[#This Row],[Nº]],[1]!NOMINA[#Data],4,FALSE)</f>
        <v>#REF!</v>
      </c>
      <c r="W2933" t="e">
        <f>VLOOKUP(Tabla3[[#This Row],[Nº]],[1]!NOMINA[#Data],5,FALSE)</f>
        <v>#REF!</v>
      </c>
    </row>
    <row r="2934" spans="1:23" x14ac:dyDescent="0.25">
      <c r="A2934" s="21">
        <v>45776</v>
      </c>
      <c r="B2934" s="1">
        <v>312072990</v>
      </c>
      <c r="C2934" t="s">
        <v>54</v>
      </c>
      <c r="D2934" s="22">
        <v>-3166.26</v>
      </c>
      <c r="E2934" t="s">
        <v>35</v>
      </c>
      <c r="F2934" s="2">
        <v>212901001</v>
      </c>
      <c r="G2934" s="2" t="s">
        <v>121</v>
      </c>
      <c r="L2934" s="2" t="s">
        <v>5412</v>
      </c>
      <c r="M2934" t="s">
        <v>67</v>
      </c>
      <c r="N2934" t="s">
        <v>68</v>
      </c>
      <c r="P2934" s="23">
        <v>86.66</v>
      </c>
      <c r="Q2934" s="4">
        <f t="shared" si="45"/>
        <v>-36.536579736902844</v>
      </c>
      <c r="R2934" s="23" t="s">
        <v>109</v>
      </c>
      <c r="U2934">
        <v>37</v>
      </c>
      <c r="V2934" t="e">
        <f>VLOOKUP(Tabla3[[#This Row],[Nº]],[1]!NOMINA[#Data],4,FALSE)</f>
        <v>#REF!</v>
      </c>
      <c r="W2934" t="e">
        <f>VLOOKUP(Tabla3[[#This Row],[Nº]],[1]!NOMINA[#Data],5,FALSE)</f>
        <v>#REF!</v>
      </c>
    </row>
    <row r="2935" spans="1:23" x14ac:dyDescent="0.25">
      <c r="A2935" s="21">
        <v>45776</v>
      </c>
      <c r="B2935" s="1">
        <v>312072991</v>
      </c>
      <c r="C2935" t="s">
        <v>54</v>
      </c>
      <c r="D2935" s="22">
        <v>-2783.94</v>
      </c>
      <c r="E2935" t="s">
        <v>35</v>
      </c>
      <c r="F2935" s="2">
        <v>212901001</v>
      </c>
      <c r="G2935" s="2" t="s">
        <v>121</v>
      </c>
      <c r="L2935" s="2" t="s">
        <v>5413</v>
      </c>
      <c r="M2935" t="s">
        <v>67</v>
      </c>
      <c r="N2935" t="s">
        <v>68</v>
      </c>
      <c r="P2935" s="23">
        <v>86.66</v>
      </c>
      <c r="Q2935" s="4">
        <f t="shared" si="45"/>
        <v>-32.12485575813524</v>
      </c>
      <c r="R2935" s="23" t="s">
        <v>109</v>
      </c>
      <c r="U2935">
        <v>7</v>
      </c>
      <c r="V2935" t="e">
        <f>VLOOKUP(U2935,[1]!NOMINA[#Data],4,FALSE)</f>
        <v>#REF!</v>
      </c>
      <c r="W2935" t="e">
        <f>VLOOKUP(U2935,[1]!NOMINA[#Data],5,FALSE)</f>
        <v>#REF!</v>
      </c>
    </row>
    <row r="2936" spans="1:23" x14ac:dyDescent="0.25">
      <c r="A2936" s="21">
        <v>45776</v>
      </c>
      <c r="B2936" s="1">
        <v>312072992</v>
      </c>
      <c r="C2936" t="s">
        <v>54</v>
      </c>
      <c r="D2936" s="22">
        <v>-34379.42</v>
      </c>
      <c r="E2936" t="s">
        <v>35</v>
      </c>
      <c r="F2936" s="2">
        <v>212901001</v>
      </c>
      <c r="G2936" s="2" t="s">
        <v>121</v>
      </c>
      <c r="L2936" s="2" t="s">
        <v>5414</v>
      </c>
      <c r="M2936" t="s">
        <v>67</v>
      </c>
      <c r="N2936" t="s">
        <v>68</v>
      </c>
      <c r="P2936" s="23">
        <v>86.66</v>
      </c>
      <c r="Q2936" s="4">
        <f t="shared" si="45"/>
        <v>-396.71613201015464</v>
      </c>
      <c r="R2936" s="23" t="s">
        <v>109</v>
      </c>
      <c r="U2936">
        <v>1</v>
      </c>
      <c r="V2936" t="e">
        <f>VLOOKUP(U2936,[1]!NOMINA[#Data],4,FALSE)</f>
        <v>#REF!</v>
      </c>
      <c r="W2936" t="e">
        <f>VLOOKUP(U2936,[1]!NOMINA[#Data],5,FALSE)</f>
        <v>#REF!</v>
      </c>
    </row>
    <row r="2937" spans="1:23" x14ac:dyDescent="0.25">
      <c r="A2937" s="21">
        <v>45776</v>
      </c>
      <c r="B2937" s="1">
        <v>312072987</v>
      </c>
      <c r="C2937" t="s">
        <v>54</v>
      </c>
      <c r="D2937" s="22">
        <v>-5213.1000000000004</v>
      </c>
      <c r="E2937" t="s">
        <v>35</v>
      </c>
      <c r="F2937" s="2">
        <v>212901001</v>
      </c>
      <c r="G2937" s="2" t="s">
        <v>121</v>
      </c>
      <c r="L2937" s="2" t="s">
        <v>5415</v>
      </c>
      <c r="M2937" t="s">
        <v>67</v>
      </c>
      <c r="N2937" t="s">
        <v>68</v>
      </c>
      <c r="P2937" s="23">
        <v>86.66</v>
      </c>
      <c r="Q2937" s="4">
        <f t="shared" si="45"/>
        <v>-60.155781213939541</v>
      </c>
      <c r="R2937" s="23" t="s">
        <v>109</v>
      </c>
      <c r="U2937">
        <v>5</v>
      </c>
      <c r="V2937" t="e">
        <f>VLOOKUP(U2937,[1]!NOMINA[#Data],4,FALSE)</f>
        <v>#REF!</v>
      </c>
      <c r="W2937" t="e">
        <f>VLOOKUP(U2937,[1]!NOMINA[#Data],5,FALSE)</f>
        <v>#REF!</v>
      </c>
    </row>
    <row r="2938" spans="1:23" x14ac:dyDescent="0.25">
      <c r="A2938" s="21">
        <v>45776</v>
      </c>
      <c r="B2938" s="1">
        <v>412072997</v>
      </c>
      <c r="C2938" t="s">
        <v>54</v>
      </c>
      <c r="D2938" s="22">
        <v>-3444.4</v>
      </c>
      <c r="E2938" t="s">
        <v>35</v>
      </c>
      <c r="F2938" s="2">
        <v>212901001</v>
      </c>
      <c r="G2938" s="2" t="s">
        <v>121</v>
      </c>
      <c r="L2938" s="2" t="s">
        <v>5416</v>
      </c>
      <c r="M2938" t="s">
        <v>67</v>
      </c>
      <c r="N2938" t="s">
        <v>68</v>
      </c>
      <c r="P2938" s="23">
        <v>86.66</v>
      </c>
      <c r="Q2938" s="4">
        <f t="shared" si="45"/>
        <v>-39.746134318024467</v>
      </c>
      <c r="R2938" s="23" t="s">
        <v>109</v>
      </c>
      <c r="U2938">
        <v>9</v>
      </c>
      <c r="V2938" t="e">
        <f>VLOOKUP(U2938,[1]!NOMINA[#Data],4,FALSE)</f>
        <v>#REF!</v>
      </c>
      <c r="W2938" t="e">
        <f>VLOOKUP(U2938,[1]!NOMINA[#Data],5,FALSE)</f>
        <v>#REF!</v>
      </c>
    </row>
    <row r="2939" spans="1:23" x14ac:dyDescent="0.25">
      <c r="A2939" s="21">
        <v>45776</v>
      </c>
      <c r="B2939" s="1">
        <v>412072994</v>
      </c>
      <c r="C2939" t="s">
        <v>54</v>
      </c>
      <c r="D2939" s="22">
        <v>-3444.4</v>
      </c>
      <c r="E2939" t="s">
        <v>35</v>
      </c>
      <c r="F2939" s="2">
        <v>212901001</v>
      </c>
      <c r="G2939" s="2" t="s">
        <v>121</v>
      </c>
      <c r="L2939" s="2" t="s">
        <v>5417</v>
      </c>
      <c r="M2939" t="s">
        <v>67</v>
      </c>
      <c r="N2939" t="s">
        <v>68</v>
      </c>
      <c r="P2939" s="23">
        <v>86.66</v>
      </c>
      <c r="Q2939" s="4">
        <f t="shared" si="45"/>
        <v>-39.746134318024467</v>
      </c>
      <c r="R2939" s="23" t="s">
        <v>109</v>
      </c>
      <c r="U2939">
        <v>26</v>
      </c>
      <c r="V2939" t="e">
        <f>VLOOKUP(Tabla3[[#This Row],[Nº]],[1]!NOMINA[#Data],4,FALSE)</f>
        <v>#REF!</v>
      </c>
      <c r="W2939" t="e">
        <f>VLOOKUP(Tabla3[[#This Row],[Nº]],[1]!NOMINA[#Data],5,FALSE)</f>
        <v>#REF!</v>
      </c>
    </row>
    <row r="2940" spans="1:23" x14ac:dyDescent="0.25">
      <c r="A2940" s="21">
        <v>45776</v>
      </c>
      <c r="B2940" s="1">
        <v>412072999</v>
      </c>
      <c r="C2940" t="s">
        <v>54</v>
      </c>
      <c r="D2940" s="22">
        <v>-861.1</v>
      </c>
      <c r="E2940" t="s">
        <v>35</v>
      </c>
      <c r="F2940" s="2">
        <v>212901001</v>
      </c>
      <c r="G2940" s="2" t="s">
        <v>121</v>
      </c>
      <c r="L2940" s="2" t="s">
        <v>5418</v>
      </c>
      <c r="M2940" t="s">
        <v>67</v>
      </c>
      <c r="N2940" t="s">
        <v>68</v>
      </c>
      <c r="P2940" s="23">
        <v>86.66</v>
      </c>
      <c r="Q2940" s="4">
        <f t="shared" si="45"/>
        <v>-9.9365335795061167</v>
      </c>
      <c r="R2940" s="23" t="s">
        <v>109</v>
      </c>
      <c r="U2940">
        <v>28</v>
      </c>
      <c r="V2940" t="e">
        <f>VLOOKUP(U2940,[1]!NOMINA[#Data],4,FALSE)</f>
        <v>#REF!</v>
      </c>
      <c r="W2940" t="e">
        <f>VLOOKUP(U2940,[1]!NOMINA[#Data],5,FALSE)</f>
        <v>#REF!</v>
      </c>
    </row>
    <row r="2941" spans="1:23" x14ac:dyDescent="0.25">
      <c r="A2941" s="21">
        <v>45776</v>
      </c>
      <c r="B2941" s="1">
        <v>412072996</v>
      </c>
      <c r="C2941" t="s">
        <v>54</v>
      </c>
      <c r="D2941" s="22">
        <v>-3444.4</v>
      </c>
      <c r="E2941" t="s">
        <v>35</v>
      </c>
      <c r="F2941" s="2">
        <v>212901001</v>
      </c>
      <c r="G2941" s="2" t="s">
        <v>121</v>
      </c>
      <c r="L2941" s="2" t="s">
        <v>5419</v>
      </c>
      <c r="M2941" t="s">
        <v>67</v>
      </c>
      <c r="N2941" t="s">
        <v>68</v>
      </c>
      <c r="P2941" s="23">
        <v>86.66</v>
      </c>
      <c r="Q2941" s="4">
        <f t="shared" si="45"/>
        <v>-39.746134318024467</v>
      </c>
      <c r="R2941" s="23" t="s">
        <v>109</v>
      </c>
      <c r="U2941">
        <v>29</v>
      </c>
      <c r="V2941" t="e">
        <f>VLOOKUP(U2941,[1]!NOMINA[#Data],4,FALSE)</f>
        <v>#REF!</v>
      </c>
      <c r="W2941" t="e">
        <f>VLOOKUP(U2941,[1]!NOMINA[#Data],5,FALSE)</f>
        <v>#REF!</v>
      </c>
    </row>
    <row r="2942" spans="1:23" x14ac:dyDescent="0.25">
      <c r="A2942" s="21">
        <v>45776</v>
      </c>
      <c r="B2942" s="1">
        <v>412072993</v>
      </c>
      <c r="C2942" t="s">
        <v>54</v>
      </c>
      <c r="D2942" s="22">
        <v>-4265.03</v>
      </c>
      <c r="E2942" t="s">
        <v>35</v>
      </c>
      <c r="F2942" s="2">
        <v>212901001</v>
      </c>
      <c r="G2942" s="2" t="s">
        <v>121</v>
      </c>
      <c r="L2942" s="2" t="s">
        <v>5420</v>
      </c>
      <c r="M2942" t="s">
        <v>67</v>
      </c>
      <c r="N2942" t="s">
        <v>68</v>
      </c>
      <c r="P2942" s="23">
        <v>86.66</v>
      </c>
      <c r="Q2942" s="4">
        <f t="shared" si="45"/>
        <v>-49.215670436187395</v>
      </c>
      <c r="R2942" s="23" t="s">
        <v>109</v>
      </c>
      <c r="U2942">
        <v>36</v>
      </c>
      <c r="V2942" t="e">
        <f>VLOOKUP(U2942,[1]!NOMINA[#Data],4,FALSE)</f>
        <v>#REF!</v>
      </c>
      <c r="W2942" t="e">
        <f>VLOOKUP(U2942,[1]!NOMINA[#Data],5,FALSE)</f>
        <v>#REF!</v>
      </c>
    </row>
    <row r="2943" spans="1:23" x14ac:dyDescent="0.25">
      <c r="A2943" s="21">
        <v>45776</v>
      </c>
      <c r="B2943" s="1">
        <v>412073001</v>
      </c>
      <c r="C2943" t="s">
        <v>54</v>
      </c>
      <c r="D2943" s="22">
        <v>-861.1</v>
      </c>
      <c r="E2943" t="s">
        <v>35</v>
      </c>
      <c r="F2943" s="2">
        <v>212901001</v>
      </c>
      <c r="G2943" s="2" t="s">
        <v>121</v>
      </c>
      <c r="L2943" s="2" t="s">
        <v>5421</v>
      </c>
      <c r="M2943" t="s">
        <v>67</v>
      </c>
      <c r="N2943" t="s">
        <v>68</v>
      </c>
      <c r="P2943" s="23">
        <v>86.66</v>
      </c>
      <c r="Q2943" s="4">
        <f t="shared" si="45"/>
        <v>-9.9365335795061167</v>
      </c>
      <c r="R2943" s="23" t="s">
        <v>109</v>
      </c>
      <c r="U2943">
        <v>39</v>
      </c>
      <c r="V2943" t="e">
        <f>VLOOKUP(U2943,[1]!NOMINA[#Data],4,FALSE)</f>
        <v>#REF!</v>
      </c>
      <c r="W2943" t="e">
        <f>VLOOKUP(U2943,[1]!NOMINA[#Data],5,FALSE)</f>
        <v>#REF!</v>
      </c>
    </row>
    <row r="2944" spans="1:23" x14ac:dyDescent="0.25">
      <c r="A2944" s="21">
        <v>45776</v>
      </c>
      <c r="B2944" s="1">
        <v>412073002</v>
      </c>
      <c r="C2944" t="s">
        <v>54</v>
      </c>
      <c r="D2944" s="22">
        <v>-861.1</v>
      </c>
      <c r="E2944" t="s">
        <v>35</v>
      </c>
      <c r="F2944" s="2">
        <v>212901001</v>
      </c>
      <c r="G2944" s="2" t="s">
        <v>121</v>
      </c>
      <c r="L2944" s="2" t="s">
        <v>5422</v>
      </c>
      <c r="M2944" t="s">
        <v>67</v>
      </c>
      <c r="N2944" t="s">
        <v>68</v>
      </c>
      <c r="P2944" s="23">
        <v>86.66</v>
      </c>
      <c r="Q2944" s="4">
        <f t="shared" si="45"/>
        <v>-9.9365335795061167</v>
      </c>
      <c r="R2944" s="23" t="s">
        <v>109</v>
      </c>
      <c r="U2944">
        <v>41</v>
      </c>
      <c r="V2944" t="e">
        <f>VLOOKUP(U2944,[1]!NOMINA[#Data],4,FALSE)</f>
        <v>#REF!</v>
      </c>
      <c r="W2944" t="e">
        <f>VLOOKUP(U2944,[1]!NOMINA[#Data],5,FALSE)</f>
        <v>#REF!</v>
      </c>
    </row>
    <row r="2945" spans="1:23" x14ac:dyDescent="0.25">
      <c r="A2945" s="21">
        <v>45776</v>
      </c>
      <c r="B2945" s="1">
        <v>512073003</v>
      </c>
      <c r="C2945" t="s">
        <v>54</v>
      </c>
      <c r="D2945" s="22">
        <v>-5166.6000000000004</v>
      </c>
      <c r="E2945" t="s">
        <v>35</v>
      </c>
      <c r="F2945" s="2">
        <v>212901001</v>
      </c>
      <c r="G2945" s="2" t="s">
        <v>121</v>
      </c>
      <c r="L2945" s="2" t="s">
        <v>5423</v>
      </c>
      <c r="M2945" t="s">
        <v>67</v>
      </c>
      <c r="N2945" t="s">
        <v>68</v>
      </c>
      <c r="P2945" s="23">
        <v>86.66</v>
      </c>
      <c r="Q2945" s="4">
        <f t="shared" si="45"/>
        <v>-59.619201477036704</v>
      </c>
      <c r="R2945" s="23" t="s">
        <v>109</v>
      </c>
      <c r="U2945">
        <v>36</v>
      </c>
      <c r="V2945" t="e">
        <f>VLOOKUP(U2945,[1]!NOMINA[#Data],4,FALSE)</f>
        <v>#REF!</v>
      </c>
      <c r="W2945" t="e">
        <f>VLOOKUP(U2945,[1]!NOMINA[#Data],5,FALSE)</f>
        <v>#REF!</v>
      </c>
    </row>
    <row r="2946" spans="1:23" x14ac:dyDescent="0.25">
      <c r="A2946" s="21">
        <v>45776</v>
      </c>
      <c r="B2946" s="1">
        <v>412072995</v>
      </c>
      <c r="C2946" t="s">
        <v>54</v>
      </c>
      <c r="D2946" s="22">
        <v>-3444.4</v>
      </c>
      <c r="E2946" t="s">
        <v>35</v>
      </c>
      <c r="F2946" s="2">
        <v>212901001</v>
      </c>
      <c r="G2946" s="2" t="s">
        <v>121</v>
      </c>
      <c r="L2946" s="2" t="s">
        <v>5424</v>
      </c>
      <c r="M2946" t="s">
        <v>67</v>
      </c>
      <c r="N2946" t="s">
        <v>68</v>
      </c>
      <c r="P2946" s="23">
        <v>86.66</v>
      </c>
      <c r="Q2946" s="4">
        <f t="shared" si="45"/>
        <v>-39.746134318024467</v>
      </c>
      <c r="R2946" s="23" t="s">
        <v>109</v>
      </c>
      <c r="U2946">
        <v>44</v>
      </c>
      <c r="V2946" t="e">
        <f>VLOOKUP(U2946,[1]!NOMINA[#Data],4,FALSE)</f>
        <v>#REF!</v>
      </c>
      <c r="W2946" t="e">
        <f>VLOOKUP(U2946,[1]!NOMINA[#Data],5,FALSE)</f>
        <v>#REF!</v>
      </c>
    </row>
    <row r="2947" spans="1:23" x14ac:dyDescent="0.25">
      <c r="A2947" s="21">
        <v>45776</v>
      </c>
      <c r="B2947" s="1">
        <v>512073006</v>
      </c>
      <c r="C2947" t="s">
        <v>54</v>
      </c>
      <c r="D2947" s="22">
        <v>-861.1</v>
      </c>
      <c r="E2947" t="s">
        <v>35</v>
      </c>
      <c r="F2947" s="2">
        <v>212901001</v>
      </c>
      <c r="G2947" s="2" t="s">
        <v>121</v>
      </c>
      <c r="L2947" s="2" t="s">
        <v>5425</v>
      </c>
      <c r="M2947" t="s">
        <v>67</v>
      </c>
      <c r="N2947" t="s">
        <v>68</v>
      </c>
      <c r="P2947" s="23">
        <v>86.66</v>
      </c>
      <c r="Q2947" s="4">
        <f t="shared" si="45"/>
        <v>-9.9365335795061167</v>
      </c>
      <c r="R2947" s="23" t="s">
        <v>109</v>
      </c>
      <c r="U2947">
        <v>17</v>
      </c>
      <c r="V2947" t="e">
        <f>VLOOKUP(U2947,[1]!NOMINA[#Data],4,FALSE)</f>
        <v>#REF!</v>
      </c>
      <c r="W2947" t="e">
        <f>VLOOKUP(U2947,[1]!NOMINA[#Data],5,FALSE)</f>
        <v>#REF!</v>
      </c>
    </row>
    <row r="2948" spans="1:23" x14ac:dyDescent="0.25">
      <c r="A2948" s="21">
        <v>45776</v>
      </c>
      <c r="B2948" s="1">
        <v>412072998</v>
      </c>
      <c r="C2948" t="s">
        <v>54</v>
      </c>
      <c r="D2948" s="22">
        <v>-25833</v>
      </c>
      <c r="E2948" t="s">
        <v>35</v>
      </c>
      <c r="F2948" s="2">
        <v>212901001</v>
      </c>
      <c r="G2948" s="2" t="s">
        <v>121</v>
      </c>
      <c r="L2948" s="2" t="s">
        <v>5426</v>
      </c>
      <c r="M2948" t="s">
        <v>67</v>
      </c>
      <c r="N2948" t="s">
        <v>68</v>
      </c>
      <c r="P2948" s="23">
        <v>86.66</v>
      </c>
      <c r="Q2948" s="4">
        <f t="shared" si="45"/>
        <v>-298.0960073851835</v>
      </c>
      <c r="R2948" s="23" t="s">
        <v>109</v>
      </c>
      <c r="U2948">
        <v>2</v>
      </c>
      <c r="V2948" t="e">
        <f>VLOOKUP(Tabla3[[#This Row],[Nº]],[1]!NOMINA[#Data],4,FALSE)</f>
        <v>#REF!</v>
      </c>
      <c r="W2948" t="e">
        <f>VLOOKUP(Tabla3[[#This Row],[Nº]],[1]!NOMINA[#Data],5,FALSE)</f>
        <v>#REF!</v>
      </c>
    </row>
    <row r="2949" spans="1:23" x14ac:dyDescent="0.25">
      <c r="A2949" s="21">
        <v>45776</v>
      </c>
      <c r="B2949" s="1">
        <v>512073004</v>
      </c>
      <c r="C2949" t="s">
        <v>54</v>
      </c>
      <c r="D2949" s="22">
        <v>-861.1</v>
      </c>
      <c r="E2949" t="s">
        <v>35</v>
      </c>
      <c r="F2949" s="2">
        <v>212901001</v>
      </c>
      <c r="G2949" s="2" t="s">
        <v>121</v>
      </c>
      <c r="L2949" s="2" t="s">
        <v>5427</v>
      </c>
      <c r="M2949" t="s">
        <v>67</v>
      </c>
      <c r="N2949" t="s">
        <v>68</v>
      </c>
      <c r="P2949" s="23">
        <v>86.66</v>
      </c>
      <c r="Q2949" s="4">
        <f t="shared" si="45"/>
        <v>-9.9365335795061167</v>
      </c>
      <c r="R2949" s="23" t="s">
        <v>109</v>
      </c>
      <c r="U2949">
        <v>15</v>
      </c>
      <c r="V2949" t="e">
        <f>VLOOKUP(U2949,[1]!NOMINA[#Data],4,FALSE)</f>
        <v>#REF!</v>
      </c>
      <c r="W2949" t="e">
        <f>VLOOKUP(U2949,[1]!NOMINA[#Data],5,FALSE)</f>
        <v>#REF!</v>
      </c>
    </row>
    <row r="2950" spans="1:23" x14ac:dyDescent="0.25">
      <c r="A2950" s="21">
        <v>45776</v>
      </c>
      <c r="B2950" s="1">
        <v>512073007</v>
      </c>
      <c r="C2950" t="s">
        <v>54</v>
      </c>
      <c r="D2950" s="22">
        <v>-861.1</v>
      </c>
      <c r="E2950" t="s">
        <v>35</v>
      </c>
      <c r="F2950" s="2">
        <v>212901001</v>
      </c>
      <c r="G2950" s="2" t="s">
        <v>121</v>
      </c>
      <c r="L2950" s="2" t="s">
        <v>5428</v>
      </c>
      <c r="M2950" t="s">
        <v>67</v>
      </c>
      <c r="N2950" t="s">
        <v>68</v>
      </c>
      <c r="P2950" s="23">
        <v>86.66</v>
      </c>
      <c r="Q2950" s="4">
        <f t="shared" si="45"/>
        <v>-9.9365335795061167</v>
      </c>
      <c r="R2950" s="23" t="s">
        <v>109</v>
      </c>
      <c r="U2950">
        <v>15</v>
      </c>
      <c r="V2950" t="e">
        <f>VLOOKUP(U2950,[1]!NOMINA[#Data],4,FALSE)</f>
        <v>#REF!</v>
      </c>
      <c r="W2950" t="e">
        <f>VLOOKUP(U2950,[1]!NOMINA[#Data],5,FALSE)</f>
        <v>#REF!</v>
      </c>
    </row>
    <row r="2951" spans="1:23" x14ac:dyDescent="0.25">
      <c r="A2951" s="21">
        <v>45776</v>
      </c>
      <c r="B2951" s="1">
        <v>512073008</v>
      </c>
      <c r="C2951" t="s">
        <v>54</v>
      </c>
      <c r="D2951" s="22">
        <v>-861.1</v>
      </c>
      <c r="E2951" t="s">
        <v>35</v>
      </c>
      <c r="F2951" s="2">
        <v>212901001</v>
      </c>
      <c r="G2951" s="2" t="s">
        <v>121</v>
      </c>
      <c r="L2951" s="2" t="s">
        <v>5429</v>
      </c>
      <c r="M2951" t="s">
        <v>67</v>
      </c>
      <c r="N2951" t="s">
        <v>68</v>
      </c>
      <c r="P2951" s="23">
        <v>86.66</v>
      </c>
      <c r="Q2951" s="4">
        <f t="shared" si="45"/>
        <v>-9.9365335795061167</v>
      </c>
      <c r="R2951" s="23" t="s">
        <v>109</v>
      </c>
      <c r="U2951">
        <v>15</v>
      </c>
      <c r="V2951" t="e">
        <f>VLOOKUP(U2951,[1]!NOMINA[#Data],4,FALSE)</f>
        <v>#REF!</v>
      </c>
      <c r="W2951" t="e">
        <f>VLOOKUP(U2951,[1]!NOMINA[#Data],5,FALSE)</f>
        <v>#REF!</v>
      </c>
    </row>
    <row r="2952" spans="1:23" x14ac:dyDescent="0.25">
      <c r="A2952" s="21">
        <v>45776</v>
      </c>
      <c r="B2952" s="1">
        <v>512073010</v>
      </c>
      <c r="C2952" t="s">
        <v>54</v>
      </c>
      <c r="D2952" s="22">
        <v>-17222</v>
      </c>
      <c r="E2952" t="s">
        <v>35</v>
      </c>
      <c r="F2952" s="2">
        <v>212901001</v>
      </c>
      <c r="G2952" s="2" t="s">
        <v>121</v>
      </c>
      <c r="L2952" s="2" t="s">
        <v>5430</v>
      </c>
      <c r="M2952" t="s">
        <v>67</v>
      </c>
      <c r="N2952" t="s">
        <v>68</v>
      </c>
      <c r="P2952" s="23">
        <v>86.66</v>
      </c>
      <c r="Q2952" s="4">
        <f t="shared" si="45"/>
        <v>-198.73067159012231</v>
      </c>
      <c r="R2952" s="23" t="s">
        <v>109</v>
      </c>
      <c r="U2952">
        <v>1</v>
      </c>
      <c r="V2952" t="e">
        <f>VLOOKUP(U2952,[1]!NOMINA[#Data],4,FALSE)</f>
        <v>#REF!</v>
      </c>
      <c r="W2952" t="e">
        <f>VLOOKUP(U2952,[1]!NOMINA[#Data],5,FALSE)</f>
        <v>#REF!</v>
      </c>
    </row>
    <row r="2953" spans="1:23" x14ac:dyDescent="0.25">
      <c r="A2953" s="21">
        <v>45776</v>
      </c>
      <c r="B2953" s="1">
        <v>412073000</v>
      </c>
      <c r="C2953" t="s">
        <v>54</v>
      </c>
      <c r="D2953" s="22">
        <v>-5166.6000000000004</v>
      </c>
      <c r="E2953" t="s">
        <v>35</v>
      </c>
      <c r="F2953" s="2">
        <v>212901001</v>
      </c>
      <c r="G2953" s="2" t="s">
        <v>121</v>
      </c>
      <c r="L2953" s="2" t="s">
        <v>5431</v>
      </c>
      <c r="M2953" t="s">
        <v>67</v>
      </c>
      <c r="N2953" t="s">
        <v>68</v>
      </c>
      <c r="P2953" s="23">
        <v>86.66</v>
      </c>
      <c r="Q2953" s="4">
        <f t="shared" si="45"/>
        <v>-59.619201477036704</v>
      </c>
      <c r="R2953" s="23" t="s">
        <v>109</v>
      </c>
      <c r="U2953">
        <v>19</v>
      </c>
      <c r="V2953" t="e">
        <f>VLOOKUP(U2953,[1]!NOMINA[#Data],4,FALSE)</f>
        <v>#REF!</v>
      </c>
      <c r="W2953" t="e">
        <f>VLOOKUP(U2953,[1]!NOMINA[#Data],5,FALSE)</f>
        <v>#REF!</v>
      </c>
    </row>
    <row r="2954" spans="1:23" x14ac:dyDescent="0.25">
      <c r="A2954" s="21">
        <v>45776</v>
      </c>
      <c r="B2954" s="1">
        <v>512073012</v>
      </c>
      <c r="C2954" t="s">
        <v>54</v>
      </c>
      <c r="D2954" s="22">
        <v>-861.1</v>
      </c>
      <c r="E2954" t="s">
        <v>35</v>
      </c>
      <c r="F2954" s="2">
        <v>212901001</v>
      </c>
      <c r="G2954" s="2" t="s">
        <v>121</v>
      </c>
      <c r="L2954" s="2" t="s">
        <v>5432</v>
      </c>
      <c r="M2954" t="s">
        <v>67</v>
      </c>
      <c r="N2954" t="s">
        <v>68</v>
      </c>
      <c r="P2954" s="23">
        <v>86.66</v>
      </c>
      <c r="Q2954" s="4">
        <f t="shared" si="45"/>
        <v>-9.9365335795061167</v>
      </c>
      <c r="R2954" s="23" t="s">
        <v>109</v>
      </c>
      <c r="U2954">
        <v>15</v>
      </c>
      <c r="V2954" t="e">
        <f>VLOOKUP(U2954,[1]!NOMINA[#Data],4,FALSE)</f>
        <v>#REF!</v>
      </c>
      <c r="W2954" t="e">
        <f>VLOOKUP(U2954,[1]!NOMINA[#Data],5,FALSE)</f>
        <v>#REF!</v>
      </c>
    </row>
    <row r="2955" spans="1:23" x14ac:dyDescent="0.25">
      <c r="A2955" s="21">
        <v>45776</v>
      </c>
      <c r="B2955" s="1">
        <v>512073011</v>
      </c>
      <c r="C2955" t="s">
        <v>54</v>
      </c>
      <c r="D2955" s="22">
        <v>-5166.6000000000004</v>
      </c>
      <c r="E2955" t="s">
        <v>35</v>
      </c>
      <c r="F2955" s="2">
        <v>212901001</v>
      </c>
      <c r="G2955" s="2" t="s">
        <v>121</v>
      </c>
      <c r="L2955" s="2" t="s">
        <v>5433</v>
      </c>
      <c r="M2955" t="s">
        <v>67</v>
      </c>
      <c r="N2955" t="s">
        <v>68</v>
      </c>
      <c r="P2955" s="23">
        <v>86.66</v>
      </c>
      <c r="Q2955" s="4">
        <f t="shared" ref="Q2955:Q3018" si="46">D2955/P2955</f>
        <v>-59.619201477036704</v>
      </c>
      <c r="R2955" s="23" t="s">
        <v>109</v>
      </c>
      <c r="U2955">
        <v>15</v>
      </c>
      <c r="V2955" t="e">
        <f>VLOOKUP(U2955,[1]!NOMINA[#Data],4,FALSE)</f>
        <v>#REF!</v>
      </c>
      <c r="W2955" t="e">
        <f>VLOOKUP(U2955,[1]!NOMINA[#Data],5,FALSE)</f>
        <v>#REF!</v>
      </c>
    </row>
    <row r="2956" spans="1:23" x14ac:dyDescent="0.25">
      <c r="A2956" s="21">
        <v>45776</v>
      </c>
      <c r="B2956" s="1">
        <v>612073022</v>
      </c>
      <c r="C2956" t="s">
        <v>54</v>
      </c>
      <c r="D2956" s="22">
        <v>-861.1</v>
      </c>
      <c r="E2956" t="s">
        <v>35</v>
      </c>
      <c r="F2956" s="2">
        <v>212901001</v>
      </c>
      <c r="G2956" s="2" t="s">
        <v>121</v>
      </c>
      <c r="L2956" s="2" t="s">
        <v>5434</v>
      </c>
      <c r="M2956" t="s">
        <v>67</v>
      </c>
      <c r="N2956" t="s">
        <v>68</v>
      </c>
      <c r="P2956" s="23">
        <v>86.66</v>
      </c>
      <c r="Q2956" s="4">
        <f t="shared" si="46"/>
        <v>-9.9365335795061167</v>
      </c>
      <c r="R2956" s="23" t="s">
        <v>109</v>
      </c>
      <c r="U2956">
        <v>15</v>
      </c>
      <c r="V2956" t="e">
        <f>VLOOKUP(U2956,[1]!NOMINA[#Data],4,FALSE)</f>
        <v>#REF!</v>
      </c>
      <c r="W2956" t="e">
        <f>VLOOKUP(U2956,[1]!NOMINA[#Data],5,FALSE)</f>
        <v>#REF!</v>
      </c>
    </row>
    <row r="2957" spans="1:23" x14ac:dyDescent="0.25">
      <c r="A2957" s="21">
        <v>45776</v>
      </c>
      <c r="B2957" s="1">
        <v>612073019</v>
      </c>
      <c r="C2957" t="s">
        <v>54</v>
      </c>
      <c r="D2957" s="22">
        <v>-861.1</v>
      </c>
      <c r="E2957" t="s">
        <v>35</v>
      </c>
      <c r="F2957" s="2">
        <v>212901001</v>
      </c>
      <c r="G2957" s="2" t="s">
        <v>121</v>
      </c>
      <c r="L2957" s="2" t="s">
        <v>5435</v>
      </c>
      <c r="M2957" t="s">
        <v>67</v>
      </c>
      <c r="N2957" t="s">
        <v>68</v>
      </c>
      <c r="P2957" s="23">
        <v>86.66</v>
      </c>
      <c r="Q2957" s="4">
        <f t="shared" si="46"/>
        <v>-9.9365335795061167</v>
      </c>
      <c r="R2957" s="23" t="s">
        <v>109</v>
      </c>
      <c r="U2957">
        <v>15</v>
      </c>
      <c r="V2957" t="e">
        <f>VLOOKUP(U2957,[1]!NOMINA[#Data],4,FALSE)</f>
        <v>#REF!</v>
      </c>
      <c r="W2957" t="e">
        <f>VLOOKUP(U2957,[1]!NOMINA[#Data],5,FALSE)</f>
        <v>#REF!</v>
      </c>
    </row>
    <row r="2958" spans="1:23" x14ac:dyDescent="0.25">
      <c r="A2958" s="21">
        <v>45776</v>
      </c>
      <c r="B2958" s="1">
        <v>612073024</v>
      </c>
      <c r="C2958" t="s">
        <v>54</v>
      </c>
      <c r="D2958" s="22">
        <v>-861.1</v>
      </c>
      <c r="E2958" t="s">
        <v>35</v>
      </c>
      <c r="F2958" s="2">
        <v>212901001</v>
      </c>
      <c r="G2958" s="2" t="s">
        <v>121</v>
      </c>
      <c r="L2958" s="2" t="s">
        <v>5436</v>
      </c>
      <c r="M2958" t="s">
        <v>67</v>
      </c>
      <c r="N2958" t="s">
        <v>68</v>
      </c>
      <c r="P2958" s="23">
        <v>86.66</v>
      </c>
      <c r="Q2958" s="4">
        <f t="shared" si="46"/>
        <v>-9.9365335795061167</v>
      </c>
      <c r="R2958" s="23" t="s">
        <v>109</v>
      </c>
      <c r="U2958">
        <v>15</v>
      </c>
      <c r="V2958" t="e">
        <f>VLOOKUP(U2958,[1]!NOMINA[#Data],4,FALSE)</f>
        <v>#REF!</v>
      </c>
      <c r="W2958" t="e">
        <f>VLOOKUP(U2958,[1]!NOMINA[#Data],5,FALSE)</f>
        <v>#REF!</v>
      </c>
    </row>
    <row r="2959" spans="1:23" x14ac:dyDescent="0.25">
      <c r="A2959" s="21">
        <v>45776</v>
      </c>
      <c r="B2959" s="1">
        <v>612073016</v>
      </c>
      <c r="C2959" t="s">
        <v>54</v>
      </c>
      <c r="D2959" s="22">
        <v>-861.1</v>
      </c>
      <c r="E2959" t="s">
        <v>35</v>
      </c>
      <c r="F2959" s="2">
        <v>212901001</v>
      </c>
      <c r="G2959" s="2" t="s">
        <v>121</v>
      </c>
      <c r="L2959" s="2" t="s">
        <v>5437</v>
      </c>
      <c r="M2959" t="s">
        <v>67</v>
      </c>
      <c r="N2959" t="s">
        <v>68</v>
      </c>
      <c r="P2959" s="23">
        <v>86.66</v>
      </c>
      <c r="Q2959" s="4">
        <f t="shared" si="46"/>
        <v>-9.9365335795061167</v>
      </c>
      <c r="R2959" s="23" t="s">
        <v>109</v>
      </c>
      <c r="U2959">
        <v>15</v>
      </c>
      <c r="V2959" t="e">
        <f>VLOOKUP(U2959,[1]!NOMINA[#Data],4,FALSE)</f>
        <v>#REF!</v>
      </c>
      <c r="W2959" t="e">
        <f>VLOOKUP(U2959,[1]!NOMINA[#Data],5,FALSE)</f>
        <v>#REF!</v>
      </c>
    </row>
    <row r="2960" spans="1:23" x14ac:dyDescent="0.25">
      <c r="A2960" s="21">
        <v>45776</v>
      </c>
      <c r="B2960" s="1">
        <v>612073017</v>
      </c>
      <c r="C2960" t="s">
        <v>54</v>
      </c>
      <c r="D2960" s="22">
        <v>-5166.6000000000004</v>
      </c>
      <c r="E2960" t="s">
        <v>35</v>
      </c>
      <c r="F2960" s="2">
        <v>212901001</v>
      </c>
      <c r="G2960" s="2" t="s">
        <v>121</v>
      </c>
      <c r="L2960" s="2" t="s">
        <v>5438</v>
      </c>
      <c r="M2960" t="s">
        <v>67</v>
      </c>
      <c r="N2960" t="s">
        <v>68</v>
      </c>
      <c r="P2960" s="23">
        <v>86.66</v>
      </c>
      <c r="Q2960" s="4">
        <f t="shared" si="46"/>
        <v>-59.619201477036704</v>
      </c>
      <c r="R2960" s="23" t="s">
        <v>109</v>
      </c>
      <c r="U2960">
        <v>15</v>
      </c>
      <c r="V2960" t="e">
        <f>VLOOKUP(U2960,[1]!NOMINA[#Data],4,FALSE)</f>
        <v>#REF!</v>
      </c>
      <c r="W2960" t="e">
        <f>VLOOKUP(U2960,[1]!NOMINA[#Data],5,FALSE)</f>
        <v>#REF!</v>
      </c>
    </row>
    <row r="2961" spans="1:23" x14ac:dyDescent="0.25">
      <c r="A2961" s="21">
        <v>45776</v>
      </c>
      <c r="B2961" s="1">
        <v>612073015</v>
      </c>
      <c r="C2961" t="s">
        <v>54</v>
      </c>
      <c r="D2961" s="22">
        <v>-861.1</v>
      </c>
      <c r="E2961" t="s">
        <v>35</v>
      </c>
      <c r="F2961" s="2">
        <v>212901001</v>
      </c>
      <c r="G2961" s="2" t="s">
        <v>121</v>
      </c>
      <c r="L2961" s="2" t="s">
        <v>5439</v>
      </c>
      <c r="M2961" t="s">
        <v>67</v>
      </c>
      <c r="N2961" t="s">
        <v>68</v>
      </c>
      <c r="P2961" s="23">
        <v>86.66</v>
      </c>
      <c r="Q2961" s="4">
        <f t="shared" si="46"/>
        <v>-9.9365335795061167</v>
      </c>
      <c r="R2961" s="23" t="s">
        <v>109</v>
      </c>
      <c r="U2961">
        <v>15</v>
      </c>
      <c r="V2961" t="e">
        <f>VLOOKUP(U2961,[1]!NOMINA[#Data],4,FALSE)</f>
        <v>#REF!</v>
      </c>
      <c r="W2961" t="e">
        <f>VLOOKUP(U2961,[1]!NOMINA[#Data],5,FALSE)</f>
        <v>#REF!</v>
      </c>
    </row>
    <row r="2962" spans="1:23" x14ac:dyDescent="0.25">
      <c r="A2962" s="21">
        <v>45776</v>
      </c>
      <c r="B2962" s="1">
        <v>512073013</v>
      </c>
      <c r="C2962" t="s">
        <v>54</v>
      </c>
      <c r="D2962" s="22">
        <v>-861.1</v>
      </c>
      <c r="E2962" t="s">
        <v>35</v>
      </c>
      <c r="F2962" s="2">
        <v>212901001</v>
      </c>
      <c r="G2962" s="2" t="s">
        <v>121</v>
      </c>
      <c r="L2962" s="2" t="s">
        <v>5440</v>
      </c>
      <c r="M2962" t="s">
        <v>67</v>
      </c>
      <c r="N2962" t="s">
        <v>68</v>
      </c>
      <c r="P2962" s="23">
        <v>86.66</v>
      </c>
      <c r="Q2962" s="4">
        <f t="shared" si="46"/>
        <v>-9.9365335795061167</v>
      </c>
      <c r="R2962" s="23" t="s">
        <v>109</v>
      </c>
      <c r="U2962">
        <v>15</v>
      </c>
      <c r="V2962" t="e">
        <f>VLOOKUP(U2962,[1]!NOMINA[#Data],4,FALSE)</f>
        <v>#REF!</v>
      </c>
      <c r="W2962" t="e">
        <f>VLOOKUP(U2962,[1]!NOMINA[#Data],5,FALSE)</f>
        <v>#REF!</v>
      </c>
    </row>
    <row r="2963" spans="1:23" x14ac:dyDescent="0.25">
      <c r="A2963" s="21">
        <v>45776</v>
      </c>
      <c r="B2963" s="1">
        <v>612073020</v>
      </c>
      <c r="C2963" t="s">
        <v>54</v>
      </c>
      <c r="D2963" s="22">
        <v>-861.1</v>
      </c>
      <c r="E2963" t="s">
        <v>35</v>
      </c>
      <c r="F2963" s="2">
        <v>212901001</v>
      </c>
      <c r="G2963" s="2" t="s">
        <v>121</v>
      </c>
      <c r="L2963" s="2" t="s">
        <v>5441</v>
      </c>
      <c r="M2963" t="s">
        <v>67</v>
      </c>
      <c r="N2963" t="s">
        <v>68</v>
      </c>
      <c r="P2963" s="23">
        <v>86.66</v>
      </c>
      <c r="Q2963" s="4">
        <f t="shared" si="46"/>
        <v>-9.9365335795061167</v>
      </c>
      <c r="R2963" s="23" t="s">
        <v>109</v>
      </c>
      <c r="U2963">
        <v>29</v>
      </c>
      <c r="V2963" t="e">
        <f>VLOOKUP(U2963,[1]!NOMINA[#Data],4,FALSE)</f>
        <v>#REF!</v>
      </c>
      <c r="W2963" t="e">
        <f>VLOOKUP(U2963,[1]!NOMINA[#Data],5,FALSE)</f>
        <v>#REF!</v>
      </c>
    </row>
    <row r="2964" spans="1:23" x14ac:dyDescent="0.25">
      <c r="A2964" s="21">
        <v>45776</v>
      </c>
      <c r="B2964" s="1">
        <v>612073023</v>
      </c>
      <c r="C2964" t="s">
        <v>54</v>
      </c>
      <c r="D2964" s="22">
        <v>-861.1</v>
      </c>
      <c r="E2964" t="s">
        <v>35</v>
      </c>
      <c r="F2964" s="2">
        <v>212901001</v>
      </c>
      <c r="G2964" s="2" t="s">
        <v>121</v>
      </c>
      <c r="L2964" s="2" t="s">
        <v>5442</v>
      </c>
      <c r="M2964" t="s">
        <v>67</v>
      </c>
      <c r="N2964" t="s">
        <v>68</v>
      </c>
      <c r="P2964" s="23">
        <v>86.66</v>
      </c>
      <c r="Q2964" s="4">
        <f t="shared" si="46"/>
        <v>-9.9365335795061167</v>
      </c>
      <c r="R2964" s="23" t="s">
        <v>109</v>
      </c>
      <c r="U2964">
        <v>10</v>
      </c>
      <c r="V2964" t="e">
        <f>VLOOKUP(Tabla3[[#This Row],[Nº]],[1]!NOMINA[#Data],4,FALSE)</f>
        <v>#REF!</v>
      </c>
      <c r="W2964" t="e">
        <f>VLOOKUP(Tabla3[[#This Row],[Nº]],[1]!NOMINA[#Data],5,FALSE)</f>
        <v>#REF!</v>
      </c>
    </row>
    <row r="2965" spans="1:23" x14ac:dyDescent="0.25">
      <c r="A2965" s="21">
        <v>45776</v>
      </c>
      <c r="B2965" s="1">
        <v>712073027</v>
      </c>
      <c r="C2965" t="s">
        <v>54</v>
      </c>
      <c r="D2965" s="22">
        <v>-61.65</v>
      </c>
      <c r="E2965" t="s">
        <v>35</v>
      </c>
      <c r="F2965" s="2">
        <v>212901001</v>
      </c>
      <c r="G2965" s="2" t="s">
        <v>121</v>
      </c>
      <c r="L2965" s="2" t="s">
        <v>5443</v>
      </c>
      <c r="M2965" t="s">
        <v>67</v>
      </c>
      <c r="N2965" t="s">
        <v>68</v>
      </c>
      <c r="P2965" s="23">
        <v>86.66</v>
      </c>
      <c r="Q2965" s="4">
        <f t="shared" si="46"/>
        <v>-0.71140087699053778</v>
      </c>
      <c r="R2965" s="23" t="s">
        <v>109</v>
      </c>
      <c r="U2965">
        <v>9</v>
      </c>
      <c r="V2965" t="e">
        <f>VLOOKUP(Tabla3[[#This Row],[Nº]],[1]!NOMINA[#Data],4,FALSE)</f>
        <v>#REF!</v>
      </c>
      <c r="W2965" t="e">
        <f>VLOOKUP(Tabla3[[#This Row],[Nº]],[1]!NOMINA[#Data],5,FALSE)</f>
        <v>#REF!</v>
      </c>
    </row>
    <row r="2966" spans="1:23" x14ac:dyDescent="0.25">
      <c r="A2966" s="21">
        <v>45776</v>
      </c>
      <c r="B2966" s="1">
        <v>712073032</v>
      </c>
      <c r="C2966" t="s">
        <v>54</v>
      </c>
      <c r="D2966" s="22">
        <v>-61.65</v>
      </c>
      <c r="E2966" t="s">
        <v>35</v>
      </c>
      <c r="F2966" s="2">
        <v>212901001</v>
      </c>
      <c r="G2966" s="2" t="s">
        <v>121</v>
      </c>
      <c r="L2966" s="2" t="s">
        <v>5444</v>
      </c>
      <c r="M2966" t="s">
        <v>67</v>
      </c>
      <c r="N2966" t="s">
        <v>68</v>
      </c>
      <c r="P2966" s="23">
        <v>86.66</v>
      </c>
      <c r="Q2966" s="4">
        <f t="shared" si="46"/>
        <v>-0.71140087699053778</v>
      </c>
      <c r="R2966" s="23" t="s">
        <v>109</v>
      </c>
      <c r="U2966">
        <v>26</v>
      </c>
      <c r="V2966" t="e">
        <f>VLOOKUP(Tabla3[[#This Row],[Nº]],[1]!NOMINA[#Data],4,FALSE)</f>
        <v>#REF!</v>
      </c>
      <c r="W2966" t="e">
        <f>VLOOKUP(Tabla3[[#This Row],[Nº]],[1]!NOMINA[#Data],5,FALSE)</f>
        <v>#REF!</v>
      </c>
    </row>
    <row r="2967" spans="1:23" x14ac:dyDescent="0.25">
      <c r="A2967" s="21">
        <v>45776</v>
      </c>
      <c r="B2967" s="1">
        <v>612073025</v>
      </c>
      <c r="C2967" t="s">
        <v>54</v>
      </c>
      <c r="D2967" s="22">
        <v>-861.1</v>
      </c>
      <c r="E2967" t="s">
        <v>35</v>
      </c>
      <c r="F2967" s="2">
        <v>212901001</v>
      </c>
      <c r="G2967" s="2" t="s">
        <v>121</v>
      </c>
      <c r="L2967" s="2" t="s">
        <v>5445</v>
      </c>
      <c r="M2967" t="s">
        <v>67</v>
      </c>
      <c r="N2967" t="s">
        <v>68</v>
      </c>
      <c r="P2967" s="23">
        <v>86.66</v>
      </c>
      <c r="Q2967" s="4">
        <f t="shared" si="46"/>
        <v>-9.9365335795061167</v>
      </c>
      <c r="R2967" s="23" t="s">
        <v>109</v>
      </c>
      <c r="U2967">
        <v>38</v>
      </c>
      <c r="V2967" t="e">
        <f>VLOOKUP(U2967,[1]!NOMINA[#Data],4,FALSE)</f>
        <v>#REF!</v>
      </c>
      <c r="W2967" t="e">
        <f>VLOOKUP(U2967,[1]!NOMINA[#Data],5,FALSE)</f>
        <v>#REF!</v>
      </c>
    </row>
    <row r="2968" spans="1:23" x14ac:dyDescent="0.25">
      <c r="A2968" s="21">
        <v>45776</v>
      </c>
      <c r="B2968" s="1">
        <v>612073018</v>
      </c>
      <c r="C2968" t="s">
        <v>54</v>
      </c>
      <c r="D2968" s="22">
        <v>-861.1</v>
      </c>
      <c r="E2968" t="s">
        <v>35</v>
      </c>
      <c r="F2968" s="2">
        <v>212901001</v>
      </c>
      <c r="G2968" s="2" t="s">
        <v>121</v>
      </c>
      <c r="L2968" s="2" t="s">
        <v>5446</v>
      </c>
      <c r="M2968" t="s">
        <v>67</v>
      </c>
      <c r="N2968" t="s">
        <v>68</v>
      </c>
      <c r="P2968" s="23">
        <v>86.66</v>
      </c>
      <c r="Q2968" s="4">
        <f t="shared" si="46"/>
        <v>-9.9365335795061167</v>
      </c>
      <c r="R2968" s="23" t="s">
        <v>109</v>
      </c>
      <c r="U2968">
        <v>9</v>
      </c>
      <c r="V2968" t="e">
        <f>VLOOKUP(Tabla3[[#This Row],[Nº]],[1]!NOMINA[#Data],4,FALSE)</f>
        <v>#REF!</v>
      </c>
      <c r="W2968" t="e">
        <f>VLOOKUP(Tabla3[[#This Row],[Nº]],[1]!NOMINA[#Data],5,FALSE)</f>
        <v>#REF!</v>
      </c>
    </row>
    <row r="2969" spans="1:23" x14ac:dyDescent="0.25">
      <c r="A2969" s="21">
        <v>45776</v>
      </c>
      <c r="B2969" s="1">
        <v>712073030</v>
      </c>
      <c r="C2969" t="s">
        <v>54</v>
      </c>
      <c r="D2969" s="22">
        <v>-61.65</v>
      </c>
      <c r="E2969" t="s">
        <v>35</v>
      </c>
      <c r="F2969" s="2">
        <v>212901001</v>
      </c>
      <c r="G2969" s="2" t="s">
        <v>121</v>
      </c>
      <c r="L2969" s="2" t="s">
        <v>5447</v>
      </c>
      <c r="M2969" t="s">
        <v>67</v>
      </c>
      <c r="N2969" t="s">
        <v>68</v>
      </c>
      <c r="P2969" s="23">
        <v>86.66</v>
      </c>
      <c r="Q2969" s="4">
        <f t="shared" si="46"/>
        <v>-0.71140087699053778</v>
      </c>
      <c r="R2969" s="23" t="s">
        <v>109</v>
      </c>
      <c r="U2969">
        <v>29</v>
      </c>
      <c r="V2969" t="e">
        <f>VLOOKUP(U2969,[1]!NOMINA[#Data],4,FALSE)</f>
        <v>#REF!</v>
      </c>
      <c r="W2969" t="e">
        <f>VLOOKUP(U2969,[1]!NOMINA[#Data],5,FALSE)</f>
        <v>#REF!</v>
      </c>
    </row>
    <row r="2970" spans="1:23" x14ac:dyDescent="0.25">
      <c r="A2970" s="21">
        <v>45776</v>
      </c>
      <c r="B2970" s="1">
        <v>712073026</v>
      </c>
      <c r="C2970" t="s">
        <v>54</v>
      </c>
      <c r="D2970" s="22">
        <v>-861.1</v>
      </c>
      <c r="E2970" t="s">
        <v>35</v>
      </c>
      <c r="F2970" s="2">
        <v>212901001</v>
      </c>
      <c r="G2970" s="2" t="s">
        <v>121</v>
      </c>
      <c r="L2970" s="2" t="s">
        <v>5448</v>
      </c>
      <c r="M2970" t="s">
        <v>67</v>
      </c>
      <c r="N2970" t="s">
        <v>68</v>
      </c>
      <c r="P2970" s="23">
        <v>86.66</v>
      </c>
      <c r="Q2970" s="4">
        <f t="shared" si="46"/>
        <v>-9.9365335795061167</v>
      </c>
      <c r="R2970" s="23" t="s">
        <v>109</v>
      </c>
      <c r="U2970">
        <v>44</v>
      </c>
      <c r="V2970" t="e">
        <f>VLOOKUP(U2970,[1]!NOMINA[#Data],4,FALSE)</f>
        <v>#REF!</v>
      </c>
      <c r="W2970" t="e">
        <f>VLOOKUP(U2970,[1]!NOMINA[#Data],5,FALSE)</f>
        <v>#REF!</v>
      </c>
    </row>
    <row r="2971" spans="1:23" x14ac:dyDescent="0.25">
      <c r="A2971" s="21">
        <v>45776</v>
      </c>
      <c r="B2971" s="1">
        <v>712073029</v>
      </c>
      <c r="C2971" t="s">
        <v>54</v>
      </c>
      <c r="D2971" s="22">
        <v>-61.65</v>
      </c>
      <c r="E2971" t="s">
        <v>35</v>
      </c>
      <c r="F2971" s="2">
        <v>212901001</v>
      </c>
      <c r="G2971" s="2" t="s">
        <v>121</v>
      </c>
      <c r="L2971" s="2" t="s">
        <v>5449</v>
      </c>
      <c r="M2971" t="s">
        <v>67</v>
      </c>
      <c r="N2971" t="s">
        <v>68</v>
      </c>
      <c r="P2971" s="23">
        <v>86.66</v>
      </c>
      <c r="Q2971" s="4">
        <f t="shared" si="46"/>
        <v>-0.71140087699053778</v>
      </c>
      <c r="R2971" s="23" t="s">
        <v>109</v>
      </c>
      <c r="U2971">
        <v>44</v>
      </c>
      <c r="V2971" t="e">
        <f>VLOOKUP(U2971,[1]!NOMINA[#Data],4,FALSE)</f>
        <v>#REF!</v>
      </c>
      <c r="W2971" t="e">
        <f>VLOOKUP(U2971,[1]!NOMINA[#Data],5,FALSE)</f>
        <v>#REF!</v>
      </c>
    </row>
    <row r="2972" spans="1:23" x14ac:dyDescent="0.25">
      <c r="A2972" s="21">
        <v>45776</v>
      </c>
      <c r="B2972" s="1">
        <v>712073033</v>
      </c>
      <c r="C2972" t="s">
        <v>54</v>
      </c>
      <c r="D2972" s="22">
        <v>-61.65</v>
      </c>
      <c r="E2972" t="s">
        <v>35</v>
      </c>
      <c r="F2972" s="2">
        <v>212901001</v>
      </c>
      <c r="G2972" s="2" t="s">
        <v>121</v>
      </c>
      <c r="L2972" s="2" t="s">
        <v>5450</v>
      </c>
      <c r="M2972" t="s">
        <v>67</v>
      </c>
      <c r="N2972" t="s">
        <v>68</v>
      </c>
      <c r="P2972" s="23">
        <v>86.66</v>
      </c>
      <c r="Q2972" s="4">
        <f t="shared" si="46"/>
        <v>-0.71140087699053778</v>
      </c>
      <c r="R2972" s="23" t="s">
        <v>109</v>
      </c>
      <c r="U2972">
        <v>15</v>
      </c>
      <c r="V2972" t="e">
        <f>VLOOKUP(U2972,[1]!NOMINA[#Data],4,FALSE)</f>
        <v>#REF!</v>
      </c>
      <c r="W2972" t="e">
        <f>VLOOKUP(U2972,[1]!NOMINA[#Data],5,FALSE)</f>
        <v>#REF!</v>
      </c>
    </row>
    <row r="2973" spans="1:23" x14ac:dyDescent="0.25">
      <c r="A2973" s="21">
        <v>45776</v>
      </c>
      <c r="B2973" s="1">
        <v>812073037</v>
      </c>
      <c r="C2973" t="s">
        <v>54</v>
      </c>
      <c r="D2973" s="22">
        <v>-61.65</v>
      </c>
      <c r="E2973" t="s">
        <v>35</v>
      </c>
      <c r="F2973" s="2">
        <v>212901001</v>
      </c>
      <c r="G2973" s="2" t="s">
        <v>121</v>
      </c>
      <c r="L2973" s="2" t="s">
        <v>5451</v>
      </c>
      <c r="M2973" t="s">
        <v>67</v>
      </c>
      <c r="N2973" t="s">
        <v>68</v>
      </c>
      <c r="P2973" s="23">
        <v>86.66</v>
      </c>
      <c r="Q2973" s="4">
        <f t="shared" si="46"/>
        <v>-0.71140087699053778</v>
      </c>
      <c r="R2973" s="23" t="s">
        <v>109</v>
      </c>
      <c r="U2973">
        <v>15</v>
      </c>
      <c r="V2973" t="e">
        <f>VLOOKUP(U2973,[1]!NOMINA[#Data],4,FALSE)</f>
        <v>#REF!</v>
      </c>
      <c r="W2973" t="e">
        <f>VLOOKUP(U2973,[1]!NOMINA[#Data],5,FALSE)</f>
        <v>#REF!</v>
      </c>
    </row>
    <row r="2974" spans="1:23" x14ac:dyDescent="0.25">
      <c r="A2974" s="21">
        <v>45776</v>
      </c>
      <c r="B2974" s="1">
        <v>712073028</v>
      </c>
      <c r="C2974" t="s">
        <v>54</v>
      </c>
      <c r="D2974" s="22">
        <v>-61.65</v>
      </c>
      <c r="E2974" t="s">
        <v>35</v>
      </c>
      <c r="F2974" s="2">
        <v>212901001</v>
      </c>
      <c r="G2974" s="2" t="s">
        <v>121</v>
      </c>
      <c r="L2974" s="2" t="s">
        <v>5452</v>
      </c>
      <c r="M2974" t="s">
        <v>67</v>
      </c>
      <c r="N2974" t="s">
        <v>68</v>
      </c>
      <c r="P2974" s="23">
        <v>86.66</v>
      </c>
      <c r="Q2974" s="4">
        <f t="shared" si="46"/>
        <v>-0.71140087699053778</v>
      </c>
      <c r="R2974" s="23" t="s">
        <v>109</v>
      </c>
      <c r="U2974">
        <v>38</v>
      </c>
      <c r="V2974" t="e">
        <f>VLOOKUP(U2974,[1]!NOMINA[#Data],4,FALSE)</f>
        <v>#REF!</v>
      </c>
      <c r="W2974" t="e">
        <f>VLOOKUP(U2974,[1]!NOMINA[#Data],5,FALSE)</f>
        <v>#REF!</v>
      </c>
    </row>
    <row r="2975" spans="1:23" x14ac:dyDescent="0.25">
      <c r="A2975" s="21">
        <v>45776</v>
      </c>
      <c r="B2975" s="1">
        <v>712073035</v>
      </c>
      <c r="C2975" t="s">
        <v>54</v>
      </c>
      <c r="D2975" s="22">
        <v>-61.65</v>
      </c>
      <c r="E2975" t="s">
        <v>35</v>
      </c>
      <c r="F2975" s="2">
        <v>212901001</v>
      </c>
      <c r="G2975" s="2" t="s">
        <v>121</v>
      </c>
      <c r="L2975" s="2" t="s">
        <v>5453</v>
      </c>
      <c r="M2975" t="s">
        <v>67</v>
      </c>
      <c r="N2975" t="s">
        <v>68</v>
      </c>
      <c r="P2975" s="23">
        <v>86.66</v>
      </c>
      <c r="Q2975" s="4">
        <f t="shared" si="46"/>
        <v>-0.71140087699053778</v>
      </c>
      <c r="R2975" s="23" t="s">
        <v>109</v>
      </c>
      <c r="U2975">
        <v>15</v>
      </c>
      <c r="V2975" t="e">
        <f>VLOOKUP(U2975,[1]!NOMINA[#Data],4,FALSE)</f>
        <v>#REF!</v>
      </c>
      <c r="W2975" t="e">
        <f>VLOOKUP(U2975,[1]!NOMINA[#Data],5,FALSE)</f>
        <v>#REF!</v>
      </c>
    </row>
    <row r="2976" spans="1:23" x14ac:dyDescent="0.25">
      <c r="A2976" s="21">
        <v>45776</v>
      </c>
      <c r="B2976" s="1">
        <v>812073039</v>
      </c>
      <c r="C2976" t="s">
        <v>54</v>
      </c>
      <c r="D2976" s="22">
        <v>-61.65</v>
      </c>
      <c r="E2976" t="s">
        <v>35</v>
      </c>
      <c r="F2976" s="2">
        <v>212901001</v>
      </c>
      <c r="G2976" s="2" t="s">
        <v>121</v>
      </c>
      <c r="L2976" s="2" t="s">
        <v>5454</v>
      </c>
      <c r="M2976" t="s">
        <v>67</v>
      </c>
      <c r="N2976" t="s">
        <v>68</v>
      </c>
      <c r="P2976" s="23">
        <v>86.66</v>
      </c>
      <c r="Q2976" s="4">
        <f t="shared" si="46"/>
        <v>-0.71140087699053778</v>
      </c>
      <c r="R2976" s="23" t="s">
        <v>109</v>
      </c>
      <c r="U2976">
        <v>20</v>
      </c>
      <c r="V2976" t="e">
        <f>VLOOKUP(Tabla3[[#This Row],[Nº]],[1]!NOMINA[#Data],4,FALSE)</f>
        <v>#REF!</v>
      </c>
      <c r="W2976" t="e">
        <f>VLOOKUP(Tabla3[[#This Row],[Nº]],[1]!NOMINA[#Data],5,FALSE)</f>
        <v>#REF!</v>
      </c>
    </row>
    <row r="2977" spans="1:23" x14ac:dyDescent="0.25">
      <c r="A2977" s="21">
        <v>45776</v>
      </c>
      <c r="B2977" s="1">
        <v>712073034</v>
      </c>
      <c r="C2977" t="s">
        <v>54</v>
      </c>
      <c r="D2977" s="22">
        <v>-61.65</v>
      </c>
      <c r="E2977" t="s">
        <v>35</v>
      </c>
      <c r="F2977" s="2">
        <v>212901001</v>
      </c>
      <c r="G2977" s="2" t="s">
        <v>121</v>
      </c>
      <c r="L2977" s="2" t="s">
        <v>5455</v>
      </c>
      <c r="M2977" t="s">
        <v>67</v>
      </c>
      <c r="N2977" t="s">
        <v>68</v>
      </c>
      <c r="P2977" s="23">
        <v>86.66</v>
      </c>
      <c r="Q2977" s="4">
        <f t="shared" si="46"/>
        <v>-0.71140087699053778</v>
      </c>
      <c r="R2977" s="23" t="s">
        <v>109</v>
      </c>
      <c r="U2977">
        <v>41</v>
      </c>
      <c r="V2977" t="e">
        <f>VLOOKUP(U2977,[1]!NOMINA[#Data],4,FALSE)</f>
        <v>#REF!</v>
      </c>
      <c r="W2977" t="e">
        <f>VLOOKUP(U2977,[1]!NOMINA[#Data],5,FALSE)</f>
        <v>#REF!</v>
      </c>
    </row>
    <row r="2978" spans="1:23" x14ac:dyDescent="0.25">
      <c r="A2978" s="21">
        <v>45776</v>
      </c>
      <c r="B2978" s="1">
        <v>812073038</v>
      </c>
      <c r="C2978" t="s">
        <v>54</v>
      </c>
      <c r="D2978" s="22">
        <v>-61.65</v>
      </c>
      <c r="E2978" t="s">
        <v>35</v>
      </c>
      <c r="F2978" s="2">
        <v>212901001</v>
      </c>
      <c r="G2978" s="2" t="s">
        <v>121</v>
      </c>
      <c r="L2978" s="2" t="s">
        <v>5456</v>
      </c>
      <c r="M2978" t="s">
        <v>67</v>
      </c>
      <c r="N2978" t="s">
        <v>68</v>
      </c>
      <c r="P2978" s="23">
        <v>86.66</v>
      </c>
      <c r="Q2978" s="4">
        <f t="shared" si="46"/>
        <v>-0.71140087699053778</v>
      </c>
      <c r="R2978" s="23" t="s">
        <v>109</v>
      </c>
      <c r="U2978">
        <v>13</v>
      </c>
      <c r="V2978" t="e">
        <f>VLOOKUP(U2978,[1]!NOMINA[#Data],4,FALSE)</f>
        <v>#REF!</v>
      </c>
      <c r="W2978" t="e">
        <f>VLOOKUP(U2978,[1]!NOMINA[#Data],5,FALSE)</f>
        <v>#REF!</v>
      </c>
    </row>
    <row r="2979" spans="1:23" x14ac:dyDescent="0.25">
      <c r="A2979" s="21">
        <v>45776</v>
      </c>
      <c r="B2979" s="1">
        <v>812073040</v>
      </c>
      <c r="C2979" t="s">
        <v>54</v>
      </c>
      <c r="D2979" s="22">
        <v>-61.65</v>
      </c>
      <c r="E2979" t="s">
        <v>35</v>
      </c>
      <c r="F2979" s="2">
        <v>212901001</v>
      </c>
      <c r="G2979" s="2" t="s">
        <v>121</v>
      </c>
      <c r="L2979" s="2" t="s">
        <v>5457</v>
      </c>
      <c r="M2979" t="s">
        <v>67</v>
      </c>
      <c r="N2979" t="s">
        <v>68</v>
      </c>
      <c r="P2979" s="23">
        <v>86.66</v>
      </c>
      <c r="Q2979" s="4">
        <f t="shared" si="46"/>
        <v>-0.71140087699053778</v>
      </c>
      <c r="R2979" s="23" t="s">
        <v>109</v>
      </c>
      <c r="U2979">
        <v>8</v>
      </c>
      <c r="V2979" t="e">
        <f>VLOOKUP(U2979,[1]!NOMINA[#Data],4,FALSE)</f>
        <v>#REF!</v>
      </c>
      <c r="W2979" t="e">
        <f>VLOOKUP(U2979,[1]!NOMINA[#Data],5,FALSE)</f>
        <v>#REF!</v>
      </c>
    </row>
    <row r="2980" spans="1:23" x14ac:dyDescent="0.25">
      <c r="A2980" s="21">
        <v>45776</v>
      </c>
      <c r="B2980" s="1">
        <v>712073036</v>
      </c>
      <c r="C2980" t="s">
        <v>54</v>
      </c>
      <c r="D2980" s="22">
        <v>-61.65</v>
      </c>
      <c r="E2980" t="s">
        <v>35</v>
      </c>
      <c r="F2980" s="2">
        <v>212901001</v>
      </c>
      <c r="G2980" s="2" t="s">
        <v>121</v>
      </c>
      <c r="L2980" s="2" t="s">
        <v>5458</v>
      </c>
      <c r="M2980" t="s">
        <v>67</v>
      </c>
      <c r="N2980" t="s">
        <v>68</v>
      </c>
      <c r="P2980" s="23">
        <v>86.66</v>
      </c>
      <c r="Q2980" s="4">
        <f t="shared" si="46"/>
        <v>-0.71140087699053778</v>
      </c>
      <c r="R2980" s="23" t="s">
        <v>109</v>
      </c>
      <c r="U2980">
        <v>11</v>
      </c>
      <c r="V2980" t="e">
        <f>VLOOKUP(U2980,[1]!NOMINA[#Data],4,FALSE)</f>
        <v>#REF!</v>
      </c>
      <c r="W2980" t="e">
        <f>VLOOKUP(U2980,[1]!NOMINA[#Data],5,FALSE)</f>
        <v>#REF!</v>
      </c>
    </row>
    <row r="2981" spans="1:23" x14ac:dyDescent="0.25">
      <c r="A2981" s="21">
        <v>45776</v>
      </c>
      <c r="B2981" s="1">
        <v>812073043</v>
      </c>
      <c r="C2981" t="s">
        <v>54</v>
      </c>
      <c r="D2981" s="22">
        <v>-61.65</v>
      </c>
      <c r="E2981" t="s">
        <v>35</v>
      </c>
      <c r="F2981" s="2">
        <v>212901001</v>
      </c>
      <c r="G2981" s="2" t="s">
        <v>121</v>
      </c>
      <c r="L2981" s="2" t="s">
        <v>5459</v>
      </c>
      <c r="M2981" t="s">
        <v>67</v>
      </c>
      <c r="N2981" t="s">
        <v>68</v>
      </c>
      <c r="P2981" s="23">
        <v>86.66</v>
      </c>
      <c r="Q2981" s="4">
        <f t="shared" si="46"/>
        <v>-0.71140087699053778</v>
      </c>
      <c r="R2981" s="23" t="s">
        <v>109</v>
      </c>
      <c r="U2981">
        <v>23</v>
      </c>
      <c r="V2981" t="e">
        <f>VLOOKUP(U2981,[1]!NOMINA[#Data],4,FALSE)</f>
        <v>#REF!</v>
      </c>
      <c r="W2981" t="e">
        <f>VLOOKUP(U2981,[1]!NOMINA[#Data],5,FALSE)</f>
        <v>#REF!</v>
      </c>
    </row>
    <row r="2982" spans="1:23" x14ac:dyDescent="0.25">
      <c r="A2982" s="21">
        <v>45776</v>
      </c>
      <c r="B2982" s="1">
        <v>812073046</v>
      </c>
      <c r="C2982" t="s">
        <v>54</v>
      </c>
      <c r="D2982" s="22">
        <v>-61.65</v>
      </c>
      <c r="E2982" t="s">
        <v>35</v>
      </c>
      <c r="F2982" s="2">
        <v>212901001</v>
      </c>
      <c r="G2982" s="2" t="s">
        <v>121</v>
      </c>
      <c r="L2982" s="2" t="s">
        <v>5460</v>
      </c>
      <c r="M2982" t="s">
        <v>67</v>
      </c>
      <c r="N2982" t="s">
        <v>68</v>
      </c>
      <c r="P2982" s="23">
        <v>86.66</v>
      </c>
      <c r="Q2982" s="4">
        <f t="shared" si="46"/>
        <v>-0.71140087699053778</v>
      </c>
      <c r="R2982" s="23" t="s">
        <v>109</v>
      </c>
      <c r="U2982">
        <v>43</v>
      </c>
      <c r="V2982" t="e">
        <f>VLOOKUP(U2982,[1]!NOMINA[#Data],4,FALSE)</f>
        <v>#REF!</v>
      </c>
      <c r="W2982" t="e">
        <f>VLOOKUP(U2982,[1]!NOMINA[#Data],5,FALSE)</f>
        <v>#REF!</v>
      </c>
    </row>
    <row r="2983" spans="1:23" x14ac:dyDescent="0.25">
      <c r="A2983" s="21">
        <v>45776</v>
      </c>
      <c r="B2983" s="1">
        <v>812073041</v>
      </c>
      <c r="C2983" t="s">
        <v>54</v>
      </c>
      <c r="D2983" s="22">
        <v>-61.65</v>
      </c>
      <c r="E2983" t="s">
        <v>35</v>
      </c>
      <c r="F2983" s="2">
        <v>212901001</v>
      </c>
      <c r="G2983" s="2" t="s">
        <v>121</v>
      </c>
      <c r="L2983" s="2" t="s">
        <v>5461</v>
      </c>
      <c r="M2983" t="s">
        <v>67</v>
      </c>
      <c r="N2983" t="s">
        <v>68</v>
      </c>
      <c r="P2983" s="23">
        <v>86.66</v>
      </c>
      <c r="Q2983" s="4">
        <f t="shared" si="46"/>
        <v>-0.71140087699053778</v>
      </c>
      <c r="R2983" s="23" t="s">
        <v>109</v>
      </c>
      <c r="U2983">
        <v>17</v>
      </c>
      <c r="V2983" t="e">
        <f>VLOOKUP(U2983,[1]!NOMINA[#Data],4,FALSE)</f>
        <v>#REF!</v>
      </c>
      <c r="W2983" t="e">
        <f>VLOOKUP(U2983,[1]!NOMINA[#Data],5,FALSE)</f>
        <v>#REF!</v>
      </c>
    </row>
    <row r="2984" spans="1:23" x14ac:dyDescent="0.25">
      <c r="A2984" s="21">
        <v>45776</v>
      </c>
      <c r="B2984" s="1">
        <v>812073044</v>
      </c>
      <c r="C2984" t="s">
        <v>54</v>
      </c>
      <c r="D2984" s="22">
        <v>-61.65</v>
      </c>
      <c r="E2984" t="s">
        <v>35</v>
      </c>
      <c r="F2984" s="2">
        <v>212901001</v>
      </c>
      <c r="G2984" s="2" t="s">
        <v>121</v>
      </c>
      <c r="L2984" s="2" t="s">
        <v>5462</v>
      </c>
      <c r="M2984" t="s">
        <v>67</v>
      </c>
      <c r="N2984" t="s">
        <v>68</v>
      </c>
      <c r="P2984" s="23">
        <v>86.66</v>
      </c>
      <c r="Q2984" s="4">
        <f t="shared" si="46"/>
        <v>-0.71140087699053778</v>
      </c>
      <c r="R2984" s="23" t="s">
        <v>109</v>
      </c>
      <c r="U2984">
        <v>4</v>
      </c>
      <c r="V2984" t="e">
        <f>VLOOKUP(U2984,[1]!NOMINA[#Data],4,FALSE)</f>
        <v>#REF!</v>
      </c>
      <c r="W2984" t="e">
        <f>VLOOKUP(U2984,[1]!NOMINA[#Data],5,FALSE)</f>
        <v>#REF!</v>
      </c>
    </row>
    <row r="2985" spans="1:23" x14ac:dyDescent="0.25">
      <c r="A2985" s="21">
        <v>45776</v>
      </c>
      <c r="B2985" s="1">
        <v>812073045</v>
      </c>
      <c r="C2985" t="s">
        <v>54</v>
      </c>
      <c r="D2985" s="22">
        <v>-61.65</v>
      </c>
      <c r="E2985" t="s">
        <v>35</v>
      </c>
      <c r="F2985" s="2">
        <v>212901001</v>
      </c>
      <c r="G2985" s="2" t="s">
        <v>121</v>
      </c>
      <c r="L2985" s="2" t="s">
        <v>5463</v>
      </c>
      <c r="M2985" t="s">
        <v>67</v>
      </c>
      <c r="N2985" t="s">
        <v>68</v>
      </c>
      <c r="P2985" s="23">
        <v>86.66</v>
      </c>
      <c r="Q2985" s="4">
        <f t="shared" si="46"/>
        <v>-0.71140087699053778</v>
      </c>
      <c r="R2985" s="23" t="s">
        <v>109</v>
      </c>
      <c r="U2985">
        <v>14</v>
      </c>
      <c r="V2985" t="e">
        <f>VLOOKUP(U2985,[1]!NOMINA[#Data],4,FALSE)</f>
        <v>#REF!</v>
      </c>
      <c r="W2985" t="e">
        <f>VLOOKUP(U2985,[1]!NOMINA[#Data],5,FALSE)</f>
        <v>#REF!</v>
      </c>
    </row>
    <row r="2986" spans="1:23" x14ac:dyDescent="0.25">
      <c r="A2986" s="21">
        <v>45776</v>
      </c>
      <c r="B2986" s="1">
        <v>912073049</v>
      </c>
      <c r="C2986" t="s">
        <v>54</v>
      </c>
      <c r="D2986" s="22">
        <v>-53.07</v>
      </c>
      <c r="E2986" t="s">
        <v>35</v>
      </c>
      <c r="F2986" s="2">
        <v>212901001</v>
      </c>
      <c r="G2986" s="2" t="s">
        <v>121</v>
      </c>
      <c r="L2986" s="2" t="s">
        <v>5464</v>
      </c>
      <c r="M2986" t="s">
        <v>67</v>
      </c>
      <c r="N2986" t="s">
        <v>68</v>
      </c>
      <c r="P2986" s="23">
        <v>86.66</v>
      </c>
      <c r="Q2986" s="4">
        <f t="shared" si="46"/>
        <v>-0.61239326102007852</v>
      </c>
      <c r="R2986" s="23" t="s">
        <v>109</v>
      </c>
      <c r="U2986">
        <v>42</v>
      </c>
      <c r="V2986" t="e">
        <f>VLOOKUP(U2986,[1]!NOMINA[#Data],4,FALSE)</f>
        <v>#REF!</v>
      </c>
      <c r="W2986" t="e">
        <f>VLOOKUP(U2986,[1]!NOMINA[#Data],5,FALSE)</f>
        <v>#REF!</v>
      </c>
    </row>
    <row r="2987" spans="1:23" x14ac:dyDescent="0.25">
      <c r="A2987" s="21">
        <v>45776</v>
      </c>
      <c r="B2987" s="1">
        <v>512073005</v>
      </c>
      <c r="C2987" t="s">
        <v>54</v>
      </c>
      <c r="D2987" s="22">
        <v>-861.1</v>
      </c>
      <c r="E2987" t="s">
        <v>35</v>
      </c>
      <c r="F2987" s="2">
        <v>212901001</v>
      </c>
      <c r="G2987" s="2" t="s">
        <v>121</v>
      </c>
      <c r="L2987" s="2" t="s">
        <v>5465</v>
      </c>
      <c r="M2987" t="s">
        <v>67</v>
      </c>
      <c r="N2987" t="s">
        <v>68</v>
      </c>
      <c r="P2987" s="23">
        <v>86.66</v>
      </c>
      <c r="Q2987" s="4">
        <f t="shared" si="46"/>
        <v>-9.9365335795061167</v>
      </c>
      <c r="R2987" s="23" t="s">
        <v>109</v>
      </c>
      <c r="U2987">
        <v>18</v>
      </c>
      <c r="V2987" t="e">
        <f>VLOOKUP(Tabla3[[#This Row],[Nº]],[1]!NOMINA[#Data],4,FALSE)</f>
        <v>#REF!</v>
      </c>
      <c r="W2987" t="e">
        <f>VLOOKUP(Tabla3[[#This Row],[Nº]],[1]!NOMINA[#Data],5,FALSE)</f>
        <v>#REF!</v>
      </c>
    </row>
    <row r="2988" spans="1:23" x14ac:dyDescent="0.25">
      <c r="A2988" s="21">
        <v>45776</v>
      </c>
      <c r="B2988" s="1">
        <v>912073047</v>
      </c>
      <c r="C2988" t="s">
        <v>54</v>
      </c>
      <c r="D2988" s="22">
        <v>-61.65</v>
      </c>
      <c r="E2988" t="s">
        <v>35</v>
      </c>
      <c r="F2988" s="2">
        <v>212901001</v>
      </c>
      <c r="G2988" s="2" t="s">
        <v>121</v>
      </c>
      <c r="L2988" s="2" t="s">
        <v>5466</v>
      </c>
      <c r="M2988" t="s">
        <v>67</v>
      </c>
      <c r="N2988" t="s">
        <v>68</v>
      </c>
      <c r="P2988" s="23">
        <v>86.66</v>
      </c>
      <c r="Q2988" s="4">
        <f t="shared" si="46"/>
        <v>-0.71140087699053778</v>
      </c>
      <c r="R2988" s="23" t="s">
        <v>109</v>
      </c>
      <c r="U2988">
        <v>22</v>
      </c>
      <c r="V2988" t="e">
        <f>VLOOKUP(Tabla3[[#This Row],[Nº]],[1]!NOMINA[#Data],4,FALSE)</f>
        <v>#REF!</v>
      </c>
      <c r="W2988" t="e">
        <f>VLOOKUP(U2988,[1]!NOMINA[#Data],5,FALSE)</f>
        <v>#REF!</v>
      </c>
    </row>
    <row r="2989" spans="1:23" x14ac:dyDescent="0.25">
      <c r="A2989" s="21">
        <v>45776</v>
      </c>
      <c r="B2989" s="1">
        <v>912073051</v>
      </c>
      <c r="C2989" t="s">
        <v>54</v>
      </c>
      <c r="D2989" s="22">
        <v>-61.65</v>
      </c>
      <c r="E2989" t="s">
        <v>35</v>
      </c>
      <c r="F2989" s="2">
        <v>212901001</v>
      </c>
      <c r="G2989" s="2" t="s">
        <v>121</v>
      </c>
      <c r="L2989" s="2" t="s">
        <v>5467</v>
      </c>
      <c r="M2989" t="s">
        <v>67</v>
      </c>
      <c r="N2989" t="s">
        <v>68</v>
      </c>
      <c r="P2989" s="23">
        <v>86.66</v>
      </c>
      <c r="Q2989" s="4">
        <f t="shared" si="46"/>
        <v>-0.71140087699053778</v>
      </c>
      <c r="R2989" s="23" t="s">
        <v>109</v>
      </c>
      <c r="U2989">
        <v>39</v>
      </c>
      <c r="V2989" t="e">
        <f>VLOOKUP(U2989,[1]!NOMINA[#Data],4,FALSE)</f>
        <v>#REF!</v>
      </c>
      <c r="W2989" t="e">
        <f>VLOOKUP(U2989,[1]!NOMINA[#Data],5,FALSE)</f>
        <v>#REF!</v>
      </c>
    </row>
    <row r="2990" spans="1:23" x14ac:dyDescent="0.25">
      <c r="A2990" s="21">
        <v>45776</v>
      </c>
      <c r="B2990" s="1">
        <v>912073052</v>
      </c>
      <c r="C2990" t="s">
        <v>54</v>
      </c>
      <c r="D2990" s="22">
        <v>-61.65</v>
      </c>
      <c r="E2990" t="s">
        <v>35</v>
      </c>
      <c r="F2990" s="2">
        <v>212901001</v>
      </c>
      <c r="G2990" s="2" t="s">
        <v>121</v>
      </c>
      <c r="L2990" s="2" t="s">
        <v>5468</v>
      </c>
      <c r="M2990" t="s">
        <v>67</v>
      </c>
      <c r="N2990" t="s">
        <v>68</v>
      </c>
      <c r="P2990" s="23">
        <v>86.66</v>
      </c>
      <c r="Q2990" s="4">
        <f t="shared" si="46"/>
        <v>-0.71140087699053778</v>
      </c>
      <c r="R2990" s="23" t="s">
        <v>109</v>
      </c>
      <c r="U2990">
        <v>21</v>
      </c>
      <c r="V2990" t="e">
        <f>VLOOKUP(U2990,[1]!NOMINA[#Data],4,FALSE)</f>
        <v>#REF!</v>
      </c>
      <c r="W2990" t="e">
        <f>VLOOKUP(U2990,[1]!NOMINA[#Data],5,FALSE)</f>
        <v>#REF!</v>
      </c>
    </row>
    <row r="2991" spans="1:23" x14ac:dyDescent="0.25">
      <c r="A2991" s="21">
        <v>45776</v>
      </c>
      <c r="B2991" s="1">
        <v>912073050</v>
      </c>
      <c r="C2991" t="s">
        <v>54</v>
      </c>
      <c r="D2991" s="22">
        <v>-61.65</v>
      </c>
      <c r="E2991" t="s">
        <v>35</v>
      </c>
      <c r="F2991" s="2">
        <v>212901001</v>
      </c>
      <c r="G2991" s="2" t="s">
        <v>121</v>
      </c>
      <c r="L2991" s="2" t="s">
        <v>5469</v>
      </c>
      <c r="M2991" t="s">
        <v>67</v>
      </c>
      <c r="N2991" t="s">
        <v>68</v>
      </c>
      <c r="P2991" s="23">
        <v>86.66</v>
      </c>
      <c r="Q2991" s="4">
        <f t="shared" si="46"/>
        <v>-0.71140087699053778</v>
      </c>
      <c r="R2991" s="23" t="s">
        <v>109</v>
      </c>
      <c r="U2991">
        <v>25</v>
      </c>
      <c r="V2991" t="e">
        <f>VLOOKUP(U2991,[1]!NOMINA[#Data],4,FALSE)</f>
        <v>#REF!</v>
      </c>
      <c r="W2991" t="e">
        <f>VLOOKUP(U2991,[1]!NOMINA[#Data],5,FALSE)</f>
        <v>#REF!</v>
      </c>
    </row>
    <row r="2992" spans="1:23" x14ac:dyDescent="0.25">
      <c r="A2992" s="21">
        <v>45776</v>
      </c>
      <c r="B2992" s="1">
        <v>912073056</v>
      </c>
      <c r="C2992" t="s">
        <v>54</v>
      </c>
      <c r="D2992" s="22">
        <v>-61.65</v>
      </c>
      <c r="E2992" t="s">
        <v>35</v>
      </c>
      <c r="F2992" s="2">
        <v>212901001</v>
      </c>
      <c r="G2992" s="2" t="s">
        <v>121</v>
      </c>
      <c r="L2992" s="2" t="s">
        <v>5470</v>
      </c>
      <c r="M2992" t="s">
        <v>67</v>
      </c>
      <c r="N2992" t="s">
        <v>68</v>
      </c>
      <c r="P2992" s="23">
        <v>86.66</v>
      </c>
      <c r="Q2992" s="4">
        <f t="shared" si="46"/>
        <v>-0.71140087699053778</v>
      </c>
      <c r="R2992" s="23" t="s">
        <v>109</v>
      </c>
      <c r="U2992">
        <v>12</v>
      </c>
      <c r="V2992" t="e">
        <f>VLOOKUP(U2992,[1]!NOMINA[#Data],4,FALSE)</f>
        <v>#REF!</v>
      </c>
      <c r="W2992" t="e">
        <f>VLOOKUP(U2992,[1]!NOMINA[#Data],5,FALSE)</f>
        <v>#REF!</v>
      </c>
    </row>
    <row r="2993" spans="1:23" x14ac:dyDescent="0.25">
      <c r="A2993" s="21">
        <v>45776</v>
      </c>
      <c r="B2993" s="1">
        <v>912073054</v>
      </c>
      <c r="C2993" t="s">
        <v>54</v>
      </c>
      <c r="D2993" s="22">
        <v>-61.65</v>
      </c>
      <c r="E2993" t="s">
        <v>35</v>
      </c>
      <c r="F2993" s="2">
        <v>212901001</v>
      </c>
      <c r="G2993" s="2" t="s">
        <v>121</v>
      </c>
      <c r="L2993" s="2" t="s">
        <v>5471</v>
      </c>
      <c r="M2993" t="s">
        <v>67</v>
      </c>
      <c r="N2993" t="s">
        <v>68</v>
      </c>
      <c r="P2993" s="23">
        <v>86.66</v>
      </c>
      <c r="Q2993" s="4">
        <f t="shared" si="46"/>
        <v>-0.71140087699053778</v>
      </c>
      <c r="R2993" s="23" t="s">
        <v>109</v>
      </c>
      <c r="U2993">
        <v>2</v>
      </c>
      <c r="V2993" t="e">
        <f>VLOOKUP(Tabla3[[#This Row],[Nº]],[1]!NOMINA[#Data],4,FALSE)</f>
        <v>#REF!</v>
      </c>
      <c r="W2993" t="e">
        <f>VLOOKUP(Tabla3[[#This Row],[Nº]],[1]!NOMINA[#Data],5,FALSE)</f>
        <v>#REF!</v>
      </c>
    </row>
    <row r="2994" spans="1:23" x14ac:dyDescent="0.25">
      <c r="A2994" s="21">
        <v>45776</v>
      </c>
      <c r="B2994" s="1">
        <v>912073053</v>
      </c>
      <c r="C2994" t="s">
        <v>54</v>
      </c>
      <c r="D2994" s="22">
        <v>-61.65</v>
      </c>
      <c r="E2994" t="s">
        <v>35</v>
      </c>
      <c r="F2994" s="2">
        <v>212901001</v>
      </c>
      <c r="G2994" s="2" t="s">
        <v>121</v>
      </c>
      <c r="L2994" s="2" t="s">
        <v>5472</v>
      </c>
      <c r="M2994" t="s">
        <v>67</v>
      </c>
      <c r="N2994" t="s">
        <v>68</v>
      </c>
      <c r="P2994" s="23">
        <v>86.66</v>
      </c>
      <c r="Q2994" s="4">
        <f t="shared" si="46"/>
        <v>-0.71140087699053778</v>
      </c>
      <c r="R2994" s="23" t="s">
        <v>109</v>
      </c>
      <c r="U2994">
        <v>28</v>
      </c>
      <c r="V2994" t="e">
        <f>VLOOKUP(U2994,[1]!NOMINA[#Data],4,FALSE)</f>
        <v>#REF!</v>
      </c>
      <c r="W2994" t="e">
        <f>VLOOKUP(U2994,[1]!NOMINA[#Data],5,FALSE)</f>
        <v>#REF!</v>
      </c>
    </row>
    <row r="2995" spans="1:23" x14ac:dyDescent="0.25">
      <c r="A2995" s="21">
        <v>45776</v>
      </c>
      <c r="B2995" s="1">
        <v>12073059</v>
      </c>
      <c r="C2995" t="s">
        <v>54</v>
      </c>
      <c r="D2995" s="22">
        <v>-61.65</v>
      </c>
      <c r="E2995" t="s">
        <v>35</v>
      </c>
      <c r="F2995" s="2">
        <v>212901001</v>
      </c>
      <c r="G2995" s="2" t="s">
        <v>121</v>
      </c>
      <c r="L2995" s="2" t="s">
        <v>5473</v>
      </c>
      <c r="M2995" t="s">
        <v>67</v>
      </c>
      <c r="N2995" t="s">
        <v>68</v>
      </c>
      <c r="P2995" s="23">
        <v>86.66</v>
      </c>
      <c r="Q2995" s="4">
        <f t="shared" si="46"/>
        <v>-0.71140087699053778</v>
      </c>
      <c r="R2995" s="23" t="s">
        <v>109</v>
      </c>
      <c r="U2995">
        <v>6</v>
      </c>
      <c r="V2995" t="e">
        <f>VLOOKUP(U2995,[1]!NOMINA[#Data],4,FALSE)</f>
        <v>#REF!</v>
      </c>
      <c r="W2995" t="e">
        <f>VLOOKUP(U2995,[1]!NOMINA[#Data],5,FALSE)</f>
        <v>#REF!</v>
      </c>
    </row>
    <row r="2996" spans="1:23" x14ac:dyDescent="0.25">
      <c r="A2996" s="21">
        <v>45776</v>
      </c>
      <c r="B2996" s="1">
        <v>12073058</v>
      </c>
      <c r="C2996" t="s">
        <v>54</v>
      </c>
      <c r="D2996" s="22">
        <v>-61.65</v>
      </c>
      <c r="E2996" t="s">
        <v>35</v>
      </c>
      <c r="F2996" s="2">
        <v>212901001</v>
      </c>
      <c r="G2996" s="2" t="s">
        <v>121</v>
      </c>
      <c r="L2996" s="2" t="s">
        <v>5474</v>
      </c>
      <c r="M2996" t="s">
        <v>67</v>
      </c>
      <c r="N2996" t="s">
        <v>68</v>
      </c>
      <c r="P2996" s="23">
        <v>86.66</v>
      </c>
      <c r="Q2996" s="4">
        <f t="shared" si="46"/>
        <v>-0.71140087699053778</v>
      </c>
      <c r="R2996" s="23" t="s">
        <v>109</v>
      </c>
      <c r="U2996">
        <v>24</v>
      </c>
      <c r="V2996" t="e">
        <f>VLOOKUP(U2996,[1]!NOMINA[#Data],4,FALSE)</f>
        <v>#REF!</v>
      </c>
      <c r="W2996" t="e">
        <f>VLOOKUP(U2996,[1]!NOMINA[#Data],5,FALSE)</f>
        <v>#REF!</v>
      </c>
    </row>
    <row r="2997" spans="1:23" x14ac:dyDescent="0.25">
      <c r="A2997" s="21">
        <v>45776</v>
      </c>
      <c r="B2997" s="1">
        <v>912073057</v>
      </c>
      <c r="C2997" t="s">
        <v>54</v>
      </c>
      <c r="D2997" s="22">
        <v>-61.65</v>
      </c>
      <c r="E2997" t="s">
        <v>35</v>
      </c>
      <c r="F2997" s="2">
        <v>212901001</v>
      </c>
      <c r="G2997" s="2" t="s">
        <v>121</v>
      </c>
      <c r="L2997" s="2" t="s">
        <v>5475</v>
      </c>
      <c r="M2997" t="s">
        <v>67</v>
      </c>
      <c r="N2997" t="s">
        <v>68</v>
      </c>
      <c r="P2997" s="23">
        <v>86.66</v>
      </c>
      <c r="Q2997" s="4">
        <f t="shared" si="46"/>
        <v>-0.71140087699053778</v>
      </c>
      <c r="R2997" s="23" t="s">
        <v>109</v>
      </c>
      <c r="U2997">
        <v>3</v>
      </c>
      <c r="V2997" t="e">
        <f>VLOOKUP(U2997,[1]!NOMINA[#Data],4,FALSE)</f>
        <v>#REF!</v>
      </c>
      <c r="W2997" t="e">
        <f>VLOOKUP(U2997,[1]!NOMINA[#Data],5,FALSE)</f>
        <v>#REF!</v>
      </c>
    </row>
    <row r="2998" spans="1:23" x14ac:dyDescent="0.25">
      <c r="A2998" s="21">
        <v>45776</v>
      </c>
      <c r="B2998" s="1">
        <v>12073062</v>
      </c>
      <c r="C2998" t="s">
        <v>54</v>
      </c>
      <c r="D2998" s="22">
        <v>-57.36</v>
      </c>
      <c r="E2998" t="s">
        <v>35</v>
      </c>
      <c r="F2998" s="2">
        <v>212901001</v>
      </c>
      <c r="G2998" s="2" t="s">
        <v>121</v>
      </c>
      <c r="L2998" s="2" t="s">
        <v>5476</v>
      </c>
      <c r="M2998" t="s">
        <v>67</v>
      </c>
      <c r="N2998" t="s">
        <v>68</v>
      </c>
      <c r="P2998" s="23">
        <v>86.66</v>
      </c>
      <c r="Q2998" s="4">
        <f t="shared" si="46"/>
        <v>-0.66189706900530809</v>
      </c>
      <c r="R2998" s="23" t="s">
        <v>109</v>
      </c>
      <c r="U2998">
        <v>5</v>
      </c>
      <c r="V2998" t="e">
        <f>VLOOKUP(U2998,[1]!NOMINA[#Data],4,FALSE)</f>
        <v>#REF!</v>
      </c>
      <c r="W2998" t="e">
        <f>VLOOKUP(U2998,[1]!NOMINA[#Data],5,FALSE)</f>
        <v>#REF!</v>
      </c>
    </row>
    <row r="2999" spans="1:23" x14ac:dyDescent="0.25">
      <c r="A2999" s="21">
        <v>45776</v>
      </c>
      <c r="B2999" s="1">
        <v>912073055</v>
      </c>
      <c r="C2999" t="s">
        <v>54</v>
      </c>
      <c r="D2999" s="22">
        <v>-61.65</v>
      </c>
      <c r="E2999" t="s">
        <v>35</v>
      </c>
      <c r="F2999" s="2">
        <v>212901001</v>
      </c>
      <c r="G2999" s="2" t="s">
        <v>121</v>
      </c>
      <c r="L2999" s="2" t="s">
        <v>5477</v>
      </c>
      <c r="M2999" t="s">
        <v>67</v>
      </c>
      <c r="N2999" t="s">
        <v>68</v>
      </c>
      <c r="P2999" s="23">
        <v>86.66</v>
      </c>
      <c r="Q2999" s="4">
        <f t="shared" si="46"/>
        <v>-0.71140087699053778</v>
      </c>
      <c r="R2999" s="23" t="s">
        <v>109</v>
      </c>
      <c r="U2999">
        <v>27</v>
      </c>
      <c r="V2999" t="e">
        <f>VLOOKUP(U2999,[1]!NOMINA[#Data],4,FALSE)</f>
        <v>#REF!</v>
      </c>
      <c r="W2999" t="e">
        <f>VLOOKUP(U2999,[1]!NOMINA[#Data],5,FALSE)</f>
        <v>#REF!</v>
      </c>
    </row>
    <row r="3000" spans="1:23" x14ac:dyDescent="0.25">
      <c r="A3000" s="21">
        <v>45776</v>
      </c>
      <c r="B3000" s="1">
        <v>12073060</v>
      </c>
      <c r="C3000" t="s">
        <v>54</v>
      </c>
      <c r="D3000" s="22">
        <v>-61.65</v>
      </c>
      <c r="E3000" t="s">
        <v>35</v>
      </c>
      <c r="F3000" s="2">
        <v>212901001</v>
      </c>
      <c r="G3000" s="2" t="s">
        <v>121</v>
      </c>
      <c r="L3000" s="2" t="s">
        <v>5478</v>
      </c>
      <c r="M3000" t="s">
        <v>67</v>
      </c>
      <c r="N3000" t="s">
        <v>68</v>
      </c>
      <c r="P3000" s="23">
        <v>86.66</v>
      </c>
      <c r="Q3000" s="4">
        <f t="shared" si="46"/>
        <v>-0.71140087699053778</v>
      </c>
      <c r="R3000" s="23" t="s">
        <v>109</v>
      </c>
      <c r="U3000">
        <v>19</v>
      </c>
      <c r="V3000" t="e">
        <f>VLOOKUP(U3000,[1]!NOMINA[#Data],4,FALSE)</f>
        <v>#REF!</v>
      </c>
      <c r="W3000" t="e">
        <f>VLOOKUP(U3000,[1]!NOMINA[#Data],5,FALSE)</f>
        <v>#REF!</v>
      </c>
    </row>
    <row r="3001" spans="1:23" x14ac:dyDescent="0.25">
      <c r="A3001" s="21">
        <v>45776</v>
      </c>
      <c r="B3001" s="1">
        <v>12073065</v>
      </c>
      <c r="C3001" t="s">
        <v>54</v>
      </c>
      <c r="D3001" s="22">
        <v>-57.36</v>
      </c>
      <c r="E3001" t="s">
        <v>35</v>
      </c>
      <c r="F3001" s="2">
        <v>212901001</v>
      </c>
      <c r="G3001" s="2" t="s">
        <v>121</v>
      </c>
      <c r="L3001" s="2" t="s">
        <v>5479</v>
      </c>
      <c r="M3001" t="s">
        <v>67</v>
      </c>
      <c r="N3001" t="s">
        <v>68</v>
      </c>
      <c r="P3001" s="23">
        <v>86.66</v>
      </c>
      <c r="Q3001" s="4">
        <f t="shared" si="46"/>
        <v>-0.66189706900530809</v>
      </c>
      <c r="R3001" s="23" t="s">
        <v>109</v>
      </c>
      <c r="U3001">
        <v>16</v>
      </c>
      <c r="V3001" t="e">
        <f>VLOOKUP(Tabla3[[#This Row],[Nº]],[1]!NOMINA[#Data],4,FALSE)</f>
        <v>#REF!</v>
      </c>
      <c r="W3001" t="e">
        <f>VLOOKUP(Tabla3[[#This Row],[Nº]],[1]!NOMINA[#Data],5,FALSE)</f>
        <v>#REF!</v>
      </c>
    </row>
    <row r="3002" spans="1:23" x14ac:dyDescent="0.25">
      <c r="A3002" s="21">
        <v>45776</v>
      </c>
      <c r="B3002" s="1">
        <v>12073067</v>
      </c>
      <c r="C3002" t="s">
        <v>54</v>
      </c>
      <c r="D3002" s="22">
        <v>-61.65</v>
      </c>
      <c r="E3002" t="s">
        <v>35</v>
      </c>
      <c r="F3002" s="2">
        <v>212901001</v>
      </c>
      <c r="G3002" s="2" t="s">
        <v>121</v>
      </c>
      <c r="L3002" s="2" t="s">
        <v>5480</v>
      </c>
      <c r="M3002" t="s">
        <v>67</v>
      </c>
      <c r="N3002" t="s">
        <v>68</v>
      </c>
      <c r="P3002" s="23">
        <v>86.66</v>
      </c>
      <c r="Q3002" s="4">
        <f t="shared" si="46"/>
        <v>-0.71140087699053778</v>
      </c>
      <c r="R3002" s="23" t="s">
        <v>109</v>
      </c>
      <c r="U3002">
        <v>1</v>
      </c>
      <c r="V3002" t="e">
        <f>VLOOKUP(U3002,[1]!NOMINA[#Data],4,FALSE)</f>
        <v>#REF!</v>
      </c>
      <c r="W3002" t="e">
        <f>VLOOKUP(U3002,[1]!NOMINA[#Data],5,FALSE)</f>
        <v>#REF!</v>
      </c>
    </row>
    <row r="3003" spans="1:23" x14ac:dyDescent="0.25">
      <c r="A3003" s="21">
        <v>45776</v>
      </c>
      <c r="B3003" s="1">
        <v>112073071</v>
      </c>
      <c r="C3003" t="s">
        <v>54</v>
      </c>
      <c r="D3003" s="22">
        <v>-3444.4</v>
      </c>
      <c r="E3003" t="s">
        <v>35</v>
      </c>
      <c r="F3003" s="2">
        <v>212901001</v>
      </c>
      <c r="G3003" s="2" t="s">
        <v>121</v>
      </c>
      <c r="L3003" s="2" t="s">
        <v>5481</v>
      </c>
      <c r="M3003" t="s">
        <v>67</v>
      </c>
      <c r="N3003" t="s">
        <v>68</v>
      </c>
      <c r="P3003" s="23">
        <v>86.66</v>
      </c>
      <c r="Q3003" s="4">
        <f t="shared" si="46"/>
        <v>-39.746134318024467</v>
      </c>
      <c r="R3003" s="23" t="s">
        <v>109</v>
      </c>
      <c r="U3003">
        <v>10</v>
      </c>
      <c r="V3003" t="e">
        <f>VLOOKUP(U3003,[1]!NOMINA[#Data],4,FALSE)</f>
        <v>#REF!</v>
      </c>
      <c r="W3003" t="e">
        <f>VLOOKUP(U3003,[1]!NOMINA[#Data],5,FALSE)</f>
        <v>#REF!</v>
      </c>
    </row>
    <row r="3004" spans="1:23" x14ac:dyDescent="0.25">
      <c r="A3004" s="21">
        <v>45776</v>
      </c>
      <c r="B3004" s="1">
        <v>12073069</v>
      </c>
      <c r="C3004" t="s">
        <v>54</v>
      </c>
      <c r="D3004" s="22">
        <v>-3444.4</v>
      </c>
      <c r="E3004" t="s">
        <v>35</v>
      </c>
      <c r="F3004" s="2">
        <v>212901001</v>
      </c>
      <c r="G3004" s="2" t="s">
        <v>121</v>
      </c>
      <c r="L3004" s="2" t="s">
        <v>5482</v>
      </c>
      <c r="M3004" t="s">
        <v>67</v>
      </c>
      <c r="N3004" t="s">
        <v>68</v>
      </c>
      <c r="P3004" s="23">
        <v>86.66</v>
      </c>
      <c r="Q3004" s="4">
        <f t="shared" si="46"/>
        <v>-39.746134318024467</v>
      </c>
      <c r="R3004" s="23" t="s">
        <v>109</v>
      </c>
      <c r="U3004">
        <v>18</v>
      </c>
      <c r="V3004" t="e">
        <f>VLOOKUP(Tabla3[[#This Row],[Nº]],[1]!NOMINA[#Data],4,FALSE)</f>
        <v>#REF!</v>
      </c>
      <c r="W3004" t="e">
        <f>VLOOKUP(Tabla3[[#This Row],[Nº]],[1]!NOMINA[#Data],5,FALSE)</f>
        <v>#REF!</v>
      </c>
    </row>
    <row r="3005" spans="1:23" x14ac:dyDescent="0.25">
      <c r="A3005" s="21">
        <v>45776</v>
      </c>
      <c r="B3005" s="1">
        <v>112073073</v>
      </c>
      <c r="C3005" t="s">
        <v>54</v>
      </c>
      <c r="D3005" s="22">
        <v>-3444.4</v>
      </c>
      <c r="E3005" t="s">
        <v>35</v>
      </c>
      <c r="F3005" s="2">
        <v>212901001</v>
      </c>
      <c r="G3005" s="2" t="s">
        <v>121</v>
      </c>
      <c r="L3005" s="2" t="s">
        <v>5483</v>
      </c>
      <c r="M3005" t="s">
        <v>67</v>
      </c>
      <c r="N3005" t="s">
        <v>68</v>
      </c>
      <c r="P3005" s="23">
        <v>86.66</v>
      </c>
      <c r="Q3005" s="4">
        <f t="shared" si="46"/>
        <v>-39.746134318024467</v>
      </c>
      <c r="R3005" s="23" t="s">
        <v>109</v>
      </c>
      <c r="U3005">
        <v>38</v>
      </c>
      <c r="V3005" t="e">
        <f>VLOOKUP(U3005,[1]!NOMINA[#Data],4,FALSE)</f>
        <v>#REF!</v>
      </c>
      <c r="W3005" t="e">
        <f>VLOOKUP(U3005,[1]!NOMINA[#Data],5,FALSE)</f>
        <v>#REF!</v>
      </c>
    </row>
    <row r="3006" spans="1:23" x14ac:dyDescent="0.25">
      <c r="A3006" s="21">
        <v>45776</v>
      </c>
      <c r="B3006" s="1">
        <v>12073064</v>
      </c>
      <c r="C3006" t="s">
        <v>54</v>
      </c>
      <c r="D3006" s="22">
        <v>-57.36</v>
      </c>
      <c r="E3006" t="s">
        <v>35</v>
      </c>
      <c r="F3006" s="2">
        <v>212901001</v>
      </c>
      <c r="G3006" s="2" t="s">
        <v>121</v>
      </c>
      <c r="L3006" s="2" t="s">
        <v>5484</v>
      </c>
      <c r="M3006" t="s">
        <v>67</v>
      </c>
      <c r="N3006" t="s">
        <v>68</v>
      </c>
      <c r="P3006" s="23">
        <v>86.66</v>
      </c>
      <c r="Q3006" s="4">
        <f t="shared" si="46"/>
        <v>-0.66189706900530809</v>
      </c>
      <c r="R3006" s="23" t="s">
        <v>109</v>
      </c>
      <c r="U3006">
        <v>37</v>
      </c>
      <c r="V3006" t="e">
        <f>VLOOKUP(Tabla3[[#This Row],[Nº]],[1]!NOMINA[#Data],4,FALSE)</f>
        <v>#REF!</v>
      </c>
      <c r="W3006" t="e">
        <f>VLOOKUP(Tabla3[[#This Row],[Nº]],[1]!NOMINA[#Data],5,FALSE)</f>
        <v>#REF!</v>
      </c>
    </row>
    <row r="3007" spans="1:23" x14ac:dyDescent="0.25">
      <c r="A3007" s="21">
        <v>45776</v>
      </c>
      <c r="B3007" s="1">
        <v>12073063</v>
      </c>
      <c r="C3007" t="s">
        <v>54</v>
      </c>
      <c r="D3007" s="22">
        <v>-57.36</v>
      </c>
      <c r="E3007" t="s">
        <v>35</v>
      </c>
      <c r="F3007" s="2">
        <v>212901001</v>
      </c>
      <c r="G3007" s="2" t="s">
        <v>121</v>
      </c>
      <c r="L3007" s="2" t="s">
        <v>5485</v>
      </c>
      <c r="M3007" t="s">
        <v>67</v>
      </c>
      <c r="N3007" t="s">
        <v>68</v>
      </c>
      <c r="P3007" s="23">
        <v>86.66</v>
      </c>
      <c r="Q3007" s="4">
        <f t="shared" si="46"/>
        <v>-0.66189706900530809</v>
      </c>
      <c r="R3007" s="23" t="s">
        <v>109</v>
      </c>
      <c r="U3007">
        <v>7</v>
      </c>
      <c r="V3007" t="e">
        <f>VLOOKUP(U3007,[1]!NOMINA[#Data],4,FALSE)</f>
        <v>#REF!</v>
      </c>
      <c r="W3007" t="e">
        <f>VLOOKUP(U3007,[1]!NOMINA[#Data],5,FALSE)</f>
        <v>#REF!</v>
      </c>
    </row>
    <row r="3008" spans="1:23" x14ac:dyDescent="0.25">
      <c r="A3008" s="21">
        <v>45776</v>
      </c>
      <c r="B3008" s="1">
        <v>12073068</v>
      </c>
      <c r="C3008" t="s">
        <v>54</v>
      </c>
      <c r="D3008" s="22">
        <v>-3444.4</v>
      </c>
      <c r="E3008" t="s">
        <v>35</v>
      </c>
      <c r="F3008" s="2">
        <v>212901001</v>
      </c>
      <c r="G3008" s="2" t="s">
        <v>121</v>
      </c>
      <c r="L3008" s="2" t="s">
        <v>5486</v>
      </c>
      <c r="M3008" t="s">
        <v>67</v>
      </c>
      <c r="N3008" t="s">
        <v>68</v>
      </c>
      <c r="P3008" s="23">
        <v>86.66</v>
      </c>
      <c r="Q3008" s="4">
        <f t="shared" si="46"/>
        <v>-39.746134318024467</v>
      </c>
      <c r="R3008" s="23" t="s">
        <v>109</v>
      </c>
      <c r="U3008">
        <v>15</v>
      </c>
      <c r="V3008" t="e">
        <f>VLOOKUP(U3008,[1]!NOMINA[#Data],4,FALSE)</f>
        <v>#REF!</v>
      </c>
      <c r="W3008" t="e">
        <f>VLOOKUP(U3008,[1]!NOMINA[#Data],5,FALSE)</f>
        <v>#REF!</v>
      </c>
    </row>
    <row r="3009" spans="1:23" x14ac:dyDescent="0.25">
      <c r="A3009" s="21">
        <v>45776</v>
      </c>
      <c r="B3009" s="1">
        <v>12073066</v>
      </c>
      <c r="C3009" t="s">
        <v>54</v>
      </c>
      <c r="D3009" s="22">
        <v>-61.65</v>
      </c>
      <c r="E3009" t="s">
        <v>35</v>
      </c>
      <c r="F3009" s="2">
        <v>212901001</v>
      </c>
      <c r="G3009" s="2" t="s">
        <v>121</v>
      </c>
      <c r="L3009" s="2" t="s">
        <v>5487</v>
      </c>
      <c r="M3009" t="s">
        <v>67</v>
      </c>
      <c r="N3009" s="2" t="s">
        <v>68</v>
      </c>
      <c r="O3009" s="2"/>
      <c r="P3009" s="23">
        <v>86.66</v>
      </c>
      <c r="Q3009" s="4">
        <f t="shared" si="46"/>
        <v>-0.71140087699053778</v>
      </c>
      <c r="R3009" s="23" t="s">
        <v>109</v>
      </c>
      <c r="U3009">
        <v>36</v>
      </c>
      <c r="V3009" t="e">
        <f>VLOOKUP(U3009,[1]!NOMINA[#Data],4,FALSE)</f>
        <v>#REF!</v>
      </c>
      <c r="W3009" t="e">
        <f>VLOOKUP(U3009,[1]!NOMINA[#Data],5,FALSE)</f>
        <v>#REF!</v>
      </c>
    </row>
    <row r="3010" spans="1:23" x14ac:dyDescent="0.25">
      <c r="A3010" s="21">
        <v>45776</v>
      </c>
      <c r="B3010" s="1">
        <v>112073076</v>
      </c>
      <c r="C3010" t="s">
        <v>54</v>
      </c>
      <c r="D3010" s="22">
        <v>-3444.4</v>
      </c>
      <c r="E3010" t="s">
        <v>35</v>
      </c>
      <c r="F3010" s="2">
        <v>212901001</v>
      </c>
      <c r="G3010" s="2" t="s">
        <v>121</v>
      </c>
      <c r="L3010" s="2" t="s">
        <v>5488</v>
      </c>
      <c r="M3010" t="s">
        <v>67</v>
      </c>
      <c r="N3010" t="s">
        <v>68</v>
      </c>
      <c r="P3010" s="23">
        <v>86.66</v>
      </c>
      <c r="Q3010" s="4">
        <f t="shared" si="46"/>
        <v>-39.746134318024467</v>
      </c>
      <c r="R3010" s="23" t="s">
        <v>109</v>
      </c>
      <c r="U3010">
        <v>20</v>
      </c>
      <c r="V3010" t="e">
        <f>VLOOKUP(Tabla3[[#This Row],[Nº]],[1]!NOMINA[#Data],4,FALSE)</f>
        <v>#REF!</v>
      </c>
      <c r="W3010" t="e">
        <f>VLOOKUP(Tabla3[[#This Row],[Nº]],[1]!NOMINA[#Data],5,FALSE)</f>
        <v>#REF!</v>
      </c>
    </row>
    <row r="3011" spans="1:23" x14ac:dyDescent="0.25">
      <c r="A3011" s="21">
        <v>45776</v>
      </c>
      <c r="B3011" s="1">
        <v>112073075</v>
      </c>
      <c r="C3011" t="s">
        <v>54</v>
      </c>
      <c r="D3011" s="22">
        <v>-3444.4</v>
      </c>
      <c r="E3011" t="s">
        <v>35</v>
      </c>
      <c r="F3011" s="2">
        <v>212901001</v>
      </c>
      <c r="G3011" s="2" t="s">
        <v>121</v>
      </c>
      <c r="L3011" s="2" t="s">
        <v>5489</v>
      </c>
      <c r="M3011" t="s">
        <v>67</v>
      </c>
      <c r="N3011" t="s">
        <v>68</v>
      </c>
      <c r="P3011" s="23">
        <v>86.66</v>
      </c>
      <c r="Q3011" s="4">
        <f t="shared" si="46"/>
        <v>-39.746134318024467</v>
      </c>
      <c r="R3011" s="23" t="s">
        <v>109</v>
      </c>
      <c r="U3011">
        <v>41</v>
      </c>
      <c r="V3011" t="e">
        <f>VLOOKUP(U3011,[1]!NOMINA[#Data],4,FALSE)</f>
        <v>#REF!</v>
      </c>
      <c r="W3011" t="e">
        <f>VLOOKUP(U3011,[1]!NOMINA[#Data],5,FALSE)</f>
        <v>#REF!</v>
      </c>
    </row>
    <row r="3012" spans="1:23" x14ac:dyDescent="0.25">
      <c r="A3012" s="21">
        <v>45776</v>
      </c>
      <c r="B3012" s="1">
        <v>112073078</v>
      </c>
      <c r="C3012" t="s">
        <v>54</v>
      </c>
      <c r="D3012" s="22">
        <v>-3444.4</v>
      </c>
      <c r="E3012" t="s">
        <v>35</v>
      </c>
      <c r="F3012" s="2">
        <v>212901001</v>
      </c>
      <c r="G3012" s="2" t="s">
        <v>121</v>
      </c>
      <c r="L3012" s="2" t="s">
        <v>5490</v>
      </c>
      <c r="M3012" t="s">
        <v>67</v>
      </c>
      <c r="N3012" t="s">
        <v>68</v>
      </c>
      <c r="P3012" s="23">
        <v>86.66</v>
      </c>
      <c r="Q3012" s="4">
        <f t="shared" si="46"/>
        <v>-39.746134318024467</v>
      </c>
      <c r="R3012" s="23" t="s">
        <v>109</v>
      </c>
      <c r="U3012">
        <v>13</v>
      </c>
      <c r="V3012" t="e">
        <f>VLOOKUP(U3012,[1]!NOMINA[#Data],4,FALSE)</f>
        <v>#REF!</v>
      </c>
      <c r="W3012" t="e">
        <f>VLOOKUP(U3012,[1]!NOMINA[#Data],5,FALSE)</f>
        <v>#REF!</v>
      </c>
    </row>
    <row r="3013" spans="1:23" x14ac:dyDescent="0.25">
      <c r="A3013" s="21">
        <v>45776</v>
      </c>
      <c r="B3013" s="1">
        <v>212073082</v>
      </c>
      <c r="C3013" t="s">
        <v>54</v>
      </c>
      <c r="D3013" s="22">
        <v>-3444.4</v>
      </c>
      <c r="E3013" t="s">
        <v>35</v>
      </c>
      <c r="F3013" s="2">
        <v>212901001</v>
      </c>
      <c r="G3013" s="2" t="s">
        <v>121</v>
      </c>
      <c r="L3013" s="2" t="s">
        <v>5491</v>
      </c>
      <c r="M3013" t="s">
        <v>67</v>
      </c>
      <c r="N3013" t="s">
        <v>68</v>
      </c>
      <c r="P3013" s="23">
        <v>86.66</v>
      </c>
      <c r="Q3013" s="4">
        <f t="shared" si="46"/>
        <v>-39.746134318024467</v>
      </c>
      <c r="R3013" s="23" t="s">
        <v>109</v>
      </c>
      <c r="U3013">
        <v>8</v>
      </c>
      <c r="V3013" t="e">
        <f>VLOOKUP(U3013,[1]!NOMINA[#Data],4,FALSE)</f>
        <v>#REF!</v>
      </c>
      <c r="W3013" t="e">
        <f>VLOOKUP(U3013,[1]!NOMINA[#Data],5,FALSE)</f>
        <v>#REF!</v>
      </c>
    </row>
    <row r="3014" spans="1:23" x14ac:dyDescent="0.25">
      <c r="A3014" s="21">
        <v>45776</v>
      </c>
      <c r="B3014" s="1">
        <v>212073084</v>
      </c>
      <c r="C3014" t="s">
        <v>54</v>
      </c>
      <c r="D3014" s="22">
        <v>-3444.4</v>
      </c>
      <c r="E3014" t="s">
        <v>35</v>
      </c>
      <c r="F3014" s="2">
        <v>212901001</v>
      </c>
      <c r="G3014" s="2" t="s">
        <v>121</v>
      </c>
      <c r="L3014" s="2" t="s">
        <v>5492</v>
      </c>
      <c r="M3014" t="s">
        <v>67</v>
      </c>
      <c r="N3014" t="s">
        <v>68</v>
      </c>
      <c r="P3014" s="23">
        <v>86.66</v>
      </c>
      <c r="Q3014" s="4">
        <f t="shared" si="46"/>
        <v>-39.746134318024467</v>
      </c>
      <c r="R3014" s="23" t="s">
        <v>109</v>
      </c>
      <c r="U3014">
        <v>11</v>
      </c>
      <c r="V3014" t="e">
        <f>VLOOKUP(U3014,[1]!NOMINA[#Data],4,FALSE)</f>
        <v>#REF!</v>
      </c>
      <c r="W3014" t="e">
        <f>VLOOKUP(U3014,[1]!NOMINA[#Data],5,FALSE)</f>
        <v>#REF!</v>
      </c>
    </row>
    <row r="3015" spans="1:23" x14ac:dyDescent="0.25">
      <c r="A3015" s="21">
        <v>45776</v>
      </c>
      <c r="B3015" s="1">
        <v>212073081</v>
      </c>
      <c r="C3015" t="s">
        <v>54</v>
      </c>
      <c r="D3015" s="22">
        <v>-3444.4</v>
      </c>
      <c r="E3015" t="s">
        <v>35</v>
      </c>
      <c r="F3015" s="2">
        <v>212901001</v>
      </c>
      <c r="G3015" s="2" t="s">
        <v>121</v>
      </c>
      <c r="L3015" s="2" t="s">
        <v>5493</v>
      </c>
      <c r="M3015" t="s">
        <v>67</v>
      </c>
      <c r="N3015" t="s">
        <v>68</v>
      </c>
      <c r="P3015" s="23">
        <v>86.66</v>
      </c>
      <c r="Q3015" s="4">
        <f t="shared" si="46"/>
        <v>-39.746134318024467</v>
      </c>
      <c r="R3015" s="23" t="s">
        <v>109</v>
      </c>
      <c r="U3015">
        <v>23</v>
      </c>
      <c r="V3015" t="e">
        <f>VLOOKUP(U3015,[1]!NOMINA[#Data],4,FALSE)</f>
        <v>#REF!</v>
      </c>
      <c r="W3015" t="e">
        <f>VLOOKUP(U3015,[1]!NOMINA[#Data],5,FALSE)</f>
        <v>#REF!</v>
      </c>
    </row>
    <row r="3016" spans="1:23" x14ac:dyDescent="0.25">
      <c r="A3016" s="21">
        <v>45776</v>
      </c>
      <c r="B3016" s="1">
        <v>112073072</v>
      </c>
      <c r="C3016" t="s">
        <v>54</v>
      </c>
      <c r="D3016" s="22">
        <v>-3444.4</v>
      </c>
      <c r="E3016" t="s">
        <v>35</v>
      </c>
      <c r="F3016" s="2">
        <v>212901001</v>
      </c>
      <c r="G3016" s="2" t="s">
        <v>121</v>
      </c>
      <c r="L3016" s="2" t="s">
        <v>5494</v>
      </c>
      <c r="M3016" t="s">
        <v>67</v>
      </c>
      <c r="N3016" t="s">
        <v>68</v>
      </c>
      <c r="P3016" s="23">
        <v>86.66</v>
      </c>
      <c r="Q3016" s="4">
        <f t="shared" si="46"/>
        <v>-39.746134318024467</v>
      </c>
      <c r="R3016" s="23" t="s">
        <v>109</v>
      </c>
      <c r="U3016">
        <v>43</v>
      </c>
      <c r="V3016" t="e">
        <f>VLOOKUP(U3016,[1]!NOMINA[#Data],4,FALSE)</f>
        <v>#REF!</v>
      </c>
      <c r="W3016" t="e">
        <f>VLOOKUP(U3016,[1]!NOMINA[#Data],5,FALSE)</f>
        <v>#REF!</v>
      </c>
    </row>
    <row r="3017" spans="1:23" x14ac:dyDescent="0.25">
      <c r="A3017" s="21">
        <v>45776</v>
      </c>
      <c r="B3017" s="1">
        <v>212073083</v>
      </c>
      <c r="C3017" t="s">
        <v>54</v>
      </c>
      <c r="D3017" s="22">
        <v>-3444.4</v>
      </c>
      <c r="E3017" t="s">
        <v>35</v>
      </c>
      <c r="F3017" s="2">
        <v>212901001</v>
      </c>
      <c r="G3017" s="2" t="s">
        <v>121</v>
      </c>
      <c r="L3017" s="2" t="s">
        <v>5495</v>
      </c>
      <c r="M3017" t="s">
        <v>67</v>
      </c>
      <c r="N3017" t="s">
        <v>68</v>
      </c>
      <c r="P3017" s="23">
        <v>86.66</v>
      </c>
      <c r="Q3017" s="4">
        <f t="shared" si="46"/>
        <v>-39.746134318024467</v>
      </c>
      <c r="R3017" s="23" t="s">
        <v>109</v>
      </c>
      <c r="U3017">
        <v>17</v>
      </c>
      <c r="V3017" t="e">
        <f>VLOOKUP(U3017,[1]!NOMINA[#Data],4,FALSE)</f>
        <v>#REF!</v>
      </c>
      <c r="W3017" t="e">
        <f>VLOOKUP(U3017,[1]!NOMINA[#Data],5,FALSE)</f>
        <v>#REF!</v>
      </c>
    </row>
    <row r="3018" spans="1:23" x14ac:dyDescent="0.25">
      <c r="A3018" s="21">
        <v>45776</v>
      </c>
      <c r="B3018" s="1">
        <v>112073079</v>
      </c>
      <c r="C3018" t="s">
        <v>54</v>
      </c>
      <c r="D3018" s="22">
        <v>-3444.4</v>
      </c>
      <c r="E3018" t="s">
        <v>35</v>
      </c>
      <c r="F3018" s="2">
        <v>212901001</v>
      </c>
      <c r="G3018" s="2" t="s">
        <v>121</v>
      </c>
      <c r="L3018" s="2" t="s">
        <v>5496</v>
      </c>
      <c r="M3018" t="s">
        <v>67</v>
      </c>
      <c r="N3018" t="s">
        <v>68</v>
      </c>
      <c r="P3018" s="23">
        <v>86.66</v>
      </c>
      <c r="Q3018" s="4">
        <f t="shared" si="46"/>
        <v>-39.746134318024467</v>
      </c>
      <c r="R3018" s="23" t="s">
        <v>109</v>
      </c>
      <c r="U3018">
        <v>4</v>
      </c>
      <c r="V3018" t="e">
        <f>VLOOKUP(U3018,[1]!NOMINA[#Data],4,FALSE)</f>
        <v>#REF!</v>
      </c>
      <c r="W3018" t="e">
        <f>VLOOKUP(U3018,[1]!NOMINA[#Data],5,FALSE)</f>
        <v>#REF!</v>
      </c>
    </row>
    <row r="3019" spans="1:23" x14ac:dyDescent="0.25">
      <c r="A3019" s="21">
        <v>45776</v>
      </c>
      <c r="B3019" s="1">
        <v>212073086</v>
      </c>
      <c r="C3019" t="s">
        <v>54</v>
      </c>
      <c r="D3019" s="22">
        <v>-3444.4</v>
      </c>
      <c r="E3019" t="s">
        <v>35</v>
      </c>
      <c r="F3019" s="2">
        <v>212901001</v>
      </c>
      <c r="G3019" s="2" t="s">
        <v>121</v>
      </c>
      <c r="L3019" s="2" t="s">
        <v>5497</v>
      </c>
      <c r="M3019" t="s">
        <v>67</v>
      </c>
      <c r="N3019" t="s">
        <v>68</v>
      </c>
      <c r="P3019" s="23">
        <v>86.66</v>
      </c>
      <c r="Q3019" s="4">
        <f t="shared" ref="Q3019:Q3082" si="47">D3019/P3019</f>
        <v>-39.746134318024467</v>
      </c>
      <c r="R3019" s="23" t="s">
        <v>109</v>
      </c>
      <c r="U3019">
        <v>14</v>
      </c>
      <c r="V3019" t="e">
        <f>VLOOKUP(U3019,[1]!NOMINA[#Data],4,FALSE)</f>
        <v>#REF!</v>
      </c>
      <c r="W3019" t="e">
        <f>VLOOKUP(U3019,[1]!NOMINA[#Data],5,FALSE)</f>
        <v>#REF!</v>
      </c>
    </row>
    <row r="3020" spans="1:23" x14ac:dyDescent="0.25">
      <c r="A3020" s="21">
        <v>45776</v>
      </c>
      <c r="B3020" s="1">
        <v>212073087</v>
      </c>
      <c r="C3020" t="s">
        <v>54</v>
      </c>
      <c r="D3020" s="22">
        <v>-3444.4</v>
      </c>
      <c r="E3020" t="s">
        <v>35</v>
      </c>
      <c r="F3020" s="2">
        <v>212901001</v>
      </c>
      <c r="G3020" s="2" t="s">
        <v>121</v>
      </c>
      <c r="L3020" s="2" t="s">
        <v>5498</v>
      </c>
      <c r="M3020" t="s">
        <v>67</v>
      </c>
      <c r="N3020" t="s">
        <v>68</v>
      </c>
      <c r="P3020" s="23">
        <v>86.66</v>
      </c>
      <c r="Q3020" s="4">
        <f t="shared" si="47"/>
        <v>-39.746134318024467</v>
      </c>
      <c r="R3020" s="23" t="s">
        <v>109</v>
      </c>
      <c r="U3020">
        <v>22</v>
      </c>
      <c r="V3020" t="e">
        <f>VLOOKUP(Tabla3[[#This Row],[Nº]],[1]!NOMINA[#Data],4,FALSE)</f>
        <v>#REF!</v>
      </c>
      <c r="W3020" t="e">
        <f>VLOOKUP(U3020,[1]!NOMINA[#Data],5,FALSE)</f>
        <v>#REF!</v>
      </c>
    </row>
    <row r="3021" spans="1:23" x14ac:dyDescent="0.25">
      <c r="A3021" s="21">
        <v>45776</v>
      </c>
      <c r="B3021" s="1">
        <v>212073089</v>
      </c>
      <c r="C3021" t="s">
        <v>54</v>
      </c>
      <c r="D3021" s="22">
        <v>-3444.4</v>
      </c>
      <c r="E3021" t="s">
        <v>35</v>
      </c>
      <c r="F3021" s="2">
        <v>212901001</v>
      </c>
      <c r="G3021" s="2" t="s">
        <v>121</v>
      </c>
      <c r="L3021" s="2" t="s">
        <v>5499</v>
      </c>
      <c r="M3021" t="s">
        <v>67</v>
      </c>
      <c r="N3021" t="s">
        <v>68</v>
      </c>
      <c r="P3021" s="23">
        <v>86.66</v>
      </c>
      <c r="Q3021" s="4">
        <f t="shared" si="47"/>
        <v>-39.746134318024467</v>
      </c>
      <c r="R3021" s="23" t="s">
        <v>109</v>
      </c>
      <c r="U3021">
        <v>42</v>
      </c>
      <c r="V3021" t="e">
        <f>VLOOKUP(U3021,[1]!NOMINA[#Data],4,FALSE)</f>
        <v>#REF!</v>
      </c>
      <c r="W3021" t="e">
        <f>VLOOKUP(U3021,[1]!NOMINA[#Data],5,FALSE)</f>
        <v>#REF!</v>
      </c>
    </row>
    <row r="3022" spans="1:23" x14ac:dyDescent="0.25">
      <c r="A3022" s="21">
        <v>45776</v>
      </c>
      <c r="B3022" s="1">
        <v>212073090</v>
      </c>
      <c r="C3022" t="s">
        <v>54</v>
      </c>
      <c r="D3022" s="22">
        <v>-3444.4</v>
      </c>
      <c r="E3022" t="s">
        <v>35</v>
      </c>
      <c r="F3022" s="2">
        <v>212901001</v>
      </c>
      <c r="G3022" s="2" t="s">
        <v>121</v>
      </c>
      <c r="L3022" s="2" t="s">
        <v>5500</v>
      </c>
      <c r="M3022" t="s">
        <v>67</v>
      </c>
      <c r="N3022" t="s">
        <v>68</v>
      </c>
      <c r="P3022" s="23">
        <v>86.66</v>
      </c>
      <c r="Q3022" s="4">
        <f t="shared" si="47"/>
        <v>-39.746134318024467</v>
      </c>
      <c r="R3022" s="23" t="s">
        <v>109</v>
      </c>
      <c r="U3022">
        <v>39</v>
      </c>
      <c r="V3022" t="e">
        <f>VLOOKUP(U3022,[1]!NOMINA[#Data],4,FALSE)</f>
        <v>#REF!</v>
      </c>
      <c r="W3022" t="e">
        <f>VLOOKUP(U3022,[1]!NOMINA[#Data],5,FALSE)</f>
        <v>#REF!</v>
      </c>
    </row>
    <row r="3023" spans="1:23" x14ac:dyDescent="0.25">
      <c r="A3023" s="21">
        <v>45776</v>
      </c>
      <c r="B3023" s="1">
        <v>312073092</v>
      </c>
      <c r="C3023" t="s">
        <v>54</v>
      </c>
      <c r="D3023" s="22">
        <v>-3444.4</v>
      </c>
      <c r="E3023" t="s">
        <v>35</v>
      </c>
      <c r="F3023" s="2">
        <v>212901001</v>
      </c>
      <c r="G3023" s="2" t="s">
        <v>121</v>
      </c>
      <c r="L3023" s="2" t="s">
        <v>5501</v>
      </c>
      <c r="M3023" t="s">
        <v>67</v>
      </c>
      <c r="N3023" t="s">
        <v>68</v>
      </c>
      <c r="P3023" s="23">
        <v>86.66</v>
      </c>
      <c r="Q3023" s="4">
        <f t="shared" si="47"/>
        <v>-39.746134318024467</v>
      </c>
      <c r="R3023" s="23" t="s">
        <v>109</v>
      </c>
      <c r="U3023">
        <v>21</v>
      </c>
      <c r="V3023" t="e">
        <f>VLOOKUP(U3023,[1]!NOMINA[#Data],4,FALSE)</f>
        <v>#REF!</v>
      </c>
      <c r="W3023" t="e">
        <f>VLOOKUP(U3023,[1]!NOMINA[#Data],5,FALSE)</f>
        <v>#REF!</v>
      </c>
    </row>
    <row r="3024" spans="1:23" x14ac:dyDescent="0.25">
      <c r="A3024" s="21">
        <v>45776</v>
      </c>
      <c r="B3024" s="1">
        <v>312073093</v>
      </c>
      <c r="C3024" t="s">
        <v>54</v>
      </c>
      <c r="D3024" s="22">
        <v>-3444.4</v>
      </c>
      <c r="E3024" t="s">
        <v>35</v>
      </c>
      <c r="F3024" s="2">
        <v>212901001</v>
      </c>
      <c r="G3024" s="2" t="s">
        <v>121</v>
      </c>
      <c r="L3024" s="2" t="s">
        <v>5502</v>
      </c>
      <c r="M3024" t="s">
        <v>67</v>
      </c>
      <c r="N3024" t="s">
        <v>68</v>
      </c>
      <c r="P3024" s="23">
        <v>86.66</v>
      </c>
      <c r="Q3024" s="4">
        <f t="shared" si="47"/>
        <v>-39.746134318024467</v>
      </c>
      <c r="R3024" s="23" t="s">
        <v>109</v>
      </c>
      <c r="U3024">
        <v>25</v>
      </c>
      <c r="V3024" t="e">
        <f>VLOOKUP(U3024,[1]!NOMINA[#Data],4,FALSE)</f>
        <v>#REF!</v>
      </c>
      <c r="W3024" t="e">
        <f>VLOOKUP(U3024,[1]!NOMINA[#Data],5,FALSE)</f>
        <v>#REF!</v>
      </c>
    </row>
    <row r="3025" spans="1:23" x14ac:dyDescent="0.25">
      <c r="A3025" s="21">
        <v>45776</v>
      </c>
      <c r="B3025" s="1">
        <v>312073095</v>
      </c>
      <c r="C3025" t="s">
        <v>54</v>
      </c>
      <c r="D3025" s="22">
        <v>-3444.4</v>
      </c>
      <c r="E3025" t="s">
        <v>35</v>
      </c>
      <c r="F3025" s="2">
        <v>212901001</v>
      </c>
      <c r="G3025" s="2" t="s">
        <v>121</v>
      </c>
      <c r="L3025" s="2" t="s">
        <v>5503</v>
      </c>
      <c r="M3025" t="s">
        <v>67</v>
      </c>
      <c r="N3025" t="s">
        <v>68</v>
      </c>
      <c r="P3025" s="23">
        <v>86.66</v>
      </c>
      <c r="Q3025" s="4">
        <f t="shared" si="47"/>
        <v>-39.746134318024467</v>
      </c>
      <c r="R3025" s="23" t="s">
        <v>109</v>
      </c>
      <c r="U3025">
        <v>12</v>
      </c>
      <c r="V3025" t="e">
        <f>VLOOKUP(U3025,[1]!NOMINA[#Data],4,FALSE)</f>
        <v>#REF!</v>
      </c>
      <c r="W3025" t="e">
        <f>VLOOKUP(U3025,[1]!NOMINA[#Data],5,FALSE)</f>
        <v>#REF!</v>
      </c>
    </row>
    <row r="3026" spans="1:23" x14ac:dyDescent="0.25">
      <c r="A3026" s="21">
        <v>45776</v>
      </c>
      <c r="B3026" s="1">
        <v>112073080</v>
      </c>
      <c r="C3026" t="s">
        <v>54</v>
      </c>
      <c r="D3026" s="22">
        <v>-3444.4</v>
      </c>
      <c r="E3026" t="s">
        <v>35</v>
      </c>
      <c r="F3026" s="2">
        <v>212901001</v>
      </c>
      <c r="G3026" s="2" t="s">
        <v>121</v>
      </c>
      <c r="L3026" s="2" t="s">
        <v>5504</v>
      </c>
      <c r="M3026" t="s">
        <v>67</v>
      </c>
      <c r="N3026" t="s">
        <v>68</v>
      </c>
      <c r="P3026" s="23">
        <v>86.66</v>
      </c>
      <c r="Q3026" s="4">
        <f t="shared" si="47"/>
        <v>-39.746134318024467</v>
      </c>
      <c r="R3026" s="23" t="s">
        <v>109</v>
      </c>
      <c r="U3026">
        <v>2</v>
      </c>
      <c r="V3026" t="e">
        <f>VLOOKUP(Tabla3[[#This Row],[Nº]],[1]!NOMINA[#Data],4,FALSE)</f>
        <v>#REF!</v>
      </c>
      <c r="W3026" t="e">
        <f>VLOOKUP(Tabla3[[#This Row],[Nº]],[1]!NOMINA[#Data],5,FALSE)</f>
        <v>#REF!</v>
      </c>
    </row>
    <row r="3027" spans="1:23" x14ac:dyDescent="0.25">
      <c r="A3027" s="21">
        <v>45776</v>
      </c>
      <c r="B3027" s="1">
        <v>312073097</v>
      </c>
      <c r="C3027" t="s">
        <v>54</v>
      </c>
      <c r="D3027" s="22">
        <v>-3444.4</v>
      </c>
      <c r="E3027" t="s">
        <v>35</v>
      </c>
      <c r="F3027" s="2">
        <v>212901001</v>
      </c>
      <c r="G3027" s="2" t="s">
        <v>121</v>
      </c>
      <c r="L3027" s="2" t="s">
        <v>5505</v>
      </c>
      <c r="M3027" t="s">
        <v>67</v>
      </c>
      <c r="N3027" t="s">
        <v>68</v>
      </c>
      <c r="P3027" s="23">
        <v>86.66</v>
      </c>
      <c r="Q3027" s="4">
        <f t="shared" si="47"/>
        <v>-39.746134318024467</v>
      </c>
      <c r="R3027" s="23" t="s">
        <v>109</v>
      </c>
      <c r="U3027">
        <v>28</v>
      </c>
      <c r="V3027" t="e">
        <f>VLOOKUP(U3027,[1]!NOMINA[#Data],4,FALSE)</f>
        <v>#REF!</v>
      </c>
      <c r="W3027" t="e">
        <f>VLOOKUP(U3027,[1]!NOMINA[#Data],5,FALSE)</f>
        <v>#REF!</v>
      </c>
    </row>
    <row r="3028" spans="1:23" x14ac:dyDescent="0.25">
      <c r="A3028" s="21">
        <v>45776</v>
      </c>
      <c r="B3028" s="1">
        <v>312073094</v>
      </c>
      <c r="C3028" t="s">
        <v>54</v>
      </c>
      <c r="D3028" s="22">
        <v>-3444.4</v>
      </c>
      <c r="E3028" t="s">
        <v>35</v>
      </c>
      <c r="F3028" s="2">
        <v>212901001</v>
      </c>
      <c r="G3028" s="2" t="s">
        <v>121</v>
      </c>
      <c r="L3028" s="2" t="s">
        <v>5506</v>
      </c>
      <c r="M3028" t="s">
        <v>67</v>
      </c>
      <c r="N3028" t="s">
        <v>68</v>
      </c>
      <c r="P3028" s="23">
        <v>86.66</v>
      </c>
      <c r="Q3028" s="4">
        <f t="shared" si="47"/>
        <v>-39.746134318024467</v>
      </c>
      <c r="R3028" s="23" t="s">
        <v>109</v>
      </c>
      <c r="U3028">
        <v>6</v>
      </c>
      <c r="V3028" t="e">
        <f>VLOOKUP(U3028,[1]!NOMINA[#Data],4,FALSE)</f>
        <v>#REF!</v>
      </c>
      <c r="W3028" t="e">
        <f>VLOOKUP(U3028,[1]!NOMINA[#Data],5,FALSE)</f>
        <v>#REF!</v>
      </c>
    </row>
    <row r="3029" spans="1:23" x14ac:dyDescent="0.25">
      <c r="A3029" s="21">
        <v>45776</v>
      </c>
      <c r="B3029" s="1">
        <v>212073085</v>
      </c>
      <c r="C3029" t="s">
        <v>54</v>
      </c>
      <c r="D3029" s="22">
        <v>-3444.4</v>
      </c>
      <c r="E3029" t="s">
        <v>35</v>
      </c>
      <c r="F3029" s="2">
        <v>212901001</v>
      </c>
      <c r="G3029" s="2" t="s">
        <v>121</v>
      </c>
      <c r="L3029" s="2" t="s">
        <v>5507</v>
      </c>
      <c r="M3029" t="s">
        <v>67</v>
      </c>
      <c r="N3029" t="s">
        <v>68</v>
      </c>
      <c r="P3029" s="23">
        <v>86.66</v>
      </c>
      <c r="Q3029" s="4">
        <f t="shared" si="47"/>
        <v>-39.746134318024467</v>
      </c>
      <c r="R3029" s="23" t="s">
        <v>109</v>
      </c>
      <c r="U3029">
        <v>24</v>
      </c>
      <c r="V3029" t="e">
        <f>VLOOKUP(U3029,[1]!NOMINA[#Data],4,FALSE)</f>
        <v>#REF!</v>
      </c>
      <c r="W3029" t="e">
        <f>VLOOKUP(U3029,[1]!NOMINA[#Data],5,FALSE)</f>
        <v>#REF!</v>
      </c>
    </row>
    <row r="3030" spans="1:23" x14ac:dyDescent="0.25">
      <c r="A3030" s="21">
        <v>45776</v>
      </c>
      <c r="B3030" s="1">
        <v>312073096</v>
      </c>
      <c r="C3030" t="s">
        <v>54</v>
      </c>
      <c r="D3030" s="22">
        <v>-3444.4</v>
      </c>
      <c r="E3030" t="s">
        <v>35</v>
      </c>
      <c r="F3030" s="2">
        <v>212901001</v>
      </c>
      <c r="G3030" s="2" t="s">
        <v>121</v>
      </c>
      <c r="L3030" s="2" t="s">
        <v>5508</v>
      </c>
      <c r="M3030" t="s">
        <v>67</v>
      </c>
      <c r="N3030" t="s">
        <v>68</v>
      </c>
      <c r="P3030" s="23">
        <v>86.66</v>
      </c>
      <c r="Q3030" s="4">
        <f t="shared" si="47"/>
        <v>-39.746134318024467</v>
      </c>
      <c r="R3030" s="23" t="s">
        <v>109</v>
      </c>
      <c r="U3030">
        <v>3</v>
      </c>
      <c r="V3030" t="e">
        <f>VLOOKUP(U3030,[1]!NOMINA[#Data],4,FALSE)</f>
        <v>#REF!</v>
      </c>
      <c r="W3030" t="e">
        <f>VLOOKUP(U3030,[1]!NOMINA[#Data],5,FALSE)</f>
        <v>#REF!</v>
      </c>
    </row>
    <row r="3031" spans="1:23" x14ac:dyDescent="0.25">
      <c r="A3031" s="21">
        <v>45776</v>
      </c>
      <c r="B3031" s="1">
        <v>312073100</v>
      </c>
      <c r="C3031" t="s">
        <v>54</v>
      </c>
      <c r="D3031" s="22">
        <v>-3444.4</v>
      </c>
      <c r="E3031" t="s">
        <v>35</v>
      </c>
      <c r="F3031" s="2">
        <v>212901001</v>
      </c>
      <c r="G3031" s="2" t="s">
        <v>121</v>
      </c>
      <c r="L3031" s="2" t="s">
        <v>5509</v>
      </c>
      <c r="M3031" t="s">
        <v>67</v>
      </c>
      <c r="N3031" t="s">
        <v>68</v>
      </c>
      <c r="P3031" s="23">
        <v>86.66</v>
      </c>
      <c r="Q3031" s="4">
        <f t="shared" si="47"/>
        <v>-39.746134318024467</v>
      </c>
      <c r="R3031" s="23" t="s">
        <v>109</v>
      </c>
      <c r="U3031">
        <v>27</v>
      </c>
      <c r="V3031" t="e">
        <f>VLOOKUP(U3031,[1]!NOMINA[#Data],4,FALSE)</f>
        <v>#REF!</v>
      </c>
      <c r="W3031" t="e">
        <f>VLOOKUP(U3031,[1]!NOMINA[#Data],5,FALSE)</f>
        <v>#REF!</v>
      </c>
    </row>
    <row r="3032" spans="1:23" x14ac:dyDescent="0.25">
      <c r="A3032" s="21">
        <v>45776</v>
      </c>
      <c r="B3032" s="1">
        <v>212073088</v>
      </c>
      <c r="C3032" t="s">
        <v>54</v>
      </c>
      <c r="D3032" s="22">
        <v>-3444.4</v>
      </c>
      <c r="E3032" t="s">
        <v>35</v>
      </c>
      <c r="F3032" s="2">
        <v>212901001</v>
      </c>
      <c r="G3032" s="2" t="s">
        <v>121</v>
      </c>
      <c r="L3032" s="2" t="s">
        <v>5510</v>
      </c>
      <c r="M3032" t="s">
        <v>67</v>
      </c>
      <c r="N3032" t="s">
        <v>68</v>
      </c>
      <c r="P3032" s="23">
        <v>86.66</v>
      </c>
      <c r="Q3032" s="4">
        <f t="shared" si="47"/>
        <v>-39.746134318024467</v>
      </c>
      <c r="R3032" s="23" t="s">
        <v>109</v>
      </c>
      <c r="U3032">
        <v>19</v>
      </c>
      <c r="V3032" t="e">
        <f>VLOOKUP(U3032,[1]!NOMINA[#Data],4,FALSE)</f>
        <v>#REF!</v>
      </c>
      <c r="W3032" t="e">
        <f>VLOOKUP(U3032,[1]!NOMINA[#Data],5,FALSE)</f>
        <v>#REF!</v>
      </c>
    </row>
    <row r="3033" spans="1:23" x14ac:dyDescent="0.25">
      <c r="A3033" s="21">
        <v>45776</v>
      </c>
      <c r="B3033" s="1">
        <v>312073099</v>
      </c>
      <c r="C3033" t="s">
        <v>54</v>
      </c>
      <c r="D3033" s="22">
        <v>-3444.4</v>
      </c>
      <c r="E3033" t="s">
        <v>35</v>
      </c>
      <c r="F3033" s="2">
        <v>212901001</v>
      </c>
      <c r="G3033" s="2" t="s">
        <v>121</v>
      </c>
      <c r="L3033" s="2" t="s">
        <v>5511</v>
      </c>
      <c r="M3033" t="s">
        <v>67</v>
      </c>
      <c r="N3033" t="s">
        <v>68</v>
      </c>
      <c r="P3033" s="23">
        <v>86.66</v>
      </c>
      <c r="Q3033" s="4">
        <f t="shared" si="47"/>
        <v>-39.746134318024467</v>
      </c>
      <c r="R3033" s="23" t="s">
        <v>109</v>
      </c>
      <c r="U3033">
        <v>5</v>
      </c>
      <c r="V3033" t="e">
        <f>VLOOKUP(U3033,[1]!NOMINA[#Data],4,FALSE)</f>
        <v>#REF!</v>
      </c>
      <c r="W3033" t="e">
        <f>VLOOKUP(U3033,[1]!NOMINA[#Data],5,FALSE)</f>
        <v>#REF!</v>
      </c>
    </row>
    <row r="3034" spans="1:23" x14ac:dyDescent="0.25">
      <c r="A3034" s="21">
        <v>45776</v>
      </c>
      <c r="B3034" s="1">
        <v>312073098</v>
      </c>
      <c r="C3034" t="s">
        <v>54</v>
      </c>
      <c r="D3034" s="22">
        <v>-3444.4</v>
      </c>
      <c r="E3034" t="s">
        <v>35</v>
      </c>
      <c r="F3034" s="2">
        <v>212901001</v>
      </c>
      <c r="G3034" s="2" t="s">
        <v>121</v>
      </c>
      <c r="L3034" s="2" t="s">
        <v>5512</v>
      </c>
      <c r="M3034" t="s">
        <v>67</v>
      </c>
      <c r="N3034" t="s">
        <v>68</v>
      </c>
      <c r="P3034" s="23">
        <v>86.66</v>
      </c>
      <c r="Q3034" s="4">
        <f t="shared" si="47"/>
        <v>-39.746134318024467</v>
      </c>
      <c r="R3034" s="23" t="s">
        <v>109</v>
      </c>
      <c r="U3034">
        <v>16</v>
      </c>
      <c r="V3034" t="e">
        <f>VLOOKUP(Tabla3[[#This Row],[Nº]],[1]!NOMINA[#Data],4,FALSE)</f>
        <v>#REF!</v>
      </c>
      <c r="W3034" t="e">
        <f>VLOOKUP(Tabla3[[#This Row],[Nº]],[1]!NOMINA[#Data],5,FALSE)</f>
        <v>#REF!</v>
      </c>
    </row>
    <row r="3035" spans="1:23" x14ac:dyDescent="0.25">
      <c r="A3035" s="21">
        <v>45776</v>
      </c>
      <c r="B3035" s="1">
        <v>412073102</v>
      </c>
      <c r="C3035" t="s">
        <v>54</v>
      </c>
      <c r="D3035" s="22">
        <v>-3444.4</v>
      </c>
      <c r="E3035" t="s">
        <v>35</v>
      </c>
      <c r="F3035" s="2">
        <v>212901001</v>
      </c>
      <c r="G3035" s="2" t="s">
        <v>121</v>
      </c>
      <c r="L3035" s="2" t="s">
        <v>5513</v>
      </c>
      <c r="M3035" t="s">
        <v>67</v>
      </c>
      <c r="N3035" t="s">
        <v>68</v>
      </c>
      <c r="P3035" s="23">
        <v>86.66</v>
      </c>
      <c r="Q3035" s="4">
        <f t="shared" si="47"/>
        <v>-39.746134318024467</v>
      </c>
      <c r="R3035" s="23" t="s">
        <v>109</v>
      </c>
      <c r="U3035">
        <v>37</v>
      </c>
      <c r="V3035" t="e">
        <f>VLOOKUP(Tabla3[[#This Row],[Nº]],[1]!NOMINA[#Data],4,FALSE)</f>
        <v>#REF!</v>
      </c>
      <c r="W3035" t="e">
        <f>VLOOKUP(Tabla3[[#This Row],[Nº]],[1]!NOMINA[#Data],5,FALSE)</f>
        <v>#REF!</v>
      </c>
    </row>
    <row r="3036" spans="1:23" x14ac:dyDescent="0.25">
      <c r="A3036" s="21">
        <v>45776</v>
      </c>
      <c r="B3036" s="1">
        <v>412073103</v>
      </c>
      <c r="C3036" t="s">
        <v>54</v>
      </c>
      <c r="D3036" s="22">
        <v>-3444.4</v>
      </c>
      <c r="E3036" t="s">
        <v>35</v>
      </c>
      <c r="F3036" s="2">
        <v>212901001</v>
      </c>
      <c r="G3036" s="2" t="s">
        <v>121</v>
      </c>
      <c r="L3036" s="2" t="s">
        <v>5514</v>
      </c>
      <c r="M3036" t="s">
        <v>67</v>
      </c>
      <c r="N3036" t="s">
        <v>68</v>
      </c>
      <c r="P3036" s="23">
        <v>86.66</v>
      </c>
      <c r="Q3036" s="4">
        <f t="shared" si="47"/>
        <v>-39.746134318024467</v>
      </c>
      <c r="R3036" s="23" t="s">
        <v>109</v>
      </c>
      <c r="U3036">
        <v>7</v>
      </c>
      <c r="V3036" t="e">
        <f>VLOOKUP(U3036,[1]!NOMINA[#Data],4,FALSE)</f>
        <v>#REF!</v>
      </c>
      <c r="W3036" t="e">
        <f>VLOOKUP(U3036,[1]!NOMINA[#Data],5,FALSE)</f>
        <v>#REF!</v>
      </c>
    </row>
    <row r="3037" spans="1:23" x14ac:dyDescent="0.25">
      <c r="A3037" s="21">
        <v>45776</v>
      </c>
      <c r="B3037" s="1">
        <v>412073106</v>
      </c>
      <c r="C3037" t="s">
        <v>54</v>
      </c>
      <c r="D3037" s="22">
        <v>-3444.4</v>
      </c>
      <c r="E3037" t="s">
        <v>35</v>
      </c>
      <c r="F3037" s="2">
        <v>212901001</v>
      </c>
      <c r="G3037" s="2" t="s">
        <v>121</v>
      </c>
      <c r="L3037" s="2" t="s">
        <v>5515</v>
      </c>
      <c r="M3037" t="s">
        <v>67</v>
      </c>
      <c r="N3037" t="s">
        <v>68</v>
      </c>
      <c r="P3037" s="23">
        <v>86.66</v>
      </c>
      <c r="Q3037" s="4">
        <f t="shared" si="47"/>
        <v>-39.746134318024467</v>
      </c>
      <c r="R3037" s="23" t="s">
        <v>109</v>
      </c>
      <c r="U3037">
        <v>1</v>
      </c>
      <c r="V3037" t="e">
        <f>VLOOKUP(U3037,[1]!NOMINA[#Data],4,FALSE)</f>
        <v>#REF!</v>
      </c>
      <c r="W3037" t="e">
        <f>VLOOKUP(U3037,[1]!NOMINA[#Data],5,FALSE)</f>
        <v>#REF!</v>
      </c>
    </row>
    <row r="3038" spans="1:23" x14ac:dyDescent="0.25">
      <c r="A3038" s="21">
        <v>45776</v>
      </c>
      <c r="B3038" s="1">
        <v>112073077</v>
      </c>
      <c r="C3038" t="s">
        <v>54</v>
      </c>
      <c r="D3038" s="22">
        <v>-3444.4</v>
      </c>
      <c r="E3038" t="s">
        <v>35</v>
      </c>
      <c r="F3038" s="2">
        <v>212901001</v>
      </c>
      <c r="G3038" s="2" t="s">
        <v>121</v>
      </c>
      <c r="L3038" s="2" t="s">
        <v>5516</v>
      </c>
      <c r="M3038" t="s">
        <v>67</v>
      </c>
      <c r="N3038" t="s">
        <v>68</v>
      </c>
      <c r="P3038" s="23">
        <v>86.66</v>
      </c>
      <c r="Q3038" s="4">
        <f t="shared" si="47"/>
        <v>-39.746134318024467</v>
      </c>
      <c r="R3038" s="23" t="s">
        <v>109</v>
      </c>
      <c r="U3038">
        <v>4</v>
      </c>
      <c r="V3038" t="e">
        <f>VLOOKUP(U3038,[1]!NOMINA[#Data],4,FALSE)</f>
        <v>#REF!</v>
      </c>
      <c r="W3038" t="e">
        <f>VLOOKUP(U3038,[1]!NOMINA[#Data],5,FALSE)</f>
        <v>#REF!</v>
      </c>
    </row>
    <row r="3039" spans="1:23" x14ac:dyDescent="0.25">
      <c r="A3039" s="21">
        <v>45776</v>
      </c>
      <c r="B3039" s="1">
        <v>312073101</v>
      </c>
      <c r="C3039" t="s">
        <v>54</v>
      </c>
      <c r="D3039" s="22">
        <v>-3444.4</v>
      </c>
      <c r="E3039" t="s">
        <v>35</v>
      </c>
      <c r="F3039" s="2">
        <v>212901001</v>
      </c>
      <c r="G3039" s="2" t="s">
        <v>121</v>
      </c>
      <c r="L3039" s="2" t="s">
        <v>5517</v>
      </c>
      <c r="M3039" t="s">
        <v>67</v>
      </c>
      <c r="N3039" t="s">
        <v>68</v>
      </c>
      <c r="P3039" s="23">
        <v>86.66</v>
      </c>
      <c r="Q3039" s="4">
        <f t="shared" si="47"/>
        <v>-39.746134318024467</v>
      </c>
      <c r="R3039" s="23" t="s">
        <v>109</v>
      </c>
      <c r="U3039">
        <v>2</v>
      </c>
      <c r="V3039" t="e">
        <f>VLOOKUP(Tabla3[[#This Row],[Nº]],[1]!NOMINA[#Data],4,FALSE)</f>
        <v>#REF!</v>
      </c>
      <c r="W3039" t="e">
        <f>VLOOKUP(Tabla3[[#This Row],[Nº]],[1]!NOMINA[#Data],5,FALSE)</f>
        <v>#REF!</v>
      </c>
    </row>
    <row r="3040" spans="1:23" x14ac:dyDescent="0.25">
      <c r="A3040" s="21">
        <v>45776</v>
      </c>
      <c r="B3040" s="1">
        <v>412073108</v>
      </c>
      <c r="C3040" t="s">
        <v>54</v>
      </c>
      <c r="D3040" s="22">
        <v>-7749.9</v>
      </c>
      <c r="E3040" t="s">
        <v>35</v>
      </c>
      <c r="F3040" s="2">
        <v>212901001</v>
      </c>
      <c r="G3040" s="2" t="s">
        <v>121</v>
      </c>
      <c r="L3040" s="2" t="s">
        <v>5518</v>
      </c>
      <c r="M3040" t="s">
        <v>67</v>
      </c>
      <c r="N3040" t="s">
        <v>68</v>
      </c>
      <c r="P3040" s="23">
        <v>86.66</v>
      </c>
      <c r="Q3040" s="4">
        <f t="shared" si="47"/>
        <v>-89.428802215555038</v>
      </c>
      <c r="R3040" s="23" t="s">
        <v>109</v>
      </c>
    </row>
    <row r="3041" spans="1:23" x14ac:dyDescent="0.25">
      <c r="A3041" s="21">
        <v>45776</v>
      </c>
      <c r="B3041" s="1">
        <v>412073104</v>
      </c>
      <c r="C3041" t="s">
        <v>54</v>
      </c>
      <c r="D3041" s="22">
        <v>-3444.4</v>
      </c>
      <c r="E3041" t="s">
        <v>35</v>
      </c>
      <c r="F3041" s="2">
        <v>212901001</v>
      </c>
      <c r="G3041" s="2" t="s">
        <v>121</v>
      </c>
      <c r="L3041" s="2" t="s">
        <v>5519</v>
      </c>
      <c r="M3041" t="s">
        <v>67</v>
      </c>
      <c r="N3041" t="s">
        <v>68</v>
      </c>
      <c r="P3041" s="23">
        <v>86.66</v>
      </c>
      <c r="Q3041" s="4">
        <f t="shared" si="47"/>
        <v>-39.746134318024467</v>
      </c>
      <c r="R3041" s="23" t="s">
        <v>109</v>
      </c>
      <c r="U3041">
        <v>3</v>
      </c>
      <c r="V3041" t="e">
        <f>VLOOKUP(U3041,[1]!NOMINA[#Data],4,FALSE)</f>
        <v>#REF!</v>
      </c>
      <c r="W3041" t="e">
        <f>VLOOKUP(U3041,[1]!NOMINA[#Data],5,FALSE)</f>
        <v>#REF!</v>
      </c>
    </row>
    <row r="3042" spans="1:23" x14ac:dyDescent="0.25">
      <c r="A3042" s="21">
        <v>45776</v>
      </c>
      <c r="B3042" s="1">
        <v>412073105</v>
      </c>
      <c r="C3042" t="s">
        <v>54</v>
      </c>
      <c r="D3042" s="22">
        <v>-3444.4</v>
      </c>
      <c r="E3042" t="s">
        <v>35</v>
      </c>
      <c r="F3042" s="2">
        <v>212901001</v>
      </c>
      <c r="G3042" s="2" t="s">
        <v>121</v>
      </c>
      <c r="L3042" s="2" t="s">
        <v>5520</v>
      </c>
      <c r="M3042" t="s">
        <v>67</v>
      </c>
      <c r="N3042" t="s">
        <v>68</v>
      </c>
      <c r="P3042" s="23">
        <v>86.66</v>
      </c>
      <c r="Q3042" s="4">
        <f t="shared" si="47"/>
        <v>-39.746134318024467</v>
      </c>
      <c r="R3042" s="23" t="s">
        <v>109</v>
      </c>
      <c r="U3042">
        <v>1</v>
      </c>
      <c r="V3042" t="e">
        <f>VLOOKUP(U3042,[1]!NOMINA[#Data],4,FALSE)</f>
        <v>#REF!</v>
      </c>
      <c r="W3042" t="e">
        <f>VLOOKUP(U3042,[1]!NOMINA[#Data],5,FALSE)</f>
        <v>#REF!</v>
      </c>
    </row>
    <row r="3043" spans="1:23" x14ac:dyDescent="0.25">
      <c r="A3043" s="21">
        <v>45776</v>
      </c>
      <c r="B3043" s="1">
        <v>412073107</v>
      </c>
      <c r="C3043" t="s">
        <v>54</v>
      </c>
      <c r="D3043" s="22">
        <v>-3444.4</v>
      </c>
      <c r="E3043" t="s">
        <v>35</v>
      </c>
      <c r="F3043" s="2">
        <v>212901001</v>
      </c>
      <c r="G3043" s="2" t="s">
        <v>121</v>
      </c>
      <c r="L3043" s="2" t="s">
        <v>5521</v>
      </c>
      <c r="M3043" t="s">
        <v>67</v>
      </c>
      <c r="N3043" t="s">
        <v>68</v>
      </c>
      <c r="P3043" s="23">
        <v>86.66</v>
      </c>
      <c r="Q3043" s="4">
        <f t="shared" si="47"/>
        <v>-39.746134318024467</v>
      </c>
      <c r="R3043" s="23" t="s">
        <v>109</v>
      </c>
      <c r="T3043">
        <v>38</v>
      </c>
      <c r="U3043">
        <v>18</v>
      </c>
      <c r="V3043" t="e">
        <f>VLOOKUP(Tabla3[[#This Row],[Nº]],[1]!NOMINA[#Data],4,FALSE)</f>
        <v>#REF!</v>
      </c>
      <c r="W3043" t="e">
        <f>VLOOKUP(Tabla3[[#This Row],[Nº]],[1]!NOMINA[#Data],5,FALSE)</f>
        <v>#REF!</v>
      </c>
    </row>
    <row r="3044" spans="1:23" x14ac:dyDescent="0.25">
      <c r="A3044" s="21">
        <v>45776</v>
      </c>
      <c r="B3044" s="1">
        <v>412073109</v>
      </c>
      <c r="C3044" t="s">
        <v>54</v>
      </c>
      <c r="D3044" s="22">
        <v>-7749.9</v>
      </c>
      <c r="E3044" t="s">
        <v>35</v>
      </c>
      <c r="F3044" s="2">
        <v>212901001</v>
      </c>
      <c r="G3044" s="2" t="s">
        <v>121</v>
      </c>
      <c r="L3044" s="2" t="s">
        <v>5522</v>
      </c>
      <c r="M3044" t="s">
        <v>67</v>
      </c>
      <c r="N3044" t="s">
        <v>68</v>
      </c>
      <c r="P3044" s="23">
        <v>86.66</v>
      </c>
      <c r="Q3044" s="4">
        <f t="shared" si="47"/>
        <v>-89.428802215555038</v>
      </c>
      <c r="R3044" s="23" t="s">
        <v>109</v>
      </c>
    </row>
    <row r="3045" spans="1:23" x14ac:dyDescent="0.25">
      <c r="A3045" s="21">
        <v>45776</v>
      </c>
      <c r="B3045" s="1">
        <v>412073110</v>
      </c>
      <c r="C3045" t="s">
        <v>54</v>
      </c>
      <c r="D3045" s="22">
        <v>-7749.9</v>
      </c>
      <c r="E3045" t="s">
        <v>35</v>
      </c>
      <c r="F3045" s="2">
        <v>212901001</v>
      </c>
      <c r="G3045" s="2" t="s">
        <v>121</v>
      </c>
      <c r="L3045" s="2" t="s">
        <v>5523</v>
      </c>
      <c r="M3045" t="s">
        <v>67</v>
      </c>
      <c r="N3045" t="s">
        <v>68</v>
      </c>
      <c r="P3045" s="23">
        <v>86.66</v>
      </c>
      <c r="Q3045" s="4">
        <f t="shared" si="47"/>
        <v>-89.428802215555038</v>
      </c>
      <c r="R3045" s="23" t="s">
        <v>109</v>
      </c>
    </row>
    <row r="3046" spans="1:23" x14ac:dyDescent="0.25">
      <c r="A3046" s="21">
        <v>45776</v>
      </c>
      <c r="B3046" s="1">
        <v>50470960</v>
      </c>
      <c r="C3046" t="s">
        <v>54</v>
      </c>
      <c r="D3046" s="22">
        <v>-15066.32</v>
      </c>
      <c r="E3046" t="s">
        <v>35</v>
      </c>
      <c r="F3046" s="2">
        <v>212901001</v>
      </c>
      <c r="G3046" s="2" t="s">
        <v>121</v>
      </c>
      <c r="L3046" s="2" t="s">
        <v>5524</v>
      </c>
      <c r="M3046" t="s">
        <v>67</v>
      </c>
      <c r="N3046" t="s">
        <v>68</v>
      </c>
      <c r="P3046" s="23">
        <v>86.66</v>
      </c>
      <c r="Q3046" s="4">
        <f t="shared" si="47"/>
        <v>-173.85552734825757</v>
      </c>
      <c r="R3046" s="23" t="s">
        <v>109</v>
      </c>
      <c r="U3046">
        <v>40</v>
      </c>
      <c r="V3046" t="e">
        <f>VLOOKUP(U3046,[1]!NOMINA[#Data],4,FALSE)</f>
        <v>#REF!</v>
      </c>
      <c r="W3046" t="e">
        <f>VLOOKUP(U3046,[1]!NOMINA[#Data],5,FALSE)</f>
        <v>#REF!</v>
      </c>
    </row>
    <row r="3047" spans="1:23" x14ac:dyDescent="0.25">
      <c r="A3047" s="21">
        <v>45776</v>
      </c>
      <c r="B3047" s="1">
        <v>50470960</v>
      </c>
      <c r="C3047" t="s">
        <v>54</v>
      </c>
      <c r="D3047" s="22">
        <v>-22.59</v>
      </c>
      <c r="E3047" t="s">
        <v>35</v>
      </c>
      <c r="F3047" s="2">
        <v>610148001</v>
      </c>
      <c r="G3047" s="2" t="s">
        <v>42</v>
      </c>
      <c r="L3047" s="2" t="s">
        <v>5525</v>
      </c>
      <c r="M3047" t="s">
        <v>43</v>
      </c>
      <c r="N3047" t="s">
        <v>42</v>
      </c>
      <c r="P3047" s="23">
        <v>86.66</v>
      </c>
      <c r="Q3047" s="4">
        <f t="shared" si="47"/>
        <v>-0.26067389799215324</v>
      </c>
      <c r="R3047" s="23" t="s">
        <v>109</v>
      </c>
      <c r="T3047" s="23" t="s">
        <v>4558</v>
      </c>
    </row>
    <row r="3048" spans="1:23" x14ac:dyDescent="0.25">
      <c r="A3048" s="21">
        <v>45776</v>
      </c>
      <c r="B3048" s="1">
        <v>50470960</v>
      </c>
      <c r="C3048" t="s">
        <v>54</v>
      </c>
      <c r="D3048" s="22">
        <v>-1334.58</v>
      </c>
      <c r="E3048" t="s">
        <v>35</v>
      </c>
      <c r="F3048" s="2">
        <v>610148001</v>
      </c>
      <c r="G3048" s="2" t="s">
        <v>42</v>
      </c>
      <c r="L3048" s="2" t="s">
        <v>5526</v>
      </c>
      <c r="M3048" t="s">
        <v>43</v>
      </c>
      <c r="N3048" t="s">
        <v>42</v>
      </c>
      <c r="P3048" s="23">
        <v>86.66</v>
      </c>
      <c r="Q3048" s="4">
        <f t="shared" si="47"/>
        <v>-15.40018462958689</v>
      </c>
      <c r="R3048" s="23" t="s">
        <v>109</v>
      </c>
      <c r="T3048" s="23" t="s">
        <v>4558</v>
      </c>
    </row>
    <row r="3049" spans="1:23" x14ac:dyDescent="0.25">
      <c r="A3049" s="21">
        <v>45777</v>
      </c>
      <c r="B3049" s="1">
        <v>143638012</v>
      </c>
      <c r="C3049" t="s">
        <v>54</v>
      </c>
      <c r="D3049" s="22">
        <v>65000</v>
      </c>
      <c r="E3049" t="s">
        <v>46</v>
      </c>
      <c r="F3049" s="2">
        <v>210115002</v>
      </c>
      <c r="G3049" s="2" t="s">
        <v>47</v>
      </c>
      <c r="L3049" s="2" t="s">
        <v>5527</v>
      </c>
      <c r="N3049" t="s">
        <v>107</v>
      </c>
      <c r="P3049" s="23">
        <v>86.85</v>
      </c>
      <c r="Q3049" s="4">
        <f t="shared" si="47"/>
        <v>748.41681059297639</v>
      </c>
      <c r="R3049" s="23" t="s">
        <v>109</v>
      </c>
    </row>
    <row r="3050" spans="1:23" x14ac:dyDescent="0.25">
      <c r="A3050" s="21">
        <v>45777</v>
      </c>
      <c r="B3050" s="1">
        <v>612135914</v>
      </c>
      <c r="C3050" t="s">
        <v>100</v>
      </c>
      <c r="D3050" s="30">
        <v>-8685</v>
      </c>
      <c r="E3050" t="s">
        <v>35</v>
      </c>
      <c r="F3050" s="2">
        <v>610124003</v>
      </c>
      <c r="G3050" s="2" t="s">
        <v>101</v>
      </c>
      <c r="L3050" s="2" t="s">
        <v>5528</v>
      </c>
      <c r="M3050" t="s">
        <v>103</v>
      </c>
      <c r="N3050" t="s">
        <v>104</v>
      </c>
      <c r="O3050" s="27" t="s">
        <v>59</v>
      </c>
      <c r="P3050" s="23">
        <v>86.85</v>
      </c>
      <c r="Q3050" s="4">
        <f t="shared" si="47"/>
        <v>-100</v>
      </c>
      <c r="R3050" s="23" t="s">
        <v>109</v>
      </c>
      <c r="T3050" s="23" t="s">
        <v>5529</v>
      </c>
    </row>
    <row r="3051" spans="1:23" x14ac:dyDescent="0.25">
      <c r="A3051" s="32">
        <v>45777</v>
      </c>
      <c r="B3051" s="26">
        <v>612135916</v>
      </c>
      <c r="C3051" s="27" t="s">
        <v>54</v>
      </c>
      <c r="D3051" s="28">
        <v>-13027.5</v>
      </c>
      <c r="E3051" s="27" t="s">
        <v>35</v>
      </c>
      <c r="F3051" s="29">
        <v>610156001</v>
      </c>
      <c r="G3051" s="29" t="s">
        <v>91</v>
      </c>
      <c r="H3051" s="107"/>
      <c r="I3051" s="101"/>
      <c r="J3051" s="101"/>
      <c r="K3051" s="29"/>
      <c r="L3051" s="2" t="s">
        <v>5530</v>
      </c>
      <c r="M3051" s="27" t="s">
        <v>93</v>
      </c>
      <c r="N3051" s="27" t="s">
        <v>94</v>
      </c>
      <c r="O3051" s="27" t="s">
        <v>59</v>
      </c>
      <c r="P3051" s="31">
        <v>86.85</v>
      </c>
      <c r="Q3051" s="4">
        <f t="shared" si="47"/>
        <v>-150</v>
      </c>
      <c r="R3051" s="23" t="s">
        <v>109</v>
      </c>
      <c r="T3051" s="23" t="s">
        <v>5531</v>
      </c>
    </row>
    <row r="3052" spans="1:23" x14ac:dyDescent="0.25">
      <c r="A3052" s="21">
        <v>45777</v>
      </c>
      <c r="B3052" s="1">
        <v>712135918</v>
      </c>
      <c r="C3052" t="s">
        <v>54</v>
      </c>
      <c r="D3052" s="22">
        <v>-42308.45</v>
      </c>
      <c r="E3052" t="s">
        <v>35</v>
      </c>
      <c r="F3052" s="2">
        <v>110114001</v>
      </c>
      <c r="G3052" s="2" t="s">
        <v>301</v>
      </c>
      <c r="L3052" s="2" t="s">
        <v>5532</v>
      </c>
      <c r="M3052" t="s">
        <v>38</v>
      </c>
      <c r="N3052" t="s">
        <v>39</v>
      </c>
      <c r="P3052" s="23">
        <v>86.85</v>
      </c>
      <c r="Q3052" s="4">
        <f t="shared" si="47"/>
        <v>-487.14392630972941</v>
      </c>
      <c r="R3052" s="23" t="s">
        <v>109</v>
      </c>
      <c r="S3052" s="33" t="s">
        <v>3147</v>
      </c>
    </row>
    <row r="3053" spans="1:23" x14ac:dyDescent="0.25">
      <c r="A3053" s="21">
        <v>45777</v>
      </c>
      <c r="B3053" s="1">
        <v>50456603</v>
      </c>
      <c r="C3053" t="s">
        <v>54</v>
      </c>
      <c r="D3053" s="22">
        <v>-160.05000000000001</v>
      </c>
      <c r="E3053" t="s">
        <v>35</v>
      </c>
      <c r="F3053" s="2">
        <v>610148001</v>
      </c>
      <c r="G3053" s="2" t="s">
        <v>42</v>
      </c>
      <c r="L3053" s="2" t="s">
        <v>5533</v>
      </c>
      <c r="M3053" t="s">
        <v>43</v>
      </c>
      <c r="N3053" t="s">
        <v>42</v>
      </c>
      <c r="P3053" s="23">
        <v>86.85</v>
      </c>
      <c r="Q3053" s="4">
        <f t="shared" si="47"/>
        <v>-1.8428324697754752</v>
      </c>
      <c r="R3053" s="23" t="s">
        <v>109</v>
      </c>
      <c r="T3053" s="23" t="s">
        <v>4558</v>
      </c>
    </row>
    <row r="3054" spans="1:23" x14ac:dyDescent="0.25">
      <c r="A3054" s="21">
        <v>45777</v>
      </c>
      <c r="B3054" s="1">
        <v>0</v>
      </c>
      <c r="C3054" t="s">
        <v>54</v>
      </c>
      <c r="D3054" s="22">
        <v>-0.5</v>
      </c>
      <c r="E3054" t="s">
        <v>35</v>
      </c>
      <c r="F3054" s="2">
        <v>610148001</v>
      </c>
      <c r="G3054" s="2" t="s">
        <v>42</v>
      </c>
      <c r="L3054" s="2" t="s">
        <v>5534</v>
      </c>
      <c r="M3054" t="s">
        <v>43</v>
      </c>
      <c r="N3054" t="s">
        <v>42</v>
      </c>
      <c r="P3054" s="23">
        <v>86.85</v>
      </c>
      <c r="Q3054" s="4">
        <f t="shared" si="47"/>
        <v>-5.7570523891767415E-3</v>
      </c>
      <c r="R3054" s="23" t="s">
        <v>109</v>
      </c>
      <c r="T3054" s="23" t="s">
        <v>4558</v>
      </c>
    </row>
    <row r="3055" spans="1:23" x14ac:dyDescent="0.25">
      <c r="A3055" s="21">
        <v>45777</v>
      </c>
      <c r="B3055" s="1">
        <v>0</v>
      </c>
      <c r="C3055" t="s">
        <v>54</v>
      </c>
      <c r="D3055" s="22">
        <v>-0.5</v>
      </c>
      <c r="E3055" t="s">
        <v>35</v>
      </c>
      <c r="F3055" s="2">
        <v>610148001</v>
      </c>
      <c r="G3055" s="2" t="s">
        <v>42</v>
      </c>
      <c r="L3055" s="2" t="s">
        <v>5535</v>
      </c>
      <c r="M3055" t="s">
        <v>43</v>
      </c>
      <c r="N3055" t="s">
        <v>42</v>
      </c>
      <c r="P3055" s="23">
        <v>86.85</v>
      </c>
      <c r="Q3055" s="4">
        <f t="shared" si="47"/>
        <v>-5.7570523891767415E-3</v>
      </c>
      <c r="R3055" s="23" t="s">
        <v>109</v>
      </c>
      <c r="T3055" s="23" t="s">
        <v>4558</v>
      </c>
    </row>
    <row r="3056" spans="1:23" x14ac:dyDescent="0.25">
      <c r="A3056" s="21">
        <v>45748</v>
      </c>
      <c r="B3056" s="1" t="s">
        <v>5536</v>
      </c>
      <c r="C3056" t="s">
        <v>54</v>
      </c>
      <c r="D3056" s="22">
        <v>-0.5</v>
      </c>
      <c r="E3056" t="s">
        <v>35</v>
      </c>
      <c r="F3056" s="2">
        <v>610148001</v>
      </c>
      <c r="G3056" s="2" t="s">
        <v>42</v>
      </c>
      <c r="L3056" s="2" t="s">
        <v>5537</v>
      </c>
      <c r="M3056" t="s">
        <v>43</v>
      </c>
      <c r="N3056" t="s">
        <v>42</v>
      </c>
      <c r="P3056" s="23">
        <v>69.78</v>
      </c>
      <c r="Q3056" s="4">
        <f t="shared" si="47"/>
        <v>-7.1653768988248785E-3</v>
      </c>
      <c r="R3056" s="23" t="s">
        <v>1198</v>
      </c>
      <c r="T3056" s="23" t="s">
        <v>4558</v>
      </c>
    </row>
    <row r="3057" spans="1:23" x14ac:dyDescent="0.25">
      <c r="A3057" s="21">
        <v>45748</v>
      </c>
      <c r="B3057" s="1" t="s">
        <v>5538</v>
      </c>
      <c r="C3057" t="s">
        <v>54</v>
      </c>
      <c r="D3057" s="22">
        <v>280000</v>
      </c>
      <c r="E3057" t="s">
        <v>46</v>
      </c>
      <c r="F3057" s="2">
        <v>210115002</v>
      </c>
      <c r="G3057" s="2" t="s">
        <v>47</v>
      </c>
      <c r="L3057" s="2" t="s">
        <v>5539</v>
      </c>
      <c r="N3057" t="s">
        <v>544</v>
      </c>
      <c r="P3057" s="23">
        <v>69.78</v>
      </c>
      <c r="Q3057" s="4">
        <f t="shared" si="47"/>
        <v>4012.6110633419316</v>
      </c>
      <c r="R3057" s="23" t="s">
        <v>1198</v>
      </c>
    </row>
    <row r="3058" spans="1:23" x14ac:dyDescent="0.25">
      <c r="A3058" s="21">
        <v>45748</v>
      </c>
      <c r="B3058" s="1" t="s">
        <v>1217</v>
      </c>
      <c r="C3058" t="s">
        <v>54</v>
      </c>
      <c r="D3058" s="22">
        <v>-15622.35</v>
      </c>
      <c r="E3058" t="s">
        <v>35</v>
      </c>
      <c r="F3058" s="2">
        <v>210101001</v>
      </c>
      <c r="G3058" s="2" t="s">
        <v>36</v>
      </c>
      <c r="L3058" s="2" t="s">
        <v>5540</v>
      </c>
      <c r="M3058" t="s">
        <v>760</v>
      </c>
      <c r="N3058" t="s">
        <v>761</v>
      </c>
      <c r="P3058" s="23">
        <v>69.78</v>
      </c>
      <c r="Q3058" s="4">
        <f t="shared" si="47"/>
        <v>-223.88005159071366</v>
      </c>
      <c r="R3058" s="23" t="s">
        <v>1198</v>
      </c>
    </row>
    <row r="3059" spans="1:23" x14ac:dyDescent="0.25">
      <c r="A3059" s="21">
        <v>45748</v>
      </c>
      <c r="B3059" s="1" t="s">
        <v>1208</v>
      </c>
      <c r="C3059" t="s">
        <v>54</v>
      </c>
      <c r="D3059" s="22">
        <v>-1619.16</v>
      </c>
      <c r="E3059" t="s">
        <v>35</v>
      </c>
      <c r="F3059" s="2">
        <v>210101001</v>
      </c>
      <c r="G3059" s="2" t="s">
        <v>36</v>
      </c>
      <c r="L3059" s="2" t="s">
        <v>5541</v>
      </c>
      <c r="M3059" t="s">
        <v>760</v>
      </c>
      <c r="N3059" t="s">
        <v>761</v>
      </c>
      <c r="P3059" s="23">
        <v>69.78</v>
      </c>
      <c r="Q3059" s="4">
        <f t="shared" si="47"/>
        <v>-23.203783319002579</v>
      </c>
      <c r="R3059" s="23" t="s">
        <v>1198</v>
      </c>
    </row>
    <row r="3060" spans="1:23" x14ac:dyDescent="0.25">
      <c r="A3060" s="21">
        <v>45748</v>
      </c>
      <c r="B3060" s="1" t="s">
        <v>1211</v>
      </c>
      <c r="C3060" t="s">
        <v>54</v>
      </c>
      <c r="D3060" s="22">
        <v>-200000</v>
      </c>
      <c r="E3060" t="s">
        <v>35</v>
      </c>
      <c r="F3060" s="2">
        <v>210101001</v>
      </c>
      <c r="G3060" s="2" t="s">
        <v>36</v>
      </c>
      <c r="L3060" s="2" t="s">
        <v>5542</v>
      </c>
      <c r="M3060" t="s">
        <v>714</v>
      </c>
      <c r="N3060" t="s">
        <v>715</v>
      </c>
      <c r="P3060" s="23">
        <v>69.78</v>
      </c>
      <c r="Q3060" s="4">
        <f t="shared" si="47"/>
        <v>-2866.1507595299513</v>
      </c>
      <c r="R3060" s="23" t="s">
        <v>1198</v>
      </c>
    </row>
    <row r="3061" spans="1:23" x14ac:dyDescent="0.25">
      <c r="A3061" s="21">
        <v>45748</v>
      </c>
      <c r="B3061" s="1" t="s">
        <v>1211</v>
      </c>
      <c r="C3061" t="s">
        <v>54</v>
      </c>
      <c r="D3061" s="22">
        <v>-56963.75</v>
      </c>
      <c r="E3061" t="s">
        <v>35</v>
      </c>
      <c r="F3061" s="2">
        <v>210101001</v>
      </c>
      <c r="G3061" s="2" t="s">
        <v>36</v>
      </c>
      <c r="L3061" s="2" t="s">
        <v>5543</v>
      </c>
      <c r="M3061" t="s">
        <v>714</v>
      </c>
      <c r="N3061" t="s">
        <v>715</v>
      </c>
      <c r="P3061" s="23">
        <v>69.78</v>
      </c>
      <c r="Q3061" s="4">
        <f t="shared" si="47"/>
        <v>-816.33347664087125</v>
      </c>
      <c r="R3061" s="23" t="s">
        <v>1198</v>
      </c>
    </row>
    <row r="3062" spans="1:23" x14ac:dyDescent="0.25">
      <c r="A3062" s="21">
        <v>45748</v>
      </c>
      <c r="B3062" s="1" t="s">
        <v>1217</v>
      </c>
      <c r="C3062" t="s">
        <v>54</v>
      </c>
      <c r="D3062" s="22">
        <v>-14451.96</v>
      </c>
      <c r="E3062" t="s">
        <v>35</v>
      </c>
      <c r="F3062" s="2">
        <v>210101001</v>
      </c>
      <c r="G3062" s="2" t="s">
        <v>36</v>
      </c>
      <c r="L3062" s="2" t="s">
        <v>5544</v>
      </c>
      <c r="M3062" t="s">
        <v>521</v>
      </c>
      <c r="N3062" t="s">
        <v>3364</v>
      </c>
      <c r="P3062" s="23">
        <v>69.78</v>
      </c>
      <c r="Q3062" s="4">
        <f t="shared" si="47"/>
        <v>-207.10748065348236</v>
      </c>
      <c r="R3062" s="23" t="s">
        <v>1198</v>
      </c>
    </row>
    <row r="3063" spans="1:23" x14ac:dyDescent="0.25">
      <c r="A3063" s="21">
        <v>45748</v>
      </c>
      <c r="B3063" s="1" t="s">
        <v>1223</v>
      </c>
      <c r="C3063" t="s">
        <v>54</v>
      </c>
      <c r="D3063" s="22">
        <v>-4.04</v>
      </c>
      <c r="E3063" t="s">
        <v>35</v>
      </c>
      <c r="F3063" s="2">
        <v>610148001</v>
      </c>
      <c r="G3063" s="2" t="s">
        <v>42</v>
      </c>
      <c r="L3063" s="2" t="s">
        <v>5545</v>
      </c>
      <c r="M3063" t="s">
        <v>43</v>
      </c>
      <c r="N3063" t="s">
        <v>42</v>
      </c>
      <c r="P3063" s="23">
        <v>69.78</v>
      </c>
      <c r="Q3063" s="4">
        <f t="shared" si="47"/>
        <v>-5.7896245342505016E-2</v>
      </c>
      <c r="R3063" s="23" t="s">
        <v>1198</v>
      </c>
      <c r="T3063" s="23" t="s">
        <v>4558</v>
      </c>
    </row>
    <row r="3064" spans="1:23" x14ac:dyDescent="0.25">
      <c r="A3064" s="21">
        <v>45748</v>
      </c>
      <c r="B3064" s="1" t="s">
        <v>1227</v>
      </c>
      <c r="C3064" t="s">
        <v>54</v>
      </c>
      <c r="D3064" s="22">
        <v>-142.4</v>
      </c>
      <c r="E3064" t="s">
        <v>35</v>
      </c>
      <c r="F3064" s="2">
        <v>610148001</v>
      </c>
      <c r="G3064" s="2" t="s">
        <v>42</v>
      </c>
      <c r="L3064" s="2" t="s">
        <v>5546</v>
      </c>
      <c r="M3064" t="s">
        <v>43</v>
      </c>
      <c r="N3064" t="s">
        <v>42</v>
      </c>
      <c r="P3064" s="23">
        <v>69.78</v>
      </c>
      <c r="Q3064" s="4">
        <f t="shared" si="47"/>
        <v>-2.0406993407853253</v>
      </c>
      <c r="R3064" s="23" t="s">
        <v>1198</v>
      </c>
      <c r="T3064" s="23" t="s">
        <v>4558</v>
      </c>
    </row>
    <row r="3065" spans="1:23" x14ac:dyDescent="0.25">
      <c r="A3065" s="21">
        <v>45748</v>
      </c>
      <c r="B3065" s="1" t="s">
        <v>1227</v>
      </c>
      <c r="C3065" t="s">
        <v>54</v>
      </c>
      <c r="D3065" s="22">
        <v>-500</v>
      </c>
      <c r="E3065" t="s">
        <v>35</v>
      </c>
      <c r="F3065" s="2">
        <v>610148001</v>
      </c>
      <c r="G3065" s="2" t="s">
        <v>42</v>
      </c>
      <c r="L3065" s="2" t="s">
        <v>5547</v>
      </c>
      <c r="M3065" t="s">
        <v>43</v>
      </c>
      <c r="N3065" t="s">
        <v>42</v>
      </c>
      <c r="P3065" s="23">
        <v>69.78</v>
      </c>
      <c r="Q3065" s="4">
        <f t="shared" si="47"/>
        <v>-7.1653768988248778</v>
      </c>
      <c r="R3065" s="23" t="s">
        <v>1198</v>
      </c>
      <c r="T3065" s="23" t="s">
        <v>4558</v>
      </c>
    </row>
    <row r="3066" spans="1:23" x14ac:dyDescent="0.25">
      <c r="A3066" s="21">
        <v>45748</v>
      </c>
      <c r="B3066" s="1" t="s">
        <v>1220</v>
      </c>
      <c r="C3066" t="s">
        <v>54</v>
      </c>
      <c r="D3066" s="22">
        <v>-36.119999999999997</v>
      </c>
      <c r="E3066" t="s">
        <v>35</v>
      </c>
      <c r="F3066" s="2">
        <v>610148001</v>
      </c>
      <c r="G3066" s="2" t="s">
        <v>42</v>
      </c>
      <c r="L3066" s="2" t="s">
        <v>5548</v>
      </c>
      <c r="M3066" t="s">
        <v>43</v>
      </c>
      <c r="N3066" t="s">
        <v>42</v>
      </c>
      <c r="P3066" s="23">
        <v>69.78</v>
      </c>
      <c r="Q3066" s="4">
        <f t="shared" si="47"/>
        <v>-0.51762682717110919</v>
      </c>
      <c r="R3066" s="23" t="s">
        <v>1198</v>
      </c>
      <c r="T3066" s="23" t="s">
        <v>4558</v>
      </c>
    </row>
    <row r="3067" spans="1:23" x14ac:dyDescent="0.25">
      <c r="A3067" s="21">
        <v>45748</v>
      </c>
      <c r="B3067" s="1" t="s">
        <v>1220</v>
      </c>
      <c r="C3067" t="s">
        <v>54</v>
      </c>
      <c r="D3067" s="22">
        <v>-39.049999999999997</v>
      </c>
      <c r="E3067" t="s">
        <v>35</v>
      </c>
      <c r="F3067" s="2">
        <v>610148001</v>
      </c>
      <c r="G3067" s="2" t="s">
        <v>42</v>
      </c>
      <c r="L3067" s="2" t="s">
        <v>5549</v>
      </c>
      <c r="M3067" t="s">
        <v>43</v>
      </c>
      <c r="N3067" t="s">
        <v>42</v>
      </c>
      <c r="P3067" s="23">
        <v>69.78</v>
      </c>
      <c r="Q3067" s="4">
        <f t="shared" si="47"/>
        <v>-0.55961593579822289</v>
      </c>
      <c r="R3067" s="23" t="s">
        <v>1198</v>
      </c>
      <c r="T3067" s="23" t="s">
        <v>4558</v>
      </c>
    </row>
    <row r="3068" spans="1:23" x14ac:dyDescent="0.25">
      <c r="A3068" s="21">
        <v>45749</v>
      </c>
      <c r="B3068" s="1">
        <v>672828717594</v>
      </c>
      <c r="C3068" t="s">
        <v>54</v>
      </c>
      <c r="D3068" s="22">
        <v>2748</v>
      </c>
      <c r="E3068" t="s">
        <v>46</v>
      </c>
      <c r="F3068" s="2">
        <v>212901001</v>
      </c>
      <c r="G3068" s="2" t="s">
        <v>121</v>
      </c>
      <c r="L3068" s="2" t="s">
        <v>5550</v>
      </c>
      <c r="M3068" t="s">
        <v>67</v>
      </c>
      <c r="N3068" t="s">
        <v>68</v>
      </c>
      <c r="P3068" s="23">
        <v>70.010000000000005</v>
      </c>
      <c r="Q3068" s="4">
        <f t="shared" si="47"/>
        <v>39.251535494929293</v>
      </c>
      <c r="R3068" s="23" t="s">
        <v>1198</v>
      </c>
      <c r="S3068" t="s">
        <v>5551</v>
      </c>
      <c r="U3068">
        <v>2</v>
      </c>
      <c r="V3068" t="e">
        <f>VLOOKUP(Tabla3[[#This Row],[Nº]],[1]!NOMINA[#Data],4,FALSE)</f>
        <v>#REF!</v>
      </c>
      <c r="W3068" t="e">
        <f>VLOOKUP(Tabla3[[#This Row],[Nº]],[1]!NOMINA[#Data],5,FALSE)</f>
        <v>#REF!</v>
      </c>
    </row>
    <row r="3069" spans="1:23" x14ac:dyDescent="0.25">
      <c r="A3069" s="21">
        <v>45750</v>
      </c>
      <c r="B3069" s="1" t="s">
        <v>5552</v>
      </c>
      <c r="C3069" t="s">
        <v>54</v>
      </c>
      <c r="D3069" s="22">
        <v>1000000</v>
      </c>
      <c r="E3069" t="s">
        <v>46</v>
      </c>
      <c r="F3069" s="2">
        <v>210115002</v>
      </c>
      <c r="G3069" s="2" t="s">
        <v>47</v>
      </c>
      <c r="L3069" s="2" t="s">
        <v>5553</v>
      </c>
      <c r="N3069" t="s">
        <v>544</v>
      </c>
      <c r="P3069" s="23">
        <v>70.25</v>
      </c>
      <c r="Q3069" s="4">
        <f t="shared" si="47"/>
        <v>14234.875444839858</v>
      </c>
      <c r="R3069" s="23" t="s">
        <v>1198</v>
      </c>
    </row>
    <row r="3070" spans="1:23" x14ac:dyDescent="0.25">
      <c r="A3070" s="21">
        <v>45750</v>
      </c>
      <c r="B3070" s="1" t="s">
        <v>2573</v>
      </c>
      <c r="C3070" t="s">
        <v>5554</v>
      </c>
      <c r="D3070" s="30">
        <v>-200000</v>
      </c>
      <c r="E3070" t="s">
        <v>35</v>
      </c>
      <c r="F3070" s="2">
        <v>110110001</v>
      </c>
      <c r="G3070" s="2" t="s">
        <v>5555</v>
      </c>
      <c r="L3070" s="2" t="s">
        <v>5556</v>
      </c>
      <c r="M3070" t="s">
        <v>2722</v>
      </c>
      <c r="N3070" t="s">
        <v>1279</v>
      </c>
      <c r="P3070" s="23">
        <v>70.25</v>
      </c>
      <c r="Q3070" s="4">
        <f t="shared" si="47"/>
        <v>-2846.9750889679717</v>
      </c>
      <c r="R3070" s="23" t="s">
        <v>1198</v>
      </c>
      <c r="T3070" s="23" t="s">
        <v>5557</v>
      </c>
    </row>
    <row r="3071" spans="1:23" x14ac:dyDescent="0.25">
      <c r="A3071" s="21">
        <v>45750</v>
      </c>
      <c r="B3071" s="1" t="s">
        <v>1217</v>
      </c>
      <c r="C3071" t="s">
        <v>5554</v>
      </c>
      <c r="D3071" s="30">
        <v>-200000</v>
      </c>
      <c r="E3071" t="s">
        <v>35</v>
      </c>
      <c r="F3071" s="2">
        <v>110110001</v>
      </c>
      <c r="G3071" s="2" t="s">
        <v>5555</v>
      </c>
      <c r="L3071" s="2" t="s">
        <v>5558</v>
      </c>
      <c r="M3071" t="s">
        <v>2722</v>
      </c>
      <c r="N3071" t="s">
        <v>1279</v>
      </c>
      <c r="P3071" s="23">
        <v>70.25</v>
      </c>
      <c r="Q3071" s="4">
        <f t="shared" si="47"/>
        <v>-2846.9750889679717</v>
      </c>
      <c r="R3071" s="23" t="s">
        <v>1198</v>
      </c>
      <c r="T3071" s="23" t="s">
        <v>5557</v>
      </c>
    </row>
    <row r="3072" spans="1:23" x14ac:dyDescent="0.25">
      <c r="A3072" s="21">
        <v>45750</v>
      </c>
      <c r="B3072" s="1" t="s">
        <v>1214</v>
      </c>
      <c r="C3072" t="s">
        <v>5554</v>
      </c>
      <c r="D3072" s="30">
        <v>-200000</v>
      </c>
      <c r="E3072" t="s">
        <v>35</v>
      </c>
      <c r="F3072" s="2">
        <v>110110001</v>
      </c>
      <c r="G3072" s="2" t="s">
        <v>5555</v>
      </c>
      <c r="L3072" s="2" t="s">
        <v>5559</v>
      </c>
      <c r="M3072" t="s">
        <v>2722</v>
      </c>
      <c r="N3072" t="s">
        <v>1279</v>
      </c>
      <c r="P3072" s="23">
        <v>70.25</v>
      </c>
      <c r="Q3072" s="4">
        <f t="shared" si="47"/>
        <v>-2846.9750889679717</v>
      </c>
      <c r="R3072" s="23" t="s">
        <v>1198</v>
      </c>
      <c r="T3072" s="23" t="s">
        <v>5557</v>
      </c>
    </row>
    <row r="3073" spans="1:20" x14ac:dyDescent="0.25">
      <c r="A3073" s="21">
        <v>45750</v>
      </c>
      <c r="B3073" s="1" t="s">
        <v>1208</v>
      </c>
      <c r="C3073" t="s">
        <v>5554</v>
      </c>
      <c r="D3073" s="30">
        <v>-172016.94</v>
      </c>
      <c r="E3073" t="s">
        <v>35</v>
      </c>
      <c r="F3073" s="2">
        <v>110110001</v>
      </c>
      <c r="G3073" s="2" t="s">
        <v>5555</v>
      </c>
      <c r="L3073" s="2" t="s">
        <v>5560</v>
      </c>
      <c r="M3073" t="s">
        <v>2722</v>
      </c>
      <c r="N3073" t="s">
        <v>1279</v>
      </c>
      <c r="P3073" s="23">
        <v>70.25</v>
      </c>
      <c r="Q3073" s="4">
        <f t="shared" si="47"/>
        <v>-2448.6397153024909</v>
      </c>
      <c r="R3073" s="23" t="s">
        <v>1198</v>
      </c>
      <c r="T3073" s="23" t="s">
        <v>5557</v>
      </c>
    </row>
    <row r="3074" spans="1:20" x14ac:dyDescent="0.25">
      <c r="A3074" s="21">
        <v>45750</v>
      </c>
      <c r="B3074" s="1" t="s">
        <v>1211</v>
      </c>
      <c r="C3074" t="s">
        <v>5554</v>
      </c>
      <c r="D3074" s="30">
        <v>-200000</v>
      </c>
      <c r="E3074" t="s">
        <v>35</v>
      </c>
      <c r="F3074" s="2">
        <v>110110001</v>
      </c>
      <c r="G3074" s="2" t="s">
        <v>5555</v>
      </c>
      <c r="L3074" s="2" t="s">
        <v>5561</v>
      </c>
      <c r="M3074" t="s">
        <v>2722</v>
      </c>
      <c r="N3074" t="s">
        <v>1279</v>
      </c>
      <c r="P3074" s="23">
        <v>70.25</v>
      </c>
      <c r="Q3074" s="4">
        <f t="shared" si="47"/>
        <v>-2846.9750889679717</v>
      </c>
      <c r="R3074" s="23" t="s">
        <v>1198</v>
      </c>
      <c r="T3074" s="23" t="s">
        <v>5557</v>
      </c>
    </row>
    <row r="3075" spans="1:20" x14ac:dyDescent="0.25">
      <c r="A3075" s="21">
        <v>45750</v>
      </c>
      <c r="B3075" s="1" t="s">
        <v>1220</v>
      </c>
      <c r="C3075" t="s">
        <v>54</v>
      </c>
      <c r="D3075" s="22">
        <v>-500</v>
      </c>
      <c r="E3075" t="s">
        <v>35</v>
      </c>
      <c r="F3075" s="2">
        <v>610148001</v>
      </c>
      <c r="G3075" s="2" t="s">
        <v>42</v>
      </c>
      <c r="L3075" s="2" t="s">
        <v>5562</v>
      </c>
      <c r="M3075" t="s">
        <v>43</v>
      </c>
      <c r="N3075" t="s">
        <v>42</v>
      </c>
      <c r="P3075" s="23">
        <v>70.25</v>
      </c>
      <c r="Q3075" s="4">
        <f t="shared" si="47"/>
        <v>-7.117437722419929</v>
      </c>
      <c r="R3075" s="23" t="s">
        <v>1198</v>
      </c>
      <c r="T3075" s="23" t="s">
        <v>4558</v>
      </c>
    </row>
    <row r="3076" spans="1:20" x14ac:dyDescent="0.25">
      <c r="A3076" s="21">
        <v>45750</v>
      </c>
      <c r="B3076" s="1" t="s">
        <v>1227</v>
      </c>
      <c r="C3076" t="s">
        <v>54</v>
      </c>
      <c r="D3076" s="22">
        <v>-500</v>
      </c>
      <c r="E3076" t="s">
        <v>35</v>
      </c>
      <c r="F3076" s="2">
        <v>610148001</v>
      </c>
      <c r="G3076" s="2" t="s">
        <v>42</v>
      </c>
      <c r="L3076" s="2" t="s">
        <v>5563</v>
      </c>
      <c r="M3076" t="s">
        <v>43</v>
      </c>
      <c r="N3076" t="s">
        <v>42</v>
      </c>
      <c r="P3076" s="23">
        <v>70.25</v>
      </c>
      <c r="Q3076" s="4">
        <f t="shared" si="47"/>
        <v>-7.117437722419929</v>
      </c>
      <c r="R3076" s="23" t="s">
        <v>1198</v>
      </c>
      <c r="T3076" s="23" t="s">
        <v>4558</v>
      </c>
    </row>
    <row r="3077" spans="1:20" x14ac:dyDescent="0.25">
      <c r="A3077" s="21">
        <v>45750</v>
      </c>
      <c r="B3077" s="1" t="s">
        <v>1225</v>
      </c>
      <c r="C3077" t="s">
        <v>54</v>
      </c>
      <c r="D3077" s="22">
        <v>-500</v>
      </c>
      <c r="E3077" t="s">
        <v>35</v>
      </c>
      <c r="F3077" s="2">
        <v>610148001</v>
      </c>
      <c r="G3077" s="2" t="s">
        <v>42</v>
      </c>
      <c r="L3077" s="2" t="s">
        <v>5564</v>
      </c>
      <c r="M3077" t="s">
        <v>43</v>
      </c>
      <c r="N3077" t="s">
        <v>42</v>
      </c>
      <c r="P3077" s="23">
        <v>70.25</v>
      </c>
      <c r="Q3077" s="4">
        <f t="shared" si="47"/>
        <v>-7.117437722419929</v>
      </c>
      <c r="R3077" s="23" t="s">
        <v>1198</v>
      </c>
      <c r="T3077" s="23" t="s">
        <v>4558</v>
      </c>
    </row>
    <row r="3078" spans="1:20" x14ac:dyDescent="0.25">
      <c r="A3078" s="21">
        <v>45750</v>
      </c>
      <c r="B3078" s="1" t="s">
        <v>2582</v>
      </c>
      <c r="C3078" t="s">
        <v>54</v>
      </c>
      <c r="D3078" s="22">
        <v>-500</v>
      </c>
      <c r="E3078" t="s">
        <v>35</v>
      </c>
      <c r="F3078" s="2">
        <v>610148001</v>
      </c>
      <c r="G3078" s="2" t="s">
        <v>42</v>
      </c>
      <c r="L3078" s="2" t="s">
        <v>5565</v>
      </c>
      <c r="M3078" t="s">
        <v>43</v>
      </c>
      <c r="N3078" t="s">
        <v>42</v>
      </c>
      <c r="P3078" s="23">
        <v>70.25</v>
      </c>
      <c r="Q3078" s="4">
        <f t="shared" si="47"/>
        <v>-7.117437722419929</v>
      </c>
      <c r="R3078" s="23" t="s">
        <v>1198</v>
      </c>
      <c r="T3078" s="23" t="s">
        <v>4558</v>
      </c>
    </row>
    <row r="3079" spans="1:20" x14ac:dyDescent="0.25">
      <c r="A3079" s="21">
        <v>45750</v>
      </c>
      <c r="B3079" s="1" t="s">
        <v>1223</v>
      </c>
      <c r="C3079" t="s">
        <v>54</v>
      </c>
      <c r="D3079" s="22">
        <v>-430.04</v>
      </c>
      <c r="E3079" t="s">
        <v>35</v>
      </c>
      <c r="F3079" s="2">
        <v>610148001</v>
      </c>
      <c r="G3079" s="2" t="s">
        <v>42</v>
      </c>
      <c r="L3079" s="2" t="s">
        <v>5566</v>
      </c>
      <c r="M3079" t="s">
        <v>43</v>
      </c>
      <c r="N3079" t="s">
        <v>42</v>
      </c>
      <c r="P3079" s="23">
        <v>70.25</v>
      </c>
      <c r="Q3079" s="4">
        <f t="shared" si="47"/>
        <v>-6.1215658362989327</v>
      </c>
      <c r="R3079" s="23" t="s">
        <v>1198</v>
      </c>
      <c r="T3079" s="23" t="s">
        <v>4558</v>
      </c>
    </row>
    <row r="3080" spans="1:20" x14ac:dyDescent="0.25">
      <c r="A3080" s="21">
        <v>45751</v>
      </c>
      <c r="B3080" s="1" t="s">
        <v>5567</v>
      </c>
      <c r="C3080" t="s">
        <v>54</v>
      </c>
      <c r="D3080" s="22">
        <v>-176.69</v>
      </c>
      <c r="E3080" t="s">
        <v>35</v>
      </c>
      <c r="F3080" s="2">
        <v>213201001</v>
      </c>
      <c r="G3080" s="2" t="s">
        <v>1245</v>
      </c>
      <c r="L3080" s="2" t="s">
        <v>5568</v>
      </c>
      <c r="M3080" t="s">
        <v>1247</v>
      </c>
      <c r="N3080" t="s">
        <v>1248</v>
      </c>
      <c r="P3080" s="23">
        <v>70.59</v>
      </c>
      <c r="Q3080" s="4">
        <f t="shared" si="47"/>
        <v>-2.5030457571894034</v>
      </c>
      <c r="R3080" s="23" t="s">
        <v>1198</v>
      </c>
      <c r="T3080" s="41" t="s">
        <v>5569</v>
      </c>
    </row>
    <row r="3081" spans="1:20" x14ac:dyDescent="0.25">
      <c r="A3081" s="21">
        <v>45751</v>
      </c>
      <c r="B3081" s="1" t="s">
        <v>5570</v>
      </c>
      <c r="C3081" t="s">
        <v>54</v>
      </c>
      <c r="D3081" s="22">
        <v>-74.25</v>
      </c>
      <c r="E3081" t="s">
        <v>35</v>
      </c>
      <c r="F3081" s="2">
        <v>213101001</v>
      </c>
      <c r="G3081" s="2" t="s">
        <v>1252</v>
      </c>
      <c r="L3081" s="2" t="s">
        <v>5571</v>
      </c>
      <c r="M3081" t="s">
        <v>1254</v>
      </c>
      <c r="N3081" t="s">
        <v>1255</v>
      </c>
      <c r="P3081" s="23">
        <v>70.59</v>
      </c>
      <c r="Q3081" s="4">
        <f t="shared" si="47"/>
        <v>-1.0518487037824054</v>
      </c>
      <c r="R3081" s="23" t="s">
        <v>1198</v>
      </c>
      <c r="T3081" s="23" t="s">
        <v>5569</v>
      </c>
    </row>
    <row r="3082" spans="1:20" x14ac:dyDescent="0.25">
      <c r="A3082" s="21">
        <v>45751</v>
      </c>
      <c r="B3082" s="1" t="s">
        <v>5572</v>
      </c>
      <c r="C3082" t="s">
        <v>54</v>
      </c>
      <c r="D3082" s="22">
        <v>-150.54</v>
      </c>
      <c r="E3082" t="s">
        <v>35</v>
      </c>
      <c r="F3082" s="2">
        <v>211001001</v>
      </c>
      <c r="G3082" s="2" t="s">
        <v>5573</v>
      </c>
      <c r="L3082" s="2" t="s">
        <v>5574</v>
      </c>
      <c r="M3082" t="s">
        <v>5575</v>
      </c>
      <c r="N3082" t="s">
        <v>5576</v>
      </c>
      <c r="P3082" s="23">
        <v>70.59</v>
      </c>
      <c r="Q3082" s="4">
        <f t="shared" si="47"/>
        <v>-2.1325966850828726</v>
      </c>
      <c r="R3082" s="23" t="s">
        <v>1198</v>
      </c>
      <c r="T3082" s="23" t="s">
        <v>5569</v>
      </c>
    </row>
    <row r="3083" spans="1:20" x14ac:dyDescent="0.25">
      <c r="A3083" s="21">
        <v>45751</v>
      </c>
      <c r="B3083" s="1" t="s">
        <v>5577</v>
      </c>
      <c r="C3083" t="s">
        <v>54</v>
      </c>
      <c r="D3083" s="22">
        <v>-0.15</v>
      </c>
      <c r="E3083" t="s">
        <v>35</v>
      </c>
      <c r="F3083" s="2">
        <v>610148001</v>
      </c>
      <c r="G3083" s="2" t="s">
        <v>42</v>
      </c>
      <c r="L3083" s="2" t="s">
        <v>5578</v>
      </c>
      <c r="M3083" t="s">
        <v>43</v>
      </c>
      <c r="N3083" t="s">
        <v>42</v>
      </c>
      <c r="P3083" s="23">
        <v>70.59</v>
      </c>
      <c r="Q3083" s="4">
        <f t="shared" ref="Q3083:Q3146" si="48">D3083/P3083</f>
        <v>-2.1249468763280916E-3</v>
      </c>
      <c r="R3083" s="23" t="s">
        <v>1198</v>
      </c>
      <c r="T3083" s="23" t="s">
        <v>4558</v>
      </c>
    </row>
    <row r="3084" spans="1:20" x14ac:dyDescent="0.25">
      <c r="A3084" s="21">
        <v>45751</v>
      </c>
      <c r="B3084" s="1" t="s">
        <v>5579</v>
      </c>
      <c r="C3084" t="s">
        <v>54</v>
      </c>
      <c r="D3084" s="22">
        <v>1200000</v>
      </c>
      <c r="E3084" t="s">
        <v>46</v>
      </c>
      <c r="F3084" s="2">
        <v>210115002</v>
      </c>
      <c r="G3084" s="2" t="s">
        <v>47</v>
      </c>
      <c r="L3084" s="2" t="s">
        <v>5580</v>
      </c>
      <c r="N3084" t="s">
        <v>544</v>
      </c>
      <c r="P3084" s="23">
        <v>70.59</v>
      </c>
      <c r="Q3084" s="4">
        <f t="shared" si="48"/>
        <v>16999.575010624732</v>
      </c>
      <c r="R3084" s="23" t="s">
        <v>1198</v>
      </c>
    </row>
    <row r="3085" spans="1:20" x14ac:dyDescent="0.25">
      <c r="A3085" s="21">
        <v>45751</v>
      </c>
      <c r="B3085" s="1" t="s">
        <v>3924</v>
      </c>
      <c r="C3085" t="s">
        <v>54</v>
      </c>
      <c r="D3085" s="22">
        <v>-1411.8</v>
      </c>
      <c r="E3085" t="s">
        <v>35</v>
      </c>
      <c r="F3085" s="2">
        <v>212901001</v>
      </c>
      <c r="G3085" s="2" t="s">
        <v>121</v>
      </c>
      <c r="L3085" s="2" t="s">
        <v>5581</v>
      </c>
      <c r="M3085" t="s">
        <v>67</v>
      </c>
      <c r="N3085" t="s">
        <v>68</v>
      </c>
      <c r="P3085" s="23">
        <v>70.59</v>
      </c>
      <c r="Q3085" s="4">
        <f t="shared" si="48"/>
        <v>-20</v>
      </c>
      <c r="R3085" s="23" t="s">
        <v>1198</v>
      </c>
    </row>
    <row r="3086" spans="1:20" x14ac:dyDescent="0.25">
      <c r="A3086" s="21">
        <v>45751</v>
      </c>
      <c r="B3086" s="1" t="s">
        <v>4088</v>
      </c>
      <c r="C3086" t="s">
        <v>54</v>
      </c>
      <c r="D3086" s="22">
        <v>-67964.05</v>
      </c>
      <c r="E3086" t="s">
        <v>35</v>
      </c>
      <c r="F3086" s="2">
        <v>210101001</v>
      </c>
      <c r="G3086" s="2" t="s">
        <v>36</v>
      </c>
      <c r="L3086" s="2" t="s">
        <v>5582</v>
      </c>
      <c r="M3086" t="s">
        <v>303</v>
      </c>
      <c r="N3086" t="s">
        <v>304</v>
      </c>
      <c r="P3086" s="23">
        <v>70.59</v>
      </c>
      <c r="Q3086" s="4">
        <f t="shared" si="48"/>
        <v>-962.79997166737496</v>
      </c>
      <c r="R3086" s="23" t="s">
        <v>1198</v>
      </c>
    </row>
    <row r="3087" spans="1:20" x14ac:dyDescent="0.25">
      <c r="A3087" s="21">
        <v>45751</v>
      </c>
      <c r="B3087" s="1" t="s">
        <v>1211</v>
      </c>
      <c r="C3087" t="s">
        <v>54</v>
      </c>
      <c r="D3087" s="22">
        <v>-3953.04</v>
      </c>
      <c r="E3087" t="s">
        <v>35</v>
      </c>
      <c r="F3087" s="2">
        <v>212901001</v>
      </c>
      <c r="G3087" s="2" t="s">
        <v>121</v>
      </c>
      <c r="L3087" s="2" t="s">
        <v>5583</v>
      </c>
      <c r="M3087" t="s">
        <v>67</v>
      </c>
      <c r="N3087" t="s">
        <v>68</v>
      </c>
      <c r="P3087" s="23">
        <v>70.59</v>
      </c>
      <c r="Q3087" s="4">
        <f t="shared" si="48"/>
        <v>-56</v>
      </c>
      <c r="R3087" s="23" t="s">
        <v>1198</v>
      </c>
    </row>
    <row r="3088" spans="1:20" x14ac:dyDescent="0.25">
      <c r="A3088" s="32">
        <v>45751</v>
      </c>
      <c r="B3088" s="26" t="s">
        <v>2573</v>
      </c>
      <c r="C3088" s="27" t="s">
        <v>54</v>
      </c>
      <c r="D3088" s="28">
        <v>-3529.5</v>
      </c>
      <c r="E3088" s="27" t="s">
        <v>35</v>
      </c>
      <c r="F3088" s="29">
        <v>610156001</v>
      </c>
      <c r="G3088" s="29" t="s">
        <v>91</v>
      </c>
      <c r="H3088" s="107"/>
      <c r="I3088" s="101"/>
      <c r="J3088" s="101"/>
      <c r="K3088" s="29"/>
      <c r="L3088" s="2" t="s">
        <v>5584</v>
      </c>
      <c r="M3088" s="27" t="s">
        <v>93</v>
      </c>
      <c r="N3088" s="27" t="s">
        <v>94</v>
      </c>
      <c r="O3088" s="27" t="s">
        <v>59</v>
      </c>
      <c r="P3088" s="31">
        <v>70.59</v>
      </c>
      <c r="Q3088" s="4">
        <f t="shared" si="48"/>
        <v>-50</v>
      </c>
      <c r="R3088" s="23" t="s">
        <v>1198</v>
      </c>
      <c r="T3088" s="23" t="s">
        <v>5585</v>
      </c>
    </row>
    <row r="3089" spans="1:23" x14ac:dyDescent="0.25">
      <c r="A3089" s="21">
        <v>45751</v>
      </c>
      <c r="B3089" s="1" t="s">
        <v>3933</v>
      </c>
      <c r="C3089" t="s">
        <v>54</v>
      </c>
      <c r="D3089" s="22">
        <v>-1411.8</v>
      </c>
      <c r="E3089" t="s">
        <v>35</v>
      </c>
      <c r="F3089" s="2">
        <v>212901001</v>
      </c>
      <c r="G3089" s="2" t="s">
        <v>121</v>
      </c>
      <c r="L3089" s="2" t="s">
        <v>5586</v>
      </c>
      <c r="M3089" t="s">
        <v>67</v>
      </c>
      <c r="N3089" t="s">
        <v>68</v>
      </c>
      <c r="P3089" s="23">
        <v>70.59</v>
      </c>
      <c r="Q3089" s="4">
        <f t="shared" si="48"/>
        <v>-20</v>
      </c>
      <c r="R3089" s="23" t="s">
        <v>1198</v>
      </c>
    </row>
    <row r="3090" spans="1:23" x14ac:dyDescent="0.25">
      <c r="A3090" s="21">
        <v>45751</v>
      </c>
      <c r="B3090" s="1" t="s">
        <v>3914</v>
      </c>
      <c r="C3090" t="s">
        <v>54</v>
      </c>
      <c r="D3090" s="22">
        <v>-150036.95000000001</v>
      </c>
      <c r="E3090" t="s">
        <v>35</v>
      </c>
      <c r="F3090" s="2">
        <v>110114001</v>
      </c>
      <c r="G3090" s="2" t="s">
        <v>301</v>
      </c>
      <c r="L3090" s="2" t="s">
        <v>5587</v>
      </c>
      <c r="M3090" t="s">
        <v>38</v>
      </c>
      <c r="N3090" t="s">
        <v>39</v>
      </c>
      <c r="P3090" s="23">
        <v>70.59</v>
      </c>
      <c r="Q3090" s="4">
        <f t="shared" si="48"/>
        <v>-2125.4703215752938</v>
      </c>
      <c r="R3090" s="23" t="s">
        <v>1198</v>
      </c>
      <c r="S3090" s="33" t="s">
        <v>2726</v>
      </c>
    </row>
    <row r="3091" spans="1:23" x14ac:dyDescent="0.25">
      <c r="A3091" s="21">
        <v>45751</v>
      </c>
      <c r="B3091" s="1" t="s">
        <v>3936</v>
      </c>
      <c r="C3091" t="s">
        <v>54</v>
      </c>
      <c r="D3091" s="22">
        <v>-200000</v>
      </c>
      <c r="E3091" t="s">
        <v>35</v>
      </c>
      <c r="F3091" s="2">
        <v>110114001</v>
      </c>
      <c r="G3091" s="2" t="s">
        <v>301</v>
      </c>
      <c r="L3091" s="2" t="s">
        <v>5588</v>
      </c>
      <c r="M3091" t="s">
        <v>38</v>
      </c>
      <c r="N3091" t="s">
        <v>39</v>
      </c>
      <c r="P3091" s="23">
        <v>70.59</v>
      </c>
      <c r="Q3091" s="4">
        <f t="shared" si="48"/>
        <v>-2833.2625017707887</v>
      </c>
      <c r="R3091" s="23" t="s">
        <v>1198</v>
      </c>
      <c r="S3091" s="33" t="s">
        <v>2726</v>
      </c>
    </row>
    <row r="3092" spans="1:23" x14ac:dyDescent="0.25">
      <c r="A3092" s="21">
        <v>45751</v>
      </c>
      <c r="B3092" s="1" t="s">
        <v>3917</v>
      </c>
      <c r="C3092" t="s">
        <v>54</v>
      </c>
      <c r="D3092" s="43">
        <v>-195957.84</v>
      </c>
      <c r="E3092" t="s">
        <v>35</v>
      </c>
      <c r="F3092" s="2">
        <v>110114001</v>
      </c>
      <c r="G3092" s="2" t="s">
        <v>301</v>
      </c>
      <c r="L3092" s="2" t="s">
        <v>5589</v>
      </c>
      <c r="N3092" t="s">
        <v>2551</v>
      </c>
      <c r="P3092" s="23">
        <v>70.59</v>
      </c>
      <c r="Q3092" s="4">
        <f t="shared" si="48"/>
        <v>-2776</v>
      </c>
      <c r="R3092" s="23" t="s">
        <v>1198</v>
      </c>
    </row>
    <row r="3093" spans="1:23" x14ac:dyDescent="0.25">
      <c r="A3093" s="32">
        <v>45751</v>
      </c>
      <c r="B3093" s="26" t="s">
        <v>1208</v>
      </c>
      <c r="C3093" s="27" t="s">
        <v>54</v>
      </c>
      <c r="D3093" s="28">
        <v>-8470.7999999999993</v>
      </c>
      <c r="E3093" s="27" t="s">
        <v>35</v>
      </c>
      <c r="F3093" s="29">
        <v>610129001</v>
      </c>
      <c r="G3093" s="29" t="s">
        <v>55</v>
      </c>
      <c r="H3093" s="107"/>
      <c r="I3093" s="101"/>
      <c r="J3093" s="101"/>
      <c r="K3093" s="29"/>
      <c r="L3093" s="2" t="s">
        <v>5590</v>
      </c>
      <c r="M3093" s="27" t="s">
        <v>57</v>
      </c>
      <c r="N3093" s="27" t="s">
        <v>58</v>
      </c>
      <c r="O3093" s="27" t="s">
        <v>59</v>
      </c>
      <c r="P3093" s="31">
        <v>70.59</v>
      </c>
      <c r="Q3093" s="4">
        <f t="shared" si="48"/>
        <v>-119.99999999999999</v>
      </c>
      <c r="R3093" s="23" t="s">
        <v>1198</v>
      </c>
      <c r="T3093" s="23" t="s">
        <v>5591</v>
      </c>
    </row>
    <row r="3094" spans="1:23" x14ac:dyDescent="0.25">
      <c r="A3094" s="21">
        <v>45751</v>
      </c>
      <c r="B3094" s="1" t="s">
        <v>3952</v>
      </c>
      <c r="C3094" t="s">
        <v>54</v>
      </c>
      <c r="D3094" s="22">
        <v>-1411.8</v>
      </c>
      <c r="E3094" t="s">
        <v>35</v>
      </c>
      <c r="F3094" s="2">
        <v>212901001</v>
      </c>
      <c r="G3094" s="2" t="s">
        <v>121</v>
      </c>
      <c r="L3094" s="2" t="s">
        <v>5592</v>
      </c>
      <c r="M3094" t="s">
        <v>67</v>
      </c>
      <c r="N3094" t="s">
        <v>68</v>
      </c>
      <c r="P3094" s="23">
        <v>70.59</v>
      </c>
      <c r="Q3094" s="4">
        <f t="shared" si="48"/>
        <v>-20</v>
      </c>
      <c r="R3094" s="23" t="s">
        <v>1198</v>
      </c>
    </row>
    <row r="3095" spans="1:23" x14ac:dyDescent="0.25">
      <c r="A3095" s="21">
        <v>45751</v>
      </c>
      <c r="B3095" s="1" t="s">
        <v>3927</v>
      </c>
      <c r="C3095" t="s">
        <v>54</v>
      </c>
      <c r="D3095" s="22">
        <v>-3529.5</v>
      </c>
      <c r="E3095" t="s">
        <v>35</v>
      </c>
      <c r="F3095" s="2">
        <v>212901001</v>
      </c>
      <c r="G3095" s="2" t="s">
        <v>121</v>
      </c>
      <c r="L3095" s="2" t="s">
        <v>5593</v>
      </c>
      <c r="M3095" t="s">
        <v>67</v>
      </c>
      <c r="N3095" t="s">
        <v>68</v>
      </c>
      <c r="P3095" s="23">
        <v>70.59</v>
      </c>
      <c r="Q3095" s="4">
        <f t="shared" si="48"/>
        <v>-50</v>
      </c>
      <c r="R3095" s="23" t="s">
        <v>1198</v>
      </c>
    </row>
    <row r="3096" spans="1:23" x14ac:dyDescent="0.25">
      <c r="A3096" s="21">
        <v>45751</v>
      </c>
      <c r="B3096" s="1" t="s">
        <v>4127</v>
      </c>
      <c r="C3096" t="s">
        <v>54</v>
      </c>
      <c r="D3096" s="22">
        <v>-42579.89</v>
      </c>
      <c r="E3096" t="s">
        <v>35</v>
      </c>
      <c r="F3096" s="2">
        <v>210101001</v>
      </c>
      <c r="G3096" s="2" t="s">
        <v>36</v>
      </c>
      <c r="L3096" s="2" t="s">
        <v>5594</v>
      </c>
      <c r="M3096" t="s">
        <v>38</v>
      </c>
      <c r="N3096" t="s">
        <v>39</v>
      </c>
      <c r="P3096" s="23">
        <v>70.59</v>
      </c>
      <c r="Q3096" s="4">
        <f t="shared" si="48"/>
        <v>-603.20002833262492</v>
      </c>
      <c r="R3096" s="23" t="s">
        <v>1198</v>
      </c>
    </row>
    <row r="3097" spans="1:23" s="64" customFormat="1" ht="15.75" x14ac:dyDescent="0.25">
      <c r="A3097" s="61">
        <v>45751</v>
      </c>
      <c r="B3097" s="62" t="s">
        <v>1211</v>
      </c>
      <c r="C3097" t="s">
        <v>54</v>
      </c>
      <c r="D3097" s="63">
        <v>-200000</v>
      </c>
      <c r="E3097" s="64" t="s">
        <v>35</v>
      </c>
      <c r="F3097" s="65">
        <v>110114001</v>
      </c>
      <c r="G3097" s="65" t="s">
        <v>301</v>
      </c>
      <c r="H3097" s="65"/>
      <c r="I3097" s="41"/>
      <c r="J3097" s="41"/>
      <c r="K3097" s="65"/>
      <c r="L3097" s="2" t="s">
        <v>5595</v>
      </c>
      <c r="M3097" s="64" t="s">
        <v>38</v>
      </c>
      <c r="N3097" s="66" t="s">
        <v>39</v>
      </c>
      <c r="P3097" s="23">
        <v>70.59</v>
      </c>
      <c r="Q3097" s="4">
        <f t="shared" si="48"/>
        <v>-2833.2625017707887</v>
      </c>
      <c r="R3097" s="23" t="s">
        <v>1198</v>
      </c>
      <c r="S3097" s="36" t="s">
        <v>1353</v>
      </c>
      <c r="U3097"/>
      <c r="V3097"/>
      <c r="W3097"/>
    </row>
    <row r="3098" spans="1:23" x14ac:dyDescent="0.25">
      <c r="A3098" s="21">
        <v>45751</v>
      </c>
      <c r="B3098" s="1" t="s">
        <v>1217</v>
      </c>
      <c r="C3098" t="s">
        <v>54</v>
      </c>
      <c r="D3098" s="22">
        <v>-705.9</v>
      </c>
      <c r="E3098" t="s">
        <v>35</v>
      </c>
      <c r="F3098" s="2">
        <v>212901001</v>
      </c>
      <c r="G3098" s="2" t="s">
        <v>121</v>
      </c>
      <c r="L3098" s="2" t="s">
        <v>5596</v>
      </c>
      <c r="M3098" t="s">
        <v>67</v>
      </c>
      <c r="N3098" t="s">
        <v>68</v>
      </c>
      <c r="P3098" s="23">
        <v>70.59</v>
      </c>
      <c r="Q3098" s="4">
        <f t="shared" si="48"/>
        <v>-10</v>
      </c>
      <c r="R3098" s="23" t="s">
        <v>1198</v>
      </c>
    </row>
    <row r="3099" spans="1:23" x14ac:dyDescent="0.25">
      <c r="A3099" s="21">
        <v>45751</v>
      </c>
      <c r="B3099" s="1" t="s">
        <v>2571</v>
      </c>
      <c r="C3099" t="s">
        <v>54</v>
      </c>
      <c r="D3099" s="22">
        <v>-4941.3</v>
      </c>
      <c r="E3099" t="s">
        <v>35</v>
      </c>
      <c r="F3099" s="2">
        <v>212901001</v>
      </c>
      <c r="G3099" s="2" t="s">
        <v>121</v>
      </c>
      <c r="L3099" s="2" t="s">
        <v>5597</v>
      </c>
      <c r="M3099" t="s">
        <v>67</v>
      </c>
      <c r="N3099" t="s">
        <v>68</v>
      </c>
      <c r="P3099" s="23">
        <v>70.59</v>
      </c>
      <c r="Q3099" s="4">
        <f t="shared" si="48"/>
        <v>-70</v>
      </c>
      <c r="R3099" s="23" t="s">
        <v>1198</v>
      </c>
    </row>
    <row r="3100" spans="1:23" x14ac:dyDescent="0.25">
      <c r="A3100" s="21">
        <v>45751</v>
      </c>
      <c r="B3100" s="1" t="s">
        <v>3949</v>
      </c>
      <c r="C3100" t="s">
        <v>54</v>
      </c>
      <c r="D3100" s="22">
        <v>-200000</v>
      </c>
      <c r="E3100" t="s">
        <v>35</v>
      </c>
      <c r="F3100" s="2">
        <v>110114001</v>
      </c>
      <c r="G3100" s="2" t="s">
        <v>301</v>
      </c>
      <c r="L3100" s="2" t="s">
        <v>5598</v>
      </c>
      <c r="M3100" t="s">
        <v>38</v>
      </c>
      <c r="N3100" t="s">
        <v>39</v>
      </c>
      <c r="P3100" s="23">
        <v>70.59</v>
      </c>
      <c r="Q3100" s="4">
        <f t="shared" si="48"/>
        <v>-2833.2625017707887</v>
      </c>
      <c r="R3100" s="23" t="s">
        <v>1198</v>
      </c>
      <c r="S3100" s="33" t="s">
        <v>2726</v>
      </c>
    </row>
    <row r="3101" spans="1:23" x14ac:dyDescent="0.25">
      <c r="A3101" s="21">
        <v>45751</v>
      </c>
      <c r="B3101" s="1" t="s">
        <v>4108</v>
      </c>
      <c r="C3101" t="s">
        <v>54</v>
      </c>
      <c r="D3101" s="22">
        <v>-3919.55</v>
      </c>
      <c r="E3101" t="s">
        <v>35</v>
      </c>
      <c r="F3101" s="2">
        <v>210101001</v>
      </c>
      <c r="G3101" s="2" t="s">
        <v>36</v>
      </c>
      <c r="L3101" s="2" t="s">
        <v>5599</v>
      </c>
      <c r="M3101" t="s">
        <v>2635</v>
      </c>
      <c r="N3101" t="s">
        <v>2636</v>
      </c>
      <c r="P3101" s="23">
        <v>70.59</v>
      </c>
      <c r="Q3101" s="4">
        <f t="shared" si="48"/>
        <v>-55.525570194078483</v>
      </c>
      <c r="R3101" s="23" t="s">
        <v>1198</v>
      </c>
    </row>
    <row r="3102" spans="1:23" x14ac:dyDescent="0.25">
      <c r="A3102" s="21">
        <v>45751</v>
      </c>
      <c r="B3102" s="1" t="s">
        <v>3943</v>
      </c>
      <c r="C3102" t="s">
        <v>54</v>
      </c>
      <c r="D3102" s="22">
        <v>-10488</v>
      </c>
      <c r="E3102" t="s">
        <v>35</v>
      </c>
      <c r="F3102" s="2">
        <v>210101001</v>
      </c>
      <c r="G3102" s="2" t="s">
        <v>36</v>
      </c>
      <c r="L3102" s="2" t="s">
        <v>5600</v>
      </c>
      <c r="M3102" t="s">
        <v>114</v>
      </c>
      <c r="N3102" t="s">
        <v>115</v>
      </c>
      <c r="P3102" s="23">
        <v>70.59</v>
      </c>
      <c r="Q3102" s="4">
        <f t="shared" si="48"/>
        <v>-148.57628559286016</v>
      </c>
      <c r="R3102" s="23" t="s">
        <v>1198</v>
      </c>
    </row>
    <row r="3103" spans="1:23" x14ac:dyDescent="0.25">
      <c r="A3103" s="21">
        <v>45751</v>
      </c>
      <c r="B3103" s="1" t="s">
        <v>3930</v>
      </c>
      <c r="C3103" t="s">
        <v>54</v>
      </c>
      <c r="D3103" s="22">
        <v>-4235.3999999999996</v>
      </c>
      <c r="E3103" t="s">
        <v>35</v>
      </c>
      <c r="F3103" s="2">
        <v>212901001</v>
      </c>
      <c r="G3103" s="2" t="s">
        <v>121</v>
      </c>
      <c r="L3103" s="2" t="s">
        <v>5601</v>
      </c>
      <c r="M3103" t="s">
        <v>67</v>
      </c>
      <c r="N3103" t="s">
        <v>68</v>
      </c>
      <c r="P3103" s="23">
        <v>70.59</v>
      </c>
      <c r="Q3103" s="4">
        <f t="shared" si="48"/>
        <v>-59.999999999999993</v>
      </c>
      <c r="R3103" s="23" t="s">
        <v>1198</v>
      </c>
    </row>
    <row r="3104" spans="1:23" x14ac:dyDescent="0.25">
      <c r="A3104" s="21">
        <v>45751</v>
      </c>
      <c r="B3104" s="1" t="s">
        <v>4161</v>
      </c>
      <c r="C3104" t="s">
        <v>54</v>
      </c>
      <c r="D3104" s="22">
        <v>-22728</v>
      </c>
      <c r="E3104" t="s">
        <v>35</v>
      </c>
      <c r="F3104" s="2">
        <v>110114001</v>
      </c>
      <c r="G3104" s="2" t="s">
        <v>301</v>
      </c>
      <c r="L3104" s="2" t="s">
        <v>5602</v>
      </c>
      <c r="M3104" t="s">
        <v>303</v>
      </c>
      <c r="N3104" t="s">
        <v>304</v>
      </c>
      <c r="P3104" s="23">
        <v>70.59</v>
      </c>
      <c r="Q3104" s="4">
        <f t="shared" si="48"/>
        <v>-321.97195070123246</v>
      </c>
      <c r="R3104" s="23" t="s">
        <v>1198</v>
      </c>
      <c r="S3104" s="33" t="s">
        <v>3147</v>
      </c>
    </row>
    <row r="3105" spans="1:20" x14ac:dyDescent="0.25">
      <c r="A3105" s="21">
        <v>45751</v>
      </c>
      <c r="B3105" s="1" t="s">
        <v>1211</v>
      </c>
      <c r="C3105" t="s">
        <v>54</v>
      </c>
      <c r="D3105" s="22">
        <v>-82006.69</v>
      </c>
      <c r="E3105" t="s">
        <v>35</v>
      </c>
      <c r="F3105" s="2">
        <v>110114001</v>
      </c>
      <c r="G3105" s="2" t="s">
        <v>301</v>
      </c>
      <c r="L3105" s="2" t="s">
        <v>5603</v>
      </c>
      <c r="M3105" t="s">
        <v>38</v>
      </c>
      <c r="N3105" t="s">
        <v>39</v>
      </c>
      <c r="P3105" s="23">
        <v>70.59</v>
      </c>
      <c r="Q3105" s="4">
        <f t="shared" si="48"/>
        <v>-1161.7323983567078</v>
      </c>
      <c r="R3105" s="23" t="s">
        <v>1198</v>
      </c>
      <c r="S3105" s="33" t="s">
        <v>2726</v>
      </c>
    </row>
    <row r="3106" spans="1:20" x14ac:dyDescent="0.25">
      <c r="A3106" s="21">
        <v>45751</v>
      </c>
      <c r="B3106" s="1" t="s">
        <v>1223</v>
      </c>
      <c r="C3106" t="s">
        <v>54</v>
      </c>
      <c r="D3106" s="22">
        <v>-21.17</v>
      </c>
      <c r="E3106" t="s">
        <v>35</v>
      </c>
      <c r="F3106" s="2">
        <v>610148001</v>
      </c>
      <c r="G3106" s="2" t="s">
        <v>42</v>
      </c>
      <c r="L3106" s="2" t="s">
        <v>5604</v>
      </c>
      <c r="M3106" t="s">
        <v>43</v>
      </c>
      <c r="N3106" t="s">
        <v>42</v>
      </c>
      <c r="P3106" s="23">
        <v>70.59</v>
      </c>
      <c r="Q3106" s="4">
        <f t="shared" si="48"/>
        <v>-0.29990083581243804</v>
      </c>
      <c r="R3106" s="23" t="s">
        <v>1198</v>
      </c>
      <c r="T3106" s="23" t="s">
        <v>4558</v>
      </c>
    </row>
    <row r="3107" spans="1:20" x14ac:dyDescent="0.25">
      <c r="A3107" s="21">
        <v>45751</v>
      </c>
      <c r="B3107" s="1" t="s">
        <v>3958</v>
      </c>
      <c r="C3107" t="s">
        <v>54</v>
      </c>
      <c r="D3107" s="22">
        <v>-3.52</v>
      </c>
      <c r="E3107" t="s">
        <v>35</v>
      </c>
      <c r="F3107" s="2">
        <v>610148001</v>
      </c>
      <c r="G3107" s="2" t="s">
        <v>42</v>
      </c>
      <c r="L3107" s="2" t="s">
        <v>5605</v>
      </c>
      <c r="M3107" t="s">
        <v>43</v>
      </c>
      <c r="N3107" t="s">
        <v>42</v>
      </c>
      <c r="P3107" s="23">
        <v>70.59</v>
      </c>
      <c r="Q3107" s="4">
        <f t="shared" si="48"/>
        <v>-4.9865420031165883E-2</v>
      </c>
      <c r="R3107" s="23" t="s">
        <v>1198</v>
      </c>
      <c r="T3107" s="23" t="s">
        <v>4558</v>
      </c>
    </row>
    <row r="3108" spans="1:20" x14ac:dyDescent="0.25">
      <c r="A3108" s="21">
        <v>45751</v>
      </c>
      <c r="B3108" s="1" t="s">
        <v>3967</v>
      </c>
      <c r="C3108" t="s">
        <v>54</v>
      </c>
      <c r="D3108" s="22">
        <v>-3.52</v>
      </c>
      <c r="E3108" t="s">
        <v>35</v>
      </c>
      <c r="F3108" s="2">
        <v>610148001</v>
      </c>
      <c r="G3108" s="2" t="s">
        <v>42</v>
      </c>
      <c r="L3108" s="2" t="s">
        <v>5606</v>
      </c>
      <c r="M3108" t="s">
        <v>43</v>
      </c>
      <c r="N3108" t="s">
        <v>42</v>
      </c>
      <c r="P3108" s="23">
        <v>70.59</v>
      </c>
      <c r="Q3108" s="4">
        <f t="shared" si="48"/>
        <v>-4.9865420031165883E-2</v>
      </c>
      <c r="R3108" s="23" t="s">
        <v>1198</v>
      </c>
      <c r="T3108" s="23" t="s">
        <v>4558</v>
      </c>
    </row>
    <row r="3109" spans="1:20" x14ac:dyDescent="0.25">
      <c r="A3109" s="21">
        <v>45751</v>
      </c>
      <c r="B3109" s="1" t="s">
        <v>3977</v>
      </c>
      <c r="C3109" t="s">
        <v>54</v>
      </c>
      <c r="D3109" s="22">
        <v>-26.22</v>
      </c>
      <c r="E3109" t="s">
        <v>35</v>
      </c>
      <c r="F3109" s="2">
        <v>610148001</v>
      </c>
      <c r="G3109" s="2" t="s">
        <v>42</v>
      </c>
      <c r="L3109" s="2" t="s">
        <v>5607</v>
      </c>
      <c r="M3109" t="s">
        <v>43</v>
      </c>
      <c r="N3109" t="s">
        <v>42</v>
      </c>
      <c r="P3109" s="23">
        <v>70.59</v>
      </c>
      <c r="Q3109" s="4">
        <f t="shared" si="48"/>
        <v>-0.37144071398215039</v>
      </c>
      <c r="R3109" s="23" t="s">
        <v>1198</v>
      </c>
      <c r="T3109" s="23" t="s">
        <v>4558</v>
      </c>
    </row>
    <row r="3110" spans="1:20" x14ac:dyDescent="0.25">
      <c r="A3110" s="21">
        <v>45751</v>
      </c>
      <c r="B3110" s="1" t="s">
        <v>3960</v>
      </c>
      <c r="C3110" t="s">
        <v>54</v>
      </c>
      <c r="D3110" s="22">
        <v>-8.82</v>
      </c>
      <c r="E3110" t="s">
        <v>35</v>
      </c>
      <c r="F3110" s="2">
        <v>610148001</v>
      </c>
      <c r="G3110" s="2" t="s">
        <v>42</v>
      </c>
      <c r="L3110" s="2" t="s">
        <v>5608</v>
      </c>
      <c r="M3110" t="s">
        <v>43</v>
      </c>
      <c r="N3110" t="s">
        <v>42</v>
      </c>
      <c r="P3110" s="23">
        <v>70.59</v>
      </c>
      <c r="Q3110" s="4">
        <f t="shared" si="48"/>
        <v>-0.1249468763280918</v>
      </c>
      <c r="R3110" s="23" t="s">
        <v>1198</v>
      </c>
      <c r="T3110" s="23" t="s">
        <v>4558</v>
      </c>
    </row>
    <row r="3111" spans="1:20" x14ac:dyDescent="0.25">
      <c r="A3111" s="21">
        <v>45751</v>
      </c>
      <c r="B3111" s="1" t="s">
        <v>3973</v>
      </c>
      <c r="C3111" t="s">
        <v>54</v>
      </c>
      <c r="D3111" s="22">
        <v>-500</v>
      </c>
      <c r="E3111" t="s">
        <v>35</v>
      </c>
      <c r="F3111" s="2">
        <v>610148001</v>
      </c>
      <c r="G3111" s="2" t="s">
        <v>42</v>
      </c>
      <c r="L3111" s="2" t="s">
        <v>5609</v>
      </c>
      <c r="M3111" t="s">
        <v>43</v>
      </c>
      <c r="N3111" t="s">
        <v>42</v>
      </c>
      <c r="P3111" s="23">
        <v>70.59</v>
      </c>
      <c r="Q3111" s="4">
        <f t="shared" si="48"/>
        <v>-7.0831562544269726</v>
      </c>
      <c r="R3111" s="23" t="s">
        <v>1198</v>
      </c>
      <c r="T3111" s="23" t="s">
        <v>4558</v>
      </c>
    </row>
    <row r="3112" spans="1:20" x14ac:dyDescent="0.25">
      <c r="A3112" s="21">
        <v>45751</v>
      </c>
      <c r="B3112" s="1" t="s">
        <v>1227</v>
      </c>
      <c r="C3112" t="s">
        <v>54</v>
      </c>
      <c r="D3112" s="22">
        <v>-205.01</v>
      </c>
      <c r="E3112" t="s">
        <v>35</v>
      </c>
      <c r="F3112" s="2">
        <v>610148001</v>
      </c>
      <c r="G3112" s="2" t="s">
        <v>42</v>
      </c>
      <c r="L3112" s="2" t="s">
        <v>5610</v>
      </c>
      <c r="M3112" t="s">
        <v>43</v>
      </c>
      <c r="N3112" t="s">
        <v>42</v>
      </c>
      <c r="P3112" s="23">
        <v>70.59</v>
      </c>
      <c r="Q3112" s="4">
        <f t="shared" si="48"/>
        <v>-2.9042357274401471</v>
      </c>
      <c r="R3112" s="23" t="s">
        <v>1198</v>
      </c>
      <c r="T3112" s="23" t="s">
        <v>4558</v>
      </c>
    </row>
    <row r="3113" spans="1:20" x14ac:dyDescent="0.25">
      <c r="A3113" s="21">
        <v>45751</v>
      </c>
      <c r="B3113" s="1" t="s">
        <v>1227</v>
      </c>
      <c r="C3113" t="s">
        <v>54</v>
      </c>
      <c r="D3113" s="22">
        <v>-500</v>
      </c>
      <c r="E3113" t="s">
        <v>35</v>
      </c>
      <c r="F3113" s="2">
        <v>610148001</v>
      </c>
      <c r="G3113" s="2" t="s">
        <v>42</v>
      </c>
      <c r="L3113" s="2" t="s">
        <v>5611</v>
      </c>
      <c r="M3113" t="s">
        <v>43</v>
      </c>
      <c r="N3113" t="s">
        <v>42</v>
      </c>
      <c r="P3113" s="23">
        <v>70.59</v>
      </c>
      <c r="Q3113" s="4">
        <f t="shared" si="48"/>
        <v>-7.0831562544269726</v>
      </c>
      <c r="R3113" s="23" t="s">
        <v>1198</v>
      </c>
      <c r="T3113" s="23" t="s">
        <v>4558</v>
      </c>
    </row>
    <row r="3114" spans="1:20" x14ac:dyDescent="0.25">
      <c r="A3114" s="21">
        <v>45751</v>
      </c>
      <c r="B3114" s="1" t="s">
        <v>1220</v>
      </c>
      <c r="C3114" t="s">
        <v>54</v>
      </c>
      <c r="D3114" s="22">
        <v>-1.76</v>
      </c>
      <c r="E3114" t="s">
        <v>35</v>
      </c>
      <c r="F3114" s="2">
        <v>610148001</v>
      </c>
      <c r="G3114" s="2" t="s">
        <v>42</v>
      </c>
      <c r="L3114" s="2" t="s">
        <v>5612</v>
      </c>
      <c r="M3114" t="s">
        <v>43</v>
      </c>
      <c r="N3114" t="s">
        <v>42</v>
      </c>
      <c r="P3114" s="23">
        <v>70.59</v>
      </c>
      <c r="Q3114" s="4">
        <f t="shared" si="48"/>
        <v>-2.4932710015582941E-2</v>
      </c>
      <c r="R3114" s="23" t="s">
        <v>1198</v>
      </c>
      <c r="T3114" s="23" t="s">
        <v>4558</v>
      </c>
    </row>
    <row r="3115" spans="1:20" x14ac:dyDescent="0.25">
      <c r="A3115" s="21">
        <v>45751</v>
      </c>
      <c r="B3115" s="1" t="s">
        <v>3955</v>
      </c>
      <c r="C3115" t="s">
        <v>54</v>
      </c>
      <c r="D3115" s="22">
        <v>-500</v>
      </c>
      <c r="E3115" t="s">
        <v>35</v>
      </c>
      <c r="F3115" s="2">
        <v>610148001</v>
      </c>
      <c r="G3115" s="2" t="s">
        <v>42</v>
      </c>
      <c r="L3115" s="2" t="s">
        <v>5613</v>
      </c>
      <c r="M3115" t="s">
        <v>43</v>
      </c>
      <c r="N3115" t="s">
        <v>42</v>
      </c>
      <c r="P3115" s="23">
        <v>70.59</v>
      </c>
      <c r="Q3115" s="4">
        <f t="shared" si="48"/>
        <v>-7.0831562544269726</v>
      </c>
      <c r="R3115" s="23" t="s">
        <v>1198</v>
      </c>
      <c r="T3115" s="23" t="s">
        <v>4558</v>
      </c>
    </row>
    <row r="3116" spans="1:20" x14ac:dyDescent="0.25">
      <c r="A3116" s="21">
        <v>45751</v>
      </c>
      <c r="B3116" s="1" t="s">
        <v>3979</v>
      </c>
      <c r="C3116" t="s">
        <v>54</v>
      </c>
      <c r="D3116" s="22">
        <v>-489.89</v>
      </c>
      <c r="E3116" t="s">
        <v>35</v>
      </c>
      <c r="F3116" s="2">
        <v>610148001</v>
      </c>
      <c r="G3116" s="2" t="s">
        <v>42</v>
      </c>
      <c r="L3116" s="2" t="s">
        <v>5614</v>
      </c>
      <c r="M3116" t="s">
        <v>43</v>
      </c>
      <c r="N3116" t="s">
        <v>42</v>
      </c>
      <c r="P3116" s="23">
        <v>70.59</v>
      </c>
      <c r="Q3116" s="4">
        <f t="shared" si="48"/>
        <v>-6.9399348349624583</v>
      </c>
      <c r="R3116" s="23" t="s">
        <v>1198</v>
      </c>
      <c r="T3116" s="23" t="s">
        <v>4558</v>
      </c>
    </row>
    <row r="3117" spans="1:20" x14ac:dyDescent="0.25">
      <c r="A3117" s="21">
        <v>45751</v>
      </c>
      <c r="B3117" s="1" t="s">
        <v>4284</v>
      </c>
      <c r="C3117" t="s">
        <v>54</v>
      </c>
      <c r="D3117" s="22">
        <v>-106.44</v>
      </c>
      <c r="E3117" t="s">
        <v>35</v>
      </c>
      <c r="F3117" s="2">
        <v>610148001</v>
      </c>
      <c r="G3117" s="2" t="s">
        <v>42</v>
      </c>
      <c r="L3117" s="2" t="s">
        <v>5615</v>
      </c>
      <c r="M3117" t="s">
        <v>43</v>
      </c>
      <c r="N3117" t="s">
        <v>42</v>
      </c>
      <c r="P3117" s="23">
        <v>70.59</v>
      </c>
      <c r="Q3117" s="4">
        <f t="shared" si="48"/>
        <v>-1.5078623034424139</v>
      </c>
      <c r="R3117" s="23" t="s">
        <v>1198</v>
      </c>
      <c r="T3117" s="23" t="s">
        <v>4558</v>
      </c>
    </row>
    <row r="3118" spans="1:20" x14ac:dyDescent="0.25">
      <c r="A3118" s="21">
        <v>45751</v>
      </c>
      <c r="B3118" s="1" t="s">
        <v>2582</v>
      </c>
      <c r="C3118" t="s">
        <v>54</v>
      </c>
      <c r="D3118" s="22">
        <v>-8.82</v>
      </c>
      <c r="E3118" t="s">
        <v>35</v>
      </c>
      <c r="F3118" s="2">
        <v>610148001</v>
      </c>
      <c r="G3118" s="2" t="s">
        <v>42</v>
      </c>
      <c r="L3118" s="2" t="s">
        <v>5616</v>
      </c>
      <c r="M3118" t="s">
        <v>43</v>
      </c>
      <c r="N3118" t="s">
        <v>42</v>
      </c>
      <c r="P3118" s="23">
        <v>70.59</v>
      </c>
      <c r="Q3118" s="4">
        <f t="shared" si="48"/>
        <v>-0.1249468763280918</v>
      </c>
      <c r="R3118" s="23" t="s">
        <v>1198</v>
      </c>
      <c r="T3118" s="23" t="s">
        <v>4558</v>
      </c>
    </row>
    <row r="3119" spans="1:20" x14ac:dyDescent="0.25">
      <c r="A3119" s="21">
        <v>45751</v>
      </c>
      <c r="B3119" s="1" t="s">
        <v>3962</v>
      </c>
      <c r="C3119" t="s">
        <v>54</v>
      </c>
      <c r="D3119" s="22">
        <v>-375.09</v>
      </c>
      <c r="E3119" t="s">
        <v>35</v>
      </c>
      <c r="F3119" s="2">
        <v>610148001</v>
      </c>
      <c r="G3119" s="2" t="s">
        <v>42</v>
      </c>
      <c r="L3119" s="2" t="s">
        <v>5617</v>
      </c>
      <c r="M3119" t="s">
        <v>43</v>
      </c>
      <c r="N3119" t="s">
        <v>42</v>
      </c>
      <c r="P3119" s="23">
        <v>70.59</v>
      </c>
      <c r="Q3119" s="4">
        <f t="shared" si="48"/>
        <v>-5.3136421589460259</v>
      </c>
      <c r="R3119" s="23" t="s">
        <v>1198</v>
      </c>
      <c r="T3119" s="23" t="s">
        <v>4558</v>
      </c>
    </row>
    <row r="3120" spans="1:20" x14ac:dyDescent="0.25">
      <c r="A3120" s="21">
        <v>45751</v>
      </c>
      <c r="B3120" s="1" t="s">
        <v>3965</v>
      </c>
      <c r="C3120" t="s">
        <v>54</v>
      </c>
      <c r="D3120" s="22">
        <v>-3.52</v>
      </c>
      <c r="E3120" t="s">
        <v>35</v>
      </c>
      <c r="F3120" s="2">
        <v>610148001</v>
      </c>
      <c r="G3120" s="2" t="s">
        <v>42</v>
      </c>
      <c r="L3120" s="2" t="s">
        <v>5618</v>
      </c>
      <c r="M3120" t="s">
        <v>43</v>
      </c>
      <c r="N3120" t="s">
        <v>42</v>
      </c>
      <c r="P3120" s="23">
        <v>70.59</v>
      </c>
      <c r="Q3120" s="4">
        <f t="shared" si="48"/>
        <v>-4.9865420031165883E-2</v>
      </c>
      <c r="R3120" s="23" t="s">
        <v>1198</v>
      </c>
      <c r="T3120" s="23" t="s">
        <v>4558</v>
      </c>
    </row>
    <row r="3121" spans="1:20" x14ac:dyDescent="0.25">
      <c r="A3121" s="21">
        <v>45751</v>
      </c>
      <c r="B3121" s="1" t="s">
        <v>2585</v>
      </c>
      <c r="C3121" t="s">
        <v>54</v>
      </c>
      <c r="D3121" s="22">
        <v>-12.35</v>
      </c>
      <c r="E3121" t="s">
        <v>35</v>
      </c>
      <c r="F3121" s="2">
        <v>610148001</v>
      </c>
      <c r="G3121" s="2" t="s">
        <v>42</v>
      </c>
      <c r="L3121" s="2" t="s">
        <v>5619</v>
      </c>
      <c r="M3121" t="s">
        <v>43</v>
      </c>
      <c r="N3121" t="s">
        <v>42</v>
      </c>
      <c r="P3121" s="23">
        <v>70.59</v>
      </c>
      <c r="Q3121" s="4">
        <f t="shared" si="48"/>
        <v>-0.17495395948434622</v>
      </c>
      <c r="R3121" s="23" t="s">
        <v>1198</v>
      </c>
      <c r="T3121" s="23" t="s">
        <v>4558</v>
      </c>
    </row>
    <row r="3122" spans="1:20" x14ac:dyDescent="0.25">
      <c r="A3122" s="21">
        <v>45751</v>
      </c>
      <c r="B3122" s="1" t="s">
        <v>4240</v>
      </c>
      <c r="C3122" t="s">
        <v>54</v>
      </c>
      <c r="D3122" s="22">
        <v>-169.91</v>
      </c>
      <c r="E3122" t="s">
        <v>35</v>
      </c>
      <c r="F3122" s="2">
        <v>610148001</v>
      </c>
      <c r="G3122" s="2" t="s">
        <v>42</v>
      </c>
      <c r="L3122" s="2" t="s">
        <v>5620</v>
      </c>
      <c r="M3122" t="s">
        <v>43</v>
      </c>
      <c r="N3122" t="s">
        <v>42</v>
      </c>
      <c r="P3122" s="23">
        <v>70.59</v>
      </c>
      <c r="Q3122" s="4">
        <f t="shared" si="48"/>
        <v>-2.4069981583793738</v>
      </c>
      <c r="R3122" s="23" t="s">
        <v>1198</v>
      </c>
      <c r="T3122" s="23" t="s">
        <v>4558</v>
      </c>
    </row>
    <row r="3123" spans="1:20" x14ac:dyDescent="0.25">
      <c r="A3123" s="21">
        <v>45751</v>
      </c>
      <c r="B3123" s="1" t="s">
        <v>4309</v>
      </c>
      <c r="C3123" t="s">
        <v>54</v>
      </c>
      <c r="D3123" s="22">
        <v>-56.82</v>
      </c>
      <c r="E3123" t="s">
        <v>35</v>
      </c>
      <c r="F3123" s="2">
        <v>610148001</v>
      </c>
      <c r="G3123" s="2" t="s">
        <v>42</v>
      </c>
      <c r="L3123" s="2" t="s">
        <v>5621</v>
      </c>
      <c r="M3123" t="s">
        <v>43</v>
      </c>
      <c r="N3123" t="s">
        <v>42</v>
      </c>
      <c r="P3123" s="23">
        <v>70.59</v>
      </c>
      <c r="Q3123" s="4">
        <f t="shared" si="48"/>
        <v>-0.80492987675308114</v>
      </c>
      <c r="R3123" s="23" t="s">
        <v>1198</v>
      </c>
      <c r="T3123" s="23" t="s">
        <v>4558</v>
      </c>
    </row>
    <row r="3124" spans="1:20" x14ac:dyDescent="0.25">
      <c r="A3124" s="21">
        <v>45751</v>
      </c>
      <c r="B3124" s="1" t="s">
        <v>4249</v>
      </c>
      <c r="C3124" t="s">
        <v>54</v>
      </c>
      <c r="D3124" s="22">
        <v>-9.7899999999999991</v>
      </c>
      <c r="E3124" t="s">
        <v>35</v>
      </c>
      <c r="F3124" s="2">
        <v>610148001</v>
      </c>
      <c r="G3124" s="2" t="s">
        <v>42</v>
      </c>
      <c r="L3124" s="2" t="s">
        <v>5622</v>
      </c>
      <c r="M3124" t="s">
        <v>43</v>
      </c>
      <c r="N3124" t="s">
        <v>42</v>
      </c>
      <c r="P3124" s="23">
        <v>70.59</v>
      </c>
      <c r="Q3124" s="4">
        <f t="shared" si="48"/>
        <v>-0.1386881994616801</v>
      </c>
      <c r="R3124" s="23" t="s">
        <v>1198</v>
      </c>
      <c r="T3124" s="23" t="s">
        <v>4558</v>
      </c>
    </row>
    <row r="3125" spans="1:20" x14ac:dyDescent="0.25">
      <c r="A3125" s="21">
        <v>45751</v>
      </c>
      <c r="B3125" s="1" t="s">
        <v>1227</v>
      </c>
      <c r="C3125" t="s">
        <v>54</v>
      </c>
      <c r="D3125" s="22">
        <v>-9.8800000000000008</v>
      </c>
      <c r="E3125" t="s">
        <v>35</v>
      </c>
      <c r="F3125" s="2">
        <v>610148001</v>
      </c>
      <c r="G3125" s="2" t="s">
        <v>42</v>
      </c>
      <c r="L3125" s="2" t="s">
        <v>5623</v>
      </c>
      <c r="M3125" t="s">
        <v>43</v>
      </c>
      <c r="N3125" t="s">
        <v>42</v>
      </c>
      <c r="P3125" s="23">
        <v>70.59</v>
      </c>
      <c r="Q3125" s="4">
        <f t="shared" si="48"/>
        <v>-0.13996316758747698</v>
      </c>
      <c r="R3125" s="23" t="s">
        <v>1198</v>
      </c>
      <c r="T3125" s="23" t="s">
        <v>4558</v>
      </c>
    </row>
    <row r="3126" spans="1:20" x14ac:dyDescent="0.25">
      <c r="A3126" s="21">
        <v>45751</v>
      </c>
      <c r="B3126" s="1" t="s">
        <v>3969</v>
      </c>
      <c r="C3126" t="s">
        <v>54</v>
      </c>
      <c r="D3126" s="22">
        <v>-10.58</v>
      </c>
      <c r="E3126" t="s">
        <v>35</v>
      </c>
      <c r="F3126" s="2">
        <v>610148001</v>
      </c>
      <c r="G3126" s="2" t="s">
        <v>42</v>
      </c>
      <c r="L3126" s="2" t="s">
        <v>5624</v>
      </c>
      <c r="M3126" t="s">
        <v>43</v>
      </c>
      <c r="N3126" t="s">
        <v>42</v>
      </c>
      <c r="P3126" s="23">
        <v>70.59</v>
      </c>
      <c r="Q3126" s="4">
        <f t="shared" si="48"/>
        <v>-0.14987958634367474</v>
      </c>
      <c r="R3126" s="23" t="s">
        <v>1198</v>
      </c>
      <c r="T3126" s="23" t="s">
        <v>4558</v>
      </c>
    </row>
    <row r="3127" spans="1:20" x14ac:dyDescent="0.25">
      <c r="A3127" s="21">
        <v>45751</v>
      </c>
      <c r="B3127" s="1" t="s">
        <v>5625</v>
      </c>
      <c r="C3127" t="s">
        <v>54</v>
      </c>
      <c r="D3127" s="22">
        <v>10000</v>
      </c>
      <c r="E3127" t="s">
        <v>46</v>
      </c>
      <c r="F3127" s="2">
        <v>210115002</v>
      </c>
      <c r="G3127" s="2" t="s">
        <v>47</v>
      </c>
      <c r="L3127" s="2" t="s">
        <v>5626</v>
      </c>
      <c r="N3127" t="s">
        <v>544</v>
      </c>
      <c r="P3127" s="23">
        <v>70.59</v>
      </c>
      <c r="Q3127" s="4">
        <f t="shared" si="48"/>
        <v>141.66312508853946</v>
      </c>
      <c r="R3127" s="23" t="s">
        <v>1198</v>
      </c>
    </row>
    <row r="3128" spans="1:20" x14ac:dyDescent="0.25">
      <c r="A3128" s="21">
        <v>45751</v>
      </c>
      <c r="B3128" s="1" t="s">
        <v>5627</v>
      </c>
      <c r="C3128" t="s">
        <v>54</v>
      </c>
      <c r="D3128" s="22">
        <v>-46082.04</v>
      </c>
      <c r="E3128" t="s">
        <v>35</v>
      </c>
      <c r="F3128" s="2">
        <v>210601001</v>
      </c>
      <c r="G3128" s="2" t="s">
        <v>494</v>
      </c>
      <c r="L3128" s="2" t="s">
        <v>5628</v>
      </c>
      <c r="M3128" t="s">
        <v>496</v>
      </c>
      <c r="N3128" t="s">
        <v>497</v>
      </c>
      <c r="P3128" s="23">
        <v>70.59</v>
      </c>
      <c r="Q3128" s="4">
        <f t="shared" si="48"/>
        <v>-652.8125796855079</v>
      </c>
      <c r="R3128" s="23" t="s">
        <v>1198</v>
      </c>
      <c r="T3128" s="23" t="s">
        <v>5629</v>
      </c>
    </row>
    <row r="3129" spans="1:20" x14ac:dyDescent="0.25">
      <c r="A3129" s="21">
        <v>45751</v>
      </c>
      <c r="B3129" s="1" t="s">
        <v>5630</v>
      </c>
      <c r="C3129" t="s">
        <v>54</v>
      </c>
      <c r="D3129" s="22">
        <v>41924.81</v>
      </c>
      <c r="E3129" t="s">
        <v>46</v>
      </c>
      <c r="F3129" s="2">
        <v>110106001</v>
      </c>
      <c r="G3129" s="2" t="s">
        <v>2034</v>
      </c>
      <c r="L3129" s="2" t="s">
        <v>5631</v>
      </c>
      <c r="N3129" t="s">
        <v>3330</v>
      </c>
      <c r="P3129" s="23">
        <v>70.59</v>
      </c>
      <c r="Q3129" s="4">
        <f t="shared" si="48"/>
        <v>593.91996033432497</v>
      </c>
      <c r="R3129" s="23" t="s">
        <v>1198</v>
      </c>
    </row>
    <row r="3130" spans="1:20" x14ac:dyDescent="0.25">
      <c r="A3130" s="21">
        <v>45754</v>
      </c>
      <c r="B3130" s="1" t="s">
        <v>5632</v>
      </c>
      <c r="C3130" t="s">
        <v>54</v>
      </c>
      <c r="D3130" s="22">
        <v>328262.37</v>
      </c>
      <c r="E3130" t="s">
        <v>46</v>
      </c>
      <c r="F3130" s="2">
        <v>110106001</v>
      </c>
      <c r="G3130" s="2" t="s">
        <v>2034</v>
      </c>
      <c r="L3130" s="2" t="s">
        <v>5633</v>
      </c>
      <c r="N3130" t="s">
        <v>5634</v>
      </c>
      <c r="P3130" s="23">
        <v>72.19</v>
      </c>
      <c r="Q3130" s="4">
        <f t="shared" si="48"/>
        <v>4547.2000277046682</v>
      </c>
      <c r="R3130" s="23" t="s">
        <v>1198</v>
      </c>
    </row>
    <row r="3131" spans="1:20" x14ac:dyDescent="0.25">
      <c r="A3131" s="21">
        <v>45754</v>
      </c>
      <c r="B3131" s="1" t="s">
        <v>5635</v>
      </c>
      <c r="C3131" t="s">
        <v>54</v>
      </c>
      <c r="D3131" s="22">
        <v>1900000</v>
      </c>
      <c r="E3131" t="s">
        <v>46</v>
      </c>
      <c r="F3131" s="2">
        <v>210115002</v>
      </c>
      <c r="G3131" s="2" t="s">
        <v>47</v>
      </c>
      <c r="L3131" s="2" t="s">
        <v>5636</v>
      </c>
      <c r="N3131" t="s">
        <v>544</v>
      </c>
      <c r="P3131" s="23">
        <v>72.19</v>
      </c>
      <c r="Q3131" s="4">
        <f t="shared" si="48"/>
        <v>26319.434824767974</v>
      </c>
      <c r="R3131" s="23" t="s">
        <v>1198</v>
      </c>
    </row>
    <row r="3132" spans="1:20" x14ac:dyDescent="0.25">
      <c r="A3132" s="21">
        <v>45754</v>
      </c>
      <c r="B3132" s="1" t="s">
        <v>3949</v>
      </c>
      <c r="C3132" t="s">
        <v>54</v>
      </c>
      <c r="D3132" s="22">
        <v>-61951.19</v>
      </c>
      <c r="E3132" t="s">
        <v>35</v>
      </c>
      <c r="F3132" s="2">
        <v>210101001</v>
      </c>
      <c r="G3132" s="2" t="s">
        <v>36</v>
      </c>
      <c r="L3132" s="2" t="s">
        <v>5637</v>
      </c>
      <c r="M3132" t="s">
        <v>1866</v>
      </c>
      <c r="N3132" t="s">
        <v>1867</v>
      </c>
      <c r="P3132" s="23">
        <v>72.19</v>
      </c>
      <c r="Q3132" s="4">
        <f t="shared" si="48"/>
        <v>-858.16858290621974</v>
      </c>
      <c r="R3132" s="23" t="s">
        <v>1198</v>
      </c>
    </row>
    <row r="3133" spans="1:20" x14ac:dyDescent="0.25">
      <c r="A3133" s="21">
        <v>45754</v>
      </c>
      <c r="B3133" s="1" t="s">
        <v>1214</v>
      </c>
      <c r="C3133" t="s">
        <v>54</v>
      </c>
      <c r="D3133" s="22">
        <v>-200000</v>
      </c>
      <c r="E3133" t="s">
        <v>35</v>
      </c>
      <c r="F3133" s="2">
        <v>110114001</v>
      </c>
      <c r="G3133" s="2" t="s">
        <v>301</v>
      </c>
      <c r="L3133" s="2" t="s">
        <v>5638</v>
      </c>
      <c r="M3133" t="s">
        <v>38</v>
      </c>
      <c r="N3133" t="s">
        <v>39</v>
      </c>
      <c r="P3133" s="23">
        <v>72.19</v>
      </c>
      <c r="Q3133" s="4">
        <f t="shared" si="48"/>
        <v>-2770.4668236597868</v>
      </c>
      <c r="R3133" s="23" t="s">
        <v>1198</v>
      </c>
      <c r="S3133" s="33" t="s">
        <v>2599</v>
      </c>
    </row>
    <row r="3134" spans="1:20" x14ac:dyDescent="0.25">
      <c r="A3134" s="21">
        <v>45754</v>
      </c>
      <c r="B3134" s="1" t="s">
        <v>2573</v>
      </c>
      <c r="C3134" t="s">
        <v>54</v>
      </c>
      <c r="D3134" s="22">
        <v>-200000</v>
      </c>
      <c r="E3134" t="s">
        <v>35</v>
      </c>
      <c r="F3134" s="2">
        <v>110114001</v>
      </c>
      <c r="G3134" s="2" t="s">
        <v>301</v>
      </c>
      <c r="L3134" s="2" t="s">
        <v>5639</v>
      </c>
      <c r="M3134" t="s">
        <v>38</v>
      </c>
      <c r="N3134" t="s">
        <v>39</v>
      </c>
      <c r="P3134" s="23">
        <v>72.19</v>
      </c>
      <c r="Q3134" s="4">
        <f t="shared" si="48"/>
        <v>-2770.4668236597868</v>
      </c>
      <c r="R3134" s="23" t="s">
        <v>1198</v>
      </c>
      <c r="S3134" s="33" t="s">
        <v>2599</v>
      </c>
    </row>
    <row r="3135" spans="1:20" x14ac:dyDescent="0.25">
      <c r="A3135" s="21">
        <v>45754</v>
      </c>
      <c r="B3135" s="1" t="s">
        <v>3924</v>
      </c>
      <c r="C3135" t="s">
        <v>54</v>
      </c>
      <c r="D3135" s="22">
        <v>-200000</v>
      </c>
      <c r="E3135" t="s">
        <v>35</v>
      </c>
      <c r="F3135" s="2">
        <v>110114001</v>
      </c>
      <c r="G3135" s="2" t="s">
        <v>301</v>
      </c>
      <c r="L3135" s="2" t="s">
        <v>5640</v>
      </c>
      <c r="M3135" t="s">
        <v>38</v>
      </c>
      <c r="N3135" t="s">
        <v>39</v>
      </c>
      <c r="P3135" s="23">
        <v>72.19</v>
      </c>
      <c r="Q3135" s="4">
        <f t="shared" si="48"/>
        <v>-2770.4668236597868</v>
      </c>
      <c r="R3135" s="23" t="s">
        <v>1198</v>
      </c>
      <c r="S3135" s="33" t="s">
        <v>2599</v>
      </c>
    </row>
    <row r="3136" spans="1:20" x14ac:dyDescent="0.25">
      <c r="A3136" s="21">
        <v>45754</v>
      </c>
      <c r="B3136" s="1" t="s">
        <v>3933</v>
      </c>
      <c r="C3136" t="s">
        <v>54</v>
      </c>
      <c r="D3136" s="22">
        <v>-200000</v>
      </c>
      <c r="E3136" t="s">
        <v>35</v>
      </c>
      <c r="F3136" s="2">
        <v>110114001</v>
      </c>
      <c r="G3136" s="2" t="s">
        <v>301</v>
      </c>
      <c r="L3136" s="2" t="s">
        <v>5641</v>
      </c>
      <c r="M3136" t="s">
        <v>38</v>
      </c>
      <c r="N3136" t="s">
        <v>39</v>
      </c>
      <c r="P3136" s="23">
        <v>72.19</v>
      </c>
      <c r="Q3136" s="4">
        <f t="shared" si="48"/>
        <v>-2770.4668236597868</v>
      </c>
      <c r="R3136" s="23" t="s">
        <v>1198</v>
      </c>
      <c r="S3136" s="33" t="s">
        <v>2599</v>
      </c>
    </row>
    <row r="3137" spans="1:20" x14ac:dyDescent="0.25">
      <c r="A3137" s="21">
        <v>45754</v>
      </c>
      <c r="B3137" s="1" t="s">
        <v>3914</v>
      </c>
      <c r="C3137" t="s">
        <v>54</v>
      </c>
      <c r="D3137" s="22">
        <v>-35758</v>
      </c>
      <c r="E3137" t="s">
        <v>35</v>
      </c>
      <c r="F3137" s="2">
        <v>110114001</v>
      </c>
      <c r="G3137" s="2" t="s">
        <v>301</v>
      </c>
      <c r="L3137" s="2" t="s">
        <v>5642</v>
      </c>
      <c r="M3137" t="s">
        <v>38</v>
      </c>
      <c r="N3137" t="s">
        <v>39</v>
      </c>
      <c r="P3137" s="23">
        <v>72.19</v>
      </c>
      <c r="Q3137" s="4">
        <f t="shared" si="48"/>
        <v>-495.33176340213328</v>
      </c>
      <c r="R3137" s="23" t="s">
        <v>1198</v>
      </c>
      <c r="S3137" s="33" t="s">
        <v>2599</v>
      </c>
    </row>
    <row r="3138" spans="1:20" x14ac:dyDescent="0.25">
      <c r="A3138" s="21">
        <v>45754</v>
      </c>
      <c r="B3138" s="1" t="s">
        <v>1208</v>
      </c>
      <c r="C3138" t="s">
        <v>54</v>
      </c>
      <c r="D3138" s="22">
        <v>-1262.3</v>
      </c>
      <c r="E3138" t="s">
        <v>35</v>
      </c>
      <c r="F3138" s="2">
        <v>110114001</v>
      </c>
      <c r="G3138" s="2" t="s">
        <v>301</v>
      </c>
      <c r="L3138" s="2" t="s">
        <v>5643</v>
      </c>
      <c r="M3138" t="s">
        <v>114</v>
      </c>
      <c r="N3138" t="s">
        <v>115</v>
      </c>
      <c r="P3138" s="23">
        <v>72.19</v>
      </c>
      <c r="Q3138" s="4">
        <f t="shared" si="48"/>
        <v>-17.485801357528743</v>
      </c>
      <c r="R3138" s="23" t="s">
        <v>1198</v>
      </c>
      <c r="S3138" s="33" t="s">
        <v>3147</v>
      </c>
    </row>
    <row r="3139" spans="1:20" x14ac:dyDescent="0.25">
      <c r="A3139" s="21">
        <v>45754</v>
      </c>
      <c r="B3139" s="1" t="s">
        <v>1211</v>
      </c>
      <c r="C3139" t="s">
        <v>54</v>
      </c>
      <c r="D3139" s="22">
        <v>-73643.789999999994</v>
      </c>
      <c r="E3139" t="s">
        <v>35</v>
      </c>
      <c r="F3139" s="2">
        <v>210101001</v>
      </c>
      <c r="G3139" s="2" t="s">
        <v>36</v>
      </c>
      <c r="L3139" s="2" t="s">
        <v>5644</v>
      </c>
      <c r="M3139" t="s">
        <v>788</v>
      </c>
      <c r="N3139" t="s">
        <v>789</v>
      </c>
      <c r="P3139" s="23">
        <v>72.19</v>
      </c>
      <c r="Q3139" s="4">
        <f t="shared" si="48"/>
        <v>-1020.1383848178417</v>
      </c>
      <c r="R3139" s="23" t="s">
        <v>1198</v>
      </c>
    </row>
    <row r="3140" spans="1:20" x14ac:dyDescent="0.25">
      <c r="A3140" s="21">
        <v>45754</v>
      </c>
      <c r="B3140" s="1" t="s">
        <v>2571</v>
      </c>
      <c r="C3140" t="s">
        <v>54</v>
      </c>
      <c r="D3140" s="22">
        <v>-200000</v>
      </c>
      <c r="E3140" t="s">
        <v>35</v>
      </c>
      <c r="F3140" s="2">
        <v>110114001</v>
      </c>
      <c r="G3140" s="2" t="s">
        <v>301</v>
      </c>
      <c r="L3140" s="2" t="s">
        <v>5645</v>
      </c>
      <c r="M3140" t="s">
        <v>38</v>
      </c>
      <c r="N3140" t="s">
        <v>39</v>
      </c>
      <c r="P3140" s="23">
        <v>72.19</v>
      </c>
      <c r="Q3140" s="4">
        <f t="shared" si="48"/>
        <v>-2770.4668236597868</v>
      </c>
      <c r="R3140" s="23" t="s">
        <v>1198</v>
      </c>
      <c r="S3140" s="33" t="s">
        <v>2599</v>
      </c>
    </row>
    <row r="3141" spans="1:20" x14ac:dyDescent="0.25">
      <c r="A3141" s="21">
        <v>45754</v>
      </c>
      <c r="B3141" s="1" t="s">
        <v>3943</v>
      </c>
      <c r="C3141" t="s">
        <v>54</v>
      </c>
      <c r="D3141" s="22">
        <v>-200000</v>
      </c>
      <c r="E3141" t="s">
        <v>35</v>
      </c>
      <c r="F3141" s="2">
        <v>110114001</v>
      </c>
      <c r="G3141" s="2" t="s">
        <v>301</v>
      </c>
      <c r="L3141" s="2" t="s">
        <v>5646</v>
      </c>
      <c r="M3141" t="s">
        <v>38</v>
      </c>
      <c r="N3141" t="s">
        <v>39</v>
      </c>
      <c r="P3141" s="23">
        <v>72.19</v>
      </c>
      <c r="Q3141" s="4">
        <f t="shared" si="48"/>
        <v>-2770.4668236597868</v>
      </c>
      <c r="R3141" s="23" t="s">
        <v>1198</v>
      </c>
      <c r="S3141" s="33" t="s">
        <v>2599</v>
      </c>
    </row>
    <row r="3142" spans="1:20" x14ac:dyDescent="0.25">
      <c r="A3142" s="21">
        <v>45754</v>
      </c>
      <c r="B3142" s="1" t="s">
        <v>3927</v>
      </c>
      <c r="C3142" t="s">
        <v>54</v>
      </c>
      <c r="D3142" s="22">
        <v>-200000</v>
      </c>
      <c r="E3142" t="s">
        <v>35</v>
      </c>
      <c r="F3142" s="2">
        <v>110114001</v>
      </c>
      <c r="G3142" s="2" t="s">
        <v>301</v>
      </c>
      <c r="L3142" s="2" t="s">
        <v>5647</v>
      </c>
      <c r="M3142" t="s">
        <v>38</v>
      </c>
      <c r="N3142" t="s">
        <v>39</v>
      </c>
      <c r="P3142" s="23">
        <v>72.19</v>
      </c>
      <c r="Q3142" s="4">
        <f t="shared" si="48"/>
        <v>-2770.4668236597868</v>
      </c>
      <c r="R3142" s="23" t="s">
        <v>1198</v>
      </c>
      <c r="S3142" s="33" t="s">
        <v>2599</v>
      </c>
    </row>
    <row r="3143" spans="1:20" x14ac:dyDescent="0.25">
      <c r="A3143" s="21">
        <v>45754</v>
      </c>
      <c r="B3143" s="1" t="s">
        <v>3936</v>
      </c>
      <c r="C3143" t="s">
        <v>54</v>
      </c>
      <c r="D3143" s="22">
        <v>-69504.53</v>
      </c>
      <c r="E3143" t="s">
        <v>35</v>
      </c>
      <c r="F3143" s="2">
        <v>110114001</v>
      </c>
      <c r="G3143" s="2" t="s">
        <v>301</v>
      </c>
      <c r="L3143" s="2" t="s">
        <v>5648</v>
      </c>
      <c r="M3143" t="s">
        <v>303</v>
      </c>
      <c r="N3143" t="s">
        <v>304</v>
      </c>
      <c r="P3143" s="23">
        <v>72.19</v>
      </c>
      <c r="Q3143" s="4">
        <f t="shared" si="48"/>
        <v>-962.79997229533183</v>
      </c>
      <c r="R3143" s="23" t="s">
        <v>1198</v>
      </c>
      <c r="S3143" s="33" t="s">
        <v>3147</v>
      </c>
    </row>
    <row r="3144" spans="1:20" x14ac:dyDescent="0.25">
      <c r="A3144" s="21">
        <v>45754</v>
      </c>
      <c r="B3144" s="1" t="s">
        <v>3952</v>
      </c>
      <c r="C3144" t="s">
        <v>54</v>
      </c>
      <c r="D3144" s="22">
        <v>-200000</v>
      </c>
      <c r="E3144" t="s">
        <v>35</v>
      </c>
      <c r="F3144" s="2">
        <v>110114001</v>
      </c>
      <c r="G3144" s="2" t="s">
        <v>301</v>
      </c>
      <c r="L3144" s="2" t="s">
        <v>5649</v>
      </c>
      <c r="M3144" t="s">
        <v>38</v>
      </c>
      <c r="N3144" t="s">
        <v>39</v>
      </c>
      <c r="P3144" s="23">
        <v>72.19</v>
      </c>
      <c r="Q3144" s="4">
        <f t="shared" si="48"/>
        <v>-2770.4668236597868</v>
      </c>
      <c r="R3144" s="23" t="s">
        <v>1198</v>
      </c>
      <c r="S3144" s="33" t="s">
        <v>2599</v>
      </c>
    </row>
    <row r="3145" spans="1:20" x14ac:dyDescent="0.25">
      <c r="A3145" s="21">
        <v>45754</v>
      </c>
      <c r="B3145" s="1" t="s">
        <v>1217</v>
      </c>
      <c r="C3145" t="s">
        <v>54</v>
      </c>
      <c r="D3145" s="22">
        <v>-200000</v>
      </c>
      <c r="E3145" t="s">
        <v>35</v>
      </c>
      <c r="F3145" s="2">
        <v>110114001</v>
      </c>
      <c r="G3145" s="2" t="s">
        <v>301</v>
      </c>
      <c r="L3145" s="2" t="s">
        <v>5650</v>
      </c>
      <c r="M3145" t="s">
        <v>38</v>
      </c>
      <c r="N3145" t="s">
        <v>39</v>
      </c>
      <c r="P3145" s="23">
        <v>72.19</v>
      </c>
      <c r="Q3145" s="4">
        <f t="shared" si="48"/>
        <v>-2770.4668236597868</v>
      </c>
      <c r="R3145" s="23" t="s">
        <v>1198</v>
      </c>
      <c r="S3145" s="33" t="s">
        <v>2599</v>
      </c>
    </row>
    <row r="3146" spans="1:20" x14ac:dyDescent="0.25">
      <c r="A3146" s="21">
        <v>45754</v>
      </c>
      <c r="B3146" s="1" t="s">
        <v>3930</v>
      </c>
      <c r="C3146" t="s">
        <v>54</v>
      </c>
      <c r="D3146" s="22">
        <v>-200000</v>
      </c>
      <c r="E3146" t="s">
        <v>35</v>
      </c>
      <c r="F3146" s="2">
        <v>110114001</v>
      </c>
      <c r="G3146" s="2" t="s">
        <v>301</v>
      </c>
      <c r="L3146" s="2" t="s">
        <v>5651</v>
      </c>
      <c r="M3146" t="s">
        <v>38</v>
      </c>
      <c r="N3146" t="s">
        <v>39</v>
      </c>
      <c r="P3146" s="23">
        <v>72.19</v>
      </c>
      <c r="Q3146" s="4">
        <f t="shared" si="48"/>
        <v>-2770.4668236597868</v>
      </c>
      <c r="R3146" s="23" t="s">
        <v>1198</v>
      </c>
      <c r="S3146" s="33" t="s">
        <v>2599</v>
      </c>
    </row>
    <row r="3147" spans="1:20" x14ac:dyDescent="0.25">
      <c r="A3147" s="21">
        <v>45754</v>
      </c>
      <c r="B3147" s="1" t="s">
        <v>1225</v>
      </c>
      <c r="C3147" t="s">
        <v>54</v>
      </c>
      <c r="D3147" s="22">
        <v>-500</v>
      </c>
      <c r="E3147" t="s">
        <v>35</v>
      </c>
      <c r="F3147" s="2">
        <v>610148001</v>
      </c>
      <c r="G3147" s="2" t="s">
        <v>42</v>
      </c>
      <c r="L3147" s="2" t="s">
        <v>5652</v>
      </c>
      <c r="M3147" t="s">
        <v>43</v>
      </c>
      <c r="N3147" t="s">
        <v>42</v>
      </c>
      <c r="P3147" s="23">
        <v>72.19</v>
      </c>
      <c r="Q3147" s="4">
        <f t="shared" ref="Q3147:Q3210" si="49">D3147/P3147</f>
        <v>-6.9261670591494671</v>
      </c>
      <c r="R3147" s="23" t="s">
        <v>1198</v>
      </c>
      <c r="T3147" s="23" t="s">
        <v>4558</v>
      </c>
    </row>
    <row r="3148" spans="1:20" x14ac:dyDescent="0.25">
      <c r="A3148" s="21">
        <v>45754</v>
      </c>
      <c r="B3148" s="1" t="s">
        <v>3967</v>
      </c>
      <c r="C3148" t="s">
        <v>54</v>
      </c>
      <c r="D3148" s="22">
        <v>-500</v>
      </c>
      <c r="E3148" t="s">
        <v>35</v>
      </c>
      <c r="F3148" s="2">
        <v>610148001</v>
      </c>
      <c r="G3148" s="2" t="s">
        <v>42</v>
      </c>
      <c r="L3148" s="2" t="s">
        <v>5653</v>
      </c>
      <c r="M3148" t="s">
        <v>43</v>
      </c>
      <c r="N3148" t="s">
        <v>42</v>
      </c>
      <c r="P3148" s="23">
        <v>72.19</v>
      </c>
      <c r="Q3148" s="4">
        <f t="shared" si="49"/>
        <v>-6.9261670591494671</v>
      </c>
      <c r="R3148" s="23" t="s">
        <v>1198</v>
      </c>
      <c r="T3148" s="23" t="s">
        <v>4558</v>
      </c>
    </row>
    <row r="3149" spans="1:20" x14ac:dyDescent="0.25">
      <c r="A3149" s="21">
        <v>45754</v>
      </c>
      <c r="B3149" s="1" t="s">
        <v>3977</v>
      </c>
      <c r="C3149" t="s">
        <v>54</v>
      </c>
      <c r="D3149" s="22">
        <v>-500</v>
      </c>
      <c r="E3149" t="s">
        <v>35</v>
      </c>
      <c r="F3149" s="2">
        <v>610148001</v>
      </c>
      <c r="G3149" s="2" t="s">
        <v>42</v>
      </c>
      <c r="L3149" s="2" t="s">
        <v>5654</v>
      </c>
      <c r="M3149" t="s">
        <v>43</v>
      </c>
      <c r="N3149" t="s">
        <v>42</v>
      </c>
      <c r="P3149" s="23">
        <v>72.19</v>
      </c>
      <c r="Q3149" s="4">
        <f t="shared" si="49"/>
        <v>-6.9261670591494671</v>
      </c>
      <c r="R3149" s="23" t="s">
        <v>1198</v>
      </c>
      <c r="T3149" s="23" t="s">
        <v>4558</v>
      </c>
    </row>
    <row r="3150" spans="1:20" x14ac:dyDescent="0.25">
      <c r="A3150" s="21">
        <v>45754</v>
      </c>
      <c r="B3150" s="1" t="s">
        <v>3958</v>
      </c>
      <c r="C3150" t="s">
        <v>54</v>
      </c>
      <c r="D3150" s="22">
        <v>-500</v>
      </c>
      <c r="E3150" t="s">
        <v>35</v>
      </c>
      <c r="F3150" s="2">
        <v>610148001</v>
      </c>
      <c r="G3150" s="2" t="s">
        <v>42</v>
      </c>
      <c r="L3150" s="2" t="s">
        <v>5655</v>
      </c>
      <c r="M3150" t="s">
        <v>43</v>
      </c>
      <c r="N3150" t="s">
        <v>42</v>
      </c>
      <c r="P3150" s="23">
        <v>72.19</v>
      </c>
      <c r="Q3150" s="4">
        <f t="shared" si="49"/>
        <v>-6.9261670591494671</v>
      </c>
      <c r="R3150" s="23" t="s">
        <v>1198</v>
      </c>
      <c r="T3150" s="23" t="s">
        <v>4558</v>
      </c>
    </row>
    <row r="3151" spans="1:20" x14ac:dyDescent="0.25">
      <c r="A3151" s="21">
        <v>45754</v>
      </c>
      <c r="B3151" s="1" t="s">
        <v>3960</v>
      </c>
      <c r="C3151" t="s">
        <v>54</v>
      </c>
      <c r="D3151" s="22">
        <v>-500</v>
      </c>
      <c r="E3151" t="s">
        <v>35</v>
      </c>
      <c r="F3151" s="2">
        <v>610148001</v>
      </c>
      <c r="G3151" s="2" t="s">
        <v>42</v>
      </c>
      <c r="L3151" s="2" t="s">
        <v>5656</v>
      </c>
      <c r="M3151" t="s">
        <v>43</v>
      </c>
      <c r="N3151" t="s">
        <v>42</v>
      </c>
      <c r="P3151" s="23">
        <v>72.19</v>
      </c>
      <c r="Q3151" s="4">
        <f t="shared" si="49"/>
        <v>-6.9261670591494671</v>
      </c>
      <c r="R3151" s="23" t="s">
        <v>1198</v>
      </c>
      <c r="T3151" s="23" t="s">
        <v>4558</v>
      </c>
    </row>
    <row r="3152" spans="1:20" x14ac:dyDescent="0.25">
      <c r="A3152" s="21">
        <v>45754</v>
      </c>
      <c r="B3152" s="1" t="s">
        <v>1223</v>
      </c>
      <c r="C3152" t="s">
        <v>54</v>
      </c>
      <c r="D3152" s="22">
        <v>-3.15</v>
      </c>
      <c r="E3152" t="s">
        <v>35</v>
      </c>
      <c r="F3152" s="2">
        <v>610148001</v>
      </c>
      <c r="G3152" s="2" t="s">
        <v>42</v>
      </c>
      <c r="L3152" s="2" t="s">
        <v>5657</v>
      </c>
      <c r="M3152" t="s">
        <v>43</v>
      </c>
      <c r="N3152" t="s">
        <v>42</v>
      </c>
      <c r="P3152" s="23">
        <v>72.19</v>
      </c>
      <c r="Q3152" s="4">
        <f t="shared" si="49"/>
        <v>-4.3634852472641643E-2</v>
      </c>
      <c r="R3152" s="23" t="s">
        <v>1198</v>
      </c>
      <c r="T3152" s="23" t="s">
        <v>4558</v>
      </c>
    </row>
    <row r="3153" spans="1:20" x14ac:dyDescent="0.25">
      <c r="A3153" s="21">
        <v>45754</v>
      </c>
      <c r="B3153" s="1" t="s">
        <v>2585</v>
      </c>
      <c r="C3153" t="s">
        <v>54</v>
      </c>
      <c r="D3153" s="22">
        <v>-500</v>
      </c>
      <c r="E3153" t="s">
        <v>35</v>
      </c>
      <c r="F3153" s="2">
        <v>610148001</v>
      </c>
      <c r="G3153" s="2" t="s">
        <v>42</v>
      </c>
      <c r="L3153" s="2" t="s">
        <v>5658</v>
      </c>
      <c r="M3153" t="s">
        <v>43</v>
      </c>
      <c r="N3153" t="s">
        <v>42</v>
      </c>
      <c r="P3153" s="23">
        <v>72.19</v>
      </c>
      <c r="Q3153" s="4">
        <f t="shared" si="49"/>
        <v>-6.9261670591494671</v>
      </c>
      <c r="R3153" s="23" t="s">
        <v>1198</v>
      </c>
      <c r="T3153" s="23" t="s">
        <v>4558</v>
      </c>
    </row>
    <row r="3154" spans="1:20" x14ac:dyDescent="0.25">
      <c r="A3154" s="21">
        <v>45754</v>
      </c>
      <c r="B3154" s="1" t="s">
        <v>3955</v>
      </c>
      <c r="C3154" t="s">
        <v>54</v>
      </c>
      <c r="D3154" s="22">
        <v>-154.87</v>
      </c>
      <c r="E3154" t="s">
        <v>35</v>
      </c>
      <c r="F3154" s="2">
        <v>610148001</v>
      </c>
      <c r="G3154" s="2" t="s">
        <v>42</v>
      </c>
      <c r="L3154" s="2" t="s">
        <v>5659</v>
      </c>
      <c r="M3154" t="s">
        <v>43</v>
      </c>
      <c r="N3154" t="s">
        <v>42</v>
      </c>
      <c r="P3154" s="23">
        <v>72.19</v>
      </c>
      <c r="Q3154" s="4">
        <f t="shared" si="49"/>
        <v>-2.1453109849009557</v>
      </c>
      <c r="R3154" s="23" t="s">
        <v>1198</v>
      </c>
      <c r="T3154" s="23" t="s">
        <v>4558</v>
      </c>
    </row>
    <row r="3155" spans="1:20" x14ac:dyDescent="0.25">
      <c r="A3155" s="21">
        <v>45754</v>
      </c>
      <c r="B3155" s="1" t="s">
        <v>1227</v>
      </c>
      <c r="C3155" t="s">
        <v>54</v>
      </c>
      <c r="D3155" s="22">
        <v>-184.1</v>
      </c>
      <c r="E3155" t="s">
        <v>35</v>
      </c>
      <c r="F3155" s="2">
        <v>610148001</v>
      </c>
      <c r="G3155" s="2" t="s">
        <v>42</v>
      </c>
      <c r="L3155" s="2" t="s">
        <v>5660</v>
      </c>
      <c r="M3155" t="s">
        <v>43</v>
      </c>
      <c r="N3155" t="s">
        <v>42</v>
      </c>
      <c r="P3155" s="23">
        <v>72.19</v>
      </c>
      <c r="Q3155" s="4">
        <f t="shared" si="49"/>
        <v>-2.5502147111788336</v>
      </c>
      <c r="R3155" s="23" t="s">
        <v>1198</v>
      </c>
      <c r="T3155" s="23" t="s">
        <v>4558</v>
      </c>
    </row>
    <row r="3156" spans="1:20" x14ac:dyDescent="0.25">
      <c r="A3156" s="21">
        <v>45754</v>
      </c>
      <c r="B3156" s="1" t="s">
        <v>3969</v>
      </c>
      <c r="C3156" t="s">
        <v>54</v>
      </c>
      <c r="D3156" s="22">
        <v>-500</v>
      </c>
      <c r="E3156" t="s">
        <v>35</v>
      </c>
      <c r="F3156" s="2">
        <v>610148001</v>
      </c>
      <c r="G3156" s="2" t="s">
        <v>42</v>
      </c>
      <c r="L3156" s="2" t="s">
        <v>5661</v>
      </c>
      <c r="M3156" t="s">
        <v>43</v>
      </c>
      <c r="N3156" t="s">
        <v>42</v>
      </c>
      <c r="P3156" s="23">
        <v>72.19</v>
      </c>
      <c r="Q3156" s="4">
        <f t="shared" si="49"/>
        <v>-6.9261670591494671</v>
      </c>
      <c r="R3156" s="23" t="s">
        <v>1198</v>
      </c>
      <c r="T3156" s="23" t="s">
        <v>4558</v>
      </c>
    </row>
    <row r="3157" spans="1:20" x14ac:dyDescent="0.25">
      <c r="A3157" s="21">
        <v>45754</v>
      </c>
      <c r="B3157" s="1" t="s">
        <v>1220</v>
      </c>
      <c r="C3157" t="s">
        <v>54</v>
      </c>
      <c r="D3157" s="22">
        <v>-500</v>
      </c>
      <c r="E3157" t="s">
        <v>35</v>
      </c>
      <c r="F3157" s="2">
        <v>610148001</v>
      </c>
      <c r="G3157" s="2" t="s">
        <v>42</v>
      </c>
      <c r="L3157" s="2" t="s">
        <v>5662</v>
      </c>
      <c r="M3157" t="s">
        <v>43</v>
      </c>
      <c r="N3157" t="s">
        <v>42</v>
      </c>
      <c r="P3157" s="23">
        <v>72.19</v>
      </c>
      <c r="Q3157" s="4">
        <f t="shared" si="49"/>
        <v>-6.9261670591494671</v>
      </c>
      <c r="R3157" s="23" t="s">
        <v>1198</v>
      </c>
      <c r="T3157" s="23" t="s">
        <v>4558</v>
      </c>
    </row>
    <row r="3158" spans="1:20" x14ac:dyDescent="0.25">
      <c r="A3158" s="21">
        <v>45754</v>
      </c>
      <c r="B3158" s="1" t="s">
        <v>2582</v>
      </c>
      <c r="C3158" t="s">
        <v>54</v>
      </c>
      <c r="D3158" s="22">
        <v>-500</v>
      </c>
      <c r="E3158" t="s">
        <v>35</v>
      </c>
      <c r="F3158" s="2">
        <v>610148001</v>
      </c>
      <c r="G3158" s="2" t="s">
        <v>42</v>
      </c>
      <c r="L3158" s="2" t="s">
        <v>5663</v>
      </c>
      <c r="M3158" t="s">
        <v>43</v>
      </c>
      <c r="N3158" t="s">
        <v>42</v>
      </c>
      <c r="P3158" s="23">
        <v>72.19</v>
      </c>
      <c r="Q3158" s="4">
        <f t="shared" si="49"/>
        <v>-6.9261670591494671</v>
      </c>
      <c r="R3158" s="23" t="s">
        <v>1198</v>
      </c>
      <c r="T3158" s="23" t="s">
        <v>4558</v>
      </c>
    </row>
    <row r="3159" spans="1:20" x14ac:dyDescent="0.25">
      <c r="A3159" s="21">
        <v>45754</v>
      </c>
      <c r="B3159" s="1" t="s">
        <v>3973</v>
      </c>
      <c r="C3159" t="s">
        <v>54</v>
      </c>
      <c r="D3159" s="22">
        <v>-173.76</v>
      </c>
      <c r="E3159" t="s">
        <v>35</v>
      </c>
      <c r="F3159" s="2">
        <v>610148001</v>
      </c>
      <c r="G3159" s="2" t="s">
        <v>42</v>
      </c>
      <c r="L3159" s="2" t="s">
        <v>5664</v>
      </c>
      <c r="M3159" t="s">
        <v>43</v>
      </c>
      <c r="N3159" t="s">
        <v>42</v>
      </c>
      <c r="P3159" s="23">
        <v>72.19</v>
      </c>
      <c r="Q3159" s="4">
        <f t="shared" si="49"/>
        <v>-2.4069815763956228</v>
      </c>
      <c r="R3159" s="23" t="s">
        <v>1198</v>
      </c>
      <c r="T3159" s="23" t="s">
        <v>4558</v>
      </c>
    </row>
    <row r="3160" spans="1:20" x14ac:dyDescent="0.25">
      <c r="A3160" s="21">
        <v>45754</v>
      </c>
      <c r="B3160" s="1" t="s">
        <v>3965</v>
      </c>
      <c r="C3160" t="s">
        <v>54</v>
      </c>
      <c r="D3160" s="22">
        <v>-500</v>
      </c>
      <c r="E3160" t="s">
        <v>35</v>
      </c>
      <c r="F3160" s="2">
        <v>610148001</v>
      </c>
      <c r="G3160" s="2" t="s">
        <v>42</v>
      </c>
      <c r="L3160" s="2" t="s">
        <v>5665</v>
      </c>
      <c r="M3160" t="s">
        <v>43</v>
      </c>
      <c r="N3160" t="s">
        <v>42</v>
      </c>
      <c r="P3160" s="23">
        <v>72.19</v>
      </c>
      <c r="Q3160" s="4">
        <f t="shared" si="49"/>
        <v>-6.9261670591494671</v>
      </c>
      <c r="R3160" s="23" t="s">
        <v>1198</v>
      </c>
      <c r="T3160" s="23" t="s">
        <v>4558</v>
      </c>
    </row>
    <row r="3161" spans="1:20" x14ac:dyDescent="0.25">
      <c r="A3161" s="21">
        <v>45754</v>
      </c>
      <c r="B3161" s="1" t="s">
        <v>3962</v>
      </c>
      <c r="C3161" t="s">
        <v>54</v>
      </c>
      <c r="D3161" s="22">
        <v>-89.39</v>
      </c>
      <c r="E3161" t="s">
        <v>35</v>
      </c>
      <c r="F3161" s="2">
        <v>610148001</v>
      </c>
      <c r="G3161" s="2" t="s">
        <v>42</v>
      </c>
      <c r="L3161" s="2" t="s">
        <v>5666</v>
      </c>
      <c r="M3161" t="s">
        <v>43</v>
      </c>
      <c r="N3161" t="s">
        <v>42</v>
      </c>
      <c r="P3161" s="23">
        <v>72.19</v>
      </c>
      <c r="Q3161" s="4">
        <f t="shared" si="49"/>
        <v>-1.2382601468347416</v>
      </c>
      <c r="R3161" s="23" t="s">
        <v>1198</v>
      </c>
      <c r="T3161" s="23" t="s">
        <v>4558</v>
      </c>
    </row>
    <row r="3162" spans="1:20" x14ac:dyDescent="0.25">
      <c r="A3162" s="21">
        <v>45754</v>
      </c>
      <c r="B3162" s="1" t="s">
        <v>5667</v>
      </c>
      <c r="C3162" t="s">
        <v>54</v>
      </c>
      <c r="D3162" s="22">
        <v>65083.26</v>
      </c>
      <c r="E3162" t="s">
        <v>46</v>
      </c>
      <c r="F3162" s="2">
        <v>110106001</v>
      </c>
      <c r="G3162" s="2" t="s">
        <v>2034</v>
      </c>
      <c r="L3162" s="2" t="s">
        <v>5668</v>
      </c>
      <c r="N3162" t="s">
        <v>5669</v>
      </c>
      <c r="P3162" s="23">
        <v>72.19</v>
      </c>
      <c r="Q3162" s="4">
        <f t="shared" si="49"/>
        <v>901.55506302812034</v>
      </c>
      <c r="R3162" s="23" t="s">
        <v>1198</v>
      </c>
    </row>
    <row r="3163" spans="1:20" x14ac:dyDescent="0.25">
      <c r="A3163" s="21">
        <v>45754</v>
      </c>
      <c r="B3163" s="1" t="s">
        <v>5670</v>
      </c>
      <c r="C3163" t="s">
        <v>54</v>
      </c>
      <c r="D3163" s="22">
        <v>13136.76</v>
      </c>
      <c r="E3163" t="s">
        <v>46</v>
      </c>
      <c r="F3163" s="2">
        <v>110106001</v>
      </c>
      <c r="G3163" s="2" t="s">
        <v>2034</v>
      </c>
      <c r="L3163" s="2" t="s">
        <v>5671</v>
      </c>
      <c r="N3163" t="s">
        <v>3330</v>
      </c>
      <c r="P3163" s="23">
        <v>72.19</v>
      </c>
      <c r="Q3163" s="4">
        <f t="shared" si="49"/>
        <v>181.9747887519047</v>
      </c>
      <c r="R3163" s="23" t="s">
        <v>1198</v>
      </c>
    </row>
    <row r="3164" spans="1:20" x14ac:dyDescent="0.25">
      <c r="A3164" s="21">
        <v>45754</v>
      </c>
      <c r="B3164" s="1" t="s">
        <v>5672</v>
      </c>
      <c r="C3164" t="s">
        <v>54</v>
      </c>
      <c r="D3164" s="22">
        <v>30477.3</v>
      </c>
      <c r="E3164" t="s">
        <v>46</v>
      </c>
      <c r="F3164" s="2">
        <v>110106001</v>
      </c>
      <c r="G3164" s="2" t="s">
        <v>2034</v>
      </c>
      <c r="L3164" s="2" t="s">
        <v>5673</v>
      </c>
      <c r="N3164" t="s">
        <v>5674</v>
      </c>
      <c r="P3164" s="23">
        <v>72.19</v>
      </c>
      <c r="Q3164" s="4">
        <f t="shared" si="49"/>
        <v>422.18174262363209</v>
      </c>
      <c r="R3164" s="23" t="s">
        <v>1198</v>
      </c>
    </row>
    <row r="3165" spans="1:20" x14ac:dyDescent="0.25">
      <c r="A3165" s="21">
        <v>45754</v>
      </c>
      <c r="B3165" s="1" t="s">
        <v>5675</v>
      </c>
      <c r="C3165" t="s">
        <v>54</v>
      </c>
      <c r="D3165" s="22">
        <v>30477.279999999999</v>
      </c>
      <c r="E3165" t="s">
        <v>46</v>
      </c>
      <c r="F3165" s="2">
        <v>110106001</v>
      </c>
      <c r="G3165" s="2" t="s">
        <v>2034</v>
      </c>
      <c r="L3165" s="2" t="s">
        <v>5676</v>
      </c>
      <c r="N3165" t="s">
        <v>5674</v>
      </c>
      <c r="P3165" s="23">
        <v>72.19</v>
      </c>
      <c r="Q3165" s="4">
        <f t="shared" si="49"/>
        <v>422.18146557694973</v>
      </c>
      <c r="R3165" s="23" t="s">
        <v>1198</v>
      </c>
    </row>
    <row r="3166" spans="1:20" x14ac:dyDescent="0.25">
      <c r="A3166" s="21">
        <v>45755</v>
      </c>
      <c r="B3166" s="1" t="s">
        <v>5677</v>
      </c>
      <c r="C3166" t="s">
        <v>54</v>
      </c>
      <c r="D3166" s="22">
        <v>10802.49</v>
      </c>
      <c r="E3166" t="s">
        <v>46</v>
      </c>
      <c r="F3166" s="2">
        <v>110106001</v>
      </c>
      <c r="G3166" s="2" t="s">
        <v>2034</v>
      </c>
      <c r="L3166" s="2" t="s">
        <v>5678</v>
      </c>
      <c r="N3166" t="s">
        <v>3330</v>
      </c>
      <c r="P3166" s="23">
        <v>73.36</v>
      </c>
      <c r="Q3166" s="4">
        <f t="shared" si="49"/>
        <v>147.25313522355506</v>
      </c>
      <c r="R3166" s="23" t="s">
        <v>1198</v>
      </c>
    </row>
    <row r="3167" spans="1:20" x14ac:dyDescent="0.25">
      <c r="A3167" s="21">
        <v>45755</v>
      </c>
      <c r="B3167" s="1" t="s">
        <v>5679</v>
      </c>
      <c r="C3167" t="s">
        <v>54</v>
      </c>
      <c r="D3167" s="22">
        <v>490000</v>
      </c>
      <c r="E3167" t="s">
        <v>46</v>
      </c>
      <c r="F3167" s="2">
        <v>210115002</v>
      </c>
      <c r="G3167" s="2" t="s">
        <v>47</v>
      </c>
      <c r="L3167" s="2" t="s">
        <v>5680</v>
      </c>
      <c r="N3167" t="s">
        <v>544</v>
      </c>
      <c r="P3167" s="23">
        <v>73.36</v>
      </c>
      <c r="Q3167" s="4">
        <f t="shared" si="49"/>
        <v>6679.3893129770995</v>
      </c>
      <c r="R3167" s="23" t="s">
        <v>1198</v>
      </c>
    </row>
    <row r="3168" spans="1:20" x14ac:dyDescent="0.25">
      <c r="A3168" s="21">
        <v>45755</v>
      </c>
      <c r="B3168" s="1" t="s">
        <v>5681</v>
      </c>
      <c r="C3168" t="s">
        <v>54</v>
      </c>
      <c r="D3168" s="22">
        <v>75000</v>
      </c>
      <c r="E3168" t="s">
        <v>46</v>
      </c>
      <c r="F3168" s="2">
        <v>210115002</v>
      </c>
      <c r="G3168" s="2" t="s">
        <v>47</v>
      </c>
      <c r="L3168" s="2" t="s">
        <v>5682</v>
      </c>
      <c r="N3168" t="s">
        <v>544</v>
      </c>
      <c r="P3168" s="23">
        <v>73.36</v>
      </c>
      <c r="Q3168" s="4">
        <f t="shared" si="49"/>
        <v>1022.3555070883315</v>
      </c>
      <c r="R3168" s="23" t="s">
        <v>1198</v>
      </c>
    </row>
    <row r="3169" spans="1:20" x14ac:dyDescent="0.25">
      <c r="A3169" s="21">
        <v>45755</v>
      </c>
      <c r="B3169" s="1" t="s">
        <v>2571</v>
      </c>
      <c r="C3169" t="s">
        <v>54</v>
      </c>
      <c r="D3169" s="22">
        <v>-76577.399999999994</v>
      </c>
      <c r="E3169" t="s">
        <v>35</v>
      </c>
      <c r="F3169" s="2">
        <v>210101001</v>
      </c>
      <c r="G3169" s="2" t="s">
        <v>36</v>
      </c>
      <c r="L3169" s="2" t="s">
        <v>5683</v>
      </c>
      <c r="M3169" t="s">
        <v>38</v>
      </c>
      <c r="N3169" t="s">
        <v>39</v>
      </c>
      <c r="P3169" s="23">
        <v>73.36</v>
      </c>
      <c r="Q3169" s="4">
        <f t="shared" si="49"/>
        <v>-1043.8576881134131</v>
      </c>
      <c r="R3169" s="23" t="s">
        <v>1198</v>
      </c>
    </row>
    <row r="3170" spans="1:20" x14ac:dyDescent="0.25">
      <c r="A3170" s="21">
        <v>45755</v>
      </c>
      <c r="B3170" s="1" t="s">
        <v>1217</v>
      </c>
      <c r="C3170" t="s">
        <v>54</v>
      </c>
      <c r="D3170" s="22">
        <v>-13656.4</v>
      </c>
      <c r="E3170" t="s">
        <v>35</v>
      </c>
      <c r="F3170" s="2">
        <v>110114001</v>
      </c>
      <c r="G3170" s="2" t="s">
        <v>301</v>
      </c>
      <c r="L3170" s="2" t="s">
        <v>5684</v>
      </c>
      <c r="M3170" t="s">
        <v>38</v>
      </c>
      <c r="N3170" t="s">
        <v>39</v>
      </c>
      <c r="P3170" s="23">
        <v>73.36</v>
      </c>
      <c r="Q3170" s="4">
        <f t="shared" si="49"/>
        <v>-186.15594329334786</v>
      </c>
      <c r="R3170" s="23" t="s">
        <v>1198</v>
      </c>
      <c r="S3170" s="33" t="s">
        <v>3147</v>
      </c>
    </row>
    <row r="3171" spans="1:20" x14ac:dyDescent="0.25">
      <c r="A3171" s="21">
        <v>45755</v>
      </c>
      <c r="B3171" s="1" t="s">
        <v>1208</v>
      </c>
      <c r="C3171" t="s">
        <v>54</v>
      </c>
      <c r="D3171" s="22">
        <v>-200000</v>
      </c>
      <c r="E3171" t="s">
        <v>35</v>
      </c>
      <c r="F3171" s="2">
        <v>110114001</v>
      </c>
      <c r="G3171" s="2" t="s">
        <v>301</v>
      </c>
      <c r="L3171" s="2" t="s">
        <v>5685</v>
      </c>
      <c r="M3171" t="s">
        <v>38</v>
      </c>
      <c r="N3171" t="s">
        <v>39</v>
      </c>
      <c r="P3171" s="23">
        <v>73.36</v>
      </c>
      <c r="Q3171" s="4">
        <f t="shared" si="49"/>
        <v>-2726.2813522355509</v>
      </c>
      <c r="R3171" s="23" t="s">
        <v>1198</v>
      </c>
      <c r="S3171" s="33" t="s">
        <v>3147</v>
      </c>
      <c r="T3171" s="67"/>
    </row>
    <row r="3172" spans="1:20" x14ac:dyDescent="0.25">
      <c r="A3172" s="21">
        <v>45755</v>
      </c>
      <c r="B3172" s="1" t="s">
        <v>1211</v>
      </c>
      <c r="C3172" t="s">
        <v>54</v>
      </c>
      <c r="D3172" s="22">
        <v>-200000</v>
      </c>
      <c r="E3172" t="s">
        <v>35</v>
      </c>
      <c r="F3172" s="2">
        <v>110114001</v>
      </c>
      <c r="G3172" s="2" t="s">
        <v>301</v>
      </c>
      <c r="L3172" s="2" t="s">
        <v>5686</v>
      </c>
      <c r="M3172" t="s">
        <v>38</v>
      </c>
      <c r="N3172" t="s">
        <v>39</v>
      </c>
      <c r="P3172" s="23">
        <v>73.36</v>
      </c>
      <c r="Q3172" s="4">
        <f t="shared" si="49"/>
        <v>-2726.2813522355509</v>
      </c>
      <c r="R3172" s="23" t="s">
        <v>1198</v>
      </c>
      <c r="S3172" s="33" t="s">
        <v>3147</v>
      </c>
      <c r="T3172" s="67"/>
    </row>
    <row r="3173" spans="1:20" x14ac:dyDescent="0.25">
      <c r="A3173" s="21">
        <v>45755</v>
      </c>
      <c r="B3173" s="1" t="s">
        <v>1214</v>
      </c>
      <c r="C3173" t="s">
        <v>54</v>
      </c>
      <c r="D3173" s="22">
        <v>-200000</v>
      </c>
      <c r="E3173" t="s">
        <v>35</v>
      </c>
      <c r="F3173" s="2">
        <v>110114001</v>
      </c>
      <c r="G3173" s="2" t="s">
        <v>301</v>
      </c>
      <c r="L3173" s="2" t="s">
        <v>5687</v>
      </c>
      <c r="M3173" t="s">
        <v>38</v>
      </c>
      <c r="N3173" t="s">
        <v>39</v>
      </c>
      <c r="P3173" s="23">
        <v>73.36</v>
      </c>
      <c r="Q3173" s="4">
        <f t="shared" si="49"/>
        <v>-2726.2813522355509</v>
      </c>
      <c r="R3173" s="23" t="s">
        <v>1198</v>
      </c>
      <c r="S3173" s="33" t="s">
        <v>3147</v>
      </c>
      <c r="T3173" s="67"/>
    </row>
    <row r="3174" spans="1:20" x14ac:dyDescent="0.25">
      <c r="A3174" s="21">
        <v>45755</v>
      </c>
      <c r="B3174" s="1" t="s">
        <v>2573</v>
      </c>
      <c r="C3174" t="s">
        <v>54</v>
      </c>
      <c r="D3174" s="22">
        <v>-48337.11</v>
      </c>
      <c r="E3174" t="s">
        <v>35</v>
      </c>
      <c r="F3174" s="2">
        <v>210101001</v>
      </c>
      <c r="G3174" s="2" t="s">
        <v>36</v>
      </c>
      <c r="L3174" s="2" t="s">
        <v>5688</v>
      </c>
      <c r="M3174" t="s">
        <v>303</v>
      </c>
      <c r="N3174" t="s">
        <v>304</v>
      </c>
      <c r="P3174" s="23">
        <v>73.36</v>
      </c>
      <c r="Q3174" s="4">
        <f t="shared" si="49"/>
        <v>-658.90280806979285</v>
      </c>
      <c r="R3174" s="23" t="s">
        <v>1198</v>
      </c>
    </row>
    <row r="3175" spans="1:20" x14ac:dyDescent="0.25">
      <c r="A3175" s="21">
        <v>45755</v>
      </c>
      <c r="B3175" s="1" t="s">
        <v>1220</v>
      </c>
      <c r="C3175" t="s">
        <v>54</v>
      </c>
      <c r="D3175" s="22">
        <v>-34.14</v>
      </c>
      <c r="E3175" t="s">
        <v>35</v>
      </c>
      <c r="F3175" s="2">
        <v>610148001</v>
      </c>
      <c r="G3175" s="2" t="s">
        <v>42</v>
      </c>
      <c r="L3175" s="2" t="s">
        <v>5689</v>
      </c>
      <c r="M3175" t="s">
        <v>43</v>
      </c>
      <c r="N3175" t="s">
        <v>42</v>
      </c>
      <c r="P3175" s="23">
        <v>73.36</v>
      </c>
      <c r="Q3175" s="4">
        <f t="shared" si="49"/>
        <v>-0.46537622682660851</v>
      </c>
      <c r="R3175" s="23" t="s">
        <v>1198</v>
      </c>
      <c r="T3175" s="23" t="s">
        <v>4558</v>
      </c>
    </row>
    <row r="3176" spans="1:20" x14ac:dyDescent="0.25">
      <c r="A3176" s="21">
        <v>45755</v>
      </c>
      <c r="B3176" s="1" t="s">
        <v>2585</v>
      </c>
      <c r="C3176" t="s">
        <v>54</v>
      </c>
      <c r="D3176" s="22">
        <v>-191.44</v>
      </c>
      <c r="E3176" t="s">
        <v>35</v>
      </c>
      <c r="F3176" s="2">
        <v>610148001</v>
      </c>
      <c r="G3176" s="2" t="s">
        <v>42</v>
      </c>
      <c r="L3176" s="2" t="s">
        <v>5690</v>
      </c>
      <c r="M3176" t="s">
        <v>43</v>
      </c>
      <c r="N3176" t="s">
        <v>42</v>
      </c>
      <c r="P3176" s="23">
        <v>73.36</v>
      </c>
      <c r="Q3176" s="4">
        <f t="shared" si="49"/>
        <v>-2.6095965103598693</v>
      </c>
      <c r="R3176" s="23" t="s">
        <v>1198</v>
      </c>
      <c r="T3176" s="23" t="s">
        <v>4558</v>
      </c>
    </row>
    <row r="3177" spans="1:20" x14ac:dyDescent="0.25">
      <c r="A3177" s="21">
        <v>45755</v>
      </c>
      <c r="B3177" s="1" t="s">
        <v>1225</v>
      </c>
      <c r="C3177" t="s">
        <v>54</v>
      </c>
      <c r="D3177" s="22">
        <v>-500</v>
      </c>
      <c r="E3177" t="s">
        <v>35</v>
      </c>
      <c r="F3177" s="2">
        <v>610148001</v>
      </c>
      <c r="G3177" s="2" t="s">
        <v>42</v>
      </c>
      <c r="L3177" s="2" t="s">
        <v>5691</v>
      </c>
      <c r="M3177" t="s">
        <v>43</v>
      </c>
      <c r="N3177" t="s">
        <v>42</v>
      </c>
      <c r="P3177" s="23">
        <v>73.36</v>
      </c>
      <c r="Q3177" s="4">
        <f t="shared" si="49"/>
        <v>-6.8157033805888769</v>
      </c>
      <c r="R3177" s="23" t="s">
        <v>1198</v>
      </c>
      <c r="T3177" s="23" t="s">
        <v>4558</v>
      </c>
    </row>
    <row r="3178" spans="1:20" x14ac:dyDescent="0.25">
      <c r="A3178" s="21">
        <v>45755</v>
      </c>
      <c r="B3178" s="1" t="s">
        <v>2582</v>
      </c>
      <c r="C3178" t="s">
        <v>54</v>
      </c>
      <c r="D3178" s="22">
        <v>-120.84</v>
      </c>
      <c r="E3178" t="s">
        <v>35</v>
      </c>
      <c r="F3178" s="2">
        <v>610148001</v>
      </c>
      <c r="G3178" s="2" t="s">
        <v>42</v>
      </c>
      <c r="L3178" s="2" t="s">
        <v>5692</v>
      </c>
      <c r="M3178" t="s">
        <v>43</v>
      </c>
      <c r="N3178" t="s">
        <v>42</v>
      </c>
      <c r="P3178" s="23">
        <v>73.36</v>
      </c>
      <c r="Q3178" s="4">
        <f t="shared" si="49"/>
        <v>-1.6472191930207198</v>
      </c>
      <c r="R3178" s="23" t="s">
        <v>1198</v>
      </c>
      <c r="T3178" s="23" t="s">
        <v>4558</v>
      </c>
    </row>
    <row r="3179" spans="1:20" x14ac:dyDescent="0.25">
      <c r="A3179" s="21">
        <v>45755</v>
      </c>
      <c r="B3179" s="1" t="s">
        <v>1223</v>
      </c>
      <c r="C3179" t="s">
        <v>54</v>
      </c>
      <c r="D3179" s="22">
        <v>-500</v>
      </c>
      <c r="E3179" t="s">
        <v>35</v>
      </c>
      <c r="F3179" s="2">
        <v>610148001</v>
      </c>
      <c r="G3179" s="2" t="s">
        <v>42</v>
      </c>
      <c r="L3179" s="2" t="s">
        <v>5693</v>
      </c>
      <c r="M3179" t="s">
        <v>43</v>
      </c>
      <c r="N3179" t="s">
        <v>42</v>
      </c>
      <c r="P3179" s="23">
        <v>73.36</v>
      </c>
      <c r="Q3179" s="4">
        <f t="shared" si="49"/>
        <v>-6.8157033805888769</v>
      </c>
      <c r="R3179" s="23" t="s">
        <v>1198</v>
      </c>
      <c r="T3179" s="23" t="s">
        <v>4558</v>
      </c>
    </row>
    <row r="3180" spans="1:20" x14ac:dyDescent="0.25">
      <c r="A3180" s="21">
        <v>45755</v>
      </c>
      <c r="B3180" s="1" t="s">
        <v>1227</v>
      </c>
      <c r="C3180" t="s">
        <v>54</v>
      </c>
      <c r="D3180" s="22">
        <v>-500</v>
      </c>
      <c r="E3180" t="s">
        <v>35</v>
      </c>
      <c r="F3180" s="2">
        <v>610148001</v>
      </c>
      <c r="G3180" s="2" t="s">
        <v>42</v>
      </c>
      <c r="L3180" s="2" t="s">
        <v>5694</v>
      </c>
      <c r="M3180" t="s">
        <v>43</v>
      </c>
      <c r="N3180" t="s">
        <v>42</v>
      </c>
      <c r="P3180" s="23">
        <v>73.36</v>
      </c>
      <c r="Q3180" s="4">
        <f t="shared" si="49"/>
        <v>-6.8157033805888769</v>
      </c>
      <c r="R3180" s="23" t="s">
        <v>1198</v>
      </c>
      <c r="T3180" s="23" t="s">
        <v>4558</v>
      </c>
    </row>
    <row r="3181" spans="1:20" x14ac:dyDescent="0.25">
      <c r="A3181" s="21">
        <v>45756</v>
      </c>
      <c r="B3181" s="1" t="s">
        <v>5695</v>
      </c>
      <c r="C3181" t="s">
        <v>54</v>
      </c>
      <c r="D3181" s="22">
        <v>1110000</v>
      </c>
      <c r="E3181" t="s">
        <v>46</v>
      </c>
      <c r="F3181" s="2">
        <v>210115002</v>
      </c>
      <c r="G3181" s="2" t="s">
        <v>47</v>
      </c>
      <c r="L3181" s="2" t="s">
        <v>5696</v>
      </c>
      <c r="N3181" t="s">
        <v>544</v>
      </c>
      <c r="P3181" s="23">
        <v>74.28</v>
      </c>
      <c r="Q3181" s="4">
        <f t="shared" si="49"/>
        <v>14943.45718901454</v>
      </c>
      <c r="R3181" s="23" t="s">
        <v>1198</v>
      </c>
    </row>
    <row r="3182" spans="1:20" x14ac:dyDescent="0.25">
      <c r="A3182" s="21">
        <v>45756</v>
      </c>
      <c r="B3182" s="1" t="s">
        <v>1217</v>
      </c>
      <c r="C3182" t="s">
        <v>54</v>
      </c>
      <c r="D3182" s="22">
        <v>-182278.72</v>
      </c>
      <c r="E3182" t="s">
        <v>35</v>
      </c>
      <c r="F3182" s="2">
        <v>210101001</v>
      </c>
      <c r="G3182" s="2" t="s">
        <v>36</v>
      </c>
      <c r="L3182" s="2" t="s">
        <v>5697</v>
      </c>
      <c r="M3182" t="s">
        <v>788</v>
      </c>
      <c r="N3182" t="s">
        <v>789</v>
      </c>
      <c r="P3182" s="23">
        <v>74.28</v>
      </c>
      <c r="Q3182" s="4">
        <f t="shared" si="49"/>
        <v>-2453.9407646742056</v>
      </c>
      <c r="R3182" s="23" t="s">
        <v>1198</v>
      </c>
    </row>
    <row r="3183" spans="1:20" x14ac:dyDescent="0.25">
      <c r="A3183" s="21">
        <v>45756</v>
      </c>
      <c r="B3183" s="1" t="s">
        <v>1211</v>
      </c>
      <c r="C3183" t="s">
        <v>54</v>
      </c>
      <c r="D3183" s="22">
        <v>-15241.99</v>
      </c>
      <c r="E3183" t="s">
        <v>35</v>
      </c>
      <c r="F3183" s="2">
        <v>210101001</v>
      </c>
      <c r="G3183" s="2" t="s">
        <v>36</v>
      </c>
      <c r="L3183" s="2" t="s">
        <v>5698</v>
      </c>
      <c r="M3183" t="s">
        <v>1376</v>
      </c>
      <c r="N3183" t="s">
        <v>1377</v>
      </c>
      <c r="P3183" s="23">
        <v>74.28</v>
      </c>
      <c r="Q3183" s="4">
        <f t="shared" si="49"/>
        <v>-205.19641895530424</v>
      </c>
      <c r="R3183" s="23" t="s">
        <v>1198</v>
      </c>
    </row>
    <row r="3184" spans="1:20" x14ac:dyDescent="0.25">
      <c r="A3184" s="21">
        <v>45756</v>
      </c>
      <c r="B3184" s="1" t="s">
        <v>1208</v>
      </c>
      <c r="C3184" t="s">
        <v>54</v>
      </c>
      <c r="D3184" s="22">
        <v>-89599.33</v>
      </c>
      <c r="E3184" t="s">
        <v>35</v>
      </c>
      <c r="F3184" s="2">
        <v>210101001</v>
      </c>
      <c r="G3184" s="2" t="s">
        <v>36</v>
      </c>
      <c r="L3184" s="2" t="s">
        <v>5699</v>
      </c>
      <c r="M3184" t="s">
        <v>38</v>
      </c>
      <c r="N3184" t="s">
        <v>39</v>
      </c>
      <c r="P3184" s="23">
        <v>74.28</v>
      </c>
      <c r="Q3184" s="4">
        <f t="shared" si="49"/>
        <v>-1206.2376144318794</v>
      </c>
      <c r="R3184" s="23" t="s">
        <v>1198</v>
      </c>
    </row>
    <row r="3185" spans="1:20" x14ac:dyDescent="0.25">
      <c r="A3185" s="21">
        <v>45756</v>
      </c>
      <c r="B3185" s="1" t="s">
        <v>1214</v>
      </c>
      <c r="C3185" t="s">
        <v>54</v>
      </c>
      <c r="D3185" s="22">
        <v>-6893.18</v>
      </c>
      <c r="E3185" t="s">
        <v>35</v>
      </c>
      <c r="F3185" s="2">
        <v>210101001</v>
      </c>
      <c r="G3185" s="2" t="s">
        <v>36</v>
      </c>
      <c r="L3185" s="2" t="s">
        <v>5700</v>
      </c>
      <c r="M3185" t="s">
        <v>2028</v>
      </c>
      <c r="N3185" t="s">
        <v>2029</v>
      </c>
      <c r="P3185" s="23">
        <v>74.28</v>
      </c>
      <c r="Q3185" s="4">
        <f t="shared" si="49"/>
        <v>-92.799946149703828</v>
      </c>
      <c r="R3185" s="23" t="s">
        <v>1198</v>
      </c>
    </row>
    <row r="3186" spans="1:20" x14ac:dyDescent="0.25">
      <c r="A3186" s="21">
        <v>45756</v>
      </c>
      <c r="B3186" s="1" t="s">
        <v>1217</v>
      </c>
      <c r="C3186" t="s">
        <v>54</v>
      </c>
      <c r="D3186" s="22">
        <v>-200000</v>
      </c>
      <c r="E3186" t="s">
        <v>35</v>
      </c>
      <c r="F3186" s="2">
        <v>210101001</v>
      </c>
      <c r="G3186" s="2" t="s">
        <v>36</v>
      </c>
      <c r="L3186" s="2" t="s">
        <v>5701</v>
      </c>
      <c r="M3186" t="s">
        <v>788</v>
      </c>
      <c r="N3186" t="s">
        <v>789</v>
      </c>
      <c r="P3186" s="23">
        <v>74.28</v>
      </c>
      <c r="Q3186" s="4">
        <f t="shared" si="49"/>
        <v>-2692.5148088314486</v>
      </c>
      <c r="R3186" s="23" t="s">
        <v>1198</v>
      </c>
    </row>
    <row r="3187" spans="1:20" x14ac:dyDescent="0.25">
      <c r="A3187" s="21">
        <v>45756</v>
      </c>
      <c r="B3187" s="1" t="s">
        <v>1217</v>
      </c>
      <c r="C3187" t="s">
        <v>54</v>
      </c>
      <c r="D3187" s="22">
        <v>-200000</v>
      </c>
      <c r="E3187" t="s">
        <v>35</v>
      </c>
      <c r="F3187" s="2">
        <v>210101001</v>
      </c>
      <c r="G3187" s="2" t="s">
        <v>36</v>
      </c>
      <c r="L3187" s="2" t="s">
        <v>5702</v>
      </c>
      <c r="M3187" t="s">
        <v>788</v>
      </c>
      <c r="N3187" t="s">
        <v>789</v>
      </c>
      <c r="P3187" s="23">
        <v>74.28</v>
      </c>
      <c r="Q3187" s="4">
        <f t="shared" si="49"/>
        <v>-2692.5148088314486</v>
      </c>
      <c r="R3187" s="23" t="s">
        <v>1198</v>
      </c>
    </row>
    <row r="3188" spans="1:20" x14ac:dyDescent="0.25">
      <c r="A3188" s="21">
        <v>45756</v>
      </c>
      <c r="B3188" s="1" t="s">
        <v>1217</v>
      </c>
      <c r="C3188" t="s">
        <v>54</v>
      </c>
      <c r="D3188" s="22">
        <v>-200000</v>
      </c>
      <c r="E3188" t="s">
        <v>35</v>
      </c>
      <c r="F3188" s="2">
        <v>210101001</v>
      </c>
      <c r="G3188" s="2" t="s">
        <v>36</v>
      </c>
      <c r="L3188" s="2" t="s">
        <v>5703</v>
      </c>
      <c r="M3188" t="s">
        <v>788</v>
      </c>
      <c r="N3188" t="s">
        <v>789</v>
      </c>
      <c r="P3188" s="23">
        <v>74.28</v>
      </c>
      <c r="Q3188" s="4">
        <f t="shared" si="49"/>
        <v>-2692.5148088314486</v>
      </c>
      <c r="R3188" s="23" t="s">
        <v>1198</v>
      </c>
    </row>
    <row r="3189" spans="1:20" x14ac:dyDescent="0.25">
      <c r="A3189" s="21">
        <v>45756</v>
      </c>
      <c r="B3189" s="1" t="s">
        <v>1217</v>
      </c>
      <c r="C3189" t="s">
        <v>54</v>
      </c>
      <c r="D3189" s="22">
        <v>-200000</v>
      </c>
      <c r="E3189" t="s">
        <v>35</v>
      </c>
      <c r="F3189" s="2">
        <v>210101001</v>
      </c>
      <c r="G3189" s="2" t="s">
        <v>36</v>
      </c>
      <c r="L3189" s="2" t="s">
        <v>5704</v>
      </c>
      <c r="M3189" t="s">
        <v>788</v>
      </c>
      <c r="N3189" t="s">
        <v>789</v>
      </c>
      <c r="P3189" s="23">
        <v>74.28</v>
      </c>
      <c r="Q3189" s="4">
        <f t="shared" si="49"/>
        <v>-2692.5148088314486</v>
      </c>
      <c r="R3189" s="23" t="s">
        <v>1198</v>
      </c>
    </row>
    <row r="3190" spans="1:20" x14ac:dyDescent="0.25">
      <c r="A3190" s="21">
        <v>45756</v>
      </c>
      <c r="B3190" s="1" t="s">
        <v>1220</v>
      </c>
      <c r="C3190" t="s">
        <v>54</v>
      </c>
      <c r="D3190" s="22">
        <v>-500</v>
      </c>
      <c r="E3190" t="s">
        <v>35</v>
      </c>
      <c r="F3190" s="2">
        <v>610148001</v>
      </c>
      <c r="G3190" s="2" t="s">
        <v>42</v>
      </c>
      <c r="L3190" s="2" t="s">
        <v>5705</v>
      </c>
      <c r="M3190" t="s">
        <v>43</v>
      </c>
      <c r="N3190" t="s">
        <v>42</v>
      </c>
      <c r="P3190" s="23">
        <v>74.28</v>
      </c>
      <c r="Q3190" s="4">
        <f t="shared" si="49"/>
        <v>-6.7312870220786216</v>
      </c>
      <c r="R3190" s="23" t="s">
        <v>1198</v>
      </c>
      <c r="T3190" s="23" t="s">
        <v>4558</v>
      </c>
    </row>
    <row r="3191" spans="1:20" x14ac:dyDescent="0.25">
      <c r="A3191" s="21">
        <v>45756</v>
      </c>
      <c r="B3191" s="1" t="s">
        <v>1225</v>
      </c>
      <c r="C3191" t="s">
        <v>54</v>
      </c>
      <c r="D3191" s="22">
        <v>-17.23</v>
      </c>
      <c r="E3191" t="s">
        <v>35</v>
      </c>
      <c r="F3191" s="2">
        <v>610148001</v>
      </c>
      <c r="G3191" s="2" t="s">
        <v>42</v>
      </c>
      <c r="L3191" s="2" t="s">
        <v>5706</v>
      </c>
      <c r="M3191" t="s">
        <v>43</v>
      </c>
      <c r="N3191" t="s">
        <v>42</v>
      </c>
      <c r="P3191" s="23">
        <v>74.28</v>
      </c>
      <c r="Q3191" s="4">
        <f t="shared" si="49"/>
        <v>-0.23196015078082929</v>
      </c>
      <c r="R3191" s="23" t="s">
        <v>1198</v>
      </c>
      <c r="T3191" s="23" t="s">
        <v>4558</v>
      </c>
    </row>
    <row r="3192" spans="1:20" x14ac:dyDescent="0.25">
      <c r="A3192" s="21">
        <v>45756</v>
      </c>
      <c r="B3192" s="1" t="s">
        <v>1220</v>
      </c>
      <c r="C3192" t="s">
        <v>54</v>
      </c>
      <c r="D3192" s="22">
        <v>-500</v>
      </c>
      <c r="E3192" t="s">
        <v>35</v>
      </c>
      <c r="F3192" s="2">
        <v>610148001</v>
      </c>
      <c r="G3192" s="2" t="s">
        <v>42</v>
      </c>
      <c r="L3192" s="2" t="s">
        <v>5707</v>
      </c>
      <c r="M3192" t="s">
        <v>43</v>
      </c>
      <c r="N3192" t="s">
        <v>42</v>
      </c>
      <c r="P3192" s="23">
        <v>74.28</v>
      </c>
      <c r="Q3192" s="4">
        <f t="shared" si="49"/>
        <v>-6.7312870220786216</v>
      </c>
      <c r="R3192" s="23" t="s">
        <v>1198</v>
      </c>
      <c r="T3192" s="23" t="s">
        <v>4558</v>
      </c>
    </row>
    <row r="3193" spans="1:20" x14ac:dyDescent="0.25">
      <c r="A3193" s="21">
        <v>45756</v>
      </c>
      <c r="B3193" s="1" t="s">
        <v>1220</v>
      </c>
      <c r="C3193" t="s">
        <v>54</v>
      </c>
      <c r="D3193" s="22">
        <v>-455.69</v>
      </c>
      <c r="E3193" t="s">
        <v>35</v>
      </c>
      <c r="F3193" s="2">
        <v>610148001</v>
      </c>
      <c r="G3193" s="2" t="s">
        <v>42</v>
      </c>
      <c r="L3193" s="2" t="s">
        <v>5708</v>
      </c>
      <c r="M3193" t="s">
        <v>43</v>
      </c>
      <c r="N3193" t="s">
        <v>42</v>
      </c>
      <c r="P3193" s="23">
        <v>74.28</v>
      </c>
      <c r="Q3193" s="4">
        <f t="shared" si="49"/>
        <v>-6.1347603661820136</v>
      </c>
      <c r="R3193" s="23" t="s">
        <v>1198</v>
      </c>
      <c r="T3193" s="23" t="s">
        <v>4558</v>
      </c>
    </row>
    <row r="3194" spans="1:20" x14ac:dyDescent="0.25">
      <c r="A3194" s="21">
        <v>45756</v>
      </c>
      <c r="B3194" s="1" t="s">
        <v>1223</v>
      </c>
      <c r="C3194" t="s">
        <v>54</v>
      </c>
      <c r="D3194" s="22">
        <v>-223.99</v>
      </c>
      <c r="E3194" t="s">
        <v>35</v>
      </c>
      <c r="F3194" s="2">
        <v>610148001</v>
      </c>
      <c r="G3194" s="2" t="s">
        <v>42</v>
      </c>
      <c r="L3194" s="2" t="s">
        <v>5709</v>
      </c>
      <c r="M3194" t="s">
        <v>43</v>
      </c>
      <c r="N3194" t="s">
        <v>42</v>
      </c>
      <c r="P3194" s="23">
        <v>74.28</v>
      </c>
      <c r="Q3194" s="4">
        <f t="shared" si="49"/>
        <v>-3.015481960150781</v>
      </c>
      <c r="R3194" s="23" t="s">
        <v>1198</v>
      </c>
      <c r="T3194" s="23" t="s">
        <v>4558</v>
      </c>
    </row>
    <row r="3195" spans="1:20" x14ac:dyDescent="0.25">
      <c r="A3195" s="21">
        <v>45756</v>
      </c>
      <c r="B3195" s="1" t="s">
        <v>1220</v>
      </c>
      <c r="C3195" t="s">
        <v>54</v>
      </c>
      <c r="D3195" s="22">
        <v>-500</v>
      </c>
      <c r="E3195" t="s">
        <v>35</v>
      </c>
      <c r="F3195" s="2">
        <v>610148001</v>
      </c>
      <c r="G3195" s="2" t="s">
        <v>42</v>
      </c>
      <c r="L3195" s="2" t="s">
        <v>5710</v>
      </c>
      <c r="M3195" t="s">
        <v>43</v>
      </c>
      <c r="N3195" t="s">
        <v>42</v>
      </c>
      <c r="P3195" s="23">
        <v>74.28</v>
      </c>
      <c r="Q3195" s="4">
        <f t="shared" si="49"/>
        <v>-6.7312870220786216</v>
      </c>
      <c r="R3195" s="23" t="s">
        <v>1198</v>
      </c>
      <c r="T3195" s="23" t="s">
        <v>4558</v>
      </c>
    </row>
    <row r="3196" spans="1:20" x14ac:dyDescent="0.25">
      <c r="A3196" s="21">
        <v>45756</v>
      </c>
      <c r="B3196" s="1" t="s">
        <v>1220</v>
      </c>
      <c r="C3196" t="s">
        <v>54</v>
      </c>
      <c r="D3196" s="22">
        <v>-500</v>
      </c>
      <c r="E3196" t="s">
        <v>35</v>
      </c>
      <c r="F3196" s="2">
        <v>610148001</v>
      </c>
      <c r="G3196" s="2" t="s">
        <v>42</v>
      </c>
      <c r="L3196" s="2" t="s">
        <v>5711</v>
      </c>
      <c r="M3196" t="s">
        <v>43</v>
      </c>
      <c r="N3196" t="s">
        <v>42</v>
      </c>
      <c r="P3196" s="23">
        <v>74.28</v>
      </c>
      <c r="Q3196" s="4">
        <f t="shared" si="49"/>
        <v>-6.7312870220786216</v>
      </c>
      <c r="R3196" s="23" t="s">
        <v>1198</v>
      </c>
      <c r="T3196" s="23" t="s">
        <v>4558</v>
      </c>
    </row>
    <row r="3197" spans="1:20" x14ac:dyDescent="0.25">
      <c r="A3197" s="21">
        <v>45756</v>
      </c>
      <c r="B3197" s="1" t="s">
        <v>1227</v>
      </c>
      <c r="C3197" t="s">
        <v>54</v>
      </c>
      <c r="D3197" s="22">
        <v>-38.1</v>
      </c>
      <c r="E3197" t="s">
        <v>35</v>
      </c>
      <c r="F3197" s="2">
        <v>610148001</v>
      </c>
      <c r="G3197" s="2" t="s">
        <v>42</v>
      </c>
      <c r="L3197" s="2" t="s">
        <v>5712</v>
      </c>
      <c r="M3197" t="s">
        <v>43</v>
      </c>
      <c r="N3197" t="s">
        <v>42</v>
      </c>
      <c r="P3197" s="23">
        <v>74.28</v>
      </c>
      <c r="Q3197" s="4">
        <f t="shared" si="49"/>
        <v>-0.51292407108239102</v>
      </c>
      <c r="R3197" s="23" t="s">
        <v>1198</v>
      </c>
      <c r="T3197" s="23" t="s">
        <v>4558</v>
      </c>
    </row>
    <row r="3198" spans="1:20" x14ac:dyDescent="0.25">
      <c r="A3198" s="21">
        <v>45758</v>
      </c>
      <c r="B3198" s="1" t="s">
        <v>5713</v>
      </c>
      <c r="C3198" t="s">
        <v>54</v>
      </c>
      <c r="D3198" s="22">
        <v>500000</v>
      </c>
      <c r="E3198" t="s">
        <v>46</v>
      </c>
      <c r="F3198" s="2">
        <v>210115002</v>
      </c>
      <c r="G3198" s="2" t="s">
        <v>47</v>
      </c>
      <c r="L3198" s="2" t="s">
        <v>5714</v>
      </c>
      <c r="N3198" t="s">
        <v>544</v>
      </c>
      <c r="P3198" s="23">
        <v>77.260000000000005</v>
      </c>
      <c r="Q3198" s="4">
        <f t="shared" si="49"/>
        <v>6471.6541548019668</v>
      </c>
      <c r="R3198" s="23" t="s">
        <v>1198</v>
      </c>
    </row>
    <row r="3199" spans="1:20" x14ac:dyDescent="0.25">
      <c r="A3199" s="21">
        <v>45758</v>
      </c>
      <c r="B3199" s="1" t="s">
        <v>1217</v>
      </c>
      <c r="C3199" t="s">
        <v>54</v>
      </c>
      <c r="D3199" s="22">
        <v>-3863</v>
      </c>
      <c r="E3199" t="s">
        <v>35</v>
      </c>
      <c r="F3199" s="2">
        <v>212901001</v>
      </c>
      <c r="G3199" s="2" t="s">
        <v>121</v>
      </c>
      <c r="L3199" s="2" t="s">
        <v>5715</v>
      </c>
      <c r="M3199" t="s">
        <v>67</v>
      </c>
      <c r="N3199" t="s">
        <v>68</v>
      </c>
      <c r="P3199" s="23">
        <v>77.260000000000005</v>
      </c>
      <c r="Q3199" s="4">
        <f t="shared" si="49"/>
        <v>-50</v>
      </c>
      <c r="R3199" s="23" t="s">
        <v>1198</v>
      </c>
    </row>
    <row r="3200" spans="1:20" x14ac:dyDescent="0.25">
      <c r="A3200" s="21">
        <v>45758</v>
      </c>
      <c r="B3200" s="1" t="s">
        <v>3933</v>
      </c>
      <c r="C3200" t="s">
        <v>54</v>
      </c>
      <c r="D3200" s="22">
        <v>-1545.2</v>
      </c>
      <c r="E3200" t="s">
        <v>35</v>
      </c>
      <c r="F3200" s="2">
        <v>212901001</v>
      </c>
      <c r="G3200" s="2" t="s">
        <v>121</v>
      </c>
      <c r="L3200" s="2" t="s">
        <v>5716</v>
      </c>
      <c r="M3200" t="s">
        <v>67</v>
      </c>
      <c r="N3200" t="s">
        <v>68</v>
      </c>
      <c r="P3200" s="23">
        <v>77.260000000000005</v>
      </c>
      <c r="Q3200" s="4">
        <f t="shared" si="49"/>
        <v>-20</v>
      </c>
      <c r="R3200" s="23" t="s">
        <v>1198</v>
      </c>
    </row>
    <row r="3201" spans="1:20" x14ac:dyDescent="0.25">
      <c r="A3201" s="21">
        <v>45758</v>
      </c>
      <c r="B3201" s="1" t="s">
        <v>3927</v>
      </c>
      <c r="C3201" t="s">
        <v>54</v>
      </c>
      <c r="D3201" s="22">
        <v>-12163</v>
      </c>
      <c r="E3201" t="s">
        <v>35</v>
      </c>
      <c r="F3201" s="2">
        <v>210101001</v>
      </c>
      <c r="G3201" s="2" t="s">
        <v>36</v>
      </c>
      <c r="L3201" s="2" t="s">
        <v>5717</v>
      </c>
      <c r="M3201" t="s">
        <v>114</v>
      </c>
      <c r="N3201" t="s">
        <v>115</v>
      </c>
      <c r="P3201" s="23">
        <v>77.260000000000005</v>
      </c>
      <c r="Q3201" s="4">
        <f t="shared" si="49"/>
        <v>-157.42945896971264</v>
      </c>
      <c r="R3201" s="23" t="s">
        <v>1198</v>
      </c>
    </row>
    <row r="3202" spans="1:20" x14ac:dyDescent="0.25">
      <c r="A3202" s="21">
        <v>45758</v>
      </c>
      <c r="B3202" s="1" t="s">
        <v>3914</v>
      </c>
      <c r="C3202" t="s">
        <v>54</v>
      </c>
      <c r="D3202" s="22">
        <v>-3863</v>
      </c>
      <c r="E3202" t="s">
        <v>35</v>
      </c>
      <c r="F3202" s="2">
        <v>212901001</v>
      </c>
      <c r="G3202" s="2" t="s">
        <v>121</v>
      </c>
      <c r="L3202" s="2" t="s">
        <v>5718</v>
      </c>
      <c r="M3202" t="s">
        <v>67</v>
      </c>
      <c r="N3202" t="s">
        <v>68</v>
      </c>
      <c r="P3202" s="23">
        <v>77.260000000000005</v>
      </c>
      <c r="Q3202" s="4">
        <f t="shared" si="49"/>
        <v>-50</v>
      </c>
      <c r="R3202" s="23" t="s">
        <v>1198</v>
      </c>
    </row>
    <row r="3203" spans="1:20" x14ac:dyDescent="0.25">
      <c r="A3203" s="21">
        <v>45758</v>
      </c>
      <c r="B3203" s="1" t="s">
        <v>1217</v>
      </c>
      <c r="C3203" t="s">
        <v>54</v>
      </c>
      <c r="D3203" s="22">
        <v>-4635.6000000000004</v>
      </c>
      <c r="E3203" t="s">
        <v>35</v>
      </c>
      <c r="F3203" s="2">
        <v>212901001</v>
      </c>
      <c r="G3203" s="2" t="s">
        <v>121</v>
      </c>
      <c r="L3203" s="2" t="s">
        <v>5719</v>
      </c>
      <c r="M3203" t="s">
        <v>67</v>
      </c>
      <c r="N3203" t="s">
        <v>68</v>
      </c>
      <c r="P3203" s="23">
        <v>77.260000000000005</v>
      </c>
      <c r="Q3203" s="4">
        <f t="shared" si="49"/>
        <v>-60</v>
      </c>
      <c r="R3203" s="23" t="s">
        <v>1198</v>
      </c>
    </row>
    <row r="3204" spans="1:20" x14ac:dyDescent="0.25">
      <c r="A3204" s="21">
        <v>45758</v>
      </c>
      <c r="B3204" s="1" t="s">
        <v>3943</v>
      </c>
      <c r="C3204" t="s">
        <v>54</v>
      </c>
      <c r="D3204" s="22">
        <v>-1545.2</v>
      </c>
      <c r="E3204" t="s">
        <v>35</v>
      </c>
      <c r="F3204" s="2">
        <v>212901001</v>
      </c>
      <c r="G3204" s="2" t="s">
        <v>121</v>
      </c>
      <c r="L3204" s="2" t="s">
        <v>5720</v>
      </c>
      <c r="M3204" t="s">
        <v>67</v>
      </c>
      <c r="N3204" t="s">
        <v>68</v>
      </c>
      <c r="P3204" s="23">
        <v>77.260000000000005</v>
      </c>
      <c r="Q3204" s="4">
        <f t="shared" si="49"/>
        <v>-20</v>
      </c>
      <c r="R3204" s="23" t="s">
        <v>1198</v>
      </c>
    </row>
    <row r="3205" spans="1:20" x14ac:dyDescent="0.25">
      <c r="A3205" s="21">
        <v>45758</v>
      </c>
      <c r="B3205" s="1" t="s">
        <v>1217</v>
      </c>
      <c r="C3205" t="s">
        <v>54</v>
      </c>
      <c r="D3205" s="22">
        <v>-4326.5600000000004</v>
      </c>
      <c r="E3205" t="s">
        <v>35</v>
      </c>
      <c r="F3205" s="2">
        <v>212901001</v>
      </c>
      <c r="G3205" s="2" t="s">
        <v>121</v>
      </c>
      <c r="L3205" s="2" t="s">
        <v>5721</v>
      </c>
      <c r="M3205" t="s">
        <v>67</v>
      </c>
      <c r="N3205" t="s">
        <v>68</v>
      </c>
      <c r="P3205" s="23">
        <v>77.260000000000005</v>
      </c>
      <c r="Q3205" s="4">
        <f t="shared" si="49"/>
        <v>-56</v>
      </c>
      <c r="R3205" s="23" t="s">
        <v>1198</v>
      </c>
    </row>
    <row r="3206" spans="1:20" x14ac:dyDescent="0.25">
      <c r="A3206" s="32">
        <v>45758</v>
      </c>
      <c r="B3206" s="26" t="s">
        <v>1211</v>
      </c>
      <c r="C3206" s="27" t="s">
        <v>54</v>
      </c>
      <c r="D3206" s="28">
        <v>-9271.2000000000007</v>
      </c>
      <c r="E3206" s="27" t="s">
        <v>35</v>
      </c>
      <c r="F3206" s="29">
        <v>610129001</v>
      </c>
      <c r="G3206" s="29" t="s">
        <v>55</v>
      </c>
      <c r="H3206" s="107"/>
      <c r="I3206" s="101"/>
      <c r="J3206" s="101"/>
      <c r="K3206" s="29"/>
      <c r="L3206" s="2" t="s">
        <v>5722</v>
      </c>
      <c r="M3206" s="27" t="s">
        <v>57</v>
      </c>
      <c r="N3206" s="27" t="s">
        <v>58</v>
      </c>
      <c r="O3206" s="27" t="s">
        <v>59</v>
      </c>
      <c r="P3206" s="31">
        <v>77.260000000000005</v>
      </c>
      <c r="Q3206" s="4">
        <f t="shared" si="49"/>
        <v>-120</v>
      </c>
      <c r="R3206" s="23" t="s">
        <v>1198</v>
      </c>
      <c r="T3206" s="23" t="s">
        <v>5723</v>
      </c>
    </row>
    <row r="3207" spans="1:20" x14ac:dyDescent="0.25">
      <c r="A3207" s="21">
        <v>45758</v>
      </c>
      <c r="B3207" s="1" t="s">
        <v>1217</v>
      </c>
      <c r="C3207" t="s">
        <v>54</v>
      </c>
      <c r="D3207" s="22">
        <v>-5408.2</v>
      </c>
      <c r="E3207" t="s">
        <v>35</v>
      </c>
      <c r="F3207" s="2">
        <v>212901001</v>
      </c>
      <c r="G3207" s="2" t="s">
        <v>121</v>
      </c>
      <c r="L3207" s="2" t="s">
        <v>5724</v>
      </c>
      <c r="M3207" t="s">
        <v>67</v>
      </c>
      <c r="N3207" t="s">
        <v>68</v>
      </c>
      <c r="P3207" s="23">
        <v>77.260000000000005</v>
      </c>
      <c r="Q3207" s="4">
        <f t="shared" si="49"/>
        <v>-70</v>
      </c>
      <c r="R3207" s="23" t="s">
        <v>1198</v>
      </c>
    </row>
    <row r="3208" spans="1:20" x14ac:dyDescent="0.25">
      <c r="A3208" s="21">
        <v>45758</v>
      </c>
      <c r="B3208" s="1" t="s">
        <v>3952</v>
      </c>
      <c r="C3208" t="s">
        <v>54</v>
      </c>
      <c r="D3208" s="22">
        <v>-1545.2</v>
      </c>
      <c r="E3208" t="s">
        <v>35</v>
      </c>
      <c r="F3208" s="2">
        <v>212901001</v>
      </c>
      <c r="G3208" s="2" t="s">
        <v>121</v>
      </c>
      <c r="L3208" s="2" t="s">
        <v>5725</v>
      </c>
      <c r="M3208" t="s">
        <v>67</v>
      </c>
      <c r="N3208" t="s">
        <v>68</v>
      </c>
      <c r="P3208" s="23">
        <v>77.260000000000005</v>
      </c>
      <c r="Q3208" s="4">
        <f t="shared" si="49"/>
        <v>-20</v>
      </c>
      <c r="R3208" s="23" t="s">
        <v>1198</v>
      </c>
    </row>
    <row r="3209" spans="1:20" x14ac:dyDescent="0.25">
      <c r="A3209" s="21">
        <v>45758</v>
      </c>
      <c r="B3209" s="1" t="s">
        <v>1208</v>
      </c>
      <c r="C3209" t="s">
        <v>54</v>
      </c>
      <c r="D3209" s="22">
        <v>-429386.36</v>
      </c>
      <c r="E3209" t="s">
        <v>35</v>
      </c>
      <c r="F3209" s="2">
        <v>110114001</v>
      </c>
      <c r="G3209" s="2" t="s">
        <v>301</v>
      </c>
      <c r="L3209" s="2" t="s">
        <v>5726</v>
      </c>
      <c r="M3209" t="s">
        <v>38</v>
      </c>
      <c r="N3209" t="s">
        <v>39</v>
      </c>
      <c r="P3209" s="23">
        <v>77.260000000000005</v>
      </c>
      <c r="Q3209" s="4">
        <f t="shared" si="49"/>
        <v>-5557.6800414185864</v>
      </c>
      <c r="R3209" s="23" t="s">
        <v>1198</v>
      </c>
      <c r="S3209" s="33" t="s">
        <v>3147</v>
      </c>
    </row>
    <row r="3210" spans="1:20" x14ac:dyDescent="0.25">
      <c r="A3210" s="21">
        <v>45758</v>
      </c>
      <c r="B3210" s="1" t="s">
        <v>1217</v>
      </c>
      <c r="C3210" t="s">
        <v>54</v>
      </c>
      <c r="D3210" s="22">
        <v>-9321.2000000000007</v>
      </c>
      <c r="E3210" t="s">
        <v>35</v>
      </c>
      <c r="F3210" s="2">
        <v>210101001</v>
      </c>
      <c r="G3210" s="2" t="s">
        <v>36</v>
      </c>
      <c r="L3210" s="2" t="s">
        <v>5727</v>
      </c>
      <c r="M3210" t="s">
        <v>760</v>
      </c>
      <c r="N3210" t="s">
        <v>761</v>
      </c>
      <c r="P3210" s="23">
        <v>77.260000000000005</v>
      </c>
      <c r="Q3210" s="4">
        <f t="shared" si="49"/>
        <v>-120.6471654154802</v>
      </c>
      <c r="R3210" s="23" t="s">
        <v>1198</v>
      </c>
    </row>
    <row r="3211" spans="1:20" x14ac:dyDescent="0.25">
      <c r="A3211" s="21">
        <v>45758</v>
      </c>
      <c r="B3211" s="1" t="s">
        <v>1214</v>
      </c>
      <c r="C3211" t="s">
        <v>54</v>
      </c>
      <c r="D3211" s="22">
        <v>-4250.08</v>
      </c>
      <c r="E3211" t="s">
        <v>35</v>
      </c>
      <c r="F3211" s="2">
        <v>210101001</v>
      </c>
      <c r="G3211" s="2" t="s">
        <v>36</v>
      </c>
      <c r="L3211" s="2" t="s">
        <v>5728</v>
      </c>
      <c r="M3211" t="s">
        <v>725</v>
      </c>
      <c r="N3211" t="s">
        <v>726</v>
      </c>
      <c r="P3211" s="23">
        <v>77.260000000000005</v>
      </c>
      <c r="Q3211" s="4">
        <f t="shared" ref="Q3211:Q3274" si="50">D3211/P3211</f>
        <v>-55.010095780481485</v>
      </c>
      <c r="R3211" s="23" t="s">
        <v>1198</v>
      </c>
    </row>
    <row r="3212" spans="1:20" x14ac:dyDescent="0.25">
      <c r="A3212" s="21">
        <v>45758</v>
      </c>
      <c r="B3212" s="1" t="s">
        <v>1227</v>
      </c>
      <c r="C3212" t="s">
        <v>54</v>
      </c>
      <c r="D3212" s="22">
        <v>-23.17</v>
      </c>
      <c r="E3212" t="s">
        <v>35</v>
      </c>
      <c r="F3212" s="2">
        <v>610148001</v>
      </c>
      <c r="G3212" s="2" t="s">
        <v>42</v>
      </c>
      <c r="L3212" s="2" t="s">
        <v>5729</v>
      </c>
      <c r="M3212" t="s">
        <v>43</v>
      </c>
      <c r="N3212" t="s">
        <v>42</v>
      </c>
      <c r="P3212" s="23">
        <v>77.260000000000005</v>
      </c>
      <c r="Q3212" s="4">
        <f t="shared" si="50"/>
        <v>-0.29989645353352318</v>
      </c>
      <c r="R3212" s="23" t="s">
        <v>1198</v>
      </c>
      <c r="T3212" s="23" t="s">
        <v>4558</v>
      </c>
    </row>
    <row r="3213" spans="1:20" x14ac:dyDescent="0.25">
      <c r="A3213" s="21">
        <v>45758</v>
      </c>
      <c r="B3213" s="1" t="s">
        <v>1220</v>
      </c>
      <c r="C3213" t="s">
        <v>54</v>
      </c>
      <c r="D3213" s="22">
        <v>-13.52</v>
      </c>
      <c r="E3213" t="s">
        <v>35</v>
      </c>
      <c r="F3213" s="2">
        <v>610148001</v>
      </c>
      <c r="G3213" s="2" t="s">
        <v>42</v>
      </c>
      <c r="L3213" s="2" t="s">
        <v>5730</v>
      </c>
      <c r="M3213" t="s">
        <v>43</v>
      </c>
      <c r="N3213" t="s">
        <v>42</v>
      </c>
      <c r="P3213" s="23">
        <v>77.260000000000005</v>
      </c>
      <c r="Q3213" s="4">
        <f t="shared" si="50"/>
        <v>-0.17499352834584517</v>
      </c>
      <c r="R3213" s="23" t="s">
        <v>1198</v>
      </c>
      <c r="T3213" s="23" t="s">
        <v>4558</v>
      </c>
    </row>
    <row r="3214" spans="1:20" x14ac:dyDescent="0.25">
      <c r="A3214" s="21">
        <v>45758</v>
      </c>
      <c r="B3214" s="1" t="s">
        <v>1220</v>
      </c>
      <c r="C3214" t="s">
        <v>54</v>
      </c>
      <c r="D3214" s="22">
        <v>-9.65</v>
      </c>
      <c r="E3214" t="s">
        <v>35</v>
      </c>
      <c r="F3214" s="2">
        <v>610148001</v>
      </c>
      <c r="G3214" s="2" t="s">
        <v>42</v>
      </c>
      <c r="L3214" s="2" t="s">
        <v>5731</v>
      </c>
      <c r="M3214" t="s">
        <v>43</v>
      </c>
      <c r="N3214" t="s">
        <v>42</v>
      </c>
      <c r="P3214" s="23">
        <v>77.260000000000005</v>
      </c>
      <c r="Q3214" s="4">
        <f t="shared" si="50"/>
        <v>-0.12490292518767797</v>
      </c>
      <c r="R3214" s="23" t="s">
        <v>1198</v>
      </c>
      <c r="T3214" s="23" t="s">
        <v>4558</v>
      </c>
    </row>
    <row r="3215" spans="1:20" x14ac:dyDescent="0.25">
      <c r="A3215" s="21">
        <v>45758</v>
      </c>
      <c r="B3215" s="1" t="s">
        <v>1223</v>
      </c>
      <c r="C3215" t="s">
        <v>54</v>
      </c>
      <c r="D3215" s="22">
        <v>-1073.46</v>
      </c>
      <c r="E3215" t="s">
        <v>35</v>
      </c>
      <c r="F3215" s="2">
        <v>610148001</v>
      </c>
      <c r="G3215" s="2" t="s">
        <v>42</v>
      </c>
      <c r="L3215" s="2" t="s">
        <v>5732</v>
      </c>
      <c r="M3215" t="s">
        <v>43</v>
      </c>
      <c r="N3215" t="s">
        <v>42</v>
      </c>
      <c r="P3215" s="23">
        <v>77.260000000000005</v>
      </c>
      <c r="Q3215" s="4">
        <f t="shared" si="50"/>
        <v>-13.894123738027439</v>
      </c>
      <c r="R3215" s="23" t="s">
        <v>1198</v>
      </c>
      <c r="T3215" s="23" t="s">
        <v>4558</v>
      </c>
    </row>
    <row r="3216" spans="1:20" x14ac:dyDescent="0.25">
      <c r="A3216" s="21">
        <v>45758</v>
      </c>
      <c r="B3216" s="1" t="s">
        <v>3960</v>
      </c>
      <c r="C3216" t="s">
        <v>54</v>
      </c>
      <c r="D3216" s="22">
        <v>-30.4</v>
      </c>
      <c r="E3216" t="s">
        <v>35</v>
      </c>
      <c r="F3216" s="2">
        <v>610148001</v>
      </c>
      <c r="G3216" s="2" t="s">
        <v>42</v>
      </c>
      <c r="L3216" s="2" t="s">
        <v>5733</v>
      </c>
      <c r="M3216" t="s">
        <v>43</v>
      </c>
      <c r="N3216" t="s">
        <v>42</v>
      </c>
      <c r="P3216" s="23">
        <v>77.260000000000005</v>
      </c>
      <c r="Q3216" s="4">
        <f t="shared" si="50"/>
        <v>-0.39347657261195956</v>
      </c>
      <c r="R3216" s="23" t="s">
        <v>1198</v>
      </c>
      <c r="T3216" s="23" t="s">
        <v>4558</v>
      </c>
    </row>
    <row r="3217" spans="1:20" x14ac:dyDescent="0.25">
      <c r="A3217" s="21">
        <v>45758</v>
      </c>
      <c r="B3217" s="1" t="s">
        <v>3977</v>
      </c>
      <c r="C3217" t="s">
        <v>54</v>
      </c>
      <c r="D3217" s="22">
        <v>-3.86</v>
      </c>
      <c r="E3217" t="s">
        <v>35</v>
      </c>
      <c r="F3217" s="2">
        <v>610148001</v>
      </c>
      <c r="G3217" s="2" t="s">
        <v>42</v>
      </c>
      <c r="L3217" s="2" t="s">
        <v>5734</v>
      </c>
      <c r="M3217" t="s">
        <v>43</v>
      </c>
      <c r="N3217" t="s">
        <v>42</v>
      </c>
      <c r="P3217" s="23">
        <v>77.260000000000005</v>
      </c>
      <c r="Q3217" s="4">
        <f t="shared" si="50"/>
        <v>-4.9961170075071185E-2</v>
      </c>
      <c r="R3217" s="23" t="s">
        <v>1198</v>
      </c>
      <c r="T3217" s="23" t="s">
        <v>4558</v>
      </c>
    </row>
    <row r="3218" spans="1:20" x14ac:dyDescent="0.25">
      <c r="A3218" s="21">
        <v>45758</v>
      </c>
      <c r="B3218" s="1" t="s">
        <v>3962</v>
      </c>
      <c r="C3218" t="s">
        <v>54</v>
      </c>
      <c r="D3218" s="22">
        <v>-9.65</v>
      </c>
      <c r="E3218" t="s">
        <v>35</v>
      </c>
      <c r="F3218" s="2">
        <v>610148001</v>
      </c>
      <c r="G3218" s="2" t="s">
        <v>42</v>
      </c>
      <c r="L3218" s="2" t="s">
        <v>5735</v>
      </c>
      <c r="M3218" t="s">
        <v>43</v>
      </c>
      <c r="N3218" t="s">
        <v>42</v>
      </c>
      <c r="P3218" s="23">
        <v>77.260000000000005</v>
      </c>
      <c r="Q3218" s="4">
        <f t="shared" si="50"/>
        <v>-0.12490292518767797</v>
      </c>
      <c r="R3218" s="23" t="s">
        <v>1198</v>
      </c>
      <c r="T3218" s="23" t="s">
        <v>4558</v>
      </c>
    </row>
    <row r="3219" spans="1:20" x14ac:dyDescent="0.25">
      <c r="A3219" s="21">
        <v>45758</v>
      </c>
      <c r="B3219" s="1" t="s">
        <v>3967</v>
      </c>
      <c r="C3219" t="s">
        <v>54</v>
      </c>
      <c r="D3219" s="22">
        <v>-3.86</v>
      </c>
      <c r="E3219" t="s">
        <v>35</v>
      </c>
      <c r="F3219" s="2">
        <v>610148001</v>
      </c>
      <c r="G3219" s="2" t="s">
        <v>42</v>
      </c>
      <c r="L3219" s="2" t="s">
        <v>5736</v>
      </c>
      <c r="M3219" t="s">
        <v>43</v>
      </c>
      <c r="N3219" t="s">
        <v>42</v>
      </c>
      <c r="P3219" s="23">
        <v>77.260000000000005</v>
      </c>
      <c r="Q3219" s="4">
        <f t="shared" si="50"/>
        <v>-4.9961170075071185E-2</v>
      </c>
      <c r="R3219" s="23" t="s">
        <v>1198</v>
      </c>
      <c r="T3219" s="23" t="s">
        <v>4558</v>
      </c>
    </row>
    <row r="3220" spans="1:20" x14ac:dyDescent="0.25">
      <c r="A3220" s="21">
        <v>45758</v>
      </c>
      <c r="B3220" s="1" t="s">
        <v>1225</v>
      </c>
      <c r="C3220" t="s">
        <v>54</v>
      </c>
      <c r="D3220" s="22">
        <v>-10.62</v>
      </c>
      <c r="E3220" t="s">
        <v>35</v>
      </c>
      <c r="F3220" s="2">
        <v>610148001</v>
      </c>
      <c r="G3220" s="2" t="s">
        <v>42</v>
      </c>
      <c r="L3220" s="2" t="s">
        <v>5737</v>
      </c>
      <c r="M3220" t="s">
        <v>43</v>
      </c>
      <c r="N3220" t="s">
        <v>42</v>
      </c>
      <c r="P3220" s="23">
        <v>77.260000000000005</v>
      </c>
      <c r="Q3220" s="4">
        <f t="shared" si="50"/>
        <v>-0.13745793424799377</v>
      </c>
      <c r="R3220" s="23" t="s">
        <v>1198</v>
      </c>
      <c r="T3220" s="23" t="s">
        <v>4558</v>
      </c>
    </row>
    <row r="3221" spans="1:20" x14ac:dyDescent="0.25">
      <c r="A3221" s="21">
        <v>45758</v>
      </c>
      <c r="B3221" s="1" t="s">
        <v>3958</v>
      </c>
      <c r="C3221" t="s">
        <v>54</v>
      </c>
      <c r="D3221" s="22">
        <v>-3.86</v>
      </c>
      <c r="E3221" t="s">
        <v>35</v>
      </c>
      <c r="F3221" s="2">
        <v>610148001</v>
      </c>
      <c r="G3221" s="2" t="s">
        <v>42</v>
      </c>
      <c r="L3221" s="2" t="s">
        <v>5738</v>
      </c>
      <c r="M3221" t="s">
        <v>43</v>
      </c>
      <c r="N3221" t="s">
        <v>42</v>
      </c>
      <c r="P3221" s="23">
        <v>77.260000000000005</v>
      </c>
      <c r="Q3221" s="4">
        <f t="shared" si="50"/>
        <v>-4.9961170075071185E-2</v>
      </c>
      <c r="R3221" s="23" t="s">
        <v>1198</v>
      </c>
      <c r="T3221" s="23" t="s">
        <v>4558</v>
      </c>
    </row>
    <row r="3222" spans="1:20" x14ac:dyDescent="0.25">
      <c r="A3222" s="21">
        <v>45758</v>
      </c>
      <c r="B3222" s="1" t="s">
        <v>1220</v>
      </c>
      <c r="C3222" t="s">
        <v>54</v>
      </c>
      <c r="D3222" s="22">
        <v>-23.3</v>
      </c>
      <c r="E3222" t="s">
        <v>35</v>
      </c>
      <c r="F3222" s="2">
        <v>610148001</v>
      </c>
      <c r="G3222" s="2" t="s">
        <v>42</v>
      </c>
      <c r="L3222" s="2" t="s">
        <v>5739</v>
      </c>
      <c r="M3222" t="s">
        <v>43</v>
      </c>
      <c r="N3222" t="s">
        <v>42</v>
      </c>
      <c r="P3222" s="23">
        <v>77.260000000000005</v>
      </c>
      <c r="Q3222" s="4">
        <f t="shared" si="50"/>
        <v>-0.30157908361377167</v>
      </c>
      <c r="R3222" s="23" t="s">
        <v>1198</v>
      </c>
      <c r="T3222" s="23" t="s">
        <v>4558</v>
      </c>
    </row>
    <row r="3223" spans="1:20" x14ac:dyDescent="0.25">
      <c r="A3223" s="21">
        <v>45758</v>
      </c>
      <c r="B3223" s="1" t="s">
        <v>1220</v>
      </c>
      <c r="C3223" t="s">
        <v>54</v>
      </c>
      <c r="D3223" s="22">
        <v>-11.58</v>
      </c>
      <c r="E3223" t="s">
        <v>35</v>
      </c>
      <c r="F3223" s="2">
        <v>610148001</v>
      </c>
      <c r="G3223" s="2" t="s">
        <v>42</v>
      </c>
      <c r="L3223" s="2" t="s">
        <v>5740</v>
      </c>
      <c r="M3223" t="s">
        <v>43</v>
      </c>
      <c r="N3223" t="s">
        <v>42</v>
      </c>
      <c r="P3223" s="23">
        <v>77.260000000000005</v>
      </c>
      <c r="Q3223" s="4">
        <f t="shared" si="50"/>
        <v>-0.14988351022521357</v>
      </c>
      <c r="R3223" s="23" t="s">
        <v>1198</v>
      </c>
      <c r="T3223" s="23" t="s">
        <v>4558</v>
      </c>
    </row>
    <row r="3224" spans="1:20" x14ac:dyDescent="0.25">
      <c r="A3224" s="21">
        <v>45758</v>
      </c>
      <c r="B3224" s="1" t="s">
        <v>1220</v>
      </c>
      <c r="C3224" t="s">
        <v>54</v>
      </c>
      <c r="D3224" s="22">
        <v>-10.81</v>
      </c>
      <c r="E3224" t="s">
        <v>35</v>
      </c>
      <c r="F3224" s="2">
        <v>610148001</v>
      </c>
      <c r="G3224" s="2" t="s">
        <v>42</v>
      </c>
      <c r="L3224" s="2" t="s">
        <v>5741</v>
      </c>
      <c r="M3224" t="s">
        <v>43</v>
      </c>
      <c r="N3224" t="s">
        <v>42</v>
      </c>
      <c r="P3224" s="23">
        <v>77.260000000000005</v>
      </c>
      <c r="Q3224" s="4">
        <f t="shared" si="50"/>
        <v>-0.13991716282681854</v>
      </c>
      <c r="R3224" s="23" t="s">
        <v>1198</v>
      </c>
      <c r="T3224" s="23" t="s">
        <v>4558</v>
      </c>
    </row>
    <row r="3225" spans="1:20" x14ac:dyDescent="0.25">
      <c r="A3225" s="21">
        <v>45761</v>
      </c>
      <c r="B3225" s="1" t="s">
        <v>5742</v>
      </c>
      <c r="C3225" t="s">
        <v>54</v>
      </c>
      <c r="D3225" s="22">
        <v>23269.79</v>
      </c>
      <c r="E3225" t="s">
        <v>46</v>
      </c>
      <c r="F3225" s="2">
        <v>110106001</v>
      </c>
      <c r="G3225" s="2" t="s">
        <v>2034</v>
      </c>
      <c r="L3225" s="2" t="s">
        <v>5743</v>
      </c>
      <c r="N3225" t="s">
        <v>3330</v>
      </c>
      <c r="P3225" s="23">
        <v>78.36</v>
      </c>
      <c r="Q3225" s="4">
        <f t="shared" si="50"/>
        <v>296.96005615109749</v>
      </c>
      <c r="R3225" s="23" t="s">
        <v>1198</v>
      </c>
    </row>
    <row r="3226" spans="1:20" x14ac:dyDescent="0.25">
      <c r="A3226" s="21">
        <v>45761</v>
      </c>
      <c r="B3226" s="1" t="s">
        <v>1211</v>
      </c>
      <c r="C3226" t="s">
        <v>54</v>
      </c>
      <c r="D3226" s="22">
        <v>-41091.15</v>
      </c>
      <c r="E3226" t="s">
        <v>35</v>
      </c>
      <c r="F3226" s="2">
        <v>210101001</v>
      </c>
      <c r="G3226" s="2" t="s">
        <v>36</v>
      </c>
      <c r="L3226" s="2" t="s">
        <v>5744</v>
      </c>
      <c r="M3226" t="s">
        <v>38</v>
      </c>
      <c r="N3226" t="s">
        <v>39</v>
      </c>
      <c r="P3226" s="23">
        <v>78.36</v>
      </c>
      <c r="Q3226" s="4">
        <f t="shared" si="50"/>
        <v>-524.38935681470139</v>
      </c>
      <c r="R3226" s="23" t="s">
        <v>1198</v>
      </c>
    </row>
    <row r="3227" spans="1:20" x14ac:dyDescent="0.25">
      <c r="A3227" s="32">
        <v>45761</v>
      </c>
      <c r="B3227" s="26" t="s">
        <v>1208</v>
      </c>
      <c r="C3227" s="68" t="s">
        <v>5745</v>
      </c>
      <c r="D3227" s="28">
        <v>-3134.4</v>
      </c>
      <c r="E3227" s="27" t="s">
        <v>35</v>
      </c>
      <c r="F3227" s="29">
        <v>610125001</v>
      </c>
      <c r="G3227" s="29" t="s">
        <v>5746</v>
      </c>
      <c r="H3227" s="107"/>
      <c r="I3227" s="101"/>
      <c r="J3227" s="101"/>
      <c r="K3227" s="29"/>
      <c r="L3227" s="2" t="s">
        <v>5747</v>
      </c>
      <c r="M3227" s="27" t="s">
        <v>772</v>
      </c>
      <c r="N3227" s="27" t="s">
        <v>773</v>
      </c>
      <c r="O3227" s="27" t="s">
        <v>59</v>
      </c>
      <c r="P3227" s="31">
        <v>78.36</v>
      </c>
      <c r="Q3227" s="4">
        <f t="shared" si="50"/>
        <v>-40</v>
      </c>
      <c r="R3227" s="23" t="s">
        <v>1198</v>
      </c>
      <c r="S3227" s="3"/>
      <c r="T3227" s="23" t="s">
        <v>5748</v>
      </c>
    </row>
    <row r="3228" spans="1:20" x14ac:dyDescent="0.25">
      <c r="A3228" s="21">
        <v>45761</v>
      </c>
      <c r="B3228" s="1" t="s">
        <v>1223</v>
      </c>
      <c r="C3228" t="s">
        <v>54</v>
      </c>
      <c r="D3228" s="22">
        <v>-7.83</v>
      </c>
      <c r="E3228" t="s">
        <v>35</v>
      </c>
      <c r="F3228" s="2">
        <v>610148001</v>
      </c>
      <c r="G3228" s="2" t="s">
        <v>42</v>
      </c>
      <c r="L3228" s="2" t="s">
        <v>5749</v>
      </c>
      <c r="M3228" t="s">
        <v>43</v>
      </c>
      <c r="N3228" t="s">
        <v>42</v>
      </c>
      <c r="P3228" s="23">
        <v>78.36</v>
      </c>
      <c r="Q3228" s="4">
        <f t="shared" si="50"/>
        <v>-9.9923430321592649E-2</v>
      </c>
      <c r="R3228" s="23" t="s">
        <v>1198</v>
      </c>
      <c r="T3228" s="23" t="s">
        <v>4558</v>
      </c>
    </row>
    <row r="3229" spans="1:20" x14ac:dyDescent="0.25">
      <c r="A3229" s="21">
        <v>45761</v>
      </c>
      <c r="B3229" s="1" t="s">
        <v>1227</v>
      </c>
      <c r="C3229" t="s">
        <v>54</v>
      </c>
      <c r="D3229" s="22">
        <v>-102.72</v>
      </c>
      <c r="E3229" t="s">
        <v>35</v>
      </c>
      <c r="F3229" s="2">
        <v>610148001</v>
      </c>
      <c r="G3229" s="2" t="s">
        <v>42</v>
      </c>
      <c r="L3229" s="2" t="s">
        <v>5750</v>
      </c>
      <c r="M3229" t="s">
        <v>43</v>
      </c>
      <c r="N3229" t="s">
        <v>42</v>
      </c>
      <c r="P3229" s="23">
        <v>78.36</v>
      </c>
      <c r="Q3229" s="4">
        <f t="shared" si="50"/>
        <v>-1.3108728943338437</v>
      </c>
      <c r="R3229" s="23" t="s">
        <v>1198</v>
      </c>
      <c r="T3229" s="23" t="s">
        <v>4558</v>
      </c>
    </row>
    <row r="3230" spans="1:20" x14ac:dyDescent="0.25">
      <c r="A3230" s="21">
        <v>45761</v>
      </c>
      <c r="B3230" s="1" t="s">
        <v>5751</v>
      </c>
      <c r="C3230" t="s">
        <v>54</v>
      </c>
      <c r="D3230" s="22">
        <v>20000</v>
      </c>
      <c r="E3230" t="s">
        <v>46</v>
      </c>
      <c r="F3230" s="2">
        <v>210115002</v>
      </c>
      <c r="G3230" s="2" t="s">
        <v>47</v>
      </c>
      <c r="L3230" s="2" t="s">
        <v>5752</v>
      </c>
      <c r="N3230" t="s">
        <v>544</v>
      </c>
      <c r="P3230" s="23">
        <v>78.36</v>
      </c>
      <c r="Q3230" s="4">
        <f t="shared" si="50"/>
        <v>255.23226135783563</v>
      </c>
      <c r="R3230" s="23" t="s">
        <v>1198</v>
      </c>
    </row>
    <row r="3231" spans="1:20" x14ac:dyDescent="0.25">
      <c r="A3231" s="21">
        <v>45761</v>
      </c>
      <c r="B3231" s="1" t="s">
        <v>1211</v>
      </c>
      <c r="C3231" t="s">
        <v>54</v>
      </c>
      <c r="D3231" s="22">
        <v>-5691.01</v>
      </c>
      <c r="E3231" t="s">
        <v>35</v>
      </c>
      <c r="F3231" s="2">
        <v>210101001</v>
      </c>
      <c r="G3231" s="2" t="s">
        <v>36</v>
      </c>
      <c r="L3231" s="2" t="s">
        <v>5753</v>
      </c>
      <c r="M3231" t="s">
        <v>1186</v>
      </c>
      <c r="N3231" t="s">
        <v>1187</v>
      </c>
      <c r="P3231" s="23">
        <v>78.36</v>
      </c>
      <c r="Q3231" s="4">
        <f t="shared" si="50"/>
        <v>-72.626467585502809</v>
      </c>
      <c r="R3231" s="23" t="s">
        <v>1198</v>
      </c>
    </row>
    <row r="3232" spans="1:20" x14ac:dyDescent="0.25">
      <c r="A3232" s="21">
        <v>45761</v>
      </c>
      <c r="B3232" s="1" t="s">
        <v>1208</v>
      </c>
      <c r="C3232" t="s">
        <v>54</v>
      </c>
      <c r="D3232" s="22">
        <v>-11811.51</v>
      </c>
      <c r="E3232" t="s">
        <v>35</v>
      </c>
      <c r="F3232" s="2">
        <v>210101001</v>
      </c>
      <c r="G3232" s="2" t="s">
        <v>36</v>
      </c>
      <c r="L3232" s="2" t="s">
        <v>5754</v>
      </c>
      <c r="M3232" t="s">
        <v>2635</v>
      </c>
      <c r="N3232" t="s">
        <v>2636</v>
      </c>
      <c r="P3232" s="23">
        <v>78.36</v>
      </c>
      <c r="Q3232" s="4">
        <f t="shared" si="50"/>
        <v>-150.73392036753447</v>
      </c>
      <c r="R3232" s="23" t="s">
        <v>1198</v>
      </c>
    </row>
    <row r="3233" spans="1:20" x14ac:dyDescent="0.25">
      <c r="A3233" s="21">
        <v>45761</v>
      </c>
      <c r="B3233" s="1" t="s">
        <v>1227</v>
      </c>
      <c r="C3233" t="s">
        <v>54</v>
      </c>
      <c r="D3233" s="22">
        <v>-14.22</v>
      </c>
      <c r="E3233" t="s">
        <v>35</v>
      </c>
      <c r="F3233" s="2">
        <v>610148001</v>
      </c>
      <c r="G3233" s="2" t="s">
        <v>42</v>
      </c>
      <c r="L3233" s="2" t="s">
        <v>5755</v>
      </c>
      <c r="M3233" t="s">
        <v>43</v>
      </c>
      <c r="N3233" t="s">
        <v>42</v>
      </c>
      <c r="P3233" s="23">
        <v>78.36</v>
      </c>
      <c r="Q3233" s="4">
        <f t="shared" si="50"/>
        <v>-0.18147013782542115</v>
      </c>
      <c r="R3233" s="23" t="s">
        <v>1198</v>
      </c>
      <c r="T3233" s="23" t="s">
        <v>4558</v>
      </c>
    </row>
    <row r="3234" spans="1:20" x14ac:dyDescent="0.25">
      <c r="A3234" s="21">
        <v>45761</v>
      </c>
      <c r="B3234" s="1" t="s">
        <v>1223</v>
      </c>
      <c r="C3234" t="s">
        <v>54</v>
      </c>
      <c r="D3234" s="22">
        <v>-29.52</v>
      </c>
      <c r="E3234" t="s">
        <v>35</v>
      </c>
      <c r="F3234" s="2">
        <v>610148001</v>
      </c>
      <c r="G3234" s="2" t="s">
        <v>42</v>
      </c>
      <c r="L3234" s="2" t="s">
        <v>5756</v>
      </c>
      <c r="M3234" t="s">
        <v>43</v>
      </c>
      <c r="N3234" t="s">
        <v>42</v>
      </c>
      <c r="P3234" s="23">
        <v>78.36</v>
      </c>
      <c r="Q3234" s="4">
        <f t="shared" si="50"/>
        <v>-0.37672281776416539</v>
      </c>
      <c r="R3234" s="23" t="s">
        <v>1198</v>
      </c>
      <c r="T3234" s="23" t="s">
        <v>4558</v>
      </c>
    </row>
    <row r="3235" spans="1:20" x14ac:dyDescent="0.25">
      <c r="A3235" s="21">
        <v>45769</v>
      </c>
      <c r="B3235" s="1" t="s">
        <v>5757</v>
      </c>
      <c r="C3235" t="s">
        <v>54</v>
      </c>
      <c r="D3235" s="22">
        <v>5588.65</v>
      </c>
      <c r="E3235" t="s">
        <v>46</v>
      </c>
      <c r="F3235" s="2">
        <v>110114001</v>
      </c>
      <c r="G3235" s="2" t="s">
        <v>301</v>
      </c>
      <c r="L3235" s="2" t="s">
        <v>5758</v>
      </c>
      <c r="N3235" t="s">
        <v>5759</v>
      </c>
      <c r="P3235" s="23">
        <v>81.760000000000005</v>
      </c>
      <c r="Q3235" s="4">
        <f t="shared" si="50"/>
        <v>68.354329745596857</v>
      </c>
      <c r="R3235" s="23" t="s">
        <v>1198</v>
      </c>
    </row>
    <row r="3236" spans="1:20" x14ac:dyDescent="0.25">
      <c r="A3236" s="21">
        <v>45771</v>
      </c>
      <c r="B3236" s="1" t="s">
        <v>5760</v>
      </c>
      <c r="C3236" t="s">
        <v>54</v>
      </c>
      <c r="D3236" s="22">
        <v>598000</v>
      </c>
      <c r="E3236" t="s">
        <v>46</v>
      </c>
      <c r="F3236" s="2">
        <v>210115002</v>
      </c>
      <c r="G3236" s="2" t="s">
        <v>47</v>
      </c>
      <c r="L3236" s="2" t="s">
        <v>5761</v>
      </c>
      <c r="N3236" t="s">
        <v>544</v>
      </c>
      <c r="P3236" s="23">
        <v>83.42</v>
      </c>
      <c r="Q3236" s="4">
        <f t="shared" si="50"/>
        <v>7168.5447134979622</v>
      </c>
      <c r="R3236" s="23" t="s">
        <v>1198</v>
      </c>
    </row>
    <row r="3237" spans="1:20" x14ac:dyDescent="0.25">
      <c r="A3237" s="21">
        <v>45771</v>
      </c>
      <c r="B3237" s="1" t="s">
        <v>5762</v>
      </c>
      <c r="C3237" t="s">
        <v>54</v>
      </c>
      <c r="D3237" s="22">
        <v>190000</v>
      </c>
      <c r="E3237" t="s">
        <v>46</v>
      </c>
      <c r="F3237" s="2">
        <v>210115002</v>
      </c>
      <c r="G3237" s="2" t="s">
        <v>47</v>
      </c>
      <c r="L3237" s="2" t="s">
        <v>5763</v>
      </c>
      <c r="N3237" t="s">
        <v>544</v>
      </c>
      <c r="P3237" s="23">
        <v>83.42</v>
      </c>
      <c r="Q3237" s="4">
        <f t="shared" si="50"/>
        <v>2277.6312634859746</v>
      </c>
      <c r="R3237" s="23" t="s">
        <v>1198</v>
      </c>
    </row>
    <row r="3238" spans="1:20" x14ac:dyDescent="0.25">
      <c r="A3238" s="21">
        <v>45771</v>
      </c>
      <c r="B3238" s="1" t="s">
        <v>5764</v>
      </c>
      <c r="C3238" t="s">
        <v>54</v>
      </c>
      <c r="D3238" s="22">
        <v>50000</v>
      </c>
      <c r="E3238" t="s">
        <v>46</v>
      </c>
      <c r="F3238" s="2">
        <v>210115002</v>
      </c>
      <c r="G3238" s="2" t="s">
        <v>47</v>
      </c>
      <c r="L3238" s="2" t="s">
        <v>5765</v>
      </c>
      <c r="N3238" t="s">
        <v>107</v>
      </c>
      <c r="P3238" s="23">
        <v>83.42</v>
      </c>
      <c r="Q3238" s="4">
        <f t="shared" si="50"/>
        <v>599.37664828578272</v>
      </c>
      <c r="R3238" s="23" t="s">
        <v>1198</v>
      </c>
    </row>
    <row r="3239" spans="1:20" x14ac:dyDescent="0.25">
      <c r="A3239" s="21">
        <v>45771</v>
      </c>
      <c r="B3239" s="1" t="s">
        <v>2573</v>
      </c>
      <c r="C3239" t="s">
        <v>54</v>
      </c>
      <c r="D3239" s="22">
        <v>-200000</v>
      </c>
      <c r="E3239" t="s">
        <v>35</v>
      </c>
      <c r="F3239" s="2">
        <v>110114001</v>
      </c>
      <c r="G3239" s="2" t="s">
        <v>301</v>
      </c>
      <c r="L3239" s="2" t="s">
        <v>5766</v>
      </c>
      <c r="M3239" t="s">
        <v>38</v>
      </c>
      <c r="N3239" t="s">
        <v>39</v>
      </c>
      <c r="P3239" s="23">
        <v>83.42</v>
      </c>
      <c r="Q3239" s="4">
        <f t="shared" si="50"/>
        <v>-2397.5065931431309</v>
      </c>
      <c r="R3239" s="23" t="s">
        <v>1198</v>
      </c>
      <c r="S3239" s="33" t="s">
        <v>3147</v>
      </c>
    </row>
    <row r="3240" spans="1:20" x14ac:dyDescent="0.25">
      <c r="A3240" s="21">
        <v>45771</v>
      </c>
      <c r="B3240" s="1" t="s">
        <v>3952</v>
      </c>
      <c r="C3240" t="s">
        <v>54</v>
      </c>
      <c r="D3240" s="22">
        <v>-200000</v>
      </c>
      <c r="E3240" t="s">
        <v>35</v>
      </c>
      <c r="F3240" s="2">
        <v>110114001</v>
      </c>
      <c r="G3240" s="2" t="s">
        <v>301</v>
      </c>
      <c r="L3240" s="2" t="s">
        <v>5767</v>
      </c>
      <c r="M3240" t="s">
        <v>38</v>
      </c>
      <c r="N3240" t="s">
        <v>39</v>
      </c>
      <c r="P3240" s="23">
        <v>83.42</v>
      </c>
      <c r="Q3240" s="4">
        <f t="shared" si="50"/>
        <v>-2397.5065931431309</v>
      </c>
      <c r="R3240" s="23" t="s">
        <v>1198</v>
      </c>
      <c r="S3240" s="33" t="s">
        <v>3147</v>
      </c>
    </row>
    <row r="3241" spans="1:20" x14ac:dyDescent="0.25">
      <c r="A3241" s="21">
        <v>45771</v>
      </c>
      <c r="B3241" s="1" t="s">
        <v>1211</v>
      </c>
      <c r="C3241" t="s">
        <v>54</v>
      </c>
      <c r="D3241" s="22">
        <v>-4171</v>
      </c>
      <c r="E3241" t="s">
        <v>35</v>
      </c>
      <c r="F3241" s="2">
        <v>110114001</v>
      </c>
      <c r="G3241" s="2" t="s">
        <v>301</v>
      </c>
      <c r="L3241" s="2" t="s">
        <v>5768</v>
      </c>
      <c r="M3241" t="s">
        <v>38</v>
      </c>
      <c r="N3241" t="s">
        <v>39</v>
      </c>
      <c r="P3241" s="23">
        <v>83.42</v>
      </c>
      <c r="Q3241" s="4">
        <f t="shared" si="50"/>
        <v>-50</v>
      </c>
      <c r="R3241" s="23" t="s">
        <v>1198</v>
      </c>
      <c r="S3241" s="33" t="s">
        <v>3147</v>
      </c>
    </row>
    <row r="3242" spans="1:20" x14ac:dyDescent="0.25">
      <c r="A3242" s="21">
        <v>45771</v>
      </c>
      <c r="B3242" s="1" t="s">
        <v>1208</v>
      </c>
      <c r="C3242" t="s">
        <v>54</v>
      </c>
      <c r="D3242" s="22">
        <v>-106985.58</v>
      </c>
      <c r="E3242" t="s">
        <v>35</v>
      </c>
      <c r="F3242" s="2">
        <v>110114001</v>
      </c>
      <c r="G3242" s="2" t="s">
        <v>301</v>
      </c>
      <c r="L3242" s="2" t="s">
        <v>5769</v>
      </c>
      <c r="M3242" t="s">
        <v>5770</v>
      </c>
      <c r="N3242" t="s">
        <v>5771</v>
      </c>
      <c r="P3242" s="23">
        <v>83.42</v>
      </c>
      <c r="Q3242" s="4">
        <f t="shared" si="50"/>
        <v>-1282.4931671062095</v>
      </c>
      <c r="R3242" s="23" t="s">
        <v>1198</v>
      </c>
      <c r="S3242" s="33" t="s">
        <v>3147</v>
      </c>
    </row>
    <row r="3243" spans="1:20" x14ac:dyDescent="0.25">
      <c r="A3243" s="21">
        <v>45771</v>
      </c>
      <c r="B3243" s="1" t="s">
        <v>3924</v>
      </c>
      <c r="C3243" t="s">
        <v>54</v>
      </c>
      <c r="D3243" s="22">
        <v>-30305.93</v>
      </c>
      <c r="E3243" t="s">
        <v>35</v>
      </c>
      <c r="F3243" s="2">
        <v>110114001</v>
      </c>
      <c r="G3243" s="2" t="s">
        <v>301</v>
      </c>
      <c r="L3243" s="2" t="s">
        <v>5772</v>
      </c>
      <c r="M3243" t="s">
        <v>38</v>
      </c>
      <c r="N3243" t="s">
        <v>39</v>
      </c>
      <c r="P3243" s="23">
        <v>83.42</v>
      </c>
      <c r="Q3243" s="4">
        <f t="shared" si="50"/>
        <v>-363.29333493167104</v>
      </c>
      <c r="R3243" s="23" t="s">
        <v>1198</v>
      </c>
      <c r="S3243" s="33" t="s">
        <v>3147</v>
      </c>
    </row>
    <row r="3244" spans="1:20" x14ac:dyDescent="0.25">
      <c r="A3244" s="21">
        <v>45771</v>
      </c>
      <c r="B3244" s="1" t="s">
        <v>1217</v>
      </c>
      <c r="C3244" t="s">
        <v>54</v>
      </c>
      <c r="D3244" s="22">
        <v>-382.24</v>
      </c>
      <c r="E3244" t="s">
        <v>35</v>
      </c>
      <c r="F3244" s="2">
        <v>110114001</v>
      </c>
      <c r="G3244" s="2" t="s">
        <v>301</v>
      </c>
      <c r="L3244" s="2" t="s">
        <v>5773</v>
      </c>
      <c r="M3244" t="s">
        <v>5774</v>
      </c>
      <c r="N3244" t="s">
        <v>726</v>
      </c>
      <c r="P3244" s="23">
        <v>83.42</v>
      </c>
      <c r="Q3244" s="4">
        <f t="shared" si="50"/>
        <v>-4.5821146008151521</v>
      </c>
      <c r="R3244" s="23" t="s">
        <v>1198</v>
      </c>
      <c r="S3244" s="33" t="s">
        <v>3147</v>
      </c>
    </row>
    <row r="3245" spans="1:20" x14ac:dyDescent="0.25">
      <c r="A3245" s="21">
        <v>45771</v>
      </c>
      <c r="B3245" s="1" t="s">
        <v>3930</v>
      </c>
      <c r="C3245" t="s">
        <v>54</v>
      </c>
      <c r="D3245" s="22">
        <v>-48577.13</v>
      </c>
      <c r="E3245" t="s">
        <v>35</v>
      </c>
      <c r="F3245" s="2">
        <v>110114001</v>
      </c>
      <c r="G3245" s="2" t="s">
        <v>301</v>
      </c>
      <c r="L3245" s="2" t="s">
        <v>5775</v>
      </c>
      <c r="M3245" t="s">
        <v>1866</v>
      </c>
      <c r="N3245" t="s">
        <v>1867</v>
      </c>
      <c r="P3245" s="23">
        <v>83.42</v>
      </c>
      <c r="Q3245" s="4">
        <f t="shared" si="50"/>
        <v>-582.31994725485492</v>
      </c>
      <c r="R3245" s="23" t="s">
        <v>1198</v>
      </c>
      <c r="S3245" s="33" t="s">
        <v>3147</v>
      </c>
    </row>
    <row r="3246" spans="1:20" x14ac:dyDescent="0.25">
      <c r="A3246" s="21">
        <v>45771</v>
      </c>
      <c r="B3246" s="1" t="s">
        <v>2571</v>
      </c>
      <c r="C3246" t="s">
        <v>54</v>
      </c>
      <c r="D3246" s="22">
        <v>-200000</v>
      </c>
      <c r="E3246" t="s">
        <v>35</v>
      </c>
      <c r="F3246" s="2">
        <v>110114001</v>
      </c>
      <c r="G3246" s="2" t="s">
        <v>301</v>
      </c>
      <c r="L3246" s="2" t="s">
        <v>5776</v>
      </c>
      <c r="M3246" t="s">
        <v>38</v>
      </c>
      <c r="N3246" t="s">
        <v>39</v>
      </c>
      <c r="P3246" s="23">
        <v>83.42</v>
      </c>
      <c r="Q3246" s="4">
        <f t="shared" si="50"/>
        <v>-2397.5065931431309</v>
      </c>
      <c r="R3246" s="23" t="s">
        <v>1198</v>
      </c>
      <c r="S3246" s="33" t="s">
        <v>3147</v>
      </c>
    </row>
    <row r="3247" spans="1:20" x14ac:dyDescent="0.25">
      <c r="A3247" s="21">
        <v>45771</v>
      </c>
      <c r="B3247" s="1" t="s">
        <v>1214</v>
      </c>
      <c r="C3247" t="s">
        <v>54</v>
      </c>
      <c r="D3247" s="22">
        <v>-35973.699999999997</v>
      </c>
      <c r="E3247" t="s">
        <v>35</v>
      </c>
      <c r="F3247" s="2">
        <v>110114001</v>
      </c>
      <c r="G3247" s="2" t="s">
        <v>301</v>
      </c>
      <c r="L3247" s="2" t="s">
        <v>5777</v>
      </c>
      <c r="M3247" t="s">
        <v>38</v>
      </c>
      <c r="N3247" t="s">
        <v>39</v>
      </c>
      <c r="P3247" s="23">
        <v>83.42</v>
      </c>
      <c r="Q3247" s="4">
        <f t="shared" si="50"/>
        <v>-431.23591464876523</v>
      </c>
      <c r="R3247" s="23" t="s">
        <v>1198</v>
      </c>
      <c r="S3247" s="33" t="s">
        <v>3147</v>
      </c>
    </row>
    <row r="3248" spans="1:20" x14ac:dyDescent="0.25">
      <c r="A3248" s="21">
        <v>45771</v>
      </c>
      <c r="B3248" s="1" t="s">
        <v>3958</v>
      </c>
      <c r="C3248" t="s">
        <v>54</v>
      </c>
      <c r="D3248" s="22">
        <v>-500</v>
      </c>
      <c r="E3248" t="s">
        <v>35</v>
      </c>
      <c r="F3248" s="2">
        <v>610148001</v>
      </c>
      <c r="G3248" s="2" t="s">
        <v>42</v>
      </c>
      <c r="L3248" s="2" t="s">
        <v>5778</v>
      </c>
      <c r="M3248" t="s">
        <v>43</v>
      </c>
      <c r="N3248" t="s">
        <v>42</v>
      </c>
      <c r="P3248" s="23">
        <v>83.42</v>
      </c>
      <c r="Q3248" s="4">
        <f t="shared" si="50"/>
        <v>-5.9937664828578274</v>
      </c>
      <c r="R3248" s="23" t="s">
        <v>1198</v>
      </c>
    </row>
    <row r="3249" spans="1:19" x14ac:dyDescent="0.25">
      <c r="A3249" s="21">
        <v>45771</v>
      </c>
      <c r="B3249" s="1" t="s">
        <v>1227</v>
      </c>
      <c r="C3249" t="s">
        <v>54</v>
      </c>
      <c r="D3249" s="22">
        <v>-10.42</v>
      </c>
      <c r="E3249" t="s">
        <v>35</v>
      </c>
      <c r="F3249" s="2">
        <v>610148001</v>
      </c>
      <c r="G3249" s="2" t="s">
        <v>42</v>
      </c>
      <c r="L3249" s="2" t="s">
        <v>5779</v>
      </c>
      <c r="M3249" t="s">
        <v>43</v>
      </c>
      <c r="N3249" t="s">
        <v>42</v>
      </c>
      <c r="P3249" s="23">
        <v>83.42</v>
      </c>
      <c r="Q3249" s="4">
        <f t="shared" si="50"/>
        <v>-0.12491009350275713</v>
      </c>
      <c r="R3249" s="23" t="s">
        <v>1198</v>
      </c>
    </row>
    <row r="3250" spans="1:19" x14ac:dyDescent="0.25">
      <c r="A3250" s="21">
        <v>45771</v>
      </c>
      <c r="B3250" s="1" t="s">
        <v>1223</v>
      </c>
      <c r="C3250" t="s">
        <v>54</v>
      </c>
      <c r="D3250" s="22">
        <v>-267.45999999999998</v>
      </c>
      <c r="E3250" t="s">
        <v>35</v>
      </c>
      <c r="F3250" s="2">
        <v>610148001</v>
      </c>
      <c r="G3250" s="2" t="s">
        <v>42</v>
      </c>
      <c r="L3250" s="2" t="s">
        <v>5780</v>
      </c>
      <c r="M3250" t="s">
        <v>43</v>
      </c>
      <c r="N3250" t="s">
        <v>42</v>
      </c>
      <c r="P3250" s="23">
        <v>83.42</v>
      </c>
      <c r="Q3250" s="4">
        <f t="shared" si="50"/>
        <v>-3.206185567010309</v>
      </c>
      <c r="R3250" s="23" t="s">
        <v>1198</v>
      </c>
    </row>
    <row r="3251" spans="1:19" x14ac:dyDescent="0.25">
      <c r="A3251" s="21">
        <v>45771</v>
      </c>
      <c r="B3251" s="1" t="s">
        <v>3965</v>
      </c>
      <c r="C3251" t="s">
        <v>54</v>
      </c>
      <c r="D3251" s="22">
        <v>-75.760000000000005</v>
      </c>
      <c r="E3251" t="s">
        <v>35</v>
      </c>
      <c r="F3251" s="2">
        <v>610148001</v>
      </c>
      <c r="G3251" s="2" t="s">
        <v>42</v>
      </c>
      <c r="L3251" s="2" t="s">
        <v>5781</v>
      </c>
      <c r="M3251" t="s">
        <v>43</v>
      </c>
      <c r="N3251" t="s">
        <v>42</v>
      </c>
      <c r="P3251" s="23">
        <v>83.42</v>
      </c>
      <c r="Q3251" s="4">
        <f t="shared" si="50"/>
        <v>-0.90817549748261817</v>
      </c>
      <c r="R3251" s="23" t="s">
        <v>1198</v>
      </c>
    </row>
    <row r="3252" spans="1:19" x14ac:dyDescent="0.25">
      <c r="A3252" s="21">
        <v>45771</v>
      </c>
      <c r="B3252" s="1" t="s">
        <v>3969</v>
      </c>
      <c r="C3252" t="s">
        <v>54</v>
      </c>
      <c r="D3252" s="22">
        <v>-121.44</v>
      </c>
      <c r="E3252" t="s">
        <v>35</v>
      </c>
      <c r="F3252" s="2">
        <v>610148001</v>
      </c>
      <c r="G3252" s="2" t="s">
        <v>42</v>
      </c>
      <c r="L3252" s="2" t="s">
        <v>5782</v>
      </c>
      <c r="M3252" t="s">
        <v>43</v>
      </c>
      <c r="N3252" t="s">
        <v>42</v>
      </c>
      <c r="P3252" s="23">
        <v>83.42</v>
      </c>
      <c r="Q3252" s="4">
        <f t="shared" si="50"/>
        <v>-1.4557660033565092</v>
      </c>
      <c r="R3252" s="23" t="s">
        <v>1198</v>
      </c>
    </row>
    <row r="3253" spans="1:19" x14ac:dyDescent="0.25">
      <c r="A3253" s="21">
        <v>45771</v>
      </c>
      <c r="B3253" s="1" t="s">
        <v>1220</v>
      </c>
      <c r="C3253" t="s">
        <v>54</v>
      </c>
      <c r="D3253" s="22">
        <v>-0.95</v>
      </c>
      <c r="E3253" t="s">
        <v>35</v>
      </c>
      <c r="F3253" s="2">
        <v>610148001</v>
      </c>
      <c r="G3253" s="2" t="s">
        <v>42</v>
      </c>
      <c r="L3253" s="2" t="s">
        <v>5783</v>
      </c>
      <c r="M3253" t="s">
        <v>43</v>
      </c>
      <c r="N3253" t="s">
        <v>42</v>
      </c>
      <c r="P3253" s="23">
        <v>83.42</v>
      </c>
      <c r="Q3253" s="4">
        <f t="shared" si="50"/>
        <v>-1.1388156317429872E-2</v>
      </c>
      <c r="R3253" s="23" t="s">
        <v>1198</v>
      </c>
    </row>
    <row r="3254" spans="1:19" x14ac:dyDescent="0.25">
      <c r="A3254" s="21">
        <v>45771</v>
      </c>
      <c r="B3254" s="1" t="s">
        <v>1225</v>
      </c>
      <c r="C3254" t="s">
        <v>54</v>
      </c>
      <c r="D3254" s="22">
        <v>-89.93</v>
      </c>
      <c r="E3254" t="s">
        <v>35</v>
      </c>
      <c r="F3254" s="2">
        <v>610148001</v>
      </c>
      <c r="G3254" s="2" t="s">
        <v>42</v>
      </c>
      <c r="L3254" s="2" t="s">
        <v>5784</v>
      </c>
      <c r="M3254" t="s">
        <v>43</v>
      </c>
      <c r="N3254" t="s">
        <v>42</v>
      </c>
      <c r="P3254" s="23">
        <v>83.42</v>
      </c>
      <c r="Q3254" s="4">
        <f t="shared" si="50"/>
        <v>-1.078038839606809</v>
      </c>
      <c r="R3254" s="23" t="s">
        <v>1198</v>
      </c>
    </row>
    <row r="3255" spans="1:19" x14ac:dyDescent="0.25">
      <c r="A3255" s="21">
        <v>45771</v>
      </c>
      <c r="B3255" s="1" t="s">
        <v>2582</v>
      </c>
      <c r="C3255" t="s">
        <v>54</v>
      </c>
      <c r="D3255" s="22">
        <v>-500</v>
      </c>
      <c r="E3255" t="s">
        <v>35</v>
      </c>
      <c r="F3255" s="2">
        <v>610148001</v>
      </c>
      <c r="G3255" s="2" t="s">
        <v>42</v>
      </c>
      <c r="L3255" s="2" t="s">
        <v>5785</v>
      </c>
      <c r="M3255" t="s">
        <v>43</v>
      </c>
      <c r="N3255" t="s">
        <v>42</v>
      </c>
      <c r="P3255" s="23">
        <v>83.42</v>
      </c>
      <c r="Q3255" s="4">
        <f t="shared" si="50"/>
        <v>-5.9937664828578274</v>
      </c>
      <c r="R3255" s="23" t="s">
        <v>1198</v>
      </c>
    </row>
    <row r="3256" spans="1:19" x14ac:dyDescent="0.25">
      <c r="A3256" s="21">
        <v>45771</v>
      </c>
      <c r="B3256" s="1" t="s">
        <v>2585</v>
      </c>
      <c r="C3256" t="s">
        <v>54</v>
      </c>
      <c r="D3256" s="22">
        <v>-500</v>
      </c>
      <c r="E3256" t="s">
        <v>35</v>
      </c>
      <c r="F3256" s="2">
        <v>610148001</v>
      </c>
      <c r="G3256" s="2" t="s">
        <v>42</v>
      </c>
      <c r="L3256" s="2" t="s">
        <v>5786</v>
      </c>
      <c r="M3256" t="s">
        <v>43</v>
      </c>
      <c r="N3256" t="s">
        <v>42</v>
      </c>
      <c r="P3256" s="23">
        <v>83.42</v>
      </c>
      <c r="Q3256" s="4">
        <f t="shared" si="50"/>
        <v>-5.9937664828578274</v>
      </c>
      <c r="R3256" s="23" t="s">
        <v>1198</v>
      </c>
    </row>
    <row r="3257" spans="1:19" x14ac:dyDescent="0.25">
      <c r="A3257" s="21">
        <v>45772</v>
      </c>
      <c r="B3257" s="1" t="s">
        <v>5787</v>
      </c>
      <c r="C3257" t="s">
        <v>54</v>
      </c>
      <c r="D3257" s="22">
        <v>1130000</v>
      </c>
      <c r="E3257" t="s">
        <v>46</v>
      </c>
      <c r="F3257" s="2">
        <v>210115002</v>
      </c>
      <c r="G3257" s="2" t="s">
        <v>47</v>
      </c>
      <c r="L3257" s="2" t="s">
        <v>5788</v>
      </c>
      <c r="N3257" t="s">
        <v>544</v>
      </c>
      <c r="P3257" s="23">
        <v>84.42</v>
      </c>
      <c r="Q3257" s="4">
        <f t="shared" si="50"/>
        <v>13385.453683961146</v>
      </c>
      <c r="R3257" s="23" t="s">
        <v>1198</v>
      </c>
    </row>
    <row r="3258" spans="1:19" x14ac:dyDescent="0.25">
      <c r="A3258" s="21">
        <v>45772</v>
      </c>
      <c r="B3258" s="1" t="s">
        <v>4127</v>
      </c>
      <c r="C3258" t="s">
        <v>54</v>
      </c>
      <c r="D3258" s="22">
        <v>-147573.67000000001</v>
      </c>
      <c r="E3258" t="s">
        <v>35</v>
      </c>
      <c r="F3258" s="2">
        <v>110114001</v>
      </c>
      <c r="G3258" s="2" t="s">
        <v>301</v>
      </c>
      <c r="L3258" s="2" t="s">
        <v>5789</v>
      </c>
      <c r="M3258" t="s">
        <v>976</v>
      </c>
      <c r="N3258" t="s">
        <v>977</v>
      </c>
      <c r="P3258" s="23">
        <v>84.42</v>
      </c>
      <c r="Q3258" s="4">
        <f t="shared" si="50"/>
        <v>-1748.0889599620943</v>
      </c>
      <c r="R3258" s="23" t="s">
        <v>1198</v>
      </c>
      <c r="S3258" s="33" t="s">
        <v>3147</v>
      </c>
    </row>
    <row r="3259" spans="1:19" x14ac:dyDescent="0.25">
      <c r="A3259" s="21">
        <v>45772</v>
      </c>
      <c r="B3259" s="1" t="s">
        <v>3927</v>
      </c>
      <c r="C3259" t="s">
        <v>54</v>
      </c>
      <c r="D3259" s="22">
        <v>-1688.4</v>
      </c>
      <c r="E3259" t="s">
        <v>35</v>
      </c>
      <c r="F3259" s="2">
        <v>212901001</v>
      </c>
      <c r="G3259" s="2" t="s">
        <v>121</v>
      </c>
      <c r="L3259" s="2" t="s">
        <v>5790</v>
      </c>
      <c r="M3259" t="s">
        <v>67</v>
      </c>
      <c r="N3259" t="s">
        <v>68</v>
      </c>
      <c r="P3259" s="23">
        <v>84.42</v>
      </c>
      <c r="Q3259" s="4">
        <f t="shared" si="50"/>
        <v>-20</v>
      </c>
      <c r="R3259" s="23" t="s">
        <v>1198</v>
      </c>
    </row>
    <row r="3260" spans="1:19" x14ac:dyDescent="0.25">
      <c r="A3260" s="21">
        <v>45772</v>
      </c>
      <c r="B3260" s="1" t="s">
        <v>3949</v>
      </c>
      <c r="C3260" t="s">
        <v>54</v>
      </c>
      <c r="D3260" s="22">
        <v>-1110.8</v>
      </c>
      <c r="E3260" t="s">
        <v>35</v>
      </c>
      <c r="F3260" s="2">
        <v>110114001</v>
      </c>
      <c r="G3260" s="2" t="s">
        <v>301</v>
      </c>
      <c r="L3260" s="2" t="s">
        <v>5791</v>
      </c>
      <c r="M3260" t="s">
        <v>114</v>
      </c>
      <c r="N3260" t="s">
        <v>115</v>
      </c>
      <c r="P3260" s="23">
        <v>84.42</v>
      </c>
      <c r="Q3260" s="4">
        <f t="shared" si="50"/>
        <v>-13.158019426676143</v>
      </c>
      <c r="R3260" s="23" t="s">
        <v>1198</v>
      </c>
      <c r="S3260" s="33" t="s">
        <v>3147</v>
      </c>
    </row>
    <row r="3261" spans="1:19" x14ac:dyDescent="0.25">
      <c r="A3261" s="21">
        <v>45772</v>
      </c>
      <c r="B3261" s="1" t="s">
        <v>4161</v>
      </c>
      <c r="C3261" t="s">
        <v>54</v>
      </c>
      <c r="D3261" s="22">
        <v>-40933.57</v>
      </c>
      <c r="E3261" t="s">
        <v>35</v>
      </c>
      <c r="F3261" s="2">
        <v>110114001</v>
      </c>
      <c r="G3261" s="2" t="s">
        <v>301</v>
      </c>
      <c r="L3261" s="2" t="s">
        <v>5792</v>
      </c>
      <c r="M3261" t="s">
        <v>303</v>
      </c>
      <c r="N3261" t="s">
        <v>304</v>
      </c>
      <c r="P3261" s="23">
        <v>84.42</v>
      </c>
      <c r="Q3261" s="4">
        <f t="shared" si="50"/>
        <v>-484.8800047382137</v>
      </c>
      <c r="R3261" s="23" t="s">
        <v>1198</v>
      </c>
      <c r="S3261" s="33" t="s">
        <v>3147</v>
      </c>
    </row>
    <row r="3262" spans="1:19" x14ac:dyDescent="0.25">
      <c r="A3262" s="21">
        <v>45772</v>
      </c>
      <c r="B3262" s="1" t="s">
        <v>1214</v>
      </c>
      <c r="C3262" t="s">
        <v>54</v>
      </c>
      <c r="D3262" s="22">
        <v>-17595.39</v>
      </c>
      <c r="E3262" t="s">
        <v>35</v>
      </c>
      <c r="F3262" s="2">
        <v>110114001</v>
      </c>
      <c r="G3262" s="2" t="s">
        <v>301</v>
      </c>
      <c r="L3262" s="2" t="s">
        <v>5793</v>
      </c>
      <c r="M3262" t="s">
        <v>729</v>
      </c>
      <c r="N3262" t="s">
        <v>730</v>
      </c>
      <c r="P3262" s="23">
        <v>84.42</v>
      </c>
      <c r="Q3262" s="4">
        <f t="shared" si="50"/>
        <v>-208.42679459843637</v>
      </c>
      <c r="R3262" s="23" t="s">
        <v>1198</v>
      </c>
      <c r="S3262" s="33" t="s">
        <v>3147</v>
      </c>
    </row>
    <row r="3263" spans="1:19" x14ac:dyDescent="0.25">
      <c r="A3263" s="21">
        <v>45772</v>
      </c>
      <c r="B3263" s="1" t="s">
        <v>3933</v>
      </c>
      <c r="C3263" t="s">
        <v>54</v>
      </c>
      <c r="D3263" s="22">
        <v>-1688.4</v>
      </c>
      <c r="E3263" t="s">
        <v>35</v>
      </c>
      <c r="F3263" s="2">
        <v>212901001</v>
      </c>
      <c r="G3263" s="2" t="s">
        <v>121</v>
      </c>
      <c r="L3263" s="2" t="s">
        <v>5794</v>
      </c>
      <c r="M3263" t="s">
        <v>67</v>
      </c>
      <c r="N3263" t="s">
        <v>68</v>
      </c>
      <c r="P3263" s="23">
        <v>84.42</v>
      </c>
      <c r="Q3263" s="4">
        <f t="shared" si="50"/>
        <v>-20</v>
      </c>
      <c r="R3263" s="23" t="s">
        <v>1198</v>
      </c>
    </row>
    <row r="3264" spans="1:19" x14ac:dyDescent="0.25">
      <c r="A3264" s="21">
        <v>45772</v>
      </c>
      <c r="B3264" s="1" t="s">
        <v>4021</v>
      </c>
      <c r="C3264" t="s">
        <v>54</v>
      </c>
      <c r="D3264" s="22">
        <v>-594954.1</v>
      </c>
      <c r="E3264" t="s">
        <v>35</v>
      </c>
      <c r="F3264" s="2">
        <v>110114001</v>
      </c>
      <c r="G3264" s="2" t="s">
        <v>301</v>
      </c>
      <c r="L3264" s="2" t="s">
        <v>5795</v>
      </c>
      <c r="M3264" t="s">
        <v>38</v>
      </c>
      <c r="N3264" t="s">
        <v>39</v>
      </c>
      <c r="P3264" s="23">
        <v>84.42</v>
      </c>
      <c r="Q3264" s="4">
        <f t="shared" si="50"/>
        <v>-7047.5491589670692</v>
      </c>
      <c r="R3264" s="23" t="s">
        <v>1198</v>
      </c>
      <c r="S3264" s="33" t="s">
        <v>3147</v>
      </c>
    </row>
    <row r="3265" spans="1:19" x14ac:dyDescent="0.25">
      <c r="A3265" s="32">
        <v>45772</v>
      </c>
      <c r="B3265" s="26" t="s">
        <v>3917</v>
      </c>
      <c r="C3265" s="27" t="s">
        <v>54</v>
      </c>
      <c r="D3265" s="28">
        <v>-10130.4</v>
      </c>
      <c r="E3265" s="27" t="s">
        <v>35</v>
      </c>
      <c r="F3265" s="29">
        <v>610129001</v>
      </c>
      <c r="G3265" s="29" t="s">
        <v>55</v>
      </c>
      <c r="H3265" s="107"/>
      <c r="I3265" s="101"/>
      <c r="J3265" s="101"/>
      <c r="K3265" s="29"/>
      <c r="L3265" s="2" t="s">
        <v>5796</v>
      </c>
      <c r="M3265" s="27" t="s">
        <v>57</v>
      </c>
      <c r="N3265" s="27" t="s">
        <v>58</v>
      </c>
      <c r="O3265" s="27" t="s">
        <v>59</v>
      </c>
      <c r="P3265" s="31">
        <v>84.42</v>
      </c>
      <c r="Q3265" s="4">
        <f t="shared" si="50"/>
        <v>-120</v>
      </c>
      <c r="R3265" s="23" t="s">
        <v>1198</v>
      </c>
    </row>
    <row r="3266" spans="1:19" x14ac:dyDescent="0.25">
      <c r="A3266" s="21">
        <v>45772</v>
      </c>
      <c r="B3266" s="1" t="s">
        <v>2573</v>
      </c>
      <c r="C3266" t="s">
        <v>5797</v>
      </c>
      <c r="D3266" s="22">
        <v>-5909.4</v>
      </c>
      <c r="E3266" t="s">
        <v>35</v>
      </c>
      <c r="F3266" s="2">
        <v>212901001</v>
      </c>
      <c r="G3266" s="2" t="s">
        <v>121</v>
      </c>
      <c r="L3266" s="2" t="s">
        <v>5798</v>
      </c>
      <c r="M3266" t="s">
        <v>67</v>
      </c>
      <c r="N3266" t="s">
        <v>68</v>
      </c>
      <c r="P3266" s="23">
        <v>84.42</v>
      </c>
      <c r="Q3266" s="4">
        <f t="shared" si="50"/>
        <v>-70</v>
      </c>
      <c r="R3266" s="23" t="s">
        <v>1198</v>
      </c>
    </row>
    <row r="3267" spans="1:19" x14ac:dyDescent="0.25">
      <c r="A3267" s="21">
        <v>45772</v>
      </c>
      <c r="B3267" s="1" t="s">
        <v>1211</v>
      </c>
      <c r="C3267" t="s">
        <v>5799</v>
      </c>
      <c r="D3267" s="22">
        <v>-39562.21</v>
      </c>
      <c r="E3267" t="s">
        <v>35</v>
      </c>
      <c r="F3267" s="2">
        <v>110114001</v>
      </c>
      <c r="G3267" s="2" t="s">
        <v>301</v>
      </c>
      <c r="L3267" s="2" t="s">
        <v>5800</v>
      </c>
      <c r="M3267" t="s">
        <v>1318</v>
      </c>
      <c r="N3267" t="s">
        <v>1319</v>
      </c>
      <c r="P3267" s="23">
        <v>84.42</v>
      </c>
      <c r="Q3267" s="4">
        <f t="shared" si="50"/>
        <v>-468.6355129116323</v>
      </c>
      <c r="R3267" s="23" t="s">
        <v>1198</v>
      </c>
      <c r="S3267" s="33" t="s">
        <v>3147</v>
      </c>
    </row>
    <row r="3268" spans="1:19" x14ac:dyDescent="0.25">
      <c r="A3268" s="21">
        <v>45772</v>
      </c>
      <c r="B3268" s="1" t="s">
        <v>1208</v>
      </c>
      <c r="C3268" t="s">
        <v>5801</v>
      </c>
      <c r="D3268" s="22">
        <v>-33924.17</v>
      </c>
      <c r="E3268" t="s">
        <v>35</v>
      </c>
      <c r="F3268" s="2">
        <v>110114001</v>
      </c>
      <c r="G3268" s="2" t="s">
        <v>301</v>
      </c>
      <c r="L3268" s="2" t="s">
        <v>5802</v>
      </c>
      <c r="M3268" t="s">
        <v>5324</v>
      </c>
      <c r="N3268" t="s">
        <v>5325</v>
      </c>
      <c r="P3268" s="23">
        <v>84.42</v>
      </c>
      <c r="Q3268" s="4">
        <f t="shared" si="50"/>
        <v>-401.84991708126034</v>
      </c>
      <c r="R3268" s="23" t="s">
        <v>1198</v>
      </c>
      <c r="S3268" s="33" t="s">
        <v>3147</v>
      </c>
    </row>
    <row r="3269" spans="1:19" x14ac:dyDescent="0.25">
      <c r="A3269" s="21">
        <v>45772</v>
      </c>
      <c r="B3269" s="1" t="s">
        <v>2571</v>
      </c>
      <c r="C3269" t="s">
        <v>5803</v>
      </c>
      <c r="D3269" s="22">
        <v>-4221</v>
      </c>
      <c r="E3269" t="s">
        <v>35</v>
      </c>
      <c r="F3269" s="2">
        <v>212901001</v>
      </c>
      <c r="G3269" s="2" t="s">
        <v>121</v>
      </c>
      <c r="L3269" s="2" t="s">
        <v>5804</v>
      </c>
      <c r="M3269" t="s">
        <v>67</v>
      </c>
      <c r="N3269" t="s">
        <v>68</v>
      </c>
      <c r="P3269" s="23">
        <v>84.42</v>
      </c>
      <c r="Q3269" s="4">
        <f t="shared" si="50"/>
        <v>-50</v>
      </c>
      <c r="R3269" s="23" t="s">
        <v>1198</v>
      </c>
    </row>
    <row r="3270" spans="1:19" x14ac:dyDescent="0.25">
      <c r="A3270" s="21">
        <v>45772</v>
      </c>
      <c r="B3270" s="1" t="s">
        <v>3930</v>
      </c>
      <c r="C3270" t="s">
        <v>5805</v>
      </c>
      <c r="D3270" s="22">
        <v>-7597.8</v>
      </c>
      <c r="E3270" t="s">
        <v>35</v>
      </c>
      <c r="F3270" s="2">
        <v>212901001</v>
      </c>
      <c r="G3270" s="2" t="s">
        <v>121</v>
      </c>
      <c r="L3270" s="2" t="s">
        <v>5806</v>
      </c>
      <c r="M3270" t="s">
        <v>67</v>
      </c>
      <c r="N3270" t="s">
        <v>68</v>
      </c>
      <c r="P3270" s="23">
        <v>84.42</v>
      </c>
      <c r="Q3270" s="4">
        <f t="shared" si="50"/>
        <v>-90</v>
      </c>
      <c r="R3270" s="23" t="s">
        <v>1198</v>
      </c>
    </row>
    <row r="3271" spans="1:19" x14ac:dyDescent="0.25">
      <c r="A3271" s="21">
        <v>45772</v>
      </c>
      <c r="B3271" s="1" t="s">
        <v>3952</v>
      </c>
      <c r="C3271" t="s">
        <v>5807</v>
      </c>
      <c r="D3271" s="22">
        <v>-844.2</v>
      </c>
      <c r="E3271" t="s">
        <v>35</v>
      </c>
      <c r="F3271" s="2">
        <v>212901001</v>
      </c>
      <c r="G3271" s="2" t="s">
        <v>121</v>
      </c>
      <c r="L3271" s="2" t="s">
        <v>5808</v>
      </c>
      <c r="M3271" t="s">
        <v>67</v>
      </c>
      <c r="N3271" t="s">
        <v>68</v>
      </c>
      <c r="P3271" s="23">
        <v>84.42</v>
      </c>
      <c r="Q3271" s="4">
        <f t="shared" si="50"/>
        <v>-10</v>
      </c>
      <c r="R3271" s="23" t="s">
        <v>1198</v>
      </c>
    </row>
    <row r="3272" spans="1:19" x14ac:dyDescent="0.25">
      <c r="A3272" s="21">
        <v>45772</v>
      </c>
      <c r="B3272" s="1" t="s">
        <v>3936</v>
      </c>
      <c r="C3272" t="s">
        <v>5809</v>
      </c>
      <c r="D3272" s="22">
        <v>-15287.4</v>
      </c>
      <c r="E3272" t="s">
        <v>35</v>
      </c>
      <c r="F3272" s="2">
        <v>110114001</v>
      </c>
      <c r="G3272" s="2" t="s">
        <v>301</v>
      </c>
      <c r="L3272" s="2" t="s">
        <v>5810</v>
      </c>
      <c r="M3272" t="s">
        <v>114</v>
      </c>
      <c r="N3272" t="s">
        <v>115</v>
      </c>
      <c r="P3272" s="23">
        <v>84.42</v>
      </c>
      <c r="Q3272" s="4">
        <f t="shared" si="50"/>
        <v>-181.08742004264391</v>
      </c>
      <c r="R3272" s="23" t="s">
        <v>1198</v>
      </c>
      <c r="S3272" s="33" t="s">
        <v>3147</v>
      </c>
    </row>
    <row r="3273" spans="1:19" x14ac:dyDescent="0.25">
      <c r="A3273" s="21">
        <v>45772</v>
      </c>
      <c r="B3273" s="1" t="s">
        <v>4108</v>
      </c>
      <c r="C3273" t="s">
        <v>5811</v>
      </c>
      <c r="D3273" s="22">
        <v>-18113.21</v>
      </c>
      <c r="E3273" t="s">
        <v>35</v>
      </c>
      <c r="F3273" s="2">
        <v>110114001</v>
      </c>
      <c r="G3273" s="2" t="s">
        <v>301</v>
      </c>
      <c r="L3273" s="2" t="s">
        <v>5812</v>
      </c>
      <c r="M3273" t="s">
        <v>303</v>
      </c>
      <c r="N3273" t="s">
        <v>304</v>
      </c>
      <c r="P3273" s="23">
        <v>84.42</v>
      </c>
      <c r="Q3273" s="4">
        <f t="shared" si="50"/>
        <v>-214.56064913527598</v>
      </c>
      <c r="R3273" s="23" t="s">
        <v>1198</v>
      </c>
      <c r="S3273" s="33" t="s">
        <v>3147</v>
      </c>
    </row>
    <row r="3274" spans="1:19" x14ac:dyDescent="0.25">
      <c r="A3274" s="21">
        <v>45772</v>
      </c>
      <c r="B3274" s="1" t="s">
        <v>4088</v>
      </c>
      <c r="C3274" t="s">
        <v>5813</v>
      </c>
      <c r="D3274" s="22">
        <v>-98091.58</v>
      </c>
      <c r="E3274" t="s">
        <v>35</v>
      </c>
      <c r="F3274" s="2">
        <v>110114001</v>
      </c>
      <c r="G3274" s="2" t="s">
        <v>301</v>
      </c>
      <c r="L3274" s="2" t="s">
        <v>5814</v>
      </c>
      <c r="M3274" t="s">
        <v>303</v>
      </c>
      <c r="N3274" t="s">
        <v>304</v>
      </c>
      <c r="P3274" s="23">
        <v>84.42</v>
      </c>
      <c r="Q3274" s="4">
        <f t="shared" si="50"/>
        <v>-1161.9471689173181</v>
      </c>
      <c r="R3274" s="23" t="s">
        <v>1198</v>
      </c>
      <c r="S3274" s="33" t="s">
        <v>3147</v>
      </c>
    </row>
    <row r="3275" spans="1:19" x14ac:dyDescent="0.25">
      <c r="A3275" s="21">
        <v>45772</v>
      </c>
      <c r="B3275" s="1" t="s">
        <v>4091</v>
      </c>
      <c r="C3275" t="s">
        <v>5815</v>
      </c>
      <c r="D3275" s="22">
        <v>-1688.99</v>
      </c>
      <c r="E3275" t="s">
        <v>35</v>
      </c>
      <c r="F3275" s="2">
        <v>110114001</v>
      </c>
      <c r="G3275" s="2" t="s">
        <v>301</v>
      </c>
      <c r="L3275" s="2" t="s">
        <v>5816</v>
      </c>
      <c r="M3275" t="s">
        <v>788</v>
      </c>
      <c r="N3275" t="s">
        <v>789</v>
      </c>
      <c r="P3275" s="23">
        <v>84.42</v>
      </c>
      <c r="Q3275" s="4">
        <f t="shared" ref="Q3275:Q3338" si="51">D3275/P3275</f>
        <v>-20.006988865197819</v>
      </c>
      <c r="R3275" s="23" t="s">
        <v>1198</v>
      </c>
      <c r="S3275" s="33" t="s">
        <v>3147</v>
      </c>
    </row>
    <row r="3276" spans="1:19" x14ac:dyDescent="0.25">
      <c r="A3276" s="21">
        <v>45772</v>
      </c>
      <c r="B3276" s="1" t="s">
        <v>3943</v>
      </c>
      <c r="C3276" t="s">
        <v>5817</v>
      </c>
      <c r="D3276" s="22">
        <v>-1688.4</v>
      </c>
      <c r="E3276" t="s">
        <v>35</v>
      </c>
      <c r="F3276" s="2">
        <v>212901001</v>
      </c>
      <c r="G3276" s="2" t="s">
        <v>121</v>
      </c>
      <c r="L3276" s="2" t="s">
        <v>5818</v>
      </c>
      <c r="M3276" t="s">
        <v>67</v>
      </c>
      <c r="N3276" t="s">
        <v>68</v>
      </c>
      <c r="P3276" s="23">
        <v>84.42</v>
      </c>
      <c r="Q3276" s="4">
        <f t="shared" si="51"/>
        <v>-20</v>
      </c>
      <c r="R3276" s="23" t="s">
        <v>1198</v>
      </c>
    </row>
    <row r="3277" spans="1:19" x14ac:dyDescent="0.25">
      <c r="A3277" s="21">
        <v>45772</v>
      </c>
      <c r="B3277" s="1" t="s">
        <v>3914</v>
      </c>
      <c r="C3277" t="s">
        <v>5819</v>
      </c>
      <c r="D3277" s="22">
        <v>-1688.4</v>
      </c>
      <c r="E3277" t="s">
        <v>35</v>
      </c>
      <c r="F3277" s="2">
        <v>212901001</v>
      </c>
      <c r="G3277" s="2" t="s">
        <v>121</v>
      </c>
      <c r="L3277" s="2" t="s">
        <v>5820</v>
      </c>
      <c r="M3277" t="s">
        <v>67</v>
      </c>
      <c r="N3277" t="s">
        <v>68</v>
      </c>
      <c r="P3277" s="23">
        <v>84.42</v>
      </c>
      <c r="Q3277" s="4">
        <f t="shared" si="51"/>
        <v>-20</v>
      </c>
      <c r="R3277" s="23" t="s">
        <v>1198</v>
      </c>
    </row>
    <row r="3278" spans="1:19" x14ac:dyDescent="0.25">
      <c r="A3278" s="21">
        <v>45772</v>
      </c>
      <c r="B3278" s="1" t="s">
        <v>1217</v>
      </c>
      <c r="C3278" t="s">
        <v>5821</v>
      </c>
      <c r="D3278" s="22">
        <v>-5909.4</v>
      </c>
      <c r="E3278" t="s">
        <v>35</v>
      </c>
      <c r="F3278" s="2">
        <v>212901001</v>
      </c>
      <c r="G3278" s="2" t="s">
        <v>121</v>
      </c>
      <c r="L3278" s="2" t="s">
        <v>5822</v>
      </c>
      <c r="M3278" t="s">
        <v>67</v>
      </c>
      <c r="N3278" t="s">
        <v>68</v>
      </c>
      <c r="P3278" s="23">
        <v>84.42</v>
      </c>
      <c r="Q3278" s="4">
        <f t="shared" si="51"/>
        <v>-70</v>
      </c>
      <c r="R3278" s="23" t="s">
        <v>1198</v>
      </c>
    </row>
    <row r="3279" spans="1:19" x14ac:dyDescent="0.25">
      <c r="A3279" s="21">
        <v>45772</v>
      </c>
      <c r="B3279" s="1" t="s">
        <v>3924</v>
      </c>
      <c r="C3279" t="s">
        <v>5823</v>
      </c>
      <c r="D3279" s="22">
        <v>-844.2</v>
      </c>
      <c r="E3279" t="s">
        <v>35</v>
      </c>
      <c r="F3279" s="2">
        <v>212901001</v>
      </c>
      <c r="G3279" s="2" t="s">
        <v>121</v>
      </c>
      <c r="L3279" s="2" t="s">
        <v>5824</v>
      </c>
      <c r="M3279" t="s">
        <v>67</v>
      </c>
      <c r="N3279" t="s">
        <v>68</v>
      </c>
      <c r="P3279" s="23">
        <v>84.42</v>
      </c>
      <c r="Q3279" s="4">
        <f t="shared" si="51"/>
        <v>-10</v>
      </c>
      <c r="R3279" s="23" t="s">
        <v>1198</v>
      </c>
    </row>
    <row r="3280" spans="1:19" x14ac:dyDescent="0.25">
      <c r="A3280" s="21">
        <v>45772</v>
      </c>
      <c r="B3280" s="1" t="s">
        <v>4018</v>
      </c>
      <c r="C3280" t="s">
        <v>5825</v>
      </c>
      <c r="D3280" s="22">
        <v>-75403.94</v>
      </c>
      <c r="E3280" t="s">
        <v>35</v>
      </c>
      <c r="F3280" s="2">
        <v>110114001</v>
      </c>
      <c r="G3280" s="2" t="s">
        <v>301</v>
      </c>
      <c r="L3280" s="2" t="s">
        <v>5826</v>
      </c>
      <c r="M3280" t="s">
        <v>1866</v>
      </c>
      <c r="N3280" t="s">
        <v>1867</v>
      </c>
      <c r="P3280" s="23">
        <v>84.42</v>
      </c>
      <c r="Q3280" s="4">
        <f t="shared" si="51"/>
        <v>-893.19995261786312</v>
      </c>
      <c r="R3280" s="23" t="s">
        <v>1198</v>
      </c>
      <c r="S3280" s="33" t="s">
        <v>3147</v>
      </c>
    </row>
    <row r="3281" spans="1:18" x14ac:dyDescent="0.25">
      <c r="A3281" s="21">
        <v>45772</v>
      </c>
      <c r="B3281" s="1" t="s">
        <v>3967</v>
      </c>
      <c r="C3281" t="s">
        <v>1221</v>
      </c>
      <c r="D3281" s="22">
        <v>-4.22</v>
      </c>
      <c r="E3281" t="s">
        <v>35</v>
      </c>
      <c r="F3281" s="2">
        <v>610148001</v>
      </c>
      <c r="G3281" s="2" t="s">
        <v>42</v>
      </c>
      <c r="L3281" s="2" t="s">
        <v>5827</v>
      </c>
      <c r="M3281" t="s">
        <v>43</v>
      </c>
      <c r="N3281" t="s">
        <v>42</v>
      </c>
      <c r="P3281" s="23">
        <v>84.42</v>
      </c>
      <c r="Q3281" s="4">
        <f t="shared" si="51"/>
        <v>-4.9988154465766405E-2</v>
      </c>
      <c r="R3281" s="23" t="s">
        <v>1198</v>
      </c>
    </row>
    <row r="3282" spans="1:18" x14ac:dyDescent="0.25">
      <c r="A3282" s="21">
        <v>45772</v>
      </c>
      <c r="B3282" s="1" t="s">
        <v>2582</v>
      </c>
      <c r="C3282" t="s">
        <v>1221</v>
      </c>
      <c r="D3282" s="22">
        <v>-14.77</v>
      </c>
      <c r="E3282" t="s">
        <v>35</v>
      </c>
      <c r="F3282" s="2">
        <v>610148001</v>
      </c>
      <c r="G3282" s="2" t="s">
        <v>42</v>
      </c>
      <c r="L3282" s="2" t="s">
        <v>5828</v>
      </c>
      <c r="M3282" t="s">
        <v>43</v>
      </c>
      <c r="N3282" t="s">
        <v>42</v>
      </c>
      <c r="P3282" s="23">
        <v>84.42</v>
      </c>
      <c r="Q3282" s="4">
        <f t="shared" si="51"/>
        <v>-0.1749585406301824</v>
      </c>
      <c r="R3282" s="23" t="s">
        <v>1198</v>
      </c>
    </row>
    <row r="3283" spans="1:18" x14ac:dyDescent="0.25">
      <c r="A3283" s="21">
        <v>45772</v>
      </c>
      <c r="B3283" s="1" t="s">
        <v>3977</v>
      </c>
      <c r="C3283" t="s">
        <v>1221</v>
      </c>
      <c r="D3283" s="22">
        <v>-4.22</v>
      </c>
      <c r="E3283" t="s">
        <v>35</v>
      </c>
      <c r="F3283" s="2">
        <v>610148001</v>
      </c>
      <c r="G3283" s="2" t="s">
        <v>42</v>
      </c>
      <c r="L3283" s="2" t="s">
        <v>5829</v>
      </c>
      <c r="M3283" t="s">
        <v>43</v>
      </c>
      <c r="N3283" t="s">
        <v>42</v>
      </c>
      <c r="P3283" s="23">
        <v>84.42</v>
      </c>
      <c r="Q3283" s="4">
        <f t="shared" si="51"/>
        <v>-4.9988154465766405E-2</v>
      </c>
      <c r="R3283" s="23" t="s">
        <v>1198</v>
      </c>
    </row>
    <row r="3284" spans="1:18" x14ac:dyDescent="0.25">
      <c r="A3284" s="21">
        <v>45772</v>
      </c>
      <c r="B3284" s="1" t="s">
        <v>3962</v>
      </c>
      <c r="C3284" t="s">
        <v>1221</v>
      </c>
      <c r="D3284" s="22">
        <v>-4.22</v>
      </c>
      <c r="E3284" t="s">
        <v>35</v>
      </c>
      <c r="F3284" s="2">
        <v>610148001</v>
      </c>
      <c r="G3284" s="2" t="s">
        <v>42</v>
      </c>
      <c r="L3284" s="2" t="s">
        <v>5830</v>
      </c>
      <c r="M3284" t="s">
        <v>43</v>
      </c>
      <c r="N3284" t="s">
        <v>42</v>
      </c>
      <c r="P3284" s="23">
        <v>84.42</v>
      </c>
      <c r="Q3284" s="4">
        <f t="shared" si="51"/>
        <v>-4.9988154465766405E-2</v>
      </c>
      <c r="R3284" s="23" t="s">
        <v>1198</v>
      </c>
    </row>
    <row r="3285" spans="1:18" x14ac:dyDescent="0.25">
      <c r="A3285" s="21">
        <v>45772</v>
      </c>
      <c r="B3285" s="1" t="s">
        <v>1227</v>
      </c>
      <c r="C3285" t="s">
        <v>1221</v>
      </c>
      <c r="D3285" s="22">
        <v>-98.9</v>
      </c>
      <c r="E3285" t="s">
        <v>35</v>
      </c>
      <c r="F3285" s="2">
        <v>610148001</v>
      </c>
      <c r="G3285" s="2" t="s">
        <v>42</v>
      </c>
      <c r="L3285" s="2" t="s">
        <v>5831</v>
      </c>
      <c r="M3285" t="s">
        <v>43</v>
      </c>
      <c r="N3285" t="s">
        <v>42</v>
      </c>
      <c r="P3285" s="23">
        <v>84.42</v>
      </c>
      <c r="Q3285" s="4">
        <f t="shared" si="51"/>
        <v>-1.1715233357024402</v>
      </c>
      <c r="R3285" s="23" t="s">
        <v>1198</v>
      </c>
    </row>
    <row r="3286" spans="1:18" x14ac:dyDescent="0.25">
      <c r="A3286" s="21">
        <v>45772</v>
      </c>
      <c r="B3286" s="1" t="s">
        <v>2585</v>
      </c>
      <c r="C3286" t="s">
        <v>1221</v>
      </c>
      <c r="D3286" s="22">
        <v>-10.55</v>
      </c>
      <c r="E3286" t="s">
        <v>35</v>
      </c>
      <c r="F3286" s="2">
        <v>610148001</v>
      </c>
      <c r="G3286" s="2" t="s">
        <v>42</v>
      </c>
      <c r="L3286" s="2" t="s">
        <v>5832</v>
      </c>
      <c r="M3286" t="s">
        <v>43</v>
      </c>
      <c r="N3286" t="s">
        <v>42</v>
      </c>
      <c r="P3286" s="23">
        <v>84.42</v>
      </c>
      <c r="Q3286" s="4">
        <f t="shared" si="51"/>
        <v>-0.12497038616441603</v>
      </c>
      <c r="R3286" s="23" t="s">
        <v>1198</v>
      </c>
    </row>
    <row r="3287" spans="1:18" x14ac:dyDescent="0.25">
      <c r="A3287" s="21">
        <v>45772</v>
      </c>
      <c r="B3287" s="1" t="s">
        <v>3958</v>
      </c>
      <c r="C3287" t="s">
        <v>1221</v>
      </c>
      <c r="D3287" s="22">
        <v>-2.11</v>
      </c>
      <c r="E3287" t="s">
        <v>35</v>
      </c>
      <c r="F3287" s="2">
        <v>610148001</v>
      </c>
      <c r="G3287" s="2" t="s">
        <v>42</v>
      </c>
      <c r="L3287" s="2" t="s">
        <v>5833</v>
      </c>
      <c r="M3287" t="s">
        <v>43</v>
      </c>
      <c r="N3287" t="s">
        <v>42</v>
      </c>
      <c r="P3287" s="23">
        <v>84.42</v>
      </c>
      <c r="Q3287" s="4">
        <f t="shared" si="51"/>
        <v>-2.4994077232883202E-2</v>
      </c>
      <c r="R3287" s="23" t="s">
        <v>1198</v>
      </c>
    </row>
    <row r="3288" spans="1:18" x14ac:dyDescent="0.25">
      <c r="A3288" s="21">
        <v>45772</v>
      </c>
      <c r="B3288" s="1" t="s">
        <v>3973</v>
      </c>
      <c r="C3288" t="s">
        <v>1221</v>
      </c>
      <c r="D3288" s="22">
        <v>-38.21</v>
      </c>
      <c r="E3288" t="s">
        <v>35</v>
      </c>
      <c r="F3288" s="2">
        <v>610148001</v>
      </c>
      <c r="G3288" s="2" t="s">
        <v>42</v>
      </c>
      <c r="L3288" s="2" t="s">
        <v>5834</v>
      </c>
      <c r="M3288" t="s">
        <v>43</v>
      </c>
      <c r="N3288" t="s">
        <v>42</v>
      </c>
      <c r="P3288" s="23">
        <v>84.42</v>
      </c>
      <c r="Q3288" s="4">
        <f t="shared" si="51"/>
        <v>-0.45261786306562424</v>
      </c>
      <c r="R3288" s="23" t="s">
        <v>1198</v>
      </c>
    </row>
    <row r="3289" spans="1:18" x14ac:dyDescent="0.25">
      <c r="A3289" s="21">
        <v>45772</v>
      </c>
      <c r="B3289" s="1" t="s">
        <v>3955</v>
      </c>
      <c r="C3289" t="s">
        <v>1221</v>
      </c>
      <c r="D3289" s="22">
        <v>-2.77</v>
      </c>
      <c r="E3289" t="s">
        <v>35</v>
      </c>
      <c r="F3289" s="2">
        <v>610148001</v>
      </c>
      <c r="G3289" s="2" t="s">
        <v>42</v>
      </c>
      <c r="L3289" s="2" t="s">
        <v>5835</v>
      </c>
      <c r="M3289" t="s">
        <v>43</v>
      </c>
      <c r="N3289" t="s">
        <v>42</v>
      </c>
      <c r="P3289" s="23">
        <v>84.42</v>
      </c>
      <c r="Q3289" s="4">
        <f t="shared" si="51"/>
        <v>-3.2812129827055198E-2</v>
      </c>
      <c r="R3289" s="23" t="s">
        <v>1198</v>
      </c>
    </row>
    <row r="3290" spans="1:18" x14ac:dyDescent="0.25">
      <c r="A3290" s="21">
        <v>45772</v>
      </c>
      <c r="B3290" s="1" t="s">
        <v>3979</v>
      </c>
      <c r="C3290" t="s">
        <v>1221</v>
      </c>
      <c r="D3290" s="22">
        <v>-25.32</v>
      </c>
      <c r="E3290" t="s">
        <v>35</v>
      </c>
      <c r="F3290" s="2">
        <v>610148001</v>
      </c>
      <c r="G3290" s="2" t="s">
        <v>42</v>
      </c>
      <c r="L3290" s="2" t="s">
        <v>5836</v>
      </c>
      <c r="M3290" t="s">
        <v>43</v>
      </c>
      <c r="N3290" t="s">
        <v>42</v>
      </c>
      <c r="P3290" s="23">
        <v>84.42</v>
      </c>
      <c r="Q3290" s="4">
        <f t="shared" si="51"/>
        <v>-0.29992892679459843</v>
      </c>
      <c r="R3290" s="23" t="s">
        <v>1198</v>
      </c>
    </row>
    <row r="3291" spans="1:18" x14ac:dyDescent="0.25">
      <c r="A3291" s="21">
        <v>45772</v>
      </c>
      <c r="B3291" s="1" t="s">
        <v>4249</v>
      </c>
      <c r="C3291" t="s">
        <v>1221</v>
      </c>
      <c r="D3291" s="22">
        <v>-45.28</v>
      </c>
      <c r="E3291" t="s">
        <v>35</v>
      </c>
      <c r="F3291" s="2">
        <v>610148001</v>
      </c>
      <c r="G3291" s="2" t="s">
        <v>42</v>
      </c>
      <c r="L3291" s="2" t="s">
        <v>5837</v>
      </c>
      <c r="M3291" t="s">
        <v>43</v>
      </c>
      <c r="N3291" t="s">
        <v>42</v>
      </c>
      <c r="P3291" s="23">
        <v>84.42</v>
      </c>
      <c r="Q3291" s="4">
        <f t="shared" si="51"/>
        <v>-0.53636579009713337</v>
      </c>
      <c r="R3291" s="23" t="s">
        <v>1198</v>
      </c>
    </row>
    <row r="3292" spans="1:18" x14ac:dyDescent="0.25">
      <c r="A3292" s="21">
        <v>45772</v>
      </c>
      <c r="B3292" s="1" t="s">
        <v>4284</v>
      </c>
      <c r="C3292" t="s">
        <v>1221</v>
      </c>
      <c r="D3292" s="22">
        <v>-368.93</v>
      </c>
      <c r="E3292" t="s">
        <v>35</v>
      </c>
      <c r="F3292" s="2">
        <v>610148001</v>
      </c>
      <c r="G3292" s="2" t="s">
        <v>42</v>
      </c>
      <c r="L3292" s="2" t="s">
        <v>5838</v>
      </c>
      <c r="M3292" t="s">
        <v>43</v>
      </c>
      <c r="N3292" t="s">
        <v>42</v>
      </c>
      <c r="P3292" s="23">
        <v>84.42</v>
      </c>
      <c r="Q3292" s="4">
        <f t="shared" si="51"/>
        <v>-4.3701729447998101</v>
      </c>
      <c r="R3292" s="23" t="s">
        <v>1198</v>
      </c>
    </row>
    <row r="3293" spans="1:18" x14ac:dyDescent="0.25">
      <c r="A3293" s="21">
        <v>45772</v>
      </c>
      <c r="B3293" s="1" t="s">
        <v>4242</v>
      </c>
      <c r="C3293" t="s">
        <v>1221</v>
      </c>
      <c r="D3293" s="22">
        <v>-188.5</v>
      </c>
      <c r="E3293" t="s">
        <v>35</v>
      </c>
      <c r="F3293" s="2">
        <v>610148001</v>
      </c>
      <c r="G3293" s="2" t="s">
        <v>42</v>
      </c>
      <c r="L3293" s="2" t="s">
        <v>5839</v>
      </c>
      <c r="M3293" t="s">
        <v>43</v>
      </c>
      <c r="N3293" t="s">
        <v>42</v>
      </c>
      <c r="P3293" s="23">
        <v>84.42</v>
      </c>
      <c r="Q3293" s="4">
        <f t="shared" si="51"/>
        <v>-2.2328832030324568</v>
      </c>
      <c r="R3293" s="23" t="s">
        <v>1198</v>
      </c>
    </row>
    <row r="3294" spans="1:18" x14ac:dyDescent="0.25">
      <c r="A3294" s="21">
        <v>45772</v>
      </c>
      <c r="B3294" s="1" t="s">
        <v>3969</v>
      </c>
      <c r="C3294" t="s">
        <v>1221</v>
      </c>
      <c r="D3294" s="22">
        <v>-18.989999999999998</v>
      </c>
      <c r="E3294" t="s">
        <v>35</v>
      </c>
      <c r="F3294" s="2">
        <v>610148001</v>
      </c>
      <c r="G3294" s="2" t="s">
        <v>42</v>
      </c>
      <c r="L3294" s="2" t="s">
        <v>5840</v>
      </c>
      <c r="M3294" t="s">
        <v>43</v>
      </c>
      <c r="N3294" t="s">
        <v>42</v>
      </c>
      <c r="P3294" s="23">
        <v>84.42</v>
      </c>
      <c r="Q3294" s="4">
        <f t="shared" si="51"/>
        <v>-0.22494669509594881</v>
      </c>
      <c r="R3294" s="23" t="s">
        <v>1198</v>
      </c>
    </row>
    <row r="3295" spans="1:18" x14ac:dyDescent="0.25">
      <c r="A3295" s="21">
        <v>45772</v>
      </c>
      <c r="B3295" s="1" t="s">
        <v>4240</v>
      </c>
      <c r="C3295" t="s">
        <v>1221</v>
      </c>
      <c r="D3295" s="22">
        <v>-245.22</v>
      </c>
      <c r="E3295" t="s">
        <v>35</v>
      </c>
      <c r="F3295" s="2">
        <v>610148001</v>
      </c>
      <c r="G3295" s="2" t="s">
        <v>42</v>
      </c>
      <c r="L3295" s="2" t="s">
        <v>5841</v>
      </c>
      <c r="M3295" t="s">
        <v>43</v>
      </c>
      <c r="N3295" t="s">
        <v>42</v>
      </c>
      <c r="P3295" s="23">
        <v>84.42</v>
      </c>
      <c r="Q3295" s="4">
        <f t="shared" si="51"/>
        <v>-2.9047619047619047</v>
      </c>
      <c r="R3295" s="23" t="s">
        <v>1198</v>
      </c>
    </row>
    <row r="3296" spans="1:18" x14ac:dyDescent="0.25">
      <c r="A3296" s="21">
        <v>45772</v>
      </c>
      <c r="B3296" s="1" t="s">
        <v>1223</v>
      </c>
      <c r="C3296" t="s">
        <v>1221</v>
      </c>
      <c r="D3296" s="22">
        <v>-84.81</v>
      </c>
      <c r="E3296" t="s">
        <v>35</v>
      </c>
      <c r="F3296" s="2">
        <v>610148001</v>
      </c>
      <c r="G3296" s="2" t="s">
        <v>42</v>
      </c>
      <c r="L3296" s="2" t="s">
        <v>5842</v>
      </c>
      <c r="M3296" t="s">
        <v>43</v>
      </c>
      <c r="N3296" t="s">
        <v>42</v>
      </c>
      <c r="P3296" s="23">
        <v>84.42</v>
      </c>
      <c r="Q3296" s="4">
        <f t="shared" si="51"/>
        <v>-1.0046197583511016</v>
      </c>
      <c r="R3296" s="23" t="s">
        <v>1198</v>
      </c>
    </row>
    <row r="3297" spans="1:18" x14ac:dyDescent="0.25">
      <c r="A3297" s="21">
        <v>45772</v>
      </c>
      <c r="B3297" s="1" t="s">
        <v>1225</v>
      </c>
      <c r="C3297" t="s">
        <v>1221</v>
      </c>
      <c r="D3297" s="22">
        <v>-43.98</v>
      </c>
      <c r="E3297" t="s">
        <v>35</v>
      </c>
      <c r="F3297" s="2">
        <v>610148001</v>
      </c>
      <c r="G3297" s="2" t="s">
        <v>42</v>
      </c>
      <c r="L3297" s="2" t="s">
        <v>5843</v>
      </c>
      <c r="M3297" t="s">
        <v>43</v>
      </c>
      <c r="N3297" t="s">
        <v>42</v>
      </c>
      <c r="P3297" s="23">
        <v>84.42</v>
      </c>
      <c r="Q3297" s="4">
        <f t="shared" si="51"/>
        <v>-0.52096659559346126</v>
      </c>
      <c r="R3297" s="23" t="s">
        <v>1198</v>
      </c>
    </row>
    <row r="3298" spans="1:18" x14ac:dyDescent="0.25">
      <c r="A3298" s="21">
        <v>45772</v>
      </c>
      <c r="B3298" s="1" t="s">
        <v>3960</v>
      </c>
      <c r="C3298" t="s">
        <v>1221</v>
      </c>
      <c r="D3298" s="22">
        <v>-4.22</v>
      </c>
      <c r="E3298" t="s">
        <v>35</v>
      </c>
      <c r="F3298" s="2">
        <v>610148001</v>
      </c>
      <c r="G3298" s="2" t="s">
        <v>42</v>
      </c>
      <c r="L3298" s="2" t="s">
        <v>5844</v>
      </c>
      <c r="M3298" t="s">
        <v>43</v>
      </c>
      <c r="N3298" t="s">
        <v>42</v>
      </c>
      <c r="P3298" s="23">
        <v>84.42</v>
      </c>
      <c r="Q3298" s="4">
        <f t="shared" si="51"/>
        <v>-4.9988154465766405E-2</v>
      </c>
      <c r="R3298" s="23" t="s">
        <v>1198</v>
      </c>
    </row>
    <row r="3299" spans="1:18" x14ac:dyDescent="0.25">
      <c r="A3299" s="21">
        <v>45772</v>
      </c>
      <c r="B3299" s="1" t="s">
        <v>4309</v>
      </c>
      <c r="C3299" t="s">
        <v>1221</v>
      </c>
      <c r="D3299" s="22">
        <v>-102.33</v>
      </c>
      <c r="E3299" t="s">
        <v>35</v>
      </c>
      <c r="F3299" s="2">
        <v>610148001</v>
      </c>
      <c r="G3299" s="2" t="s">
        <v>42</v>
      </c>
      <c r="L3299" s="2" t="s">
        <v>5845</v>
      </c>
      <c r="M3299" t="s">
        <v>43</v>
      </c>
      <c r="N3299" t="s">
        <v>42</v>
      </c>
      <c r="P3299" s="23">
        <v>84.42</v>
      </c>
      <c r="Q3299" s="4">
        <f t="shared" si="51"/>
        <v>-1.2121535181236673</v>
      </c>
      <c r="R3299" s="23" t="s">
        <v>1198</v>
      </c>
    </row>
    <row r="3300" spans="1:18" x14ac:dyDescent="0.25">
      <c r="A3300" s="21">
        <v>45772</v>
      </c>
      <c r="B3300" s="1" t="s">
        <v>4217</v>
      </c>
      <c r="C3300" t="s">
        <v>1221</v>
      </c>
      <c r="D3300" s="22">
        <v>-4.22</v>
      </c>
      <c r="E3300" t="s">
        <v>35</v>
      </c>
      <c r="F3300" s="2">
        <v>610148001</v>
      </c>
      <c r="G3300" s="2" t="s">
        <v>42</v>
      </c>
      <c r="L3300" s="2" t="s">
        <v>5846</v>
      </c>
      <c r="M3300" t="s">
        <v>43</v>
      </c>
      <c r="N3300" t="s">
        <v>42</v>
      </c>
      <c r="P3300" s="23">
        <v>84.42</v>
      </c>
      <c r="Q3300" s="4">
        <f t="shared" si="51"/>
        <v>-4.9988154465766405E-2</v>
      </c>
      <c r="R3300" s="23" t="s">
        <v>1198</v>
      </c>
    </row>
    <row r="3301" spans="1:18" x14ac:dyDescent="0.25">
      <c r="A3301" s="21">
        <v>45772</v>
      </c>
      <c r="B3301" s="1" t="s">
        <v>1220</v>
      </c>
      <c r="C3301" t="s">
        <v>1221</v>
      </c>
      <c r="D3301" s="22">
        <v>-14.77</v>
      </c>
      <c r="E3301" t="s">
        <v>35</v>
      </c>
      <c r="F3301" s="2">
        <v>610148001</v>
      </c>
      <c r="G3301" s="2" t="s">
        <v>42</v>
      </c>
      <c r="L3301" s="2" t="s">
        <v>5847</v>
      </c>
      <c r="M3301" t="s">
        <v>43</v>
      </c>
      <c r="N3301" t="s">
        <v>42</v>
      </c>
      <c r="P3301" s="23">
        <v>84.42</v>
      </c>
      <c r="Q3301" s="4">
        <f t="shared" si="51"/>
        <v>-0.1749585406301824</v>
      </c>
      <c r="R3301" s="23" t="s">
        <v>1198</v>
      </c>
    </row>
    <row r="3302" spans="1:18" x14ac:dyDescent="0.25">
      <c r="A3302" s="21">
        <v>45772</v>
      </c>
      <c r="B3302" s="1" t="s">
        <v>3965</v>
      </c>
      <c r="C3302" t="s">
        <v>1221</v>
      </c>
      <c r="D3302" s="22">
        <v>-2.11</v>
      </c>
      <c r="E3302" t="s">
        <v>35</v>
      </c>
      <c r="F3302" s="2">
        <v>610148001</v>
      </c>
      <c r="G3302" s="2" t="s">
        <v>42</v>
      </c>
      <c r="L3302" s="2" t="s">
        <v>5848</v>
      </c>
      <c r="M3302" t="s">
        <v>43</v>
      </c>
      <c r="N3302" t="s">
        <v>42</v>
      </c>
      <c r="P3302" s="23">
        <v>84.42</v>
      </c>
      <c r="Q3302" s="4">
        <f t="shared" si="51"/>
        <v>-2.4994077232883202E-2</v>
      </c>
      <c r="R3302" s="23" t="s">
        <v>1198</v>
      </c>
    </row>
    <row r="3303" spans="1:18" x14ac:dyDescent="0.25">
      <c r="A3303" s="21">
        <v>45772</v>
      </c>
      <c r="B3303" s="1" t="s">
        <v>4311</v>
      </c>
      <c r="C3303" t="s">
        <v>1221</v>
      </c>
      <c r="D3303" s="22">
        <v>-1487.38</v>
      </c>
      <c r="E3303" t="s">
        <v>35</v>
      </c>
      <c r="F3303" s="2">
        <v>610148001</v>
      </c>
      <c r="G3303" s="2" t="s">
        <v>42</v>
      </c>
      <c r="L3303" s="2" t="s">
        <v>5849</v>
      </c>
      <c r="M3303" t="s">
        <v>43</v>
      </c>
      <c r="N3303" t="s">
        <v>42</v>
      </c>
      <c r="P3303" s="23">
        <v>84.42</v>
      </c>
      <c r="Q3303" s="4">
        <f t="shared" si="51"/>
        <v>-17.618810708362947</v>
      </c>
      <c r="R3303" s="23" t="s">
        <v>1198</v>
      </c>
    </row>
    <row r="3304" spans="1:18" x14ac:dyDescent="0.25">
      <c r="A3304" s="21">
        <v>45772</v>
      </c>
      <c r="B3304" s="1" t="s">
        <v>5850</v>
      </c>
      <c r="C3304" t="s">
        <v>544</v>
      </c>
      <c r="D3304" s="22">
        <v>390000</v>
      </c>
      <c r="E3304" t="s">
        <v>46</v>
      </c>
      <c r="F3304" s="2">
        <v>210115002</v>
      </c>
      <c r="G3304" s="2" t="s">
        <v>47</v>
      </c>
      <c r="L3304" s="2" t="s">
        <v>5851</v>
      </c>
      <c r="N3304" t="s">
        <v>544</v>
      </c>
      <c r="P3304" s="23">
        <v>84.42</v>
      </c>
      <c r="Q3304" s="4">
        <f t="shared" si="51"/>
        <v>4619.7583511016346</v>
      </c>
      <c r="R3304" s="23" t="s">
        <v>1198</v>
      </c>
    </row>
    <row r="3305" spans="1:18" x14ac:dyDescent="0.25">
      <c r="A3305" s="21">
        <v>45772</v>
      </c>
      <c r="B3305" s="1" t="s">
        <v>4173</v>
      </c>
      <c r="C3305" t="s">
        <v>5852</v>
      </c>
      <c r="D3305" s="22">
        <v>-4221</v>
      </c>
      <c r="E3305" t="s">
        <v>35</v>
      </c>
      <c r="F3305" s="2">
        <v>212901001</v>
      </c>
      <c r="G3305" s="2" t="s">
        <v>121</v>
      </c>
      <c r="L3305" s="2" t="s">
        <v>5853</v>
      </c>
      <c r="M3305" t="s">
        <v>67</v>
      </c>
      <c r="N3305" t="s">
        <v>68</v>
      </c>
      <c r="P3305" s="23">
        <v>84.42</v>
      </c>
      <c r="Q3305" s="4">
        <f t="shared" si="51"/>
        <v>-50</v>
      </c>
      <c r="R3305" s="23" t="s">
        <v>1198</v>
      </c>
    </row>
    <row r="3306" spans="1:18" x14ac:dyDescent="0.25">
      <c r="A3306" s="21">
        <v>45772</v>
      </c>
      <c r="B3306" s="1" t="s">
        <v>3933</v>
      </c>
      <c r="C3306" t="s">
        <v>5854</v>
      </c>
      <c r="D3306" s="22">
        <v>-5065.2</v>
      </c>
      <c r="E3306" t="s">
        <v>35</v>
      </c>
      <c r="F3306" s="2">
        <v>212901001</v>
      </c>
      <c r="G3306" s="2" t="s">
        <v>121</v>
      </c>
      <c r="L3306" s="2" t="s">
        <v>5855</v>
      </c>
      <c r="M3306" t="s">
        <v>67</v>
      </c>
      <c r="N3306" t="s">
        <v>68</v>
      </c>
      <c r="P3306" s="23">
        <v>84.42</v>
      </c>
      <c r="Q3306" s="4">
        <f t="shared" si="51"/>
        <v>-60</v>
      </c>
      <c r="R3306" s="23" t="s">
        <v>1198</v>
      </c>
    </row>
    <row r="3307" spans="1:18" x14ac:dyDescent="0.25">
      <c r="A3307" s="21">
        <v>45772</v>
      </c>
      <c r="B3307" s="1" t="s">
        <v>4049</v>
      </c>
      <c r="C3307" t="s">
        <v>5856</v>
      </c>
      <c r="D3307" s="22">
        <v>-4221</v>
      </c>
      <c r="E3307" t="s">
        <v>35</v>
      </c>
      <c r="F3307" s="2">
        <v>212901001</v>
      </c>
      <c r="G3307" s="2" t="s">
        <v>121</v>
      </c>
      <c r="L3307" s="2" t="s">
        <v>5857</v>
      </c>
      <c r="M3307" t="s">
        <v>67</v>
      </c>
      <c r="N3307" t="s">
        <v>68</v>
      </c>
      <c r="P3307" s="23">
        <v>84.42</v>
      </c>
      <c r="Q3307" s="4">
        <f t="shared" si="51"/>
        <v>-50</v>
      </c>
      <c r="R3307" s="23" t="s">
        <v>1198</v>
      </c>
    </row>
    <row r="3308" spans="1:18" x14ac:dyDescent="0.25">
      <c r="A3308" s="21">
        <v>45772</v>
      </c>
      <c r="B3308" s="1" t="s">
        <v>2571</v>
      </c>
      <c r="C3308" t="s">
        <v>5858</v>
      </c>
      <c r="D3308" s="22">
        <v>-5065.2</v>
      </c>
      <c r="E3308" t="s">
        <v>35</v>
      </c>
      <c r="F3308" s="2">
        <v>212901001</v>
      </c>
      <c r="G3308" s="2" t="s">
        <v>121</v>
      </c>
      <c r="L3308" s="2" t="s">
        <v>5859</v>
      </c>
      <c r="M3308" t="s">
        <v>67</v>
      </c>
      <c r="N3308" t="s">
        <v>68</v>
      </c>
      <c r="P3308" s="23">
        <v>84.42</v>
      </c>
      <c r="Q3308" s="4">
        <f t="shared" si="51"/>
        <v>-60</v>
      </c>
      <c r="R3308" s="23" t="s">
        <v>1198</v>
      </c>
    </row>
    <row r="3309" spans="1:18" x14ac:dyDescent="0.25">
      <c r="A3309" s="21">
        <v>45772</v>
      </c>
      <c r="B3309" s="1" t="s">
        <v>3924</v>
      </c>
      <c r="C3309" t="s">
        <v>5860</v>
      </c>
      <c r="D3309" s="22">
        <v>-5065.2</v>
      </c>
      <c r="E3309" t="s">
        <v>35</v>
      </c>
      <c r="F3309" s="2">
        <v>212901001</v>
      </c>
      <c r="G3309" s="2" t="s">
        <v>121</v>
      </c>
      <c r="L3309" s="2" t="s">
        <v>5861</v>
      </c>
      <c r="M3309" t="s">
        <v>67</v>
      </c>
      <c r="N3309" t="s">
        <v>68</v>
      </c>
      <c r="P3309" s="23">
        <v>84.42</v>
      </c>
      <c r="Q3309" s="4">
        <f t="shared" si="51"/>
        <v>-60</v>
      </c>
      <c r="R3309" s="23" t="s">
        <v>1198</v>
      </c>
    </row>
    <row r="3310" spans="1:18" x14ac:dyDescent="0.25">
      <c r="A3310" s="21">
        <v>45772</v>
      </c>
      <c r="B3310" s="1" t="s">
        <v>3927</v>
      </c>
      <c r="C3310" t="s">
        <v>5862</v>
      </c>
      <c r="D3310" s="22">
        <v>-5065.2</v>
      </c>
      <c r="E3310" t="s">
        <v>35</v>
      </c>
      <c r="F3310" s="2">
        <v>212901001</v>
      </c>
      <c r="G3310" s="2" t="s">
        <v>121</v>
      </c>
      <c r="L3310" s="2" t="s">
        <v>5863</v>
      </c>
      <c r="M3310" t="s">
        <v>67</v>
      </c>
      <c r="N3310" t="s">
        <v>68</v>
      </c>
      <c r="P3310" s="23">
        <v>84.42</v>
      </c>
      <c r="Q3310" s="4">
        <f t="shared" si="51"/>
        <v>-60</v>
      </c>
      <c r="R3310" s="23" t="s">
        <v>1198</v>
      </c>
    </row>
    <row r="3311" spans="1:18" x14ac:dyDescent="0.25">
      <c r="A3311" s="21">
        <v>45772</v>
      </c>
      <c r="B3311" s="1" t="s">
        <v>3914</v>
      </c>
      <c r="C3311" t="s">
        <v>5864</v>
      </c>
      <c r="D3311" s="22">
        <v>-5065.2</v>
      </c>
      <c r="E3311" t="s">
        <v>35</v>
      </c>
      <c r="F3311" s="2">
        <v>212901001</v>
      </c>
      <c r="G3311" s="2" t="s">
        <v>121</v>
      </c>
      <c r="L3311" s="2" t="s">
        <v>5865</v>
      </c>
      <c r="M3311" t="s">
        <v>67</v>
      </c>
      <c r="N3311" t="s">
        <v>68</v>
      </c>
      <c r="P3311" s="23">
        <v>84.42</v>
      </c>
      <c r="Q3311" s="4">
        <f t="shared" si="51"/>
        <v>-60</v>
      </c>
      <c r="R3311" s="23" t="s">
        <v>1198</v>
      </c>
    </row>
    <row r="3312" spans="1:18" x14ac:dyDescent="0.25">
      <c r="A3312" s="21">
        <v>45772</v>
      </c>
      <c r="B3312" s="1" t="s">
        <v>4161</v>
      </c>
      <c r="C3312" t="s">
        <v>5866</v>
      </c>
      <c r="D3312" s="22">
        <v>-6753.6</v>
      </c>
      <c r="E3312" t="s">
        <v>35</v>
      </c>
      <c r="F3312" s="2">
        <v>212901001</v>
      </c>
      <c r="G3312" s="2" t="s">
        <v>121</v>
      </c>
      <c r="L3312" s="2" t="s">
        <v>5867</v>
      </c>
      <c r="M3312" t="s">
        <v>67</v>
      </c>
      <c r="N3312" t="s">
        <v>68</v>
      </c>
      <c r="P3312" s="23">
        <v>84.42</v>
      </c>
      <c r="Q3312" s="4">
        <f t="shared" si="51"/>
        <v>-80</v>
      </c>
      <c r="R3312" s="23" t="s">
        <v>1198</v>
      </c>
    </row>
    <row r="3313" spans="1:18" x14ac:dyDescent="0.25">
      <c r="A3313" s="21">
        <v>45772</v>
      </c>
      <c r="B3313" s="1" t="s">
        <v>4055</v>
      </c>
      <c r="C3313" t="s">
        <v>5868</v>
      </c>
      <c r="D3313" s="22">
        <v>-3376.8</v>
      </c>
      <c r="E3313" t="s">
        <v>35</v>
      </c>
      <c r="F3313" s="2">
        <v>212901001</v>
      </c>
      <c r="G3313" s="2" t="s">
        <v>121</v>
      </c>
      <c r="L3313" s="2" t="s">
        <v>5869</v>
      </c>
      <c r="M3313" t="s">
        <v>67</v>
      </c>
      <c r="N3313" t="s">
        <v>68</v>
      </c>
      <c r="P3313" s="23">
        <v>84.42</v>
      </c>
      <c r="Q3313" s="4">
        <f t="shared" si="51"/>
        <v>-40</v>
      </c>
      <c r="R3313" s="23" t="s">
        <v>1198</v>
      </c>
    </row>
    <row r="3314" spans="1:18" x14ac:dyDescent="0.25">
      <c r="A3314" s="21">
        <v>45772</v>
      </c>
      <c r="B3314" s="1" t="s">
        <v>4167</v>
      </c>
      <c r="C3314" t="s">
        <v>5870</v>
      </c>
      <c r="D3314" s="22">
        <v>-8442</v>
      </c>
      <c r="E3314" t="s">
        <v>35</v>
      </c>
      <c r="F3314" s="2">
        <v>212901001</v>
      </c>
      <c r="G3314" s="2" t="s">
        <v>121</v>
      </c>
      <c r="L3314" s="2" t="s">
        <v>5871</v>
      </c>
      <c r="M3314" t="s">
        <v>67</v>
      </c>
      <c r="N3314" t="s">
        <v>68</v>
      </c>
      <c r="P3314" s="23">
        <v>84.42</v>
      </c>
      <c r="Q3314" s="4">
        <f t="shared" si="51"/>
        <v>-100</v>
      </c>
      <c r="R3314" s="23" t="s">
        <v>1198</v>
      </c>
    </row>
    <row r="3315" spans="1:18" x14ac:dyDescent="0.25">
      <c r="A3315" s="21">
        <v>45772</v>
      </c>
      <c r="B3315" s="1" t="s">
        <v>4136</v>
      </c>
      <c r="C3315" t="s">
        <v>5872</v>
      </c>
      <c r="D3315" s="22">
        <v>-4558.68</v>
      </c>
      <c r="E3315" t="s">
        <v>35</v>
      </c>
      <c r="F3315" s="2">
        <v>212901001</v>
      </c>
      <c r="G3315" s="2" t="s">
        <v>121</v>
      </c>
      <c r="L3315" s="2" t="s">
        <v>5873</v>
      </c>
      <c r="M3315" t="s">
        <v>67</v>
      </c>
      <c r="N3315" t="s">
        <v>68</v>
      </c>
      <c r="P3315" s="23">
        <v>84.42</v>
      </c>
      <c r="Q3315" s="4">
        <f t="shared" si="51"/>
        <v>-54</v>
      </c>
      <c r="R3315" s="23" t="s">
        <v>1198</v>
      </c>
    </row>
    <row r="3316" spans="1:18" x14ac:dyDescent="0.25">
      <c r="A3316" s="21">
        <v>45772</v>
      </c>
      <c r="B3316" s="1" t="s">
        <v>4139</v>
      </c>
      <c r="C3316" t="s">
        <v>5874</v>
      </c>
      <c r="D3316" s="22">
        <v>-4221</v>
      </c>
      <c r="E3316" t="s">
        <v>35</v>
      </c>
      <c r="F3316" s="2">
        <v>212901001</v>
      </c>
      <c r="G3316" s="2" t="s">
        <v>121</v>
      </c>
      <c r="L3316" s="2" t="s">
        <v>5875</v>
      </c>
      <c r="M3316" t="s">
        <v>67</v>
      </c>
      <c r="N3316" t="s">
        <v>68</v>
      </c>
      <c r="P3316" s="23">
        <v>84.42</v>
      </c>
      <c r="Q3316" s="4">
        <f t="shared" si="51"/>
        <v>-50</v>
      </c>
      <c r="R3316" s="23" t="s">
        <v>1198</v>
      </c>
    </row>
    <row r="3317" spans="1:18" x14ac:dyDescent="0.25">
      <c r="A3317" s="21">
        <v>45772</v>
      </c>
      <c r="B3317" s="1" t="s">
        <v>4151</v>
      </c>
      <c r="C3317" t="s">
        <v>5876</v>
      </c>
      <c r="D3317" s="22">
        <v>-8442</v>
      </c>
      <c r="E3317" t="s">
        <v>35</v>
      </c>
      <c r="F3317" s="2">
        <v>212901001</v>
      </c>
      <c r="G3317" s="2" t="s">
        <v>121</v>
      </c>
      <c r="L3317" s="2" t="s">
        <v>5877</v>
      </c>
      <c r="M3317" t="s">
        <v>67</v>
      </c>
      <c r="N3317" t="s">
        <v>68</v>
      </c>
      <c r="P3317" s="23">
        <v>84.42</v>
      </c>
      <c r="Q3317" s="4">
        <f t="shared" si="51"/>
        <v>-100</v>
      </c>
      <c r="R3317" s="23" t="s">
        <v>1198</v>
      </c>
    </row>
    <row r="3318" spans="1:18" x14ac:dyDescent="0.25">
      <c r="A3318" s="21">
        <v>45772</v>
      </c>
      <c r="B3318" s="1" t="s">
        <v>1208</v>
      </c>
      <c r="C3318" t="s">
        <v>5878</v>
      </c>
      <c r="D3318" s="22">
        <v>-6753.6</v>
      </c>
      <c r="E3318" t="s">
        <v>35</v>
      </c>
      <c r="F3318" s="2">
        <v>212901001</v>
      </c>
      <c r="G3318" s="2" t="s">
        <v>121</v>
      </c>
      <c r="L3318" s="2" t="s">
        <v>5879</v>
      </c>
      <c r="M3318" t="s">
        <v>67</v>
      </c>
      <c r="N3318" t="s">
        <v>68</v>
      </c>
      <c r="P3318" s="23">
        <v>84.42</v>
      </c>
      <c r="Q3318" s="4">
        <f t="shared" si="51"/>
        <v>-80</v>
      </c>
      <c r="R3318" s="23" t="s">
        <v>1198</v>
      </c>
    </row>
    <row r="3319" spans="1:18" x14ac:dyDescent="0.25">
      <c r="A3319" s="21">
        <v>45772</v>
      </c>
      <c r="B3319" s="1" t="s">
        <v>1211</v>
      </c>
      <c r="C3319" t="s">
        <v>5880</v>
      </c>
      <c r="D3319" s="22">
        <v>-5065.2</v>
      </c>
      <c r="E3319" t="s">
        <v>35</v>
      </c>
      <c r="F3319" s="2">
        <v>212901001</v>
      </c>
      <c r="G3319" s="2" t="s">
        <v>121</v>
      </c>
      <c r="L3319" s="2" t="s">
        <v>5881</v>
      </c>
      <c r="M3319" t="s">
        <v>67</v>
      </c>
      <c r="N3319" t="s">
        <v>68</v>
      </c>
      <c r="P3319" s="23">
        <v>84.42</v>
      </c>
      <c r="Q3319" s="4">
        <f t="shared" si="51"/>
        <v>-60</v>
      </c>
      <c r="R3319" s="23" t="s">
        <v>1198</v>
      </c>
    </row>
    <row r="3320" spans="1:18" x14ac:dyDescent="0.25">
      <c r="A3320" s="21">
        <v>45772</v>
      </c>
      <c r="B3320" s="1" t="s">
        <v>3917</v>
      </c>
      <c r="C3320" t="s">
        <v>5882</v>
      </c>
      <c r="D3320" s="22">
        <v>-5065.2</v>
      </c>
      <c r="E3320" t="s">
        <v>35</v>
      </c>
      <c r="F3320" s="2">
        <v>212901001</v>
      </c>
      <c r="G3320" s="2" t="s">
        <v>121</v>
      </c>
      <c r="L3320" s="2" t="s">
        <v>5883</v>
      </c>
      <c r="M3320" t="s">
        <v>67</v>
      </c>
      <c r="N3320" t="s">
        <v>68</v>
      </c>
      <c r="P3320" s="23">
        <v>84.42</v>
      </c>
      <c r="Q3320" s="4">
        <f t="shared" si="51"/>
        <v>-60</v>
      </c>
      <c r="R3320" s="23" t="s">
        <v>1198</v>
      </c>
    </row>
    <row r="3321" spans="1:18" x14ac:dyDescent="0.25">
      <c r="A3321" s="21">
        <v>45772</v>
      </c>
      <c r="B3321" s="1" t="s">
        <v>4088</v>
      </c>
      <c r="C3321" t="s">
        <v>5884</v>
      </c>
      <c r="D3321" s="22">
        <v>-8442</v>
      </c>
      <c r="E3321" t="s">
        <v>35</v>
      </c>
      <c r="F3321" s="2">
        <v>212901001</v>
      </c>
      <c r="G3321" s="2" t="s">
        <v>121</v>
      </c>
      <c r="L3321" s="2" t="s">
        <v>5885</v>
      </c>
      <c r="M3321" t="s">
        <v>67</v>
      </c>
      <c r="N3321" t="s">
        <v>68</v>
      </c>
      <c r="P3321" s="23">
        <v>84.42</v>
      </c>
      <c r="Q3321" s="4">
        <f t="shared" si="51"/>
        <v>-100</v>
      </c>
      <c r="R3321" s="23" t="s">
        <v>1198</v>
      </c>
    </row>
    <row r="3322" spans="1:18" x14ac:dyDescent="0.25">
      <c r="A3322" s="21">
        <v>45772</v>
      </c>
      <c r="B3322" s="1" t="s">
        <v>4015</v>
      </c>
      <c r="C3322" t="s">
        <v>5886</v>
      </c>
      <c r="D3322" s="22">
        <v>-4221</v>
      </c>
      <c r="E3322" t="s">
        <v>35</v>
      </c>
      <c r="F3322" s="2">
        <v>212901001</v>
      </c>
      <c r="G3322" s="2" t="s">
        <v>121</v>
      </c>
      <c r="L3322" s="2" t="s">
        <v>5887</v>
      </c>
      <c r="M3322" t="s">
        <v>67</v>
      </c>
      <c r="N3322" t="s">
        <v>68</v>
      </c>
      <c r="P3322" s="23">
        <v>84.42</v>
      </c>
      <c r="Q3322" s="4">
        <f t="shared" si="51"/>
        <v>-50</v>
      </c>
      <c r="R3322" s="23" t="s">
        <v>1198</v>
      </c>
    </row>
    <row r="3323" spans="1:18" x14ac:dyDescent="0.25">
      <c r="A3323" s="21">
        <v>45772</v>
      </c>
      <c r="B3323" s="1" t="s">
        <v>4130</v>
      </c>
      <c r="C3323" t="s">
        <v>5888</v>
      </c>
      <c r="D3323" s="22">
        <v>-3376.8</v>
      </c>
      <c r="E3323" t="s">
        <v>35</v>
      </c>
      <c r="F3323" s="2">
        <v>212901001</v>
      </c>
      <c r="G3323" s="2" t="s">
        <v>121</v>
      </c>
      <c r="L3323" s="2" t="s">
        <v>5889</v>
      </c>
      <c r="M3323" t="s">
        <v>67</v>
      </c>
      <c r="N3323" t="s">
        <v>68</v>
      </c>
      <c r="P3323" s="23">
        <v>84.42</v>
      </c>
      <c r="Q3323" s="4">
        <f t="shared" si="51"/>
        <v>-40</v>
      </c>
      <c r="R3323" s="23" t="s">
        <v>1198</v>
      </c>
    </row>
    <row r="3324" spans="1:18" x14ac:dyDescent="0.25">
      <c r="A3324" s="21">
        <v>45772</v>
      </c>
      <c r="B3324" s="1" t="s">
        <v>4027</v>
      </c>
      <c r="C3324" t="s">
        <v>5890</v>
      </c>
      <c r="D3324" s="22">
        <v>-6753.6</v>
      </c>
      <c r="E3324" t="s">
        <v>35</v>
      </c>
      <c r="F3324" s="2">
        <v>212901001</v>
      </c>
      <c r="G3324" s="2" t="s">
        <v>121</v>
      </c>
      <c r="L3324" s="2" t="s">
        <v>5891</v>
      </c>
      <c r="M3324" t="s">
        <v>67</v>
      </c>
      <c r="N3324" t="s">
        <v>68</v>
      </c>
      <c r="P3324" s="23">
        <v>84.42</v>
      </c>
      <c r="Q3324" s="4">
        <f t="shared" si="51"/>
        <v>-80</v>
      </c>
      <c r="R3324" s="23" t="s">
        <v>1198</v>
      </c>
    </row>
    <row r="3325" spans="1:18" x14ac:dyDescent="0.25">
      <c r="A3325" s="21">
        <v>45772</v>
      </c>
      <c r="B3325" s="1" t="s">
        <v>4122</v>
      </c>
      <c r="C3325" t="s">
        <v>5892</v>
      </c>
      <c r="D3325" s="22">
        <v>-4221</v>
      </c>
      <c r="E3325" t="s">
        <v>35</v>
      </c>
      <c r="F3325" s="2">
        <v>212901001</v>
      </c>
      <c r="G3325" s="2" t="s">
        <v>121</v>
      </c>
      <c r="L3325" s="2" t="s">
        <v>5893</v>
      </c>
      <c r="M3325" t="s">
        <v>67</v>
      </c>
      <c r="N3325" t="s">
        <v>68</v>
      </c>
      <c r="P3325" s="23">
        <v>84.42</v>
      </c>
      <c r="Q3325" s="4">
        <f t="shared" si="51"/>
        <v>-50</v>
      </c>
      <c r="R3325" s="23" t="s">
        <v>1198</v>
      </c>
    </row>
    <row r="3326" spans="1:18" x14ac:dyDescent="0.25">
      <c r="A3326" s="21">
        <v>45772</v>
      </c>
      <c r="B3326" s="1" t="s">
        <v>4176</v>
      </c>
      <c r="C3326" t="s">
        <v>5894</v>
      </c>
      <c r="D3326" s="22">
        <v>-4221</v>
      </c>
      <c r="E3326" t="s">
        <v>35</v>
      </c>
      <c r="F3326" s="2">
        <v>212901001</v>
      </c>
      <c r="G3326" s="2" t="s">
        <v>121</v>
      </c>
      <c r="L3326" s="2" t="s">
        <v>5895</v>
      </c>
      <c r="M3326" t="s">
        <v>67</v>
      </c>
      <c r="N3326" t="s">
        <v>68</v>
      </c>
      <c r="P3326" s="23">
        <v>84.42</v>
      </c>
      <c r="Q3326" s="4">
        <f t="shared" si="51"/>
        <v>-50</v>
      </c>
      <c r="R3326" s="23" t="s">
        <v>1198</v>
      </c>
    </row>
    <row r="3327" spans="1:18" x14ac:dyDescent="0.25">
      <c r="A3327" s="21">
        <v>45772</v>
      </c>
      <c r="B3327" s="1" t="s">
        <v>4197</v>
      </c>
      <c r="C3327" t="s">
        <v>5896</v>
      </c>
      <c r="D3327" s="22">
        <v>-4221</v>
      </c>
      <c r="E3327" t="s">
        <v>35</v>
      </c>
      <c r="F3327" s="2">
        <v>212901001</v>
      </c>
      <c r="G3327" s="2" t="s">
        <v>121</v>
      </c>
      <c r="L3327" s="2" t="s">
        <v>5897</v>
      </c>
      <c r="M3327" t="s">
        <v>67</v>
      </c>
      <c r="N3327" t="s">
        <v>68</v>
      </c>
      <c r="P3327" s="23">
        <v>84.42</v>
      </c>
      <c r="Q3327" s="4">
        <f t="shared" si="51"/>
        <v>-50</v>
      </c>
      <c r="R3327" s="23" t="s">
        <v>1198</v>
      </c>
    </row>
    <row r="3328" spans="1:18" x14ac:dyDescent="0.25">
      <c r="A3328" s="21">
        <v>45772</v>
      </c>
      <c r="B3328" s="1" t="s">
        <v>4018</v>
      </c>
      <c r="C3328" t="s">
        <v>5898</v>
      </c>
      <c r="D3328" s="22">
        <v>-6753.6</v>
      </c>
      <c r="E3328" t="s">
        <v>35</v>
      </c>
      <c r="F3328" s="2">
        <v>212901001</v>
      </c>
      <c r="G3328" s="2" t="s">
        <v>121</v>
      </c>
      <c r="L3328" s="2" t="s">
        <v>5899</v>
      </c>
      <c r="M3328" t="s">
        <v>67</v>
      </c>
      <c r="N3328" t="s">
        <v>68</v>
      </c>
      <c r="P3328" s="23">
        <v>84.42</v>
      </c>
      <c r="Q3328" s="4">
        <f t="shared" si="51"/>
        <v>-80</v>
      </c>
      <c r="R3328" s="23" t="s">
        <v>1198</v>
      </c>
    </row>
    <row r="3329" spans="1:18" x14ac:dyDescent="0.25">
      <c r="A3329" s="21">
        <v>45772</v>
      </c>
      <c r="B3329" s="1" t="s">
        <v>4021</v>
      </c>
      <c r="C3329" t="s">
        <v>5900</v>
      </c>
      <c r="D3329" s="22">
        <v>-6753.6</v>
      </c>
      <c r="E3329" t="s">
        <v>35</v>
      </c>
      <c r="F3329" s="2">
        <v>212901001</v>
      </c>
      <c r="G3329" s="2" t="s">
        <v>121</v>
      </c>
      <c r="L3329" s="2" t="s">
        <v>5901</v>
      </c>
      <c r="M3329" t="s">
        <v>67</v>
      </c>
      <c r="N3329" t="s">
        <v>68</v>
      </c>
      <c r="P3329" s="23">
        <v>84.42</v>
      </c>
      <c r="Q3329" s="4">
        <f t="shared" si="51"/>
        <v>-80</v>
      </c>
      <c r="R3329" s="23" t="s">
        <v>1198</v>
      </c>
    </row>
    <row r="3330" spans="1:18" x14ac:dyDescent="0.25">
      <c r="A3330" s="21">
        <v>45772</v>
      </c>
      <c r="B3330" s="1" t="s">
        <v>4052</v>
      </c>
      <c r="C3330" t="s">
        <v>5902</v>
      </c>
      <c r="D3330" s="22">
        <v>-4221</v>
      </c>
      <c r="E3330" t="s">
        <v>35</v>
      </c>
      <c r="F3330" s="2">
        <v>212901001</v>
      </c>
      <c r="G3330" s="2" t="s">
        <v>121</v>
      </c>
      <c r="L3330" s="2" t="s">
        <v>5903</v>
      </c>
      <c r="M3330" t="s">
        <v>67</v>
      </c>
      <c r="N3330" t="s">
        <v>68</v>
      </c>
      <c r="P3330" s="23">
        <v>84.42</v>
      </c>
      <c r="Q3330" s="4">
        <f t="shared" si="51"/>
        <v>-50</v>
      </c>
      <c r="R3330" s="23" t="s">
        <v>1198</v>
      </c>
    </row>
    <row r="3331" spans="1:18" x14ac:dyDescent="0.25">
      <c r="A3331" s="21">
        <v>45772</v>
      </c>
      <c r="B3331" s="1" t="s">
        <v>4133</v>
      </c>
      <c r="C3331" t="s">
        <v>5904</v>
      </c>
      <c r="D3331" s="22">
        <v>-8442</v>
      </c>
      <c r="E3331" t="s">
        <v>35</v>
      </c>
      <c r="F3331" s="2">
        <v>212901001</v>
      </c>
      <c r="G3331" s="2" t="s">
        <v>121</v>
      </c>
      <c r="L3331" s="2" t="s">
        <v>5905</v>
      </c>
      <c r="M3331" t="s">
        <v>67</v>
      </c>
      <c r="N3331" t="s">
        <v>68</v>
      </c>
      <c r="P3331" s="23">
        <v>84.42</v>
      </c>
      <c r="Q3331" s="4">
        <f t="shared" si="51"/>
        <v>-100</v>
      </c>
      <c r="R3331" s="23" t="s">
        <v>1198</v>
      </c>
    </row>
    <row r="3332" spans="1:18" x14ac:dyDescent="0.25">
      <c r="A3332" s="21">
        <v>45772</v>
      </c>
      <c r="B3332" s="1" t="s">
        <v>4073</v>
      </c>
      <c r="C3332" t="s">
        <v>5906</v>
      </c>
      <c r="D3332" s="22">
        <v>-9286.2000000000007</v>
      </c>
      <c r="E3332" t="s">
        <v>35</v>
      </c>
      <c r="F3332" s="2">
        <v>212901001</v>
      </c>
      <c r="G3332" s="2" t="s">
        <v>121</v>
      </c>
      <c r="L3332" s="2" t="s">
        <v>5907</v>
      </c>
      <c r="M3332" t="s">
        <v>67</v>
      </c>
      <c r="N3332" t="s">
        <v>68</v>
      </c>
      <c r="P3332" s="23">
        <v>84.42</v>
      </c>
      <c r="Q3332" s="4">
        <f t="shared" si="51"/>
        <v>-110</v>
      </c>
      <c r="R3332" s="23" t="s">
        <v>1198</v>
      </c>
    </row>
    <row r="3333" spans="1:18" x14ac:dyDescent="0.25">
      <c r="A3333" s="21">
        <v>45772</v>
      </c>
      <c r="B3333" s="1" t="s">
        <v>4191</v>
      </c>
      <c r="C3333" t="s">
        <v>5892</v>
      </c>
      <c r="D3333" s="22">
        <v>-4221</v>
      </c>
      <c r="E3333" t="s">
        <v>35</v>
      </c>
      <c r="F3333" s="2">
        <v>212901001</v>
      </c>
      <c r="G3333" s="2" t="s">
        <v>121</v>
      </c>
      <c r="L3333" s="2" t="s">
        <v>5908</v>
      </c>
      <c r="M3333" t="s">
        <v>67</v>
      </c>
      <c r="N3333" t="s">
        <v>68</v>
      </c>
      <c r="P3333" s="23">
        <v>84.42</v>
      </c>
      <c r="Q3333" s="4">
        <f t="shared" si="51"/>
        <v>-50</v>
      </c>
      <c r="R3333" s="23" t="s">
        <v>1198</v>
      </c>
    </row>
    <row r="3334" spans="1:18" x14ac:dyDescent="0.25">
      <c r="A3334" s="21">
        <v>45772</v>
      </c>
      <c r="B3334" s="1" t="s">
        <v>4194</v>
      </c>
      <c r="C3334" t="s">
        <v>5909</v>
      </c>
      <c r="D3334" s="22">
        <v>-3545.64</v>
      </c>
      <c r="E3334" t="s">
        <v>35</v>
      </c>
      <c r="F3334" s="2">
        <v>212901001</v>
      </c>
      <c r="G3334" s="2" t="s">
        <v>121</v>
      </c>
      <c r="L3334" s="2" t="s">
        <v>5910</v>
      </c>
      <c r="M3334" t="s">
        <v>67</v>
      </c>
      <c r="N3334" t="s">
        <v>68</v>
      </c>
      <c r="P3334" s="23">
        <v>84.42</v>
      </c>
      <c r="Q3334" s="4">
        <f t="shared" si="51"/>
        <v>-42</v>
      </c>
      <c r="R3334" s="23" t="s">
        <v>1198</v>
      </c>
    </row>
    <row r="3335" spans="1:18" x14ac:dyDescent="0.25">
      <c r="A3335" s="21">
        <v>45772</v>
      </c>
      <c r="B3335" s="1" t="s">
        <v>4079</v>
      </c>
      <c r="C3335" t="s">
        <v>5911</v>
      </c>
      <c r="D3335" s="22">
        <v>-4221</v>
      </c>
      <c r="E3335" t="s">
        <v>35</v>
      </c>
      <c r="F3335" s="2">
        <v>212901001</v>
      </c>
      <c r="G3335" s="2" t="s">
        <v>121</v>
      </c>
      <c r="L3335" s="2" t="s">
        <v>5912</v>
      </c>
      <c r="M3335" t="s">
        <v>67</v>
      </c>
      <c r="N3335" t="s">
        <v>68</v>
      </c>
      <c r="P3335" s="23">
        <v>84.42</v>
      </c>
      <c r="Q3335" s="4">
        <f t="shared" si="51"/>
        <v>-50</v>
      </c>
      <c r="R3335" s="23" t="s">
        <v>1198</v>
      </c>
    </row>
    <row r="3336" spans="1:18" x14ac:dyDescent="0.25">
      <c r="A3336" s="21">
        <v>45772</v>
      </c>
      <c r="B3336" s="1" t="s">
        <v>4085</v>
      </c>
      <c r="C3336" t="s">
        <v>5913</v>
      </c>
      <c r="D3336" s="22">
        <v>-1688.4</v>
      </c>
      <c r="E3336" t="s">
        <v>35</v>
      </c>
      <c r="F3336" s="2">
        <v>212901001</v>
      </c>
      <c r="G3336" s="2" t="s">
        <v>121</v>
      </c>
      <c r="L3336" s="2" t="s">
        <v>5914</v>
      </c>
      <c r="M3336" t="s">
        <v>67</v>
      </c>
      <c r="N3336" t="s">
        <v>68</v>
      </c>
      <c r="P3336" s="23">
        <v>84.42</v>
      </c>
      <c r="Q3336" s="4">
        <f t="shared" si="51"/>
        <v>-20</v>
      </c>
      <c r="R3336" s="23" t="s">
        <v>1198</v>
      </c>
    </row>
    <row r="3337" spans="1:18" x14ac:dyDescent="0.25">
      <c r="A3337" s="21">
        <v>45772</v>
      </c>
      <c r="B3337" s="1" t="s">
        <v>3930</v>
      </c>
      <c r="C3337" t="s">
        <v>5915</v>
      </c>
      <c r="D3337" s="22">
        <v>-5065.2</v>
      </c>
      <c r="E3337" t="s">
        <v>35</v>
      </c>
      <c r="F3337" s="2">
        <v>212901001</v>
      </c>
      <c r="G3337" s="2" t="s">
        <v>121</v>
      </c>
      <c r="L3337" s="2" t="s">
        <v>5916</v>
      </c>
      <c r="M3337" t="s">
        <v>67</v>
      </c>
      <c r="N3337" t="s">
        <v>68</v>
      </c>
      <c r="P3337" s="23">
        <v>84.42</v>
      </c>
      <c r="Q3337" s="4">
        <f t="shared" si="51"/>
        <v>-60</v>
      </c>
      <c r="R3337" s="23" t="s">
        <v>1198</v>
      </c>
    </row>
    <row r="3338" spans="1:18" x14ac:dyDescent="0.25">
      <c r="A3338" s="21">
        <v>45772</v>
      </c>
      <c r="B3338" s="1" t="s">
        <v>4108</v>
      </c>
      <c r="C3338" t="s">
        <v>5917</v>
      </c>
      <c r="D3338" s="22">
        <v>-12663</v>
      </c>
      <c r="E3338" t="s">
        <v>35</v>
      </c>
      <c r="F3338" s="2">
        <v>212901001</v>
      </c>
      <c r="G3338" s="2" t="s">
        <v>121</v>
      </c>
      <c r="L3338" s="2" t="s">
        <v>5918</v>
      </c>
      <c r="M3338" t="s">
        <v>67</v>
      </c>
      <c r="N3338" t="s">
        <v>68</v>
      </c>
      <c r="P3338" s="23">
        <v>84.42</v>
      </c>
      <c r="Q3338" s="4">
        <f t="shared" si="51"/>
        <v>-150</v>
      </c>
      <c r="R3338" s="23" t="s">
        <v>1198</v>
      </c>
    </row>
    <row r="3339" spans="1:18" x14ac:dyDescent="0.25">
      <c r="A3339" s="21">
        <v>45772</v>
      </c>
      <c r="B3339" s="1" t="s">
        <v>4127</v>
      </c>
      <c r="C3339" t="s">
        <v>5919</v>
      </c>
      <c r="D3339" s="22">
        <v>-6753.6</v>
      </c>
      <c r="E3339" t="s">
        <v>35</v>
      </c>
      <c r="F3339" s="2">
        <v>212901001</v>
      </c>
      <c r="G3339" s="2" t="s">
        <v>121</v>
      </c>
      <c r="L3339" s="2" t="s">
        <v>5920</v>
      </c>
      <c r="M3339" t="s">
        <v>67</v>
      </c>
      <c r="N3339" t="s">
        <v>68</v>
      </c>
      <c r="P3339" s="23">
        <v>84.42</v>
      </c>
      <c r="Q3339" s="4">
        <f t="shared" ref="Q3339:Q3402" si="52">D3339/P3339</f>
        <v>-80</v>
      </c>
      <c r="R3339" s="23" t="s">
        <v>1198</v>
      </c>
    </row>
    <row r="3340" spans="1:18" x14ac:dyDescent="0.25">
      <c r="A3340" s="21">
        <v>45772</v>
      </c>
      <c r="B3340" s="1" t="s">
        <v>4070</v>
      </c>
      <c r="C3340" t="s">
        <v>5921</v>
      </c>
      <c r="D3340" s="22">
        <v>-3376.8</v>
      </c>
      <c r="E3340" t="s">
        <v>35</v>
      </c>
      <c r="F3340" s="2">
        <v>212901001</v>
      </c>
      <c r="G3340" s="2" t="s">
        <v>121</v>
      </c>
      <c r="L3340" s="2" t="s">
        <v>5922</v>
      </c>
      <c r="M3340" t="s">
        <v>67</v>
      </c>
      <c r="N3340" t="s">
        <v>68</v>
      </c>
      <c r="P3340" s="23">
        <v>84.42</v>
      </c>
      <c r="Q3340" s="4">
        <f t="shared" si="52"/>
        <v>-40</v>
      </c>
      <c r="R3340" s="23" t="s">
        <v>1198</v>
      </c>
    </row>
    <row r="3341" spans="1:18" x14ac:dyDescent="0.25">
      <c r="A3341" s="21">
        <v>45772</v>
      </c>
      <c r="B3341" s="1" t="s">
        <v>4164</v>
      </c>
      <c r="C3341" t="s">
        <v>5923</v>
      </c>
      <c r="D3341" s="22">
        <v>-3376.8</v>
      </c>
      <c r="E3341" t="s">
        <v>35</v>
      </c>
      <c r="F3341" s="2">
        <v>212901001</v>
      </c>
      <c r="G3341" s="2" t="s">
        <v>121</v>
      </c>
      <c r="L3341" s="2" t="s">
        <v>5924</v>
      </c>
      <c r="M3341" t="s">
        <v>67</v>
      </c>
      <c r="N3341" t="s">
        <v>68</v>
      </c>
      <c r="P3341" s="23">
        <v>84.42</v>
      </c>
      <c r="Q3341" s="4">
        <f t="shared" si="52"/>
        <v>-40</v>
      </c>
      <c r="R3341" s="23" t="s">
        <v>1198</v>
      </c>
    </row>
    <row r="3342" spans="1:18" x14ac:dyDescent="0.25">
      <c r="A3342" s="21">
        <v>45772</v>
      </c>
      <c r="B3342" s="1" t="s">
        <v>4061</v>
      </c>
      <c r="C3342" t="s">
        <v>5925</v>
      </c>
      <c r="D3342" s="22">
        <v>-12663</v>
      </c>
      <c r="E3342" t="s">
        <v>35</v>
      </c>
      <c r="F3342" s="2">
        <v>212901001</v>
      </c>
      <c r="G3342" s="2" t="s">
        <v>121</v>
      </c>
      <c r="L3342" s="2" t="s">
        <v>5926</v>
      </c>
      <c r="M3342" t="s">
        <v>67</v>
      </c>
      <c r="N3342" t="s">
        <v>68</v>
      </c>
      <c r="P3342" s="23">
        <v>84.42</v>
      </c>
      <c r="Q3342" s="4">
        <f t="shared" si="52"/>
        <v>-150</v>
      </c>
      <c r="R3342" s="23" t="s">
        <v>1198</v>
      </c>
    </row>
    <row r="3343" spans="1:18" x14ac:dyDescent="0.25">
      <c r="A3343" s="21">
        <v>45772</v>
      </c>
      <c r="B3343" s="1" t="s">
        <v>4094</v>
      </c>
      <c r="C3343" t="s">
        <v>5927</v>
      </c>
      <c r="D3343" s="22">
        <v>-3545.64</v>
      </c>
      <c r="E3343" t="s">
        <v>35</v>
      </c>
      <c r="F3343" s="2">
        <v>212901001</v>
      </c>
      <c r="G3343" s="2" t="s">
        <v>121</v>
      </c>
      <c r="L3343" s="2" t="s">
        <v>5928</v>
      </c>
      <c r="M3343" t="s">
        <v>67</v>
      </c>
      <c r="N3343" t="s">
        <v>68</v>
      </c>
      <c r="P3343" s="23">
        <v>84.42</v>
      </c>
      <c r="Q3343" s="4">
        <f t="shared" si="52"/>
        <v>-42</v>
      </c>
      <c r="R3343" s="23" t="s">
        <v>1198</v>
      </c>
    </row>
    <row r="3344" spans="1:18" x14ac:dyDescent="0.25">
      <c r="A3344" s="21">
        <v>45772</v>
      </c>
      <c r="B3344" s="1" t="s">
        <v>4185</v>
      </c>
      <c r="C3344" t="s">
        <v>5929</v>
      </c>
      <c r="D3344" s="22">
        <v>-2532.6</v>
      </c>
      <c r="E3344" t="s">
        <v>35</v>
      </c>
      <c r="F3344" s="2">
        <v>212901001</v>
      </c>
      <c r="G3344" s="2" t="s">
        <v>121</v>
      </c>
      <c r="L3344" s="2" t="s">
        <v>5930</v>
      </c>
      <c r="M3344" t="s">
        <v>67</v>
      </c>
      <c r="N3344" t="s">
        <v>68</v>
      </c>
      <c r="P3344" s="23">
        <v>84.42</v>
      </c>
      <c r="Q3344" s="4">
        <f t="shared" si="52"/>
        <v>-30</v>
      </c>
      <c r="R3344" s="23" t="s">
        <v>1198</v>
      </c>
    </row>
    <row r="3345" spans="1:18" x14ac:dyDescent="0.25">
      <c r="A3345" s="21">
        <v>45772</v>
      </c>
      <c r="B3345" s="1" t="s">
        <v>4064</v>
      </c>
      <c r="C3345" t="s">
        <v>5931</v>
      </c>
      <c r="D3345" s="22">
        <v>-3545.64</v>
      </c>
      <c r="E3345" t="s">
        <v>35</v>
      </c>
      <c r="F3345" s="2">
        <v>212901001</v>
      </c>
      <c r="G3345" s="2" t="s">
        <v>121</v>
      </c>
      <c r="L3345" s="2" t="s">
        <v>5932</v>
      </c>
      <c r="M3345" t="s">
        <v>67</v>
      </c>
      <c r="N3345" t="s">
        <v>68</v>
      </c>
      <c r="P3345" s="23">
        <v>84.42</v>
      </c>
      <c r="Q3345" s="4">
        <f t="shared" si="52"/>
        <v>-42</v>
      </c>
      <c r="R3345" s="23" t="s">
        <v>1198</v>
      </c>
    </row>
    <row r="3346" spans="1:18" x14ac:dyDescent="0.25">
      <c r="A3346" s="21">
        <v>45772</v>
      </c>
      <c r="B3346" s="1" t="s">
        <v>4148</v>
      </c>
      <c r="C3346" t="s">
        <v>5933</v>
      </c>
      <c r="D3346" s="22">
        <v>-3545.64</v>
      </c>
      <c r="E3346" t="s">
        <v>35</v>
      </c>
      <c r="F3346" s="2">
        <v>212901001</v>
      </c>
      <c r="G3346" s="2" t="s">
        <v>121</v>
      </c>
      <c r="L3346" s="2" t="s">
        <v>5934</v>
      </c>
      <c r="M3346" t="s">
        <v>67</v>
      </c>
      <c r="N3346" t="s">
        <v>68</v>
      </c>
      <c r="P3346" s="23">
        <v>84.42</v>
      </c>
      <c r="Q3346" s="4">
        <f t="shared" si="52"/>
        <v>-42</v>
      </c>
      <c r="R3346" s="23" t="s">
        <v>1198</v>
      </c>
    </row>
    <row r="3347" spans="1:18" x14ac:dyDescent="0.25">
      <c r="A3347" s="21">
        <v>45772</v>
      </c>
      <c r="B3347" s="1" t="s">
        <v>4145</v>
      </c>
      <c r="C3347" t="s">
        <v>5935</v>
      </c>
      <c r="D3347" s="22">
        <v>-1688.4</v>
      </c>
      <c r="E3347" t="s">
        <v>35</v>
      </c>
      <c r="F3347" s="2">
        <v>212901001</v>
      </c>
      <c r="G3347" s="2" t="s">
        <v>121</v>
      </c>
      <c r="L3347" s="2" t="s">
        <v>5936</v>
      </c>
      <c r="M3347" t="s">
        <v>67</v>
      </c>
      <c r="N3347" t="s">
        <v>68</v>
      </c>
      <c r="P3347" s="23">
        <v>84.42</v>
      </c>
      <c r="Q3347" s="4">
        <f t="shared" si="52"/>
        <v>-20</v>
      </c>
      <c r="R3347" s="23" t="s">
        <v>1198</v>
      </c>
    </row>
    <row r="3348" spans="1:18" x14ac:dyDescent="0.25">
      <c r="A3348" s="21">
        <v>45772</v>
      </c>
      <c r="B3348" s="1" t="s">
        <v>4203</v>
      </c>
      <c r="C3348" t="s">
        <v>5937</v>
      </c>
      <c r="D3348" s="22">
        <v>-11818.8</v>
      </c>
      <c r="E3348" t="s">
        <v>35</v>
      </c>
      <c r="F3348" s="2">
        <v>212901001</v>
      </c>
      <c r="G3348" s="2" t="s">
        <v>121</v>
      </c>
      <c r="L3348" s="2" t="s">
        <v>5938</v>
      </c>
      <c r="M3348" t="s">
        <v>67</v>
      </c>
      <c r="N3348" t="s">
        <v>68</v>
      </c>
      <c r="P3348" s="23">
        <v>84.42</v>
      </c>
      <c r="Q3348" s="4">
        <f t="shared" si="52"/>
        <v>-140</v>
      </c>
      <c r="R3348" s="23" t="s">
        <v>1198</v>
      </c>
    </row>
    <row r="3349" spans="1:18" x14ac:dyDescent="0.25">
      <c r="A3349" s="21">
        <v>45772</v>
      </c>
      <c r="B3349" s="1" t="s">
        <v>3952</v>
      </c>
      <c r="C3349" t="s">
        <v>5939</v>
      </c>
      <c r="D3349" s="22">
        <v>-5065.2</v>
      </c>
      <c r="E3349" t="s">
        <v>35</v>
      </c>
      <c r="F3349" s="2">
        <v>212901001</v>
      </c>
      <c r="G3349" s="2" t="s">
        <v>121</v>
      </c>
      <c r="L3349" s="2" t="s">
        <v>5940</v>
      </c>
      <c r="M3349" t="s">
        <v>67</v>
      </c>
      <c r="N3349" t="s">
        <v>68</v>
      </c>
      <c r="P3349" s="23">
        <v>84.42</v>
      </c>
      <c r="Q3349" s="4">
        <f t="shared" si="52"/>
        <v>-60</v>
      </c>
      <c r="R3349" s="23" t="s">
        <v>1198</v>
      </c>
    </row>
    <row r="3350" spans="1:18" x14ac:dyDescent="0.25">
      <c r="A3350" s="21">
        <v>45772</v>
      </c>
      <c r="B3350" s="1" t="s">
        <v>4114</v>
      </c>
      <c r="C3350" t="s">
        <v>5941</v>
      </c>
      <c r="D3350" s="22">
        <v>-4221</v>
      </c>
      <c r="E3350" t="s">
        <v>35</v>
      </c>
      <c r="F3350" s="2">
        <v>212901001</v>
      </c>
      <c r="G3350" s="2" t="s">
        <v>121</v>
      </c>
      <c r="L3350" s="2" t="s">
        <v>5942</v>
      </c>
      <c r="M3350" t="s">
        <v>67</v>
      </c>
      <c r="N3350" t="s">
        <v>68</v>
      </c>
      <c r="P3350" s="23">
        <v>84.42</v>
      </c>
      <c r="Q3350" s="4">
        <f t="shared" si="52"/>
        <v>-50</v>
      </c>
      <c r="R3350" s="23" t="s">
        <v>1198</v>
      </c>
    </row>
    <row r="3351" spans="1:18" x14ac:dyDescent="0.25">
      <c r="A3351" s="21">
        <v>45772</v>
      </c>
      <c r="B3351" s="1" t="s">
        <v>4097</v>
      </c>
      <c r="C3351" t="s">
        <v>5943</v>
      </c>
      <c r="D3351" s="22">
        <v>-8442</v>
      </c>
      <c r="E3351" t="s">
        <v>35</v>
      </c>
      <c r="F3351" s="2">
        <v>212901001</v>
      </c>
      <c r="G3351" s="2" t="s">
        <v>121</v>
      </c>
      <c r="L3351" s="2" t="s">
        <v>5944</v>
      </c>
      <c r="M3351" t="s">
        <v>67</v>
      </c>
      <c r="N3351" t="s">
        <v>68</v>
      </c>
      <c r="P3351" s="23">
        <v>84.42</v>
      </c>
      <c r="Q3351" s="4">
        <f t="shared" si="52"/>
        <v>-100</v>
      </c>
      <c r="R3351" s="23" t="s">
        <v>1198</v>
      </c>
    </row>
    <row r="3352" spans="1:18" x14ac:dyDescent="0.25">
      <c r="A3352" s="21">
        <v>45772</v>
      </c>
      <c r="B3352" s="1" t="s">
        <v>4076</v>
      </c>
      <c r="C3352" t="s">
        <v>5945</v>
      </c>
      <c r="D3352" s="22">
        <v>-3883.32</v>
      </c>
      <c r="E3352" t="s">
        <v>35</v>
      </c>
      <c r="F3352" s="2">
        <v>212901001</v>
      </c>
      <c r="G3352" s="2" t="s">
        <v>121</v>
      </c>
      <c r="L3352" s="2" t="s">
        <v>5946</v>
      </c>
      <c r="M3352" t="s">
        <v>67</v>
      </c>
      <c r="N3352" t="s">
        <v>68</v>
      </c>
      <c r="P3352" s="23">
        <v>84.42</v>
      </c>
      <c r="Q3352" s="4">
        <f t="shared" si="52"/>
        <v>-46</v>
      </c>
      <c r="R3352" s="23" t="s">
        <v>1198</v>
      </c>
    </row>
    <row r="3353" spans="1:18" x14ac:dyDescent="0.25">
      <c r="A3353" s="21">
        <v>45772</v>
      </c>
      <c r="B3353" s="1" t="s">
        <v>4119</v>
      </c>
      <c r="C3353" t="s">
        <v>5947</v>
      </c>
      <c r="D3353" s="22">
        <v>-5909.4</v>
      </c>
      <c r="E3353" t="s">
        <v>35</v>
      </c>
      <c r="F3353" s="2">
        <v>212901001</v>
      </c>
      <c r="G3353" s="2" t="s">
        <v>121</v>
      </c>
      <c r="L3353" s="2" t="s">
        <v>5948</v>
      </c>
      <c r="M3353" t="s">
        <v>67</v>
      </c>
      <c r="N3353" t="s">
        <v>68</v>
      </c>
      <c r="P3353" s="23">
        <v>84.42</v>
      </c>
      <c r="Q3353" s="4">
        <f t="shared" si="52"/>
        <v>-70</v>
      </c>
      <c r="R3353" s="23" t="s">
        <v>1198</v>
      </c>
    </row>
    <row r="3354" spans="1:18" x14ac:dyDescent="0.25">
      <c r="A3354" s="21">
        <v>45772</v>
      </c>
      <c r="B3354" s="1" t="s">
        <v>4082</v>
      </c>
      <c r="C3354" t="s">
        <v>5949</v>
      </c>
      <c r="D3354" s="22">
        <v>-1688.4</v>
      </c>
      <c r="E3354" t="s">
        <v>35</v>
      </c>
      <c r="F3354" s="2">
        <v>212901001</v>
      </c>
      <c r="G3354" s="2" t="s">
        <v>121</v>
      </c>
      <c r="L3354" s="2" t="s">
        <v>5950</v>
      </c>
      <c r="M3354" t="s">
        <v>67</v>
      </c>
      <c r="N3354" t="s">
        <v>68</v>
      </c>
      <c r="P3354" s="23">
        <v>84.42</v>
      </c>
      <c r="Q3354" s="4">
        <f t="shared" si="52"/>
        <v>-20</v>
      </c>
      <c r="R3354" s="23" t="s">
        <v>1198</v>
      </c>
    </row>
    <row r="3355" spans="1:18" x14ac:dyDescent="0.25">
      <c r="A3355" s="21">
        <v>45772</v>
      </c>
      <c r="B3355" s="1" t="s">
        <v>4200</v>
      </c>
      <c r="C3355" t="s">
        <v>5951</v>
      </c>
      <c r="D3355" s="22">
        <v>-1688.4</v>
      </c>
      <c r="E3355" t="s">
        <v>35</v>
      </c>
      <c r="F3355" s="2">
        <v>212901001</v>
      </c>
      <c r="G3355" s="2" t="s">
        <v>121</v>
      </c>
      <c r="L3355" s="2" t="s">
        <v>5952</v>
      </c>
      <c r="M3355" t="s">
        <v>67</v>
      </c>
      <c r="N3355" t="s">
        <v>68</v>
      </c>
      <c r="P3355" s="23">
        <v>84.42</v>
      </c>
      <c r="Q3355" s="4">
        <f t="shared" si="52"/>
        <v>-20</v>
      </c>
      <c r="R3355" s="23" t="s">
        <v>1198</v>
      </c>
    </row>
    <row r="3356" spans="1:18" x14ac:dyDescent="0.25">
      <c r="A3356" s="21">
        <v>45772</v>
      </c>
      <c r="B3356" s="1" t="s">
        <v>4142</v>
      </c>
      <c r="C3356" t="s">
        <v>5953</v>
      </c>
      <c r="D3356" s="22">
        <v>-4221</v>
      </c>
      <c r="E3356" t="s">
        <v>35</v>
      </c>
      <c r="F3356" s="2">
        <v>212901001</v>
      </c>
      <c r="G3356" s="2" t="s">
        <v>121</v>
      </c>
      <c r="L3356" s="2" t="s">
        <v>5954</v>
      </c>
      <c r="M3356" t="s">
        <v>67</v>
      </c>
      <c r="N3356" t="s">
        <v>68</v>
      </c>
      <c r="P3356" s="23">
        <v>84.42</v>
      </c>
      <c r="Q3356" s="4">
        <f t="shared" si="52"/>
        <v>-50</v>
      </c>
      <c r="R3356" s="23" t="s">
        <v>1198</v>
      </c>
    </row>
    <row r="3357" spans="1:18" x14ac:dyDescent="0.25">
      <c r="A3357" s="21">
        <v>45772</v>
      </c>
      <c r="B3357" s="1" t="s">
        <v>4103</v>
      </c>
      <c r="C3357" t="s">
        <v>5955</v>
      </c>
      <c r="D3357" s="22">
        <v>-4221</v>
      </c>
      <c r="E3357" t="s">
        <v>35</v>
      </c>
      <c r="F3357" s="2">
        <v>212901001</v>
      </c>
      <c r="G3357" s="2" t="s">
        <v>121</v>
      </c>
      <c r="L3357" s="2" t="s">
        <v>5956</v>
      </c>
      <c r="M3357" t="s">
        <v>67</v>
      </c>
      <c r="N3357" t="s">
        <v>68</v>
      </c>
      <c r="P3357" s="23">
        <v>84.42</v>
      </c>
      <c r="Q3357" s="4">
        <f t="shared" si="52"/>
        <v>-50</v>
      </c>
      <c r="R3357" s="23" t="s">
        <v>1198</v>
      </c>
    </row>
    <row r="3358" spans="1:18" x14ac:dyDescent="0.25">
      <c r="A3358" s="21">
        <v>45772</v>
      </c>
      <c r="B3358" s="1" t="s">
        <v>4154</v>
      </c>
      <c r="C3358" t="s">
        <v>5957</v>
      </c>
      <c r="D3358" s="22">
        <v>-10299.24</v>
      </c>
      <c r="E3358" t="s">
        <v>35</v>
      </c>
      <c r="F3358" s="2">
        <v>212901001</v>
      </c>
      <c r="G3358" s="2" t="s">
        <v>121</v>
      </c>
      <c r="L3358" s="2" t="s">
        <v>5958</v>
      </c>
      <c r="M3358" t="s">
        <v>67</v>
      </c>
      <c r="N3358" t="s">
        <v>68</v>
      </c>
      <c r="P3358" s="23">
        <v>84.42</v>
      </c>
      <c r="Q3358" s="4">
        <f t="shared" si="52"/>
        <v>-122</v>
      </c>
      <c r="R3358" s="23" t="s">
        <v>1198</v>
      </c>
    </row>
    <row r="3359" spans="1:18" x14ac:dyDescent="0.25">
      <c r="A3359" s="21">
        <v>45772</v>
      </c>
      <c r="B3359" s="1" t="s">
        <v>4033</v>
      </c>
      <c r="C3359" t="s">
        <v>5959</v>
      </c>
      <c r="D3359" s="22">
        <v>-2532.6</v>
      </c>
      <c r="E3359" t="s">
        <v>35</v>
      </c>
      <c r="F3359" s="2">
        <v>212901001</v>
      </c>
      <c r="G3359" s="2" t="s">
        <v>121</v>
      </c>
      <c r="L3359" s="2" t="s">
        <v>5960</v>
      </c>
      <c r="M3359" t="s">
        <v>67</v>
      </c>
      <c r="N3359" t="s">
        <v>68</v>
      </c>
      <c r="P3359" s="23">
        <v>84.42</v>
      </c>
      <c r="Q3359" s="4">
        <f t="shared" si="52"/>
        <v>-30</v>
      </c>
      <c r="R3359" s="23" t="s">
        <v>1198</v>
      </c>
    </row>
    <row r="3360" spans="1:18" x14ac:dyDescent="0.25">
      <c r="A3360" s="21">
        <v>45772</v>
      </c>
      <c r="B3360" s="1" t="s">
        <v>1217</v>
      </c>
      <c r="C3360" t="s">
        <v>5961</v>
      </c>
      <c r="D3360" s="22">
        <v>-5065.2</v>
      </c>
      <c r="E3360" t="s">
        <v>35</v>
      </c>
      <c r="F3360" s="2">
        <v>212901001</v>
      </c>
      <c r="G3360" s="2" t="s">
        <v>121</v>
      </c>
      <c r="L3360" s="2" t="s">
        <v>5962</v>
      </c>
      <c r="M3360" t="s">
        <v>67</v>
      </c>
      <c r="N3360" t="s">
        <v>68</v>
      </c>
      <c r="P3360" s="23">
        <v>84.42</v>
      </c>
      <c r="Q3360" s="4">
        <f t="shared" si="52"/>
        <v>-60</v>
      </c>
      <c r="R3360" s="23" t="s">
        <v>1198</v>
      </c>
    </row>
    <row r="3361" spans="1:18" x14ac:dyDescent="0.25">
      <c r="A3361" s="21">
        <v>45772</v>
      </c>
      <c r="B3361" s="1" t="s">
        <v>3943</v>
      </c>
      <c r="C3361" t="s">
        <v>5963</v>
      </c>
      <c r="D3361" s="22">
        <v>-5065.2</v>
      </c>
      <c r="E3361" t="s">
        <v>35</v>
      </c>
      <c r="F3361" s="2">
        <v>212901001</v>
      </c>
      <c r="G3361" s="2" t="s">
        <v>121</v>
      </c>
      <c r="L3361" s="2" t="s">
        <v>5964</v>
      </c>
      <c r="M3361" t="s">
        <v>67</v>
      </c>
      <c r="N3361" t="s">
        <v>68</v>
      </c>
      <c r="P3361" s="23">
        <v>84.42</v>
      </c>
      <c r="Q3361" s="4">
        <f t="shared" si="52"/>
        <v>-60</v>
      </c>
      <c r="R3361" s="23" t="s">
        <v>1198</v>
      </c>
    </row>
    <row r="3362" spans="1:18" x14ac:dyDescent="0.25">
      <c r="A3362" s="21">
        <v>45772</v>
      </c>
      <c r="B3362" s="1" t="s">
        <v>3936</v>
      </c>
      <c r="C3362" t="s">
        <v>5965</v>
      </c>
      <c r="D3362" s="22">
        <v>-5065.2</v>
      </c>
      <c r="E3362" t="s">
        <v>35</v>
      </c>
      <c r="F3362" s="2">
        <v>212901001</v>
      </c>
      <c r="G3362" s="2" t="s">
        <v>121</v>
      </c>
      <c r="L3362" s="2" t="s">
        <v>5966</v>
      </c>
      <c r="M3362" t="s">
        <v>67</v>
      </c>
      <c r="N3362" t="s">
        <v>68</v>
      </c>
      <c r="P3362" s="23">
        <v>84.42</v>
      </c>
      <c r="Q3362" s="4">
        <f t="shared" si="52"/>
        <v>-60</v>
      </c>
      <c r="R3362" s="23" t="s">
        <v>1198</v>
      </c>
    </row>
    <row r="3363" spans="1:18" x14ac:dyDescent="0.25">
      <c r="A3363" s="21">
        <v>45772</v>
      </c>
      <c r="B3363" s="1" t="s">
        <v>3949</v>
      </c>
      <c r="C3363" t="s">
        <v>5967</v>
      </c>
      <c r="D3363" s="22">
        <v>-5065.2</v>
      </c>
      <c r="E3363" t="s">
        <v>35</v>
      </c>
      <c r="F3363" s="2">
        <v>212901001</v>
      </c>
      <c r="G3363" s="2" t="s">
        <v>121</v>
      </c>
      <c r="L3363" s="2" t="s">
        <v>5968</v>
      </c>
      <c r="M3363" t="s">
        <v>67</v>
      </c>
      <c r="N3363" t="s">
        <v>68</v>
      </c>
      <c r="P3363" s="23">
        <v>84.42</v>
      </c>
      <c r="Q3363" s="4">
        <f t="shared" si="52"/>
        <v>-60</v>
      </c>
      <c r="R3363" s="23" t="s">
        <v>1198</v>
      </c>
    </row>
    <row r="3364" spans="1:18" x14ac:dyDescent="0.25">
      <c r="A3364" s="21">
        <v>45772</v>
      </c>
      <c r="B3364" s="1" t="s">
        <v>4024</v>
      </c>
      <c r="C3364" t="s">
        <v>5969</v>
      </c>
      <c r="D3364" s="22">
        <v>-3376.8</v>
      </c>
      <c r="E3364" t="s">
        <v>35</v>
      </c>
      <c r="F3364" s="2">
        <v>212901001</v>
      </c>
      <c r="G3364" s="2" t="s">
        <v>121</v>
      </c>
      <c r="L3364" s="2" t="s">
        <v>5970</v>
      </c>
      <c r="M3364" t="s">
        <v>67</v>
      </c>
      <c r="N3364" t="s">
        <v>68</v>
      </c>
      <c r="P3364" s="23">
        <v>84.42</v>
      </c>
      <c r="Q3364" s="4">
        <f t="shared" si="52"/>
        <v>-40</v>
      </c>
      <c r="R3364" s="23" t="s">
        <v>1198</v>
      </c>
    </row>
    <row r="3365" spans="1:18" x14ac:dyDescent="0.25">
      <c r="A3365" s="21">
        <v>45772</v>
      </c>
      <c r="B3365" s="1" t="s">
        <v>4100</v>
      </c>
      <c r="C3365" t="s">
        <v>5971</v>
      </c>
      <c r="D3365" s="22">
        <v>-4221</v>
      </c>
      <c r="E3365" t="s">
        <v>35</v>
      </c>
      <c r="F3365" s="2">
        <v>212901001</v>
      </c>
      <c r="G3365" s="2" t="s">
        <v>121</v>
      </c>
      <c r="L3365" s="2" t="s">
        <v>5972</v>
      </c>
      <c r="M3365" t="s">
        <v>67</v>
      </c>
      <c r="N3365" t="s">
        <v>68</v>
      </c>
      <c r="P3365" s="23">
        <v>84.42</v>
      </c>
      <c r="Q3365" s="4">
        <f t="shared" si="52"/>
        <v>-50</v>
      </c>
      <c r="R3365" s="23" t="s">
        <v>1198</v>
      </c>
    </row>
    <row r="3366" spans="1:18" x14ac:dyDescent="0.25">
      <c r="A3366" s="21">
        <v>45772</v>
      </c>
      <c r="B3366" s="1" t="s">
        <v>4067</v>
      </c>
      <c r="C3366" t="s">
        <v>5973</v>
      </c>
      <c r="D3366" s="22">
        <v>-4221</v>
      </c>
      <c r="E3366" t="s">
        <v>35</v>
      </c>
      <c r="F3366" s="2">
        <v>212901001</v>
      </c>
      <c r="G3366" s="2" t="s">
        <v>121</v>
      </c>
      <c r="L3366" s="2" t="s">
        <v>5974</v>
      </c>
      <c r="M3366" t="s">
        <v>67</v>
      </c>
      <c r="N3366" t="s">
        <v>68</v>
      </c>
      <c r="P3366" s="23">
        <v>84.42</v>
      </c>
      <c r="Q3366" s="4">
        <f t="shared" si="52"/>
        <v>-50</v>
      </c>
      <c r="R3366" s="23" t="s">
        <v>1198</v>
      </c>
    </row>
    <row r="3367" spans="1:18" x14ac:dyDescent="0.25">
      <c r="A3367" s="21">
        <v>45772</v>
      </c>
      <c r="B3367" s="1" t="s">
        <v>4030</v>
      </c>
      <c r="C3367" t="s">
        <v>5975</v>
      </c>
      <c r="D3367" s="22">
        <v>-16884</v>
      </c>
      <c r="E3367" t="s">
        <v>35</v>
      </c>
      <c r="F3367" s="2">
        <v>212901001</v>
      </c>
      <c r="G3367" s="2" t="s">
        <v>121</v>
      </c>
      <c r="L3367" s="2" t="s">
        <v>5976</v>
      </c>
      <c r="M3367" t="s">
        <v>67</v>
      </c>
      <c r="N3367" t="s">
        <v>68</v>
      </c>
      <c r="P3367" s="23">
        <v>84.42</v>
      </c>
      <c r="Q3367" s="4">
        <f t="shared" si="52"/>
        <v>-200</v>
      </c>
      <c r="R3367" s="23" t="s">
        <v>1198</v>
      </c>
    </row>
    <row r="3368" spans="1:18" x14ac:dyDescent="0.25">
      <c r="A3368" s="21">
        <v>45772</v>
      </c>
      <c r="B3368" s="1" t="s">
        <v>4004</v>
      </c>
      <c r="C3368" t="s">
        <v>5977</v>
      </c>
      <c r="D3368" s="22">
        <v>-3376.8</v>
      </c>
      <c r="E3368" t="s">
        <v>35</v>
      </c>
      <c r="F3368" s="2">
        <v>212901001</v>
      </c>
      <c r="G3368" s="2" t="s">
        <v>121</v>
      </c>
      <c r="L3368" s="2" t="s">
        <v>5978</v>
      </c>
      <c r="M3368" t="s">
        <v>67</v>
      </c>
      <c r="N3368" t="s">
        <v>68</v>
      </c>
      <c r="P3368" s="23">
        <v>84.42</v>
      </c>
      <c r="Q3368" s="4">
        <f t="shared" si="52"/>
        <v>-40</v>
      </c>
      <c r="R3368" s="23" t="s">
        <v>1198</v>
      </c>
    </row>
    <row r="3369" spans="1:18" x14ac:dyDescent="0.25">
      <c r="A3369" s="21">
        <v>45772</v>
      </c>
      <c r="B3369" s="1" t="s">
        <v>1214</v>
      </c>
      <c r="C3369" t="s">
        <v>5979</v>
      </c>
      <c r="D3369" s="22">
        <v>-5065.2</v>
      </c>
      <c r="E3369" t="s">
        <v>35</v>
      </c>
      <c r="F3369" s="2">
        <v>212901001</v>
      </c>
      <c r="G3369" s="2" t="s">
        <v>121</v>
      </c>
      <c r="L3369" s="2" t="s">
        <v>5980</v>
      </c>
      <c r="M3369" t="s">
        <v>67</v>
      </c>
      <c r="N3369" t="s">
        <v>68</v>
      </c>
      <c r="P3369" s="23">
        <v>84.42</v>
      </c>
      <c r="Q3369" s="4">
        <f t="shared" si="52"/>
        <v>-60</v>
      </c>
      <c r="R3369" s="23" t="s">
        <v>1198</v>
      </c>
    </row>
    <row r="3370" spans="1:18" x14ac:dyDescent="0.25">
      <c r="A3370" s="21">
        <v>45772</v>
      </c>
      <c r="B3370" s="1" t="s">
        <v>2573</v>
      </c>
      <c r="C3370" t="s">
        <v>5981</v>
      </c>
      <c r="D3370" s="22">
        <v>-5065.2</v>
      </c>
      <c r="E3370" t="s">
        <v>35</v>
      </c>
      <c r="F3370" s="2">
        <v>212901001</v>
      </c>
      <c r="G3370" s="2" t="s">
        <v>121</v>
      </c>
      <c r="L3370" s="2" t="s">
        <v>5982</v>
      </c>
      <c r="M3370" t="s">
        <v>67</v>
      </c>
      <c r="N3370" t="s">
        <v>68</v>
      </c>
      <c r="P3370" s="23">
        <v>84.42</v>
      </c>
      <c r="Q3370" s="4">
        <f t="shared" si="52"/>
        <v>-60</v>
      </c>
      <c r="R3370" s="23" t="s">
        <v>1198</v>
      </c>
    </row>
    <row r="3371" spans="1:18" x14ac:dyDescent="0.25">
      <c r="A3371" s="21">
        <v>45772</v>
      </c>
      <c r="B3371" s="1" t="s">
        <v>4091</v>
      </c>
      <c r="C3371" t="s">
        <v>5983</v>
      </c>
      <c r="D3371" s="22">
        <v>-6753.6</v>
      </c>
      <c r="E3371" t="s">
        <v>35</v>
      </c>
      <c r="F3371" s="2">
        <v>212901001</v>
      </c>
      <c r="G3371" s="2" t="s">
        <v>121</v>
      </c>
      <c r="L3371" s="2" t="s">
        <v>5984</v>
      </c>
      <c r="M3371" t="s">
        <v>67</v>
      </c>
      <c r="N3371" t="s">
        <v>68</v>
      </c>
      <c r="P3371" s="23">
        <v>84.42</v>
      </c>
      <c r="Q3371" s="4">
        <f t="shared" si="52"/>
        <v>-80</v>
      </c>
      <c r="R3371" s="23" t="s">
        <v>1198</v>
      </c>
    </row>
    <row r="3372" spans="1:18" x14ac:dyDescent="0.25">
      <c r="A3372" s="21">
        <v>45772</v>
      </c>
      <c r="B3372" s="1" t="s">
        <v>4046</v>
      </c>
      <c r="C3372" t="s">
        <v>5985</v>
      </c>
      <c r="D3372" s="22">
        <v>-6753.6</v>
      </c>
      <c r="E3372" t="s">
        <v>35</v>
      </c>
      <c r="F3372" s="2">
        <v>212901001</v>
      </c>
      <c r="G3372" s="2" t="s">
        <v>121</v>
      </c>
      <c r="L3372" s="2" t="s">
        <v>5986</v>
      </c>
      <c r="M3372" t="s">
        <v>67</v>
      </c>
      <c r="N3372" t="s">
        <v>68</v>
      </c>
      <c r="P3372" s="23">
        <v>84.42</v>
      </c>
      <c r="Q3372" s="4">
        <f t="shared" si="52"/>
        <v>-80</v>
      </c>
      <c r="R3372" s="23" t="s">
        <v>1198</v>
      </c>
    </row>
    <row r="3373" spans="1:18" x14ac:dyDescent="0.25">
      <c r="A3373" s="21">
        <v>45772</v>
      </c>
      <c r="B3373" s="1" t="s">
        <v>4111</v>
      </c>
      <c r="C3373" t="s">
        <v>5987</v>
      </c>
      <c r="D3373" s="22">
        <v>-3545.64</v>
      </c>
      <c r="E3373" t="s">
        <v>35</v>
      </c>
      <c r="F3373" s="2">
        <v>212901001</v>
      </c>
      <c r="G3373" s="2" t="s">
        <v>121</v>
      </c>
      <c r="L3373" s="2" t="s">
        <v>5988</v>
      </c>
      <c r="M3373" t="s">
        <v>67</v>
      </c>
      <c r="N3373" t="s">
        <v>68</v>
      </c>
      <c r="P3373" s="23">
        <v>84.42</v>
      </c>
      <c r="Q3373" s="4">
        <f t="shared" si="52"/>
        <v>-42</v>
      </c>
      <c r="R3373" s="23" t="s">
        <v>1198</v>
      </c>
    </row>
    <row r="3374" spans="1:18" x14ac:dyDescent="0.25">
      <c r="A3374" s="21">
        <v>45772</v>
      </c>
      <c r="B3374" s="1" t="s">
        <v>4116</v>
      </c>
      <c r="C3374" t="s">
        <v>5989</v>
      </c>
      <c r="D3374" s="22">
        <v>-3376.8</v>
      </c>
      <c r="E3374" t="s">
        <v>35</v>
      </c>
      <c r="F3374" s="2">
        <v>212901001</v>
      </c>
      <c r="G3374" s="2" t="s">
        <v>121</v>
      </c>
      <c r="L3374" s="2" t="s">
        <v>5990</v>
      </c>
      <c r="M3374" t="s">
        <v>67</v>
      </c>
      <c r="N3374" t="s">
        <v>68</v>
      </c>
      <c r="P3374" s="23">
        <v>84.42</v>
      </c>
      <c r="Q3374" s="4">
        <f t="shared" si="52"/>
        <v>-40</v>
      </c>
      <c r="R3374" s="23" t="s">
        <v>1198</v>
      </c>
    </row>
    <row r="3375" spans="1:18" x14ac:dyDescent="0.25">
      <c r="A3375" s="21">
        <v>45772</v>
      </c>
      <c r="B3375" s="1" t="s">
        <v>4058</v>
      </c>
      <c r="C3375" t="s">
        <v>5991</v>
      </c>
      <c r="D3375" s="22">
        <v>-3376.8</v>
      </c>
      <c r="E3375" t="s">
        <v>35</v>
      </c>
      <c r="F3375" s="2">
        <v>212901001</v>
      </c>
      <c r="G3375" s="2" t="s">
        <v>121</v>
      </c>
      <c r="L3375" s="2" t="s">
        <v>5992</v>
      </c>
      <c r="M3375" t="s">
        <v>67</v>
      </c>
      <c r="N3375" t="s">
        <v>68</v>
      </c>
      <c r="P3375" s="23">
        <v>84.42</v>
      </c>
      <c r="Q3375" s="4">
        <f t="shared" si="52"/>
        <v>-40</v>
      </c>
      <c r="R3375" s="23" t="s">
        <v>1198</v>
      </c>
    </row>
    <row r="3376" spans="1:18" x14ac:dyDescent="0.25">
      <c r="A3376" s="21">
        <v>45772</v>
      </c>
      <c r="B3376" s="1" t="s">
        <v>4188</v>
      </c>
      <c r="C3376" t="s">
        <v>5993</v>
      </c>
      <c r="D3376" s="22">
        <v>-5909.4</v>
      </c>
      <c r="E3376" t="s">
        <v>35</v>
      </c>
      <c r="F3376" s="2">
        <v>212901001</v>
      </c>
      <c r="G3376" s="2" t="s">
        <v>121</v>
      </c>
      <c r="L3376" s="2" t="s">
        <v>5994</v>
      </c>
      <c r="M3376" t="s">
        <v>67</v>
      </c>
      <c r="N3376" t="s">
        <v>68</v>
      </c>
      <c r="P3376" s="23">
        <v>84.42</v>
      </c>
      <c r="Q3376" s="4">
        <f t="shared" si="52"/>
        <v>-70</v>
      </c>
      <c r="R3376" s="23" t="s">
        <v>1198</v>
      </c>
    </row>
    <row r="3377" spans="1:18" x14ac:dyDescent="0.25">
      <c r="A3377" s="21">
        <v>45772</v>
      </c>
      <c r="B3377" s="1" t="s">
        <v>4170</v>
      </c>
      <c r="C3377" t="s">
        <v>5995</v>
      </c>
      <c r="D3377" s="22">
        <v>-4221</v>
      </c>
      <c r="E3377" t="s">
        <v>35</v>
      </c>
      <c r="F3377" s="2">
        <v>212901001</v>
      </c>
      <c r="G3377" s="2" t="s">
        <v>121</v>
      </c>
      <c r="L3377" s="2" t="s">
        <v>5996</v>
      </c>
      <c r="M3377" t="s">
        <v>67</v>
      </c>
      <c r="N3377" t="s">
        <v>68</v>
      </c>
      <c r="P3377" s="23">
        <v>84.42</v>
      </c>
      <c r="Q3377" s="4">
        <f t="shared" si="52"/>
        <v>-50</v>
      </c>
      <c r="R3377" s="23" t="s">
        <v>1198</v>
      </c>
    </row>
    <row r="3378" spans="1:18" x14ac:dyDescent="0.25">
      <c r="A3378" s="21">
        <v>45772</v>
      </c>
      <c r="B3378" s="1" t="s">
        <v>4301</v>
      </c>
      <c r="C3378" t="s">
        <v>1221</v>
      </c>
      <c r="D3378" s="22">
        <v>-8.86</v>
      </c>
      <c r="E3378" t="s">
        <v>35</v>
      </c>
      <c r="F3378" s="2">
        <v>610148001</v>
      </c>
      <c r="G3378" s="2" t="s">
        <v>42</v>
      </c>
      <c r="L3378" s="2" t="s">
        <v>5997</v>
      </c>
      <c r="M3378" t="s">
        <v>43</v>
      </c>
      <c r="N3378" t="s">
        <v>42</v>
      </c>
      <c r="P3378" s="23">
        <v>84.42</v>
      </c>
      <c r="Q3378" s="4">
        <f t="shared" si="52"/>
        <v>-0.10495143330964225</v>
      </c>
      <c r="R3378" s="23" t="s">
        <v>1198</v>
      </c>
    </row>
    <row r="3379" spans="1:18" x14ac:dyDescent="0.25">
      <c r="A3379" s="21">
        <v>45772</v>
      </c>
      <c r="B3379" s="1" t="s">
        <v>4240</v>
      </c>
      <c r="C3379" t="s">
        <v>1221</v>
      </c>
      <c r="D3379" s="22">
        <v>-21.1</v>
      </c>
      <c r="E3379" t="s">
        <v>35</v>
      </c>
      <c r="F3379" s="2">
        <v>610148001</v>
      </c>
      <c r="G3379" s="2" t="s">
        <v>42</v>
      </c>
      <c r="L3379" s="2" t="s">
        <v>5998</v>
      </c>
      <c r="M3379" t="s">
        <v>43</v>
      </c>
      <c r="N3379" t="s">
        <v>42</v>
      </c>
      <c r="P3379" s="23">
        <v>84.42</v>
      </c>
      <c r="Q3379" s="4">
        <f t="shared" si="52"/>
        <v>-0.24994077232883205</v>
      </c>
      <c r="R3379" s="23" t="s">
        <v>1198</v>
      </c>
    </row>
    <row r="3380" spans="1:18" x14ac:dyDescent="0.25">
      <c r="A3380" s="21">
        <v>45772</v>
      </c>
      <c r="B3380" s="1" t="s">
        <v>4297</v>
      </c>
      <c r="C3380" t="s">
        <v>1221</v>
      </c>
      <c r="D3380" s="22">
        <v>-10.55</v>
      </c>
      <c r="E3380" t="s">
        <v>35</v>
      </c>
      <c r="F3380" s="2">
        <v>610148001</v>
      </c>
      <c r="G3380" s="2" t="s">
        <v>42</v>
      </c>
      <c r="L3380" s="2" t="s">
        <v>5999</v>
      </c>
      <c r="M3380" t="s">
        <v>43</v>
      </c>
      <c r="N3380" t="s">
        <v>42</v>
      </c>
      <c r="P3380" s="23">
        <v>84.42</v>
      </c>
      <c r="Q3380" s="4">
        <f t="shared" si="52"/>
        <v>-0.12497038616441603</v>
      </c>
      <c r="R3380" s="23" t="s">
        <v>1198</v>
      </c>
    </row>
    <row r="3381" spans="1:18" x14ac:dyDescent="0.25">
      <c r="A3381" s="21">
        <v>45772</v>
      </c>
      <c r="B3381" s="1" t="s">
        <v>4253</v>
      </c>
      <c r="C3381" t="s">
        <v>1221</v>
      </c>
      <c r="D3381" s="22">
        <v>-10.55</v>
      </c>
      <c r="E3381" t="s">
        <v>35</v>
      </c>
      <c r="F3381" s="2">
        <v>610148001</v>
      </c>
      <c r="G3381" s="2" t="s">
        <v>42</v>
      </c>
      <c r="L3381" s="2" t="s">
        <v>6000</v>
      </c>
      <c r="M3381" t="s">
        <v>43</v>
      </c>
      <c r="N3381" t="s">
        <v>42</v>
      </c>
      <c r="P3381" s="23">
        <v>84.42</v>
      </c>
      <c r="Q3381" s="4">
        <f t="shared" si="52"/>
        <v>-0.12497038616441603</v>
      </c>
      <c r="R3381" s="23" t="s">
        <v>1198</v>
      </c>
    </row>
    <row r="3382" spans="1:18" x14ac:dyDescent="0.25">
      <c r="A3382" s="21">
        <v>45772</v>
      </c>
      <c r="B3382" s="1" t="s">
        <v>4290</v>
      </c>
      <c r="C3382" t="s">
        <v>1221</v>
      </c>
      <c r="D3382" s="22">
        <v>-10.55</v>
      </c>
      <c r="E3382" t="s">
        <v>35</v>
      </c>
      <c r="F3382" s="2">
        <v>610148001</v>
      </c>
      <c r="G3382" s="2" t="s">
        <v>42</v>
      </c>
      <c r="L3382" s="2" t="s">
        <v>6001</v>
      </c>
      <c r="M3382" t="s">
        <v>43</v>
      </c>
      <c r="N3382" t="s">
        <v>42</v>
      </c>
      <c r="P3382" s="23">
        <v>84.42</v>
      </c>
      <c r="Q3382" s="4">
        <f t="shared" si="52"/>
        <v>-0.12497038616441603</v>
      </c>
      <c r="R3382" s="23" t="s">
        <v>1198</v>
      </c>
    </row>
    <row r="3383" spans="1:18" x14ac:dyDescent="0.25">
      <c r="A3383" s="21">
        <v>45772</v>
      </c>
      <c r="B3383" s="1" t="s">
        <v>4325</v>
      </c>
      <c r="C3383" t="s">
        <v>1221</v>
      </c>
      <c r="D3383" s="22">
        <v>-8.86</v>
      </c>
      <c r="E3383" t="s">
        <v>35</v>
      </c>
      <c r="F3383" s="2">
        <v>610148001</v>
      </c>
      <c r="G3383" s="2" t="s">
        <v>42</v>
      </c>
      <c r="L3383" s="2" t="s">
        <v>6002</v>
      </c>
      <c r="M3383" t="s">
        <v>43</v>
      </c>
      <c r="N3383" t="s">
        <v>42</v>
      </c>
      <c r="P3383" s="23">
        <v>84.42</v>
      </c>
      <c r="Q3383" s="4">
        <f t="shared" si="52"/>
        <v>-0.10495143330964225</v>
      </c>
      <c r="R3383" s="23" t="s">
        <v>1198</v>
      </c>
    </row>
    <row r="3384" spans="1:18" x14ac:dyDescent="0.25">
      <c r="A3384" s="21">
        <v>45772</v>
      </c>
      <c r="B3384" s="1" t="s">
        <v>4237</v>
      </c>
      <c r="C3384" t="s">
        <v>1221</v>
      </c>
      <c r="D3384" s="22">
        <v>-6.33</v>
      </c>
      <c r="E3384" t="s">
        <v>35</v>
      </c>
      <c r="F3384" s="2">
        <v>610148001</v>
      </c>
      <c r="G3384" s="2" t="s">
        <v>42</v>
      </c>
      <c r="L3384" s="2" t="s">
        <v>6003</v>
      </c>
      <c r="M3384" t="s">
        <v>43</v>
      </c>
      <c r="N3384" t="s">
        <v>42</v>
      </c>
      <c r="P3384" s="23">
        <v>84.42</v>
      </c>
      <c r="Q3384" s="4">
        <f t="shared" si="52"/>
        <v>-7.4982231698649607E-2</v>
      </c>
      <c r="R3384" s="23" t="s">
        <v>1198</v>
      </c>
    </row>
    <row r="3385" spans="1:18" x14ac:dyDescent="0.25">
      <c r="A3385" s="21">
        <v>45772</v>
      </c>
      <c r="B3385" s="1" t="s">
        <v>4284</v>
      </c>
      <c r="C3385" t="s">
        <v>1221</v>
      </c>
      <c r="D3385" s="22">
        <v>-16.88</v>
      </c>
      <c r="E3385" t="s">
        <v>35</v>
      </c>
      <c r="F3385" s="2">
        <v>610148001</v>
      </c>
      <c r="G3385" s="2" t="s">
        <v>42</v>
      </c>
      <c r="L3385" s="2" t="s">
        <v>6004</v>
      </c>
      <c r="M3385" t="s">
        <v>43</v>
      </c>
      <c r="N3385" t="s">
        <v>42</v>
      </c>
      <c r="P3385" s="23">
        <v>84.42</v>
      </c>
      <c r="Q3385" s="4">
        <f t="shared" si="52"/>
        <v>-0.19995261786306562</v>
      </c>
      <c r="R3385" s="23" t="s">
        <v>1198</v>
      </c>
    </row>
    <row r="3386" spans="1:18" x14ac:dyDescent="0.25">
      <c r="A3386" s="21">
        <v>45772</v>
      </c>
      <c r="B3386" s="1" t="s">
        <v>4264</v>
      </c>
      <c r="C3386" t="s">
        <v>1221</v>
      </c>
      <c r="D3386" s="22">
        <v>-6.33</v>
      </c>
      <c r="E3386" t="s">
        <v>35</v>
      </c>
      <c r="F3386" s="2">
        <v>610148001</v>
      </c>
      <c r="G3386" s="2" t="s">
        <v>42</v>
      </c>
      <c r="L3386" s="2" t="s">
        <v>6005</v>
      </c>
      <c r="M3386" t="s">
        <v>43</v>
      </c>
      <c r="N3386" t="s">
        <v>42</v>
      </c>
      <c r="P3386" s="23">
        <v>84.42</v>
      </c>
      <c r="Q3386" s="4">
        <f t="shared" si="52"/>
        <v>-7.4982231698649607E-2</v>
      </c>
      <c r="R3386" s="23" t="s">
        <v>1198</v>
      </c>
    </row>
    <row r="3387" spans="1:18" x14ac:dyDescent="0.25">
      <c r="A3387" s="21">
        <v>45772</v>
      </c>
      <c r="B3387" s="1" t="s">
        <v>4321</v>
      </c>
      <c r="C3387" t="s">
        <v>1221</v>
      </c>
      <c r="D3387" s="22">
        <v>-21.1</v>
      </c>
      <c r="E3387" t="s">
        <v>35</v>
      </c>
      <c r="F3387" s="2">
        <v>610148001</v>
      </c>
      <c r="G3387" s="2" t="s">
        <v>42</v>
      </c>
      <c r="L3387" s="2" t="s">
        <v>6006</v>
      </c>
      <c r="M3387" t="s">
        <v>43</v>
      </c>
      <c r="N3387" t="s">
        <v>42</v>
      </c>
      <c r="P3387" s="23">
        <v>84.42</v>
      </c>
      <c r="Q3387" s="4">
        <f t="shared" si="52"/>
        <v>-0.24994077232883205</v>
      </c>
      <c r="R3387" s="23" t="s">
        <v>1198</v>
      </c>
    </row>
    <row r="3388" spans="1:18" x14ac:dyDescent="0.25">
      <c r="A3388" s="21">
        <v>45772</v>
      </c>
      <c r="B3388" s="1" t="s">
        <v>4274</v>
      </c>
      <c r="C3388" t="s">
        <v>1221</v>
      </c>
      <c r="D3388" s="22">
        <v>-25.74</v>
      </c>
      <c r="E3388" t="s">
        <v>35</v>
      </c>
      <c r="F3388" s="2">
        <v>610148001</v>
      </c>
      <c r="G3388" s="2" t="s">
        <v>42</v>
      </c>
      <c r="L3388" s="2" t="s">
        <v>6007</v>
      </c>
      <c r="M3388" t="s">
        <v>43</v>
      </c>
      <c r="N3388" t="s">
        <v>42</v>
      </c>
      <c r="P3388" s="23">
        <v>84.42</v>
      </c>
      <c r="Q3388" s="4">
        <f t="shared" si="52"/>
        <v>-0.30490405117270786</v>
      </c>
      <c r="R3388" s="23" t="s">
        <v>1198</v>
      </c>
    </row>
    <row r="3389" spans="1:18" x14ac:dyDescent="0.25">
      <c r="A3389" s="21">
        <v>45772</v>
      </c>
      <c r="B3389" s="1" t="s">
        <v>4212</v>
      </c>
      <c r="C3389" t="s">
        <v>1221</v>
      </c>
      <c r="D3389" s="22">
        <v>-8.44</v>
      </c>
      <c r="E3389" t="s">
        <v>35</v>
      </c>
      <c r="F3389" s="2">
        <v>610148001</v>
      </c>
      <c r="G3389" s="2" t="s">
        <v>42</v>
      </c>
      <c r="L3389" s="2" t="s">
        <v>6008</v>
      </c>
      <c r="M3389" t="s">
        <v>43</v>
      </c>
      <c r="N3389" t="s">
        <v>42</v>
      </c>
      <c r="P3389" s="23">
        <v>84.42</v>
      </c>
      <c r="Q3389" s="4">
        <f t="shared" si="52"/>
        <v>-9.9976308931532809E-2</v>
      </c>
      <c r="R3389" s="23" t="s">
        <v>1198</v>
      </c>
    </row>
    <row r="3390" spans="1:18" x14ac:dyDescent="0.25">
      <c r="A3390" s="21">
        <v>45772</v>
      </c>
      <c r="B3390" s="1" t="s">
        <v>1220</v>
      </c>
      <c r="C3390" t="s">
        <v>1221</v>
      </c>
      <c r="D3390" s="22">
        <v>-12.66</v>
      </c>
      <c r="E3390" t="s">
        <v>35</v>
      </c>
      <c r="F3390" s="2">
        <v>610148001</v>
      </c>
      <c r="G3390" s="2" t="s">
        <v>42</v>
      </c>
      <c r="L3390" s="2" t="s">
        <v>6009</v>
      </c>
      <c r="M3390" t="s">
        <v>43</v>
      </c>
      <c r="N3390" t="s">
        <v>42</v>
      </c>
      <c r="P3390" s="23">
        <v>84.42</v>
      </c>
      <c r="Q3390" s="4">
        <f t="shared" si="52"/>
        <v>-0.14996446339729921</v>
      </c>
      <c r="R3390" s="23" t="s">
        <v>1198</v>
      </c>
    </row>
    <row r="3391" spans="1:18" x14ac:dyDescent="0.25">
      <c r="A3391" s="21">
        <v>45772</v>
      </c>
      <c r="B3391" s="1" t="s">
        <v>4244</v>
      </c>
      <c r="C3391" t="s">
        <v>1221</v>
      </c>
      <c r="D3391" s="22">
        <v>-8.86</v>
      </c>
      <c r="E3391" t="s">
        <v>35</v>
      </c>
      <c r="F3391" s="2">
        <v>610148001</v>
      </c>
      <c r="G3391" s="2" t="s">
        <v>42</v>
      </c>
      <c r="L3391" s="2" t="s">
        <v>6010</v>
      </c>
      <c r="M3391" t="s">
        <v>43</v>
      </c>
      <c r="N3391" t="s">
        <v>42</v>
      </c>
      <c r="P3391" s="23">
        <v>84.42</v>
      </c>
      <c r="Q3391" s="4">
        <f t="shared" si="52"/>
        <v>-0.10495143330964225</v>
      </c>
      <c r="R3391" s="23" t="s">
        <v>1198</v>
      </c>
    </row>
    <row r="3392" spans="1:18" x14ac:dyDescent="0.25">
      <c r="A3392" s="21">
        <v>45772</v>
      </c>
      <c r="B3392" s="1" t="s">
        <v>4334</v>
      </c>
      <c r="C3392" t="s">
        <v>1221</v>
      </c>
      <c r="D3392" s="22">
        <v>-8.44</v>
      </c>
      <c r="E3392" t="s">
        <v>35</v>
      </c>
      <c r="F3392" s="2">
        <v>610148001</v>
      </c>
      <c r="G3392" s="2" t="s">
        <v>42</v>
      </c>
      <c r="L3392" s="2" t="s">
        <v>6011</v>
      </c>
      <c r="M3392" t="s">
        <v>43</v>
      </c>
      <c r="N3392" t="s">
        <v>42</v>
      </c>
      <c r="P3392" s="23">
        <v>84.42</v>
      </c>
      <c r="Q3392" s="4">
        <f t="shared" si="52"/>
        <v>-9.9976308931532809E-2</v>
      </c>
      <c r="R3392" s="23" t="s">
        <v>1198</v>
      </c>
    </row>
    <row r="3393" spans="1:18" x14ac:dyDescent="0.25">
      <c r="A3393" s="21">
        <v>45772</v>
      </c>
      <c r="B3393" s="1" t="s">
        <v>4299</v>
      </c>
      <c r="C3393" t="s">
        <v>1221</v>
      </c>
      <c r="D3393" s="22">
        <v>-10.55</v>
      </c>
      <c r="E3393" t="s">
        <v>35</v>
      </c>
      <c r="F3393" s="2">
        <v>610148001</v>
      </c>
      <c r="G3393" s="2" t="s">
        <v>42</v>
      </c>
      <c r="L3393" s="2" t="s">
        <v>6012</v>
      </c>
      <c r="M3393" t="s">
        <v>43</v>
      </c>
      <c r="N3393" t="s">
        <v>42</v>
      </c>
      <c r="P3393" s="23">
        <v>84.42</v>
      </c>
      <c r="Q3393" s="4">
        <f t="shared" si="52"/>
        <v>-0.12497038616441603</v>
      </c>
      <c r="R3393" s="23" t="s">
        <v>1198</v>
      </c>
    </row>
    <row r="3394" spans="1:18" x14ac:dyDescent="0.25">
      <c r="A3394" s="21">
        <v>45772</v>
      </c>
      <c r="B3394" s="1" t="s">
        <v>4233</v>
      </c>
      <c r="C3394" t="s">
        <v>1221</v>
      </c>
      <c r="D3394" s="22">
        <v>-10.55</v>
      </c>
      <c r="E3394" t="s">
        <v>35</v>
      </c>
      <c r="F3394" s="2">
        <v>610148001</v>
      </c>
      <c r="G3394" s="2" t="s">
        <v>42</v>
      </c>
      <c r="L3394" s="2" t="s">
        <v>6013</v>
      </c>
      <c r="M3394" t="s">
        <v>43</v>
      </c>
      <c r="N3394" t="s">
        <v>42</v>
      </c>
      <c r="P3394" s="23">
        <v>84.42</v>
      </c>
      <c r="Q3394" s="4">
        <f t="shared" si="52"/>
        <v>-0.12497038616441603</v>
      </c>
      <c r="R3394" s="23" t="s">
        <v>1198</v>
      </c>
    </row>
    <row r="3395" spans="1:18" x14ac:dyDescent="0.25">
      <c r="A3395" s="21">
        <v>45772</v>
      </c>
      <c r="B3395" s="1" t="s">
        <v>4206</v>
      </c>
      <c r="C3395" t="s">
        <v>1221</v>
      </c>
      <c r="D3395" s="22">
        <v>-10.55</v>
      </c>
      <c r="E3395" t="s">
        <v>35</v>
      </c>
      <c r="F3395" s="2">
        <v>610148001</v>
      </c>
      <c r="G3395" s="2" t="s">
        <v>42</v>
      </c>
      <c r="L3395" s="2" t="s">
        <v>6014</v>
      </c>
      <c r="M3395" t="s">
        <v>43</v>
      </c>
      <c r="N3395" t="s">
        <v>42</v>
      </c>
      <c r="P3395" s="23">
        <v>84.42</v>
      </c>
      <c r="Q3395" s="4">
        <f t="shared" si="52"/>
        <v>-0.12497038616441603</v>
      </c>
      <c r="R3395" s="23" t="s">
        <v>1198</v>
      </c>
    </row>
    <row r="3396" spans="1:18" x14ac:dyDescent="0.25">
      <c r="A3396" s="21">
        <v>45772</v>
      </c>
      <c r="B3396" s="1" t="s">
        <v>4272</v>
      </c>
      <c r="C3396" t="s">
        <v>1221</v>
      </c>
      <c r="D3396" s="22">
        <v>-4.22</v>
      </c>
      <c r="E3396" t="s">
        <v>35</v>
      </c>
      <c r="F3396" s="2">
        <v>610148001</v>
      </c>
      <c r="G3396" s="2" t="s">
        <v>42</v>
      </c>
      <c r="L3396" s="2" t="s">
        <v>6015</v>
      </c>
      <c r="M3396" t="s">
        <v>43</v>
      </c>
      <c r="N3396" t="s">
        <v>42</v>
      </c>
      <c r="P3396" s="23">
        <v>84.42</v>
      </c>
      <c r="Q3396" s="4">
        <f t="shared" si="52"/>
        <v>-4.9988154465766405E-2</v>
      </c>
      <c r="R3396" s="23" t="s">
        <v>1198</v>
      </c>
    </row>
    <row r="3397" spans="1:18" x14ac:dyDescent="0.25">
      <c r="A3397" s="21">
        <v>45772</v>
      </c>
      <c r="B3397" s="1" t="s">
        <v>4307</v>
      </c>
      <c r="C3397" t="s">
        <v>1221</v>
      </c>
      <c r="D3397" s="22">
        <v>-21.1</v>
      </c>
      <c r="E3397" t="s">
        <v>35</v>
      </c>
      <c r="F3397" s="2">
        <v>610148001</v>
      </c>
      <c r="G3397" s="2" t="s">
        <v>42</v>
      </c>
      <c r="L3397" s="2" t="s">
        <v>6016</v>
      </c>
      <c r="M3397" t="s">
        <v>43</v>
      </c>
      <c r="N3397" t="s">
        <v>42</v>
      </c>
      <c r="P3397" s="23">
        <v>84.42</v>
      </c>
      <c r="Q3397" s="4">
        <f t="shared" si="52"/>
        <v>-0.24994077232883205</v>
      </c>
      <c r="R3397" s="23" t="s">
        <v>1198</v>
      </c>
    </row>
    <row r="3398" spans="1:18" x14ac:dyDescent="0.25">
      <c r="A3398" s="21">
        <v>45772</v>
      </c>
      <c r="B3398" s="1" t="s">
        <v>4292</v>
      </c>
      <c r="C3398" t="s">
        <v>1221</v>
      </c>
      <c r="D3398" s="22">
        <v>-10.55</v>
      </c>
      <c r="E3398" t="s">
        <v>35</v>
      </c>
      <c r="F3398" s="2">
        <v>610148001</v>
      </c>
      <c r="G3398" s="2" t="s">
        <v>42</v>
      </c>
      <c r="L3398" s="2" t="s">
        <v>6017</v>
      </c>
      <c r="M3398" t="s">
        <v>43</v>
      </c>
      <c r="N3398" t="s">
        <v>42</v>
      </c>
      <c r="P3398" s="23">
        <v>84.42</v>
      </c>
      <c r="Q3398" s="4">
        <f t="shared" si="52"/>
        <v>-0.12497038616441603</v>
      </c>
      <c r="R3398" s="23" t="s">
        <v>1198</v>
      </c>
    </row>
    <row r="3399" spans="1:18" x14ac:dyDescent="0.25">
      <c r="A3399" s="21">
        <v>45772</v>
      </c>
      <c r="B3399" s="1" t="s">
        <v>4208</v>
      </c>
      <c r="C3399" t="s">
        <v>1221</v>
      </c>
      <c r="D3399" s="22">
        <v>-4.22</v>
      </c>
      <c r="E3399" t="s">
        <v>35</v>
      </c>
      <c r="F3399" s="2">
        <v>610148001</v>
      </c>
      <c r="G3399" s="2" t="s">
        <v>42</v>
      </c>
      <c r="L3399" s="2" t="s">
        <v>6018</v>
      </c>
      <c r="M3399" t="s">
        <v>43</v>
      </c>
      <c r="N3399" t="s">
        <v>42</v>
      </c>
      <c r="P3399" s="23">
        <v>84.42</v>
      </c>
      <c r="Q3399" s="4">
        <f t="shared" si="52"/>
        <v>-4.9988154465766405E-2</v>
      </c>
      <c r="R3399" s="23" t="s">
        <v>1198</v>
      </c>
    </row>
    <row r="3400" spans="1:18" x14ac:dyDescent="0.25">
      <c r="A3400" s="21">
        <v>45772</v>
      </c>
      <c r="B3400" s="1" t="s">
        <v>3965</v>
      </c>
      <c r="C3400" t="s">
        <v>1221</v>
      </c>
      <c r="D3400" s="22">
        <v>-12.66</v>
      </c>
      <c r="E3400" t="s">
        <v>35</v>
      </c>
      <c r="F3400" s="2">
        <v>610148001</v>
      </c>
      <c r="G3400" s="2" t="s">
        <v>42</v>
      </c>
      <c r="L3400" s="2" t="s">
        <v>6019</v>
      </c>
      <c r="M3400" t="s">
        <v>43</v>
      </c>
      <c r="N3400" t="s">
        <v>42</v>
      </c>
      <c r="P3400" s="23">
        <v>84.42</v>
      </c>
      <c r="Q3400" s="4">
        <f t="shared" si="52"/>
        <v>-0.14996446339729921</v>
      </c>
      <c r="R3400" s="23" t="s">
        <v>1198</v>
      </c>
    </row>
    <row r="3401" spans="1:18" x14ac:dyDescent="0.25">
      <c r="A3401" s="21">
        <v>45772</v>
      </c>
      <c r="B3401" s="1" t="s">
        <v>4242</v>
      </c>
      <c r="C3401" t="s">
        <v>1221</v>
      </c>
      <c r="D3401" s="22">
        <v>-16.88</v>
      </c>
      <c r="E3401" t="s">
        <v>35</v>
      </c>
      <c r="F3401" s="2">
        <v>610148001</v>
      </c>
      <c r="G3401" s="2" t="s">
        <v>42</v>
      </c>
      <c r="L3401" s="2" t="s">
        <v>6020</v>
      </c>
      <c r="M3401" t="s">
        <v>43</v>
      </c>
      <c r="N3401" t="s">
        <v>42</v>
      </c>
      <c r="P3401" s="23">
        <v>84.42</v>
      </c>
      <c r="Q3401" s="4">
        <f t="shared" si="52"/>
        <v>-0.19995261786306562</v>
      </c>
      <c r="R3401" s="23" t="s">
        <v>1198</v>
      </c>
    </row>
    <row r="3402" spans="1:18" x14ac:dyDescent="0.25">
      <c r="A3402" s="21">
        <v>45772</v>
      </c>
      <c r="B3402" s="1" t="s">
        <v>4315</v>
      </c>
      <c r="C3402" t="s">
        <v>1221</v>
      </c>
      <c r="D3402" s="22">
        <v>-10.55</v>
      </c>
      <c r="E3402" t="s">
        <v>35</v>
      </c>
      <c r="F3402" s="2">
        <v>610148001</v>
      </c>
      <c r="G3402" s="2" t="s">
        <v>42</v>
      </c>
      <c r="L3402" s="2" t="s">
        <v>6021</v>
      </c>
      <c r="M3402" t="s">
        <v>43</v>
      </c>
      <c r="N3402" t="s">
        <v>42</v>
      </c>
      <c r="P3402" s="23">
        <v>84.42</v>
      </c>
      <c r="Q3402" s="4">
        <f t="shared" si="52"/>
        <v>-0.12497038616441603</v>
      </c>
      <c r="R3402" s="23" t="s">
        <v>1198</v>
      </c>
    </row>
    <row r="3403" spans="1:18" x14ac:dyDescent="0.25">
      <c r="A3403" s="21">
        <v>45772</v>
      </c>
      <c r="B3403" s="1" t="s">
        <v>4317</v>
      </c>
      <c r="C3403" t="s">
        <v>1221</v>
      </c>
      <c r="D3403" s="22">
        <v>-8.44</v>
      </c>
      <c r="E3403" t="s">
        <v>35</v>
      </c>
      <c r="F3403" s="2">
        <v>610148001</v>
      </c>
      <c r="G3403" s="2" t="s">
        <v>42</v>
      </c>
      <c r="L3403" s="2" t="s">
        <v>6022</v>
      </c>
      <c r="M3403" t="s">
        <v>43</v>
      </c>
      <c r="N3403" t="s">
        <v>42</v>
      </c>
      <c r="P3403" s="23">
        <v>84.42</v>
      </c>
      <c r="Q3403" s="4">
        <f t="shared" ref="Q3403:Q3466" si="53">D3403/P3403</f>
        <v>-9.9976308931532809E-2</v>
      </c>
      <c r="R3403" s="23" t="s">
        <v>1198</v>
      </c>
    </row>
    <row r="3404" spans="1:18" x14ac:dyDescent="0.25">
      <c r="A3404" s="21">
        <v>45772</v>
      </c>
      <c r="B3404" s="1" t="s">
        <v>4229</v>
      </c>
      <c r="C3404" t="s">
        <v>1221</v>
      </c>
      <c r="D3404" s="22">
        <v>-21.1</v>
      </c>
      <c r="E3404" t="s">
        <v>35</v>
      </c>
      <c r="F3404" s="2">
        <v>610148001</v>
      </c>
      <c r="G3404" s="2" t="s">
        <v>42</v>
      </c>
      <c r="L3404" s="2" t="s">
        <v>6023</v>
      </c>
      <c r="M3404" t="s">
        <v>43</v>
      </c>
      <c r="N3404" t="s">
        <v>42</v>
      </c>
      <c r="P3404" s="23">
        <v>84.42</v>
      </c>
      <c r="Q3404" s="4">
        <f t="shared" si="53"/>
        <v>-0.24994077232883205</v>
      </c>
      <c r="R3404" s="23" t="s">
        <v>1198</v>
      </c>
    </row>
    <row r="3405" spans="1:18" x14ac:dyDescent="0.25">
      <c r="A3405" s="21">
        <v>45772</v>
      </c>
      <c r="B3405" s="1" t="s">
        <v>4255</v>
      </c>
      <c r="C3405" t="s">
        <v>1221</v>
      </c>
      <c r="D3405" s="22">
        <v>-10.55</v>
      </c>
      <c r="E3405" t="s">
        <v>35</v>
      </c>
      <c r="F3405" s="2">
        <v>610148001</v>
      </c>
      <c r="G3405" s="2" t="s">
        <v>42</v>
      </c>
      <c r="L3405" s="2" t="s">
        <v>6024</v>
      </c>
      <c r="M3405" t="s">
        <v>43</v>
      </c>
      <c r="N3405" t="s">
        <v>42</v>
      </c>
      <c r="P3405" s="23">
        <v>84.42</v>
      </c>
      <c r="Q3405" s="4">
        <f t="shared" si="53"/>
        <v>-0.12497038616441603</v>
      </c>
      <c r="R3405" s="23" t="s">
        <v>1198</v>
      </c>
    </row>
    <row r="3406" spans="1:18" x14ac:dyDescent="0.25">
      <c r="A3406" s="21">
        <v>45772</v>
      </c>
      <c r="B3406" s="1" t="s">
        <v>4305</v>
      </c>
      <c r="C3406" t="s">
        <v>1221</v>
      </c>
      <c r="D3406" s="22">
        <v>-4.22</v>
      </c>
      <c r="E3406" t="s">
        <v>35</v>
      </c>
      <c r="F3406" s="2">
        <v>610148001</v>
      </c>
      <c r="G3406" s="2" t="s">
        <v>42</v>
      </c>
      <c r="L3406" s="2" t="s">
        <v>6025</v>
      </c>
      <c r="M3406" t="s">
        <v>43</v>
      </c>
      <c r="N3406" t="s">
        <v>42</v>
      </c>
      <c r="P3406" s="23">
        <v>84.42</v>
      </c>
      <c r="Q3406" s="4">
        <f t="shared" si="53"/>
        <v>-4.9988154465766405E-2</v>
      </c>
      <c r="R3406" s="23" t="s">
        <v>1198</v>
      </c>
    </row>
    <row r="3407" spans="1:18" x14ac:dyDescent="0.25">
      <c r="A3407" s="21">
        <v>45772</v>
      </c>
      <c r="B3407" s="1" t="s">
        <v>4210</v>
      </c>
      <c r="C3407" t="s">
        <v>1221</v>
      </c>
      <c r="D3407" s="22">
        <v>-42.21</v>
      </c>
      <c r="E3407" t="s">
        <v>35</v>
      </c>
      <c r="F3407" s="2">
        <v>610148001</v>
      </c>
      <c r="G3407" s="2" t="s">
        <v>42</v>
      </c>
      <c r="L3407" s="2" t="s">
        <v>6026</v>
      </c>
      <c r="M3407" t="s">
        <v>43</v>
      </c>
      <c r="N3407" t="s">
        <v>42</v>
      </c>
      <c r="P3407" s="23">
        <v>84.42</v>
      </c>
      <c r="Q3407" s="4">
        <f t="shared" si="53"/>
        <v>-0.5</v>
      </c>
      <c r="R3407" s="23" t="s">
        <v>1198</v>
      </c>
    </row>
    <row r="3408" spans="1:18" x14ac:dyDescent="0.25">
      <c r="A3408" s="21">
        <v>45772</v>
      </c>
      <c r="B3408" s="1" t="s">
        <v>3977</v>
      </c>
      <c r="C3408" t="s">
        <v>1221</v>
      </c>
      <c r="D3408" s="22">
        <v>-12.66</v>
      </c>
      <c r="E3408" t="s">
        <v>35</v>
      </c>
      <c r="F3408" s="2">
        <v>610148001</v>
      </c>
      <c r="G3408" s="2" t="s">
        <v>42</v>
      </c>
      <c r="L3408" s="2" t="s">
        <v>6027</v>
      </c>
      <c r="M3408" t="s">
        <v>43</v>
      </c>
      <c r="N3408" t="s">
        <v>42</v>
      </c>
      <c r="P3408" s="23">
        <v>84.42</v>
      </c>
      <c r="Q3408" s="4">
        <f t="shared" si="53"/>
        <v>-0.14996446339729921</v>
      </c>
      <c r="R3408" s="23" t="s">
        <v>1198</v>
      </c>
    </row>
    <row r="3409" spans="1:18" x14ac:dyDescent="0.25">
      <c r="A3409" s="21">
        <v>45772</v>
      </c>
      <c r="B3409" s="1" t="s">
        <v>3960</v>
      </c>
      <c r="C3409" t="s">
        <v>1221</v>
      </c>
      <c r="D3409" s="22">
        <v>-12.66</v>
      </c>
      <c r="E3409" t="s">
        <v>35</v>
      </c>
      <c r="F3409" s="2">
        <v>610148001</v>
      </c>
      <c r="G3409" s="2" t="s">
        <v>42</v>
      </c>
      <c r="L3409" s="2" t="s">
        <v>6028</v>
      </c>
      <c r="M3409" t="s">
        <v>43</v>
      </c>
      <c r="N3409" t="s">
        <v>42</v>
      </c>
      <c r="P3409" s="23">
        <v>84.42</v>
      </c>
      <c r="Q3409" s="4">
        <f t="shared" si="53"/>
        <v>-0.14996446339729921</v>
      </c>
      <c r="R3409" s="23" t="s">
        <v>1198</v>
      </c>
    </row>
    <row r="3410" spans="1:18" x14ac:dyDescent="0.25">
      <c r="A3410" s="21">
        <v>45772</v>
      </c>
      <c r="B3410" s="1" t="s">
        <v>3962</v>
      </c>
      <c r="C3410" t="s">
        <v>1221</v>
      </c>
      <c r="D3410" s="22">
        <v>-12.66</v>
      </c>
      <c r="E3410" t="s">
        <v>35</v>
      </c>
      <c r="F3410" s="2">
        <v>610148001</v>
      </c>
      <c r="G3410" s="2" t="s">
        <v>42</v>
      </c>
      <c r="L3410" s="2" t="s">
        <v>6029</v>
      </c>
      <c r="M3410" t="s">
        <v>43</v>
      </c>
      <c r="N3410" t="s">
        <v>42</v>
      </c>
      <c r="P3410" s="23">
        <v>84.42</v>
      </c>
      <c r="Q3410" s="4">
        <f t="shared" si="53"/>
        <v>-0.14996446339729921</v>
      </c>
      <c r="R3410" s="23" t="s">
        <v>1198</v>
      </c>
    </row>
    <row r="3411" spans="1:18" x14ac:dyDescent="0.25">
      <c r="A3411" s="21">
        <v>45772</v>
      </c>
      <c r="B3411" s="1" t="s">
        <v>3955</v>
      </c>
      <c r="C3411" t="s">
        <v>1221</v>
      </c>
      <c r="D3411" s="22">
        <v>-12.66</v>
      </c>
      <c r="E3411" t="s">
        <v>35</v>
      </c>
      <c r="F3411" s="2">
        <v>610148001</v>
      </c>
      <c r="G3411" s="2" t="s">
        <v>42</v>
      </c>
      <c r="L3411" s="2" t="s">
        <v>6030</v>
      </c>
      <c r="M3411" t="s">
        <v>43</v>
      </c>
      <c r="N3411" t="s">
        <v>42</v>
      </c>
      <c r="P3411" s="23">
        <v>84.42</v>
      </c>
      <c r="Q3411" s="4">
        <f t="shared" si="53"/>
        <v>-0.14996446339729921</v>
      </c>
      <c r="R3411" s="23" t="s">
        <v>1198</v>
      </c>
    </row>
    <row r="3412" spans="1:18" x14ac:dyDescent="0.25">
      <c r="A3412" s="21">
        <v>45772</v>
      </c>
      <c r="B3412" s="1" t="s">
        <v>3979</v>
      </c>
      <c r="C3412" t="s">
        <v>1221</v>
      </c>
      <c r="D3412" s="22">
        <v>-12.66</v>
      </c>
      <c r="E3412" t="s">
        <v>35</v>
      </c>
      <c r="F3412" s="2">
        <v>610148001</v>
      </c>
      <c r="G3412" s="2" t="s">
        <v>42</v>
      </c>
      <c r="L3412" s="2" t="s">
        <v>6031</v>
      </c>
      <c r="M3412" t="s">
        <v>43</v>
      </c>
      <c r="N3412" t="s">
        <v>42</v>
      </c>
      <c r="P3412" s="23">
        <v>84.42</v>
      </c>
      <c r="Q3412" s="4">
        <f t="shared" si="53"/>
        <v>-0.14996446339729921</v>
      </c>
      <c r="R3412" s="23" t="s">
        <v>1198</v>
      </c>
    </row>
    <row r="3413" spans="1:18" x14ac:dyDescent="0.25">
      <c r="A3413" s="21">
        <v>45772</v>
      </c>
      <c r="B3413" s="1" t="s">
        <v>4311</v>
      </c>
      <c r="C3413" t="s">
        <v>1221</v>
      </c>
      <c r="D3413" s="22">
        <v>-16.88</v>
      </c>
      <c r="E3413" t="s">
        <v>35</v>
      </c>
      <c r="F3413" s="2">
        <v>610148001</v>
      </c>
      <c r="G3413" s="2" t="s">
        <v>42</v>
      </c>
      <c r="L3413" s="2" t="s">
        <v>6032</v>
      </c>
      <c r="M3413" t="s">
        <v>43</v>
      </c>
      <c r="N3413" t="s">
        <v>42</v>
      </c>
      <c r="P3413" s="23">
        <v>84.42</v>
      </c>
      <c r="Q3413" s="4">
        <f t="shared" si="53"/>
        <v>-0.19995261786306562</v>
      </c>
      <c r="R3413" s="23" t="s">
        <v>1198</v>
      </c>
    </row>
    <row r="3414" spans="1:18" x14ac:dyDescent="0.25">
      <c r="A3414" s="21">
        <v>45772</v>
      </c>
      <c r="B3414" s="1" t="s">
        <v>4221</v>
      </c>
      <c r="C3414" t="s">
        <v>1221</v>
      </c>
      <c r="D3414" s="22">
        <v>-8.86</v>
      </c>
      <c r="E3414" t="s">
        <v>35</v>
      </c>
      <c r="F3414" s="2">
        <v>610148001</v>
      </c>
      <c r="G3414" s="2" t="s">
        <v>42</v>
      </c>
      <c r="L3414" s="2" t="s">
        <v>6033</v>
      </c>
      <c r="M3414" t="s">
        <v>43</v>
      </c>
      <c r="N3414" t="s">
        <v>42</v>
      </c>
      <c r="P3414" s="23">
        <v>84.42</v>
      </c>
      <c r="Q3414" s="4">
        <f t="shared" si="53"/>
        <v>-0.10495143330964225</v>
      </c>
      <c r="R3414" s="23" t="s">
        <v>1198</v>
      </c>
    </row>
    <row r="3415" spans="1:18" x14ac:dyDescent="0.25">
      <c r="A3415" s="21">
        <v>45772</v>
      </c>
      <c r="B3415" s="1" t="s">
        <v>4313</v>
      </c>
      <c r="C3415" t="s">
        <v>1221</v>
      </c>
      <c r="D3415" s="22">
        <v>-10.55</v>
      </c>
      <c r="E3415" t="s">
        <v>35</v>
      </c>
      <c r="F3415" s="2">
        <v>610148001</v>
      </c>
      <c r="G3415" s="2" t="s">
        <v>42</v>
      </c>
      <c r="L3415" s="2" t="s">
        <v>6034</v>
      </c>
      <c r="M3415" t="s">
        <v>43</v>
      </c>
      <c r="N3415" t="s">
        <v>42</v>
      </c>
      <c r="P3415" s="23">
        <v>84.42</v>
      </c>
      <c r="Q3415" s="4">
        <f t="shared" si="53"/>
        <v>-0.12497038616441603</v>
      </c>
      <c r="R3415" s="23" t="s">
        <v>1198</v>
      </c>
    </row>
    <row r="3416" spans="1:18" x14ac:dyDescent="0.25">
      <c r="A3416" s="21">
        <v>45772</v>
      </c>
      <c r="B3416" s="1" t="s">
        <v>3973</v>
      </c>
      <c r="C3416" t="s">
        <v>1221</v>
      </c>
      <c r="D3416" s="22">
        <v>-12.66</v>
      </c>
      <c r="E3416" t="s">
        <v>35</v>
      </c>
      <c r="F3416" s="2">
        <v>610148001</v>
      </c>
      <c r="G3416" s="2" t="s">
        <v>42</v>
      </c>
      <c r="L3416" s="2" t="s">
        <v>6035</v>
      </c>
      <c r="M3416" t="s">
        <v>43</v>
      </c>
      <c r="N3416" t="s">
        <v>42</v>
      </c>
      <c r="P3416" s="23">
        <v>84.42</v>
      </c>
      <c r="Q3416" s="4">
        <f t="shared" si="53"/>
        <v>-0.14996446339729921</v>
      </c>
      <c r="R3416" s="23" t="s">
        <v>1198</v>
      </c>
    </row>
    <row r="3417" spans="1:18" x14ac:dyDescent="0.25">
      <c r="A3417" s="21">
        <v>45772</v>
      </c>
      <c r="B3417" s="1" t="s">
        <v>4286</v>
      </c>
      <c r="C3417" t="s">
        <v>1221</v>
      </c>
      <c r="D3417" s="22">
        <v>-10.55</v>
      </c>
      <c r="E3417" t="s">
        <v>35</v>
      </c>
      <c r="F3417" s="2">
        <v>610148001</v>
      </c>
      <c r="G3417" s="2" t="s">
        <v>42</v>
      </c>
      <c r="L3417" s="2" t="s">
        <v>6036</v>
      </c>
      <c r="M3417" t="s">
        <v>43</v>
      </c>
      <c r="N3417" t="s">
        <v>42</v>
      </c>
      <c r="P3417" s="23">
        <v>84.42</v>
      </c>
      <c r="Q3417" s="4">
        <f t="shared" si="53"/>
        <v>-0.12497038616441603</v>
      </c>
      <c r="R3417" s="23" t="s">
        <v>1198</v>
      </c>
    </row>
    <row r="3418" spans="1:18" x14ac:dyDescent="0.25">
      <c r="A3418" s="21">
        <v>45772</v>
      </c>
      <c r="B3418" s="1" t="s">
        <v>4262</v>
      </c>
      <c r="C3418" t="s">
        <v>1221</v>
      </c>
      <c r="D3418" s="22">
        <v>-8.44</v>
      </c>
      <c r="E3418" t="s">
        <v>35</v>
      </c>
      <c r="F3418" s="2">
        <v>610148001</v>
      </c>
      <c r="G3418" s="2" t="s">
        <v>42</v>
      </c>
      <c r="L3418" s="2" t="s">
        <v>6037</v>
      </c>
      <c r="M3418" t="s">
        <v>43</v>
      </c>
      <c r="N3418" t="s">
        <v>42</v>
      </c>
      <c r="P3418" s="23">
        <v>84.42</v>
      </c>
      <c r="Q3418" s="4">
        <f t="shared" si="53"/>
        <v>-9.9976308931532809E-2</v>
      </c>
      <c r="R3418" s="23" t="s">
        <v>1198</v>
      </c>
    </row>
    <row r="3419" spans="1:18" x14ac:dyDescent="0.25">
      <c r="A3419" s="21">
        <v>45772</v>
      </c>
      <c r="B3419" s="1" t="s">
        <v>4288</v>
      </c>
      <c r="C3419" t="s">
        <v>1221</v>
      </c>
      <c r="D3419" s="22">
        <v>-11.39</v>
      </c>
      <c r="E3419" t="s">
        <v>35</v>
      </c>
      <c r="F3419" s="2">
        <v>610148001</v>
      </c>
      <c r="G3419" s="2" t="s">
        <v>42</v>
      </c>
      <c r="L3419" s="2" t="s">
        <v>6038</v>
      </c>
      <c r="M3419" t="s">
        <v>43</v>
      </c>
      <c r="N3419" t="s">
        <v>42</v>
      </c>
      <c r="P3419" s="23">
        <v>84.42</v>
      </c>
      <c r="Q3419" s="4">
        <f t="shared" si="53"/>
        <v>-0.13492063492063491</v>
      </c>
      <c r="R3419" s="23" t="s">
        <v>1198</v>
      </c>
    </row>
    <row r="3420" spans="1:18" x14ac:dyDescent="0.25">
      <c r="A3420" s="21">
        <v>45772</v>
      </c>
      <c r="B3420" s="1" t="s">
        <v>4323</v>
      </c>
      <c r="C3420" t="s">
        <v>1221</v>
      </c>
      <c r="D3420" s="22">
        <v>-14.77</v>
      </c>
      <c r="E3420" t="s">
        <v>35</v>
      </c>
      <c r="F3420" s="2">
        <v>610148001</v>
      </c>
      <c r="G3420" s="2" t="s">
        <v>42</v>
      </c>
      <c r="L3420" s="2" t="s">
        <v>6039</v>
      </c>
      <c r="M3420" t="s">
        <v>43</v>
      </c>
      <c r="N3420" t="s">
        <v>42</v>
      </c>
      <c r="P3420" s="23">
        <v>84.42</v>
      </c>
      <c r="Q3420" s="4">
        <f t="shared" si="53"/>
        <v>-0.1749585406301824</v>
      </c>
      <c r="R3420" s="23" t="s">
        <v>1198</v>
      </c>
    </row>
    <row r="3421" spans="1:18" x14ac:dyDescent="0.25">
      <c r="A3421" s="21">
        <v>45772</v>
      </c>
      <c r="B3421" s="1" t="s">
        <v>4294</v>
      </c>
      <c r="C3421" t="s">
        <v>1221</v>
      </c>
      <c r="D3421" s="22">
        <v>-10.55</v>
      </c>
      <c r="E3421" t="s">
        <v>35</v>
      </c>
      <c r="F3421" s="2">
        <v>610148001</v>
      </c>
      <c r="G3421" s="2" t="s">
        <v>42</v>
      </c>
      <c r="L3421" s="2" t="s">
        <v>6040</v>
      </c>
      <c r="M3421" t="s">
        <v>43</v>
      </c>
      <c r="N3421" t="s">
        <v>42</v>
      </c>
      <c r="P3421" s="23">
        <v>84.42</v>
      </c>
      <c r="Q3421" s="4">
        <f t="shared" si="53"/>
        <v>-0.12497038616441603</v>
      </c>
      <c r="R3421" s="23" t="s">
        <v>1198</v>
      </c>
    </row>
    <row r="3422" spans="1:18" x14ac:dyDescent="0.25">
      <c r="A3422" s="21">
        <v>45772</v>
      </c>
      <c r="B3422" s="1" t="s">
        <v>4270</v>
      </c>
      <c r="C3422" t="s">
        <v>1221</v>
      </c>
      <c r="D3422" s="22">
        <v>-4.22</v>
      </c>
      <c r="E3422" t="s">
        <v>35</v>
      </c>
      <c r="F3422" s="2">
        <v>610148001</v>
      </c>
      <c r="G3422" s="2" t="s">
        <v>42</v>
      </c>
      <c r="L3422" s="2" t="s">
        <v>6041</v>
      </c>
      <c r="M3422" t="s">
        <v>43</v>
      </c>
      <c r="N3422" t="s">
        <v>42</v>
      </c>
      <c r="P3422" s="23">
        <v>84.42</v>
      </c>
      <c r="Q3422" s="4">
        <f t="shared" si="53"/>
        <v>-4.9988154465766405E-2</v>
      </c>
      <c r="R3422" s="23" t="s">
        <v>1198</v>
      </c>
    </row>
    <row r="3423" spans="1:18" x14ac:dyDescent="0.25">
      <c r="A3423" s="21">
        <v>45772</v>
      </c>
      <c r="B3423" s="1" t="s">
        <v>2585</v>
      </c>
      <c r="C3423" t="s">
        <v>1221</v>
      </c>
      <c r="D3423" s="22">
        <v>-12.66</v>
      </c>
      <c r="E3423" t="s">
        <v>35</v>
      </c>
      <c r="F3423" s="2">
        <v>610148001</v>
      </c>
      <c r="G3423" s="2" t="s">
        <v>42</v>
      </c>
      <c r="L3423" s="2" t="s">
        <v>6042</v>
      </c>
      <c r="M3423" t="s">
        <v>43</v>
      </c>
      <c r="N3423" t="s">
        <v>42</v>
      </c>
      <c r="P3423" s="23">
        <v>84.42</v>
      </c>
      <c r="Q3423" s="4">
        <f t="shared" si="53"/>
        <v>-0.14996446339729921</v>
      </c>
      <c r="R3423" s="23" t="s">
        <v>1198</v>
      </c>
    </row>
    <row r="3424" spans="1:18" x14ac:dyDescent="0.25">
      <c r="A3424" s="21">
        <v>45772</v>
      </c>
      <c r="B3424" s="1" t="s">
        <v>1227</v>
      </c>
      <c r="C3424" t="s">
        <v>1221</v>
      </c>
      <c r="D3424" s="22">
        <v>-12.66</v>
      </c>
      <c r="E3424" t="s">
        <v>35</v>
      </c>
      <c r="F3424" s="2">
        <v>610148001</v>
      </c>
      <c r="G3424" s="2" t="s">
        <v>42</v>
      </c>
      <c r="L3424" s="2" t="s">
        <v>6043</v>
      </c>
      <c r="M3424" t="s">
        <v>43</v>
      </c>
      <c r="N3424" t="s">
        <v>42</v>
      </c>
      <c r="P3424" s="23">
        <v>84.42</v>
      </c>
      <c r="Q3424" s="4">
        <f t="shared" si="53"/>
        <v>-0.14996446339729921</v>
      </c>
      <c r="R3424" s="23" t="s">
        <v>1198</v>
      </c>
    </row>
    <row r="3425" spans="1:18" x14ac:dyDescent="0.25">
      <c r="A3425" s="21">
        <v>45772</v>
      </c>
      <c r="B3425" s="1" t="s">
        <v>2582</v>
      </c>
      <c r="C3425" t="s">
        <v>1221</v>
      </c>
      <c r="D3425" s="22">
        <v>-12.66</v>
      </c>
      <c r="E3425" t="s">
        <v>35</v>
      </c>
      <c r="F3425" s="2">
        <v>610148001</v>
      </c>
      <c r="G3425" s="2" t="s">
        <v>42</v>
      </c>
      <c r="L3425" s="2" t="s">
        <v>6044</v>
      </c>
      <c r="M3425" t="s">
        <v>43</v>
      </c>
      <c r="N3425" t="s">
        <v>42</v>
      </c>
      <c r="P3425" s="23">
        <v>84.42</v>
      </c>
      <c r="Q3425" s="4">
        <f t="shared" si="53"/>
        <v>-0.14996446339729921</v>
      </c>
      <c r="R3425" s="23" t="s">
        <v>1198</v>
      </c>
    </row>
    <row r="3426" spans="1:18" x14ac:dyDescent="0.25">
      <c r="A3426" s="21">
        <v>45772</v>
      </c>
      <c r="B3426" s="1" t="s">
        <v>4309</v>
      </c>
      <c r="C3426" t="s">
        <v>1221</v>
      </c>
      <c r="D3426" s="22">
        <v>-16.88</v>
      </c>
      <c r="E3426" t="s">
        <v>35</v>
      </c>
      <c r="F3426" s="2">
        <v>610148001</v>
      </c>
      <c r="G3426" s="2" t="s">
        <v>42</v>
      </c>
      <c r="L3426" s="2" t="s">
        <v>6045</v>
      </c>
      <c r="M3426" t="s">
        <v>43</v>
      </c>
      <c r="N3426" t="s">
        <v>42</v>
      </c>
      <c r="P3426" s="23">
        <v>84.42</v>
      </c>
      <c r="Q3426" s="4">
        <f t="shared" si="53"/>
        <v>-0.19995261786306562</v>
      </c>
      <c r="R3426" s="23" t="s">
        <v>1198</v>
      </c>
    </row>
    <row r="3427" spans="1:18" x14ac:dyDescent="0.25">
      <c r="A3427" s="21">
        <v>45772</v>
      </c>
      <c r="B3427" s="1" t="s">
        <v>4225</v>
      </c>
      <c r="C3427" t="s">
        <v>1221</v>
      </c>
      <c r="D3427" s="22">
        <v>-8.44</v>
      </c>
      <c r="E3427" t="s">
        <v>35</v>
      </c>
      <c r="F3427" s="2">
        <v>610148001</v>
      </c>
      <c r="G3427" s="2" t="s">
        <v>42</v>
      </c>
      <c r="L3427" s="2" t="s">
        <v>6046</v>
      </c>
      <c r="M3427" t="s">
        <v>43</v>
      </c>
      <c r="N3427" t="s">
        <v>42</v>
      </c>
      <c r="P3427" s="23">
        <v>84.42</v>
      </c>
      <c r="Q3427" s="4">
        <f t="shared" si="53"/>
        <v>-9.9976308931532809E-2</v>
      </c>
      <c r="R3427" s="23" t="s">
        <v>1198</v>
      </c>
    </row>
    <row r="3428" spans="1:18" x14ac:dyDescent="0.25">
      <c r="A3428" s="21">
        <v>45772</v>
      </c>
      <c r="B3428" s="1" t="s">
        <v>4227</v>
      </c>
      <c r="C3428" t="s">
        <v>1221</v>
      </c>
      <c r="D3428" s="22">
        <v>-8.44</v>
      </c>
      <c r="E3428" t="s">
        <v>35</v>
      </c>
      <c r="F3428" s="2">
        <v>610148001</v>
      </c>
      <c r="G3428" s="2" t="s">
        <v>42</v>
      </c>
      <c r="L3428" s="2" t="s">
        <v>6047</v>
      </c>
      <c r="M3428" t="s">
        <v>43</v>
      </c>
      <c r="N3428" t="s">
        <v>42</v>
      </c>
      <c r="P3428" s="23">
        <v>84.42</v>
      </c>
      <c r="Q3428" s="4">
        <f t="shared" si="53"/>
        <v>-9.9976308931532809E-2</v>
      </c>
      <c r="R3428" s="23" t="s">
        <v>1198</v>
      </c>
    </row>
    <row r="3429" spans="1:18" x14ac:dyDescent="0.25">
      <c r="A3429" s="21">
        <v>45772</v>
      </c>
      <c r="B3429" s="1" t="s">
        <v>4260</v>
      </c>
      <c r="C3429" t="s">
        <v>1221</v>
      </c>
      <c r="D3429" s="22">
        <v>-8.44</v>
      </c>
      <c r="E3429" t="s">
        <v>35</v>
      </c>
      <c r="F3429" s="2">
        <v>610148001</v>
      </c>
      <c r="G3429" s="2" t="s">
        <v>42</v>
      </c>
      <c r="L3429" s="2" t="s">
        <v>6048</v>
      </c>
      <c r="M3429" t="s">
        <v>43</v>
      </c>
      <c r="N3429" t="s">
        <v>42</v>
      </c>
      <c r="P3429" s="23">
        <v>84.42</v>
      </c>
      <c r="Q3429" s="4">
        <f t="shared" si="53"/>
        <v>-9.9976308931532809E-2</v>
      </c>
      <c r="R3429" s="23" t="s">
        <v>1198</v>
      </c>
    </row>
    <row r="3430" spans="1:18" x14ac:dyDescent="0.25">
      <c r="A3430" s="21">
        <v>45772</v>
      </c>
      <c r="B3430" s="1" t="s">
        <v>4266</v>
      </c>
      <c r="C3430" t="s">
        <v>1221</v>
      </c>
      <c r="D3430" s="22">
        <v>-16.88</v>
      </c>
      <c r="E3430" t="s">
        <v>35</v>
      </c>
      <c r="F3430" s="2">
        <v>610148001</v>
      </c>
      <c r="G3430" s="2" t="s">
        <v>42</v>
      </c>
      <c r="L3430" s="2" t="s">
        <v>6049</v>
      </c>
      <c r="M3430" t="s">
        <v>43</v>
      </c>
      <c r="N3430" t="s">
        <v>42</v>
      </c>
      <c r="P3430" s="23">
        <v>84.42</v>
      </c>
      <c r="Q3430" s="4">
        <f t="shared" si="53"/>
        <v>-0.19995261786306562</v>
      </c>
      <c r="R3430" s="23" t="s">
        <v>1198</v>
      </c>
    </row>
    <row r="3431" spans="1:18" x14ac:dyDescent="0.25">
      <c r="A3431" s="21">
        <v>45772</v>
      </c>
      <c r="B3431" s="1" t="s">
        <v>4235</v>
      </c>
      <c r="C3431" t="s">
        <v>1221</v>
      </c>
      <c r="D3431" s="22">
        <v>-10.55</v>
      </c>
      <c r="E3431" t="s">
        <v>35</v>
      </c>
      <c r="F3431" s="2">
        <v>610148001</v>
      </c>
      <c r="G3431" s="2" t="s">
        <v>42</v>
      </c>
      <c r="L3431" s="2" t="s">
        <v>6050</v>
      </c>
      <c r="M3431" t="s">
        <v>43</v>
      </c>
      <c r="N3431" t="s">
        <v>42</v>
      </c>
      <c r="P3431" s="23">
        <v>84.42</v>
      </c>
      <c r="Q3431" s="4">
        <f t="shared" si="53"/>
        <v>-0.12497038616441603</v>
      </c>
      <c r="R3431" s="23" t="s">
        <v>1198</v>
      </c>
    </row>
    <row r="3432" spans="1:18" x14ac:dyDescent="0.25">
      <c r="A3432" s="21">
        <v>45772</v>
      </c>
      <c r="B3432" s="1" t="s">
        <v>4303</v>
      </c>
      <c r="C3432" t="s">
        <v>1221</v>
      </c>
      <c r="D3432" s="22">
        <v>-10.55</v>
      </c>
      <c r="E3432" t="s">
        <v>35</v>
      </c>
      <c r="F3432" s="2">
        <v>610148001</v>
      </c>
      <c r="G3432" s="2" t="s">
        <v>42</v>
      </c>
      <c r="L3432" s="2" t="s">
        <v>6051</v>
      </c>
      <c r="M3432" t="s">
        <v>43</v>
      </c>
      <c r="N3432" t="s">
        <v>42</v>
      </c>
      <c r="P3432" s="23">
        <v>84.42</v>
      </c>
      <c r="Q3432" s="4">
        <f t="shared" si="53"/>
        <v>-0.12497038616441603</v>
      </c>
      <c r="R3432" s="23" t="s">
        <v>1198</v>
      </c>
    </row>
    <row r="3433" spans="1:18" x14ac:dyDescent="0.25">
      <c r="A3433" s="21">
        <v>45772</v>
      </c>
      <c r="B3433" s="1" t="s">
        <v>4327</v>
      </c>
      <c r="C3433" t="s">
        <v>1221</v>
      </c>
      <c r="D3433" s="22">
        <v>-29.54</v>
      </c>
      <c r="E3433" t="s">
        <v>35</v>
      </c>
      <c r="F3433" s="2">
        <v>610148001</v>
      </c>
      <c r="G3433" s="2" t="s">
        <v>42</v>
      </c>
      <c r="L3433" s="2" t="s">
        <v>6052</v>
      </c>
      <c r="M3433" t="s">
        <v>43</v>
      </c>
      <c r="N3433" t="s">
        <v>42</v>
      </c>
      <c r="P3433" s="23">
        <v>84.42</v>
      </c>
      <c r="Q3433" s="4">
        <f t="shared" si="53"/>
        <v>-0.3499170812603648</v>
      </c>
      <c r="R3433" s="23" t="s">
        <v>1198</v>
      </c>
    </row>
    <row r="3434" spans="1:18" x14ac:dyDescent="0.25">
      <c r="A3434" s="21">
        <v>45772</v>
      </c>
      <c r="B3434" s="1" t="s">
        <v>1223</v>
      </c>
      <c r="C3434" t="s">
        <v>1221</v>
      </c>
      <c r="D3434" s="22">
        <v>-16.88</v>
      </c>
      <c r="E3434" t="s">
        <v>35</v>
      </c>
      <c r="F3434" s="2">
        <v>610148001</v>
      </c>
      <c r="G3434" s="2" t="s">
        <v>42</v>
      </c>
      <c r="L3434" s="2" t="s">
        <v>6053</v>
      </c>
      <c r="M3434" t="s">
        <v>43</v>
      </c>
      <c r="N3434" t="s">
        <v>42</v>
      </c>
      <c r="P3434" s="23">
        <v>84.42</v>
      </c>
      <c r="Q3434" s="4">
        <f t="shared" si="53"/>
        <v>-0.19995261786306562</v>
      </c>
      <c r="R3434" s="23" t="s">
        <v>1198</v>
      </c>
    </row>
    <row r="3435" spans="1:18" x14ac:dyDescent="0.25">
      <c r="A3435" s="21">
        <v>45772</v>
      </c>
      <c r="B3435" s="1" t="s">
        <v>1225</v>
      </c>
      <c r="C3435" t="s">
        <v>1221</v>
      </c>
      <c r="D3435" s="22">
        <v>-12.66</v>
      </c>
      <c r="E3435" t="s">
        <v>35</v>
      </c>
      <c r="F3435" s="2">
        <v>610148001</v>
      </c>
      <c r="G3435" s="2" t="s">
        <v>42</v>
      </c>
      <c r="L3435" s="2" t="s">
        <v>6054</v>
      </c>
      <c r="M3435" t="s">
        <v>43</v>
      </c>
      <c r="N3435" t="s">
        <v>42</v>
      </c>
      <c r="P3435" s="23">
        <v>84.42</v>
      </c>
      <c r="Q3435" s="4">
        <f t="shared" si="53"/>
        <v>-0.14996446339729921</v>
      </c>
      <c r="R3435" s="23" t="s">
        <v>1198</v>
      </c>
    </row>
    <row r="3436" spans="1:18" x14ac:dyDescent="0.25">
      <c r="A3436" s="21">
        <v>45772</v>
      </c>
      <c r="B3436" s="1" t="s">
        <v>3958</v>
      </c>
      <c r="C3436" t="s">
        <v>1221</v>
      </c>
      <c r="D3436" s="22">
        <v>-12.66</v>
      </c>
      <c r="E3436" t="s">
        <v>35</v>
      </c>
      <c r="F3436" s="2">
        <v>610148001</v>
      </c>
      <c r="G3436" s="2" t="s">
        <v>42</v>
      </c>
      <c r="L3436" s="2" t="s">
        <v>6055</v>
      </c>
      <c r="M3436" t="s">
        <v>43</v>
      </c>
      <c r="N3436" t="s">
        <v>42</v>
      </c>
      <c r="P3436" s="23">
        <v>84.42</v>
      </c>
      <c r="Q3436" s="4">
        <f t="shared" si="53"/>
        <v>-0.14996446339729921</v>
      </c>
      <c r="R3436" s="23" t="s">
        <v>1198</v>
      </c>
    </row>
    <row r="3437" spans="1:18" x14ac:dyDescent="0.25">
      <c r="A3437" s="21">
        <v>45772</v>
      </c>
      <c r="B3437" s="1" t="s">
        <v>4258</v>
      </c>
      <c r="C3437" t="s">
        <v>1221</v>
      </c>
      <c r="D3437" s="22">
        <v>-8.44</v>
      </c>
      <c r="E3437" t="s">
        <v>35</v>
      </c>
      <c r="F3437" s="2">
        <v>610148001</v>
      </c>
      <c r="G3437" s="2" t="s">
        <v>42</v>
      </c>
      <c r="L3437" s="2" t="s">
        <v>6056</v>
      </c>
      <c r="M3437" t="s">
        <v>43</v>
      </c>
      <c r="N3437" t="s">
        <v>42</v>
      </c>
      <c r="P3437" s="23">
        <v>84.42</v>
      </c>
      <c r="Q3437" s="4">
        <f t="shared" si="53"/>
        <v>-9.9976308931532809E-2</v>
      </c>
      <c r="R3437" s="23" t="s">
        <v>1198</v>
      </c>
    </row>
    <row r="3438" spans="1:18" x14ac:dyDescent="0.25">
      <c r="A3438" s="21">
        <v>45772</v>
      </c>
      <c r="B3438" s="1" t="s">
        <v>4223</v>
      </c>
      <c r="C3438" t="s">
        <v>1221</v>
      </c>
      <c r="D3438" s="22">
        <v>-23.21</v>
      </c>
      <c r="E3438" t="s">
        <v>35</v>
      </c>
      <c r="F3438" s="2">
        <v>610148001</v>
      </c>
      <c r="G3438" s="2" t="s">
        <v>42</v>
      </c>
      <c r="L3438" s="2" t="s">
        <v>6057</v>
      </c>
      <c r="M3438" t="s">
        <v>43</v>
      </c>
      <c r="N3438" t="s">
        <v>42</v>
      </c>
      <c r="P3438" s="23">
        <v>84.42</v>
      </c>
      <c r="Q3438" s="4">
        <f t="shared" si="53"/>
        <v>-0.27493484956171521</v>
      </c>
      <c r="R3438" s="23" t="s">
        <v>1198</v>
      </c>
    </row>
    <row r="3439" spans="1:18" x14ac:dyDescent="0.25">
      <c r="A3439" s="21">
        <v>45772</v>
      </c>
      <c r="B3439" s="1" t="s">
        <v>4281</v>
      </c>
      <c r="C3439" t="s">
        <v>1221</v>
      </c>
      <c r="D3439" s="22">
        <v>-9.6999999999999993</v>
      </c>
      <c r="E3439" t="s">
        <v>35</v>
      </c>
      <c r="F3439" s="2">
        <v>610148001</v>
      </c>
      <c r="G3439" s="2" t="s">
        <v>42</v>
      </c>
      <c r="L3439" s="2" t="s">
        <v>6058</v>
      </c>
      <c r="M3439" t="s">
        <v>43</v>
      </c>
      <c r="N3439" t="s">
        <v>42</v>
      </c>
      <c r="P3439" s="23">
        <v>84.42</v>
      </c>
      <c r="Q3439" s="4">
        <f t="shared" si="53"/>
        <v>-0.11490168206586115</v>
      </c>
      <c r="R3439" s="23" t="s">
        <v>1198</v>
      </c>
    </row>
    <row r="3440" spans="1:18" x14ac:dyDescent="0.25">
      <c r="A3440" s="21">
        <v>45772</v>
      </c>
      <c r="B3440" s="1" t="s">
        <v>4246</v>
      </c>
      <c r="C3440" t="s">
        <v>1221</v>
      </c>
      <c r="D3440" s="22">
        <v>-14.77</v>
      </c>
      <c r="E3440" t="s">
        <v>35</v>
      </c>
      <c r="F3440" s="2">
        <v>610148001</v>
      </c>
      <c r="G3440" s="2" t="s">
        <v>42</v>
      </c>
      <c r="L3440" s="2" t="s">
        <v>6059</v>
      </c>
      <c r="M3440" t="s">
        <v>43</v>
      </c>
      <c r="N3440" t="s">
        <v>42</v>
      </c>
      <c r="P3440" s="23">
        <v>84.42</v>
      </c>
      <c r="Q3440" s="4">
        <f t="shared" si="53"/>
        <v>-0.1749585406301824</v>
      </c>
      <c r="R3440" s="23" t="s">
        <v>1198</v>
      </c>
    </row>
    <row r="3441" spans="1:19" x14ac:dyDescent="0.25">
      <c r="A3441" s="21">
        <v>45772</v>
      </c>
      <c r="B3441" s="1" t="s">
        <v>4268</v>
      </c>
      <c r="C3441" t="s">
        <v>1221</v>
      </c>
      <c r="D3441" s="22">
        <v>-10.55</v>
      </c>
      <c r="E3441" t="s">
        <v>35</v>
      </c>
      <c r="F3441" s="2">
        <v>610148001</v>
      </c>
      <c r="G3441" s="2" t="s">
        <v>42</v>
      </c>
      <c r="L3441" s="2" t="s">
        <v>6060</v>
      </c>
      <c r="M3441" t="s">
        <v>43</v>
      </c>
      <c r="N3441" t="s">
        <v>42</v>
      </c>
      <c r="P3441" s="23">
        <v>84.42</v>
      </c>
      <c r="Q3441" s="4">
        <f t="shared" si="53"/>
        <v>-0.12497038616441603</v>
      </c>
      <c r="R3441" s="23" t="s">
        <v>1198</v>
      </c>
    </row>
    <row r="3442" spans="1:19" x14ac:dyDescent="0.25">
      <c r="A3442" s="21">
        <v>45772</v>
      </c>
      <c r="B3442" s="1" t="s">
        <v>4251</v>
      </c>
      <c r="C3442" t="s">
        <v>1221</v>
      </c>
      <c r="D3442" s="22">
        <v>-8.86</v>
      </c>
      <c r="E3442" t="s">
        <v>35</v>
      </c>
      <c r="F3442" s="2">
        <v>610148001</v>
      </c>
      <c r="G3442" s="2" t="s">
        <v>42</v>
      </c>
      <c r="L3442" s="2" t="s">
        <v>6061</v>
      </c>
      <c r="M3442" t="s">
        <v>43</v>
      </c>
      <c r="N3442" t="s">
        <v>42</v>
      </c>
      <c r="P3442" s="23">
        <v>84.42</v>
      </c>
      <c r="Q3442" s="4">
        <f t="shared" si="53"/>
        <v>-0.10495143330964225</v>
      </c>
      <c r="R3442" s="23" t="s">
        <v>1198</v>
      </c>
    </row>
    <row r="3443" spans="1:19" x14ac:dyDescent="0.25">
      <c r="A3443" s="21">
        <v>45772</v>
      </c>
      <c r="B3443" s="1" t="s">
        <v>3969</v>
      </c>
      <c r="C3443" t="s">
        <v>1221</v>
      </c>
      <c r="D3443" s="22">
        <v>-12.66</v>
      </c>
      <c r="E3443" t="s">
        <v>35</v>
      </c>
      <c r="F3443" s="2">
        <v>610148001</v>
      </c>
      <c r="G3443" s="2" t="s">
        <v>42</v>
      </c>
      <c r="L3443" s="2" t="s">
        <v>6062</v>
      </c>
      <c r="M3443" t="s">
        <v>43</v>
      </c>
      <c r="N3443" t="s">
        <v>42</v>
      </c>
      <c r="P3443" s="23">
        <v>84.42</v>
      </c>
      <c r="Q3443" s="4">
        <f t="shared" si="53"/>
        <v>-0.14996446339729921</v>
      </c>
      <c r="R3443" s="23" t="s">
        <v>1198</v>
      </c>
    </row>
    <row r="3444" spans="1:19" x14ac:dyDescent="0.25">
      <c r="A3444" s="21">
        <v>45772</v>
      </c>
      <c r="B3444" s="1" t="s">
        <v>3967</v>
      </c>
      <c r="C3444" t="s">
        <v>1221</v>
      </c>
      <c r="D3444" s="22">
        <v>-12.66</v>
      </c>
      <c r="E3444" t="s">
        <v>35</v>
      </c>
      <c r="F3444" s="2">
        <v>610148001</v>
      </c>
      <c r="G3444" s="2" t="s">
        <v>42</v>
      </c>
      <c r="L3444" s="2" t="s">
        <v>6063</v>
      </c>
      <c r="M3444" t="s">
        <v>43</v>
      </c>
      <c r="N3444" t="s">
        <v>42</v>
      </c>
      <c r="P3444" s="23">
        <v>84.42</v>
      </c>
      <c r="Q3444" s="4">
        <f t="shared" si="53"/>
        <v>-0.14996446339729921</v>
      </c>
      <c r="R3444" s="23" t="s">
        <v>1198</v>
      </c>
    </row>
    <row r="3445" spans="1:19" x14ac:dyDescent="0.25">
      <c r="A3445" s="21">
        <v>45772</v>
      </c>
      <c r="B3445" s="1" t="s">
        <v>4249</v>
      </c>
      <c r="C3445" t="s">
        <v>1221</v>
      </c>
      <c r="D3445" s="22">
        <v>-31.65</v>
      </c>
      <c r="E3445" t="s">
        <v>35</v>
      </c>
      <c r="F3445" s="2">
        <v>610148001</v>
      </c>
      <c r="G3445" s="2" t="s">
        <v>42</v>
      </c>
      <c r="L3445" s="2" t="s">
        <v>6064</v>
      </c>
      <c r="M3445" t="s">
        <v>43</v>
      </c>
      <c r="N3445" t="s">
        <v>42</v>
      </c>
      <c r="P3445" s="23">
        <v>84.42</v>
      </c>
      <c r="Q3445" s="4">
        <f t="shared" si="53"/>
        <v>-0.37491115849324802</v>
      </c>
      <c r="R3445" s="23" t="s">
        <v>1198</v>
      </c>
    </row>
    <row r="3446" spans="1:19" x14ac:dyDescent="0.25">
      <c r="A3446" s="21">
        <v>45772</v>
      </c>
      <c r="B3446" s="1" t="s">
        <v>4217</v>
      </c>
      <c r="C3446" t="s">
        <v>1221</v>
      </c>
      <c r="D3446" s="22">
        <v>-16.88</v>
      </c>
      <c r="E3446" t="s">
        <v>35</v>
      </c>
      <c r="F3446" s="2">
        <v>610148001</v>
      </c>
      <c r="G3446" s="2" t="s">
        <v>42</v>
      </c>
      <c r="L3446" s="2" t="s">
        <v>6065</v>
      </c>
      <c r="M3446" t="s">
        <v>43</v>
      </c>
      <c r="N3446" t="s">
        <v>42</v>
      </c>
      <c r="P3446" s="23">
        <v>84.42</v>
      </c>
      <c r="Q3446" s="4">
        <f t="shared" si="53"/>
        <v>-0.19995261786306562</v>
      </c>
      <c r="R3446" s="23" t="s">
        <v>1198</v>
      </c>
    </row>
    <row r="3447" spans="1:19" x14ac:dyDescent="0.25">
      <c r="A3447" s="21">
        <v>45772</v>
      </c>
      <c r="B3447" s="1" t="s">
        <v>4219</v>
      </c>
      <c r="C3447" t="s">
        <v>1221</v>
      </c>
      <c r="D3447" s="22">
        <v>-16.88</v>
      </c>
      <c r="E3447" t="s">
        <v>35</v>
      </c>
      <c r="F3447" s="2">
        <v>610148001</v>
      </c>
      <c r="G3447" s="2" t="s">
        <v>42</v>
      </c>
      <c r="L3447" s="2" t="s">
        <v>6066</v>
      </c>
      <c r="M3447" t="s">
        <v>43</v>
      </c>
      <c r="N3447" t="s">
        <v>42</v>
      </c>
      <c r="P3447" s="23">
        <v>84.42</v>
      </c>
      <c r="Q3447" s="4">
        <f t="shared" si="53"/>
        <v>-0.19995261786306562</v>
      </c>
      <c r="R3447" s="23" t="s">
        <v>1198</v>
      </c>
    </row>
    <row r="3448" spans="1:19" x14ac:dyDescent="0.25">
      <c r="A3448" s="21">
        <v>45772</v>
      </c>
      <c r="B3448" s="1" t="s">
        <v>4332</v>
      </c>
      <c r="C3448" t="s">
        <v>1221</v>
      </c>
      <c r="D3448" s="22">
        <v>-10.55</v>
      </c>
      <c r="E3448" t="s">
        <v>35</v>
      </c>
      <c r="F3448" s="2">
        <v>610148001</v>
      </c>
      <c r="G3448" s="2" t="s">
        <v>42</v>
      </c>
      <c r="L3448" s="2" t="s">
        <v>6067</v>
      </c>
      <c r="M3448" t="s">
        <v>43</v>
      </c>
      <c r="N3448" t="s">
        <v>42</v>
      </c>
      <c r="P3448" s="23">
        <v>84.42</v>
      </c>
      <c r="Q3448" s="4">
        <f t="shared" si="53"/>
        <v>-0.12497038616441603</v>
      </c>
      <c r="R3448" s="23" t="s">
        <v>1198</v>
      </c>
    </row>
    <row r="3449" spans="1:19" x14ac:dyDescent="0.25">
      <c r="A3449" s="21">
        <v>45772</v>
      </c>
      <c r="B3449" s="1" t="s">
        <v>4319</v>
      </c>
      <c r="C3449" t="s">
        <v>1221</v>
      </c>
      <c r="D3449" s="22">
        <v>-21.1</v>
      </c>
      <c r="E3449" t="s">
        <v>35</v>
      </c>
      <c r="F3449" s="2">
        <v>610148001</v>
      </c>
      <c r="G3449" s="2" t="s">
        <v>42</v>
      </c>
      <c r="L3449" s="2" t="s">
        <v>6068</v>
      </c>
      <c r="M3449" t="s">
        <v>43</v>
      </c>
      <c r="N3449" t="s">
        <v>42</v>
      </c>
      <c r="P3449" s="23">
        <v>84.42</v>
      </c>
      <c r="Q3449" s="4">
        <f t="shared" si="53"/>
        <v>-0.24994077232883205</v>
      </c>
      <c r="R3449" s="23" t="s">
        <v>1198</v>
      </c>
    </row>
    <row r="3450" spans="1:19" x14ac:dyDescent="0.25">
      <c r="A3450" s="21">
        <v>45772</v>
      </c>
      <c r="B3450" s="1" t="s">
        <v>4231</v>
      </c>
      <c r="C3450" t="s">
        <v>1221</v>
      </c>
      <c r="D3450" s="22">
        <v>-31.65</v>
      </c>
      <c r="E3450" t="s">
        <v>35</v>
      </c>
      <c r="F3450" s="2">
        <v>610148001</v>
      </c>
      <c r="G3450" s="2" t="s">
        <v>42</v>
      </c>
      <c r="L3450" s="2" t="s">
        <v>6069</v>
      </c>
      <c r="M3450" t="s">
        <v>43</v>
      </c>
      <c r="N3450" t="s">
        <v>42</v>
      </c>
      <c r="P3450" s="23">
        <v>84.42</v>
      </c>
      <c r="Q3450" s="4">
        <f t="shared" si="53"/>
        <v>-0.37491115849324802</v>
      </c>
      <c r="R3450" s="23" t="s">
        <v>1198</v>
      </c>
    </row>
    <row r="3451" spans="1:19" x14ac:dyDescent="0.25">
      <c r="A3451" s="21">
        <v>45775</v>
      </c>
      <c r="B3451" s="1" t="s">
        <v>6070</v>
      </c>
      <c r="C3451" t="s">
        <v>6071</v>
      </c>
      <c r="D3451" s="22">
        <v>51142.45</v>
      </c>
      <c r="E3451" t="s">
        <v>46</v>
      </c>
      <c r="F3451" s="2">
        <v>110106001</v>
      </c>
      <c r="G3451" s="2" t="s">
        <v>2034</v>
      </c>
      <c r="L3451" s="2" t="s">
        <v>6072</v>
      </c>
      <c r="N3451" t="s">
        <v>3330</v>
      </c>
      <c r="P3451" s="23">
        <v>86.11</v>
      </c>
      <c r="Q3451" s="4">
        <f t="shared" si="53"/>
        <v>593.91998606433629</v>
      </c>
      <c r="R3451" s="23" t="s">
        <v>1198</v>
      </c>
    </row>
    <row r="3452" spans="1:19" x14ac:dyDescent="0.25">
      <c r="A3452" s="21">
        <v>45775</v>
      </c>
      <c r="B3452" s="1" t="s">
        <v>6073</v>
      </c>
      <c r="C3452" t="s">
        <v>544</v>
      </c>
      <c r="D3452" s="22">
        <v>100000</v>
      </c>
      <c r="E3452" t="s">
        <v>46</v>
      </c>
      <c r="F3452" s="2">
        <v>210115002</v>
      </c>
      <c r="G3452" s="2" t="s">
        <v>47</v>
      </c>
      <c r="L3452" s="2" t="s">
        <v>6074</v>
      </c>
      <c r="N3452" t="s">
        <v>544</v>
      </c>
      <c r="P3452" s="23">
        <v>86.11</v>
      </c>
      <c r="Q3452" s="4">
        <f t="shared" si="53"/>
        <v>1161.3053071652537</v>
      </c>
      <c r="R3452" s="23" t="s">
        <v>1198</v>
      </c>
    </row>
    <row r="3453" spans="1:19" x14ac:dyDescent="0.25">
      <c r="A3453" s="21">
        <v>45775</v>
      </c>
      <c r="B3453" s="1" t="s">
        <v>1211</v>
      </c>
      <c r="C3453" t="s">
        <v>6075</v>
      </c>
      <c r="D3453" s="22">
        <v>-43104.55</v>
      </c>
      <c r="E3453" t="s">
        <v>35</v>
      </c>
      <c r="F3453" s="2">
        <v>110114001</v>
      </c>
      <c r="G3453" s="2" t="s">
        <v>301</v>
      </c>
      <c r="L3453" s="2" t="s">
        <v>6076</v>
      </c>
      <c r="M3453" t="s">
        <v>1866</v>
      </c>
      <c r="N3453" t="s">
        <v>1867</v>
      </c>
      <c r="P3453" s="23">
        <v>86.11</v>
      </c>
      <c r="Q3453" s="4">
        <f t="shared" si="53"/>
        <v>-500.57542677970042</v>
      </c>
      <c r="R3453" s="23" t="s">
        <v>1198</v>
      </c>
      <c r="S3453" s="33" t="s">
        <v>3147</v>
      </c>
    </row>
    <row r="3454" spans="1:19" x14ac:dyDescent="0.25">
      <c r="A3454" s="21">
        <v>45775</v>
      </c>
      <c r="B3454" s="1" t="s">
        <v>1208</v>
      </c>
      <c r="C3454" t="s">
        <v>6077</v>
      </c>
      <c r="D3454" s="22">
        <v>-4305.5</v>
      </c>
      <c r="E3454" t="s">
        <v>35</v>
      </c>
      <c r="F3454" s="2">
        <v>110114001</v>
      </c>
      <c r="G3454" s="2" t="s">
        <v>301</v>
      </c>
      <c r="L3454" s="2" t="s">
        <v>6078</v>
      </c>
      <c r="M3454" t="s">
        <v>114</v>
      </c>
      <c r="N3454" t="s">
        <v>115</v>
      </c>
      <c r="P3454" s="23">
        <v>86.11</v>
      </c>
      <c r="Q3454" s="4">
        <f t="shared" si="53"/>
        <v>-50</v>
      </c>
      <c r="R3454" s="23" t="s">
        <v>1198</v>
      </c>
      <c r="S3454" s="33" t="s">
        <v>3147</v>
      </c>
    </row>
    <row r="3455" spans="1:19" x14ac:dyDescent="0.25">
      <c r="A3455" s="21">
        <v>45775</v>
      </c>
      <c r="B3455" s="1" t="s">
        <v>1217</v>
      </c>
      <c r="C3455" t="s">
        <v>6079</v>
      </c>
      <c r="D3455" s="22">
        <v>-89898.84</v>
      </c>
      <c r="E3455" t="s">
        <v>35</v>
      </c>
      <c r="F3455" s="2">
        <v>110114001</v>
      </c>
      <c r="G3455" s="2" t="s">
        <v>301</v>
      </c>
      <c r="L3455" s="2" t="s">
        <v>6080</v>
      </c>
      <c r="M3455" t="s">
        <v>38</v>
      </c>
      <c r="N3455" t="s">
        <v>39</v>
      </c>
      <c r="P3455" s="23">
        <v>86.11</v>
      </c>
      <c r="Q3455" s="4">
        <f t="shared" si="53"/>
        <v>-1044</v>
      </c>
      <c r="R3455" s="23" t="s">
        <v>1198</v>
      </c>
      <c r="S3455" s="33" t="s">
        <v>3147</v>
      </c>
    </row>
    <row r="3456" spans="1:19" x14ac:dyDescent="0.25">
      <c r="A3456" s="21">
        <v>45775</v>
      </c>
      <c r="B3456" s="1" t="s">
        <v>1214</v>
      </c>
      <c r="C3456" t="s">
        <v>6081</v>
      </c>
      <c r="D3456" s="22">
        <v>-16119.8</v>
      </c>
      <c r="E3456" t="s">
        <v>35</v>
      </c>
      <c r="F3456" s="2">
        <v>110114001</v>
      </c>
      <c r="G3456" s="2" t="s">
        <v>301</v>
      </c>
      <c r="L3456" s="2" t="s">
        <v>6082</v>
      </c>
      <c r="M3456" t="s">
        <v>3326</v>
      </c>
      <c r="N3456" t="s">
        <v>3327</v>
      </c>
      <c r="P3456" s="23">
        <v>86.11</v>
      </c>
      <c r="Q3456" s="4">
        <f t="shared" si="53"/>
        <v>-187.20009290442457</v>
      </c>
      <c r="R3456" s="23" t="s">
        <v>1198</v>
      </c>
      <c r="S3456" s="33" t="s">
        <v>3147</v>
      </c>
    </row>
    <row r="3457" spans="1:20" x14ac:dyDescent="0.25">
      <c r="A3457" s="21">
        <v>45775</v>
      </c>
      <c r="B3457" s="1" t="s">
        <v>1227</v>
      </c>
      <c r="C3457" t="s">
        <v>1221</v>
      </c>
      <c r="D3457" s="22">
        <v>-107.76</v>
      </c>
      <c r="E3457" t="s">
        <v>35</v>
      </c>
      <c r="F3457" s="2">
        <v>610148001</v>
      </c>
      <c r="G3457" s="2" t="s">
        <v>42</v>
      </c>
      <c r="L3457" s="2" t="s">
        <v>6083</v>
      </c>
      <c r="M3457" t="s">
        <v>43</v>
      </c>
      <c r="N3457" t="s">
        <v>42</v>
      </c>
      <c r="P3457" s="23">
        <v>86.11</v>
      </c>
      <c r="Q3457" s="4">
        <f t="shared" si="53"/>
        <v>-1.2514225990012775</v>
      </c>
      <c r="R3457" s="23" t="s">
        <v>1198</v>
      </c>
    </row>
    <row r="3458" spans="1:20" x14ac:dyDescent="0.25">
      <c r="A3458" s="21">
        <v>45775</v>
      </c>
      <c r="B3458" s="1" t="s">
        <v>1225</v>
      </c>
      <c r="C3458" t="s">
        <v>1221</v>
      </c>
      <c r="D3458" s="22">
        <v>-40.29</v>
      </c>
      <c r="E3458" t="s">
        <v>35</v>
      </c>
      <c r="F3458" s="2">
        <v>610148001</v>
      </c>
      <c r="G3458" s="2" t="s">
        <v>42</v>
      </c>
      <c r="L3458" s="2" t="s">
        <v>6084</v>
      </c>
      <c r="M3458" t="s">
        <v>43</v>
      </c>
      <c r="N3458" t="s">
        <v>42</v>
      </c>
      <c r="P3458" s="23">
        <v>86.11</v>
      </c>
      <c r="Q3458" s="4">
        <f t="shared" si="53"/>
        <v>-0.4678899082568807</v>
      </c>
      <c r="R3458" s="23" t="s">
        <v>1198</v>
      </c>
    </row>
    <row r="3459" spans="1:20" x14ac:dyDescent="0.25">
      <c r="A3459" s="21">
        <v>45775</v>
      </c>
      <c r="B3459" s="1" t="s">
        <v>1223</v>
      </c>
      <c r="C3459" t="s">
        <v>1221</v>
      </c>
      <c r="D3459" s="22">
        <v>-10.76</v>
      </c>
      <c r="E3459" t="s">
        <v>35</v>
      </c>
      <c r="F3459" s="2">
        <v>610148001</v>
      </c>
      <c r="G3459" s="2" t="s">
        <v>42</v>
      </c>
      <c r="L3459" s="2" t="s">
        <v>6085</v>
      </c>
      <c r="M3459" t="s">
        <v>43</v>
      </c>
      <c r="N3459" t="s">
        <v>42</v>
      </c>
      <c r="P3459" s="23">
        <v>86.11</v>
      </c>
      <c r="Q3459" s="4">
        <f t="shared" si="53"/>
        <v>-0.1249564510509813</v>
      </c>
      <c r="R3459" s="23" t="s">
        <v>1198</v>
      </c>
    </row>
    <row r="3460" spans="1:20" x14ac:dyDescent="0.25">
      <c r="A3460" s="21">
        <v>45775</v>
      </c>
      <c r="B3460" s="1" t="s">
        <v>1220</v>
      </c>
      <c r="C3460" t="s">
        <v>1221</v>
      </c>
      <c r="D3460" s="22">
        <v>-224.74</v>
      </c>
      <c r="E3460" t="s">
        <v>35</v>
      </c>
      <c r="F3460" s="2">
        <v>610148001</v>
      </c>
      <c r="G3460" s="2" t="s">
        <v>42</v>
      </c>
      <c r="L3460" s="2" t="s">
        <v>6086</v>
      </c>
      <c r="M3460" t="s">
        <v>43</v>
      </c>
      <c r="N3460" t="s">
        <v>42</v>
      </c>
      <c r="P3460" s="23">
        <v>86.11</v>
      </c>
      <c r="Q3460" s="4">
        <f t="shared" si="53"/>
        <v>-2.6099175473231915</v>
      </c>
      <c r="R3460" s="23" t="s">
        <v>1198</v>
      </c>
    </row>
    <row r="3461" spans="1:20" x14ac:dyDescent="0.25">
      <c r="A3461" s="21">
        <v>45776</v>
      </c>
      <c r="B3461" s="1" t="s">
        <v>6087</v>
      </c>
      <c r="C3461" t="s">
        <v>544</v>
      </c>
      <c r="D3461" s="22">
        <v>100000</v>
      </c>
      <c r="E3461" t="s">
        <v>46</v>
      </c>
      <c r="F3461" s="2">
        <v>210115002</v>
      </c>
      <c r="G3461" s="2" t="s">
        <v>47</v>
      </c>
      <c r="L3461" s="2" t="s">
        <v>6088</v>
      </c>
      <c r="N3461" t="s">
        <v>544</v>
      </c>
      <c r="P3461" s="23">
        <v>86.66</v>
      </c>
      <c r="Q3461" s="4">
        <f t="shared" si="53"/>
        <v>1153.9349180706208</v>
      </c>
      <c r="R3461" s="23" t="s">
        <v>1198</v>
      </c>
    </row>
    <row r="3462" spans="1:20" x14ac:dyDescent="0.25">
      <c r="A3462" s="21">
        <v>45776</v>
      </c>
      <c r="B3462" s="1" t="s">
        <v>1208</v>
      </c>
      <c r="C3462" t="s">
        <v>6089</v>
      </c>
      <c r="D3462" s="22">
        <v>-240.11</v>
      </c>
      <c r="E3462" t="s">
        <v>35</v>
      </c>
      <c r="F3462" s="2">
        <v>110114001</v>
      </c>
      <c r="G3462" s="2" t="s">
        <v>301</v>
      </c>
      <c r="L3462" s="2" t="s">
        <v>6090</v>
      </c>
      <c r="M3462" t="s">
        <v>714</v>
      </c>
      <c r="N3462" t="s">
        <v>715</v>
      </c>
      <c r="P3462" s="23">
        <v>86.66</v>
      </c>
      <c r="Q3462" s="4">
        <f t="shared" si="53"/>
        <v>-2.7707131317793681</v>
      </c>
      <c r="R3462" s="23" t="s">
        <v>1198</v>
      </c>
      <c r="S3462" s="33" t="s">
        <v>3147</v>
      </c>
    </row>
    <row r="3463" spans="1:20" x14ac:dyDescent="0.25">
      <c r="A3463" s="21">
        <v>45776</v>
      </c>
      <c r="B3463" s="1" t="s">
        <v>1211</v>
      </c>
      <c r="C3463" t="s">
        <v>6091</v>
      </c>
      <c r="D3463" s="22">
        <v>-104043.99</v>
      </c>
      <c r="E3463" t="s">
        <v>35</v>
      </c>
      <c r="F3463" s="2">
        <v>110114001</v>
      </c>
      <c r="G3463" s="2" t="s">
        <v>301</v>
      </c>
      <c r="L3463" s="2" t="s">
        <v>6092</v>
      </c>
      <c r="M3463" t="s">
        <v>2629</v>
      </c>
      <c r="N3463" t="s">
        <v>3327</v>
      </c>
      <c r="P3463" s="23">
        <v>86.66</v>
      </c>
      <c r="Q3463" s="4">
        <f t="shared" si="53"/>
        <v>-1200.5999307639049</v>
      </c>
      <c r="R3463" s="23" t="s">
        <v>1198</v>
      </c>
      <c r="S3463" s="33" t="s">
        <v>3147</v>
      </c>
    </row>
    <row r="3464" spans="1:20" x14ac:dyDescent="0.25">
      <c r="A3464" s="21">
        <v>45776</v>
      </c>
      <c r="B3464" s="1" t="s">
        <v>1227</v>
      </c>
      <c r="C3464" t="s">
        <v>1221</v>
      </c>
      <c r="D3464" s="22">
        <v>-260.10000000000002</v>
      </c>
      <c r="E3464" t="s">
        <v>35</v>
      </c>
      <c r="F3464" s="2">
        <v>610148001</v>
      </c>
      <c r="G3464" s="2" t="s">
        <v>42</v>
      </c>
      <c r="L3464" s="2" t="s">
        <v>6093</v>
      </c>
      <c r="M3464" t="s">
        <v>43</v>
      </c>
      <c r="N3464" t="s">
        <v>42</v>
      </c>
      <c r="P3464" s="23">
        <v>86.66</v>
      </c>
      <c r="Q3464" s="4">
        <f t="shared" si="53"/>
        <v>-3.0013847219016849</v>
      </c>
      <c r="R3464" s="23" t="s">
        <v>1198</v>
      </c>
      <c r="T3464" s="23" t="s">
        <v>4558</v>
      </c>
    </row>
    <row r="3465" spans="1:20" x14ac:dyDescent="0.25">
      <c r="A3465" s="21">
        <v>45776</v>
      </c>
      <c r="B3465" s="1" t="s">
        <v>1223</v>
      </c>
      <c r="C3465" t="s">
        <v>1221</v>
      </c>
      <c r="D3465" s="22">
        <v>-0.6</v>
      </c>
      <c r="E3465" t="s">
        <v>35</v>
      </c>
      <c r="F3465" s="2">
        <v>610148001</v>
      </c>
      <c r="G3465" s="2" t="s">
        <v>42</v>
      </c>
      <c r="L3465" s="2" t="s">
        <v>6094</v>
      </c>
      <c r="M3465" t="s">
        <v>43</v>
      </c>
      <c r="N3465" t="s">
        <v>42</v>
      </c>
      <c r="P3465" s="23">
        <v>86.66</v>
      </c>
      <c r="Q3465" s="4">
        <f t="shared" si="53"/>
        <v>-6.9236095084237248E-3</v>
      </c>
      <c r="R3465" s="23" t="s">
        <v>1198</v>
      </c>
      <c r="T3465" s="23" t="s">
        <v>4558</v>
      </c>
    </row>
    <row r="3466" spans="1:20" x14ac:dyDescent="0.25">
      <c r="A3466" s="21">
        <v>45761</v>
      </c>
      <c r="B3466" s="1">
        <v>47900048201</v>
      </c>
      <c r="C3466" t="s">
        <v>6095</v>
      </c>
      <c r="D3466" s="22">
        <v>-6908.22</v>
      </c>
      <c r="E3466" t="s">
        <v>35</v>
      </c>
      <c r="F3466" s="2">
        <v>210101001</v>
      </c>
      <c r="G3466" s="2" t="s">
        <v>36</v>
      </c>
      <c r="L3466" s="2" t="s">
        <v>6096</v>
      </c>
      <c r="M3466" t="s">
        <v>2912</v>
      </c>
      <c r="N3466" t="s">
        <v>2913</v>
      </c>
      <c r="P3466" s="23">
        <v>78.36</v>
      </c>
      <c r="Q3466" s="4">
        <f t="shared" si="53"/>
        <v>-88.160030627871365</v>
      </c>
      <c r="R3466" s="23" t="s">
        <v>40</v>
      </c>
    </row>
    <row r="3467" spans="1:20" x14ac:dyDescent="0.25">
      <c r="A3467" s="21">
        <v>45761</v>
      </c>
      <c r="B3467" s="1">
        <v>43700048201</v>
      </c>
      <c r="C3467" t="s">
        <v>41</v>
      </c>
      <c r="D3467" s="22">
        <v>-0.67</v>
      </c>
      <c r="E3467" t="s">
        <v>35</v>
      </c>
      <c r="F3467" s="2">
        <v>610148001</v>
      </c>
      <c r="G3467" s="2" t="s">
        <v>42</v>
      </c>
      <c r="L3467" s="2" t="s">
        <v>6097</v>
      </c>
      <c r="M3467" t="s">
        <v>43</v>
      </c>
      <c r="N3467" t="s">
        <v>42</v>
      </c>
      <c r="P3467" s="23">
        <v>78.36</v>
      </c>
      <c r="Q3467" s="4">
        <f t="shared" ref="Q3467:Q3530" si="54">D3467/P3467</f>
        <v>-8.5502807554874941E-3</v>
      </c>
      <c r="R3467" s="23" t="s">
        <v>40</v>
      </c>
      <c r="T3467" s="23" t="s">
        <v>4558</v>
      </c>
    </row>
    <row r="3468" spans="1:20" x14ac:dyDescent="0.25">
      <c r="A3468" s="21">
        <v>45761</v>
      </c>
      <c r="B3468" s="1">
        <v>20405416373</v>
      </c>
      <c r="C3468" t="s">
        <v>6098</v>
      </c>
      <c r="D3468" s="22">
        <v>10431.280000000001</v>
      </c>
      <c r="E3468" t="s">
        <v>46</v>
      </c>
      <c r="F3468" s="2">
        <v>110106001</v>
      </c>
      <c r="G3468" s="2" t="s">
        <v>2034</v>
      </c>
      <c r="L3468" s="2" t="s">
        <v>6099</v>
      </c>
      <c r="N3468" t="s">
        <v>3330</v>
      </c>
      <c r="P3468" s="23">
        <v>78.36</v>
      </c>
      <c r="Q3468" s="4">
        <f t="shared" si="54"/>
        <v>133.1199591628382</v>
      </c>
      <c r="R3468" s="23" t="s">
        <v>40</v>
      </c>
    </row>
    <row r="3469" spans="1:20" x14ac:dyDescent="0.25">
      <c r="A3469" s="21">
        <v>45775</v>
      </c>
      <c r="B3469" s="1">
        <v>20405717819</v>
      </c>
      <c r="C3469" t="s">
        <v>6100</v>
      </c>
      <c r="D3469" s="22">
        <v>17910.88</v>
      </c>
      <c r="E3469" t="s">
        <v>46</v>
      </c>
      <c r="F3469" s="2">
        <v>110106001</v>
      </c>
      <c r="G3469" s="2" t="s">
        <v>2034</v>
      </c>
      <c r="L3469" s="2" t="s">
        <v>6101</v>
      </c>
      <c r="N3469" t="s">
        <v>3330</v>
      </c>
      <c r="P3469" s="23">
        <v>86.11</v>
      </c>
      <c r="Q3469" s="4">
        <f t="shared" si="54"/>
        <v>208</v>
      </c>
      <c r="R3469" s="23" t="s">
        <v>40</v>
      </c>
    </row>
    <row r="3470" spans="1:20" x14ac:dyDescent="0.25">
      <c r="A3470" s="21">
        <v>45776</v>
      </c>
      <c r="B3470" s="1">
        <v>20405740713</v>
      </c>
      <c r="C3470" t="s">
        <v>6102</v>
      </c>
      <c r="D3470" s="22">
        <v>18025.28</v>
      </c>
      <c r="E3470" t="s">
        <v>46</v>
      </c>
      <c r="F3470" s="2">
        <v>110106001</v>
      </c>
      <c r="G3470" s="2" t="s">
        <v>2034</v>
      </c>
      <c r="L3470" s="2" t="s">
        <v>6103</v>
      </c>
      <c r="N3470" t="s">
        <v>3330</v>
      </c>
      <c r="P3470" s="23">
        <v>86.66</v>
      </c>
      <c r="Q3470" s="4">
        <f t="shared" si="54"/>
        <v>208</v>
      </c>
      <c r="R3470" s="23" t="s">
        <v>40</v>
      </c>
    </row>
    <row r="3471" spans="1:20" x14ac:dyDescent="0.25">
      <c r="A3471" s="21">
        <v>45777</v>
      </c>
      <c r="B3471" s="1">
        <v>71600000000</v>
      </c>
      <c r="C3471" t="s">
        <v>49</v>
      </c>
      <c r="D3471" s="22">
        <v>-0.5</v>
      </c>
      <c r="E3471" t="s">
        <v>35</v>
      </c>
      <c r="F3471" s="2">
        <v>610148001</v>
      </c>
      <c r="G3471" s="2" t="s">
        <v>42</v>
      </c>
      <c r="L3471" s="2" t="s">
        <v>6104</v>
      </c>
      <c r="M3471" t="s">
        <v>43</v>
      </c>
      <c r="N3471" t="s">
        <v>42</v>
      </c>
      <c r="P3471" s="23">
        <v>86.85</v>
      </c>
      <c r="Q3471" s="4">
        <f t="shared" si="54"/>
        <v>-5.7570523891767415E-3</v>
      </c>
      <c r="R3471" s="23" t="s">
        <v>40</v>
      </c>
      <c r="T3471" s="23" t="s">
        <v>4558</v>
      </c>
    </row>
    <row r="3472" spans="1:20" x14ac:dyDescent="0.25">
      <c r="A3472" s="21">
        <v>45777</v>
      </c>
      <c r="B3472" s="1">
        <v>91577700000</v>
      </c>
      <c r="C3472" t="s">
        <v>50</v>
      </c>
      <c r="D3472" s="22">
        <v>-0.5</v>
      </c>
      <c r="E3472" t="s">
        <v>35</v>
      </c>
      <c r="F3472" s="2">
        <v>610148001</v>
      </c>
      <c r="G3472" s="2" t="s">
        <v>42</v>
      </c>
      <c r="L3472" s="2" t="s">
        <v>6105</v>
      </c>
      <c r="M3472" t="s">
        <v>43</v>
      </c>
      <c r="N3472" t="s">
        <v>42</v>
      </c>
      <c r="P3472" s="23">
        <v>86.85</v>
      </c>
      <c r="Q3472" s="4">
        <f t="shared" si="54"/>
        <v>-5.7570523891767415E-3</v>
      </c>
      <c r="R3472" s="23" t="s">
        <v>40</v>
      </c>
      <c r="T3472" s="23" t="s">
        <v>4558</v>
      </c>
    </row>
    <row r="3473" spans="1:20" x14ac:dyDescent="0.25">
      <c r="A3473" s="21">
        <v>45791</v>
      </c>
      <c r="B3473" s="1">
        <v>95</v>
      </c>
      <c r="C3473" t="s">
        <v>51</v>
      </c>
      <c r="D3473" s="22">
        <v>-69.790000000000006</v>
      </c>
      <c r="E3473" t="s">
        <v>35</v>
      </c>
      <c r="F3473" s="2">
        <v>610148001</v>
      </c>
      <c r="G3473" s="2" t="s">
        <v>42</v>
      </c>
      <c r="L3473" s="2" t="s">
        <v>6106</v>
      </c>
      <c r="M3473" t="s">
        <v>43</v>
      </c>
      <c r="N3473" t="s">
        <v>42</v>
      </c>
      <c r="P3473" s="23">
        <v>93.58</v>
      </c>
      <c r="Q3473" s="4">
        <f t="shared" si="54"/>
        <v>-0.74577901260953205</v>
      </c>
      <c r="R3473" s="23" t="s">
        <v>53</v>
      </c>
      <c r="T3473" s="35" t="s">
        <v>6107</v>
      </c>
    </row>
    <row r="3474" spans="1:20" x14ac:dyDescent="0.25">
      <c r="A3474" s="21">
        <v>45791</v>
      </c>
      <c r="B3474" s="1">
        <v>94</v>
      </c>
      <c r="C3474" t="s">
        <v>6108</v>
      </c>
      <c r="D3474" s="22">
        <v>-23265</v>
      </c>
      <c r="E3474" t="s">
        <v>35</v>
      </c>
      <c r="F3474" s="2">
        <v>840101001</v>
      </c>
      <c r="G3474" s="2" t="s">
        <v>65</v>
      </c>
      <c r="L3474" s="2" t="s">
        <v>6109</v>
      </c>
      <c r="M3474" t="s">
        <v>67</v>
      </c>
      <c r="N3474" t="s">
        <v>68</v>
      </c>
      <c r="P3474" s="23">
        <v>93.58</v>
      </c>
      <c r="Q3474" s="4">
        <f t="shared" si="54"/>
        <v>-248.61081427655483</v>
      </c>
      <c r="R3474" s="23" t="s">
        <v>53</v>
      </c>
      <c r="T3474" s="34"/>
    </row>
    <row r="3475" spans="1:20" x14ac:dyDescent="0.25">
      <c r="A3475" s="21">
        <v>45791</v>
      </c>
      <c r="B3475" s="1">
        <v>93</v>
      </c>
      <c r="C3475" t="s">
        <v>107</v>
      </c>
      <c r="D3475" s="22">
        <v>10000</v>
      </c>
      <c r="E3475" t="s">
        <v>46</v>
      </c>
      <c r="F3475" s="2">
        <v>210115002</v>
      </c>
      <c r="G3475" s="2" t="s">
        <v>47</v>
      </c>
      <c r="L3475" s="2" t="s">
        <v>6110</v>
      </c>
      <c r="N3475" t="s">
        <v>107</v>
      </c>
      <c r="P3475" s="23">
        <v>93.58</v>
      </c>
      <c r="Q3475" s="4">
        <f t="shared" si="54"/>
        <v>106.86044026501389</v>
      </c>
      <c r="R3475" s="23" t="s">
        <v>53</v>
      </c>
      <c r="T3475" s="34"/>
    </row>
    <row r="3476" spans="1:20" x14ac:dyDescent="0.25">
      <c r="A3476" s="21">
        <v>45807</v>
      </c>
      <c r="B3476" s="1">
        <v>98</v>
      </c>
      <c r="C3476" t="s">
        <v>51</v>
      </c>
      <c r="D3476" s="22">
        <v>-71.430000000000007</v>
      </c>
      <c r="E3476" t="s">
        <v>35</v>
      </c>
      <c r="F3476" s="2">
        <v>610148001</v>
      </c>
      <c r="G3476" s="2" t="s">
        <v>42</v>
      </c>
      <c r="L3476" s="2" t="s">
        <v>6111</v>
      </c>
      <c r="M3476" t="s">
        <v>43</v>
      </c>
      <c r="N3476" t="s">
        <v>42</v>
      </c>
      <c r="P3476" s="23">
        <v>96.86</v>
      </c>
      <c r="Q3476" s="4">
        <f t="shared" si="54"/>
        <v>-0.73745612223828216</v>
      </c>
      <c r="R3476" s="23" t="s">
        <v>53</v>
      </c>
      <c r="T3476" s="35" t="s">
        <v>6107</v>
      </c>
    </row>
    <row r="3477" spans="1:20" x14ac:dyDescent="0.25">
      <c r="A3477" s="21">
        <v>45807</v>
      </c>
      <c r="B3477" s="1">
        <v>97</v>
      </c>
      <c r="C3477" t="s">
        <v>6112</v>
      </c>
      <c r="D3477" s="22">
        <v>-23810</v>
      </c>
      <c r="E3477" t="s">
        <v>35</v>
      </c>
      <c r="F3477" s="2">
        <v>840101001</v>
      </c>
      <c r="G3477" s="2" t="s">
        <v>65</v>
      </c>
      <c r="L3477" s="2" t="s">
        <v>6113</v>
      </c>
      <c r="M3477" t="s">
        <v>67</v>
      </c>
      <c r="N3477" t="s">
        <v>68</v>
      </c>
      <c r="P3477" s="23">
        <v>96.86</v>
      </c>
      <c r="Q3477" s="4">
        <f t="shared" si="54"/>
        <v>-245.81870741276069</v>
      </c>
      <c r="R3477" s="23" t="s">
        <v>53</v>
      </c>
    </row>
    <row r="3478" spans="1:20" x14ac:dyDescent="0.25">
      <c r="A3478" s="21">
        <v>45807</v>
      </c>
      <c r="B3478" s="1">
        <v>96</v>
      </c>
      <c r="C3478" t="s">
        <v>107</v>
      </c>
      <c r="D3478" s="22">
        <v>25000</v>
      </c>
      <c r="E3478" t="s">
        <v>46</v>
      </c>
      <c r="F3478" s="2">
        <v>210115002</v>
      </c>
      <c r="G3478" s="2" t="s">
        <v>47</v>
      </c>
      <c r="L3478" s="2" t="s">
        <v>6114</v>
      </c>
      <c r="N3478" t="s">
        <v>107</v>
      </c>
      <c r="P3478" s="23">
        <v>96.86</v>
      </c>
      <c r="Q3478" s="4">
        <f t="shared" si="54"/>
        <v>258.10448069378486</v>
      </c>
      <c r="R3478" s="23" t="s">
        <v>53</v>
      </c>
    </row>
    <row r="3479" spans="1:20" x14ac:dyDescent="0.25">
      <c r="A3479" s="21">
        <v>45808</v>
      </c>
      <c r="B3479" s="1">
        <v>100</v>
      </c>
      <c r="C3479" t="s">
        <v>84</v>
      </c>
      <c r="D3479" s="22">
        <v>-0.5</v>
      </c>
      <c r="E3479" t="s">
        <v>35</v>
      </c>
      <c r="F3479" s="2">
        <v>610148001</v>
      </c>
      <c r="G3479" s="2" t="s">
        <v>42</v>
      </c>
      <c r="L3479" s="2" t="s">
        <v>6115</v>
      </c>
      <c r="M3479" t="s">
        <v>43</v>
      </c>
      <c r="N3479" t="s">
        <v>42</v>
      </c>
      <c r="P3479" s="23">
        <v>97.31</v>
      </c>
      <c r="Q3479" s="4">
        <f t="shared" si="54"/>
        <v>-5.1382180659747196E-3</v>
      </c>
      <c r="R3479" s="23" t="s">
        <v>53</v>
      </c>
      <c r="T3479" s="35" t="s">
        <v>6107</v>
      </c>
    </row>
    <row r="3480" spans="1:20" x14ac:dyDescent="0.25">
      <c r="A3480" s="21">
        <v>45808</v>
      </c>
      <c r="B3480" s="1">
        <v>99</v>
      </c>
      <c r="C3480" t="s">
        <v>86</v>
      </c>
      <c r="D3480" s="22">
        <v>-0.5</v>
      </c>
      <c r="E3480" t="s">
        <v>35</v>
      </c>
      <c r="F3480" s="2">
        <v>610148001</v>
      </c>
      <c r="G3480" s="2" t="s">
        <v>42</v>
      </c>
      <c r="L3480" s="2" t="s">
        <v>6116</v>
      </c>
      <c r="M3480" t="s">
        <v>43</v>
      </c>
      <c r="N3480" t="s">
        <v>42</v>
      </c>
      <c r="P3480" s="23">
        <v>97.31</v>
      </c>
      <c r="Q3480" s="4">
        <f t="shared" si="54"/>
        <v>-5.1382180659747196E-3</v>
      </c>
      <c r="R3480" s="23" t="s">
        <v>53</v>
      </c>
      <c r="T3480" s="35" t="s">
        <v>6107</v>
      </c>
    </row>
    <row r="3481" spans="1:20" x14ac:dyDescent="0.25">
      <c r="A3481" s="21">
        <v>45779</v>
      </c>
      <c r="B3481" s="1">
        <v>912240735</v>
      </c>
      <c r="C3481" t="s">
        <v>6117</v>
      </c>
      <c r="D3481" s="22">
        <v>-960.02</v>
      </c>
      <c r="E3481" t="s">
        <v>35</v>
      </c>
      <c r="F3481" s="2">
        <v>210101001</v>
      </c>
      <c r="G3481" s="2" t="s">
        <v>36</v>
      </c>
      <c r="L3481" s="2" t="s">
        <v>6118</v>
      </c>
      <c r="M3481" t="s">
        <v>788</v>
      </c>
      <c r="N3481" t="s">
        <v>789</v>
      </c>
      <c r="P3481" s="23">
        <v>87.57</v>
      </c>
      <c r="Q3481" s="4">
        <f t="shared" si="54"/>
        <v>-10.962886833390431</v>
      </c>
      <c r="R3481" s="23" t="s">
        <v>109</v>
      </c>
    </row>
    <row r="3482" spans="1:20" x14ac:dyDescent="0.25">
      <c r="A3482" s="21">
        <v>45779</v>
      </c>
      <c r="B3482" s="1">
        <v>912240735</v>
      </c>
      <c r="C3482" t="s">
        <v>306</v>
      </c>
      <c r="D3482" s="22">
        <v>-2.88</v>
      </c>
      <c r="E3482" t="s">
        <v>35</v>
      </c>
      <c r="F3482" s="2">
        <v>610148001</v>
      </c>
      <c r="G3482" s="2" t="s">
        <v>42</v>
      </c>
      <c r="L3482" s="2" t="s">
        <v>6119</v>
      </c>
      <c r="M3482" t="s">
        <v>43</v>
      </c>
      <c r="N3482" t="s">
        <v>42</v>
      </c>
      <c r="P3482" s="23">
        <v>87.57</v>
      </c>
      <c r="Q3482" s="4">
        <f t="shared" si="54"/>
        <v>-3.28879753340185E-2</v>
      </c>
      <c r="R3482" s="23" t="s">
        <v>109</v>
      </c>
      <c r="T3482" s="23" t="s">
        <v>6107</v>
      </c>
    </row>
    <row r="3483" spans="1:20" x14ac:dyDescent="0.25">
      <c r="A3483" s="21">
        <v>45779</v>
      </c>
      <c r="B3483" s="1">
        <v>612240822</v>
      </c>
      <c r="C3483" t="s">
        <v>6120</v>
      </c>
      <c r="D3483" s="22">
        <v>-700</v>
      </c>
      <c r="E3483" t="s">
        <v>35</v>
      </c>
      <c r="F3483" s="2">
        <v>210101001</v>
      </c>
      <c r="G3483" s="2" t="s">
        <v>36</v>
      </c>
      <c r="L3483" s="2" t="s">
        <v>6121</v>
      </c>
      <c r="M3483" t="s">
        <v>788</v>
      </c>
      <c r="N3483" t="s">
        <v>789</v>
      </c>
      <c r="P3483" s="23">
        <v>87.57</v>
      </c>
      <c r="Q3483" s="4">
        <f t="shared" si="54"/>
        <v>-7.9936051159072745</v>
      </c>
      <c r="R3483" s="23" t="s">
        <v>109</v>
      </c>
    </row>
    <row r="3484" spans="1:20" x14ac:dyDescent="0.25">
      <c r="A3484" s="21">
        <v>45779</v>
      </c>
      <c r="B3484" s="1">
        <v>612240822</v>
      </c>
      <c r="C3484" t="s">
        <v>306</v>
      </c>
      <c r="D3484" s="22">
        <v>-2.1</v>
      </c>
      <c r="E3484" t="s">
        <v>35</v>
      </c>
      <c r="F3484" s="2">
        <v>610148001</v>
      </c>
      <c r="G3484" s="2" t="s">
        <v>42</v>
      </c>
      <c r="L3484" s="2" t="s">
        <v>6122</v>
      </c>
      <c r="M3484" t="s">
        <v>43</v>
      </c>
      <c r="N3484" t="s">
        <v>42</v>
      </c>
      <c r="P3484" s="23">
        <v>87.57</v>
      </c>
      <c r="Q3484" s="4">
        <f t="shared" si="54"/>
        <v>-2.3980815347721826E-2</v>
      </c>
      <c r="R3484" s="23" t="s">
        <v>109</v>
      </c>
      <c r="T3484" s="23" t="s">
        <v>6107</v>
      </c>
    </row>
    <row r="3485" spans="1:20" x14ac:dyDescent="0.25">
      <c r="A3485" s="21">
        <v>45779</v>
      </c>
      <c r="B3485" s="1">
        <v>152139807</v>
      </c>
      <c r="C3485" t="s">
        <v>6123</v>
      </c>
      <c r="D3485" s="22">
        <v>165322.74</v>
      </c>
      <c r="E3485" t="s">
        <v>46</v>
      </c>
      <c r="F3485" s="2">
        <v>110106001</v>
      </c>
      <c r="G3485" s="2" t="s">
        <v>2034</v>
      </c>
      <c r="L3485" s="2" t="s">
        <v>6124</v>
      </c>
      <c r="N3485" t="s">
        <v>6125</v>
      </c>
      <c r="P3485" s="23">
        <v>87.57</v>
      </c>
      <c r="Q3485" s="4">
        <f t="shared" si="54"/>
        <v>1887.8924289140116</v>
      </c>
      <c r="R3485" s="23" t="s">
        <v>109</v>
      </c>
    </row>
    <row r="3486" spans="1:20" x14ac:dyDescent="0.25">
      <c r="A3486" s="21">
        <v>45779</v>
      </c>
      <c r="B3486" s="1">
        <v>12262463</v>
      </c>
      <c r="C3486" t="s">
        <v>6126</v>
      </c>
      <c r="D3486" s="22">
        <v>-5254.2</v>
      </c>
      <c r="E3486" t="s">
        <v>35</v>
      </c>
      <c r="F3486" s="2">
        <v>212901001</v>
      </c>
      <c r="G3486" s="2" t="s">
        <v>121</v>
      </c>
      <c r="L3486" s="2" t="s">
        <v>6127</v>
      </c>
      <c r="M3486" t="s">
        <v>67</v>
      </c>
      <c r="N3486" t="s">
        <v>68</v>
      </c>
      <c r="P3486" s="23">
        <v>87.57</v>
      </c>
      <c r="Q3486" s="4">
        <f t="shared" si="54"/>
        <v>-60</v>
      </c>
      <c r="R3486" s="23" t="s">
        <v>109</v>
      </c>
    </row>
    <row r="3487" spans="1:20" x14ac:dyDescent="0.25">
      <c r="A3487" s="21">
        <v>45779</v>
      </c>
      <c r="B3487" s="1">
        <v>12262467</v>
      </c>
      <c r="C3487" t="s">
        <v>6128</v>
      </c>
      <c r="D3487" s="22">
        <v>-14432.31</v>
      </c>
      <c r="E3487" t="s">
        <v>35</v>
      </c>
      <c r="F3487" s="2">
        <v>210101001</v>
      </c>
      <c r="G3487" s="2" t="s">
        <v>36</v>
      </c>
      <c r="L3487" s="2" t="s">
        <v>6129</v>
      </c>
      <c r="M3487" t="s">
        <v>114</v>
      </c>
      <c r="N3487" t="s">
        <v>115</v>
      </c>
      <c r="P3487" s="23">
        <v>87.57</v>
      </c>
      <c r="Q3487" s="4">
        <f t="shared" si="54"/>
        <v>-164.80883864337102</v>
      </c>
      <c r="R3487" s="23" t="s">
        <v>109</v>
      </c>
    </row>
    <row r="3488" spans="1:20" x14ac:dyDescent="0.25">
      <c r="A3488" s="21">
        <v>45779</v>
      </c>
      <c r="B3488" s="1">
        <v>50573773</v>
      </c>
      <c r="C3488" t="s">
        <v>118</v>
      </c>
      <c r="D3488" s="22">
        <v>-49.21</v>
      </c>
      <c r="E3488" t="s">
        <v>35</v>
      </c>
      <c r="F3488" s="2">
        <v>610148001</v>
      </c>
      <c r="G3488" s="2" t="s">
        <v>42</v>
      </c>
      <c r="L3488" s="2" t="s">
        <v>6130</v>
      </c>
      <c r="M3488" t="s">
        <v>43</v>
      </c>
      <c r="N3488" t="s">
        <v>42</v>
      </c>
      <c r="P3488" s="23">
        <v>87.57</v>
      </c>
      <c r="Q3488" s="4">
        <f t="shared" si="54"/>
        <v>-0.5619504396482814</v>
      </c>
      <c r="R3488" s="23" t="s">
        <v>109</v>
      </c>
      <c r="T3488" s="23" t="s">
        <v>6107</v>
      </c>
    </row>
    <row r="3489" spans="1:18" x14ac:dyDescent="0.25">
      <c r="A3489" s="21">
        <v>45779</v>
      </c>
      <c r="B3489" s="1">
        <v>160711202</v>
      </c>
      <c r="C3489" t="s">
        <v>107</v>
      </c>
      <c r="D3489" s="22">
        <v>500000</v>
      </c>
      <c r="E3489" t="s">
        <v>46</v>
      </c>
      <c r="F3489" s="2">
        <v>210115002</v>
      </c>
      <c r="G3489" s="2" t="s">
        <v>47</v>
      </c>
      <c r="L3489" s="2" t="s">
        <v>6131</v>
      </c>
      <c r="N3489" t="s">
        <v>107</v>
      </c>
      <c r="P3489" s="23">
        <v>87.57</v>
      </c>
      <c r="Q3489" s="4">
        <f t="shared" si="54"/>
        <v>5709.7179399337674</v>
      </c>
      <c r="R3489" s="23" t="s">
        <v>109</v>
      </c>
    </row>
    <row r="3490" spans="1:18" x14ac:dyDescent="0.25">
      <c r="A3490" s="21">
        <v>45779</v>
      </c>
      <c r="B3490" s="1">
        <v>12265918</v>
      </c>
      <c r="C3490" t="s">
        <v>6132</v>
      </c>
      <c r="D3490" s="22">
        <v>-8757</v>
      </c>
      <c r="E3490" t="s">
        <v>35</v>
      </c>
      <c r="F3490" s="2">
        <v>212901001</v>
      </c>
      <c r="G3490" s="2" t="s">
        <v>121</v>
      </c>
      <c r="L3490" s="2" t="s">
        <v>6133</v>
      </c>
      <c r="M3490" t="s">
        <v>67</v>
      </c>
      <c r="N3490" t="s">
        <v>68</v>
      </c>
      <c r="P3490" s="23">
        <v>87.57</v>
      </c>
      <c r="Q3490" s="4">
        <f t="shared" si="54"/>
        <v>-100.00000000000001</v>
      </c>
      <c r="R3490" s="23" t="s">
        <v>109</v>
      </c>
    </row>
    <row r="3491" spans="1:18" x14ac:dyDescent="0.25">
      <c r="A3491" s="21">
        <v>45779</v>
      </c>
      <c r="B3491" s="1">
        <v>12265917</v>
      </c>
      <c r="C3491" t="s">
        <v>6134</v>
      </c>
      <c r="D3491" s="22">
        <v>-8757</v>
      </c>
      <c r="E3491" t="s">
        <v>35</v>
      </c>
      <c r="F3491" s="2">
        <v>212901001</v>
      </c>
      <c r="G3491" s="2" t="s">
        <v>121</v>
      </c>
      <c r="L3491" s="2" t="s">
        <v>6135</v>
      </c>
      <c r="M3491" t="s">
        <v>67</v>
      </c>
      <c r="N3491" t="s">
        <v>68</v>
      </c>
      <c r="P3491" s="23">
        <v>87.57</v>
      </c>
      <c r="Q3491" s="4">
        <f t="shared" si="54"/>
        <v>-100.00000000000001</v>
      </c>
      <c r="R3491" s="23" t="s">
        <v>109</v>
      </c>
    </row>
    <row r="3492" spans="1:18" x14ac:dyDescent="0.25">
      <c r="A3492" s="21">
        <v>45779</v>
      </c>
      <c r="B3492" s="1">
        <v>12265919</v>
      </c>
      <c r="C3492" t="s">
        <v>6136</v>
      </c>
      <c r="D3492" s="22">
        <v>-8757</v>
      </c>
      <c r="E3492" t="s">
        <v>35</v>
      </c>
      <c r="F3492" s="2">
        <v>212901001</v>
      </c>
      <c r="G3492" s="2" t="s">
        <v>121</v>
      </c>
      <c r="L3492" s="2" t="s">
        <v>6137</v>
      </c>
      <c r="M3492" t="s">
        <v>67</v>
      </c>
      <c r="N3492" t="s">
        <v>68</v>
      </c>
      <c r="P3492" s="23">
        <v>87.57</v>
      </c>
      <c r="Q3492" s="4">
        <f t="shared" si="54"/>
        <v>-100.00000000000001</v>
      </c>
      <c r="R3492" s="23" t="s">
        <v>109</v>
      </c>
    </row>
    <row r="3493" spans="1:18" x14ac:dyDescent="0.25">
      <c r="A3493" s="21">
        <v>45779</v>
      </c>
      <c r="B3493" s="1">
        <v>12265920</v>
      </c>
      <c r="C3493" t="s">
        <v>6138</v>
      </c>
      <c r="D3493" s="22">
        <v>-8757</v>
      </c>
      <c r="E3493" t="s">
        <v>35</v>
      </c>
      <c r="F3493" s="2">
        <v>212901001</v>
      </c>
      <c r="G3493" s="2" t="s">
        <v>121</v>
      </c>
      <c r="L3493" s="2" t="s">
        <v>6139</v>
      </c>
      <c r="M3493" t="s">
        <v>67</v>
      </c>
      <c r="N3493" t="s">
        <v>68</v>
      </c>
      <c r="P3493" s="23">
        <v>87.57</v>
      </c>
      <c r="Q3493" s="4">
        <f t="shared" si="54"/>
        <v>-100.00000000000001</v>
      </c>
      <c r="R3493" s="23" t="s">
        <v>109</v>
      </c>
    </row>
    <row r="3494" spans="1:18" x14ac:dyDescent="0.25">
      <c r="A3494" s="21">
        <v>45779</v>
      </c>
      <c r="B3494" s="1">
        <v>12265923</v>
      </c>
      <c r="C3494" t="s">
        <v>6140</v>
      </c>
      <c r="D3494" s="22">
        <v>-8757</v>
      </c>
      <c r="E3494" t="s">
        <v>35</v>
      </c>
      <c r="F3494" s="2">
        <v>212901001</v>
      </c>
      <c r="G3494" s="2" t="s">
        <v>121</v>
      </c>
      <c r="L3494" s="2" t="s">
        <v>6141</v>
      </c>
      <c r="M3494" t="s">
        <v>67</v>
      </c>
      <c r="N3494" t="s">
        <v>68</v>
      </c>
      <c r="P3494" s="23">
        <v>87.57</v>
      </c>
      <c r="Q3494" s="4">
        <f t="shared" si="54"/>
        <v>-100.00000000000001</v>
      </c>
      <c r="R3494" s="23" t="s">
        <v>109</v>
      </c>
    </row>
    <row r="3495" spans="1:18" x14ac:dyDescent="0.25">
      <c r="A3495" s="21">
        <v>45779</v>
      </c>
      <c r="B3495" s="1">
        <v>12265921</v>
      </c>
      <c r="C3495" t="s">
        <v>6142</v>
      </c>
      <c r="D3495" s="22">
        <v>-8757</v>
      </c>
      <c r="E3495" t="s">
        <v>35</v>
      </c>
      <c r="F3495" s="2">
        <v>212901001</v>
      </c>
      <c r="G3495" s="2" t="s">
        <v>121</v>
      </c>
      <c r="L3495" s="2" t="s">
        <v>6143</v>
      </c>
      <c r="M3495" t="s">
        <v>67</v>
      </c>
      <c r="N3495" t="s">
        <v>68</v>
      </c>
      <c r="P3495" s="23">
        <v>87.57</v>
      </c>
      <c r="Q3495" s="4">
        <f t="shared" si="54"/>
        <v>-100.00000000000001</v>
      </c>
      <c r="R3495" s="23" t="s">
        <v>109</v>
      </c>
    </row>
    <row r="3496" spans="1:18" x14ac:dyDescent="0.25">
      <c r="A3496" s="21">
        <v>45779</v>
      </c>
      <c r="B3496" s="1">
        <v>12265924</v>
      </c>
      <c r="C3496" t="s">
        <v>6144</v>
      </c>
      <c r="D3496" s="22">
        <v>-8757</v>
      </c>
      <c r="E3496" t="s">
        <v>35</v>
      </c>
      <c r="F3496" s="2">
        <v>212901001</v>
      </c>
      <c r="G3496" s="2" t="s">
        <v>121</v>
      </c>
      <c r="L3496" s="2" t="s">
        <v>6145</v>
      </c>
      <c r="M3496" t="s">
        <v>67</v>
      </c>
      <c r="N3496" t="s">
        <v>68</v>
      </c>
      <c r="P3496" s="23">
        <v>87.57</v>
      </c>
      <c r="Q3496" s="4">
        <f t="shared" si="54"/>
        <v>-100.00000000000001</v>
      </c>
      <c r="R3496" s="23" t="s">
        <v>109</v>
      </c>
    </row>
    <row r="3497" spans="1:18" x14ac:dyDescent="0.25">
      <c r="A3497" s="21">
        <v>45779</v>
      </c>
      <c r="B3497" s="1">
        <v>12265925</v>
      </c>
      <c r="C3497" t="s">
        <v>6146</v>
      </c>
      <c r="D3497" s="22">
        <v>-8757</v>
      </c>
      <c r="E3497" t="s">
        <v>35</v>
      </c>
      <c r="F3497" s="2">
        <v>212901001</v>
      </c>
      <c r="G3497" s="2" t="s">
        <v>121</v>
      </c>
      <c r="L3497" s="2" t="s">
        <v>6147</v>
      </c>
      <c r="M3497" t="s">
        <v>67</v>
      </c>
      <c r="N3497" t="s">
        <v>68</v>
      </c>
      <c r="P3497" s="23">
        <v>87.57</v>
      </c>
      <c r="Q3497" s="4">
        <f t="shared" si="54"/>
        <v>-100.00000000000001</v>
      </c>
      <c r="R3497" s="23" t="s">
        <v>109</v>
      </c>
    </row>
    <row r="3498" spans="1:18" x14ac:dyDescent="0.25">
      <c r="A3498" s="21">
        <v>45779</v>
      </c>
      <c r="B3498" s="1">
        <v>12265927</v>
      </c>
      <c r="C3498" t="s">
        <v>6148</v>
      </c>
      <c r="D3498" s="22">
        <v>-8757</v>
      </c>
      <c r="E3498" t="s">
        <v>35</v>
      </c>
      <c r="F3498" s="2">
        <v>212901001</v>
      </c>
      <c r="G3498" s="2" t="s">
        <v>121</v>
      </c>
      <c r="L3498" s="2" t="s">
        <v>6149</v>
      </c>
      <c r="M3498" t="s">
        <v>67</v>
      </c>
      <c r="N3498" t="s">
        <v>68</v>
      </c>
      <c r="P3498" s="23">
        <v>87.57</v>
      </c>
      <c r="Q3498" s="4">
        <f t="shared" si="54"/>
        <v>-100.00000000000001</v>
      </c>
      <c r="R3498" s="23" t="s">
        <v>109</v>
      </c>
    </row>
    <row r="3499" spans="1:18" x14ac:dyDescent="0.25">
      <c r="A3499" s="21">
        <v>45779</v>
      </c>
      <c r="B3499" s="1">
        <v>112265928</v>
      </c>
      <c r="C3499" t="s">
        <v>6150</v>
      </c>
      <c r="D3499" s="22">
        <v>-8757</v>
      </c>
      <c r="E3499" t="s">
        <v>35</v>
      </c>
      <c r="F3499" s="2">
        <v>212901001</v>
      </c>
      <c r="G3499" s="2" t="s">
        <v>121</v>
      </c>
      <c r="L3499" s="2" t="s">
        <v>6151</v>
      </c>
      <c r="M3499" t="s">
        <v>67</v>
      </c>
      <c r="N3499" t="s">
        <v>68</v>
      </c>
      <c r="P3499" s="23">
        <v>87.57</v>
      </c>
      <c r="Q3499" s="4">
        <f t="shared" si="54"/>
        <v>-100.00000000000001</v>
      </c>
      <c r="R3499" s="23" t="s">
        <v>109</v>
      </c>
    </row>
    <row r="3500" spans="1:18" x14ac:dyDescent="0.25">
      <c r="A3500" s="21">
        <v>45779</v>
      </c>
      <c r="B3500" s="1">
        <v>112265932</v>
      </c>
      <c r="C3500" t="s">
        <v>6152</v>
      </c>
      <c r="D3500" s="22">
        <v>-8757</v>
      </c>
      <c r="E3500" t="s">
        <v>35</v>
      </c>
      <c r="F3500" s="2">
        <v>212901001</v>
      </c>
      <c r="G3500" s="2" t="s">
        <v>121</v>
      </c>
      <c r="L3500" s="2" t="s">
        <v>6153</v>
      </c>
      <c r="M3500" t="s">
        <v>67</v>
      </c>
      <c r="N3500" t="s">
        <v>68</v>
      </c>
      <c r="P3500" s="23">
        <v>87.57</v>
      </c>
      <c r="Q3500" s="4">
        <f t="shared" si="54"/>
        <v>-100.00000000000001</v>
      </c>
      <c r="R3500" s="23" t="s">
        <v>109</v>
      </c>
    </row>
    <row r="3501" spans="1:18" x14ac:dyDescent="0.25">
      <c r="A3501" s="21">
        <v>45779</v>
      </c>
      <c r="B3501" s="1">
        <v>112265929</v>
      </c>
      <c r="C3501" t="s">
        <v>6154</v>
      </c>
      <c r="D3501" s="22">
        <v>-8757</v>
      </c>
      <c r="E3501" t="s">
        <v>35</v>
      </c>
      <c r="F3501" s="2">
        <v>212901001</v>
      </c>
      <c r="G3501" s="2" t="s">
        <v>121</v>
      </c>
      <c r="L3501" s="2" t="s">
        <v>6155</v>
      </c>
      <c r="M3501" t="s">
        <v>67</v>
      </c>
      <c r="N3501" t="s">
        <v>68</v>
      </c>
      <c r="P3501" s="23">
        <v>87.57</v>
      </c>
      <c r="Q3501" s="4">
        <f t="shared" si="54"/>
        <v>-100.00000000000001</v>
      </c>
      <c r="R3501" s="23" t="s">
        <v>109</v>
      </c>
    </row>
    <row r="3502" spans="1:18" x14ac:dyDescent="0.25">
      <c r="A3502" s="21">
        <v>45779</v>
      </c>
      <c r="B3502" s="1">
        <v>112265930</v>
      </c>
      <c r="C3502" t="s">
        <v>6156</v>
      </c>
      <c r="D3502" s="22">
        <v>-8757</v>
      </c>
      <c r="E3502" t="s">
        <v>35</v>
      </c>
      <c r="F3502" s="2">
        <v>212901001</v>
      </c>
      <c r="G3502" s="2" t="s">
        <v>121</v>
      </c>
      <c r="L3502" s="2" t="s">
        <v>6157</v>
      </c>
      <c r="M3502" t="s">
        <v>67</v>
      </c>
      <c r="N3502" t="s">
        <v>68</v>
      </c>
      <c r="P3502" s="23">
        <v>87.57</v>
      </c>
      <c r="Q3502" s="4">
        <f t="shared" si="54"/>
        <v>-100.00000000000001</v>
      </c>
      <c r="R3502" s="23" t="s">
        <v>109</v>
      </c>
    </row>
    <row r="3503" spans="1:18" x14ac:dyDescent="0.25">
      <c r="A3503" s="21">
        <v>45779</v>
      </c>
      <c r="B3503" s="1">
        <v>112265931</v>
      </c>
      <c r="C3503" t="s">
        <v>6158</v>
      </c>
      <c r="D3503" s="22">
        <v>-8757</v>
      </c>
      <c r="E3503" t="s">
        <v>35</v>
      </c>
      <c r="F3503" s="2">
        <v>212901001</v>
      </c>
      <c r="G3503" s="2" t="s">
        <v>121</v>
      </c>
      <c r="L3503" s="2" t="s">
        <v>6159</v>
      </c>
      <c r="M3503" t="s">
        <v>67</v>
      </c>
      <c r="N3503" t="s">
        <v>68</v>
      </c>
      <c r="P3503" s="23">
        <v>87.57</v>
      </c>
      <c r="Q3503" s="4">
        <f t="shared" si="54"/>
        <v>-100.00000000000001</v>
      </c>
      <c r="R3503" s="23" t="s">
        <v>109</v>
      </c>
    </row>
    <row r="3504" spans="1:18" x14ac:dyDescent="0.25">
      <c r="A3504" s="21">
        <v>45779</v>
      </c>
      <c r="B3504" s="1">
        <v>112265934</v>
      </c>
      <c r="C3504" t="s">
        <v>6160</v>
      </c>
      <c r="D3504" s="22">
        <v>-8757</v>
      </c>
      <c r="E3504" t="s">
        <v>35</v>
      </c>
      <c r="F3504" s="2">
        <v>212901001</v>
      </c>
      <c r="G3504" s="2" t="s">
        <v>121</v>
      </c>
      <c r="L3504" s="2" t="s">
        <v>6161</v>
      </c>
      <c r="M3504" t="s">
        <v>67</v>
      </c>
      <c r="N3504" t="s">
        <v>68</v>
      </c>
      <c r="P3504" s="23">
        <v>87.57</v>
      </c>
      <c r="Q3504" s="4">
        <f t="shared" si="54"/>
        <v>-100.00000000000001</v>
      </c>
      <c r="R3504" s="23" t="s">
        <v>109</v>
      </c>
    </row>
    <row r="3505" spans="1:18" x14ac:dyDescent="0.25">
      <c r="A3505" s="21">
        <v>45779</v>
      </c>
      <c r="B3505" s="1">
        <v>112265933</v>
      </c>
      <c r="C3505" t="s">
        <v>6162</v>
      </c>
      <c r="D3505" s="22">
        <v>-8757</v>
      </c>
      <c r="E3505" t="s">
        <v>35</v>
      </c>
      <c r="F3505" s="2">
        <v>212901001</v>
      </c>
      <c r="G3505" s="2" t="s">
        <v>121</v>
      </c>
      <c r="L3505" s="2" t="s">
        <v>6163</v>
      </c>
      <c r="M3505" t="s">
        <v>67</v>
      </c>
      <c r="N3505" t="s">
        <v>68</v>
      </c>
      <c r="P3505" s="23">
        <v>87.57</v>
      </c>
      <c r="Q3505" s="4">
        <f t="shared" si="54"/>
        <v>-100.00000000000001</v>
      </c>
      <c r="R3505" s="23" t="s">
        <v>109</v>
      </c>
    </row>
    <row r="3506" spans="1:18" x14ac:dyDescent="0.25">
      <c r="A3506" s="21">
        <v>45779</v>
      </c>
      <c r="B3506" s="1">
        <v>212265938</v>
      </c>
      <c r="C3506" t="s">
        <v>6164</v>
      </c>
      <c r="D3506" s="22">
        <v>-10508.4</v>
      </c>
      <c r="E3506" t="s">
        <v>35</v>
      </c>
      <c r="F3506" s="2">
        <v>212901001</v>
      </c>
      <c r="G3506" s="2" t="s">
        <v>121</v>
      </c>
      <c r="L3506" s="2" t="s">
        <v>6165</v>
      </c>
      <c r="M3506" t="s">
        <v>67</v>
      </c>
      <c r="N3506" t="s">
        <v>68</v>
      </c>
      <c r="P3506" s="23">
        <v>87.57</v>
      </c>
      <c r="Q3506" s="4">
        <f t="shared" si="54"/>
        <v>-120</v>
      </c>
      <c r="R3506" s="23" t="s">
        <v>109</v>
      </c>
    </row>
    <row r="3507" spans="1:18" x14ac:dyDescent="0.25">
      <c r="A3507" s="21">
        <v>45779</v>
      </c>
      <c r="B3507" s="1">
        <v>112265935</v>
      </c>
      <c r="C3507" t="s">
        <v>6166</v>
      </c>
      <c r="D3507" s="22">
        <v>-16638.3</v>
      </c>
      <c r="E3507" t="s">
        <v>35</v>
      </c>
      <c r="F3507" s="2">
        <v>212901001</v>
      </c>
      <c r="G3507" s="2" t="s">
        <v>121</v>
      </c>
      <c r="L3507" s="2" t="s">
        <v>6167</v>
      </c>
      <c r="M3507" t="s">
        <v>67</v>
      </c>
      <c r="N3507" t="s">
        <v>68</v>
      </c>
      <c r="P3507" s="23">
        <v>87.57</v>
      </c>
      <c r="Q3507" s="4">
        <f t="shared" si="54"/>
        <v>-190</v>
      </c>
      <c r="R3507" s="23" t="s">
        <v>109</v>
      </c>
    </row>
    <row r="3508" spans="1:18" x14ac:dyDescent="0.25">
      <c r="A3508" s="21">
        <v>45779</v>
      </c>
      <c r="B3508" s="1">
        <v>212265936</v>
      </c>
      <c r="C3508" t="s">
        <v>6168</v>
      </c>
      <c r="D3508" s="22">
        <v>-12259.8</v>
      </c>
      <c r="E3508" t="s">
        <v>35</v>
      </c>
      <c r="F3508" s="2">
        <v>212901001</v>
      </c>
      <c r="G3508" s="2" t="s">
        <v>121</v>
      </c>
      <c r="L3508" s="2" t="s">
        <v>6169</v>
      </c>
      <c r="M3508" t="s">
        <v>67</v>
      </c>
      <c r="N3508" t="s">
        <v>68</v>
      </c>
      <c r="P3508" s="23">
        <v>87.57</v>
      </c>
      <c r="Q3508" s="4">
        <f t="shared" si="54"/>
        <v>-140</v>
      </c>
      <c r="R3508" s="23" t="s">
        <v>109</v>
      </c>
    </row>
    <row r="3509" spans="1:18" x14ac:dyDescent="0.25">
      <c r="A3509" s="21">
        <v>45779</v>
      </c>
      <c r="B3509" s="1">
        <v>212265940</v>
      </c>
      <c r="C3509" t="s">
        <v>6170</v>
      </c>
      <c r="D3509" s="22">
        <v>-10508.4</v>
      </c>
      <c r="E3509" t="s">
        <v>35</v>
      </c>
      <c r="F3509" s="2">
        <v>212901001</v>
      </c>
      <c r="G3509" s="2" t="s">
        <v>121</v>
      </c>
      <c r="L3509" s="2" t="s">
        <v>6171</v>
      </c>
      <c r="M3509" t="s">
        <v>67</v>
      </c>
      <c r="N3509" t="s">
        <v>68</v>
      </c>
      <c r="P3509" s="23">
        <v>87.57</v>
      </c>
      <c r="Q3509" s="4">
        <f t="shared" si="54"/>
        <v>-120</v>
      </c>
      <c r="R3509" s="23" t="s">
        <v>109</v>
      </c>
    </row>
    <row r="3510" spans="1:18" x14ac:dyDescent="0.25">
      <c r="A3510" s="21">
        <v>45779</v>
      </c>
      <c r="B3510" s="1">
        <v>212265937</v>
      </c>
      <c r="C3510" t="s">
        <v>6172</v>
      </c>
      <c r="D3510" s="22">
        <v>-10508.4</v>
      </c>
      <c r="E3510" t="s">
        <v>35</v>
      </c>
      <c r="F3510" s="2">
        <v>212901001</v>
      </c>
      <c r="G3510" s="2" t="s">
        <v>121</v>
      </c>
      <c r="L3510" s="2" t="s">
        <v>6173</v>
      </c>
      <c r="M3510" t="s">
        <v>67</v>
      </c>
      <c r="N3510" t="s">
        <v>68</v>
      </c>
      <c r="P3510" s="23">
        <v>87.57</v>
      </c>
      <c r="Q3510" s="4">
        <f t="shared" si="54"/>
        <v>-120</v>
      </c>
      <c r="R3510" s="23" t="s">
        <v>109</v>
      </c>
    </row>
    <row r="3511" spans="1:18" x14ac:dyDescent="0.25">
      <c r="A3511" s="21">
        <v>45779</v>
      </c>
      <c r="B3511" s="1">
        <v>212265939</v>
      </c>
      <c r="C3511" t="s">
        <v>6174</v>
      </c>
      <c r="D3511" s="22">
        <v>-10508.4</v>
      </c>
      <c r="E3511" t="s">
        <v>35</v>
      </c>
      <c r="F3511" s="2">
        <v>212901001</v>
      </c>
      <c r="G3511" s="2" t="s">
        <v>121</v>
      </c>
      <c r="L3511" s="2" t="s">
        <v>6175</v>
      </c>
      <c r="M3511" t="s">
        <v>67</v>
      </c>
      <c r="N3511" t="s">
        <v>68</v>
      </c>
      <c r="P3511" s="23">
        <v>87.57</v>
      </c>
      <c r="Q3511" s="4">
        <f t="shared" si="54"/>
        <v>-120</v>
      </c>
      <c r="R3511" s="23" t="s">
        <v>109</v>
      </c>
    </row>
    <row r="3512" spans="1:18" x14ac:dyDescent="0.25">
      <c r="A3512" s="21">
        <v>45779</v>
      </c>
      <c r="B3512" s="1">
        <v>212265942</v>
      </c>
      <c r="C3512" t="s">
        <v>6176</v>
      </c>
      <c r="D3512" s="22">
        <v>-10508.4</v>
      </c>
      <c r="E3512" t="s">
        <v>35</v>
      </c>
      <c r="F3512" s="2">
        <v>212901001</v>
      </c>
      <c r="G3512" s="2" t="s">
        <v>121</v>
      </c>
      <c r="L3512" s="2" t="s">
        <v>6177</v>
      </c>
      <c r="M3512" t="s">
        <v>67</v>
      </c>
      <c r="N3512" t="s">
        <v>68</v>
      </c>
      <c r="P3512" s="23">
        <v>87.57</v>
      </c>
      <c r="Q3512" s="4">
        <f t="shared" si="54"/>
        <v>-120</v>
      </c>
      <c r="R3512" s="23" t="s">
        <v>109</v>
      </c>
    </row>
    <row r="3513" spans="1:18" x14ac:dyDescent="0.25">
      <c r="A3513" s="21">
        <v>45779</v>
      </c>
      <c r="B3513" s="1">
        <v>212265941</v>
      </c>
      <c r="C3513" t="s">
        <v>6178</v>
      </c>
      <c r="D3513" s="22">
        <v>-10508.4</v>
      </c>
      <c r="E3513" t="s">
        <v>35</v>
      </c>
      <c r="F3513" s="2">
        <v>212901001</v>
      </c>
      <c r="G3513" s="2" t="s">
        <v>121</v>
      </c>
      <c r="L3513" s="2" t="s">
        <v>6179</v>
      </c>
      <c r="M3513" t="s">
        <v>67</v>
      </c>
      <c r="N3513" t="s">
        <v>68</v>
      </c>
      <c r="P3513" s="23">
        <v>87.57</v>
      </c>
      <c r="Q3513" s="4">
        <f t="shared" si="54"/>
        <v>-120</v>
      </c>
      <c r="R3513" s="23" t="s">
        <v>109</v>
      </c>
    </row>
    <row r="3514" spans="1:18" x14ac:dyDescent="0.25">
      <c r="A3514" s="21">
        <v>45779</v>
      </c>
      <c r="B3514" s="1">
        <v>212265943</v>
      </c>
      <c r="C3514" t="s">
        <v>6180</v>
      </c>
      <c r="D3514" s="22">
        <v>-7881.3</v>
      </c>
      <c r="E3514" t="s">
        <v>35</v>
      </c>
      <c r="F3514" s="2">
        <v>212901001</v>
      </c>
      <c r="G3514" s="2" t="s">
        <v>121</v>
      </c>
      <c r="L3514" s="2" t="s">
        <v>6181</v>
      </c>
      <c r="M3514" t="s">
        <v>67</v>
      </c>
      <c r="N3514" t="s">
        <v>68</v>
      </c>
      <c r="P3514" s="23">
        <v>87.57</v>
      </c>
      <c r="Q3514" s="4">
        <f t="shared" si="54"/>
        <v>-90.000000000000014</v>
      </c>
      <c r="R3514" s="23" t="s">
        <v>109</v>
      </c>
    </row>
    <row r="3515" spans="1:18" x14ac:dyDescent="0.25">
      <c r="A3515" s="21">
        <v>45779</v>
      </c>
      <c r="B3515" s="1">
        <v>212265944</v>
      </c>
      <c r="C3515" t="s">
        <v>6182</v>
      </c>
      <c r="D3515" s="22">
        <v>-7881.3</v>
      </c>
      <c r="E3515" t="s">
        <v>35</v>
      </c>
      <c r="F3515" s="2">
        <v>212901001</v>
      </c>
      <c r="G3515" s="2" t="s">
        <v>121</v>
      </c>
      <c r="L3515" s="2" t="s">
        <v>6183</v>
      </c>
      <c r="M3515" t="s">
        <v>67</v>
      </c>
      <c r="N3515" t="s">
        <v>68</v>
      </c>
      <c r="P3515" s="23">
        <v>87.57</v>
      </c>
      <c r="Q3515" s="4">
        <f t="shared" si="54"/>
        <v>-90.000000000000014</v>
      </c>
      <c r="R3515" s="23" t="s">
        <v>109</v>
      </c>
    </row>
    <row r="3516" spans="1:18" x14ac:dyDescent="0.25">
      <c r="A3516" s="21">
        <v>45779</v>
      </c>
      <c r="B3516" s="1">
        <v>312265945</v>
      </c>
      <c r="C3516" t="s">
        <v>6184</v>
      </c>
      <c r="D3516" s="22">
        <v>-7881.3</v>
      </c>
      <c r="E3516" t="s">
        <v>35</v>
      </c>
      <c r="F3516" s="2">
        <v>212901001</v>
      </c>
      <c r="G3516" s="2" t="s">
        <v>121</v>
      </c>
      <c r="L3516" s="2" t="s">
        <v>6185</v>
      </c>
      <c r="M3516" t="s">
        <v>67</v>
      </c>
      <c r="N3516" t="s">
        <v>68</v>
      </c>
      <c r="P3516" s="23">
        <v>87.57</v>
      </c>
      <c r="Q3516" s="4">
        <f t="shared" si="54"/>
        <v>-90.000000000000014</v>
      </c>
      <c r="R3516" s="23" t="s">
        <v>109</v>
      </c>
    </row>
    <row r="3517" spans="1:18" x14ac:dyDescent="0.25">
      <c r="A3517" s="21">
        <v>45779</v>
      </c>
      <c r="B3517" s="1">
        <v>312265946</v>
      </c>
      <c r="C3517" t="s">
        <v>6186</v>
      </c>
      <c r="D3517" s="22">
        <v>-7881.3</v>
      </c>
      <c r="E3517" t="s">
        <v>35</v>
      </c>
      <c r="F3517" s="2">
        <v>212901001</v>
      </c>
      <c r="G3517" s="2" t="s">
        <v>121</v>
      </c>
      <c r="L3517" s="2" t="s">
        <v>6187</v>
      </c>
      <c r="M3517" t="s">
        <v>67</v>
      </c>
      <c r="N3517" t="s">
        <v>68</v>
      </c>
      <c r="P3517" s="23">
        <v>87.57</v>
      </c>
      <c r="Q3517" s="4">
        <f t="shared" si="54"/>
        <v>-90.000000000000014</v>
      </c>
      <c r="R3517" s="23" t="s">
        <v>109</v>
      </c>
    </row>
    <row r="3518" spans="1:18" x14ac:dyDescent="0.25">
      <c r="A3518" s="21">
        <v>45779</v>
      </c>
      <c r="B3518" s="1">
        <v>312265947</v>
      </c>
      <c r="C3518" t="s">
        <v>6188</v>
      </c>
      <c r="D3518" s="22">
        <v>-7881.3</v>
      </c>
      <c r="E3518" t="s">
        <v>35</v>
      </c>
      <c r="F3518" s="2">
        <v>212901001</v>
      </c>
      <c r="G3518" s="2" t="s">
        <v>121</v>
      </c>
      <c r="L3518" s="2" t="s">
        <v>6189</v>
      </c>
      <c r="M3518" t="s">
        <v>67</v>
      </c>
      <c r="N3518" t="s">
        <v>68</v>
      </c>
      <c r="P3518" s="23">
        <v>87.57</v>
      </c>
      <c r="Q3518" s="4">
        <f t="shared" si="54"/>
        <v>-90.000000000000014</v>
      </c>
      <c r="R3518" s="23" t="s">
        <v>109</v>
      </c>
    </row>
    <row r="3519" spans="1:18" x14ac:dyDescent="0.25">
      <c r="A3519" s="21">
        <v>45779</v>
      </c>
      <c r="B3519" s="1">
        <v>312265948</v>
      </c>
      <c r="C3519" t="s">
        <v>6190</v>
      </c>
      <c r="D3519" s="22">
        <v>-7881.3</v>
      </c>
      <c r="E3519" t="s">
        <v>35</v>
      </c>
      <c r="F3519" s="2">
        <v>212901001</v>
      </c>
      <c r="G3519" s="2" t="s">
        <v>121</v>
      </c>
      <c r="L3519" s="2" t="s">
        <v>6191</v>
      </c>
      <c r="M3519" t="s">
        <v>67</v>
      </c>
      <c r="N3519" t="s">
        <v>68</v>
      </c>
      <c r="P3519" s="23">
        <v>87.57</v>
      </c>
      <c r="Q3519" s="4">
        <f t="shared" si="54"/>
        <v>-90.000000000000014</v>
      </c>
      <c r="R3519" s="23" t="s">
        <v>109</v>
      </c>
    </row>
    <row r="3520" spans="1:18" x14ac:dyDescent="0.25">
      <c r="A3520" s="21">
        <v>45779</v>
      </c>
      <c r="B3520" s="1">
        <v>312265949</v>
      </c>
      <c r="C3520" t="s">
        <v>6192</v>
      </c>
      <c r="D3520" s="22">
        <v>-7005.6</v>
      </c>
      <c r="E3520" t="s">
        <v>35</v>
      </c>
      <c r="F3520" s="2">
        <v>212901001</v>
      </c>
      <c r="G3520" s="2" t="s">
        <v>121</v>
      </c>
      <c r="L3520" s="2" t="s">
        <v>6193</v>
      </c>
      <c r="M3520" t="s">
        <v>67</v>
      </c>
      <c r="N3520" t="s">
        <v>68</v>
      </c>
      <c r="P3520" s="23">
        <v>87.57</v>
      </c>
      <c r="Q3520" s="4">
        <f t="shared" si="54"/>
        <v>-80.000000000000014</v>
      </c>
      <c r="R3520" s="23" t="s">
        <v>109</v>
      </c>
    </row>
    <row r="3521" spans="1:18" x14ac:dyDescent="0.25">
      <c r="A3521" s="21">
        <v>45779</v>
      </c>
      <c r="B3521" s="1">
        <v>312265952</v>
      </c>
      <c r="C3521" t="s">
        <v>6194</v>
      </c>
      <c r="D3521" s="22">
        <v>-7005.6</v>
      </c>
      <c r="E3521" t="s">
        <v>35</v>
      </c>
      <c r="F3521" s="2">
        <v>212901001</v>
      </c>
      <c r="G3521" s="2" t="s">
        <v>121</v>
      </c>
      <c r="L3521" s="2" t="s">
        <v>6195</v>
      </c>
      <c r="M3521" t="s">
        <v>67</v>
      </c>
      <c r="N3521" t="s">
        <v>68</v>
      </c>
      <c r="P3521" s="23">
        <v>87.57</v>
      </c>
      <c r="Q3521" s="4">
        <f t="shared" si="54"/>
        <v>-80.000000000000014</v>
      </c>
      <c r="R3521" s="23" t="s">
        <v>109</v>
      </c>
    </row>
    <row r="3522" spans="1:18" x14ac:dyDescent="0.25">
      <c r="A3522" s="21">
        <v>45779</v>
      </c>
      <c r="B3522" s="1">
        <v>312265951</v>
      </c>
      <c r="C3522" t="s">
        <v>6196</v>
      </c>
      <c r="D3522" s="22">
        <v>-7005.6</v>
      </c>
      <c r="E3522" t="s">
        <v>35</v>
      </c>
      <c r="F3522" s="2">
        <v>212901001</v>
      </c>
      <c r="G3522" s="2" t="s">
        <v>121</v>
      </c>
      <c r="L3522" s="2" t="s">
        <v>6197</v>
      </c>
      <c r="M3522" t="s">
        <v>67</v>
      </c>
      <c r="N3522" t="s">
        <v>68</v>
      </c>
      <c r="P3522" s="23">
        <v>87.57</v>
      </c>
      <c r="Q3522" s="4">
        <f t="shared" si="54"/>
        <v>-80.000000000000014</v>
      </c>
      <c r="R3522" s="23" t="s">
        <v>109</v>
      </c>
    </row>
    <row r="3523" spans="1:18" x14ac:dyDescent="0.25">
      <c r="A3523" s="21">
        <v>45779</v>
      </c>
      <c r="B3523" s="1">
        <v>312265953</v>
      </c>
      <c r="C3523" t="s">
        <v>6198</v>
      </c>
      <c r="D3523" s="22">
        <v>-7005.6</v>
      </c>
      <c r="E3523" t="s">
        <v>35</v>
      </c>
      <c r="F3523" s="2">
        <v>212901001</v>
      </c>
      <c r="G3523" s="2" t="s">
        <v>121</v>
      </c>
      <c r="L3523" s="2" t="s">
        <v>6199</v>
      </c>
      <c r="M3523" t="s">
        <v>67</v>
      </c>
      <c r="N3523" t="s">
        <v>68</v>
      </c>
      <c r="P3523" s="23">
        <v>87.57</v>
      </c>
      <c r="Q3523" s="4">
        <f t="shared" si="54"/>
        <v>-80.000000000000014</v>
      </c>
      <c r="R3523" s="23" t="s">
        <v>109</v>
      </c>
    </row>
    <row r="3524" spans="1:18" x14ac:dyDescent="0.25">
      <c r="A3524" s="21">
        <v>45779</v>
      </c>
      <c r="B3524" s="1">
        <v>412265956</v>
      </c>
      <c r="C3524" t="s">
        <v>6200</v>
      </c>
      <c r="D3524" s="22">
        <v>-7005.6</v>
      </c>
      <c r="E3524" t="s">
        <v>35</v>
      </c>
      <c r="F3524" s="2">
        <v>212901001</v>
      </c>
      <c r="G3524" s="2" t="s">
        <v>121</v>
      </c>
      <c r="L3524" s="2" t="s">
        <v>6201</v>
      </c>
      <c r="M3524" t="s">
        <v>67</v>
      </c>
      <c r="N3524" t="s">
        <v>68</v>
      </c>
      <c r="P3524" s="23">
        <v>87.57</v>
      </c>
      <c r="Q3524" s="4">
        <f t="shared" si="54"/>
        <v>-80.000000000000014</v>
      </c>
      <c r="R3524" s="23" t="s">
        <v>109</v>
      </c>
    </row>
    <row r="3525" spans="1:18" x14ac:dyDescent="0.25">
      <c r="A3525" s="21">
        <v>45779</v>
      </c>
      <c r="B3525" s="1">
        <v>312265955</v>
      </c>
      <c r="C3525" t="s">
        <v>6202</v>
      </c>
      <c r="D3525" s="22">
        <v>-7005.6</v>
      </c>
      <c r="E3525" t="s">
        <v>35</v>
      </c>
      <c r="F3525" s="2">
        <v>212901001</v>
      </c>
      <c r="G3525" s="2" t="s">
        <v>121</v>
      </c>
      <c r="L3525" s="2" t="s">
        <v>6203</v>
      </c>
      <c r="M3525" t="s">
        <v>67</v>
      </c>
      <c r="N3525" t="s">
        <v>68</v>
      </c>
      <c r="P3525" s="23">
        <v>87.57</v>
      </c>
      <c r="Q3525" s="4">
        <f t="shared" si="54"/>
        <v>-80.000000000000014</v>
      </c>
      <c r="R3525" s="23" t="s">
        <v>109</v>
      </c>
    </row>
    <row r="3526" spans="1:18" x14ac:dyDescent="0.25">
      <c r="A3526" s="21">
        <v>45779</v>
      </c>
      <c r="B3526" s="1">
        <v>412265961</v>
      </c>
      <c r="C3526" t="s">
        <v>6204</v>
      </c>
      <c r="D3526" s="22">
        <v>-12259.8</v>
      </c>
      <c r="E3526" t="s">
        <v>35</v>
      </c>
      <c r="F3526" s="2">
        <v>212901001</v>
      </c>
      <c r="G3526" s="2" t="s">
        <v>121</v>
      </c>
      <c r="L3526" s="2" t="s">
        <v>6205</v>
      </c>
      <c r="M3526" t="s">
        <v>67</v>
      </c>
      <c r="N3526" t="s">
        <v>68</v>
      </c>
      <c r="P3526" s="23">
        <v>87.57</v>
      </c>
      <c r="Q3526" s="4">
        <f t="shared" si="54"/>
        <v>-140</v>
      </c>
      <c r="R3526" s="23" t="s">
        <v>109</v>
      </c>
    </row>
    <row r="3527" spans="1:18" x14ac:dyDescent="0.25">
      <c r="A3527" s="21">
        <v>45779</v>
      </c>
      <c r="B3527" s="1">
        <v>412265962</v>
      </c>
      <c r="C3527" t="s">
        <v>6206</v>
      </c>
      <c r="D3527" s="22">
        <v>-16638.3</v>
      </c>
      <c r="E3527" t="s">
        <v>35</v>
      </c>
      <c r="F3527" s="2">
        <v>212901001</v>
      </c>
      <c r="G3527" s="2" t="s">
        <v>121</v>
      </c>
      <c r="L3527" s="2" t="s">
        <v>6207</v>
      </c>
      <c r="M3527" t="s">
        <v>67</v>
      </c>
      <c r="N3527" t="s">
        <v>68</v>
      </c>
      <c r="P3527" s="23">
        <v>87.57</v>
      </c>
      <c r="Q3527" s="4">
        <f t="shared" si="54"/>
        <v>-190</v>
      </c>
      <c r="R3527" s="23" t="s">
        <v>109</v>
      </c>
    </row>
    <row r="3528" spans="1:18" x14ac:dyDescent="0.25">
      <c r="A3528" s="21">
        <v>45779</v>
      </c>
      <c r="B3528" s="1">
        <v>412265957</v>
      </c>
      <c r="C3528" t="s">
        <v>6208</v>
      </c>
      <c r="D3528" s="22">
        <v>-7005.6</v>
      </c>
      <c r="E3528" t="s">
        <v>35</v>
      </c>
      <c r="F3528" s="2">
        <v>212901001</v>
      </c>
      <c r="G3528" s="2" t="s">
        <v>121</v>
      </c>
      <c r="L3528" s="2" t="s">
        <v>6209</v>
      </c>
      <c r="M3528" t="s">
        <v>67</v>
      </c>
      <c r="N3528" t="s">
        <v>68</v>
      </c>
      <c r="P3528" s="23">
        <v>87.57</v>
      </c>
      <c r="Q3528" s="4">
        <f t="shared" si="54"/>
        <v>-80.000000000000014</v>
      </c>
      <c r="R3528" s="23" t="s">
        <v>109</v>
      </c>
    </row>
    <row r="3529" spans="1:18" x14ac:dyDescent="0.25">
      <c r="A3529" s="21">
        <v>45779</v>
      </c>
      <c r="B3529" s="1">
        <v>412265958</v>
      </c>
      <c r="C3529" t="s">
        <v>6210</v>
      </c>
      <c r="D3529" s="22">
        <v>-8757</v>
      </c>
      <c r="E3529" t="s">
        <v>35</v>
      </c>
      <c r="F3529" s="2">
        <v>212901001</v>
      </c>
      <c r="G3529" s="2" t="s">
        <v>121</v>
      </c>
      <c r="L3529" s="2" t="s">
        <v>6211</v>
      </c>
      <c r="M3529" t="s">
        <v>67</v>
      </c>
      <c r="N3529" t="s">
        <v>68</v>
      </c>
      <c r="P3529" s="23">
        <v>87.57</v>
      </c>
      <c r="Q3529" s="4">
        <f t="shared" si="54"/>
        <v>-100.00000000000001</v>
      </c>
      <c r="R3529" s="23" t="s">
        <v>109</v>
      </c>
    </row>
    <row r="3530" spans="1:18" x14ac:dyDescent="0.25">
      <c r="A3530" s="21">
        <v>45779</v>
      </c>
      <c r="B3530" s="1">
        <v>412265963</v>
      </c>
      <c r="C3530" t="s">
        <v>6212</v>
      </c>
      <c r="D3530" s="22">
        <v>-6129.9</v>
      </c>
      <c r="E3530" t="s">
        <v>35</v>
      </c>
      <c r="F3530" s="2">
        <v>212901001</v>
      </c>
      <c r="G3530" s="2" t="s">
        <v>121</v>
      </c>
      <c r="L3530" s="2" t="s">
        <v>6213</v>
      </c>
      <c r="M3530" t="s">
        <v>67</v>
      </c>
      <c r="N3530" t="s">
        <v>68</v>
      </c>
      <c r="P3530" s="23">
        <v>87.57</v>
      </c>
      <c r="Q3530" s="4">
        <f t="shared" si="54"/>
        <v>-70</v>
      </c>
      <c r="R3530" s="23" t="s">
        <v>109</v>
      </c>
    </row>
    <row r="3531" spans="1:18" x14ac:dyDescent="0.25">
      <c r="A3531" s="21">
        <v>45779</v>
      </c>
      <c r="B3531" s="1">
        <v>412265964</v>
      </c>
      <c r="C3531" t="s">
        <v>6214</v>
      </c>
      <c r="D3531" s="22">
        <v>-13135.5</v>
      </c>
      <c r="E3531" t="s">
        <v>35</v>
      </c>
      <c r="F3531" s="2">
        <v>212901001</v>
      </c>
      <c r="G3531" s="2" t="s">
        <v>121</v>
      </c>
      <c r="L3531" s="2" t="s">
        <v>6215</v>
      </c>
      <c r="M3531" t="s">
        <v>67</v>
      </c>
      <c r="N3531" t="s">
        <v>68</v>
      </c>
      <c r="P3531" s="23">
        <v>87.57</v>
      </c>
      <c r="Q3531" s="4">
        <f t="shared" ref="Q3531:Q3594" si="55">D3531/P3531</f>
        <v>-150</v>
      </c>
      <c r="R3531" s="23" t="s">
        <v>109</v>
      </c>
    </row>
    <row r="3532" spans="1:18" x14ac:dyDescent="0.25">
      <c r="A3532" s="21">
        <v>45779</v>
      </c>
      <c r="B3532" s="1">
        <v>412265967</v>
      </c>
      <c r="C3532" t="s">
        <v>6216</v>
      </c>
      <c r="D3532" s="22">
        <v>-12259.8</v>
      </c>
      <c r="E3532" t="s">
        <v>35</v>
      </c>
      <c r="F3532" s="2">
        <v>212901001</v>
      </c>
      <c r="G3532" s="2" t="s">
        <v>121</v>
      </c>
      <c r="L3532" s="2" t="s">
        <v>6217</v>
      </c>
      <c r="M3532" t="s">
        <v>67</v>
      </c>
      <c r="N3532" t="s">
        <v>68</v>
      </c>
      <c r="P3532" s="23">
        <v>87.57</v>
      </c>
      <c r="Q3532" s="4">
        <f t="shared" si="55"/>
        <v>-140</v>
      </c>
      <c r="R3532" s="23" t="s">
        <v>109</v>
      </c>
    </row>
    <row r="3533" spans="1:18" x14ac:dyDescent="0.25">
      <c r="A3533" s="21">
        <v>45779</v>
      </c>
      <c r="B3533" s="1">
        <v>512265969</v>
      </c>
      <c r="C3533" t="s">
        <v>6218</v>
      </c>
      <c r="D3533" s="22">
        <v>-9632.7000000000007</v>
      </c>
      <c r="E3533" t="s">
        <v>35</v>
      </c>
      <c r="F3533" s="2">
        <v>212901001</v>
      </c>
      <c r="G3533" s="2" t="s">
        <v>121</v>
      </c>
      <c r="L3533" s="2" t="s">
        <v>6219</v>
      </c>
      <c r="M3533" t="s">
        <v>67</v>
      </c>
      <c r="N3533" t="s">
        <v>68</v>
      </c>
      <c r="P3533" s="23">
        <v>87.57</v>
      </c>
      <c r="Q3533" s="4">
        <f t="shared" si="55"/>
        <v>-110.00000000000001</v>
      </c>
      <c r="R3533" s="23" t="s">
        <v>109</v>
      </c>
    </row>
    <row r="3534" spans="1:18" x14ac:dyDescent="0.25">
      <c r="A3534" s="21">
        <v>45779</v>
      </c>
      <c r="B3534" s="1">
        <v>512265968</v>
      </c>
      <c r="C3534" t="s">
        <v>6220</v>
      </c>
      <c r="D3534" s="22">
        <v>-4028.22</v>
      </c>
      <c r="E3534" t="s">
        <v>35</v>
      </c>
      <c r="F3534" s="2">
        <v>212901001</v>
      </c>
      <c r="G3534" s="2" t="s">
        <v>121</v>
      </c>
      <c r="L3534" s="2" t="s">
        <v>6221</v>
      </c>
      <c r="M3534" t="s">
        <v>67</v>
      </c>
      <c r="N3534" t="s">
        <v>68</v>
      </c>
      <c r="P3534" s="23">
        <v>87.57</v>
      </c>
      <c r="Q3534" s="4">
        <f t="shared" si="55"/>
        <v>-46</v>
      </c>
      <c r="R3534" s="23" t="s">
        <v>109</v>
      </c>
    </row>
    <row r="3535" spans="1:18" x14ac:dyDescent="0.25">
      <c r="A3535" s="21">
        <v>45779</v>
      </c>
      <c r="B3535" s="1">
        <v>412265965</v>
      </c>
      <c r="C3535" t="s">
        <v>6222</v>
      </c>
      <c r="D3535" s="22">
        <v>-10508.4</v>
      </c>
      <c r="E3535" t="s">
        <v>35</v>
      </c>
      <c r="F3535" s="2">
        <v>212901001</v>
      </c>
      <c r="G3535" s="2" t="s">
        <v>121</v>
      </c>
      <c r="L3535" s="2" t="s">
        <v>6223</v>
      </c>
      <c r="M3535" t="s">
        <v>67</v>
      </c>
      <c r="N3535" t="s">
        <v>68</v>
      </c>
      <c r="P3535" s="23">
        <v>87.57</v>
      </c>
      <c r="Q3535" s="4">
        <f t="shared" si="55"/>
        <v>-120</v>
      </c>
      <c r="R3535" s="23" t="s">
        <v>109</v>
      </c>
    </row>
    <row r="3536" spans="1:18" x14ac:dyDescent="0.25">
      <c r="A3536" s="21">
        <v>45779</v>
      </c>
      <c r="B3536" s="1">
        <v>512265970</v>
      </c>
      <c r="C3536" t="s">
        <v>6224</v>
      </c>
      <c r="D3536" s="22">
        <v>-9632.7000000000007</v>
      </c>
      <c r="E3536" t="s">
        <v>35</v>
      </c>
      <c r="F3536" s="2">
        <v>212901001</v>
      </c>
      <c r="G3536" s="2" t="s">
        <v>121</v>
      </c>
      <c r="L3536" s="2" t="s">
        <v>6225</v>
      </c>
      <c r="M3536" t="s">
        <v>67</v>
      </c>
      <c r="N3536" t="s">
        <v>68</v>
      </c>
      <c r="P3536" s="23">
        <v>87.57</v>
      </c>
      <c r="Q3536" s="4">
        <f t="shared" si="55"/>
        <v>-110.00000000000001</v>
      </c>
      <c r="R3536" s="23" t="s">
        <v>109</v>
      </c>
    </row>
    <row r="3537" spans="1:18" x14ac:dyDescent="0.25">
      <c r="A3537" s="21">
        <v>45779</v>
      </c>
      <c r="B3537" s="1">
        <v>512265971</v>
      </c>
      <c r="C3537" t="s">
        <v>6226</v>
      </c>
      <c r="D3537" s="22">
        <v>-9632.7000000000007</v>
      </c>
      <c r="E3537" t="s">
        <v>35</v>
      </c>
      <c r="F3537" s="2">
        <v>212901001</v>
      </c>
      <c r="G3537" s="2" t="s">
        <v>121</v>
      </c>
      <c r="L3537" s="2" t="s">
        <v>6227</v>
      </c>
      <c r="M3537" t="s">
        <v>67</v>
      </c>
      <c r="N3537" t="s">
        <v>68</v>
      </c>
      <c r="P3537" s="23">
        <v>87.57</v>
      </c>
      <c r="Q3537" s="4">
        <f t="shared" si="55"/>
        <v>-110.00000000000001</v>
      </c>
      <c r="R3537" s="23" t="s">
        <v>109</v>
      </c>
    </row>
    <row r="3538" spans="1:18" x14ac:dyDescent="0.25">
      <c r="A3538" s="21">
        <v>45779</v>
      </c>
      <c r="B3538" s="1">
        <v>512265972</v>
      </c>
      <c r="C3538" t="s">
        <v>6228</v>
      </c>
      <c r="D3538" s="22">
        <v>-7881.3</v>
      </c>
      <c r="E3538" t="s">
        <v>35</v>
      </c>
      <c r="F3538" s="2">
        <v>212901001</v>
      </c>
      <c r="G3538" s="2" t="s">
        <v>121</v>
      </c>
      <c r="L3538" s="2" t="s">
        <v>6229</v>
      </c>
      <c r="M3538" t="s">
        <v>67</v>
      </c>
      <c r="N3538" t="s">
        <v>68</v>
      </c>
      <c r="P3538" s="23">
        <v>87.57</v>
      </c>
      <c r="Q3538" s="4">
        <f t="shared" si="55"/>
        <v>-90.000000000000014</v>
      </c>
      <c r="R3538" s="23" t="s">
        <v>109</v>
      </c>
    </row>
    <row r="3539" spans="1:18" x14ac:dyDescent="0.25">
      <c r="A3539" s="21">
        <v>45779</v>
      </c>
      <c r="B3539" s="1">
        <v>512265977</v>
      </c>
      <c r="C3539" t="s">
        <v>6230</v>
      </c>
      <c r="D3539" s="22">
        <v>-7881.3</v>
      </c>
      <c r="E3539" t="s">
        <v>35</v>
      </c>
      <c r="F3539" s="2">
        <v>212901001</v>
      </c>
      <c r="G3539" s="2" t="s">
        <v>121</v>
      </c>
      <c r="L3539" s="2" t="s">
        <v>6231</v>
      </c>
      <c r="M3539" t="s">
        <v>67</v>
      </c>
      <c r="N3539" t="s">
        <v>68</v>
      </c>
      <c r="P3539" s="23">
        <v>87.57</v>
      </c>
      <c r="Q3539" s="4">
        <f t="shared" si="55"/>
        <v>-90.000000000000014</v>
      </c>
      <c r="R3539" s="23" t="s">
        <v>109</v>
      </c>
    </row>
    <row r="3540" spans="1:18" x14ac:dyDescent="0.25">
      <c r="A3540" s="21">
        <v>45779</v>
      </c>
      <c r="B3540" s="1">
        <v>512265975</v>
      </c>
      <c r="C3540" t="s">
        <v>6232</v>
      </c>
      <c r="D3540" s="22">
        <v>-7881.3</v>
      </c>
      <c r="E3540" t="s">
        <v>35</v>
      </c>
      <c r="F3540" s="2">
        <v>212901001</v>
      </c>
      <c r="G3540" s="2" t="s">
        <v>121</v>
      </c>
      <c r="L3540" s="2" t="s">
        <v>6233</v>
      </c>
      <c r="M3540" t="s">
        <v>67</v>
      </c>
      <c r="N3540" t="s">
        <v>68</v>
      </c>
      <c r="P3540" s="23">
        <v>87.57</v>
      </c>
      <c r="Q3540" s="4">
        <f t="shared" si="55"/>
        <v>-90.000000000000014</v>
      </c>
      <c r="R3540" s="23" t="s">
        <v>109</v>
      </c>
    </row>
    <row r="3541" spans="1:18" x14ac:dyDescent="0.25">
      <c r="A3541" s="21">
        <v>45779</v>
      </c>
      <c r="B3541" s="1">
        <v>612265982</v>
      </c>
      <c r="C3541" t="s">
        <v>6234</v>
      </c>
      <c r="D3541" s="22">
        <v>-7881.3</v>
      </c>
      <c r="E3541" t="s">
        <v>35</v>
      </c>
      <c r="F3541" s="2">
        <v>212901001</v>
      </c>
      <c r="G3541" s="2" t="s">
        <v>121</v>
      </c>
      <c r="L3541" s="2" t="s">
        <v>6235</v>
      </c>
      <c r="M3541" t="s">
        <v>67</v>
      </c>
      <c r="N3541" t="s">
        <v>68</v>
      </c>
      <c r="P3541" s="23">
        <v>87.57</v>
      </c>
      <c r="Q3541" s="4">
        <f t="shared" si="55"/>
        <v>-90.000000000000014</v>
      </c>
      <c r="R3541" s="23" t="s">
        <v>109</v>
      </c>
    </row>
    <row r="3542" spans="1:18" x14ac:dyDescent="0.25">
      <c r="A3542" s="21">
        <v>45779</v>
      </c>
      <c r="B3542" s="1">
        <v>512265978</v>
      </c>
      <c r="C3542" t="s">
        <v>6236</v>
      </c>
      <c r="D3542" s="22">
        <v>-7881.3</v>
      </c>
      <c r="E3542" t="s">
        <v>35</v>
      </c>
      <c r="F3542" s="2">
        <v>212901001</v>
      </c>
      <c r="G3542" s="2" t="s">
        <v>121</v>
      </c>
      <c r="L3542" s="2" t="s">
        <v>6237</v>
      </c>
      <c r="M3542" t="s">
        <v>67</v>
      </c>
      <c r="N3542" t="s">
        <v>68</v>
      </c>
      <c r="P3542" s="23">
        <v>87.57</v>
      </c>
      <c r="Q3542" s="4">
        <f t="shared" si="55"/>
        <v>-90.000000000000014</v>
      </c>
      <c r="R3542" s="23" t="s">
        <v>109</v>
      </c>
    </row>
    <row r="3543" spans="1:18" x14ac:dyDescent="0.25">
      <c r="A3543" s="21">
        <v>45779</v>
      </c>
      <c r="B3543" s="1">
        <v>612265980</v>
      </c>
      <c r="C3543" t="s">
        <v>6238</v>
      </c>
      <c r="D3543" s="22">
        <v>-7881.3</v>
      </c>
      <c r="E3543" t="s">
        <v>35</v>
      </c>
      <c r="F3543" s="2">
        <v>212901001</v>
      </c>
      <c r="G3543" s="2" t="s">
        <v>121</v>
      </c>
      <c r="L3543" s="2" t="s">
        <v>6239</v>
      </c>
      <c r="M3543" t="s">
        <v>67</v>
      </c>
      <c r="N3543" t="s">
        <v>68</v>
      </c>
      <c r="P3543" s="23">
        <v>87.57</v>
      </c>
      <c r="Q3543" s="4">
        <f t="shared" si="55"/>
        <v>-90.000000000000014</v>
      </c>
      <c r="R3543" s="23" t="s">
        <v>109</v>
      </c>
    </row>
    <row r="3544" spans="1:18" x14ac:dyDescent="0.25">
      <c r="A3544" s="21">
        <v>45779</v>
      </c>
      <c r="B3544" s="1">
        <v>612265979</v>
      </c>
      <c r="C3544" t="s">
        <v>6230</v>
      </c>
      <c r="D3544" s="22">
        <v>-7881.3</v>
      </c>
      <c r="E3544" t="s">
        <v>35</v>
      </c>
      <c r="F3544" s="2">
        <v>212901001</v>
      </c>
      <c r="G3544" s="2" t="s">
        <v>121</v>
      </c>
      <c r="L3544" s="2" t="s">
        <v>6240</v>
      </c>
      <c r="M3544" t="s">
        <v>67</v>
      </c>
      <c r="N3544" t="s">
        <v>68</v>
      </c>
      <c r="P3544" s="23">
        <v>87.57</v>
      </c>
      <c r="Q3544" s="4">
        <f t="shared" si="55"/>
        <v>-90.000000000000014</v>
      </c>
      <c r="R3544" s="23" t="s">
        <v>109</v>
      </c>
    </row>
    <row r="3545" spans="1:18" x14ac:dyDescent="0.25">
      <c r="A3545" s="21">
        <v>45779</v>
      </c>
      <c r="B3545" s="1">
        <v>612265984</v>
      </c>
      <c r="C3545" t="s">
        <v>6241</v>
      </c>
      <c r="D3545" s="22">
        <v>-7881.3</v>
      </c>
      <c r="E3545" t="s">
        <v>35</v>
      </c>
      <c r="F3545" s="2">
        <v>212901001</v>
      </c>
      <c r="G3545" s="2" t="s">
        <v>121</v>
      </c>
      <c r="L3545" s="2" t="s">
        <v>6242</v>
      </c>
      <c r="M3545" t="s">
        <v>67</v>
      </c>
      <c r="N3545" t="s">
        <v>68</v>
      </c>
      <c r="P3545" s="23">
        <v>87.57</v>
      </c>
      <c r="Q3545" s="4">
        <f t="shared" si="55"/>
        <v>-90.000000000000014</v>
      </c>
      <c r="R3545" s="23" t="s">
        <v>109</v>
      </c>
    </row>
    <row r="3546" spans="1:18" x14ac:dyDescent="0.25">
      <c r="A3546" s="21">
        <v>45779</v>
      </c>
      <c r="B3546" s="1">
        <v>612265981</v>
      </c>
      <c r="C3546" t="s">
        <v>6243</v>
      </c>
      <c r="D3546" s="22">
        <v>-7881.3</v>
      </c>
      <c r="E3546" t="s">
        <v>35</v>
      </c>
      <c r="F3546" s="2">
        <v>212901001</v>
      </c>
      <c r="G3546" s="2" t="s">
        <v>121</v>
      </c>
      <c r="L3546" s="2" t="s">
        <v>6244</v>
      </c>
      <c r="M3546" t="s">
        <v>67</v>
      </c>
      <c r="N3546" t="s">
        <v>68</v>
      </c>
      <c r="P3546" s="23">
        <v>87.57</v>
      </c>
      <c r="Q3546" s="4">
        <f t="shared" si="55"/>
        <v>-90.000000000000014</v>
      </c>
      <c r="R3546" s="23" t="s">
        <v>109</v>
      </c>
    </row>
    <row r="3547" spans="1:18" x14ac:dyDescent="0.25">
      <c r="A3547" s="21">
        <v>45779</v>
      </c>
      <c r="B3547" s="1">
        <v>612265983</v>
      </c>
      <c r="C3547" t="s">
        <v>6245</v>
      </c>
      <c r="D3547" s="22">
        <v>-7881.3</v>
      </c>
      <c r="E3547" t="s">
        <v>35</v>
      </c>
      <c r="F3547" s="2">
        <v>212901001</v>
      </c>
      <c r="G3547" s="2" t="s">
        <v>121</v>
      </c>
      <c r="L3547" s="2" t="s">
        <v>6246</v>
      </c>
      <c r="M3547" t="s">
        <v>67</v>
      </c>
      <c r="N3547" t="s">
        <v>68</v>
      </c>
      <c r="P3547" s="23">
        <v>87.57</v>
      </c>
      <c r="Q3547" s="4">
        <f t="shared" si="55"/>
        <v>-90.000000000000014</v>
      </c>
      <c r="R3547" s="23" t="s">
        <v>109</v>
      </c>
    </row>
    <row r="3548" spans="1:18" x14ac:dyDescent="0.25">
      <c r="A3548" s="21">
        <v>45779</v>
      </c>
      <c r="B3548" s="1">
        <v>612265986</v>
      </c>
      <c r="C3548" t="s">
        <v>6247</v>
      </c>
      <c r="D3548" s="22">
        <v>-7881.3</v>
      </c>
      <c r="E3548" t="s">
        <v>35</v>
      </c>
      <c r="F3548" s="2">
        <v>212901001</v>
      </c>
      <c r="G3548" s="2" t="s">
        <v>121</v>
      </c>
      <c r="L3548" s="2" t="s">
        <v>6248</v>
      </c>
      <c r="M3548" t="s">
        <v>67</v>
      </c>
      <c r="N3548" t="s">
        <v>68</v>
      </c>
      <c r="P3548" s="23">
        <v>87.57</v>
      </c>
      <c r="Q3548" s="4">
        <f t="shared" si="55"/>
        <v>-90.000000000000014</v>
      </c>
      <c r="R3548" s="23" t="s">
        <v>109</v>
      </c>
    </row>
    <row r="3549" spans="1:18" x14ac:dyDescent="0.25">
      <c r="A3549" s="21">
        <v>45779</v>
      </c>
      <c r="B3549" s="1">
        <v>612265985</v>
      </c>
      <c r="C3549" t="s">
        <v>6249</v>
      </c>
      <c r="D3549" s="22">
        <v>-7881.3</v>
      </c>
      <c r="E3549" t="s">
        <v>35</v>
      </c>
      <c r="F3549" s="2">
        <v>212901001</v>
      </c>
      <c r="G3549" s="2" t="s">
        <v>121</v>
      </c>
      <c r="L3549" s="2" t="s">
        <v>6250</v>
      </c>
      <c r="M3549" t="s">
        <v>67</v>
      </c>
      <c r="N3549" t="s">
        <v>68</v>
      </c>
      <c r="P3549" s="23">
        <v>87.57</v>
      </c>
      <c r="Q3549" s="4">
        <f t="shared" si="55"/>
        <v>-90.000000000000014</v>
      </c>
      <c r="R3549" s="23" t="s">
        <v>109</v>
      </c>
    </row>
    <row r="3550" spans="1:18" x14ac:dyDescent="0.25">
      <c r="A3550" s="21">
        <v>45779</v>
      </c>
      <c r="B3550" s="1">
        <v>612265988</v>
      </c>
      <c r="C3550" t="s">
        <v>6251</v>
      </c>
      <c r="D3550" s="22">
        <v>-7881.3</v>
      </c>
      <c r="E3550" t="s">
        <v>35</v>
      </c>
      <c r="F3550" s="2">
        <v>212901001</v>
      </c>
      <c r="G3550" s="2" t="s">
        <v>121</v>
      </c>
      <c r="L3550" s="2" t="s">
        <v>6252</v>
      </c>
      <c r="M3550" t="s">
        <v>67</v>
      </c>
      <c r="N3550" t="s">
        <v>68</v>
      </c>
      <c r="P3550" s="23">
        <v>87.57</v>
      </c>
      <c r="Q3550" s="4">
        <f t="shared" si="55"/>
        <v>-90.000000000000014</v>
      </c>
      <c r="R3550" s="23" t="s">
        <v>109</v>
      </c>
    </row>
    <row r="3551" spans="1:18" x14ac:dyDescent="0.25">
      <c r="A3551" s="21">
        <v>45779</v>
      </c>
      <c r="B3551" s="1">
        <v>612265987</v>
      </c>
      <c r="C3551" t="s">
        <v>6253</v>
      </c>
      <c r="D3551" s="22">
        <v>-7881.3</v>
      </c>
      <c r="E3551" t="s">
        <v>35</v>
      </c>
      <c r="F3551" s="2">
        <v>212901001</v>
      </c>
      <c r="G3551" s="2" t="s">
        <v>121</v>
      </c>
      <c r="L3551" s="2" t="s">
        <v>6254</v>
      </c>
      <c r="M3551" t="s">
        <v>67</v>
      </c>
      <c r="N3551" t="s">
        <v>68</v>
      </c>
      <c r="P3551" s="23">
        <v>87.57</v>
      </c>
      <c r="Q3551" s="4">
        <f t="shared" si="55"/>
        <v>-90.000000000000014</v>
      </c>
      <c r="R3551" s="23" t="s">
        <v>109</v>
      </c>
    </row>
    <row r="3552" spans="1:18" x14ac:dyDescent="0.25">
      <c r="A3552" s="21">
        <v>45779</v>
      </c>
      <c r="B3552" s="1">
        <v>712265992</v>
      </c>
      <c r="C3552" t="s">
        <v>6255</v>
      </c>
      <c r="D3552" s="22">
        <v>-5254.2</v>
      </c>
      <c r="E3552" t="s">
        <v>35</v>
      </c>
      <c r="F3552" s="2">
        <v>212901001</v>
      </c>
      <c r="G3552" s="2" t="s">
        <v>121</v>
      </c>
      <c r="L3552" s="2" t="s">
        <v>6256</v>
      </c>
      <c r="M3552" t="s">
        <v>67</v>
      </c>
      <c r="N3552" t="s">
        <v>68</v>
      </c>
      <c r="P3552" s="23">
        <v>87.57</v>
      </c>
      <c r="Q3552" s="4">
        <f t="shared" si="55"/>
        <v>-60</v>
      </c>
      <c r="R3552" s="23" t="s">
        <v>109</v>
      </c>
    </row>
    <row r="3553" spans="1:20" x14ac:dyDescent="0.25">
      <c r="A3553" s="21">
        <v>45779</v>
      </c>
      <c r="B3553" s="1">
        <v>712265991</v>
      </c>
      <c r="C3553" t="s">
        <v>6257</v>
      </c>
      <c r="D3553" s="22">
        <v>-5254.2</v>
      </c>
      <c r="E3553" t="s">
        <v>35</v>
      </c>
      <c r="F3553" s="2">
        <v>212901001</v>
      </c>
      <c r="G3553" s="2" t="s">
        <v>121</v>
      </c>
      <c r="L3553" s="2" t="s">
        <v>6258</v>
      </c>
      <c r="M3553" t="s">
        <v>67</v>
      </c>
      <c r="N3553" t="s">
        <v>68</v>
      </c>
      <c r="P3553" s="23">
        <v>87.57</v>
      </c>
      <c r="Q3553" s="4">
        <f t="shared" si="55"/>
        <v>-60</v>
      </c>
      <c r="R3553" s="23" t="s">
        <v>109</v>
      </c>
    </row>
    <row r="3554" spans="1:20" x14ac:dyDescent="0.25">
      <c r="A3554" s="21">
        <v>45779</v>
      </c>
      <c r="B3554" s="1">
        <v>712265990</v>
      </c>
      <c r="C3554" t="s">
        <v>6259</v>
      </c>
      <c r="D3554" s="22">
        <v>-7881.3</v>
      </c>
      <c r="E3554" t="s">
        <v>35</v>
      </c>
      <c r="F3554" s="2">
        <v>212901001</v>
      </c>
      <c r="G3554" s="2" t="s">
        <v>121</v>
      </c>
      <c r="L3554" s="2" t="s">
        <v>6260</v>
      </c>
      <c r="M3554" t="s">
        <v>67</v>
      </c>
      <c r="N3554" t="s">
        <v>68</v>
      </c>
      <c r="P3554" s="23">
        <v>87.57</v>
      </c>
      <c r="Q3554" s="4">
        <f t="shared" si="55"/>
        <v>-90.000000000000014</v>
      </c>
      <c r="R3554" s="23" t="s">
        <v>109</v>
      </c>
    </row>
    <row r="3555" spans="1:20" x14ac:dyDescent="0.25">
      <c r="A3555" s="21">
        <v>45779</v>
      </c>
      <c r="B3555" s="1">
        <v>712265996</v>
      </c>
      <c r="C3555" t="s">
        <v>6261</v>
      </c>
      <c r="D3555" s="22">
        <v>-17514</v>
      </c>
      <c r="E3555" t="s">
        <v>35</v>
      </c>
      <c r="F3555" s="2">
        <v>212901001</v>
      </c>
      <c r="G3555" s="2" t="s">
        <v>121</v>
      </c>
      <c r="L3555" s="2" t="s">
        <v>6262</v>
      </c>
      <c r="M3555" t="s">
        <v>67</v>
      </c>
      <c r="N3555" t="s">
        <v>68</v>
      </c>
      <c r="P3555" s="23">
        <v>87.57</v>
      </c>
      <c r="Q3555" s="4">
        <f t="shared" si="55"/>
        <v>-200.00000000000003</v>
      </c>
      <c r="R3555" s="23" t="s">
        <v>109</v>
      </c>
    </row>
    <row r="3556" spans="1:20" x14ac:dyDescent="0.25">
      <c r="A3556" s="21">
        <v>45779</v>
      </c>
      <c r="B3556" s="1">
        <v>712265994</v>
      </c>
      <c r="C3556" t="s">
        <v>6263</v>
      </c>
      <c r="D3556" s="22">
        <v>-5254.2</v>
      </c>
      <c r="E3556" t="s">
        <v>35</v>
      </c>
      <c r="F3556" s="2">
        <v>212901001</v>
      </c>
      <c r="G3556" s="2" t="s">
        <v>121</v>
      </c>
      <c r="L3556" s="2" t="s">
        <v>6264</v>
      </c>
      <c r="M3556" t="s">
        <v>67</v>
      </c>
      <c r="N3556" t="s">
        <v>68</v>
      </c>
      <c r="P3556" s="23">
        <v>87.57</v>
      </c>
      <c r="Q3556" s="4">
        <f t="shared" si="55"/>
        <v>-60</v>
      </c>
      <c r="R3556" s="23" t="s">
        <v>109</v>
      </c>
    </row>
    <row r="3557" spans="1:20" x14ac:dyDescent="0.25">
      <c r="A3557" s="32">
        <v>45779</v>
      </c>
      <c r="B3557" s="26">
        <v>712265993</v>
      </c>
      <c r="C3557" s="27" t="s">
        <v>6265</v>
      </c>
      <c r="D3557" s="28">
        <v>-5254.2</v>
      </c>
      <c r="E3557" s="27" t="s">
        <v>35</v>
      </c>
      <c r="F3557" s="29">
        <v>610156001</v>
      </c>
      <c r="G3557" s="29" t="s">
        <v>91</v>
      </c>
      <c r="H3557" s="107"/>
      <c r="I3557" s="101"/>
      <c r="J3557" s="101"/>
      <c r="K3557" s="29"/>
      <c r="L3557" s="2" t="s">
        <v>6266</v>
      </c>
      <c r="M3557" s="27" t="s">
        <v>5015</v>
      </c>
      <c r="N3557" s="27" t="s">
        <v>1240</v>
      </c>
      <c r="O3557" s="27" t="s">
        <v>59</v>
      </c>
      <c r="P3557" s="31">
        <v>87.57</v>
      </c>
      <c r="Q3557" s="4">
        <f t="shared" si="55"/>
        <v>-60</v>
      </c>
      <c r="R3557" s="23" t="s">
        <v>109</v>
      </c>
      <c r="T3557" s="23" t="s">
        <v>6267</v>
      </c>
    </row>
    <row r="3558" spans="1:20" x14ac:dyDescent="0.25">
      <c r="A3558" s="21">
        <v>45779</v>
      </c>
      <c r="B3558" s="1">
        <v>712265995</v>
      </c>
      <c r="C3558" t="s">
        <v>6268</v>
      </c>
      <c r="D3558" s="22">
        <v>-8757</v>
      </c>
      <c r="E3558" t="s">
        <v>35</v>
      </c>
      <c r="F3558" s="2">
        <v>212901001</v>
      </c>
      <c r="G3558" s="2" t="s">
        <v>121</v>
      </c>
      <c r="L3558" s="2" t="s">
        <v>6269</v>
      </c>
      <c r="M3558" t="s">
        <v>67</v>
      </c>
      <c r="N3558" t="s">
        <v>68</v>
      </c>
      <c r="P3558" s="23">
        <v>87.57</v>
      </c>
      <c r="Q3558" s="4">
        <f t="shared" si="55"/>
        <v>-100.00000000000001</v>
      </c>
      <c r="R3558" s="23" t="s">
        <v>109</v>
      </c>
    </row>
    <row r="3559" spans="1:20" x14ac:dyDescent="0.25">
      <c r="A3559" s="21">
        <v>45779</v>
      </c>
      <c r="B3559" s="1">
        <v>712265998</v>
      </c>
      <c r="C3559" t="s">
        <v>6270</v>
      </c>
      <c r="D3559" s="22">
        <v>-6129.9</v>
      </c>
      <c r="E3559" t="s">
        <v>35</v>
      </c>
      <c r="F3559" s="2">
        <v>212901001</v>
      </c>
      <c r="G3559" s="2" t="s">
        <v>121</v>
      </c>
      <c r="L3559" s="2" t="s">
        <v>6271</v>
      </c>
      <c r="M3559" t="s">
        <v>67</v>
      </c>
      <c r="N3559" t="s">
        <v>68</v>
      </c>
      <c r="P3559" s="23">
        <v>87.57</v>
      </c>
      <c r="Q3559" s="4">
        <f t="shared" si="55"/>
        <v>-70</v>
      </c>
      <c r="R3559" s="23" t="s">
        <v>109</v>
      </c>
    </row>
    <row r="3560" spans="1:20" x14ac:dyDescent="0.25">
      <c r="A3560" s="21">
        <v>45779</v>
      </c>
      <c r="B3560" s="1">
        <v>712265997</v>
      </c>
      <c r="C3560" t="s">
        <v>6272</v>
      </c>
      <c r="D3560" s="22">
        <v>-10683.54</v>
      </c>
      <c r="E3560" t="s">
        <v>35</v>
      </c>
      <c r="F3560" s="2">
        <v>212901001</v>
      </c>
      <c r="G3560" s="2" t="s">
        <v>121</v>
      </c>
      <c r="L3560" s="2" t="s">
        <v>6273</v>
      </c>
      <c r="M3560" t="s">
        <v>67</v>
      </c>
      <c r="N3560" t="s">
        <v>68</v>
      </c>
      <c r="P3560" s="23">
        <v>87.57</v>
      </c>
      <c r="Q3560" s="4">
        <f t="shared" si="55"/>
        <v>-122.00000000000001</v>
      </c>
      <c r="R3560" s="23" t="s">
        <v>109</v>
      </c>
    </row>
    <row r="3561" spans="1:20" x14ac:dyDescent="0.25">
      <c r="A3561" s="21">
        <v>45779</v>
      </c>
      <c r="B3561" s="1">
        <v>812265999</v>
      </c>
      <c r="C3561" t="s">
        <v>6274</v>
      </c>
      <c r="D3561" s="22">
        <v>-7005.6</v>
      </c>
      <c r="E3561" t="s">
        <v>35</v>
      </c>
      <c r="F3561" s="2">
        <v>212901001</v>
      </c>
      <c r="G3561" s="2" t="s">
        <v>121</v>
      </c>
      <c r="L3561" s="2" t="s">
        <v>6275</v>
      </c>
      <c r="M3561" t="s">
        <v>67</v>
      </c>
      <c r="N3561" t="s">
        <v>68</v>
      </c>
      <c r="P3561" s="23">
        <v>87.57</v>
      </c>
      <c r="Q3561" s="4">
        <f t="shared" si="55"/>
        <v>-80.000000000000014</v>
      </c>
      <c r="R3561" s="23" t="s">
        <v>109</v>
      </c>
    </row>
    <row r="3562" spans="1:20" x14ac:dyDescent="0.25">
      <c r="A3562" s="21">
        <v>45779</v>
      </c>
      <c r="B3562" s="1">
        <v>50551558</v>
      </c>
      <c r="C3562" t="s">
        <v>6276</v>
      </c>
      <c r="D3562" s="22">
        <v>-15762.6</v>
      </c>
      <c r="E3562" t="s">
        <v>35</v>
      </c>
      <c r="F3562" s="2">
        <v>212901001</v>
      </c>
      <c r="G3562" s="2" t="s">
        <v>121</v>
      </c>
      <c r="L3562" s="2" t="s">
        <v>6277</v>
      </c>
      <c r="M3562" t="s">
        <v>67</v>
      </c>
      <c r="N3562" t="s">
        <v>68</v>
      </c>
      <c r="P3562" s="23">
        <v>87.57</v>
      </c>
      <c r="Q3562" s="4">
        <f t="shared" si="55"/>
        <v>-180.00000000000003</v>
      </c>
      <c r="R3562" s="23" t="s">
        <v>109</v>
      </c>
    </row>
    <row r="3563" spans="1:20" x14ac:dyDescent="0.25">
      <c r="A3563" s="21">
        <v>45779</v>
      </c>
      <c r="B3563" s="1">
        <v>50551558</v>
      </c>
      <c r="C3563" t="s">
        <v>296</v>
      </c>
      <c r="D3563" s="22">
        <v>-23.64</v>
      </c>
      <c r="E3563" t="s">
        <v>35</v>
      </c>
      <c r="F3563" s="2">
        <v>610148001</v>
      </c>
      <c r="G3563" s="2" t="s">
        <v>42</v>
      </c>
      <c r="L3563" s="2" t="s">
        <v>6278</v>
      </c>
      <c r="M3563" t="s">
        <v>43</v>
      </c>
      <c r="N3563" t="s">
        <v>42</v>
      </c>
      <c r="P3563" s="23">
        <v>87.57</v>
      </c>
      <c r="Q3563" s="4">
        <f t="shared" si="55"/>
        <v>-0.26995546420006855</v>
      </c>
      <c r="R3563" s="23" t="s">
        <v>109</v>
      </c>
      <c r="T3563" s="23" t="s">
        <v>6107</v>
      </c>
    </row>
    <row r="3564" spans="1:20" x14ac:dyDescent="0.25">
      <c r="A3564" s="21">
        <v>45779</v>
      </c>
      <c r="B3564" s="1">
        <v>50551558</v>
      </c>
      <c r="C3564" t="s">
        <v>118</v>
      </c>
      <c r="D3564" s="22">
        <v>-1575.82</v>
      </c>
      <c r="E3564" t="s">
        <v>35</v>
      </c>
      <c r="F3564" s="2">
        <v>610148001</v>
      </c>
      <c r="G3564" s="2" t="s">
        <v>42</v>
      </c>
      <c r="L3564" s="2" t="s">
        <v>6279</v>
      </c>
      <c r="M3564" t="s">
        <v>43</v>
      </c>
      <c r="N3564" t="s">
        <v>42</v>
      </c>
      <c r="P3564" s="23">
        <v>87.57</v>
      </c>
      <c r="Q3564" s="4">
        <f t="shared" si="55"/>
        <v>-17.994975448212859</v>
      </c>
      <c r="R3564" s="23" t="s">
        <v>109</v>
      </c>
      <c r="T3564" s="23" t="s">
        <v>6107</v>
      </c>
    </row>
    <row r="3565" spans="1:20" x14ac:dyDescent="0.25">
      <c r="A3565" s="21">
        <v>45782</v>
      </c>
      <c r="B3565" s="1">
        <v>512395228</v>
      </c>
      <c r="C3565" t="s">
        <v>6280</v>
      </c>
      <c r="D3565" s="22">
        <v>-1751.4</v>
      </c>
      <c r="E3565" t="s">
        <v>35</v>
      </c>
      <c r="F3565" s="2">
        <v>212901001</v>
      </c>
      <c r="G3565" s="2" t="s">
        <v>121</v>
      </c>
      <c r="L3565" s="2" t="s">
        <v>6281</v>
      </c>
      <c r="M3565" t="s">
        <v>67</v>
      </c>
      <c r="N3565" t="s">
        <v>68</v>
      </c>
      <c r="P3565" s="23">
        <v>88.64</v>
      </c>
      <c r="Q3565" s="4">
        <f t="shared" si="55"/>
        <v>-19.758574007220219</v>
      </c>
      <c r="R3565" s="23" t="s">
        <v>109</v>
      </c>
    </row>
    <row r="3566" spans="1:20" x14ac:dyDescent="0.25">
      <c r="A3566" s="21">
        <v>45782</v>
      </c>
      <c r="B3566" s="1">
        <v>512395228</v>
      </c>
      <c r="C3566" t="s">
        <v>306</v>
      </c>
      <c r="D3566" s="22">
        <v>-5.25</v>
      </c>
      <c r="E3566" t="s">
        <v>35</v>
      </c>
      <c r="F3566" s="2">
        <v>610148001</v>
      </c>
      <c r="G3566" s="2" t="s">
        <v>42</v>
      </c>
      <c r="L3566" s="2" t="s">
        <v>6282</v>
      </c>
      <c r="M3566" t="s">
        <v>43</v>
      </c>
      <c r="N3566" t="s">
        <v>42</v>
      </c>
      <c r="P3566" s="23">
        <v>88.64</v>
      </c>
      <c r="Q3566" s="4">
        <f t="shared" si="55"/>
        <v>-5.9228339350180507E-2</v>
      </c>
      <c r="R3566" s="23" t="s">
        <v>109</v>
      </c>
      <c r="T3566" s="23" t="s">
        <v>6107</v>
      </c>
    </row>
    <row r="3567" spans="1:20" x14ac:dyDescent="0.25">
      <c r="A3567" s="21">
        <v>45782</v>
      </c>
      <c r="B3567" s="1">
        <v>133946427</v>
      </c>
      <c r="C3567" t="s">
        <v>107</v>
      </c>
      <c r="D3567" s="22">
        <v>85000</v>
      </c>
      <c r="E3567" t="s">
        <v>46</v>
      </c>
      <c r="F3567" s="2">
        <v>210115002</v>
      </c>
      <c r="G3567" s="2" t="s">
        <v>47</v>
      </c>
      <c r="L3567" s="2" t="s">
        <v>6283</v>
      </c>
      <c r="N3567" t="s">
        <v>107</v>
      </c>
      <c r="P3567" s="23">
        <v>88.64</v>
      </c>
      <c r="Q3567" s="4">
        <f t="shared" si="55"/>
        <v>958.93501805054154</v>
      </c>
      <c r="R3567" s="23" t="s">
        <v>109</v>
      </c>
    </row>
    <row r="3568" spans="1:20" x14ac:dyDescent="0.25">
      <c r="A3568" s="21">
        <v>45782</v>
      </c>
      <c r="B3568" s="1">
        <v>812407631</v>
      </c>
      <c r="C3568" t="s">
        <v>6284</v>
      </c>
      <c r="D3568" s="22">
        <v>-8509.44</v>
      </c>
      <c r="E3568" t="s">
        <v>35</v>
      </c>
      <c r="F3568" s="2">
        <v>210101001</v>
      </c>
      <c r="G3568" s="2" t="s">
        <v>36</v>
      </c>
      <c r="L3568" s="2" t="s">
        <v>6285</v>
      </c>
      <c r="M3568" t="s">
        <v>38</v>
      </c>
      <c r="N3568" t="s">
        <v>39</v>
      </c>
      <c r="P3568" s="23">
        <v>88.64</v>
      </c>
      <c r="Q3568" s="4">
        <f t="shared" si="55"/>
        <v>-96</v>
      </c>
      <c r="R3568" s="23" t="s">
        <v>109</v>
      </c>
    </row>
    <row r="3569" spans="1:20" x14ac:dyDescent="0.25">
      <c r="A3569" s="21">
        <v>45782</v>
      </c>
      <c r="B3569" s="1">
        <v>812407629</v>
      </c>
      <c r="C3569" t="s">
        <v>6286</v>
      </c>
      <c r="D3569" s="22">
        <v>-6621.16</v>
      </c>
      <c r="E3569" t="s">
        <v>35</v>
      </c>
      <c r="F3569" s="2">
        <v>210101001</v>
      </c>
      <c r="G3569" s="2" t="s">
        <v>36</v>
      </c>
      <c r="L3569" s="2" t="s">
        <v>6287</v>
      </c>
      <c r="M3569" t="s">
        <v>725</v>
      </c>
      <c r="N3569" t="s">
        <v>726</v>
      </c>
      <c r="P3569" s="23">
        <v>88.64</v>
      </c>
      <c r="Q3569" s="4">
        <f t="shared" si="55"/>
        <v>-74.697202166064983</v>
      </c>
      <c r="R3569" s="23" t="s">
        <v>109</v>
      </c>
    </row>
    <row r="3570" spans="1:20" x14ac:dyDescent="0.25">
      <c r="A3570" s="21">
        <v>45782</v>
      </c>
      <c r="B3570" s="1">
        <v>812407630</v>
      </c>
      <c r="C3570" t="s">
        <v>6288</v>
      </c>
      <c r="D3570" s="22">
        <v>-49567.49</v>
      </c>
      <c r="E3570" t="s">
        <v>35</v>
      </c>
      <c r="F3570" s="2">
        <v>210101001</v>
      </c>
      <c r="G3570" s="2" t="s">
        <v>36</v>
      </c>
      <c r="L3570" s="2" t="s">
        <v>6289</v>
      </c>
      <c r="M3570" t="s">
        <v>38</v>
      </c>
      <c r="N3570" t="s">
        <v>39</v>
      </c>
      <c r="P3570" s="23">
        <v>88.64</v>
      </c>
      <c r="Q3570" s="4">
        <f t="shared" si="55"/>
        <v>-559.20002256317684</v>
      </c>
      <c r="R3570" s="23" t="s">
        <v>109</v>
      </c>
    </row>
    <row r="3571" spans="1:20" x14ac:dyDescent="0.25">
      <c r="A3571" s="21">
        <v>45782</v>
      </c>
      <c r="B3571" s="1">
        <v>812407628</v>
      </c>
      <c r="C3571" t="s">
        <v>6290</v>
      </c>
      <c r="D3571" s="22">
        <v>-1794</v>
      </c>
      <c r="E3571" t="s">
        <v>35</v>
      </c>
      <c r="F3571" s="2">
        <v>210101001</v>
      </c>
      <c r="G3571" s="2" t="s">
        <v>36</v>
      </c>
      <c r="L3571" s="2" t="s">
        <v>6291</v>
      </c>
      <c r="M3571" t="s">
        <v>114</v>
      </c>
      <c r="N3571" t="s">
        <v>115</v>
      </c>
      <c r="P3571" s="23">
        <v>88.64</v>
      </c>
      <c r="Q3571" s="4">
        <f t="shared" si="55"/>
        <v>-20.239169675090253</v>
      </c>
      <c r="R3571" s="23" t="s">
        <v>109</v>
      </c>
    </row>
    <row r="3572" spans="1:20" x14ac:dyDescent="0.25">
      <c r="A3572" s="21">
        <v>45782</v>
      </c>
      <c r="B3572" s="1">
        <v>50558796</v>
      </c>
      <c r="C3572" t="s">
        <v>118</v>
      </c>
      <c r="D3572" s="22">
        <v>-166.23</v>
      </c>
      <c r="E3572" t="s">
        <v>35</v>
      </c>
      <c r="F3572" s="2">
        <v>610148001</v>
      </c>
      <c r="G3572" s="2" t="s">
        <v>42</v>
      </c>
      <c r="L3572" s="2" t="s">
        <v>6292</v>
      </c>
      <c r="M3572" t="s">
        <v>43</v>
      </c>
      <c r="N3572" t="s">
        <v>42</v>
      </c>
      <c r="P3572" s="23">
        <v>88.64</v>
      </c>
      <c r="Q3572" s="4">
        <f t="shared" si="55"/>
        <v>-1.8753384476534294</v>
      </c>
      <c r="R3572" s="23" t="s">
        <v>109</v>
      </c>
      <c r="T3572" s="23" t="s">
        <v>6107</v>
      </c>
    </row>
    <row r="3573" spans="1:20" x14ac:dyDescent="0.25">
      <c r="A3573" s="32">
        <v>45782</v>
      </c>
      <c r="B3573" s="26">
        <v>134526816</v>
      </c>
      <c r="C3573" s="27" t="s">
        <v>6293</v>
      </c>
      <c r="D3573" s="28">
        <v>-3350.35</v>
      </c>
      <c r="E3573" s="27" t="s">
        <v>35</v>
      </c>
      <c r="F3573" s="29">
        <v>610122003</v>
      </c>
      <c r="G3573" s="29" t="s">
        <v>6294</v>
      </c>
      <c r="H3573" s="107"/>
      <c r="I3573" s="101"/>
      <c r="J3573" s="101"/>
      <c r="K3573" s="29"/>
      <c r="L3573" s="2" t="s">
        <v>6295</v>
      </c>
      <c r="M3573" s="27" t="s">
        <v>6296</v>
      </c>
      <c r="N3573" s="27" t="s">
        <v>6297</v>
      </c>
      <c r="O3573" s="27" t="s">
        <v>59</v>
      </c>
      <c r="P3573" s="31">
        <v>88.64</v>
      </c>
      <c r="Q3573" s="4">
        <f t="shared" si="55"/>
        <v>-37.797269855595665</v>
      </c>
      <c r="R3573" s="23" t="s">
        <v>109</v>
      </c>
      <c r="T3573" s="23" t="s">
        <v>6298</v>
      </c>
    </row>
    <row r="3574" spans="1:20" x14ac:dyDescent="0.25">
      <c r="A3574" s="32">
        <v>45782</v>
      </c>
      <c r="B3574" s="26">
        <v>134555366</v>
      </c>
      <c r="C3574" s="27" t="s">
        <v>6299</v>
      </c>
      <c r="D3574" s="28">
        <v>-3702.59</v>
      </c>
      <c r="E3574" s="27" t="s">
        <v>35</v>
      </c>
      <c r="F3574" s="29">
        <v>610122003</v>
      </c>
      <c r="G3574" s="29" t="s">
        <v>6294</v>
      </c>
      <c r="H3574" s="107"/>
      <c r="I3574" s="101"/>
      <c r="J3574" s="101"/>
      <c r="K3574" s="29"/>
      <c r="L3574" s="2" t="s">
        <v>6300</v>
      </c>
      <c r="M3574" s="27" t="s">
        <v>6296</v>
      </c>
      <c r="N3574" s="27" t="s">
        <v>6297</v>
      </c>
      <c r="O3574" s="27" t="s">
        <v>59</v>
      </c>
      <c r="P3574" s="31">
        <v>88.64</v>
      </c>
      <c r="Q3574" s="4">
        <f t="shared" si="55"/>
        <v>-41.771096570397113</v>
      </c>
      <c r="R3574" s="23" t="s">
        <v>109</v>
      </c>
      <c r="T3574" s="23" t="s">
        <v>6298</v>
      </c>
    </row>
    <row r="3575" spans="1:20" x14ac:dyDescent="0.25">
      <c r="A3575" s="32">
        <v>45782</v>
      </c>
      <c r="B3575" s="26">
        <v>134621432</v>
      </c>
      <c r="C3575" s="27" t="s">
        <v>6301</v>
      </c>
      <c r="D3575" s="28">
        <v>-4379.8</v>
      </c>
      <c r="E3575" s="27" t="s">
        <v>35</v>
      </c>
      <c r="F3575" s="29">
        <v>610122003</v>
      </c>
      <c r="G3575" s="29" t="s">
        <v>6294</v>
      </c>
      <c r="H3575" s="107"/>
      <c r="I3575" s="101"/>
      <c r="J3575" s="101"/>
      <c r="K3575" s="29"/>
      <c r="L3575" s="2" t="s">
        <v>6302</v>
      </c>
      <c r="M3575" s="27" t="s">
        <v>6296</v>
      </c>
      <c r="N3575" s="27" t="s">
        <v>6297</v>
      </c>
      <c r="O3575" s="27" t="s">
        <v>59</v>
      </c>
      <c r="P3575" s="31">
        <v>88.64</v>
      </c>
      <c r="Q3575" s="4">
        <f t="shared" si="55"/>
        <v>-49.411101083032491</v>
      </c>
      <c r="R3575" s="23" t="s">
        <v>109</v>
      </c>
      <c r="T3575" s="23" t="s">
        <v>6298</v>
      </c>
    </row>
    <row r="3576" spans="1:20" x14ac:dyDescent="0.25">
      <c r="A3576" s="32">
        <v>45782</v>
      </c>
      <c r="B3576" s="26">
        <v>134651119</v>
      </c>
      <c r="C3576" s="27" t="s">
        <v>6303</v>
      </c>
      <c r="D3576" s="28">
        <v>-2750.81</v>
      </c>
      <c r="E3576" s="27" t="s">
        <v>35</v>
      </c>
      <c r="F3576" s="29">
        <v>610122003</v>
      </c>
      <c r="G3576" s="29" t="s">
        <v>6294</v>
      </c>
      <c r="H3576" s="107"/>
      <c r="I3576" s="101"/>
      <c r="J3576" s="101"/>
      <c r="K3576" s="29"/>
      <c r="L3576" s="2" t="s">
        <v>6304</v>
      </c>
      <c r="M3576" s="27" t="s">
        <v>6296</v>
      </c>
      <c r="N3576" s="27" t="s">
        <v>6297</v>
      </c>
      <c r="O3576" s="27" t="s">
        <v>59</v>
      </c>
      <c r="P3576" s="31">
        <v>88.64</v>
      </c>
      <c r="Q3576" s="4">
        <f t="shared" si="55"/>
        <v>-31.033506317689529</v>
      </c>
      <c r="R3576" s="23" t="s">
        <v>109</v>
      </c>
      <c r="T3576" s="23" t="s">
        <v>6298</v>
      </c>
    </row>
    <row r="3577" spans="1:20" x14ac:dyDescent="0.25">
      <c r="A3577" s="21">
        <v>45782</v>
      </c>
      <c r="B3577" s="1">
        <v>152030289</v>
      </c>
      <c r="C3577" t="s">
        <v>6305</v>
      </c>
      <c r="D3577" s="22">
        <v>130689.47</v>
      </c>
      <c r="E3577" t="s">
        <v>46</v>
      </c>
      <c r="F3577" s="2">
        <v>110106001</v>
      </c>
      <c r="G3577" s="2" t="s">
        <v>2034</v>
      </c>
      <c r="L3577" s="2" t="s">
        <v>6306</v>
      </c>
      <c r="N3577" t="s">
        <v>6307</v>
      </c>
      <c r="P3577" s="23">
        <v>88.64</v>
      </c>
      <c r="Q3577" s="4">
        <f t="shared" si="55"/>
        <v>1474.3848149819494</v>
      </c>
      <c r="R3577" s="23" t="s">
        <v>109</v>
      </c>
    </row>
    <row r="3578" spans="1:20" x14ac:dyDescent="0.25">
      <c r="A3578" s="21">
        <v>45782</v>
      </c>
      <c r="B3578" s="1">
        <v>712413825</v>
      </c>
      <c r="C3578" t="s">
        <v>6284</v>
      </c>
      <c r="D3578" s="22">
        <v>-17813.09</v>
      </c>
      <c r="E3578" t="s">
        <v>35</v>
      </c>
      <c r="F3578" s="2">
        <v>210101001</v>
      </c>
      <c r="G3578" s="2" t="s">
        <v>36</v>
      </c>
      <c r="L3578" s="2" t="s">
        <v>6308</v>
      </c>
      <c r="M3578" t="s">
        <v>38</v>
      </c>
      <c r="N3578" t="s">
        <v>39</v>
      </c>
      <c r="P3578" s="23">
        <v>88.64</v>
      </c>
      <c r="Q3578" s="4">
        <f t="shared" si="55"/>
        <v>-200.95995036101084</v>
      </c>
      <c r="R3578" s="23" t="s">
        <v>109</v>
      </c>
    </row>
    <row r="3579" spans="1:20" x14ac:dyDescent="0.25">
      <c r="A3579" s="21">
        <v>45782</v>
      </c>
      <c r="B3579" s="1">
        <v>712413825</v>
      </c>
      <c r="C3579" t="s">
        <v>306</v>
      </c>
      <c r="D3579" s="22">
        <v>-53.44</v>
      </c>
      <c r="E3579" t="s">
        <v>35</v>
      </c>
      <c r="F3579" s="2">
        <v>610148001</v>
      </c>
      <c r="G3579" s="2" t="s">
        <v>42</v>
      </c>
      <c r="L3579" s="2" t="s">
        <v>6309</v>
      </c>
      <c r="M3579" t="s">
        <v>43</v>
      </c>
      <c r="N3579" t="s">
        <v>42</v>
      </c>
      <c r="P3579" s="23">
        <v>88.64</v>
      </c>
      <c r="Q3579" s="4">
        <f t="shared" si="55"/>
        <v>-0.6028880866425993</v>
      </c>
      <c r="R3579" s="23" t="s">
        <v>109</v>
      </c>
      <c r="T3579" s="23" t="s">
        <v>6107</v>
      </c>
    </row>
    <row r="3580" spans="1:20" x14ac:dyDescent="0.25">
      <c r="A3580" s="21">
        <v>45783</v>
      </c>
      <c r="B3580" s="1">
        <v>912455664</v>
      </c>
      <c r="C3580" t="s">
        <v>6310</v>
      </c>
      <c r="D3580" s="22">
        <v>-6123.66</v>
      </c>
      <c r="E3580" t="s">
        <v>35</v>
      </c>
      <c r="F3580" s="2">
        <v>210101001</v>
      </c>
      <c r="G3580" s="2" t="s">
        <v>36</v>
      </c>
      <c r="L3580" s="2" t="s">
        <v>6311</v>
      </c>
      <c r="M3580" t="s">
        <v>1186</v>
      </c>
      <c r="N3580" t="s">
        <v>1187</v>
      </c>
      <c r="P3580" s="23">
        <v>88.72</v>
      </c>
      <c r="Q3580" s="4">
        <f t="shared" si="55"/>
        <v>-69.022317403065827</v>
      </c>
      <c r="R3580" s="23" t="s">
        <v>109</v>
      </c>
    </row>
    <row r="3581" spans="1:20" x14ac:dyDescent="0.25">
      <c r="A3581" s="21">
        <v>45783</v>
      </c>
      <c r="B3581" s="1">
        <v>912455663</v>
      </c>
      <c r="C3581" t="s">
        <v>6312</v>
      </c>
      <c r="D3581" s="22">
        <v>-48884.72</v>
      </c>
      <c r="E3581" t="s">
        <v>35</v>
      </c>
      <c r="F3581" s="2">
        <v>210101001</v>
      </c>
      <c r="G3581" s="2" t="s">
        <v>36</v>
      </c>
      <c r="L3581" s="2" t="s">
        <v>6313</v>
      </c>
      <c r="M3581" t="s">
        <v>38</v>
      </c>
      <c r="N3581" t="s">
        <v>39</v>
      </c>
      <c r="P3581" s="23">
        <v>88.72</v>
      </c>
      <c r="Q3581" s="4">
        <f t="shared" si="55"/>
        <v>-551</v>
      </c>
      <c r="R3581" s="23" t="s">
        <v>109</v>
      </c>
    </row>
    <row r="3582" spans="1:20" x14ac:dyDescent="0.25">
      <c r="A3582" s="21">
        <v>45783</v>
      </c>
      <c r="B3582" s="1">
        <v>50544884</v>
      </c>
      <c r="C3582" t="s">
        <v>6314</v>
      </c>
      <c r="D3582" s="22">
        <v>-17102.349999999999</v>
      </c>
      <c r="E3582" t="s">
        <v>35</v>
      </c>
      <c r="F3582" s="2">
        <v>110106001</v>
      </c>
      <c r="G3582" s="2" t="s">
        <v>2034</v>
      </c>
      <c r="L3582" s="2" t="s">
        <v>6315</v>
      </c>
      <c r="N3582" t="s">
        <v>6316</v>
      </c>
      <c r="P3582" s="23">
        <v>88.72</v>
      </c>
      <c r="Q3582" s="4">
        <f t="shared" si="55"/>
        <v>-192.767696122633</v>
      </c>
      <c r="R3582" s="23" t="s">
        <v>109</v>
      </c>
      <c r="S3582" t="s">
        <v>6317</v>
      </c>
    </row>
    <row r="3583" spans="1:20" x14ac:dyDescent="0.25">
      <c r="A3583" s="21">
        <v>45783</v>
      </c>
      <c r="B3583" s="1">
        <v>50544884</v>
      </c>
      <c r="C3583" t="s">
        <v>296</v>
      </c>
      <c r="D3583" s="22">
        <v>-25.65</v>
      </c>
      <c r="E3583" t="s">
        <v>35</v>
      </c>
      <c r="F3583" s="2">
        <v>610148001</v>
      </c>
      <c r="G3583" s="2" t="s">
        <v>42</v>
      </c>
      <c r="L3583" s="2" t="s">
        <v>6318</v>
      </c>
      <c r="M3583" t="s">
        <v>43</v>
      </c>
      <c r="N3583" t="s">
        <v>42</v>
      </c>
      <c r="P3583" s="23">
        <v>88.72</v>
      </c>
      <c r="Q3583" s="4">
        <f t="shared" si="55"/>
        <v>-0.28911181244364292</v>
      </c>
      <c r="R3583" s="23" t="s">
        <v>109</v>
      </c>
      <c r="T3583" s="23" t="s">
        <v>6107</v>
      </c>
    </row>
    <row r="3584" spans="1:20" x14ac:dyDescent="0.25">
      <c r="A3584" s="21">
        <v>45783</v>
      </c>
      <c r="B3584" s="1">
        <v>50544884</v>
      </c>
      <c r="C3584" t="s">
        <v>118</v>
      </c>
      <c r="D3584" s="22">
        <v>-137.52000000000001</v>
      </c>
      <c r="E3584" t="s">
        <v>35</v>
      </c>
      <c r="F3584" s="2">
        <v>610148001</v>
      </c>
      <c r="G3584" s="2" t="s">
        <v>42</v>
      </c>
      <c r="L3584" s="2" t="s">
        <v>6319</v>
      </c>
      <c r="M3584" t="s">
        <v>43</v>
      </c>
      <c r="N3584" t="s">
        <v>42</v>
      </c>
      <c r="P3584" s="23">
        <v>88.72</v>
      </c>
      <c r="Q3584" s="4">
        <f t="shared" si="55"/>
        <v>-1.5500450856627594</v>
      </c>
      <c r="R3584" s="23" t="s">
        <v>109</v>
      </c>
      <c r="T3584" s="23" t="s">
        <v>6107</v>
      </c>
    </row>
    <row r="3585" spans="1:20" x14ac:dyDescent="0.25">
      <c r="A3585" s="32">
        <v>45783</v>
      </c>
      <c r="B3585" s="26">
        <v>212459992</v>
      </c>
      <c r="C3585" s="27" t="s">
        <v>6320</v>
      </c>
      <c r="D3585" s="28">
        <v>-891</v>
      </c>
      <c r="E3585" s="27" t="s">
        <v>35</v>
      </c>
      <c r="F3585" s="29"/>
      <c r="G3585" s="29"/>
      <c r="H3585" s="107"/>
      <c r="I3585" s="101"/>
      <c r="J3585" s="101"/>
      <c r="K3585" s="29"/>
      <c r="L3585" s="2" t="s">
        <v>6321</v>
      </c>
      <c r="M3585" s="27" t="s">
        <v>1825</v>
      </c>
      <c r="N3585" s="27" t="s">
        <v>1826</v>
      </c>
      <c r="O3585" s="27" t="s">
        <v>59</v>
      </c>
      <c r="P3585" s="31">
        <v>88.72</v>
      </c>
      <c r="Q3585" s="4">
        <f t="shared" si="55"/>
        <v>-10.04283137962128</v>
      </c>
      <c r="R3585" s="23" t="s">
        <v>109</v>
      </c>
      <c r="S3585" s="3" t="s">
        <v>1811</v>
      </c>
      <c r="T3585" s="23" t="s">
        <v>6322</v>
      </c>
    </row>
    <row r="3586" spans="1:20" x14ac:dyDescent="0.25">
      <c r="A3586" s="21">
        <v>45783</v>
      </c>
      <c r="B3586" s="1">
        <v>212459992</v>
      </c>
      <c r="C3586" t="s">
        <v>306</v>
      </c>
      <c r="D3586" s="22">
        <v>-2.67</v>
      </c>
      <c r="E3586" t="s">
        <v>35</v>
      </c>
      <c r="F3586" s="2">
        <v>610148001</v>
      </c>
      <c r="G3586" s="2" t="s">
        <v>42</v>
      </c>
      <c r="L3586" s="2" t="s">
        <v>6323</v>
      </c>
      <c r="M3586" t="s">
        <v>43</v>
      </c>
      <c r="N3586" t="s">
        <v>42</v>
      </c>
      <c r="P3586" s="23">
        <v>88.72</v>
      </c>
      <c r="Q3586" s="4">
        <f t="shared" si="55"/>
        <v>-3.0094679891794408E-2</v>
      </c>
      <c r="R3586" s="23" t="s">
        <v>109</v>
      </c>
      <c r="T3586" s="23" t="s">
        <v>6107</v>
      </c>
    </row>
    <row r="3587" spans="1:20" x14ac:dyDescent="0.25">
      <c r="A3587" s="21">
        <v>45785</v>
      </c>
      <c r="B3587" s="1">
        <v>144620076</v>
      </c>
      <c r="C3587" t="s">
        <v>107</v>
      </c>
      <c r="D3587" s="22">
        <v>10000</v>
      </c>
      <c r="E3587" t="s">
        <v>46</v>
      </c>
      <c r="F3587" s="2">
        <v>210115002</v>
      </c>
      <c r="G3587" s="2" t="s">
        <v>47</v>
      </c>
      <c r="L3587" s="2" t="s">
        <v>6324</v>
      </c>
      <c r="N3587" t="s">
        <v>107</v>
      </c>
      <c r="P3587" s="23">
        <v>91.92</v>
      </c>
      <c r="Q3587" s="4">
        <f t="shared" si="55"/>
        <v>108.79025239338556</v>
      </c>
      <c r="R3587" s="23" t="s">
        <v>109</v>
      </c>
    </row>
    <row r="3588" spans="1:20" x14ac:dyDescent="0.25">
      <c r="A3588" s="21">
        <v>45785</v>
      </c>
      <c r="B3588" s="1">
        <v>412546953</v>
      </c>
      <c r="C3588" t="s">
        <v>6325</v>
      </c>
      <c r="D3588" s="22">
        <v>-55443.73</v>
      </c>
      <c r="E3588" t="s">
        <v>35</v>
      </c>
      <c r="F3588" s="2">
        <v>210101001</v>
      </c>
      <c r="G3588" s="2" t="s">
        <v>36</v>
      </c>
      <c r="L3588" s="2" t="s">
        <v>6326</v>
      </c>
      <c r="M3588" t="s">
        <v>5324</v>
      </c>
      <c r="N3588" t="s">
        <v>5325</v>
      </c>
      <c r="P3588" s="23">
        <v>91.92</v>
      </c>
      <c r="Q3588" s="4">
        <f t="shared" si="55"/>
        <v>-603.17373803307225</v>
      </c>
      <c r="R3588" s="23" t="s">
        <v>109</v>
      </c>
    </row>
    <row r="3589" spans="1:20" x14ac:dyDescent="0.25">
      <c r="A3589" s="21">
        <v>45785</v>
      </c>
      <c r="B3589" s="1">
        <v>412546953</v>
      </c>
      <c r="C3589" t="s">
        <v>306</v>
      </c>
      <c r="D3589" s="22">
        <v>-166.33</v>
      </c>
      <c r="E3589" t="s">
        <v>35</v>
      </c>
      <c r="F3589" s="2">
        <v>610148001</v>
      </c>
      <c r="G3589" s="2" t="s">
        <v>42</v>
      </c>
      <c r="L3589" s="2" t="s">
        <v>6327</v>
      </c>
      <c r="M3589" t="s">
        <v>43</v>
      </c>
      <c r="N3589" t="s">
        <v>42</v>
      </c>
      <c r="P3589" s="23">
        <v>91.92</v>
      </c>
      <c r="Q3589" s="4">
        <f t="shared" si="55"/>
        <v>-1.8095082680591821</v>
      </c>
      <c r="R3589" s="23" t="s">
        <v>109</v>
      </c>
      <c r="T3589" s="23" t="s">
        <v>6107</v>
      </c>
    </row>
    <row r="3590" spans="1:20" x14ac:dyDescent="0.25">
      <c r="A3590" s="21">
        <v>45786</v>
      </c>
      <c r="B3590" s="1">
        <v>134421708</v>
      </c>
      <c r="C3590" t="s">
        <v>107</v>
      </c>
      <c r="D3590" s="22">
        <v>495000</v>
      </c>
      <c r="E3590" t="s">
        <v>46</v>
      </c>
      <c r="F3590" s="2">
        <v>210115002</v>
      </c>
      <c r="G3590" s="2" t="s">
        <v>47</v>
      </c>
      <c r="L3590" s="2" t="s">
        <v>6328</v>
      </c>
      <c r="N3590" t="s">
        <v>107</v>
      </c>
      <c r="P3590" s="23">
        <v>92.83</v>
      </c>
      <c r="Q3590" s="4">
        <f t="shared" si="55"/>
        <v>5332.3279112355922</v>
      </c>
      <c r="R3590" s="23" t="s">
        <v>109</v>
      </c>
    </row>
    <row r="3591" spans="1:20" x14ac:dyDescent="0.25">
      <c r="A3591" s="21">
        <v>45786</v>
      </c>
      <c r="B3591" s="1">
        <v>135035646</v>
      </c>
      <c r="C3591" t="s">
        <v>107</v>
      </c>
      <c r="D3591" s="22">
        <v>10000</v>
      </c>
      <c r="E3591" t="s">
        <v>46</v>
      </c>
      <c r="F3591" s="2">
        <v>210115002</v>
      </c>
      <c r="G3591" s="2" t="s">
        <v>47</v>
      </c>
      <c r="L3591" s="2" t="s">
        <v>6329</v>
      </c>
      <c r="N3591" t="s">
        <v>107</v>
      </c>
      <c r="P3591" s="23">
        <v>92.83</v>
      </c>
      <c r="Q3591" s="4">
        <f t="shared" si="55"/>
        <v>107.72379618657762</v>
      </c>
      <c r="R3591" s="23" t="s">
        <v>109</v>
      </c>
    </row>
    <row r="3592" spans="1:20" x14ac:dyDescent="0.25">
      <c r="A3592" s="21">
        <v>45786</v>
      </c>
      <c r="B3592" s="1">
        <v>412592454</v>
      </c>
      <c r="C3592" t="s">
        <v>6330</v>
      </c>
      <c r="D3592" s="22">
        <v>-5198.4799999999996</v>
      </c>
      <c r="E3592" t="s">
        <v>35</v>
      </c>
      <c r="F3592" s="2">
        <v>212901001</v>
      </c>
      <c r="G3592" s="2" t="s">
        <v>121</v>
      </c>
      <c r="L3592" s="2" t="s">
        <v>6331</v>
      </c>
      <c r="M3592" t="s">
        <v>67</v>
      </c>
      <c r="N3592" t="s">
        <v>68</v>
      </c>
      <c r="P3592" s="23">
        <v>92.83</v>
      </c>
      <c r="Q3592" s="4">
        <f t="shared" si="55"/>
        <v>-55.999999999999993</v>
      </c>
      <c r="R3592" s="23" t="s">
        <v>109</v>
      </c>
    </row>
    <row r="3593" spans="1:20" x14ac:dyDescent="0.25">
      <c r="A3593" s="21">
        <v>45786</v>
      </c>
      <c r="B3593" s="1">
        <v>412592456</v>
      </c>
      <c r="C3593" t="s">
        <v>6332</v>
      </c>
      <c r="D3593" s="22">
        <v>-4641.5</v>
      </c>
      <c r="E3593" t="s">
        <v>35</v>
      </c>
      <c r="F3593" s="2">
        <v>212901001</v>
      </c>
      <c r="G3593" s="2" t="s">
        <v>121</v>
      </c>
      <c r="L3593" s="2" t="s">
        <v>6333</v>
      </c>
      <c r="M3593" t="s">
        <v>67</v>
      </c>
      <c r="N3593" t="s">
        <v>68</v>
      </c>
      <c r="P3593" s="23">
        <v>92.83</v>
      </c>
      <c r="Q3593" s="4">
        <f t="shared" si="55"/>
        <v>-50</v>
      </c>
      <c r="R3593" s="23" t="s">
        <v>109</v>
      </c>
    </row>
    <row r="3594" spans="1:20" x14ac:dyDescent="0.25">
      <c r="A3594" s="21">
        <v>45786</v>
      </c>
      <c r="B3594" s="1">
        <v>412592455</v>
      </c>
      <c r="C3594" t="s">
        <v>6334</v>
      </c>
      <c r="D3594" s="22">
        <v>-6498.1</v>
      </c>
      <c r="E3594" t="s">
        <v>35</v>
      </c>
      <c r="F3594" s="2">
        <v>212901001</v>
      </c>
      <c r="G3594" s="2" t="s">
        <v>121</v>
      </c>
      <c r="L3594" s="2" t="s">
        <v>6335</v>
      </c>
      <c r="M3594" t="s">
        <v>67</v>
      </c>
      <c r="N3594" t="s">
        <v>68</v>
      </c>
      <c r="P3594" s="23">
        <v>92.83</v>
      </c>
      <c r="Q3594" s="4">
        <f t="shared" si="55"/>
        <v>-70</v>
      </c>
      <c r="R3594" s="23" t="s">
        <v>109</v>
      </c>
    </row>
    <row r="3595" spans="1:20" x14ac:dyDescent="0.25">
      <c r="A3595" s="21">
        <v>45786</v>
      </c>
      <c r="B3595" s="1">
        <v>512592458</v>
      </c>
      <c r="C3595" t="s">
        <v>6336</v>
      </c>
      <c r="D3595" s="22">
        <v>-1856.6</v>
      </c>
      <c r="E3595" t="s">
        <v>35</v>
      </c>
      <c r="F3595" s="2">
        <v>212901001</v>
      </c>
      <c r="G3595" s="2" t="s">
        <v>121</v>
      </c>
      <c r="L3595" s="2" t="s">
        <v>6337</v>
      </c>
      <c r="M3595" t="s">
        <v>67</v>
      </c>
      <c r="N3595" t="s">
        <v>68</v>
      </c>
      <c r="P3595" s="23">
        <v>92.83</v>
      </c>
      <c r="Q3595" s="4">
        <f t="shared" ref="Q3595:Q3658" si="56">D3595/P3595</f>
        <v>-20</v>
      </c>
      <c r="R3595" s="23" t="s">
        <v>109</v>
      </c>
    </row>
    <row r="3596" spans="1:20" x14ac:dyDescent="0.25">
      <c r="A3596" s="21">
        <v>45786</v>
      </c>
      <c r="B3596" s="1">
        <v>512592459</v>
      </c>
      <c r="C3596" t="s">
        <v>6338</v>
      </c>
      <c r="D3596" s="22">
        <v>-1856.6</v>
      </c>
      <c r="E3596" t="s">
        <v>35</v>
      </c>
      <c r="F3596" s="2">
        <v>212901001</v>
      </c>
      <c r="G3596" s="2" t="s">
        <v>121</v>
      </c>
      <c r="L3596" s="2" t="s">
        <v>6339</v>
      </c>
      <c r="M3596" t="s">
        <v>67</v>
      </c>
      <c r="N3596" t="s">
        <v>68</v>
      </c>
      <c r="P3596" s="23">
        <v>92.83</v>
      </c>
      <c r="Q3596" s="4">
        <f t="shared" si="56"/>
        <v>-20</v>
      </c>
      <c r="R3596" s="23" t="s">
        <v>109</v>
      </c>
    </row>
    <row r="3597" spans="1:20" x14ac:dyDescent="0.25">
      <c r="A3597" s="21">
        <v>45786</v>
      </c>
      <c r="B3597" s="1">
        <v>512592460</v>
      </c>
      <c r="C3597" t="s">
        <v>6340</v>
      </c>
      <c r="D3597" s="22">
        <v>-1856.6</v>
      </c>
      <c r="E3597" t="s">
        <v>35</v>
      </c>
      <c r="F3597" s="2">
        <v>212901001</v>
      </c>
      <c r="G3597" s="2" t="s">
        <v>121</v>
      </c>
      <c r="L3597" s="2" t="s">
        <v>6341</v>
      </c>
      <c r="M3597" t="s">
        <v>67</v>
      </c>
      <c r="N3597" t="s">
        <v>68</v>
      </c>
      <c r="P3597" s="23">
        <v>92.83</v>
      </c>
      <c r="Q3597" s="4">
        <f t="shared" si="56"/>
        <v>-20</v>
      </c>
      <c r="R3597" s="23" t="s">
        <v>109</v>
      </c>
    </row>
    <row r="3598" spans="1:20" x14ac:dyDescent="0.25">
      <c r="A3598" s="21">
        <v>45786</v>
      </c>
      <c r="B3598" s="1">
        <v>512592461</v>
      </c>
      <c r="C3598" t="s">
        <v>6342</v>
      </c>
      <c r="D3598" s="22">
        <v>-1856.6</v>
      </c>
      <c r="E3598" t="s">
        <v>35</v>
      </c>
      <c r="F3598" s="2">
        <v>212901001</v>
      </c>
      <c r="G3598" s="2" t="s">
        <v>121</v>
      </c>
      <c r="L3598" s="2" t="s">
        <v>6343</v>
      </c>
      <c r="M3598" t="s">
        <v>67</v>
      </c>
      <c r="N3598" t="s">
        <v>68</v>
      </c>
      <c r="P3598" s="23">
        <v>92.83</v>
      </c>
      <c r="Q3598" s="4">
        <f t="shared" si="56"/>
        <v>-20</v>
      </c>
      <c r="R3598" s="23" t="s">
        <v>109</v>
      </c>
    </row>
    <row r="3599" spans="1:20" x14ac:dyDescent="0.25">
      <c r="A3599" s="21">
        <v>45786</v>
      </c>
      <c r="B3599" s="1">
        <v>512592462</v>
      </c>
      <c r="C3599" t="s">
        <v>6344</v>
      </c>
      <c r="D3599" s="22">
        <v>-1856.6</v>
      </c>
      <c r="E3599" t="s">
        <v>35</v>
      </c>
      <c r="F3599" s="2">
        <v>212901001</v>
      </c>
      <c r="G3599" s="2" t="s">
        <v>121</v>
      </c>
      <c r="L3599" s="2" t="s">
        <v>6345</v>
      </c>
      <c r="M3599" t="s">
        <v>67</v>
      </c>
      <c r="N3599" t="s">
        <v>68</v>
      </c>
      <c r="P3599" s="23">
        <v>92.83</v>
      </c>
      <c r="Q3599" s="4">
        <f t="shared" si="56"/>
        <v>-20</v>
      </c>
      <c r="R3599" s="23" t="s">
        <v>109</v>
      </c>
    </row>
    <row r="3600" spans="1:20" x14ac:dyDescent="0.25">
      <c r="A3600" s="32">
        <v>45786</v>
      </c>
      <c r="B3600" s="26">
        <v>512592463</v>
      </c>
      <c r="C3600" s="27" t="s">
        <v>6346</v>
      </c>
      <c r="D3600" s="28">
        <v>-3898.86</v>
      </c>
      <c r="E3600" s="27" t="s">
        <v>35</v>
      </c>
      <c r="F3600" s="29">
        <v>610156001</v>
      </c>
      <c r="G3600" s="29" t="s">
        <v>91</v>
      </c>
      <c r="H3600" s="107"/>
      <c r="I3600" s="101"/>
      <c r="J3600" s="101"/>
      <c r="K3600" s="29"/>
      <c r="L3600" s="2" t="s">
        <v>6347</v>
      </c>
      <c r="M3600" s="27" t="s">
        <v>5015</v>
      </c>
      <c r="N3600" s="27" t="s">
        <v>1240</v>
      </c>
      <c r="O3600" s="27" t="s">
        <v>59</v>
      </c>
      <c r="P3600" s="31">
        <v>92.83</v>
      </c>
      <c r="Q3600" s="4">
        <f t="shared" si="56"/>
        <v>-42</v>
      </c>
      <c r="R3600" s="23" t="s">
        <v>109</v>
      </c>
      <c r="T3600" s="23" t="s">
        <v>6348</v>
      </c>
    </row>
    <row r="3601" spans="1:20" x14ac:dyDescent="0.25">
      <c r="A3601" s="32">
        <v>45786</v>
      </c>
      <c r="B3601" s="26">
        <v>512592464</v>
      </c>
      <c r="C3601" s="27" t="s">
        <v>6349</v>
      </c>
      <c r="D3601" s="28">
        <v>-3713.2</v>
      </c>
      <c r="E3601" s="27" t="s">
        <v>35</v>
      </c>
      <c r="F3601" s="29">
        <v>610156001</v>
      </c>
      <c r="G3601" s="29" t="s">
        <v>91</v>
      </c>
      <c r="H3601" s="107"/>
      <c r="I3601" s="101"/>
      <c r="J3601" s="101"/>
      <c r="K3601" s="29"/>
      <c r="L3601" s="2" t="s">
        <v>6350</v>
      </c>
      <c r="M3601" s="27" t="s">
        <v>93</v>
      </c>
      <c r="N3601" s="27" t="s">
        <v>94</v>
      </c>
      <c r="O3601" s="27" t="s">
        <v>59</v>
      </c>
      <c r="P3601" s="31">
        <v>92.83</v>
      </c>
      <c r="Q3601" s="4">
        <f t="shared" si="56"/>
        <v>-40</v>
      </c>
      <c r="R3601" s="23" t="s">
        <v>109</v>
      </c>
      <c r="T3601" s="23" t="s">
        <v>6351</v>
      </c>
    </row>
    <row r="3602" spans="1:20" x14ac:dyDescent="0.25">
      <c r="A3602" s="21">
        <v>45786</v>
      </c>
      <c r="B3602" s="1">
        <v>512592465</v>
      </c>
      <c r="C3602" t="s">
        <v>6352</v>
      </c>
      <c r="D3602" s="22">
        <v>-21723.43</v>
      </c>
      <c r="E3602" t="s">
        <v>35</v>
      </c>
      <c r="F3602" s="2">
        <v>210101001</v>
      </c>
      <c r="G3602" s="2" t="s">
        <v>36</v>
      </c>
      <c r="L3602" s="2" t="s">
        <v>6353</v>
      </c>
      <c r="M3602" t="s">
        <v>114</v>
      </c>
      <c r="N3602" t="s">
        <v>115</v>
      </c>
      <c r="P3602" s="23">
        <v>92.83</v>
      </c>
      <c r="Q3602" s="4">
        <f t="shared" si="56"/>
        <v>-234.01303457933858</v>
      </c>
      <c r="R3602" s="23" t="s">
        <v>109</v>
      </c>
    </row>
    <row r="3603" spans="1:20" x14ac:dyDescent="0.25">
      <c r="A3603" s="21">
        <v>45786</v>
      </c>
      <c r="B3603" s="1">
        <v>512592466</v>
      </c>
      <c r="C3603" t="s">
        <v>6354</v>
      </c>
      <c r="D3603" s="22">
        <v>-9876.9</v>
      </c>
      <c r="E3603" t="s">
        <v>35</v>
      </c>
      <c r="F3603" s="2">
        <v>210101001</v>
      </c>
      <c r="G3603" s="2" t="s">
        <v>36</v>
      </c>
      <c r="L3603" s="2" t="s">
        <v>6355</v>
      </c>
      <c r="M3603" t="s">
        <v>114</v>
      </c>
      <c r="N3603" t="s">
        <v>115</v>
      </c>
      <c r="P3603" s="23">
        <v>92.83</v>
      </c>
      <c r="Q3603" s="4">
        <f t="shared" si="56"/>
        <v>-106.39771625552085</v>
      </c>
      <c r="R3603" s="23" t="s">
        <v>109</v>
      </c>
    </row>
    <row r="3604" spans="1:20" x14ac:dyDescent="0.25">
      <c r="A3604" s="21">
        <v>45786</v>
      </c>
      <c r="B3604" s="1">
        <v>612592468</v>
      </c>
      <c r="C3604" t="s">
        <v>6356</v>
      </c>
      <c r="D3604" s="22">
        <v>-46504.4</v>
      </c>
      <c r="E3604" t="s">
        <v>35</v>
      </c>
      <c r="F3604" s="2">
        <v>210101001</v>
      </c>
      <c r="G3604" s="2" t="s">
        <v>36</v>
      </c>
      <c r="L3604" s="2" t="s">
        <v>6357</v>
      </c>
      <c r="M3604" t="s">
        <v>788</v>
      </c>
      <c r="N3604" t="s">
        <v>789</v>
      </c>
      <c r="P3604" s="23">
        <v>92.83</v>
      </c>
      <c r="Q3604" s="4">
        <f t="shared" si="56"/>
        <v>-500.96305073790802</v>
      </c>
      <c r="R3604" s="23" t="s">
        <v>109</v>
      </c>
    </row>
    <row r="3605" spans="1:20" x14ac:dyDescent="0.25">
      <c r="A3605" s="21">
        <v>45786</v>
      </c>
      <c r="B3605" s="1">
        <v>612592467</v>
      </c>
      <c r="C3605" t="s">
        <v>6358</v>
      </c>
      <c r="D3605" s="22">
        <v>-10684.49</v>
      </c>
      <c r="E3605" t="s">
        <v>35</v>
      </c>
      <c r="F3605" s="2">
        <v>110101002</v>
      </c>
      <c r="G3605" s="2" t="s">
        <v>6359</v>
      </c>
      <c r="L3605" s="2" t="s">
        <v>6360</v>
      </c>
      <c r="N3605" t="s">
        <v>6361</v>
      </c>
      <c r="P3605" s="23">
        <v>92.83</v>
      </c>
      <c r="Q3605" s="4">
        <f t="shared" si="56"/>
        <v>-115.09738231175267</v>
      </c>
      <c r="R3605" s="23" t="s">
        <v>109</v>
      </c>
    </row>
    <row r="3606" spans="1:20" x14ac:dyDescent="0.25">
      <c r="A3606" s="21">
        <v>45786</v>
      </c>
      <c r="B3606" s="1">
        <v>612592471</v>
      </c>
      <c r="C3606" t="s">
        <v>6362</v>
      </c>
      <c r="D3606" s="22">
        <v>-29167.65</v>
      </c>
      <c r="E3606" t="s">
        <v>35</v>
      </c>
      <c r="F3606" s="2">
        <v>210101001</v>
      </c>
      <c r="G3606" s="2" t="s">
        <v>36</v>
      </c>
      <c r="L3606" s="2" t="s">
        <v>6363</v>
      </c>
      <c r="M3606" t="s">
        <v>6364</v>
      </c>
      <c r="N3606" t="s">
        <v>6365</v>
      </c>
      <c r="P3606" s="23">
        <v>92.83</v>
      </c>
      <c r="Q3606" s="4">
        <f t="shared" si="56"/>
        <v>-314.2049983841431</v>
      </c>
      <c r="R3606" s="23" t="s">
        <v>109</v>
      </c>
    </row>
    <row r="3607" spans="1:20" x14ac:dyDescent="0.25">
      <c r="A3607" s="21">
        <v>45786</v>
      </c>
      <c r="B3607" s="1">
        <v>612592470</v>
      </c>
      <c r="C3607" t="s">
        <v>6366</v>
      </c>
      <c r="D3607" s="22">
        <v>-136356.28</v>
      </c>
      <c r="E3607" t="s">
        <v>35</v>
      </c>
      <c r="F3607" s="2">
        <v>210101001</v>
      </c>
      <c r="G3607" s="2" t="s">
        <v>36</v>
      </c>
      <c r="L3607" s="2" t="s">
        <v>6367</v>
      </c>
      <c r="M3607" t="s">
        <v>38</v>
      </c>
      <c r="N3607" t="s">
        <v>39</v>
      </c>
      <c r="P3607" s="23">
        <v>92.83</v>
      </c>
      <c r="Q3607" s="4">
        <f t="shared" si="56"/>
        <v>-1468.881611547991</v>
      </c>
      <c r="R3607" s="23" t="s">
        <v>109</v>
      </c>
    </row>
    <row r="3608" spans="1:20" x14ac:dyDescent="0.25">
      <c r="A3608" s="32">
        <v>45786</v>
      </c>
      <c r="B3608" s="26">
        <v>612592469</v>
      </c>
      <c r="C3608" s="27" t="s">
        <v>54</v>
      </c>
      <c r="D3608" s="28">
        <v>-11139.6</v>
      </c>
      <c r="E3608" s="27" t="s">
        <v>35</v>
      </c>
      <c r="F3608" s="29">
        <v>610129001</v>
      </c>
      <c r="G3608" s="29" t="s">
        <v>55</v>
      </c>
      <c r="H3608" s="107"/>
      <c r="I3608" s="101"/>
      <c r="J3608" s="101"/>
      <c r="K3608" s="29"/>
      <c r="L3608" s="2" t="s">
        <v>6368</v>
      </c>
      <c r="M3608" s="27" t="s">
        <v>57</v>
      </c>
      <c r="N3608" s="27" t="s">
        <v>58</v>
      </c>
      <c r="O3608" s="27" t="s">
        <v>59</v>
      </c>
      <c r="P3608" s="31">
        <v>92.83</v>
      </c>
      <c r="Q3608" s="4">
        <f t="shared" si="56"/>
        <v>-120</v>
      </c>
      <c r="R3608" s="23" t="s">
        <v>109</v>
      </c>
      <c r="T3608" s="23" t="s">
        <v>6369</v>
      </c>
    </row>
    <row r="3609" spans="1:20" x14ac:dyDescent="0.25">
      <c r="A3609" s="21">
        <v>45786</v>
      </c>
      <c r="B3609" s="1">
        <v>612592472</v>
      </c>
      <c r="C3609" t="s">
        <v>6366</v>
      </c>
      <c r="D3609" s="22">
        <v>-200000</v>
      </c>
      <c r="E3609" t="s">
        <v>35</v>
      </c>
      <c r="F3609" s="2">
        <v>210101001</v>
      </c>
      <c r="G3609" s="2" t="s">
        <v>36</v>
      </c>
      <c r="L3609" s="2" t="s">
        <v>6370</v>
      </c>
      <c r="M3609" t="s">
        <v>38</v>
      </c>
      <c r="N3609" t="s">
        <v>39</v>
      </c>
      <c r="P3609" s="23">
        <v>92.83</v>
      </c>
      <c r="Q3609" s="4">
        <f t="shared" si="56"/>
        <v>-2154.4759237315525</v>
      </c>
      <c r="R3609" s="23" t="s">
        <v>109</v>
      </c>
    </row>
    <row r="3610" spans="1:20" x14ac:dyDescent="0.25">
      <c r="A3610" s="21">
        <v>45786</v>
      </c>
      <c r="B3610" s="1">
        <v>50550989</v>
      </c>
      <c r="C3610" t="s">
        <v>118</v>
      </c>
      <c r="D3610" s="22">
        <v>-1246.71</v>
      </c>
      <c r="E3610" t="s">
        <v>35</v>
      </c>
      <c r="F3610" s="2">
        <v>610148001</v>
      </c>
      <c r="G3610" s="2" t="s">
        <v>42</v>
      </c>
      <c r="L3610" s="2" t="s">
        <v>6371</v>
      </c>
      <c r="M3610" t="s">
        <v>43</v>
      </c>
      <c r="N3610" t="s">
        <v>42</v>
      </c>
      <c r="P3610" s="23">
        <v>92.83</v>
      </c>
      <c r="Q3610" s="4">
        <f t="shared" si="56"/>
        <v>-13.430033394376819</v>
      </c>
      <c r="R3610" s="23" t="s">
        <v>109</v>
      </c>
      <c r="T3610" s="23" t="s">
        <v>6107</v>
      </c>
    </row>
    <row r="3611" spans="1:20" x14ac:dyDescent="0.25">
      <c r="A3611" s="21">
        <v>45786</v>
      </c>
      <c r="B3611" s="1">
        <v>141707093</v>
      </c>
      <c r="C3611" t="s">
        <v>107</v>
      </c>
      <c r="D3611" s="22">
        <v>55000</v>
      </c>
      <c r="E3611" t="s">
        <v>46</v>
      </c>
      <c r="F3611" s="2">
        <v>210115002</v>
      </c>
      <c r="G3611" s="2" t="s">
        <v>47</v>
      </c>
      <c r="L3611" s="2" t="s">
        <v>6372</v>
      </c>
      <c r="N3611" t="s">
        <v>107</v>
      </c>
      <c r="P3611" s="23">
        <v>92.83</v>
      </c>
      <c r="Q3611" s="4">
        <f t="shared" si="56"/>
        <v>592.48087902617692</v>
      </c>
      <c r="R3611" s="23" t="s">
        <v>109</v>
      </c>
    </row>
    <row r="3612" spans="1:20" x14ac:dyDescent="0.25">
      <c r="A3612" s="21">
        <v>45786</v>
      </c>
      <c r="B3612" s="1">
        <v>0</v>
      </c>
      <c r="C3612" t="s">
        <v>123</v>
      </c>
      <c r="D3612" s="22">
        <v>-87.56</v>
      </c>
      <c r="E3612" t="s">
        <v>35</v>
      </c>
      <c r="F3612" s="2">
        <v>610148001</v>
      </c>
      <c r="G3612" s="2" t="s">
        <v>42</v>
      </c>
      <c r="L3612" s="2" t="s">
        <v>6373</v>
      </c>
      <c r="M3612" t="s">
        <v>43</v>
      </c>
      <c r="N3612" t="s">
        <v>42</v>
      </c>
      <c r="P3612" s="23">
        <v>92.83</v>
      </c>
      <c r="Q3612" s="4">
        <f t="shared" si="56"/>
        <v>-0.94322955940967368</v>
      </c>
      <c r="R3612" s="23" t="s">
        <v>109</v>
      </c>
      <c r="T3612" s="23" t="s">
        <v>6107</v>
      </c>
    </row>
    <row r="3613" spans="1:20" x14ac:dyDescent="0.25">
      <c r="A3613" s="21">
        <v>45786</v>
      </c>
      <c r="B3613" s="1">
        <v>576905</v>
      </c>
      <c r="C3613" t="s">
        <v>6374</v>
      </c>
      <c r="D3613" s="22">
        <v>-57216.13</v>
      </c>
      <c r="E3613" t="s">
        <v>35</v>
      </c>
      <c r="F3613" s="2">
        <v>210601001</v>
      </c>
      <c r="G3613" s="2" t="s">
        <v>494</v>
      </c>
      <c r="L3613" s="2" t="s">
        <v>6375</v>
      </c>
      <c r="M3613" t="s">
        <v>496</v>
      </c>
      <c r="N3613" t="s">
        <v>497</v>
      </c>
      <c r="P3613" s="23">
        <v>92.83</v>
      </c>
      <c r="Q3613" s="4">
        <f t="shared" si="56"/>
        <v>-616.35387267047292</v>
      </c>
      <c r="R3613" s="23" t="s">
        <v>109</v>
      </c>
      <c r="T3613" s="23" t="s">
        <v>6376</v>
      </c>
    </row>
    <row r="3614" spans="1:20" x14ac:dyDescent="0.25">
      <c r="A3614" s="21">
        <v>45789</v>
      </c>
      <c r="B3614" s="1">
        <v>111040795</v>
      </c>
      <c r="C3614" t="s">
        <v>107</v>
      </c>
      <c r="D3614" s="22">
        <v>420000</v>
      </c>
      <c r="E3614" t="s">
        <v>46</v>
      </c>
      <c r="F3614" s="2">
        <v>210115002</v>
      </c>
      <c r="G3614" s="2" t="s">
        <v>47</v>
      </c>
      <c r="L3614" s="2" t="s">
        <v>6377</v>
      </c>
      <c r="N3614" t="s">
        <v>107</v>
      </c>
      <c r="P3614" s="23">
        <v>93.05</v>
      </c>
      <c r="Q3614" s="4">
        <f t="shared" si="56"/>
        <v>4513.702310585707</v>
      </c>
      <c r="R3614" s="23" t="s">
        <v>109</v>
      </c>
    </row>
    <row r="3615" spans="1:20" x14ac:dyDescent="0.25">
      <c r="A3615" s="21">
        <v>45789</v>
      </c>
      <c r="B3615" s="1">
        <v>912731099</v>
      </c>
      <c r="C3615" t="s">
        <v>6378</v>
      </c>
      <c r="D3615" s="30">
        <v>-186100</v>
      </c>
      <c r="E3615" t="s">
        <v>35</v>
      </c>
      <c r="L3615" s="2" t="s">
        <v>6379</v>
      </c>
      <c r="M3615" t="s">
        <v>1809</v>
      </c>
      <c r="N3615" t="s">
        <v>1810</v>
      </c>
      <c r="O3615" s="27" t="s">
        <v>59</v>
      </c>
      <c r="P3615" s="23">
        <v>93.05</v>
      </c>
      <c r="Q3615" s="4">
        <f t="shared" si="56"/>
        <v>-2000</v>
      </c>
      <c r="R3615" s="23" t="s">
        <v>109</v>
      </c>
      <c r="S3615" s="3" t="s">
        <v>1811</v>
      </c>
      <c r="T3615" s="23" t="s">
        <v>6380</v>
      </c>
    </row>
    <row r="3616" spans="1:20" x14ac:dyDescent="0.25">
      <c r="A3616" s="21">
        <v>45789</v>
      </c>
      <c r="B3616" s="1">
        <v>912731099</v>
      </c>
      <c r="C3616" t="s">
        <v>306</v>
      </c>
      <c r="D3616" s="22">
        <v>-558.29999999999995</v>
      </c>
      <c r="E3616" t="s">
        <v>35</v>
      </c>
      <c r="F3616" s="2">
        <v>610148001</v>
      </c>
      <c r="G3616" s="2" t="s">
        <v>42</v>
      </c>
      <c r="L3616" s="2" t="s">
        <v>6381</v>
      </c>
      <c r="M3616" t="s">
        <v>43</v>
      </c>
      <c r="N3616" t="s">
        <v>42</v>
      </c>
      <c r="P3616" s="23">
        <v>93.05</v>
      </c>
      <c r="Q3616" s="4">
        <f t="shared" si="56"/>
        <v>-6</v>
      </c>
      <c r="R3616" s="23" t="s">
        <v>109</v>
      </c>
      <c r="T3616" s="23" t="s">
        <v>6107</v>
      </c>
    </row>
    <row r="3617" spans="1:20" x14ac:dyDescent="0.25">
      <c r="A3617" s="21">
        <v>45789</v>
      </c>
      <c r="B3617" s="1">
        <v>212731224</v>
      </c>
      <c r="C3617" t="s">
        <v>6382</v>
      </c>
      <c r="D3617" s="30">
        <v>-200000</v>
      </c>
      <c r="E3617" t="s">
        <v>35</v>
      </c>
      <c r="L3617" s="2" t="s">
        <v>6383</v>
      </c>
      <c r="M3617" t="s">
        <v>1809</v>
      </c>
      <c r="N3617" t="s">
        <v>1810</v>
      </c>
      <c r="O3617" s="27" t="s">
        <v>59</v>
      </c>
      <c r="P3617" s="23">
        <v>93.05</v>
      </c>
      <c r="Q3617" s="4">
        <f t="shared" si="56"/>
        <v>-2149.3820526598602</v>
      </c>
      <c r="R3617" s="23" t="s">
        <v>109</v>
      </c>
      <c r="S3617" s="3" t="s">
        <v>1811</v>
      </c>
      <c r="T3617" s="23" t="s">
        <v>6380</v>
      </c>
    </row>
    <row r="3618" spans="1:20" x14ac:dyDescent="0.25">
      <c r="A3618" s="21">
        <v>45789</v>
      </c>
      <c r="B3618" s="1">
        <v>212731224</v>
      </c>
      <c r="C3618" t="s">
        <v>306</v>
      </c>
      <c r="D3618" s="22">
        <v>-600</v>
      </c>
      <c r="E3618" t="s">
        <v>35</v>
      </c>
      <c r="F3618" s="2">
        <v>610148001</v>
      </c>
      <c r="G3618" s="2" t="s">
        <v>42</v>
      </c>
      <c r="L3618" s="2" t="s">
        <v>6384</v>
      </c>
      <c r="M3618" t="s">
        <v>43</v>
      </c>
      <c r="N3618" t="s">
        <v>42</v>
      </c>
      <c r="P3618" s="23">
        <v>93.05</v>
      </c>
      <c r="Q3618" s="4">
        <f t="shared" si="56"/>
        <v>-6.4481461579795809</v>
      </c>
      <c r="R3618" s="23" t="s">
        <v>109</v>
      </c>
      <c r="T3618" s="23" t="s">
        <v>6107</v>
      </c>
    </row>
    <row r="3619" spans="1:20" x14ac:dyDescent="0.25">
      <c r="A3619" s="21">
        <v>45789</v>
      </c>
      <c r="B3619" s="1">
        <v>112731800</v>
      </c>
      <c r="C3619" t="s">
        <v>6382</v>
      </c>
      <c r="D3619" s="30">
        <v>-32625</v>
      </c>
      <c r="E3619" t="s">
        <v>35</v>
      </c>
      <c r="L3619" s="2" t="s">
        <v>6385</v>
      </c>
      <c r="M3619" t="s">
        <v>1809</v>
      </c>
      <c r="N3619" t="s">
        <v>1810</v>
      </c>
      <c r="O3619" s="27" t="s">
        <v>59</v>
      </c>
      <c r="P3619" s="23">
        <v>93.05</v>
      </c>
      <c r="Q3619" s="4">
        <f t="shared" si="56"/>
        <v>-350.61794734013972</v>
      </c>
      <c r="R3619" s="23" t="s">
        <v>109</v>
      </c>
      <c r="S3619" s="3" t="s">
        <v>1811</v>
      </c>
      <c r="T3619" s="23" t="s">
        <v>6380</v>
      </c>
    </row>
    <row r="3620" spans="1:20" x14ac:dyDescent="0.25">
      <c r="A3620" s="21">
        <v>45789</v>
      </c>
      <c r="B3620" s="1">
        <v>112731800</v>
      </c>
      <c r="C3620" t="s">
        <v>306</v>
      </c>
      <c r="D3620" s="22">
        <v>-97.88</v>
      </c>
      <c r="E3620" t="s">
        <v>35</v>
      </c>
      <c r="F3620" s="2">
        <v>610148001</v>
      </c>
      <c r="G3620" s="2" t="s">
        <v>42</v>
      </c>
      <c r="L3620" s="2" t="s">
        <v>6386</v>
      </c>
      <c r="M3620" t="s">
        <v>43</v>
      </c>
      <c r="N3620" t="s">
        <v>42</v>
      </c>
      <c r="P3620" s="23">
        <v>93.05</v>
      </c>
      <c r="Q3620" s="4">
        <f t="shared" si="56"/>
        <v>-1.0519075765717356</v>
      </c>
      <c r="R3620" s="23" t="s">
        <v>109</v>
      </c>
      <c r="T3620" s="23" t="s">
        <v>6107</v>
      </c>
    </row>
    <row r="3621" spans="1:20" x14ac:dyDescent="0.25">
      <c r="A3621" s="21">
        <v>45789</v>
      </c>
      <c r="B3621" s="1">
        <v>151158713</v>
      </c>
      <c r="C3621" t="s">
        <v>107</v>
      </c>
      <c r="D3621" s="22">
        <v>20000</v>
      </c>
      <c r="E3621" t="s">
        <v>46</v>
      </c>
      <c r="F3621" s="2">
        <v>210115002</v>
      </c>
      <c r="G3621" s="2" t="s">
        <v>47</v>
      </c>
      <c r="L3621" s="2" t="s">
        <v>6387</v>
      </c>
      <c r="N3621" t="s">
        <v>107</v>
      </c>
      <c r="P3621" s="23">
        <v>93.05</v>
      </c>
      <c r="Q3621" s="4">
        <f t="shared" si="56"/>
        <v>214.93820526598603</v>
      </c>
      <c r="R3621" s="23" t="s">
        <v>109</v>
      </c>
    </row>
    <row r="3622" spans="1:20" x14ac:dyDescent="0.25">
      <c r="A3622" s="21">
        <v>45789</v>
      </c>
      <c r="B3622" s="1">
        <v>912746617</v>
      </c>
      <c r="C3622" t="s">
        <v>6388</v>
      </c>
      <c r="D3622" s="22">
        <v>-12077.92</v>
      </c>
      <c r="E3622" t="s">
        <v>35</v>
      </c>
      <c r="F3622" s="2">
        <v>210101001</v>
      </c>
      <c r="G3622" s="2" t="s">
        <v>36</v>
      </c>
      <c r="L3622" s="2" t="s">
        <v>6389</v>
      </c>
      <c r="M3622" t="s">
        <v>788</v>
      </c>
      <c r="N3622" t="s">
        <v>789</v>
      </c>
      <c r="P3622" s="23">
        <v>93.05</v>
      </c>
      <c r="Q3622" s="4">
        <f t="shared" si="56"/>
        <v>-129.8003224073079</v>
      </c>
      <c r="R3622" s="23" t="s">
        <v>109</v>
      </c>
    </row>
    <row r="3623" spans="1:20" x14ac:dyDescent="0.25">
      <c r="A3623" s="21">
        <v>45789</v>
      </c>
      <c r="B3623" s="1">
        <v>912746617</v>
      </c>
      <c r="C3623" t="s">
        <v>306</v>
      </c>
      <c r="D3623" s="22">
        <v>-36.229999999999997</v>
      </c>
      <c r="E3623" t="s">
        <v>35</v>
      </c>
      <c r="F3623" s="2">
        <v>610148001</v>
      </c>
      <c r="G3623" s="2" t="s">
        <v>42</v>
      </c>
      <c r="L3623" s="2" t="s">
        <v>6390</v>
      </c>
      <c r="M3623" t="s">
        <v>43</v>
      </c>
      <c r="N3623" t="s">
        <v>42</v>
      </c>
      <c r="P3623" s="23">
        <v>93.05</v>
      </c>
      <c r="Q3623" s="4">
        <f t="shared" si="56"/>
        <v>-0.38936055883933368</v>
      </c>
      <c r="R3623" s="23" t="s">
        <v>109</v>
      </c>
      <c r="T3623" s="23" t="s">
        <v>6107</v>
      </c>
    </row>
    <row r="3624" spans="1:20" x14ac:dyDescent="0.25">
      <c r="A3624" s="21">
        <v>45789</v>
      </c>
      <c r="B3624" s="1">
        <v>512747366</v>
      </c>
      <c r="C3624" t="s">
        <v>6391</v>
      </c>
      <c r="D3624" s="22">
        <v>-2850</v>
      </c>
      <c r="E3624" t="s">
        <v>35</v>
      </c>
      <c r="F3624" s="2">
        <v>210101001</v>
      </c>
      <c r="G3624" s="2" t="s">
        <v>36</v>
      </c>
      <c r="L3624" s="2" t="s">
        <v>6392</v>
      </c>
      <c r="M3624" t="s">
        <v>725</v>
      </c>
      <c r="N3624" t="s">
        <v>726</v>
      </c>
      <c r="P3624" s="23">
        <v>93.05</v>
      </c>
      <c r="Q3624" s="4">
        <f t="shared" si="56"/>
        <v>-30.628694250403012</v>
      </c>
      <c r="R3624" s="23" t="s">
        <v>109</v>
      </c>
    </row>
    <row r="3625" spans="1:20" x14ac:dyDescent="0.25">
      <c r="A3625" s="21">
        <v>45789</v>
      </c>
      <c r="B3625" s="1">
        <v>512747366</v>
      </c>
      <c r="C3625" t="s">
        <v>306</v>
      </c>
      <c r="D3625" s="22">
        <v>-8.5500000000000007</v>
      </c>
      <c r="E3625" t="s">
        <v>35</v>
      </c>
      <c r="F3625" s="2">
        <v>610148001</v>
      </c>
      <c r="G3625" s="2" t="s">
        <v>42</v>
      </c>
      <c r="L3625" s="2" t="s">
        <v>6393</v>
      </c>
      <c r="M3625" t="s">
        <v>43</v>
      </c>
      <c r="N3625" t="s">
        <v>42</v>
      </c>
      <c r="P3625" s="23">
        <v>93.05</v>
      </c>
      <c r="Q3625" s="4">
        <f t="shared" si="56"/>
        <v>-9.1886082751209033E-2</v>
      </c>
      <c r="R3625" s="23" t="s">
        <v>109</v>
      </c>
      <c r="T3625" s="23" t="s">
        <v>6107</v>
      </c>
    </row>
    <row r="3626" spans="1:20" x14ac:dyDescent="0.25">
      <c r="A3626" s="21">
        <v>45791</v>
      </c>
      <c r="B3626" s="1">
        <v>12810525</v>
      </c>
      <c r="C3626" t="s">
        <v>6394</v>
      </c>
      <c r="D3626" s="30">
        <v>-1060</v>
      </c>
      <c r="E3626" t="s">
        <v>35</v>
      </c>
      <c r="L3626" s="2" t="s">
        <v>6395</v>
      </c>
      <c r="M3626" t="s">
        <v>1809</v>
      </c>
      <c r="N3626" t="s">
        <v>1810</v>
      </c>
      <c r="O3626" s="27" t="s">
        <v>59</v>
      </c>
      <c r="P3626" s="23">
        <v>93.58</v>
      </c>
      <c r="Q3626" s="4">
        <f t="shared" si="56"/>
        <v>-11.327206668091472</v>
      </c>
      <c r="R3626" s="23" t="s">
        <v>109</v>
      </c>
      <c r="S3626" s="3" t="s">
        <v>1811</v>
      </c>
      <c r="T3626" s="23" t="s">
        <v>6396</v>
      </c>
    </row>
    <row r="3627" spans="1:20" x14ac:dyDescent="0.25">
      <c r="A3627" s="21">
        <v>45791</v>
      </c>
      <c r="B3627" s="1">
        <v>12810525</v>
      </c>
      <c r="C3627" t="s">
        <v>306</v>
      </c>
      <c r="D3627" s="22">
        <v>-3.18</v>
      </c>
      <c r="E3627" t="s">
        <v>35</v>
      </c>
      <c r="F3627" s="2">
        <v>610148001</v>
      </c>
      <c r="G3627" s="2" t="s">
        <v>42</v>
      </c>
      <c r="L3627" s="2" t="s">
        <v>6397</v>
      </c>
      <c r="M3627" t="s">
        <v>43</v>
      </c>
      <c r="N3627" t="s">
        <v>42</v>
      </c>
      <c r="P3627" s="23">
        <v>93.58</v>
      </c>
      <c r="Q3627" s="4">
        <f t="shared" si="56"/>
        <v>-3.3981620004274418E-2</v>
      </c>
      <c r="R3627" s="23" t="s">
        <v>109</v>
      </c>
      <c r="T3627" s="23" t="s">
        <v>6107</v>
      </c>
    </row>
    <row r="3628" spans="1:20" x14ac:dyDescent="0.25">
      <c r="A3628" s="32">
        <v>45791</v>
      </c>
      <c r="B3628" s="26">
        <v>12811363</v>
      </c>
      <c r="C3628" s="27" t="s">
        <v>6398</v>
      </c>
      <c r="D3628" s="28">
        <v>-1045.0999999999999</v>
      </c>
      <c r="E3628" s="27" t="s">
        <v>35</v>
      </c>
      <c r="F3628" s="29"/>
      <c r="G3628" s="29"/>
      <c r="H3628" s="107"/>
      <c r="I3628" s="101"/>
      <c r="J3628" s="101"/>
      <c r="K3628" s="29"/>
      <c r="L3628" s="2" t="s">
        <v>6399</v>
      </c>
      <c r="M3628" s="27" t="s">
        <v>1825</v>
      </c>
      <c r="N3628" s="27" t="s">
        <v>1826</v>
      </c>
      <c r="O3628" s="27" t="s">
        <v>59</v>
      </c>
      <c r="P3628" s="31">
        <v>93.58</v>
      </c>
      <c r="Q3628" s="4">
        <f t="shared" si="56"/>
        <v>-11.167984612096602</v>
      </c>
      <c r="R3628" s="23" t="s">
        <v>109</v>
      </c>
      <c r="S3628" s="3" t="s">
        <v>1811</v>
      </c>
      <c r="T3628" s="23" t="s">
        <v>6400</v>
      </c>
    </row>
    <row r="3629" spans="1:20" x14ac:dyDescent="0.25">
      <c r="A3629" s="21">
        <v>45791</v>
      </c>
      <c r="B3629" s="1">
        <v>12811363</v>
      </c>
      <c r="C3629" t="s">
        <v>306</v>
      </c>
      <c r="D3629" s="22">
        <v>-3.14</v>
      </c>
      <c r="E3629" t="s">
        <v>35</v>
      </c>
      <c r="F3629" s="2">
        <v>610148001</v>
      </c>
      <c r="G3629" s="2" t="s">
        <v>42</v>
      </c>
      <c r="L3629" s="2" t="s">
        <v>6401</v>
      </c>
      <c r="M3629" t="s">
        <v>43</v>
      </c>
      <c r="N3629" t="s">
        <v>42</v>
      </c>
      <c r="P3629" s="23">
        <v>93.58</v>
      </c>
      <c r="Q3629" s="4">
        <f t="shared" si="56"/>
        <v>-3.3554178243214362E-2</v>
      </c>
      <c r="R3629" s="23" t="s">
        <v>109</v>
      </c>
      <c r="T3629" s="23" t="s">
        <v>6107</v>
      </c>
    </row>
    <row r="3630" spans="1:20" x14ac:dyDescent="0.25">
      <c r="A3630" s="32">
        <v>45791</v>
      </c>
      <c r="B3630" s="26">
        <v>12817858</v>
      </c>
      <c r="C3630" s="27" t="s">
        <v>6402</v>
      </c>
      <c r="D3630" s="28">
        <v>-313.52999999999997</v>
      </c>
      <c r="E3630" s="27" t="s">
        <v>35</v>
      </c>
      <c r="F3630" s="29"/>
      <c r="G3630" s="29"/>
      <c r="H3630" s="107"/>
      <c r="I3630" s="101"/>
      <c r="J3630" s="101"/>
      <c r="K3630" s="29"/>
      <c r="L3630" s="2" t="s">
        <v>6403</v>
      </c>
      <c r="M3630" s="27" t="s">
        <v>1825</v>
      </c>
      <c r="N3630" s="27" t="s">
        <v>1826</v>
      </c>
      <c r="O3630" s="27" t="s">
        <v>59</v>
      </c>
      <c r="P3630" s="31">
        <v>93.58</v>
      </c>
      <c r="Q3630" s="4">
        <f t="shared" si="56"/>
        <v>-3.3503953836289804</v>
      </c>
      <c r="R3630" s="23" t="s">
        <v>109</v>
      </c>
      <c r="S3630" s="3" t="s">
        <v>1811</v>
      </c>
      <c r="T3630" s="23" t="s">
        <v>6400</v>
      </c>
    </row>
    <row r="3631" spans="1:20" x14ac:dyDescent="0.25">
      <c r="A3631" s="21">
        <v>45791</v>
      </c>
      <c r="B3631" s="1">
        <v>12817858</v>
      </c>
      <c r="C3631" t="s">
        <v>306</v>
      </c>
      <c r="D3631" s="22">
        <v>-0.94</v>
      </c>
      <c r="E3631" t="s">
        <v>35</v>
      </c>
      <c r="F3631" s="2">
        <v>610148001</v>
      </c>
      <c r="G3631" s="2" t="s">
        <v>42</v>
      </c>
      <c r="L3631" s="2" t="s">
        <v>6404</v>
      </c>
      <c r="M3631" t="s">
        <v>43</v>
      </c>
      <c r="N3631" t="s">
        <v>42</v>
      </c>
      <c r="P3631" s="23">
        <v>93.58</v>
      </c>
      <c r="Q3631" s="4">
        <f t="shared" si="56"/>
        <v>-1.0044881384911306E-2</v>
      </c>
      <c r="R3631" s="23" t="s">
        <v>109</v>
      </c>
      <c r="T3631" s="23" t="s">
        <v>6107</v>
      </c>
    </row>
    <row r="3632" spans="1:20" x14ac:dyDescent="0.25">
      <c r="A3632" s="21">
        <v>45791</v>
      </c>
      <c r="B3632" s="1">
        <v>140454708</v>
      </c>
      <c r="C3632" t="s">
        <v>107</v>
      </c>
      <c r="D3632" s="22">
        <v>130000</v>
      </c>
      <c r="E3632" t="s">
        <v>46</v>
      </c>
      <c r="F3632" s="2">
        <v>210115002</v>
      </c>
      <c r="G3632" s="2" t="s">
        <v>47</v>
      </c>
      <c r="L3632" s="2" t="s">
        <v>6405</v>
      </c>
      <c r="N3632" t="s">
        <v>107</v>
      </c>
      <c r="P3632" s="23">
        <v>93.58</v>
      </c>
      <c r="Q3632" s="4">
        <f t="shared" si="56"/>
        <v>1389.1857234451807</v>
      </c>
      <c r="R3632" s="23" t="s">
        <v>109</v>
      </c>
    </row>
    <row r="3633" spans="1:23" x14ac:dyDescent="0.25">
      <c r="A3633" s="21">
        <v>45791</v>
      </c>
      <c r="B3633" s="1">
        <v>312829387</v>
      </c>
      <c r="C3633" t="s">
        <v>6406</v>
      </c>
      <c r="D3633" s="22">
        <v>-98498.79</v>
      </c>
      <c r="E3633" t="s">
        <v>35</v>
      </c>
      <c r="F3633" s="2">
        <v>110114001</v>
      </c>
      <c r="G3633" s="2" t="s">
        <v>301</v>
      </c>
      <c r="L3633" s="2" t="s">
        <v>6407</v>
      </c>
      <c r="M3633" t="s">
        <v>38</v>
      </c>
      <c r="N3633" t="s">
        <v>39</v>
      </c>
      <c r="P3633" s="23">
        <v>93.58</v>
      </c>
      <c r="Q3633" s="4">
        <f t="shared" si="56"/>
        <v>-1052.5624064971148</v>
      </c>
      <c r="R3633" s="23" t="s">
        <v>109</v>
      </c>
      <c r="S3633" s="33" t="s">
        <v>5309</v>
      </c>
    </row>
    <row r="3634" spans="1:23" x14ac:dyDescent="0.25">
      <c r="A3634" s="21">
        <v>45791</v>
      </c>
      <c r="B3634" s="1">
        <v>312829387</v>
      </c>
      <c r="C3634" t="s">
        <v>306</v>
      </c>
      <c r="D3634" s="22">
        <v>-295.5</v>
      </c>
      <c r="E3634" t="s">
        <v>35</v>
      </c>
      <c r="F3634" s="2">
        <v>610148001</v>
      </c>
      <c r="G3634" s="2" t="s">
        <v>42</v>
      </c>
      <c r="L3634" s="2" t="s">
        <v>6408</v>
      </c>
      <c r="M3634" t="s">
        <v>43</v>
      </c>
      <c r="N3634" t="s">
        <v>42</v>
      </c>
      <c r="P3634" s="23">
        <v>93.58</v>
      </c>
      <c r="Q3634" s="4">
        <f t="shared" si="56"/>
        <v>-3.1577260098311606</v>
      </c>
      <c r="R3634" s="23" t="s">
        <v>109</v>
      </c>
      <c r="T3634" s="23" t="s">
        <v>6107</v>
      </c>
    </row>
    <row r="3635" spans="1:23" x14ac:dyDescent="0.25">
      <c r="A3635" s="21">
        <v>45791</v>
      </c>
      <c r="B3635" s="1">
        <v>140646177</v>
      </c>
      <c r="C3635" t="s">
        <v>6409</v>
      </c>
      <c r="D3635" s="22">
        <v>-25784.32</v>
      </c>
      <c r="E3635" t="s">
        <v>35</v>
      </c>
      <c r="F3635" s="2">
        <v>210101001</v>
      </c>
      <c r="G3635" s="2" t="s">
        <v>36</v>
      </c>
      <c r="L3635" s="2" t="s">
        <v>6410</v>
      </c>
      <c r="M3635" t="s">
        <v>2635</v>
      </c>
      <c r="N3635" t="s">
        <v>2636</v>
      </c>
      <c r="P3635" s="23">
        <v>93.58</v>
      </c>
      <c r="Q3635" s="4">
        <f t="shared" si="56"/>
        <v>-275.53237871340031</v>
      </c>
      <c r="R3635" s="23" t="s">
        <v>109</v>
      </c>
    </row>
    <row r="3636" spans="1:23" x14ac:dyDescent="0.25">
      <c r="A3636" s="21">
        <v>45791</v>
      </c>
      <c r="B3636" s="1">
        <v>152634425</v>
      </c>
      <c r="C3636" t="s">
        <v>107</v>
      </c>
      <c r="D3636" s="22">
        <v>10000</v>
      </c>
      <c r="E3636" t="s">
        <v>46</v>
      </c>
      <c r="F3636" s="2">
        <v>210115002</v>
      </c>
      <c r="G3636" s="2" t="s">
        <v>47</v>
      </c>
      <c r="L3636" s="2" t="s">
        <v>6411</v>
      </c>
      <c r="N3636" t="s">
        <v>107</v>
      </c>
      <c r="P3636" s="23">
        <v>93.58</v>
      </c>
      <c r="Q3636" s="4">
        <f t="shared" si="56"/>
        <v>106.86044026501389</v>
      </c>
      <c r="R3636" s="23" t="s">
        <v>109</v>
      </c>
    </row>
    <row r="3637" spans="1:23" x14ac:dyDescent="0.25">
      <c r="A3637" s="21">
        <v>45791</v>
      </c>
      <c r="B3637" s="1">
        <v>152727680</v>
      </c>
      <c r="C3637" t="s">
        <v>6412</v>
      </c>
      <c r="D3637" s="22">
        <v>-8827.7000000000007</v>
      </c>
      <c r="E3637" t="s">
        <v>35</v>
      </c>
      <c r="F3637" s="2">
        <v>210101001</v>
      </c>
      <c r="G3637" s="2" t="s">
        <v>36</v>
      </c>
      <c r="L3637" s="2" t="s">
        <v>6413</v>
      </c>
      <c r="M3637" t="s">
        <v>1186</v>
      </c>
      <c r="N3637" t="s">
        <v>1187</v>
      </c>
      <c r="P3637" s="23">
        <v>93.58</v>
      </c>
      <c r="Q3637" s="4">
        <f t="shared" si="56"/>
        <v>-94.333190852746327</v>
      </c>
      <c r="R3637" s="23" t="s">
        <v>109</v>
      </c>
    </row>
    <row r="3638" spans="1:23" x14ac:dyDescent="0.25">
      <c r="A3638" s="21">
        <v>45791</v>
      </c>
      <c r="B3638" s="1">
        <v>160215851</v>
      </c>
      <c r="C3638" t="s">
        <v>107</v>
      </c>
      <c r="D3638" s="22">
        <v>146000</v>
      </c>
      <c r="E3638" t="s">
        <v>46</v>
      </c>
      <c r="F3638" s="2">
        <v>210115002</v>
      </c>
      <c r="G3638" s="2" t="s">
        <v>47</v>
      </c>
      <c r="L3638" s="2" t="s">
        <v>6414</v>
      </c>
      <c r="N3638" t="s">
        <v>107</v>
      </c>
      <c r="P3638" s="23">
        <v>93.58</v>
      </c>
      <c r="Q3638" s="4">
        <f t="shared" si="56"/>
        <v>1560.1624278692029</v>
      </c>
      <c r="R3638" s="23" t="s">
        <v>109</v>
      </c>
    </row>
    <row r="3639" spans="1:23" x14ac:dyDescent="0.25">
      <c r="A3639" s="21">
        <v>45791</v>
      </c>
      <c r="B3639" s="1">
        <v>160502716</v>
      </c>
      <c r="C3639" t="s">
        <v>6415</v>
      </c>
      <c r="D3639" s="22">
        <v>-145769.01999999999</v>
      </c>
      <c r="E3639" t="s">
        <v>35</v>
      </c>
      <c r="F3639" s="2">
        <v>110114001</v>
      </c>
      <c r="G3639" s="2" t="s">
        <v>301</v>
      </c>
      <c r="L3639" s="2" t="s">
        <v>6416</v>
      </c>
      <c r="M3639" t="s">
        <v>38</v>
      </c>
      <c r="N3639" t="s">
        <v>39</v>
      </c>
      <c r="P3639" s="23">
        <v>93.58</v>
      </c>
      <c r="Q3639" s="4">
        <f t="shared" si="56"/>
        <v>-1557.6941654199613</v>
      </c>
      <c r="R3639" s="23" t="s">
        <v>109</v>
      </c>
      <c r="S3639" s="33" t="s">
        <v>5309</v>
      </c>
      <c r="T3639" t="s">
        <v>6417</v>
      </c>
    </row>
    <row r="3640" spans="1:23" x14ac:dyDescent="0.25">
      <c r="A3640" s="21">
        <v>45791</v>
      </c>
      <c r="B3640" s="1">
        <v>163531398</v>
      </c>
      <c r="C3640" t="s">
        <v>107</v>
      </c>
      <c r="D3640" s="22">
        <v>320000</v>
      </c>
      <c r="E3640" t="s">
        <v>46</v>
      </c>
      <c r="F3640" s="2">
        <v>210115002</v>
      </c>
      <c r="G3640" s="2" t="s">
        <v>47</v>
      </c>
      <c r="L3640" s="2" t="s">
        <v>6418</v>
      </c>
      <c r="N3640" t="s">
        <v>107</v>
      </c>
      <c r="P3640" s="23">
        <v>93.58</v>
      </c>
      <c r="Q3640" s="4">
        <f t="shared" si="56"/>
        <v>3419.5340884804446</v>
      </c>
      <c r="R3640" s="23" t="s">
        <v>109</v>
      </c>
    </row>
    <row r="3641" spans="1:23" x14ac:dyDescent="0.25">
      <c r="A3641" s="21">
        <v>45791</v>
      </c>
      <c r="B3641" s="1">
        <v>812839372</v>
      </c>
      <c r="C3641" t="s">
        <v>6419</v>
      </c>
      <c r="D3641" s="22">
        <v>-6939.48</v>
      </c>
      <c r="E3641" t="s">
        <v>35</v>
      </c>
      <c r="F3641" s="2">
        <v>212901001</v>
      </c>
      <c r="G3641" s="2" t="s">
        <v>121</v>
      </c>
      <c r="L3641" s="2" t="s">
        <v>6420</v>
      </c>
      <c r="M3641" t="s">
        <v>67</v>
      </c>
      <c r="N3641" t="s">
        <v>68</v>
      </c>
      <c r="P3641" s="23">
        <v>93.58</v>
      </c>
      <c r="Q3641" s="4">
        <f t="shared" si="56"/>
        <v>-74.155588801025857</v>
      </c>
      <c r="R3641" s="23" t="s">
        <v>109</v>
      </c>
      <c r="U3641">
        <v>9</v>
      </c>
      <c r="V3641" t="e">
        <f>VLOOKUP(U3641,[1]!NOMINA[#Data],4,FALSE)</f>
        <v>#REF!</v>
      </c>
      <c r="W3641" t="e">
        <f>VLOOKUP(U3641,[1]!NOMINA[#Data],5,FALSE)</f>
        <v>#REF!</v>
      </c>
    </row>
    <row r="3642" spans="1:23" x14ac:dyDescent="0.25">
      <c r="A3642" s="21">
        <v>45791</v>
      </c>
      <c r="B3642" s="1">
        <v>812839374</v>
      </c>
      <c r="C3642" t="s">
        <v>6421</v>
      </c>
      <c r="D3642" s="22">
        <v>-3671.22</v>
      </c>
      <c r="E3642" t="s">
        <v>35</v>
      </c>
      <c r="F3642" s="2">
        <v>212901001</v>
      </c>
      <c r="G3642" s="2" t="s">
        <v>121</v>
      </c>
      <c r="L3642" s="2" t="s">
        <v>6422</v>
      </c>
      <c r="M3642" t="s">
        <v>67</v>
      </c>
      <c r="N3642" t="s">
        <v>68</v>
      </c>
      <c r="P3642" s="23">
        <v>93.58</v>
      </c>
      <c r="Q3642" s="4">
        <f t="shared" si="56"/>
        <v>-39.23081855097243</v>
      </c>
      <c r="R3642" s="23" t="s">
        <v>109</v>
      </c>
      <c r="U3642">
        <v>29</v>
      </c>
      <c r="V3642" t="e">
        <f>VLOOKUP(U3642,[1]!NOMINA[#Data],4,FALSE)</f>
        <v>#REF!</v>
      </c>
      <c r="W3642" t="e">
        <f>VLOOKUP(U3642,[1]!NOMINA[#Data],5,FALSE)</f>
        <v>#REF!</v>
      </c>
    </row>
    <row r="3643" spans="1:23" x14ac:dyDescent="0.25">
      <c r="A3643" s="21">
        <v>45791</v>
      </c>
      <c r="B3643" s="1">
        <v>812839375</v>
      </c>
      <c r="C3643" t="s">
        <v>6423</v>
      </c>
      <c r="D3643" s="22">
        <v>-6939.48</v>
      </c>
      <c r="E3643" t="s">
        <v>35</v>
      </c>
      <c r="F3643" s="2">
        <v>212901001</v>
      </c>
      <c r="G3643" s="2" t="s">
        <v>121</v>
      </c>
      <c r="L3643" s="2" t="s">
        <v>6424</v>
      </c>
      <c r="M3643" t="s">
        <v>67</v>
      </c>
      <c r="N3643" t="s">
        <v>68</v>
      </c>
      <c r="P3643" s="23">
        <v>93.58</v>
      </c>
      <c r="Q3643" s="4">
        <f t="shared" si="56"/>
        <v>-74.155588801025857</v>
      </c>
      <c r="R3643" s="23" t="s">
        <v>109</v>
      </c>
      <c r="U3643">
        <v>10</v>
      </c>
      <c r="V3643" t="e">
        <f>VLOOKUP(U3643,[1]!NOMINA[#Data],4,FALSE)</f>
        <v>#REF!</v>
      </c>
      <c r="W3643" t="e">
        <f>VLOOKUP(U3643,[1]!NOMINA[#Data],5,FALSE)</f>
        <v>#REF!</v>
      </c>
    </row>
    <row r="3644" spans="1:23" x14ac:dyDescent="0.25">
      <c r="A3644" s="21">
        <v>45791</v>
      </c>
      <c r="B3644" s="1">
        <v>812839373</v>
      </c>
      <c r="C3644" t="s">
        <v>6425</v>
      </c>
      <c r="D3644" s="22">
        <v>-3204.99</v>
      </c>
      <c r="E3644" t="s">
        <v>35</v>
      </c>
      <c r="F3644" s="2">
        <v>212901001</v>
      </c>
      <c r="G3644" s="2" t="s">
        <v>121</v>
      </c>
      <c r="L3644" s="2" t="s">
        <v>6426</v>
      </c>
      <c r="M3644" t="s">
        <v>67</v>
      </c>
      <c r="N3644" t="s">
        <v>68</v>
      </c>
      <c r="P3644" s="23">
        <v>93.58</v>
      </c>
      <c r="Q3644" s="4">
        <f t="shared" si="56"/>
        <v>-34.248664244496688</v>
      </c>
      <c r="R3644" s="23" t="s">
        <v>109</v>
      </c>
      <c r="U3644">
        <v>26</v>
      </c>
      <c r="V3644" t="e">
        <f>VLOOKUP(Tabla3[[#This Row],[Nº]],[1]!NOMINA[#Data],4,FALSE)</f>
        <v>#REF!</v>
      </c>
      <c r="W3644" t="e">
        <f>VLOOKUP(Tabla3[[#This Row],[Nº]],[1]!NOMINA[#Data],5,FALSE)</f>
        <v>#REF!</v>
      </c>
    </row>
    <row r="3645" spans="1:23" x14ac:dyDescent="0.25">
      <c r="A3645" s="21">
        <v>45791</v>
      </c>
      <c r="B3645" s="1">
        <v>812839376</v>
      </c>
      <c r="C3645" t="s">
        <v>6427</v>
      </c>
      <c r="D3645" s="22">
        <v>-6952.51</v>
      </c>
      <c r="E3645" t="s">
        <v>35</v>
      </c>
      <c r="F3645" s="2">
        <v>212901001</v>
      </c>
      <c r="G3645" s="2" t="s">
        <v>121</v>
      </c>
      <c r="L3645" s="2" t="s">
        <v>6428</v>
      </c>
      <c r="M3645" t="s">
        <v>67</v>
      </c>
      <c r="N3645" t="s">
        <v>68</v>
      </c>
      <c r="P3645" s="23">
        <v>93.58</v>
      </c>
      <c r="Q3645" s="4">
        <f t="shared" si="56"/>
        <v>-74.294827954691172</v>
      </c>
      <c r="R3645" s="23" t="s">
        <v>109</v>
      </c>
      <c r="U3645">
        <v>18</v>
      </c>
      <c r="V3645" t="e">
        <f>VLOOKUP(Tabla3[[#This Row],[Nº]],[1]!NOMINA[#Data],4,FALSE)</f>
        <v>#REF!</v>
      </c>
      <c r="W3645" t="e">
        <f>VLOOKUP(Tabla3[[#This Row],[Nº]],[1]!NOMINA[#Data],5,FALSE)</f>
        <v>#REF!</v>
      </c>
    </row>
    <row r="3646" spans="1:23" x14ac:dyDescent="0.25">
      <c r="A3646" s="21">
        <v>45791</v>
      </c>
      <c r="B3646" s="1">
        <v>912839378</v>
      </c>
      <c r="C3646" t="s">
        <v>6429</v>
      </c>
      <c r="D3646" s="22">
        <v>-6033.08</v>
      </c>
      <c r="E3646" t="s">
        <v>35</v>
      </c>
      <c r="F3646" s="2">
        <v>212901001</v>
      </c>
      <c r="G3646" s="2" t="s">
        <v>121</v>
      </c>
      <c r="L3646" s="2" t="s">
        <v>6430</v>
      </c>
      <c r="M3646" t="s">
        <v>67</v>
      </c>
      <c r="N3646" t="s">
        <v>68</v>
      </c>
      <c r="P3646" s="23">
        <v>93.58</v>
      </c>
      <c r="Q3646" s="4">
        <f t="shared" si="56"/>
        <v>-64.469758495405003</v>
      </c>
      <c r="R3646" s="23" t="s">
        <v>109</v>
      </c>
      <c r="U3646">
        <v>15</v>
      </c>
      <c r="V3646" t="e">
        <f>VLOOKUP(U3646,[1]!NOMINA[#Data],4,FALSE)</f>
        <v>#REF!</v>
      </c>
      <c r="W3646" t="e">
        <f>VLOOKUP(U3646,[1]!NOMINA[#Data],5,FALSE)</f>
        <v>#REF!</v>
      </c>
    </row>
    <row r="3647" spans="1:23" x14ac:dyDescent="0.25">
      <c r="A3647" s="21">
        <v>45791</v>
      </c>
      <c r="B3647" s="1">
        <v>812839377</v>
      </c>
      <c r="C3647" t="s">
        <v>6431</v>
      </c>
      <c r="D3647" s="22">
        <v>-5070.84</v>
      </c>
      <c r="E3647" t="s">
        <v>35</v>
      </c>
      <c r="F3647" s="2">
        <v>212901001</v>
      </c>
      <c r="G3647" s="2" t="s">
        <v>121</v>
      </c>
      <c r="L3647" s="2" t="s">
        <v>6432</v>
      </c>
      <c r="M3647" t="s">
        <v>67</v>
      </c>
      <c r="N3647" t="s">
        <v>68</v>
      </c>
      <c r="P3647" s="23">
        <v>93.58</v>
      </c>
      <c r="Q3647" s="4">
        <f t="shared" si="56"/>
        <v>-54.187219491344308</v>
      </c>
      <c r="R3647" s="23" t="s">
        <v>109</v>
      </c>
      <c r="U3647">
        <v>38</v>
      </c>
      <c r="V3647" t="e">
        <f>VLOOKUP(U3647,[1]!NOMINA[#Data],4,FALSE)</f>
        <v>#REF!</v>
      </c>
      <c r="W3647" t="e">
        <f>VLOOKUP(U3647,[1]!NOMINA[#Data],5,FALSE)</f>
        <v>#REF!</v>
      </c>
    </row>
    <row r="3648" spans="1:23" x14ac:dyDescent="0.25">
      <c r="A3648" s="21">
        <v>45791</v>
      </c>
      <c r="B3648" s="1">
        <v>912839381</v>
      </c>
      <c r="C3648" t="s">
        <v>6433</v>
      </c>
      <c r="D3648" s="22">
        <v>-7873.81</v>
      </c>
      <c r="E3648" t="s">
        <v>35</v>
      </c>
      <c r="F3648" s="2">
        <v>212901001</v>
      </c>
      <c r="G3648" s="2" t="s">
        <v>121</v>
      </c>
      <c r="L3648" s="2" t="s">
        <v>6434</v>
      </c>
      <c r="M3648" t="s">
        <v>67</v>
      </c>
      <c r="N3648" t="s">
        <v>68</v>
      </c>
      <c r="P3648" s="23">
        <v>93.58</v>
      </c>
      <c r="Q3648" s="4">
        <f t="shared" si="56"/>
        <v>-84.139880316306915</v>
      </c>
      <c r="R3648" s="23" t="s">
        <v>109</v>
      </c>
      <c r="U3648">
        <v>8</v>
      </c>
      <c r="V3648" t="e">
        <f>VLOOKUP(U3648,[1]!NOMINA[#Data],4,FALSE)</f>
        <v>#REF!</v>
      </c>
      <c r="W3648" t="e">
        <f>VLOOKUP(U3648,[1]!NOMINA[#Data],5,FALSE)</f>
        <v>#REF!</v>
      </c>
    </row>
    <row r="3649" spans="1:23" x14ac:dyDescent="0.25">
      <c r="A3649" s="21">
        <v>45791</v>
      </c>
      <c r="B3649" s="1">
        <v>912839384</v>
      </c>
      <c r="C3649" t="s">
        <v>6435</v>
      </c>
      <c r="D3649" s="22">
        <v>-14367.53</v>
      </c>
      <c r="E3649" t="s">
        <v>35</v>
      </c>
      <c r="F3649" s="2">
        <v>212901001</v>
      </c>
      <c r="G3649" s="2" t="s">
        <v>121</v>
      </c>
      <c r="L3649" s="2" t="s">
        <v>6436</v>
      </c>
      <c r="M3649" t="s">
        <v>67</v>
      </c>
      <c r="N3649" t="s">
        <v>68</v>
      </c>
      <c r="P3649" s="23">
        <v>93.58</v>
      </c>
      <c r="Q3649" s="4">
        <f t="shared" si="56"/>
        <v>-153.53205813207953</v>
      </c>
      <c r="R3649" s="23" t="s">
        <v>109</v>
      </c>
      <c r="U3649">
        <v>43</v>
      </c>
      <c r="V3649" t="e">
        <f>VLOOKUP(U3649,[1]!NOMINA[#Data],4,FALSE)</f>
        <v>#REF!</v>
      </c>
      <c r="W3649" t="e">
        <f>VLOOKUP(U3649,[1]!NOMINA[#Data],5,FALSE)</f>
        <v>#REF!</v>
      </c>
    </row>
    <row r="3650" spans="1:23" x14ac:dyDescent="0.25">
      <c r="A3650" s="21">
        <v>45791</v>
      </c>
      <c r="B3650" s="1">
        <v>912839380</v>
      </c>
      <c r="C3650" t="s">
        <v>6437</v>
      </c>
      <c r="D3650" s="22">
        <v>-6914.36</v>
      </c>
      <c r="E3650" t="s">
        <v>35</v>
      </c>
      <c r="F3650" s="2">
        <v>212901001</v>
      </c>
      <c r="G3650" s="2" t="s">
        <v>121</v>
      </c>
      <c r="L3650" s="2" t="s">
        <v>6438</v>
      </c>
      <c r="M3650" t="s">
        <v>67</v>
      </c>
      <c r="N3650" t="s">
        <v>68</v>
      </c>
      <c r="P3650" s="23">
        <v>93.58</v>
      </c>
      <c r="Q3650" s="4">
        <f t="shared" si="56"/>
        <v>-73.887155375080141</v>
      </c>
      <c r="R3650" s="23" t="s">
        <v>109</v>
      </c>
      <c r="U3650">
        <v>13</v>
      </c>
      <c r="V3650" t="e">
        <f>VLOOKUP(U3650,[1]!NOMINA[#Data],4,FALSE)</f>
        <v>#REF!</v>
      </c>
      <c r="W3650" t="e">
        <f>VLOOKUP(U3650,[1]!NOMINA[#Data],5,FALSE)</f>
        <v>#REF!</v>
      </c>
    </row>
    <row r="3651" spans="1:23" x14ac:dyDescent="0.25">
      <c r="A3651" s="21">
        <v>45791</v>
      </c>
      <c r="B3651" s="1">
        <v>912839379</v>
      </c>
      <c r="C3651" t="s">
        <v>6439</v>
      </c>
      <c r="D3651" s="22">
        <v>-6606.33</v>
      </c>
      <c r="E3651" t="s">
        <v>35</v>
      </c>
      <c r="F3651" s="2">
        <v>212901001</v>
      </c>
      <c r="G3651" s="2" t="s">
        <v>121</v>
      </c>
      <c r="L3651" s="2" t="s">
        <v>6440</v>
      </c>
      <c r="M3651" t="s">
        <v>67</v>
      </c>
      <c r="N3651" t="s">
        <v>68</v>
      </c>
      <c r="P3651" s="23">
        <v>93.58</v>
      </c>
      <c r="Q3651" s="4">
        <f t="shared" si="56"/>
        <v>-70.595533233596925</v>
      </c>
      <c r="R3651" s="23" t="s">
        <v>109</v>
      </c>
      <c r="U3651">
        <v>20</v>
      </c>
      <c r="V3651" t="e">
        <f>VLOOKUP(Tabla3[[#This Row],[Nº]],[1]!NOMINA[#Data],4,FALSE)</f>
        <v>#REF!</v>
      </c>
      <c r="W3651" t="e">
        <f>VLOOKUP(Tabla3[[#This Row],[Nº]],[1]!NOMINA[#Data],5,FALSE)</f>
        <v>#REF!</v>
      </c>
    </row>
    <row r="3652" spans="1:23" x14ac:dyDescent="0.25">
      <c r="A3652" s="21">
        <v>45791</v>
      </c>
      <c r="B3652" s="1">
        <v>912839382</v>
      </c>
      <c r="C3652" t="s">
        <v>6441</v>
      </c>
      <c r="D3652" s="22">
        <v>-6939.48</v>
      </c>
      <c r="E3652" t="s">
        <v>35</v>
      </c>
      <c r="F3652" s="2">
        <v>212901001</v>
      </c>
      <c r="G3652" s="2" t="s">
        <v>121</v>
      </c>
      <c r="L3652" s="2" t="s">
        <v>6442</v>
      </c>
      <c r="M3652" t="s">
        <v>67</v>
      </c>
      <c r="N3652" t="s">
        <v>68</v>
      </c>
      <c r="P3652" s="23">
        <v>93.58</v>
      </c>
      <c r="Q3652" s="4">
        <f t="shared" si="56"/>
        <v>-74.155588801025857</v>
      </c>
      <c r="R3652" s="23" t="s">
        <v>109</v>
      </c>
      <c r="U3652">
        <v>11</v>
      </c>
      <c r="V3652" t="e">
        <f>VLOOKUP(U3652,[1]!NOMINA[#Data],4,FALSE)</f>
        <v>#REF!</v>
      </c>
      <c r="W3652" t="e">
        <f>VLOOKUP(U3652,[1]!NOMINA[#Data],5,FALSE)</f>
        <v>#REF!</v>
      </c>
    </row>
    <row r="3653" spans="1:23" x14ac:dyDescent="0.25">
      <c r="A3653" s="21">
        <v>45791</v>
      </c>
      <c r="B3653" s="1">
        <v>912839389</v>
      </c>
      <c r="C3653" t="s">
        <v>6443</v>
      </c>
      <c r="D3653" s="22">
        <v>-4602.75</v>
      </c>
      <c r="E3653" t="s">
        <v>35</v>
      </c>
      <c r="F3653" s="2">
        <v>212901001</v>
      </c>
      <c r="G3653" s="2" t="s">
        <v>121</v>
      </c>
      <c r="L3653" s="2" t="s">
        <v>6444</v>
      </c>
      <c r="M3653" t="s">
        <v>67</v>
      </c>
      <c r="N3653" t="s">
        <v>68</v>
      </c>
      <c r="P3653" s="23">
        <v>93.58</v>
      </c>
      <c r="Q3653" s="4">
        <f t="shared" si="56"/>
        <v>-49.185189142979269</v>
      </c>
      <c r="R3653" s="23" t="s">
        <v>109</v>
      </c>
      <c r="U3653">
        <v>22</v>
      </c>
      <c r="V3653" t="e">
        <f>VLOOKUP(U3653,[1]!NOMINA[#Data],4,FALSE)</f>
        <v>#REF!</v>
      </c>
      <c r="W3653" t="e">
        <f>VLOOKUP(U3653,[1]!NOMINA[#Data],5,FALSE)</f>
        <v>#REF!</v>
      </c>
    </row>
    <row r="3654" spans="1:23" x14ac:dyDescent="0.25">
      <c r="A3654" s="21">
        <v>45791</v>
      </c>
      <c r="B3654" s="1">
        <v>912839383</v>
      </c>
      <c r="C3654" t="s">
        <v>6445</v>
      </c>
      <c r="D3654" s="22">
        <v>-3204.06</v>
      </c>
      <c r="E3654" t="s">
        <v>35</v>
      </c>
      <c r="F3654" s="2">
        <v>212901001</v>
      </c>
      <c r="G3654" s="2" t="s">
        <v>121</v>
      </c>
      <c r="L3654" s="2" t="s">
        <v>6446</v>
      </c>
      <c r="M3654" t="s">
        <v>67</v>
      </c>
      <c r="N3654" t="s">
        <v>68</v>
      </c>
      <c r="P3654" s="23">
        <v>93.58</v>
      </c>
      <c r="Q3654" s="4">
        <f t="shared" si="56"/>
        <v>-34.238726223552042</v>
      </c>
      <c r="R3654" s="23" t="s">
        <v>109</v>
      </c>
      <c r="U3654">
        <v>23</v>
      </c>
      <c r="V3654" t="e">
        <f>VLOOKUP(U3654,[1]!NOMINA[#Data],4,FALSE)</f>
        <v>#REF!</v>
      </c>
      <c r="W3654" t="e">
        <f>VLOOKUP(U3654,[1]!NOMINA[#Data],5,FALSE)</f>
        <v>#REF!</v>
      </c>
    </row>
    <row r="3655" spans="1:23" x14ac:dyDescent="0.25">
      <c r="A3655" s="21">
        <v>45791</v>
      </c>
      <c r="B3655" s="1">
        <v>12839392</v>
      </c>
      <c r="C3655" t="s">
        <v>6447</v>
      </c>
      <c r="D3655" s="22">
        <v>-4913.57</v>
      </c>
      <c r="E3655" t="s">
        <v>35</v>
      </c>
      <c r="F3655" s="2">
        <v>212901001</v>
      </c>
      <c r="G3655" s="2" t="s">
        <v>121</v>
      </c>
      <c r="L3655" s="2" t="s">
        <v>6448</v>
      </c>
      <c r="M3655" t="s">
        <v>67</v>
      </c>
      <c r="N3655" t="s">
        <v>68</v>
      </c>
      <c r="P3655" s="23">
        <v>93.58</v>
      </c>
      <c r="Q3655" s="4">
        <f t="shared" si="56"/>
        <v>-52.506625347296428</v>
      </c>
      <c r="R3655" s="23" t="s">
        <v>109</v>
      </c>
      <c r="U3655">
        <v>42</v>
      </c>
      <c r="V3655" t="e">
        <f>VLOOKUP(U3655,[1]!NOMINA[#Data],4,FALSE)</f>
        <v>#REF!</v>
      </c>
      <c r="W3655" t="e">
        <f>VLOOKUP(U3655,[1]!NOMINA[#Data],5,FALSE)</f>
        <v>#REF!</v>
      </c>
    </row>
    <row r="3656" spans="1:23" x14ac:dyDescent="0.25">
      <c r="A3656" s="21">
        <v>45791</v>
      </c>
      <c r="B3656" s="1">
        <v>912839385</v>
      </c>
      <c r="C3656" t="s">
        <v>6449</v>
      </c>
      <c r="D3656" s="22">
        <v>-7887.77</v>
      </c>
      <c r="E3656" t="s">
        <v>35</v>
      </c>
      <c r="F3656" s="2">
        <v>212901001</v>
      </c>
      <c r="G3656" s="2" t="s">
        <v>121</v>
      </c>
      <c r="L3656" s="2" t="s">
        <v>6450</v>
      </c>
      <c r="M3656" t="s">
        <v>67</v>
      </c>
      <c r="N3656" t="s">
        <v>68</v>
      </c>
      <c r="P3656" s="23">
        <v>93.58</v>
      </c>
      <c r="Q3656" s="4">
        <f t="shared" si="56"/>
        <v>-84.289057490916875</v>
      </c>
      <c r="R3656" s="23" t="s">
        <v>109</v>
      </c>
      <c r="U3656">
        <v>17</v>
      </c>
      <c r="V3656" t="e">
        <f>VLOOKUP(U3656,[1]!NOMINA[#Data],4,FALSE)</f>
        <v>#REF!</v>
      </c>
      <c r="W3656" t="e">
        <f>VLOOKUP(U3656,[1]!NOMINA[#Data],5,FALSE)</f>
        <v>#REF!</v>
      </c>
    </row>
    <row r="3657" spans="1:23" x14ac:dyDescent="0.25">
      <c r="A3657" s="21">
        <v>45791</v>
      </c>
      <c r="B3657" s="1">
        <v>12839390</v>
      </c>
      <c r="C3657" t="s">
        <v>6451</v>
      </c>
      <c r="D3657" s="22">
        <v>-7887.77</v>
      </c>
      <c r="E3657" t="s">
        <v>35</v>
      </c>
      <c r="F3657" s="2">
        <v>212901001</v>
      </c>
      <c r="G3657" s="2" t="s">
        <v>121</v>
      </c>
      <c r="L3657" s="2" t="s">
        <v>6452</v>
      </c>
      <c r="M3657" t="s">
        <v>67</v>
      </c>
      <c r="N3657" t="s">
        <v>68</v>
      </c>
      <c r="P3657" s="23">
        <v>93.58</v>
      </c>
      <c r="Q3657" s="4">
        <f t="shared" si="56"/>
        <v>-84.289057490916875</v>
      </c>
      <c r="R3657" s="23" t="s">
        <v>109</v>
      </c>
      <c r="U3657">
        <v>14</v>
      </c>
      <c r="V3657" t="e">
        <f>VLOOKUP(U3657,[1]!NOMINA[#Data],4,FALSE)</f>
        <v>#REF!</v>
      </c>
      <c r="W3657" t="e">
        <f>VLOOKUP(U3657,[1]!NOMINA[#Data],5,FALSE)</f>
        <v>#REF!</v>
      </c>
    </row>
    <row r="3658" spans="1:23" x14ac:dyDescent="0.25">
      <c r="A3658" s="21">
        <v>45791</v>
      </c>
      <c r="B3658" s="1">
        <v>912839387</v>
      </c>
      <c r="C3658" t="s">
        <v>6453</v>
      </c>
      <c r="D3658" s="22">
        <v>-11536.65</v>
      </c>
      <c r="E3658" t="s">
        <v>35</v>
      </c>
      <c r="F3658" s="2">
        <v>212901001</v>
      </c>
      <c r="G3658" s="2" t="s">
        <v>121</v>
      </c>
      <c r="L3658" s="2" t="s">
        <v>6454</v>
      </c>
      <c r="M3658" t="s">
        <v>67</v>
      </c>
      <c r="N3658" t="s">
        <v>68</v>
      </c>
      <c r="P3658" s="23">
        <v>93.58</v>
      </c>
      <c r="Q3658" s="4">
        <f t="shared" si="56"/>
        <v>-123.28114981833725</v>
      </c>
      <c r="R3658" s="23" t="s">
        <v>109</v>
      </c>
      <c r="U3658">
        <v>4</v>
      </c>
      <c r="V3658" t="e">
        <f>VLOOKUP(U3658,[1]!NOMINA[#Data],4,FALSE)</f>
        <v>#REF!</v>
      </c>
      <c r="W3658" t="e">
        <f>VLOOKUP(U3658,[1]!NOMINA[#Data],5,FALSE)</f>
        <v>#REF!</v>
      </c>
    </row>
    <row r="3659" spans="1:23" x14ac:dyDescent="0.25">
      <c r="A3659" s="21">
        <v>45791</v>
      </c>
      <c r="B3659" s="1">
        <v>12839394</v>
      </c>
      <c r="C3659" t="s">
        <v>6455</v>
      </c>
      <c r="D3659" s="22">
        <v>-4602.75</v>
      </c>
      <c r="E3659" t="s">
        <v>35</v>
      </c>
      <c r="F3659" s="2">
        <v>212901001</v>
      </c>
      <c r="G3659" s="2" t="s">
        <v>121</v>
      </c>
      <c r="L3659" s="2" t="s">
        <v>6456</v>
      </c>
      <c r="M3659" t="s">
        <v>67</v>
      </c>
      <c r="N3659" t="s">
        <v>68</v>
      </c>
      <c r="P3659" s="23">
        <v>93.58</v>
      </c>
      <c r="Q3659" s="4">
        <f t="shared" ref="Q3659:Q3722" si="57">D3659/P3659</f>
        <v>-49.185189142979269</v>
      </c>
      <c r="R3659" s="23" t="s">
        <v>109</v>
      </c>
      <c r="U3659">
        <v>21</v>
      </c>
      <c r="V3659" t="e">
        <f>VLOOKUP(U3659,[1]!NOMINA[#Data],4,FALSE)</f>
        <v>#REF!</v>
      </c>
      <c r="W3659" t="e">
        <f>VLOOKUP(U3659,[1]!NOMINA[#Data],5,FALSE)</f>
        <v>#REF!</v>
      </c>
    </row>
    <row r="3660" spans="1:23" x14ac:dyDescent="0.25">
      <c r="A3660" s="21">
        <v>45791</v>
      </c>
      <c r="B3660" s="1">
        <v>12839393</v>
      </c>
      <c r="C3660" t="s">
        <v>6457</v>
      </c>
      <c r="D3660" s="22">
        <v>-7874.74</v>
      </c>
      <c r="E3660" t="s">
        <v>35</v>
      </c>
      <c r="F3660" s="2">
        <v>212901001</v>
      </c>
      <c r="G3660" s="2" t="s">
        <v>121</v>
      </c>
      <c r="L3660" s="2" t="s">
        <v>6458</v>
      </c>
      <c r="M3660" t="s">
        <v>67</v>
      </c>
      <c r="N3660" t="s">
        <v>68</v>
      </c>
      <c r="P3660" s="23">
        <v>93.58</v>
      </c>
      <c r="Q3660" s="4">
        <f t="shared" si="57"/>
        <v>-84.149818337251546</v>
      </c>
      <c r="R3660" s="23" t="s">
        <v>109</v>
      </c>
      <c r="U3660">
        <v>39</v>
      </c>
      <c r="V3660" t="e">
        <f>VLOOKUP(U3660,[1]!NOMINA[#Data],4,FALSE)</f>
        <v>#REF!</v>
      </c>
      <c r="W3660" t="e">
        <f>VLOOKUP(U3660,[1]!NOMINA[#Data],5,FALSE)</f>
        <v>#REF!</v>
      </c>
    </row>
    <row r="3661" spans="1:23" x14ac:dyDescent="0.25">
      <c r="A3661" s="21">
        <v>45791</v>
      </c>
      <c r="B3661" s="1">
        <v>12839395</v>
      </c>
      <c r="C3661" t="s">
        <v>6459</v>
      </c>
      <c r="D3661" s="22">
        <v>-3204.99</v>
      </c>
      <c r="E3661" t="s">
        <v>35</v>
      </c>
      <c r="F3661" s="2">
        <v>212901001</v>
      </c>
      <c r="G3661" s="2" t="s">
        <v>121</v>
      </c>
      <c r="L3661" s="2" t="s">
        <v>6460</v>
      </c>
      <c r="M3661" t="s">
        <v>67</v>
      </c>
      <c r="N3661" t="s">
        <v>68</v>
      </c>
      <c r="P3661" s="23">
        <v>93.58</v>
      </c>
      <c r="Q3661" s="4">
        <f t="shared" si="57"/>
        <v>-34.248664244496688</v>
      </c>
      <c r="R3661" s="23" t="s">
        <v>109</v>
      </c>
      <c r="U3661">
        <v>25</v>
      </c>
      <c r="V3661" t="e">
        <f>VLOOKUP(U3661,[1]!NOMINA[#Data],4,FALSE)</f>
        <v>#REF!</v>
      </c>
      <c r="W3661" t="e">
        <f>VLOOKUP(U3661,[1]!NOMINA[#Data],5,FALSE)</f>
        <v>#REF!</v>
      </c>
    </row>
    <row r="3662" spans="1:23" x14ac:dyDescent="0.25">
      <c r="A3662" s="21">
        <v>45791</v>
      </c>
      <c r="B3662" s="1">
        <v>12839396</v>
      </c>
      <c r="C3662" t="s">
        <v>6461</v>
      </c>
      <c r="D3662" s="22">
        <v>-7796.57</v>
      </c>
      <c r="E3662" t="s">
        <v>35</v>
      </c>
      <c r="F3662" s="2">
        <v>212901001</v>
      </c>
      <c r="G3662" s="2" t="s">
        <v>121</v>
      </c>
      <c r="L3662" s="2" t="s">
        <v>6462</v>
      </c>
      <c r="M3662" t="s">
        <v>67</v>
      </c>
      <c r="N3662" t="s">
        <v>68</v>
      </c>
      <c r="P3662" s="23">
        <v>93.58</v>
      </c>
      <c r="Q3662" s="4">
        <f t="shared" si="57"/>
        <v>-83.314490275699939</v>
      </c>
      <c r="R3662" s="23" t="s">
        <v>109</v>
      </c>
      <c r="U3662">
        <v>12</v>
      </c>
      <c r="V3662" t="e">
        <f>VLOOKUP(U3662,[1]!NOMINA[#Data],4,FALSE)</f>
        <v>#REF!</v>
      </c>
      <c r="W3662" t="e">
        <f>VLOOKUP(U3662,[1]!NOMINA[#Data],5,FALSE)</f>
        <v>#REF!</v>
      </c>
    </row>
    <row r="3663" spans="1:23" x14ac:dyDescent="0.25">
      <c r="A3663" s="21">
        <v>45791</v>
      </c>
      <c r="B3663" s="1">
        <v>12839397</v>
      </c>
      <c r="C3663" t="s">
        <v>6463</v>
      </c>
      <c r="D3663" s="22">
        <v>-46464.86</v>
      </c>
      <c r="E3663" t="s">
        <v>35</v>
      </c>
      <c r="F3663" s="2">
        <v>212901001</v>
      </c>
      <c r="G3663" s="2" t="s">
        <v>121</v>
      </c>
      <c r="L3663" s="2" t="s">
        <v>6464</v>
      </c>
      <c r="M3663" t="s">
        <v>67</v>
      </c>
      <c r="N3663" t="s">
        <v>68</v>
      </c>
      <c r="P3663" s="23">
        <v>93.58</v>
      </c>
      <c r="Q3663" s="4">
        <f t="shared" si="57"/>
        <v>-496.52553964522338</v>
      </c>
      <c r="R3663" s="23" t="s">
        <v>109</v>
      </c>
      <c r="U3663">
        <v>2</v>
      </c>
      <c r="V3663" t="e">
        <f>VLOOKUP(Tabla3[[#This Row],[Nº]],[1]!NOMINA[#Data],4,FALSE)</f>
        <v>#REF!</v>
      </c>
      <c r="W3663" t="e">
        <f>VLOOKUP(Tabla3[[#This Row],[Nº]],[1]!NOMINA[#Data],5,FALSE)</f>
        <v>#REF!</v>
      </c>
    </row>
    <row r="3664" spans="1:23" x14ac:dyDescent="0.25">
      <c r="A3664" s="21">
        <v>45791</v>
      </c>
      <c r="B3664" s="1">
        <v>12839398</v>
      </c>
      <c r="C3664" t="s">
        <v>6465</v>
      </c>
      <c r="D3664" s="22">
        <v>-3426.47</v>
      </c>
      <c r="E3664" t="s">
        <v>35</v>
      </c>
      <c r="F3664" s="2">
        <v>212901001</v>
      </c>
      <c r="G3664" s="2" t="s">
        <v>121</v>
      </c>
      <c r="L3664" s="2" t="s">
        <v>6466</v>
      </c>
      <c r="M3664" t="s">
        <v>67</v>
      </c>
      <c r="N3664" t="s">
        <v>68</v>
      </c>
      <c r="P3664" s="23">
        <v>93.58</v>
      </c>
      <c r="Q3664" s="4">
        <f t="shared" si="57"/>
        <v>-36.615409275486215</v>
      </c>
      <c r="R3664" s="23" t="s">
        <v>109</v>
      </c>
      <c r="U3664">
        <v>28</v>
      </c>
      <c r="V3664" t="e">
        <f>VLOOKUP(U3664,[1]!NOMINA[#Data],4,FALSE)</f>
        <v>#REF!</v>
      </c>
      <c r="W3664" t="e">
        <f>VLOOKUP(U3664,[1]!NOMINA[#Data],5,FALSE)</f>
        <v>#REF!</v>
      </c>
    </row>
    <row r="3665" spans="1:23" x14ac:dyDescent="0.25">
      <c r="A3665" s="21">
        <v>45791</v>
      </c>
      <c r="B3665" s="1">
        <v>112839402</v>
      </c>
      <c r="C3665" t="s">
        <v>6467</v>
      </c>
      <c r="D3665" s="22">
        <v>-22618.23</v>
      </c>
      <c r="E3665" t="s">
        <v>35</v>
      </c>
      <c r="F3665" s="2">
        <v>212901001</v>
      </c>
      <c r="G3665" s="2" t="s">
        <v>121</v>
      </c>
      <c r="L3665" s="2" t="s">
        <v>6468</v>
      </c>
      <c r="M3665" t="s">
        <v>67</v>
      </c>
      <c r="N3665" t="s">
        <v>68</v>
      </c>
      <c r="P3665" s="23">
        <v>93.58</v>
      </c>
      <c r="Q3665" s="4">
        <f t="shared" si="57"/>
        <v>-241.69940158153452</v>
      </c>
      <c r="R3665" s="23" t="s">
        <v>109</v>
      </c>
      <c r="U3665">
        <v>3</v>
      </c>
      <c r="V3665" t="e">
        <f>VLOOKUP(U3665,[1]!NOMINA[#Data],4,FALSE)</f>
        <v>#REF!</v>
      </c>
      <c r="W3665" t="e">
        <f>VLOOKUP(U3665,[1]!NOMINA[#Data],5,FALSE)</f>
        <v>#REF!</v>
      </c>
    </row>
    <row r="3666" spans="1:23" x14ac:dyDescent="0.25">
      <c r="A3666" s="21">
        <v>45791</v>
      </c>
      <c r="B3666" s="1">
        <v>112839405</v>
      </c>
      <c r="C3666" t="s">
        <v>6469</v>
      </c>
      <c r="D3666" s="22">
        <v>-5237.42</v>
      </c>
      <c r="E3666" t="s">
        <v>35</v>
      </c>
      <c r="F3666" s="2">
        <v>212901001</v>
      </c>
      <c r="G3666" s="2" t="s">
        <v>121</v>
      </c>
      <c r="L3666" s="2" t="s">
        <v>6470</v>
      </c>
      <c r="M3666" t="s">
        <v>67</v>
      </c>
      <c r="N3666" t="s">
        <v>68</v>
      </c>
      <c r="P3666" s="23">
        <v>93.58</v>
      </c>
      <c r="Q3666" s="4">
        <f t="shared" si="57"/>
        <v>-55.967300705278909</v>
      </c>
      <c r="R3666" s="23" t="s">
        <v>109</v>
      </c>
      <c r="U3666">
        <v>19</v>
      </c>
      <c r="V3666" t="e">
        <f>VLOOKUP(U3666,[1]!NOMINA[#Data],4,FALSE)</f>
        <v>#REF!</v>
      </c>
      <c r="W3666" t="e">
        <f>VLOOKUP(U3666,[1]!NOMINA[#Data],5,FALSE)</f>
        <v>#REF!</v>
      </c>
    </row>
    <row r="3667" spans="1:23" x14ac:dyDescent="0.25">
      <c r="A3667" s="21">
        <v>45791</v>
      </c>
      <c r="B3667" s="1">
        <v>12839401</v>
      </c>
      <c r="C3667" t="s">
        <v>6471</v>
      </c>
      <c r="D3667" s="22">
        <v>-4569.25</v>
      </c>
      <c r="E3667" t="s">
        <v>35</v>
      </c>
      <c r="F3667" s="2">
        <v>212901001</v>
      </c>
      <c r="G3667" s="2" t="s">
        <v>121</v>
      </c>
      <c r="L3667" s="2" t="s">
        <v>6472</v>
      </c>
      <c r="M3667" t="s">
        <v>67</v>
      </c>
      <c r="N3667" t="s">
        <v>68</v>
      </c>
      <c r="P3667" s="23">
        <v>93.58</v>
      </c>
      <c r="Q3667" s="4">
        <f t="shared" si="57"/>
        <v>-48.82720666809147</v>
      </c>
      <c r="R3667" s="23" t="s">
        <v>109</v>
      </c>
      <c r="U3667">
        <v>24</v>
      </c>
      <c r="V3667" t="e">
        <f>VLOOKUP(U3667,[1]!NOMINA[#Data],4,FALSE)</f>
        <v>#REF!</v>
      </c>
      <c r="W3667" t="e">
        <f>VLOOKUP(U3667,[1]!NOMINA[#Data],5,FALSE)</f>
        <v>#REF!</v>
      </c>
    </row>
    <row r="3668" spans="1:23" x14ac:dyDescent="0.25">
      <c r="A3668" s="21">
        <v>45791</v>
      </c>
      <c r="B3668" s="1">
        <v>112839404</v>
      </c>
      <c r="C3668" t="s">
        <v>6473</v>
      </c>
      <c r="D3668" s="22">
        <v>-3204.99</v>
      </c>
      <c r="E3668" t="s">
        <v>35</v>
      </c>
      <c r="F3668" s="2">
        <v>212901001</v>
      </c>
      <c r="G3668" s="2" t="s">
        <v>121</v>
      </c>
      <c r="L3668" s="2" t="s">
        <v>6474</v>
      </c>
      <c r="M3668" t="s">
        <v>67</v>
      </c>
      <c r="N3668" t="s">
        <v>68</v>
      </c>
      <c r="P3668" s="23">
        <v>93.58</v>
      </c>
      <c r="Q3668" s="4">
        <f t="shared" si="57"/>
        <v>-34.248664244496688</v>
      </c>
      <c r="R3668" s="23" t="s">
        <v>109</v>
      </c>
      <c r="U3668">
        <v>27</v>
      </c>
      <c r="V3668" t="e">
        <f>VLOOKUP(U3668,[1]!NOMINA[#Data],4,FALSE)</f>
        <v>#REF!</v>
      </c>
      <c r="W3668" t="e">
        <f>VLOOKUP(U3668,[1]!NOMINA[#Data],5,FALSE)</f>
        <v>#REF!</v>
      </c>
    </row>
    <row r="3669" spans="1:23" x14ac:dyDescent="0.25">
      <c r="A3669" s="21">
        <v>45791</v>
      </c>
      <c r="B3669" s="1">
        <v>12839400</v>
      </c>
      <c r="C3669" t="s">
        <v>6475</v>
      </c>
      <c r="D3669" s="22">
        <v>-11567.36</v>
      </c>
      <c r="E3669" t="s">
        <v>35</v>
      </c>
      <c r="F3669" s="2">
        <v>212901001</v>
      </c>
      <c r="G3669" s="2" t="s">
        <v>121</v>
      </c>
      <c r="L3669" s="2" t="s">
        <v>6476</v>
      </c>
      <c r="M3669" t="s">
        <v>67</v>
      </c>
      <c r="N3669" t="s">
        <v>68</v>
      </c>
      <c r="P3669" s="23">
        <v>93.58</v>
      </c>
      <c r="Q3669" s="4">
        <f t="shared" si="57"/>
        <v>-123.60931823039111</v>
      </c>
      <c r="R3669" s="23" t="s">
        <v>109</v>
      </c>
      <c r="U3669">
        <v>6</v>
      </c>
      <c r="V3669" t="e">
        <f>VLOOKUP(U3669,[1]!NOMINA[#Data],4,FALSE)</f>
        <v>#REF!</v>
      </c>
      <c r="W3669" t="e">
        <f>VLOOKUP(U3669,[1]!NOMINA[#Data],5,FALSE)</f>
        <v>#REF!</v>
      </c>
    </row>
    <row r="3670" spans="1:23" x14ac:dyDescent="0.25">
      <c r="A3670" s="21">
        <v>45791</v>
      </c>
      <c r="B3670" s="1">
        <v>112839407</v>
      </c>
      <c r="C3670" t="s">
        <v>6477</v>
      </c>
      <c r="D3670" s="22">
        <v>-7887.77</v>
      </c>
      <c r="E3670" t="s">
        <v>35</v>
      </c>
      <c r="F3670" s="2">
        <v>212901001</v>
      </c>
      <c r="G3670" s="2" t="s">
        <v>121</v>
      </c>
      <c r="L3670" s="2" t="s">
        <v>6478</v>
      </c>
      <c r="M3670" t="s">
        <v>67</v>
      </c>
      <c r="N3670" t="s">
        <v>68</v>
      </c>
      <c r="P3670" s="23">
        <v>93.58</v>
      </c>
      <c r="Q3670" s="4">
        <f t="shared" si="57"/>
        <v>-84.289057490916875</v>
      </c>
      <c r="R3670" s="23" t="s">
        <v>109</v>
      </c>
      <c r="U3670">
        <v>16</v>
      </c>
      <c r="V3670" t="e">
        <f>VLOOKUP(Tabla3[[#This Row],[Nº]],[1]!NOMINA[#Data],4,FALSE)</f>
        <v>#REF!</v>
      </c>
      <c r="W3670" t="e">
        <f>VLOOKUP(Tabla3[[#This Row],[Nº]],[1]!NOMINA[#Data],5,FALSE)</f>
        <v>#REF!</v>
      </c>
    </row>
    <row r="3671" spans="1:23" x14ac:dyDescent="0.25">
      <c r="A3671" s="21">
        <v>45791</v>
      </c>
      <c r="B3671" s="1">
        <v>112839406</v>
      </c>
      <c r="C3671" t="s">
        <v>6479</v>
      </c>
      <c r="D3671" s="22">
        <v>-6000.51</v>
      </c>
      <c r="E3671" t="s">
        <v>35</v>
      </c>
      <c r="F3671" s="2">
        <v>212901001</v>
      </c>
      <c r="G3671" s="2" t="s">
        <v>121</v>
      </c>
      <c r="L3671" s="2" t="s">
        <v>6480</v>
      </c>
      <c r="M3671" t="s">
        <v>67</v>
      </c>
      <c r="N3671" t="s">
        <v>68</v>
      </c>
      <c r="P3671" s="23">
        <v>93.58</v>
      </c>
      <c r="Q3671" s="4">
        <f t="shared" si="57"/>
        <v>-64.121714041461857</v>
      </c>
      <c r="R3671" s="23" t="s">
        <v>109</v>
      </c>
      <c r="U3671">
        <v>5</v>
      </c>
      <c r="V3671" t="e">
        <f>VLOOKUP(U3671,[1]!NOMINA[#Data],4,FALSE)</f>
        <v>#REF!</v>
      </c>
      <c r="W3671" t="e">
        <f>VLOOKUP(U3671,[1]!NOMINA[#Data],5,FALSE)</f>
        <v>#REF!</v>
      </c>
    </row>
    <row r="3672" spans="1:23" x14ac:dyDescent="0.25">
      <c r="A3672" s="21">
        <v>45791</v>
      </c>
      <c r="B3672" s="1">
        <v>112839409</v>
      </c>
      <c r="C3672" t="s">
        <v>6481</v>
      </c>
      <c r="D3672" s="22">
        <v>-37158.86</v>
      </c>
      <c r="E3672" t="s">
        <v>35</v>
      </c>
      <c r="F3672" s="2">
        <v>212901001</v>
      </c>
      <c r="G3672" s="2" t="s">
        <v>121</v>
      </c>
      <c r="L3672" s="2" t="s">
        <v>6482</v>
      </c>
      <c r="M3672" t="s">
        <v>67</v>
      </c>
      <c r="N3672" t="s">
        <v>68</v>
      </c>
      <c r="P3672" s="23">
        <v>93.58</v>
      </c>
      <c r="Q3672" s="4">
        <f t="shared" si="57"/>
        <v>-397.08121393460141</v>
      </c>
      <c r="R3672" s="23" t="s">
        <v>109</v>
      </c>
      <c r="U3672">
        <v>1</v>
      </c>
      <c r="V3672" t="e">
        <f>VLOOKUP(U3672,[1]!NOMINA[#Data],4,FALSE)</f>
        <v>#REF!</v>
      </c>
      <c r="W3672" t="e">
        <f>VLOOKUP(U3672,[1]!NOMINA[#Data],5,FALSE)</f>
        <v>#REF!</v>
      </c>
    </row>
    <row r="3673" spans="1:23" x14ac:dyDescent="0.25">
      <c r="A3673" s="21">
        <v>45791</v>
      </c>
      <c r="B3673" s="1">
        <v>112839408</v>
      </c>
      <c r="C3673" t="s">
        <v>6483</v>
      </c>
      <c r="D3673" s="22">
        <v>-3205.92</v>
      </c>
      <c r="E3673" t="s">
        <v>35</v>
      </c>
      <c r="F3673" s="2">
        <v>212901001</v>
      </c>
      <c r="G3673" s="2" t="s">
        <v>121</v>
      </c>
      <c r="L3673" s="2" t="s">
        <v>6484</v>
      </c>
      <c r="M3673" t="s">
        <v>67</v>
      </c>
      <c r="N3673" t="s">
        <v>68</v>
      </c>
      <c r="P3673" s="23">
        <v>93.58</v>
      </c>
      <c r="Q3673" s="4">
        <f t="shared" si="57"/>
        <v>-34.258602265441333</v>
      </c>
      <c r="R3673" s="23" t="s">
        <v>109</v>
      </c>
      <c r="U3673">
        <v>7</v>
      </c>
      <c r="V3673" t="e">
        <f>VLOOKUP(U3673,[1]!NOMINA[#Data],4,FALSE)</f>
        <v>#REF!</v>
      </c>
      <c r="W3673" t="e">
        <f>VLOOKUP(U3673,[1]!NOMINA[#Data],5,FALSE)</f>
        <v>#REF!</v>
      </c>
    </row>
    <row r="3674" spans="1:23" x14ac:dyDescent="0.25">
      <c r="A3674" s="21">
        <v>45791</v>
      </c>
      <c r="B3674" s="1">
        <v>112839412</v>
      </c>
      <c r="C3674" t="s">
        <v>6485</v>
      </c>
      <c r="D3674" s="22">
        <v>-61.65</v>
      </c>
      <c r="E3674" t="s">
        <v>35</v>
      </c>
      <c r="F3674" s="2">
        <v>212901001</v>
      </c>
      <c r="G3674" s="2" t="s">
        <v>121</v>
      </c>
      <c r="L3674" s="2" t="s">
        <v>6486</v>
      </c>
      <c r="M3674" t="s">
        <v>67</v>
      </c>
      <c r="N3674" t="s">
        <v>68</v>
      </c>
      <c r="P3674" s="23">
        <v>93.58</v>
      </c>
      <c r="Q3674" s="4">
        <f t="shared" si="57"/>
        <v>-0.65879461423381069</v>
      </c>
      <c r="R3674" s="23" t="s">
        <v>109</v>
      </c>
      <c r="U3674">
        <v>9</v>
      </c>
      <c r="V3674" t="e">
        <f>VLOOKUP(U3674,[1]!NOMINA[#Data],4,FALSE)</f>
        <v>#REF!</v>
      </c>
      <c r="W3674" t="e">
        <f>VLOOKUP(U3674,[1]!NOMINA[#Data],5,FALSE)</f>
        <v>#REF!</v>
      </c>
    </row>
    <row r="3675" spans="1:23" x14ac:dyDescent="0.25">
      <c r="A3675" s="21">
        <v>45791</v>
      </c>
      <c r="B3675" s="1">
        <v>112839411</v>
      </c>
      <c r="C3675" t="s">
        <v>6487</v>
      </c>
      <c r="D3675" s="22">
        <v>-61.65</v>
      </c>
      <c r="E3675" t="s">
        <v>35</v>
      </c>
      <c r="F3675" s="2">
        <v>212901001</v>
      </c>
      <c r="G3675" s="2" t="s">
        <v>121</v>
      </c>
      <c r="L3675" s="2" t="s">
        <v>6488</v>
      </c>
      <c r="M3675" t="s">
        <v>67</v>
      </c>
      <c r="N3675" t="s">
        <v>68</v>
      </c>
      <c r="P3675" s="23">
        <v>93.58</v>
      </c>
      <c r="Q3675" s="4">
        <f t="shared" si="57"/>
        <v>-0.65879461423381069</v>
      </c>
      <c r="R3675" s="23" t="s">
        <v>109</v>
      </c>
      <c r="U3675">
        <v>26</v>
      </c>
      <c r="V3675" t="e">
        <f>VLOOKUP(Tabla3[[#This Row],[Nº]],[1]!NOMINA[#Data],4,FALSE)</f>
        <v>#REF!</v>
      </c>
      <c r="W3675" t="e">
        <f>VLOOKUP(Tabla3[[#This Row],[Nº]],[1]!NOMINA[#Data],5,FALSE)</f>
        <v>#REF!</v>
      </c>
    </row>
    <row r="3676" spans="1:23" x14ac:dyDescent="0.25">
      <c r="A3676" s="21">
        <v>45791</v>
      </c>
      <c r="B3676" s="1">
        <v>112839410</v>
      </c>
      <c r="C3676" t="s">
        <v>6489</v>
      </c>
      <c r="D3676" s="22">
        <v>-4613.91</v>
      </c>
      <c r="E3676" t="s">
        <v>35</v>
      </c>
      <c r="F3676" s="2">
        <v>212901001</v>
      </c>
      <c r="G3676" s="2" t="s">
        <v>121</v>
      </c>
      <c r="L3676" s="2" t="s">
        <v>6490</v>
      </c>
      <c r="M3676" t="s">
        <v>67</v>
      </c>
      <c r="N3676" t="s">
        <v>68</v>
      </c>
      <c r="P3676" s="23">
        <v>93.58</v>
      </c>
      <c r="Q3676" s="4">
        <f t="shared" si="57"/>
        <v>-49.304445394315024</v>
      </c>
      <c r="R3676" s="23" t="s">
        <v>109</v>
      </c>
      <c r="U3676">
        <v>36</v>
      </c>
      <c r="V3676" t="e">
        <f>VLOOKUP(U3676,[1]!NOMINA[#Data],4,FALSE)</f>
        <v>#REF!</v>
      </c>
      <c r="W3676" t="e">
        <f>VLOOKUP(U3676,[1]!NOMINA[#Data],5,FALSE)</f>
        <v>#REF!</v>
      </c>
    </row>
    <row r="3677" spans="1:23" x14ac:dyDescent="0.25">
      <c r="A3677" s="21">
        <v>45791</v>
      </c>
      <c r="B3677" s="1">
        <v>212839414</v>
      </c>
      <c r="C3677" t="s">
        <v>6491</v>
      </c>
      <c r="D3677" s="22">
        <v>-61.65</v>
      </c>
      <c r="E3677" t="s">
        <v>35</v>
      </c>
      <c r="F3677" s="2">
        <v>212901001</v>
      </c>
      <c r="G3677" s="2" t="s">
        <v>121</v>
      </c>
      <c r="L3677" s="2" t="s">
        <v>6492</v>
      </c>
      <c r="M3677" t="s">
        <v>67</v>
      </c>
      <c r="N3677" t="s">
        <v>68</v>
      </c>
      <c r="P3677" s="23">
        <v>93.58</v>
      </c>
      <c r="Q3677" s="4">
        <f t="shared" si="57"/>
        <v>-0.65879461423381069</v>
      </c>
      <c r="R3677" s="23" t="s">
        <v>109</v>
      </c>
      <c r="U3677">
        <v>29</v>
      </c>
      <c r="V3677" t="e">
        <f>VLOOKUP(U3677,[1]!NOMINA[#Data],4,FALSE)</f>
        <v>#REF!</v>
      </c>
      <c r="W3677" t="e">
        <f>VLOOKUP(U3677,[1]!NOMINA[#Data],5,FALSE)</f>
        <v>#REF!</v>
      </c>
    </row>
    <row r="3678" spans="1:23" x14ac:dyDescent="0.25">
      <c r="A3678" s="21">
        <v>45791</v>
      </c>
      <c r="B3678" s="1">
        <v>212839413</v>
      </c>
      <c r="C3678" t="s">
        <v>6493</v>
      </c>
      <c r="D3678" s="22">
        <v>-61.65</v>
      </c>
      <c r="E3678" t="s">
        <v>35</v>
      </c>
      <c r="F3678" s="2">
        <v>212901001</v>
      </c>
      <c r="G3678" s="2" t="s">
        <v>121</v>
      </c>
      <c r="L3678" s="2" t="s">
        <v>6494</v>
      </c>
      <c r="M3678" t="s">
        <v>67</v>
      </c>
      <c r="N3678" t="s">
        <v>68</v>
      </c>
      <c r="P3678" s="23">
        <v>93.58</v>
      </c>
      <c r="Q3678" s="4">
        <f t="shared" si="57"/>
        <v>-0.65879461423381069</v>
      </c>
      <c r="R3678" s="23" t="s">
        <v>109</v>
      </c>
      <c r="U3678">
        <v>10</v>
      </c>
      <c r="V3678" t="e">
        <f>VLOOKUP(U3678,[1]!NOMINA[#Data],4,FALSE)</f>
        <v>#REF!</v>
      </c>
      <c r="W3678" t="e">
        <f>VLOOKUP(U3678,[1]!NOMINA[#Data],5,FALSE)</f>
        <v>#REF!</v>
      </c>
    </row>
    <row r="3679" spans="1:23" x14ac:dyDescent="0.25">
      <c r="A3679" s="21">
        <v>45791</v>
      </c>
      <c r="B3679" s="1">
        <v>212839415</v>
      </c>
      <c r="C3679" t="s">
        <v>6495</v>
      </c>
      <c r="D3679" s="22">
        <v>-61.65</v>
      </c>
      <c r="E3679" t="s">
        <v>35</v>
      </c>
      <c r="F3679" s="2">
        <v>212901001</v>
      </c>
      <c r="G3679" s="2" t="s">
        <v>121</v>
      </c>
      <c r="L3679" s="2" t="s">
        <v>6496</v>
      </c>
      <c r="M3679" t="s">
        <v>67</v>
      </c>
      <c r="N3679" t="s">
        <v>68</v>
      </c>
      <c r="P3679" s="23">
        <v>93.58</v>
      </c>
      <c r="Q3679" s="4">
        <f t="shared" si="57"/>
        <v>-0.65879461423381069</v>
      </c>
      <c r="R3679" s="23" t="s">
        <v>109</v>
      </c>
      <c r="U3679">
        <v>18</v>
      </c>
      <c r="V3679" t="e">
        <f>VLOOKUP(Tabla3[[#This Row],[Nº]],[1]!NOMINA[#Data],4,FALSE)</f>
        <v>#REF!</v>
      </c>
      <c r="W3679" t="e">
        <f>VLOOKUP(Tabla3[[#This Row],[Nº]],[1]!NOMINA[#Data],5,FALSE)</f>
        <v>#REF!</v>
      </c>
    </row>
    <row r="3680" spans="1:23" x14ac:dyDescent="0.25">
      <c r="A3680" s="21">
        <v>45791</v>
      </c>
      <c r="B3680" s="1">
        <v>212839417</v>
      </c>
      <c r="C3680" t="s">
        <v>6497</v>
      </c>
      <c r="D3680" s="22">
        <v>-44.49</v>
      </c>
      <c r="E3680" t="s">
        <v>35</v>
      </c>
      <c r="F3680" s="2">
        <v>212901001</v>
      </c>
      <c r="G3680" s="2" t="s">
        <v>121</v>
      </c>
      <c r="L3680" s="2" t="s">
        <v>6498</v>
      </c>
      <c r="M3680" t="s">
        <v>67</v>
      </c>
      <c r="N3680" t="s">
        <v>68</v>
      </c>
      <c r="P3680" s="23">
        <v>93.58</v>
      </c>
      <c r="Q3680" s="4">
        <f t="shared" si="57"/>
        <v>-0.47542209873904684</v>
      </c>
      <c r="R3680" s="23" t="s">
        <v>109</v>
      </c>
      <c r="U3680">
        <v>38</v>
      </c>
      <c r="V3680" t="e">
        <f>VLOOKUP(U3680,[1]!NOMINA[#Data],4,FALSE)</f>
        <v>#REF!</v>
      </c>
      <c r="W3680" t="e">
        <f>VLOOKUP(U3680,[1]!NOMINA[#Data],5,FALSE)</f>
        <v>#REF!</v>
      </c>
    </row>
    <row r="3681" spans="1:23" x14ac:dyDescent="0.25">
      <c r="A3681" s="21">
        <v>45791</v>
      </c>
      <c r="B3681" s="1">
        <v>212839421</v>
      </c>
      <c r="C3681" t="s">
        <v>6499</v>
      </c>
      <c r="D3681" s="22">
        <v>-61.65</v>
      </c>
      <c r="E3681" t="s">
        <v>35</v>
      </c>
      <c r="F3681" s="2">
        <v>212901001</v>
      </c>
      <c r="G3681" s="2" t="s">
        <v>121</v>
      </c>
      <c r="L3681" s="2" t="s">
        <v>6500</v>
      </c>
      <c r="M3681" t="s">
        <v>67</v>
      </c>
      <c r="N3681" t="s">
        <v>68</v>
      </c>
      <c r="P3681" s="23">
        <v>93.58</v>
      </c>
      <c r="Q3681" s="4">
        <f t="shared" si="57"/>
        <v>-0.65879461423381069</v>
      </c>
      <c r="R3681" s="23" t="s">
        <v>109</v>
      </c>
      <c r="U3681">
        <v>20</v>
      </c>
      <c r="V3681" t="e">
        <f>VLOOKUP(Tabla3[[#This Row],[Nº]],[1]!NOMINA[#Data],4,FALSE)</f>
        <v>#REF!</v>
      </c>
      <c r="W3681" t="e">
        <f>VLOOKUP(Tabla3[[#This Row],[Nº]],[1]!NOMINA[#Data],5,FALSE)</f>
        <v>#REF!</v>
      </c>
    </row>
    <row r="3682" spans="1:23" x14ac:dyDescent="0.25">
      <c r="A3682" s="21">
        <v>45791</v>
      </c>
      <c r="B3682" s="1">
        <v>212839416</v>
      </c>
      <c r="C3682" t="s">
        <v>6501</v>
      </c>
      <c r="D3682" s="22">
        <v>-44.49</v>
      </c>
      <c r="E3682" t="s">
        <v>35</v>
      </c>
      <c r="F3682" s="2">
        <v>212901001</v>
      </c>
      <c r="G3682" s="2" t="s">
        <v>121</v>
      </c>
      <c r="L3682" s="2" t="s">
        <v>6502</v>
      </c>
      <c r="M3682" t="s">
        <v>67</v>
      </c>
      <c r="N3682" t="s">
        <v>68</v>
      </c>
      <c r="P3682" s="23">
        <v>93.58</v>
      </c>
      <c r="Q3682" s="4">
        <f t="shared" si="57"/>
        <v>-0.47542209873904684</v>
      </c>
      <c r="R3682" s="23" t="s">
        <v>109</v>
      </c>
      <c r="U3682">
        <v>15</v>
      </c>
      <c r="V3682" t="e">
        <f>VLOOKUP(U3682,[1]!NOMINA[#Data],4,FALSE)</f>
        <v>#REF!</v>
      </c>
      <c r="W3682" t="e">
        <f>VLOOKUP(U3682,[1]!NOMINA[#Data],5,FALSE)</f>
        <v>#REF!</v>
      </c>
    </row>
    <row r="3683" spans="1:23" x14ac:dyDescent="0.25">
      <c r="A3683" s="21">
        <v>45791</v>
      </c>
      <c r="B3683" s="1">
        <v>212839423</v>
      </c>
      <c r="C3683" t="s">
        <v>6503</v>
      </c>
      <c r="D3683" s="22">
        <v>-61.65</v>
      </c>
      <c r="E3683" t="s">
        <v>35</v>
      </c>
      <c r="F3683" s="2">
        <v>212901001</v>
      </c>
      <c r="G3683" s="2" t="s">
        <v>121</v>
      </c>
      <c r="L3683" s="2" t="s">
        <v>6504</v>
      </c>
      <c r="M3683" t="s">
        <v>67</v>
      </c>
      <c r="N3683" t="s">
        <v>68</v>
      </c>
      <c r="P3683" s="23">
        <v>93.58</v>
      </c>
      <c r="Q3683" s="4">
        <f t="shared" si="57"/>
        <v>-0.65879461423381069</v>
      </c>
      <c r="R3683" s="23" t="s">
        <v>109</v>
      </c>
      <c r="U3683">
        <v>13</v>
      </c>
      <c r="V3683" t="e">
        <f>VLOOKUP(U3683,[1]!NOMINA[#Data],4,FALSE)</f>
        <v>#REF!</v>
      </c>
      <c r="W3683" t="e">
        <f>VLOOKUP(U3683,[1]!NOMINA[#Data],5,FALSE)</f>
        <v>#REF!</v>
      </c>
    </row>
    <row r="3684" spans="1:23" x14ac:dyDescent="0.25">
      <c r="A3684" s="21">
        <v>45791</v>
      </c>
      <c r="B3684" s="1">
        <v>212839418</v>
      </c>
      <c r="C3684" t="s">
        <v>6505</v>
      </c>
      <c r="D3684" s="22">
        <v>-61.65</v>
      </c>
      <c r="E3684" t="s">
        <v>35</v>
      </c>
      <c r="F3684" s="2">
        <v>212901001</v>
      </c>
      <c r="G3684" s="2" t="s">
        <v>121</v>
      </c>
      <c r="L3684" s="2" t="s">
        <v>6506</v>
      </c>
      <c r="M3684" t="s">
        <v>67</v>
      </c>
      <c r="N3684" t="s">
        <v>68</v>
      </c>
      <c r="P3684" s="23">
        <v>93.58</v>
      </c>
      <c r="Q3684" s="4">
        <f t="shared" si="57"/>
        <v>-0.65879461423381069</v>
      </c>
      <c r="R3684" s="23" t="s">
        <v>109</v>
      </c>
      <c r="U3684">
        <v>8</v>
      </c>
      <c r="V3684" t="e">
        <f>VLOOKUP(U3684,[1]!NOMINA[#Data],4,FALSE)</f>
        <v>#REF!</v>
      </c>
      <c r="W3684" t="e">
        <f>VLOOKUP(U3684,[1]!NOMINA[#Data],5,FALSE)</f>
        <v>#REF!</v>
      </c>
    </row>
    <row r="3685" spans="1:23" x14ac:dyDescent="0.25">
      <c r="A3685" s="21">
        <v>45791</v>
      </c>
      <c r="B3685" s="1">
        <v>212839420</v>
      </c>
      <c r="C3685" t="s">
        <v>6507</v>
      </c>
      <c r="D3685" s="22">
        <v>-61.65</v>
      </c>
      <c r="E3685" t="s">
        <v>35</v>
      </c>
      <c r="F3685" s="2">
        <v>212901001</v>
      </c>
      <c r="G3685" s="2" t="s">
        <v>121</v>
      </c>
      <c r="L3685" s="2" t="s">
        <v>6508</v>
      </c>
      <c r="M3685" t="s">
        <v>67</v>
      </c>
      <c r="N3685" t="s">
        <v>68</v>
      </c>
      <c r="P3685" s="23">
        <v>93.58</v>
      </c>
      <c r="Q3685" s="4">
        <f t="shared" si="57"/>
        <v>-0.65879461423381069</v>
      </c>
      <c r="R3685" s="23" t="s">
        <v>109</v>
      </c>
      <c r="U3685">
        <v>11</v>
      </c>
      <c r="V3685" t="e">
        <f>VLOOKUP(U3685,[1]!NOMINA[#Data],4,FALSE)</f>
        <v>#REF!</v>
      </c>
      <c r="W3685" t="e">
        <f>VLOOKUP(U3685,[1]!NOMINA[#Data],5,FALSE)</f>
        <v>#REF!</v>
      </c>
    </row>
    <row r="3686" spans="1:23" x14ac:dyDescent="0.25">
      <c r="A3686" s="21">
        <v>45791</v>
      </c>
      <c r="B3686" s="1">
        <v>212839422</v>
      </c>
      <c r="C3686" t="s">
        <v>6509</v>
      </c>
      <c r="D3686" s="22">
        <v>-61.65</v>
      </c>
      <c r="E3686" t="s">
        <v>35</v>
      </c>
      <c r="F3686" s="2">
        <v>212901001</v>
      </c>
      <c r="G3686" s="2" t="s">
        <v>121</v>
      </c>
      <c r="L3686" s="2" t="s">
        <v>6510</v>
      </c>
      <c r="M3686" t="s">
        <v>67</v>
      </c>
      <c r="N3686" t="s">
        <v>68</v>
      </c>
      <c r="P3686" s="23">
        <v>93.58</v>
      </c>
      <c r="Q3686" s="4">
        <f t="shared" si="57"/>
        <v>-0.65879461423381069</v>
      </c>
      <c r="R3686" s="23" t="s">
        <v>109</v>
      </c>
      <c r="U3686">
        <v>23</v>
      </c>
      <c r="V3686" t="e">
        <f>VLOOKUP(U3686,[1]!NOMINA[#Data],4,FALSE)</f>
        <v>#REF!</v>
      </c>
      <c r="W3686" t="e">
        <f>VLOOKUP(U3686,[1]!NOMINA[#Data],5,FALSE)</f>
        <v>#REF!</v>
      </c>
    </row>
    <row r="3687" spans="1:23" x14ac:dyDescent="0.25">
      <c r="A3687" s="21">
        <v>45791</v>
      </c>
      <c r="B3687" s="1">
        <v>312839424</v>
      </c>
      <c r="C3687" t="s">
        <v>6511</v>
      </c>
      <c r="D3687" s="22">
        <v>-53.07</v>
      </c>
      <c r="E3687" t="s">
        <v>35</v>
      </c>
      <c r="F3687" s="2">
        <v>212901001</v>
      </c>
      <c r="G3687" s="2" t="s">
        <v>121</v>
      </c>
      <c r="L3687" s="2" t="s">
        <v>6512</v>
      </c>
      <c r="M3687" t="s">
        <v>67</v>
      </c>
      <c r="N3687" t="s">
        <v>68</v>
      </c>
      <c r="P3687" s="23">
        <v>93.58</v>
      </c>
      <c r="Q3687" s="4">
        <f t="shared" si="57"/>
        <v>-0.56710835648642877</v>
      </c>
      <c r="R3687" s="23" t="s">
        <v>109</v>
      </c>
      <c r="U3687">
        <v>43</v>
      </c>
      <c r="V3687" t="e">
        <f>VLOOKUP(U3687,[1]!NOMINA[#Data],4,FALSE)</f>
        <v>#REF!</v>
      </c>
      <c r="W3687" t="e">
        <f>VLOOKUP(U3687,[1]!NOMINA[#Data],5,FALSE)</f>
        <v>#REF!</v>
      </c>
    </row>
    <row r="3688" spans="1:23" x14ac:dyDescent="0.25">
      <c r="A3688" s="21">
        <v>45791</v>
      </c>
      <c r="B3688" s="1">
        <v>312839426</v>
      </c>
      <c r="C3688" t="s">
        <v>6513</v>
      </c>
      <c r="D3688" s="22">
        <v>-61.65</v>
      </c>
      <c r="E3688" t="s">
        <v>35</v>
      </c>
      <c r="F3688" s="2">
        <v>212901001</v>
      </c>
      <c r="G3688" s="2" t="s">
        <v>121</v>
      </c>
      <c r="L3688" s="2" t="s">
        <v>6514</v>
      </c>
      <c r="M3688" t="s">
        <v>67</v>
      </c>
      <c r="N3688" t="s">
        <v>68</v>
      </c>
      <c r="P3688" s="23">
        <v>93.58</v>
      </c>
      <c r="Q3688" s="4">
        <f t="shared" si="57"/>
        <v>-0.65879461423381069</v>
      </c>
      <c r="R3688" s="23" t="s">
        <v>109</v>
      </c>
      <c r="U3688">
        <v>17</v>
      </c>
      <c r="V3688" t="e">
        <f>VLOOKUP(U3688,[1]!NOMINA[#Data],4,FALSE)</f>
        <v>#REF!</v>
      </c>
      <c r="W3688" t="e">
        <f>VLOOKUP(U3688,[1]!NOMINA[#Data],5,FALSE)</f>
        <v>#REF!</v>
      </c>
    </row>
    <row r="3689" spans="1:23" x14ac:dyDescent="0.25">
      <c r="A3689" s="21">
        <v>45791</v>
      </c>
      <c r="B3689" s="1">
        <v>312839425</v>
      </c>
      <c r="C3689" t="s">
        <v>6515</v>
      </c>
      <c r="D3689" s="22">
        <v>-61.65</v>
      </c>
      <c r="E3689" t="s">
        <v>35</v>
      </c>
      <c r="F3689" s="2">
        <v>212901001</v>
      </c>
      <c r="G3689" s="2" t="s">
        <v>121</v>
      </c>
      <c r="L3689" s="2" t="s">
        <v>6516</v>
      </c>
      <c r="M3689" t="s">
        <v>67</v>
      </c>
      <c r="N3689" t="s">
        <v>68</v>
      </c>
      <c r="P3689" s="23">
        <v>93.58</v>
      </c>
      <c r="Q3689" s="4">
        <f t="shared" si="57"/>
        <v>-0.65879461423381069</v>
      </c>
      <c r="R3689" s="23" t="s">
        <v>109</v>
      </c>
      <c r="U3689">
        <v>4</v>
      </c>
      <c r="V3689" t="e">
        <f>VLOOKUP(U3689,[1]!NOMINA[#Data],4,FALSE)</f>
        <v>#REF!</v>
      </c>
      <c r="W3689" t="e">
        <f>VLOOKUP(U3689,[1]!NOMINA[#Data],5,FALSE)</f>
        <v>#REF!</v>
      </c>
    </row>
    <row r="3690" spans="1:23" x14ac:dyDescent="0.25">
      <c r="A3690" s="21">
        <v>45791</v>
      </c>
      <c r="B3690" s="1">
        <v>312839427</v>
      </c>
      <c r="C3690" t="s">
        <v>6517</v>
      </c>
      <c r="D3690" s="22">
        <v>-61.65</v>
      </c>
      <c r="E3690" t="s">
        <v>35</v>
      </c>
      <c r="F3690" s="2">
        <v>212901001</v>
      </c>
      <c r="G3690" s="2" t="s">
        <v>121</v>
      </c>
      <c r="L3690" s="2" t="s">
        <v>6518</v>
      </c>
      <c r="M3690" t="s">
        <v>67</v>
      </c>
      <c r="N3690" t="s">
        <v>68</v>
      </c>
      <c r="P3690" s="23">
        <v>93.58</v>
      </c>
      <c r="Q3690" s="4">
        <f t="shared" si="57"/>
        <v>-0.65879461423381069</v>
      </c>
      <c r="R3690" s="23" t="s">
        <v>109</v>
      </c>
      <c r="U3690">
        <v>22</v>
      </c>
      <c r="V3690" t="e">
        <f>VLOOKUP(U3690,[1]!NOMINA[#Data],4,FALSE)</f>
        <v>#REF!</v>
      </c>
      <c r="W3690" t="e">
        <f>VLOOKUP(U3690,[1]!NOMINA[#Data],5,FALSE)</f>
        <v>#REF!</v>
      </c>
    </row>
    <row r="3691" spans="1:23" x14ac:dyDescent="0.25">
      <c r="A3691" s="21">
        <v>45791</v>
      </c>
      <c r="B3691" s="1">
        <v>312839429</v>
      </c>
      <c r="C3691" t="s">
        <v>6519</v>
      </c>
      <c r="D3691" s="22">
        <v>-57.36</v>
      </c>
      <c r="E3691" t="s">
        <v>35</v>
      </c>
      <c r="F3691" s="2">
        <v>212901001</v>
      </c>
      <c r="G3691" s="2" t="s">
        <v>121</v>
      </c>
      <c r="L3691" s="2" t="s">
        <v>6520</v>
      </c>
      <c r="M3691" t="s">
        <v>67</v>
      </c>
      <c r="N3691" t="s">
        <v>68</v>
      </c>
      <c r="P3691" s="23">
        <v>93.58</v>
      </c>
      <c r="Q3691" s="4">
        <f t="shared" si="57"/>
        <v>-0.61295148536011967</v>
      </c>
      <c r="R3691" s="23" t="s">
        <v>109</v>
      </c>
      <c r="U3691">
        <v>42</v>
      </c>
      <c r="V3691" t="e">
        <f>VLOOKUP(U3691,[1]!NOMINA[#Data],4,FALSE)</f>
        <v>#REF!</v>
      </c>
      <c r="W3691" t="e">
        <f>VLOOKUP(U3691,[1]!NOMINA[#Data],5,FALSE)</f>
        <v>#REF!</v>
      </c>
    </row>
    <row r="3692" spans="1:23" x14ac:dyDescent="0.25">
      <c r="A3692" s="21">
        <v>45791</v>
      </c>
      <c r="B3692" s="1">
        <v>312839430</v>
      </c>
      <c r="C3692" t="s">
        <v>6521</v>
      </c>
      <c r="D3692" s="22">
        <v>-61.65</v>
      </c>
      <c r="E3692" t="s">
        <v>35</v>
      </c>
      <c r="F3692" s="2">
        <v>212901001</v>
      </c>
      <c r="G3692" s="2" t="s">
        <v>121</v>
      </c>
      <c r="L3692" s="2" t="s">
        <v>6522</v>
      </c>
      <c r="M3692" t="s">
        <v>67</v>
      </c>
      <c r="N3692" t="s">
        <v>68</v>
      </c>
      <c r="P3692" s="23">
        <v>93.58</v>
      </c>
      <c r="Q3692" s="4">
        <f t="shared" si="57"/>
        <v>-0.65879461423381069</v>
      </c>
      <c r="R3692" s="23" t="s">
        <v>109</v>
      </c>
      <c r="U3692">
        <v>14</v>
      </c>
      <c r="V3692" t="e">
        <f>VLOOKUP(U3692,[1]!NOMINA[#Data],4,FALSE)</f>
        <v>#REF!</v>
      </c>
      <c r="W3692" t="e">
        <f>VLOOKUP(U3692,[1]!NOMINA[#Data],5,FALSE)</f>
        <v>#REF!</v>
      </c>
    </row>
    <row r="3693" spans="1:23" x14ac:dyDescent="0.25">
      <c r="A3693" s="21">
        <v>45791</v>
      </c>
      <c r="B3693" s="1">
        <v>312839428</v>
      </c>
      <c r="C3693" t="s">
        <v>6523</v>
      </c>
      <c r="D3693" s="22">
        <v>-61.65</v>
      </c>
      <c r="E3693" t="s">
        <v>35</v>
      </c>
      <c r="F3693" s="2">
        <v>212901001</v>
      </c>
      <c r="G3693" s="2" t="s">
        <v>121</v>
      </c>
      <c r="L3693" s="2" t="s">
        <v>6524</v>
      </c>
      <c r="M3693" t="s">
        <v>67</v>
      </c>
      <c r="N3693" t="s">
        <v>68</v>
      </c>
      <c r="P3693" s="23">
        <v>93.58</v>
      </c>
      <c r="Q3693" s="4">
        <f t="shared" si="57"/>
        <v>-0.65879461423381069</v>
      </c>
      <c r="R3693" s="23" t="s">
        <v>109</v>
      </c>
      <c r="U3693">
        <v>39</v>
      </c>
      <c r="V3693" t="e">
        <f>VLOOKUP(U3693,[1]!NOMINA[#Data],4,FALSE)</f>
        <v>#REF!</v>
      </c>
      <c r="W3693" t="e">
        <f>VLOOKUP(U3693,[1]!NOMINA[#Data],5,FALSE)</f>
        <v>#REF!</v>
      </c>
    </row>
    <row r="3694" spans="1:23" x14ac:dyDescent="0.25">
      <c r="A3694" s="21">
        <v>45791</v>
      </c>
      <c r="B3694" s="1">
        <v>312839431</v>
      </c>
      <c r="C3694" t="s">
        <v>6525</v>
      </c>
      <c r="D3694" s="22">
        <v>-61.65</v>
      </c>
      <c r="E3694" t="s">
        <v>35</v>
      </c>
      <c r="F3694" s="2">
        <v>212901001</v>
      </c>
      <c r="G3694" s="2" t="s">
        <v>121</v>
      </c>
      <c r="L3694" s="2" t="s">
        <v>6526</v>
      </c>
      <c r="M3694" t="s">
        <v>67</v>
      </c>
      <c r="N3694" t="s">
        <v>68</v>
      </c>
      <c r="P3694" s="23">
        <v>93.58</v>
      </c>
      <c r="Q3694" s="4">
        <f t="shared" si="57"/>
        <v>-0.65879461423381069</v>
      </c>
      <c r="R3694" s="23" t="s">
        <v>109</v>
      </c>
      <c r="U3694">
        <v>21</v>
      </c>
      <c r="V3694" t="e">
        <f>VLOOKUP(U3694,[1]!NOMINA[#Data],4,FALSE)</f>
        <v>#REF!</v>
      </c>
      <c r="W3694" t="e">
        <f>VLOOKUP(U3694,[1]!NOMINA[#Data],5,FALSE)</f>
        <v>#REF!</v>
      </c>
    </row>
    <row r="3695" spans="1:23" x14ac:dyDescent="0.25">
      <c r="A3695" s="21">
        <v>45791</v>
      </c>
      <c r="B3695" s="1">
        <v>312839432</v>
      </c>
      <c r="C3695" t="s">
        <v>6527</v>
      </c>
      <c r="D3695" s="22">
        <v>-61.65</v>
      </c>
      <c r="E3695" t="s">
        <v>35</v>
      </c>
      <c r="F3695" s="2">
        <v>212901001</v>
      </c>
      <c r="G3695" s="2" t="s">
        <v>121</v>
      </c>
      <c r="L3695" s="2" t="s">
        <v>6528</v>
      </c>
      <c r="M3695" t="s">
        <v>67</v>
      </c>
      <c r="N3695" t="s">
        <v>68</v>
      </c>
      <c r="P3695" s="23">
        <v>93.58</v>
      </c>
      <c r="Q3695" s="4">
        <f t="shared" si="57"/>
        <v>-0.65879461423381069</v>
      </c>
      <c r="R3695" s="23" t="s">
        <v>109</v>
      </c>
      <c r="U3695">
        <v>25</v>
      </c>
      <c r="V3695" t="e">
        <f>VLOOKUP(U3695,[1]!NOMINA[#Data],4,FALSE)</f>
        <v>#REF!</v>
      </c>
      <c r="W3695" t="e">
        <f>VLOOKUP(U3695,[1]!NOMINA[#Data],5,FALSE)</f>
        <v>#REF!</v>
      </c>
    </row>
    <row r="3696" spans="1:23" x14ac:dyDescent="0.25">
      <c r="A3696" s="21">
        <v>45791</v>
      </c>
      <c r="B3696" s="1">
        <v>312839433</v>
      </c>
      <c r="C3696" t="s">
        <v>6529</v>
      </c>
      <c r="D3696" s="22">
        <v>-61.65</v>
      </c>
      <c r="E3696" t="s">
        <v>35</v>
      </c>
      <c r="F3696" s="2">
        <v>212901001</v>
      </c>
      <c r="G3696" s="2" t="s">
        <v>121</v>
      </c>
      <c r="L3696" s="2" t="s">
        <v>6530</v>
      </c>
      <c r="M3696" t="s">
        <v>67</v>
      </c>
      <c r="N3696" t="s">
        <v>68</v>
      </c>
      <c r="P3696" s="23">
        <v>93.58</v>
      </c>
      <c r="Q3696" s="4">
        <f t="shared" si="57"/>
        <v>-0.65879461423381069</v>
      </c>
      <c r="R3696" s="23" t="s">
        <v>109</v>
      </c>
      <c r="U3696">
        <v>12</v>
      </c>
      <c r="V3696" t="e">
        <f>VLOOKUP(U3696,[1]!NOMINA[#Data],4,FALSE)</f>
        <v>#REF!</v>
      </c>
      <c r="W3696" t="e">
        <f>VLOOKUP(U3696,[1]!NOMINA[#Data],5,FALSE)</f>
        <v>#REF!</v>
      </c>
    </row>
    <row r="3697" spans="1:23" x14ac:dyDescent="0.25">
      <c r="A3697" s="21">
        <v>45791</v>
      </c>
      <c r="B3697" s="1">
        <v>412839437</v>
      </c>
      <c r="C3697" t="s">
        <v>6531</v>
      </c>
      <c r="D3697" s="22">
        <v>-61.65</v>
      </c>
      <c r="E3697" t="s">
        <v>35</v>
      </c>
      <c r="F3697" s="2">
        <v>212901001</v>
      </c>
      <c r="G3697" s="2" t="s">
        <v>121</v>
      </c>
      <c r="L3697" s="2" t="s">
        <v>6532</v>
      </c>
      <c r="M3697" t="s">
        <v>67</v>
      </c>
      <c r="N3697" t="s">
        <v>68</v>
      </c>
      <c r="P3697" s="23">
        <v>93.58</v>
      </c>
      <c r="Q3697" s="4">
        <f t="shared" si="57"/>
        <v>-0.65879461423381069</v>
      </c>
      <c r="R3697" s="23" t="s">
        <v>109</v>
      </c>
      <c r="U3697">
        <v>2</v>
      </c>
      <c r="V3697" t="e">
        <f>VLOOKUP(Tabla3[[#This Row],[Nº]],[1]!NOMINA[#Data],4,FALSE)</f>
        <v>#REF!</v>
      </c>
      <c r="W3697" t="e">
        <f>VLOOKUP(Tabla3[[#This Row],[Nº]],[1]!NOMINA[#Data],5,FALSE)</f>
        <v>#REF!</v>
      </c>
    </row>
    <row r="3698" spans="1:23" x14ac:dyDescent="0.25">
      <c r="A3698" s="21">
        <v>45791</v>
      </c>
      <c r="B3698" s="1">
        <v>312839435</v>
      </c>
      <c r="C3698" t="s">
        <v>6533</v>
      </c>
      <c r="D3698" s="22">
        <v>-61.65</v>
      </c>
      <c r="E3698" t="s">
        <v>35</v>
      </c>
      <c r="F3698" s="2">
        <v>212901001</v>
      </c>
      <c r="G3698" s="2" t="s">
        <v>121</v>
      </c>
      <c r="L3698" s="2" t="s">
        <v>6534</v>
      </c>
      <c r="M3698" t="s">
        <v>67</v>
      </c>
      <c r="N3698" t="s">
        <v>68</v>
      </c>
      <c r="P3698" s="23">
        <v>93.58</v>
      </c>
      <c r="Q3698" s="4">
        <f t="shared" si="57"/>
        <v>-0.65879461423381069</v>
      </c>
      <c r="R3698" s="23" t="s">
        <v>109</v>
      </c>
      <c r="U3698">
        <v>6</v>
      </c>
      <c r="V3698" t="e">
        <f>VLOOKUP(U3698,[1]!NOMINA[#Data],4,FALSE)</f>
        <v>#REF!</v>
      </c>
      <c r="W3698" t="e">
        <f>VLOOKUP(U3698,[1]!NOMINA[#Data],5,FALSE)</f>
        <v>#REF!</v>
      </c>
    </row>
    <row r="3699" spans="1:23" x14ac:dyDescent="0.25">
      <c r="A3699" s="21">
        <v>45791</v>
      </c>
      <c r="B3699" s="1">
        <v>412839439</v>
      </c>
      <c r="C3699" t="s">
        <v>6535</v>
      </c>
      <c r="D3699" s="22">
        <v>-61.65</v>
      </c>
      <c r="E3699" t="s">
        <v>35</v>
      </c>
      <c r="F3699" s="2">
        <v>212901001</v>
      </c>
      <c r="G3699" s="2" t="s">
        <v>121</v>
      </c>
      <c r="L3699" s="2" t="s">
        <v>6536</v>
      </c>
      <c r="M3699" t="s">
        <v>67</v>
      </c>
      <c r="N3699" t="s">
        <v>68</v>
      </c>
      <c r="P3699" s="23">
        <v>93.58</v>
      </c>
      <c r="Q3699" s="4">
        <f t="shared" si="57"/>
        <v>-0.65879461423381069</v>
      </c>
      <c r="R3699" s="23" t="s">
        <v>109</v>
      </c>
      <c r="U3699">
        <v>24</v>
      </c>
      <c r="V3699" t="e">
        <f>VLOOKUP(U3699,[1]!NOMINA[#Data],4,FALSE)</f>
        <v>#REF!</v>
      </c>
      <c r="W3699" t="e">
        <f>VLOOKUP(U3699,[1]!NOMINA[#Data],5,FALSE)</f>
        <v>#REF!</v>
      </c>
    </row>
    <row r="3700" spans="1:23" x14ac:dyDescent="0.25">
      <c r="A3700" s="21">
        <v>45791</v>
      </c>
      <c r="B3700" s="1">
        <v>412839440</v>
      </c>
      <c r="C3700" t="s">
        <v>6537</v>
      </c>
      <c r="D3700" s="22">
        <v>-61.65</v>
      </c>
      <c r="E3700" t="s">
        <v>35</v>
      </c>
      <c r="F3700" s="2">
        <v>212901001</v>
      </c>
      <c r="G3700" s="2" t="s">
        <v>121</v>
      </c>
      <c r="L3700" s="2" t="s">
        <v>6538</v>
      </c>
      <c r="M3700" t="s">
        <v>67</v>
      </c>
      <c r="N3700" t="s">
        <v>68</v>
      </c>
      <c r="P3700" s="23">
        <v>93.58</v>
      </c>
      <c r="Q3700" s="4">
        <f t="shared" si="57"/>
        <v>-0.65879461423381069</v>
      </c>
      <c r="R3700" s="23" t="s">
        <v>109</v>
      </c>
      <c r="U3700">
        <v>3</v>
      </c>
      <c r="V3700" t="e">
        <f>VLOOKUP(U3700,[1]!NOMINA[#Data],4,FALSE)</f>
        <v>#REF!</v>
      </c>
      <c r="W3700" t="e">
        <f>VLOOKUP(U3700,[1]!NOMINA[#Data],5,FALSE)</f>
        <v>#REF!</v>
      </c>
    </row>
    <row r="3701" spans="1:23" x14ac:dyDescent="0.25">
      <c r="A3701" s="21">
        <v>45791</v>
      </c>
      <c r="B3701" s="1">
        <v>412839436</v>
      </c>
      <c r="C3701" t="s">
        <v>6539</v>
      </c>
      <c r="D3701" s="22">
        <v>-57.36</v>
      </c>
      <c r="E3701" t="s">
        <v>35</v>
      </c>
      <c r="F3701" s="2">
        <v>212901001</v>
      </c>
      <c r="G3701" s="2" t="s">
        <v>121</v>
      </c>
      <c r="L3701" s="2" t="s">
        <v>6540</v>
      </c>
      <c r="M3701" t="s">
        <v>67</v>
      </c>
      <c r="N3701" t="s">
        <v>68</v>
      </c>
      <c r="P3701" s="23">
        <v>93.58</v>
      </c>
      <c r="Q3701" s="4">
        <f t="shared" si="57"/>
        <v>-0.61295148536011967</v>
      </c>
      <c r="R3701" s="23" t="s">
        <v>109</v>
      </c>
      <c r="U3701">
        <v>28</v>
      </c>
      <c r="V3701" t="e">
        <f>VLOOKUP(U3701,[1]!NOMINA[#Data],4,FALSE)</f>
        <v>#REF!</v>
      </c>
      <c r="W3701" t="e">
        <f>VLOOKUP(U3701,[1]!NOMINA[#Data],5,FALSE)</f>
        <v>#REF!</v>
      </c>
    </row>
    <row r="3702" spans="1:23" x14ac:dyDescent="0.25">
      <c r="A3702" s="21">
        <v>45791</v>
      </c>
      <c r="B3702" s="1">
        <v>412839438</v>
      </c>
      <c r="C3702" t="s">
        <v>6541</v>
      </c>
      <c r="D3702" s="22">
        <v>-61.65</v>
      </c>
      <c r="E3702" t="s">
        <v>35</v>
      </c>
      <c r="F3702" s="2">
        <v>212901001</v>
      </c>
      <c r="G3702" s="2" t="s">
        <v>121</v>
      </c>
      <c r="L3702" s="2" t="s">
        <v>6542</v>
      </c>
      <c r="M3702" t="s">
        <v>67</v>
      </c>
      <c r="N3702" t="s">
        <v>68</v>
      </c>
      <c r="P3702" s="23">
        <v>93.58</v>
      </c>
      <c r="Q3702" s="4">
        <f t="shared" si="57"/>
        <v>-0.65879461423381069</v>
      </c>
      <c r="R3702" s="23" t="s">
        <v>109</v>
      </c>
      <c r="U3702">
        <v>27</v>
      </c>
      <c r="V3702" t="e">
        <f>VLOOKUP(U3702,[1]!NOMINA[#Data],4,FALSE)</f>
        <v>#REF!</v>
      </c>
      <c r="W3702" t="e">
        <f>VLOOKUP(U3702,[1]!NOMINA[#Data],5,FALSE)</f>
        <v>#REF!</v>
      </c>
    </row>
    <row r="3703" spans="1:23" x14ac:dyDescent="0.25">
      <c r="A3703" s="21">
        <v>45791</v>
      </c>
      <c r="B3703" s="1">
        <v>412839443</v>
      </c>
      <c r="C3703" t="s">
        <v>6543</v>
      </c>
      <c r="D3703" s="22">
        <v>-61.65</v>
      </c>
      <c r="E3703" t="s">
        <v>35</v>
      </c>
      <c r="F3703" s="2">
        <v>212901001</v>
      </c>
      <c r="G3703" s="2" t="s">
        <v>121</v>
      </c>
      <c r="L3703" s="2" t="s">
        <v>6544</v>
      </c>
      <c r="M3703" t="s">
        <v>67</v>
      </c>
      <c r="N3703" t="s">
        <v>68</v>
      </c>
      <c r="P3703" s="23">
        <v>93.58</v>
      </c>
      <c r="Q3703" s="4">
        <f t="shared" si="57"/>
        <v>-0.65879461423381069</v>
      </c>
      <c r="R3703" s="23" t="s">
        <v>109</v>
      </c>
      <c r="U3703">
        <v>19</v>
      </c>
      <c r="V3703" t="e">
        <f>VLOOKUP(U3703,[1]!NOMINA[#Data],4,FALSE)</f>
        <v>#REF!</v>
      </c>
      <c r="W3703" t="e">
        <f>VLOOKUP(U3703,[1]!NOMINA[#Data],5,FALSE)</f>
        <v>#REF!</v>
      </c>
    </row>
    <row r="3704" spans="1:23" x14ac:dyDescent="0.25">
      <c r="A3704" s="21">
        <v>45791</v>
      </c>
      <c r="B3704" s="1">
        <v>412839446</v>
      </c>
      <c r="C3704" t="s">
        <v>6545</v>
      </c>
      <c r="D3704" s="22">
        <v>-61.65</v>
      </c>
      <c r="E3704" t="s">
        <v>35</v>
      </c>
      <c r="F3704" s="2">
        <v>212901001</v>
      </c>
      <c r="G3704" s="2" t="s">
        <v>121</v>
      </c>
      <c r="L3704" s="2" t="s">
        <v>6546</v>
      </c>
      <c r="M3704" t="s">
        <v>67</v>
      </c>
      <c r="N3704" t="s">
        <v>68</v>
      </c>
      <c r="P3704" s="23">
        <v>93.58</v>
      </c>
      <c r="Q3704" s="4">
        <f t="shared" si="57"/>
        <v>-0.65879461423381069</v>
      </c>
      <c r="R3704" s="23" t="s">
        <v>109</v>
      </c>
      <c r="U3704">
        <v>5</v>
      </c>
      <c r="V3704" t="e">
        <f>VLOOKUP(U3704,[1]!NOMINA[#Data],4,FALSE)</f>
        <v>#REF!</v>
      </c>
      <c r="W3704" t="e">
        <f>VLOOKUP(U3704,[1]!NOMINA[#Data],5,FALSE)</f>
        <v>#REF!</v>
      </c>
    </row>
    <row r="3705" spans="1:23" x14ac:dyDescent="0.25">
      <c r="A3705" s="21">
        <v>45791</v>
      </c>
      <c r="B3705" s="1">
        <v>412839442</v>
      </c>
      <c r="C3705" t="s">
        <v>6547</v>
      </c>
      <c r="D3705" s="22">
        <v>-61.65</v>
      </c>
      <c r="E3705" t="s">
        <v>35</v>
      </c>
      <c r="F3705" s="2">
        <v>212901001</v>
      </c>
      <c r="G3705" s="2" t="s">
        <v>121</v>
      </c>
      <c r="L3705" s="2" t="s">
        <v>6548</v>
      </c>
      <c r="M3705" t="s">
        <v>67</v>
      </c>
      <c r="N3705" t="s">
        <v>68</v>
      </c>
      <c r="P3705" s="23">
        <v>93.58</v>
      </c>
      <c r="Q3705" s="4">
        <f t="shared" si="57"/>
        <v>-0.65879461423381069</v>
      </c>
      <c r="R3705" s="23" t="s">
        <v>109</v>
      </c>
      <c r="U3705">
        <v>16</v>
      </c>
      <c r="V3705" t="e">
        <f>VLOOKUP(Tabla3[[#This Row],[Nº]],[1]!NOMINA[#Data],4,FALSE)</f>
        <v>#REF!</v>
      </c>
      <c r="W3705" t="e">
        <f>VLOOKUP(Tabla3[[#This Row],[Nº]],[1]!NOMINA[#Data],5,FALSE)</f>
        <v>#REF!</v>
      </c>
    </row>
    <row r="3706" spans="1:23" x14ac:dyDescent="0.25">
      <c r="A3706" s="21">
        <v>45791</v>
      </c>
      <c r="B3706" s="1">
        <v>412839444</v>
      </c>
      <c r="C3706" t="s">
        <v>6549</v>
      </c>
      <c r="D3706" s="22">
        <v>-61.65</v>
      </c>
      <c r="E3706" t="s">
        <v>35</v>
      </c>
      <c r="F3706" s="2">
        <v>212901001</v>
      </c>
      <c r="G3706" s="2" t="s">
        <v>121</v>
      </c>
      <c r="L3706" s="2" t="s">
        <v>6550</v>
      </c>
      <c r="M3706" t="s">
        <v>67</v>
      </c>
      <c r="N3706" t="s">
        <v>68</v>
      </c>
      <c r="P3706" s="23">
        <v>93.58</v>
      </c>
      <c r="Q3706" s="4">
        <f t="shared" si="57"/>
        <v>-0.65879461423381069</v>
      </c>
      <c r="R3706" s="23" t="s">
        <v>109</v>
      </c>
      <c r="U3706">
        <v>7</v>
      </c>
      <c r="V3706" t="e">
        <f>VLOOKUP(U3706,[1]!NOMINA[#Data],4,FALSE)</f>
        <v>#REF!</v>
      </c>
      <c r="W3706" t="e">
        <f>VLOOKUP(U3706,[1]!NOMINA[#Data],5,FALSE)</f>
        <v>#REF!</v>
      </c>
    </row>
    <row r="3707" spans="1:23" x14ac:dyDescent="0.25">
      <c r="A3707" s="21">
        <v>45791</v>
      </c>
      <c r="B3707" s="1">
        <v>412839445</v>
      </c>
      <c r="C3707" t="s">
        <v>6551</v>
      </c>
      <c r="D3707" s="22">
        <v>-61.65</v>
      </c>
      <c r="E3707" t="s">
        <v>35</v>
      </c>
      <c r="F3707" s="2">
        <v>212901001</v>
      </c>
      <c r="G3707" s="2" t="s">
        <v>121</v>
      </c>
      <c r="L3707" s="2" t="s">
        <v>6552</v>
      </c>
      <c r="M3707" t="s">
        <v>67</v>
      </c>
      <c r="N3707" t="s">
        <v>68</v>
      </c>
      <c r="P3707" s="23">
        <v>93.58</v>
      </c>
      <c r="Q3707" s="4">
        <f t="shared" si="57"/>
        <v>-0.65879461423381069</v>
      </c>
      <c r="R3707" s="23" t="s">
        <v>109</v>
      </c>
      <c r="U3707">
        <v>1</v>
      </c>
      <c r="V3707" t="e">
        <f>VLOOKUP(U3707,[1]!NOMINA[#Data],4,FALSE)</f>
        <v>#REF!</v>
      </c>
      <c r="W3707" t="e">
        <f>VLOOKUP(U3707,[1]!NOMINA[#Data],5,FALSE)</f>
        <v>#REF!</v>
      </c>
    </row>
    <row r="3708" spans="1:23" x14ac:dyDescent="0.25">
      <c r="A3708" s="21">
        <v>45791</v>
      </c>
      <c r="B3708" s="1">
        <v>512839447</v>
      </c>
      <c r="C3708" t="s">
        <v>6553</v>
      </c>
      <c r="D3708" s="22">
        <v>-61.65</v>
      </c>
      <c r="E3708" t="s">
        <v>35</v>
      </c>
      <c r="F3708" s="2">
        <v>212901001</v>
      </c>
      <c r="G3708" s="2" t="s">
        <v>121</v>
      </c>
      <c r="L3708" s="2" t="s">
        <v>6554</v>
      </c>
      <c r="M3708" t="s">
        <v>67</v>
      </c>
      <c r="N3708" s="2" t="s">
        <v>68</v>
      </c>
      <c r="O3708" s="2"/>
      <c r="P3708" s="23">
        <v>93.58</v>
      </c>
      <c r="Q3708" s="4">
        <f t="shared" si="57"/>
        <v>-0.65879461423381069</v>
      </c>
      <c r="R3708" s="23" t="s">
        <v>109</v>
      </c>
      <c r="U3708">
        <v>36</v>
      </c>
      <c r="V3708" t="e">
        <f>VLOOKUP(U3708,[1]!NOMINA[#Data],4,FALSE)</f>
        <v>#REF!</v>
      </c>
      <c r="W3708" t="e">
        <f>VLOOKUP(U3708,[1]!NOMINA[#Data],5,FALSE)</f>
        <v>#REF!</v>
      </c>
    </row>
    <row r="3709" spans="1:23" x14ac:dyDescent="0.25">
      <c r="A3709" s="21">
        <v>45791</v>
      </c>
      <c r="B3709" s="1">
        <v>50516566</v>
      </c>
      <c r="C3709" t="s">
        <v>6555</v>
      </c>
      <c r="D3709" s="22">
        <v>-11629.01</v>
      </c>
      <c r="E3709" t="s">
        <v>35</v>
      </c>
      <c r="F3709" s="2">
        <v>212901001</v>
      </c>
      <c r="G3709" s="2" t="s">
        <v>121</v>
      </c>
      <c r="L3709" s="2" t="s">
        <v>6556</v>
      </c>
      <c r="M3709" t="s">
        <v>67</v>
      </c>
      <c r="N3709" t="s">
        <v>68</v>
      </c>
      <c r="P3709" s="23">
        <v>93.58</v>
      </c>
      <c r="Q3709" s="4">
        <f t="shared" si="57"/>
        <v>-124.26811284462492</v>
      </c>
      <c r="R3709" s="23" t="s">
        <v>109</v>
      </c>
      <c r="U3709">
        <v>40</v>
      </c>
      <c r="V3709" t="e">
        <f>VLOOKUP(U3709,[1]!NOMINA[#Data],4,FALSE)</f>
        <v>#REF!</v>
      </c>
      <c r="W3709" t="e">
        <f>VLOOKUP(U3709,[1]!NOMINA[#Data],5,FALSE)</f>
        <v>#REF!</v>
      </c>
    </row>
    <row r="3710" spans="1:23" x14ac:dyDescent="0.25">
      <c r="A3710" s="21">
        <v>45791</v>
      </c>
      <c r="B3710" s="1">
        <v>50516566</v>
      </c>
      <c r="C3710" t="s">
        <v>296</v>
      </c>
      <c r="D3710" s="22">
        <v>-17.440000000000001</v>
      </c>
      <c r="E3710" t="s">
        <v>35</v>
      </c>
      <c r="F3710" s="2">
        <v>610148001</v>
      </c>
      <c r="G3710" s="2" t="s">
        <v>42</v>
      </c>
      <c r="L3710" s="2" t="s">
        <v>6557</v>
      </c>
      <c r="M3710" t="s">
        <v>43</v>
      </c>
      <c r="N3710" t="s">
        <v>42</v>
      </c>
      <c r="P3710" s="23">
        <v>93.58</v>
      </c>
      <c r="Q3710" s="4">
        <f t="shared" si="57"/>
        <v>-0.18636460782218425</v>
      </c>
      <c r="R3710" s="23" t="s">
        <v>109</v>
      </c>
      <c r="T3710" s="23" t="s">
        <v>6107</v>
      </c>
    </row>
    <row r="3711" spans="1:23" x14ac:dyDescent="0.25">
      <c r="A3711" s="21">
        <v>45791</v>
      </c>
      <c r="B3711" s="1">
        <v>50516566</v>
      </c>
      <c r="C3711" t="s">
        <v>118</v>
      </c>
      <c r="D3711" s="22">
        <v>-757.56</v>
      </c>
      <c r="E3711" t="s">
        <v>35</v>
      </c>
      <c r="F3711" s="2">
        <v>610148001</v>
      </c>
      <c r="G3711" s="2" t="s">
        <v>42</v>
      </c>
      <c r="L3711" s="2" t="s">
        <v>6558</v>
      </c>
      <c r="M3711" t="s">
        <v>43</v>
      </c>
      <c r="N3711" t="s">
        <v>42</v>
      </c>
      <c r="P3711" s="23">
        <v>93.58</v>
      </c>
      <c r="Q3711" s="4">
        <f t="shared" si="57"/>
        <v>-8.0953195127163919</v>
      </c>
      <c r="R3711" s="23" t="s">
        <v>109</v>
      </c>
      <c r="T3711" s="23" t="s">
        <v>6107</v>
      </c>
    </row>
    <row r="3712" spans="1:23" x14ac:dyDescent="0.25">
      <c r="A3712" s="21">
        <v>45792</v>
      </c>
      <c r="B3712" s="1">
        <v>612862605</v>
      </c>
      <c r="C3712" t="s">
        <v>6559</v>
      </c>
      <c r="D3712" s="43">
        <v>-2060</v>
      </c>
      <c r="E3712" t="s">
        <v>35</v>
      </c>
      <c r="F3712" s="2">
        <v>110114001</v>
      </c>
      <c r="G3712" s="2" t="s">
        <v>301</v>
      </c>
      <c r="L3712" s="2" t="s">
        <v>6560</v>
      </c>
      <c r="M3712" t="s">
        <v>788</v>
      </c>
      <c r="N3712" t="s">
        <v>789</v>
      </c>
      <c r="P3712" s="23">
        <v>94.16</v>
      </c>
      <c r="Q3712" s="4">
        <f t="shared" si="57"/>
        <v>-21.877655055225148</v>
      </c>
      <c r="R3712" s="23" t="s">
        <v>109</v>
      </c>
      <c r="S3712" s="33" t="s">
        <v>2599</v>
      </c>
    </row>
    <row r="3713" spans="1:20" x14ac:dyDescent="0.25">
      <c r="A3713" s="21">
        <v>45792</v>
      </c>
      <c r="B3713" s="1">
        <v>612862605</v>
      </c>
      <c r="C3713" t="s">
        <v>306</v>
      </c>
      <c r="D3713" s="22">
        <v>-6.18</v>
      </c>
      <c r="E3713" t="s">
        <v>35</v>
      </c>
      <c r="F3713" s="2">
        <v>610148001</v>
      </c>
      <c r="G3713" s="2" t="s">
        <v>42</v>
      </c>
      <c r="L3713" s="2" t="s">
        <v>6561</v>
      </c>
      <c r="M3713" t="s">
        <v>43</v>
      </c>
      <c r="N3713" t="s">
        <v>42</v>
      </c>
      <c r="P3713" s="23">
        <v>94.16</v>
      </c>
      <c r="Q3713" s="4">
        <f t="shared" si="57"/>
        <v>-6.5632965165675447E-2</v>
      </c>
      <c r="R3713" s="23" t="s">
        <v>109</v>
      </c>
      <c r="T3713" s="23" t="s">
        <v>6107</v>
      </c>
    </row>
    <row r="3714" spans="1:20" x14ac:dyDescent="0.25">
      <c r="A3714" s="21">
        <v>45792</v>
      </c>
      <c r="B3714" s="1">
        <v>412880086</v>
      </c>
      <c r="C3714" t="s">
        <v>6559</v>
      </c>
      <c r="D3714" s="43">
        <v>-2000</v>
      </c>
      <c r="E3714" t="s">
        <v>35</v>
      </c>
      <c r="F3714" s="2">
        <v>110114001</v>
      </c>
      <c r="G3714" s="2" t="s">
        <v>301</v>
      </c>
      <c r="L3714" s="2" t="s">
        <v>6562</v>
      </c>
      <c r="M3714" t="s">
        <v>788</v>
      </c>
      <c r="N3714" t="s">
        <v>789</v>
      </c>
      <c r="P3714" s="23">
        <v>94.16</v>
      </c>
      <c r="Q3714" s="4">
        <f t="shared" si="57"/>
        <v>-21.240441801189466</v>
      </c>
      <c r="R3714" s="23" t="s">
        <v>109</v>
      </c>
      <c r="S3714" s="33" t="s">
        <v>2599</v>
      </c>
    </row>
    <row r="3715" spans="1:20" x14ac:dyDescent="0.25">
      <c r="A3715" s="21">
        <v>45792</v>
      </c>
      <c r="B3715" s="1">
        <v>412880086</v>
      </c>
      <c r="C3715" t="s">
        <v>306</v>
      </c>
      <c r="D3715" s="22">
        <v>-6</v>
      </c>
      <c r="E3715" t="s">
        <v>35</v>
      </c>
      <c r="F3715" s="2">
        <v>610148001</v>
      </c>
      <c r="G3715" s="2" t="s">
        <v>42</v>
      </c>
      <c r="L3715" s="2" t="s">
        <v>6563</v>
      </c>
      <c r="M3715" t="s">
        <v>43</v>
      </c>
      <c r="N3715" t="s">
        <v>42</v>
      </c>
      <c r="P3715" s="23">
        <v>94.16</v>
      </c>
      <c r="Q3715" s="4">
        <f t="shared" si="57"/>
        <v>-6.3721325403568396E-2</v>
      </c>
      <c r="R3715" s="23" t="s">
        <v>109</v>
      </c>
      <c r="T3715" s="23" t="s">
        <v>6107</v>
      </c>
    </row>
    <row r="3716" spans="1:20" x14ac:dyDescent="0.25">
      <c r="A3716" s="21">
        <v>45793</v>
      </c>
      <c r="B3716" s="1">
        <v>153444184</v>
      </c>
      <c r="C3716" t="s">
        <v>107</v>
      </c>
      <c r="D3716" s="22">
        <v>440000</v>
      </c>
      <c r="E3716" t="s">
        <v>46</v>
      </c>
      <c r="F3716" s="2">
        <v>210115002</v>
      </c>
      <c r="G3716" s="2" t="s">
        <v>47</v>
      </c>
      <c r="L3716" s="2" t="s">
        <v>6564</v>
      </c>
      <c r="N3716" t="s">
        <v>107</v>
      </c>
      <c r="P3716" s="23">
        <v>94.32</v>
      </c>
      <c r="Q3716" s="4">
        <f t="shared" si="57"/>
        <v>4664.9703138252762</v>
      </c>
      <c r="R3716" s="23" t="s">
        <v>109</v>
      </c>
    </row>
    <row r="3717" spans="1:20" x14ac:dyDescent="0.25">
      <c r="A3717" s="21">
        <v>45793</v>
      </c>
      <c r="B3717" s="1">
        <v>212971651</v>
      </c>
      <c r="C3717" t="s">
        <v>6565</v>
      </c>
      <c r="D3717" s="22">
        <v>-7545.6</v>
      </c>
      <c r="E3717" t="s">
        <v>35</v>
      </c>
      <c r="F3717" s="2">
        <v>212901001</v>
      </c>
      <c r="G3717" s="2" t="s">
        <v>121</v>
      </c>
      <c r="L3717" s="2" t="s">
        <v>6566</v>
      </c>
      <c r="M3717" t="s">
        <v>67</v>
      </c>
      <c r="N3717" t="s">
        <v>68</v>
      </c>
      <c r="P3717" s="23">
        <v>94.32</v>
      </c>
      <c r="Q3717" s="4">
        <f t="shared" si="57"/>
        <v>-80.000000000000014</v>
      </c>
      <c r="R3717" s="23" t="s">
        <v>109</v>
      </c>
    </row>
    <row r="3718" spans="1:20" x14ac:dyDescent="0.25">
      <c r="A3718" s="21">
        <v>45793</v>
      </c>
      <c r="B3718" s="1">
        <v>312971653</v>
      </c>
      <c r="C3718" t="s">
        <v>6567</v>
      </c>
      <c r="D3718" s="22">
        <v>-5659.2</v>
      </c>
      <c r="E3718" t="s">
        <v>35</v>
      </c>
      <c r="F3718" s="2">
        <v>212901001</v>
      </c>
      <c r="G3718" s="2" t="s">
        <v>121</v>
      </c>
      <c r="L3718" s="2" t="s">
        <v>6568</v>
      </c>
      <c r="M3718" t="s">
        <v>67</v>
      </c>
      <c r="N3718" t="s">
        <v>68</v>
      </c>
      <c r="P3718" s="23">
        <v>94.32</v>
      </c>
      <c r="Q3718" s="4">
        <f t="shared" si="57"/>
        <v>-60</v>
      </c>
      <c r="R3718" s="23" t="s">
        <v>109</v>
      </c>
    </row>
    <row r="3719" spans="1:20" x14ac:dyDescent="0.25">
      <c r="A3719" s="21">
        <v>45793</v>
      </c>
      <c r="B3719" s="1">
        <v>312971654</v>
      </c>
      <c r="C3719" t="s">
        <v>6569</v>
      </c>
      <c r="D3719" s="22">
        <v>-5659.2</v>
      </c>
      <c r="E3719" t="s">
        <v>35</v>
      </c>
      <c r="F3719" s="2">
        <v>212901001</v>
      </c>
      <c r="G3719" s="2" t="s">
        <v>121</v>
      </c>
      <c r="L3719" s="2" t="s">
        <v>6570</v>
      </c>
      <c r="M3719" t="s">
        <v>67</v>
      </c>
      <c r="N3719" t="s">
        <v>68</v>
      </c>
      <c r="P3719" s="23">
        <v>94.32</v>
      </c>
      <c r="Q3719" s="4">
        <f t="shared" si="57"/>
        <v>-60</v>
      </c>
      <c r="R3719" s="23" t="s">
        <v>109</v>
      </c>
    </row>
    <row r="3720" spans="1:20" x14ac:dyDescent="0.25">
      <c r="A3720" s="21">
        <v>45793</v>
      </c>
      <c r="B3720" s="1">
        <v>312971652</v>
      </c>
      <c r="C3720" t="s">
        <v>6571</v>
      </c>
      <c r="D3720" s="22">
        <v>-5659.2</v>
      </c>
      <c r="E3720" t="s">
        <v>35</v>
      </c>
      <c r="F3720" s="2">
        <v>212901001</v>
      </c>
      <c r="G3720" s="2" t="s">
        <v>121</v>
      </c>
      <c r="L3720" s="2" t="s">
        <v>6572</v>
      </c>
      <c r="M3720" t="s">
        <v>67</v>
      </c>
      <c r="N3720" t="s">
        <v>68</v>
      </c>
      <c r="P3720" s="23">
        <v>94.32</v>
      </c>
      <c r="Q3720" s="4">
        <f t="shared" si="57"/>
        <v>-60</v>
      </c>
      <c r="R3720" s="23" t="s">
        <v>109</v>
      </c>
    </row>
    <row r="3721" spans="1:20" x14ac:dyDescent="0.25">
      <c r="A3721" s="21">
        <v>45793</v>
      </c>
      <c r="B3721" s="1">
        <v>312971657</v>
      </c>
      <c r="C3721" t="s">
        <v>6573</v>
      </c>
      <c r="D3721" s="22">
        <v>-5659.2</v>
      </c>
      <c r="E3721" t="s">
        <v>35</v>
      </c>
      <c r="F3721" s="2">
        <v>212901001</v>
      </c>
      <c r="G3721" s="2" t="s">
        <v>121</v>
      </c>
      <c r="L3721" s="2" t="s">
        <v>6574</v>
      </c>
      <c r="M3721" t="s">
        <v>67</v>
      </c>
      <c r="N3721" t="s">
        <v>68</v>
      </c>
      <c r="P3721" s="23">
        <v>94.32</v>
      </c>
      <c r="Q3721" s="4">
        <f t="shared" si="57"/>
        <v>-60</v>
      </c>
      <c r="R3721" s="23" t="s">
        <v>109</v>
      </c>
    </row>
    <row r="3722" spans="1:20" x14ac:dyDescent="0.25">
      <c r="A3722" s="21">
        <v>45793</v>
      </c>
      <c r="B3722" s="1">
        <v>312971660</v>
      </c>
      <c r="C3722" t="s">
        <v>6575</v>
      </c>
      <c r="D3722" s="22">
        <v>-5659.2</v>
      </c>
      <c r="E3722" t="s">
        <v>35</v>
      </c>
      <c r="F3722" s="2">
        <v>212901001</v>
      </c>
      <c r="G3722" s="2" t="s">
        <v>121</v>
      </c>
      <c r="L3722" s="2" t="s">
        <v>6576</v>
      </c>
      <c r="M3722" t="s">
        <v>67</v>
      </c>
      <c r="N3722" t="s">
        <v>68</v>
      </c>
      <c r="P3722" s="23">
        <v>94.32</v>
      </c>
      <c r="Q3722" s="4">
        <f t="shared" si="57"/>
        <v>-60</v>
      </c>
      <c r="R3722" s="23" t="s">
        <v>109</v>
      </c>
    </row>
    <row r="3723" spans="1:20" x14ac:dyDescent="0.25">
      <c r="A3723" s="21">
        <v>45793</v>
      </c>
      <c r="B3723" s="1">
        <v>312971658</v>
      </c>
      <c r="C3723" t="s">
        <v>6577</v>
      </c>
      <c r="D3723" s="22">
        <v>-5659.2</v>
      </c>
      <c r="E3723" t="s">
        <v>35</v>
      </c>
      <c r="F3723" s="2">
        <v>212901001</v>
      </c>
      <c r="G3723" s="2" t="s">
        <v>121</v>
      </c>
      <c r="L3723" s="2" t="s">
        <v>6578</v>
      </c>
      <c r="M3723" t="s">
        <v>67</v>
      </c>
      <c r="N3723" t="s">
        <v>68</v>
      </c>
      <c r="P3723" s="23">
        <v>94.32</v>
      </c>
      <c r="Q3723" s="4">
        <f t="shared" ref="Q3723:Q3786" si="58">D3723/P3723</f>
        <v>-60</v>
      </c>
      <c r="R3723" s="23" t="s">
        <v>109</v>
      </c>
    </row>
    <row r="3724" spans="1:20" x14ac:dyDescent="0.25">
      <c r="A3724" s="21">
        <v>45793</v>
      </c>
      <c r="B3724" s="1">
        <v>312971656</v>
      </c>
      <c r="C3724" t="s">
        <v>6579</v>
      </c>
      <c r="D3724" s="22">
        <v>-5659.2</v>
      </c>
      <c r="E3724" t="s">
        <v>35</v>
      </c>
      <c r="F3724" s="2">
        <v>212901001</v>
      </c>
      <c r="G3724" s="2" t="s">
        <v>121</v>
      </c>
      <c r="L3724" s="2" t="s">
        <v>6580</v>
      </c>
      <c r="M3724" t="s">
        <v>67</v>
      </c>
      <c r="N3724" t="s">
        <v>68</v>
      </c>
      <c r="P3724" s="23">
        <v>94.32</v>
      </c>
      <c r="Q3724" s="4">
        <f t="shared" si="58"/>
        <v>-60</v>
      </c>
      <c r="R3724" s="23" t="s">
        <v>109</v>
      </c>
    </row>
    <row r="3725" spans="1:20" x14ac:dyDescent="0.25">
      <c r="A3725" s="21">
        <v>45793</v>
      </c>
      <c r="B3725" s="1">
        <v>312971655</v>
      </c>
      <c r="C3725" t="s">
        <v>6581</v>
      </c>
      <c r="D3725" s="22">
        <v>-5659.2</v>
      </c>
      <c r="E3725" t="s">
        <v>35</v>
      </c>
      <c r="F3725" s="2">
        <v>212901001</v>
      </c>
      <c r="G3725" s="2" t="s">
        <v>121</v>
      </c>
      <c r="L3725" s="2" t="s">
        <v>6582</v>
      </c>
      <c r="M3725" t="s">
        <v>67</v>
      </c>
      <c r="N3725" t="s">
        <v>68</v>
      </c>
      <c r="P3725" s="23">
        <v>94.32</v>
      </c>
      <c r="Q3725" s="4">
        <f t="shared" si="58"/>
        <v>-60</v>
      </c>
      <c r="R3725" s="23" t="s">
        <v>109</v>
      </c>
    </row>
    <row r="3726" spans="1:20" x14ac:dyDescent="0.25">
      <c r="A3726" s="21">
        <v>45793</v>
      </c>
      <c r="B3726" s="1">
        <v>312971659</v>
      </c>
      <c r="C3726" t="s">
        <v>6583</v>
      </c>
      <c r="D3726" s="22">
        <v>-5659.2</v>
      </c>
      <c r="E3726" t="s">
        <v>35</v>
      </c>
      <c r="F3726" s="2">
        <v>212901001</v>
      </c>
      <c r="G3726" s="2" t="s">
        <v>121</v>
      </c>
      <c r="L3726" s="2" t="s">
        <v>6584</v>
      </c>
      <c r="M3726" t="s">
        <v>67</v>
      </c>
      <c r="N3726" t="s">
        <v>68</v>
      </c>
      <c r="P3726" s="23">
        <v>94.32</v>
      </c>
      <c r="Q3726" s="4">
        <f t="shared" si="58"/>
        <v>-60</v>
      </c>
      <c r="R3726" s="23" t="s">
        <v>109</v>
      </c>
    </row>
    <row r="3727" spans="1:20" x14ac:dyDescent="0.25">
      <c r="A3727" s="21">
        <v>45793</v>
      </c>
      <c r="B3727" s="1">
        <v>412971663</v>
      </c>
      <c r="C3727" t="s">
        <v>6585</v>
      </c>
      <c r="D3727" s="22">
        <v>-5659.2</v>
      </c>
      <c r="E3727" t="s">
        <v>35</v>
      </c>
      <c r="F3727" s="2">
        <v>212901001</v>
      </c>
      <c r="G3727" s="2" t="s">
        <v>121</v>
      </c>
      <c r="L3727" s="2" t="s">
        <v>6586</v>
      </c>
      <c r="M3727" t="s">
        <v>67</v>
      </c>
      <c r="N3727" t="s">
        <v>68</v>
      </c>
      <c r="P3727" s="23">
        <v>94.32</v>
      </c>
      <c r="Q3727" s="4">
        <f t="shared" si="58"/>
        <v>-60</v>
      </c>
      <c r="R3727" s="23" t="s">
        <v>109</v>
      </c>
    </row>
    <row r="3728" spans="1:20" x14ac:dyDescent="0.25">
      <c r="A3728" s="21">
        <v>45793</v>
      </c>
      <c r="B3728" s="1">
        <v>412971666</v>
      </c>
      <c r="C3728" t="s">
        <v>6587</v>
      </c>
      <c r="D3728" s="22">
        <v>-5659.2</v>
      </c>
      <c r="E3728" t="s">
        <v>35</v>
      </c>
      <c r="F3728" s="2">
        <v>212901001</v>
      </c>
      <c r="G3728" s="2" t="s">
        <v>121</v>
      </c>
      <c r="L3728" s="2" t="s">
        <v>6588</v>
      </c>
      <c r="M3728" t="s">
        <v>67</v>
      </c>
      <c r="N3728" t="s">
        <v>68</v>
      </c>
      <c r="P3728" s="23">
        <v>94.32</v>
      </c>
      <c r="Q3728" s="4">
        <f t="shared" si="58"/>
        <v>-60</v>
      </c>
      <c r="R3728" s="23" t="s">
        <v>109</v>
      </c>
    </row>
    <row r="3729" spans="1:18" x14ac:dyDescent="0.25">
      <c r="A3729" s="21">
        <v>45793</v>
      </c>
      <c r="B3729" s="1">
        <v>412971665</v>
      </c>
      <c r="C3729" t="s">
        <v>6589</v>
      </c>
      <c r="D3729" s="22">
        <v>-5659.2</v>
      </c>
      <c r="E3729" t="s">
        <v>35</v>
      </c>
      <c r="F3729" s="2">
        <v>212901001</v>
      </c>
      <c r="G3729" s="2" t="s">
        <v>121</v>
      </c>
      <c r="L3729" s="2" t="s">
        <v>6590</v>
      </c>
      <c r="M3729" t="s">
        <v>67</v>
      </c>
      <c r="N3729" t="s">
        <v>68</v>
      </c>
      <c r="P3729" s="23">
        <v>94.32</v>
      </c>
      <c r="Q3729" s="4">
        <f t="shared" si="58"/>
        <v>-60</v>
      </c>
      <c r="R3729" s="23" t="s">
        <v>109</v>
      </c>
    </row>
    <row r="3730" spans="1:18" x14ac:dyDescent="0.25">
      <c r="A3730" s="21">
        <v>45793</v>
      </c>
      <c r="B3730" s="1">
        <v>312971662</v>
      </c>
      <c r="C3730" t="s">
        <v>6591</v>
      </c>
      <c r="D3730" s="22">
        <v>-5659.2</v>
      </c>
      <c r="E3730" t="s">
        <v>35</v>
      </c>
      <c r="F3730" s="2">
        <v>212901001</v>
      </c>
      <c r="G3730" s="2" t="s">
        <v>121</v>
      </c>
      <c r="L3730" s="2" t="s">
        <v>6592</v>
      </c>
      <c r="M3730" t="s">
        <v>67</v>
      </c>
      <c r="N3730" t="s">
        <v>68</v>
      </c>
      <c r="P3730" s="23">
        <v>94.32</v>
      </c>
      <c r="Q3730" s="4">
        <f t="shared" si="58"/>
        <v>-60</v>
      </c>
      <c r="R3730" s="23" t="s">
        <v>109</v>
      </c>
    </row>
    <row r="3731" spans="1:18" x14ac:dyDescent="0.25">
      <c r="A3731" s="21">
        <v>45793</v>
      </c>
      <c r="B3731" s="1">
        <v>412971668</v>
      </c>
      <c r="C3731" t="s">
        <v>6593</v>
      </c>
      <c r="D3731" s="22">
        <v>-9432</v>
      </c>
      <c r="E3731" t="s">
        <v>35</v>
      </c>
      <c r="F3731" s="2">
        <v>212901001</v>
      </c>
      <c r="G3731" s="2" t="s">
        <v>121</v>
      </c>
      <c r="L3731" s="2" t="s">
        <v>6594</v>
      </c>
      <c r="M3731" t="s">
        <v>67</v>
      </c>
      <c r="N3731" t="s">
        <v>68</v>
      </c>
      <c r="P3731" s="23">
        <v>94.32</v>
      </c>
      <c r="Q3731" s="4">
        <f t="shared" si="58"/>
        <v>-100.00000000000001</v>
      </c>
      <c r="R3731" s="23" t="s">
        <v>109</v>
      </c>
    </row>
    <row r="3732" spans="1:18" x14ac:dyDescent="0.25">
      <c r="A3732" s="21">
        <v>45793</v>
      </c>
      <c r="B3732" s="1">
        <v>412971667</v>
      </c>
      <c r="C3732" t="s">
        <v>6595</v>
      </c>
      <c r="D3732" s="22">
        <v>-14148</v>
      </c>
      <c r="E3732" t="s">
        <v>35</v>
      </c>
      <c r="F3732" s="2">
        <v>212901001</v>
      </c>
      <c r="G3732" s="2" t="s">
        <v>121</v>
      </c>
      <c r="L3732" s="2" t="s">
        <v>6596</v>
      </c>
      <c r="M3732" t="s">
        <v>67</v>
      </c>
      <c r="N3732" t="s">
        <v>68</v>
      </c>
      <c r="P3732" s="23">
        <v>94.32</v>
      </c>
      <c r="Q3732" s="4">
        <f t="shared" si="58"/>
        <v>-150</v>
      </c>
      <c r="R3732" s="23" t="s">
        <v>109</v>
      </c>
    </row>
    <row r="3733" spans="1:18" x14ac:dyDescent="0.25">
      <c r="A3733" s="21">
        <v>45793</v>
      </c>
      <c r="B3733" s="1">
        <v>312971661</v>
      </c>
      <c r="C3733" t="s">
        <v>6597</v>
      </c>
      <c r="D3733" s="22">
        <v>-5659.2</v>
      </c>
      <c r="E3733" t="s">
        <v>35</v>
      </c>
      <c r="F3733" s="2">
        <v>212901001</v>
      </c>
      <c r="G3733" s="2" t="s">
        <v>121</v>
      </c>
      <c r="L3733" s="2" t="s">
        <v>6598</v>
      </c>
      <c r="M3733" t="s">
        <v>67</v>
      </c>
      <c r="N3733" t="s">
        <v>68</v>
      </c>
      <c r="P3733" s="23">
        <v>94.32</v>
      </c>
      <c r="Q3733" s="4">
        <f t="shared" si="58"/>
        <v>-60</v>
      </c>
      <c r="R3733" s="23" t="s">
        <v>109</v>
      </c>
    </row>
    <row r="3734" spans="1:18" x14ac:dyDescent="0.25">
      <c r="A3734" s="21">
        <v>45793</v>
      </c>
      <c r="B3734" s="1">
        <v>412971664</v>
      </c>
      <c r="C3734" t="s">
        <v>6599</v>
      </c>
      <c r="D3734" s="22">
        <v>-5659.2</v>
      </c>
      <c r="E3734" t="s">
        <v>35</v>
      </c>
      <c r="F3734" s="2">
        <v>212901001</v>
      </c>
      <c r="G3734" s="2" t="s">
        <v>121</v>
      </c>
      <c r="L3734" s="2" t="s">
        <v>6600</v>
      </c>
      <c r="M3734" t="s">
        <v>67</v>
      </c>
      <c r="N3734" t="s">
        <v>68</v>
      </c>
      <c r="P3734" s="23">
        <v>94.32</v>
      </c>
      <c r="Q3734" s="4">
        <f t="shared" si="58"/>
        <v>-60</v>
      </c>
      <c r="R3734" s="23" t="s">
        <v>109</v>
      </c>
    </row>
    <row r="3735" spans="1:18" x14ac:dyDescent="0.25">
      <c r="A3735" s="21">
        <v>45793</v>
      </c>
      <c r="B3735" s="1">
        <v>412971670</v>
      </c>
      <c r="C3735" t="s">
        <v>6601</v>
      </c>
      <c r="D3735" s="22">
        <v>-7545.6</v>
      </c>
      <c r="E3735" t="s">
        <v>35</v>
      </c>
      <c r="F3735" s="2">
        <v>212901001</v>
      </c>
      <c r="G3735" s="2" t="s">
        <v>121</v>
      </c>
      <c r="L3735" s="2" t="s">
        <v>6602</v>
      </c>
      <c r="M3735" t="s">
        <v>67</v>
      </c>
      <c r="N3735" t="s">
        <v>68</v>
      </c>
      <c r="P3735" s="23">
        <v>94.32</v>
      </c>
      <c r="Q3735" s="4">
        <f t="shared" si="58"/>
        <v>-80.000000000000014</v>
      </c>
      <c r="R3735" s="23" t="s">
        <v>109</v>
      </c>
    </row>
    <row r="3736" spans="1:18" x14ac:dyDescent="0.25">
      <c r="A3736" s="21">
        <v>45793</v>
      </c>
      <c r="B3736" s="1">
        <v>412971669</v>
      </c>
      <c r="C3736" t="s">
        <v>6603</v>
      </c>
      <c r="D3736" s="22">
        <v>-7545.6</v>
      </c>
      <c r="E3736" t="s">
        <v>35</v>
      </c>
      <c r="F3736" s="2">
        <v>212901001</v>
      </c>
      <c r="G3736" s="2" t="s">
        <v>121</v>
      </c>
      <c r="L3736" s="2" t="s">
        <v>6604</v>
      </c>
      <c r="M3736" t="s">
        <v>67</v>
      </c>
      <c r="N3736" t="s">
        <v>68</v>
      </c>
      <c r="P3736" s="23">
        <v>94.32</v>
      </c>
      <c r="Q3736" s="4">
        <f t="shared" si="58"/>
        <v>-80.000000000000014</v>
      </c>
      <c r="R3736" s="23" t="s">
        <v>109</v>
      </c>
    </row>
    <row r="3737" spans="1:18" x14ac:dyDescent="0.25">
      <c r="A3737" s="21">
        <v>45793</v>
      </c>
      <c r="B3737" s="1">
        <v>512971672</v>
      </c>
      <c r="C3737" t="s">
        <v>6605</v>
      </c>
      <c r="D3737" s="22">
        <v>-7545.6</v>
      </c>
      <c r="E3737" t="s">
        <v>35</v>
      </c>
      <c r="F3737" s="2">
        <v>212901001</v>
      </c>
      <c r="G3737" s="2" t="s">
        <v>121</v>
      </c>
      <c r="L3737" s="2" t="s">
        <v>6606</v>
      </c>
      <c r="M3737" t="s">
        <v>67</v>
      </c>
      <c r="N3737" t="s">
        <v>68</v>
      </c>
      <c r="P3737" s="23">
        <v>94.32</v>
      </c>
      <c r="Q3737" s="4">
        <f t="shared" si="58"/>
        <v>-80.000000000000014</v>
      </c>
      <c r="R3737" s="23" t="s">
        <v>109</v>
      </c>
    </row>
    <row r="3738" spans="1:18" x14ac:dyDescent="0.25">
      <c r="A3738" s="21">
        <v>45793</v>
      </c>
      <c r="B3738" s="1">
        <v>512971675</v>
      </c>
      <c r="C3738" t="s">
        <v>6607</v>
      </c>
      <c r="D3738" s="22">
        <v>-7545.6</v>
      </c>
      <c r="E3738" t="s">
        <v>35</v>
      </c>
      <c r="F3738" s="2">
        <v>212901001</v>
      </c>
      <c r="G3738" s="2" t="s">
        <v>121</v>
      </c>
      <c r="L3738" s="2" t="s">
        <v>6608</v>
      </c>
      <c r="M3738" t="s">
        <v>67</v>
      </c>
      <c r="N3738" t="s">
        <v>68</v>
      </c>
      <c r="P3738" s="23">
        <v>94.32</v>
      </c>
      <c r="Q3738" s="4">
        <f t="shared" si="58"/>
        <v>-80.000000000000014</v>
      </c>
      <c r="R3738" s="23" t="s">
        <v>109</v>
      </c>
    </row>
    <row r="3739" spans="1:18" x14ac:dyDescent="0.25">
      <c r="A3739" s="21">
        <v>45793</v>
      </c>
      <c r="B3739" s="1">
        <v>412971671</v>
      </c>
      <c r="C3739" t="s">
        <v>6609</v>
      </c>
      <c r="D3739" s="22">
        <v>-7545.6</v>
      </c>
      <c r="E3739" t="s">
        <v>35</v>
      </c>
      <c r="F3739" s="2">
        <v>212901001</v>
      </c>
      <c r="G3739" s="2" t="s">
        <v>121</v>
      </c>
      <c r="L3739" s="2" t="s">
        <v>6610</v>
      </c>
      <c r="M3739" t="s">
        <v>67</v>
      </c>
      <c r="N3739" t="s">
        <v>68</v>
      </c>
      <c r="P3739" s="23">
        <v>94.32</v>
      </c>
      <c r="Q3739" s="4">
        <f t="shared" si="58"/>
        <v>-80.000000000000014</v>
      </c>
      <c r="R3739" s="23" t="s">
        <v>109</v>
      </c>
    </row>
    <row r="3740" spans="1:18" x14ac:dyDescent="0.25">
      <c r="A3740" s="21">
        <v>45793</v>
      </c>
      <c r="B3740" s="1">
        <v>512971685</v>
      </c>
      <c r="C3740" t="s">
        <v>6611</v>
      </c>
      <c r="D3740" s="22">
        <v>-4716</v>
      </c>
      <c r="E3740" t="s">
        <v>35</v>
      </c>
      <c r="F3740" s="2">
        <v>212901001</v>
      </c>
      <c r="G3740" s="2" t="s">
        <v>121</v>
      </c>
      <c r="L3740" s="2" t="s">
        <v>6612</v>
      </c>
      <c r="M3740" t="s">
        <v>67</v>
      </c>
      <c r="N3740" t="s">
        <v>68</v>
      </c>
      <c r="P3740" s="23">
        <v>94.32</v>
      </c>
      <c r="Q3740" s="4">
        <f t="shared" si="58"/>
        <v>-50.000000000000007</v>
      </c>
      <c r="R3740" s="23" t="s">
        <v>109</v>
      </c>
    </row>
    <row r="3741" spans="1:18" x14ac:dyDescent="0.25">
      <c r="A3741" s="21">
        <v>45793</v>
      </c>
      <c r="B3741" s="1">
        <v>512971680</v>
      </c>
      <c r="C3741" t="s">
        <v>6613</v>
      </c>
      <c r="D3741" s="22">
        <v>-4716</v>
      </c>
      <c r="E3741" t="s">
        <v>35</v>
      </c>
      <c r="F3741" s="2">
        <v>212901001</v>
      </c>
      <c r="G3741" s="2" t="s">
        <v>121</v>
      </c>
      <c r="L3741" s="2" t="s">
        <v>6614</v>
      </c>
      <c r="M3741" t="s">
        <v>67</v>
      </c>
      <c r="N3741" t="s">
        <v>68</v>
      </c>
      <c r="P3741" s="23">
        <v>94.32</v>
      </c>
      <c r="Q3741" s="4">
        <f t="shared" si="58"/>
        <v>-50.000000000000007</v>
      </c>
      <c r="R3741" s="23" t="s">
        <v>109</v>
      </c>
    </row>
    <row r="3742" spans="1:18" x14ac:dyDescent="0.25">
      <c r="A3742" s="21">
        <v>45793</v>
      </c>
      <c r="B3742" s="1">
        <v>512971684</v>
      </c>
      <c r="C3742" t="s">
        <v>6615</v>
      </c>
      <c r="D3742" s="22">
        <v>-4716</v>
      </c>
      <c r="E3742" t="s">
        <v>35</v>
      </c>
      <c r="F3742" s="2">
        <v>212901001</v>
      </c>
      <c r="G3742" s="2" t="s">
        <v>121</v>
      </c>
      <c r="L3742" s="2" t="s">
        <v>6616</v>
      </c>
      <c r="M3742" t="s">
        <v>67</v>
      </c>
      <c r="N3742" t="s">
        <v>68</v>
      </c>
      <c r="P3742" s="23">
        <v>94.32</v>
      </c>
      <c r="Q3742" s="4">
        <f t="shared" si="58"/>
        <v>-50.000000000000007</v>
      </c>
      <c r="R3742" s="23" t="s">
        <v>109</v>
      </c>
    </row>
    <row r="3743" spans="1:18" x14ac:dyDescent="0.25">
      <c r="A3743" s="21">
        <v>45793</v>
      </c>
      <c r="B3743" s="1">
        <v>512971673</v>
      </c>
      <c r="C3743" t="s">
        <v>6617</v>
      </c>
      <c r="D3743" s="22">
        <v>-7545.6</v>
      </c>
      <c r="E3743" t="s">
        <v>35</v>
      </c>
      <c r="F3743" s="2">
        <v>212901001</v>
      </c>
      <c r="G3743" s="2" t="s">
        <v>121</v>
      </c>
      <c r="L3743" s="2" t="s">
        <v>6618</v>
      </c>
      <c r="M3743" t="s">
        <v>67</v>
      </c>
      <c r="N3743" t="s">
        <v>68</v>
      </c>
      <c r="P3743" s="23">
        <v>94.32</v>
      </c>
      <c r="Q3743" s="4">
        <f t="shared" si="58"/>
        <v>-80.000000000000014</v>
      </c>
      <c r="R3743" s="23" t="s">
        <v>109</v>
      </c>
    </row>
    <row r="3744" spans="1:18" x14ac:dyDescent="0.25">
      <c r="A3744" s="21">
        <v>45793</v>
      </c>
      <c r="B3744" s="1">
        <v>512971678</v>
      </c>
      <c r="C3744" t="s">
        <v>6619</v>
      </c>
      <c r="D3744" s="22">
        <v>-3961.44</v>
      </c>
      <c r="E3744" t="s">
        <v>35</v>
      </c>
      <c r="F3744" s="2">
        <v>212901001</v>
      </c>
      <c r="G3744" s="2" t="s">
        <v>121</v>
      </c>
      <c r="L3744" s="2" t="s">
        <v>6620</v>
      </c>
      <c r="M3744" t="s">
        <v>67</v>
      </c>
      <c r="N3744" t="s">
        <v>68</v>
      </c>
      <c r="P3744" s="23">
        <v>94.32</v>
      </c>
      <c r="Q3744" s="4">
        <f t="shared" si="58"/>
        <v>-42.000000000000007</v>
      </c>
      <c r="R3744" s="23" t="s">
        <v>109</v>
      </c>
    </row>
    <row r="3745" spans="1:18" x14ac:dyDescent="0.25">
      <c r="A3745" s="21">
        <v>45793</v>
      </c>
      <c r="B3745" s="1">
        <v>512971682</v>
      </c>
      <c r="C3745" t="s">
        <v>6621</v>
      </c>
      <c r="D3745" s="22">
        <v>-4716</v>
      </c>
      <c r="E3745" t="s">
        <v>35</v>
      </c>
      <c r="F3745" s="2">
        <v>212901001</v>
      </c>
      <c r="G3745" s="2" t="s">
        <v>121</v>
      </c>
      <c r="L3745" s="2" t="s">
        <v>6622</v>
      </c>
      <c r="M3745" t="s">
        <v>67</v>
      </c>
      <c r="N3745" t="s">
        <v>68</v>
      </c>
      <c r="P3745" s="23">
        <v>94.32</v>
      </c>
      <c r="Q3745" s="4">
        <f t="shared" si="58"/>
        <v>-50.000000000000007</v>
      </c>
      <c r="R3745" s="23" t="s">
        <v>109</v>
      </c>
    </row>
    <row r="3746" spans="1:18" x14ac:dyDescent="0.25">
      <c r="A3746" s="21">
        <v>45793</v>
      </c>
      <c r="B3746" s="1">
        <v>512971681</v>
      </c>
      <c r="C3746" t="s">
        <v>6623</v>
      </c>
      <c r="D3746" s="22">
        <v>-4716</v>
      </c>
      <c r="E3746" t="s">
        <v>35</v>
      </c>
      <c r="F3746" s="2">
        <v>212901001</v>
      </c>
      <c r="G3746" s="2" t="s">
        <v>121</v>
      </c>
      <c r="L3746" s="2" t="s">
        <v>6624</v>
      </c>
      <c r="M3746" t="s">
        <v>67</v>
      </c>
      <c r="N3746" t="s">
        <v>68</v>
      </c>
      <c r="P3746" s="23">
        <v>94.32</v>
      </c>
      <c r="Q3746" s="4">
        <f t="shared" si="58"/>
        <v>-50.000000000000007</v>
      </c>
      <c r="R3746" s="23" t="s">
        <v>109</v>
      </c>
    </row>
    <row r="3747" spans="1:18" x14ac:dyDescent="0.25">
      <c r="A3747" s="21">
        <v>45793</v>
      </c>
      <c r="B3747" s="1">
        <v>612971689</v>
      </c>
      <c r="C3747" t="s">
        <v>6625</v>
      </c>
      <c r="D3747" s="22">
        <v>-3772.8</v>
      </c>
      <c r="E3747" t="s">
        <v>35</v>
      </c>
      <c r="F3747" s="2">
        <v>212901001</v>
      </c>
      <c r="G3747" s="2" t="s">
        <v>121</v>
      </c>
      <c r="L3747" s="2" t="s">
        <v>6626</v>
      </c>
      <c r="M3747" t="s">
        <v>67</v>
      </c>
      <c r="N3747" t="s">
        <v>68</v>
      </c>
      <c r="P3747" s="23">
        <v>94.32</v>
      </c>
      <c r="Q3747" s="4">
        <f t="shared" si="58"/>
        <v>-40.000000000000007</v>
      </c>
      <c r="R3747" s="23" t="s">
        <v>109</v>
      </c>
    </row>
    <row r="3748" spans="1:18" x14ac:dyDescent="0.25">
      <c r="A3748" s="21">
        <v>45793</v>
      </c>
      <c r="B3748" s="1">
        <v>612971688</v>
      </c>
      <c r="C3748" t="s">
        <v>6627</v>
      </c>
      <c r="D3748" s="22">
        <v>-3772.8</v>
      </c>
      <c r="E3748" t="s">
        <v>35</v>
      </c>
      <c r="F3748" s="2">
        <v>212901001</v>
      </c>
      <c r="G3748" s="2" t="s">
        <v>121</v>
      </c>
      <c r="L3748" s="2" t="s">
        <v>6628</v>
      </c>
      <c r="M3748" t="s">
        <v>67</v>
      </c>
      <c r="N3748" t="s">
        <v>68</v>
      </c>
      <c r="P3748" s="23">
        <v>94.32</v>
      </c>
      <c r="Q3748" s="4">
        <f t="shared" si="58"/>
        <v>-40.000000000000007</v>
      </c>
      <c r="R3748" s="23" t="s">
        <v>109</v>
      </c>
    </row>
    <row r="3749" spans="1:18" x14ac:dyDescent="0.25">
      <c r="A3749" s="21">
        <v>45793</v>
      </c>
      <c r="B3749" s="1">
        <v>612971690</v>
      </c>
      <c r="C3749" t="s">
        <v>6629</v>
      </c>
      <c r="D3749" s="22">
        <v>-3772.8</v>
      </c>
      <c r="E3749" t="s">
        <v>35</v>
      </c>
      <c r="F3749" s="2">
        <v>212901001</v>
      </c>
      <c r="G3749" s="2" t="s">
        <v>121</v>
      </c>
      <c r="L3749" s="2" t="s">
        <v>6630</v>
      </c>
      <c r="M3749" t="s">
        <v>67</v>
      </c>
      <c r="N3749" t="s">
        <v>68</v>
      </c>
      <c r="P3749" s="23">
        <v>94.32</v>
      </c>
      <c r="Q3749" s="4">
        <f t="shared" si="58"/>
        <v>-40.000000000000007</v>
      </c>
      <c r="R3749" s="23" t="s">
        <v>109</v>
      </c>
    </row>
    <row r="3750" spans="1:18" x14ac:dyDescent="0.25">
      <c r="A3750" s="21">
        <v>45793</v>
      </c>
      <c r="B3750" s="1">
        <v>612971695</v>
      </c>
      <c r="C3750" t="s">
        <v>6631</v>
      </c>
      <c r="D3750" s="22">
        <v>-9432</v>
      </c>
      <c r="E3750" t="s">
        <v>35</v>
      </c>
      <c r="F3750" s="2">
        <v>212901001</v>
      </c>
      <c r="G3750" s="2" t="s">
        <v>121</v>
      </c>
      <c r="L3750" s="2" t="s">
        <v>6632</v>
      </c>
      <c r="M3750" t="s">
        <v>67</v>
      </c>
      <c r="N3750" t="s">
        <v>68</v>
      </c>
      <c r="P3750" s="23">
        <v>94.32</v>
      </c>
      <c r="Q3750" s="4">
        <f t="shared" si="58"/>
        <v>-100.00000000000001</v>
      </c>
      <c r="R3750" s="23" t="s">
        <v>109</v>
      </c>
    </row>
    <row r="3751" spans="1:18" x14ac:dyDescent="0.25">
      <c r="A3751" s="21">
        <v>45793</v>
      </c>
      <c r="B3751" s="1">
        <v>612971693</v>
      </c>
      <c r="C3751" t="s">
        <v>6633</v>
      </c>
      <c r="D3751" s="22">
        <v>-3772.8</v>
      </c>
      <c r="E3751" t="s">
        <v>35</v>
      </c>
      <c r="F3751" s="2">
        <v>212901001</v>
      </c>
      <c r="G3751" s="2" t="s">
        <v>121</v>
      </c>
      <c r="L3751" s="2" t="s">
        <v>6634</v>
      </c>
      <c r="M3751" t="s">
        <v>67</v>
      </c>
      <c r="N3751" t="s">
        <v>68</v>
      </c>
      <c r="P3751" s="23">
        <v>94.32</v>
      </c>
      <c r="Q3751" s="4">
        <f t="shared" si="58"/>
        <v>-40.000000000000007</v>
      </c>
      <c r="R3751" s="23" t="s">
        <v>109</v>
      </c>
    </row>
    <row r="3752" spans="1:18" x14ac:dyDescent="0.25">
      <c r="A3752" s="21">
        <v>45793</v>
      </c>
      <c r="B3752" s="1">
        <v>612971692</v>
      </c>
      <c r="C3752" t="s">
        <v>6635</v>
      </c>
      <c r="D3752" s="22">
        <v>-3772.8</v>
      </c>
      <c r="E3752" t="s">
        <v>35</v>
      </c>
      <c r="F3752" s="2">
        <v>212901001</v>
      </c>
      <c r="G3752" s="2" t="s">
        <v>121</v>
      </c>
      <c r="L3752" s="2" t="s">
        <v>6636</v>
      </c>
      <c r="M3752" t="s">
        <v>67</v>
      </c>
      <c r="N3752" t="s">
        <v>68</v>
      </c>
      <c r="P3752" s="23">
        <v>94.32</v>
      </c>
      <c r="Q3752" s="4">
        <f t="shared" si="58"/>
        <v>-40.000000000000007</v>
      </c>
      <c r="R3752" s="23" t="s">
        <v>109</v>
      </c>
    </row>
    <row r="3753" spans="1:18" x14ac:dyDescent="0.25">
      <c r="A3753" s="21">
        <v>45793</v>
      </c>
      <c r="B3753" s="1">
        <v>612971691</v>
      </c>
      <c r="C3753" t="s">
        <v>6637</v>
      </c>
      <c r="D3753" s="22">
        <v>-3772.8</v>
      </c>
      <c r="E3753" t="s">
        <v>35</v>
      </c>
      <c r="F3753" s="2">
        <v>212901001</v>
      </c>
      <c r="G3753" s="2" t="s">
        <v>121</v>
      </c>
      <c r="L3753" s="2" t="s">
        <v>6638</v>
      </c>
      <c r="M3753" t="s">
        <v>67</v>
      </c>
      <c r="N3753" t="s">
        <v>68</v>
      </c>
      <c r="P3753" s="23">
        <v>94.32</v>
      </c>
      <c r="Q3753" s="4">
        <f t="shared" si="58"/>
        <v>-40.000000000000007</v>
      </c>
      <c r="R3753" s="23" t="s">
        <v>109</v>
      </c>
    </row>
    <row r="3754" spans="1:18" x14ac:dyDescent="0.25">
      <c r="A3754" s="21">
        <v>45793</v>
      </c>
      <c r="B3754" s="1">
        <v>612971696</v>
      </c>
      <c r="C3754" t="s">
        <v>6639</v>
      </c>
      <c r="D3754" s="22">
        <v>-14148</v>
      </c>
      <c r="E3754" t="s">
        <v>35</v>
      </c>
      <c r="F3754" s="2">
        <v>212901001</v>
      </c>
      <c r="G3754" s="2" t="s">
        <v>121</v>
      </c>
      <c r="L3754" s="2" t="s">
        <v>6640</v>
      </c>
      <c r="M3754" t="s">
        <v>67</v>
      </c>
      <c r="N3754" t="s">
        <v>68</v>
      </c>
      <c r="P3754" s="23">
        <v>94.32</v>
      </c>
      <c r="Q3754" s="4">
        <f t="shared" si="58"/>
        <v>-150</v>
      </c>
      <c r="R3754" s="23" t="s">
        <v>109</v>
      </c>
    </row>
    <row r="3755" spans="1:18" x14ac:dyDescent="0.25">
      <c r="A3755" s="21">
        <v>45793</v>
      </c>
      <c r="B3755" s="1">
        <v>712971701</v>
      </c>
      <c r="C3755" t="s">
        <v>6641</v>
      </c>
      <c r="D3755" s="22">
        <v>-3772.8</v>
      </c>
      <c r="E3755" t="s">
        <v>35</v>
      </c>
      <c r="F3755" s="2">
        <v>212901001</v>
      </c>
      <c r="G3755" s="2" t="s">
        <v>121</v>
      </c>
      <c r="L3755" s="2" t="s">
        <v>6642</v>
      </c>
      <c r="M3755" t="s">
        <v>67</v>
      </c>
      <c r="N3755" t="s">
        <v>68</v>
      </c>
      <c r="P3755" s="23">
        <v>94.32</v>
      </c>
      <c r="Q3755" s="4">
        <f t="shared" si="58"/>
        <v>-40.000000000000007</v>
      </c>
      <c r="R3755" s="23" t="s">
        <v>109</v>
      </c>
    </row>
    <row r="3756" spans="1:18" x14ac:dyDescent="0.25">
      <c r="A3756" s="21">
        <v>45793</v>
      </c>
      <c r="B3756" s="1">
        <v>712971700</v>
      </c>
      <c r="C3756" t="s">
        <v>6643</v>
      </c>
      <c r="D3756" s="22">
        <v>-9432</v>
      </c>
      <c r="E3756" t="s">
        <v>35</v>
      </c>
      <c r="F3756" s="2">
        <v>212901001</v>
      </c>
      <c r="G3756" s="2" t="s">
        <v>121</v>
      </c>
      <c r="L3756" s="2" t="s">
        <v>6644</v>
      </c>
      <c r="M3756" t="s">
        <v>67</v>
      </c>
      <c r="N3756" t="s">
        <v>68</v>
      </c>
      <c r="P3756" s="23">
        <v>94.32</v>
      </c>
      <c r="Q3756" s="4">
        <f t="shared" si="58"/>
        <v>-100.00000000000001</v>
      </c>
      <c r="R3756" s="23" t="s">
        <v>109</v>
      </c>
    </row>
    <row r="3757" spans="1:18" x14ac:dyDescent="0.25">
      <c r="A3757" s="21">
        <v>45793</v>
      </c>
      <c r="B3757" s="1">
        <v>612971698</v>
      </c>
      <c r="C3757" t="s">
        <v>6645</v>
      </c>
      <c r="D3757" s="22">
        <v>-10375.200000000001</v>
      </c>
      <c r="E3757" t="s">
        <v>35</v>
      </c>
      <c r="F3757" s="2">
        <v>212901001</v>
      </c>
      <c r="G3757" s="2" t="s">
        <v>121</v>
      </c>
      <c r="L3757" s="2" t="s">
        <v>6646</v>
      </c>
      <c r="M3757" t="s">
        <v>67</v>
      </c>
      <c r="N3757" t="s">
        <v>68</v>
      </c>
      <c r="P3757" s="23">
        <v>94.32</v>
      </c>
      <c r="Q3757" s="4">
        <f t="shared" si="58"/>
        <v>-110.00000000000001</v>
      </c>
      <c r="R3757" s="23" t="s">
        <v>109</v>
      </c>
    </row>
    <row r="3758" spans="1:18" x14ac:dyDescent="0.25">
      <c r="A3758" s="21">
        <v>45793</v>
      </c>
      <c r="B3758" s="1">
        <v>512971687</v>
      </c>
      <c r="C3758" t="s">
        <v>6647</v>
      </c>
      <c r="D3758" s="22">
        <v>-3772.8</v>
      </c>
      <c r="E3758" t="s">
        <v>35</v>
      </c>
      <c r="F3758" s="2">
        <v>212901001</v>
      </c>
      <c r="G3758" s="2" t="s">
        <v>121</v>
      </c>
      <c r="L3758" s="2" t="s">
        <v>6648</v>
      </c>
      <c r="M3758" t="s">
        <v>67</v>
      </c>
      <c r="N3758" t="s">
        <v>68</v>
      </c>
      <c r="P3758" s="23">
        <v>94.32</v>
      </c>
      <c r="Q3758" s="4">
        <f t="shared" si="58"/>
        <v>-40.000000000000007</v>
      </c>
      <c r="R3758" s="23" t="s">
        <v>109</v>
      </c>
    </row>
    <row r="3759" spans="1:18" x14ac:dyDescent="0.25">
      <c r="A3759" s="21">
        <v>45793</v>
      </c>
      <c r="B3759" s="1">
        <v>712971703</v>
      </c>
      <c r="C3759" t="s">
        <v>6649</v>
      </c>
      <c r="D3759" s="22">
        <v>-6602.4</v>
      </c>
      <c r="E3759" t="s">
        <v>35</v>
      </c>
      <c r="F3759" s="2">
        <v>212901001</v>
      </c>
      <c r="G3759" s="2" t="s">
        <v>121</v>
      </c>
      <c r="L3759" s="2" t="s">
        <v>6650</v>
      </c>
      <c r="M3759" t="s">
        <v>67</v>
      </c>
      <c r="N3759" t="s">
        <v>68</v>
      </c>
      <c r="P3759" s="23">
        <v>94.32</v>
      </c>
      <c r="Q3759" s="4">
        <f t="shared" si="58"/>
        <v>-70</v>
      </c>
      <c r="R3759" s="23" t="s">
        <v>109</v>
      </c>
    </row>
    <row r="3760" spans="1:18" x14ac:dyDescent="0.25">
      <c r="A3760" s="21">
        <v>45793</v>
      </c>
      <c r="B3760" s="1">
        <v>612971694</v>
      </c>
      <c r="C3760" t="s">
        <v>6651</v>
      </c>
      <c r="D3760" s="22">
        <v>-9432</v>
      </c>
      <c r="E3760" t="s">
        <v>35</v>
      </c>
      <c r="F3760" s="2">
        <v>212901001</v>
      </c>
      <c r="G3760" s="2" t="s">
        <v>121</v>
      </c>
      <c r="L3760" s="2" t="s">
        <v>6652</v>
      </c>
      <c r="M3760" t="s">
        <v>67</v>
      </c>
      <c r="N3760" t="s">
        <v>68</v>
      </c>
      <c r="P3760" s="23">
        <v>94.32</v>
      </c>
      <c r="Q3760" s="4">
        <f t="shared" si="58"/>
        <v>-100.00000000000001</v>
      </c>
      <c r="R3760" s="23" t="s">
        <v>109</v>
      </c>
    </row>
    <row r="3761" spans="1:18" x14ac:dyDescent="0.25">
      <c r="A3761" s="21">
        <v>45793</v>
      </c>
      <c r="B3761" s="1">
        <v>612971699</v>
      </c>
      <c r="C3761" t="s">
        <v>6653</v>
      </c>
      <c r="D3761" s="22">
        <v>-7545.6</v>
      </c>
      <c r="E3761" t="s">
        <v>35</v>
      </c>
      <c r="F3761" s="2">
        <v>212901001</v>
      </c>
      <c r="G3761" s="2" t="s">
        <v>121</v>
      </c>
      <c r="L3761" s="2" t="s">
        <v>6654</v>
      </c>
      <c r="M3761" t="s">
        <v>67</v>
      </c>
      <c r="N3761" t="s">
        <v>68</v>
      </c>
      <c r="P3761" s="23">
        <v>94.32</v>
      </c>
      <c r="Q3761" s="4">
        <f t="shared" si="58"/>
        <v>-80.000000000000014</v>
      </c>
      <c r="R3761" s="23" t="s">
        <v>109</v>
      </c>
    </row>
    <row r="3762" spans="1:18" x14ac:dyDescent="0.25">
      <c r="A3762" s="21">
        <v>45793</v>
      </c>
      <c r="B3762" s="1">
        <v>612971697</v>
      </c>
      <c r="C3762" t="s">
        <v>6655</v>
      </c>
      <c r="D3762" s="22">
        <v>-2829.6</v>
      </c>
      <c r="E3762" t="s">
        <v>35</v>
      </c>
      <c r="F3762" s="2">
        <v>212901001</v>
      </c>
      <c r="G3762" s="2" t="s">
        <v>121</v>
      </c>
      <c r="L3762" s="2" t="s">
        <v>6656</v>
      </c>
      <c r="M3762" t="s">
        <v>67</v>
      </c>
      <c r="N3762" t="s">
        <v>68</v>
      </c>
      <c r="P3762" s="23">
        <v>94.32</v>
      </c>
      <c r="Q3762" s="4">
        <f t="shared" si="58"/>
        <v>-30</v>
      </c>
      <c r="R3762" s="23" t="s">
        <v>109</v>
      </c>
    </row>
    <row r="3763" spans="1:18" x14ac:dyDescent="0.25">
      <c r="A3763" s="21">
        <v>45793</v>
      </c>
      <c r="B3763" s="1">
        <v>712971702</v>
      </c>
      <c r="C3763" t="s">
        <v>6657</v>
      </c>
      <c r="D3763" s="22">
        <v>-6602.4</v>
      </c>
      <c r="E3763" t="s">
        <v>35</v>
      </c>
      <c r="F3763" s="2">
        <v>212901001</v>
      </c>
      <c r="G3763" s="2" t="s">
        <v>121</v>
      </c>
      <c r="L3763" s="2" t="s">
        <v>6658</v>
      </c>
      <c r="M3763" t="s">
        <v>67</v>
      </c>
      <c r="N3763" t="s">
        <v>68</v>
      </c>
      <c r="P3763" s="23">
        <v>94.32</v>
      </c>
      <c r="Q3763" s="4">
        <f t="shared" si="58"/>
        <v>-70</v>
      </c>
      <c r="R3763" s="23" t="s">
        <v>109</v>
      </c>
    </row>
    <row r="3764" spans="1:18" x14ac:dyDescent="0.25">
      <c r="A3764" s="21">
        <v>45793</v>
      </c>
      <c r="B3764" s="1">
        <v>712971705</v>
      </c>
      <c r="C3764" t="s">
        <v>6659</v>
      </c>
      <c r="D3764" s="22">
        <v>-4716</v>
      </c>
      <c r="E3764" t="s">
        <v>35</v>
      </c>
      <c r="F3764" s="2">
        <v>212901001</v>
      </c>
      <c r="G3764" s="2" t="s">
        <v>121</v>
      </c>
      <c r="L3764" s="2" t="s">
        <v>6660</v>
      </c>
      <c r="M3764" t="s">
        <v>67</v>
      </c>
      <c r="N3764" t="s">
        <v>68</v>
      </c>
      <c r="P3764" s="23">
        <v>94.32</v>
      </c>
      <c r="Q3764" s="4">
        <f t="shared" si="58"/>
        <v>-50.000000000000007</v>
      </c>
      <c r="R3764" s="23" t="s">
        <v>109</v>
      </c>
    </row>
    <row r="3765" spans="1:18" x14ac:dyDescent="0.25">
      <c r="A3765" s="21">
        <v>45793</v>
      </c>
      <c r="B3765" s="1">
        <v>712971704</v>
      </c>
      <c r="C3765" t="s">
        <v>6661</v>
      </c>
      <c r="D3765" s="22">
        <v>-6602.4</v>
      </c>
      <c r="E3765" t="s">
        <v>35</v>
      </c>
      <c r="F3765" s="2">
        <v>212901001</v>
      </c>
      <c r="G3765" s="2" t="s">
        <v>121</v>
      </c>
      <c r="L3765" s="2" t="s">
        <v>6662</v>
      </c>
      <c r="M3765" t="s">
        <v>67</v>
      </c>
      <c r="N3765" t="s">
        <v>68</v>
      </c>
      <c r="P3765" s="23">
        <v>94.32</v>
      </c>
      <c r="Q3765" s="4">
        <f t="shared" si="58"/>
        <v>-70</v>
      </c>
      <c r="R3765" s="23" t="s">
        <v>109</v>
      </c>
    </row>
    <row r="3766" spans="1:18" x14ac:dyDescent="0.25">
      <c r="A3766" s="21">
        <v>45793</v>
      </c>
      <c r="B3766" s="1">
        <v>712971706</v>
      </c>
      <c r="C3766" t="s">
        <v>6663</v>
      </c>
      <c r="D3766" s="22">
        <v>-4716</v>
      </c>
      <c r="E3766" t="s">
        <v>35</v>
      </c>
      <c r="F3766" s="2">
        <v>212901001</v>
      </c>
      <c r="G3766" s="2" t="s">
        <v>121</v>
      </c>
      <c r="L3766" s="2" t="s">
        <v>6664</v>
      </c>
      <c r="M3766" t="s">
        <v>67</v>
      </c>
      <c r="N3766" t="s">
        <v>68</v>
      </c>
      <c r="P3766" s="23">
        <v>94.32</v>
      </c>
      <c r="Q3766" s="4">
        <f t="shared" si="58"/>
        <v>-50.000000000000007</v>
      </c>
      <c r="R3766" s="23" t="s">
        <v>109</v>
      </c>
    </row>
    <row r="3767" spans="1:18" x14ac:dyDescent="0.25">
      <c r="A3767" s="21">
        <v>45793</v>
      </c>
      <c r="B3767" s="1">
        <v>712971707</v>
      </c>
      <c r="C3767" t="s">
        <v>6665</v>
      </c>
      <c r="D3767" s="22">
        <v>-3961.44</v>
      </c>
      <c r="E3767" t="s">
        <v>35</v>
      </c>
      <c r="F3767" s="2">
        <v>212901001</v>
      </c>
      <c r="G3767" s="2" t="s">
        <v>121</v>
      </c>
      <c r="L3767" s="2" t="s">
        <v>6666</v>
      </c>
      <c r="M3767" t="s">
        <v>67</v>
      </c>
      <c r="N3767" t="s">
        <v>68</v>
      </c>
      <c r="P3767" s="23">
        <v>94.32</v>
      </c>
      <c r="Q3767" s="4">
        <f t="shared" si="58"/>
        <v>-42.000000000000007</v>
      </c>
      <c r="R3767" s="23" t="s">
        <v>109</v>
      </c>
    </row>
    <row r="3768" spans="1:18" x14ac:dyDescent="0.25">
      <c r="A3768" s="21">
        <v>45793</v>
      </c>
      <c r="B3768" s="1">
        <v>812971709</v>
      </c>
      <c r="C3768" t="s">
        <v>6667</v>
      </c>
      <c r="D3768" s="22">
        <v>-4716</v>
      </c>
      <c r="E3768" t="s">
        <v>35</v>
      </c>
      <c r="F3768" s="2">
        <v>212901001</v>
      </c>
      <c r="G3768" s="2" t="s">
        <v>121</v>
      </c>
      <c r="L3768" s="2" t="s">
        <v>6668</v>
      </c>
      <c r="M3768" t="s">
        <v>67</v>
      </c>
      <c r="N3768" t="s">
        <v>68</v>
      </c>
      <c r="P3768" s="23">
        <v>94.32</v>
      </c>
      <c r="Q3768" s="4">
        <f t="shared" si="58"/>
        <v>-50.000000000000007</v>
      </c>
      <c r="R3768" s="23" t="s">
        <v>109</v>
      </c>
    </row>
    <row r="3769" spans="1:18" x14ac:dyDescent="0.25">
      <c r="A3769" s="21">
        <v>45793</v>
      </c>
      <c r="B3769" s="1">
        <v>812971708</v>
      </c>
      <c r="C3769" t="s">
        <v>6669</v>
      </c>
      <c r="D3769" s="22">
        <v>-4716</v>
      </c>
      <c r="E3769" t="s">
        <v>35</v>
      </c>
      <c r="F3769" s="2">
        <v>212901001</v>
      </c>
      <c r="G3769" s="2" t="s">
        <v>121</v>
      </c>
      <c r="L3769" s="2" t="s">
        <v>6670</v>
      </c>
      <c r="M3769" t="s">
        <v>67</v>
      </c>
      <c r="N3769" t="s">
        <v>68</v>
      </c>
      <c r="P3769" s="23">
        <v>94.32</v>
      </c>
      <c r="Q3769" s="4">
        <f t="shared" si="58"/>
        <v>-50.000000000000007</v>
      </c>
      <c r="R3769" s="23" t="s">
        <v>109</v>
      </c>
    </row>
    <row r="3770" spans="1:18" x14ac:dyDescent="0.25">
      <c r="A3770" s="21">
        <v>45793</v>
      </c>
      <c r="B3770" s="1">
        <v>812971712</v>
      </c>
      <c r="C3770" t="s">
        <v>6671</v>
      </c>
      <c r="D3770" s="22">
        <v>-4716</v>
      </c>
      <c r="E3770" t="s">
        <v>35</v>
      </c>
      <c r="F3770" s="2">
        <v>212901001</v>
      </c>
      <c r="G3770" s="2" t="s">
        <v>121</v>
      </c>
      <c r="L3770" s="2" t="s">
        <v>6672</v>
      </c>
      <c r="M3770" t="s">
        <v>67</v>
      </c>
      <c r="N3770" t="s">
        <v>68</v>
      </c>
      <c r="P3770" s="23">
        <v>94.32</v>
      </c>
      <c r="Q3770" s="4">
        <f t="shared" si="58"/>
        <v>-50.000000000000007</v>
      </c>
      <c r="R3770" s="23" t="s">
        <v>109</v>
      </c>
    </row>
    <row r="3771" spans="1:18" x14ac:dyDescent="0.25">
      <c r="A3771" s="21">
        <v>45793</v>
      </c>
      <c r="B3771" s="1">
        <v>812971710</v>
      </c>
      <c r="C3771" t="s">
        <v>6663</v>
      </c>
      <c r="D3771" s="22">
        <v>-4716</v>
      </c>
      <c r="E3771" t="s">
        <v>35</v>
      </c>
      <c r="F3771" s="2">
        <v>212901001</v>
      </c>
      <c r="G3771" s="2" t="s">
        <v>121</v>
      </c>
      <c r="L3771" s="2" t="s">
        <v>6673</v>
      </c>
      <c r="M3771" t="s">
        <v>67</v>
      </c>
      <c r="N3771" t="s">
        <v>68</v>
      </c>
      <c r="P3771" s="23">
        <v>94.32</v>
      </c>
      <c r="Q3771" s="4">
        <f t="shared" si="58"/>
        <v>-50.000000000000007</v>
      </c>
      <c r="R3771" s="23" t="s">
        <v>109</v>
      </c>
    </row>
    <row r="3772" spans="1:18" x14ac:dyDescent="0.25">
      <c r="A3772" s="21">
        <v>45793</v>
      </c>
      <c r="B3772" s="1">
        <v>812971711</v>
      </c>
      <c r="C3772" t="s">
        <v>6674</v>
      </c>
      <c r="D3772" s="22">
        <v>-4716</v>
      </c>
      <c r="E3772" t="s">
        <v>35</v>
      </c>
      <c r="F3772" s="2">
        <v>212901001</v>
      </c>
      <c r="G3772" s="2" t="s">
        <v>121</v>
      </c>
      <c r="L3772" s="2" t="s">
        <v>6675</v>
      </c>
      <c r="M3772" t="s">
        <v>67</v>
      </c>
      <c r="N3772" t="s">
        <v>68</v>
      </c>
      <c r="P3772" s="23">
        <v>94.32</v>
      </c>
      <c r="Q3772" s="4">
        <f t="shared" si="58"/>
        <v>-50.000000000000007</v>
      </c>
      <c r="R3772" s="23" t="s">
        <v>109</v>
      </c>
    </row>
    <row r="3773" spans="1:18" x14ac:dyDescent="0.25">
      <c r="A3773" s="21">
        <v>45793</v>
      </c>
      <c r="B3773" s="1">
        <v>812971715</v>
      </c>
      <c r="C3773" t="s">
        <v>6676</v>
      </c>
      <c r="D3773" s="22">
        <v>-4716</v>
      </c>
      <c r="E3773" t="s">
        <v>35</v>
      </c>
      <c r="F3773" s="2">
        <v>212901001</v>
      </c>
      <c r="G3773" s="2" t="s">
        <v>121</v>
      </c>
      <c r="L3773" s="2" t="s">
        <v>6677</v>
      </c>
      <c r="M3773" t="s">
        <v>67</v>
      </c>
      <c r="N3773" t="s">
        <v>68</v>
      </c>
      <c r="P3773" s="23">
        <v>94.32</v>
      </c>
      <c r="Q3773" s="4">
        <f t="shared" si="58"/>
        <v>-50.000000000000007</v>
      </c>
      <c r="R3773" s="23" t="s">
        <v>109</v>
      </c>
    </row>
    <row r="3774" spans="1:18" x14ac:dyDescent="0.25">
      <c r="A3774" s="21">
        <v>45793</v>
      </c>
      <c r="B3774" s="1">
        <v>812971713</v>
      </c>
      <c r="C3774" t="s">
        <v>6678</v>
      </c>
      <c r="D3774" s="22">
        <v>-4716</v>
      </c>
      <c r="E3774" t="s">
        <v>35</v>
      </c>
      <c r="F3774" s="2">
        <v>212901001</v>
      </c>
      <c r="G3774" s="2" t="s">
        <v>121</v>
      </c>
      <c r="L3774" s="2" t="s">
        <v>6679</v>
      </c>
      <c r="M3774" t="s">
        <v>67</v>
      </c>
      <c r="N3774" t="s">
        <v>68</v>
      </c>
      <c r="P3774" s="23">
        <v>94.32</v>
      </c>
      <c r="Q3774" s="4">
        <f t="shared" si="58"/>
        <v>-50.000000000000007</v>
      </c>
      <c r="R3774" s="23" t="s">
        <v>109</v>
      </c>
    </row>
    <row r="3775" spans="1:18" x14ac:dyDescent="0.25">
      <c r="A3775" s="21">
        <v>45793</v>
      </c>
      <c r="B3775" s="1">
        <v>912971721</v>
      </c>
      <c r="C3775" t="s">
        <v>6680</v>
      </c>
      <c r="D3775" s="22">
        <v>-1886.4</v>
      </c>
      <c r="E3775" t="s">
        <v>35</v>
      </c>
      <c r="F3775" s="2">
        <v>212901001</v>
      </c>
      <c r="G3775" s="2" t="s">
        <v>121</v>
      </c>
      <c r="L3775" s="2" t="s">
        <v>6681</v>
      </c>
      <c r="M3775" t="s">
        <v>67</v>
      </c>
      <c r="N3775" t="s">
        <v>68</v>
      </c>
      <c r="P3775" s="23">
        <v>94.32</v>
      </c>
      <c r="Q3775" s="4">
        <f t="shared" si="58"/>
        <v>-20.000000000000004</v>
      </c>
      <c r="R3775" s="23" t="s">
        <v>109</v>
      </c>
    </row>
    <row r="3776" spans="1:18" x14ac:dyDescent="0.25">
      <c r="A3776" s="21">
        <v>45793</v>
      </c>
      <c r="B3776" s="1">
        <v>812971714</v>
      </c>
      <c r="C3776" t="s">
        <v>6682</v>
      </c>
      <c r="D3776" s="22">
        <v>-3961.44</v>
      </c>
      <c r="E3776" t="s">
        <v>35</v>
      </c>
      <c r="F3776" s="2">
        <v>212901001</v>
      </c>
      <c r="G3776" s="2" t="s">
        <v>121</v>
      </c>
      <c r="L3776" s="2" t="s">
        <v>6683</v>
      </c>
      <c r="M3776" t="s">
        <v>67</v>
      </c>
      <c r="N3776" t="s">
        <v>68</v>
      </c>
      <c r="P3776" s="23">
        <v>94.32</v>
      </c>
      <c r="Q3776" s="4">
        <f t="shared" si="58"/>
        <v>-42.000000000000007</v>
      </c>
      <c r="R3776" s="23" t="s">
        <v>109</v>
      </c>
    </row>
    <row r="3777" spans="1:20" x14ac:dyDescent="0.25">
      <c r="A3777" s="21">
        <v>45793</v>
      </c>
      <c r="B3777" s="1">
        <v>812971716</v>
      </c>
      <c r="C3777" t="s">
        <v>6684</v>
      </c>
      <c r="D3777" s="22">
        <v>-4716</v>
      </c>
      <c r="E3777" t="s">
        <v>35</v>
      </c>
      <c r="F3777" s="2">
        <v>212901001</v>
      </c>
      <c r="G3777" s="2" t="s">
        <v>121</v>
      </c>
      <c r="L3777" s="2" t="s">
        <v>6685</v>
      </c>
      <c r="M3777" t="s">
        <v>67</v>
      </c>
      <c r="N3777" t="s">
        <v>68</v>
      </c>
      <c r="P3777" s="23">
        <v>94.32</v>
      </c>
      <c r="Q3777" s="4">
        <f t="shared" si="58"/>
        <v>-50.000000000000007</v>
      </c>
      <c r="R3777" s="23" t="s">
        <v>109</v>
      </c>
    </row>
    <row r="3778" spans="1:20" x14ac:dyDescent="0.25">
      <c r="A3778" s="21">
        <v>45793</v>
      </c>
      <c r="B3778" s="1">
        <v>912971720</v>
      </c>
      <c r="C3778" t="s">
        <v>6686</v>
      </c>
      <c r="D3778" s="22">
        <v>-1886.4</v>
      </c>
      <c r="E3778" t="s">
        <v>35</v>
      </c>
      <c r="F3778" s="2">
        <v>212901001</v>
      </c>
      <c r="G3778" s="2" t="s">
        <v>121</v>
      </c>
      <c r="L3778" s="2" t="s">
        <v>6687</v>
      </c>
      <c r="M3778" t="s">
        <v>67</v>
      </c>
      <c r="N3778" t="s">
        <v>68</v>
      </c>
      <c r="P3778" s="23">
        <v>94.32</v>
      </c>
      <c r="Q3778" s="4">
        <f t="shared" si="58"/>
        <v>-20.000000000000004</v>
      </c>
      <c r="R3778" s="23" t="s">
        <v>109</v>
      </c>
    </row>
    <row r="3779" spans="1:20" x14ac:dyDescent="0.25">
      <c r="A3779" s="21">
        <v>45793</v>
      </c>
      <c r="B3779" s="1">
        <v>812971718</v>
      </c>
      <c r="C3779" t="s">
        <v>6688</v>
      </c>
      <c r="D3779" s="22">
        <v>-3961.44</v>
      </c>
      <c r="E3779" t="s">
        <v>35</v>
      </c>
      <c r="F3779" s="2">
        <v>212901001</v>
      </c>
      <c r="G3779" s="2" t="s">
        <v>121</v>
      </c>
      <c r="L3779" s="2" t="s">
        <v>6689</v>
      </c>
      <c r="M3779" t="s">
        <v>67</v>
      </c>
      <c r="N3779" t="s">
        <v>68</v>
      </c>
      <c r="P3779" s="23">
        <v>94.32</v>
      </c>
      <c r="Q3779" s="4">
        <f t="shared" si="58"/>
        <v>-42.000000000000007</v>
      </c>
      <c r="R3779" s="23" t="s">
        <v>109</v>
      </c>
    </row>
    <row r="3780" spans="1:20" x14ac:dyDescent="0.25">
      <c r="A3780" s="21">
        <v>45793</v>
      </c>
      <c r="B3780" s="1">
        <v>812971717</v>
      </c>
      <c r="C3780" t="s">
        <v>6690</v>
      </c>
      <c r="D3780" s="22">
        <v>-4716</v>
      </c>
      <c r="E3780" t="s">
        <v>35</v>
      </c>
      <c r="F3780" s="2">
        <v>212901001</v>
      </c>
      <c r="G3780" s="2" t="s">
        <v>121</v>
      </c>
      <c r="L3780" s="2" t="s">
        <v>6691</v>
      </c>
      <c r="M3780" t="s">
        <v>67</v>
      </c>
      <c r="N3780" t="s">
        <v>68</v>
      </c>
      <c r="P3780" s="23">
        <v>94.32</v>
      </c>
      <c r="Q3780" s="4">
        <f t="shared" si="58"/>
        <v>-50.000000000000007</v>
      </c>
      <c r="R3780" s="23" t="s">
        <v>109</v>
      </c>
    </row>
    <row r="3781" spans="1:20" x14ac:dyDescent="0.25">
      <c r="A3781" s="21">
        <v>45793</v>
      </c>
      <c r="B3781" s="1">
        <v>912971724</v>
      </c>
      <c r="C3781" t="s">
        <v>6692</v>
      </c>
      <c r="D3781" s="22">
        <v>-9432</v>
      </c>
      <c r="E3781" t="s">
        <v>35</v>
      </c>
      <c r="F3781" s="2">
        <v>212901001</v>
      </c>
      <c r="G3781" s="2" t="s">
        <v>121</v>
      </c>
      <c r="L3781" s="2" t="s">
        <v>6693</v>
      </c>
      <c r="M3781" t="s">
        <v>67</v>
      </c>
      <c r="N3781" t="s">
        <v>68</v>
      </c>
      <c r="P3781" s="23">
        <v>94.32</v>
      </c>
      <c r="Q3781" s="4">
        <f t="shared" si="58"/>
        <v>-100.00000000000001</v>
      </c>
      <c r="R3781" s="23" t="s">
        <v>109</v>
      </c>
    </row>
    <row r="3782" spans="1:20" x14ac:dyDescent="0.25">
      <c r="A3782" s="21">
        <v>45793</v>
      </c>
      <c r="B3782" s="1">
        <v>912971719</v>
      </c>
      <c r="C3782" t="s">
        <v>6694</v>
      </c>
      <c r="D3782" s="22">
        <v>-4716</v>
      </c>
      <c r="E3782" t="s">
        <v>35</v>
      </c>
      <c r="F3782" s="2">
        <v>212901001</v>
      </c>
      <c r="G3782" s="2" t="s">
        <v>121</v>
      </c>
      <c r="L3782" s="2" t="s">
        <v>6695</v>
      </c>
      <c r="M3782" t="s">
        <v>67</v>
      </c>
      <c r="N3782" t="s">
        <v>68</v>
      </c>
      <c r="P3782" s="23">
        <v>94.32</v>
      </c>
      <c r="Q3782" s="4">
        <f t="shared" si="58"/>
        <v>-50.000000000000007</v>
      </c>
      <c r="R3782" s="23" t="s">
        <v>109</v>
      </c>
    </row>
    <row r="3783" spans="1:20" x14ac:dyDescent="0.25">
      <c r="A3783" s="21">
        <v>45793</v>
      </c>
      <c r="B3783" s="1">
        <v>912971726</v>
      </c>
      <c r="C3783" t="s">
        <v>6696</v>
      </c>
      <c r="D3783" s="22">
        <v>-11507.04</v>
      </c>
      <c r="E3783" t="s">
        <v>35</v>
      </c>
      <c r="F3783" s="2">
        <v>212901001</v>
      </c>
      <c r="G3783" s="2" t="s">
        <v>121</v>
      </c>
      <c r="L3783" s="2" t="s">
        <v>6697</v>
      </c>
      <c r="M3783" t="s">
        <v>67</v>
      </c>
      <c r="N3783" t="s">
        <v>68</v>
      </c>
      <c r="P3783" s="23">
        <v>94.32</v>
      </c>
      <c r="Q3783" s="4">
        <f t="shared" si="58"/>
        <v>-122.00000000000001</v>
      </c>
      <c r="R3783" s="23" t="s">
        <v>109</v>
      </c>
    </row>
    <row r="3784" spans="1:20" x14ac:dyDescent="0.25">
      <c r="A3784" s="21">
        <v>45793</v>
      </c>
      <c r="B3784" s="1">
        <v>912971725</v>
      </c>
      <c r="C3784" t="s">
        <v>6698</v>
      </c>
      <c r="D3784" s="22">
        <v>-18864</v>
      </c>
      <c r="E3784" t="s">
        <v>35</v>
      </c>
      <c r="F3784" s="2">
        <v>212901001</v>
      </c>
      <c r="G3784" s="2" t="s">
        <v>121</v>
      </c>
      <c r="L3784" s="2" t="s">
        <v>6699</v>
      </c>
      <c r="M3784" t="s">
        <v>67</v>
      </c>
      <c r="N3784" t="s">
        <v>68</v>
      </c>
      <c r="P3784" s="23">
        <v>94.32</v>
      </c>
      <c r="Q3784" s="4">
        <f t="shared" si="58"/>
        <v>-200.00000000000003</v>
      </c>
      <c r="R3784" s="23" t="s">
        <v>109</v>
      </c>
    </row>
    <row r="3785" spans="1:20" x14ac:dyDescent="0.25">
      <c r="A3785" s="21">
        <v>45793</v>
      </c>
      <c r="B3785" s="1">
        <v>912971727</v>
      </c>
      <c r="C3785" t="s">
        <v>6700</v>
      </c>
      <c r="D3785" s="22">
        <v>-2829.6</v>
      </c>
      <c r="E3785" t="s">
        <v>35</v>
      </c>
      <c r="F3785" s="2">
        <v>212901001</v>
      </c>
      <c r="G3785" s="2" t="s">
        <v>121</v>
      </c>
      <c r="L3785" s="2" t="s">
        <v>6701</v>
      </c>
      <c r="M3785" t="s">
        <v>67</v>
      </c>
      <c r="N3785" t="s">
        <v>68</v>
      </c>
      <c r="P3785" s="23">
        <v>94.32</v>
      </c>
      <c r="Q3785" s="4">
        <f t="shared" si="58"/>
        <v>-30</v>
      </c>
      <c r="R3785" s="23" t="s">
        <v>109</v>
      </c>
    </row>
    <row r="3786" spans="1:20" x14ac:dyDescent="0.25">
      <c r="A3786" s="21">
        <v>45793</v>
      </c>
      <c r="B3786" s="1">
        <v>912971722</v>
      </c>
      <c r="C3786" t="s">
        <v>6702</v>
      </c>
      <c r="D3786" s="22">
        <v>-1886.4</v>
      </c>
      <c r="E3786" t="s">
        <v>35</v>
      </c>
      <c r="F3786" s="2">
        <v>212901001</v>
      </c>
      <c r="G3786" s="2" t="s">
        <v>121</v>
      </c>
      <c r="L3786" s="2" t="s">
        <v>6703</v>
      </c>
      <c r="M3786" t="s">
        <v>67</v>
      </c>
      <c r="N3786" t="s">
        <v>68</v>
      </c>
      <c r="P3786" s="23">
        <v>94.32</v>
      </c>
      <c r="Q3786" s="4">
        <f t="shared" si="58"/>
        <v>-20.000000000000004</v>
      </c>
      <c r="R3786" s="23" t="s">
        <v>109</v>
      </c>
    </row>
    <row r="3787" spans="1:20" x14ac:dyDescent="0.25">
      <c r="A3787" s="21">
        <v>45793</v>
      </c>
      <c r="B3787" s="1">
        <v>912971723</v>
      </c>
      <c r="C3787" t="s">
        <v>6704</v>
      </c>
      <c r="D3787" s="22">
        <v>-1886.4</v>
      </c>
      <c r="E3787" t="s">
        <v>35</v>
      </c>
      <c r="F3787" s="2">
        <v>212901001</v>
      </c>
      <c r="G3787" s="2" t="s">
        <v>121</v>
      </c>
      <c r="L3787" s="2" t="s">
        <v>6705</v>
      </c>
      <c r="M3787" t="s">
        <v>67</v>
      </c>
      <c r="N3787" t="s">
        <v>68</v>
      </c>
      <c r="P3787" s="23">
        <v>94.32</v>
      </c>
      <c r="Q3787" s="4">
        <f t="shared" ref="Q3787:Q3850" si="59">D3787/P3787</f>
        <v>-20.000000000000004</v>
      </c>
      <c r="R3787" s="23" t="s">
        <v>109</v>
      </c>
    </row>
    <row r="3788" spans="1:20" x14ac:dyDescent="0.25">
      <c r="A3788" s="21">
        <v>45793</v>
      </c>
      <c r="B3788" s="1">
        <v>912971728</v>
      </c>
      <c r="C3788" t="s">
        <v>6706</v>
      </c>
      <c r="D3788" s="22">
        <v>-3772.8</v>
      </c>
      <c r="E3788" t="s">
        <v>35</v>
      </c>
      <c r="F3788" s="2">
        <v>212901001</v>
      </c>
      <c r="G3788" s="2" t="s">
        <v>121</v>
      </c>
      <c r="L3788" s="2" t="s">
        <v>6707</v>
      </c>
      <c r="M3788" t="s">
        <v>67</v>
      </c>
      <c r="N3788" t="s">
        <v>68</v>
      </c>
      <c r="P3788" s="23">
        <v>94.32</v>
      </c>
      <c r="Q3788" s="4">
        <f t="shared" si="59"/>
        <v>-40.000000000000007</v>
      </c>
      <c r="R3788" s="23" t="s">
        <v>109</v>
      </c>
    </row>
    <row r="3789" spans="1:20" x14ac:dyDescent="0.25">
      <c r="A3789" s="21">
        <v>45793</v>
      </c>
      <c r="B3789" s="1">
        <v>50597800</v>
      </c>
      <c r="C3789" t="s">
        <v>6708</v>
      </c>
      <c r="D3789" s="22">
        <v>-13204.8</v>
      </c>
      <c r="E3789" t="s">
        <v>35</v>
      </c>
      <c r="F3789" s="2">
        <v>212901001</v>
      </c>
      <c r="G3789" s="2" t="s">
        <v>121</v>
      </c>
      <c r="L3789" s="2" t="s">
        <v>6709</v>
      </c>
      <c r="M3789" t="s">
        <v>67</v>
      </c>
      <c r="N3789" t="s">
        <v>68</v>
      </c>
      <c r="P3789" s="23">
        <v>94.32</v>
      </c>
      <c r="Q3789" s="4">
        <f t="shared" si="59"/>
        <v>-140</v>
      </c>
      <c r="R3789" s="23" t="s">
        <v>109</v>
      </c>
    </row>
    <row r="3790" spans="1:20" x14ac:dyDescent="0.25">
      <c r="A3790" s="21">
        <v>45793</v>
      </c>
      <c r="B3790" s="1">
        <v>50597800</v>
      </c>
      <c r="C3790" t="s">
        <v>296</v>
      </c>
      <c r="D3790" s="22">
        <v>-19.8</v>
      </c>
      <c r="E3790" t="s">
        <v>35</v>
      </c>
      <c r="F3790" s="2">
        <v>610148001</v>
      </c>
      <c r="G3790" s="2" t="s">
        <v>42</v>
      </c>
      <c r="L3790" s="2" t="s">
        <v>6710</v>
      </c>
      <c r="M3790" t="s">
        <v>43</v>
      </c>
      <c r="N3790" t="s">
        <v>42</v>
      </c>
      <c r="P3790" s="23">
        <v>94.32</v>
      </c>
      <c r="Q3790" s="4">
        <f t="shared" si="59"/>
        <v>-0.20992366412213742</v>
      </c>
      <c r="R3790" s="23" t="s">
        <v>109</v>
      </c>
      <c r="T3790" s="23" t="s">
        <v>6107</v>
      </c>
    </row>
    <row r="3791" spans="1:20" x14ac:dyDescent="0.25">
      <c r="A3791" s="21">
        <v>45793</v>
      </c>
      <c r="B3791" s="1">
        <v>50597800</v>
      </c>
      <c r="C3791" t="s">
        <v>118</v>
      </c>
      <c r="D3791" s="22">
        <v>-1061.0999999999999</v>
      </c>
      <c r="E3791" t="s">
        <v>35</v>
      </c>
      <c r="F3791" s="2">
        <v>610148001</v>
      </c>
      <c r="G3791" s="2" t="s">
        <v>42</v>
      </c>
      <c r="L3791" s="2" t="s">
        <v>6711</v>
      </c>
      <c r="M3791" t="s">
        <v>43</v>
      </c>
      <c r="N3791" t="s">
        <v>42</v>
      </c>
      <c r="P3791" s="23">
        <v>94.32</v>
      </c>
      <c r="Q3791" s="4">
        <f t="shared" si="59"/>
        <v>-11.25</v>
      </c>
      <c r="R3791" s="23" t="s">
        <v>109</v>
      </c>
      <c r="T3791" s="23" t="s">
        <v>6107</v>
      </c>
    </row>
    <row r="3792" spans="1:20" x14ac:dyDescent="0.25">
      <c r="A3792" s="21">
        <v>45796</v>
      </c>
      <c r="B3792" s="1">
        <v>224002292</v>
      </c>
      <c r="C3792" t="s">
        <v>6712</v>
      </c>
      <c r="D3792" s="22">
        <v>10552.47</v>
      </c>
      <c r="E3792" t="s">
        <v>46</v>
      </c>
      <c r="F3792" s="2">
        <v>110106001</v>
      </c>
      <c r="G3792" s="2" t="s">
        <v>2034</v>
      </c>
      <c r="L3792" s="2" t="s">
        <v>6713</v>
      </c>
      <c r="N3792" t="s">
        <v>3330</v>
      </c>
      <c r="P3792" s="23">
        <v>94.76</v>
      </c>
      <c r="Q3792" s="4">
        <f t="shared" si="59"/>
        <v>111.3599620092866</v>
      </c>
      <c r="R3792" s="23" t="s">
        <v>109</v>
      </c>
    </row>
    <row r="3793" spans="1:23" x14ac:dyDescent="0.25">
      <c r="A3793" s="21">
        <v>45796</v>
      </c>
      <c r="B3793" s="1">
        <v>224002292</v>
      </c>
      <c r="C3793" t="s">
        <v>2037</v>
      </c>
      <c r="D3793" s="22">
        <v>-158.28</v>
      </c>
      <c r="E3793" t="s">
        <v>35</v>
      </c>
      <c r="F3793" s="2">
        <v>610148001</v>
      </c>
      <c r="G3793" s="2" t="s">
        <v>42</v>
      </c>
      <c r="L3793" s="2" t="s">
        <v>6714</v>
      </c>
      <c r="M3793" t="s">
        <v>43</v>
      </c>
      <c r="N3793" t="s">
        <v>42</v>
      </c>
      <c r="P3793" s="23">
        <v>94.76</v>
      </c>
      <c r="Q3793" s="4">
        <f t="shared" si="59"/>
        <v>-1.6703250316589278</v>
      </c>
      <c r="R3793" s="23" t="s">
        <v>109</v>
      </c>
      <c r="T3793" s="23" t="s">
        <v>6107</v>
      </c>
    </row>
    <row r="3794" spans="1:23" x14ac:dyDescent="0.25">
      <c r="A3794" s="21">
        <v>45796</v>
      </c>
      <c r="B3794" s="1">
        <v>337021977</v>
      </c>
      <c r="C3794" t="s">
        <v>6715</v>
      </c>
      <c r="D3794" s="22">
        <v>14069.96</v>
      </c>
      <c r="E3794" t="s">
        <v>46</v>
      </c>
      <c r="F3794" s="2">
        <v>110106001</v>
      </c>
      <c r="G3794" s="2" t="s">
        <v>2034</v>
      </c>
      <c r="L3794" s="2" t="s">
        <v>6716</v>
      </c>
      <c r="N3794" t="s">
        <v>3330</v>
      </c>
      <c r="P3794" s="23">
        <v>94.76</v>
      </c>
      <c r="Q3794" s="4">
        <f t="shared" si="59"/>
        <v>148.47994934571548</v>
      </c>
      <c r="R3794" s="23" t="s">
        <v>109</v>
      </c>
    </row>
    <row r="3795" spans="1:23" x14ac:dyDescent="0.25">
      <c r="A3795" s="21">
        <v>45796</v>
      </c>
      <c r="B3795" s="1">
        <v>337021977</v>
      </c>
      <c r="C3795" t="s">
        <v>2037</v>
      </c>
      <c r="D3795" s="22">
        <v>-211.04</v>
      </c>
      <c r="E3795" t="s">
        <v>35</v>
      </c>
      <c r="F3795" s="2">
        <v>610148001</v>
      </c>
      <c r="G3795" s="2" t="s">
        <v>42</v>
      </c>
      <c r="L3795" s="2" t="s">
        <v>6717</v>
      </c>
      <c r="M3795" t="s">
        <v>43</v>
      </c>
      <c r="N3795" t="s">
        <v>42</v>
      </c>
      <c r="P3795" s="23">
        <v>94.76</v>
      </c>
      <c r="Q3795" s="4">
        <f t="shared" si="59"/>
        <v>-2.2271000422119034</v>
      </c>
      <c r="R3795" s="23" t="s">
        <v>109</v>
      </c>
      <c r="T3795" s="23" t="s">
        <v>6107</v>
      </c>
    </row>
    <row r="3796" spans="1:23" x14ac:dyDescent="0.25">
      <c r="A3796" s="21">
        <v>45796</v>
      </c>
      <c r="B3796" s="1">
        <v>906002295</v>
      </c>
      <c r="C3796" t="s">
        <v>6718</v>
      </c>
      <c r="D3796" s="22">
        <v>10552.47</v>
      </c>
      <c r="E3796" t="s">
        <v>46</v>
      </c>
      <c r="F3796" s="2">
        <v>110106001</v>
      </c>
      <c r="G3796" s="2" t="s">
        <v>2034</v>
      </c>
      <c r="L3796" s="2" t="s">
        <v>6719</v>
      </c>
      <c r="N3796" t="s">
        <v>3330</v>
      </c>
      <c r="P3796" s="23">
        <v>94.76</v>
      </c>
      <c r="Q3796" s="4">
        <f t="shared" si="59"/>
        <v>111.3599620092866</v>
      </c>
      <c r="R3796" s="23" t="s">
        <v>109</v>
      </c>
    </row>
    <row r="3797" spans="1:23" x14ac:dyDescent="0.25">
      <c r="A3797" s="21">
        <v>45796</v>
      </c>
      <c r="B3797" s="1">
        <v>906002295</v>
      </c>
      <c r="C3797" t="s">
        <v>2037</v>
      </c>
      <c r="D3797" s="22">
        <v>-158.28</v>
      </c>
      <c r="E3797" t="s">
        <v>35</v>
      </c>
      <c r="F3797" s="2">
        <v>610148001</v>
      </c>
      <c r="G3797" s="2" t="s">
        <v>42</v>
      </c>
      <c r="L3797" s="2" t="s">
        <v>6720</v>
      </c>
      <c r="M3797" t="s">
        <v>43</v>
      </c>
      <c r="N3797" t="s">
        <v>42</v>
      </c>
      <c r="P3797" s="23">
        <v>94.76</v>
      </c>
      <c r="Q3797" s="4">
        <f t="shared" si="59"/>
        <v>-1.6703250316589278</v>
      </c>
      <c r="R3797" s="23" t="s">
        <v>109</v>
      </c>
      <c r="T3797" s="23" t="s">
        <v>6107</v>
      </c>
    </row>
    <row r="3798" spans="1:23" x14ac:dyDescent="0.25">
      <c r="A3798" s="21">
        <v>45797</v>
      </c>
      <c r="B3798" s="1">
        <v>559038860</v>
      </c>
      <c r="C3798" t="s">
        <v>6721</v>
      </c>
      <c r="D3798" s="22">
        <v>50000</v>
      </c>
      <c r="E3798" t="s">
        <v>46</v>
      </c>
      <c r="F3798" s="2">
        <v>110106001</v>
      </c>
      <c r="G3798" s="2" t="s">
        <v>2034</v>
      </c>
      <c r="L3798" s="2" t="s">
        <v>6722</v>
      </c>
      <c r="N3798" t="s">
        <v>3330</v>
      </c>
      <c r="P3798" s="23">
        <v>94.8</v>
      </c>
      <c r="Q3798" s="4">
        <f t="shared" si="59"/>
        <v>527.4261603375528</v>
      </c>
      <c r="R3798" s="23" t="s">
        <v>109</v>
      </c>
    </row>
    <row r="3799" spans="1:23" x14ac:dyDescent="0.25">
      <c r="A3799" s="21">
        <v>45797</v>
      </c>
      <c r="B3799" s="1">
        <v>559038860</v>
      </c>
      <c r="C3799" t="s">
        <v>2037</v>
      </c>
      <c r="D3799" s="22">
        <v>-750</v>
      </c>
      <c r="E3799" t="s">
        <v>35</v>
      </c>
      <c r="F3799" s="2">
        <v>610148001</v>
      </c>
      <c r="G3799" s="2" t="s">
        <v>42</v>
      </c>
      <c r="L3799" s="2" t="s">
        <v>6723</v>
      </c>
      <c r="M3799" t="s">
        <v>43</v>
      </c>
      <c r="N3799" t="s">
        <v>42</v>
      </c>
      <c r="P3799" s="23">
        <v>94.8</v>
      </c>
      <c r="Q3799" s="4">
        <f t="shared" si="59"/>
        <v>-7.9113924050632916</v>
      </c>
      <c r="R3799" s="23" t="s">
        <v>109</v>
      </c>
      <c r="T3799" s="23" t="s">
        <v>6107</v>
      </c>
    </row>
    <row r="3800" spans="1:23" x14ac:dyDescent="0.25">
      <c r="A3800" s="21">
        <v>45797</v>
      </c>
      <c r="B3800" s="1">
        <v>925002305</v>
      </c>
      <c r="C3800" t="s">
        <v>6724</v>
      </c>
      <c r="D3800" s="22">
        <v>10556.93</v>
      </c>
      <c r="E3800" t="s">
        <v>46</v>
      </c>
      <c r="F3800" s="2">
        <v>110106001</v>
      </c>
      <c r="G3800" s="2" t="s">
        <v>2034</v>
      </c>
      <c r="L3800" s="2" t="s">
        <v>6725</v>
      </c>
      <c r="N3800" t="s">
        <v>3330</v>
      </c>
      <c r="P3800" s="23">
        <v>94.8</v>
      </c>
      <c r="Q3800" s="4">
        <f t="shared" si="59"/>
        <v>111.36002109704641</v>
      </c>
      <c r="R3800" s="23" t="s">
        <v>109</v>
      </c>
    </row>
    <row r="3801" spans="1:23" x14ac:dyDescent="0.25">
      <c r="A3801" s="21">
        <v>45797</v>
      </c>
      <c r="B3801" s="1">
        <v>925002305</v>
      </c>
      <c r="C3801" t="s">
        <v>2037</v>
      </c>
      <c r="D3801" s="22">
        <v>-158.35</v>
      </c>
      <c r="E3801" t="s">
        <v>35</v>
      </c>
      <c r="F3801" s="2">
        <v>610148001</v>
      </c>
      <c r="G3801" s="2" t="s">
        <v>42</v>
      </c>
      <c r="L3801" s="2" t="s">
        <v>6726</v>
      </c>
      <c r="M3801" t="s">
        <v>43</v>
      </c>
      <c r="N3801" t="s">
        <v>42</v>
      </c>
      <c r="P3801" s="23">
        <v>94.8</v>
      </c>
      <c r="Q3801" s="4">
        <f t="shared" si="59"/>
        <v>-1.6703586497890295</v>
      </c>
      <c r="R3801" s="23" t="s">
        <v>109</v>
      </c>
      <c r="T3801" s="23" t="s">
        <v>6107</v>
      </c>
    </row>
    <row r="3802" spans="1:23" x14ac:dyDescent="0.25">
      <c r="A3802" s="21">
        <v>45797</v>
      </c>
      <c r="B3802" s="1">
        <v>732038864</v>
      </c>
      <c r="C3802" t="s">
        <v>6721</v>
      </c>
      <c r="D3802" s="22">
        <v>11582.08</v>
      </c>
      <c r="E3802" t="s">
        <v>46</v>
      </c>
      <c r="F3802" s="2">
        <v>110106001</v>
      </c>
      <c r="G3802" s="2" t="s">
        <v>2034</v>
      </c>
      <c r="L3802" s="2" t="s">
        <v>6727</v>
      </c>
      <c r="N3802" t="s">
        <v>3330</v>
      </c>
      <c r="P3802" s="23">
        <v>94.8</v>
      </c>
      <c r="Q3802" s="4">
        <f t="shared" si="59"/>
        <v>122.17383966244726</v>
      </c>
      <c r="R3802" s="23" t="s">
        <v>109</v>
      </c>
    </row>
    <row r="3803" spans="1:23" x14ac:dyDescent="0.25">
      <c r="A3803" s="21">
        <v>45797</v>
      </c>
      <c r="B3803" s="1">
        <v>732038864</v>
      </c>
      <c r="C3803" t="s">
        <v>2037</v>
      </c>
      <c r="D3803" s="22">
        <v>-173.73</v>
      </c>
      <c r="E3803" t="s">
        <v>35</v>
      </c>
      <c r="F3803" s="2">
        <v>610148001</v>
      </c>
      <c r="G3803" s="2" t="s">
        <v>42</v>
      </c>
      <c r="L3803" s="2" t="s">
        <v>6728</v>
      </c>
      <c r="M3803" t="s">
        <v>43</v>
      </c>
      <c r="N3803" t="s">
        <v>42</v>
      </c>
      <c r="P3803" s="23">
        <v>94.8</v>
      </c>
      <c r="Q3803" s="4">
        <f t="shared" si="59"/>
        <v>-1.8325949367088608</v>
      </c>
      <c r="R3803" s="23" t="s">
        <v>109</v>
      </c>
      <c r="T3803" s="23" t="s">
        <v>6107</v>
      </c>
    </row>
    <row r="3804" spans="1:23" x14ac:dyDescent="0.25">
      <c r="A3804" s="21">
        <v>45797</v>
      </c>
      <c r="B3804" s="1">
        <v>813217739</v>
      </c>
      <c r="C3804" t="s">
        <v>6729</v>
      </c>
      <c r="D3804" s="22">
        <v>-75438.05</v>
      </c>
      <c r="E3804" t="s">
        <v>35</v>
      </c>
      <c r="F3804" s="2">
        <v>110106001</v>
      </c>
      <c r="G3804" s="2" t="s">
        <v>2034</v>
      </c>
      <c r="L3804" s="2" t="s">
        <v>6730</v>
      </c>
      <c r="N3804" t="s">
        <v>6731</v>
      </c>
      <c r="P3804" s="23">
        <v>94.8</v>
      </c>
      <c r="Q3804" s="4">
        <f t="shared" si="59"/>
        <v>-795.76002109704643</v>
      </c>
      <c r="R3804" s="23" t="s">
        <v>109</v>
      </c>
    </row>
    <row r="3805" spans="1:23" x14ac:dyDescent="0.25">
      <c r="A3805" s="21">
        <v>45797</v>
      </c>
      <c r="B3805" s="1">
        <v>813217739</v>
      </c>
      <c r="C3805" t="s">
        <v>306</v>
      </c>
      <c r="D3805" s="22">
        <v>-226.31</v>
      </c>
      <c r="E3805" t="s">
        <v>35</v>
      </c>
      <c r="F3805" s="2">
        <v>610148001</v>
      </c>
      <c r="G3805" s="2" t="s">
        <v>42</v>
      </c>
      <c r="L3805" s="2" t="s">
        <v>6732</v>
      </c>
      <c r="M3805" t="s">
        <v>43</v>
      </c>
      <c r="N3805" t="s">
        <v>42</v>
      </c>
      <c r="P3805" s="23">
        <v>94.8</v>
      </c>
      <c r="Q3805" s="4">
        <f t="shared" si="59"/>
        <v>-2.3872362869198311</v>
      </c>
      <c r="R3805" s="23" t="s">
        <v>109</v>
      </c>
      <c r="T3805" s="23" t="s">
        <v>6107</v>
      </c>
    </row>
    <row r="3806" spans="1:23" x14ac:dyDescent="0.25">
      <c r="A3806" s="21">
        <v>45800</v>
      </c>
      <c r="B3806" s="1">
        <v>712551826</v>
      </c>
      <c r="C3806" t="s">
        <v>6733</v>
      </c>
      <c r="D3806" s="22">
        <v>40000</v>
      </c>
      <c r="E3806" t="s">
        <v>46</v>
      </c>
      <c r="F3806" s="2">
        <v>110101003</v>
      </c>
      <c r="G3806" s="2" t="s">
        <v>6734</v>
      </c>
      <c r="L3806" s="2" t="s">
        <v>6735</v>
      </c>
      <c r="N3806" t="s">
        <v>6733</v>
      </c>
      <c r="P3806" s="23">
        <v>95.02</v>
      </c>
      <c r="Q3806" s="4">
        <f t="shared" si="59"/>
        <v>420.96400757735216</v>
      </c>
      <c r="R3806" s="23" t="s">
        <v>109</v>
      </c>
    </row>
    <row r="3807" spans="1:23" x14ac:dyDescent="0.25">
      <c r="A3807" s="21">
        <v>45800</v>
      </c>
      <c r="B3807" s="1">
        <v>78728</v>
      </c>
      <c r="C3807" t="s">
        <v>6736</v>
      </c>
      <c r="D3807" s="22">
        <v>20000</v>
      </c>
      <c r="E3807" t="s">
        <v>46</v>
      </c>
      <c r="F3807" s="2">
        <v>110101003</v>
      </c>
      <c r="G3807" s="2" t="s">
        <v>6734</v>
      </c>
      <c r="L3807" s="2" t="s">
        <v>6737</v>
      </c>
      <c r="N3807" t="s">
        <v>6736</v>
      </c>
      <c r="P3807" s="23">
        <v>95.02</v>
      </c>
      <c r="Q3807" s="4">
        <f t="shared" si="59"/>
        <v>210.48200378867608</v>
      </c>
      <c r="R3807" s="23" t="s">
        <v>109</v>
      </c>
    </row>
    <row r="3808" spans="1:23" x14ac:dyDescent="0.25">
      <c r="A3808" s="21">
        <v>45800</v>
      </c>
      <c r="B3808" s="1">
        <v>413367861</v>
      </c>
      <c r="C3808" t="s">
        <v>6738</v>
      </c>
      <c r="D3808" s="22">
        <v>-154.68</v>
      </c>
      <c r="E3808" t="s">
        <v>35</v>
      </c>
      <c r="F3808" s="2">
        <v>212901001</v>
      </c>
      <c r="G3808" s="2" t="s">
        <v>121</v>
      </c>
      <c r="L3808" s="2" t="s">
        <v>6739</v>
      </c>
      <c r="M3808" t="s">
        <v>67</v>
      </c>
      <c r="N3808" t="s">
        <v>68</v>
      </c>
      <c r="P3808" s="23">
        <v>95.02</v>
      </c>
      <c r="Q3808" s="4">
        <f t="shared" si="59"/>
        <v>-1.6278678173016208</v>
      </c>
      <c r="R3808" s="23" t="s">
        <v>109</v>
      </c>
      <c r="T3808" s="69" t="s">
        <v>6740</v>
      </c>
      <c r="U3808">
        <v>2</v>
      </c>
      <c r="V3808" t="e">
        <f>VLOOKUP(Tabla3[[#This Row],[Nº]],[1]!NOMINA[#Data],4,FALSE)</f>
        <v>#REF!</v>
      </c>
      <c r="W3808" t="e">
        <f>VLOOKUP(Tabla3[[#This Row],[Nº]],[1]!NOMINA[#Data],5,FALSE)</f>
        <v>#REF!</v>
      </c>
    </row>
    <row r="3809" spans="1:23" x14ac:dyDescent="0.25">
      <c r="A3809" s="21">
        <v>45800</v>
      </c>
      <c r="B3809" s="1">
        <v>513367862</v>
      </c>
      <c r="C3809" t="s">
        <v>6738</v>
      </c>
      <c r="D3809" s="22">
        <v>-97996.69</v>
      </c>
      <c r="E3809" t="s">
        <v>35</v>
      </c>
      <c r="F3809" s="2">
        <v>212901001</v>
      </c>
      <c r="G3809" s="2" t="s">
        <v>121</v>
      </c>
      <c r="L3809" s="2" t="s">
        <v>6741</v>
      </c>
      <c r="M3809" t="s">
        <v>67</v>
      </c>
      <c r="N3809" t="s">
        <v>68</v>
      </c>
      <c r="P3809" s="23">
        <v>95.02</v>
      </c>
      <c r="Q3809" s="4">
        <f t="shared" si="59"/>
        <v>-1031.3269837928858</v>
      </c>
      <c r="R3809" s="23" t="s">
        <v>109</v>
      </c>
      <c r="T3809" s="69" t="s">
        <v>6740</v>
      </c>
      <c r="U3809">
        <v>2</v>
      </c>
      <c r="V3809" t="e">
        <f>VLOOKUP(Tabla3[[#This Row],[Nº]],[1]!NOMINA[#Data],4,FALSE)</f>
        <v>#REF!</v>
      </c>
      <c r="W3809" t="e">
        <f>VLOOKUP(Tabla3[[#This Row],[Nº]],[1]!NOMINA[#Data],5,FALSE)</f>
        <v>#REF!</v>
      </c>
    </row>
    <row r="3810" spans="1:23" x14ac:dyDescent="0.25">
      <c r="A3810" s="21">
        <v>45800</v>
      </c>
      <c r="B3810" s="1">
        <v>50583801</v>
      </c>
      <c r="C3810" t="s">
        <v>118</v>
      </c>
      <c r="D3810" s="22">
        <v>-245.37</v>
      </c>
      <c r="E3810" t="s">
        <v>35</v>
      </c>
      <c r="F3810" s="2">
        <v>610148001</v>
      </c>
      <c r="G3810" s="2" t="s">
        <v>42</v>
      </c>
      <c r="L3810" s="2" t="s">
        <v>6742</v>
      </c>
      <c r="M3810" t="s">
        <v>43</v>
      </c>
      <c r="N3810" t="s">
        <v>42</v>
      </c>
      <c r="P3810" s="23">
        <v>95.02</v>
      </c>
      <c r="Q3810" s="4">
        <f t="shared" si="59"/>
        <v>-2.5822984634813726</v>
      </c>
      <c r="R3810" s="23" t="s">
        <v>109</v>
      </c>
      <c r="T3810" s="23" t="s">
        <v>6107</v>
      </c>
    </row>
    <row r="3811" spans="1:23" x14ac:dyDescent="0.25">
      <c r="A3811" s="21">
        <v>45800</v>
      </c>
      <c r="B3811" s="1">
        <v>113396259</v>
      </c>
      <c r="C3811" t="s">
        <v>6743</v>
      </c>
      <c r="D3811" s="22">
        <v>-2850.6</v>
      </c>
      <c r="E3811" t="s">
        <v>35</v>
      </c>
      <c r="F3811" s="2">
        <v>212901001</v>
      </c>
      <c r="G3811" s="2" t="s">
        <v>121</v>
      </c>
      <c r="L3811" s="2" t="s">
        <v>6744</v>
      </c>
      <c r="M3811" t="s">
        <v>67</v>
      </c>
      <c r="N3811" t="s">
        <v>68</v>
      </c>
      <c r="P3811" s="23">
        <v>95.02</v>
      </c>
      <c r="Q3811" s="4">
        <f t="shared" si="59"/>
        <v>-30</v>
      </c>
      <c r="R3811" s="23" t="s">
        <v>109</v>
      </c>
    </row>
    <row r="3812" spans="1:23" x14ac:dyDescent="0.25">
      <c r="A3812" s="21">
        <v>45800</v>
      </c>
      <c r="B3812" s="1">
        <v>113396259</v>
      </c>
      <c r="C3812" t="s">
        <v>306</v>
      </c>
      <c r="D3812" s="22">
        <v>-8.5500000000000007</v>
      </c>
      <c r="E3812" t="s">
        <v>35</v>
      </c>
      <c r="F3812" s="2">
        <v>610148001</v>
      </c>
      <c r="G3812" s="2" t="s">
        <v>42</v>
      </c>
      <c r="L3812" s="2" t="s">
        <v>6745</v>
      </c>
      <c r="M3812" t="s">
        <v>43</v>
      </c>
      <c r="N3812" t="s">
        <v>42</v>
      </c>
      <c r="P3812" s="23">
        <v>95.02</v>
      </c>
      <c r="Q3812" s="4">
        <f t="shared" si="59"/>
        <v>-8.9981056619659036E-2</v>
      </c>
      <c r="R3812" s="23" t="s">
        <v>109</v>
      </c>
      <c r="T3812" s="23" t="s">
        <v>6107</v>
      </c>
    </row>
    <row r="3813" spans="1:23" x14ac:dyDescent="0.25">
      <c r="A3813" s="21">
        <v>45800</v>
      </c>
      <c r="B3813" s="1">
        <v>160247680</v>
      </c>
      <c r="C3813" t="s">
        <v>107</v>
      </c>
      <c r="D3813" s="22">
        <v>440000</v>
      </c>
      <c r="E3813" t="s">
        <v>46</v>
      </c>
      <c r="F3813" s="2">
        <v>210115002</v>
      </c>
      <c r="G3813" s="2" t="s">
        <v>47</v>
      </c>
      <c r="L3813" s="2" t="s">
        <v>6746</v>
      </c>
      <c r="N3813" t="s">
        <v>107</v>
      </c>
      <c r="P3813" s="23">
        <v>95.02</v>
      </c>
      <c r="Q3813" s="4">
        <f t="shared" si="59"/>
        <v>4630.6040833508741</v>
      </c>
      <c r="R3813" s="23" t="s">
        <v>109</v>
      </c>
    </row>
    <row r="3814" spans="1:23" x14ac:dyDescent="0.25">
      <c r="A3814" s="21">
        <v>45800</v>
      </c>
      <c r="B3814" s="1">
        <v>213401417</v>
      </c>
      <c r="C3814" t="s">
        <v>6747</v>
      </c>
      <c r="D3814" s="22">
        <v>-7601.6</v>
      </c>
      <c r="E3814" t="s">
        <v>35</v>
      </c>
      <c r="F3814" s="2">
        <v>212901001</v>
      </c>
      <c r="G3814" s="2" t="s">
        <v>121</v>
      </c>
      <c r="L3814" s="2" t="s">
        <v>6748</v>
      </c>
      <c r="M3814" t="s">
        <v>67</v>
      </c>
      <c r="N3814" t="s">
        <v>68</v>
      </c>
      <c r="P3814" s="23">
        <v>95.02</v>
      </c>
      <c r="Q3814" s="4">
        <f t="shared" si="59"/>
        <v>-80.000000000000014</v>
      </c>
      <c r="R3814" s="23" t="s">
        <v>109</v>
      </c>
    </row>
    <row r="3815" spans="1:23" x14ac:dyDescent="0.25">
      <c r="A3815" s="21">
        <v>45800</v>
      </c>
      <c r="B3815" s="1">
        <v>213401419</v>
      </c>
      <c r="C3815" t="s">
        <v>6749</v>
      </c>
      <c r="D3815" s="22">
        <v>-5701.2</v>
      </c>
      <c r="E3815" t="s">
        <v>35</v>
      </c>
      <c r="F3815" s="2">
        <v>212901001</v>
      </c>
      <c r="G3815" s="2" t="s">
        <v>121</v>
      </c>
      <c r="L3815" s="2" t="s">
        <v>6750</v>
      </c>
      <c r="M3815" t="s">
        <v>67</v>
      </c>
      <c r="N3815" t="s">
        <v>68</v>
      </c>
      <c r="P3815" s="23">
        <v>95.02</v>
      </c>
      <c r="Q3815" s="4">
        <f t="shared" si="59"/>
        <v>-60</v>
      </c>
      <c r="R3815" s="23" t="s">
        <v>109</v>
      </c>
    </row>
    <row r="3816" spans="1:23" x14ac:dyDescent="0.25">
      <c r="A3816" s="21">
        <v>45800</v>
      </c>
      <c r="B3816" s="1">
        <v>213401420</v>
      </c>
      <c r="C3816" t="s">
        <v>6751</v>
      </c>
      <c r="D3816" s="22">
        <v>-5701.2</v>
      </c>
      <c r="E3816" t="s">
        <v>35</v>
      </c>
      <c r="F3816" s="2">
        <v>212901001</v>
      </c>
      <c r="G3816" s="2" t="s">
        <v>121</v>
      </c>
      <c r="L3816" s="2" t="s">
        <v>6752</v>
      </c>
      <c r="M3816" t="s">
        <v>67</v>
      </c>
      <c r="N3816" t="s">
        <v>68</v>
      </c>
      <c r="P3816" s="23">
        <v>95.02</v>
      </c>
      <c r="Q3816" s="4">
        <f t="shared" si="59"/>
        <v>-60</v>
      </c>
      <c r="R3816" s="23" t="s">
        <v>109</v>
      </c>
    </row>
    <row r="3817" spans="1:23" x14ac:dyDescent="0.25">
      <c r="A3817" s="21">
        <v>45800</v>
      </c>
      <c r="B3817" s="1">
        <v>213401418</v>
      </c>
      <c r="C3817" t="s">
        <v>6753</v>
      </c>
      <c r="D3817" s="22">
        <v>-5701.2</v>
      </c>
      <c r="E3817" t="s">
        <v>35</v>
      </c>
      <c r="F3817" s="2">
        <v>212901001</v>
      </c>
      <c r="G3817" s="2" t="s">
        <v>121</v>
      </c>
      <c r="L3817" s="2" t="s">
        <v>6754</v>
      </c>
      <c r="M3817" t="s">
        <v>67</v>
      </c>
      <c r="N3817" t="s">
        <v>68</v>
      </c>
      <c r="P3817" s="23">
        <v>95.02</v>
      </c>
      <c r="Q3817" s="4">
        <f t="shared" si="59"/>
        <v>-60</v>
      </c>
      <c r="R3817" s="23" t="s">
        <v>109</v>
      </c>
    </row>
    <row r="3818" spans="1:23" x14ac:dyDescent="0.25">
      <c r="A3818" s="21">
        <v>45800</v>
      </c>
      <c r="B3818" s="1">
        <v>213401422</v>
      </c>
      <c r="C3818" t="s">
        <v>6755</v>
      </c>
      <c r="D3818" s="22">
        <v>-5701.2</v>
      </c>
      <c r="E3818" t="s">
        <v>35</v>
      </c>
      <c r="F3818" s="2">
        <v>212901001</v>
      </c>
      <c r="G3818" s="2" t="s">
        <v>121</v>
      </c>
      <c r="L3818" s="2" t="s">
        <v>6756</v>
      </c>
      <c r="M3818" t="s">
        <v>67</v>
      </c>
      <c r="N3818" t="s">
        <v>68</v>
      </c>
      <c r="P3818" s="23">
        <v>95.02</v>
      </c>
      <c r="Q3818" s="4">
        <f t="shared" si="59"/>
        <v>-60</v>
      </c>
      <c r="R3818" s="23" t="s">
        <v>109</v>
      </c>
    </row>
    <row r="3819" spans="1:23" x14ac:dyDescent="0.25">
      <c r="A3819" s="21">
        <v>45800</v>
      </c>
      <c r="B3819" s="1">
        <v>213401426</v>
      </c>
      <c r="C3819" t="s">
        <v>6757</v>
      </c>
      <c r="D3819" s="22">
        <v>-5701.2</v>
      </c>
      <c r="E3819" t="s">
        <v>35</v>
      </c>
      <c r="F3819" s="2">
        <v>212901001</v>
      </c>
      <c r="G3819" s="2" t="s">
        <v>121</v>
      </c>
      <c r="L3819" s="2" t="s">
        <v>6758</v>
      </c>
      <c r="M3819" t="s">
        <v>67</v>
      </c>
      <c r="N3819" t="s">
        <v>68</v>
      </c>
      <c r="P3819" s="23">
        <v>95.02</v>
      </c>
      <c r="Q3819" s="4">
        <f t="shared" si="59"/>
        <v>-60</v>
      </c>
      <c r="R3819" s="23" t="s">
        <v>109</v>
      </c>
    </row>
    <row r="3820" spans="1:23" x14ac:dyDescent="0.25">
      <c r="A3820" s="21">
        <v>45800</v>
      </c>
      <c r="B3820" s="1">
        <v>213401423</v>
      </c>
      <c r="C3820" t="s">
        <v>6759</v>
      </c>
      <c r="D3820" s="22">
        <v>-5701.2</v>
      </c>
      <c r="E3820" t="s">
        <v>35</v>
      </c>
      <c r="F3820" s="2">
        <v>212901001</v>
      </c>
      <c r="G3820" s="2" t="s">
        <v>121</v>
      </c>
      <c r="L3820" s="2" t="s">
        <v>6760</v>
      </c>
      <c r="M3820" t="s">
        <v>67</v>
      </c>
      <c r="N3820" t="s">
        <v>68</v>
      </c>
      <c r="P3820" s="23">
        <v>95.02</v>
      </c>
      <c r="Q3820" s="4">
        <f t="shared" si="59"/>
        <v>-60</v>
      </c>
      <c r="R3820" s="23" t="s">
        <v>109</v>
      </c>
    </row>
    <row r="3821" spans="1:23" x14ac:dyDescent="0.25">
      <c r="A3821" s="21">
        <v>45800</v>
      </c>
      <c r="B3821" s="1">
        <v>213401425</v>
      </c>
      <c r="C3821" t="s">
        <v>6761</v>
      </c>
      <c r="D3821" s="22">
        <v>-5701.2</v>
      </c>
      <c r="E3821" t="s">
        <v>35</v>
      </c>
      <c r="F3821" s="2">
        <v>212901001</v>
      </c>
      <c r="G3821" s="2" t="s">
        <v>121</v>
      </c>
      <c r="L3821" s="2" t="s">
        <v>6762</v>
      </c>
      <c r="M3821" t="s">
        <v>67</v>
      </c>
      <c r="N3821" t="s">
        <v>68</v>
      </c>
      <c r="P3821" s="23">
        <v>95.02</v>
      </c>
      <c r="Q3821" s="4">
        <f t="shared" si="59"/>
        <v>-60</v>
      </c>
      <c r="R3821" s="23" t="s">
        <v>109</v>
      </c>
    </row>
    <row r="3822" spans="1:23" x14ac:dyDescent="0.25">
      <c r="A3822" s="21">
        <v>45800</v>
      </c>
      <c r="B3822" s="1">
        <v>313401427</v>
      </c>
      <c r="C3822" t="s">
        <v>6763</v>
      </c>
      <c r="D3822" s="22">
        <v>-5701.2</v>
      </c>
      <c r="E3822" t="s">
        <v>35</v>
      </c>
      <c r="F3822" s="2">
        <v>212901001</v>
      </c>
      <c r="G3822" s="2" t="s">
        <v>121</v>
      </c>
      <c r="L3822" s="2" t="s">
        <v>6764</v>
      </c>
      <c r="M3822" t="s">
        <v>67</v>
      </c>
      <c r="N3822" t="s">
        <v>68</v>
      </c>
      <c r="P3822" s="23">
        <v>95.02</v>
      </c>
      <c r="Q3822" s="4">
        <f t="shared" si="59"/>
        <v>-60</v>
      </c>
      <c r="R3822" s="23" t="s">
        <v>109</v>
      </c>
    </row>
    <row r="3823" spans="1:23" x14ac:dyDescent="0.25">
      <c r="A3823" s="21">
        <v>45800</v>
      </c>
      <c r="B3823" s="1">
        <v>313401428</v>
      </c>
      <c r="C3823" t="s">
        <v>6765</v>
      </c>
      <c r="D3823" s="22">
        <v>-5701.2</v>
      </c>
      <c r="E3823" t="s">
        <v>35</v>
      </c>
      <c r="F3823" s="2">
        <v>212901001</v>
      </c>
      <c r="G3823" s="2" t="s">
        <v>121</v>
      </c>
      <c r="L3823" s="2" t="s">
        <v>6766</v>
      </c>
      <c r="M3823" t="s">
        <v>67</v>
      </c>
      <c r="N3823" t="s">
        <v>68</v>
      </c>
      <c r="P3823" s="23">
        <v>95.02</v>
      </c>
      <c r="Q3823" s="4">
        <f t="shared" si="59"/>
        <v>-60</v>
      </c>
      <c r="R3823" s="23" t="s">
        <v>109</v>
      </c>
    </row>
    <row r="3824" spans="1:23" x14ac:dyDescent="0.25">
      <c r="A3824" s="21">
        <v>45800</v>
      </c>
      <c r="B3824" s="1">
        <v>313401434</v>
      </c>
      <c r="C3824" t="s">
        <v>6767</v>
      </c>
      <c r="D3824" s="22">
        <v>-5701.2</v>
      </c>
      <c r="E3824" t="s">
        <v>35</v>
      </c>
      <c r="F3824" s="2">
        <v>212901001</v>
      </c>
      <c r="G3824" s="2" t="s">
        <v>121</v>
      </c>
      <c r="L3824" s="2" t="s">
        <v>6768</v>
      </c>
      <c r="M3824" t="s">
        <v>67</v>
      </c>
      <c r="N3824" t="s">
        <v>68</v>
      </c>
      <c r="P3824" s="23">
        <v>95.02</v>
      </c>
      <c r="Q3824" s="4">
        <f t="shared" si="59"/>
        <v>-60</v>
      </c>
      <c r="R3824" s="23" t="s">
        <v>109</v>
      </c>
    </row>
    <row r="3825" spans="1:18" x14ac:dyDescent="0.25">
      <c r="A3825" s="21">
        <v>45800</v>
      </c>
      <c r="B3825" s="1">
        <v>313401432</v>
      </c>
      <c r="C3825" t="s">
        <v>6769</v>
      </c>
      <c r="D3825" s="22">
        <v>-5701.2</v>
      </c>
      <c r="E3825" t="s">
        <v>35</v>
      </c>
      <c r="F3825" s="2">
        <v>212901001</v>
      </c>
      <c r="G3825" s="2" t="s">
        <v>121</v>
      </c>
      <c r="L3825" s="2" t="s">
        <v>6770</v>
      </c>
      <c r="M3825" t="s">
        <v>67</v>
      </c>
      <c r="N3825" t="s">
        <v>68</v>
      </c>
      <c r="P3825" s="23">
        <v>95.02</v>
      </c>
      <c r="Q3825" s="4">
        <f t="shared" si="59"/>
        <v>-60</v>
      </c>
      <c r="R3825" s="23" t="s">
        <v>109</v>
      </c>
    </row>
    <row r="3826" spans="1:18" x14ac:dyDescent="0.25">
      <c r="A3826" s="21">
        <v>45800</v>
      </c>
      <c r="B3826" s="1">
        <v>313401438</v>
      </c>
      <c r="C3826" t="s">
        <v>6771</v>
      </c>
      <c r="D3826" s="22">
        <v>-5701.2</v>
      </c>
      <c r="E3826" t="s">
        <v>35</v>
      </c>
      <c r="F3826" s="2">
        <v>212901001</v>
      </c>
      <c r="G3826" s="2" t="s">
        <v>121</v>
      </c>
      <c r="L3826" s="2" t="s">
        <v>6772</v>
      </c>
      <c r="M3826" t="s">
        <v>67</v>
      </c>
      <c r="N3826" t="s">
        <v>68</v>
      </c>
      <c r="P3826" s="23">
        <v>95.02</v>
      </c>
      <c r="Q3826" s="4">
        <f t="shared" si="59"/>
        <v>-60</v>
      </c>
      <c r="R3826" s="23" t="s">
        <v>109</v>
      </c>
    </row>
    <row r="3827" spans="1:18" x14ac:dyDescent="0.25">
      <c r="A3827" s="21">
        <v>45800</v>
      </c>
      <c r="B3827" s="1">
        <v>313401429</v>
      </c>
      <c r="C3827" t="s">
        <v>6773</v>
      </c>
      <c r="D3827" s="22">
        <v>-5701.2</v>
      </c>
      <c r="E3827" t="s">
        <v>35</v>
      </c>
      <c r="F3827" s="2">
        <v>212901001</v>
      </c>
      <c r="G3827" s="2" t="s">
        <v>121</v>
      </c>
      <c r="L3827" s="2" t="s">
        <v>6774</v>
      </c>
      <c r="M3827" t="s">
        <v>67</v>
      </c>
      <c r="N3827" t="s">
        <v>68</v>
      </c>
      <c r="P3827" s="23">
        <v>95.02</v>
      </c>
      <c r="Q3827" s="4">
        <f t="shared" si="59"/>
        <v>-60</v>
      </c>
      <c r="R3827" s="23" t="s">
        <v>109</v>
      </c>
    </row>
    <row r="3828" spans="1:18" x14ac:dyDescent="0.25">
      <c r="A3828" s="21">
        <v>45800</v>
      </c>
      <c r="B3828" s="1">
        <v>313401431</v>
      </c>
      <c r="C3828" t="s">
        <v>6775</v>
      </c>
      <c r="D3828" s="22">
        <v>-5701.2</v>
      </c>
      <c r="E3828" t="s">
        <v>35</v>
      </c>
      <c r="F3828" s="2">
        <v>212901001</v>
      </c>
      <c r="G3828" s="2" t="s">
        <v>121</v>
      </c>
      <c r="L3828" s="2" t="s">
        <v>6776</v>
      </c>
      <c r="M3828" t="s">
        <v>67</v>
      </c>
      <c r="N3828" t="s">
        <v>68</v>
      </c>
      <c r="P3828" s="23">
        <v>95.02</v>
      </c>
      <c r="Q3828" s="4">
        <f t="shared" si="59"/>
        <v>-60</v>
      </c>
      <c r="R3828" s="23" t="s">
        <v>109</v>
      </c>
    </row>
    <row r="3829" spans="1:18" x14ac:dyDescent="0.25">
      <c r="A3829" s="21">
        <v>45800</v>
      </c>
      <c r="B3829" s="1">
        <v>313401436</v>
      </c>
      <c r="C3829" t="s">
        <v>6777</v>
      </c>
      <c r="D3829" s="22">
        <v>-5701.2</v>
      </c>
      <c r="E3829" t="s">
        <v>35</v>
      </c>
      <c r="F3829" s="2">
        <v>212901001</v>
      </c>
      <c r="G3829" s="2" t="s">
        <v>121</v>
      </c>
      <c r="L3829" s="2" t="s">
        <v>6778</v>
      </c>
      <c r="M3829" t="s">
        <v>67</v>
      </c>
      <c r="N3829" t="s">
        <v>68</v>
      </c>
      <c r="P3829" s="23">
        <v>95.02</v>
      </c>
      <c r="Q3829" s="4">
        <f t="shared" si="59"/>
        <v>-60</v>
      </c>
      <c r="R3829" s="23" t="s">
        <v>109</v>
      </c>
    </row>
    <row r="3830" spans="1:18" x14ac:dyDescent="0.25">
      <c r="A3830" s="21">
        <v>45800</v>
      </c>
      <c r="B3830" s="1">
        <v>413401442</v>
      </c>
      <c r="C3830" t="s">
        <v>6779</v>
      </c>
      <c r="D3830" s="22">
        <v>-7601.6</v>
      </c>
      <c r="E3830" t="s">
        <v>35</v>
      </c>
      <c r="F3830" s="2">
        <v>212901001</v>
      </c>
      <c r="G3830" s="2" t="s">
        <v>121</v>
      </c>
      <c r="L3830" s="2" t="s">
        <v>6780</v>
      </c>
      <c r="M3830" t="s">
        <v>67</v>
      </c>
      <c r="N3830" t="s">
        <v>68</v>
      </c>
      <c r="P3830" s="23">
        <v>95.02</v>
      </c>
      <c r="Q3830" s="4">
        <f t="shared" si="59"/>
        <v>-80.000000000000014</v>
      </c>
      <c r="R3830" s="23" t="s">
        <v>109</v>
      </c>
    </row>
    <row r="3831" spans="1:18" x14ac:dyDescent="0.25">
      <c r="A3831" s="21">
        <v>45800</v>
      </c>
      <c r="B3831" s="1">
        <v>313401439</v>
      </c>
      <c r="C3831" t="s">
        <v>6781</v>
      </c>
      <c r="D3831" s="22">
        <v>-14253</v>
      </c>
      <c r="E3831" t="s">
        <v>35</v>
      </c>
      <c r="F3831" s="2">
        <v>212901001</v>
      </c>
      <c r="G3831" s="2" t="s">
        <v>121</v>
      </c>
      <c r="L3831" s="2" t="s">
        <v>6782</v>
      </c>
      <c r="M3831" t="s">
        <v>67</v>
      </c>
      <c r="N3831" t="s">
        <v>68</v>
      </c>
      <c r="P3831" s="23">
        <v>95.02</v>
      </c>
      <c r="Q3831" s="4">
        <f t="shared" si="59"/>
        <v>-150</v>
      </c>
      <c r="R3831" s="23" t="s">
        <v>109</v>
      </c>
    </row>
    <row r="3832" spans="1:18" x14ac:dyDescent="0.25">
      <c r="A3832" s="21">
        <v>45800</v>
      </c>
      <c r="B3832" s="1">
        <v>413401444</v>
      </c>
      <c r="C3832" t="s">
        <v>6783</v>
      </c>
      <c r="D3832" s="22">
        <v>-7601.6</v>
      </c>
      <c r="E3832" t="s">
        <v>35</v>
      </c>
      <c r="F3832" s="2">
        <v>212901001</v>
      </c>
      <c r="G3832" s="2" t="s">
        <v>121</v>
      </c>
      <c r="L3832" s="2" t="s">
        <v>6784</v>
      </c>
      <c r="M3832" t="s">
        <v>67</v>
      </c>
      <c r="N3832" t="s">
        <v>68</v>
      </c>
      <c r="P3832" s="23">
        <v>95.02</v>
      </c>
      <c r="Q3832" s="4">
        <f t="shared" si="59"/>
        <v>-80.000000000000014</v>
      </c>
      <c r="R3832" s="23" t="s">
        <v>109</v>
      </c>
    </row>
    <row r="3833" spans="1:18" x14ac:dyDescent="0.25">
      <c r="A3833" s="21">
        <v>45800</v>
      </c>
      <c r="B3833" s="1">
        <v>413401441</v>
      </c>
      <c r="C3833" t="s">
        <v>6785</v>
      </c>
      <c r="D3833" s="22">
        <v>-7601.6</v>
      </c>
      <c r="E3833" t="s">
        <v>35</v>
      </c>
      <c r="F3833" s="2">
        <v>212901001</v>
      </c>
      <c r="G3833" s="2" t="s">
        <v>121</v>
      </c>
      <c r="L3833" s="2" t="s">
        <v>6786</v>
      </c>
      <c r="M3833" t="s">
        <v>67</v>
      </c>
      <c r="N3833" t="s">
        <v>68</v>
      </c>
      <c r="P3833" s="23">
        <v>95.02</v>
      </c>
      <c r="Q3833" s="4">
        <f t="shared" si="59"/>
        <v>-80.000000000000014</v>
      </c>
      <c r="R3833" s="23" t="s">
        <v>109</v>
      </c>
    </row>
    <row r="3834" spans="1:18" x14ac:dyDescent="0.25">
      <c r="A3834" s="21">
        <v>45800</v>
      </c>
      <c r="B3834" s="1">
        <v>413401445</v>
      </c>
      <c r="C3834" t="s">
        <v>6787</v>
      </c>
      <c r="D3834" s="22">
        <v>-7601.6</v>
      </c>
      <c r="E3834" t="s">
        <v>35</v>
      </c>
      <c r="F3834" s="2">
        <v>212901001</v>
      </c>
      <c r="G3834" s="2" t="s">
        <v>121</v>
      </c>
      <c r="L3834" s="2" t="s">
        <v>6788</v>
      </c>
      <c r="M3834" t="s">
        <v>67</v>
      </c>
      <c r="N3834" t="s">
        <v>68</v>
      </c>
      <c r="P3834" s="23">
        <v>95.02</v>
      </c>
      <c r="Q3834" s="4">
        <f t="shared" si="59"/>
        <v>-80.000000000000014</v>
      </c>
      <c r="R3834" s="23" t="s">
        <v>109</v>
      </c>
    </row>
    <row r="3835" spans="1:18" x14ac:dyDescent="0.25">
      <c r="A3835" s="21">
        <v>45800</v>
      </c>
      <c r="B3835" s="1">
        <v>413401443</v>
      </c>
      <c r="C3835" t="s">
        <v>6789</v>
      </c>
      <c r="D3835" s="22">
        <v>-7601.6</v>
      </c>
      <c r="E3835" t="s">
        <v>35</v>
      </c>
      <c r="F3835" s="2">
        <v>212901001</v>
      </c>
      <c r="G3835" s="2" t="s">
        <v>121</v>
      </c>
      <c r="L3835" s="2" t="s">
        <v>6790</v>
      </c>
      <c r="M3835" t="s">
        <v>67</v>
      </c>
      <c r="N3835" t="s">
        <v>68</v>
      </c>
      <c r="P3835" s="23">
        <v>95.02</v>
      </c>
      <c r="Q3835" s="4">
        <f t="shared" si="59"/>
        <v>-80.000000000000014</v>
      </c>
      <c r="R3835" s="23" t="s">
        <v>109</v>
      </c>
    </row>
    <row r="3836" spans="1:18" x14ac:dyDescent="0.25">
      <c r="A3836" s="21">
        <v>45800</v>
      </c>
      <c r="B3836" s="1">
        <v>413401440</v>
      </c>
      <c r="C3836" t="s">
        <v>6791</v>
      </c>
      <c r="D3836" s="22">
        <v>-9502</v>
      </c>
      <c r="E3836" t="s">
        <v>35</v>
      </c>
      <c r="F3836" s="2">
        <v>212901001</v>
      </c>
      <c r="G3836" s="2" t="s">
        <v>121</v>
      </c>
      <c r="L3836" s="2" t="s">
        <v>6792</v>
      </c>
      <c r="M3836" t="s">
        <v>67</v>
      </c>
      <c r="N3836" t="s">
        <v>68</v>
      </c>
      <c r="P3836" s="23">
        <v>95.02</v>
      </c>
      <c r="Q3836" s="4">
        <f t="shared" si="59"/>
        <v>-100</v>
      </c>
      <c r="R3836" s="23" t="s">
        <v>109</v>
      </c>
    </row>
    <row r="3837" spans="1:18" x14ac:dyDescent="0.25">
      <c r="A3837" s="21">
        <v>45800</v>
      </c>
      <c r="B3837" s="1">
        <v>413401448</v>
      </c>
      <c r="C3837" t="s">
        <v>6793</v>
      </c>
      <c r="D3837" s="22">
        <v>-7601.6</v>
      </c>
      <c r="E3837" t="s">
        <v>35</v>
      </c>
      <c r="F3837" s="2">
        <v>212901001</v>
      </c>
      <c r="G3837" s="2" t="s">
        <v>121</v>
      </c>
      <c r="L3837" s="2" t="s">
        <v>6794</v>
      </c>
      <c r="M3837" t="s">
        <v>67</v>
      </c>
      <c r="N3837" t="s">
        <v>68</v>
      </c>
      <c r="P3837" s="23">
        <v>95.02</v>
      </c>
      <c r="Q3837" s="4">
        <f t="shared" si="59"/>
        <v>-80.000000000000014</v>
      </c>
      <c r="R3837" s="23" t="s">
        <v>109</v>
      </c>
    </row>
    <row r="3838" spans="1:18" x14ac:dyDescent="0.25">
      <c r="A3838" s="21">
        <v>45800</v>
      </c>
      <c r="B3838" s="1">
        <v>513401455</v>
      </c>
      <c r="C3838" t="s">
        <v>6795</v>
      </c>
      <c r="D3838" s="22">
        <v>-4751</v>
      </c>
      <c r="E3838" t="s">
        <v>35</v>
      </c>
      <c r="F3838" s="2">
        <v>212901001</v>
      </c>
      <c r="G3838" s="2" t="s">
        <v>121</v>
      </c>
      <c r="L3838" s="2" t="s">
        <v>6796</v>
      </c>
      <c r="M3838" t="s">
        <v>67</v>
      </c>
      <c r="N3838" t="s">
        <v>68</v>
      </c>
      <c r="P3838" s="23">
        <v>95.02</v>
      </c>
      <c r="Q3838" s="4">
        <f t="shared" si="59"/>
        <v>-50</v>
      </c>
      <c r="R3838" s="23" t="s">
        <v>109</v>
      </c>
    </row>
    <row r="3839" spans="1:18" x14ac:dyDescent="0.25">
      <c r="A3839" s="21">
        <v>45800</v>
      </c>
      <c r="B3839" s="1">
        <v>413401449</v>
      </c>
      <c r="C3839" t="s">
        <v>6797</v>
      </c>
      <c r="D3839" s="22">
        <v>-3990.84</v>
      </c>
      <c r="E3839" t="s">
        <v>35</v>
      </c>
      <c r="F3839" s="2">
        <v>212901001</v>
      </c>
      <c r="G3839" s="2" t="s">
        <v>121</v>
      </c>
      <c r="L3839" s="2" t="s">
        <v>6798</v>
      </c>
      <c r="M3839" t="s">
        <v>67</v>
      </c>
      <c r="N3839" t="s">
        <v>68</v>
      </c>
      <c r="P3839" s="23">
        <v>95.02</v>
      </c>
      <c r="Q3839" s="4">
        <f t="shared" si="59"/>
        <v>-42</v>
      </c>
      <c r="R3839" s="23" t="s">
        <v>109</v>
      </c>
    </row>
    <row r="3840" spans="1:18" x14ac:dyDescent="0.25">
      <c r="A3840" s="21">
        <v>45800</v>
      </c>
      <c r="B3840" s="1">
        <v>413401450</v>
      </c>
      <c r="C3840" t="s">
        <v>6799</v>
      </c>
      <c r="D3840" s="22">
        <v>-4751</v>
      </c>
      <c r="E3840" t="s">
        <v>35</v>
      </c>
      <c r="F3840" s="2">
        <v>212901001</v>
      </c>
      <c r="G3840" s="2" t="s">
        <v>121</v>
      </c>
      <c r="L3840" s="2" t="s">
        <v>6800</v>
      </c>
      <c r="M3840" t="s">
        <v>67</v>
      </c>
      <c r="N3840" t="s">
        <v>68</v>
      </c>
      <c r="P3840" s="23">
        <v>95.02</v>
      </c>
      <c r="Q3840" s="4">
        <f t="shared" si="59"/>
        <v>-50</v>
      </c>
      <c r="R3840" s="23" t="s">
        <v>109</v>
      </c>
    </row>
    <row r="3841" spans="1:18" x14ac:dyDescent="0.25">
      <c r="A3841" s="21">
        <v>45800</v>
      </c>
      <c r="B3841" s="1">
        <v>513401452</v>
      </c>
      <c r="C3841" t="s">
        <v>6801</v>
      </c>
      <c r="D3841" s="22">
        <v>-4751</v>
      </c>
      <c r="E3841" t="s">
        <v>35</v>
      </c>
      <c r="F3841" s="2">
        <v>212901001</v>
      </c>
      <c r="G3841" s="2" t="s">
        <v>121</v>
      </c>
      <c r="L3841" s="2" t="s">
        <v>6802</v>
      </c>
      <c r="M3841" t="s">
        <v>67</v>
      </c>
      <c r="N3841" t="s">
        <v>68</v>
      </c>
      <c r="P3841" s="23">
        <v>95.02</v>
      </c>
      <c r="Q3841" s="4">
        <f t="shared" si="59"/>
        <v>-50</v>
      </c>
      <c r="R3841" s="23" t="s">
        <v>109</v>
      </c>
    </row>
    <row r="3842" spans="1:18" x14ac:dyDescent="0.25">
      <c r="A3842" s="21">
        <v>45800</v>
      </c>
      <c r="B3842" s="1">
        <v>513401454</v>
      </c>
      <c r="C3842" t="s">
        <v>6803</v>
      </c>
      <c r="D3842" s="22">
        <v>-4751</v>
      </c>
      <c r="E3842" t="s">
        <v>35</v>
      </c>
      <c r="F3842" s="2">
        <v>212901001</v>
      </c>
      <c r="G3842" s="2" t="s">
        <v>121</v>
      </c>
      <c r="L3842" s="2" t="s">
        <v>6804</v>
      </c>
      <c r="M3842" t="s">
        <v>67</v>
      </c>
      <c r="N3842" t="s">
        <v>68</v>
      </c>
      <c r="P3842" s="23">
        <v>95.02</v>
      </c>
      <c r="Q3842" s="4">
        <f t="shared" si="59"/>
        <v>-50</v>
      </c>
      <c r="R3842" s="23" t="s">
        <v>109</v>
      </c>
    </row>
    <row r="3843" spans="1:18" x14ac:dyDescent="0.25">
      <c r="A3843" s="21">
        <v>45800</v>
      </c>
      <c r="B3843" s="1">
        <v>513401453</v>
      </c>
      <c r="C3843" t="s">
        <v>6805</v>
      </c>
      <c r="D3843" s="22">
        <v>-3990.84</v>
      </c>
      <c r="E3843" t="s">
        <v>35</v>
      </c>
      <c r="F3843" s="2">
        <v>212901001</v>
      </c>
      <c r="G3843" s="2" t="s">
        <v>121</v>
      </c>
      <c r="L3843" s="2" t="s">
        <v>6806</v>
      </c>
      <c r="M3843" t="s">
        <v>67</v>
      </c>
      <c r="N3843" t="s">
        <v>68</v>
      </c>
      <c r="P3843" s="23">
        <v>95.02</v>
      </c>
      <c r="Q3843" s="4">
        <f t="shared" si="59"/>
        <v>-42</v>
      </c>
      <c r="R3843" s="23" t="s">
        <v>109</v>
      </c>
    </row>
    <row r="3844" spans="1:18" x14ac:dyDescent="0.25">
      <c r="A3844" s="21">
        <v>45800</v>
      </c>
      <c r="B3844" s="1">
        <v>513401456</v>
      </c>
      <c r="C3844" t="s">
        <v>6807</v>
      </c>
      <c r="D3844" s="22">
        <v>-3800.8</v>
      </c>
      <c r="E3844" t="s">
        <v>35</v>
      </c>
      <c r="F3844" s="2">
        <v>212901001</v>
      </c>
      <c r="G3844" s="2" t="s">
        <v>121</v>
      </c>
      <c r="L3844" s="2" t="s">
        <v>6808</v>
      </c>
      <c r="M3844" t="s">
        <v>67</v>
      </c>
      <c r="N3844" t="s">
        <v>68</v>
      </c>
      <c r="P3844" s="23">
        <v>95.02</v>
      </c>
      <c r="Q3844" s="4">
        <f t="shared" si="59"/>
        <v>-40.000000000000007</v>
      </c>
      <c r="R3844" s="23" t="s">
        <v>109</v>
      </c>
    </row>
    <row r="3845" spans="1:18" x14ac:dyDescent="0.25">
      <c r="A3845" s="21">
        <v>45800</v>
      </c>
      <c r="B3845" s="1">
        <v>513401458</v>
      </c>
      <c r="C3845" t="s">
        <v>6809</v>
      </c>
      <c r="D3845" s="22">
        <v>-3800.8</v>
      </c>
      <c r="E3845" t="s">
        <v>35</v>
      </c>
      <c r="F3845" s="2">
        <v>212901001</v>
      </c>
      <c r="G3845" s="2" t="s">
        <v>121</v>
      </c>
      <c r="L3845" s="2" t="s">
        <v>6810</v>
      </c>
      <c r="M3845" t="s">
        <v>67</v>
      </c>
      <c r="N3845" t="s">
        <v>68</v>
      </c>
      <c r="P3845" s="23">
        <v>95.02</v>
      </c>
      <c r="Q3845" s="4">
        <f t="shared" si="59"/>
        <v>-40.000000000000007</v>
      </c>
      <c r="R3845" s="23" t="s">
        <v>109</v>
      </c>
    </row>
    <row r="3846" spans="1:18" x14ac:dyDescent="0.25">
      <c r="A3846" s="21">
        <v>45800</v>
      </c>
      <c r="B3846" s="1">
        <v>513401460</v>
      </c>
      <c r="C3846" t="s">
        <v>6811</v>
      </c>
      <c r="D3846" s="22">
        <v>-3800.8</v>
      </c>
      <c r="E3846" t="s">
        <v>35</v>
      </c>
      <c r="F3846" s="2">
        <v>212901001</v>
      </c>
      <c r="G3846" s="2" t="s">
        <v>121</v>
      </c>
      <c r="L3846" s="2" t="s">
        <v>6812</v>
      </c>
      <c r="M3846" t="s">
        <v>67</v>
      </c>
      <c r="N3846" t="s">
        <v>68</v>
      </c>
      <c r="P3846" s="23">
        <v>95.02</v>
      </c>
      <c r="Q3846" s="4">
        <f t="shared" si="59"/>
        <v>-40.000000000000007</v>
      </c>
      <c r="R3846" s="23" t="s">
        <v>109</v>
      </c>
    </row>
    <row r="3847" spans="1:18" x14ac:dyDescent="0.25">
      <c r="A3847" s="21">
        <v>45800</v>
      </c>
      <c r="B3847" s="1">
        <v>513401457</v>
      </c>
      <c r="C3847" t="s">
        <v>6813</v>
      </c>
      <c r="D3847" s="22">
        <v>-3800.8</v>
      </c>
      <c r="E3847" t="s">
        <v>35</v>
      </c>
      <c r="F3847" s="2">
        <v>212901001</v>
      </c>
      <c r="G3847" s="2" t="s">
        <v>121</v>
      </c>
      <c r="L3847" s="2" t="s">
        <v>6814</v>
      </c>
      <c r="M3847" t="s">
        <v>67</v>
      </c>
      <c r="N3847" t="s">
        <v>68</v>
      </c>
      <c r="P3847" s="23">
        <v>95.02</v>
      </c>
      <c r="Q3847" s="4">
        <f t="shared" si="59"/>
        <v>-40.000000000000007</v>
      </c>
      <c r="R3847" s="23" t="s">
        <v>109</v>
      </c>
    </row>
    <row r="3848" spans="1:18" x14ac:dyDescent="0.25">
      <c r="A3848" s="21">
        <v>45800</v>
      </c>
      <c r="B3848" s="1">
        <v>613401465</v>
      </c>
      <c r="C3848" t="s">
        <v>6815</v>
      </c>
      <c r="D3848" s="22">
        <v>-9502</v>
      </c>
      <c r="E3848" t="s">
        <v>35</v>
      </c>
      <c r="F3848" s="2">
        <v>212901001</v>
      </c>
      <c r="G3848" s="2" t="s">
        <v>121</v>
      </c>
      <c r="L3848" s="2" t="s">
        <v>6816</v>
      </c>
      <c r="M3848" t="s">
        <v>67</v>
      </c>
      <c r="N3848" t="s">
        <v>68</v>
      </c>
      <c r="P3848" s="23">
        <v>95.02</v>
      </c>
      <c r="Q3848" s="4">
        <f t="shared" si="59"/>
        <v>-100</v>
      </c>
      <c r="R3848" s="23" t="s">
        <v>109</v>
      </c>
    </row>
    <row r="3849" spans="1:18" x14ac:dyDescent="0.25">
      <c r="A3849" s="21">
        <v>45800</v>
      </c>
      <c r="B3849" s="1">
        <v>613401462</v>
      </c>
      <c r="C3849" t="s">
        <v>6817</v>
      </c>
      <c r="D3849" s="22">
        <v>-3800.8</v>
      </c>
      <c r="E3849" t="s">
        <v>35</v>
      </c>
      <c r="F3849" s="2">
        <v>212901001</v>
      </c>
      <c r="G3849" s="2" t="s">
        <v>121</v>
      </c>
      <c r="L3849" s="2" t="s">
        <v>6818</v>
      </c>
      <c r="M3849" t="s">
        <v>67</v>
      </c>
      <c r="N3849" t="s">
        <v>68</v>
      </c>
      <c r="P3849" s="23">
        <v>95.02</v>
      </c>
      <c r="Q3849" s="4">
        <f t="shared" si="59"/>
        <v>-40.000000000000007</v>
      </c>
      <c r="R3849" s="23" t="s">
        <v>109</v>
      </c>
    </row>
    <row r="3850" spans="1:18" x14ac:dyDescent="0.25">
      <c r="A3850" s="21">
        <v>45800</v>
      </c>
      <c r="B3850" s="1">
        <v>513401461</v>
      </c>
      <c r="C3850" t="s">
        <v>6819</v>
      </c>
      <c r="D3850" s="22">
        <v>-3800.8</v>
      </c>
      <c r="E3850" t="s">
        <v>35</v>
      </c>
      <c r="F3850" s="2">
        <v>212901001</v>
      </c>
      <c r="G3850" s="2" t="s">
        <v>121</v>
      </c>
      <c r="L3850" s="2" t="s">
        <v>6820</v>
      </c>
      <c r="M3850" t="s">
        <v>67</v>
      </c>
      <c r="N3850" t="s">
        <v>68</v>
      </c>
      <c r="P3850" s="23">
        <v>95.02</v>
      </c>
      <c r="Q3850" s="4">
        <f t="shared" si="59"/>
        <v>-40.000000000000007</v>
      </c>
      <c r="R3850" s="23" t="s">
        <v>109</v>
      </c>
    </row>
    <row r="3851" spans="1:18" x14ac:dyDescent="0.25">
      <c r="A3851" s="21">
        <v>45800</v>
      </c>
      <c r="B3851" s="1">
        <v>613401466</v>
      </c>
      <c r="C3851" t="s">
        <v>6821</v>
      </c>
      <c r="D3851" s="22">
        <v>-14253</v>
      </c>
      <c r="E3851" t="s">
        <v>35</v>
      </c>
      <c r="F3851" s="2">
        <v>212901001</v>
      </c>
      <c r="G3851" s="2" t="s">
        <v>121</v>
      </c>
      <c r="L3851" s="2" t="s">
        <v>6822</v>
      </c>
      <c r="M3851" t="s">
        <v>67</v>
      </c>
      <c r="N3851" t="s">
        <v>68</v>
      </c>
      <c r="P3851" s="23">
        <v>95.02</v>
      </c>
      <c r="Q3851" s="4">
        <f t="shared" ref="Q3851:Q3914" si="60">D3851/P3851</f>
        <v>-150</v>
      </c>
      <c r="R3851" s="23" t="s">
        <v>109</v>
      </c>
    </row>
    <row r="3852" spans="1:18" x14ac:dyDescent="0.25">
      <c r="A3852" s="21">
        <v>45800</v>
      </c>
      <c r="B3852" s="1">
        <v>613401464</v>
      </c>
      <c r="C3852" t="s">
        <v>6823</v>
      </c>
      <c r="D3852" s="22">
        <v>-9502</v>
      </c>
      <c r="E3852" t="s">
        <v>35</v>
      </c>
      <c r="F3852" s="2">
        <v>212901001</v>
      </c>
      <c r="G3852" s="2" t="s">
        <v>121</v>
      </c>
      <c r="L3852" s="2" t="s">
        <v>6824</v>
      </c>
      <c r="M3852" t="s">
        <v>67</v>
      </c>
      <c r="N3852" t="s">
        <v>68</v>
      </c>
      <c r="P3852" s="23">
        <v>95.02</v>
      </c>
      <c r="Q3852" s="4">
        <f t="shared" si="60"/>
        <v>-100</v>
      </c>
      <c r="R3852" s="23" t="s">
        <v>109</v>
      </c>
    </row>
    <row r="3853" spans="1:18" x14ac:dyDescent="0.25">
      <c r="A3853" s="21">
        <v>45800</v>
      </c>
      <c r="B3853" s="1">
        <v>613401463</v>
      </c>
      <c r="C3853" t="s">
        <v>6825</v>
      </c>
      <c r="D3853" s="22">
        <v>-3800.8</v>
      </c>
      <c r="E3853" t="s">
        <v>35</v>
      </c>
      <c r="F3853" s="2">
        <v>212901001</v>
      </c>
      <c r="G3853" s="2" t="s">
        <v>121</v>
      </c>
      <c r="L3853" s="2" t="s">
        <v>6826</v>
      </c>
      <c r="M3853" t="s">
        <v>67</v>
      </c>
      <c r="N3853" t="s">
        <v>68</v>
      </c>
      <c r="P3853" s="23">
        <v>95.02</v>
      </c>
      <c r="Q3853" s="4">
        <f t="shared" si="60"/>
        <v>-40.000000000000007</v>
      </c>
      <c r="R3853" s="23" t="s">
        <v>109</v>
      </c>
    </row>
    <row r="3854" spans="1:18" x14ac:dyDescent="0.25">
      <c r="A3854" s="21">
        <v>45800</v>
      </c>
      <c r="B3854" s="1">
        <v>613401467</v>
      </c>
      <c r="C3854" t="s">
        <v>6827</v>
      </c>
      <c r="D3854" s="22">
        <v>-2850.6</v>
      </c>
      <c r="E3854" t="s">
        <v>35</v>
      </c>
      <c r="F3854" s="2">
        <v>212901001</v>
      </c>
      <c r="G3854" s="2" t="s">
        <v>121</v>
      </c>
      <c r="L3854" s="2" t="s">
        <v>6828</v>
      </c>
      <c r="M3854" t="s">
        <v>67</v>
      </c>
      <c r="N3854" t="s">
        <v>68</v>
      </c>
      <c r="P3854" s="23">
        <v>95.02</v>
      </c>
      <c r="Q3854" s="4">
        <f t="shared" si="60"/>
        <v>-30</v>
      </c>
      <c r="R3854" s="23" t="s">
        <v>109</v>
      </c>
    </row>
    <row r="3855" spans="1:18" x14ac:dyDescent="0.25">
      <c r="A3855" s="21">
        <v>45800</v>
      </c>
      <c r="B3855" s="1">
        <v>713401471</v>
      </c>
      <c r="C3855" t="s">
        <v>6829</v>
      </c>
      <c r="D3855" s="22">
        <v>-4370.92</v>
      </c>
      <c r="E3855" t="s">
        <v>35</v>
      </c>
      <c r="F3855" s="2">
        <v>212901001</v>
      </c>
      <c r="G3855" s="2" t="s">
        <v>121</v>
      </c>
      <c r="L3855" s="2" t="s">
        <v>6830</v>
      </c>
      <c r="M3855" t="s">
        <v>67</v>
      </c>
      <c r="N3855" t="s">
        <v>68</v>
      </c>
      <c r="P3855" s="23">
        <v>95.02</v>
      </c>
      <c r="Q3855" s="4">
        <f t="shared" si="60"/>
        <v>-46</v>
      </c>
      <c r="R3855" s="23" t="s">
        <v>109</v>
      </c>
    </row>
    <row r="3856" spans="1:18" x14ac:dyDescent="0.25">
      <c r="A3856" s="21">
        <v>45800</v>
      </c>
      <c r="B3856" s="1">
        <v>613401469</v>
      </c>
      <c r="C3856" t="s">
        <v>6831</v>
      </c>
      <c r="D3856" s="22">
        <v>-7601.6</v>
      </c>
      <c r="E3856" t="s">
        <v>35</v>
      </c>
      <c r="F3856" s="2">
        <v>212901001</v>
      </c>
      <c r="G3856" s="2" t="s">
        <v>121</v>
      </c>
      <c r="L3856" s="2" t="s">
        <v>6832</v>
      </c>
      <c r="M3856" t="s">
        <v>67</v>
      </c>
      <c r="N3856" t="s">
        <v>68</v>
      </c>
      <c r="P3856" s="23">
        <v>95.02</v>
      </c>
      <c r="Q3856" s="4">
        <f t="shared" si="60"/>
        <v>-80.000000000000014</v>
      </c>
      <c r="R3856" s="23" t="s">
        <v>109</v>
      </c>
    </row>
    <row r="3857" spans="1:18" x14ac:dyDescent="0.25">
      <c r="A3857" s="21">
        <v>45800</v>
      </c>
      <c r="B3857" s="1">
        <v>613401470</v>
      </c>
      <c r="C3857" t="s">
        <v>6833</v>
      </c>
      <c r="D3857" s="22">
        <v>-9502</v>
      </c>
      <c r="E3857" t="s">
        <v>35</v>
      </c>
      <c r="F3857" s="2">
        <v>212901001</v>
      </c>
      <c r="G3857" s="2" t="s">
        <v>121</v>
      </c>
      <c r="L3857" s="2" t="s">
        <v>6834</v>
      </c>
      <c r="M3857" t="s">
        <v>67</v>
      </c>
      <c r="N3857" t="s">
        <v>68</v>
      </c>
      <c r="P3857" s="23">
        <v>95.02</v>
      </c>
      <c r="Q3857" s="4">
        <f t="shared" si="60"/>
        <v>-100</v>
      </c>
      <c r="R3857" s="23" t="s">
        <v>109</v>
      </c>
    </row>
    <row r="3858" spans="1:18" x14ac:dyDescent="0.25">
      <c r="A3858" s="21">
        <v>45800</v>
      </c>
      <c r="B3858" s="1">
        <v>613401468</v>
      </c>
      <c r="C3858" t="s">
        <v>6835</v>
      </c>
      <c r="D3858" s="22">
        <v>-10452.200000000001</v>
      </c>
      <c r="E3858" t="s">
        <v>35</v>
      </c>
      <c r="F3858" s="2">
        <v>212901001</v>
      </c>
      <c r="G3858" s="2" t="s">
        <v>121</v>
      </c>
      <c r="L3858" s="2" t="s">
        <v>6836</v>
      </c>
      <c r="M3858" t="s">
        <v>67</v>
      </c>
      <c r="N3858" t="s">
        <v>68</v>
      </c>
      <c r="P3858" s="23">
        <v>95.02</v>
      </c>
      <c r="Q3858" s="4">
        <f t="shared" si="60"/>
        <v>-110.00000000000001</v>
      </c>
      <c r="R3858" s="23" t="s">
        <v>109</v>
      </c>
    </row>
    <row r="3859" spans="1:18" x14ac:dyDescent="0.25">
      <c r="A3859" s="21">
        <v>45800</v>
      </c>
      <c r="B3859" s="1">
        <v>713401473</v>
      </c>
      <c r="C3859" t="s">
        <v>6837</v>
      </c>
      <c r="D3859" s="22">
        <v>-6651.4</v>
      </c>
      <c r="E3859" t="s">
        <v>35</v>
      </c>
      <c r="F3859" s="2">
        <v>212901001</v>
      </c>
      <c r="G3859" s="2" t="s">
        <v>121</v>
      </c>
      <c r="L3859" s="2" t="s">
        <v>6838</v>
      </c>
      <c r="M3859" t="s">
        <v>67</v>
      </c>
      <c r="N3859" t="s">
        <v>68</v>
      </c>
      <c r="P3859" s="23">
        <v>95.02</v>
      </c>
      <c r="Q3859" s="4">
        <f t="shared" si="60"/>
        <v>-70</v>
      </c>
      <c r="R3859" s="23" t="s">
        <v>109</v>
      </c>
    </row>
    <row r="3860" spans="1:18" x14ac:dyDescent="0.25">
      <c r="A3860" s="21">
        <v>45800</v>
      </c>
      <c r="B3860" s="1">
        <v>713401474</v>
      </c>
      <c r="C3860" t="s">
        <v>6839</v>
      </c>
      <c r="D3860" s="22">
        <v>-6651.4</v>
      </c>
      <c r="E3860" t="s">
        <v>35</v>
      </c>
      <c r="F3860" s="2">
        <v>212901001</v>
      </c>
      <c r="G3860" s="2" t="s">
        <v>121</v>
      </c>
      <c r="L3860" s="2" t="s">
        <v>6840</v>
      </c>
      <c r="M3860" t="s">
        <v>67</v>
      </c>
      <c r="N3860" t="s">
        <v>68</v>
      </c>
      <c r="P3860" s="23">
        <v>95.02</v>
      </c>
      <c r="Q3860" s="4">
        <f t="shared" si="60"/>
        <v>-70</v>
      </c>
      <c r="R3860" s="23" t="s">
        <v>109</v>
      </c>
    </row>
    <row r="3861" spans="1:18" x14ac:dyDescent="0.25">
      <c r="A3861" s="21">
        <v>45800</v>
      </c>
      <c r="B3861" s="1">
        <v>713401472</v>
      </c>
      <c r="C3861" t="s">
        <v>6841</v>
      </c>
      <c r="D3861" s="22">
        <v>-6651.4</v>
      </c>
      <c r="E3861" t="s">
        <v>35</v>
      </c>
      <c r="F3861" s="2">
        <v>212901001</v>
      </c>
      <c r="G3861" s="2" t="s">
        <v>121</v>
      </c>
      <c r="L3861" s="2" t="s">
        <v>6842</v>
      </c>
      <c r="M3861" t="s">
        <v>67</v>
      </c>
      <c r="N3861" t="s">
        <v>68</v>
      </c>
      <c r="P3861" s="23">
        <v>95.02</v>
      </c>
      <c r="Q3861" s="4">
        <f t="shared" si="60"/>
        <v>-70</v>
      </c>
      <c r="R3861" s="23" t="s">
        <v>109</v>
      </c>
    </row>
    <row r="3862" spans="1:18" x14ac:dyDescent="0.25">
      <c r="A3862" s="21">
        <v>45800</v>
      </c>
      <c r="B3862" s="1">
        <v>713401475</v>
      </c>
      <c r="C3862" t="s">
        <v>6843</v>
      </c>
      <c r="D3862" s="22">
        <v>-4751</v>
      </c>
      <c r="E3862" t="s">
        <v>35</v>
      </c>
      <c r="F3862" s="2">
        <v>212901001</v>
      </c>
      <c r="G3862" s="2" t="s">
        <v>121</v>
      </c>
      <c r="L3862" s="2" t="s">
        <v>6844</v>
      </c>
      <c r="M3862" t="s">
        <v>67</v>
      </c>
      <c r="N3862" t="s">
        <v>68</v>
      </c>
      <c r="P3862" s="23">
        <v>95.02</v>
      </c>
      <c r="Q3862" s="4">
        <f t="shared" si="60"/>
        <v>-50</v>
      </c>
      <c r="R3862" s="23" t="s">
        <v>109</v>
      </c>
    </row>
    <row r="3863" spans="1:18" x14ac:dyDescent="0.25">
      <c r="A3863" s="21">
        <v>45800</v>
      </c>
      <c r="B3863" s="1">
        <v>713401476</v>
      </c>
      <c r="C3863" t="s">
        <v>6845</v>
      </c>
      <c r="D3863" s="22">
        <v>-4751</v>
      </c>
      <c r="E3863" t="s">
        <v>35</v>
      </c>
      <c r="F3863" s="2">
        <v>212901001</v>
      </c>
      <c r="G3863" s="2" t="s">
        <v>121</v>
      </c>
      <c r="L3863" s="2" t="s">
        <v>6846</v>
      </c>
      <c r="M3863" t="s">
        <v>67</v>
      </c>
      <c r="N3863" t="s">
        <v>68</v>
      </c>
      <c r="P3863" s="23">
        <v>95.02</v>
      </c>
      <c r="Q3863" s="4">
        <f t="shared" si="60"/>
        <v>-50</v>
      </c>
      <c r="R3863" s="23" t="s">
        <v>109</v>
      </c>
    </row>
    <row r="3864" spans="1:18" x14ac:dyDescent="0.25">
      <c r="A3864" s="21">
        <v>45800</v>
      </c>
      <c r="B3864" s="1">
        <v>713401477</v>
      </c>
      <c r="C3864" t="s">
        <v>6847</v>
      </c>
      <c r="D3864" s="22">
        <v>-4751</v>
      </c>
      <c r="E3864" t="s">
        <v>35</v>
      </c>
      <c r="F3864" s="2">
        <v>212901001</v>
      </c>
      <c r="G3864" s="2" t="s">
        <v>121</v>
      </c>
      <c r="L3864" s="2" t="s">
        <v>6848</v>
      </c>
      <c r="M3864" t="s">
        <v>67</v>
      </c>
      <c r="N3864" t="s">
        <v>68</v>
      </c>
      <c r="P3864" s="23">
        <v>95.02</v>
      </c>
      <c r="Q3864" s="4">
        <f t="shared" si="60"/>
        <v>-50</v>
      </c>
      <c r="R3864" s="23" t="s">
        <v>109</v>
      </c>
    </row>
    <row r="3865" spans="1:18" x14ac:dyDescent="0.25">
      <c r="A3865" s="21">
        <v>45800</v>
      </c>
      <c r="B3865" s="1">
        <v>713401481</v>
      </c>
      <c r="C3865" t="s">
        <v>6849</v>
      </c>
      <c r="D3865" s="22">
        <v>-4751</v>
      </c>
      <c r="E3865" t="s">
        <v>35</v>
      </c>
      <c r="F3865" s="2">
        <v>212901001</v>
      </c>
      <c r="G3865" s="2" t="s">
        <v>121</v>
      </c>
      <c r="L3865" s="2" t="s">
        <v>6850</v>
      </c>
      <c r="M3865" t="s">
        <v>67</v>
      </c>
      <c r="N3865" t="s">
        <v>68</v>
      </c>
      <c r="P3865" s="23">
        <v>95.02</v>
      </c>
      <c r="Q3865" s="4">
        <f t="shared" si="60"/>
        <v>-50</v>
      </c>
      <c r="R3865" s="23" t="s">
        <v>109</v>
      </c>
    </row>
    <row r="3866" spans="1:18" x14ac:dyDescent="0.25">
      <c r="A3866" s="21">
        <v>45800</v>
      </c>
      <c r="B3866" s="1">
        <v>813401484</v>
      </c>
      <c r="C3866" t="s">
        <v>6851</v>
      </c>
      <c r="D3866" s="22">
        <v>-4751</v>
      </c>
      <c r="E3866" t="s">
        <v>35</v>
      </c>
      <c r="F3866" s="2">
        <v>212901001</v>
      </c>
      <c r="G3866" s="2" t="s">
        <v>121</v>
      </c>
      <c r="L3866" s="2" t="s">
        <v>6852</v>
      </c>
      <c r="M3866" t="s">
        <v>67</v>
      </c>
      <c r="N3866" t="s">
        <v>68</v>
      </c>
      <c r="P3866" s="23">
        <v>95.02</v>
      </c>
      <c r="Q3866" s="4">
        <f t="shared" si="60"/>
        <v>-50</v>
      </c>
      <c r="R3866" s="23" t="s">
        <v>109</v>
      </c>
    </row>
    <row r="3867" spans="1:18" x14ac:dyDescent="0.25">
      <c r="A3867" s="21">
        <v>45800</v>
      </c>
      <c r="B3867" s="1">
        <v>713401478</v>
      </c>
      <c r="C3867" t="s">
        <v>6853</v>
      </c>
      <c r="D3867" s="22">
        <v>-4751</v>
      </c>
      <c r="E3867" t="s">
        <v>35</v>
      </c>
      <c r="F3867" s="2">
        <v>212901001</v>
      </c>
      <c r="G3867" s="2" t="s">
        <v>121</v>
      </c>
      <c r="L3867" s="2" t="s">
        <v>6854</v>
      </c>
      <c r="M3867" t="s">
        <v>67</v>
      </c>
      <c r="N3867" t="s">
        <v>68</v>
      </c>
      <c r="P3867" s="23">
        <v>95.02</v>
      </c>
      <c r="Q3867" s="4">
        <f t="shared" si="60"/>
        <v>-50</v>
      </c>
      <c r="R3867" s="23" t="s">
        <v>109</v>
      </c>
    </row>
    <row r="3868" spans="1:18" x14ac:dyDescent="0.25">
      <c r="A3868" s="21">
        <v>45800</v>
      </c>
      <c r="B3868" s="1">
        <v>813401483</v>
      </c>
      <c r="C3868" t="s">
        <v>6845</v>
      </c>
      <c r="D3868" s="22">
        <v>-4751</v>
      </c>
      <c r="E3868" t="s">
        <v>35</v>
      </c>
      <c r="F3868" s="2">
        <v>212901001</v>
      </c>
      <c r="G3868" s="2" t="s">
        <v>121</v>
      </c>
      <c r="L3868" s="2" t="s">
        <v>6855</v>
      </c>
      <c r="M3868" t="s">
        <v>67</v>
      </c>
      <c r="N3868" t="s">
        <v>68</v>
      </c>
      <c r="P3868" s="23">
        <v>95.02</v>
      </c>
      <c r="Q3868" s="4">
        <f t="shared" si="60"/>
        <v>-50</v>
      </c>
      <c r="R3868" s="23" t="s">
        <v>109</v>
      </c>
    </row>
    <row r="3869" spans="1:18" x14ac:dyDescent="0.25">
      <c r="A3869" s="21">
        <v>45800</v>
      </c>
      <c r="B3869" s="1">
        <v>813401482</v>
      </c>
      <c r="C3869" t="s">
        <v>6856</v>
      </c>
      <c r="D3869" s="22">
        <v>-4751</v>
      </c>
      <c r="E3869" t="s">
        <v>35</v>
      </c>
      <c r="F3869" s="2">
        <v>212901001</v>
      </c>
      <c r="G3869" s="2" t="s">
        <v>121</v>
      </c>
      <c r="L3869" s="2" t="s">
        <v>6857</v>
      </c>
      <c r="M3869" t="s">
        <v>67</v>
      </c>
      <c r="N3869" t="s">
        <v>68</v>
      </c>
      <c r="P3869" s="23">
        <v>95.02</v>
      </c>
      <c r="Q3869" s="4">
        <f t="shared" si="60"/>
        <v>-50</v>
      </c>
      <c r="R3869" s="23" t="s">
        <v>109</v>
      </c>
    </row>
    <row r="3870" spans="1:18" x14ac:dyDescent="0.25">
      <c r="A3870" s="21">
        <v>45800</v>
      </c>
      <c r="B3870" s="1">
        <v>813401486</v>
      </c>
      <c r="C3870" t="s">
        <v>6858</v>
      </c>
      <c r="D3870" s="22">
        <v>-3990.84</v>
      </c>
      <c r="E3870" t="s">
        <v>35</v>
      </c>
      <c r="F3870" s="2">
        <v>212901001</v>
      </c>
      <c r="G3870" s="2" t="s">
        <v>121</v>
      </c>
      <c r="L3870" s="2" t="s">
        <v>6859</v>
      </c>
      <c r="M3870" t="s">
        <v>67</v>
      </c>
      <c r="N3870" t="s">
        <v>68</v>
      </c>
      <c r="P3870" s="23">
        <v>95.02</v>
      </c>
      <c r="Q3870" s="4">
        <f t="shared" si="60"/>
        <v>-42</v>
      </c>
      <c r="R3870" s="23" t="s">
        <v>109</v>
      </c>
    </row>
    <row r="3871" spans="1:18" x14ac:dyDescent="0.25">
      <c r="A3871" s="21">
        <v>45800</v>
      </c>
      <c r="B3871" s="1">
        <v>813401489</v>
      </c>
      <c r="C3871" t="s">
        <v>6860</v>
      </c>
      <c r="D3871" s="22">
        <v>-4751</v>
      </c>
      <c r="E3871" t="s">
        <v>35</v>
      </c>
      <c r="F3871" s="2">
        <v>212901001</v>
      </c>
      <c r="G3871" s="2" t="s">
        <v>121</v>
      </c>
      <c r="L3871" s="2" t="s">
        <v>6861</v>
      </c>
      <c r="M3871" t="s">
        <v>67</v>
      </c>
      <c r="N3871" t="s">
        <v>68</v>
      </c>
      <c r="P3871" s="23">
        <v>95.02</v>
      </c>
      <c r="Q3871" s="4">
        <f t="shared" si="60"/>
        <v>-50</v>
      </c>
      <c r="R3871" s="23" t="s">
        <v>109</v>
      </c>
    </row>
    <row r="3872" spans="1:18" x14ac:dyDescent="0.25">
      <c r="A3872" s="21">
        <v>45800</v>
      </c>
      <c r="B3872" s="1">
        <v>813401491</v>
      </c>
      <c r="C3872" t="s">
        <v>6862</v>
      </c>
      <c r="D3872" s="22">
        <v>-4751</v>
      </c>
      <c r="E3872" t="s">
        <v>35</v>
      </c>
      <c r="F3872" s="2">
        <v>212901001</v>
      </c>
      <c r="G3872" s="2" t="s">
        <v>121</v>
      </c>
      <c r="L3872" s="2" t="s">
        <v>6863</v>
      </c>
      <c r="M3872" t="s">
        <v>67</v>
      </c>
      <c r="N3872" t="s">
        <v>68</v>
      </c>
      <c r="P3872" s="23">
        <v>95.02</v>
      </c>
      <c r="Q3872" s="4">
        <f t="shared" si="60"/>
        <v>-50</v>
      </c>
      <c r="R3872" s="23" t="s">
        <v>109</v>
      </c>
    </row>
    <row r="3873" spans="1:20" x14ac:dyDescent="0.25">
      <c r="A3873" s="21">
        <v>45800</v>
      </c>
      <c r="B3873" s="1">
        <v>813401488</v>
      </c>
      <c r="C3873" t="s">
        <v>6864</v>
      </c>
      <c r="D3873" s="22">
        <v>-4751</v>
      </c>
      <c r="E3873" t="s">
        <v>35</v>
      </c>
      <c r="F3873" s="2">
        <v>212901001</v>
      </c>
      <c r="G3873" s="2" t="s">
        <v>121</v>
      </c>
      <c r="L3873" s="2" t="s">
        <v>6865</v>
      </c>
      <c r="M3873" t="s">
        <v>67</v>
      </c>
      <c r="N3873" t="s">
        <v>68</v>
      </c>
      <c r="P3873" s="23">
        <v>95.02</v>
      </c>
      <c r="Q3873" s="4">
        <f t="shared" si="60"/>
        <v>-50</v>
      </c>
      <c r="R3873" s="23" t="s">
        <v>109</v>
      </c>
    </row>
    <row r="3874" spans="1:20" x14ac:dyDescent="0.25">
      <c r="A3874" s="21">
        <v>45800</v>
      </c>
      <c r="B3874" s="1">
        <v>813401487</v>
      </c>
      <c r="C3874" t="s">
        <v>6866</v>
      </c>
      <c r="D3874" s="22">
        <v>-4751</v>
      </c>
      <c r="E3874" t="s">
        <v>35</v>
      </c>
      <c r="F3874" s="2">
        <v>212901001</v>
      </c>
      <c r="G3874" s="2" t="s">
        <v>121</v>
      </c>
      <c r="L3874" s="2" t="s">
        <v>6867</v>
      </c>
      <c r="M3874" t="s">
        <v>67</v>
      </c>
      <c r="N3874" t="s">
        <v>68</v>
      </c>
      <c r="P3874" s="23">
        <v>95.02</v>
      </c>
      <c r="Q3874" s="4">
        <f t="shared" si="60"/>
        <v>-50</v>
      </c>
      <c r="R3874" s="23" t="s">
        <v>109</v>
      </c>
    </row>
    <row r="3875" spans="1:20" x14ac:dyDescent="0.25">
      <c r="A3875" s="21">
        <v>45800</v>
      </c>
      <c r="B3875" s="1">
        <v>813401490</v>
      </c>
      <c r="C3875" t="s">
        <v>6868</v>
      </c>
      <c r="D3875" s="22">
        <v>-4751</v>
      </c>
      <c r="E3875" t="s">
        <v>35</v>
      </c>
      <c r="F3875" s="2">
        <v>212901001</v>
      </c>
      <c r="G3875" s="2" t="s">
        <v>121</v>
      </c>
      <c r="L3875" s="2" t="s">
        <v>6869</v>
      </c>
      <c r="M3875" t="s">
        <v>67</v>
      </c>
      <c r="N3875" t="s">
        <v>68</v>
      </c>
      <c r="P3875" s="23">
        <v>95.02</v>
      </c>
      <c r="Q3875" s="4">
        <f t="shared" si="60"/>
        <v>-50</v>
      </c>
      <c r="R3875" s="23" t="s">
        <v>109</v>
      </c>
    </row>
    <row r="3876" spans="1:20" x14ac:dyDescent="0.25">
      <c r="A3876" s="21">
        <v>45800</v>
      </c>
      <c r="B3876" s="1">
        <v>913401493</v>
      </c>
      <c r="C3876" t="s">
        <v>6870</v>
      </c>
      <c r="D3876" s="22">
        <v>-1900.4</v>
      </c>
      <c r="E3876" t="s">
        <v>35</v>
      </c>
      <c r="F3876" s="2">
        <v>212901001</v>
      </c>
      <c r="G3876" s="2" t="s">
        <v>121</v>
      </c>
      <c r="L3876" s="2" t="s">
        <v>6871</v>
      </c>
      <c r="M3876" t="s">
        <v>67</v>
      </c>
      <c r="N3876" t="s">
        <v>68</v>
      </c>
      <c r="P3876" s="23">
        <v>95.02</v>
      </c>
      <c r="Q3876" s="4">
        <f t="shared" si="60"/>
        <v>-20.000000000000004</v>
      </c>
      <c r="R3876" s="23" t="s">
        <v>109</v>
      </c>
    </row>
    <row r="3877" spans="1:20" x14ac:dyDescent="0.25">
      <c r="A3877" s="21">
        <v>45800</v>
      </c>
      <c r="B3877" s="1">
        <v>913401496</v>
      </c>
      <c r="C3877" t="s">
        <v>6872</v>
      </c>
      <c r="D3877" s="22">
        <v>-1900.4</v>
      </c>
      <c r="E3877" t="s">
        <v>35</v>
      </c>
      <c r="F3877" s="2">
        <v>212901001</v>
      </c>
      <c r="G3877" s="2" t="s">
        <v>121</v>
      </c>
      <c r="L3877" s="2" t="s">
        <v>6873</v>
      </c>
      <c r="M3877" t="s">
        <v>67</v>
      </c>
      <c r="N3877" t="s">
        <v>68</v>
      </c>
      <c r="P3877" s="23">
        <v>95.02</v>
      </c>
      <c r="Q3877" s="4">
        <f t="shared" si="60"/>
        <v>-20.000000000000004</v>
      </c>
      <c r="R3877" s="23" t="s">
        <v>109</v>
      </c>
    </row>
    <row r="3878" spans="1:20" x14ac:dyDescent="0.25">
      <c r="A3878" s="21">
        <v>45800</v>
      </c>
      <c r="B3878" s="1">
        <v>913401492</v>
      </c>
      <c r="C3878" t="s">
        <v>6874</v>
      </c>
      <c r="D3878" s="22">
        <v>-4751</v>
      </c>
      <c r="E3878" t="s">
        <v>35</v>
      </c>
      <c r="F3878" s="2">
        <v>212901001</v>
      </c>
      <c r="G3878" s="2" t="s">
        <v>121</v>
      </c>
      <c r="L3878" s="2" t="s">
        <v>6875</v>
      </c>
      <c r="M3878" t="s">
        <v>67</v>
      </c>
      <c r="N3878" t="s">
        <v>68</v>
      </c>
      <c r="P3878" s="23">
        <v>95.02</v>
      </c>
      <c r="Q3878" s="4">
        <f t="shared" si="60"/>
        <v>-50</v>
      </c>
      <c r="R3878" s="23" t="s">
        <v>109</v>
      </c>
    </row>
    <row r="3879" spans="1:20" x14ac:dyDescent="0.25">
      <c r="A3879" s="21">
        <v>45800</v>
      </c>
      <c r="B3879" s="1">
        <v>913401497</v>
      </c>
      <c r="C3879" t="s">
        <v>6876</v>
      </c>
      <c r="D3879" s="22">
        <v>-9502</v>
      </c>
      <c r="E3879" t="s">
        <v>35</v>
      </c>
      <c r="F3879" s="2">
        <v>212901001</v>
      </c>
      <c r="G3879" s="2" t="s">
        <v>121</v>
      </c>
      <c r="L3879" s="2" t="s">
        <v>6877</v>
      </c>
      <c r="M3879" t="s">
        <v>67</v>
      </c>
      <c r="N3879" t="s">
        <v>68</v>
      </c>
      <c r="P3879" s="23">
        <v>95.02</v>
      </c>
      <c r="Q3879" s="4">
        <f t="shared" si="60"/>
        <v>-100</v>
      </c>
      <c r="R3879" s="23" t="s">
        <v>109</v>
      </c>
    </row>
    <row r="3880" spans="1:20" x14ac:dyDescent="0.25">
      <c r="A3880" s="21">
        <v>45800</v>
      </c>
      <c r="B3880" s="1">
        <v>913401494</v>
      </c>
      <c r="C3880" t="s">
        <v>6878</v>
      </c>
      <c r="D3880" s="22">
        <v>-1900.4</v>
      </c>
      <c r="E3880" t="s">
        <v>35</v>
      </c>
      <c r="F3880" s="2">
        <v>212901001</v>
      </c>
      <c r="G3880" s="2" t="s">
        <v>121</v>
      </c>
      <c r="L3880" s="2" t="s">
        <v>6879</v>
      </c>
      <c r="M3880" t="s">
        <v>67</v>
      </c>
      <c r="N3880" t="s">
        <v>68</v>
      </c>
      <c r="P3880" s="23">
        <v>95.02</v>
      </c>
      <c r="Q3880" s="4">
        <f t="shared" si="60"/>
        <v>-20.000000000000004</v>
      </c>
      <c r="R3880" s="23" t="s">
        <v>109</v>
      </c>
    </row>
    <row r="3881" spans="1:20" x14ac:dyDescent="0.25">
      <c r="A3881" s="21">
        <v>45800</v>
      </c>
      <c r="B3881" s="1">
        <v>913401495</v>
      </c>
      <c r="C3881" t="s">
        <v>6880</v>
      </c>
      <c r="D3881" s="22">
        <v>-1900.4</v>
      </c>
      <c r="E3881" t="s">
        <v>35</v>
      </c>
      <c r="F3881" s="2">
        <v>212901001</v>
      </c>
      <c r="G3881" s="2" t="s">
        <v>121</v>
      </c>
      <c r="L3881" s="2" t="s">
        <v>6881</v>
      </c>
      <c r="M3881" t="s">
        <v>67</v>
      </c>
      <c r="N3881" t="s">
        <v>68</v>
      </c>
      <c r="P3881" s="23">
        <v>95.02</v>
      </c>
      <c r="Q3881" s="4">
        <f t="shared" si="60"/>
        <v>-20.000000000000004</v>
      </c>
      <c r="R3881" s="23" t="s">
        <v>109</v>
      </c>
    </row>
    <row r="3882" spans="1:20" x14ac:dyDescent="0.25">
      <c r="A3882" s="21">
        <v>45800</v>
      </c>
      <c r="B3882" s="1">
        <v>913401498</v>
      </c>
      <c r="C3882" t="s">
        <v>6882</v>
      </c>
      <c r="D3882" s="22">
        <v>-19004</v>
      </c>
      <c r="E3882" t="s">
        <v>35</v>
      </c>
      <c r="F3882" s="2">
        <v>212901001</v>
      </c>
      <c r="G3882" s="2" t="s">
        <v>121</v>
      </c>
      <c r="L3882" s="2" t="s">
        <v>6883</v>
      </c>
      <c r="M3882" t="s">
        <v>67</v>
      </c>
      <c r="N3882" t="s">
        <v>68</v>
      </c>
      <c r="P3882" s="23">
        <v>95.02</v>
      </c>
      <c r="Q3882" s="4">
        <f t="shared" si="60"/>
        <v>-200</v>
      </c>
      <c r="R3882" s="23" t="s">
        <v>109</v>
      </c>
    </row>
    <row r="3883" spans="1:20" x14ac:dyDescent="0.25">
      <c r="A3883" s="21">
        <v>45800</v>
      </c>
      <c r="B3883" s="1">
        <v>913401501</v>
      </c>
      <c r="C3883" t="s">
        <v>6884</v>
      </c>
      <c r="D3883" s="22">
        <v>-2850.6</v>
      </c>
      <c r="E3883" t="s">
        <v>35</v>
      </c>
      <c r="F3883" s="2">
        <v>212901001</v>
      </c>
      <c r="G3883" s="2" t="s">
        <v>121</v>
      </c>
      <c r="L3883" s="2" t="s">
        <v>6885</v>
      </c>
      <c r="M3883" t="s">
        <v>67</v>
      </c>
      <c r="N3883" t="s">
        <v>68</v>
      </c>
      <c r="P3883" s="23">
        <v>95.02</v>
      </c>
      <c r="Q3883" s="4">
        <f t="shared" si="60"/>
        <v>-30</v>
      </c>
      <c r="R3883" s="23" t="s">
        <v>109</v>
      </c>
    </row>
    <row r="3884" spans="1:20" x14ac:dyDescent="0.25">
      <c r="A3884" s="21">
        <v>45800</v>
      </c>
      <c r="B3884" s="1">
        <v>913401500</v>
      </c>
      <c r="C3884" t="s">
        <v>6886</v>
      </c>
      <c r="D3884" s="22">
        <v>-11592.44</v>
      </c>
      <c r="E3884" t="s">
        <v>35</v>
      </c>
      <c r="F3884" s="2">
        <v>212901001</v>
      </c>
      <c r="G3884" s="2" t="s">
        <v>121</v>
      </c>
      <c r="L3884" s="2" t="s">
        <v>6887</v>
      </c>
      <c r="M3884" t="s">
        <v>67</v>
      </c>
      <c r="N3884" t="s">
        <v>68</v>
      </c>
      <c r="P3884" s="23">
        <v>95.02</v>
      </c>
      <c r="Q3884" s="4">
        <f t="shared" si="60"/>
        <v>-122.00000000000001</v>
      </c>
      <c r="R3884" s="23" t="s">
        <v>109</v>
      </c>
    </row>
    <row r="3885" spans="1:20" x14ac:dyDescent="0.25">
      <c r="A3885" s="21">
        <v>45800</v>
      </c>
      <c r="B3885" s="1">
        <v>913401503</v>
      </c>
      <c r="C3885" t="s">
        <v>6888</v>
      </c>
      <c r="D3885" s="22">
        <v>-3800.8</v>
      </c>
      <c r="E3885" t="s">
        <v>35</v>
      </c>
      <c r="F3885" s="2">
        <v>212901001</v>
      </c>
      <c r="G3885" s="2" t="s">
        <v>121</v>
      </c>
      <c r="L3885" s="2" t="s">
        <v>6889</v>
      </c>
      <c r="M3885" t="s">
        <v>67</v>
      </c>
      <c r="N3885" t="s">
        <v>68</v>
      </c>
      <c r="P3885" s="23">
        <v>95.02</v>
      </c>
      <c r="Q3885" s="4">
        <f t="shared" si="60"/>
        <v>-40.000000000000007</v>
      </c>
      <c r="R3885" s="23" t="s">
        <v>109</v>
      </c>
    </row>
    <row r="3886" spans="1:20" x14ac:dyDescent="0.25">
      <c r="A3886" s="21">
        <v>45800</v>
      </c>
      <c r="B3886" s="1">
        <v>50550047</v>
      </c>
      <c r="C3886" t="s">
        <v>6890</v>
      </c>
      <c r="D3886" s="22">
        <v>-13302.8</v>
      </c>
      <c r="E3886" t="s">
        <v>35</v>
      </c>
      <c r="F3886" s="2">
        <v>212901001</v>
      </c>
      <c r="G3886" s="2" t="s">
        <v>121</v>
      </c>
      <c r="L3886" s="2" t="s">
        <v>6891</v>
      </c>
      <c r="M3886" t="s">
        <v>67</v>
      </c>
      <c r="N3886" t="s">
        <v>68</v>
      </c>
      <c r="P3886" s="23">
        <v>95.02</v>
      </c>
      <c r="Q3886" s="4">
        <f t="shared" si="60"/>
        <v>-140</v>
      </c>
      <c r="R3886" s="23" t="s">
        <v>109</v>
      </c>
    </row>
    <row r="3887" spans="1:20" x14ac:dyDescent="0.25">
      <c r="A3887" s="21">
        <v>45800</v>
      </c>
      <c r="B3887" s="1">
        <v>50550047</v>
      </c>
      <c r="C3887" t="s">
        <v>296</v>
      </c>
      <c r="D3887" s="22">
        <v>-19.95</v>
      </c>
      <c r="E3887" t="s">
        <v>35</v>
      </c>
      <c r="F3887" s="2">
        <v>610148001</v>
      </c>
      <c r="G3887" s="2" t="s">
        <v>42</v>
      </c>
      <c r="L3887" s="2" t="s">
        <v>6892</v>
      </c>
      <c r="M3887" t="s">
        <v>43</v>
      </c>
      <c r="N3887" t="s">
        <v>42</v>
      </c>
      <c r="P3887" s="23">
        <v>95.02</v>
      </c>
      <c r="Q3887" s="4">
        <f t="shared" si="60"/>
        <v>-0.20995579877920437</v>
      </c>
      <c r="R3887" s="23" t="s">
        <v>109</v>
      </c>
      <c r="T3887" s="23" t="s">
        <v>6107</v>
      </c>
    </row>
    <row r="3888" spans="1:20" x14ac:dyDescent="0.25">
      <c r="A3888" s="21">
        <v>45800</v>
      </c>
      <c r="B3888" s="1">
        <v>50550047</v>
      </c>
      <c r="C3888" t="s">
        <v>118</v>
      </c>
      <c r="D3888" s="22">
        <v>-1072.3</v>
      </c>
      <c r="E3888" t="s">
        <v>35</v>
      </c>
      <c r="F3888" s="2">
        <v>610148001</v>
      </c>
      <c r="G3888" s="2" t="s">
        <v>42</v>
      </c>
      <c r="L3888" s="2" t="s">
        <v>6893</v>
      </c>
      <c r="M3888" t="s">
        <v>43</v>
      </c>
      <c r="N3888" t="s">
        <v>42</v>
      </c>
      <c r="P3888" s="23">
        <v>95.02</v>
      </c>
      <c r="Q3888" s="4">
        <f t="shared" si="60"/>
        <v>-11.284992633129868</v>
      </c>
      <c r="R3888" s="23" t="s">
        <v>109</v>
      </c>
      <c r="T3888" s="23" t="s">
        <v>6107</v>
      </c>
    </row>
    <row r="3889" spans="1:20" x14ac:dyDescent="0.25">
      <c r="A3889" s="21">
        <v>45803</v>
      </c>
      <c r="B3889" s="1">
        <v>85725098</v>
      </c>
      <c r="C3889" t="s">
        <v>107</v>
      </c>
      <c r="D3889" s="22">
        <v>5000</v>
      </c>
      <c r="E3889" t="s">
        <v>46</v>
      </c>
      <c r="F3889" s="2">
        <v>210115002</v>
      </c>
      <c r="G3889" s="2" t="s">
        <v>47</v>
      </c>
      <c r="L3889" s="2" t="s">
        <v>6894</v>
      </c>
      <c r="N3889" t="s">
        <v>107</v>
      </c>
      <c r="P3889" s="23">
        <v>95.08</v>
      </c>
      <c r="Q3889" s="4">
        <f t="shared" si="60"/>
        <v>52.587294909549854</v>
      </c>
      <c r="R3889" s="23" t="s">
        <v>109</v>
      </c>
    </row>
    <row r="3890" spans="1:20" x14ac:dyDescent="0.25">
      <c r="A3890" s="21">
        <v>45803</v>
      </c>
      <c r="B3890" s="1">
        <v>313533152</v>
      </c>
      <c r="C3890" t="s">
        <v>6895</v>
      </c>
      <c r="D3890" s="22">
        <v>-4754</v>
      </c>
      <c r="E3890" t="s">
        <v>35</v>
      </c>
      <c r="F3890" s="2">
        <v>110114001</v>
      </c>
      <c r="G3890" s="2" t="s">
        <v>301</v>
      </c>
      <c r="L3890" s="2" t="s">
        <v>6896</v>
      </c>
      <c r="M3890" s="50" t="s">
        <v>114</v>
      </c>
      <c r="N3890" t="s">
        <v>115</v>
      </c>
      <c r="P3890" s="23">
        <v>95.08</v>
      </c>
      <c r="Q3890" s="4">
        <f t="shared" si="60"/>
        <v>-50</v>
      </c>
      <c r="R3890" s="23" t="s">
        <v>109</v>
      </c>
      <c r="S3890" s="33" t="s">
        <v>5309</v>
      </c>
    </row>
    <row r="3891" spans="1:20" x14ac:dyDescent="0.25">
      <c r="A3891" s="21">
        <v>45803</v>
      </c>
      <c r="B3891" s="1">
        <v>313533152</v>
      </c>
      <c r="C3891" t="s">
        <v>306</v>
      </c>
      <c r="D3891" s="22">
        <v>-14.26</v>
      </c>
      <c r="E3891" t="s">
        <v>35</v>
      </c>
      <c r="F3891" s="2">
        <v>610148001</v>
      </c>
      <c r="G3891" s="2" t="s">
        <v>42</v>
      </c>
      <c r="L3891" s="2" t="s">
        <v>6897</v>
      </c>
      <c r="M3891" t="s">
        <v>43</v>
      </c>
      <c r="N3891" t="s">
        <v>42</v>
      </c>
      <c r="P3891" s="23">
        <v>95.08</v>
      </c>
      <c r="Q3891" s="4">
        <f t="shared" si="60"/>
        <v>-0.14997896508203618</v>
      </c>
      <c r="R3891" s="23" t="s">
        <v>109</v>
      </c>
      <c r="T3891" s="23" t="s">
        <v>6107</v>
      </c>
    </row>
    <row r="3892" spans="1:20" x14ac:dyDescent="0.25">
      <c r="A3892" s="21">
        <v>45803</v>
      </c>
      <c r="B3892" s="1">
        <v>878783779</v>
      </c>
      <c r="C3892" t="s">
        <v>693</v>
      </c>
      <c r="D3892" s="22">
        <v>140000</v>
      </c>
      <c r="E3892" t="s">
        <v>46</v>
      </c>
      <c r="F3892" s="2">
        <v>210115002</v>
      </c>
      <c r="G3892" s="2" t="s">
        <v>47</v>
      </c>
      <c r="L3892" s="2" t="s">
        <v>6898</v>
      </c>
      <c r="N3892" t="s">
        <v>693</v>
      </c>
      <c r="P3892" s="23">
        <v>95.08</v>
      </c>
      <c r="Q3892" s="4">
        <f t="shared" si="60"/>
        <v>1472.4442574673958</v>
      </c>
      <c r="R3892" s="23" t="s">
        <v>109</v>
      </c>
    </row>
    <row r="3893" spans="1:20" x14ac:dyDescent="0.25">
      <c r="A3893" s="21">
        <v>45803</v>
      </c>
      <c r="B3893" s="1">
        <v>113558763</v>
      </c>
      <c r="C3893" t="s">
        <v>6899</v>
      </c>
      <c r="D3893" s="22">
        <v>-8391.2000000000007</v>
      </c>
      <c r="E3893" t="s">
        <v>35</v>
      </c>
      <c r="F3893" s="2">
        <v>110114001</v>
      </c>
      <c r="G3893" s="2" t="s">
        <v>301</v>
      </c>
      <c r="L3893" s="2" t="s">
        <v>6900</v>
      </c>
      <c r="M3893" s="50" t="s">
        <v>303</v>
      </c>
      <c r="N3893" s="50" t="s">
        <v>304</v>
      </c>
      <c r="O3893" s="50"/>
      <c r="P3893" s="23">
        <v>95.08</v>
      </c>
      <c r="Q3893" s="4">
        <f t="shared" si="60"/>
        <v>-88.254101809002961</v>
      </c>
      <c r="R3893" s="23" t="s">
        <v>109</v>
      </c>
      <c r="S3893" s="33" t="s">
        <v>5309</v>
      </c>
    </row>
    <row r="3894" spans="1:20" x14ac:dyDescent="0.25">
      <c r="A3894" s="21">
        <v>45803</v>
      </c>
      <c r="B3894" s="1">
        <v>13558762</v>
      </c>
      <c r="C3894" t="s">
        <v>6901</v>
      </c>
      <c r="D3894" s="22">
        <v>-44024.89</v>
      </c>
      <c r="E3894" t="s">
        <v>35</v>
      </c>
      <c r="F3894" s="2">
        <v>110114001</v>
      </c>
      <c r="G3894" s="2" t="s">
        <v>301</v>
      </c>
      <c r="L3894" s="2" t="s">
        <v>6902</v>
      </c>
      <c r="M3894" s="50" t="s">
        <v>6364</v>
      </c>
      <c r="N3894" t="s">
        <v>6903</v>
      </c>
      <c r="P3894" s="23">
        <v>95.08</v>
      </c>
      <c r="Q3894" s="4">
        <f t="shared" si="60"/>
        <v>-463.02997475809843</v>
      </c>
      <c r="R3894" s="23" t="s">
        <v>109</v>
      </c>
      <c r="S3894" s="33" t="s">
        <v>5309</v>
      </c>
    </row>
    <row r="3895" spans="1:20" x14ac:dyDescent="0.25">
      <c r="A3895" s="21">
        <v>45803</v>
      </c>
      <c r="B3895" s="1">
        <v>50556097</v>
      </c>
      <c r="C3895" t="s">
        <v>6904</v>
      </c>
      <c r="D3895" s="22">
        <v>-69033.710000000006</v>
      </c>
      <c r="E3895" t="s">
        <v>35</v>
      </c>
      <c r="F3895" s="2">
        <v>110114001</v>
      </c>
      <c r="G3895" s="2" t="s">
        <v>301</v>
      </c>
      <c r="L3895" s="2" t="s">
        <v>6905</v>
      </c>
      <c r="N3895" t="s">
        <v>3849</v>
      </c>
      <c r="P3895" s="23">
        <v>95.08</v>
      </c>
      <c r="Q3895" s="4">
        <f t="shared" si="60"/>
        <v>-726.05921329406829</v>
      </c>
      <c r="R3895" s="23" t="s">
        <v>109</v>
      </c>
    </row>
    <row r="3896" spans="1:20" x14ac:dyDescent="0.25">
      <c r="A3896" s="21">
        <v>45803</v>
      </c>
      <c r="B3896" s="1">
        <v>50556097</v>
      </c>
      <c r="C3896" t="s">
        <v>296</v>
      </c>
      <c r="D3896" s="22">
        <v>-103.55</v>
      </c>
      <c r="E3896" t="s">
        <v>35</v>
      </c>
      <c r="F3896" s="2">
        <v>610148001</v>
      </c>
      <c r="G3896" s="2" t="s">
        <v>42</v>
      </c>
      <c r="L3896" s="2" t="s">
        <v>6906</v>
      </c>
      <c r="M3896" t="s">
        <v>43</v>
      </c>
      <c r="N3896" t="s">
        <v>42</v>
      </c>
      <c r="P3896" s="23">
        <v>95.08</v>
      </c>
      <c r="Q3896" s="4">
        <f t="shared" si="60"/>
        <v>-1.0890828775767774</v>
      </c>
      <c r="R3896" s="23" t="s">
        <v>109</v>
      </c>
      <c r="T3896" s="23" t="s">
        <v>6107</v>
      </c>
    </row>
    <row r="3897" spans="1:20" x14ac:dyDescent="0.25">
      <c r="A3897" s="21">
        <v>45803</v>
      </c>
      <c r="B3897" s="1">
        <v>50556097</v>
      </c>
      <c r="C3897" t="s">
        <v>118</v>
      </c>
      <c r="D3897" s="22">
        <v>-131.04</v>
      </c>
      <c r="E3897" t="s">
        <v>35</v>
      </c>
      <c r="F3897" s="2">
        <v>610148001</v>
      </c>
      <c r="G3897" s="2" t="s">
        <v>42</v>
      </c>
      <c r="L3897" s="2" t="s">
        <v>6907</v>
      </c>
      <c r="M3897" t="s">
        <v>43</v>
      </c>
      <c r="N3897" t="s">
        <v>42</v>
      </c>
      <c r="P3897" s="23">
        <v>95.08</v>
      </c>
      <c r="Q3897" s="4">
        <f t="shared" si="60"/>
        <v>-1.3782078249894825</v>
      </c>
      <c r="R3897" s="23" t="s">
        <v>109</v>
      </c>
      <c r="T3897" s="23" t="s">
        <v>6107</v>
      </c>
    </row>
    <row r="3898" spans="1:20" x14ac:dyDescent="0.25">
      <c r="A3898" s="21">
        <v>45804</v>
      </c>
      <c r="B3898" s="1">
        <v>133613400</v>
      </c>
      <c r="C3898" t="s">
        <v>6908</v>
      </c>
      <c r="D3898" s="22">
        <v>50793.59</v>
      </c>
      <c r="E3898" t="s">
        <v>46</v>
      </c>
      <c r="F3898" s="2">
        <v>110114001</v>
      </c>
      <c r="G3898" s="2" t="s">
        <v>301</v>
      </c>
      <c r="L3898" s="2" t="s">
        <v>6909</v>
      </c>
      <c r="N3898" t="s">
        <v>6910</v>
      </c>
      <c r="P3898" s="23">
        <v>95.24</v>
      </c>
      <c r="Q3898" s="4">
        <f t="shared" si="60"/>
        <v>533.32202855942876</v>
      </c>
      <c r="R3898" s="23" t="s">
        <v>109</v>
      </c>
    </row>
    <row r="3899" spans="1:20" x14ac:dyDescent="0.25">
      <c r="A3899" s="21">
        <v>45804</v>
      </c>
      <c r="B3899" s="1">
        <v>133743552</v>
      </c>
      <c r="C3899" t="s">
        <v>6908</v>
      </c>
      <c r="D3899" s="22">
        <v>18240.12</v>
      </c>
      <c r="E3899" t="s">
        <v>46</v>
      </c>
      <c r="F3899" s="2">
        <v>110114001</v>
      </c>
      <c r="G3899" s="2" t="s">
        <v>301</v>
      </c>
      <c r="L3899" s="2" t="s">
        <v>6911</v>
      </c>
      <c r="N3899" t="s">
        <v>6910</v>
      </c>
      <c r="P3899" s="23">
        <v>95.24</v>
      </c>
      <c r="Q3899" s="4">
        <f t="shared" si="60"/>
        <v>191.51742965140699</v>
      </c>
      <c r="R3899" s="23" t="s">
        <v>109</v>
      </c>
    </row>
    <row r="3900" spans="1:20" x14ac:dyDescent="0.25">
      <c r="A3900" s="21">
        <v>45804</v>
      </c>
      <c r="B3900" s="1">
        <v>135605222</v>
      </c>
      <c r="C3900" t="s">
        <v>6912</v>
      </c>
      <c r="D3900" s="22">
        <v>70919.100000000006</v>
      </c>
      <c r="E3900" t="s">
        <v>46</v>
      </c>
      <c r="F3900" s="2">
        <v>110106001</v>
      </c>
      <c r="G3900" s="2" t="s">
        <v>2034</v>
      </c>
      <c r="L3900" s="2" t="s">
        <v>6913</v>
      </c>
      <c r="N3900" t="s">
        <v>6914</v>
      </c>
      <c r="P3900" s="23">
        <v>95.24</v>
      </c>
      <c r="Q3900" s="4">
        <f t="shared" si="60"/>
        <v>744.63565728685433</v>
      </c>
      <c r="R3900" s="23" t="s">
        <v>109</v>
      </c>
    </row>
    <row r="3901" spans="1:20" x14ac:dyDescent="0.25">
      <c r="A3901" s="21">
        <v>45804</v>
      </c>
      <c r="B3901" s="1">
        <v>135941177</v>
      </c>
      <c r="C3901" t="s">
        <v>6915</v>
      </c>
      <c r="D3901" s="22">
        <v>120642.41</v>
      </c>
      <c r="E3901" t="s">
        <v>46</v>
      </c>
      <c r="F3901" s="2">
        <v>110106001</v>
      </c>
      <c r="G3901" s="2" t="s">
        <v>2034</v>
      </c>
      <c r="L3901" s="2" t="s">
        <v>6916</v>
      </c>
      <c r="N3901" t="s">
        <v>6917</v>
      </c>
      <c r="P3901" s="23">
        <v>95.24</v>
      </c>
      <c r="Q3901" s="4">
        <f t="shared" si="60"/>
        <v>1266.7199706005881</v>
      </c>
      <c r="R3901" s="23" t="s">
        <v>109</v>
      </c>
    </row>
    <row r="3902" spans="1:20" x14ac:dyDescent="0.25">
      <c r="A3902" s="21">
        <v>45804</v>
      </c>
      <c r="B3902" s="1">
        <v>50578616</v>
      </c>
      <c r="C3902" t="s">
        <v>6904</v>
      </c>
      <c r="D3902" s="22">
        <v>50793.59</v>
      </c>
      <c r="E3902" t="s">
        <v>46</v>
      </c>
      <c r="F3902" s="2">
        <v>110114001</v>
      </c>
      <c r="G3902" s="2" t="s">
        <v>301</v>
      </c>
      <c r="L3902" s="2" t="s">
        <v>6918</v>
      </c>
      <c r="N3902" t="s">
        <v>2353</v>
      </c>
      <c r="P3902" s="23">
        <v>95.24</v>
      </c>
      <c r="Q3902" s="4">
        <f t="shared" si="60"/>
        <v>533.32202855942876</v>
      </c>
      <c r="R3902" s="23" t="s">
        <v>109</v>
      </c>
    </row>
    <row r="3903" spans="1:20" x14ac:dyDescent="0.25">
      <c r="A3903" s="21">
        <v>45804</v>
      </c>
      <c r="B3903" s="1">
        <v>50578616</v>
      </c>
      <c r="C3903" t="s">
        <v>6904</v>
      </c>
      <c r="D3903" s="22">
        <v>18240.12</v>
      </c>
      <c r="E3903" t="s">
        <v>46</v>
      </c>
      <c r="F3903" s="2">
        <v>110114001</v>
      </c>
      <c r="G3903" s="2" t="s">
        <v>301</v>
      </c>
      <c r="L3903" s="2" t="s">
        <v>6919</v>
      </c>
      <c r="N3903" t="s">
        <v>2353</v>
      </c>
      <c r="P3903" s="23">
        <v>95.24</v>
      </c>
      <c r="Q3903" s="4">
        <f t="shared" si="60"/>
        <v>191.51742965140699</v>
      </c>
      <c r="R3903" s="23" t="s">
        <v>109</v>
      </c>
    </row>
    <row r="3904" spans="1:20" x14ac:dyDescent="0.25">
      <c r="A3904" s="21">
        <v>45804</v>
      </c>
      <c r="B3904" s="1">
        <v>313605711</v>
      </c>
      <c r="C3904" t="s">
        <v>6920</v>
      </c>
      <c r="D3904" s="22">
        <v>-5409.03</v>
      </c>
      <c r="E3904" t="s">
        <v>35</v>
      </c>
      <c r="F3904" s="2">
        <v>110114001</v>
      </c>
      <c r="G3904" s="2" t="s">
        <v>301</v>
      </c>
      <c r="L3904" s="2" t="s">
        <v>6921</v>
      </c>
      <c r="M3904" s="50" t="s">
        <v>1600</v>
      </c>
      <c r="N3904" s="50" t="s">
        <v>1601</v>
      </c>
      <c r="O3904" s="50"/>
      <c r="P3904" s="23">
        <v>95.24</v>
      </c>
      <c r="Q3904" s="4">
        <f t="shared" si="60"/>
        <v>-56.793679126417473</v>
      </c>
      <c r="R3904" s="23" t="s">
        <v>109</v>
      </c>
      <c r="S3904" s="33" t="s">
        <v>5309</v>
      </c>
    </row>
    <row r="3905" spans="1:20" x14ac:dyDescent="0.25">
      <c r="A3905" s="21">
        <v>45804</v>
      </c>
      <c r="B3905" s="1">
        <v>313605712</v>
      </c>
      <c r="C3905" t="s">
        <v>6922</v>
      </c>
      <c r="D3905" s="43">
        <v>-23688</v>
      </c>
      <c r="E3905" t="s">
        <v>35</v>
      </c>
      <c r="F3905" s="2">
        <v>110114001</v>
      </c>
      <c r="G3905" s="2" t="s">
        <v>301</v>
      </c>
      <c r="L3905" s="2" t="s">
        <v>6923</v>
      </c>
      <c r="M3905" t="s">
        <v>303</v>
      </c>
      <c r="N3905" t="s">
        <v>5305</v>
      </c>
      <c r="P3905" s="23">
        <v>95.24</v>
      </c>
      <c r="Q3905" s="4">
        <f t="shared" si="60"/>
        <v>-248.71902561948761</v>
      </c>
      <c r="R3905" s="23" t="s">
        <v>109</v>
      </c>
      <c r="S3905" s="33" t="s">
        <v>6924</v>
      </c>
    </row>
    <row r="3906" spans="1:20" x14ac:dyDescent="0.25">
      <c r="A3906" s="21">
        <v>45804</v>
      </c>
      <c r="B3906" s="1">
        <v>313605713</v>
      </c>
      <c r="C3906" t="s">
        <v>6925</v>
      </c>
      <c r="D3906" s="43">
        <v>-12373.58</v>
      </c>
      <c r="E3906" t="s">
        <v>35</v>
      </c>
      <c r="F3906" s="2">
        <v>110114001</v>
      </c>
      <c r="G3906" s="2" t="s">
        <v>301</v>
      </c>
      <c r="L3906" s="2" t="s">
        <v>6926</v>
      </c>
      <c r="M3906" t="s">
        <v>2912</v>
      </c>
      <c r="N3906" t="s">
        <v>2913</v>
      </c>
      <c r="P3906" s="23">
        <v>95.24</v>
      </c>
      <c r="Q3906" s="4">
        <f t="shared" si="60"/>
        <v>-129.919991600168</v>
      </c>
      <c r="R3906" s="23" t="s">
        <v>109</v>
      </c>
      <c r="S3906" s="33" t="s">
        <v>5309</v>
      </c>
    </row>
    <row r="3907" spans="1:20" x14ac:dyDescent="0.25">
      <c r="A3907" s="21">
        <v>45804</v>
      </c>
      <c r="B3907" s="1">
        <v>313605715</v>
      </c>
      <c r="C3907" t="s">
        <v>6927</v>
      </c>
      <c r="D3907" s="22">
        <v>-1833.96</v>
      </c>
      <c r="E3907" t="s">
        <v>35</v>
      </c>
      <c r="F3907" s="2">
        <v>110114001</v>
      </c>
      <c r="G3907" s="2" t="s">
        <v>301</v>
      </c>
      <c r="L3907" s="2" t="s">
        <v>6928</v>
      </c>
      <c r="M3907" s="50" t="s">
        <v>2912</v>
      </c>
      <c r="N3907" t="s">
        <v>2913</v>
      </c>
      <c r="P3907" s="23">
        <v>95.24</v>
      </c>
      <c r="Q3907" s="4">
        <f t="shared" si="60"/>
        <v>-19.25619487610248</v>
      </c>
      <c r="R3907" s="23" t="s">
        <v>109</v>
      </c>
      <c r="S3907" s="33" t="s">
        <v>5309</v>
      </c>
    </row>
    <row r="3908" spans="1:20" x14ac:dyDescent="0.25">
      <c r="A3908" s="21">
        <v>45804</v>
      </c>
      <c r="B3908" s="1">
        <v>313605714</v>
      </c>
      <c r="C3908" t="s">
        <v>6929</v>
      </c>
      <c r="D3908" s="22">
        <v>-22620</v>
      </c>
      <c r="E3908" t="s">
        <v>35</v>
      </c>
      <c r="F3908" s="2">
        <v>110114001</v>
      </c>
      <c r="G3908" s="2" t="s">
        <v>301</v>
      </c>
      <c r="L3908" s="2" t="s">
        <v>6930</v>
      </c>
      <c r="M3908" s="50" t="s">
        <v>1318</v>
      </c>
      <c r="N3908" s="50" t="s">
        <v>1319</v>
      </c>
      <c r="O3908" s="50"/>
      <c r="P3908" s="23">
        <v>95.24</v>
      </c>
      <c r="Q3908" s="4">
        <f t="shared" si="60"/>
        <v>-237.50524989500212</v>
      </c>
      <c r="R3908" s="23" t="s">
        <v>109</v>
      </c>
      <c r="S3908" s="33" t="s">
        <v>5309</v>
      </c>
    </row>
    <row r="3909" spans="1:20" x14ac:dyDescent="0.25">
      <c r="A3909" s="21">
        <v>45804</v>
      </c>
      <c r="B3909" s="1">
        <v>50578616</v>
      </c>
      <c r="C3909" t="s">
        <v>6931</v>
      </c>
      <c r="D3909" s="22">
        <v>-69033.710000000006</v>
      </c>
      <c r="E3909" t="s">
        <v>35</v>
      </c>
      <c r="F3909" s="2">
        <v>210101001</v>
      </c>
      <c r="G3909" s="2" t="s">
        <v>36</v>
      </c>
      <c r="L3909" s="2" t="s">
        <v>6932</v>
      </c>
      <c r="M3909" t="s">
        <v>3326</v>
      </c>
      <c r="N3909" t="s">
        <v>3327</v>
      </c>
      <c r="P3909" s="23">
        <v>95.24</v>
      </c>
      <c r="Q3909" s="4">
        <f t="shared" si="60"/>
        <v>-724.83945821083591</v>
      </c>
      <c r="R3909" s="23" t="s">
        <v>109</v>
      </c>
    </row>
    <row r="3910" spans="1:20" x14ac:dyDescent="0.25">
      <c r="A3910" s="21">
        <v>45804</v>
      </c>
      <c r="B3910" s="1">
        <v>50578616</v>
      </c>
      <c r="C3910" t="s">
        <v>296</v>
      </c>
      <c r="D3910" s="22">
        <v>-103.55</v>
      </c>
      <c r="E3910" t="s">
        <v>35</v>
      </c>
      <c r="F3910" s="2">
        <v>610148001</v>
      </c>
      <c r="G3910" s="2" t="s">
        <v>42</v>
      </c>
      <c r="L3910" s="2" t="s">
        <v>6933</v>
      </c>
      <c r="M3910" t="s">
        <v>43</v>
      </c>
      <c r="N3910" t="s">
        <v>42</v>
      </c>
      <c r="P3910" s="23">
        <v>95.24</v>
      </c>
      <c r="Q3910" s="4">
        <f t="shared" si="60"/>
        <v>-1.0872532549349014</v>
      </c>
      <c r="R3910" s="23" t="s">
        <v>109</v>
      </c>
      <c r="T3910" s="23" t="s">
        <v>6107</v>
      </c>
    </row>
    <row r="3911" spans="1:20" x14ac:dyDescent="0.25">
      <c r="A3911" s="21">
        <v>45804</v>
      </c>
      <c r="B3911" s="1">
        <v>50578616</v>
      </c>
      <c r="C3911" t="s">
        <v>118</v>
      </c>
      <c r="D3911" s="22">
        <v>-164.81</v>
      </c>
      <c r="E3911" t="s">
        <v>35</v>
      </c>
      <c r="F3911" s="2">
        <v>610148001</v>
      </c>
      <c r="G3911" s="2" t="s">
        <v>42</v>
      </c>
      <c r="L3911" s="2" t="s">
        <v>6934</v>
      </c>
      <c r="M3911" t="s">
        <v>43</v>
      </c>
      <c r="N3911" t="s">
        <v>42</v>
      </c>
      <c r="P3911" s="23">
        <v>95.24</v>
      </c>
      <c r="Q3911" s="4">
        <f t="shared" si="60"/>
        <v>-1.7304703905921883</v>
      </c>
      <c r="R3911" s="23" t="s">
        <v>109</v>
      </c>
      <c r="T3911" s="23" t="s">
        <v>6107</v>
      </c>
    </row>
    <row r="3912" spans="1:20" x14ac:dyDescent="0.25">
      <c r="A3912" s="21">
        <v>45804</v>
      </c>
      <c r="B3912" s="1">
        <v>150212783</v>
      </c>
      <c r="C3912" t="s">
        <v>6935</v>
      </c>
      <c r="D3912" s="22">
        <v>-18240.12</v>
      </c>
      <c r="E3912" t="s">
        <v>35</v>
      </c>
      <c r="F3912" s="2">
        <v>210101001</v>
      </c>
      <c r="G3912" s="2" t="s">
        <v>36</v>
      </c>
      <c r="L3912" s="2" t="s">
        <v>6936</v>
      </c>
      <c r="M3912" t="s">
        <v>3326</v>
      </c>
      <c r="N3912" t="s">
        <v>3327</v>
      </c>
      <c r="P3912" s="23">
        <v>95.24</v>
      </c>
      <c r="Q3912" s="4">
        <f t="shared" si="60"/>
        <v>-191.51742965140699</v>
      </c>
      <c r="R3912" s="23" t="s">
        <v>109</v>
      </c>
    </row>
    <row r="3913" spans="1:20" x14ac:dyDescent="0.25">
      <c r="A3913" s="21">
        <v>45804</v>
      </c>
      <c r="B3913" s="1">
        <v>150334294</v>
      </c>
      <c r="C3913" t="s">
        <v>6937</v>
      </c>
      <c r="D3913" s="22">
        <v>-50793.59</v>
      </c>
      <c r="E3913" t="s">
        <v>35</v>
      </c>
      <c r="F3913" s="2">
        <v>210101001</v>
      </c>
      <c r="G3913" s="2" t="s">
        <v>36</v>
      </c>
      <c r="L3913" s="2" t="s">
        <v>6938</v>
      </c>
      <c r="M3913" t="s">
        <v>742</v>
      </c>
      <c r="N3913" t="s">
        <v>743</v>
      </c>
      <c r="P3913" s="23">
        <v>95.24</v>
      </c>
      <c r="Q3913" s="4">
        <f t="shared" si="60"/>
        <v>-533.32202855942876</v>
      </c>
      <c r="R3913" s="23" t="s">
        <v>109</v>
      </c>
    </row>
    <row r="3914" spans="1:20" x14ac:dyDescent="0.25">
      <c r="A3914" s="21">
        <v>45805</v>
      </c>
      <c r="B3914" s="1">
        <v>60755721</v>
      </c>
      <c r="C3914" t="s">
        <v>967</v>
      </c>
      <c r="D3914" s="22">
        <v>-143.69999999999999</v>
      </c>
      <c r="E3914" t="s">
        <v>35</v>
      </c>
      <c r="F3914" s="2">
        <v>610148001</v>
      </c>
      <c r="G3914" s="2" t="s">
        <v>42</v>
      </c>
      <c r="L3914" s="2" t="s">
        <v>6939</v>
      </c>
      <c r="M3914" t="s">
        <v>43</v>
      </c>
      <c r="N3914" t="s">
        <v>42</v>
      </c>
      <c r="P3914" s="23">
        <v>95.81</v>
      </c>
      <c r="Q3914" s="4">
        <f t="shared" si="60"/>
        <v>-1.4998434401419474</v>
      </c>
      <c r="R3914" s="23" t="s">
        <v>109</v>
      </c>
      <c r="T3914" s="23" t="s">
        <v>6107</v>
      </c>
    </row>
    <row r="3915" spans="1:20" x14ac:dyDescent="0.25">
      <c r="A3915" s="21">
        <v>45807</v>
      </c>
      <c r="B3915" s="1">
        <v>813733455</v>
      </c>
      <c r="C3915" t="s">
        <v>6940</v>
      </c>
      <c r="D3915" s="22">
        <v>-15.6</v>
      </c>
      <c r="E3915" t="s">
        <v>35</v>
      </c>
      <c r="F3915" s="2">
        <v>210101001</v>
      </c>
      <c r="G3915" s="2" t="s">
        <v>5013</v>
      </c>
      <c r="L3915" s="2" t="s">
        <v>6941</v>
      </c>
      <c r="M3915" t="s">
        <v>114</v>
      </c>
      <c r="N3915" t="s">
        <v>115</v>
      </c>
      <c r="P3915" s="23">
        <v>96.86</v>
      </c>
      <c r="Q3915" s="4">
        <f t="shared" ref="Q3915:Q3978" si="61">D3915/P3915</f>
        <v>-0.16105719595292173</v>
      </c>
      <c r="R3915" s="23" t="s">
        <v>109</v>
      </c>
    </row>
    <row r="3916" spans="1:20" x14ac:dyDescent="0.25">
      <c r="A3916" s="21">
        <v>45807</v>
      </c>
      <c r="B3916" s="1">
        <v>813733455</v>
      </c>
      <c r="C3916" t="s">
        <v>306</v>
      </c>
      <c r="D3916" s="22">
        <v>-0.05</v>
      </c>
      <c r="E3916" t="s">
        <v>35</v>
      </c>
      <c r="F3916" s="2">
        <v>610148001</v>
      </c>
      <c r="G3916" s="2" t="s">
        <v>42</v>
      </c>
      <c r="L3916" s="2" t="s">
        <v>6942</v>
      </c>
      <c r="M3916" t="s">
        <v>43</v>
      </c>
      <c r="N3916" t="s">
        <v>42</v>
      </c>
      <c r="P3916" s="23">
        <v>96.86</v>
      </c>
      <c r="Q3916" s="4">
        <f t="shared" si="61"/>
        <v>-5.1620896138756969E-4</v>
      </c>
      <c r="R3916" s="23" t="s">
        <v>109</v>
      </c>
      <c r="T3916" s="23" t="s">
        <v>6107</v>
      </c>
    </row>
    <row r="3917" spans="1:20" x14ac:dyDescent="0.25">
      <c r="A3917" s="21">
        <v>45807</v>
      </c>
      <c r="B3917" s="1">
        <v>179119251</v>
      </c>
      <c r="C3917" t="s">
        <v>693</v>
      </c>
      <c r="D3917" s="22">
        <v>200000</v>
      </c>
      <c r="E3917" t="s">
        <v>46</v>
      </c>
      <c r="F3917" s="2">
        <v>210115002</v>
      </c>
      <c r="G3917" s="2" t="s">
        <v>47</v>
      </c>
      <c r="L3917" s="2" t="s">
        <v>6943</v>
      </c>
      <c r="N3917" t="s">
        <v>693</v>
      </c>
      <c r="P3917" s="23">
        <v>96.86</v>
      </c>
      <c r="Q3917" s="4">
        <f t="shared" si="61"/>
        <v>2064.8358455502789</v>
      </c>
      <c r="R3917" s="23" t="s">
        <v>109</v>
      </c>
    </row>
    <row r="3918" spans="1:20" x14ac:dyDescent="0.25">
      <c r="A3918" s="21">
        <v>45807</v>
      </c>
      <c r="B3918" s="1">
        <v>79119304</v>
      </c>
      <c r="C3918" t="s">
        <v>693</v>
      </c>
      <c r="D3918" s="22">
        <v>200000</v>
      </c>
      <c r="E3918" t="s">
        <v>46</v>
      </c>
      <c r="F3918" s="2">
        <v>210115002</v>
      </c>
      <c r="G3918" s="2" t="s">
        <v>47</v>
      </c>
      <c r="L3918" s="2" t="s">
        <v>6944</v>
      </c>
      <c r="N3918" t="s">
        <v>693</v>
      </c>
      <c r="P3918" s="23">
        <v>96.86</v>
      </c>
      <c r="Q3918" s="4">
        <f t="shared" si="61"/>
        <v>2064.8358455502789</v>
      </c>
      <c r="R3918" s="23" t="s">
        <v>109</v>
      </c>
    </row>
    <row r="3919" spans="1:20" x14ac:dyDescent="0.25">
      <c r="A3919" s="21">
        <v>45807</v>
      </c>
      <c r="B3919" s="1">
        <v>979119410</v>
      </c>
      <c r="C3919" t="s">
        <v>693</v>
      </c>
      <c r="D3919" s="22">
        <v>200000</v>
      </c>
      <c r="E3919" t="s">
        <v>46</v>
      </c>
      <c r="F3919" s="2">
        <v>210115002</v>
      </c>
      <c r="G3919" s="2" t="s">
        <v>47</v>
      </c>
      <c r="L3919" s="2" t="s">
        <v>6945</v>
      </c>
      <c r="N3919" t="s">
        <v>693</v>
      </c>
      <c r="P3919" s="23">
        <v>96.86</v>
      </c>
      <c r="Q3919" s="4">
        <f t="shared" si="61"/>
        <v>2064.8358455502789</v>
      </c>
      <c r="R3919" s="23" t="s">
        <v>109</v>
      </c>
    </row>
    <row r="3920" spans="1:20" x14ac:dyDescent="0.25">
      <c r="A3920" s="21">
        <v>45807</v>
      </c>
      <c r="B3920" s="1">
        <v>913744695</v>
      </c>
      <c r="C3920" t="s">
        <v>6946</v>
      </c>
      <c r="D3920" s="22">
        <v>-11623.2</v>
      </c>
      <c r="E3920" t="s">
        <v>35</v>
      </c>
      <c r="F3920" s="2">
        <v>212901001</v>
      </c>
      <c r="G3920" s="2" t="s">
        <v>121</v>
      </c>
      <c r="L3920" s="2" t="s">
        <v>6947</v>
      </c>
      <c r="M3920" t="s">
        <v>67</v>
      </c>
      <c r="N3920" t="s">
        <v>68</v>
      </c>
      <c r="P3920" s="23">
        <v>96.86</v>
      </c>
      <c r="Q3920" s="4">
        <f t="shared" si="61"/>
        <v>-120.00000000000001</v>
      </c>
      <c r="R3920" s="23" t="s">
        <v>109</v>
      </c>
    </row>
    <row r="3921" spans="1:18" x14ac:dyDescent="0.25">
      <c r="A3921" s="21">
        <v>45807</v>
      </c>
      <c r="B3921" s="1">
        <v>913744697</v>
      </c>
      <c r="C3921" t="s">
        <v>6948</v>
      </c>
      <c r="D3921" s="22">
        <v>-9686</v>
      </c>
      <c r="E3921" t="s">
        <v>35</v>
      </c>
      <c r="F3921" s="2">
        <v>212901001</v>
      </c>
      <c r="G3921" s="2" t="s">
        <v>121</v>
      </c>
      <c r="L3921" s="2" t="s">
        <v>6949</v>
      </c>
      <c r="M3921" t="s">
        <v>67</v>
      </c>
      <c r="N3921" t="s">
        <v>68</v>
      </c>
      <c r="P3921" s="23">
        <v>96.86</v>
      </c>
      <c r="Q3921" s="4">
        <f t="shared" si="61"/>
        <v>-100</v>
      </c>
      <c r="R3921" s="23" t="s">
        <v>109</v>
      </c>
    </row>
    <row r="3922" spans="1:18" x14ac:dyDescent="0.25">
      <c r="A3922" s="21">
        <v>45807</v>
      </c>
      <c r="B3922" s="1">
        <v>913744696</v>
      </c>
      <c r="C3922" t="s">
        <v>6950</v>
      </c>
      <c r="D3922" s="22">
        <v>-9686</v>
      </c>
      <c r="E3922" t="s">
        <v>35</v>
      </c>
      <c r="F3922" s="2">
        <v>212901001</v>
      </c>
      <c r="G3922" s="2" t="s">
        <v>121</v>
      </c>
      <c r="L3922" s="2" t="s">
        <v>6951</v>
      </c>
      <c r="M3922" t="s">
        <v>67</v>
      </c>
      <c r="N3922" t="s">
        <v>68</v>
      </c>
      <c r="P3922" s="23">
        <v>96.86</v>
      </c>
      <c r="Q3922" s="4">
        <f t="shared" si="61"/>
        <v>-100</v>
      </c>
      <c r="R3922" s="23" t="s">
        <v>109</v>
      </c>
    </row>
    <row r="3923" spans="1:18" x14ac:dyDescent="0.25">
      <c r="A3923" s="21">
        <v>45807</v>
      </c>
      <c r="B3923" s="1">
        <v>913744702</v>
      </c>
      <c r="C3923" t="s">
        <v>6952</v>
      </c>
      <c r="D3923" s="22">
        <v>-9686</v>
      </c>
      <c r="E3923" t="s">
        <v>35</v>
      </c>
      <c r="F3923" s="2">
        <v>212901001</v>
      </c>
      <c r="G3923" s="2" t="s">
        <v>121</v>
      </c>
      <c r="L3923" s="2" t="s">
        <v>6953</v>
      </c>
      <c r="M3923" t="s">
        <v>67</v>
      </c>
      <c r="N3923" t="s">
        <v>68</v>
      </c>
      <c r="P3923" s="23">
        <v>96.86</v>
      </c>
      <c r="Q3923" s="4">
        <f t="shared" si="61"/>
        <v>-100</v>
      </c>
      <c r="R3923" s="23" t="s">
        <v>109</v>
      </c>
    </row>
    <row r="3924" spans="1:18" x14ac:dyDescent="0.25">
      <c r="A3924" s="21">
        <v>45807</v>
      </c>
      <c r="B3924" s="1">
        <v>913744698</v>
      </c>
      <c r="C3924" t="s">
        <v>6954</v>
      </c>
      <c r="D3924" s="22">
        <v>-9686</v>
      </c>
      <c r="E3924" t="s">
        <v>35</v>
      </c>
      <c r="F3924" s="2">
        <v>212901001</v>
      </c>
      <c r="G3924" s="2" t="s">
        <v>121</v>
      </c>
      <c r="L3924" s="2" t="s">
        <v>6955</v>
      </c>
      <c r="M3924" t="s">
        <v>67</v>
      </c>
      <c r="N3924" t="s">
        <v>68</v>
      </c>
      <c r="P3924" s="23">
        <v>96.86</v>
      </c>
      <c r="Q3924" s="4">
        <f t="shared" si="61"/>
        <v>-100</v>
      </c>
      <c r="R3924" s="23" t="s">
        <v>109</v>
      </c>
    </row>
    <row r="3925" spans="1:18" x14ac:dyDescent="0.25">
      <c r="A3925" s="21">
        <v>45807</v>
      </c>
      <c r="B3925" s="1">
        <v>913744700</v>
      </c>
      <c r="C3925" t="s">
        <v>6956</v>
      </c>
      <c r="D3925" s="22">
        <v>-9686</v>
      </c>
      <c r="E3925" t="s">
        <v>35</v>
      </c>
      <c r="F3925" s="2">
        <v>212901001</v>
      </c>
      <c r="G3925" s="2" t="s">
        <v>121</v>
      </c>
      <c r="L3925" s="2" t="s">
        <v>6957</v>
      </c>
      <c r="M3925" t="s">
        <v>67</v>
      </c>
      <c r="N3925" t="s">
        <v>68</v>
      </c>
      <c r="P3925" s="23">
        <v>96.86</v>
      </c>
      <c r="Q3925" s="4">
        <f t="shared" si="61"/>
        <v>-100</v>
      </c>
      <c r="R3925" s="23" t="s">
        <v>109</v>
      </c>
    </row>
    <row r="3926" spans="1:18" x14ac:dyDescent="0.25">
      <c r="A3926" s="21">
        <v>45807</v>
      </c>
      <c r="B3926" s="1">
        <v>13744708</v>
      </c>
      <c r="C3926" t="s">
        <v>6958</v>
      </c>
      <c r="D3926" s="22">
        <v>-9686</v>
      </c>
      <c r="E3926" t="s">
        <v>35</v>
      </c>
      <c r="F3926" s="2">
        <v>212901001</v>
      </c>
      <c r="G3926" s="2" t="s">
        <v>121</v>
      </c>
      <c r="L3926" s="2" t="s">
        <v>6959</v>
      </c>
      <c r="M3926" t="s">
        <v>67</v>
      </c>
      <c r="N3926" t="s">
        <v>68</v>
      </c>
      <c r="P3926" s="23">
        <v>96.86</v>
      </c>
      <c r="Q3926" s="4">
        <f t="shared" si="61"/>
        <v>-100</v>
      </c>
      <c r="R3926" s="23" t="s">
        <v>109</v>
      </c>
    </row>
    <row r="3927" spans="1:18" x14ac:dyDescent="0.25">
      <c r="A3927" s="21">
        <v>45807</v>
      </c>
      <c r="B3927" s="1">
        <v>913744699</v>
      </c>
      <c r="C3927" t="s">
        <v>6960</v>
      </c>
      <c r="D3927" s="22">
        <v>-9686</v>
      </c>
      <c r="E3927" t="s">
        <v>35</v>
      </c>
      <c r="F3927" s="2">
        <v>212901001</v>
      </c>
      <c r="G3927" s="2" t="s">
        <v>121</v>
      </c>
      <c r="L3927" s="2" t="s">
        <v>6961</v>
      </c>
      <c r="M3927" t="s">
        <v>67</v>
      </c>
      <c r="N3927" t="s">
        <v>68</v>
      </c>
      <c r="P3927" s="23">
        <v>96.86</v>
      </c>
      <c r="Q3927" s="4">
        <f t="shared" si="61"/>
        <v>-100</v>
      </c>
      <c r="R3927" s="23" t="s">
        <v>109</v>
      </c>
    </row>
    <row r="3928" spans="1:18" x14ac:dyDescent="0.25">
      <c r="A3928" s="21">
        <v>45807</v>
      </c>
      <c r="B3928" s="1">
        <v>13744703</v>
      </c>
      <c r="C3928" t="s">
        <v>6962</v>
      </c>
      <c r="D3928" s="22">
        <v>-9686</v>
      </c>
      <c r="E3928" t="s">
        <v>35</v>
      </c>
      <c r="F3928" s="2">
        <v>212901001</v>
      </c>
      <c r="G3928" s="2" t="s">
        <v>121</v>
      </c>
      <c r="L3928" s="2" t="s">
        <v>6963</v>
      </c>
      <c r="M3928" t="s">
        <v>67</v>
      </c>
      <c r="N3928" t="s">
        <v>68</v>
      </c>
      <c r="P3928" s="23">
        <v>96.86</v>
      </c>
      <c r="Q3928" s="4">
        <f t="shared" si="61"/>
        <v>-100</v>
      </c>
      <c r="R3928" s="23" t="s">
        <v>109</v>
      </c>
    </row>
    <row r="3929" spans="1:18" x14ac:dyDescent="0.25">
      <c r="A3929" s="21">
        <v>45807</v>
      </c>
      <c r="B3929" s="1">
        <v>13744705</v>
      </c>
      <c r="C3929" t="s">
        <v>6964</v>
      </c>
      <c r="D3929" s="22">
        <v>-9686</v>
      </c>
      <c r="E3929" t="s">
        <v>35</v>
      </c>
      <c r="F3929" s="2">
        <v>212901001</v>
      </c>
      <c r="G3929" s="2" t="s">
        <v>121</v>
      </c>
      <c r="L3929" s="2" t="s">
        <v>6965</v>
      </c>
      <c r="M3929" t="s">
        <v>67</v>
      </c>
      <c r="N3929" t="s">
        <v>68</v>
      </c>
      <c r="P3929" s="23">
        <v>96.86</v>
      </c>
      <c r="Q3929" s="4">
        <f t="shared" si="61"/>
        <v>-100</v>
      </c>
      <c r="R3929" s="23" t="s">
        <v>109</v>
      </c>
    </row>
    <row r="3930" spans="1:18" x14ac:dyDescent="0.25">
      <c r="A3930" s="21">
        <v>45807</v>
      </c>
      <c r="B3930" s="1">
        <v>13744704</v>
      </c>
      <c r="C3930" t="s">
        <v>6966</v>
      </c>
      <c r="D3930" s="22">
        <v>-9686</v>
      </c>
      <c r="E3930" t="s">
        <v>35</v>
      </c>
      <c r="F3930" s="2">
        <v>212901001</v>
      </c>
      <c r="G3930" s="2" t="s">
        <v>121</v>
      </c>
      <c r="L3930" s="2" t="s">
        <v>6967</v>
      </c>
      <c r="M3930" t="s">
        <v>67</v>
      </c>
      <c r="N3930" t="s">
        <v>68</v>
      </c>
      <c r="P3930" s="23">
        <v>96.86</v>
      </c>
      <c r="Q3930" s="4">
        <f t="shared" si="61"/>
        <v>-100</v>
      </c>
      <c r="R3930" s="23" t="s">
        <v>109</v>
      </c>
    </row>
    <row r="3931" spans="1:18" x14ac:dyDescent="0.25">
      <c r="A3931" s="21">
        <v>45807</v>
      </c>
      <c r="B3931" s="1">
        <v>13744706</v>
      </c>
      <c r="C3931" t="s">
        <v>6968</v>
      </c>
      <c r="D3931" s="22">
        <v>-9686</v>
      </c>
      <c r="E3931" t="s">
        <v>35</v>
      </c>
      <c r="F3931" s="2">
        <v>212901001</v>
      </c>
      <c r="G3931" s="2" t="s">
        <v>121</v>
      </c>
      <c r="L3931" s="2" t="s">
        <v>6969</v>
      </c>
      <c r="M3931" t="s">
        <v>67</v>
      </c>
      <c r="N3931" t="s">
        <v>68</v>
      </c>
      <c r="P3931" s="23">
        <v>96.86</v>
      </c>
      <c r="Q3931" s="4">
        <f t="shared" si="61"/>
        <v>-100</v>
      </c>
      <c r="R3931" s="23" t="s">
        <v>109</v>
      </c>
    </row>
    <row r="3932" spans="1:18" x14ac:dyDescent="0.25">
      <c r="A3932" s="21">
        <v>45807</v>
      </c>
      <c r="B3932" s="1">
        <v>913744701</v>
      </c>
      <c r="C3932" t="s">
        <v>6970</v>
      </c>
      <c r="D3932" s="22">
        <v>-9686</v>
      </c>
      <c r="E3932" t="s">
        <v>35</v>
      </c>
      <c r="F3932" s="2">
        <v>212901001</v>
      </c>
      <c r="G3932" s="2" t="s">
        <v>121</v>
      </c>
      <c r="L3932" s="2" t="s">
        <v>6971</v>
      </c>
      <c r="M3932" t="s">
        <v>67</v>
      </c>
      <c r="N3932" t="s">
        <v>68</v>
      </c>
      <c r="P3932" s="23">
        <v>96.86</v>
      </c>
      <c r="Q3932" s="4">
        <f t="shared" si="61"/>
        <v>-100</v>
      </c>
      <c r="R3932" s="23" t="s">
        <v>109</v>
      </c>
    </row>
    <row r="3933" spans="1:18" x14ac:dyDescent="0.25">
      <c r="A3933" s="21">
        <v>45807</v>
      </c>
      <c r="B3933" s="1">
        <v>13744712</v>
      </c>
      <c r="C3933" t="s">
        <v>6972</v>
      </c>
      <c r="D3933" s="22">
        <v>-18403.400000000001</v>
      </c>
      <c r="E3933" t="s">
        <v>35</v>
      </c>
      <c r="F3933" s="2">
        <v>212901001</v>
      </c>
      <c r="G3933" s="2" t="s">
        <v>121</v>
      </c>
      <c r="L3933" s="2" t="s">
        <v>6973</v>
      </c>
      <c r="M3933" t="s">
        <v>67</v>
      </c>
      <c r="N3933" t="s">
        <v>68</v>
      </c>
      <c r="P3933" s="23">
        <v>96.86</v>
      </c>
      <c r="Q3933" s="4">
        <f t="shared" si="61"/>
        <v>-190.00000000000003</v>
      </c>
      <c r="R3933" s="23" t="s">
        <v>109</v>
      </c>
    </row>
    <row r="3934" spans="1:18" x14ac:dyDescent="0.25">
      <c r="A3934" s="21">
        <v>45807</v>
      </c>
      <c r="B3934" s="1">
        <v>13744711</v>
      </c>
      <c r="C3934" t="s">
        <v>6974</v>
      </c>
      <c r="D3934" s="22">
        <v>-9686</v>
      </c>
      <c r="E3934" t="s">
        <v>35</v>
      </c>
      <c r="F3934" s="2">
        <v>212901001</v>
      </c>
      <c r="G3934" s="2" t="s">
        <v>121</v>
      </c>
      <c r="L3934" s="2" t="s">
        <v>6975</v>
      </c>
      <c r="M3934" t="s">
        <v>67</v>
      </c>
      <c r="N3934" t="s">
        <v>68</v>
      </c>
      <c r="P3934" s="23">
        <v>96.86</v>
      </c>
      <c r="Q3934" s="4">
        <f t="shared" si="61"/>
        <v>-100</v>
      </c>
      <c r="R3934" s="23" t="s">
        <v>109</v>
      </c>
    </row>
    <row r="3935" spans="1:18" x14ac:dyDescent="0.25">
      <c r="A3935" s="21">
        <v>45807</v>
      </c>
      <c r="B3935" s="1">
        <v>113744716</v>
      </c>
      <c r="C3935" t="s">
        <v>6976</v>
      </c>
      <c r="D3935" s="22">
        <v>-11623.2</v>
      </c>
      <c r="E3935" t="s">
        <v>35</v>
      </c>
      <c r="F3935" s="2">
        <v>212901001</v>
      </c>
      <c r="G3935" s="2" t="s">
        <v>121</v>
      </c>
      <c r="L3935" s="2" t="s">
        <v>6977</v>
      </c>
      <c r="M3935" t="s">
        <v>67</v>
      </c>
      <c r="N3935" t="s">
        <v>68</v>
      </c>
      <c r="P3935" s="23">
        <v>96.86</v>
      </c>
      <c r="Q3935" s="4">
        <f t="shared" si="61"/>
        <v>-120.00000000000001</v>
      </c>
      <c r="R3935" s="23" t="s">
        <v>109</v>
      </c>
    </row>
    <row r="3936" spans="1:18" x14ac:dyDescent="0.25">
      <c r="A3936" s="21">
        <v>45807</v>
      </c>
      <c r="B3936" s="1">
        <v>113744720</v>
      </c>
      <c r="C3936" t="s">
        <v>6978</v>
      </c>
      <c r="D3936" s="22">
        <v>-11623.2</v>
      </c>
      <c r="E3936" t="s">
        <v>35</v>
      </c>
      <c r="F3936" s="2">
        <v>212901001</v>
      </c>
      <c r="G3936" s="2" t="s">
        <v>121</v>
      </c>
      <c r="L3936" s="2" t="s">
        <v>6979</v>
      </c>
      <c r="M3936" t="s">
        <v>67</v>
      </c>
      <c r="N3936" t="s">
        <v>68</v>
      </c>
      <c r="P3936" s="23">
        <v>96.86</v>
      </c>
      <c r="Q3936" s="4">
        <f t="shared" si="61"/>
        <v>-120.00000000000001</v>
      </c>
      <c r="R3936" s="23" t="s">
        <v>109</v>
      </c>
    </row>
    <row r="3937" spans="1:18" x14ac:dyDescent="0.25">
      <c r="A3937" s="21">
        <v>45807</v>
      </c>
      <c r="B3937" s="1">
        <v>13744715</v>
      </c>
      <c r="C3937" t="s">
        <v>6980</v>
      </c>
      <c r="D3937" s="22">
        <v>-11623.2</v>
      </c>
      <c r="E3937" t="s">
        <v>35</v>
      </c>
      <c r="F3937" s="2">
        <v>212901001</v>
      </c>
      <c r="G3937" s="2" t="s">
        <v>121</v>
      </c>
      <c r="L3937" s="2" t="s">
        <v>6981</v>
      </c>
      <c r="M3937" t="s">
        <v>67</v>
      </c>
      <c r="N3937" t="s">
        <v>68</v>
      </c>
      <c r="P3937" s="23">
        <v>96.86</v>
      </c>
      <c r="Q3937" s="4">
        <f t="shared" si="61"/>
        <v>-120.00000000000001</v>
      </c>
      <c r="R3937" s="23" t="s">
        <v>109</v>
      </c>
    </row>
    <row r="3938" spans="1:18" x14ac:dyDescent="0.25">
      <c r="A3938" s="21">
        <v>45807</v>
      </c>
      <c r="B3938" s="1">
        <v>113744718</v>
      </c>
      <c r="C3938" t="s">
        <v>6982</v>
      </c>
      <c r="D3938" s="22">
        <v>-11623.2</v>
      </c>
      <c r="E3938" t="s">
        <v>35</v>
      </c>
      <c r="F3938" s="2">
        <v>212901001</v>
      </c>
      <c r="G3938" s="2" t="s">
        <v>121</v>
      </c>
      <c r="L3938" s="2" t="s">
        <v>6983</v>
      </c>
      <c r="M3938" t="s">
        <v>67</v>
      </c>
      <c r="N3938" t="s">
        <v>68</v>
      </c>
      <c r="P3938" s="23">
        <v>96.86</v>
      </c>
      <c r="Q3938" s="4">
        <f t="shared" si="61"/>
        <v>-120.00000000000001</v>
      </c>
      <c r="R3938" s="23" t="s">
        <v>109</v>
      </c>
    </row>
    <row r="3939" spans="1:18" x14ac:dyDescent="0.25">
      <c r="A3939" s="21">
        <v>45807</v>
      </c>
      <c r="B3939" s="1">
        <v>113744719</v>
      </c>
      <c r="C3939" t="s">
        <v>6984</v>
      </c>
      <c r="D3939" s="22">
        <v>-11623.2</v>
      </c>
      <c r="E3939" t="s">
        <v>35</v>
      </c>
      <c r="F3939" s="2">
        <v>212901001</v>
      </c>
      <c r="G3939" s="2" t="s">
        <v>121</v>
      </c>
      <c r="L3939" s="2" t="s">
        <v>6985</v>
      </c>
      <c r="M3939" t="s">
        <v>67</v>
      </c>
      <c r="N3939" t="s">
        <v>68</v>
      </c>
      <c r="P3939" s="23">
        <v>96.86</v>
      </c>
      <c r="Q3939" s="4">
        <f t="shared" si="61"/>
        <v>-120.00000000000001</v>
      </c>
      <c r="R3939" s="23" t="s">
        <v>109</v>
      </c>
    </row>
    <row r="3940" spans="1:18" x14ac:dyDescent="0.25">
      <c r="A3940" s="21">
        <v>45807</v>
      </c>
      <c r="B3940" s="1">
        <v>13744713</v>
      </c>
      <c r="C3940" t="s">
        <v>6986</v>
      </c>
      <c r="D3940" s="22">
        <v>-13560.4</v>
      </c>
      <c r="E3940" t="s">
        <v>35</v>
      </c>
      <c r="F3940" s="2">
        <v>212901001</v>
      </c>
      <c r="G3940" s="2" t="s">
        <v>121</v>
      </c>
      <c r="L3940" s="2" t="s">
        <v>6987</v>
      </c>
      <c r="M3940" t="s">
        <v>67</v>
      </c>
      <c r="N3940" t="s">
        <v>68</v>
      </c>
      <c r="P3940" s="23">
        <v>96.86</v>
      </c>
      <c r="Q3940" s="4">
        <f t="shared" si="61"/>
        <v>-140</v>
      </c>
      <c r="R3940" s="23" t="s">
        <v>109</v>
      </c>
    </row>
    <row r="3941" spans="1:18" x14ac:dyDescent="0.25">
      <c r="A3941" s="21">
        <v>45807</v>
      </c>
      <c r="B3941" s="1">
        <v>13744707</v>
      </c>
      <c r="C3941" t="s">
        <v>6988</v>
      </c>
      <c r="D3941" s="22">
        <v>-9686</v>
      </c>
      <c r="E3941" t="s">
        <v>35</v>
      </c>
      <c r="F3941" s="2">
        <v>212901001</v>
      </c>
      <c r="G3941" s="2" t="s">
        <v>121</v>
      </c>
      <c r="L3941" s="2" t="s">
        <v>6989</v>
      </c>
      <c r="M3941" t="s">
        <v>67</v>
      </c>
      <c r="N3941" t="s">
        <v>68</v>
      </c>
      <c r="P3941" s="23">
        <v>96.86</v>
      </c>
      <c r="Q3941" s="4">
        <f t="shared" si="61"/>
        <v>-100</v>
      </c>
      <c r="R3941" s="23" t="s">
        <v>109</v>
      </c>
    </row>
    <row r="3942" spans="1:18" x14ac:dyDescent="0.25">
      <c r="A3942" s="21">
        <v>45807</v>
      </c>
      <c r="B3942" s="1">
        <v>13744709</v>
      </c>
      <c r="C3942" t="s">
        <v>6990</v>
      </c>
      <c r="D3942" s="22">
        <v>-9686</v>
      </c>
      <c r="E3942" t="s">
        <v>35</v>
      </c>
      <c r="F3942" s="2">
        <v>212901001</v>
      </c>
      <c r="G3942" s="2" t="s">
        <v>121</v>
      </c>
      <c r="L3942" s="2" t="s">
        <v>6991</v>
      </c>
      <c r="M3942" t="s">
        <v>67</v>
      </c>
      <c r="N3942" t="s">
        <v>68</v>
      </c>
      <c r="P3942" s="23">
        <v>96.86</v>
      </c>
      <c r="Q3942" s="4">
        <f t="shared" si="61"/>
        <v>-100</v>
      </c>
      <c r="R3942" s="23" t="s">
        <v>109</v>
      </c>
    </row>
    <row r="3943" spans="1:18" x14ac:dyDescent="0.25">
      <c r="A3943" s="21">
        <v>45807</v>
      </c>
      <c r="B3943" s="1">
        <v>113744717</v>
      </c>
      <c r="C3943" t="s">
        <v>6992</v>
      </c>
      <c r="D3943" s="22">
        <v>-11623.2</v>
      </c>
      <c r="E3943" t="s">
        <v>35</v>
      </c>
      <c r="F3943" s="2">
        <v>212901001</v>
      </c>
      <c r="G3943" s="2" t="s">
        <v>121</v>
      </c>
      <c r="L3943" s="2" t="s">
        <v>6993</v>
      </c>
      <c r="M3943" t="s">
        <v>67</v>
      </c>
      <c r="N3943" t="s">
        <v>68</v>
      </c>
      <c r="P3943" s="23">
        <v>96.86</v>
      </c>
      <c r="Q3943" s="4">
        <f t="shared" si="61"/>
        <v>-120.00000000000001</v>
      </c>
      <c r="R3943" s="23" t="s">
        <v>109</v>
      </c>
    </row>
    <row r="3944" spans="1:18" x14ac:dyDescent="0.25">
      <c r="A3944" s="21">
        <v>45807</v>
      </c>
      <c r="B3944" s="1">
        <v>113744722</v>
      </c>
      <c r="C3944" t="s">
        <v>6994</v>
      </c>
      <c r="D3944" s="22">
        <v>-7942.52</v>
      </c>
      <c r="E3944" t="s">
        <v>35</v>
      </c>
      <c r="F3944" s="2">
        <v>212901001</v>
      </c>
      <c r="G3944" s="2" t="s">
        <v>121</v>
      </c>
      <c r="L3944" s="2" t="s">
        <v>6995</v>
      </c>
      <c r="M3944" t="s">
        <v>67</v>
      </c>
      <c r="N3944" t="s">
        <v>68</v>
      </c>
      <c r="P3944" s="23">
        <v>96.86</v>
      </c>
      <c r="Q3944" s="4">
        <f t="shared" si="61"/>
        <v>-82</v>
      </c>
      <c r="R3944" s="23" t="s">
        <v>109</v>
      </c>
    </row>
    <row r="3945" spans="1:18" x14ac:dyDescent="0.25">
      <c r="A3945" s="21">
        <v>45807</v>
      </c>
      <c r="B3945" s="1">
        <v>113744726</v>
      </c>
      <c r="C3945" t="s">
        <v>6996</v>
      </c>
      <c r="D3945" s="22">
        <v>-8717.4</v>
      </c>
      <c r="E3945" t="s">
        <v>35</v>
      </c>
      <c r="F3945" s="2">
        <v>212901001</v>
      </c>
      <c r="G3945" s="2" t="s">
        <v>121</v>
      </c>
      <c r="L3945" s="2" t="s">
        <v>6997</v>
      </c>
      <c r="M3945" t="s">
        <v>67</v>
      </c>
      <c r="N3945" t="s">
        <v>68</v>
      </c>
      <c r="P3945" s="23">
        <v>96.86</v>
      </c>
      <c r="Q3945" s="4">
        <f t="shared" si="61"/>
        <v>-90</v>
      </c>
      <c r="R3945" s="23" t="s">
        <v>109</v>
      </c>
    </row>
    <row r="3946" spans="1:18" x14ac:dyDescent="0.25">
      <c r="A3946" s="21">
        <v>45807</v>
      </c>
      <c r="B3946" s="1">
        <v>113744724</v>
      </c>
      <c r="C3946" t="s">
        <v>6998</v>
      </c>
      <c r="D3946" s="22">
        <v>-8717.4</v>
      </c>
      <c r="E3946" t="s">
        <v>35</v>
      </c>
      <c r="F3946" s="2">
        <v>212901001</v>
      </c>
      <c r="G3946" s="2" t="s">
        <v>121</v>
      </c>
      <c r="L3946" s="2" t="s">
        <v>6999</v>
      </c>
      <c r="M3946" t="s">
        <v>67</v>
      </c>
      <c r="N3946" t="s">
        <v>68</v>
      </c>
      <c r="P3946" s="23">
        <v>96.86</v>
      </c>
      <c r="Q3946" s="4">
        <f t="shared" si="61"/>
        <v>-90</v>
      </c>
      <c r="R3946" s="23" t="s">
        <v>109</v>
      </c>
    </row>
    <row r="3947" spans="1:18" x14ac:dyDescent="0.25">
      <c r="A3947" s="21">
        <v>45807</v>
      </c>
      <c r="B3947" s="1">
        <v>213744727</v>
      </c>
      <c r="C3947" t="s">
        <v>7000</v>
      </c>
      <c r="D3947" s="22">
        <v>-8717.4</v>
      </c>
      <c r="E3947" t="s">
        <v>35</v>
      </c>
      <c r="F3947" s="2">
        <v>212901001</v>
      </c>
      <c r="G3947" s="2" t="s">
        <v>121</v>
      </c>
      <c r="L3947" s="2" t="s">
        <v>7001</v>
      </c>
      <c r="M3947" t="s">
        <v>67</v>
      </c>
      <c r="N3947" t="s">
        <v>68</v>
      </c>
      <c r="P3947" s="23">
        <v>96.86</v>
      </c>
      <c r="Q3947" s="4">
        <f t="shared" si="61"/>
        <v>-90</v>
      </c>
      <c r="R3947" s="23" t="s">
        <v>109</v>
      </c>
    </row>
    <row r="3948" spans="1:18" x14ac:dyDescent="0.25">
      <c r="A3948" s="21">
        <v>45807</v>
      </c>
      <c r="B3948" s="1">
        <v>213744731</v>
      </c>
      <c r="C3948" t="s">
        <v>7002</v>
      </c>
      <c r="D3948" s="22">
        <v>-7748.8</v>
      </c>
      <c r="E3948" t="s">
        <v>35</v>
      </c>
      <c r="F3948" s="2">
        <v>212901001</v>
      </c>
      <c r="G3948" s="2" t="s">
        <v>121</v>
      </c>
      <c r="L3948" s="2" t="s">
        <v>7003</v>
      </c>
      <c r="M3948" t="s">
        <v>67</v>
      </c>
      <c r="N3948" t="s">
        <v>68</v>
      </c>
      <c r="P3948" s="23">
        <v>96.86</v>
      </c>
      <c r="Q3948" s="4">
        <f t="shared" si="61"/>
        <v>-80</v>
      </c>
      <c r="R3948" s="23" t="s">
        <v>109</v>
      </c>
    </row>
    <row r="3949" spans="1:18" x14ac:dyDescent="0.25">
      <c r="A3949" s="21">
        <v>45807</v>
      </c>
      <c r="B3949" s="1">
        <v>113744725</v>
      </c>
      <c r="C3949" t="s">
        <v>7004</v>
      </c>
      <c r="D3949" s="22">
        <v>-7942.52</v>
      </c>
      <c r="E3949" t="s">
        <v>35</v>
      </c>
      <c r="F3949" s="2">
        <v>212901001</v>
      </c>
      <c r="G3949" s="2" t="s">
        <v>121</v>
      </c>
      <c r="L3949" s="2" t="s">
        <v>7005</v>
      </c>
      <c r="M3949" t="s">
        <v>67</v>
      </c>
      <c r="N3949" t="s">
        <v>68</v>
      </c>
      <c r="P3949" s="23">
        <v>96.86</v>
      </c>
      <c r="Q3949" s="4">
        <f t="shared" si="61"/>
        <v>-82</v>
      </c>
      <c r="R3949" s="23" t="s">
        <v>109</v>
      </c>
    </row>
    <row r="3950" spans="1:18" x14ac:dyDescent="0.25">
      <c r="A3950" s="21">
        <v>45807</v>
      </c>
      <c r="B3950" s="1">
        <v>213744728</v>
      </c>
      <c r="C3950" t="s">
        <v>7006</v>
      </c>
      <c r="D3950" s="22">
        <v>-7748.8</v>
      </c>
      <c r="E3950" t="s">
        <v>35</v>
      </c>
      <c r="F3950" s="2">
        <v>212901001</v>
      </c>
      <c r="G3950" s="2" t="s">
        <v>121</v>
      </c>
      <c r="L3950" s="2" t="s">
        <v>7007</v>
      </c>
      <c r="M3950" t="s">
        <v>67</v>
      </c>
      <c r="N3950" t="s">
        <v>68</v>
      </c>
      <c r="P3950" s="23">
        <v>96.86</v>
      </c>
      <c r="Q3950" s="4">
        <f t="shared" si="61"/>
        <v>-80</v>
      </c>
      <c r="R3950" s="23" t="s">
        <v>109</v>
      </c>
    </row>
    <row r="3951" spans="1:18" x14ac:dyDescent="0.25">
      <c r="A3951" s="21">
        <v>45807</v>
      </c>
      <c r="B3951" s="1">
        <v>213744730</v>
      </c>
      <c r="C3951" t="s">
        <v>7008</v>
      </c>
      <c r="D3951" s="22">
        <v>-7748.8</v>
      </c>
      <c r="E3951" t="s">
        <v>35</v>
      </c>
      <c r="F3951" s="2">
        <v>212901001</v>
      </c>
      <c r="G3951" s="2" t="s">
        <v>121</v>
      </c>
      <c r="L3951" s="2" t="s">
        <v>7009</v>
      </c>
      <c r="M3951" t="s">
        <v>67</v>
      </c>
      <c r="N3951" t="s">
        <v>68</v>
      </c>
      <c r="P3951" s="23">
        <v>96.86</v>
      </c>
      <c r="Q3951" s="4">
        <f t="shared" si="61"/>
        <v>-80</v>
      </c>
      <c r="R3951" s="23" t="s">
        <v>109</v>
      </c>
    </row>
    <row r="3952" spans="1:18" x14ac:dyDescent="0.25">
      <c r="A3952" s="21">
        <v>45807</v>
      </c>
      <c r="B3952" s="1">
        <v>313744737</v>
      </c>
      <c r="C3952" t="s">
        <v>7010</v>
      </c>
      <c r="D3952" s="22">
        <v>-13560.4</v>
      </c>
      <c r="E3952" t="s">
        <v>35</v>
      </c>
      <c r="F3952" s="2">
        <v>212901001</v>
      </c>
      <c r="G3952" s="2" t="s">
        <v>121</v>
      </c>
      <c r="L3952" s="2" t="s">
        <v>7011</v>
      </c>
      <c r="M3952" t="s">
        <v>67</v>
      </c>
      <c r="N3952" t="s">
        <v>68</v>
      </c>
      <c r="P3952" s="23">
        <v>96.86</v>
      </c>
      <c r="Q3952" s="4">
        <f t="shared" si="61"/>
        <v>-140</v>
      </c>
      <c r="R3952" s="23" t="s">
        <v>109</v>
      </c>
    </row>
    <row r="3953" spans="1:18" x14ac:dyDescent="0.25">
      <c r="A3953" s="21">
        <v>45807</v>
      </c>
      <c r="B3953" s="1">
        <v>213744732</v>
      </c>
      <c r="C3953" t="s">
        <v>7012</v>
      </c>
      <c r="D3953" s="22">
        <v>-7748.8</v>
      </c>
      <c r="E3953" t="s">
        <v>35</v>
      </c>
      <c r="F3953" s="2">
        <v>212901001</v>
      </c>
      <c r="G3953" s="2" t="s">
        <v>121</v>
      </c>
      <c r="L3953" s="2" t="s">
        <v>7013</v>
      </c>
      <c r="M3953" t="s">
        <v>67</v>
      </c>
      <c r="N3953" t="s">
        <v>68</v>
      </c>
      <c r="P3953" s="23">
        <v>96.86</v>
      </c>
      <c r="Q3953" s="4">
        <f t="shared" si="61"/>
        <v>-80</v>
      </c>
      <c r="R3953" s="23" t="s">
        <v>109</v>
      </c>
    </row>
    <row r="3954" spans="1:18" x14ac:dyDescent="0.25">
      <c r="A3954" s="21">
        <v>45807</v>
      </c>
      <c r="B3954" s="1">
        <v>313744738</v>
      </c>
      <c r="C3954" t="s">
        <v>7014</v>
      </c>
      <c r="D3954" s="22">
        <v>-18403.400000000001</v>
      </c>
      <c r="E3954" t="s">
        <v>35</v>
      </c>
      <c r="F3954" s="2">
        <v>212901001</v>
      </c>
      <c r="G3954" s="2" t="s">
        <v>121</v>
      </c>
      <c r="L3954" s="2" t="s">
        <v>7015</v>
      </c>
      <c r="M3954" t="s">
        <v>67</v>
      </c>
      <c r="N3954" t="s">
        <v>68</v>
      </c>
      <c r="P3954" s="23">
        <v>96.86</v>
      </c>
      <c r="Q3954" s="4">
        <f t="shared" si="61"/>
        <v>-190.00000000000003</v>
      </c>
      <c r="R3954" s="23" t="s">
        <v>109</v>
      </c>
    </row>
    <row r="3955" spans="1:18" x14ac:dyDescent="0.25">
      <c r="A3955" s="21">
        <v>45807</v>
      </c>
      <c r="B3955" s="1">
        <v>213744733</v>
      </c>
      <c r="C3955" t="s">
        <v>7016</v>
      </c>
      <c r="D3955" s="22">
        <v>-7748.8</v>
      </c>
      <c r="E3955" t="s">
        <v>35</v>
      </c>
      <c r="F3955" s="2">
        <v>212901001</v>
      </c>
      <c r="G3955" s="2" t="s">
        <v>121</v>
      </c>
      <c r="L3955" s="2" t="s">
        <v>7017</v>
      </c>
      <c r="M3955" t="s">
        <v>67</v>
      </c>
      <c r="N3955" t="s">
        <v>68</v>
      </c>
      <c r="P3955" s="23">
        <v>96.86</v>
      </c>
      <c r="Q3955" s="4">
        <f t="shared" si="61"/>
        <v>-80</v>
      </c>
      <c r="R3955" s="23" t="s">
        <v>109</v>
      </c>
    </row>
    <row r="3956" spans="1:18" x14ac:dyDescent="0.25">
      <c r="A3956" s="21">
        <v>45807</v>
      </c>
      <c r="B3956" s="1">
        <v>213744734</v>
      </c>
      <c r="C3956" t="s">
        <v>7018</v>
      </c>
      <c r="D3956" s="22">
        <v>-7748.8</v>
      </c>
      <c r="E3956" t="s">
        <v>35</v>
      </c>
      <c r="F3956" s="2">
        <v>212901001</v>
      </c>
      <c r="G3956" s="2" t="s">
        <v>121</v>
      </c>
      <c r="L3956" s="2" t="s">
        <v>7019</v>
      </c>
      <c r="M3956" t="s">
        <v>67</v>
      </c>
      <c r="N3956" t="s">
        <v>68</v>
      </c>
      <c r="P3956" s="23">
        <v>96.86</v>
      </c>
      <c r="Q3956" s="4">
        <f t="shared" si="61"/>
        <v>-80</v>
      </c>
      <c r="R3956" s="23" t="s">
        <v>109</v>
      </c>
    </row>
    <row r="3957" spans="1:18" x14ac:dyDescent="0.25">
      <c r="A3957" s="21">
        <v>45807</v>
      </c>
      <c r="B3957" s="1">
        <v>113744723</v>
      </c>
      <c r="C3957" t="s">
        <v>7020</v>
      </c>
      <c r="D3957" s="22">
        <v>-8717.4</v>
      </c>
      <c r="E3957" t="s">
        <v>35</v>
      </c>
      <c r="F3957" s="2">
        <v>212901001</v>
      </c>
      <c r="G3957" s="2" t="s">
        <v>121</v>
      </c>
      <c r="L3957" s="2" t="s">
        <v>7021</v>
      </c>
      <c r="M3957" t="s">
        <v>67</v>
      </c>
      <c r="N3957" t="s">
        <v>68</v>
      </c>
      <c r="P3957" s="23">
        <v>96.86</v>
      </c>
      <c r="Q3957" s="4">
        <f t="shared" si="61"/>
        <v>-90</v>
      </c>
      <c r="R3957" s="23" t="s">
        <v>109</v>
      </c>
    </row>
    <row r="3958" spans="1:18" x14ac:dyDescent="0.25">
      <c r="A3958" s="21">
        <v>45807</v>
      </c>
      <c r="B3958" s="1">
        <v>313744744</v>
      </c>
      <c r="C3958" t="s">
        <v>7022</v>
      </c>
      <c r="D3958" s="22">
        <v>-13560.4</v>
      </c>
      <c r="E3958" t="s">
        <v>35</v>
      </c>
      <c r="F3958" s="2">
        <v>212901001</v>
      </c>
      <c r="G3958" s="2" t="s">
        <v>121</v>
      </c>
      <c r="L3958" s="2" t="s">
        <v>7023</v>
      </c>
      <c r="M3958" t="s">
        <v>67</v>
      </c>
      <c r="N3958" t="s">
        <v>68</v>
      </c>
      <c r="P3958" s="23">
        <v>96.86</v>
      </c>
      <c r="Q3958" s="4">
        <f t="shared" si="61"/>
        <v>-140</v>
      </c>
      <c r="R3958" s="23" t="s">
        <v>109</v>
      </c>
    </row>
    <row r="3959" spans="1:18" x14ac:dyDescent="0.25">
      <c r="A3959" s="21">
        <v>45807</v>
      </c>
      <c r="B3959" s="1">
        <v>213744735</v>
      </c>
      <c r="C3959" t="s">
        <v>7024</v>
      </c>
      <c r="D3959" s="22">
        <v>-7748.8</v>
      </c>
      <c r="E3959" t="s">
        <v>35</v>
      </c>
      <c r="F3959" s="2">
        <v>212901001</v>
      </c>
      <c r="G3959" s="2" t="s">
        <v>121</v>
      </c>
      <c r="L3959" s="2" t="s">
        <v>7025</v>
      </c>
      <c r="M3959" t="s">
        <v>67</v>
      </c>
      <c r="N3959" t="s">
        <v>68</v>
      </c>
      <c r="P3959" s="23">
        <v>96.86</v>
      </c>
      <c r="Q3959" s="4">
        <f t="shared" si="61"/>
        <v>-80</v>
      </c>
      <c r="R3959" s="23" t="s">
        <v>109</v>
      </c>
    </row>
    <row r="3960" spans="1:18" x14ac:dyDescent="0.25">
      <c r="A3960" s="21">
        <v>45807</v>
      </c>
      <c r="B3960" s="1">
        <v>213744736</v>
      </c>
      <c r="C3960" t="s">
        <v>7026</v>
      </c>
      <c r="D3960" s="22">
        <v>-9686</v>
      </c>
      <c r="E3960" t="s">
        <v>35</v>
      </c>
      <c r="F3960" s="2">
        <v>212901001</v>
      </c>
      <c r="G3960" s="2" t="s">
        <v>121</v>
      </c>
      <c r="L3960" s="2" t="s">
        <v>7027</v>
      </c>
      <c r="M3960" t="s">
        <v>67</v>
      </c>
      <c r="N3960" t="s">
        <v>68</v>
      </c>
      <c r="P3960" s="23">
        <v>96.86</v>
      </c>
      <c r="Q3960" s="4">
        <f t="shared" si="61"/>
        <v>-100</v>
      </c>
      <c r="R3960" s="23" t="s">
        <v>109</v>
      </c>
    </row>
    <row r="3961" spans="1:18" x14ac:dyDescent="0.25">
      <c r="A3961" s="21">
        <v>45807</v>
      </c>
      <c r="B3961" s="1">
        <v>313744747</v>
      </c>
      <c r="C3961" t="s">
        <v>7028</v>
      </c>
      <c r="D3961" s="22">
        <v>-10654.6</v>
      </c>
      <c r="E3961" t="s">
        <v>35</v>
      </c>
      <c r="F3961" s="2">
        <v>212901001</v>
      </c>
      <c r="G3961" s="2" t="s">
        <v>121</v>
      </c>
      <c r="L3961" s="2" t="s">
        <v>7029</v>
      </c>
      <c r="M3961" t="s">
        <v>67</v>
      </c>
      <c r="N3961" t="s">
        <v>68</v>
      </c>
      <c r="P3961" s="23">
        <v>96.86</v>
      </c>
      <c r="Q3961" s="4">
        <f t="shared" si="61"/>
        <v>-110</v>
      </c>
      <c r="R3961" s="23" t="s">
        <v>109</v>
      </c>
    </row>
    <row r="3962" spans="1:18" x14ac:dyDescent="0.25">
      <c r="A3962" s="21">
        <v>45807</v>
      </c>
      <c r="B3962" s="1">
        <v>313744742</v>
      </c>
      <c r="C3962" t="s">
        <v>7030</v>
      </c>
      <c r="D3962" s="22">
        <v>-14529</v>
      </c>
      <c r="E3962" t="s">
        <v>35</v>
      </c>
      <c r="F3962" s="2">
        <v>212901001</v>
      </c>
      <c r="G3962" s="2" t="s">
        <v>121</v>
      </c>
      <c r="L3962" s="2" t="s">
        <v>7031</v>
      </c>
      <c r="M3962" t="s">
        <v>67</v>
      </c>
      <c r="N3962" t="s">
        <v>68</v>
      </c>
      <c r="P3962" s="23">
        <v>96.86</v>
      </c>
      <c r="Q3962" s="4">
        <f t="shared" si="61"/>
        <v>-150</v>
      </c>
      <c r="R3962" s="23" t="s">
        <v>109</v>
      </c>
    </row>
    <row r="3963" spans="1:18" x14ac:dyDescent="0.25">
      <c r="A3963" s="21">
        <v>45807</v>
      </c>
      <c r="B3963" s="1">
        <v>313744739</v>
      </c>
      <c r="C3963" t="s">
        <v>7032</v>
      </c>
      <c r="D3963" s="22">
        <v>-6780.2</v>
      </c>
      <c r="E3963" t="s">
        <v>35</v>
      </c>
      <c r="F3963" s="2">
        <v>212901001</v>
      </c>
      <c r="G3963" s="2" t="s">
        <v>121</v>
      </c>
      <c r="L3963" s="2" t="s">
        <v>7033</v>
      </c>
      <c r="M3963" t="s">
        <v>67</v>
      </c>
      <c r="N3963" t="s">
        <v>68</v>
      </c>
      <c r="P3963" s="23">
        <v>96.86</v>
      </c>
      <c r="Q3963" s="4">
        <f t="shared" si="61"/>
        <v>-70</v>
      </c>
      <c r="R3963" s="23" t="s">
        <v>109</v>
      </c>
    </row>
    <row r="3964" spans="1:18" x14ac:dyDescent="0.25">
      <c r="A3964" s="21">
        <v>45807</v>
      </c>
      <c r="B3964" s="1">
        <v>313744745</v>
      </c>
      <c r="C3964" t="s">
        <v>7034</v>
      </c>
      <c r="D3964" s="22">
        <v>-6392.76</v>
      </c>
      <c r="E3964" t="s">
        <v>35</v>
      </c>
      <c r="F3964" s="2">
        <v>212901001</v>
      </c>
      <c r="G3964" s="2" t="s">
        <v>121</v>
      </c>
      <c r="L3964" s="2" t="s">
        <v>7035</v>
      </c>
      <c r="M3964" t="s">
        <v>67</v>
      </c>
      <c r="N3964" t="s">
        <v>68</v>
      </c>
      <c r="P3964" s="23">
        <v>96.86</v>
      </c>
      <c r="Q3964" s="4">
        <f t="shared" si="61"/>
        <v>-66</v>
      </c>
      <c r="R3964" s="23" t="s">
        <v>109</v>
      </c>
    </row>
    <row r="3965" spans="1:18" x14ac:dyDescent="0.25">
      <c r="A3965" s="21">
        <v>45807</v>
      </c>
      <c r="B3965" s="1">
        <v>313744743</v>
      </c>
      <c r="C3965" t="s">
        <v>7036</v>
      </c>
      <c r="D3965" s="22">
        <v>-11623.2</v>
      </c>
      <c r="E3965" t="s">
        <v>35</v>
      </c>
      <c r="F3965" s="2">
        <v>212901001</v>
      </c>
      <c r="G3965" s="2" t="s">
        <v>121</v>
      </c>
      <c r="L3965" s="2" t="s">
        <v>7037</v>
      </c>
      <c r="M3965" t="s">
        <v>67</v>
      </c>
      <c r="N3965" t="s">
        <v>68</v>
      </c>
      <c r="P3965" s="23">
        <v>96.86</v>
      </c>
      <c r="Q3965" s="4">
        <f t="shared" si="61"/>
        <v>-120.00000000000001</v>
      </c>
      <c r="R3965" s="23" t="s">
        <v>109</v>
      </c>
    </row>
    <row r="3966" spans="1:18" x14ac:dyDescent="0.25">
      <c r="A3966" s="21">
        <v>45807</v>
      </c>
      <c r="B3966" s="1">
        <v>313744749</v>
      </c>
      <c r="C3966" t="s">
        <v>7038</v>
      </c>
      <c r="D3966" s="22">
        <v>-7942.52</v>
      </c>
      <c r="E3966" t="s">
        <v>35</v>
      </c>
      <c r="F3966" s="2">
        <v>212901001</v>
      </c>
      <c r="G3966" s="2" t="s">
        <v>121</v>
      </c>
      <c r="L3966" s="2" t="s">
        <v>7039</v>
      </c>
      <c r="M3966" t="s">
        <v>67</v>
      </c>
      <c r="N3966" t="s">
        <v>68</v>
      </c>
      <c r="P3966" s="23">
        <v>96.86</v>
      </c>
      <c r="Q3966" s="4">
        <f t="shared" si="61"/>
        <v>-82</v>
      </c>
      <c r="R3966" s="23" t="s">
        <v>109</v>
      </c>
    </row>
    <row r="3967" spans="1:18" x14ac:dyDescent="0.25">
      <c r="A3967" s="21">
        <v>45807</v>
      </c>
      <c r="B3967" s="1">
        <v>313744746</v>
      </c>
      <c r="C3967" t="s">
        <v>7040</v>
      </c>
      <c r="D3967" s="22">
        <v>-10654.6</v>
      </c>
      <c r="E3967" t="s">
        <v>35</v>
      </c>
      <c r="F3967" s="2">
        <v>212901001</v>
      </c>
      <c r="G3967" s="2" t="s">
        <v>121</v>
      </c>
      <c r="L3967" s="2" t="s">
        <v>7041</v>
      </c>
      <c r="M3967" t="s">
        <v>67</v>
      </c>
      <c r="N3967" t="s">
        <v>68</v>
      </c>
      <c r="P3967" s="23">
        <v>96.86</v>
      </c>
      <c r="Q3967" s="4">
        <f t="shared" si="61"/>
        <v>-110</v>
      </c>
      <c r="R3967" s="23" t="s">
        <v>109</v>
      </c>
    </row>
    <row r="3968" spans="1:18" x14ac:dyDescent="0.25">
      <c r="A3968" s="21">
        <v>45807</v>
      </c>
      <c r="B3968" s="1">
        <v>413744750</v>
      </c>
      <c r="C3968" t="s">
        <v>7042</v>
      </c>
      <c r="D3968" s="22">
        <v>-10654.6</v>
      </c>
      <c r="E3968" t="s">
        <v>35</v>
      </c>
      <c r="F3968" s="2">
        <v>212901001</v>
      </c>
      <c r="G3968" s="2" t="s">
        <v>121</v>
      </c>
      <c r="L3968" s="2" t="s">
        <v>7043</v>
      </c>
      <c r="M3968" t="s">
        <v>67</v>
      </c>
      <c r="N3968" t="s">
        <v>68</v>
      </c>
      <c r="P3968" s="23">
        <v>96.86</v>
      </c>
      <c r="Q3968" s="4">
        <f t="shared" si="61"/>
        <v>-110</v>
      </c>
      <c r="R3968" s="23" t="s">
        <v>109</v>
      </c>
    </row>
    <row r="3969" spans="1:18" x14ac:dyDescent="0.25">
      <c r="A3969" s="21">
        <v>45807</v>
      </c>
      <c r="B3969" s="1">
        <v>313744748</v>
      </c>
      <c r="C3969" t="s">
        <v>7044</v>
      </c>
      <c r="D3969" s="22">
        <v>-10654.6</v>
      </c>
      <c r="E3969" t="s">
        <v>35</v>
      </c>
      <c r="F3969" s="2">
        <v>212901001</v>
      </c>
      <c r="G3969" s="2" t="s">
        <v>121</v>
      </c>
      <c r="L3969" s="2" t="s">
        <v>7045</v>
      </c>
      <c r="M3969" t="s">
        <v>67</v>
      </c>
      <c r="N3969" t="s">
        <v>68</v>
      </c>
      <c r="P3969" s="23">
        <v>96.86</v>
      </c>
      <c r="Q3969" s="4">
        <f t="shared" si="61"/>
        <v>-110</v>
      </c>
      <c r="R3969" s="23" t="s">
        <v>109</v>
      </c>
    </row>
    <row r="3970" spans="1:18" x14ac:dyDescent="0.25">
      <c r="A3970" s="21">
        <v>45807</v>
      </c>
      <c r="B3970" s="1">
        <v>413744751</v>
      </c>
      <c r="C3970" t="s">
        <v>7046</v>
      </c>
      <c r="D3970" s="22">
        <v>-8717.4</v>
      </c>
      <c r="E3970" t="s">
        <v>35</v>
      </c>
      <c r="F3970" s="2">
        <v>212901001</v>
      </c>
      <c r="G3970" s="2" t="s">
        <v>121</v>
      </c>
      <c r="L3970" s="2" t="s">
        <v>7047</v>
      </c>
      <c r="M3970" t="s">
        <v>67</v>
      </c>
      <c r="N3970" t="s">
        <v>68</v>
      </c>
      <c r="P3970" s="23">
        <v>96.86</v>
      </c>
      <c r="Q3970" s="4">
        <f t="shared" si="61"/>
        <v>-90</v>
      </c>
      <c r="R3970" s="23" t="s">
        <v>109</v>
      </c>
    </row>
    <row r="3971" spans="1:18" x14ac:dyDescent="0.25">
      <c r="A3971" s="21">
        <v>45807</v>
      </c>
      <c r="B3971" s="1">
        <v>413744752</v>
      </c>
      <c r="C3971" t="s">
        <v>7048</v>
      </c>
      <c r="D3971" s="22">
        <v>-8717.4</v>
      </c>
      <c r="E3971" t="s">
        <v>35</v>
      </c>
      <c r="F3971" s="2">
        <v>212901001</v>
      </c>
      <c r="G3971" s="2" t="s">
        <v>121</v>
      </c>
      <c r="L3971" s="2" t="s">
        <v>7049</v>
      </c>
      <c r="M3971" t="s">
        <v>67</v>
      </c>
      <c r="N3971" t="s">
        <v>68</v>
      </c>
      <c r="P3971" s="23">
        <v>96.86</v>
      </c>
      <c r="Q3971" s="4">
        <f t="shared" si="61"/>
        <v>-90</v>
      </c>
      <c r="R3971" s="23" t="s">
        <v>109</v>
      </c>
    </row>
    <row r="3972" spans="1:18" x14ac:dyDescent="0.25">
      <c r="A3972" s="21">
        <v>45807</v>
      </c>
      <c r="B3972" s="1">
        <v>413744753</v>
      </c>
      <c r="C3972" t="s">
        <v>7050</v>
      </c>
      <c r="D3972" s="22">
        <v>-8717.4</v>
      </c>
      <c r="E3972" t="s">
        <v>35</v>
      </c>
      <c r="F3972" s="2">
        <v>212901001</v>
      </c>
      <c r="G3972" s="2" t="s">
        <v>121</v>
      </c>
      <c r="L3972" s="2" t="s">
        <v>7051</v>
      </c>
      <c r="M3972" t="s">
        <v>67</v>
      </c>
      <c r="N3972" t="s">
        <v>68</v>
      </c>
      <c r="P3972" s="23">
        <v>96.86</v>
      </c>
      <c r="Q3972" s="4">
        <f t="shared" si="61"/>
        <v>-90</v>
      </c>
      <c r="R3972" s="23" t="s">
        <v>109</v>
      </c>
    </row>
    <row r="3973" spans="1:18" x14ac:dyDescent="0.25">
      <c r="A3973" s="21">
        <v>45807</v>
      </c>
      <c r="B3973" s="1">
        <v>413744754</v>
      </c>
      <c r="C3973" t="s">
        <v>7052</v>
      </c>
      <c r="D3973" s="22">
        <v>-8717.4</v>
      </c>
      <c r="E3973" t="s">
        <v>35</v>
      </c>
      <c r="F3973" s="2">
        <v>212901001</v>
      </c>
      <c r="G3973" s="2" t="s">
        <v>121</v>
      </c>
      <c r="L3973" s="2" t="s">
        <v>7053</v>
      </c>
      <c r="M3973" t="s">
        <v>67</v>
      </c>
      <c r="N3973" t="s">
        <v>68</v>
      </c>
      <c r="P3973" s="23">
        <v>96.86</v>
      </c>
      <c r="Q3973" s="4">
        <f t="shared" si="61"/>
        <v>-90</v>
      </c>
      <c r="R3973" s="23" t="s">
        <v>109</v>
      </c>
    </row>
    <row r="3974" spans="1:18" x14ac:dyDescent="0.25">
      <c r="A3974" s="21">
        <v>45807</v>
      </c>
      <c r="B3974" s="1">
        <v>513744761</v>
      </c>
      <c r="C3974" t="s">
        <v>7044</v>
      </c>
      <c r="D3974" s="22">
        <v>-8717.4</v>
      </c>
      <c r="E3974" t="s">
        <v>35</v>
      </c>
      <c r="F3974" s="2">
        <v>212901001</v>
      </c>
      <c r="G3974" s="2" t="s">
        <v>121</v>
      </c>
      <c r="L3974" s="2" t="s">
        <v>7054</v>
      </c>
      <c r="M3974" t="s">
        <v>67</v>
      </c>
      <c r="N3974" t="s">
        <v>68</v>
      </c>
      <c r="P3974" s="23">
        <v>96.86</v>
      </c>
      <c r="Q3974" s="4">
        <f t="shared" si="61"/>
        <v>-90</v>
      </c>
      <c r="R3974" s="23" t="s">
        <v>109</v>
      </c>
    </row>
    <row r="3975" spans="1:18" x14ac:dyDescent="0.25">
      <c r="A3975" s="21">
        <v>45807</v>
      </c>
      <c r="B3975" s="1">
        <v>413744755</v>
      </c>
      <c r="C3975" t="s">
        <v>7055</v>
      </c>
      <c r="D3975" s="22">
        <v>-8717.4</v>
      </c>
      <c r="E3975" t="s">
        <v>35</v>
      </c>
      <c r="F3975" s="2">
        <v>212901001</v>
      </c>
      <c r="G3975" s="2" t="s">
        <v>121</v>
      </c>
      <c r="L3975" s="2" t="s">
        <v>7056</v>
      </c>
      <c r="M3975" t="s">
        <v>67</v>
      </c>
      <c r="N3975" t="s">
        <v>68</v>
      </c>
      <c r="P3975" s="23">
        <v>96.86</v>
      </c>
      <c r="Q3975" s="4">
        <f t="shared" si="61"/>
        <v>-90</v>
      </c>
      <c r="R3975" s="23" t="s">
        <v>109</v>
      </c>
    </row>
    <row r="3976" spans="1:18" x14ac:dyDescent="0.25">
      <c r="A3976" s="21">
        <v>45807</v>
      </c>
      <c r="B3976" s="1">
        <v>413744756</v>
      </c>
      <c r="C3976" t="s">
        <v>7057</v>
      </c>
      <c r="D3976" s="22">
        <v>-8717.4</v>
      </c>
      <c r="E3976" t="s">
        <v>35</v>
      </c>
      <c r="F3976" s="2">
        <v>212901001</v>
      </c>
      <c r="G3976" s="2" t="s">
        <v>121</v>
      </c>
      <c r="L3976" s="2" t="s">
        <v>7058</v>
      </c>
      <c r="M3976" t="s">
        <v>67</v>
      </c>
      <c r="N3976" t="s">
        <v>68</v>
      </c>
      <c r="P3976" s="23">
        <v>96.86</v>
      </c>
      <c r="Q3976" s="4">
        <f t="shared" si="61"/>
        <v>-90</v>
      </c>
      <c r="R3976" s="23" t="s">
        <v>109</v>
      </c>
    </row>
    <row r="3977" spans="1:18" x14ac:dyDescent="0.25">
      <c r="A3977" s="21">
        <v>45807</v>
      </c>
      <c r="B3977" s="1">
        <v>513744764</v>
      </c>
      <c r="C3977" t="s">
        <v>7059</v>
      </c>
      <c r="D3977" s="22">
        <v>-8717.4</v>
      </c>
      <c r="E3977" t="s">
        <v>35</v>
      </c>
      <c r="F3977" s="2">
        <v>212901001</v>
      </c>
      <c r="G3977" s="2" t="s">
        <v>121</v>
      </c>
      <c r="L3977" s="2" t="s">
        <v>7060</v>
      </c>
      <c r="M3977" t="s">
        <v>67</v>
      </c>
      <c r="N3977" t="s">
        <v>68</v>
      </c>
      <c r="P3977" s="23">
        <v>96.86</v>
      </c>
      <c r="Q3977" s="4">
        <f t="shared" si="61"/>
        <v>-90</v>
      </c>
      <c r="R3977" s="23" t="s">
        <v>109</v>
      </c>
    </row>
    <row r="3978" spans="1:18" x14ac:dyDescent="0.25">
      <c r="A3978" s="21">
        <v>45807</v>
      </c>
      <c r="B3978" s="1">
        <v>413744758</v>
      </c>
      <c r="C3978" t="s">
        <v>7061</v>
      </c>
      <c r="D3978" s="22">
        <v>-8717.4</v>
      </c>
      <c r="E3978" t="s">
        <v>35</v>
      </c>
      <c r="F3978" s="2">
        <v>212901001</v>
      </c>
      <c r="G3978" s="2" t="s">
        <v>121</v>
      </c>
      <c r="L3978" s="2" t="s">
        <v>7062</v>
      </c>
      <c r="M3978" t="s">
        <v>67</v>
      </c>
      <c r="N3978" t="s">
        <v>68</v>
      </c>
      <c r="P3978" s="23">
        <v>96.86</v>
      </c>
      <c r="Q3978" s="4">
        <f t="shared" si="61"/>
        <v>-90</v>
      </c>
      <c r="R3978" s="23" t="s">
        <v>109</v>
      </c>
    </row>
    <row r="3979" spans="1:18" x14ac:dyDescent="0.25">
      <c r="A3979" s="21">
        <v>45807</v>
      </c>
      <c r="B3979" s="1">
        <v>513744765</v>
      </c>
      <c r="C3979" t="s">
        <v>7063</v>
      </c>
      <c r="D3979" s="22">
        <v>-7942.52</v>
      </c>
      <c r="E3979" t="s">
        <v>35</v>
      </c>
      <c r="F3979" s="2">
        <v>212901001</v>
      </c>
      <c r="G3979" s="2" t="s">
        <v>121</v>
      </c>
      <c r="L3979" s="2" t="s">
        <v>7064</v>
      </c>
      <c r="M3979" t="s">
        <v>67</v>
      </c>
      <c r="N3979" t="s">
        <v>68</v>
      </c>
      <c r="P3979" s="23">
        <v>96.86</v>
      </c>
      <c r="Q3979" s="4">
        <f t="shared" ref="Q3979:Q4042" si="62">D3979/P3979</f>
        <v>-82</v>
      </c>
      <c r="R3979" s="23" t="s">
        <v>109</v>
      </c>
    </row>
    <row r="3980" spans="1:18" x14ac:dyDescent="0.25">
      <c r="A3980" s="21">
        <v>45807</v>
      </c>
      <c r="B3980" s="1">
        <v>513744760</v>
      </c>
      <c r="C3980" t="s">
        <v>7065</v>
      </c>
      <c r="D3980" s="22">
        <v>-8717.4</v>
      </c>
      <c r="E3980" t="s">
        <v>35</v>
      </c>
      <c r="F3980" s="2">
        <v>212901001</v>
      </c>
      <c r="G3980" s="2" t="s">
        <v>121</v>
      </c>
      <c r="L3980" s="2" t="s">
        <v>7066</v>
      </c>
      <c r="M3980" t="s">
        <v>67</v>
      </c>
      <c r="N3980" t="s">
        <v>68</v>
      </c>
      <c r="P3980" s="23">
        <v>96.86</v>
      </c>
      <c r="Q3980" s="4">
        <f t="shared" si="62"/>
        <v>-90</v>
      </c>
      <c r="R3980" s="23" t="s">
        <v>109</v>
      </c>
    </row>
    <row r="3981" spans="1:18" x14ac:dyDescent="0.25">
      <c r="A3981" s="21">
        <v>45807</v>
      </c>
      <c r="B3981" s="1">
        <v>513744769</v>
      </c>
      <c r="C3981" t="s">
        <v>6126</v>
      </c>
      <c r="D3981" s="22">
        <v>-5811.6</v>
      </c>
      <c r="E3981" t="s">
        <v>35</v>
      </c>
      <c r="F3981" s="2">
        <v>212901001</v>
      </c>
      <c r="G3981" s="2" t="s">
        <v>121</v>
      </c>
      <c r="L3981" s="2" t="s">
        <v>7067</v>
      </c>
      <c r="M3981" t="s">
        <v>67</v>
      </c>
      <c r="N3981" t="s">
        <v>68</v>
      </c>
      <c r="P3981" s="23">
        <v>96.86</v>
      </c>
      <c r="Q3981" s="4">
        <f t="shared" si="62"/>
        <v>-60.000000000000007</v>
      </c>
      <c r="R3981" s="23" t="s">
        <v>109</v>
      </c>
    </row>
    <row r="3982" spans="1:18" x14ac:dyDescent="0.25">
      <c r="A3982" s="21">
        <v>45807</v>
      </c>
      <c r="B3982" s="1">
        <v>513744766</v>
      </c>
      <c r="C3982" t="s">
        <v>7068</v>
      </c>
      <c r="D3982" s="22">
        <v>-5811.6</v>
      </c>
      <c r="E3982" t="s">
        <v>35</v>
      </c>
      <c r="F3982" s="2">
        <v>212901001</v>
      </c>
      <c r="G3982" s="2" t="s">
        <v>121</v>
      </c>
      <c r="L3982" s="2" t="s">
        <v>7069</v>
      </c>
      <c r="M3982" t="s">
        <v>67</v>
      </c>
      <c r="N3982" t="s">
        <v>68</v>
      </c>
      <c r="P3982" s="23">
        <v>96.86</v>
      </c>
      <c r="Q3982" s="4">
        <f t="shared" si="62"/>
        <v>-60.000000000000007</v>
      </c>
      <c r="R3982" s="23" t="s">
        <v>109</v>
      </c>
    </row>
    <row r="3983" spans="1:18" x14ac:dyDescent="0.25">
      <c r="A3983" s="21">
        <v>45807</v>
      </c>
      <c r="B3983" s="1">
        <v>513744763</v>
      </c>
      <c r="C3983" t="s">
        <v>7070</v>
      </c>
      <c r="D3983" s="22">
        <v>-8717.4</v>
      </c>
      <c r="E3983" t="s">
        <v>35</v>
      </c>
      <c r="F3983" s="2">
        <v>212901001</v>
      </c>
      <c r="G3983" s="2" t="s">
        <v>121</v>
      </c>
      <c r="L3983" s="2" t="s">
        <v>7071</v>
      </c>
      <c r="M3983" t="s">
        <v>67</v>
      </c>
      <c r="N3983" t="s">
        <v>68</v>
      </c>
      <c r="P3983" s="23">
        <v>96.86</v>
      </c>
      <c r="Q3983" s="4">
        <f t="shared" si="62"/>
        <v>-90</v>
      </c>
      <c r="R3983" s="23" t="s">
        <v>109</v>
      </c>
    </row>
    <row r="3984" spans="1:18" x14ac:dyDescent="0.25">
      <c r="A3984" s="21">
        <v>45807</v>
      </c>
      <c r="B3984" s="1">
        <v>413744757</v>
      </c>
      <c r="C3984" t="s">
        <v>7072</v>
      </c>
      <c r="D3984" s="22">
        <v>-8717.4</v>
      </c>
      <c r="E3984" t="s">
        <v>35</v>
      </c>
      <c r="F3984" s="2">
        <v>212901001</v>
      </c>
      <c r="G3984" s="2" t="s">
        <v>121</v>
      </c>
      <c r="L3984" s="2" t="s">
        <v>7073</v>
      </c>
      <c r="M3984" t="s">
        <v>67</v>
      </c>
      <c r="N3984" t="s">
        <v>68</v>
      </c>
      <c r="P3984" s="23">
        <v>96.86</v>
      </c>
      <c r="Q3984" s="4">
        <f t="shared" si="62"/>
        <v>-90</v>
      </c>
      <c r="R3984" s="23" t="s">
        <v>109</v>
      </c>
    </row>
    <row r="3985" spans="1:20" x14ac:dyDescent="0.25">
      <c r="A3985" s="21">
        <v>45807</v>
      </c>
      <c r="B3985" s="1">
        <v>513744771</v>
      </c>
      <c r="C3985" t="s">
        <v>7074</v>
      </c>
      <c r="D3985" s="22">
        <v>-9686</v>
      </c>
      <c r="E3985" t="s">
        <v>35</v>
      </c>
      <c r="F3985" s="2">
        <v>212901001</v>
      </c>
      <c r="G3985" s="2" t="s">
        <v>121</v>
      </c>
      <c r="L3985" s="2" t="s">
        <v>7075</v>
      </c>
      <c r="M3985" t="s">
        <v>67</v>
      </c>
      <c r="N3985" t="s">
        <v>68</v>
      </c>
      <c r="P3985" s="23">
        <v>96.86</v>
      </c>
      <c r="Q3985" s="4">
        <f t="shared" si="62"/>
        <v>-100</v>
      </c>
      <c r="R3985" s="23" t="s">
        <v>109</v>
      </c>
    </row>
    <row r="3986" spans="1:20" x14ac:dyDescent="0.25">
      <c r="A3986" s="21">
        <v>45807</v>
      </c>
      <c r="B3986" s="1">
        <v>513744767</v>
      </c>
      <c r="C3986" t="s">
        <v>7076</v>
      </c>
      <c r="D3986" s="22">
        <v>-5811.6</v>
      </c>
      <c r="E3986" t="s">
        <v>35</v>
      </c>
      <c r="F3986" s="2">
        <v>212901001</v>
      </c>
      <c r="G3986" s="2" t="s">
        <v>121</v>
      </c>
      <c r="L3986" s="2" t="s">
        <v>7077</v>
      </c>
      <c r="M3986" t="s">
        <v>67</v>
      </c>
      <c r="N3986" t="s">
        <v>68</v>
      </c>
      <c r="P3986" s="23">
        <v>96.86</v>
      </c>
      <c r="Q3986" s="4">
        <f t="shared" si="62"/>
        <v>-60.000000000000007</v>
      </c>
      <c r="R3986" s="23" t="s">
        <v>109</v>
      </c>
    </row>
    <row r="3987" spans="1:20" x14ac:dyDescent="0.25">
      <c r="A3987" s="21">
        <v>45807</v>
      </c>
      <c r="B3987" s="1">
        <v>613744772</v>
      </c>
      <c r="C3987" t="s">
        <v>7078</v>
      </c>
      <c r="D3987" s="22">
        <v>-19372</v>
      </c>
      <c r="E3987" t="s">
        <v>35</v>
      </c>
      <c r="F3987" s="2">
        <v>212901001</v>
      </c>
      <c r="G3987" s="2" t="s">
        <v>121</v>
      </c>
      <c r="L3987" s="2" t="s">
        <v>7079</v>
      </c>
      <c r="M3987" t="s">
        <v>67</v>
      </c>
      <c r="N3987" t="s">
        <v>68</v>
      </c>
      <c r="P3987" s="23">
        <v>96.86</v>
      </c>
      <c r="Q3987" s="4">
        <f t="shared" si="62"/>
        <v>-200</v>
      </c>
      <c r="R3987" s="23" t="s">
        <v>109</v>
      </c>
    </row>
    <row r="3988" spans="1:20" x14ac:dyDescent="0.25">
      <c r="A3988" s="21">
        <v>45807</v>
      </c>
      <c r="B3988" s="1">
        <v>613744773</v>
      </c>
      <c r="C3988" t="s">
        <v>7080</v>
      </c>
      <c r="D3988" s="22">
        <v>-11235.76</v>
      </c>
      <c r="E3988" t="s">
        <v>35</v>
      </c>
      <c r="F3988" s="2">
        <v>212901001</v>
      </c>
      <c r="G3988" s="2" t="s">
        <v>121</v>
      </c>
      <c r="L3988" s="2" t="s">
        <v>7081</v>
      </c>
      <c r="M3988" t="s">
        <v>67</v>
      </c>
      <c r="N3988" t="s">
        <v>68</v>
      </c>
      <c r="P3988" s="23">
        <v>96.86</v>
      </c>
      <c r="Q3988" s="4">
        <f t="shared" si="62"/>
        <v>-116</v>
      </c>
      <c r="R3988" s="23" t="s">
        <v>109</v>
      </c>
    </row>
    <row r="3989" spans="1:20" x14ac:dyDescent="0.25">
      <c r="A3989" s="21">
        <v>45807</v>
      </c>
      <c r="B3989" s="1">
        <v>513744770</v>
      </c>
      <c r="C3989" t="s">
        <v>7082</v>
      </c>
      <c r="D3989" s="22">
        <v>-5811.6</v>
      </c>
      <c r="E3989" t="s">
        <v>35</v>
      </c>
      <c r="F3989" s="2">
        <v>212901001</v>
      </c>
      <c r="G3989" s="2" t="s">
        <v>121</v>
      </c>
      <c r="L3989" s="2" t="s">
        <v>7083</v>
      </c>
      <c r="M3989" t="s">
        <v>67</v>
      </c>
      <c r="N3989" t="s">
        <v>68</v>
      </c>
      <c r="P3989" s="23">
        <v>96.86</v>
      </c>
      <c r="Q3989" s="4">
        <f t="shared" si="62"/>
        <v>-60.000000000000007</v>
      </c>
      <c r="R3989" s="23" t="s">
        <v>109</v>
      </c>
    </row>
    <row r="3990" spans="1:20" x14ac:dyDescent="0.25">
      <c r="A3990" s="21">
        <v>45807</v>
      </c>
      <c r="B3990" s="1">
        <v>613744775</v>
      </c>
      <c r="C3990" t="s">
        <v>7084</v>
      </c>
      <c r="D3990" s="22">
        <v>-7748.8</v>
      </c>
      <c r="E3990" t="s">
        <v>35</v>
      </c>
      <c r="F3990" s="2">
        <v>212901001</v>
      </c>
      <c r="G3990" s="2" t="s">
        <v>121</v>
      </c>
      <c r="L3990" s="2" t="s">
        <v>7085</v>
      </c>
      <c r="M3990" t="s">
        <v>67</v>
      </c>
      <c r="N3990" t="s">
        <v>68</v>
      </c>
      <c r="P3990" s="23">
        <v>96.86</v>
      </c>
      <c r="Q3990" s="4">
        <f t="shared" si="62"/>
        <v>-80</v>
      </c>
      <c r="R3990" s="23" t="s">
        <v>109</v>
      </c>
    </row>
    <row r="3991" spans="1:20" x14ac:dyDescent="0.25">
      <c r="A3991" s="21">
        <v>45807</v>
      </c>
      <c r="B3991" s="1">
        <v>613744774</v>
      </c>
      <c r="C3991" t="s">
        <v>7086</v>
      </c>
      <c r="D3991" s="22">
        <v>-6780.2</v>
      </c>
      <c r="E3991" t="s">
        <v>35</v>
      </c>
      <c r="F3991" s="2">
        <v>212901001</v>
      </c>
      <c r="G3991" s="2" t="s">
        <v>121</v>
      </c>
      <c r="L3991" s="2" t="s">
        <v>7087</v>
      </c>
      <c r="M3991" t="s">
        <v>67</v>
      </c>
      <c r="N3991" t="s">
        <v>68</v>
      </c>
      <c r="P3991" s="23">
        <v>96.86</v>
      </c>
      <c r="Q3991" s="4">
        <f t="shared" si="62"/>
        <v>-70</v>
      </c>
      <c r="R3991" s="23" t="s">
        <v>109</v>
      </c>
    </row>
    <row r="3992" spans="1:20" x14ac:dyDescent="0.25">
      <c r="A3992" s="21">
        <v>45807</v>
      </c>
      <c r="B3992" s="1">
        <v>50557418</v>
      </c>
      <c r="C3992" t="s">
        <v>7088</v>
      </c>
      <c r="D3992" s="22">
        <v>-17434.8</v>
      </c>
      <c r="E3992" t="s">
        <v>35</v>
      </c>
      <c r="F3992" s="2">
        <v>212901001</v>
      </c>
      <c r="G3992" s="2" t="s">
        <v>121</v>
      </c>
      <c r="L3992" s="2" t="s">
        <v>7089</v>
      </c>
      <c r="M3992" t="s">
        <v>67</v>
      </c>
      <c r="N3992" t="s">
        <v>68</v>
      </c>
      <c r="P3992" s="23">
        <v>96.86</v>
      </c>
      <c r="Q3992" s="4">
        <f t="shared" si="62"/>
        <v>-180</v>
      </c>
      <c r="R3992" s="23" t="s">
        <v>109</v>
      </c>
    </row>
    <row r="3993" spans="1:20" x14ac:dyDescent="0.25">
      <c r="A3993" s="21">
        <v>45807</v>
      </c>
      <c r="B3993" s="1">
        <v>50557418</v>
      </c>
      <c r="C3993" t="s">
        <v>296</v>
      </c>
      <c r="D3993" s="22">
        <v>-26.15</v>
      </c>
      <c r="E3993" t="s">
        <v>35</v>
      </c>
      <c r="F3993" s="2">
        <v>610148001</v>
      </c>
      <c r="G3993" s="2" t="s">
        <v>42</v>
      </c>
      <c r="L3993" s="2" t="s">
        <v>7090</v>
      </c>
      <c r="M3993" t="s">
        <v>43</v>
      </c>
      <c r="N3993" t="s">
        <v>42</v>
      </c>
      <c r="P3993" s="23">
        <v>96.86</v>
      </c>
      <c r="Q3993" s="4">
        <f t="shared" si="62"/>
        <v>-0.26997728680569894</v>
      </c>
      <c r="R3993" s="23" t="s">
        <v>109</v>
      </c>
      <c r="T3993" s="23" t="s">
        <v>6107</v>
      </c>
    </row>
    <row r="3994" spans="1:20" x14ac:dyDescent="0.25">
      <c r="A3994" s="21">
        <v>45807</v>
      </c>
      <c r="B3994" s="1">
        <v>50557418</v>
      </c>
      <c r="C3994" t="s">
        <v>118</v>
      </c>
      <c r="D3994" s="22">
        <v>-1748.32</v>
      </c>
      <c r="E3994" t="s">
        <v>35</v>
      </c>
      <c r="F3994" s="2">
        <v>610148001</v>
      </c>
      <c r="G3994" s="2" t="s">
        <v>42</v>
      </c>
      <c r="L3994" s="2" t="s">
        <v>7091</v>
      </c>
      <c r="M3994" t="s">
        <v>43</v>
      </c>
      <c r="N3994" t="s">
        <v>42</v>
      </c>
      <c r="P3994" s="23">
        <v>96.86</v>
      </c>
      <c r="Q3994" s="4">
        <f t="shared" si="62"/>
        <v>-18.049969027462318</v>
      </c>
      <c r="R3994" s="23" t="s">
        <v>109</v>
      </c>
      <c r="T3994" s="23" t="s">
        <v>6107</v>
      </c>
    </row>
    <row r="3995" spans="1:20" x14ac:dyDescent="0.25">
      <c r="A3995" s="21">
        <v>45807</v>
      </c>
      <c r="B3995" s="1">
        <v>0</v>
      </c>
      <c r="C3995" t="s">
        <v>1192</v>
      </c>
      <c r="D3995" s="22">
        <v>-0.5</v>
      </c>
      <c r="E3995" t="s">
        <v>35</v>
      </c>
      <c r="F3995" s="2">
        <v>610148001</v>
      </c>
      <c r="G3995" s="2" t="s">
        <v>42</v>
      </c>
      <c r="L3995" s="2" t="s">
        <v>7092</v>
      </c>
      <c r="M3995" t="s">
        <v>43</v>
      </c>
      <c r="N3995" t="s">
        <v>42</v>
      </c>
      <c r="P3995" s="23">
        <v>96.86</v>
      </c>
      <c r="Q3995" s="4">
        <f t="shared" si="62"/>
        <v>-5.1620896138756967E-3</v>
      </c>
      <c r="R3995" s="23" t="s">
        <v>109</v>
      </c>
      <c r="T3995" s="23" t="s">
        <v>6107</v>
      </c>
    </row>
    <row r="3996" spans="1:20" x14ac:dyDescent="0.25">
      <c r="A3996" s="21">
        <v>45807</v>
      </c>
      <c r="B3996" s="1">
        <v>0</v>
      </c>
      <c r="C3996" t="s">
        <v>1194</v>
      </c>
      <c r="D3996" s="22">
        <v>-0.5</v>
      </c>
      <c r="E3996" t="s">
        <v>35</v>
      </c>
      <c r="F3996" s="2">
        <v>610148001</v>
      </c>
      <c r="G3996" s="2" t="s">
        <v>42</v>
      </c>
      <c r="L3996" s="2" t="s">
        <v>7093</v>
      </c>
      <c r="M3996" t="s">
        <v>43</v>
      </c>
      <c r="N3996" t="s">
        <v>42</v>
      </c>
      <c r="P3996" s="23">
        <v>96.86</v>
      </c>
      <c r="Q3996" s="4">
        <f t="shared" si="62"/>
        <v>-5.1620896138756967E-3</v>
      </c>
      <c r="R3996" s="23" t="s">
        <v>109</v>
      </c>
      <c r="T3996" s="23" t="s">
        <v>6107</v>
      </c>
    </row>
    <row r="3997" spans="1:20" x14ac:dyDescent="0.25">
      <c r="A3997" s="21">
        <v>45778</v>
      </c>
      <c r="B3997" s="1">
        <v>120200001246</v>
      </c>
      <c r="C3997" t="s">
        <v>7094</v>
      </c>
      <c r="D3997" s="22">
        <v>-0.5</v>
      </c>
      <c r="E3997" t="s">
        <v>35</v>
      </c>
      <c r="F3997" s="2">
        <v>610148001</v>
      </c>
      <c r="G3997" s="2" t="s">
        <v>42</v>
      </c>
      <c r="L3997" s="2" t="s">
        <v>7095</v>
      </c>
      <c r="M3997" t="s">
        <v>43</v>
      </c>
      <c r="N3997" t="s">
        <v>42</v>
      </c>
      <c r="P3997" s="23">
        <v>87.57</v>
      </c>
      <c r="Q3997" s="4">
        <f t="shared" si="62"/>
        <v>-5.7097179399337675E-3</v>
      </c>
      <c r="R3997" s="23" t="s">
        <v>1198</v>
      </c>
      <c r="T3997" s="41" t="s">
        <v>6107</v>
      </c>
    </row>
    <row r="3998" spans="1:20" x14ac:dyDescent="0.25">
      <c r="A3998" s="21">
        <v>45779</v>
      </c>
      <c r="B3998" s="1" t="s">
        <v>7096</v>
      </c>
      <c r="C3998" t="s">
        <v>544</v>
      </c>
      <c r="D3998" s="22">
        <v>300000</v>
      </c>
      <c r="E3998" t="s">
        <v>46</v>
      </c>
      <c r="F3998" s="2">
        <v>210115002</v>
      </c>
      <c r="G3998" s="2" t="s">
        <v>47</v>
      </c>
      <c r="L3998" s="2" t="s">
        <v>7097</v>
      </c>
      <c r="N3998" t="s">
        <v>544</v>
      </c>
      <c r="P3998" s="23">
        <v>87.57</v>
      </c>
      <c r="Q3998" s="4">
        <f t="shared" si="62"/>
        <v>3425.8307639602608</v>
      </c>
      <c r="R3998" s="23" t="s">
        <v>1198</v>
      </c>
    </row>
    <row r="3999" spans="1:20" x14ac:dyDescent="0.25">
      <c r="A3999" s="21">
        <v>45779</v>
      </c>
      <c r="B3999" s="1" t="s">
        <v>7098</v>
      </c>
      <c r="C3999" t="s">
        <v>544</v>
      </c>
      <c r="D3999" s="22">
        <v>275000</v>
      </c>
      <c r="E3999" t="s">
        <v>46</v>
      </c>
      <c r="F3999" s="2">
        <v>210115002</v>
      </c>
      <c r="G3999" s="2" t="s">
        <v>47</v>
      </c>
      <c r="L3999" s="2" t="s">
        <v>7099</v>
      </c>
      <c r="N3999" t="s">
        <v>544</v>
      </c>
      <c r="P3999" s="23">
        <v>87.57</v>
      </c>
      <c r="Q3999" s="4">
        <f t="shared" si="62"/>
        <v>3140.3448669635723</v>
      </c>
      <c r="R3999" s="23" t="s">
        <v>1198</v>
      </c>
    </row>
    <row r="4000" spans="1:20" x14ac:dyDescent="0.25">
      <c r="A4000" s="21">
        <v>45779</v>
      </c>
      <c r="B4000" s="1" t="s">
        <v>3930</v>
      </c>
      <c r="C4000" t="s">
        <v>7100</v>
      </c>
      <c r="D4000" s="22">
        <v>290702.59000000003</v>
      </c>
      <c r="E4000" t="s">
        <v>46</v>
      </c>
      <c r="F4000" s="2">
        <v>110106001</v>
      </c>
      <c r="G4000" s="2" t="s">
        <v>2034</v>
      </c>
      <c r="L4000" s="2" t="s">
        <v>7101</v>
      </c>
      <c r="N4000" t="s">
        <v>7102</v>
      </c>
      <c r="P4000" s="23">
        <v>87.57</v>
      </c>
      <c r="Q4000" s="4">
        <f t="shared" si="62"/>
        <v>3319.6595866164216</v>
      </c>
      <c r="R4000" s="23" t="s">
        <v>1198</v>
      </c>
    </row>
    <row r="4001" spans="1:20" x14ac:dyDescent="0.25">
      <c r="A4001" s="21">
        <v>45779</v>
      </c>
      <c r="B4001" s="1" t="s">
        <v>2573</v>
      </c>
      <c r="C4001" t="s">
        <v>7103</v>
      </c>
      <c r="D4001" s="22">
        <v>-4378.5</v>
      </c>
      <c r="E4001" t="s">
        <v>35</v>
      </c>
      <c r="F4001" s="2">
        <v>212901001</v>
      </c>
      <c r="G4001" s="2" t="s">
        <v>121</v>
      </c>
      <c r="L4001" s="2" t="s">
        <v>7104</v>
      </c>
      <c r="M4001" t="s">
        <v>67</v>
      </c>
      <c r="N4001" t="s">
        <v>68</v>
      </c>
      <c r="P4001" s="23">
        <v>87.57</v>
      </c>
      <c r="Q4001" s="4">
        <f t="shared" si="62"/>
        <v>-50.000000000000007</v>
      </c>
      <c r="R4001" s="23" t="s">
        <v>1198</v>
      </c>
    </row>
    <row r="4002" spans="1:20" x14ac:dyDescent="0.25">
      <c r="A4002" s="21">
        <v>45779</v>
      </c>
      <c r="B4002" s="1" t="s">
        <v>3924</v>
      </c>
      <c r="C4002" t="s">
        <v>7105</v>
      </c>
      <c r="D4002" s="22">
        <v>-875.7</v>
      </c>
      <c r="E4002" t="s">
        <v>35</v>
      </c>
      <c r="F4002" s="2">
        <v>212901001</v>
      </c>
      <c r="G4002" s="2" t="s">
        <v>121</v>
      </c>
      <c r="L4002" s="2" t="s">
        <v>7106</v>
      </c>
      <c r="M4002" t="s">
        <v>67</v>
      </c>
      <c r="N4002" t="s">
        <v>68</v>
      </c>
      <c r="P4002" s="23">
        <v>87.57</v>
      </c>
      <c r="Q4002" s="4">
        <f t="shared" si="62"/>
        <v>-10.000000000000002</v>
      </c>
      <c r="R4002" s="23" t="s">
        <v>1198</v>
      </c>
    </row>
    <row r="4003" spans="1:20" x14ac:dyDescent="0.25">
      <c r="A4003" s="21">
        <v>45779</v>
      </c>
      <c r="B4003" s="1" t="s">
        <v>3933</v>
      </c>
      <c r="C4003" t="s">
        <v>7107</v>
      </c>
      <c r="D4003" s="22">
        <v>-1751.4</v>
      </c>
      <c r="E4003" t="s">
        <v>35</v>
      </c>
      <c r="F4003" s="2">
        <v>212901001</v>
      </c>
      <c r="G4003" s="2" t="s">
        <v>121</v>
      </c>
      <c r="L4003" s="2" t="s">
        <v>7108</v>
      </c>
      <c r="M4003" t="s">
        <v>67</v>
      </c>
      <c r="N4003" t="s">
        <v>68</v>
      </c>
      <c r="P4003" s="23">
        <v>87.57</v>
      </c>
      <c r="Q4003" s="4">
        <f t="shared" si="62"/>
        <v>-20.000000000000004</v>
      </c>
      <c r="R4003" s="23" t="s">
        <v>1198</v>
      </c>
    </row>
    <row r="4004" spans="1:20" x14ac:dyDescent="0.25">
      <c r="A4004" s="21">
        <v>45779</v>
      </c>
      <c r="B4004" s="1" t="s">
        <v>3949</v>
      </c>
      <c r="C4004" t="s">
        <v>7109</v>
      </c>
      <c r="D4004" s="22">
        <v>-9226.18</v>
      </c>
      <c r="E4004" t="s">
        <v>35</v>
      </c>
      <c r="F4004" s="2">
        <v>210101001</v>
      </c>
      <c r="G4004" s="2" t="s">
        <v>36</v>
      </c>
      <c r="L4004" s="2" t="s">
        <v>7110</v>
      </c>
      <c r="M4004" t="s">
        <v>38</v>
      </c>
      <c r="N4004" t="s">
        <v>39</v>
      </c>
      <c r="P4004" s="23">
        <v>87.57</v>
      </c>
      <c r="Q4004" s="4">
        <f t="shared" si="62"/>
        <v>-105.35777092611626</v>
      </c>
      <c r="R4004" s="23" t="s">
        <v>1198</v>
      </c>
    </row>
    <row r="4005" spans="1:20" x14ac:dyDescent="0.25">
      <c r="A4005" s="32">
        <v>45779</v>
      </c>
      <c r="B4005" s="26" t="s">
        <v>4127</v>
      </c>
      <c r="C4005" s="27" t="s">
        <v>7111</v>
      </c>
      <c r="D4005" s="28">
        <v>-5254.2</v>
      </c>
      <c r="E4005" s="27" t="s">
        <v>35</v>
      </c>
      <c r="F4005" s="29">
        <v>610156001</v>
      </c>
      <c r="G4005" s="29" t="s">
        <v>91</v>
      </c>
      <c r="H4005" s="107"/>
      <c r="I4005" s="101"/>
      <c r="J4005" s="101"/>
      <c r="K4005" s="29"/>
      <c r="L4005" s="2" t="s">
        <v>7112</v>
      </c>
      <c r="M4005" s="27" t="s">
        <v>93</v>
      </c>
      <c r="N4005" s="27" t="s">
        <v>94</v>
      </c>
      <c r="O4005" s="27" t="s">
        <v>59</v>
      </c>
      <c r="P4005" s="31">
        <v>87.57</v>
      </c>
      <c r="Q4005" s="4">
        <f t="shared" si="62"/>
        <v>-60</v>
      </c>
      <c r="R4005" s="23" t="s">
        <v>1198</v>
      </c>
      <c r="T4005" s="23" t="s">
        <v>7113</v>
      </c>
    </row>
    <row r="4006" spans="1:20" x14ac:dyDescent="0.25">
      <c r="A4006" s="21">
        <v>45779</v>
      </c>
      <c r="B4006" s="1" t="s">
        <v>3930</v>
      </c>
      <c r="C4006" t="s">
        <v>7114</v>
      </c>
      <c r="D4006" s="22">
        <v>-875.7</v>
      </c>
      <c r="E4006" t="s">
        <v>35</v>
      </c>
      <c r="F4006" s="2">
        <v>212901001</v>
      </c>
      <c r="G4006" s="2" t="s">
        <v>121</v>
      </c>
      <c r="L4006" s="2" t="s">
        <v>7115</v>
      </c>
      <c r="M4006" t="s">
        <v>67</v>
      </c>
      <c r="N4006" t="s">
        <v>68</v>
      </c>
      <c r="P4006" s="23">
        <v>87.57</v>
      </c>
      <c r="Q4006" s="4">
        <f t="shared" si="62"/>
        <v>-10.000000000000002</v>
      </c>
      <c r="R4006" s="23" t="s">
        <v>1198</v>
      </c>
    </row>
    <row r="4007" spans="1:20" x14ac:dyDescent="0.25">
      <c r="A4007" s="21">
        <v>45779</v>
      </c>
      <c r="B4007" s="1" t="s">
        <v>4108</v>
      </c>
      <c r="C4007" t="s">
        <v>7116</v>
      </c>
      <c r="D4007" s="22">
        <v>-71990.39</v>
      </c>
      <c r="E4007" t="s">
        <v>35</v>
      </c>
      <c r="F4007" s="2">
        <v>210101001</v>
      </c>
      <c r="G4007" s="2" t="s">
        <v>36</v>
      </c>
      <c r="L4007" s="2" t="s">
        <v>7117</v>
      </c>
      <c r="M4007" t="s">
        <v>38</v>
      </c>
      <c r="N4007" t="s">
        <v>39</v>
      </c>
      <c r="P4007" s="23">
        <v>87.57</v>
      </c>
      <c r="Q4007" s="4">
        <f t="shared" si="62"/>
        <v>-822.08964257165701</v>
      </c>
      <c r="R4007" s="23" t="s">
        <v>1198</v>
      </c>
    </row>
    <row r="4008" spans="1:20" x14ac:dyDescent="0.25">
      <c r="A4008" s="32">
        <v>45779</v>
      </c>
      <c r="B4008" s="26" t="s">
        <v>1208</v>
      </c>
      <c r="C4008" s="27" t="s">
        <v>54</v>
      </c>
      <c r="D4008" s="28">
        <v>-10508.4</v>
      </c>
      <c r="E4008" s="27" t="s">
        <v>35</v>
      </c>
      <c r="F4008" s="29">
        <v>610129001</v>
      </c>
      <c r="G4008" s="29" t="s">
        <v>55</v>
      </c>
      <c r="H4008" s="107"/>
      <c r="I4008" s="101"/>
      <c r="J4008" s="101"/>
      <c r="K4008" s="29"/>
      <c r="L4008" s="2" t="s">
        <v>7118</v>
      </c>
      <c r="M4008" s="27" t="s">
        <v>57</v>
      </c>
      <c r="N4008" s="27" t="s">
        <v>58</v>
      </c>
      <c r="O4008" s="27" t="s">
        <v>59</v>
      </c>
      <c r="P4008" s="31">
        <v>87.57</v>
      </c>
      <c r="Q4008" s="4">
        <f t="shared" si="62"/>
        <v>-120</v>
      </c>
      <c r="R4008" s="23" t="s">
        <v>1198</v>
      </c>
      <c r="T4008" s="23" t="s">
        <v>7119</v>
      </c>
    </row>
    <row r="4009" spans="1:20" x14ac:dyDescent="0.25">
      <c r="A4009" s="21">
        <v>45779</v>
      </c>
      <c r="B4009" s="1" t="s">
        <v>3914</v>
      </c>
      <c r="C4009" t="s">
        <v>7120</v>
      </c>
      <c r="D4009" s="22">
        <v>-5254.2</v>
      </c>
      <c r="E4009" t="s">
        <v>35</v>
      </c>
      <c r="F4009" s="2">
        <v>110114001</v>
      </c>
      <c r="G4009" s="2" t="s">
        <v>301</v>
      </c>
      <c r="L4009" s="2" t="s">
        <v>7121</v>
      </c>
      <c r="N4009" t="s">
        <v>7122</v>
      </c>
      <c r="P4009" s="23">
        <v>87.57</v>
      </c>
      <c r="Q4009" s="4">
        <f t="shared" si="62"/>
        <v>-60</v>
      </c>
      <c r="R4009" s="23" t="s">
        <v>1198</v>
      </c>
    </row>
    <row r="4010" spans="1:20" x14ac:dyDescent="0.25">
      <c r="A4010" s="21">
        <v>45779</v>
      </c>
      <c r="B4010" s="1" t="s">
        <v>3917</v>
      </c>
      <c r="C4010" t="s">
        <v>7123</v>
      </c>
      <c r="D4010" s="22">
        <v>-10508.4</v>
      </c>
      <c r="E4010" t="s">
        <v>35</v>
      </c>
      <c r="F4010" s="2">
        <v>110101002</v>
      </c>
      <c r="G4010" s="2" t="s">
        <v>6359</v>
      </c>
      <c r="L4010" s="2" t="s">
        <v>7124</v>
      </c>
      <c r="N4010" t="s">
        <v>6361</v>
      </c>
      <c r="P4010" s="23">
        <v>87.57</v>
      </c>
      <c r="Q4010" s="4">
        <f t="shared" si="62"/>
        <v>-120</v>
      </c>
      <c r="R4010" s="23" t="s">
        <v>1198</v>
      </c>
    </row>
    <row r="4011" spans="1:20" x14ac:dyDescent="0.25">
      <c r="A4011" s="21">
        <v>45779</v>
      </c>
      <c r="B4011" s="1" t="s">
        <v>1211</v>
      </c>
      <c r="C4011" t="s">
        <v>7125</v>
      </c>
      <c r="D4011" s="22">
        <v>-32345.1</v>
      </c>
      <c r="E4011" t="s">
        <v>35</v>
      </c>
      <c r="F4011" s="2">
        <v>210101001</v>
      </c>
      <c r="G4011" s="2" t="s">
        <v>36</v>
      </c>
      <c r="L4011" s="2" t="s">
        <v>7126</v>
      </c>
      <c r="M4011" t="s">
        <v>38</v>
      </c>
      <c r="N4011" t="s">
        <v>39</v>
      </c>
      <c r="P4011" s="23">
        <v>87.57</v>
      </c>
      <c r="Q4011" s="4">
        <f t="shared" si="62"/>
        <v>-369.36279547790338</v>
      </c>
      <c r="R4011" s="23" t="s">
        <v>1198</v>
      </c>
    </row>
    <row r="4012" spans="1:20" x14ac:dyDescent="0.25">
      <c r="A4012" s="21">
        <v>45779</v>
      </c>
      <c r="B4012" s="1" t="s">
        <v>1217</v>
      </c>
      <c r="C4012" t="s">
        <v>7127</v>
      </c>
      <c r="D4012" s="22">
        <v>-2451.96</v>
      </c>
      <c r="E4012" t="s">
        <v>35</v>
      </c>
      <c r="F4012" s="2">
        <v>212901001</v>
      </c>
      <c r="G4012" s="2" t="s">
        <v>121</v>
      </c>
      <c r="L4012" s="2" t="s">
        <v>7128</v>
      </c>
      <c r="M4012" t="s">
        <v>67</v>
      </c>
      <c r="N4012" t="s">
        <v>68</v>
      </c>
      <c r="P4012" s="23">
        <v>87.57</v>
      </c>
      <c r="Q4012" s="4">
        <f t="shared" si="62"/>
        <v>-28.000000000000004</v>
      </c>
      <c r="R4012" s="23" t="s">
        <v>1198</v>
      </c>
    </row>
    <row r="4013" spans="1:20" x14ac:dyDescent="0.25">
      <c r="A4013" s="21">
        <v>45779</v>
      </c>
      <c r="B4013" s="1" t="s">
        <v>2571</v>
      </c>
      <c r="C4013" t="s">
        <v>7129</v>
      </c>
      <c r="D4013" s="22">
        <v>-6129.9</v>
      </c>
      <c r="E4013" t="s">
        <v>35</v>
      </c>
      <c r="F4013" s="2">
        <v>212901001</v>
      </c>
      <c r="G4013" s="2" t="s">
        <v>121</v>
      </c>
      <c r="L4013" s="2" t="s">
        <v>7130</v>
      </c>
      <c r="M4013" t="s">
        <v>67</v>
      </c>
      <c r="N4013" t="s">
        <v>68</v>
      </c>
      <c r="P4013" s="23">
        <v>87.57</v>
      </c>
      <c r="Q4013" s="4">
        <f t="shared" si="62"/>
        <v>-70</v>
      </c>
      <c r="R4013" s="23" t="s">
        <v>1198</v>
      </c>
    </row>
    <row r="4014" spans="1:20" x14ac:dyDescent="0.25">
      <c r="A4014" s="21">
        <v>45779</v>
      </c>
      <c r="B4014" s="1" t="s">
        <v>4088</v>
      </c>
      <c r="C4014" t="s">
        <v>7116</v>
      </c>
      <c r="D4014" s="22">
        <v>-200000</v>
      </c>
      <c r="E4014" t="s">
        <v>35</v>
      </c>
      <c r="F4014" s="2">
        <v>210101001</v>
      </c>
      <c r="G4014" s="2" t="s">
        <v>36</v>
      </c>
      <c r="L4014" s="2" t="s">
        <v>7131</v>
      </c>
      <c r="M4014" t="s">
        <v>38</v>
      </c>
      <c r="N4014" t="s">
        <v>39</v>
      </c>
      <c r="P4014" s="23">
        <v>87.57</v>
      </c>
      <c r="Q4014" s="4">
        <f t="shared" si="62"/>
        <v>-2283.8871759735071</v>
      </c>
      <c r="R4014" s="23" t="s">
        <v>1198</v>
      </c>
    </row>
    <row r="4015" spans="1:20" x14ac:dyDescent="0.25">
      <c r="A4015" s="21">
        <v>45779</v>
      </c>
      <c r="B4015" s="1" t="s">
        <v>3952</v>
      </c>
      <c r="C4015" t="s">
        <v>7132</v>
      </c>
      <c r="D4015" s="22">
        <v>-1751.4</v>
      </c>
      <c r="E4015" t="s">
        <v>35</v>
      </c>
      <c r="F4015" s="2">
        <v>212901001</v>
      </c>
      <c r="G4015" s="2" t="s">
        <v>121</v>
      </c>
      <c r="L4015" s="2" t="s">
        <v>7133</v>
      </c>
      <c r="M4015" t="s">
        <v>67</v>
      </c>
      <c r="N4015" t="s">
        <v>68</v>
      </c>
      <c r="P4015" s="23">
        <v>87.57</v>
      </c>
      <c r="Q4015" s="4">
        <f t="shared" si="62"/>
        <v>-20.000000000000004</v>
      </c>
      <c r="R4015" s="23" t="s">
        <v>1198</v>
      </c>
    </row>
    <row r="4016" spans="1:20" x14ac:dyDescent="0.25">
      <c r="A4016" s="21">
        <v>45779</v>
      </c>
      <c r="B4016" s="1" t="s">
        <v>3943</v>
      </c>
      <c r="C4016" t="s">
        <v>7134</v>
      </c>
      <c r="D4016" s="22">
        <v>-1751.4</v>
      </c>
      <c r="E4016" t="s">
        <v>35</v>
      </c>
      <c r="F4016" s="2">
        <v>212901001</v>
      </c>
      <c r="G4016" s="2" t="s">
        <v>121</v>
      </c>
      <c r="L4016" s="2" t="s">
        <v>7135</v>
      </c>
      <c r="M4016" t="s">
        <v>67</v>
      </c>
      <c r="N4016" t="s">
        <v>68</v>
      </c>
      <c r="P4016" s="23">
        <v>87.57</v>
      </c>
      <c r="Q4016" s="4">
        <f t="shared" si="62"/>
        <v>-20.000000000000004</v>
      </c>
      <c r="R4016" s="23" t="s">
        <v>1198</v>
      </c>
    </row>
    <row r="4017" spans="1:20" x14ac:dyDescent="0.25">
      <c r="A4017" s="21">
        <v>45779</v>
      </c>
      <c r="B4017" s="1" t="s">
        <v>3927</v>
      </c>
      <c r="C4017" t="s">
        <v>7136</v>
      </c>
      <c r="D4017" s="22">
        <v>-1751.4</v>
      </c>
      <c r="E4017" t="s">
        <v>35</v>
      </c>
      <c r="F4017" s="2">
        <v>212901001</v>
      </c>
      <c r="G4017" s="2" t="s">
        <v>121</v>
      </c>
      <c r="L4017" s="2" t="s">
        <v>7137</v>
      </c>
      <c r="M4017" t="s">
        <v>67</v>
      </c>
      <c r="N4017" t="s">
        <v>68</v>
      </c>
      <c r="P4017" s="23">
        <v>87.57</v>
      </c>
      <c r="Q4017" s="4">
        <f t="shared" si="62"/>
        <v>-20.000000000000004</v>
      </c>
      <c r="R4017" s="23" t="s">
        <v>1198</v>
      </c>
    </row>
    <row r="4018" spans="1:20" x14ac:dyDescent="0.25">
      <c r="A4018" s="21">
        <v>45779</v>
      </c>
      <c r="B4018" s="1" t="s">
        <v>3936</v>
      </c>
      <c r="C4018" t="s">
        <v>7138</v>
      </c>
      <c r="D4018" s="22">
        <v>-188.1</v>
      </c>
      <c r="E4018" t="s">
        <v>35</v>
      </c>
      <c r="F4018" s="2">
        <v>110114001</v>
      </c>
      <c r="G4018" s="2" t="s">
        <v>301</v>
      </c>
      <c r="L4018" s="2" t="s">
        <v>7139</v>
      </c>
      <c r="M4018" s="50" t="s">
        <v>1239</v>
      </c>
      <c r="N4018" s="50" t="s">
        <v>1240</v>
      </c>
      <c r="O4018" s="50"/>
      <c r="P4018" s="23">
        <v>87.57</v>
      </c>
      <c r="Q4018" s="4">
        <f t="shared" si="62"/>
        <v>-2.1479958890030835</v>
      </c>
      <c r="R4018" s="23" t="s">
        <v>1198</v>
      </c>
      <c r="S4018" s="33" t="s">
        <v>5309</v>
      </c>
    </row>
    <row r="4019" spans="1:20" x14ac:dyDescent="0.25">
      <c r="A4019" s="21">
        <v>45779</v>
      </c>
      <c r="B4019" s="1" t="s">
        <v>1211</v>
      </c>
      <c r="C4019" t="s">
        <v>7125</v>
      </c>
      <c r="D4019" s="22">
        <v>-200000</v>
      </c>
      <c r="E4019" t="s">
        <v>35</v>
      </c>
      <c r="F4019" s="2">
        <v>210101001</v>
      </c>
      <c r="G4019" s="2" t="s">
        <v>36</v>
      </c>
      <c r="L4019" s="2" t="s">
        <v>7140</v>
      </c>
      <c r="M4019" t="s">
        <v>38</v>
      </c>
      <c r="N4019" t="s">
        <v>39</v>
      </c>
      <c r="P4019" s="23">
        <v>87.57</v>
      </c>
      <c r="Q4019" s="4">
        <f t="shared" si="62"/>
        <v>-2283.8871759735071</v>
      </c>
      <c r="R4019" s="23" t="s">
        <v>1198</v>
      </c>
    </row>
    <row r="4020" spans="1:20" x14ac:dyDescent="0.25">
      <c r="A4020" s="21">
        <v>45779</v>
      </c>
      <c r="B4020" s="1" t="s">
        <v>7141</v>
      </c>
      <c r="C4020" t="s">
        <v>7142</v>
      </c>
      <c r="D4020" s="22">
        <v>5254.2</v>
      </c>
      <c r="E4020" t="s">
        <v>46</v>
      </c>
      <c r="F4020" s="2">
        <v>110114001</v>
      </c>
      <c r="G4020" s="2" t="s">
        <v>301</v>
      </c>
      <c r="L4020" s="2" t="s">
        <v>7143</v>
      </c>
      <c r="N4020" t="s">
        <v>7122</v>
      </c>
      <c r="P4020" s="23">
        <v>87.57</v>
      </c>
      <c r="Q4020" s="4">
        <f t="shared" si="62"/>
        <v>60</v>
      </c>
      <c r="R4020" s="23" t="s">
        <v>1198</v>
      </c>
    </row>
    <row r="4021" spans="1:20" x14ac:dyDescent="0.25">
      <c r="A4021" s="21">
        <v>45779</v>
      </c>
      <c r="B4021" s="1" t="s">
        <v>2585</v>
      </c>
      <c r="C4021" t="s">
        <v>1221</v>
      </c>
      <c r="D4021" s="22">
        <v>-15.32</v>
      </c>
      <c r="E4021" t="s">
        <v>35</v>
      </c>
      <c r="F4021" s="2">
        <v>610148001</v>
      </c>
      <c r="G4021" s="2" t="s">
        <v>42</v>
      </c>
      <c r="L4021" s="2" t="s">
        <v>7144</v>
      </c>
      <c r="M4021" t="s">
        <v>43</v>
      </c>
      <c r="N4021" t="s">
        <v>42</v>
      </c>
      <c r="P4021" s="23">
        <v>87.57</v>
      </c>
      <c r="Q4021" s="4">
        <f t="shared" si="62"/>
        <v>-0.17494575767957066</v>
      </c>
      <c r="R4021" s="23" t="s">
        <v>1198</v>
      </c>
      <c r="T4021" s="41" t="s">
        <v>6107</v>
      </c>
    </row>
    <row r="4022" spans="1:20" x14ac:dyDescent="0.25">
      <c r="A4022" s="21">
        <v>45779</v>
      </c>
      <c r="B4022" s="1" t="s">
        <v>3962</v>
      </c>
      <c r="C4022" t="s">
        <v>1221</v>
      </c>
      <c r="D4022" s="22">
        <v>-13.13</v>
      </c>
      <c r="E4022" t="s">
        <v>35</v>
      </c>
      <c r="F4022" s="2">
        <v>610148001</v>
      </c>
      <c r="G4022" s="2" t="s">
        <v>42</v>
      </c>
      <c r="L4022" s="2" t="s">
        <v>7145</v>
      </c>
      <c r="M4022" t="s">
        <v>43</v>
      </c>
      <c r="N4022" t="s">
        <v>42</v>
      </c>
      <c r="P4022" s="23">
        <v>87.57</v>
      </c>
      <c r="Q4022" s="4">
        <f t="shared" si="62"/>
        <v>-0.14993719310266074</v>
      </c>
      <c r="R4022" s="23" t="s">
        <v>1198</v>
      </c>
      <c r="T4022" s="41" t="s">
        <v>6107</v>
      </c>
    </row>
    <row r="4023" spans="1:20" x14ac:dyDescent="0.25">
      <c r="A4023" s="21">
        <v>45779</v>
      </c>
      <c r="B4023" s="1" t="s">
        <v>1227</v>
      </c>
      <c r="C4023" t="s">
        <v>1221</v>
      </c>
      <c r="D4023" s="22">
        <v>-80.86</v>
      </c>
      <c r="E4023" t="s">
        <v>35</v>
      </c>
      <c r="F4023" s="2">
        <v>610148001</v>
      </c>
      <c r="G4023" s="2" t="s">
        <v>42</v>
      </c>
      <c r="L4023" s="2" t="s">
        <v>7146</v>
      </c>
      <c r="M4023" t="s">
        <v>43</v>
      </c>
      <c r="N4023" t="s">
        <v>42</v>
      </c>
      <c r="P4023" s="23">
        <v>87.57</v>
      </c>
      <c r="Q4023" s="4">
        <f t="shared" si="62"/>
        <v>-0.92337558524608887</v>
      </c>
      <c r="R4023" s="23" t="s">
        <v>1198</v>
      </c>
      <c r="T4023" s="41" t="s">
        <v>6107</v>
      </c>
    </row>
    <row r="4024" spans="1:20" x14ac:dyDescent="0.25">
      <c r="A4024" s="21">
        <v>45779</v>
      </c>
      <c r="B4024" s="1" t="s">
        <v>3969</v>
      </c>
      <c r="C4024" t="s">
        <v>1221</v>
      </c>
      <c r="D4024" s="22">
        <v>-2.1800000000000002</v>
      </c>
      <c r="E4024" t="s">
        <v>35</v>
      </c>
      <c r="F4024" s="2">
        <v>610148001</v>
      </c>
      <c r="G4024" s="2" t="s">
        <v>42</v>
      </c>
      <c r="L4024" s="2" t="s">
        <v>7147</v>
      </c>
      <c r="M4024" t="s">
        <v>43</v>
      </c>
      <c r="N4024" t="s">
        <v>42</v>
      </c>
      <c r="P4024" s="23">
        <v>87.57</v>
      </c>
      <c r="Q4024" s="4">
        <f t="shared" si="62"/>
        <v>-2.4894370218111229E-2</v>
      </c>
      <c r="R4024" s="23" t="s">
        <v>1198</v>
      </c>
      <c r="T4024" s="41" t="s">
        <v>6107</v>
      </c>
    </row>
    <row r="4025" spans="1:20" x14ac:dyDescent="0.25">
      <c r="A4025" s="21">
        <v>45779</v>
      </c>
      <c r="B4025" s="1" t="s">
        <v>4284</v>
      </c>
      <c r="C4025" t="s">
        <v>1221</v>
      </c>
      <c r="D4025" s="22">
        <v>-13.13</v>
      </c>
      <c r="E4025" t="s">
        <v>35</v>
      </c>
      <c r="F4025" s="2">
        <v>610148001</v>
      </c>
      <c r="G4025" s="2" t="s">
        <v>42</v>
      </c>
      <c r="L4025" s="2" t="s">
        <v>7148</v>
      </c>
      <c r="M4025" t="s">
        <v>43</v>
      </c>
      <c r="N4025" t="s">
        <v>42</v>
      </c>
      <c r="P4025" s="23">
        <v>87.57</v>
      </c>
      <c r="Q4025" s="4">
        <f t="shared" si="62"/>
        <v>-0.14993719310266074</v>
      </c>
      <c r="R4025" s="23" t="s">
        <v>1198</v>
      </c>
      <c r="T4025" s="41" t="s">
        <v>6107</v>
      </c>
    </row>
    <row r="4026" spans="1:20" x14ac:dyDescent="0.25">
      <c r="A4026" s="21">
        <v>45779</v>
      </c>
      <c r="B4026" s="1" t="s">
        <v>4249</v>
      </c>
      <c r="C4026" t="s">
        <v>1221</v>
      </c>
      <c r="D4026" s="22">
        <v>-179.97</v>
      </c>
      <c r="E4026" t="s">
        <v>35</v>
      </c>
      <c r="F4026" s="2">
        <v>610148001</v>
      </c>
      <c r="G4026" s="2" t="s">
        <v>42</v>
      </c>
      <c r="L4026" s="2" t="s">
        <v>7149</v>
      </c>
      <c r="M4026" t="s">
        <v>43</v>
      </c>
      <c r="N4026" t="s">
        <v>42</v>
      </c>
      <c r="P4026" s="23">
        <v>87.57</v>
      </c>
      <c r="Q4026" s="4">
        <f t="shared" si="62"/>
        <v>-2.0551558752997603</v>
      </c>
      <c r="R4026" s="23" t="s">
        <v>1198</v>
      </c>
      <c r="T4026" s="41" t="s">
        <v>6107</v>
      </c>
    </row>
    <row r="4027" spans="1:20" x14ac:dyDescent="0.25">
      <c r="A4027" s="21">
        <v>45779</v>
      </c>
      <c r="B4027" s="1" t="s">
        <v>3979</v>
      </c>
      <c r="C4027" t="s">
        <v>1221</v>
      </c>
      <c r="D4027" s="22">
        <v>-26.27</v>
      </c>
      <c r="E4027" t="s">
        <v>35</v>
      </c>
      <c r="F4027" s="2">
        <v>610148001</v>
      </c>
      <c r="G4027" s="2" t="s">
        <v>42</v>
      </c>
      <c r="L4027" s="2" t="s">
        <v>7150</v>
      </c>
      <c r="M4027" t="s">
        <v>43</v>
      </c>
      <c r="N4027" t="s">
        <v>42</v>
      </c>
      <c r="P4027" s="23">
        <v>87.57</v>
      </c>
      <c r="Q4027" s="4">
        <f t="shared" si="62"/>
        <v>-0.29998858056412014</v>
      </c>
      <c r="R4027" s="23" t="s">
        <v>1198</v>
      </c>
      <c r="T4027" s="41" t="s">
        <v>6107</v>
      </c>
    </row>
    <row r="4028" spans="1:20" x14ac:dyDescent="0.25">
      <c r="A4028" s="21">
        <v>45779</v>
      </c>
      <c r="B4028" s="1" t="s">
        <v>3967</v>
      </c>
      <c r="C4028" t="s">
        <v>1221</v>
      </c>
      <c r="D4028" s="22">
        <v>-4.37</v>
      </c>
      <c r="E4028" t="s">
        <v>35</v>
      </c>
      <c r="F4028" s="2">
        <v>610148001</v>
      </c>
      <c r="G4028" s="2" t="s">
        <v>42</v>
      </c>
      <c r="L4028" s="2" t="s">
        <v>7151</v>
      </c>
      <c r="M4028" t="s">
        <v>43</v>
      </c>
      <c r="N4028" t="s">
        <v>42</v>
      </c>
      <c r="P4028" s="23">
        <v>87.57</v>
      </c>
      <c r="Q4028" s="4">
        <f t="shared" si="62"/>
        <v>-4.9902934795021128E-2</v>
      </c>
      <c r="R4028" s="23" t="s">
        <v>1198</v>
      </c>
      <c r="T4028" s="41" t="s">
        <v>6107</v>
      </c>
    </row>
    <row r="4029" spans="1:20" x14ac:dyDescent="0.25">
      <c r="A4029" s="21">
        <v>45779</v>
      </c>
      <c r="B4029" s="1" t="s">
        <v>1223</v>
      </c>
      <c r="C4029" t="s">
        <v>1221</v>
      </c>
      <c r="D4029" s="22">
        <v>-26.27</v>
      </c>
      <c r="E4029" t="s">
        <v>35</v>
      </c>
      <c r="F4029" s="2">
        <v>610148001</v>
      </c>
      <c r="G4029" s="2" t="s">
        <v>42</v>
      </c>
      <c r="L4029" s="2" t="s">
        <v>7152</v>
      </c>
      <c r="M4029" t="s">
        <v>43</v>
      </c>
      <c r="N4029" t="s">
        <v>42</v>
      </c>
      <c r="P4029" s="23">
        <v>87.57</v>
      </c>
      <c r="Q4029" s="4">
        <f t="shared" si="62"/>
        <v>-0.29998858056412014</v>
      </c>
      <c r="R4029" s="23" t="s">
        <v>1198</v>
      </c>
      <c r="T4029" s="41" t="s">
        <v>6107</v>
      </c>
    </row>
    <row r="4030" spans="1:20" x14ac:dyDescent="0.25">
      <c r="A4030" s="21">
        <v>45779</v>
      </c>
      <c r="B4030" s="1" t="s">
        <v>3958</v>
      </c>
      <c r="C4030" t="s">
        <v>1221</v>
      </c>
      <c r="D4030" s="22">
        <v>-4.37</v>
      </c>
      <c r="E4030" t="s">
        <v>35</v>
      </c>
      <c r="F4030" s="2">
        <v>610148001</v>
      </c>
      <c r="G4030" s="2" t="s">
        <v>42</v>
      </c>
      <c r="L4030" s="2" t="s">
        <v>7153</v>
      </c>
      <c r="M4030" t="s">
        <v>43</v>
      </c>
      <c r="N4030" t="s">
        <v>42</v>
      </c>
      <c r="P4030" s="23">
        <v>87.57</v>
      </c>
      <c r="Q4030" s="4">
        <f t="shared" si="62"/>
        <v>-4.9902934795021128E-2</v>
      </c>
      <c r="R4030" s="23" t="s">
        <v>1198</v>
      </c>
      <c r="T4030" s="41" t="s">
        <v>6107</v>
      </c>
    </row>
    <row r="4031" spans="1:20" x14ac:dyDescent="0.25">
      <c r="A4031" s="21">
        <v>45779</v>
      </c>
      <c r="B4031" s="1" t="s">
        <v>3960</v>
      </c>
      <c r="C4031" t="s">
        <v>1221</v>
      </c>
      <c r="D4031" s="22">
        <v>-4.37</v>
      </c>
      <c r="E4031" t="s">
        <v>35</v>
      </c>
      <c r="F4031" s="2">
        <v>610148001</v>
      </c>
      <c r="G4031" s="2" t="s">
        <v>42</v>
      </c>
      <c r="L4031" s="2" t="s">
        <v>7154</v>
      </c>
      <c r="M4031" t="s">
        <v>43</v>
      </c>
      <c r="N4031" t="s">
        <v>42</v>
      </c>
      <c r="P4031" s="23">
        <v>87.57</v>
      </c>
      <c r="Q4031" s="4">
        <f t="shared" si="62"/>
        <v>-4.9902934795021128E-2</v>
      </c>
      <c r="R4031" s="23" t="s">
        <v>1198</v>
      </c>
      <c r="T4031" s="41" t="s">
        <v>6107</v>
      </c>
    </row>
    <row r="4032" spans="1:20" x14ac:dyDescent="0.25">
      <c r="A4032" s="21">
        <v>45779</v>
      </c>
      <c r="B4032" s="1" t="s">
        <v>4240</v>
      </c>
      <c r="C4032" t="s">
        <v>1221</v>
      </c>
      <c r="D4032" s="22">
        <v>-500</v>
      </c>
      <c r="E4032" t="s">
        <v>35</v>
      </c>
      <c r="F4032" s="2">
        <v>610148001</v>
      </c>
      <c r="G4032" s="2" t="s">
        <v>42</v>
      </c>
      <c r="L4032" s="2" t="s">
        <v>7155</v>
      </c>
      <c r="M4032" t="s">
        <v>43</v>
      </c>
      <c r="N4032" t="s">
        <v>42</v>
      </c>
      <c r="P4032" s="23">
        <v>87.57</v>
      </c>
      <c r="Q4032" s="4">
        <f t="shared" si="62"/>
        <v>-5.7097179399337676</v>
      </c>
      <c r="R4032" s="23" t="s">
        <v>1198</v>
      </c>
      <c r="T4032" s="41" t="s">
        <v>6107</v>
      </c>
    </row>
    <row r="4033" spans="1:20" x14ac:dyDescent="0.25">
      <c r="A4033" s="21">
        <v>45779</v>
      </c>
      <c r="B4033" s="1" t="s">
        <v>2582</v>
      </c>
      <c r="C4033" t="s">
        <v>1221</v>
      </c>
      <c r="D4033" s="22">
        <v>-10.94</v>
      </c>
      <c r="E4033" t="s">
        <v>35</v>
      </c>
      <c r="F4033" s="2">
        <v>610148001</v>
      </c>
      <c r="G4033" s="2" t="s">
        <v>42</v>
      </c>
      <c r="L4033" s="2" t="s">
        <v>7156</v>
      </c>
      <c r="M4033" t="s">
        <v>43</v>
      </c>
      <c r="N4033" t="s">
        <v>42</v>
      </c>
      <c r="P4033" s="23">
        <v>87.57</v>
      </c>
      <c r="Q4033" s="4">
        <f t="shared" si="62"/>
        <v>-0.12492862852575083</v>
      </c>
      <c r="R4033" s="23" t="s">
        <v>1198</v>
      </c>
      <c r="T4033" s="41" t="s">
        <v>6107</v>
      </c>
    </row>
    <row r="4034" spans="1:20" x14ac:dyDescent="0.25">
      <c r="A4034" s="21">
        <v>45779</v>
      </c>
      <c r="B4034" s="1" t="s">
        <v>3973</v>
      </c>
      <c r="C4034" t="s">
        <v>1221</v>
      </c>
      <c r="D4034" s="22">
        <v>-0.47</v>
      </c>
      <c r="E4034" t="s">
        <v>35</v>
      </c>
      <c r="F4034" s="2">
        <v>610148001</v>
      </c>
      <c r="G4034" s="2" t="s">
        <v>42</v>
      </c>
      <c r="L4034" s="2" t="s">
        <v>7157</v>
      </c>
      <c r="M4034" t="s">
        <v>43</v>
      </c>
      <c r="N4034" t="s">
        <v>42</v>
      </c>
      <c r="P4034" s="23">
        <v>87.57</v>
      </c>
      <c r="Q4034" s="4">
        <f t="shared" si="62"/>
        <v>-5.3671348635377413E-3</v>
      </c>
      <c r="R4034" s="23" t="s">
        <v>1198</v>
      </c>
      <c r="T4034" s="41" t="s">
        <v>6107</v>
      </c>
    </row>
    <row r="4035" spans="1:20" x14ac:dyDescent="0.25">
      <c r="A4035" s="21">
        <v>45779</v>
      </c>
      <c r="B4035" s="1" t="s">
        <v>3955</v>
      </c>
      <c r="C4035" t="s">
        <v>1221</v>
      </c>
      <c r="D4035" s="22">
        <v>-23.06</v>
      </c>
      <c r="E4035" t="s">
        <v>35</v>
      </c>
      <c r="F4035" s="2">
        <v>610148001</v>
      </c>
      <c r="G4035" s="2" t="s">
        <v>42</v>
      </c>
      <c r="L4035" s="2" t="s">
        <v>7158</v>
      </c>
      <c r="M4035" t="s">
        <v>43</v>
      </c>
      <c r="N4035" t="s">
        <v>42</v>
      </c>
      <c r="P4035" s="23">
        <v>87.57</v>
      </c>
      <c r="Q4035" s="4">
        <f t="shared" si="62"/>
        <v>-0.26333219138974534</v>
      </c>
      <c r="R4035" s="23" t="s">
        <v>1198</v>
      </c>
      <c r="T4035" s="41" t="s">
        <v>6107</v>
      </c>
    </row>
    <row r="4036" spans="1:20" x14ac:dyDescent="0.25">
      <c r="A4036" s="21">
        <v>45779</v>
      </c>
      <c r="B4036" s="1" t="s">
        <v>3977</v>
      </c>
      <c r="C4036" t="s">
        <v>1221</v>
      </c>
      <c r="D4036" s="22">
        <v>-4.37</v>
      </c>
      <c r="E4036" t="s">
        <v>35</v>
      </c>
      <c r="F4036" s="2">
        <v>610148001</v>
      </c>
      <c r="G4036" s="2" t="s">
        <v>42</v>
      </c>
      <c r="L4036" s="2" t="s">
        <v>7159</v>
      </c>
      <c r="M4036" t="s">
        <v>43</v>
      </c>
      <c r="N4036" t="s">
        <v>42</v>
      </c>
      <c r="P4036" s="23">
        <v>87.57</v>
      </c>
      <c r="Q4036" s="4">
        <f t="shared" si="62"/>
        <v>-4.9902934795021128E-2</v>
      </c>
      <c r="R4036" s="23" t="s">
        <v>1198</v>
      </c>
      <c r="T4036" s="41" t="s">
        <v>6107</v>
      </c>
    </row>
    <row r="4037" spans="1:20" x14ac:dyDescent="0.25">
      <c r="A4037" s="21">
        <v>45779</v>
      </c>
      <c r="B4037" s="1" t="s">
        <v>1227</v>
      </c>
      <c r="C4037" t="s">
        <v>1221</v>
      </c>
      <c r="D4037" s="22">
        <v>-500</v>
      </c>
      <c r="E4037" t="s">
        <v>35</v>
      </c>
      <c r="F4037" s="2">
        <v>610148001</v>
      </c>
      <c r="G4037" s="2" t="s">
        <v>42</v>
      </c>
      <c r="L4037" s="2" t="s">
        <v>7160</v>
      </c>
      <c r="M4037" t="s">
        <v>43</v>
      </c>
      <c r="N4037" t="s">
        <v>42</v>
      </c>
      <c r="P4037" s="23">
        <v>87.57</v>
      </c>
      <c r="Q4037" s="4">
        <f t="shared" si="62"/>
        <v>-5.7097179399337676</v>
      </c>
      <c r="R4037" s="23" t="s">
        <v>1198</v>
      </c>
      <c r="T4037" s="41" t="s">
        <v>6107</v>
      </c>
    </row>
    <row r="4038" spans="1:20" x14ac:dyDescent="0.25">
      <c r="A4038" s="21">
        <v>45779</v>
      </c>
      <c r="B4038" s="1" t="s">
        <v>1220</v>
      </c>
      <c r="C4038" t="s">
        <v>1221</v>
      </c>
      <c r="D4038" s="22">
        <v>-6.12</v>
      </c>
      <c r="E4038" t="s">
        <v>35</v>
      </c>
      <c r="F4038" s="2">
        <v>610148001</v>
      </c>
      <c r="G4038" s="2" t="s">
        <v>42</v>
      </c>
      <c r="L4038" s="2" t="s">
        <v>7161</v>
      </c>
      <c r="M4038" t="s">
        <v>43</v>
      </c>
      <c r="N4038" t="s">
        <v>42</v>
      </c>
      <c r="P4038" s="23">
        <v>87.57</v>
      </c>
      <c r="Q4038" s="4">
        <f t="shared" si="62"/>
        <v>-6.9886947584789319E-2</v>
      </c>
      <c r="R4038" s="23" t="s">
        <v>1198</v>
      </c>
      <c r="T4038" s="41" t="s">
        <v>6107</v>
      </c>
    </row>
    <row r="4039" spans="1:20" x14ac:dyDescent="0.25">
      <c r="A4039" s="21">
        <v>45779</v>
      </c>
      <c r="B4039" s="1" t="s">
        <v>3965</v>
      </c>
      <c r="C4039" t="s">
        <v>1221</v>
      </c>
      <c r="D4039" s="22">
        <v>-2.1800000000000002</v>
      </c>
      <c r="E4039" t="s">
        <v>35</v>
      </c>
      <c r="F4039" s="2">
        <v>610148001</v>
      </c>
      <c r="G4039" s="2" t="s">
        <v>42</v>
      </c>
      <c r="L4039" s="2" t="s">
        <v>7162</v>
      </c>
      <c r="M4039" t="s">
        <v>43</v>
      </c>
      <c r="N4039" t="s">
        <v>42</v>
      </c>
      <c r="P4039" s="23">
        <v>87.57</v>
      </c>
      <c r="Q4039" s="4">
        <f t="shared" si="62"/>
        <v>-2.4894370218111229E-2</v>
      </c>
      <c r="R4039" s="23" t="s">
        <v>1198</v>
      </c>
      <c r="T4039" s="41" t="s">
        <v>6107</v>
      </c>
    </row>
    <row r="4040" spans="1:20" x14ac:dyDescent="0.25">
      <c r="A4040" s="21">
        <v>45779</v>
      </c>
      <c r="B4040" s="1" t="s">
        <v>7163</v>
      </c>
      <c r="C4040" t="s">
        <v>7164</v>
      </c>
      <c r="D4040" s="22">
        <v>-66656.38</v>
      </c>
      <c r="E4040" t="s">
        <v>35</v>
      </c>
      <c r="F4040" s="2">
        <v>213401001</v>
      </c>
      <c r="G4040" s="2" t="s">
        <v>126</v>
      </c>
      <c r="L4040" s="2" t="s">
        <v>7165</v>
      </c>
      <c r="M4040" t="s">
        <v>128</v>
      </c>
      <c r="N4040" t="s">
        <v>129</v>
      </c>
      <c r="P4040" s="23">
        <v>87.57</v>
      </c>
      <c r="Q4040" s="4">
        <f t="shared" si="62"/>
        <v>-761.17825739408488</v>
      </c>
      <c r="R4040" s="23" t="s">
        <v>1198</v>
      </c>
      <c r="T4040" s="23" t="s">
        <v>7166</v>
      </c>
    </row>
    <row r="4041" spans="1:20" x14ac:dyDescent="0.25">
      <c r="A4041" s="21">
        <v>45782</v>
      </c>
      <c r="B4041" s="1" t="s">
        <v>7167</v>
      </c>
      <c r="C4041" t="s">
        <v>7168</v>
      </c>
      <c r="D4041" s="22">
        <v>-181.74</v>
      </c>
      <c r="E4041" t="s">
        <v>35</v>
      </c>
      <c r="F4041" s="2">
        <v>213201001</v>
      </c>
      <c r="G4041" s="2" t="s">
        <v>1245</v>
      </c>
      <c r="L4041" s="2" t="s">
        <v>7169</v>
      </c>
      <c r="M4041" t="s">
        <v>1247</v>
      </c>
      <c r="N4041" t="s">
        <v>1248</v>
      </c>
      <c r="P4041" s="23">
        <v>88.64</v>
      </c>
      <c r="Q4041" s="4">
        <f t="shared" si="62"/>
        <v>-2.0503158844765346</v>
      </c>
      <c r="R4041" s="23" t="s">
        <v>1198</v>
      </c>
      <c r="T4041" s="41" t="s">
        <v>7170</v>
      </c>
    </row>
    <row r="4042" spans="1:20" x14ac:dyDescent="0.25">
      <c r="A4042" s="21">
        <v>45782</v>
      </c>
      <c r="B4042" s="1" t="s">
        <v>7171</v>
      </c>
      <c r="C4042" t="s">
        <v>7172</v>
      </c>
      <c r="D4042" s="22">
        <v>-1930.5</v>
      </c>
      <c r="E4042" t="s">
        <v>35</v>
      </c>
      <c r="F4042" s="2">
        <v>213101001</v>
      </c>
      <c r="G4042" s="2" t="s">
        <v>1252</v>
      </c>
      <c r="L4042" s="2" t="s">
        <v>7173</v>
      </c>
      <c r="M4042" t="s">
        <v>1254</v>
      </c>
      <c r="N4042" t="s">
        <v>1255</v>
      </c>
      <c r="P4042" s="23">
        <v>88.64</v>
      </c>
      <c r="Q4042" s="4">
        <f t="shared" si="62"/>
        <v>-21.779106498194945</v>
      </c>
      <c r="R4042" s="23" t="s">
        <v>1198</v>
      </c>
    </row>
    <row r="4043" spans="1:20" x14ac:dyDescent="0.25">
      <c r="A4043" s="32">
        <v>45783</v>
      </c>
      <c r="B4043" s="26" t="s">
        <v>7174</v>
      </c>
      <c r="C4043" s="27" t="s">
        <v>7175</v>
      </c>
      <c r="D4043" s="28">
        <v>-18631.689999999999</v>
      </c>
      <c r="E4043" s="27" t="s">
        <v>35</v>
      </c>
      <c r="F4043" s="29">
        <v>610122005</v>
      </c>
      <c r="G4043" s="29" t="s">
        <v>765</v>
      </c>
      <c r="H4043" s="107"/>
      <c r="I4043" s="101"/>
      <c r="J4043" s="101"/>
      <c r="K4043" s="29"/>
      <c r="L4043" s="2" t="s">
        <v>7176</v>
      </c>
      <c r="M4043" s="27" t="s">
        <v>1202</v>
      </c>
      <c r="N4043" s="27" t="s">
        <v>1203</v>
      </c>
      <c r="O4043" s="27" t="s">
        <v>59</v>
      </c>
      <c r="P4043" s="31">
        <v>88.72</v>
      </c>
      <c r="Q4043" s="4">
        <f t="shared" ref="Q4043:Q4106" si="63">D4043/P4043</f>
        <v>-210.005522993688</v>
      </c>
      <c r="R4043" s="23" t="s">
        <v>1198</v>
      </c>
      <c r="T4043" s="23" t="s">
        <v>7177</v>
      </c>
    </row>
    <row r="4044" spans="1:20" x14ac:dyDescent="0.25">
      <c r="A4044" s="21">
        <v>45783</v>
      </c>
      <c r="B4044" s="1" t="s">
        <v>7178</v>
      </c>
      <c r="C4044" t="s">
        <v>1206</v>
      </c>
      <c r="D4044" s="22">
        <v>-18.63</v>
      </c>
      <c r="E4044" t="s">
        <v>35</v>
      </c>
      <c r="F4044" s="2">
        <v>610148001</v>
      </c>
      <c r="G4044" s="2" t="s">
        <v>42</v>
      </c>
      <c r="L4044" s="2" t="s">
        <v>7179</v>
      </c>
      <c r="M4044" t="s">
        <v>43</v>
      </c>
      <c r="N4044" t="s">
        <v>42</v>
      </c>
      <c r="P4044" s="23">
        <v>88.72</v>
      </c>
      <c r="Q4044" s="4">
        <f t="shared" si="63"/>
        <v>-0.20998647430117223</v>
      </c>
      <c r="R4044" s="23" t="s">
        <v>1198</v>
      </c>
      <c r="T4044" s="41" t="s">
        <v>6107</v>
      </c>
    </row>
    <row r="4045" spans="1:20" x14ac:dyDescent="0.25">
      <c r="A4045" s="21">
        <v>45783</v>
      </c>
      <c r="B4045" s="1" t="s">
        <v>7180</v>
      </c>
      <c r="C4045" t="s">
        <v>7181</v>
      </c>
      <c r="D4045" s="22">
        <v>-119900</v>
      </c>
      <c r="E4045" t="s">
        <v>35</v>
      </c>
      <c r="F4045" s="2">
        <v>210101001</v>
      </c>
      <c r="G4045" s="2" t="s">
        <v>36</v>
      </c>
      <c r="L4045" s="2" t="s">
        <v>7182</v>
      </c>
      <c r="M4045" t="s">
        <v>1866</v>
      </c>
      <c r="N4045" t="s">
        <v>1867</v>
      </c>
      <c r="P4045" s="23">
        <v>88.72</v>
      </c>
      <c r="Q4045" s="4">
        <f t="shared" si="63"/>
        <v>-1351.4427412082957</v>
      </c>
      <c r="R4045" s="23" t="s">
        <v>1198</v>
      </c>
    </row>
    <row r="4046" spans="1:20" x14ac:dyDescent="0.25">
      <c r="A4046" s="21">
        <v>45783</v>
      </c>
      <c r="B4046" s="1" t="s">
        <v>7183</v>
      </c>
      <c r="C4046" t="s">
        <v>1221</v>
      </c>
      <c r="D4046" s="22">
        <v>-299.75</v>
      </c>
      <c r="E4046" t="s">
        <v>35</v>
      </c>
      <c r="F4046" s="2">
        <v>610148001</v>
      </c>
      <c r="G4046" s="2" t="s">
        <v>42</v>
      </c>
      <c r="L4046" s="2" t="s">
        <v>7184</v>
      </c>
      <c r="M4046" t="s">
        <v>43</v>
      </c>
      <c r="N4046" t="s">
        <v>42</v>
      </c>
      <c r="P4046" s="23">
        <v>88.72</v>
      </c>
      <c r="Q4046" s="4">
        <f t="shared" si="63"/>
        <v>-3.3786068530207394</v>
      </c>
      <c r="R4046" s="23" t="s">
        <v>1198</v>
      </c>
      <c r="T4046" s="41" t="s">
        <v>6107</v>
      </c>
    </row>
    <row r="4047" spans="1:20" x14ac:dyDescent="0.25">
      <c r="A4047" s="21">
        <v>45784</v>
      </c>
      <c r="B4047" s="1" t="s">
        <v>7185</v>
      </c>
      <c r="C4047" t="s">
        <v>544</v>
      </c>
      <c r="D4047" s="22">
        <v>900000</v>
      </c>
      <c r="E4047" t="s">
        <v>46</v>
      </c>
      <c r="F4047" s="2">
        <v>210115002</v>
      </c>
      <c r="G4047" s="2" t="s">
        <v>47</v>
      </c>
      <c r="L4047" s="2" t="s">
        <v>7186</v>
      </c>
      <c r="N4047" t="s">
        <v>544</v>
      </c>
      <c r="P4047" s="23">
        <v>91.21</v>
      </c>
      <c r="Q4047" s="4">
        <f t="shared" si="63"/>
        <v>9867.3391075539967</v>
      </c>
      <c r="R4047" s="23" t="s">
        <v>1198</v>
      </c>
    </row>
    <row r="4048" spans="1:20" x14ac:dyDescent="0.25">
      <c r="A4048" s="21">
        <v>45784</v>
      </c>
      <c r="B4048" s="1" t="s">
        <v>1214</v>
      </c>
      <c r="C4048" t="s">
        <v>7187</v>
      </c>
      <c r="D4048" s="22">
        <v>-200000</v>
      </c>
      <c r="E4048" t="s">
        <v>35</v>
      </c>
      <c r="F4048" s="2">
        <v>210101001</v>
      </c>
      <c r="G4048" s="2" t="s">
        <v>36</v>
      </c>
      <c r="L4048" s="2" t="s">
        <v>7188</v>
      </c>
      <c r="M4048" t="s">
        <v>38</v>
      </c>
      <c r="N4048" t="s">
        <v>39</v>
      </c>
      <c r="P4048" s="23">
        <v>91.21</v>
      </c>
      <c r="Q4048" s="4">
        <f t="shared" si="63"/>
        <v>-2192.7420239008884</v>
      </c>
      <c r="R4048" s="23" t="s">
        <v>1198</v>
      </c>
    </row>
    <row r="4049" spans="1:20" x14ac:dyDescent="0.25">
      <c r="A4049" s="21">
        <v>45784</v>
      </c>
      <c r="B4049" s="1" t="s">
        <v>2573</v>
      </c>
      <c r="C4049" t="s">
        <v>7189</v>
      </c>
      <c r="D4049" s="22">
        <v>-44681.47</v>
      </c>
      <c r="E4049" t="s">
        <v>35</v>
      </c>
      <c r="F4049" s="2">
        <v>210101001</v>
      </c>
      <c r="G4049" s="2" t="s">
        <v>36</v>
      </c>
      <c r="L4049" s="2" t="s">
        <v>7190</v>
      </c>
      <c r="M4049" t="s">
        <v>788</v>
      </c>
      <c r="N4049" t="s">
        <v>789</v>
      </c>
      <c r="P4049" s="23">
        <v>91.21</v>
      </c>
      <c r="Q4049" s="4">
        <f t="shared" si="63"/>
        <v>-489.8746847933341</v>
      </c>
      <c r="R4049" s="23" t="s">
        <v>1198</v>
      </c>
    </row>
    <row r="4050" spans="1:20" x14ac:dyDescent="0.25">
      <c r="A4050" s="21">
        <v>45784</v>
      </c>
      <c r="B4050" s="1" t="s">
        <v>3924</v>
      </c>
      <c r="C4050" t="s">
        <v>7189</v>
      </c>
      <c r="D4050" s="22">
        <v>-200000</v>
      </c>
      <c r="E4050" t="s">
        <v>35</v>
      </c>
      <c r="F4050" s="2">
        <v>210101001</v>
      </c>
      <c r="G4050" s="2" t="s">
        <v>36</v>
      </c>
      <c r="L4050" s="2" t="s">
        <v>7191</v>
      </c>
      <c r="M4050" t="s">
        <v>788</v>
      </c>
      <c r="N4050" t="s">
        <v>789</v>
      </c>
      <c r="P4050" s="23">
        <v>91.21</v>
      </c>
      <c r="Q4050" s="4">
        <f t="shared" si="63"/>
        <v>-2192.7420239008884</v>
      </c>
      <c r="R4050" s="23" t="s">
        <v>1198</v>
      </c>
    </row>
    <row r="4051" spans="1:20" x14ac:dyDescent="0.25">
      <c r="A4051" s="21">
        <v>45784</v>
      </c>
      <c r="B4051" s="1" t="s">
        <v>3933</v>
      </c>
      <c r="C4051" t="s">
        <v>7189</v>
      </c>
      <c r="D4051" s="22">
        <v>-200000</v>
      </c>
      <c r="E4051" t="s">
        <v>35</v>
      </c>
      <c r="F4051" s="2">
        <v>210101001</v>
      </c>
      <c r="G4051" s="2" t="s">
        <v>36</v>
      </c>
      <c r="L4051" s="2" t="s">
        <v>7192</v>
      </c>
      <c r="M4051" t="s">
        <v>788</v>
      </c>
      <c r="N4051" t="s">
        <v>789</v>
      </c>
      <c r="P4051" s="23">
        <v>91.21</v>
      </c>
      <c r="Q4051" s="4">
        <f t="shared" si="63"/>
        <v>-2192.7420239008884</v>
      </c>
      <c r="R4051" s="23" t="s">
        <v>1198</v>
      </c>
    </row>
    <row r="4052" spans="1:20" x14ac:dyDescent="0.25">
      <c r="A4052" s="21">
        <v>45784</v>
      </c>
      <c r="B4052" s="1" t="s">
        <v>1217</v>
      </c>
      <c r="C4052" t="s">
        <v>7193</v>
      </c>
      <c r="D4052" s="22">
        <v>-7380.59</v>
      </c>
      <c r="E4052" t="s">
        <v>35</v>
      </c>
      <c r="F4052" s="2">
        <v>210101001</v>
      </c>
      <c r="G4052" s="2" t="s">
        <v>36</v>
      </c>
      <c r="L4052" s="2" t="s">
        <v>7194</v>
      </c>
      <c r="M4052" t="s">
        <v>303</v>
      </c>
      <c r="N4052" t="s">
        <v>304</v>
      </c>
      <c r="P4052" s="23">
        <v>91.21</v>
      </c>
      <c r="Q4052" s="4">
        <f t="shared" si="63"/>
        <v>-80.918649270913278</v>
      </c>
      <c r="R4052" s="23" t="s">
        <v>1198</v>
      </c>
    </row>
    <row r="4053" spans="1:20" x14ac:dyDescent="0.25">
      <c r="A4053" s="21">
        <v>45784</v>
      </c>
      <c r="B4053" s="1" t="s">
        <v>1208</v>
      </c>
      <c r="C4053" t="s">
        <v>7187</v>
      </c>
      <c r="D4053" s="22">
        <v>-13347.68</v>
      </c>
      <c r="E4053" t="s">
        <v>35</v>
      </c>
      <c r="F4053" s="2">
        <v>210101001</v>
      </c>
      <c r="G4053" s="2" t="s">
        <v>36</v>
      </c>
      <c r="L4053" s="2" t="s">
        <v>7195</v>
      </c>
      <c r="M4053" t="s">
        <v>38</v>
      </c>
      <c r="N4053" t="s">
        <v>39</v>
      </c>
      <c r="P4053" s="23">
        <v>91.21</v>
      </c>
      <c r="Q4053" s="4">
        <f t="shared" si="63"/>
        <v>-146.34009428790705</v>
      </c>
      <c r="R4053" s="23" t="s">
        <v>1198</v>
      </c>
    </row>
    <row r="4054" spans="1:20" x14ac:dyDescent="0.25">
      <c r="A4054" s="21">
        <v>45784</v>
      </c>
      <c r="B4054" s="1" t="s">
        <v>1211</v>
      </c>
      <c r="C4054" t="s">
        <v>7196</v>
      </c>
      <c r="D4054" s="22">
        <v>-50256.71</v>
      </c>
      <c r="E4054" t="s">
        <v>35</v>
      </c>
      <c r="F4054" s="2">
        <v>210101001</v>
      </c>
      <c r="G4054" s="2" t="s">
        <v>36</v>
      </c>
      <c r="L4054" s="2" t="s">
        <v>7197</v>
      </c>
      <c r="M4054" t="s">
        <v>38</v>
      </c>
      <c r="N4054" t="s">
        <v>39</v>
      </c>
      <c r="P4054" s="23">
        <v>91.21</v>
      </c>
      <c r="Q4054" s="4">
        <f t="shared" si="63"/>
        <v>-551</v>
      </c>
      <c r="R4054" s="23" t="s">
        <v>1198</v>
      </c>
    </row>
    <row r="4055" spans="1:20" x14ac:dyDescent="0.25">
      <c r="A4055" s="21">
        <v>45784</v>
      </c>
      <c r="B4055" s="1" t="s">
        <v>3930</v>
      </c>
      <c r="C4055" t="s">
        <v>7198</v>
      </c>
      <c r="D4055" s="22">
        <v>-41758.550000000003</v>
      </c>
      <c r="E4055" t="s">
        <v>35</v>
      </c>
      <c r="F4055" s="2">
        <v>210101001</v>
      </c>
      <c r="G4055" s="2" t="s">
        <v>36</v>
      </c>
      <c r="L4055" s="2" t="s">
        <v>7199</v>
      </c>
      <c r="M4055" t="s">
        <v>760</v>
      </c>
      <c r="N4055" t="s">
        <v>761</v>
      </c>
      <c r="P4055" s="23">
        <v>91.21</v>
      </c>
      <c r="Q4055" s="4">
        <f t="shared" si="63"/>
        <v>-457.8286372108322</v>
      </c>
      <c r="R4055" s="23" t="s">
        <v>1198</v>
      </c>
    </row>
    <row r="4056" spans="1:20" x14ac:dyDescent="0.25">
      <c r="A4056" s="21">
        <v>45784</v>
      </c>
      <c r="B4056" s="1" t="s">
        <v>3952</v>
      </c>
      <c r="C4056" t="s">
        <v>7189</v>
      </c>
      <c r="D4056" s="22">
        <v>-200000</v>
      </c>
      <c r="E4056" t="s">
        <v>35</v>
      </c>
      <c r="F4056" s="2">
        <v>210101001</v>
      </c>
      <c r="G4056" s="2" t="s">
        <v>36</v>
      </c>
      <c r="L4056" s="2" t="s">
        <v>7200</v>
      </c>
      <c r="M4056" t="s">
        <v>788</v>
      </c>
      <c r="N4056" t="s">
        <v>789</v>
      </c>
      <c r="P4056" s="23">
        <v>91.21</v>
      </c>
      <c r="Q4056" s="4">
        <f t="shared" si="63"/>
        <v>-2192.7420239008884</v>
      </c>
      <c r="R4056" s="23" t="s">
        <v>1198</v>
      </c>
    </row>
    <row r="4057" spans="1:20" x14ac:dyDescent="0.25">
      <c r="A4057" s="21">
        <v>45784</v>
      </c>
      <c r="B4057" s="1" t="s">
        <v>2571</v>
      </c>
      <c r="C4057" t="s">
        <v>7201</v>
      </c>
      <c r="D4057" s="22">
        <v>-26821.21</v>
      </c>
      <c r="E4057" t="s">
        <v>35</v>
      </c>
      <c r="F4057" s="2">
        <v>210101001</v>
      </c>
      <c r="G4057" s="2" t="s">
        <v>36</v>
      </c>
      <c r="L4057" s="2" t="s">
        <v>7202</v>
      </c>
      <c r="M4057" t="s">
        <v>38</v>
      </c>
      <c r="N4057" t="s">
        <v>39</v>
      </c>
      <c r="P4057" s="23">
        <v>91.21</v>
      </c>
      <c r="Q4057" s="4">
        <f t="shared" si="63"/>
        <v>-294.0599714943537</v>
      </c>
      <c r="R4057" s="23" t="s">
        <v>1198</v>
      </c>
    </row>
    <row r="4058" spans="1:20" x14ac:dyDescent="0.25">
      <c r="A4058" s="21">
        <v>45784</v>
      </c>
      <c r="B4058" s="1" t="s">
        <v>3967</v>
      </c>
      <c r="C4058" t="s">
        <v>1221</v>
      </c>
      <c r="D4058" s="22">
        <v>-500</v>
      </c>
      <c r="E4058" t="s">
        <v>35</v>
      </c>
      <c r="F4058" s="2">
        <v>610148001</v>
      </c>
      <c r="G4058" s="2" t="s">
        <v>42</v>
      </c>
      <c r="L4058" s="2" t="s">
        <v>7203</v>
      </c>
      <c r="M4058" t="s">
        <v>43</v>
      </c>
      <c r="N4058" t="s">
        <v>42</v>
      </c>
      <c r="P4058" s="23">
        <v>91.21</v>
      </c>
      <c r="Q4058" s="4">
        <f t="shared" si="63"/>
        <v>-5.4818550597522204</v>
      </c>
      <c r="R4058" s="23" t="s">
        <v>1198</v>
      </c>
      <c r="T4058" s="41" t="s">
        <v>6107</v>
      </c>
    </row>
    <row r="4059" spans="1:20" x14ac:dyDescent="0.25">
      <c r="A4059" s="21">
        <v>45784</v>
      </c>
      <c r="B4059" s="1" t="s">
        <v>3965</v>
      </c>
      <c r="C4059" t="s">
        <v>1221</v>
      </c>
      <c r="D4059" s="22">
        <v>-500</v>
      </c>
      <c r="E4059" t="s">
        <v>35</v>
      </c>
      <c r="F4059" s="2">
        <v>610148001</v>
      </c>
      <c r="G4059" s="2" t="s">
        <v>42</v>
      </c>
      <c r="L4059" s="2" t="s">
        <v>7204</v>
      </c>
      <c r="M4059" t="s">
        <v>43</v>
      </c>
      <c r="N4059" t="s">
        <v>42</v>
      </c>
      <c r="P4059" s="23">
        <v>91.21</v>
      </c>
      <c r="Q4059" s="4">
        <f t="shared" si="63"/>
        <v>-5.4818550597522204</v>
      </c>
      <c r="R4059" s="23" t="s">
        <v>1198</v>
      </c>
      <c r="T4059" s="41" t="s">
        <v>6107</v>
      </c>
    </row>
    <row r="4060" spans="1:20" x14ac:dyDescent="0.25">
      <c r="A4060" s="21">
        <v>45784</v>
      </c>
      <c r="B4060" s="1" t="s">
        <v>1227</v>
      </c>
      <c r="C4060" t="s">
        <v>1221</v>
      </c>
      <c r="D4060" s="22">
        <v>-125.64</v>
      </c>
      <c r="E4060" t="s">
        <v>35</v>
      </c>
      <c r="F4060" s="2">
        <v>610148001</v>
      </c>
      <c r="G4060" s="2" t="s">
        <v>42</v>
      </c>
      <c r="L4060" s="2" t="s">
        <v>7205</v>
      </c>
      <c r="M4060" t="s">
        <v>43</v>
      </c>
      <c r="N4060" t="s">
        <v>42</v>
      </c>
      <c r="P4060" s="23">
        <v>91.21</v>
      </c>
      <c r="Q4060" s="4">
        <f t="shared" si="63"/>
        <v>-1.377480539414538</v>
      </c>
      <c r="R4060" s="23" t="s">
        <v>1198</v>
      </c>
      <c r="T4060" s="41" t="s">
        <v>6107</v>
      </c>
    </row>
    <row r="4061" spans="1:20" x14ac:dyDescent="0.25">
      <c r="A4061" s="21">
        <v>45784</v>
      </c>
      <c r="B4061" s="1" t="s">
        <v>1220</v>
      </c>
      <c r="C4061" t="s">
        <v>1221</v>
      </c>
      <c r="D4061" s="22">
        <v>-18.45</v>
      </c>
      <c r="E4061" t="s">
        <v>35</v>
      </c>
      <c r="F4061" s="2">
        <v>610148001</v>
      </c>
      <c r="G4061" s="2" t="s">
        <v>42</v>
      </c>
      <c r="L4061" s="2" t="s">
        <v>7206</v>
      </c>
      <c r="M4061" t="s">
        <v>43</v>
      </c>
      <c r="N4061" t="s">
        <v>42</v>
      </c>
      <c r="P4061" s="23">
        <v>91.21</v>
      </c>
      <c r="Q4061" s="4">
        <f t="shared" si="63"/>
        <v>-0.20228045170485692</v>
      </c>
      <c r="R4061" s="23" t="s">
        <v>1198</v>
      </c>
      <c r="T4061" s="41" t="s">
        <v>6107</v>
      </c>
    </row>
    <row r="4062" spans="1:20" x14ac:dyDescent="0.25">
      <c r="A4062" s="21">
        <v>45784</v>
      </c>
      <c r="B4062" s="1" t="s">
        <v>1225</v>
      </c>
      <c r="C4062" t="s">
        <v>1221</v>
      </c>
      <c r="D4062" s="22">
        <v>-500</v>
      </c>
      <c r="E4062" t="s">
        <v>35</v>
      </c>
      <c r="F4062" s="2">
        <v>610148001</v>
      </c>
      <c r="G4062" s="2" t="s">
        <v>42</v>
      </c>
      <c r="L4062" s="2" t="s">
        <v>7207</v>
      </c>
      <c r="M4062" t="s">
        <v>43</v>
      </c>
      <c r="N4062" t="s">
        <v>42</v>
      </c>
      <c r="P4062" s="23">
        <v>91.21</v>
      </c>
      <c r="Q4062" s="4">
        <f t="shared" si="63"/>
        <v>-5.4818550597522204</v>
      </c>
      <c r="R4062" s="23" t="s">
        <v>1198</v>
      </c>
      <c r="T4062" s="41" t="s">
        <v>6107</v>
      </c>
    </row>
    <row r="4063" spans="1:20" x14ac:dyDescent="0.25">
      <c r="A4063" s="21">
        <v>45784</v>
      </c>
      <c r="B4063" s="1" t="s">
        <v>2582</v>
      </c>
      <c r="C4063" t="s">
        <v>1221</v>
      </c>
      <c r="D4063" s="22">
        <v>-111.7</v>
      </c>
      <c r="E4063" t="s">
        <v>35</v>
      </c>
      <c r="F4063" s="2">
        <v>610148001</v>
      </c>
      <c r="G4063" s="2" t="s">
        <v>42</v>
      </c>
      <c r="L4063" s="2" t="s">
        <v>7208</v>
      </c>
      <c r="M4063" t="s">
        <v>43</v>
      </c>
      <c r="N4063" t="s">
        <v>42</v>
      </c>
      <c r="P4063" s="23">
        <v>91.21</v>
      </c>
      <c r="Q4063" s="4">
        <f t="shared" si="63"/>
        <v>-1.224646420348646</v>
      </c>
      <c r="R4063" s="23" t="s">
        <v>1198</v>
      </c>
      <c r="T4063" s="41" t="s">
        <v>6107</v>
      </c>
    </row>
    <row r="4064" spans="1:20" x14ac:dyDescent="0.25">
      <c r="A4064" s="21">
        <v>45784</v>
      </c>
      <c r="B4064" s="1" t="s">
        <v>3969</v>
      </c>
      <c r="C4064" t="s">
        <v>1221</v>
      </c>
      <c r="D4064" s="22">
        <v>-104.39</v>
      </c>
      <c r="E4064" t="s">
        <v>35</v>
      </c>
      <c r="F4064" s="2">
        <v>610148001</v>
      </c>
      <c r="G4064" s="2" t="s">
        <v>42</v>
      </c>
      <c r="L4064" s="2" t="s">
        <v>7209</v>
      </c>
      <c r="M4064" t="s">
        <v>43</v>
      </c>
      <c r="N4064" t="s">
        <v>42</v>
      </c>
      <c r="P4064" s="23">
        <v>91.21</v>
      </c>
      <c r="Q4064" s="4">
        <f t="shared" si="63"/>
        <v>-1.1445016993750685</v>
      </c>
      <c r="R4064" s="23" t="s">
        <v>1198</v>
      </c>
      <c r="T4064" s="41" t="s">
        <v>6107</v>
      </c>
    </row>
    <row r="4065" spans="1:20" x14ac:dyDescent="0.25">
      <c r="A4065" s="21">
        <v>45784</v>
      </c>
      <c r="B4065" s="1" t="s">
        <v>3958</v>
      </c>
      <c r="C4065" t="s">
        <v>1221</v>
      </c>
      <c r="D4065" s="22">
        <v>-500</v>
      </c>
      <c r="E4065" t="s">
        <v>35</v>
      </c>
      <c r="F4065" s="2">
        <v>610148001</v>
      </c>
      <c r="G4065" s="2" t="s">
        <v>42</v>
      </c>
      <c r="L4065" s="2" t="s">
        <v>7210</v>
      </c>
      <c r="M4065" t="s">
        <v>43</v>
      </c>
      <c r="N4065" t="s">
        <v>42</v>
      </c>
      <c r="P4065" s="23">
        <v>91.21</v>
      </c>
      <c r="Q4065" s="4">
        <f t="shared" si="63"/>
        <v>-5.4818550597522204</v>
      </c>
      <c r="R4065" s="23" t="s">
        <v>1198</v>
      </c>
      <c r="T4065" s="41" t="s">
        <v>6107</v>
      </c>
    </row>
    <row r="4066" spans="1:20" x14ac:dyDescent="0.25">
      <c r="A4066" s="21">
        <v>45784</v>
      </c>
      <c r="B4066" s="1" t="s">
        <v>2585</v>
      </c>
      <c r="C4066" t="s">
        <v>1221</v>
      </c>
      <c r="D4066" s="22">
        <v>-67.05</v>
      </c>
      <c r="E4066" t="s">
        <v>35</v>
      </c>
      <c r="F4066" s="2">
        <v>610148001</v>
      </c>
      <c r="G4066" s="2" t="s">
        <v>42</v>
      </c>
      <c r="L4066" s="2" t="s">
        <v>7211</v>
      </c>
      <c r="M4066" t="s">
        <v>43</v>
      </c>
      <c r="N4066" t="s">
        <v>42</v>
      </c>
      <c r="P4066" s="23">
        <v>91.21</v>
      </c>
      <c r="Q4066" s="4">
        <f t="shared" si="63"/>
        <v>-0.73511676351277278</v>
      </c>
      <c r="R4066" s="23" t="s">
        <v>1198</v>
      </c>
      <c r="T4066" s="41" t="s">
        <v>6107</v>
      </c>
    </row>
    <row r="4067" spans="1:20" x14ac:dyDescent="0.25">
      <c r="A4067" s="21">
        <v>45784</v>
      </c>
      <c r="B4067" s="1" t="s">
        <v>1223</v>
      </c>
      <c r="C4067" t="s">
        <v>1221</v>
      </c>
      <c r="D4067" s="22">
        <v>-33.36</v>
      </c>
      <c r="E4067" t="s">
        <v>35</v>
      </c>
      <c r="F4067" s="2">
        <v>610148001</v>
      </c>
      <c r="G4067" s="2" t="s">
        <v>42</v>
      </c>
      <c r="L4067" s="2" t="s">
        <v>7212</v>
      </c>
      <c r="M4067" t="s">
        <v>43</v>
      </c>
      <c r="N4067" t="s">
        <v>42</v>
      </c>
      <c r="P4067" s="23">
        <v>91.21</v>
      </c>
      <c r="Q4067" s="4">
        <f t="shared" si="63"/>
        <v>-0.36574936958666815</v>
      </c>
      <c r="R4067" s="23" t="s">
        <v>1198</v>
      </c>
      <c r="T4067" s="41" t="s">
        <v>6107</v>
      </c>
    </row>
    <row r="4068" spans="1:20" x14ac:dyDescent="0.25">
      <c r="A4068" s="21">
        <v>45786</v>
      </c>
      <c r="B4068" s="1" t="s">
        <v>1208</v>
      </c>
      <c r="C4068" t="s">
        <v>7213</v>
      </c>
      <c r="D4068" s="22">
        <v>-7426.4</v>
      </c>
      <c r="E4068" t="s">
        <v>35</v>
      </c>
      <c r="F4068" s="2">
        <v>212901001</v>
      </c>
      <c r="G4068" s="2" t="s">
        <v>121</v>
      </c>
      <c r="L4068" s="2" t="s">
        <v>7214</v>
      </c>
      <c r="M4068" t="s">
        <v>67</v>
      </c>
      <c r="N4068" t="s">
        <v>68</v>
      </c>
      <c r="P4068" s="23">
        <v>92.83</v>
      </c>
      <c r="Q4068" s="4">
        <f t="shared" si="63"/>
        <v>-80</v>
      </c>
      <c r="R4068" s="23" t="s">
        <v>1198</v>
      </c>
    </row>
    <row r="4069" spans="1:20" x14ac:dyDescent="0.25">
      <c r="A4069" s="21">
        <v>45786</v>
      </c>
      <c r="B4069" s="1" t="s">
        <v>1211</v>
      </c>
      <c r="C4069" t="s">
        <v>7215</v>
      </c>
      <c r="D4069" s="22">
        <v>-5569.8</v>
      </c>
      <c r="E4069" t="s">
        <v>35</v>
      </c>
      <c r="F4069" s="2">
        <v>212901001</v>
      </c>
      <c r="G4069" s="2" t="s">
        <v>121</v>
      </c>
      <c r="L4069" s="2" t="s">
        <v>7216</v>
      </c>
      <c r="M4069" t="s">
        <v>67</v>
      </c>
      <c r="N4069" t="s">
        <v>68</v>
      </c>
      <c r="P4069" s="23">
        <v>92.83</v>
      </c>
      <c r="Q4069" s="4">
        <f t="shared" si="63"/>
        <v>-60</v>
      </c>
      <c r="R4069" s="23" t="s">
        <v>1198</v>
      </c>
    </row>
    <row r="4070" spans="1:20" x14ac:dyDescent="0.25">
      <c r="A4070" s="21">
        <v>45786</v>
      </c>
      <c r="B4070" s="1" t="s">
        <v>1214</v>
      </c>
      <c r="C4070" t="s">
        <v>7217</v>
      </c>
      <c r="D4070" s="22">
        <v>-5569.8</v>
      </c>
      <c r="E4070" t="s">
        <v>35</v>
      </c>
      <c r="F4070" s="2">
        <v>212901001</v>
      </c>
      <c r="G4070" s="2" t="s">
        <v>121</v>
      </c>
      <c r="L4070" s="2" t="s">
        <v>7218</v>
      </c>
      <c r="M4070" t="s">
        <v>67</v>
      </c>
      <c r="N4070" t="s">
        <v>68</v>
      </c>
      <c r="P4070" s="23">
        <v>92.83</v>
      </c>
      <c r="Q4070" s="4">
        <f t="shared" si="63"/>
        <v>-60</v>
      </c>
      <c r="R4070" s="23" t="s">
        <v>1198</v>
      </c>
    </row>
    <row r="4071" spans="1:20" x14ac:dyDescent="0.25">
      <c r="A4071" s="21">
        <v>45786</v>
      </c>
      <c r="B4071" s="1" t="s">
        <v>1217</v>
      </c>
      <c r="C4071" t="s">
        <v>7219</v>
      </c>
      <c r="D4071" s="22">
        <v>-5569.8</v>
      </c>
      <c r="E4071" t="s">
        <v>35</v>
      </c>
      <c r="F4071" s="2">
        <v>212901001</v>
      </c>
      <c r="G4071" s="2" t="s">
        <v>121</v>
      </c>
      <c r="L4071" s="2" t="s">
        <v>7220</v>
      </c>
      <c r="M4071" t="s">
        <v>67</v>
      </c>
      <c r="N4071" t="s">
        <v>68</v>
      </c>
      <c r="P4071" s="23">
        <v>92.83</v>
      </c>
      <c r="Q4071" s="4">
        <f t="shared" si="63"/>
        <v>-60</v>
      </c>
      <c r="R4071" s="23" t="s">
        <v>1198</v>
      </c>
    </row>
    <row r="4072" spans="1:20" x14ac:dyDescent="0.25">
      <c r="A4072" s="21">
        <v>45786</v>
      </c>
      <c r="B4072" s="1" t="s">
        <v>2573</v>
      </c>
      <c r="C4072" t="s">
        <v>7221</v>
      </c>
      <c r="D4072" s="22">
        <v>-5569.8</v>
      </c>
      <c r="E4072" t="s">
        <v>35</v>
      </c>
      <c r="F4072" s="2">
        <v>212901001</v>
      </c>
      <c r="G4072" s="2" t="s">
        <v>121</v>
      </c>
      <c r="L4072" s="2" t="s">
        <v>7222</v>
      </c>
      <c r="M4072" t="s">
        <v>67</v>
      </c>
      <c r="N4072" t="s">
        <v>68</v>
      </c>
      <c r="P4072" s="23">
        <v>92.83</v>
      </c>
      <c r="Q4072" s="4">
        <f t="shared" si="63"/>
        <v>-60</v>
      </c>
      <c r="R4072" s="23" t="s">
        <v>1198</v>
      </c>
    </row>
    <row r="4073" spans="1:20" x14ac:dyDescent="0.25">
      <c r="A4073" s="21">
        <v>45786</v>
      </c>
      <c r="B4073" s="1" t="s">
        <v>2571</v>
      </c>
      <c r="C4073" t="s">
        <v>7223</v>
      </c>
      <c r="D4073" s="22">
        <v>-5569.8</v>
      </c>
      <c r="E4073" t="s">
        <v>35</v>
      </c>
      <c r="F4073" s="2">
        <v>212901001</v>
      </c>
      <c r="G4073" s="2" t="s">
        <v>121</v>
      </c>
      <c r="L4073" s="2" t="s">
        <v>7224</v>
      </c>
      <c r="M4073" t="s">
        <v>67</v>
      </c>
      <c r="N4073" t="s">
        <v>68</v>
      </c>
      <c r="P4073" s="23">
        <v>92.83</v>
      </c>
      <c r="Q4073" s="4">
        <f t="shared" si="63"/>
        <v>-60</v>
      </c>
      <c r="R4073" s="23" t="s">
        <v>1198</v>
      </c>
    </row>
    <row r="4074" spans="1:20" x14ac:dyDescent="0.25">
      <c r="A4074" s="21">
        <v>45786</v>
      </c>
      <c r="B4074" s="1" t="s">
        <v>3930</v>
      </c>
      <c r="C4074" t="s">
        <v>7225</v>
      </c>
      <c r="D4074" s="22">
        <v>-5569.8</v>
      </c>
      <c r="E4074" t="s">
        <v>35</v>
      </c>
      <c r="F4074" s="2">
        <v>212901001</v>
      </c>
      <c r="G4074" s="2" t="s">
        <v>121</v>
      </c>
      <c r="L4074" s="2" t="s">
        <v>7226</v>
      </c>
      <c r="M4074" t="s">
        <v>67</v>
      </c>
      <c r="N4074" t="s">
        <v>68</v>
      </c>
      <c r="P4074" s="23">
        <v>92.83</v>
      </c>
      <c r="Q4074" s="4">
        <f t="shared" si="63"/>
        <v>-60</v>
      </c>
      <c r="R4074" s="23" t="s">
        <v>1198</v>
      </c>
    </row>
    <row r="4075" spans="1:20" x14ac:dyDescent="0.25">
      <c r="A4075" s="21">
        <v>45786</v>
      </c>
      <c r="B4075" s="1" t="s">
        <v>3924</v>
      </c>
      <c r="C4075" t="s">
        <v>7227</v>
      </c>
      <c r="D4075" s="22">
        <v>-5569.8</v>
      </c>
      <c r="E4075" t="s">
        <v>35</v>
      </c>
      <c r="F4075" s="2">
        <v>212901001</v>
      </c>
      <c r="G4075" s="2" t="s">
        <v>121</v>
      </c>
      <c r="L4075" s="2" t="s">
        <v>7228</v>
      </c>
      <c r="M4075" t="s">
        <v>67</v>
      </c>
      <c r="N4075" t="s">
        <v>68</v>
      </c>
      <c r="P4075" s="23">
        <v>92.83</v>
      </c>
      <c r="Q4075" s="4">
        <f t="shared" si="63"/>
        <v>-60</v>
      </c>
      <c r="R4075" s="23" t="s">
        <v>1198</v>
      </c>
    </row>
    <row r="4076" spans="1:20" x14ac:dyDescent="0.25">
      <c r="A4076" s="21">
        <v>45786</v>
      </c>
      <c r="B4076" s="1" t="s">
        <v>3952</v>
      </c>
      <c r="C4076" t="s">
        <v>7229</v>
      </c>
      <c r="D4076" s="22">
        <v>-5569.8</v>
      </c>
      <c r="E4076" t="s">
        <v>35</v>
      </c>
      <c r="F4076" s="2">
        <v>212901001</v>
      </c>
      <c r="G4076" s="2" t="s">
        <v>121</v>
      </c>
      <c r="L4076" s="2" t="s">
        <v>7230</v>
      </c>
      <c r="M4076" t="s">
        <v>67</v>
      </c>
      <c r="N4076" t="s">
        <v>68</v>
      </c>
      <c r="P4076" s="23">
        <v>92.83</v>
      </c>
      <c r="Q4076" s="4">
        <f t="shared" si="63"/>
        <v>-60</v>
      </c>
      <c r="R4076" s="23" t="s">
        <v>1198</v>
      </c>
    </row>
    <row r="4077" spans="1:20" x14ac:dyDescent="0.25">
      <c r="A4077" s="21">
        <v>45786</v>
      </c>
      <c r="B4077" s="1" t="s">
        <v>3933</v>
      </c>
      <c r="C4077" t="s">
        <v>7231</v>
      </c>
      <c r="D4077" s="22">
        <v>-5569.8</v>
      </c>
      <c r="E4077" t="s">
        <v>35</v>
      </c>
      <c r="F4077" s="2">
        <v>212901001</v>
      </c>
      <c r="G4077" s="2" t="s">
        <v>121</v>
      </c>
      <c r="L4077" s="2" t="s">
        <v>7232</v>
      </c>
      <c r="M4077" t="s">
        <v>67</v>
      </c>
      <c r="N4077" t="s">
        <v>68</v>
      </c>
      <c r="P4077" s="23">
        <v>92.83</v>
      </c>
      <c r="Q4077" s="4">
        <f t="shared" si="63"/>
        <v>-60</v>
      </c>
      <c r="R4077" s="23" t="s">
        <v>1198</v>
      </c>
    </row>
    <row r="4078" spans="1:20" x14ac:dyDescent="0.25">
      <c r="A4078" s="21">
        <v>45786</v>
      </c>
      <c r="B4078" s="1" t="s">
        <v>3943</v>
      </c>
      <c r="C4078" t="s">
        <v>7233</v>
      </c>
      <c r="D4078" s="22">
        <v>-5569.8</v>
      </c>
      <c r="E4078" t="s">
        <v>35</v>
      </c>
      <c r="F4078" s="2">
        <v>212901001</v>
      </c>
      <c r="G4078" s="2" t="s">
        <v>121</v>
      </c>
      <c r="L4078" s="2" t="s">
        <v>7234</v>
      </c>
      <c r="M4078" t="s">
        <v>67</v>
      </c>
      <c r="N4078" t="s">
        <v>68</v>
      </c>
      <c r="P4078" s="23">
        <v>92.83</v>
      </c>
      <c r="Q4078" s="4">
        <f t="shared" si="63"/>
        <v>-60</v>
      </c>
      <c r="R4078" s="23" t="s">
        <v>1198</v>
      </c>
    </row>
    <row r="4079" spans="1:20" x14ac:dyDescent="0.25">
      <c r="A4079" s="21">
        <v>45786</v>
      </c>
      <c r="B4079" s="1" t="s">
        <v>3927</v>
      </c>
      <c r="C4079" t="s">
        <v>7235</v>
      </c>
      <c r="D4079" s="22">
        <v>-5569.8</v>
      </c>
      <c r="E4079" t="s">
        <v>35</v>
      </c>
      <c r="F4079" s="2">
        <v>212901001</v>
      </c>
      <c r="G4079" s="2" t="s">
        <v>121</v>
      </c>
      <c r="L4079" s="2" t="s">
        <v>7236</v>
      </c>
      <c r="M4079" t="s">
        <v>67</v>
      </c>
      <c r="N4079" t="s">
        <v>68</v>
      </c>
      <c r="P4079" s="23">
        <v>92.83</v>
      </c>
      <c r="Q4079" s="4">
        <f t="shared" si="63"/>
        <v>-60</v>
      </c>
      <c r="R4079" s="23" t="s">
        <v>1198</v>
      </c>
    </row>
    <row r="4080" spans="1:20" x14ac:dyDescent="0.25">
      <c r="A4080" s="21">
        <v>45786</v>
      </c>
      <c r="B4080" s="1" t="s">
        <v>3914</v>
      </c>
      <c r="C4080" t="s">
        <v>7237</v>
      </c>
      <c r="D4080" s="22">
        <v>-5569.8</v>
      </c>
      <c r="E4080" t="s">
        <v>35</v>
      </c>
      <c r="F4080" s="2">
        <v>212901001</v>
      </c>
      <c r="G4080" s="2" t="s">
        <v>121</v>
      </c>
      <c r="L4080" s="2" t="s">
        <v>7238</v>
      </c>
      <c r="M4080" t="s">
        <v>67</v>
      </c>
      <c r="N4080" t="s">
        <v>68</v>
      </c>
      <c r="P4080" s="23">
        <v>92.83</v>
      </c>
      <c r="Q4080" s="4">
        <f t="shared" si="63"/>
        <v>-60</v>
      </c>
      <c r="R4080" s="23" t="s">
        <v>1198</v>
      </c>
    </row>
    <row r="4081" spans="1:18" x14ac:dyDescent="0.25">
      <c r="A4081" s="21">
        <v>45786</v>
      </c>
      <c r="B4081" s="1" t="s">
        <v>3936</v>
      </c>
      <c r="C4081" t="s">
        <v>7239</v>
      </c>
      <c r="D4081" s="22">
        <v>-5569.8</v>
      </c>
      <c r="E4081" t="s">
        <v>35</v>
      </c>
      <c r="F4081" s="2">
        <v>212901001</v>
      </c>
      <c r="G4081" s="2" t="s">
        <v>121</v>
      </c>
      <c r="L4081" s="2" t="s">
        <v>7240</v>
      </c>
      <c r="M4081" t="s">
        <v>67</v>
      </c>
      <c r="N4081" t="s">
        <v>68</v>
      </c>
      <c r="P4081" s="23">
        <v>92.83</v>
      </c>
      <c r="Q4081" s="4">
        <f t="shared" si="63"/>
        <v>-60</v>
      </c>
      <c r="R4081" s="23" t="s">
        <v>1198</v>
      </c>
    </row>
    <row r="4082" spans="1:18" x14ac:dyDescent="0.25">
      <c r="A4082" s="21">
        <v>45786</v>
      </c>
      <c r="B4082" s="1" t="s">
        <v>3949</v>
      </c>
      <c r="C4082" t="s">
        <v>7241</v>
      </c>
      <c r="D4082" s="22">
        <v>-5569.8</v>
      </c>
      <c r="E4082" t="s">
        <v>35</v>
      </c>
      <c r="F4082" s="2">
        <v>212901001</v>
      </c>
      <c r="G4082" s="2" t="s">
        <v>121</v>
      </c>
      <c r="L4082" s="2" t="s">
        <v>7242</v>
      </c>
      <c r="M4082" t="s">
        <v>67</v>
      </c>
      <c r="N4082" t="s">
        <v>68</v>
      </c>
      <c r="P4082" s="23">
        <v>92.83</v>
      </c>
      <c r="Q4082" s="4">
        <f t="shared" si="63"/>
        <v>-60</v>
      </c>
      <c r="R4082" s="23" t="s">
        <v>1198</v>
      </c>
    </row>
    <row r="4083" spans="1:18" x14ac:dyDescent="0.25">
      <c r="A4083" s="21">
        <v>45786</v>
      </c>
      <c r="B4083" s="1" t="s">
        <v>3917</v>
      </c>
      <c r="C4083" t="s">
        <v>7243</v>
      </c>
      <c r="D4083" s="22">
        <v>-5569.8</v>
      </c>
      <c r="E4083" t="s">
        <v>35</v>
      </c>
      <c r="F4083" s="2">
        <v>212901001</v>
      </c>
      <c r="G4083" s="2" t="s">
        <v>121</v>
      </c>
      <c r="L4083" s="2" t="s">
        <v>7244</v>
      </c>
      <c r="M4083" t="s">
        <v>67</v>
      </c>
      <c r="N4083" t="s">
        <v>68</v>
      </c>
      <c r="P4083" s="23">
        <v>92.83</v>
      </c>
      <c r="Q4083" s="4">
        <f t="shared" si="63"/>
        <v>-60</v>
      </c>
      <c r="R4083" s="23" t="s">
        <v>1198</v>
      </c>
    </row>
    <row r="4084" spans="1:18" x14ac:dyDescent="0.25">
      <c r="A4084" s="21">
        <v>45786</v>
      </c>
      <c r="B4084" s="1" t="s">
        <v>4108</v>
      </c>
      <c r="C4084" t="s">
        <v>7245</v>
      </c>
      <c r="D4084" s="22">
        <v>-13924.5</v>
      </c>
      <c r="E4084" t="s">
        <v>35</v>
      </c>
      <c r="F4084" s="2">
        <v>212901001</v>
      </c>
      <c r="G4084" s="2" t="s">
        <v>121</v>
      </c>
      <c r="L4084" s="2" t="s">
        <v>7246</v>
      </c>
      <c r="M4084" t="s">
        <v>67</v>
      </c>
      <c r="N4084" t="s">
        <v>68</v>
      </c>
      <c r="P4084" s="23">
        <v>92.83</v>
      </c>
      <c r="Q4084" s="4">
        <f t="shared" si="63"/>
        <v>-150</v>
      </c>
      <c r="R4084" s="23" t="s">
        <v>1198</v>
      </c>
    </row>
    <row r="4085" spans="1:18" x14ac:dyDescent="0.25">
      <c r="A4085" s="21">
        <v>45786</v>
      </c>
      <c r="B4085" s="1" t="s">
        <v>4088</v>
      </c>
      <c r="C4085" t="s">
        <v>7247</v>
      </c>
      <c r="D4085" s="22">
        <v>-9283</v>
      </c>
      <c r="E4085" t="s">
        <v>35</v>
      </c>
      <c r="F4085" s="2">
        <v>212901001</v>
      </c>
      <c r="G4085" s="2" t="s">
        <v>121</v>
      </c>
      <c r="L4085" s="2" t="s">
        <v>7248</v>
      </c>
      <c r="M4085" t="s">
        <v>67</v>
      </c>
      <c r="N4085" t="s">
        <v>68</v>
      </c>
      <c r="P4085" s="23">
        <v>92.83</v>
      </c>
      <c r="Q4085" s="4">
        <f t="shared" si="63"/>
        <v>-100</v>
      </c>
      <c r="R4085" s="23" t="s">
        <v>1198</v>
      </c>
    </row>
    <row r="4086" spans="1:18" x14ac:dyDescent="0.25">
      <c r="A4086" s="21">
        <v>45786</v>
      </c>
      <c r="B4086" s="1" t="s">
        <v>4127</v>
      </c>
      <c r="C4086" t="s">
        <v>7249</v>
      </c>
      <c r="D4086" s="22">
        <v>-7426.4</v>
      </c>
      <c r="E4086" t="s">
        <v>35</v>
      </c>
      <c r="F4086" s="2">
        <v>212901001</v>
      </c>
      <c r="G4086" s="2" t="s">
        <v>121</v>
      </c>
      <c r="L4086" s="2" t="s">
        <v>7250</v>
      </c>
      <c r="M4086" t="s">
        <v>67</v>
      </c>
      <c r="N4086" t="s">
        <v>68</v>
      </c>
      <c r="P4086" s="23">
        <v>92.83</v>
      </c>
      <c r="Q4086" s="4">
        <f t="shared" si="63"/>
        <v>-80</v>
      </c>
      <c r="R4086" s="23" t="s">
        <v>1198</v>
      </c>
    </row>
    <row r="4087" spans="1:18" x14ac:dyDescent="0.25">
      <c r="A4087" s="21">
        <v>45786</v>
      </c>
      <c r="B4087" s="1" t="s">
        <v>4161</v>
      </c>
      <c r="C4087" t="s">
        <v>7251</v>
      </c>
      <c r="D4087" s="22">
        <v>-7426.4</v>
      </c>
      <c r="E4087" t="s">
        <v>35</v>
      </c>
      <c r="F4087" s="2">
        <v>212901001</v>
      </c>
      <c r="G4087" s="2" t="s">
        <v>121</v>
      </c>
      <c r="L4087" s="2" t="s">
        <v>7252</v>
      </c>
      <c r="M4087" t="s">
        <v>67</v>
      </c>
      <c r="N4087" t="s">
        <v>68</v>
      </c>
      <c r="P4087" s="23">
        <v>92.83</v>
      </c>
      <c r="Q4087" s="4">
        <f t="shared" si="63"/>
        <v>-80</v>
      </c>
      <c r="R4087" s="23" t="s">
        <v>1198</v>
      </c>
    </row>
    <row r="4088" spans="1:18" x14ac:dyDescent="0.25">
      <c r="A4088" s="21">
        <v>45786</v>
      </c>
      <c r="B4088" s="1" t="s">
        <v>4018</v>
      </c>
      <c r="C4088" t="s">
        <v>7253</v>
      </c>
      <c r="D4088" s="22">
        <v>-7426.4</v>
      </c>
      <c r="E4088" t="s">
        <v>35</v>
      </c>
      <c r="F4088" s="2">
        <v>212901001</v>
      </c>
      <c r="G4088" s="2" t="s">
        <v>121</v>
      </c>
      <c r="L4088" s="2" t="s">
        <v>7254</v>
      </c>
      <c r="M4088" t="s">
        <v>67</v>
      </c>
      <c r="N4088" t="s">
        <v>68</v>
      </c>
      <c r="P4088" s="23">
        <v>92.83</v>
      </c>
      <c r="Q4088" s="4">
        <f t="shared" si="63"/>
        <v>-80</v>
      </c>
      <c r="R4088" s="23" t="s">
        <v>1198</v>
      </c>
    </row>
    <row r="4089" spans="1:18" x14ac:dyDescent="0.25">
      <c r="A4089" s="21">
        <v>45786</v>
      </c>
      <c r="B4089" s="1" t="s">
        <v>4021</v>
      </c>
      <c r="C4089" t="s">
        <v>7255</v>
      </c>
      <c r="D4089" s="22">
        <v>-7426.4</v>
      </c>
      <c r="E4089" t="s">
        <v>35</v>
      </c>
      <c r="F4089" s="2">
        <v>212901001</v>
      </c>
      <c r="G4089" s="2" t="s">
        <v>121</v>
      </c>
      <c r="L4089" s="2" t="s">
        <v>7256</v>
      </c>
      <c r="M4089" t="s">
        <v>67</v>
      </c>
      <c r="N4089" t="s">
        <v>68</v>
      </c>
      <c r="P4089" s="23">
        <v>92.83</v>
      </c>
      <c r="Q4089" s="4">
        <f t="shared" si="63"/>
        <v>-80</v>
      </c>
      <c r="R4089" s="23" t="s">
        <v>1198</v>
      </c>
    </row>
    <row r="4090" spans="1:18" x14ac:dyDescent="0.25">
      <c r="A4090" s="21">
        <v>45786</v>
      </c>
      <c r="B4090" s="1" t="s">
        <v>4091</v>
      </c>
      <c r="C4090" t="s">
        <v>7257</v>
      </c>
      <c r="D4090" s="22">
        <v>-7426.4</v>
      </c>
      <c r="E4090" t="s">
        <v>35</v>
      </c>
      <c r="F4090" s="2">
        <v>212901001</v>
      </c>
      <c r="G4090" s="2" t="s">
        <v>121</v>
      </c>
      <c r="L4090" s="2" t="s">
        <v>7258</v>
      </c>
      <c r="M4090" t="s">
        <v>67</v>
      </c>
      <c r="N4090" t="s">
        <v>68</v>
      </c>
      <c r="P4090" s="23">
        <v>92.83</v>
      </c>
      <c r="Q4090" s="4">
        <f t="shared" si="63"/>
        <v>-80</v>
      </c>
      <c r="R4090" s="23" t="s">
        <v>1198</v>
      </c>
    </row>
    <row r="4091" spans="1:18" x14ac:dyDescent="0.25">
      <c r="A4091" s="21">
        <v>45786</v>
      </c>
      <c r="B4091" s="1" t="s">
        <v>4046</v>
      </c>
      <c r="C4091" t="s">
        <v>7259</v>
      </c>
      <c r="D4091" s="22">
        <v>-7426.4</v>
      </c>
      <c r="E4091" t="s">
        <v>35</v>
      </c>
      <c r="F4091" s="2">
        <v>212901001</v>
      </c>
      <c r="G4091" s="2" t="s">
        <v>121</v>
      </c>
      <c r="L4091" s="2" t="s">
        <v>7260</v>
      </c>
      <c r="M4091" t="s">
        <v>67</v>
      </c>
      <c r="N4091" t="s">
        <v>68</v>
      </c>
      <c r="P4091" s="23">
        <v>92.83</v>
      </c>
      <c r="Q4091" s="4">
        <f t="shared" si="63"/>
        <v>-80</v>
      </c>
      <c r="R4091" s="23" t="s">
        <v>1198</v>
      </c>
    </row>
    <row r="4092" spans="1:18" x14ac:dyDescent="0.25">
      <c r="A4092" s="21">
        <v>45786</v>
      </c>
      <c r="B4092" s="1" t="s">
        <v>4049</v>
      </c>
      <c r="C4092" t="s">
        <v>7261</v>
      </c>
      <c r="D4092" s="22">
        <v>-3156.22</v>
      </c>
      <c r="E4092" t="s">
        <v>35</v>
      </c>
      <c r="F4092" s="2">
        <v>212901001</v>
      </c>
      <c r="G4092" s="2" t="s">
        <v>121</v>
      </c>
      <c r="L4092" s="2" t="s">
        <v>7262</v>
      </c>
      <c r="M4092" t="s">
        <v>67</v>
      </c>
      <c r="N4092" t="s">
        <v>68</v>
      </c>
      <c r="P4092" s="23">
        <v>92.83</v>
      </c>
      <c r="Q4092" s="4">
        <f t="shared" si="63"/>
        <v>-34</v>
      </c>
      <c r="R4092" s="23" t="s">
        <v>1198</v>
      </c>
    </row>
    <row r="4093" spans="1:18" x14ac:dyDescent="0.25">
      <c r="A4093" s="21">
        <v>45786</v>
      </c>
      <c r="B4093" s="1" t="s">
        <v>4094</v>
      </c>
      <c r="C4093" t="s">
        <v>7263</v>
      </c>
      <c r="D4093" s="22">
        <v>-3898.86</v>
      </c>
      <c r="E4093" t="s">
        <v>35</v>
      </c>
      <c r="F4093" s="2">
        <v>212901001</v>
      </c>
      <c r="G4093" s="2" t="s">
        <v>121</v>
      </c>
      <c r="L4093" s="2" t="s">
        <v>7264</v>
      </c>
      <c r="M4093" t="s">
        <v>67</v>
      </c>
      <c r="N4093" t="s">
        <v>68</v>
      </c>
      <c r="P4093" s="23">
        <v>92.83</v>
      </c>
      <c r="Q4093" s="4">
        <f t="shared" si="63"/>
        <v>-42</v>
      </c>
      <c r="R4093" s="23" t="s">
        <v>1198</v>
      </c>
    </row>
    <row r="4094" spans="1:18" x14ac:dyDescent="0.25">
      <c r="A4094" s="21">
        <v>45786</v>
      </c>
      <c r="B4094" s="1" t="s">
        <v>4052</v>
      </c>
      <c r="C4094" t="s">
        <v>7265</v>
      </c>
      <c r="D4094" s="22">
        <v>-4641.5</v>
      </c>
      <c r="E4094" t="s">
        <v>35</v>
      </c>
      <c r="F4094" s="2">
        <v>212901001</v>
      </c>
      <c r="G4094" s="2" t="s">
        <v>121</v>
      </c>
      <c r="L4094" s="2" t="s">
        <v>7266</v>
      </c>
      <c r="M4094" t="s">
        <v>67</v>
      </c>
      <c r="N4094" t="s">
        <v>68</v>
      </c>
      <c r="P4094" s="23">
        <v>92.83</v>
      </c>
      <c r="Q4094" s="4">
        <f t="shared" si="63"/>
        <v>-50</v>
      </c>
      <c r="R4094" s="23" t="s">
        <v>1198</v>
      </c>
    </row>
    <row r="4095" spans="1:18" x14ac:dyDescent="0.25">
      <c r="A4095" s="21">
        <v>45786</v>
      </c>
      <c r="B4095" s="1" t="s">
        <v>4111</v>
      </c>
      <c r="C4095" t="s">
        <v>7267</v>
      </c>
      <c r="D4095" s="22">
        <v>-4641.5</v>
      </c>
      <c r="E4095" t="s">
        <v>35</v>
      </c>
      <c r="F4095" s="2">
        <v>212901001</v>
      </c>
      <c r="G4095" s="2" t="s">
        <v>121</v>
      </c>
      <c r="L4095" s="2" t="s">
        <v>7268</v>
      </c>
      <c r="M4095" t="s">
        <v>67</v>
      </c>
      <c r="N4095" t="s">
        <v>68</v>
      </c>
      <c r="P4095" s="23">
        <v>92.83</v>
      </c>
      <c r="Q4095" s="4">
        <f t="shared" si="63"/>
        <v>-50</v>
      </c>
      <c r="R4095" s="23" t="s">
        <v>1198</v>
      </c>
    </row>
    <row r="4096" spans="1:18" x14ac:dyDescent="0.25">
      <c r="A4096" s="21">
        <v>45786</v>
      </c>
      <c r="B4096" s="1" t="s">
        <v>4015</v>
      </c>
      <c r="C4096" t="s">
        <v>7269</v>
      </c>
      <c r="D4096" s="22">
        <v>-4641.5</v>
      </c>
      <c r="E4096" t="s">
        <v>35</v>
      </c>
      <c r="F4096" s="2">
        <v>212901001</v>
      </c>
      <c r="G4096" s="2" t="s">
        <v>121</v>
      </c>
      <c r="L4096" s="2" t="s">
        <v>7270</v>
      </c>
      <c r="M4096" t="s">
        <v>67</v>
      </c>
      <c r="N4096" t="s">
        <v>68</v>
      </c>
      <c r="P4096" s="23">
        <v>92.83</v>
      </c>
      <c r="Q4096" s="4">
        <f t="shared" si="63"/>
        <v>-50</v>
      </c>
      <c r="R4096" s="23" t="s">
        <v>1198</v>
      </c>
    </row>
    <row r="4097" spans="1:18" x14ac:dyDescent="0.25">
      <c r="A4097" s="21">
        <v>45786</v>
      </c>
      <c r="B4097" s="1" t="s">
        <v>4114</v>
      </c>
      <c r="C4097" t="s">
        <v>7271</v>
      </c>
      <c r="D4097" s="22">
        <v>-4641.5</v>
      </c>
      <c r="E4097" t="s">
        <v>35</v>
      </c>
      <c r="F4097" s="2">
        <v>212901001</v>
      </c>
      <c r="G4097" s="2" t="s">
        <v>121</v>
      </c>
      <c r="L4097" s="2" t="s">
        <v>7272</v>
      </c>
      <c r="M4097" t="s">
        <v>67</v>
      </c>
      <c r="N4097" t="s">
        <v>68</v>
      </c>
      <c r="P4097" s="23">
        <v>92.83</v>
      </c>
      <c r="Q4097" s="4">
        <f t="shared" si="63"/>
        <v>-50</v>
      </c>
      <c r="R4097" s="23" t="s">
        <v>1198</v>
      </c>
    </row>
    <row r="4098" spans="1:18" x14ac:dyDescent="0.25">
      <c r="A4098" s="21">
        <v>45786</v>
      </c>
      <c r="B4098" s="1" t="s">
        <v>4024</v>
      </c>
      <c r="C4098" t="s">
        <v>7273</v>
      </c>
      <c r="D4098" s="22">
        <v>-3713.2</v>
      </c>
      <c r="E4098" t="s">
        <v>35</v>
      </c>
      <c r="F4098" s="2">
        <v>212901001</v>
      </c>
      <c r="G4098" s="2" t="s">
        <v>121</v>
      </c>
      <c r="L4098" s="2" t="s">
        <v>7274</v>
      </c>
      <c r="M4098" t="s">
        <v>67</v>
      </c>
      <c r="N4098" t="s">
        <v>68</v>
      </c>
      <c r="P4098" s="23">
        <v>92.83</v>
      </c>
      <c r="Q4098" s="4">
        <f t="shared" si="63"/>
        <v>-40</v>
      </c>
      <c r="R4098" s="23" t="s">
        <v>1198</v>
      </c>
    </row>
    <row r="4099" spans="1:18" x14ac:dyDescent="0.25">
      <c r="A4099" s="21">
        <v>45786</v>
      </c>
      <c r="B4099" s="1" t="s">
        <v>4070</v>
      </c>
      <c r="C4099" t="s">
        <v>7275</v>
      </c>
      <c r="D4099" s="22">
        <v>-3713.2</v>
      </c>
      <c r="E4099" t="s">
        <v>35</v>
      </c>
      <c r="F4099" s="2">
        <v>212901001</v>
      </c>
      <c r="G4099" s="2" t="s">
        <v>121</v>
      </c>
      <c r="L4099" s="2" t="s">
        <v>7276</v>
      </c>
      <c r="M4099" t="s">
        <v>67</v>
      </c>
      <c r="N4099" t="s">
        <v>68</v>
      </c>
      <c r="P4099" s="23">
        <v>92.83</v>
      </c>
      <c r="Q4099" s="4">
        <f t="shared" si="63"/>
        <v>-40</v>
      </c>
      <c r="R4099" s="23" t="s">
        <v>1198</v>
      </c>
    </row>
    <row r="4100" spans="1:18" x14ac:dyDescent="0.25">
      <c r="A4100" s="21">
        <v>45786</v>
      </c>
      <c r="B4100" s="1" t="s">
        <v>4055</v>
      </c>
      <c r="C4100" t="s">
        <v>7277</v>
      </c>
      <c r="D4100" s="22">
        <v>-3713.2</v>
      </c>
      <c r="E4100" t="s">
        <v>35</v>
      </c>
      <c r="F4100" s="2">
        <v>212901001</v>
      </c>
      <c r="G4100" s="2" t="s">
        <v>121</v>
      </c>
      <c r="L4100" s="2" t="s">
        <v>7278</v>
      </c>
      <c r="M4100" t="s">
        <v>67</v>
      </c>
      <c r="N4100" t="s">
        <v>68</v>
      </c>
      <c r="P4100" s="23">
        <v>92.83</v>
      </c>
      <c r="Q4100" s="4">
        <f t="shared" si="63"/>
        <v>-40</v>
      </c>
      <c r="R4100" s="23" t="s">
        <v>1198</v>
      </c>
    </row>
    <row r="4101" spans="1:18" x14ac:dyDescent="0.25">
      <c r="A4101" s="21">
        <v>45786</v>
      </c>
      <c r="B4101" s="1" t="s">
        <v>4116</v>
      </c>
      <c r="C4101" t="s">
        <v>7279</v>
      </c>
      <c r="D4101" s="22">
        <v>-3713.2</v>
      </c>
      <c r="E4101" t="s">
        <v>35</v>
      </c>
      <c r="F4101" s="2">
        <v>212901001</v>
      </c>
      <c r="G4101" s="2" t="s">
        <v>121</v>
      </c>
      <c r="L4101" s="2" t="s">
        <v>7280</v>
      </c>
      <c r="M4101" t="s">
        <v>67</v>
      </c>
      <c r="N4101" t="s">
        <v>68</v>
      </c>
      <c r="P4101" s="23">
        <v>92.83</v>
      </c>
      <c r="Q4101" s="4">
        <f t="shared" si="63"/>
        <v>-40</v>
      </c>
      <c r="R4101" s="23" t="s">
        <v>1198</v>
      </c>
    </row>
    <row r="4102" spans="1:18" x14ac:dyDescent="0.25">
      <c r="A4102" s="21">
        <v>45786</v>
      </c>
      <c r="B4102" s="1" t="s">
        <v>4058</v>
      </c>
      <c r="C4102" t="s">
        <v>7281</v>
      </c>
      <c r="D4102" s="22">
        <v>-3713.2</v>
      </c>
      <c r="E4102" t="s">
        <v>35</v>
      </c>
      <c r="F4102" s="2">
        <v>212901001</v>
      </c>
      <c r="G4102" s="2" t="s">
        <v>121</v>
      </c>
      <c r="L4102" s="2" t="s">
        <v>7282</v>
      </c>
      <c r="M4102" t="s">
        <v>67</v>
      </c>
      <c r="N4102" t="s">
        <v>68</v>
      </c>
      <c r="P4102" s="23">
        <v>92.83</v>
      </c>
      <c r="Q4102" s="4">
        <f t="shared" si="63"/>
        <v>-40</v>
      </c>
      <c r="R4102" s="23" t="s">
        <v>1198</v>
      </c>
    </row>
    <row r="4103" spans="1:18" x14ac:dyDescent="0.25">
      <c r="A4103" s="21">
        <v>45786</v>
      </c>
      <c r="B4103" s="1" t="s">
        <v>4164</v>
      </c>
      <c r="C4103" t="s">
        <v>7283</v>
      </c>
      <c r="D4103" s="22">
        <v>-3713.2</v>
      </c>
      <c r="E4103" t="s">
        <v>35</v>
      </c>
      <c r="F4103" s="2">
        <v>212901001</v>
      </c>
      <c r="G4103" s="2" t="s">
        <v>121</v>
      </c>
      <c r="L4103" s="2" t="s">
        <v>7284</v>
      </c>
      <c r="M4103" t="s">
        <v>67</v>
      </c>
      <c r="N4103" t="s">
        <v>68</v>
      </c>
      <c r="P4103" s="23">
        <v>92.83</v>
      </c>
      <c r="Q4103" s="4">
        <f t="shared" si="63"/>
        <v>-40</v>
      </c>
      <c r="R4103" s="23" t="s">
        <v>1198</v>
      </c>
    </row>
    <row r="4104" spans="1:18" x14ac:dyDescent="0.25">
      <c r="A4104" s="21">
        <v>45786</v>
      </c>
      <c r="B4104" s="1" t="s">
        <v>4130</v>
      </c>
      <c r="C4104" t="s">
        <v>7285</v>
      </c>
      <c r="D4104" s="22">
        <v>-3713.2</v>
      </c>
      <c r="E4104" t="s">
        <v>35</v>
      </c>
      <c r="F4104" s="2">
        <v>212901001</v>
      </c>
      <c r="G4104" s="2" t="s">
        <v>121</v>
      </c>
      <c r="L4104" s="2" t="s">
        <v>7286</v>
      </c>
      <c r="M4104" t="s">
        <v>67</v>
      </c>
      <c r="N4104" t="s">
        <v>68</v>
      </c>
      <c r="P4104" s="23">
        <v>92.83</v>
      </c>
      <c r="Q4104" s="4">
        <f t="shared" si="63"/>
        <v>-40</v>
      </c>
      <c r="R4104" s="23" t="s">
        <v>1198</v>
      </c>
    </row>
    <row r="4105" spans="1:18" x14ac:dyDescent="0.25">
      <c r="A4105" s="21">
        <v>45786</v>
      </c>
      <c r="B4105" s="1" t="s">
        <v>4133</v>
      </c>
      <c r="C4105" t="s">
        <v>7287</v>
      </c>
      <c r="D4105" s="22">
        <v>-9283</v>
      </c>
      <c r="E4105" t="s">
        <v>35</v>
      </c>
      <c r="F4105" s="2">
        <v>212901001</v>
      </c>
      <c r="G4105" s="2" t="s">
        <v>121</v>
      </c>
      <c r="L4105" s="2" t="s">
        <v>7288</v>
      </c>
      <c r="M4105" t="s">
        <v>67</v>
      </c>
      <c r="N4105" t="s">
        <v>68</v>
      </c>
      <c r="P4105" s="23">
        <v>92.83</v>
      </c>
      <c r="Q4105" s="4">
        <f t="shared" si="63"/>
        <v>-100</v>
      </c>
      <c r="R4105" s="23" t="s">
        <v>1198</v>
      </c>
    </row>
    <row r="4106" spans="1:18" x14ac:dyDescent="0.25">
      <c r="A4106" s="21">
        <v>45786</v>
      </c>
      <c r="B4106" s="1" t="s">
        <v>4097</v>
      </c>
      <c r="C4106" t="s">
        <v>7289</v>
      </c>
      <c r="D4106" s="22">
        <v>-9283</v>
      </c>
      <c r="E4106" t="s">
        <v>35</v>
      </c>
      <c r="F4106" s="2">
        <v>212901001</v>
      </c>
      <c r="G4106" s="2" t="s">
        <v>121</v>
      </c>
      <c r="L4106" s="2" t="s">
        <v>7290</v>
      </c>
      <c r="M4106" t="s">
        <v>67</v>
      </c>
      <c r="N4106" t="s">
        <v>68</v>
      </c>
      <c r="P4106" s="23">
        <v>92.83</v>
      </c>
      <c r="Q4106" s="4">
        <f t="shared" si="63"/>
        <v>-100</v>
      </c>
      <c r="R4106" s="23" t="s">
        <v>1198</v>
      </c>
    </row>
    <row r="4107" spans="1:18" x14ac:dyDescent="0.25">
      <c r="A4107" s="21">
        <v>45786</v>
      </c>
      <c r="B4107" s="1" t="s">
        <v>4061</v>
      </c>
      <c r="C4107" t="s">
        <v>7291</v>
      </c>
      <c r="D4107" s="22">
        <v>-13924.5</v>
      </c>
      <c r="E4107" t="s">
        <v>35</v>
      </c>
      <c r="F4107" s="2">
        <v>212901001</v>
      </c>
      <c r="G4107" s="2" t="s">
        <v>121</v>
      </c>
      <c r="L4107" s="2" t="s">
        <v>7292</v>
      </c>
      <c r="M4107" t="s">
        <v>67</v>
      </c>
      <c r="N4107" t="s">
        <v>68</v>
      </c>
      <c r="P4107" s="23">
        <v>92.83</v>
      </c>
      <c r="Q4107" s="4">
        <f t="shared" ref="Q4107:Q4170" si="64">D4107/P4107</f>
        <v>-150</v>
      </c>
      <c r="R4107" s="23" t="s">
        <v>1198</v>
      </c>
    </row>
    <row r="4108" spans="1:18" x14ac:dyDescent="0.25">
      <c r="A4108" s="21">
        <v>45786</v>
      </c>
      <c r="B4108" s="1" t="s">
        <v>4185</v>
      </c>
      <c r="C4108" t="s">
        <v>7293</v>
      </c>
      <c r="D4108" s="22">
        <v>-2784.9</v>
      </c>
      <c r="E4108" t="s">
        <v>35</v>
      </c>
      <c r="F4108" s="2">
        <v>212901001</v>
      </c>
      <c r="G4108" s="2" t="s">
        <v>121</v>
      </c>
      <c r="L4108" s="2" t="s">
        <v>7294</v>
      </c>
      <c r="M4108" t="s">
        <v>67</v>
      </c>
      <c r="N4108" t="s">
        <v>68</v>
      </c>
      <c r="P4108" s="23">
        <v>92.83</v>
      </c>
      <c r="Q4108" s="4">
        <f t="shared" si="64"/>
        <v>-30</v>
      </c>
      <c r="R4108" s="23" t="s">
        <v>1198</v>
      </c>
    </row>
    <row r="4109" spans="1:18" x14ac:dyDescent="0.25">
      <c r="A4109" s="21">
        <v>45786</v>
      </c>
      <c r="B4109" s="1" t="s">
        <v>4073</v>
      </c>
      <c r="C4109" t="s">
        <v>7295</v>
      </c>
      <c r="D4109" s="22">
        <v>-10211.299999999999</v>
      </c>
      <c r="E4109" t="s">
        <v>35</v>
      </c>
      <c r="F4109" s="2">
        <v>212901001</v>
      </c>
      <c r="G4109" s="2" t="s">
        <v>121</v>
      </c>
      <c r="L4109" s="2" t="s">
        <v>7296</v>
      </c>
      <c r="M4109" t="s">
        <v>67</v>
      </c>
      <c r="N4109" t="s">
        <v>68</v>
      </c>
      <c r="P4109" s="23">
        <v>92.83</v>
      </c>
      <c r="Q4109" s="4">
        <f t="shared" si="64"/>
        <v>-110</v>
      </c>
      <c r="R4109" s="23" t="s">
        <v>1198</v>
      </c>
    </row>
    <row r="4110" spans="1:18" x14ac:dyDescent="0.25">
      <c r="A4110" s="21">
        <v>45786</v>
      </c>
      <c r="B4110" s="1" t="s">
        <v>4027</v>
      </c>
      <c r="C4110" t="s">
        <v>7297</v>
      </c>
      <c r="D4110" s="22">
        <v>-7426.4</v>
      </c>
      <c r="E4110" t="s">
        <v>35</v>
      </c>
      <c r="F4110" s="2">
        <v>212901001</v>
      </c>
      <c r="G4110" s="2" t="s">
        <v>121</v>
      </c>
      <c r="L4110" s="2" t="s">
        <v>7298</v>
      </c>
      <c r="M4110" t="s">
        <v>67</v>
      </c>
      <c r="N4110" t="s">
        <v>68</v>
      </c>
      <c r="P4110" s="23">
        <v>92.83</v>
      </c>
      <c r="Q4110" s="4">
        <f t="shared" si="64"/>
        <v>-80</v>
      </c>
      <c r="R4110" s="23" t="s">
        <v>1198</v>
      </c>
    </row>
    <row r="4111" spans="1:18" x14ac:dyDescent="0.25">
      <c r="A4111" s="21">
        <v>45786</v>
      </c>
      <c r="B4111" s="1" t="s">
        <v>4167</v>
      </c>
      <c r="C4111" t="s">
        <v>7299</v>
      </c>
      <c r="D4111" s="22">
        <v>-9283</v>
      </c>
      <c r="E4111" t="s">
        <v>35</v>
      </c>
      <c r="F4111" s="2">
        <v>212901001</v>
      </c>
      <c r="G4111" s="2" t="s">
        <v>121</v>
      </c>
      <c r="L4111" s="2" t="s">
        <v>7300</v>
      </c>
      <c r="M4111" t="s">
        <v>67</v>
      </c>
      <c r="N4111" t="s">
        <v>68</v>
      </c>
      <c r="P4111" s="23">
        <v>92.83</v>
      </c>
      <c r="Q4111" s="4">
        <f t="shared" si="64"/>
        <v>-100</v>
      </c>
      <c r="R4111" s="23" t="s">
        <v>1198</v>
      </c>
    </row>
    <row r="4112" spans="1:18" x14ac:dyDescent="0.25">
      <c r="A4112" s="21">
        <v>45786</v>
      </c>
      <c r="B4112" s="1" t="s">
        <v>4076</v>
      </c>
      <c r="C4112" t="s">
        <v>7301</v>
      </c>
      <c r="D4112" s="22">
        <v>-4270.18</v>
      </c>
      <c r="E4112" t="s">
        <v>35</v>
      </c>
      <c r="F4112" s="2">
        <v>212901001</v>
      </c>
      <c r="G4112" s="2" t="s">
        <v>121</v>
      </c>
      <c r="L4112" s="2" t="s">
        <v>7302</v>
      </c>
      <c r="M4112" t="s">
        <v>67</v>
      </c>
      <c r="N4112" t="s">
        <v>68</v>
      </c>
      <c r="P4112" s="23">
        <v>92.83</v>
      </c>
      <c r="Q4112" s="4">
        <f t="shared" si="64"/>
        <v>-46.000000000000007</v>
      </c>
      <c r="R4112" s="23" t="s">
        <v>1198</v>
      </c>
    </row>
    <row r="4113" spans="1:18" x14ac:dyDescent="0.25">
      <c r="A4113" s="21">
        <v>45786</v>
      </c>
      <c r="B4113" s="1" t="s">
        <v>4119</v>
      </c>
      <c r="C4113" t="s">
        <v>7303</v>
      </c>
      <c r="D4113" s="22">
        <v>-6498.1</v>
      </c>
      <c r="E4113" t="s">
        <v>35</v>
      </c>
      <c r="F4113" s="2">
        <v>212901001</v>
      </c>
      <c r="G4113" s="2" t="s">
        <v>121</v>
      </c>
      <c r="L4113" s="2" t="s">
        <v>7304</v>
      </c>
      <c r="M4113" t="s">
        <v>67</v>
      </c>
      <c r="N4113" t="s">
        <v>68</v>
      </c>
      <c r="P4113" s="23">
        <v>92.83</v>
      </c>
      <c r="Q4113" s="4">
        <f t="shared" si="64"/>
        <v>-70</v>
      </c>
      <c r="R4113" s="23" t="s">
        <v>1198</v>
      </c>
    </row>
    <row r="4114" spans="1:18" x14ac:dyDescent="0.25">
      <c r="A4114" s="21">
        <v>45786</v>
      </c>
      <c r="B4114" s="1" t="s">
        <v>4136</v>
      </c>
      <c r="C4114" t="s">
        <v>7305</v>
      </c>
      <c r="D4114" s="22">
        <v>-5476.97</v>
      </c>
      <c r="E4114" t="s">
        <v>35</v>
      </c>
      <c r="F4114" s="2">
        <v>212901001</v>
      </c>
      <c r="G4114" s="2" t="s">
        <v>121</v>
      </c>
      <c r="L4114" s="2" t="s">
        <v>7306</v>
      </c>
      <c r="M4114" t="s">
        <v>67</v>
      </c>
      <c r="N4114" t="s">
        <v>68</v>
      </c>
      <c r="P4114" s="23">
        <v>92.83</v>
      </c>
      <c r="Q4114" s="4">
        <f t="shared" si="64"/>
        <v>-59.000000000000007</v>
      </c>
      <c r="R4114" s="23" t="s">
        <v>1198</v>
      </c>
    </row>
    <row r="4115" spans="1:18" x14ac:dyDescent="0.25">
      <c r="A4115" s="21">
        <v>45786</v>
      </c>
      <c r="B4115" s="1" t="s">
        <v>4188</v>
      </c>
      <c r="C4115" t="s">
        <v>7307</v>
      </c>
      <c r="D4115" s="22">
        <v>-6498.1</v>
      </c>
      <c r="E4115" t="s">
        <v>35</v>
      </c>
      <c r="F4115" s="2">
        <v>212901001</v>
      </c>
      <c r="G4115" s="2" t="s">
        <v>121</v>
      </c>
      <c r="L4115" s="2" t="s">
        <v>7308</v>
      </c>
      <c r="M4115" t="s">
        <v>67</v>
      </c>
      <c r="N4115" t="s">
        <v>68</v>
      </c>
      <c r="P4115" s="23">
        <v>92.83</v>
      </c>
      <c r="Q4115" s="4">
        <f t="shared" si="64"/>
        <v>-70</v>
      </c>
      <c r="R4115" s="23" t="s">
        <v>1198</v>
      </c>
    </row>
    <row r="4116" spans="1:18" x14ac:dyDescent="0.25">
      <c r="A4116" s="21">
        <v>45786</v>
      </c>
      <c r="B4116" s="1" t="s">
        <v>4191</v>
      </c>
      <c r="C4116" t="s">
        <v>7309</v>
      </c>
      <c r="D4116" s="22">
        <v>-4641.5</v>
      </c>
      <c r="E4116" t="s">
        <v>35</v>
      </c>
      <c r="F4116" s="2">
        <v>212901001</v>
      </c>
      <c r="G4116" s="2" t="s">
        <v>121</v>
      </c>
      <c r="L4116" s="2" t="s">
        <v>7310</v>
      </c>
      <c r="M4116" t="s">
        <v>67</v>
      </c>
      <c r="N4116" t="s">
        <v>68</v>
      </c>
      <c r="P4116" s="23">
        <v>92.83</v>
      </c>
      <c r="Q4116" s="4">
        <f t="shared" si="64"/>
        <v>-50</v>
      </c>
      <c r="R4116" s="23" t="s">
        <v>1198</v>
      </c>
    </row>
    <row r="4117" spans="1:18" x14ac:dyDescent="0.25">
      <c r="A4117" s="21">
        <v>45786</v>
      </c>
      <c r="B4117" s="1" t="s">
        <v>4170</v>
      </c>
      <c r="C4117" t="s">
        <v>7311</v>
      </c>
      <c r="D4117" s="22">
        <v>-4641.5</v>
      </c>
      <c r="E4117" t="s">
        <v>35</v>
      </c>
      <c r="F4117" s="2">
        <v>212901001</v>
      </c>
      <c r="G4117" s="2" t="s">
        <v>121</v>
      </c>
      <c r="L4117" s="2" t="s">
        <v>7312</v>
      </c>
      <c r="M4117" t="s">
        <v>67</v>
      </c>
      <c r="N4117" t="s">
        <v>68</v>
      </c>
      <c r="P4117" s="23">
        <v>92.83</v>
      </c>
      <c r="Q4117" s="4">
        <f t="shared" si="64"/>
        <v>-50</v>
      </c>
      <c r="R4117" s="23" t="s">
        <v>1198</v>
      </c>
    </row>
    <row r="4118" spans="1:18" x14ac:dyDescent="0.25">
      <c r="A4118" s="21">
        <v>45786</v>
      </c>
      <c r="B4118" s="1" t="s">
        <v>4194</v>
      </c>
      <c r="C4118" t="s">
        <v>7313</v>
      </c>
      <c r="D4118" s="22">
        <v>-4641.5</v>
      </c>
      <c r="E4118" t="s">
        <v>35</v>
      </c>
      <c r="F4118" s="2">
        <v>212901001</v>
      </c>
      <c r="G4118" s="2" t="s">
        <v>121</v>
      </c>
      <c r="L4118" s="2" t="s">
        <v>7314</v>
      </c>
      <c r="M4118" t="s">
        <v>67</v>
      </c>
      <c r="N4118" t="s">
        <v>68</v>
      </c>
      <c r="P4118" s="23">
        <v>92.83</v>
      </c>
      <c r="Q4118" s="4">
        <f t="shared" si="64"/>
        <v>-50</v>
      </c>
      <c r="R4118" s="23" t="s">
        <v>1198</v>
      </c>
    </row>
    <row r="4119" spans="1:18" x14ac:dyDescent="0.25">
      <c r="A4119" s="21">
        <v>45786</v>
      </c>
      <c r="B4119" s="1" t="s">
        <v>4173</v>
      </c>
      <c r="C4119" t="s">
        <v>7315</v>
      </c>
      <c r="D4119" s="22">
        <v>-4641.5</v>
      </c>
      <c r="E4119" t="s">
        <v>35</v>
      </c>
      <c r="F4119" s="2">
        <v>212901001</v>
      </c>
      <c r="G4119" s="2" t="s">
        <v>121</v>
      </c>
      <c r="L4119" s="2" t="s">
        <v>7316</v>
      </c>
      <c r="M4119" t="s">
        <v>67</v>
      </c>
      <c r="N4119" t="s">
        <v>68</v>
      </c>
      <c r="P4119" s="23">
        <v>92.83</v>
      </c>
      <c r="Q4119" s="4">
        <f t="shared" si="64"/>
        <v>-50</v>
      </c>
      <c r="R4119" s="23" t="s">
        <v>1198</v>
      </c>
    </row>
    <row r="4120" spans="1:18" x14ac:dyDescent="0.25">
      <c r="A4120" s="21">
        <v>45786</v>
      </c>
      <c r="B4120" s="1" t="s">
        <v>4197</v>
      </c>
      <c r="C4120" t="s">
        <v>7317</v>
      </c>
      <c r="D4120" s="22">
        <v>-4641.5</v>
      </c>
      <c r="E4120" t="s">
        <v>35</v>
      </c>
      <c r="F4120" s="2">
        <v>212901001</v>
      </c>
      <c r="G4120" s="2" t="s">
        <v>121</v>
      </c>
      <c r="L4120" s="2" t="s">
        <v>7318</v>
      </c>
      <c r="M4120" t="s">
        <v>67</v>
      </c>
      <c r="N4120" t="s">
        <v>68</v>
      </c>
      <c r="P4120" s="23">
        <v>92.83</v>
      </c>
      <c r="Q4120" s="4">
        <f t="shared" si="64"/>
        <v>-50</v>
      </c>
      <c r="R4120" s="23" t="s">
        <v>1198</v>
      </c>
    </row>
    <row r="4121" spans="1:18" x14ac:dyDescent="0.25">
      <c r="A4121" s="21">
        <v>45786</v>
      </c>
      <c r="B4121" s="1" t="s">
        <v>4122</v>
      </c>
      <c r="C4121" t="s">
        <v>7319</v>
      </c>
      <c r="D4121" s="22">
        <v>-4641.5</v>
      </c>
      <c r="E4121" t="s">
        <v>35</v>
      </c>
      <c r="F4121" s="2">
        <v>212901001</v>
      </c>
      <c r="G4121" s="2" t="s">
        <v>121</v>
      </c>
      <c r="L4121" s="2" t="s">
        <v>7320</v>
      </c>
      <c r="M4121" t="s">
        <v>67</v>
      </c>
      <c r="N4121" t="s">
        <v>68</v>
      </c>
      <c r="P4121" s="23">
        <v>92.83</v>
      </c>
      <c r="Q4121" s="4">
        <f t="shared" si="64"/>
        <v>-50</v>
      </c>
      <c r="R4121" s="23" t="s">
        <v>1198</v>
      </c>
    </row>
    <row r="4122" spans="1:18" x14ac:dyDescent="0.25">
      <c r="A4122" s="21">
        <v>45786</v>
      </c>
      <c r="B4122" s="1" t="s">
        <v>4079</v>
      </c>
      <c r="C4122" t="s">
        <v>7321</v>
      </c>
      <c r="D4122" s="22">
        <v>-4641.5</v>
      </c>
      <c r="E4122" t="s">
        <v>35</v>
      </c>
      <c r="F4122" s="2">
        <v>212901001</v>
      </c>
      <c r="G4122" s="2" t="s">
        <v>121</v>
      </c>
      <c r="L4122" s="2" t="s">
        <v>7322</v>
      </c>
      <c r="M4122" t="s">
        <v>67</v>
      </c>
      <c r="N4122" t="s">
        <v>68</v>
      </c>
      <c r="P4122" s="23">
        <v>92.83</v>
      </c>
      <c r="Q4122" s="4">
        <f t="shared" si="64"/>
        <v>-50</v>
      </c>
      <c r="R4122" s="23" t="s">
        <v>1198</v>
      </c>
    </row>
    <row r="4123" spans="1:18" x14ac:dyDescent="0.25">
      <c r="A4123" s="21">
        <v>45786</v>
      </c>
      <c r="B4123" s="1" t="s">
        <v>4139</v>
      </c>
      <c r="C4123" t="s">
        <v>7323</v>
      </c>
      <c r="D4123" s="22">
        <v>-4641.5</v>
      </c>
      <c r="E4123" t="s">
        <v>35</v>
      </c>
      <c r="F4123" s="2">
        <v>212901001</v>
      </c>
      <c r="G4123" s="2" t="s">
        <v>121</v>
      </c>
      <c r="L4123" s="2" t="s">
        <v>7324</v>
      </c>
      <c r="M4123" t="s">
        <v>67</v>
      </c>
      <c r="N4123" t="s">
        <v>68</v>
      </c>
      <c r="P4123" s="23">
        <v>92.83</v>
      </c>
      <c r="Q4123" s="4">
        <f t="shared" si="64"/>
        <v>-50</v>
      </c>
      <c r="R4123" s="23" t="s">
        <v>1198</v>
      </c>
    </row>
    <row r="4124" spans="1:18" x14ac:dyDescent="0.25">
      <c r="A4124" s="21">
        <v>45786</v>
      </c>
      <c r="B4124" s="1" t="s">
        <v>4100</v>
      </c>
      <c r="C4124" t="s">
        <v>7267</v>
      </c>
      <c r="D4124" s="22">
        <v>-4641.5</v>
      </c>
      <c r="E4124" t="s">
        <v>35</v>
      </c>
      <c r="F4124" s="2">
        <v>212901001</v>
      </c>
      <c r="G4124" s="2" t="s">
        <v>121</v>
      </c>
      <c r="L4124" s="2" t="s">
        <v>7325</v>
      </c>
      <c r="M4124" t="s">
        <v>67</v>
      </c>
      <c r="N4124" t="s">
        <v>68</v>
      </c>
      <c r="P4124" s="23">
        <v>92.83</v>
      </c>
      <c r="Q4124" s="4">
        <f t="shared" si="64"/>
        <v>-50</v>
      </c>
      <c r="R4124" s="23" t="s">
        <v>1198</v>
      </c>
    </row>
    <row r="4125" spans="1:18" x14ac:dyDescent="0.25">
      <c r="A4125" s="21">
        <v>45786</v>
      </c>
      <c r="B4125" s="1" t="s">
        <v>4064</v>
      </c>
      <c r="C4125" t="s">
        <v>7326</v>
      </c>
      <c r="D4125" s="22">
        <v>-4641.5</v>
      </c>
      <c r="E4125" t="s">
        <v>35</v>
      </c>
      <c r="F4125" s="2">
        <v>212901001</v>
      </c>
      <c r="G4125" s="2" t="s">
        <v>121</v>
      </c>
      <c r="L4125" s="2" t="s">
        <v>7327</v>
      </c>
      <c r="M4125" t="s">
        <v>67</v>
      </c>
      <c r="N4125" t="s">
        <v>68</v>
      </c>
      <c r="P4125" s="23">
        <v>92.83</v>
      </c>
      <c r="Q4125" s="4">
        <f t="shared" si="64"/>
        <v>-50</v>
      </c>
      <c r="R4125" s="23" t="s">
        <v>1198</v>
      </c>
    </row>
    <row r="4126" spans="1:18" x14ac:dyDescent="0.25">
      <c r="A4126" s="21">
        <v>45786</v>
      </c>
      <c r="B4126" s="1" t="s">
        <v>4142</v>
      </c>
      <c r="C4126" t="s">
        <v>7328</v>
      </c>
      <c r="D4126" s="22">
        <v>-4641.5</v>
      </c>
      <c r="E4126" t="s">
        <v>35</v>
      </c>
      <c r="F4126" s="2">
        <v>212901001</v>
      </c>
      <c r="G4126" s="2" t="s">
        <v>121</v>
      </c>
      <c r="L4126" s="2" t="s">
        <v>7329</v>
      </c>
      <c r="M4126" t="s">
        <v>67</v>
      </c>
      <c r="N4126" t="s">
        <v>68</v>
      </c>
      <c r="P4126" s="23">
        <v>92.83</v>
      </c>
      <c r="Q4126" s="4">
        <f t="shared" si="64"/>
        <v>-50</v>
      </c>
      <c r="R4126" s="23" t="s">
        <v>1198</v>
      </c>
    </row>
    <row r="4127" spans="1:18" x14ac:dyDescent="0.25">
      <c r="A4127" s="21">
        <v>45786</v>
      </c>
      <c r="B4127" s="1" t="s">
        <v>4103</v>
      </c>
      <c r="C4127" t="s">
        <v>7330</v>
      </c>
      <c r="D4127" s="22">
        <v>-4641.5</v>
      </c>
      <c r="E4127" t="s">
        <v>35</v>
      </c>
      <c r="F4127" s="2">
        <v>212901001</v>
      </c>
      <c r="G4127" s="2" t="s">
        <v>121</v>
      </c>
      <c r="L4127" s="2" t="s">
        <v>7331</v>
      </c>
      <c r="M4127" t="s">
        <v>67</v>
      </c>
      <c r="N4127" t="s">
        <v>68</v>
      </c>
      <c r="P4127" s="23">
        <v>92.83</v>
      </c>
      <c r="Q4127" s="4">
        <f t="shared" si="64"/>
        <v>-50</v>
      </c>
      <c r="R4127" s="23" t="s">
        <v>1198</v>
      </c>
    </row>
    <row r="4128" spans="1:18" x14ac:dyDescent="0.25">
      <c r="A4128" s="21">
        <v>45786</v>
      </c>
      <c r="B4128" s="1" t="s">
        <v>4176</v>
      </c>
      <c r="C4128" t="s">
        <v>7332</v>
      </c>
      <c r="D4128" s="22">
        <v>-4641.5</v>
      </c>
      <c r="E4128" t="s">
        <v>35</v>
      </c>
      <c r="F4128" s="2">
        <v>212901001</v>
      </c>
      <c r="G4128" s="2" t="s">
        <v>121</v>
      </c>
      <c r="L4128" s="2" t="s">
        <v>7333</v>
      </c>
      <c r="M4128" t="s">
        <v>67</v>
      </c>
      <c r="N4128" t="s">
        <v>68</v>
      </c>
      <c r="P4128" s="23">
        <v>92.83</v>
      </c>
      <c r="Q4128" s="4">
        <f t="shared" si="64"/>
        <v>-50</v>
      </c>
      <c r="R4128" s="23" t="s">
        <v>1198</v>
      </c>
    </row>
    <row r="4129" spans="1:20" x14ac:dyDescent="0.25">
      <c r="A4129" s="21">
        <v>45786</v>
      </c>
      <c r="B4129" s="1" t="s">
        <v>4067</v>
      </c>
      <c r="C4129" t="s">
        <v>7334</v>
      </c>
      <c r="D4129" s="22">
        <v>-4641.5</v>
      </c>
      <c r="E4129" t="s">
        <v>35</v>
      </c>
      <c r="F4129" s="2">
        <v>212901001</v>
      </c>
      <c r="G4129" s="2" t="s">
        <v>121</v>
      </c>
      <c r="L4129" s="2" t="s">
        <v>7335</v>
      </c>
      <c r="M4129" t="s">
        <v>67</v>
      </c>
      <c r="N4129" t="s">
        <v>68</v>
      </c>
      <c r="P4129" s="23">
        <v>92.83</v>
      </c>
      <c r="Q4129" s="4">
        <f t="shared" si="64"/>
        <v>-50</v>
      </c>
      <c r="R4129" s="23" t="s">
        <v>1198</v>
      </c>
    </row>
    <row r="4130" spans="1:20" x14ac:dyDescent="0.25">
      <c r="A4130" s="21">
        <v>45786</v>
      </c>
      <c r="B4130" s="1" t="s">
        <v>4148</v>
      </c>
      <c r="C4130" t="s">
        <v>7336</v>
      </c>
      <c r="D4130" s="22">
        <v>-4641.5</v>
      </c>
      <c r="E4130" t="s">
        <v>35</v>
      </c>
      <c r="F4130" s="2">
        <v>212901001</v>
      </c>
      <c r="G4130" s="2" t="s">
        <v>121</v>
      </c>
      <c r="L4130" s="2" t="s">
        <v>7337</v>
      </c>
      <c r="M4130" t="s">
        <v>67</v>
      </c>
      <c r="N4130" t="s">
        <v>68</v>
      </c>
      <c r="P4130" s="23">
        <v>92.83</v>
      </c>
      <c r="Q4130" s="4">
        <f t="shared" si="64"/>
        <v>-50</v>
      </c>
      <c r="R4130" s="23" t="s">
        <v>1198</v>
      </c>
    </row>
    <row r="4131" spans="1:20" x14ac:dyDescent="0.25">
      <c r="A4131" s="21">
        <v>45786</v>
      </c>
      <c r="B4131" s="1" t="s">
        <v>4082</v>
      </c>
      <c r="C4131" t="s">
        <v>7338</v>
      </c>
      <c r="D4131" s="22">
        <v>-1856.6</v>
      </c>
      <c r="E4131" t="s">
        <v>35</v>
      </c>
      <c r="F4131" s="2">
        <v>212901001</v>
      </c>
      <c r="G4131" s="2" t="s">
        <v>121</v>
      </c>
      <c r="L4131" s="2" t="s">
        <v>7339</v>
      </c>
      <c r="M4131" t="s">
        <v>67</v>
      </c>
      <c r="N4131" t="s">
        <v>68</v>
      </c>
      <c r="P4131" s="23">
        <v>92.83</v>
      </c>
      <c r="Q4131" s="4">
        <f t="shared" si="64"/>
        <v>-20</v>
      </c>
      <c r="R4131" s="23" t="s">
        <v>1198</v>
      </c>
    </row>
    <row r="4132" spans="1:20" x14ac:dyDescent="0.25">
      <c r="A4132" s="21">
        <v>45786</v>
      </c>
      <c r="B4132" s="1" t="s">
        <v>4085</v>
      </c>
      <c r="C4132" t="s">
        <v>7340</v>
      </c>
      <c r="D4132" s="22">
        <v>-1856.6</v>
      </c>
      <c r="E4132" t="s">
        <v>35</v>
      </c>
      <c r="F4132" s="2">
        <v>212901001</v>
      </c>
      <c r="G4132" s="2" t="s">
        <v>121</v>
      </c>
      <c r="L4132" s="2" t="s">
        <v>7341</v>
      </c>
      <c r="M4132" t="s">
        <v>67</v>
      </c>
      <c r="N4132" t="s">
        <v>68</v>
      </c>
      <c r="P4132" s="23">
        <v>92.83</v>
      </c>
      <c r="Q4132" s="4">
        <f t="shared" si="64"/>
        <v>-20</v>
      </c>
      <c r="R4132" s="23" t="s">
        <v>1198</v>
      </c>
    </row>
    <row r="4133" spans="1:20" x14ac:dyDescent="0.25">
      <c r="A4133" s="21">
        <v>45786</v>
      </c>
      <c r="B4133" s="1" t="s">
        <v>4145</v>
      </c>
      <c r="C4133" t="s">
        <v>7342</v>
      </c>
      <c r="D4133" s="22">
        <v>-1856.6</v>
      </c>
      <c r="E4133" t="s">
        <v>35</v>
      </c>
      <c r="F4133" s="2">
        <v>212901001</v>
      </c>
      <c r="G4133" s="2" t="s">
        <v>121</v>
      </c>
      <c r="L4133" s="2" t="s">
        <v>7343</v>
      </c>
      <c r="M4133" t="s">
        <v>67</v>
      </c>
      <c r="N4133" t="s">
        <v>68</v>
      </c>
      <c r="P4133" s="23">
        <v>92.83</v>
      </c>
      <c r="Q4133" s="4">
        <f t="shared" si="64"/>
        <v>-20</v>
      </c>
      <c r="R4133" s="23" t="s">
        <v>1198</v>
      </c>
    </row>
    <row r="4134" spans="1:20" x14ac:dyDescent="0.25">
      <c r="A4134" s="21">
        <v>45786</v>
      </c>
      <c r="B4134" s="1" t="s">
        <v>4200</v>
      </c>
      <c r="C4134" t="s">
        <v>7344</v>
      </c>
      <c r="D4134" s="22">
        <v>-1856.6</v>
      </c>
      <c r="E4134" t="s">
        <v>35</v>
      </c>
      <c r="F4134" s="2">
        <v>212901001</v>
      </c>
      <c r="G4134" s="2" t="s">
        <v>121</v>
      </c>
      <c r="L4134" s="2" t="s">
        <v>7345</v>
      </c>
      <c r="M4134" t="s">
        <v>67</v>
      </c>
      <c r="N4134" t="s">
        <v>68</v>
      </c>
      <c r="P4134" s="23">
        <v>92.83</v>
      </c>
      <c r="Q4134" s="4">
        <f t="shared" si="64"/>
        <v>-20</v>
      </c>
      <c r="R4134" s="23" t="s">
        <v>1198</v>
      </c>
    </row>
    <row r="4135" spans="1:20" x14ac:dyDescent="0.25">
      <c r="A4135" s="21">
        <v>45786</v>
      </c>
      <c r="B4135" s="1" t="s">
        <v>4203</v>
      </c>
      <c r="C4135" t="s">
        <v>7346</v>
      </c>
      <c r="D4135" s="22">
        <v>-12996.2</v>
      </c>
      <c r="E4135" t="s">
        <v>35</v>
      </c>
      <c r="F4135" s="2">
        <v>212901001</v>
      </c>
      <c r="G4135" s="2" t="s">
        <v>121</v>
      </c>
      <c r="L4135" s="2" t="s">
        <v>7347</v>
      </c>
      <c r="M4135" t="s">
        <v>67</v>
      </c>
      <c r="N4135" t="s">
        <v>68</v>
      </c>
      <c r="P4135" s="23">
        <v>92.83</v>
      </c>
      <c r="Q4135" s="4">
        <f t="shared" si="64"/>
        <v>-140</v>
      </c>
      <c r="R4135" s="23" t="s">
        <v>1198</v>
      </c>
    </row>
    <row r="4136" spans="1:20" x14ac:dyDescent="0.25">
      <c r="A4136" s="21">
        <v>45786</v>
      </c>
      <c r="B4136" s="1" t="s">
        <v>4151</v>
      </c>
      <c r="C4136" t="s">
        <v>7348</v>
      </c>
      <c r="D4136" s="22">
        <v>-9283</v>
      </c>
      <c r="E4136" t="s">
        <v>35</v>
      </c>
      <c r="F4136" s="2">
        <v>212901001</v>
      </c>
      <c r="G4136" s="2" t="s">
        <v>121</v>
      </c>
      <c r="L4136" s="2" t="s">
        <v>7349</v>
      </c>
      <c r="M4136" t="s">
        <v>67</v>
      </c>
      <c r="N4136" t="s">
        <v>68</v>
      </c>
      <c r="P4136" s="23">
        <v>92.83</v>
      </c>
      <c r="Q4136" s="4">
        <f t="shared" si="64"/>
        <v>-100</v>
      </c>
      <c r="R4136" s="23" t="s">
        <v>1198</v>
      </c>
    </row>
    <row r="4137" spans="1:20" x14ac:dyDescent="0.25">
      <c r="A4137" s="21">
        <v>45786</v>
      </c>
      <c r="B4137" s="1" t="s">
        <v>4030</v>
      </c>
      <c r="C4137" t="s">
        <v>7350</v>
      </c>
      <c r="D4137" s="22">
        <v>-18566</v>
      </c>
      <c r="E4137" t="s">
        <v>35</v>
      </c>
      <c r="F4137" s="2">
        <v>212901001</v>
      </c>
      <c r="G4137" s="2" t="s">
        <v>121</v>
      </c>
      <c r="L4137" s="2" t="s">
        <v>7351</v>
      </c>
      <c r="M4137" t="s">
        <v>67</v>
      </c>
      <c r="N4137" t="s">
        <v>68</v>
      </c>
      <c r="P4137" s="23">
        <v>92.83</v>
      </c>
      <c r="Q4137" s="4">
        <f t="shared" si="64"/>
        <v>-200</v>
      </c>
      <c r="R4137" s="23" t="s">
        <v>1198</v>
      </c>
    </row>
    <row r="4138" spans="1:20" x14ac:dyDescent="0.25">
      <c r="A4138" s="21">
        <v>45786</v>
      </c>
      <c r="B4138" s="1" t="s">
        <v>4154</v>
      </c>
      <c r="C4138" t="s">
        <v>7352</v>
      </c>
      <c r="D4138" s="22">
        <v>-11325.26</v>
      </c>
      <c r="E4138" t="s">
        <v>35</v>
      </c>
      <c r="F4138" s="2">
        <v>212901001</v>
      </c>
      <c r="G4138" s="2" t="s">
        <v>121</v>
      </c>
      <c r="L4138" s="2" t="s">
        <v>7353</v>
      </c>
      <c r="M4138" t="s">
        <v>67</v>
      </c>
      <c r="N4138" t="s">
        <v>68</v>
      </c>
      <c r="P4138" s="23">
        <v>92.83</v>
      </c>
      <c r="Q4138" s="4">
        <f t="shared" si="64"/>
        <v>-122</v>
      </c>
      <c r="R4138" s="23" t="s">
        <v>1198</v>
      </c>
    </row>
    <row r="4139" spans="1:20" x14ac:dyDescent="0.25">
      <c r="A4139" s="21">
        <v>45786</v>
      </c>
      <c r="B4139" s="1" t="s">
        <v>4033</v>
      </c>
      <c r="C4139" t="s">
        <v>7354</v>
      </c>
      <c r="D4139" s="22">
        <v>-2784.9</v>
      </c>
      <c r="E4139" t="s">
        <v>35</v>
      </c>
      <c r="F4139" s="2">
        <v>212901001</v>
      </c>
      <c r="G4139" s="2" t="s">
        <v>121</v>
      </c>
      <c r="L4139" s="2" t="s">
        <v>7355</v>
      </c>
      <c r="M4139" t="s">
        <v>67</v>
      </c>
      <c r="N4139" t="s">
        <v>68</v>
      </c>
      <c r="P4139" s="23">
        <v>92.83</v>
      </c>
      <c r="Q4139" s="4">
        <f t="shared" si="64"/>
        <v>-30</v>
      </c>
      <c r="R4139" s="23" t="s">
        <v>1198</v>
      </c>
    </row>
    <row r="4140" spans="1:20" x14ac:dyDescent="0.25">
      <c r="A4140" s="21">
        <v>45786</v>
      </c>
      <c r="B4140" s="1" t="s">
        <v>4004</v>
      </c>
      <c r="C4140" t="s">
        <v>7356</v>
      </c>
      <c r="D4140" s="22">
        <v>-3713.2</v>
      </c>
      <c r="E4140" t="s">
        <v>35</v>
      </c>
      <c r="F4140" s="2">
        <v>212901001</v>
      </c>
      <c r="G4140" s="2" t="s">
        <v>121</v>
      </c>
      <c r="L4140" s="2" t="s">
        <v>7357</v>
      </c>
      <c r="M4140" t="s">
        <v>67</v>
      </c>
      <c r="N4140" t="s">
        <v>68</v>
      </c>
      <c r="P4140" s="23">
        <v>92.83</v>
      </c>
      <c r="Q4140" s="4">
        <f t="shared" si="64"/>
        <v>-40</v>
      </c>
      <c r="R4140" s="23" t="s">
        <v>1198</v>
      </c>
    </row>
    <row r="4141" spans="1:20" x14ac:dyDescent="0.25">
      <c r="A4141" s="21">
        <v>45786</v>
      </c>
      <c r="B4141" s="1" t="s">
        <v>7358</v>
      </c>
      <c r="C4141" t="s">
        <v>544</v>
      </c>
      <c r="D4141" s="22">
        <v>420000</v>
      </c>
      <c r="E4141" t="s">
        <v>46</v>
      </c>
      <c r="F4141" s="2">
        <v>210115002</v>
      </c>
      <c r="G4141" s="2" t="s">
        <v>47</v>
      </c>
      <c r="L4141" s="2" t="s">
        <v>7359</v>
      </c>
      <c r="N4141" t="s">
        <v>544</v>
      </c>
      <c r="P4141" s="23">
        <v>92.83</v>
      </c>
      <c r="Q4141" s="4">
        <f t="shared" si="64"/>
        <v>4524.3994398362602</v>
      </c>
      <c r="R4141" s="23" t="s">
        <v>1198</v>
      </c>
    </row>
    <row r="4142" spans="1:20" x14ac:dyDescent="0.25">
      <c r="A4142" s="21">
        <v>45786</v>
      </c>
      <c r="B4142" s="1">
        <v>676200000052</v>
      </c>
      <c r="C4142" t="s">
        <v>1221</v>
      </c>
      <c r="D4142" s="22">
        <v>-11.6</v>
      </c>
      <c r="E4142" t="s">
        <v>35</v>
      </c>
      <c r="F4142" s="2">
        <v>610148001</v>
      </c>
      <c r="G4142" s="2" t="s">
        <v>42</v>
      </c>
      <c r="L4142" s="2" t="s">
        <v>7360</v>
      </c>
      <c r="M4142" t="s">
        <v>43</v>
      </c>
      <c r="N4142" t="s">
        <v>42</v>
      </c>
      <c r="P4142" s="23">
        <v>92.83</v>
      </c>
      <c r="Q4142" s="4">
        <f t="shared" si="64"/>
        <v>-0.12495960357643003</v>
      </c>
      <c r="R4142" s="23" t="s">
        <v>1198</v>
      </c>
      <c r="T4142" s="41" t="s">
        <v>6107</v>
      </c>
    </row>
    <row r="4143" spans="1:20" x14ac:dyDescent="0.25">
      <c r="A4143" s="21">
        <v>45786</v>
      </c>
      <c r="B4143" s="1" t="s">
        <v>1223</v>
      </c>
      <c r="C4143" t="s">
        <v>1221</v>
      </c>
      <c r="D4143" s="22">
        <v>-18.559999999999999</v>
      </c>
      <c r="E4143" t="s">
        <v>35</v>
      </c>
      <c r="F4143" s="2">
        <v>610148001</v>
      </c>
      <c r="G4143" s="2" t="s">
        <v>42</v>
      </c>
      <c r="L4143" s="2" t="s">
        <v>7361</v>
      </c>
      <c r="M4143" t="s">
        <v>43</v>
      </c>
      <c r="N4143" t="s">
        <v>42</v>
      </c>
      <c r="P4143" s="23">
        <v>92.83</v>
      </c>
      <c r="Q4143" s="4">
        <f t="shared" si="64"/>
        <v>-0.19993536572228804</v>
      </c>
      <c r="R4143" s="23" t="s">
        <v>1198</v>
      </c>
      <c r="T4143" s="41" t="s">
        <v>6107</v>
      </c>
    </row>
    <row r="4144" spans="1:20" x14ac:dyDescent="0.25">
      <c r="A4144" s="21">
        <v>45786</v>
      </c>
      <c r="B4144" s="1" t="s">
        <v>1227</v>
      </c>
      <c r="C4144" t="s">
        <v>1221</v>
      </c>
      <c r="D4144" s="22">
        <v>-13.92</v>
      </c>
      <c r="E4144" t="s">
        <v>35</v>
      </c>
      <c r="F4144" s="2">
        <v>610148001</v>
      </c>
      <c r="G4144" s="2" t="s">
        <v>42</v>
      </c>
      <c r="L4144" s="2" t="s">
        <v>7362</v>
      </c>
      <c r="M4144" t="s">
        <v>43</v>
      </c>
      <c r="N4144" t="s">
        <v>42</v>
      </c>
      <c r="P4144" s="23">
        <v>92.83</v>
      </c>
      <c r="Q4144" s="4">
        <f t="shared" si="64"/>
        <v>-0.14995152429171604</v>
      </c>
      <c r="R4144" s="23" t="s">
        <v>1198</v>
      </c>
      <c r="T4144" s="41" t="s">
        <v>6107</v>
      </c>
    </row>
    <row r="4145" spans="1:20" x14ac:dyDescent="0.25">
      <c r="A4145" s="21">
        <v>45786</v>
      </c>
      <c r="B4145" s="1" t="s">
        <v>1225</v>
      </c>
      <c r="C4145" t="s">
        <v>1221</v>
      </c>
      <c r="D4145" s="22">
        <v>-13.92</v>
      </c>
      <c r="E4145" t="s">
        <v>35</v>
      </c>
      <c r="F4145" s="2">
        <v>610148001</v>
      </c>
      <c r="G4145" s="2" t="s">
        <v>42</v>
      </c>
      <c r="L4145" s="2" t="s">
        <v>7363</v>
      </c>
      <c r="M4145" t="s">
        <v>43</v>
      </c>
      <c r="N4145" t="s">
        <v>42</v>
      </c>
      <c r="P4145" s="23">
        <v>92.83</v>
      </c>
      <c r="Q4145" s="4">
        <f t="shared" si="64"/>
        <v>-0.14995152429171604</v>
      </c>
      <c r="R4145" s="23" t="s">
        <v>1198</v>
      </c>
      <c r="T4145" s="41" t="s">
        <v>6107</v>
      </c>
    </row>
    <row r="4146" spans="1:20" x14ac:dyDescent="0.25">
      <c r="A4146" s="21">
        <v>45786</v>
      </c>
      <c r="B4146" s="1" t="s">
        <v>1220</v>
      </c>
      <c r="C4146" t="s">
        <v>1221</v>
      </c>
      <c r="D4146" s="22">
        <v>-13.92</v>
      </c>
      <c r="E4146" t="s">
        <v>35</v>
      </c>
      <c r="F4146" s="2">
        <v>610148001</v>
      </c>
      <c r="G4146" s="2" t="s">
        <v>42</v>
      </c>
      <c r="L4146" s="2" t="s">
        <v>7364</v>
      </c>
      <c r="M4146" t="s">
        <v>43</v>
      </c>
      <c r="N4146" t="s">
        <v>42</v>
      </c>
      <c r="P4146" s="23">
        <v>92.83</v>
      </c>
      <c r="Q4146" s="4">
        <f t="shared" si="64"/>
        <v>-0.14995152429171604</v>
      </c>
      <c r="R4146" s="23" t="s">
        <v>1198</v>
      </c>
      <c r="T4146" s="41" t="s">
        <v>6107</v>
      </c>
    </row>
    <row r="4147" spans="1:20" x14ac:dyDescent="0.25">
      <c r="A4147" s="21">
        <v>45786</v>
      </c>
      <c r="B4147" s="1" t="s">
        <v>2582</v>
      </c>
      <c r="C4147" t="s">
        <v>1221</v>
      </c>
      <c r="D4147" s="22">
        <v>-13.92</v>
      </c>
      <c r="E4147" t="s">
        <v>35</v>
      </c>
      <c r="F4147" s="2">
        <v>610148001</v>
      </c>
      <c r="G4147" s="2" t="s">
        <v>42</v>
      </c>
      <c r="L4147" s="2" t="s">
        <v>7365</v>
      </c>
      <c r="M4147" t="s">
        <v>43</v>
      </c>
      <c r="N4147" t="s">
        <v>42</v>
      </c>
      <c r="P4147" s="23">
        <v>92.83</v>
      </c>
      <c r="Q4147" s="4">
        <f t="shared" si="64"/>
        <v>-0.14995152429171604</v>
      </c>
      <c r="R4147" s="23" t="s">
        <v>1198</v>
      </c>
      <c r="T4147" s="41" t="s">
        <v>6107</v>
      </c>
    </row>
    <row r="4148" spans="1:20" x14ac:dyDescent="0.25">
      <c r="A4148" s="21">
        <v>45786</v>
      </c>
      <c r="B4148" s="1" t="s">
        <v>2585</v>
      </c>
      <c r="C4148" t="s">
        <v>1221</v>
      </c>
      <c r="D4148" s="22">
        <v>-13.92</v>
      </c>
      <c r="E4148" t="s">
        <v>35</v>
      </c>
      <c r="F4148" s="2">
        <v>610148001</v>
      </c>
      <c r="G4148" s="2" t="s">
        <v>42</v>
      </c>
      <c r="L4148" s="2" t="s">
        <v>7366</v>
      </c>
      <c r="M4148" t="s">
        <v>43</v>
      </c>
      <c r="N4148" t="s">
        <v>42</v>
      </c>
      <c r="P4148" s="23">
        <v>92.83</v>
      </c>
      <c r="Q4148" s="4">
        <f t="shared" si="64"/>
        <v>-0.14995152429171604</v>
      </c>
      <c r="R4148" s="23" t="s">
        <v>1198</v>
      </c>
      <c r="T4148" s="41" t="s">
        <v>6107</v>
      </c>
    </row>
    <row r="4149" spans="1:20" x14ac:dyDescent="0.25">
      <c r="A4149" s="21">
        <v>45786</v>
      </c>
      <c r="B4149" s="1" t="s">
        <v>3969</v>
      </c>
      <c r="C4149" t="s">
        <v>1221</v>
      </c>
      <c r="D4149" s="22">
        <v>-13.92</v>
      </c>
      <c r="E4149" t="s">
        <v>35</v>
      </c>
      <c r="F4149" s="2">
        <v>610148001</v>
      </c>
      <c r="G4149" s="2" t="s">
        <v>42</v>
      </c>
      <c r="L4149" s="2" t="s">
        <v>7367</v>
      </c>
      <c r="M4149" t="s">
        <v>43</v>
      </c>
      <c r="N4149" t="s">
        <v>42</v>
      </c>
      <c r="P4149" s="23">
        <v>92.83</v>
      </c>
      <c r="Q4149" s="4">
        <f t="shared" si="64"/>
        <v>-0.14995152429171604</v>
      </c>
      <c r="R4149" s="23" t="s">
        <v>1198</v>
      </c>
      <c r="T4149" s="41" t="s">
        <v>6107</v>
      </c>
    </row>
    <row r="4150" spans="1:20" x14ac:dyDescent="0.25">
      <c r="A4150" s="21">
        <v>45786</v>
      </c>
      <c r="B4150" s="1" t="s">
        <v>3965</v>
      </c>
      <c r="C4150" t="s">
        <v>1221</v>
      </c>
      <c r="D4150" s="22">
        <v>-13.92</v>
      </c>
      <c r="E4150" t="s">
        <v>35</v>
      </c>
      <c r="F4150" s="2">
        <v>610148001</v>
      </c>
      <c r="G4150" s="2" t="s">
        <v>42</v>
      </c>
      <c r="L4150" s="2" t="s">
        <v>7368</v>
      </c>
      <c r="M4150" t="s">
        <v>43</v>
      </c>
      <c r="N4150" t="s">
        <v>42</v>
      </c>
      <c r="P4150" s="23">
        <v>92.83</v>
      </c>
      <c r="Q4150" s="4">
        <f t="shared" si="64"/>
        <v>-0.14995152429171604</v>
      </c>
      <c r="R4150" s="23" t="s">
        <v>1198</v>
      </c>
      <c r="T4150" s="41" t="s">
        <v>6107</v>
      </c>
    </row>
    <row r="4151" spans="1:20" x14ac:dyDescent="0.25">
      <c r="A4151" s="21">
        <v>45786</v>
      </c>
      <c r="B4151" s="1" t="s">
        <v>3958</v>
      </c>
      <c r="C4151" t="s">
        <v>1221</v>
      </c>
      <c r="D4151" s="22">
        <v>-13.92</v>
      </c>
      <c r="E4151" t="s">
        <v>35</v>
      </c>
      <c r="F4151" s="2">
        <v>610148001</v>
      </c>
      <c r="G4151" s="2" t="s">
        <v>42</v>
      </c>
      <c r="L4151" s="2" t="s">
        <v>7369</v>
      </c>
      <c r="M4151" t="s">
        <v>43</v>
      </c>
      <c r="N4151" t="s">
        <v>42</v>
      </c>
      <c r="P4151" s="23">
        <v>92.83</v>
      </c>
      <c r="Q4151" s="4">
        <f t="shared" si="64"/>
        <v>-0.14995152429171604</v>
      </c>
      <c r="R4151" s="23" t="s">
        <v>1198</v>
      </c>
      <c r="T4151" s="41" t="s">
        <v>6107</v>
      </c>
    </row>
    <row r="4152" spans="1:20" x14ac:dyDescent="0.25">
      <c r="A4152" s="21">
        <v>45786</v>
      </c>
      <c r="B4152" s="1" t="s">
        <v>3967</v>
      </c>
      <c r="C4152" t="s">
        <v>1221</v>
      </c>
      <c r="D4152" s="22">
        <v>-13.92</v>
      </c>
      <c r="E4152" t="s">
        <v>35</v>
      </c>
      <c r="F4152" s="2">
        <v>610148001</v>
      </c>
      <c r="G4152" s="2" t="s">
        <v>42</v>
      </c>
      <c r="L4152" s="2" t="s">
        <v>7370</v>
      </c>
      <c r="M4152" t="s">
        <v>43</v>
      </c>
      <c r="N4152" t="s">
        <v>42</v>
      </c>
      <c r="P4152" s="23">
        <v>92.83</v>
      </c>
      <c r="Q4152" s="4">
        <f t="shared" si="64"/>
        <v>-0.14995152429171604</v>
      </c>
      <c r="R4152" s="23" t="s">
        <v>1198</v>
      </c>
      <c r="T4152" s="41" t="s">
        <v>6107</v>
      </c>
    </row>
    <row r="4153" spans="1:20" x14ac:dyDescent="0.25">
      <c r="A4153" s="21">
        <v>45786</v>
      </c>
      <c r="B4153" s="1" t="s">
        <v>3977</v>
      </c>
      <c r="C4153" t="s">
        <v>1221</v>
      </c>
      <c r="D4153" s="22">
        <v>-13.92</v>
      </c>
      <c r="E4153" t="s">
        <v>35</v>
      </c>
      <c r="F4153" s="2">
        <v>610148001</v>
      </c>
      <c r="G4153" s="2" t="s">
        <v>42</v>
      </c>
      <c r="L4153" s="2" t="s">
        <v>7371</v>
      </c>
      <c r="M4153" t="s">
        <v>43</v>
      </c>
      <c r="N4153" t="s">
        <v>42</v>
      </c>
      <c r="P4153" s="23">
        <v>92.83</v>
      </c>
      <c r="Q4153" s="4">
        <f t="shared" si="64"/>
        <v>-0.14995152429171604</v>
      </c>
      <c r="R4153" s="23" t="s">
        <v>1198</v>
      </c>
      <c r="T4153" s="41" t="s">
        <v>6107</v>
      </c>
    </row>
    <row r="4154" spans="1:20" x14ac:dyDescent="0.25">
      <c r="A4154" s="21">
        <v>45786</v>
      </c>
      <c r="B4154" s="1" t="s">
        <v>3960</v>
      </c>
      <c r="C4154" t="s">
        <v>1221</v>
      </c>
      <c r="D4154" s="22">
        <v>-13.92</v>
      </c>
      <c r="E4154" t="s">
        <v>35</v>
      </c>
      <c r="F4154" s="2">
        <v>610148001</v>
      </c>
      <c r="G4154" s="2" t="s">
        <v>42</v>
      </c>
      <c r="L4154" s="2" t="s">
        <v>7372</v>
      </c>
      <c r="M4154" t="s">
        <v>43</v>
      </c>
      <c r="N4154" t="s">
        <v>42</v>
      </c>
      <c r="P4154" s="23">
        <v>92.83</v>
      </c>
      <c r="Q4154" s="4">
        <f t="shared" si="64"/>
        <v>-0.14995152429171604</v>
      </c>
      <c r="R4154" s="23" t="s">
        <v>1198</v>
      </c>
      <c r="T4154" s="41" t="s">
        <v>6107</v>
      </c>
    </row>
    <row r="4155" spans="1:20" x14ac:dyDescent="0.25">
      <c r="A4155" s="21">
        <v>45786</v>
      </c>
      <c r="B4155" s="1" t="s">
        <v>3962</v>
      </c>
      <c r="C4155" t="s">
        <v>1221</v>
      </c>
      <c r="D4155" s="22">
        <v>-13.92</v>
      </c>
      <c r="E4155" t="s">
        <v>35</v>
      </c>
      <c r="F4155" s="2">
        <v>610148001</v>
      </c>
      <c r="G4155" s="2" t="s">
        <v>42</v>
      </c>
      <c r="L4155" s="2" t="s">
        <v>7373</v>
      </c>
      <c r="M4155" t="s">
        <v>43</v>
      </c>
      <c r="N4155" t="s">
        <v>42</v>
      </c>
      <c r="P4155" s="23">
        <v>92.83</v>
      </c>
      <c r="Q4155" s="4">
        <f t="shared" si="64"/>
        <v>-0.14995152429171604</v>
      </c>
      <c r="R4155" s="23" t="s">
        <v>1198</v>
      </c>
      <c r="T4155" s="41" t="s">
        <v>6107</v>
      </c>
    </row>
    <row r="4156" spans="1:20" x14ac:dyDescent="0.25">
      <c r="A4156" s="21">
        <v>45786</v>
      </c>
      <c r="B4156" s="1" t="s">
        <v>3973</v>
      </c>
      <c r="C4156" t="s">
        <v>1221</v>
      </c>
      <c r="D4156" s="22">
        <v>-13.92</v>
      </c>
      <c r="E4156" t="s">
        <v>35</v>
      </c>
      <c r="F4156" s="2">
        <v>610148001</v>
      </c>
      <c r="G4156" s="2" t="s">
        <v>42</v>
      </c>
      <c r="L4156" s="2" t="s">
        <v>7374</v>
      </c>
      <c r="M4156" t="s">
        <v>43</v>
      </c>
      <c r="N4156" t="s">
        <v>42</v>
      </c>
      <c r="P4156" s="23">
        <v>92.83</v>
      </c>
      <c r="Q4156" s="4">
        <f t="shared" si="64"/>
        <v>-0.14995152429171604</v>
      </c>
      <c r="R4156" s="23" t="s">
        <v>1198</v>
      </c>
      <c r="T4156" s="41" t="s">
        <v>6107</v>
      </c>
    </row>
    <row r="4157" spans="1:20" x14ac:dyDescent="0.25">
      <c r="A4157" s="21">
        <v>45786</v>
      </c>
      <c r="B4157" s="1" t="s">
        <v>3955</v>
      </c>
      <c r="C4157" t="s">
        <v>1221</v>
      </c>
      <c r="D4157" s="22">
        <v>-13.92</v>
      </c>
      <c r="E4157" t="s">
        <v>35</v>
      </c>
      <c r="F4157" s="2">
        <v>610148001</v>
      </c>
      <c r="G4157" s="2" t="s">
        <v>42</v>
      </c>
      <c r="L4157" s="2" t="s">
        <v>7375</v>
      </c>
      <c r="M4157" t="s">
        <v>43</v>
      </c>
      <c r="N4157" t="s">
        <v>42</v>
      </c>
      <c r="P4157" s="23">
        <v>92.83</v>
      </c>
      <c r="Q4157" s="4">
        <f t="shared" si="64"/>
        <v>-0.14995152429171604</v>
      </c>
      <c r="R4157" s="23" t="s">
        <v>1198</v>
      </c>
      <c r="T4157" s="41" t="s">
        <v>6107</v>
      </c>
    </row>
    <row r="4158" spans="1:20" x14ac:dyDescent="0.25">
      <c r="A4158" s="21">
        <v>45786</v>
      </c>
      <c r="B4158" s="1" t="s">
        <v>3979</v>
      </c>
      <c r="C4158" t="s">
        <v>1221</v>
      </c>
      <c r="D4158" s="22">
        <v>-13.92</v>
      </c>
      <c r="E4158" t="s">
        <v>35</v>
      </c>
      <c r="F4158" s="2">
        <v>610148001</v>
      </c>
      <c r="G4158" s="2" t="s">
        <v>42</v>
      </c>
      <c r="L4158" s="2" t="s">
        <v>7376</v>
      </c>
      <c r="M4158" t="s">
        <v>43</v>
      </c>
      <c r="N4158" t="s">
        <v>42</v>
      </c>
      <c r="P4158" s="23">
        <v>92.83</v>
      </c>
      <c r="Q4158" s="4">
        <f t="shared" si="64"/>
        <v>-0.14995152429171604</v>
      </c>
      <c r="R4158" s="23" t="s">
        <v>1198</v>
      </c>
      <c r="T4158" s="41" t="s">
        <v>6107</v>
      </c>
    </row>
    <row r="4159" spans="1:20" x14ac:dyDescent="0.25">
      <c r="A4159" s="21">
        <v>45786</v>
      </c>
      <c r="B4159" s="1" t="s">
        <v>4249</v>
      </c>
      <c r="C4159" t="s">
        <v>1221</v>
      </c>
      <c r="D4159" s="22">
        <v>-34.81</v>
      </c>
      <c r="E4159" t="s">
        <v>35</v>
      </c>
      <c r="F4159" s="2">
        <v>610148001</v>
      </c>
      <c r="G4159" s="2" t="s">
        <v>42</v>
      </c>
      <c r="L4159" s="2" t="s">
        <v>7377</v>
      </c>
      <c r="M4159" t="s">
        <v>43</v>
      </c>
      <c r="N4159" t="s">
        <v>42</v>
      </c>
      <c r="P4159" s="23">
        <v>92.83</v>
      </c>
      <c r="Q4159" s="4">
        <f t="shared" si="64"/>
        <v>-0.3749865345254767</v>
      </c>
      <c r="R4159" s="23" t="s">
        <v>1198</v>
      </c>
      <c r="T4159" s="41" t="s">
        <v>6107</v>
      </c>
    </row>
    <row r="4160" spans="1:20" x14ac:dyDescent="0.25">
      <c r="A4160" s="21">
        <v>45786</v>
      </c>
      <c r="B4160" s="1" t="s">
        <v>4240</v>
      </c>
      <c r="C4160" t="s">
        <v>1221</v>
      </c>
      <c r="D4160" s="22">
        <v>-23.2</v>
      </c>
      <c r="E4160" t="s">
        <v>35</v>
      </c>
      <c r="F4160" s="2">
        <v>610148001</v>
      </c>
      <c r="G4160" s="2" t="s">
        <v>42</v>
      </c>
      <c r="L4160" s="2" t="s">
        <v>7378</v>
      </c>
      <c r="M4160" t="s">
        <v>43</v>
      </c>
      <c r="N4160" t="s">
        <v>42</v>
      </c>
      <c r="P4160" s="23">
        <v>92.83</v>
      </c>
      <c r="Q4160" s="4">
        <f t="shared" si="64"/>
        <v>-0.24991920715286006</v>
      </c>
      <c r="R4160" s="23" t="s">
        <v>1198</v>
      </c>
      <c r="T4160" s="41" t="s">
        <v>6107</v>
      </c>
    </row>
    <row r="4161" spans="1:20" x14ac:dyDescent="0.25">
      <c r="A4161" s="21">
        <v>45786</v>
      </c>
      <c r="B4161" s="1" t="s">
        <v>4284</v>
      </c>
      <c r="C4161" t="s">
        <v>1221</v>
      </c>
      <c r="D4161" s="22">
        <v>-18.559999999999999</v>
      </c>
      <c r="E4161" t="s">
        <v>35</v>
      </c>
      <c r="F4161" s="2">
        <v>610148001</v>
      </c>
      <c r="G4161" s="2" t="s">
        <v>42</v>
      </c>
      <c r="L4161" s="2" t="s">
        <v>7379</v>
      </c>
      <c r="M4161" t="s">
        <v>43</v>
      </c>
      <c r="N4161" t="s">
        <v>42</v>
      </c>
      <c r="P4161" s="23">
        <v>92.83</v>
      </c>
      <c r="Q4161" s="4">
        <f t="shared" si="64"/>
        <v>-0.19993536572228804</v>
      </c>
      <c r="R4161" s="23" t="s">
        <v>1198</v>
      </c>
      <c r="T4161" s="41" t="s">
        <v>6107</v>
      </c>
    </row>
    <row r="4162" spans="1:20" x14ac:dyDescent="0.25">
      <c r="A4162" s="21">
        <v>45786</v>
      </c>
      <c r="B4162" s="1" t="s">
        <v>4309</v>
      </c>
      <c r="C4162" t="s">
        <v>1221</v>
      </c>
      <c r="D4162" s="22">
        <v>-18.559999999999999</v>
      </c>
      <c r="E4162" t="s">
        <v>35</v>
      </c>
      <c r="F4162" s="2">
        <v>610148001</v>
      </c>
      <c r="G4162" s="2" t="s">
        <v>42</v>
      </c>
      <c r="L4162" s="2" t="s">
        <v>7380</v>
      </c>
      <c r="M4162" t="s">
        <v>43</v>
      </c>
      <c r="N4162" t="s">
        <v>42</v>
      </c>
      <c r="P4162" s="23">
        <v>92.83</v>
      </c>
      <c r="Q4162" s="4">
        <f t="shared" si="64"/>
        <v>-0.19993536572228804</v>
      </c>
      <c r="R4162" s="23" t="s">
        <v>1198</v>
      </c>
      <c r="T4162" s="41" t="s">
        <v>6107</v>
      </c>
    </row>
    <row r="4163" spans="1:20" x14ac:dyDescent="0.25">
      <c r="A4163" s="21">
        <v>45786</v>
      </c>
      <c r="B4163" s="1" t="s">
        <v>4242</v>
      </c>
      <c r="C4163" t="s">
        <v>1221</v>
      </c>
      <c r="D4163" s="22">
        <v>-18.559999999999999</v>
      </c>
      <c r="E4163" t="s">
        <v>35</v>
      </c>
      <c r="F4163" s="2">
        <v>610148001</v>
      </c>
      <c r="G4163" s="2" t="s">
        <v>42</v>
      </c>
      <c r="L4163" s="2" t="s">
        <v>7381</v>
      </c>
      <c r="M4163" t="s">
        <v>43</v>
      </c>
      <c r="N4163" t="s">
        <v>42</v>
      </c>
      <c r="P4163" s="23">
        <v>92.83</v>
      </c>
      <c r="Q4163" s="4">
        <f t="shared" si="64"/>
        <v>-0.19993536572228804</v>
      </c>
      <c r="R4163" s="23" t="s">
        <v>1198</v>
      </c>
      <c r="T4163" s="41" t="s">
        <v>6107</v>
      </c>
    </row>
    <row r="4164" spans="1:20" x14ac:dyDescent="0.25">
      <c r="A4164" s="21">
        <v>45786</v>
      </c>
      <c r="B4164" s="1" t="s">
        <v>4311</v>
      </c>
      <c r="C4164" t="s">
        <v>1221</v>
      </c>
      <c r="D4164" s="22">
        <v>-18.559999999999999</v>
      </c>
      <c r="E4164" t="s">
        <v>35</v>
      </c>
      <c r="F4164" s="2">
        <v>610148001</v>
      </c>
      <c r="G4164" s="2" t="s">
        <v>42</v>
      </c>
      <c r="L4164" s="2" t="s">
        <v>7382</v>
      </c>
      <c r="M4164" t="s">
        <v>43</v>
      </c>
      <c r="N4164" t="s">
        <v>42</v>
      </c>
      <c r="P4164" s="23">
        <v>92.83</v>
      </c>
      <c r="Q4164" s="4">
        <f t="shared" si="64"/>
        <v>-0.19993536572228804</v>
      </c>
      <c r="R4164" s="23" t="s">
        <v>1198</v>
      </c>
      <c r="T4164" s="41" t="s">
        <v>6107</v>
      </c>
    </row>
    <row r="4165" spans="1:20" x14ac:dyDescent="0.25">
      <c r="A4165" s="21">
        <v>45786</v>
      </c>
      <c r="B4165" s="1" t="s">
        <v>4217</v>
      </c>
      <c r="C4165" t="s">
        <v>1221</v>
      </c>
      <c r="D4165" s="22">
        <v>-18.559999999999999</v>
      </c>
      <c r="E4165" t="s">
        <v>35</v>
      </c>
      <c r="F4165" s="2">
        <v>610148001</v>
      </c>
      <c r="G4165" s="2" t="s">
        <v>42</v>
      </c>
      <c r="L4165" s="2" t="s">
        <v>7383</v>
      </c>
      <c r="M4165" t="s">
        <v>43</v>
      </c>
      <c r="N4165" t="s">
        <v>42</v>
      </c>
      <c r="P4165" s="23">
        <v>92.83</v>
      </c>
      <c r="Q4165" s="4">
        <f t="shared" si="64"/>
        <v>-0.19993536572228804</v>
      </c>
      <c r="R4165" s="23" t="s">
        <v>1198</v>
      </c>
      <c r="T4165" s="41" t="s">
        <v>6107</v>
      </c>
    </row>
    <row r="4166" spans="1:20" x14ac:dyDescent="0.25">
      <c r="A4166" s="21">
        <v>45786</v>
      </c>
      <c r="B4166" s="1" t="s">
        <v>4219</v>
      </c>
      <c r="C4166" t="s">
        <v>1221</v>
      </c>
      <c r="D4166" s="22">
        <v>-18.559999999999999</v>
      </c>
      <c r="E4166" t="s">
        <v>35</v>
      </c>
      <c r="F4166" s="2">
        <v>610148001</v>
      </c>
      <c r="G4166" s="2" t="s">
        <v>42</v>
      </c>
      <c r="L4166" s="2" t="s">
        <v>7384</v>
      </c>
      <c r="M4166" t="s">
        <v>43</v>
      </c>
      <c r="N4166" t="s">
        <v>42</v>
      </c>
      <c r="P4166" s="23">
        <v>92.83</v>
      </c>
      <c r="Q4166" s="4">
        <f t="shared" si="64"/>
        <v>-0.19993536572228804</v>
      </c>
      <c r="R4166" s="23" t="s">
        <v>1198</v>
      </c>
      <c r="T4166" s="41" t="s">
        <v>6107</v>
      </c>
    </row>
    <row r="4167" spans="1:20" x14ac:dyDescent="0.25">
      <c r="A4167" s="21">
        <v>45786</v>
      </c>
      <c r="B4167" s="1" t="s">
        <v>4332</v>
      </c>
      <c r="C4167" t="s">
        <v>1221</v>
      </c>
      <c r="D4167" s="22">
        <v>-7.89</v>
      </c>
      <c r="E4167" t="s">
        <v>35</v>
      </c>
      <c r="F4167" s="2">
        <v>610148001</v>
      </c>
      <c r="G4167" s="2" t="s">
        <v>42</v>
      </c>
      <c r="L4167" s="2" t="s">
        <v>7385</v>
      </c>
      <c r="M4167" t="s">
        <v>43</v>
      </c>
      <c r="N4167" t="s">
        <v>42</v>
      </c>
      <c r="P4167" s="23">
        <v>92.83</v>
      </c>
      <c r="Q4167" s="4">
        <f t="shared" si="64"/>
        <v>-8.4994075191209731E-2</v>
      </c>
      <c r="R4167" s="23" t="s">
        <v>1198</v>
      </c>
      <c r="T4167" s="41" t="s">
        <v>6107</v>
      </c>
    </row>
    <row r="4168" spans="1:20" x14ac:dyDescent="0.25">
      <c r="A4168" s="21">
        <v>45786</v>
      </c>
      <c r="B4168" s="1" t="s">
        <v>4221</v>
      </c>
      <c r="C4168" t="s">
        <v>1221</v>
      </c>
      <c r="D4168" s="22">
        <v>-9.74</v>
      </c>
      <c r="E4168" t="s">
        <v>35</v>
      </c>
      <c r="F4168" s="2">
        <v>610148001</v>
      </c>
      <c r="G4168" s="2" t="s">
        <v>42</v>
      </c>
      <c r="L4168" s="2" t="s">
        <v>7386</v>
      </c>
      <c r="M4168" t="s">
        <v>43</v>
      </c>
      <c r="N4168" t="s">
        <v>42</v>
      </c>
      <c r="P4168" s="23">
        <v>92.83</v>
      </c>
      <c r="Q4168" s="4">
        <f t="shared" si="64"/>
        <v>-0.1049229774857266</v>
      </c>
      <c r="R4168" s="23" t="s">
        <v>1198</v>
      </c>
      <c r="T4168" s="41" t="s">
        <v>6107</v>
      </c>
    </row>
    <row r="4169" spans="1:20" x14ac:dyDescent="0.25">
      <c r="A4169" s="21">
        <v>45786</v>
      </c>
      <c r="B4169" s="1" t="s">
        <v>4313</v>
      </c>
      <c r="C4169" t="s">
        <v>1221</v>
      </c>
      <c r="D4169" s="22">
        <v>-11.6</v>
      </c>
      <c r="E4169" t="s">
        <v>35</v>
      </c>
      <c r="F4169" s="2">
        <v>610148001</v>
      </c>
      <c r="G4169" s="2" t="s">
        <v>42</v>
      </c>
      <c r="L4169" s="2" t="s">
        <v>7387</v>
      </c>
      <c r="M4169" t="s">
        <v>43</v>
      </c>
      <c r="N4169" t="s">
        <v>42</v>
      </c>
      <c r="P4169" s="23">
        <v>92.83</v>
      </c>
      <c r="Q4169" s="4">
        <f t="shared" si="64"/>
        <v>-0.12495960357643003</v>
      </c>
      <c r="R4169" s="23" t="s">
        <v>1198</v>
      </c>
      <c r="T4169" s="41" t="s">
        <v>6107</v>
      </c>
    </row>
    <row r="4170" spans="1:20" x14ac:dyDescent="0.25">
      <c r="A4170" s="21">
        <v>45786</v>
      </c>
      <c r="B4170" s="1" t="s">
        <v>4244</v>
      </c>
      <c r="C4170" t="s">
        <v>1221</v>
      </c>
      <c r="D4170" s="22">
        <v>-11.6</v>
      </c>
      <c r="E4170" t="s">
        <v>35</v>
      </c>
      <c r="F4170" s="2">
        <v>610148001</v>
      </c>
      <c r="G4170" s="2" t="s">
        <v>42</v>
      </c>
      <c r="L4170" s="2" t="s">
        <v>7388</v>
      </c>
      <c r="M4170" t="s">
        <v>43</v>
      </c>
      <c r="N4170" t="s">
        <v>42</v>
      </c>
      <c r="P4170" s="23">
        <v>92.83</v>
      </c>
      <c r="Q4170" s="4">
        <f t="shared" si="64"/>
        <v>-0.12495960357643003</v>
      </c>
      <c r="R4170" s="23" t="s">
        <v>1198</v>
      </c>
      <c r="T4170" s="41" t="s">
        <v>6107</v>
      </c>
    </row>
    <row r="4171" spans="1:20" x14ac:dyDescent="0.25">
      <c r="A4171" s="21">
        <v>45786</v>
      </c>
      <c r="B4171" s="1" t="s">
        <v>4315</v>
      </c>
      <c r="C4171" t="s">
        <v>1221</v>
      </c>
      <c r="D4171" s="22">
        <v>-11.6</v>
      </c>
      <c r="E4171" t="s">
        <v>35</v>
      </c>
      <c r="F4171" s="2">
        <v>610148001</v>
      </c>
      <c r="G4171" s="2" t="s">
        <v>42</v>
      </c>
      <c r="L4171" s="2" t="s">
        <v>7389</v>
      </c>
      <c r="M4171" t="s">
        <v>43</v>
      </c>
      <c r="N4171" t="s">
        <v>42</v>
      </c>
      <c r="P4171" s="23">
        <v>92.83</v>
      </c>
      <c r="Q4171" s="4">
        <f t="shared" ref="Q4171:Q4234" si="65">D4171/P4171</f>
        <v>-0.12495960357643003</v>
      </c>
      <c r="R4171" s="23" t="s">
        <v>1198</v>
      </c>
      <c r="T4171" s="41" t="s">
        <v>6107</v>
      </c>
    </row>
    <row r="4172" spans="1:20" x14ac:dyDescent="0.25">
      <c r="A4172" s="21">
        <v>45786</v>
      </c>
      <c r="B4172" s="1" t="s">
        <v>4286</v>
      </c>
      <c r="C4172" t="s">
        <v>1221</v>
      </c>
      <c r="D4172" s="22">
        <v>-11.6</v>
      </c>
      <c r="E4172" t="s">
        <v>35</v>
      </c>
      <c r="F4172" s="2">
        <v>610148001</v>
      </c>
      <c r="G4172" s="2" t="s">
        <v>42</v>
      </c>
      <c r="L4172" s="2" t="s">
        <v>7390</v>
      </c>
      <c r="M4172" t="s">
        <v>43</v>
      </c>
      <c r="N4172" t="s">
        <v>42</v>
      </c>
      <c r="P4172" s="23">
        <v>92.83</v>
      </c>
      <c r="Q4172" s="4">
        <f t="shared" si="65"/>
        <v>-0.12495960357643003</v>
      </c>
      <c r="R4172" s="23" t="s">
        <v>1198</v>
      </c>
      <c r="T4172" s="41" t="s">
        <v>6107</v>
      </c>
    </row>
    <row r="4173" spans="1:20" x14ac:dyDescent="0.25">
      <c r="A4173" s="21">
        <v>45786</v>
      </c>
      <c r="B4173" s="1" t="s">
        <v>4334</v>
      </c>
      <c r="C4173" t="s">
        <v>1221</v>
      </c>
      <c r="D4173" s="22">
        <v>-9.2799999999999994</v>
      </c>
      <c r="E4173" t="s">
        <v>35</v>
      </c>
      <c r="F4173" s="2">
        <v>610148001</v>
      </c>
      <c r="G4173" s="2" t="s">
        <v>42</v>
      </c>
      <c r="L4173" s="2" t="s">
        <v>7391</v>
      </c>
      <c r="M4173" t="s">
        <v>43</v>
      </c>
      <c r="N4173" t="s">
        <v>42</v>
      </c>
      <c r="P4173" s="23">
        <v>92.83</v>
      </c>
      <c r="Q4173" s="4">
        <f t="shared" si="65"/>
        <v>-9.9967682861144019E-2</v>
      </c>
      <c r="R4173" s="23" t="s">
        <v>1198</v>
      </c>
      <c r="T4173" s="41" t="s">
        <v>6107</v>
      </c>
    </row>
    <row r="4174" spans="1:20" x14ac:dyDescent="0.25">
      <c r="A4174" s="21">
        <v>45786</v>
      </c>
      <c r="B4174" s="1" t="s">
        <v>4258</v>
      </c>
      <c r="C4174" t="s">
        <v>1221</v>
      </c>
      <c r="D4174" s="22">
        <v>-9.2799999999999994</v>
      </c>
      <c r="E4174" t="s">
        <v>35</v>
      </c>
      <c r="F4174" s="2">
        <v>610148001</v>
      </c>
      <c r="G4174" s="2" t="s">
        <v>42</v>
      </c>
      <c r="L4174" s="2" t="s">
        <v>7392</v>
      </c>
      <c r="M4174" t="s">
        <v>43</v>
      </c>
      <c r="N4174" t="s">
        <v>42</v>
      </c>
      <c r="P4174" s="23">
        <v>92.83</v>
      </c>
      <c r="Q4174" s="4">
        <f t="shared" si="65"/>
        <v>-9.9967682861144019E-2</v>
      </c>
      <c r="R4174" s="23" t="s">
        <v>1198</v>
      </c>
      <c r="T4174" s="41" t="s">
        <v>6107</v>
      </c>
    </row>
    <row r="4175" spans="1:20" x14ac:dyDescent="0.25">
      <c r="A4175" s="21">
        <v>45786</v>
      </c>
      <c r="B4175" s="1" t="s">
        <v>4225</v>
      </c>
      <c r="C4175" t="s">
        <v>1221</v>
      </c>
      <c r="D4175" s="22">
        <v>-9.2799999999999994</v>
      </c>
      <c r="E4175" t="s">
        <v>35</v>
      </c>
      <c r="F4175" s="2">
        <v>610148001</v>
      </c>
      <c r="G4175" s="2" t="s">
        <v>42</v>
      </c>
      <c r="L4175" s="2" t="s">
        <v>7393</v>
      </c>
      <c r="M4175" t="s">
        <v>43</v>
      </c>
      <c r="N4175" t="s">
        <v>42</v>
      </c>
      <c r="P4175" s="23">
        <v>92.83</v>
      </c>
      <c r="Q4175" s="4">
        <f t="shared" si="65"/>
        <v>-9.9967682861144019E-2</v>
      </c>
      <c r="R4175" s="23" t="s">
        <v>1198</v>
      </c>
      <c r="T4175" s="41" t="s">
        <v>6107</v>
      </c>
    </row>
    <row r="4176" spans="1:20" x14ac:dyDescent="0.25">
      <c r="A4176" s="21">
        <v>45786</v>
      </c>
      <c r="B4176" s="1" t="s">
        <v>4227</v>
      </c>
      <c r="C4176" t="s">
        <v>1221</v>
      </c>
      <c r="D4176" s="22">
        <v>-9.2799999999999994</v>
      </c>
      <c r="E4176" t="s">
        <v>35</v>
      </c>
      <c r="F4176" s="2">
        <v>610148001</v>
      </c>
      <c r="G4176" s="2" t="s">
        <v>42</v>
      </c>
      <c r="L4176" s="2" t="s">
        <v>7394</v>
      </c>
      <c r="M4176" t="s">
        <v>43</v>
      </c>
      <c r="N4176" t="s">
        <v>42</v>
      </c>
      <c r="P4176" s="23">
        <v>92.83</v>
      </c>
      <c r="Q4176" s="4">
        <f t="shared" si="65"/>
        <v>-9.9967682861144019E-2</v>
      </c>
      <c r="R4176" s="23" t="s">
        <v>1198</v>
      </c>
      <c r="T4176" s="41" t="s">
        <v>6107</v>
      </c>
    </row>
    <row r="4177" spans="1:20" x14ac:dyDescent="0.25">
      <c r="A4177" s="21">
        <v>45786</v>
      </c>
      <c r="B4177" s="1" t="s">
        <v>4260</v>
      </c>
      <c r="C4177" t="s">
        <v>1221</v>
      </c>
      <c r="D4177" s="22">
        <v>-9.2799999999999994</v>
      </c>
      <c r="E4177" t="s">
        <v>35</v>
      </c>
      <c r="F4177" s="2">
        <v>610148001</v>
      </c>
      <c r="G4177" s="2" t="s">
        <v>42</v>
      </c>
      <c r="L4177" s="2" t="s">
        <v>7395</v>
      </c>
      <c r="M4177" t="s">
        <v>43</v>
      </c>
      <c r="N4177" t="s">
        <v>42</v>
      </c>
      <c r="P4177" s="23">
        <v>92.83</v>
      </c>
      <c r="Q4177" s="4">
        <f t="shared" si="65"/>
        <v>-9.9967682861144019E-2</v>
      </c>
      <c r="R4177" s="23" t="s">
        <v>1198</v>
      </c>
      <c r="T4177" s="41" t="s">
        <v>6107</v>
      </c>
    </row>
    <row r="4178" spans="1:20" x14ac:dyDescent="0.25">
      <c r="A4178" s="21">
        <v>45786</v>
      </c>
      <c r="B4178" s="1" t="s">
        <v>4317</v>
      </c>
      <c r="C4178" t="s">
        <v>1221</v>
      </c>
      <c r="D4178" s="22">
        <v>-9.2799999999999994</v>
      </c>
      <c r="E4178" t="s">
        <v>35</v>
      </c>
      <c r="F4178" s="2">
        <v>610148001</v>
      </c>
      <c r="G4178" s="2" t="s">
        <v>42</v>
      </c>
      <c r="L4178" s="2" t="s">
        <v>7396</v>
      </c>
      <c r="M4178" t="s">
        <v>43</v>
      </c>
      <c r="N4178" t="s">
        <v>42</v>
      </c>
      <c r="P4178" s="23">
        <v>92.83</v>
      </c>
      <c r="Q4178" s="4">
        <f t="shared" si="65"/>
        <v>-9.9967682861144019E-2</v>
      </c>
      <c r="R4178" s="23" t="s">
        <v>1198</v>
      </c>
      <c r="T4178" s="41" t="s">
        <v>6107</v>
      </c>
    </row>
    <row r="4179" spans="1:20" x14ac:dyDescent="0.25">
      <c r="A4179" s="21">
        <v>45786</v>
      </c>
      <c r="B4179" s="1" t="s">
        <v>4262</v>
      </c>
      <c r="C4179" t="s">
        <v>1221</v>
      </c>
      <c r="D4179" s="22">
        <v>-9.2799999999999994</v>
      </c>
      <c r="E4179" t="s">
        <v>35</v>
      </c>
      <c r="F4179" s="2">
        <v>610148001</v>
      </c>
      <c r="G4179" s="2" t="s">
        <v>42</v>
      </c>
      <c r="L4179" s="2" t="s">
        <v>7397</v>
      </c>
      <c r="M4179" t="s">
        <v>43</v>
      </c>
      <c r="N4179" t="s">
        <v>42</v>
      </c>
      <c r="P4179" s="23">
        <v>92.83</v>
      </c>
      <c r="Q4179" s="4">
        <f t="shared" si="65"/>
        <v>-9.9967682861144019E-2</v>
      </c>
      <c r="R4179" s="23" t="s">
        <v>1198</v>
      </c>
      <c r="T4179" s="41" t="s">
        <v>6107</v>
      </c>
    </row>
    <row r="4180" spans="1:20" x14ac:dyDescent="0.25">
      <c r="A4180" s="21">
        <v>45786</v>
      </c>
      <c r="B4180" s="1" t="s">
        <v>4229</v>
      </c>
      <c r="C4180" t="s">
        <v>1221</v>
      </c>
      <c r="D4180" s="22">
        <v>-23.2</v>
      </c>
      <c r="E4180" t="s">
        <v>35</v>
      </c>
      <c r="F4180" s="2">
        <v>610148001</v>
      </c>
      <c r="G4180" s="2" t="s">
        <v>42</v>
      </c>
      <c r="L4180" s="2" t="s">
        <v>7398</v>
      </c>
      <c r="M4180" t="s">
        <v>43</v>
      </c>
      <c r="N4180" t="s">
        <v>42</v>
      </c>
      <c r="P4180" s="23">
        <v>92.83</v>
      </c>
      <c r="Q4180" s="4">
        <f t="shared" si="65"/>
        <v>-0.24991920715286006</v>
      </c>
      <c r="R4180" s="23" t="s">
        <v>1198</v>
      </c>
      <c r="T4180" s="41" t="s">
        <v>6107</v>
      </c>
    </row>
    <row r="4181" spans="1:20" x14ac:dyDescent="0.25">
      <c r="A4181" s="21">
        <v>45786</v>
      </c>
      <c r="B4181" s="1" t="s">
        <v>4319</v>
      </c>
      <c r="C4181" t="s">
        <v>1221</v>
      </c>
      <c r="D4181" s="22">
        <v>-23.2</v>
      </c>
      <c r="E4181" t="s">
        <v>35</v>
      </c>
      <c r="F4181" s="2">
        <v>610148001</v>
      </c>
      <c r="G4181" s="2" t="s">
        <v>42</v>
      </c>
      <c r="L4181" s="2" t="s">
        <v>7399</v>
      </c>
      <c r="M4181" t="s">
        <v>43</v>
      </c>
      <c r="N4181" t="s">
        <v>42</v>
      </c>
      <c r="P4181" s="23">
        <v>92.83</v>
      </c>
      <c r="Q4181" s="4">
        <f t="shared" si="65"/>
        <v>-0.24991920715286006</v>
      </c>
      <c r="R4181" s="23" t="s">
        <v>1198</v>
      </c>
      <c r="T4181" s="41" t="s">
        <v>6107</v>
      </c>
    </row>
    <row r="4182" spans="1:20" x14ac:dyDescent="0.25">
      <c r="A4182" s="21">
        <v>45786</v>
      </c>
      <c r="B4182" s="1" t="s">
        <v>4231</v>
      </c>
      <c r="C4182" t="s">
        <v>1221</v>
      </c>
      <c r="D4182" s="22">
        <v>-34.81</v>
      </c>
      <c r="E4182" t="s">
        <v>35</v>
      </c>
      <c r="F4182" s="2">
        <v>610148001</v>
      </c>
      <c r="G4182" s="2" t="s">
        <v>42</v>
      </c>
      <c r="L4182" s="2" t="s">
        <v>7400</v>
      </c>
      <c r="M4182" t="s">
        <v>43</v>
      </c>
      <c r="N4182" t="s">
        <v>42</v>
      </c>
      <c r="P4182" s="23">
        <v>92.83</v>
      </c>
      <c r="Q4182" s="4">
        <f t="shared" si="65"/>
        <v>-0.3749865345254767</v>
      </c>
      <c r="R4182" s="23" t="s">
        <v>1198</v>
      </c>
      <c r="T4182" s="41" t="s">
        <v>6107</v>
      </c>
    </row>
    <row r="4183" spans="1:20" x14ac:dyDescent="0.25">
      <c r="A4183" s="21">
        <v>45786</v>
      </c>
      <c r="B4183" s="1" t="s">
        <v>4264</v>
      </c>
      <c r="C4183" t="s">
        <v>1221</v>
      </c>
      <c r="D4183" s="22">
        <v>-6.96</v>
      </c>
      <c r="E4183" t="s">
        <v>35</v>
      </c>
      <c r="F4183" s="2">
        <v>610148001</v>
      </c>
      <c r="G4183" s="2" t="s">
        <v>42</v>
      </c>
      <c r="L4183" s="2" t="s">
        <v>7401</v>
      </c>
      <c r="M4183" t="s">
        <v>43</v>
      </c>
      <c r="N4183" t="s">
        <v>42</v>
      </c>
      <c r="P4183" s="23">
        <v>92.83</v>
      </c>
      <c r="Q4183" s="4">
        <f t="shared" si="65"/>
        <v>-7.4975762145858021E-2</v>
      </c>
      <c r="R4183" s="23" t="s">
        <v>1198</v>
      </c>
      <c r="T4183" s="41" t="s">
        <v>6107</v>
      </c>
    </row>
    <row r="4184" spans="1:20" x14ac:dyDescent="0.25">
      <c r="A4184" s="21">
        <v>45786</v>
      </c>
      <c r="B4184" s="1" t="s">
        <v>4223</v>
      </c>
      <c r="C4184" t="s">
        <v>1221</v>
      </c>
      <c r="D4184" s="22">
        <v>-25.52</v>
      </c>
      <c r="E4184" t="s">
        <v>35</v>
      </c>
      <c r="F4184" s="2">
        <v>610148001</v>
      </c>
      <c r="G4184" s="2" t="s">
        <v>42</v>
      </c>
      <c r="L4184" s="2" t="s">
        <v>7402</v>
      </c>
      <c r="M4184" t="s">
        <v>43</v>
      </c>
      <c r="N4184" t="s">
        <v>42</v>
      </c>
      <c r="P4184" s="23">
        <v>92.83</v>
      </c>
      <c r="Q4184" s="4">
        <f t="shared" si="65"/>
        <v>-0.27491112786814609</v>
      </c>
      <c r="R4184" s="23" t="s">
        <v>1198</v>
      </c>
      <c r="T4184" s="41" t="s">
        <v>6107</v>
      </c>
    </row>
    <row r="4185" spans="1:20" x14ac:dyDescent="0.25">
      <c r="A4185" s="21">
        <v>45786</v>
      </c>
      <c r="B4185" s="1" t="s">
        <v>4266</v>
      </c>
      <c r="C4185" t="s">
        <v>1221</v>
      </c>
      <c r="D4185" s="22">
        <v>-18.559999999999999</v>
      </c>
      <c r="E4185" t="s">
        <v>35</v>
      </c>
      <c r="F4185" s="2">
        <v>610148001</v>
      </c>
      <c r="G4185" s="2" t="s">
        <v>42</v>
      </c>
      <c r="L4185" s="2" t="s">
        <v>7403</v>
      </c>
      <c r="M4185" t="s">
        <v>43</v>
      </c>
      <c r="N4185" t="s">
        <v>42</v>
      </c>
      <c r="P4185" s="23">
        <v>92.83</v>
      </c>
      <c r="Q4185" s="4">
        <f t="shared" si="65"/>
        <v>-0.19993536572228804</v>
      </c>
      <c r="R4185" s="23" t="s">
        <v>1198</v>
      </c>
      <c r="T4185" s="41" t="s">
        <v>6107</v>
      </c>
    </row>
    <row r="4186" spans="1:20" x14ac:dyDescent="0.25">
      <c r="A4186" s="21">
        <v>45786</v>
      </c>
      <c r="B4186" s="1" t="s">
        <v>4321</v>
      </c>
      <c r="C4186" t="s">
        <v>1221</v>
      </c>
      <c r="D4186" s="22">
        <v>-23.2</v>
      </c>
      <c r="E4186" t="s">
        <v>35</v>
      </c>
      <c r="F4186" s="2">
        <v>610148001</v>
      </c>
      <c r="G4186" s="2" t="s">
        <v>42</v>
      </c>
      <c r="L4186" s="2" t="s">
        <v>7404</v>
      </c>
      <c r="M4186" t="s">
        <v>43</v>
      </c>
      <c r="N4186" t="s">
        <v>42</v>
      </c>
      <c r="P4186" s="23">
        <v>92.83</v>
      </c>
      <c r="Q4186" s="4">
        <f t="shared" si="65"/>
        <v>-0.24991920715286006</v>
      </c>
      <c r="R4186" s="23" t="s">
        <v>1198</v>
      </c>
      <c r="T4186" s="41" t="s">
        <v>6107</v>
      </c>
    </row>
    <row r="4187" spans="1:20" x14ac:dyDescent="0.25">
      <c r="A4187" s="21">
        <v>45786</v>
      </c>
      <c r="B4187" s="1" t="s">
        <v>4281</v>
      </c>
      <c r="C4187" t="s">
        <v>1221</v>
      </c>
      <c r="D4187" s="22">
        <v>-10.67</v>
      </c>
      <c r="E4187" t="s">
        <v>35</v>
      </c>
      <c r="F4187" s="2">
        <v>610148001</v>
      </c>
      <c r="G4187" s="2" t="s">
        <v>42</v>
      </c>
      <c r="L4187" s="2" t="s">
        <v>7405</v>
      </c>
      <c r="M4187" t="s">
        <v>43</v>
      </c>
      <c r="N4187" t="s">
        <v>42</v>
      </c>
      <c r="P4187" s="23">
        <v>92.83</v>
      </c>
      <c r="Q4187" s="4">
        <f t="shared" si="65"/>
        <v>-0.11494129053107832</v>
      </c>
      <c r="R4187" s="23" t="s">
        <v>1198</v>
      </c>
      <c r="T4187" s="41" t="s">
        <v>6107</v>
      </c>
    </row>
    <row r="4188" spans="1:20" x14ac:dyDescent="0.25">
      <c r="A4188" s="21">
        <v>45786</v>
      </c>
      <c r="B4188" s="1" t="s">
        <v>4246</v>
      </c>
      <c r="C4188" t="s">
        <v>1221</v>
      </c>
      <c r="D4188" s="22">
        <v>-16.239999999999998</v>
      </c>
      <c r="E4188" t="s">
        <v>35</v>
      </c>
      <c r="F4188" s="2">
        <v>610148001</v>
      </c>
      <c r="G4188" s="2" t="s">
        <v>42</v>
      </c>
      <c r="L4188" s="2" t="s">
        <v>7406</v>
      </c>
      <c r="M4188" t="s">
        <v>43</v>
      </c>
      <c r="N4188" t="s">
        <v>42</v>
      </c>
      <c r="P4188" s="23">
        <v>92.83</v>
      </c>
      <c r="Q4188" s="4">
        <f t="shared" si="65"/>
        <v>-0.17494344500700204</v>
      </c>
      <c r="R4188" s="23" t="s">
        <v>1198</v>
      </c>
      <c r="T4188" s="41" t="s">
        <v>6107</v>
      </c>
    </row>
    <row r="4189" spans="1:20" x14ac:dyDescent="0.25">
      <c r="A4189" s="21">
        <v>45786</v>
      </c>
      <c r="B4189" s="1" t="s">
        <v>4288</v>
      </c>
      <c r="C4189" t="s">
        <v>1221</v>
      </c>
      <c r="D4189" s="22">
        <v>-13.69</v>
      </c>
      <c r="E4189" t="s">
        <v>35</v>
      </c>
      <c r="F4189" s="2">
        <v>610148001</v>
      </c>
      <c r="G4189" s="2" t="s">
        <v>42</v>
      </c>
      <c r="L4189" s="2" t="s">
        <v>7407</v>
      </c>
      <c r="M4189" t="s">
        <v>43</v>
      </c>
      <c r="N4189" t="s">
        <v>42</v>
      </c>
      <c r="P4189" s="23">
        <v>92.83</v>
      </c>
      <c r="Q4189" s="4">
        <f t="shared" si="65"/>
        <v>-0.14747387697942474</v>
      </c>
      <c r="R4189" s="23" t="s">
        <v>1198</v>
      </c>
      <c r="T4189" s="41" t="s">
        <v>6107</v>
      </c>
    </row>
    <row r="4190" spans="1:20" x14ac:dyDescent="0.25">
      <c r="A4190" s="21">
        <v>45786</v>
      </c>
      <c r="B4190" s="1" t="s">
        <v>4323</v>
      </c>
      <c r="C4190" t="s">
        <v>1221</v>
      </c>
      <c r="D4190" s="22">
        <v>-16.239999999999998</v>
      </c>
      <c r="E4190" t="s">
        <v>35</v>
      </c>
      <c r="F4190" s="2">
        <v>610148001</v>
      </c>
      <c r="G4190" s="2" t="s">
        <v>42</v>
      </c>
      <c r="L4190" s="2" t="s">
        <v>7408</v>
      </c>
      <c r="M4190" t="s">
        <v>43</v>
      </c>
      <c r="N4190" t="s">
        <v>42</v>
      </c>
      <c r="P4190" s="23">
        <v>92.83</v>
      </c>
      <c r="Q4190" s="4">
        <f t="shared" si="65"/>
        <v>-0.17494344500700204</v>
      </c>
      <c r="R4190" s="23" t="s">
        <v>1198</v>
      </c>
      <c r="T4190" s="41" t="s">
        <v>6107</v>
      </c>
    </row>
    <row r="4191" spans="1:20" x14ac:dyDescent="0.25">
      <c r="A4191" s="21">
        <v>45786</v>
      </c>
      <c r="B4191" s="1" t="s">
        <v>4268</v>
      </c>
      <c r="C4191" t="s">
        <v>1221</v>
      </c>
      <c r="D4191" s="22">
        <v>-11.6</v>
      </c>
      <c r="E4191" t="s">
        <v>35</v>
      </c>
      <c r="F4191" s="2">
        <v>610148001</v>
      </c>
      <c r="G4191" s="2" t="s">
        <v>42</v>
      </c>
      <c r="L4191" s="2" t="s">
        <v>7409</v>
      </c>
      <c r="M4191" t="s">
        <v>43</v>
      </c>
      <c r="N4191" t="s">
        <v>42</v>
      </c>
      <c r="P4191" s="23">
        <v>92.83</v>
      </c>
      <c r="Q4191" s="4">
        <f t="shared" si="65"/>
        <v>-0.12495960357643003</v>
      </c>
      <c r="R4191" s="23" t="s">
        <v>1198</v>
      </c>
      <c r="T4191" s="41" t="s">
        <v>6107</v>
      </c>
    </row>
    <row r="4192" spans="1:20" x14ac:dyDescent="0.25">
      <c r="A4192" s="21">
        <v>45786</v>
      </c>
      <c r="B4192" s="1" t="s">
        <v>4297</v>
      </c>
      <c r="C4192" t="s">
        <v>1221</v>
      </c>
      <c r="D4192" s="22">
        <v>-11.6</v>
      </c>
      <c r="E4192" t="s">
        <v>35</v>
      </c>
      <c r="F4192" s="2">
        <v>610148001</v>
      </c>
      <c r="G4192" s="2" t="s">
        <v>42</v>
      </c>
      <c r="L4192" s="2" t="s">
        <v>7410</v>
      </c>
      <c r="M4192" t="s">
        <v>43</v>
      </c>
      <c r="N4192" t="s">
        <v>42</v>
      </c>
      <c r="P4192" s="23">
        <v>92.83</v>
      </c>
      <c r="Q4192" s="4">
        <f t="shared" si="65"/>
        <v>-0.12495960357643003</v>
      </c>
      <c r="R4192" s="23" t="s">
        <v>1198</v>
      </c>
      <c r="T4192" s="41" t="s">
        <v>6107</v>
      </c>
    </row>
    <row r="4193" spans="1:20" x14ac:dyDescent="0.25">
      <c r="A4193" s="21">
        <v>45786</v>
      </c>
      <c r="B4193" s="1" t="s">
        <v>4251</v>
      </c>
      <c r="C4193" t="s">
        <v>1221</v>
      </c>
      <c r="D4193" s="22">
        <v>-11.6</v>
      </c>
      <c r="E4193" t="s">
        <v>35</v>
      </c>
      <c r="F4193" s="2">
        <v>610148001</v>
      </c>
      <c r="G4193" s="2" t="s">
        <v>42</v>
      </c>
      <c r="L4193" s="2" t="s">
        <v>7411</v>
      </c>
      <c r="M4193" t="s">
        <v>43</v>
      </c>
      <c r="N4193" t="s">
        <v>42</v>
      </c>
      <c r="P4193" s="23">
        <v>92.83</v>
      </c>
      <c r="Q4193" s="4">
        <f t="shared" si="65"/>
        <v>-0.12495960357643003</v>
      </c>
      <c r="R4193" s="23" t="s">
        <v>1198</v>
      </c>
      <c r="T4193" s="41" t="s">
        <v>6107</v>
      </c>
    </row>
    <row r="4194" spans="1:20" x14ac:dyDescent="0.25">
      <c r="A4194" s="21">
        <v>45786</v>
      </c>
      <c r="B4194" s="1" t="s">
        <v>4255</v>
      </c>
      <c r="C4194" t="s">
        <v>1221</v>
      </c>
      <c r="D4194" s="22">
        <v>-11.6</v>
      </c>
      <c r="E4194" t="s">
        <v>35</v>
      </c>
      <c r="F4194" s="2">
        <v>610148001</v>
      </c>
      <c r="G4194" s="2" t="s">
        <v>42</v>
      </c>
      <c r="L4194" s="2" t="s">
        <v>7412</v>
      </c>
      <c r="M4194" t="s">
        <v>43</v>
      </c>
      <c r="N4194" t="s">
        <v>42</v>
      </c>
      <c r="P4194" s="23">
        <v>92.83</v>
      </c>
      <c r="Q4194" s="4">
        <f t="shared" si="65"/>
        <v>-0.12495960357643003</v>
      </c>
      <c r="R4194" s="23" t="s">
        <v>1198</v>
      </c>
      <c r="T4194" s="41" t="s">
        <v>6107</v>
      </c>
    </row>
    <row r="4195" spans="1:20" x14ac:dyDescent="0.25">
      <c r="A4195" s="21">
        <v>45786</v>
      </c>
      <c r="B4195" s="1" t="s">
        <v>4299</v>
      </c>
      <c r="C4195" t="s">
        <v>1221</v>
      </c>
      <c r="D4195" s="22">
        <v>-11.6</v>
      </c>
      <c r="E4195" t="s">
        <v>35</v>
      </c>
      <c r="F4195" s="2">
        <v>610148001</v>
      </c>
      <c r="G4195" s="2" t="s">
        <v>42</v>
      </c>
      <c r="L4195" s="2" t="s">
        <v>7413</v>
      </c>
      <c r="M4195" t="s">
        <v>43</v>
      </c>
      <c r="N4195" t="s">
        <v>42</v>
      </c>
      <c r="P4195" s="23">
        <v>92.83</v>
      </c>
      <c r="Q4195" s="4">
        <f t="shared" si="65"/>
        <v>-0.12495960357643003</v>
      </c>
      <c r="R4195" s="23" t="s">
        <v>1198</v>
      </c>
      <c r="T4195" s="41" t="s">
        <v>6107</v>
      </c>
    </row>
    <row r="4196" spans="1:20" x14ac:dyDescent="0.25">
      <c r="A4196" s="21">
        <v>45786</v>
      </c>
      <c r="B4196" s="1" t="s">
        <v>4233</v>
      </c>
      <c r="C4196" t="s">
        <v>1221</v>
      </c>
      <c r="D4196" s="22">
        <v>-11.6</v>
      </c>
      <c r="E4196" t="s">
        <v>35</v>
      </c>
      <c r="F4196" s="2">
        <v>610148001</v>
      </c>
      <c r="G4196" s="2" t="s">
        <v>42</v>
      </c>
      <c r="L4196" s="2" t="s">
        <v>7414</v>
      </c>
      <c r="M4196" t="s">
        <v>43</v>
      </c>
      <c r="N4196" t="s">
        <v>42</v>
      </c>
      <c r="P4196" s="23">
        <v>92.83</v>
      </c>
      <c r="Q4196" s="4">
        <f t="shared" si="65"/>
        <v>-0.12495960357643003</v>
      </c>
      <c r="R4196" s="23" t="s">
        <v>1198</v>
      </c>
      <c r="T4196" s="41" t="s">
        <v>6107</v>
      </c>
    </row>
    <row r="4197" spans="1:20" x14ac:dyDescent="0.25">
      <c r="A4197" s="21">
        <v>45786</v>
      </c>
      <c r="B4197" s="1" t="s">
        <v>4235</v>
      </c>
      <c r="C4197" t="s">
        <v>1221</v>
      </c>
      <c r="D4197" s="22">
        <v>-11.6</v>
      </c>
      <c r="E4197" t="s">
        <v>35</v>
      </c>
      <c r="F4197" s="2">
        <v>610148001</v>
      </c>
      <c r="G4197" s="2" t="s">
        <v>42</v>
      </c>
      <c r="L4197" s="2" t="s">
        <v>7415</v>
      </c>
      <c r="M4197" t="s">
        <v>43</v>
      </c>
      <c r="N4197" t="s">
        <v>42</v>
      </c>
      <c r="P4197" s="23">
        <v>92.83</v>
      </c>
      <c r="Q4197" s="4">
        <f t="shared" si="65"/>
        <v>-0.12495960357643003</v>
      </c>
      <c r="R4197" s="23" t="s">
        <v>1198</v>
      </c>
      <c r="T4197" s="41" t="s">
        <v>6107</v>
      </c>
    </row>
    <row r="4198" spans="1:20" x14ac:dyDescent="0.25">
      <c r="A4198" s="21">
        <v>45786</v>
      </c>
      <c r="B4198" s="1" t="s">
        <v>4206</v>
      </c>
      <c r="C4198" t="s">
        <v>1221</v>
      </c>
      <c r="D4198" s="22">
        <v>-11.6</v>
      </c>
      <c r="E4198" t="s">
        <v>35</v>
      </c>
      <c r="F4198" s="2">
        <v>610148001</v>
      </c>
      <c r="G4198" s="2" t="s">
        <v>42</v>
      </c>
      <c r="L4198" s="2" t="s">
        <v>7416</v>
      </c>
      <c r="M4198" t="s">
        <v>43</v>
      </c>
      <c r="N4198" t="s">
        <v>42</v>
      </c>
      <c r="P4198" s="23">
        <v>92.83</v>
      </c>
      <c r="Q4198" s="4">
        <f t="shared" si="65"/>
        <v>-0.12495960357643003</v>
      </c>
      <c r="R4198" s="23" t="s">
        <v>1198</v>
      </c>
      <c r="T4198" s="41" t="s">
        <v>6107</v>
      </c>
    </row>
    <row r="4199" spans="1:20" x14ac:dyDescent="0.25">
      <c r="A4199" s="21">
        <v>45786</v>
      </c>
      <c r="B4199" s="1" t="s">
        <v>4301</v>
      </c>
      <c r="C4199" t="s">
        <v>1221</v>
      </c>
      <c r="D4199" s="22">
        <v>-11.6</v>
      </c>
      <c r="E4199" t="s">
        <v>35</v>
      </c>
      <c r="F4199" s="2">
        <v>610148001</v>
      </c>
      <c r="G4199" s="2" t="s">
        <v>42</v>
      </c>
      <c r="L4199" s="2" t="s">
        <v>7417</v>
      </c>
      <c r="M4199" t="s">
        <v>43</v>
      </c>
      <c r="N4199" t="s">
        <v>42</v>
      </c>
      <c r="P4199" s="23">
        <v>92.83</v>
      </c>
      <c r="Q4199" s="4">
        <f t="shared" si="65"/>
        <v>-0.12495960357643003</v>
      </c>
      <c r="R4199" s="23" t="s">
        <v>1198</v>
      </c>
      <c r="T4199" s="41" t="s">
        <v>6107</v>
      </c>
    </row>
    <row r="4200" spans="1:20" x14ac:dyDescent="0.25">
      <c r="A4200" s="21">
        <v>45786</v>
      </c>
      <c r="B4200" s="1" t="s">
        <v>4290</v>
      </c>
      <c r="C4200" t="s">
        <v>1221</v>
      </c>
      <c r="D4200" s="22">
        <v>-11.6</v>
      </c>
      <c r="E4200" t="s">
        <v>35</v>
      </c>
      <c r="F4200" s="2">
        <v>610148001</v>
      </c>
      <c r="G4200" s="2" t="s">
        <v>42</v>
      </c>
      <c r="L4200" s="2" t="s">
        <v>7418</v>
      </c>
      <c r="M4200" t="s">
        <v>43</v>
      </c>
      <c r="N4200" t="s">
        <v>42</v>
      </c>
      <c r="P4200" s="23">
        <v>92.83</v>
      </c>
      <c r="Q4200" s="4">
        <f t="shared" si="65"/>
        <v>-0.12495960357643003</v>
      </c>
      <c r="R4200" s="23" t="s">
        <v>1198</v>
      </c>
      <c r="T4200" s="41" t="s">
        <v>6107</v>
      </c>
    </row>
    <row r="4201" spans="1:20" x14ac:dyDescent="0.25">
      <c r="A4201" s="21">
        <v>45786</v>
      </c>
      <c r="B4201" s="1" t="s">
        <v>4292</v>
      </c>
      <c r="C4201" t="s">
        <v>1221</v>
      </c>
      <c r="D4201" s="22">
        <v>-11.6</v>
      </c>
      <c r="E4201" t="s">
        <v>35</v>
      </c>
      <c r="F4201" s="2">
        <v>610148001</v>
      </c>
      <c r="G4201" s="2" t="s">
        <v>42</v>
      </c>
      <c r="L4201" s="2" t="s">
        <v>7419</v>
      </c>
      <c r="M4201" t="s">
        <v>43</v>
      </c>
      <c r="N4201" t="s">
        <v>42</v>
      </c>
      <c r="P4201" s="23">
        <v>92.83</v>
      </c>
      <c r="Q4201" s="4">
        <f t="shared" si="65"/>
        <v>-0.12495960357643003</v>
      </c>
      <c r="R4201" s="23" t="s">
        <v>1198</v>
      </c>
      <c r="T4201" s="41" t="s">
        <v>6107</v>
      </c>
    </row>
    <row r="4202" spans="1:20" x14ac:dyDescent="0.25">
      <c r="A4202" s="21">
        <v>45786</v>
      </c>
      <c r="B4202" s="1" t="s">
        <v>4303</v>
      </c>
      <c r="C4202" t="s">
        <v>1221</v>
      </c>
      <c r="D4202" s="22">
        <v>-11.6</v>
      </c>
      <c r="E4202" t="s">
        <v>35</v>
      </c>
      <c r="F4202" s="2">
        <v>610148001</v>
      </c>
      <c r="G4202" s="2" t="s">
        <v>42</v>
      </c>
      <c r="L4202" s="2" t="s">
        <v>7420</v>
      </c>
      <c r="M4202" t="s">
        <v>43</v>
      </c>
      <c r="N4202" t="s">
        <v>42</v>
      </c>
      <c r="P4202" s="23">
        <v>92.83</v>
      </c>
      <c r="Q4202" s="4">
        <f t="shared" si="65"/>
        <v>-0.12495960357643003</v>
      </c>
      <c r="R4202" s="23" t="s">
        <v>1198</v>
      </c>
      <c r="T4202" s="41" t="s">
        <v>6107</v>
      </c>
    </row>
    <row r="4203" spans="1:20" x14ac:dyDescent="0.25">
      <c r="A4203" s="21">
        <v>45786</v>
      </c>
      <c r="B4203" s="1" t="s">
        <v>4294</v>
      </c>
      <c r="C4203" t="s">
        <v>1221</v>
      </c>
      <c r="D4203" s="22">
        <v>-11.6</v>
      </c>
      <c r="E4203" t="s">
        <v>35</v>
      </c>
      <c r="F4203" s="2">
        <v>610148001</v>
      </c>
      <c r="G4203" s="2" t="s">
        <v>42</v>
      </c>
      <c r="L4203" s="2" t="s">
        <v>7421</v>
      </c>
      <c r="M4203" t="s">
        <v>43</v>
      </c>
      <c r="N4203" t="s">
        <v>42</v>
      </c>
      <c r="P4203" s="23">
        <v>92.83</v>
      </c>
      <c r="Q4203" s="4">
        <f t="shared" si="65"/>
        <v>-0.12495960357643003</v>
      </c>
      <c r="R4203" s="23" t="s">
        <v>1198</v>
      </c>
      <c r="T4203" s="41" t="s">
        <v>6107</v>
      </c>
    </row>
    <row r="4204" spans="1:20" x14ac:dyDescent="0.25">
      <c r="A4204" s="21">
        <v>45786</v>
      </c>
      <c r="B4204" s="1" t="s">
        <v>4325</v>
      </c>
      <c r="C4204" t="s">
        <v>1221</v>
      </c>
      <c r="D4204" s="22">
        <v>-11.6</v>
      </c>
      <c r="E4204" t="s">
        <v>35</v>
      </c>
      <c r="F4204" s="2">
        <v>610148001</v>
      </c>
      <c r="G4204" s="2" t="s">
        <v>42</v>
      </c>
      <c r="L4204" s="2" t="s">
        <v>7422</v>
      </c>
      <c r="M4204" t="s">
        <v>43</v>
      </c>
      <c r="N4204" t="s">
        <v>42</v>
      </c>
      <c r="P4204" s="23">
        <v>92.83</v>
      </c>
      <c r="Q4204" s="4">
        <f t="shared" si="65"/>
        <v>-0.12495960357643003</v>
      </c>
      <c r="R4204" s="23" t="s">
        <v>1198</v>
      </c>
      <c r="T4204" s="41" t="s">
        <v>6107</v>
      </c>
    </row>
    <row r="4205" spans="1:20" x14ac:dyDescent="0.25">
      <c r="A4205" s="21">
        <v>45786</v>
      </c>
      <c r="B4205" s="1" t="s">
        <v>4270</v>
      </c>
      <c r="C4205" t="s">
        <v>1221</v>
      </c>
      <c r="D4205" s="22">
        <v>-4.6399999999999997</v>
      </c>
      <c r="E4205" t="s">
        <v>35</v>
      </c>
      <c r="F4205" s="2">
        <v>610148001</v>
      </c>
      <c r="G4205" s="2" t="s">
        <v>42</v>
      </c>
      <c r="L4205" s="2" t="s">
        <v>7423</v>
      </c>
      <c r="M4205" t="s">
        <v>43</v>
      </c>
      <c r="N4205" t="s">
        <v>42</v>
      </c>
      <c r="P4205" s="23">
        <v>92.83</v>
      </c>
      <c r="Q4205" s="4">
        <f t="shared" si="65"/>
        <v>-4.998384143057201E-2</v>
      </c>
      <c r="R4205" s="23" t="s">
        <v>1198</v>
      </c>
      <c r="T4205" s="41" t="s">
        <v>6107</v>
      </c>
    </row>
    <row r="4206" spans="1:20" x14ac:dyDescent="0.25">
      <c r="A4206" s="21">
        <v>45786</v>
      </c>
      <c r="B4206" s="1" t="s">
        <v>4272</v>
      </c>
      <c r="C4206" t="s">
        <v>1221</v>
      </c>
      <c r="D4206" s="22">
        <v>-4.6399999999999997</v>
      </c>
      <c r="E4206" t="s">
        <v>35</v>
      </c>
      <c r="F4206" s="2">
        <v>610148001</v>
      </c>
      <c r="G4206" s="2" t="s">
        <v>42</v>
      </c>
      <c r="L4206" s="2" t="s">
        <v>7424</v>
      </c>
      <c r="M4206" t="s">
        <v>43</v>
      </c>
      <c r="N4206" t="s">
        <v>42</v>
      </c>
      <c r="P4206" s="23">
        <v>92.83</v>
      </c>
      <c r="Q4206" s="4">
        <f t="shared" si="65"/>
        <v>-4.998384143057201E-2</v>
      </c>
      <c r="R4206" s="23" t="s">
        <v>1198</v>
      </c>
      <c r="T4206" s="41" t="s">
        <v>6107</v>
      </c>
    </row>
    <row r="4207" spans="1:20" x14ac:dyDescent="0.25">
      <c r="A4207" s="21">
        <v>45786</v>
      </c>
      <c r="B4207" s="1" t="s">
        <v>4305</v>
      </c>
      <c r="C4207" t="s">
        <v>1221</v>
      </c>
      <c r="D4207" s="22">
        <v>-4.6399999999999997</v>
      </c>
      <c r="E4207" t="s">
        <v>35</v>
      </c>
      <c r="F4207" s="2">
        <v>610148001</v>
      </c>
      <c r="G4207" s="2" t="s">
        <v>42</v>
      </c>
      <c r="L4207" s="2" t="s">
        <v>7425</v>
      </c>
      <c r="M4207" t="s">
        <v>43</v>
      </c>
      <c r="N4207" t="s">
        <v>42</v>
      </c>
      <c r="P4207" s="23">
        <v>92.83</v>
      </c>
      <c r="Q4207" s="4">
        <f t="shared" si="65"/>
        <v>-4.998384143057201E-2</v>
      </c>
      <c r="R4207" s="23" t="s">
        <v>1198</v>
      </c>
      <c r="T4207" s="41" t="s">
        <v>6107</v>
      </c>
    </row>
    <row r="4208" spans="1:20" x14ac:dyDescent="0.25">
      <c r="A4208" s="21">
        <v>45786</v>
      </c>
      <c r="B4208" s="1" t="s">
        <v>4208</v>
      </c>
      <c r="C4208" t="s">
        <v>1221</v>
      </c>
      <c r="D4208" s="22">
        <v>-4.6399999999999997</v>
      </c>
      <c r="E4208" t="s">
        <v>35</v>
      </c>
      <c r="F4208" s="2">
        <v>610148001</v>
      </c>
      <c r="G4208" s="2" t="s">
        <v>42</v>
      </c>
      <c r="L4208" s="2" t="s">
        <v>7426</v>
      </c>
      <c r="M4208" t="s">
        <v>43</v>
      </c>
      <c r="N4208" t="s">
        <v>42</v>
      </c>
      <c r="P4208" s="23">
        <v>92.83</v>
      </c>
      <c r="Q4208" s="4">
        <f t="shared" si="65"/>
        <v>-4.998384143057201E-2</v>
      </c>
      <c r="R4208" s="23" t="s">
        <v>1198</v>
      </c>
      <c r="T4208" s="41" t="s">
        <v>6107</v>
      </c>
    </row>
    <row r="4209" spans="1:20" x14ac:dyDescent="0.25">
      <c r="A4209" s="21">
        <v>45786</v>
      </c>
      <c r="B4209" s="1" t="s">
        <v>4327</v>
      </c>
      <c r="C4209" t="s">
        <v>1221</v>
      </c>
      <c r="D4209" s="22">
        <v>-32.49</v>
      </c>
      <c r="E4209" t="s">
        <v>35</v>
      </c>
      <c r="F4209" s="2">
        <v>610148001</v>
      </c>
      <c r="G4209" s="2" t="s">
        <v>42</v>
      </c>
      <c r="L4209" s="2" t="s">
        <v>7427</v>
      </c>
      <c r="M4209" t="s">
        <v>43</v>
      </c>
      <c r="N4209" t="s">
        <v>42</v>
      </c>
      <c r="P4209" s="23">
        <v>92.83</v>
      </c>
      <c r="Q4209" s="4">
        <f t="shared" si="65"/>
        <v>-0.3499946138101907</v>
      </c>
      <c r="R4209" s="23" t="s">
        <v>1198</v>
      </c>
      <c r="T4209" s="41" t="s">
        <v>6107</v>
      </c>
    </row>
    <row r="4210" spans="1:20" x14ac:dyDescent="0.25">
      <c r="A4210" s="21">
        <v>45786</v>
      </c>
      <c r="B4210" s="1" t="s">
        <v>4307</v>
      </c>
      <c r="C4210" t="s">
        <v>1221</v>
      </c>
      <c r="D4210" s="22">
        <v>-23.2</v>
      </c>
      <c r="E4210" t="s">
        <v>35</v>
      </c>
      <c r="F4210" s="2">
        <v>610148001</v>
      </c>
      <c r="G4210" s="2" t="s">
        <v>42</v>
      </c>
      <c r="L4210" s="2" t="s">
        <v>7428</v>
      </c>
      <c r="M4210" t="s">
        <v>43</v>
      </c>
      <c r="N4210" t="s">
        <v>42</v>
      </c>
      <c r="P4210" s="23">
        <v>92.83</v>
      </c>
      <c r="Q4210" s="4">
        <f t="shared" si="65"/>
        <v>-0.24991920715286006</v>
      </c>
      <c r="R4210" s="23" t="s">
        <v>1198</v>
      </c>
      <c r="T4210" s="41" t="s">
        <v>6107</v>
      </c>
    </row>
    <row r="4211" spans="1:20" x14ac:dyDescent="0.25">
      <c r="A4211" s="21">
        <v>45786</v>
      </c>
      <c r="B4211" s="1" t="s">
        <v>4210</v>
      </c>
      <c r="C4211" t="s">
        <v>1221</v>
      </c>
      <c r="D4211" s="22">
        <v>-46.41</v>
      </c>
      <c r="E4211" t="s">
        <v>35</v>
      </c>
      <c r="F4211" s="2">
        <v>610148001</v>
      </c>
      <c r="G4211" s="2" t="s">
        <v>42</v>
      </c>
      <c r="L4211" s="2" t="s">
        <v>7429</v>
      </c>
      <c r="M4211" t="s">
        <v>43</v>
      </c>
      <c r="N4211" t="s">
        <v>42</v>
      </c>
      <c r="P4211" s="23">
        <v>92.83</v>
      </c>
      <c r="Q4211" s="4">
        <f t="shared" si="65"/>
        <v>-0.49994613810190669</v>
      </c>
      <c r="R4211" s="23" t="s">
        <v>1198</v>
      </c>
      <c r="T4211" s="41" t="s">
        <v>6107</v>
      </c>
    </row>
    <row r="4212" spans="1:20" x14ac:dyDescent="0.25">
      <c r="A4212" s="21">
        <v>45786</v>
      </c>
      <c r="B4212" s="1" t="s">
        <v>4274</v>
      </c>
      <c r="C4212" t="s">
        <v>1221</v>
      </c>
      <c r="D4212" s="22">
        <v>-28.31</v>
      </c>
      <c r="E4212" t="s">
        <v>35</v>
      </c>
      <c r="F4212" s="2">
        <v>610148001</v>
      </c>
      <c r="G4212" s="2" t="s">
        <v>42</v>
      </c>
      <c r="L4212" s="2" t="s">
        <v>7430</v>
      </c>
      <c r="M4212" t="s">
        <v>43</v>
      </c>
      <c r="N4212" t="s">
        <v>42</v>
      </c>
      <c r="P4212" s="23">
        <v>92.83</v>
      </c>
      <c r="Q4212" s="4">
        <f t="shared" si="65"/>
        <v>-0.3049660670042012</v>
      </c>
      <c r="R4212" s="23" t="s">
        <v>1198</v>
      </c>
      <c r="T4212" s="41" t="s">
        <v>6107</v>
      </c>
    </row>
    <row r="4213" spans="1:20" x14ac:dyDescent="0.25">
      <c r="A4213" s="21">
        <v>45786</v>
      </c>
      <c r="B4213" s="1" t="s">
        <v>4237</v>
      </c>
      <c r="C4213" t="s">
        <v>1221</v>
      </c>
      <c r="D4213" s="22">
        <v>-6.96</v>
      </c>
      <c r="E4213" t="s">
        <v>35</v>
      </c>
      <c r="F4213" s="2">
        <v>610148001</v>
      </c>
      <c r="G4213" s="2" t="s">
        <v>42</v>
      </c>
      <c r="L4213" s="2" t="s">
        <v>7431</v>
      </c>
      <c r="M4213" t="s">
        <v>43</v>
      </c>
      <c r="N4213" t="s">
        <v>42</v>
      </c>
      <c r="P4213" s="23">
        <v>92.83</v>
      </c>
      <c r="Q4213" s="4">
        <f t="shared" si="65"/>
        <v>-7.4975762145858021E-2</v>
      </c>
      <c r="R4213" s="23" t="s">
        <v>1198</v>
      </c>
      <c r="T4213" s="41" t="s">
        <v>6107</v>
      </c>
    </row>
    <row r="4214" spans="1:20" x14ac:dyDescent="0.25">
      <c r="A4214" s="21">
        <v>45786</v>
      </c>
      <c r="B4214" s="1" t="s">
        <v>4212</v>
      </c>
      <c r="C4214" t="s">
        <v>1221</v>
      </c>
      <c r="D4214" s="22">
        <v>-9.2799999999999994</v>
      </c>
      <c r="E4214" t="s">
        <v>35</v>
      </c>
      <c r="F4214" s="2">
        <v>610148001</v>
      </c>
      <c r="G4214" s="2" t="s">
        <v>42</v>
      </c>
      <c r="L4214" s="2" t="s">
        <v>7432</v>
      </c>
      <c r="M4214" t="s">
        <v>43</v>
      </c>
      <c r="N4214" t="s">
        <v>42</v>
      </c>
      <c r="P4214" s="23">
        <v>92.83</v>
      </c>
      <c r="Q4214" s="4">
        <f t="shared" si="65"/>
        <v>-9.9967682861144019E-2</v>
      </c>
      <c r="R4214" s="23" t="s">
        <v>1198</v>
      </c>
      <c r="T4214" s="41" t="s">
        <v>6107</v>
      </c>
    </row>
    <row r="4215" spans="1:20" x14ac:dyDescent="0.25">
      <c r="A4215" s="21">
        <v>45789</v>
      </c>
      <c r="B4215" s="1" t="s">
        <v>7433</v>
      </c>
      <c r="C4215" t="s">
        <v>544</v>
      </c>
      <c r="D4215" s="22">
        <v>920000</v>
      </c>
      <c r="E4215" t="s">
        <v>46</v>
      </c>
      <c r="F4215" s="2">
        <v>210115002</v>
      </c>
      <c r="G4215" s="2" t="s">
        <v>47</v>
      </c>
      <c r="L4215" s="2" t="s">
        <v>7434</v>
      </c>
      <c r="N4215" t="s">
        <v>544</v>
      </c>
      <c r="P4215" s="23">
        <v>93.05</v>
      </c>
      <c r="Q4215" s="4">
        <f t="shared" si="65"/>
        <v>9887.1574422353569</v>
      </c>
      <c r="R4215" s="23" t="s">
        <v>1198</v>
      </c>
    </row>
    <row r="4216" spans="1:20" x14ac:dyDescent="0.25">
      <c r="A4216" s="21">
        <v>45789</v>
      </c>
      <c r="B4216" s="1" t="s">
        <v>2573</v>
      </c>
      <c r="C4216" t="s">
        <v>2597</v>
      </c>
      <c r="D4216" s="22">
        <v>-74670</v>
      </c>
      <c r="E4216" t="s">
        <v>35</v>
      </c>
      <c r="F4216" s="2">
        <v>110114001</v>
      </c>
      <c r="G4216" s="2" t="s">
        <v>301</v>
      </c>
      <c r="L4216" s="2" t="s">
        <v>7435</v>
      </c>
      <c r="M4216" t="s">
        <v>38</v>
      </c>
      <c r="N4216" t="s">
        <v>39</v>
      </c>
      <c r="P4216" s="23">
        <v>93.05</v>
      </c>
      <c r="Q4216" s="4">
        <f t="shared" si="65"/>
        <v>-802.47178936055889</v>
      </c>
      <c r="R4216" s="23" t="s">
        <v>1198</v>
      </c>
      <c r="S4216" s="33" t="s">
        <v>2599</v>
      </c>
    </row>
    <row r="4217" spans="1:20" x14ac:dyDescent="0.25">
      <c r="A4217" s="21">
        <v>45789</v>
      </c>
      <c r="B4217" s="1" t="s">
        <v>3924</v>
      </c>
      <c r="C4217" t="s">
        <v>7436</v>
      </c>
      <c r="D4217" s="22">
        <v>-14030.43</v>
      </c>
      <c r="E4217" t="s">
        <v>35</v>
      </c>
      <c r="F4217" s="2">
        <v>210101001</v>
      </c>
      <c r="G4217" s="2" t="s">
        <v>36</v>
      </c>
      <c r="L4217" s="2" t="s">
        <v>7437</v>
      </c>
      <c r="M4217" t="s">
        <v>788</v>
      </c>
      <c r="N4217" t="s">
        <v>789</v>
      </c>
      <c r="P4217" s="23">
        <v>93.05</v>
      </c>
      <c r="Q4217" s="4">
        <f t="shared" si="65"/>
        <v>-150.78377216550243</v>
      </c>
      <c r="R4217" s="23" t="s">
        <v>1198</v>
      </c>
    </row>
    <row r="4218" spans="1:20" x14ac:dyDescent="0.25">
      <c r="A4218" s="21">
        <v>45789</v>
      </c>
      <c r="B4218" s="1" t="s">
        <v>2571</v>
      </c>
      <c r="C4218" t="s">
        <v>7438</v>
      </c>
      <c r="D4218" s="22">
        <v>-24561.03</v>
      </c>
      <c r="E4218" t="s">
        <v>35</v>
      </c>
      <c r="F4218" s="2">
        <v>210101001</v>
      </c>
      <c r="G4218" s="2" t="s">
        <v>36</v>
      </c>
      <c r="L4218" s="2" t="s">
        <v>7439</v>
      </c>
      <c r="M4218" t="s">
        <v>976</v>
      </c>
      <c r="N4218" t="s">
        <v>977</v>
      </c>
      <c r="P4218" s="23">
        <v>93.05</v>
      </c>
      <c r="Q4218" s="4">
        <f t="shared" si="65"/>
        <v>-263.95518538420203</v>
      </c>
      <c r="R4218" s="23" t="s">
        <v>1198</v>
      </c>
    </row>
    <row r="4219" spans="1:20" x14ac:dyDescent="0.25">
      <c r="A4219" s="21">
        <v>45789</v>
      </c>
      <c r="B4219" s="1" t="s">
        <v>1214</v>
      </c>
      <c r="C4219" t="s">
        <v>2597</v>
      </c>
      <c r="D4219" s="22">
        <v>-200000</v>
      </c>
      <c r="E4219" t="s">
        <v>35</v>
      </c>
      <c r="F4219" s="2">
        <v>110114001</v>
      </c>
      <c r="G4219" s="2" t="s">
        <v>301</v>
      </c>
      <c r="L4219" s="2" t="s">
        <v>7440</v>
      </c>
      <c r="M4219" t="s">
        <v>38</v>
      </c>
      <c r="N4219" t="s">
        <v>39</v>
      </c>
      <c r="P4219" s="23">
        <v>93.05</v>
      </c>
      <c r="Q4219" s="4">
        <f t="shared" si="65"/>
        <v>-2149.3820526598602</v>
      </c>
      <c r="R4219" s="23" t="s">
        <v>1198</v>
      </c>
      <c r="S4219" s="33" t="s">
        <v>2599</v>
      </c>
    </row>
    <row r="4220" spans="1:20" x14ac:dyDescent="0.25">
      <c r="A4220" s="32">
        <v>45789</v>
      </c>
      <c r="B4220" s="26" t="s">
        <v>3930</v>
      </c>
      <c r="C4220" s="27" t="s">
        <v>7441</v>
      </c>
      <c r="D4220" s="28">
        <v>-5583</v>
      </c>
      <c r="E4220" s="27" t="s">
        <v>35</v>
      </c>
      <c r="F4220" s="29">
        <v>610122005</v>
      </c>
      <c r="G4220" s="29" t="s">
        <v>765</v>
      </c>
      <c r="H4220" s="107"/>
      <c r="I4220" s="101"/>
      <c r="J4220" s="101"/>
      <c r="K4220" s="29"/>
      <c r="L4220" s="2" t="s">
        <v>7442</v>
      </c>
      <c r="M4220" s="27" t="s">
        <v>1202</v>
      </c>
      <c r="N4220" s="27" t="s">
        <v>1203</v>
      </c>
      <c r="O4220" s="27" t="s">
        <v>59</v>
      </c>
      <c r="P4220" s="31">
        <v>93.05</v>
      </c>
      <c r="Q4220" s="4">
        <f t="shared" si="65"/>
        <v>-60</v>
      </c>
      <c r="R4220" s="23" t="s">
        <v>1198</v>
      </c>
      <c r="S4220" s="3"/>
      <c r="T4220" s="70" t="s">
        <v>7443</v>
      </c>
    </row>
    <row r="4221" spans="1:20" x14ac:dyDescent="0.25">
      <c r="A4221" s="21">
        <v>45789</v>
      </c>
      <c r="B4221" s="1" t="s">
        <v>1217</v>
      </c>
      <c r="C4221" t="s">
        <v>2597</v>
      </c>
      <c r="D4221" s="22">
        <v>-200000</v>
      </c>
      <c r="E4221" t="s">
        <v>35</v>
      </c>
      <c r="F4221" s="2">
        <v>110114001</v>
      </c>
      <c r="G4221" s="2" t="s">
        <v>301</v>
      </c>
      <c r="L4221" s="2" t="s">
        <v>7444</v>
      </c>
      <c r="M4221" t="s">
        <v>38</v>
      </c>
      <c r="N4221" t="s">
        <v>39</v>
      </c>
      <c r="P4221" s="23">
        <v>93.05</v>
      </c>
      <c r="Q4221" s="4">
        <f t="shared" si="65"/>
        <v>-2149.3820526598602</v>
      </c>
      <c r="R4221" s="23" t="s">
        <v>1198</v>
      </c>
      <c r="S4221" s="33" t="s">
        <v>2599</v>
      </c>
    </row>
    <row r="4222" spans="1:20" x14ac:dyDescent="0.25">
      <c r="A4222" s="21">
        <v>45789</v>
      </c>
      <c r="B4222" s="1" t="s">
        <v>1211</v>
      </c>
      <c r="C4222" t="s">
        <v>2597</v>
      </c>
      <c r="D4222" s="22">
        <v>-200000</v>
      </c>
      <c r="E4222" t="s">
        <v>35</v>
      </c>
      <c r="F4222" s="2">
        <v>110114001</v>
      </c>
      <c r="G4222" s="2" t="s">
        <v>301</v>
      </c>
      <c r="L4222" s="2" t="s">
        <v>7445</v>
      </c>
      <c r="M4222" t="s">
        <v>38</v>
      </c>
      <c r="N4222" t="s">
        <v>39</v>
      </c>
      <c r="P4222" s="23">
        <v>93.05</v>
      </c>
      <c r="Q4222" s="4">
        <f t="shared" si="65"/>
        <v>-2149.3820526598602</v>
      </c>
      <c r="R4222" s="23" t="s">
        <v>1198</v>
      </c>
      <c r="S4222" s="33" t="s">
        <v>2599</v>
      </c>
    </row>
    <row r="4223" spans="1:20" x14ac:dyDescent="0.25">
      <c r="A4223" s="21">
        <v>45789</v>
      </c>
      <c r="B4223" s="1" t="s">
        <v>1208</v>
      </c>
      <c r="C4223" t="s">
        <v>2597</v>
      </c>
      <c r="D4223" s="22">
        <v>-200000</v>
      </c>
      <c r="E4223" t="s">
        <v>35</v>
      </c>
      <c r="F4223" s="2">
        <v>110114001</v>
      </c>
      <c r="G4223" s="2" t="s">
        <v>301</v>
      </c>
      <c r="L4223" s="2" t="s">
        <v>7446</v>
      </c>
      <c r="M4223" t="s">
        <v>38</v>
      </c>
      <c r="N4223" t="s">
        <v>39</v>
      </c>
      <c r="P4223" s="23">
        <v>93.05</v>
      </c>
      <c r="Q4223" s="4">
        <f t="shared" si="65"/>
        <v>-2149.3820526598602</v>
      </c>
      <c r="R4223" s="23" t="s">
        <v>1198</v>
      </c>
      <c r="S4223" s="33" t="s">
        <v>2599</v>
      </c>
    </row>
    <row r="4224" spans="1:20" x14ac:dyDescent="0.25">
      <c r="A4224" s="21">
        <v>45789</v>
      </c>
      <c r="B4224" s="1" t="s">
        <v>1225</v>
      </c>
      <c r="C4224" t="s">
        <v>1221</v>
      </c>
      <c r="D4224" s="22">
        <v>-500</v>
      </c>
      <c r="E4224" t="s">
        <v>35</v>
      </c>
      <c r="F4224" s="2">
        <v>610148001</v>
      </c>
      <c r="G4224" s="2" t="s">
        <v>42</v>
      </c>
      <c r="L4224" s="2" t="s">
        <v>7447</v>
      </c>
      <c r="M4224" t="s">
        <v>43</v>
      </c>
      <c r="N4224" t="s">
        <v>42</v>
      </c>
      <c r="P4224" s="23">
        <v>93.05</v>
      </c>
      <c r="Q4224" s="4">
        <f t="shared" si="65"/>
        <v>-5.3734551316496511</v>
      </c>
      <c r="R4224" s="23" t="s">
        <v>1198</v>
      </c>
      <c r="T4224" s="41" t="s">
        <v>6107</v>
      </c>
    </row>
    <row r="4225" spans="1:20" x14ac:dyDescent="0.25">
      <c r="A4225" s="21">
        <v>45789</v>
      </c>
      <c r="B4225" s="1" t="s">
        <v>2585</v>
      </c>
      <c r="C4225" t="s">
        <v>1221</v>
      </c>
      <c r="D4225" s="22">
        <v>-61.4</v>
      </c>
      <c r="E4225" t="s">
        <v>35</v>
      </c>
      <c r="F4225" s="2">
        <v>610148001</v>
      </c>
      <c r="G4225" s="2" t="s">
        <v>42</v>
      </c>
      <c r="L4225" s="2" t="s">
        <v>7448</v>
      </c>
      <c r="M4225" t="s">
        <v>43</v>
      </c>
      <c r="N4225" t="s">
        <v>42</v>
      </c>
      <c r="P4225" s="23">
        <v>93.05</v>
      </c>
      <c r="Q4225" s="4">
        <f t="shared" si="65"/>
        <v>-0.6598602901665771</v>
      </c>
      <c r="R4225" s="23" t="s">
        <v>1198</v>
      </c>
      <c r="T4225" s="41" t="s">
        <v>6107</v>
      </c>
    </row>
    <row r="4226" spans="1:20" x14ac:dyDescent="0.25">
      <c r="A4226" s="21">
        <v>45789</v>
      </c>
      <c r="B4226" s="1" t="s">
        <v>1227</v>
      </c>
      <c r="C4226" t="s">
        <v>1221</v>
      </c>
      <c r="D4226" s="22">
        <v>-500</v>
      </c>
      <c r="E4226" t="s">
        <v>35</v>
      </c>
      <c r="F4226" s="2">
        <v>610148001</v>
      </c>
      <c r="G4226" s="2" t="s">
        <v>42</v>
      </c>
      <c r="L4226" s="2" t="s">
        <v>7449</v>
      </c>
      <c r="M4226" t="s">
        <v>43</v>
      </c>
      <c r="N4226" t="s">
        <v>42</v>
      </c>
      <c r="P4226" s="23">
        <v>93.05</v>
      </c>
      <c r="Q4226" s="4">
        <f t="shared" si="65"/>
        <v>-5.3734551316496511</v>
      </c>
      <c r="R4226" s="23" t="s">
        <v>1198</v>
      </c>
      <c r="T4226" s="41" t="s">
        <v>6107</v>
      </c>
    </row>
    <row r="4227" spans="1:20" x14ac:dyDescent="0.25">
      <c r="A4227" s="21">
        <v>45789</v>
      </c>
      <c r="B4227" s="1" t="s">
        <v>3969</v>
      </c>
      <c r="C4227" t="s">
        <v>1221</v>
      </c>
      <c r="D4227" s="22">
        <v>-13.95</v>
      </c>
      <c r="E4227" t="s">
        <v>35</v>
      </c>
      <c r="F4227" s="2">
        <v>610148001</v>
      </c>
      <c r="G4227" s="2" t="s">
        <v>42</v>
      </c>
      <c r="L4227" s="2" t="s">
        <v>7450</v>
      </c>
      <c r="M4227" t="s">
        <v>43</v>
      </c>
      <c r="N4227" t="s">
        <v>42</v>
      </c>
      <c r="P4227" s="23">
        <v>93.05</v>
      </c>
      <c r="Q4227" s="4">
        <f t="shared" si="65"/>
        <v>-0.14991939817302524</v>
      </c>
      <c r="R4227" s="23" t="s">
        <v>1198</v>
      </c>
      <c r="T4227" s="41" t="s">
        <v>6107</v>
      </c>
    </row>
    <row r="4228" spans="1:20" x14ac:dyDescent="0.25">
      <c r="A4228" s="21">
        <v>45789</v>
      </c>
      <c r="B4228" s="1" t="s">
        <v>1220</v>
      </c>
      <c r="C4228" t="s">
        <v>1221</v>
      </c>
      <c r="D4228" s="22">
        <v>-500</v>
      </c>
      <c r="E4228" t="s">
        <v>35</v>
      </c>
      <c r="F4228" s="2">
        <v>610148001</v>
      </c>
      <c r="G4228" s="2" t="s">
        <v>42</v>
      </c>
      <c r="L4228" s="2" t="s">
        <v>7451</v>
      </c>
      <c r="M4228" t="s">
        <v>43</v>
      </c>
      <c r="N4228" t="s">
        <v>42</v>
      </c>
      <c r="P4228" s="23">
        <v>93.05</v>
      </c>
      <c r="Q4228" s="4">
        <f t="shared" si="65"/>
        <v>-5.3734551316496511</v>
      </c>
      <c r="R4228" s="23" t="s">
        <v>1198</v>
      </c>
      <c r="T4228" s="41" t="s">
        <v>6107</v>
      </c>
    </row>
    <row r="4229" spans="1:20" x14ac:dyDescent="0.25">
      <c r="A4229" s="21">
        <v>45789</v>
      </c>
      <c r="B4229" s="1" t="s">
        <v>1223</v>
      </c>
      <c r="C4229" t="s">
        <v>1221</v>
      </c>
      <c r="D4229" s="22">
        <v>-500</v>
      </c>
      <c r="E4229" t="s">
        <v>35</v>
      </c>
      <c r="F4229" s="2">
        <v>610148001</v>
      </c>
      <c r="G4229" s="2" t="s">
        <v>42</v>
      </c>
      <c r="L4229" s="2" t="s">
        <v>7452</v>
      </c>
      <c r="M4229" t="s">
        <v>43</v>
      </c>
      <c r="N4229" t="s">
        <v>42</v>
      </c>
      <c r="P4229" s="23">
        <v>93.05</v>
      </c>
      <c r="Q4229" s="4">
        <f t="shared" si="65"/>
        <v>-5.3734551316496511</v>
      </c>
      <c r="R4229" s="23" t="s">
        <v>1198</v>
      </c>
      <c r="T4229" s="41" t="s">
        <v>6107</v>
      </c>
    </row>
    <row r="4230" spans="1:20" x14ac:dyDescent="0.25">
      <c r="A4230" s="21">
        <v>45789</v>
      </c>
      <c r="B4230" s="1" t="s">
        <v>2582</v>
      </c>
      <c r="C4230" t="s">
        <v>1221</v>
      </c>
      <c r="D4230" s="22">
        <v>-186.67</v>
      </c>
      <c r="E4230" t="s">
        <v>35</v>
      </c>
      <c r="F4230" s="2">
        <v>610148001</v>
      </c>
      <c r="G4230" s="2" t="s">
        <v>42</v>
      </c>
      <c r="L4230" s="2" t="s">
        <v>7453</v>
      </c>
      <c r="M4230" t="s">
        <v>43</v>
      </c>
      <c r="N4230" t="s">
        <v>42</v>
      </c>
      <c r="P4230" s="23">
        <v>93.05</v>
      </c>
      <c r="Q4230" s="4">
        <f t="shared" si="65"/>
        <v>-2.0061257388500806</v>
      </c>
      <c r="R4230" s="23" t="s">
        <v>1198</v>
      </c>
      <c r="T4230" s="41" t="s">
        <v>6107</v>
      </c>
    </row>
    <row r="4231" spans="1:20" x14ac:dyDescent="0.25">
      <c r="A4231" s="21">
        <v>45789</v>
      </c>
      <c r="B4231" s="1" t="s">
        <v>3965</v>
      </c>
      <c r="C4231" t="s">
        <v>1221</v>
      </c>
      <c r="D4231" s="22">
        <v>-35.07</v>
      </c>
      <c r="E4231" t="s">
        <v>35</v>
      </c>
      <c r="F4231" s="2">
        <v>610148001</v>
      </c>
      <c r="G4231" s="2" t="s">
        <v>42</v>
      </c>
      <c r="L4231" s="2" t="s">
        <v>7454</v>
      </c>
      <c r="M4231" t="s">
        <v>43</v>
      </c>
      <c r="N4231" t="s">
        <v>42</v>
      </c>
      <c r="P4231" s="23">
        <v>93.05</v>
      </c>
      <c r="Q4231" s="4">
        <f t="shared" si="65"/>
        <v>-0.3768941429339065</v>
      </c>
      <c r="R4231" s="23" t="s">
        <v>1198</v>
      </c>
      <c r="T4231" s="41" t="s">
        <v>6107</v>
      </c>
    </row>
    <row r="4232" spans="1:20" x14ac:dyDescent="0.25">
      <c r="A4232" s="21">
        <v>45790</v>
      </c>
      <c r="B4232" s="1" t="s">
        <v>7455</v>
      </c>
      <c r="C4232" t="s">
        <v>544</v>
      </c>
      <c r="D4232" s="22">
        <v>1285000</v>
      </c>
      <c r="E4232" t="s">
        <v>46</v>
      </c>
      <c r="F4232" s="2">
        <v>210115002</v>
      </c>
      <c r="G4232" s="2" t="s">
        <v>47</v>
      </c>
      <c r="L4232" s="2" t="s">
        <v>7456</v>
      </c>
      <c r="N4232" t="s">
        <v>544</v>
      </c>
      <c r="P4232" s="23">
        <v>93.06</v>
      </c>
      <c r="Q4232" s="4">
        <f t="shared" si="65"/>
        <v>13808.29572318934</v>
      </c>
      <c r="R4232" s="23" t="s">
        <v>1198</v>
      </c>
    </row>
    <row r="4233" spans="1:20" x14ac:dyDescent="0.25">
      <c r="A4233" s="21">
        <v>45790</v>
      </c>
      <c r="B4233" s="1" t="s">
        <v>2571</v>
      </c>
      <c r="C4233" t="s">
        <v>7457</v>
      </c>
      <c r="D4233" s="22">
        <v>-454359.86</v>
      </c>
      <c r="E4233" t="s">
        <v>35</v>
      </c>
      <c r="F4233" s="2">
        <v>210101001</v>
      </c>
      <c r="G4233" s="2" t="s">
        <v>36</v>
      </c>
      <c r="L4233" s="2" t="s">
        <v>7458</v>
      </c>
      <c r="M4233" t="s">
        <v>38</v>
      </c>
      <c r="N4233" t="s">
        <v>39</v>
      </c>
      <c r="P4233" s="23">
        <v>93.06</v>
      </c>
      <c r="Q4233" s="4">
        <f t="shared" si="65"/>
        <v>-4882.4399312271653</v>
      </c>
      <c r="R4233" s="23" t="s">
        <v>1198</v>
      </c>
    </row>
    <row r="4234" spans="1:20" x14ac:dyDescent="0.25">
      <c r="A4234" s="21">
        <v>45790</v>
      </c>
      <c r="B4234" s="1" t="s">
        <v>3930</v>
      </c>
      <c r="C4234" t="s">
        <v>7459</v>
      </c>
      <c r="D4234" s="22">
        <v>-11443.74</v>
      </c>
      <c r="E4234" t="s">
        <v>35</v>
      </c>
      <c r="F4234" s="2">
        <v>210101001</v>
      </c>
      <c r="G4234" s="2" t="s">
        <v>36</v>
      </c>
      <c r="L4234" s="2" t="s">
        <v>7460</v>
      </c>
      <c r="M4234" t="s">
        <v>725</v>
      </c>
      <c r="N4234" t="s">
        <v>726</v>
      </c>
      <c r="P4234" s="23">
        <v>93.06</v>
      </c>
      <c r="Q4234" s="4">
        <f t="shared" si="65"/>
        <v>-122.97163120567376</v>
      </c>
      <c r="R4234" s="23" t="s">
        <v>1198</v>
      </c>
    </row>
    <row r="4235" spans="1:20" x14ac:dyDescent="0.25">
      <c r="A4235" s="21">
        <v>45790</v>
      </c>
      <c r="B4235" s="1" t="s">
        <v>1208</v>
      </c>
      <c r="C4235" t="s">
        <v>7461</v>
      </c>
      <c r="D4235" s="22">
        <v>-200000</v>
      </c>
      <c r="E4235" t="s">
        <v>35</v>
      </c>
      <c r="F4235" s="2">
        <v>210101001</v>
      </c>
      <c r="G4235" s="2" t="s">
        <v>36</v>
      </c>
      <c r="L4235" s="2" t="s">
        <v>7462</v>
      </c>
      <c r="M4235" t="s">
        <v>38</v>
      </c>
      <c r="N4235" t="s">
        <v>39</v>
      </c>
      <c r="P4235" s="23">
        <v>93.06</v>
      </c>
      <c r="Q4235" s="4">
        <f t="shared" ref="Q4235:Q4298" si="66">D4235/P4235</f>
        <v>-2149.1510853212981</v>
      </c>
      <c r="R4235" s="23" t="s">
        <v>1198</v>
      </c>
    </row>
    <row r="4236" spans="1:20" x14ac:dyDescent="0.25">
      <c r="A4236" s="21">
        <v>45790</v>
      </c>
      <c r="B4236" s="1" t="s">
        <v>2573</v>
      </c>
      <c r="C4236" t="s">
        <v>7463</v>
      </c>
      <c r="D4236" s="22">
        <v>-172120.99</v>
      </c>
      <c r="E4236" t="s">
        <v>35</v>
      </c>
      <c r="F4236" s="2">
        <v>210101001</v>
      </c>
      <c r="G4236" s="2" t="s">
        <v>36</v>
      </c>
      <c r="L4236" s="2" t="s">
        <v>7464</v>
      </c>
      <c r="M4236" t="s">
        <v>303</v>
      </c>
      <c r="N4236" t="s">
        <v>304</v>
      </c>
      <c r="P4236" s="23">
        <v>93.06</v>
      </c>
      <c r="Q4236" s="4">
        <f t="shared" si="66"/>
        <v>-1849.5700623253813</v>
      </c>
      <c r="R4236" s="23" t="s">
        <v>1198</v>
      </c>
    </row>
    <row r="4237" spans="1:20" x14ac:dyDescent="0.25">
      <c r="A4237" s="21">
        <v>45790</v>
      </c>
      <c r="B4237" s="1" t="s">
        <v>1208</v>
      </c>
      <c r="C4237" t="s">
        <v>7461</v>
      </c>
      <c r="D4237" s="22">
        <v>-44144.78</v>
      </c>
      <c r="E4237" t="s">
        <v>35</v>
      </c>
      <c r="F4237" s="2">
        <v>210101001</v>
      </c>
      <c r="G4237" s="2" t="s">
        <v>36</v>
      </c>
      <c r="L4237" s="2" t="s">
        <v>7465</v>
      </c>
      <c r="M4237" t="s">
        <v>38</v>
      </c>
      <c r="N4237" t="s">
        <v>39</v>
      </c>
      <c r="P4237" s="23">
        <v>93.06</v>
      </c>
      <c r="Q4237" s="4">
        <f t="shared" si="66"/>
        <v>-474.36900924134966</v>
      </c>
      <c r="R4237" s="23" t="s">
        <v>1198</v>
      </c>
    </row>
    <row r="4238" spans="1:20" x14ac:dyDescent="0.25">
      <c r="A4238" s="21">
        <v>45790</v>
      </c>
      <c r="B4238" s="1" t="s">
        <v>1208</v>
      </c>
      <c r="C4238" t="s">
        <v>7461</v>
      </c>
      <c r="D4238" s="22">
        <v>-200000</v>
      </c>
      <c r="E4238" t="s">
        <v>35</v>
      </c>
      <c r="F4238" s="2">
        <v>210101001</v>
      </c>
      <c r="G4238" s="2" t="s">
        <v>36</v>
      </c>
      <c r="L4238" s="2" t="s">
        <v>7466</v>
      </c>
      <c r="M4238" t="s">
        <v>38</v>
      </c>
      <c r="N4238" t="s">
        <v>39</v>
      </c>
      <c r="P4238" s="23">
        <v>93.06</v>
      </c>
      <c r="Q4238" s="4">
        <f t="shared" si="66"/>
        <v>-2149.1510853212981</v>
      </c>
      <c r="R4238" s="23" t="s">
        <v>1198</v>
      </c>
    </row>
    <row r="4239" spans="1:20" x14ac:dyDescent="0.25">
      <c r="A4239" s="21">
        <v>45790</v>
      </c>
      <c r="B4239" s="1" t="s">
        <v>1208</v>
      </c>
      <c r="C4239" t="s">
        <v>7461</v>
      </c>
      <c r="D4239" s="22">
        <v>-200000</v>
      </c>
      <c r="E4239" t="s">
        <v>35</v>
      </c>
      <c r="F4239" s="2">
        <v>210101001</v>
      </c>
      <c r="G4239" s="2" t="s">
        <v>36</v>
      </c>
      <c r="L4239" s="2" t="s">
        <v>7467</v>
      </c>
      <c r="M4239" t="s">
        <v>38</v>
      </c>
      <c r="N4239" t="s">
        <v>39</v>
      </c>
      <c r="P4239" s="23">
        <v>93.06</v>
      </c>
      <c r="Q4239" s="4">
        <f t="shared" si="66"/>
        <v>-2149.1510853212981</v>
      </c>
      <c r="R4239" s="23" t="s">
        <v>1198</v>
      </c>
    </row>
    <row r="4240" spans="1:20" x14ac:dyDescent="0.25">
      <c r="A4240" s="21">
        <v>45790</v>
      </c>
      <c r="B4240" s="1" t="s">
        <v>2582</v>
      </c>
      <c r="C4240" t="s">
        <v>1221</v>
      </c>
      <c r="D4240" s="22">
        <v>-430.3</v>
      </c>
      <c r="E4240" t="s">
        <v>35</v>
      </c>
      <c r="F4240" s="2">
        <v>610148001</v>
      </c>
      <c r="G4240" s="2" t="s">
        <v>42</v>
      </c>
      <c r="L4240" s="2" t="s">
        <v>7468</v>
      </c>
      <c r="M4240" t="s">
        <v>43</v>
      </c>
      <c r="N4240" t="s">
        <v>42</v>
      </c>
      <c r="P4240" s="23">
        <v>93.06</v>
      </c>
      <c r="Q4240" s="4">
        <f t="shared" si="66"/>
        <v>-4.6238985600687732</v>
      </c>
      <c r="R4240" s="23" t="s">
        <v>1198</v>
      </c>
      <c r="T4240" s="41" t="s">
        <v>6107</v>
      </c>
    </row>
    <row r="4241" spans="1:20" x14ac:dyDescent="0.25">
      <c r="A4241" s="21">
        <v>45790</v>
      </c>
      <c r="B4241" s="1" t="s">
        <v>2585</v>
      </c>
      <c r="C4241" t="s">
        <v>1221</v>
      </c>
      <c r="D4241" s="22">
        <v>-1135.8900000000001</v>
      </c>
      <c r="E4241" t="s">
        <v>35</v>
      </c>
      <c r="F4241" s="2">
        <v>610148001</v>
      </c>
      <c r="G4241" s="2" t="s">
        <v>42</v>
      </c>
      <c r="L4241" s="2" t="s">
        <v>7469</v>
      </c>
      <c r="M4241" t="s">
        <v>43</v>
      </c>
      <c r="N4241" t="s">
        <v>42</v>
      </c>
      <c r="P4241" s="23">
        <v>93.06</v>
      </c>
      <c r="Q4241" s="4">
        <f t="shared" si="66"/>
        <v>-12.205996131528048</v>
      </c>
      <c r="R4241" s="23" t="s">
        <v>1198</v>
      </c>
      <c r="T4241" s="41" t="s">
        <v>6107</v>
      </c>
    </row>
    <row r="4242" spans="1:20" x14ac:dyDescent="0.25">
      <c r="A4242" s="21">
        <v>45790</v>
      </c>
      <c r="B4242" s="1" t="s">
        <v>1223</v>
      </c>
      <c r="C4242" t="s">
        <v>1221</v>
      </c>
      <c r="D4242" s="22">
        <v>-500</v>
      </c>
      <c r="E4242" t="s">
        <v>35</v>
      </c>
      <c r="F4242" s="2">
        <v>610148001</v>
      </c>
      <c r="G4242" s="2" t="s">
        <v>42</v>
      </c>
      <c r="L4242" s="2" t="s">
        <v>7470</v>
      </c>
      <c r="M4242" t="s">
        <v>43</v>
      </c>
      <c r="N4242" t="s">
        <v>42</v>
      </c>
      <c r="P4242" s="23">
        <v>93.06</v>
      </c>
      <c r="Q4242" s="4">
        <f t="shared" si="66"/>
        <v>-5.3728777133032448</v>
      </c>
      <c r="R4242" s="23" t="s">
        <v>1198</v>
      </c>
      <c r="T4242" s="41" t="s">
        <v>6107</v>
      </c>
    </row>
    <row r="4243" spans="1:20" x14ac:dyDescent="0.25">
      <c r="A4243" s="21">
        <v>45790</v>
      </c>
      <c r="B4243" s="1" t="s">
        <v>1223</v>
      </c>
      <c r="C4243" t="s">
        <v>1221</v>
      </c>
      <c r="D4243" s="22">
        <v>-500</v>
      </c>
      <c r="E4243" t="s">
        <v>35</v>
      </c>
      <c r="F4243" s="2">
        <v>610148001</v>
      </c>
      <c r="G4243" s="2" t="s">
        <v>42</v>
      </c>
      <c r="L4243" s="2" t="s">
        <v>7471</v>
      </c>
      <c r="M4243" t="s">
        <v>43</v>
      </c>
      <c r="N4243" t="s">
        <v>42</v>
      </c>
      <c r="P4243" s="23">
        <v>93.06</v>
      </c>
      <c r="Q4243" s="4">
        <f t="shared" si="66"/>
        <v>-5.3728777133032448</v>
      </c>
      <c r="R4243" s="23" t="s">
        <v>1198</v>
      </c>
      <c r="T4243" s="41" t="s">
        <v>6107</v>
      </c>
    </row>
    <row r="4244" spans="1:20" x14ac:dyDescent="0.25">
      <c r="A4244" s="21">
        <v>45790</v>
      </c>
      <c r="B4244" s="1" t="s">
        <v>1223</v>
      </c>
      <c r="C4244" t="s">
        <v>1221</v>
      </c>
      <c r="D4244" s="22">
        <v>-500</v>
      </c>
      <c r="E4244" t="s">
        <v>35</v>
      </c>
      <c r="F4244" s="2">
        <v>610148001</v>
      </c>
      <c r="G4244" s="2" t="s">
        <v>42</v>
      </c>
      <c r="L4244" s="2" t="s">
        <v>7472</v>
      </c>
      <c r="M4244" t="s">
        <v>43</v>
      </c>
      <c r="N4244" t="s">
        <v>42</v>
      </c>
      <c r="P4244" s="23">
        <v>93.06</v>
      </c>
      <c r="Q4244" s="4">
        <f t="shared" si="66"/>
        <v>-5.3728777133032448</v>
      </c>
      <c r="R4244" s="23" t="s">
        <v>1198</v>
      </c>
      <c r="T4244" s="41" t="s">
        <v>6107</v>
      </c>
    </row>
    <row r="4245" spans="1:20" x14ac:dyDescent="0.25">
      <c r="A4245" s="21">
        <v>45790</v>
      </c>
      <c r="B4245" s="1" t="s">
        <v>3969</v>
      </c>
      <c r="C4245" t="s">
        <v>1221</v>
      </c>
      <c r="D4245" s="22">
        <v>-28.6</v>
      </c>
      <c r="E4245" t="s">
        <v>35</v>
      </c>
      <c r="F4245" s="2">
        <v>610148001</v>
      </c>
      <c r="G4245" s="2" t="s">
        <v>42</v>
      </c>
      <c r="L4245" s="2" t="s">
        <v>7473</v>
      </c>
      <c r="M4245" t="s">
        <v>43</v>
      </c>
      <c r="N4245" t="s">
        <v>42</v>
      </c>
      <c r="P4245" s="23">
        <v>93.06</v>
      </c>
      <c r="Q4245" s="4">
        <f t="shared" si="66"/>
        <v>-0.30732860520094563</v>
      </c>
      <c r="R4245" s="23" t="s">
        <v>1198</v>
      </c>
      <c r="T4245" s="41" t="s">
        <v>6107</v>
      </c>
    </row>
    <row r="4246" spans="1:20" x14ac:dyDescent="0.25">
      <c r="A4246" s="21">
        <v>45790</v>
      </c>
      <c r="B4246" s="1" t="s">
        <v>1223</v>
      </c>
      <c r="C4246" t="s">
        <v>1221</v>
      </c>
      <c r="D4246" s="22">
        <v>-110.36</v>
      </c>
      <c r="E4246" t="s">
        <v>35</v>
      </c>
      <c r="F4246" s="2">
        <v>610148001</v>
      </c>
      <c r="G4246" s="2" t="s">
        <v>42</v>
      </c>
      <c r="L4246" s="2" t="s">
        <v>7474</v>
      </c>
      <c r="M4246" t="s">
        <v>43</v>
      </c>
      <c r="N4246" t="s">
        <v>42</v>
      </c>
      <c r="P4246" s="23">
        <v>93.06</v>
      </c>
      <c r="Q4246" s="4">
        <f t="shared" si="66"/>
        <v>-1.1859015688802923</v>
      </c>
      <c r="R4246" s="23" t="s">
        <v>1198</v>
      </c>
      <c r="T4246" s="41" t="s">
        <v>6107</v>
      </c>
    </row>
    <row r="4247" spans="1:20" x14ac:dyDescent="0.25">
      <c r="A4247" s="21">
        <v>45791</v>
      </c>
      <c r="B4247" s="1" t="s">
        <v>7475</v>
      </c>
      <c r="C4247" t="s">
        <v>544</v>
      </c>
      <c r="D4247" s="22">
        <v>320000</v>
      </c>
      <c r="E4247" t="s">
        <v>46</v>
      </c>
      <c r="F4247" s="2">
        <v>210115002</v>
      </c>
      <c r="G4247" s="2" t="s">
        <v>47</v>
      </c>
      <c r="L4247" s="2" t="s">
        <v>7476</v>
      </c>
      <c r="N4247" t="s">
        <v>544</v>
      </c>
      <c r="P4247" s="23">
        <v>93.58</v>
      </c>
      <c r="Q4247" s="4">
        <f t="shared" si="66"/>
        <v>3419.5340884804446</v>
      </c>
      <c r="R4247" s="23" t="s">
        <v>1198</v>
      </c>
    </row>
    <row r="4248" spans="1:20" x14ac:dyDescent="0.25">
      <c r="A4248" s="21">
        <v>45791</v>
      </c>
      <c r="B4248" s="1" t="s">
        <v>2573</v>
      </c>
      <c r="C4248" t="s">
        <v>7477</v>
      </c>
      <c r="D4248" s="22">
        <v>-96932.22</v>
      </c>
      <c r="E4248" t="s">
        <v>35</v>
      </c>
      <c r="F4248" s="2">
        <v>210101001</v>
      </c>
      <c r="G4248" s="2" t="s">
        <v>36</v>
      </c>
      <c r="L4248" s="2" t="s">
        <v>7478</v>
      </c>
      <c r="M4248" t="s">
        <v>38</v>
      </c>
      <c r="N4248" t="s">
        <v>39</v>
      </c>
      <c r="P4248" s="23">
        <v>93.58</v>
      </c>
      <c r="Q4248" s="4">
        <f t="shared" si="66"/>
        <v>-1035.8219705065185</v>
      </c>
      <c r="R4248" s="23" t="s">
        <v>1198</v>
      </c>
    </row>
    <row r="4249" spans="1:20" x14ac:dyDescent="0.25">
      <c r="A4249" s="21">
        <v>45791</v>
      </c>
      <c r="B4249" s="1" t="s">
        <v>1217</v>
      </c>
      <c r="C4249" t="s">
        <v>7479</v>
      </c>
      <c r="D4249" s="22">
        <v>-44870.57</v>
      </c>
      <c r="E4249" t="s">
        <v>35</v>
      </c>
      <c r="F4249" s="2">
        <v>210101001</v>
      </c>
      <c r="G4249" s="2" t="s">
        <v>36</v>
      </c>
      <c r="L4249" s="2" t="s">
        <v>7480</v>
      </c>
      <c r="M4249" t="s">
        <v>521</v>
      </c>
      <c r="N4249" t="s">
        <v>3364</v>
      </c>
      <c r="P4249" s="23">
        <v>93.58</v>
      </c>
      <c r="Q4249" s="4">
        <f t="shared" si="66"/>
        <v>-479.48888651421242</v>
      </c>
      <c r="R4249" s="23" t="s">
        <v>1198</v>
      </c>
    </row>
    <row r="4250" spans="1:20" x14ac:dyDescent="0.25">
      <c r="A4250" s="21">
        <v>45791</v>
      </c>
      <c r="B4250" s="1" t="s">
        <v>1214</v>
      </c>
      <c r="C4250" t="s">
        <v>7481</v>
      </c>
      <c r="D4250" s="22">
        <v>-60789.56</v>
      </c>
      <c r="E4250" t="s">
        <v>35</v>
      </c>
      <c r="F4250" s="2">
        <v>210101001</v>
      </c>
      <c r="G4250" s="2" t="s">
        <v>36</v>
      </c>
      <c r="L4250" s="2" t="s">
        <v>7482</v>
      </c>
      <c r="M4250" t="s">
        <v>788</v>
      </c>
      <c r="N4250" t="s">
        <v>789</v>
      </c>
      <c r="P4250" s="23">
        <v>93.58</v>
      </c>
      <c r="Q4250" s="4">
        <f t="shared" si="66"/>
        <v>-649.59991451164774</v>
      </c>
      <c r="R4250" s="23" t="s">
        <v>1198</v>
      </c>
    </row>
    <row r="4251" spans="1:20" x14ac:dyDescent="0.25">
      <c r="A4251" s="21">
        <v>45791</v>
      </c>
      <c r="B4251" s="1" t="s">
        <v>1208</v>
      </c>
      <c r="C4251" t="s">
        <v>7483</v>
      </c>
      <c r="D4251" s="22">
        <v>-80654.73</v>
      </c>
      <c r="E4251" t="s">
        <v>35</v>
      </c>
      <c r="F4251" s="2">
        <v>210101001</v>
      </c>
      <c r="G4251" s="2" t="s">
        <v>36</v>
      </c>
      <c r="L4251" s="2" t="s">
        <v>7484</v>
      </c>
      <c r="M4251" t="s">
        <v>534</v>
      </c>
      <c r="N4251" t="s">
        <v>535</v>
      </c>
      <c r="P4251" s="23">
        <v>93.58</v>
      </c>
      <c r="Q4251" s="4">
        <f t="shared" si="66"/>
        <v>-861.87999572558238</v>
      </c>
      <c r="R4251" s="23" t="s">
        <v>1198</v>
      </c>
    </row>
    <row r="4252" spans="1:20" x14ac:dyDescent="0.25">
      <c r="A4252" s="21">
        <v>45791</v>
      </c>
      <c r="B4252" s="1" t="s">
        <v>1211</v>
      </c>
      <c r="C4252" t="s">
        <v>7485</v>
      </c>
      <c r="D4252" s="22">
        <v>-35814.269999999997</v>
      </c>
      <c r="E4252" t="s">
        <v>35</v>
      </c>
      <c r="F4252" s="2">
        <v>210101001</v>
      </c>
      <c r="G4252" s="2" t="s">
        <v>36</v>
      </c>
      <c r="L4252" s="2" t="s">
        <v>7486</v>
      </c>
      <c r="M4252" t="s">
        <v>698</v>
      </c>
      <c r="N4252" t="s">
        <v>104</v>
      </c>
      <c r="P4252" s="23">
        <v>93.58</v>
      </c>
      <c r="Q4252" s="4">
        <f t="shared" si="66"/>
        <v>-382.7128659970079</v>
      </c>
      <c r="R4252" s="23" t="s">
        <v>1198</v>
      </c>
    </row>
    <row r="4253" spans="1:20" x14ac:dyDescent="0.25">
      <c r="A4253" s="21">
        <v>45791</v>
      </c>
      <c r="B4253" s="1" t="s">
        <v>1220</v>
      </c>
      <c r="C4253" t="s">
        <v>1221</v>
      </c>
      <c r="D4253" s="22">
        <v>-112.17</v>
      </c>
      <c r="E4253" t="s">
        <v>35</v>
      </c>
      <c r="F4253" s="2">
        <v>610148001</v>
      </c>
      <c r="G4253" s="2" t="s">
        <v>42</v>
      </c>
      <c r="L4253" s="2" t="s">
        <v>7487</v>
      </c>
      <c r="M4253" t="s">
        <v>43</v>
      </c>
      <c r="N4253" t="s">
        <v>42</v>
      </c>
      <c r="P4253" s="23">
        <v>93.58</v>
      </c>
      <c r="Q4253" s="4">
        <f t="shared" si="66"/>
        <v>-1.198653558452661</v>
      </c>
      <c r="R4253" s="23" t="s">
        <v>1198</v>
      </c>
      <c r="T4253" s="41" t="s">
        <v>6107</v>
      </c>
    </row>
    <row r="4254" spans="1:20" x14ac:dyDescent="0.25">
      <c r="A4254" s="21">
        <v>45791</v>
      </c>
      <c r="B4254" s="1" t="s">
        <v>1225</v>
      </c>
      <c r="C4254" t="s">
        <v>1221</v>
      </c>
      <c r="D4254" s="22">
        <v>-151.97</v>
      </c>
      <c r="E4254" t="s">
        <v>35</v>
      </c>
      <c r="F4254" s="2">
        <v>610148001</v>
      </c>
      <c r="G4254" s="2" t="s">
        <v>42</v>
      </c>
      <c r="L4254" s="2" t="s">
        <v>7488</v>
      </c>
      <c r="M4254" t="s">
        <v>43</v>
      </c>
      <c r="N4254" t="s">
        <v>42</v>
      </c>
      <c r="P4254" s="23">
        <v>93.58</v>
      </c>
      <c r="Q4254" s="4">
        <f t="shared" si="66"/>
        <v>-1.6239581107074161</v>
      </c>
      <c r="R4254" s="23" t="s">
        <v>1198</v>
      </c>
      <c r="T4254" s="41" t="s">
        <v>6107</v>
      </c>
    </row>
    <row r="4255" spans="1:20" x14ac:dyDescent="0.25">
      <c r="A4255" s="21">
        <v>45791</v>
      </c>
      <c r="B4255" s="1" t="s">
        <v>1223</v>
      </c>
      <c r="C4255" t="s">
        <v>1221</v>
      </c>
      <c r="D4255" s="22">
        <v>-201.63</v>
      </c>
      <c r="E4255" t="s">
        <v>35</v>
      </c>
      <c r="F4255" s="2">
        <v>610148001</v>
      </c>
      <c r="G4255" s="2" t="s">
        <v>42</v>
      </c>
      <c r="L4255" s="2" t="s">
        <v>7489</v>
      </c>
      <c r="M4255" t="s">
        <v>43</v>
      </c>
      <c r="N4255" t="s">
        <v>42</v>
      </c>
      <c r="P4255" s="23">
        <v>93.58</v>
      </c>
      <c r="Q4255" s="4">
        <f t="shared" si="66"/>
        <v>-2.1546270570634749</v>
      </c>
      <c r="R4255" s="23" t="s">
        <v>1198</v>
      </c>
      <c r="T4255" s="41" t="s">
        <v>6107</v>
      </c>
    </row>
    <row r="4256" spans="1:20" x14ac:dyDescent="0.25">
      <c r="A4256" s="21">
        <v>45791</v>
      </c>
      <c r="B4256" s="1" t="s">
        <v>2582</v>
      </c>
      <c r="C4256" t="s">
        <v>1221</v>
      </c>
      <c r="D4256" s="22">
        <v>-242.33</v>
      </c>
      <c r="E4256" t="s">
        <v>35</v>
      </c>
      <c r="F4256" s="2">
        <v>610148001</v>
      </c>
      <c r="G4256" s="2" t="s">
        <v>42</v>
      </c>
      <c r="L4256" s="2" t="s">
        <v>7490</v>
      </c>
      <c r="M4256" t="s">
        <v>43</v>
      </c>
      <c r="N4256" t="s">
        <v>42</v>
      </c>
      <c r="P4256" s="23">
        <v>93.58</v>
      </c>
      <c r="Q4256" s="4">
        <f t="shared" si="66"/>
        <v>-2.5895490489420818</v>
      </c>
      <c r="R4256" s="23" t="s">
        <v>1198</v>
      </c>
      <c r="T4256" s="41" t="s">
        <v>6107</v>
      </c>
    </row>
    <row r="4257" spans="1:20" x14ac:dyDescent="0.25">
      <c r="A4257" s="21">
        <v>45791</v>
      </c>
      <c r="B4257" s="1" t="s">
        <v>1227</v>
      </c>
      <c r="C4257" t="s">
        <v>1221</v>
      </c>
      <c r="D4257" s="22">
        <v>-89.53</v>
      </c>
      <c r="E4257" t="s">
        <v>35</v>
      </c>
      <c r="F4257" s="2">
        <v>610148001</v>
      </c>
      <c r="G4257" s="2" t="s">
        <v>42</v>
      </c>
      <c r="L4257" s="2" t="s">
        <v>7491</v>
      </c>
      <c r="M4257" t="s">
        <v>43</v>
      </c>
      <c r="N4257" t="s">
        <v>42</v>
      </c>
      <c r="P4257" s="23">
        <v>93.58</v>
      </c>
      <c r="Q4257" s="4">
        <f t="shared" si="66"/>
        <v>-0.95672152169266944</v>
      </c>
      <c r="R4257" s="23" t="s">
        <v>1198</v>
      </c>
      <c r="T4257" s="41" t="s">
        <v>6107</v>
      </c>
    </row>
    <row r="4258" spans="1:20" x14ac:dyDescent="0.25">
      <c r="A4258" s="21">
        <v>45792</v>
      </c>
      <c r="B4258" s="1" t="s">
        <v>7492</v>
      </c>
      <c r="C4258" t="s">
        <v>7493</v>
      </c>
      <c r="D4258" s="22">
        <v>250000</v>
      </c>
      <c r="E4258" t="s">
        <v>46</v>
      </c>
      <c r="F4258" s="2">
        <v>210115002</v>
      </c>
      <c r="G4258" s="2" t="s">
        <v>47</v>
      </c>
      <c r="L4258" s="2" t="s">
        <v>7494</v>
      </c>
      <c r="N4258" t="s">
        <v>544</v>
      </c>
      <c r="P4258" s="23">
        <v>94.16</v>
      </c>
      <c r="Q4258" s="4">
        <f t="shared" si="66"/>
        <v>2655.0552251486833</v>
      </c>
      <c r="R4258" s="23" t="s">
        <v>1198</v>
      </c>
    </row>
    <row r="4259" spans="1:20" x14ac:dyDescent="0.25">
      <c r="A4259" s="21">
        <v>45792</v>
      </c>
      <c r="B4259" s="1" t="s">
        <v>1214</v>
      </c>
      <c r="C4259" t="s">
        <v>7495</v>
      </c>
      <c r="D4259" s="22">
        <v>-200000</v>
      </c>
      <c r="E4259" t="s">
        <v>35</v>
      </c>
      <c r="F4259" s="2">
        <v>210101001</v>
      </c>
      <c r="G4259" s="2" t="s">
        <v>36</v>
      </c>
      <c r="L4259" s="2" t="s">
        <v>7496</v>
      </c>
      <c r="M4259" t="s">
        <v>7497</v>
      </c>
      <c r="N4259" t="s">
        <v>7498</v>
      </c>
      <c r="P4259" s="23">
        <v>94.16</v>
      </c>
      <c r="Q4259" s="4">
        <f t="shared" si="66"/>
        <v>-2124.0441801189468</v>
      </c>
      <c r="R4259" s="23" t="s">
        <v>1198</v>
      </c>
    </row>
    <row r="4260" spans="1:20" x14ac:dyDescent="0.25">
      <c r="A4260" s="21">
        <v>45792</v>
      </c>
      <c r="B4260" s="1" t="s">
        <v>1211</v>
      </c>
      <c r="C4260" t="s">
        <v>7495</v>
      </c>
      <c r="D4260" s="22">
        <v>-45554.21</v>
      </c>
      <c r="E4260" t="s">
        <v>35</v>
      </c>
      <c r="F4260" s="2">
        <v>210101001</v>
      </c>
      <c r="G4260" s="2" t="s">
        <v>36</v>
      </c>
      <c r="L4260" s="2" t="s">
        <v>7499</v>
      </c>
      <c r="M4260" t="s">
        <v>7497</v>
      </c>
      <c r="N4260" t="s">
        <v>7498</v>
      </c>
      <c r="P4260" s="23">
        <v>94.16</v>
      </c>
      <c r="Q4260" s="4">
        <f t="shared" si="66"/>
        <v>-483.79577315208155</v>
      </c>
      <c r="R4260" s="23" t="s">
        <v>1198</v>
      </c>
    </row>
    <row r="4261" spans="1:20" x14ac:dyDescent="0.25">
      <c r="A4261" s="21">
        <v>45792</v>
      </c>
      <c r="B4261" s="1" t="s">
        <v>1208</v>
      </c>
      <c r="C4261" t="s">
        <v>7500</v>
      </c>
      <c r="D4261" s="22">
        <v>-1305.19</v>
      </c>
      <c r="E4261" t="s">
        <v>35</v>
      </c>
      <c r="F4261" s="2">
        <v>210101001</v>
      </c>
      <c r="G4261" s="2" t="s">
        <v>36</v>
      </c>
      <c r="L4261" s="2" t="s">
        <v>7501</v>
      </c>
      <c r="M4261" t="s">
        <v>303</v>
      </c>
      <c r="N4261" t="s">
        <v>304</v>
      </c>
      <c r="P4261" s="23">
        <v>94.16</v>
      </c>
      <c r="Q4261" s="4">
        <f t="shared" si="66"/>
        <v>-13.86140611724724</v>
      </c>
      <c r="R4261" s="23" t="s">
        <v>1198</v>
      </c>
    </row>
    <row r="4262" spans="1:20" x14ac:dyDescent="0.25">
      <c r="A4262" s="21">
        <v>45792</v>
      </c>
      <c r="B4262" s="1" t="s">
        <v>1223</v>
      </c>
      <c r="C4262" t="s">
        <v>1221</v>
      </c>
      <c r="D4262" s="22">
        <v>-3.26</v>
      </c>
      <c r="E4262" t="s">
        <v>35</v>
      </c>
      <c r="F4262" s="2">
        <v>610148001</v>
      </c>
      <c r="G4262" s="2" t="s">
        <v>42</v>
      </c>
      <c r="L4262" s="2" t="s">
        <v>7502</v>
      </c>
      <c r="M4262" t="s">
        <v>43</v>
      </c>
      <c r="N4262" t="s">
        <v>42</v>
      </c>
      <c r="P4262" s="23">
        <v>94.16</v>
      </c>
      <c r="Q4262" s="4">
        <f t="shared" si="66"/>
        <v>-3.4621920135938823E-2</v>
      </c>
      <c r="R4262" s="23" t="s">
        <v>1198</v>
      </c>
      <c r="T4262" s="41" t="s">
        <v>6107</v>
      </c>
    </row>
    <row r="4263" spans="1:20" x14ac:dyDescent="0.25">
      <c r="A4263" s="21">
        <v>45792</v>
      </c>
      <c r="B4263" s="1" t="s">
        <v>1225</v>
      </c>
      <c r="C4263" t="s">
        <v>1221</v>
      </c>
      <c r="D4263" s="22">
        <v>-500</v>
      </c>
      <c r="E4263" t="s">
        <v>35</v>
      </c>
      <c r="F4263" s="2">
        <v>610148001</v>
      </c>
      <c r="G4263" s="2" t="s">
        <v>42</v>
      </c>
      <c r="L4263" s="2" t="s">
        <v>7503</v>
      </c>
      <c r="M4263" t="s">
        <v>43</v>
      </c>
      <c r="N4263" t="s">
        <v>42</v>
      </c>
      <c r="P4263" s="23">
        <v>94.16</v>
      </c>
      <c r="Q4263" s="4">
        <f t="shared" si="66"/>
        <v>-5.3101104502973664</v>
      </c>
      <c r="R4263" s="23" t="s">
        <v>1198</v>
      </c>
      <c r="T4263" s="41" t="s">
        <v>6107</v>
      </c>
    </row>
    <row r="4264" spans="1:20" x14ac:dyDescent="0.25">
      <c r="A4264" s="21">
        <v>45792</v>
      </c>
      <c r="B4264" s="1" t="s">
        <v>1227</v>
      </c>
      <c r="C4264" t="s">
        <v>1221</v>
      </c>
      <c r="D4264" s="22">
        <v>-113.88</v>
      </c>
      <c r="E4264" t="s">
        <v>35</v>
      </c>
      <c r="F4264" s="2">
        <v>610148001</v>
      </c>
      <c r="G4264" s="2" t="s">
        <v>42</v>
      </c>
      <c r="L4264" s="2" t="s">
        <v>7504</v>
      </c>
      <c r="M4264" t="s">
        <v>43</v>
      </c>
      <c r="N4264" t="s">
        <v>42</v>
      </c>
      <c r="P4264" s="23">
        <v>94.16</v>
      </c>
      <c r="Q4264" s="4">
        <f t="shared" si="66"/>
        <v>-1.2094307561597282</v>
      </c>
      <c r="R4264" s="23" t="s">
        <v>1198</v>
      </c>
      <c r="T4264" s="41" t="s">
        <v>6107</v>
      </c>
    </row>
    <row r="4265" spans="1:20" x14ac:dyDescent="0.25">
      <c r="A4265" s="21">
        <v>45793</v>
      </c>
      <c r="B4265" s="1" t="s">
        <v>7505</v>
      </c>
      <c r="C4265" t="s">
        <v>544</v>
      </c>
      <c r="D4265" s="22">
        <v>850000</v>
      </c>
      <c r="E4265" t="s">
        <v>46</v>
      </c>
      <c r="F4265" s="2">
        <v>210115002</v>
      </c>
      <c r="G4265" s="2" t="s">
        <v>47</v>
      </c>
      <c r="L4265" s="2" t="s">
        <v>7506</v>
      </c>
      <c r="N4265" t="s">
        <v>544</v>
      </c>
      <c r="P4265" s="23">
        <v>94.32</v>
      </c>
      <c r="Q4265" s="4">
        <f t="shared" si="66"/>
        <v>9011.8744698897372</v>
      </c>
      <c r="R4265" s="23" t="s">
        <v>1198</v>
      </c>
    </row>
    <row r="4266" spans="1:20" x14ac:dyDescent="0.25">
      <c r="A4266" s="21">
        <v>45793</v>
      </c>
      <c r="B4266" s="1" t="s">
        <v>7507</v>
      </c>
      <c r="C4266" t="s">
        <v>544</v>
      </c>
      <c r="D4266" s="22">
        <v>100000</v>
      </c>
      <c r="E4266" t="s">
        <v>46</v>
      </c>
      <c r="F4266" s="2">
        <v>210115002</v>
      </c>
      <c r="G4266" s="2" t="s">
        <v>47</v>
      </c>
      <c r="L4266" s="2" t="s">
        <v>7508</v>
      </c>
      <c r="N4266" t="s">
        <v>544</v>
      </c>
      <c r="P4266" s="23">
        <v>94.32</v>
      </c>
      <c r="Q4266" s="4">
        <f t="shared" si="66"/>
        <v>1060.2205258693809</v>
      </c>
      <c r="R4266" s="23" t="s">
        <v>1198</v>
      </c>
    </row>
    <row r="4267" spans="1:20" x14ac:dyDescent="0.25">
      <c r="A4267" s="32">
        <v>45793</v>
      </c>
      <c r="B4267" s="26" t="s">
        <v>1214</v>
      </c>
      <c r="C4267" s="27" t="s">
        <v>7509</v>
      </c>
      <c r="D4267" s="28">
        <v>-3772.8</v>
      </c>
      <c r="E4267" s="27" t="s">
        <v>35</v>
      </c>
      <c r="F4267" s="29">
        <v>610156001</v>
      </c>
      <c r="G4267" s="29" t="s">
        <v>91</v>
      </c>
      <c r="H4267" s="107"/>
      <c r="I4267" s="101"/>
      <c r="J4267" s="101"/>
      <c r="K4267" s="29"/>
      <c r="L4267" s="2" t="s">
        <v>7510</v>
      </c>
      <c r="M4267" s="27" t="s">
        <v>93</v>
      </c>
      <c r="N4267" s="27" t="s">
        <v>94</v>
      </c>
      <c r="O4267" s="27" t="s">
        <v>59</v>
      </c>
      <c r="P4267" s="31">
        <v>94.32</v>
      </c>
      <c r="Q4267" s="4">
        <f t="shared" si="66"/>
        <v>-40.000000000000007</v>
      </c>
      <c r="R4267" s="23" t="s">
        <v>1198</v>
      </c>
      <c r="T4267" s="23" t="s">
        <v>7511</v>
      </c>
    </row>
    <row r="4268" spans="1:20" x14ac:dyDescent="0.25">
      <c r="A4268" s="21">
        <v>45793</v>
      </c>
      <c r="B4268" s="1" t="s">
        <v>3924</v>
      </c>
      <c r="C4268" t="s">
        <v>7512</v>
      </c>
      <c r="D4268" s="22">
        <v>-1886.4</v>
      </c>
      <c r="E4268" t="s">
        <v>35</v>
      </c>
      <c r="F4268" s="2">
        <v>212901001</v>
      </c>
      <c r="G4268" s="2" t="s">
        <v>121</v>
      </c>
      <c r="L4268" s="2" t="s">
        <v>7513</v>
      </c>
      <c r="M4268" t="s">
        <v>67</v>
      </c>
      <c r="N4268" t="s">
        <v>68</v>
      </c>
      <c r="P4268" s="23">
        <v>94.32</v>
      </c>
      <c r="Q4268" s="4">
        <f t="shared" si="66"/>
        <v>-20.000000000000004</v>
      </c>
      <c r="R4268" s="23" t="s">
        <v>1198</v>
      </c>
    </row>
    <row r="4269" spans="1:20" x14ac:dyDescent="0.25">
      <c r="A4269" s="21">
        <v>45793</v>
      </c>
      <c r="B4269" s="1" t="s">
        <v>4018</v>
      </c>
      <c r="C4269" t="s">
        <v>7514</v>
      </c>
      <c r="D4269" s="22">
        <v>-178777.78</v>
      </c>
      <c r="E4269" t="s">
        <v>35</v>
      </c>
      <c r="F4269" s="2">
        <v>210101001</v>
      </c>
      <c r="G4269" s="2" t="s">
        <v>36</v>
      </c>
      <c r="L4269" s="2" t="s">
        <v>7515</v>
      </c>
      <c r="M4269" t="s">
        <v>303</v>
      </c>
      <c r="N4269" t="s">
        <v>304</v>
      </c>
      <c r="P4269" s="23">
        <v>94.32</v>
      </c>
      <c r="Q4269" s="4">
        <f t="shared" si="66"/>
        <v>-1895.4387192536049</v>
      </c>
      <c r="R4269" s="23" t="s">
        <v>1198</v>
      </c>
    </row>
    <row r="4270" spans="1:20" x14ac:dyDescent="0.25">
      <c r="A4270" s="21">
        <v>45793</v>
      </c>
      <c r="B4270" s="1" t="s">
        <v>2571</v>
      </c>
      <c r="C4270" t="s">
        <v>7516</v>
      </c>
      <c r="D4270" s="22">
        <v>-1886.4</v>
      </c>
      <c r="E4270" t="s">
        <v>35</v>
      </c>
      <c r="F4270" s="2">
        <v>212901001</v>
      </c>
      <c r="G4270" s="2" t="s">
        <v>121</v>
      </c>
      <c r="L4270" s="2" t="s">
        <v>7517</v>
      </c>
      <c r="M4270" t="s">
        <v>67</v>
      </c>
      <c r="N4270" t="s">
        <v>68</v>
      </c>
      <c r="P4270" s="23">
        <v>94.32</v>
      </c>
      <c r="Q4270" s="4">
        <f t="shared" si="66"/>
        <v>-20.000000000000004</v>
      </c>
      <c r="R4270" s="23" t="s">
        <v>1198</v>
      </c>
    </row>
    <row r="4271" spans="1:20" x14ac:dyDescent="0.25">
      <c r="A4271" s="21">
        <v>45793</v>
      </c>
      <c r="B4271" s="1" t="s">
        <v>3933</v>
      </c>
      <c r="C4271" t="s">
        <v>7518</v>
      </c>
      <c r="D4271" s="22">
        <v>-1886.4</v>
      </c>
      <c r="E4271" t="s">
        <v>35</v>
      </c>
      <c r="F4271" s="2">
        <v>212901001</v>
      </c>
      <c r="G4271" s="2" t="s">
        <v>121</v>
      </c>
      <c r="L4271" s="2" t="s">
        <v>7519</v>
      </c>
      <c r="M4271" t="s">
        <v>67</v>
      </c>
      <c r="N4271" t="s">
        <v>68</v>
      </c>
      <c r="P4271" s="23">
        <v>94.32</v>
      </c>
      <c r="Q4271" s="4">
        <f t="shared" si="66"/>
        <v>-20.000000000000004</v>
      </c>
      <c r="R4271" s="23" t="s">
        <v>1198</v>
      </c>
    </row>
    <row r="4272" spans="1:20" x14ac:dyDescent="0.25">
      <c r="A4272" s="21">
        <v>45793</v>
      </c>
      <c r="B4272" s="1" t="s">
        <v>3927</v>
      </c>
      <c r="C4272" t="s">
        <v>7520</v>
      </c>
      <c r="D4272" s="22">
        <v>-3772.8</v>
      </c>
      <c r="E4272" t="s">
        <v>35</v>
      </c>
      <c r="F4272" s="2">
        <v>212901001</v>
      </c>
      <c r="G4272" s="2" t="s">
        <v>121</v>
      </c>
      <c r="L4272" s="2" t="s">
        <v>7521</v>
      </c>
      <c r="M4272" t="s">
        <v>67</v>
      </c>
      <c r="N4272" t="s">
        <v>68</v>
      </c>
      <c r="P4272" s="23">
        <v>94.32</v>
      </c>
      <c r="Q4272" s="4">
        <f t="shared" si="66"/>
        <v>-40.000000000000007</v>
      </c>
      <c r="R4272" s="23" t="s">
        <v>1198</v>
      </c>
    </row>
    <row r="4273" spans="1:20" x14ac:dyDescent="0.25">
      <c r="A4273" s="32">
        <v>45793</v>
      </c>
      <c r="B4273" s="26" t="s">
        <v>1208</v>
      </c>
      <c r="C4273" s="27" t="s">
        <v>54</v>
      </c>
      <c r="D4273" s="28">
        <v>-11318.4</v>
      </c>
      <c r="E4273" s="27" t="s">
        <v>35</v>
      </c>
      <c r="F4273" s="29">
        <v>610129001</v>
      </c>
      <c r="G4273" s="29" t="s">
        <v>55</v>
      </c>
      <c r="H4273" s="107"/>
      <c r="I4273" s="101"/>
      <c r="J4273" s="101"/>
      <c r="K4273" s="29"/>
      <c r="L4273" s="2" t="s">
        <v>7522</v>
      </c>
      <c r="M4273" s="27" t="s">
        <v>57</v>
      </c>
      <c r="N4273" s="27" t="s">
        <v>58</v>
      </c>
      <c r="O4273" s="27" t="s">
        <v>59</v>
      </c>
      <c r="P4273" s="31">
        <v>94.32</v>
      </c>
      <c r="Q4273" s="4">
        <f t="shared" si="66"/>
        <v>-120</v>
      </c>
      <c r="R4273" s="23" t="s">
        <v>1198</v>
      </c>
      <c r="T4273" s="23" t="s">
        <v>7523</v>
      </c>
    </row>
    <row r="4274" spans="1:20" x14ac:dyDescent="0.25">
      <c r="A4274" s="21">
        <v>45793</v>
      </c>
      <c r="B4274" s="1" t="s">
        <v>3952</v>
      </c>
      <c r="C4274" t="s">
        <v>7524</v>
      </c>
      <c r="D4274" s="22">
        <v>-1886.4</v>
      </c>
      <c r="E4274" t="s">
        <v>35</v>
      </c>
      <c r="F4274" s="2">
        <v>212901001</v>
      </c>
      <c r="G4274" s="2" t="s">
        <v>121</v>
      </c>
      <c r="L4274" s="2" t="s">
        <v>7525</v>
      </c>
      <c r="M4274" t="s">
        <v>67</v>
      </c>
      <c r="N4274" t="s">
        <v>68</v>
      </c>
      <c r="P4274" s="23">
        <v>94.32</v>
      </c>
      <c r="Q4274" s="4">
        <f t="shared" si="66"/>
        <v>-20.000000000000004</v>
      </c>
      <c r="R4274" s="23" t="s">
        <v>1198</v>
      </c>
    </row>
    <row r="4275" spans="1:20" x14ac:dyDescent="0.25">
      <c r="A4275" s="21">
        <v>45793</v>
      </c>
      <c r="B4275" s="1" t="s">
        <v>3914</v>
      </c>
      <c r="C4275" t="s">
        <v>7526</v>
      </c>
      <c r="D4275" s="22">
        <v>-18319.8</v>
      </c>
      <c r="E4275" t="s">
        <v>35</v>
      </c>
      <c r="F4275" s="2">
        <v>210101001</v>
      </c>
      <c r="G4275" s="2" t="s">
        <v>36</v>
      </c>
      <c r="L4275" s="2" t="s">
        <v>7527</v>
      </c>
      <c r="M4275" t="s">
        <v>114</v>
      </c>
      <c r="N4275" t="s">
        <v>115</v>
      </c>
      <c r="P4275" s="23">
        <v>94.32</v>
      </c>
      <c r="Q4275" s="4">
        <f t="shared" si="66"/>
        <v>-194.23027989821884</v>
      </c>
      <c r="R4275" s="23" t="s">
        <v>1198</v>
      </c>
    </row>
    <row r="4276" spans="1:20" x14ac:dyDescent="0.25">
      <c r="A4276" s="21">
        <v>45793</v>
      </c>
      <c r="B4276" s="1" t="s">
        <v>4127</v>
      </c>
      <c r="C4276" t="s">
        <v>7528</v>
      </c>
      <c r="D4276" s="22">
        <v>-200000</v>
      </c>
      <c r="E4276" t="s">
        <v>35</v>
      </c>
      <c r="F4276" s="2">
        <v>110114001</v>
      </c>
      <c r="G4276" s="2" t="s">
        <v>301</v>
      </c>
      <c r="L4276" s="2" t="s">
        <v>7529</v>
      </c>
      <c r="M4276" s="71" t="s">
        <v>38</v>
      </c>
      <c r="N4276" s="71" t="s">
        <v>39</v>
      </c>
      <c r="O4276" s="71"/>
      <c r="P4276" s="23">
        <v>94.32</v>
      </c>
      <c r="Q4276" s="4">
        <f t="shared" si="66"/>
        <v>-2120.4410517387619</v>
      </c>
      <c r="R4276" s="23" t="s">
        <v>1198</v>
      </c>
      <c r="S4276" s="33" t="s">
        <v>5309</v>
      </c>
    </row>
    <row r="4277" spans="1:20" x14ac:dyDescent="0.25">
      <c r="A4277" s="21">
        <v>45793</v>
      </c>
      <c r="B4277" s="1" t="s">
        <v>1211</v>
      </c>
      <c r="C4277" t="s">
        <v>7530</v>
      </c>
      <c r="D4277" s="22">
        <v>-5281.92</v>
      </c>
      <c r="E4277" t="s">
        <v>35</v>
      </c>
      <c r="F4277" s="2">
        <v>212901001</v>
      </c>
      <c r="G4277" s="2" t="s">
        <v>121</v>
      </c>
      <c r="L4277" s="2" t="s">
        <v>7531</v>
      </c>
      <c r="M4277" t="s">
        <v>67</v>
      </c>
      <c r="N4277" t="s">
        <v>68</v>
      </c>
      <c r="P4277" s="23">
        <v>94.32</v>
      </c>
      <c r="Q4277" s="4">
        <f t="shared" si="66"/>
        <v>-56.000000000000007</v>
      </c>
      <c r="R4277" s="23" t="s">
        <v>1198</v>
      </c>
    </row>
    <row r="4278" spans="1:20" x14ac:dyDescent="0.25">
      <c r="A4278" s="21">
        <v>45793</v>
      </c>
      <c r="B4278" s="1" t="s">
        <v>4088</v>
      </c>
      <c r="C4278" t="s">
        <v>7528</v>
      </c>
      <c r="D4278" s="22">
        <v>-200000</v>
      </c>
      <c r="E4278" t="s">
        <v>35</v>
      </c>
      <c r="F4278" s="2">
        <v>110114001</v>
      </c>
      <c r="G4278" s="2" t="s">
        <v>301</v>
      </c>
      <c r="L4278" s="2" t="s">
        <v>7532</v>
      </c>
      <c r="M4278" s="71" t="s">
        <v>38</v>
      </c>
      <c r="N4278" s="71" t="s">
        <v>39</v>
      </c>
      <c r="O4278" s="71"/>
      <c r="P4278" s="23">
        <v>94.32</v>
      </c>
      <c r="Q4278" s="4">
        <f t="shared" si="66"/>
        <v>-2120.4410517387619</v>
      </c>
      <c r="R4278" s="23" t="s">
        <v>1198</v>
      </c>
      <c r="S4278" s="33" t="s">
        <v>5309</v>
      </c>
    </row>
    <row r="4279" spans="1:20" x14ac:dyDescent="0.25">
      <c r="A4279" s="21">
        <v>45793</v>
      </c>
      <c r="B4279" s="1" t="s">
        <v>3936</v>
      </c>
      <c r="C4279" t="s">
        <v>7533</v>
      </c>
      <c r="D4279" s="22">
        <v>-8686.2000000000007</v>
      </c>
      <c r="E4279" t="s">
        <v>35</v>
      </c>
      <c r="F4279" s="2">
        <v>210101001</v>
      </c>
      <c r="G4279" s="2" t="s">
        <v>36</v>
      </c>
      <c r="L4279" s="2" t="s">
        <v>7534</v>
      </c>
      <c r="M4279" t="s">
        <v>114</v>
      </c>
      <c r="N4279" t="s">
        <v>115</v>
      </c>
      <c r="P4279" s="23">
        <v>94.32</v>
      </c>
      <c r="Q4279" s="4">
        <f t="shared" si="66"/>
        <v>-92.092875318066177</v>
      </c>
      <c r="R4279" s="23" t="s">
        <v>1198</v>
      </c>
    </row>
    <row r="4280" spans="1:20" x14ac:dyDescent="0.25">
      <c r="A4280" s="21">
        <v>45793</v>
      </c>
      <c r="B4280" s="1" t="s">
        <v>1217</v>
      </c>
      <c r="C4280" t="s">
        <v>7535</v>
      </c>
      <c r="D4280" s="22">
        <v>-6602.4</v>
      </c>
      <c r="E4280" t="s">
        <v>35</v>
      </c>
      <c r="F4280" s="2">
        <v>212901001</v>
      </c>
      <c r="G4280" s="2" t="s">
        <v>121</v>
      </c>
      <c r="L4280" s="2" t="s">
        <v>7536</v>
      </c>
      <c r="M4280" t="s">
        <v>67</v>
      </c>
      <c r="N4280" t="s">
        <v>68</v>
      </c>
      <c r="P4280" s="23">
        <v>94.32</v>
      </c>
      <c r="Q4280" s="4">
        <f t="shared" si="66"/>
        <v>-70</v>
      </c>
      <c r="R4280" s="23" t="s">
        <v>1198</v>
      </c>
    </row>
    <row r="4281" spans="1:20" x14ac:dyDescent="0.25">
      <c r="A4281" s="21">
        <v>45793</v>
      </c>
      <c r="B4281" s="1" t="s">
        <v>4161</v>
      </c>
      <c r="C4281" t="s">
        <v>7537</v>
      </c>
      <c r="D4281" s="22">
        <v>-157989.76999999999</v>
      </c>
      <c r="E4281" t="s">
        <v>35</v>
      </c>
      <c r="F4281" s="2">
        <v>210101001</v>
      </c>
      <c r="G4281" s="2" t="s">
        <v>36</v>
      </c>
      <c r="L4281" s="2" t="s">
        <v>7538</v>
      </c>
      <c r="M4281" t="s">
        <v>7539</v>
      </c>
      <c r="N4281" t="s">
        <v>7540</v>
      </c>
      <c r="P4281" s="23">
        <v>94.32</v>
      </c>
      <c r="Q4281" s="4">
        <f t="shared" si="66"/>
        <v>-1675.0399703138253</v>
      </c>
      <c r="R4281" s="23" t="s">
        <v>1198</v>
      </c>
    </row>
    <row r="4282" spans="1:20" x14ac:dyDescent="0.25">
      <c r="A4282" s="21">
        <v>45793</v>
      </c>
      <c r="B4282" s="1" t="s">
        <v>4108</v>
      </c>
      <c r="C4282" t="s">
        <v>7541</v>
      </c>
      <c r="D4282" s="22">
        <v>-4486.08</v>
      </c>
      <c r="E4282" t="s">
        <v>35</v>
      </c>
      <c r="F4282" s="2">
        <v>210101001</v>
      </c>
      <c r="G4282" s="2" t="s">
        <v>36</v>
      </c>
      <c r="L4282" s="2" t="s">
        <v>7542</v>
      </c>
      <c r="M4282" t="s">
        <v>303</v>
      </c>
      <c r="N4282" t="s">
        <v>304</v>
      </c>
      <c r="P4282" s="23">
        <v>94.32</v>
      </c>
      <c r="Q4282" s="4">
        <f t="shared" si="66"/>
        <v>-47.56234096692112</v>
      </c>
      <c r="R4282" s="23" t="s">
        <v>1198</v>
      </c>
    </row>
    <row r="4283" spans="1:20" x14ac:dyDescent="0.25">
      <c r="A4283" s="21">
        <v>45793</v>
      </c>
      <c r="B4283" s="1" t="s">
        <v>3917</v>
      </c>
      <c r="C4283" t="s">
        <v>7528</v>
      </c>
      <c r="D4283" s="22">
        <v>-133926.66</v>
      </c>
      <c r="E4283" t="s">
        <v>35</v>
      </c>
      <c r="F4283" s="2">
        <v>110114001</v>
      </c>
      <c r="G4283" s="2" t="s">
        <v>301</v>
      </c>
      <c r="L4283" s="2" t="s">
        <v>7543</v>
      </c>
      <c r="M4283" s="71" t="s">
        <v>38</v>
      </c>
      <c r="N4283" s="71" t="s">
        <v>39</v>
      </c>
      <c r="O4283" s="71"/>
      <c r="P4283" s="23">
        <v>94.32</v>
      </c>
      <c r="Q4283" s="4">
        <f t="shared" si="66"/>
        <v>-1419.9179389312978</v>
      </c>
      <c r="R4283" s="23" t="s">
        <v>1198</v>
      </c>
      <c r="S4283" s="33" t="s">
        <v>5309</v>
      </c>
    </row>
    <row r="4284" spans="1:20" x14ac:dyDescent="0.25">
      <c r="A4284" s="21">
        <v>45793</v>
      </c>
      <c r="B4284" s="1" t="s">
        <v>3930</v>
      </c>
      <c r="C4284" t="s">
        <v>7544</v>
      </c>
      <c r="D4284" s="22">
        <v>-1886.4</v>
      </c>
      <c r="E4284" t="s">
        <v>35</v>
      </c>
      <c r="F4284" s="2">
        <v>212901001</v>
      </c>
      <c r="G4284" s="2" t="s">
        <v>121</v>
      </c>
      <c r="L4284" s="2" t="s">
        <v>7545</v>
      </c>
      <c r="M4284" t="s">
        <v>67</v>
      </c>
      <c r="N4284" t="s">
        <v>68</v>
      </c>
      <c r="P4284" s="23">
        <v>94.32</v>
      </c>
      <c r="Q4284" s="4">
        <f t="shared" si="66"/>
        <v>-20.000000000000004</v>
      </c>
      <c r="R4284" s="23" t="s">
        <v>1198</v>
      </c>
    </row>
    <row r="4285" spans="1:20" x14ac:dyDescent="0.25">
      <c r="A4285" s="21">
        <v>45793</v>
      </c>
      <c r="B4285" s="1" t="s">
        <v>2573</v>
      </c>
      <c r="C4285" t="s">
        <v>7546</v>
      </c>
      <c r="D4285" s="22">
        <v>-943.2</v>
      </c>
      <c r="E4285" t="s">
        <v>35</v>
      </c>
      <c r="F4285" s="2">
        <v>212901001</v>
      </c>
      <c r="G4285" s="2" t="s">
        <v>121</v>
      </c>
      <c r="L4285" s="2" t="s">
        <v>7547</v>
      </c>
      <c r="M4285" t="s">
        <v>67</v>
      </c>
      <c r="N4285" t="s">
        <v>68</v>
      </c>
      <c r="P4285" s="23">
        <v>94.32</v>
      </c>
      <c r="Q4285" s="4">
        <f t="shared" si="66"/>
        <v>-10.000000000000002</v>
      </c>
      <c r="R4285" s="23" t="s">
        <v>1198</v>
      </c>
    </row>
    <row r="4286" spans="1:20" x14ac:dyDescent="0.25">
      <c r="A4286" s="21">
        <v>45793</v>
      </c>
      <c r="B4286" s="1" t="s">
        <v>4021</v>
      </c>
      <c r="C4286" t="s">
        <v>7548</v>
      </c>
      <c r="D4286" s="22">
        <v>-2803.26</v>
      </c>
      <c r="E4286" t="s">
        <v>35</v>
      </c>
      <c r="F4286" s="2">
        <v>210101001</v>
      </c>
      <c r="G4286" s="2" t="s">
        <v>36</v>
      </c>
      <c r="L4286" s="2" t="s">
        <v>7549</v>
      </c>
      <c r="M4286" t="s">
        <v>7550</v>
      </c>
      <c r="N4286" t="s">
        <v>7551</v>
      </c>
      <c r="P4286" s="23">
        <v>94.32</v>
      </c>
      <c r="Q4286" s="4">
        <f t="shared" si="66"/>
        <v>-29.720737913486008</v>
      </c>
      <c r="R4286" s="23" t="s">
        <v>1198</v>
      </c>
    </row>
    <row r="4287" spans="1:20" x14ac:dyDescent="0.25">
      <c r="A4287" s="32">
        <v>45793</v>
      </c>
      <c r="B4287" s="26" t="s">
        <v>3943</v>
      </c>
      <c r="C4287" s="27" t="s">
        <v>7552</v>
      </c>
      <c r="D4287" s="28">
        <v>-4810.32</v>
      </c>
      <c r="E4287" s="27" t="s">
        <v>35</v>
      </c>
      <c r="F4287" s="29">
        <v>610156001</v>
      </c>
      <c r="G4287" s="29" t="s">
        <v>91</v>
      </c>
      <c r="H4287" s="107"/>
      <c r="I4287" s="101"/>
      <c r="J4287" s="101"/>
      <c r="K4287" s="29"/>
      <c r="L4287" s="2" t="s">
        <v>7553</v>
      </c>
      <c r="M4287" s="27" t="s">
        <v>1239</v>
      </c>
      <c r="N4287" s="27" t="s">
        <v>1240</v>
      </c>
      <c r="O4287" s="27" t="s">
        <v>59</v>
      </c>
      <c r="P4287" s="31">
        <v>94.32</v>
      </c>
      <c r="Q4287" s="4">
        <f t="shared" si="66"/>
        <v>-51</v>
      </c>
      <c r="R4287" s="23" t="s">
        <v>1198</v>
      </c>
      <c r="T4287" s="23" t="s">
        <v>7554</v>
      </c>
    </row>
    <row r="4288" spans="1:20" x14ac:dyDescent="0.25">
      <c r="A4288" s="21">
        <v>45793</v>
      </c>
      <c r="B4288" s="1" t="s">
        <v>3949</v>
      </c>
      <c r="C4288" t="s">
        <v>7555</v>
      </c>
      <c r="D4288" s="22">
        <v>-3452.4</v>
      </c>
      <c r="E4288" t="s">
        <v>35</v>
      </c>
      <c r="F4288" s="2">
        <v>110101002</v>
      </c>
      <c r="G4288" s="2" t="s">
        <v>6359</v>
      </c>
      <c r="L4288" s="2" t="s">
        <v>7556</v>
      </c>
      <c r="N4288" t="s">
        <v>7557</v>
      </c>
      <c r="P4288" s="23">
        <v>94.32</v>
      </c>
      <c r="Q4288" s="4">
        <f t="shared" si="66"/>
        <v>-36.603053435114511</v>
      </c>
      <c r="R4288" s="23" t="s">
        <v>1198</v>
      </c>
    </row>
    <row r="4289" spans="1:20" x14ac:dyDescent="0.25">
      <c r="A4289" s="21">
        <v>45793</v>
      </c>
      <c r="B4289" s="1" t="s">
        <v>3977</v>
      </c>
      <c r="C4289" t="s">
        <v>1221</v>
      </c>
      <c r="D4289" s="22">
        <v>-12.02</v>
      </c>
      <c r="E4289" t="s">
        <v>35</v>
      </c>
      <c r="F4289" s="2">
        <v>610148001</v>
      </c>
      <c r="G4289" s="2" t="s">
        <v>42</v>
      </c>
      <c r="L4289" s="2" t="s">
        <v>7558</v>
      </c>
      <c r="M4289" t="s">
        <v>43</v>
      </c>
      <c r="N4289" t="s">
        <v>42</v>
      </c>
      <c r="P4289" s="23">
        <v>94.32</v>
      </c>
      <c r="Q4289" s="4">
        <f t="shared" si="66"/>
        <v>-0.12743850720949959</v>
      </c>
      <c r="R4289" s="23" t="s">
        <v>1198</v>
      </c>
      <c r="T4289" s="41" t="s">
        <v>6107</v>
      </c>
    </row>
    <row r="4290" spans="1:20" x14ac:dyDescent="0.25">
      <c r="A4290" s="21">
        <v>45793</v>
      </c>
      <c r="B4290" s="1" t="s">
        <v>1223</v>
      </c>
      <c r="C4290" t="s">
        <v>1221</v>
      </c>
      <c r="D4290" s="22">
        <v>-28.29</v>
      </c>
      <c r="E4290" t="s">
        <v>35</v>
      </c>
      <c r="F4290" s="2">
        <v>610148001</v>
      </c>
      <c r="G4290" s="2" t="s">
        <v>42</v>
      </c>
      <c r="L4290" s="2" t="s">
        <v>7559</v>
      </c>
      <c r="M4290" t="s">
        <v>43</v>
      </c>
      <c r="N4290" t="s">
        <v>42</v>
      </c>
      <c r="P4290" s="23">
        <v>94.32</v>
      </c>
      <c r="Q4290" s="4">
        <f t="shared" si="66"/>
        <v>-0.29993638676844786</v>
      </c>
      <c r="R4290" s="23" t="s">
        <v>1198</v>
      </c>
      <c r="T4290" s="41" t="s">
        <v>6107</v>
      </c>
    </row>
    <row r="4291" spans="1:20" x14ac:dyDescent="0.25">
      <c r="A4291" s="21">
        <v>45793</v>
      </c>
      <c r="B4291" s="1" t="s">
        <v>1227</v>
      </c>
      <c r="C4291" t="s">
        <v>1221</v>
      </c>
      <c r="D4291" s="22">
        <v>-13.2</v>
      </c>
      <c r="E4291" t="s">
        <v>35</v>
      </c>
      <c r="F4291" s="2">
        <v>610148001</v>
      </c>
      <c r="G4291" s="2" t="s">
        <v>42</v>
      </c>
      <c r="L4291" s="2" t="s">
        <v>7560</v>
      </c>
      <c r="M4291" t="s">
        <v>43</v>
      </c>
      <c r="N4291" t="s">
        <v>42</v>
      </c>
      <c r="P4291" s="23">
        <v>94.32</v>
      </c>
      <c r="Q4291" s="4">
        <f t="shared" si="66"/>
        <v>-0.13994910941475827</v>
      </c>
      <c r="R4291" s="23" t="s">
        <v>1198</v>
      </c>
      <c r="T4291" s="41" t="s">
        <v>6107</v>
      </c>
    </row>
    <row r="4292" spans="1:20" x14ac:dyDescent="0.25">
      <c r="A4292" s="21">
        <v>45793</v>
      </c>
      <c r="B4292" s="1" t="s">
        <v>3973</v>
      </c>
      <c r="C4292" t="s">
        <v>1221</v>
      </c>
      <c r="D4292" s="22">
        <v>-21.71</v>
      </c>
      <c r="E4292" t="s">
        <v>35</v>
      </c>
      <c r="F4292" s="2">
        <v>610148001</v>
      </c>
      <c r="G4292" s="2" t="s">
        <v>42</v>
      </c>
      <c r="L4292" s="2" t="s">
        <v>7561</v>
      </c>
      <c r="M4292" t="s">
        <v>43</v>
      </c>
      <c r="N4292" t="s">
        <v>42</v>
      </c>
      <c r="P4292" s="23">
        <v>94.32</v>
      </c>
      <c r="Q4292" s="4">
        <f t="shared" si="66"/>
        <v>-0.2301738761662426</v>
      </c>
      <c r="R4292" s="23" t="s">
        <v>1198</v>
      </c>
      <c r="T4292" s="41" t="s">
        <v>6107</v>
      </c>
    </row>
    <row r="4293" spans="1:20" x14ac:dyDescent="0.25">
      <c r="A4293" s="21">
        <v>45793</v>
      </c>
      <c r="B4293" s="1" t="s">
        <v>1225</v>
      </c>
      <c r="C4293" t="s">
        <v>1221</v>
      </c>
      <c r="D4293" s="22">
        <v>-9.43</v>
      </c>
      <c r="E4293" t="s">
        <v>35</v>
      </c>
      <c r="F4293" s="2">
        <v>610148001</v>
      </c>
      <c r="G4293" s="2" t="s">
        <v>42</v>
      </c>
      <c r="L4293" s="2" t="s">
        <v>7562</v>
      </c>
      <c r="M4293" t="s">
        <v>43</v>
      </c>
      <c r="N4293" t="s">
        <v>42</v>
      </c>
      <c r="P4293" s="23">
        <v>94.32</v>
      </c>
      <c r="Q4293" s="4">
        <f t="shared" si="66"/>
        <v>-9.9978795589482611E-2</v>
      </c>
      <c r="R4293" s="23" t="s">
        <v>1198</v>
      </c>
      <c r="T4293" s="41" t="s">
        <v>6107</v>
      </c>
    </row>
    <row r="4294" spans="1:20" x14ac:dyDescent="0.25">
      <c r="A4294" s="21">
        <v>45793</v>
      </c>
      <c r="B4294" s="1" t="s">
        <v>3965</v>
      </c>
      <c r="C4294" t="s">
        <v>1221</v>
      </c>
      <c r="D4294" s="22">
        <v>-4.71</v>
      </c>
      <c r="E4294" t="s">
        <v>35</v>
      </c>
      <c r="F4294" s="2">
        <v>610148001</v>
      </c>
      <c r="G4294" s="2" t="s">
        <v>42</v>
      </c>
      <c r="L4294" s="2" t="s">
        <v>7563</v>
      </c>
      <c r="M4294" t="s">
        <v>43</v>
      </c>
      <c r="N4294" t="s">
        <v>42</v>
      </c>
      <c r="P4294" s="23">
        <v>94.32</v>
      </c>
      <c r="Q4294" s="4">
        <f t="shared" si="66"/>
        <v>-4.9936386768447839E-2</v>
      </c>
      <c r="R4294" s="23" t="s">
        <v>1198</v>
      </c>
      <c r="T4294" s="41" t="s">
        <v>6107</v>
      </c>
    </row>
    <row r="4295" spans="1:20" x14ac:dyDescent="0.25">
      <c r="A4295" s="21">
        <v>45793</v>
      </c>
      <c r="B4295" s="1" t="s">
        <v>4309</v>
      </c>
      <c r="C4295" t="s">
        <v>1221</v>
      </c>
      <c r="D4295" s="22">
        <v>-394.97</v>
      </c>
      <c r="E4295" t="s">
        <v>35</v>
      </c>
      <c r="F4295" s="2">
        <v>610148001</v>
      </c>
      <c r="G4295" s="2" t="s">
        <v>42</v>
      </c>
      <c r="L4295" s="2" t="s">
        <v>7564</v>
      </c>
      <c r="M4295" t="s">
        <v>43</v>
      </c>
      <c r="N4295" t="s">
        <v>42</v>
      </c>
      <c r="P4295" s="23">
        <v>94.32</v>
      </c>
      <c r="Q4295" s="4">
        <f t="shared" si="66"/>
        <v>-4.187553011026294</v>
      </c>
      <c r="R4295" s="23" t="s">
        <v>1198</v>
      </c>
      <c r="T4295" s="41" t="s">
        <v>6107</v>
      </c>
    </row>
    <row r="4296" spans="1:20" x14ac:dyDescent="0.25">
      <c r="A4296" s="21">
        <v>45793</v>
      </c>
      <c r="B4296" s="1" t="s">
        <v>4311</v>
      </c>
      <c r="C4296" t="s">
        <v>1221</v>
      </c>
      <c r="D4296" s="22">
        <v>-7</v>
      </c>
      <c r="E4296" t="s">
        <v>35</v>
      </c>
      <c r="F4296" s="2">
        <v>610148001</v>
      </c>
      <c r="G4296" s="2" t="s">
        <v>42</v>
      </c>
      <c r="L4296" s="2" t="s">
        <v>7565</v>
      </c>
      <c r="M4296" t="s">
        <v>43</v>
      </c>
      <c r="N4296" t="s">
        <v>42</v>
      </c>
      <c r="P4296" s="23">
        <v>94.32</v>
      </c>
      <c r="Q4296" s="4">
        <f t="shared" si="66"/>
        <v>-7.4215436810856669E-2</v>
      </c>
      <c r="R4296" s="23" t="s">
        <v>1198</v>
      </c>
      <c r="T4296" s="41" t="s">
        <v>6107</v>
      </c>
    </row>
    <row r="4297" spans="1:20" x14ac:dyDescent="0.25">
      <c r="A4297" s="21">
        <v>45793</v>
      </c>
      <c r="B4297" s="1" t="s">
        <v>2585</v>
      </c>
      <c r="C4297" t="s">
        <v>1221</v>
      </c>
      <c r="D4297" s="22">
        <v>-4.71</v>
      </c>
      <c r="E4297" t="s">
        <v>35</v>
      </c>
      <c r="F4297" s="2">
        <v>610148001</v>
      </c>
      <c r="G4297" s="2" t="s">
        <v>42</v>
      </c>
      <c r="L4297" s="2" t="s">
        <v>7566</v>
      </c>
      <c r="M4297" t="s">
        <v>43</v>
      </c>
      <c r="N4297" t="s">
        <v>42</v>
      </c>
      <c r="P4297" s="23">
        <v>94.32</v>
      </c>
      <c r="Q4297" s="4">
        <f t="shared" si="66"/>
        <v>-4.9936386768447839E-2</v>
      </c>
      <c r="R4297" s="23" t="s">
        <v>1198</v>
      </c>
      <c r="T4297" s="41" t="s">
        <v>6107</v>
      </c>
    </row>
    <row r="4298" spans="1:20" x14ac:dyDescent="0.25">
      <c r="A4298" s="21">
        <v>45793</v>
      </c>
      <c r="B4298" s="1" t="s">
        <v>4284</v>
      </c>
      <c r="C4298" t="s">
        <v>1221</v>
      </c>
      <c r="D4298" s="22">
        <v>-500</v>
      </c>
      <c r="E4298" t="s">
        <v>35</v>
      </c>
      <c r="F4298" s="2">
        <v>610148001</v>
      </c>
      <c r="G4298" s="2" t="s">
        <v>42</v>
      </c>
      <c r="L4298" s="2" t="s">
        <v>7567</v>
      </c>
      <c r="M4298" t="s">
        <v>43</v>
      </c>
      <c r="N4298" t="s">
        <v>42</v>
      </c>
      <c r="P4298" s="23">
        <v>94.32</v>
      </c>
      <c r="Q4298" s="4">
        <f t="shared" si="66"/>
        <v>-5.3011026293469046</v>
      </c>
      <c r="R4298" s="23" t="s">
        <v>1198</v>
      </c>
      <c r="T4298" s="41" t="s">
        <v>6107</v>
      </c>
    </row>
    <row r="4299" spans="1:20" x14ac:dyDescent="0.25">
      <c r="A4299" s="21">
        <v>45793</v>
      </c>
      <c r="B4299" s="1" t="s">
        <v>3967</v>
      </c>
      <c r="C4299" t="s">
        <v>1221</v>
      </c>
      <c r="D4299" s="22">
        <v>-4.71</v>
      </c>
      <c r="E4299" t="s">
        <v>35</v>
      </c>
      <c r="F4299" s="2">
        <v>610148001</v>
      </c>
      <c r="G4299" s="2" t="s">
        <v>42</v>
      </c>
      <c r="L4299" s="2" t="s">
        <v>7568</v>
      </c>
      <c r="M4299" t="s">
        <v>43</v>
      </c>
      <c r="N4299" t="s">
        <v>42</v>
      </c>
      <c r="P4299" s="23">
        <v>94.32</v>
      </c>
      <c r="Q4299" s="4">
        <f t="shared" ref="Q4299:Q4362" si="67">D4299/P4299</f>
        <v>-4.9936386768447839E-2</v>
      </c>
      <c r="R4299" s="23" t="s">
        <v>1198</v>
      </c>
      <c r="T4299" s="41" t="s">
        <v>6107</v>
      </c>
    </row>
    <row r="4300" spans="1:20" x14ac:dyDescent="0.25">
      <c r="A4300" s="21">
        <v>45793</v>
      </c>
      <c r="B4300" s="1" t="s">
        <v>3962</v>
      </c>
      <c r="C4300" t="s">
        <v>1221</v>
      </c>
      <c r="D4300" s="22">
        <v>-45.79</v>
      </c>
      <c r="E4300" t="s">
        <v>35</v>
      </c>
      <c r="F4300" s="2">
        <v>610148001</v>
      </c>
      <c r="G4300" s="2" t="s">
        <v>42</v>
      </c>
      <c r="L4300" s="2" t="s">
        <v>7569</v>
      </c>
      <c r="M4300" t="s">
        <v>43</v>
      </c>
      <c r="N4300" t="s">
        <v>42</v>
      </c>
      <c r="P4300" s="23">
        <v>94.32</v>
      </c>
      <c r="Q4300" s="4">
        <f t="shared" si="67"/>
        <v>-0.48547497879558948</v>
      </c>
      <c r="R4300" s="23" t="s">
        <v>1198</v>
      </c>
      <c r="T4300" s="41" t="s">
        <v>6107</v>
      </c>
    </row>
    <row r="4301" spans="1:20" x14ac:dyDescent="0.25">
      <c r="A4301" s="21">
        <v>45793</v>
      </c>
      <c r="B4301" s="1" t="s">
        <v>4242</v>
      </c>
      <c r="C4301" t="s">
        <v>1221</v>
      </c>
      <c r="D4301" s="22">
        <v>-446.94</v>
      </c>
      <c r="E4301" t="s">
        <v>35</v>
      </c>
      <c r="F4301" s="2">
        <v>610148001</v>
      </c>
      <c r="G4301" s="2" t="s">
        <v>42</v>
      </c>
      <c r="L4301" s="2" t="s">
        <v>7570</v>
      </c>
      <c r="M4301" t="s">
        <v>43</v>
      </c>
      <c r="N4301" t="s">
        <v>42</v>
      </c>
      <c r="P4301" s="23">
        <v>94.32</v>
      </c>
      <c r="Q4301" s="4">
        <f t="shared" si="67"/>
        <v>-4.7385496183206106</v>
      </c>
      <c r="R4301" s="23" t="s">
        <v>1198</v>
      </c>
      <c r="T4301" s="41" t="s">
        <v>6107</v>
      </c>
    </row>
    <row r="4302" spans="1:20" x14ac:dyDescent="0.25">
      <c r="A4302" s="21">
        <v>45793</v>
      </c>
      <c r="B4302" s="1" t="s">
        <v>2582</v>
      </c>
      <c r="C4302" t="s">
        <v>1221</v>
      </c>
      <c r="D4302" s="22">
        <v>-2.35</v>
      </c>
      <c r="E4302" t="s">
        <v>35</v>
      </c>
      <c r="F4302" s="2">
        <v>610148001</v>
      </c>
      <c r="G4302" s="2" t="s">
        <v>42</v>
      </c>
      <c r="L4302" s="2" t="s">
        <v>7571</v>
      </c>
      <c r="M4302" t="s">
        <v>43</v>
      </c>
      <c r="N4302" t="s">
        <v>42</v>
      </c>
      <c r="P4302" s="23">
        <v>94.32</v>
      </c>
      <c r="Q4302" s="4">
        <f t="shared" si="67"/>
        <v>-2.4915182357930454E-2</v>
      </c>
      <c r="R4302" s="23" t="s">
        <v>1198</v>
      </c>
      <c r="T4302" s="41" t="s">
        <v>6107</v>
      </c>
    </row>
    <row r="4303" spans="1:20" x14ac:dyDescent="0.25">
      <c r="A4303" s="21">
        <v>45793</v>
      </c>
      <c r="B4303" s="1" t="s">
        <v>3960</v>
      </c>
      <c r="C4303" t="s">
        <v>1221</v>
      </c>
      <c r="D4303" s="22">
        <v>-9.43</v>
      </c>
      <c r="E4303" t="s">
        <v>35</v>
      </c>
      <c r="F4303" s="2">
        <v>610148001</v>
      </c>
      <c r="G4303" s="2" t="s">
        <v>42</v>
      </c>
      <c r="L4303" s="2" t="s">
        <v>7572</v>
      </c>
      <c r="M4303" t="s">
        <v>43</v>
      </c>
      <c r="N4303" t="s">
        <v>42</v>
      </c>
      <c r="P4303" s="23">
        <v>94.32</v>
      </c>
      <c r="Q4303" s="4">
        <f t="shared" si="67"/>
        <v>-9.9978795589482611E-2</v>
      </c>
      <c r="R4303" s="23" t="s">
        <v>1198</v>
      </c>
      <c r="T4303" s="41" t="s">
        <v>6107</v>
      </c>
    </row>
    <row r="4304" spans="1:20" x14ac:dyDescent="0.25">
      <c r="A4304" s="21">
        <v>45793</v>
      </c>
      <c r="B4304" s="1" t="s">
        <v>3955</v>
      </c>
      <c r="C4304" t="s">
        <v>1221</v>
      </c>
      <c r="D4304" s="22">
        <v>-8.6300000000000008</v>
      </c>
      <c r="E4304" t="s">
        <v>35</v>
      </c>
      <c r="F4304" s="2">
        <v>610148001</v>
      </c>
      <c r="G4304" s="2" t="s">
        <v>42</v>
      </c>
      <c r="L4304" s="2" t="s">
        <v>7573</v>
      </c>
      <c r="M4304" t="s">
        <v>43</v>
      </c>
      <c r="N4304" t="s">
        <v>42</v>
      </c>
      <c r="P4304" s="23">
        <v>94.32</v>
      </c>
      <c r="Q4304" s="4">
        <f t="shared" si="67"/>
        <v>-9.1497031382527585E-2</v>
      </c>
      <c r="R4304" s="23" t="s">
        <v>1198</v>
      </c>
      <c r="T4304" s="41" t="s">
        <v>6107</v>
      </c>
    </row>
    <row r="4305" spans="1:20" x14ac:dyDescent="0.25">
      <c r="A4305" s="21">
        <v>45793</v>
      </c>
      <c r="B4305" s="1" t="s">
        <v>3979</v>
      </c>
      <c r="C4305" t="s">
        <v>1221</v>
      </c>
      <c r="D4305" s="22">
        <v>-334.81</v>
      </c>
      <c r="E4305" t="s">
        <v>35</v>
      </c>
      <c r="F4305" s="2">
        <v>610148001</v>
      </c>
      <c r="G4305" s="2" t="s">
        <v>42</v>
      </c>
      <c r="L4305" s="2" t="s">
        <v>7574</v>
      </c>
      <c r="M4305" t="s">
        <v>43</v>
      </c>
      <c r="N4305" t="s">
        <v>42</v>
      </c>
      <c r="P4305" s="23">
        <v>94.32</v>
      </c>
      <c r="Q4305" s="4">
        <f t="shared" si="67"/>
        <v>-3.5497243426632741</v>
      </c>
      <c r="R4305" s="23" t="s">
        <v>1198</v>
      </c>
      <c r="T4305" s="41" t="s">
        <v>6107</v>
      </c>
    </row>
    <row r="4306" spans="1:20" x14ac:dyDescent="0.25">
      <c r="A4306" s="21">
        <v>45793</v>
      </c>
      <c r="B4306" s="1" t="s">
        <v>4249</v>
      </c>
      <c r="C4306" t="s">
        <v>1221</v>
      </c>
      <c r="D4306" s="22">
        <v>-11.21</v>
      </c>
      <c r="E4306" t="s">
        <v>35</v>
      </c>
      <c r="F4306" s="2">
        <v>610148001</v>
      </c>
      <c r="G4306" s="2" t="s">
        <v>42</v>
      </c>
      <c r="L4306" s="2" t="s">
        <v>7575</v>
      </c>
      <c r="M4306" t="s">
        <v>43</v>
      </c>
      <c r="N4306" t="s">
        <v>42</v>
      </c>
      <c r="P4306" s="23">
        <v>94.32</v>
      </c>
      <c r="Q4306" s="4">
        <f t="shared" si="67"/>
        <v>-0.11885072094995761</v>
      </c>
      <c r="R4306" s="23" t="s">
        <v>1198</v>
      </c>
      <c r="T4306" s="41" t="s">
        <v>6107</v>
      </c>
    </row>
    <row r="4307" spans="1:20" x14ac:dyDescent="0.25">
      <c r="A4307" s="21">
        <v>45793</v>
      </c>
      <c r="B4307" s="1" t="s">
        <v>4240</v>
      </c>
      <c r="C4307" t="s">
        <v>1221</v>
      </c>
      <c r="D4307" s="22">
        <v>-500</v>
      </c>
      <c r="E4307" t="s">
        <v>35</v>
      </c>
      <c r="F4307" s="2">
        <v>610148001</v>
      </c>
      <c r="G4307" s="2" t="s">
        <v>42</v>
      </c>
      <c r="L4307" s="2" t="s">
        <v>7576</v>
      </c>
      <c r="M4307" t="s">
        <v>43</v>
      </c>
      <c r="N4307" t="s">
        <v>42</v>
      </c>
      <c r="P4307" s="23">
        <v>94.32</v>
      </c>
      <c r="Q4307" s="4">
        <f t="shared" si="67"/>
        <v>-5.3011026293469046</v>
      </c>
      <c r="R4307" s="23" t="s">
        <v>1198</v>
      </c>
      <c r="T4307" s="41" t="s">
        <v>6107</v>
      </c>
    </row>
    <row r="4308" spans="1:20" x14ac:dyDescent="0.25">
      <c r="A4308" s="21">
        <v>45793</v>
      </c>
      <c r="B4308" s="1" t="s">
        <v>3969</v>
      </c>
      <c r="C4308" t="s">
        <v>1221</v>
      </c>
      <c r="D4308" s="22">
        <v>-4.71</v>
      </c>
      <c r="E4308" t="s">
        <v>35</v>
      </c>
      <c r="F4308" s="2">
        <v>610148001</v>
      </c>
      <c r="G4308" s="2" t="s">
        <v>42</v>
      </c>
      <c r="L4308" s="2" t="s">
        <v>7577</v>
      </c>
      <c r="M4308" t="s">
        <v>43</v>
      </c>
      <c r="N4308" t="s">
        <v>42</v>
      </c>
      <c r="P4308" s="23">
        <v>94.32</v>
      </c>
      <c r="Q4308" s="4">
        <f t="shared" si="67"/>
        <v>-4.9936386768447839E-2</v>
      </c>
      <c r="R4308" s="23" t="s">
        <v>1198</v>
      </c>
      <c r="T4308" s="41" t="s">
        <v>6107</v>
      </c>
    </row>
    <row r="4309" spans="1:20" x14ac:dyDescent="0.25">
      <c r="A4309" s="21">
        <v>45793</v>
      </c>
      <c r="B4309" s="1" t="s">
        <v>1220</v>
      </c>
      <c r="C4309" t="s">
        <v>1221</v>
      </c>
      <c r="D4309" s="22">
        <v>-16.5</v>
      </c>
      <c r="E4309" t="s">
        <v>35</v>
      </c>
      <c r="F4309" s="2">
        <v>610148001</v>
      </c>
      <c r="G4309" s="2" t="s">
        <v>42</v>
      </c>
      <c r="L4309" s="2" t="s">
        <v>7578</v>
      </c>
      <c r="M4309" t="s">
        <v>43</v>
      </c>
      <c r="N4309" t="s">
        <v>42</v>
      </c>
      <c r="P4309" s="23">
        <v>94.32</v>
      </c>
      <c r="Q4309" s="4">
        <f t="shared" si="67"/>
        <v>-0.17493638676844786</v>
      </c>
      <c r="R4309" s="23" t="s">
        <v>1198</v>
      </c>
      <c r="T4309" s="41" t="s">
        <v>6107</v>
      </c>
    </row>
    <row r="4310" spans="1:20" x14ac:dyDescent="0.25">
      <c r="A4310" s="21">
        <v>45793</v>
      </c>
      <c r="B4310" s="1" t="s">
        <v>3958</v>
      </c>
      <c r="C4310" t="s">
        <v>1221</v>
      </c>
      <c r="D4310" s="22">
        <v>-4.71</v>
      </c>
      <c r="E4310" t="s">
        <v>35</v>
      </c>
      <c r="F4310" s="2">
        <v>610148001</v>
      </c>
      <c r="G4310" s="2" t="s">
        <v>42</v>
      </c>
      <c r="L4310" s="2" t="s">
        <v>7579</v>
      </c>
      <c r="M4310" t="s">
        <v>43</v>
      </c>
      <c r="N4310" t="s">
        <v>42</v>
      </c>
      <c r="P4310" s="23">
        <v>94.32</v>
      </c>
      <c r="Q4310" s="4">
        <f t="shared" si="67"/>
        <v>-4.9936386768447839E-2</v>
      </c>
      <c r="R4310" s="23" t="s">
        <v>1198</v>
      </c>
      <c r="T4310" s="41" t="s">
        <v>6107</v>
      </c>
    </row>
    <row r="4311" spans="1:20" x14ac:dyDescent="0.25">
      <c r="A4311" s="21">
        <v>45793</v>
      </c>
      <c r="B4311" s="1" t="s">
        <v>7580</v>
      </c>
      <c r="C4311" t="s">
        <v>544</v>
      </c>
      <c r="D4311" s="22">
        <v>1205000</v>
      </c>
      <c r="E4311" t="s">
        <v>46</v>
      </c>
      <c r="F4311" s="2">
        <v>210115002</v>
      </c>
      <c r="G4311" s="2" t="s">
        <v>47</v>
      </c>
      <c r="L4311" s="2" t="s">
        <v>7581</v>
      </c>
      <c r="N4311" t="s">
        <v>544</v>
      </c>
      <c r="P4311" s="23">
        <v>94.32</v>
      </c>
      <c r="Q4311" s="4">
        <f t="shared" si="67"/>
        <v>12775.657336726041</v>
      </c>
      <c r="R4311" s="23" t="s">
        <v>1198</v>
      </c>
    </row>
    <row r="4312" spans="1:20" x14ac:dyDescent="0.25">
      <c r="A4312" s="21">
        <v>45793</v>
      </c>
      <c r="B4312" s="1" t="s">
        <v>1214</v>
      </c>
      <c r="C4312" t="s">
        <v>7582</v>
      </c>
      <c r="D4312" s="22">
        <v>-123660.93</v>
      </c>
      <c r="E4312" t="s">
        <v>35</v>
      </c>
      <c r="F4312" s="2">
        <v>210101001</v>
      </c>
      <c r="G4312" s="2" t="s">
        <v>36</v>
      </c>
      <c r="L4312" s="2" t="s">
        <v>7583</v>
      </c>
      <c r="M4312" t="s">
        <v>976</v>
      </c>
      <c r="N4312" t="s">
        <v>977</v>
      </c>
      <c r="P4312" s="23">
        <v>94.32</v>
      </c>
      <c r="Q4312" s="4">
        <f t="shared" si="67"/>
        <v>-1311.078562340967</v>
      </c>
      <c r="R4312" s="23" t="s">
        <v>1198</v>
      </c>
    </row>
    <row r="4313" spans="1:20" x14ac:dyDescent="0.25">
      <c r="A4313" s="21">
        <v>45793</v>
      </c>
      <c r="B4313" s="1" t="s">
        <v>1211</v>
      </c>
      <c r="C4313" t="s">
        <v>7584</v>
      </c>
      <c r="D4313" s="22">
        <v>-901273.83</v>
      </c>
      <c r="E4313" t="s">
        <v>35</v>
      </c>
      <c r="F4313" s="2">
        <v>210101001</v>
      </c>
      <c r="G4313" s="2" t="s">
        <v>36</v>
      </c>
      <c r="L4313" s="2" t="s">
        <v>7585</v>
      </c>
      <c r="M4313" t="s">
        <v>38</v>
      </c>
      <c r="N4313" t="s">
        <v>39</v>
      </c>
      <c r="P4313" s="23">
        <v>94.32</v>
      </c>
      <c r="Q4313" s="4">
        <f t="shared" si="67"/>
        <v>-9555.49013994911</v>
      </c>
      <c r="R4313" s="23" t="s">
        <v>1198</v>
      </c>
    </row>
    <row r="4314" spans="1:20" x14ac:dyDescent="0.25">
      <c r="A4314" s="21">
        <v>45793</v>
      </c>
      <c r="B4314" s="1" t="s">
        <v>1208</v>
      </c>
      <c r="C4314" t="s">
        <v>7586</v>
      </c>
      <c r="D4314" s="22">
        <v>-179543.31</v>
      </c>
      <c r="E4314" t="s">
        <v>35</v>
      </c>
      <c r="F4314" s="2">
        <v>210101001</v>
      </c>
      <c r="G4314" s="2" t="s">
        <v>36</v>
      </c>
      <c r="L4314" s="2" t="s">
        <v>7587</v>
      </c>
      <c r="M4314" t="s">
        <v>38</v>
      </c>
      <c r="N4314" t="s">
        <v>39</v>
      </c>
      <c r="P4314" s="23">
        <v>94.32</v>
      </c>
      <c r="Q4314" s="4">
        <f t="shared" si="67"/>
        <v>-1903.5550254452928</v>
      </c>
      <c r="R4314" s="23" t="s">
        <v>1198</v>
      </c>
    </row>
    <row r="4315" spans="1:20" x14ac:dyDescent="0.25">
      <c r="A4315" s="21">
        <v>45793</v>
      </c>
      <c r="B4315" s="1" t="s">
        <v>1225</v>
      </c>
      <c r="C4315" t="s">
        <v>1221</v>
      </c>
      <c r="D4315" s="22">
        <v>-309.14999999999998</v>
      </c>
      <c r="E4315" t="s">
        <v>35</v>
      </c>
      <c r="F4315" s="2">
        <v>610148001</v>
      </c>
      <c r="G4315" s="2" t="s">
        <v>42</v>
      </c>
      <c r="L4315" s="2" t="s">
        <v>7588</v>
      </c>
      <c r="M4315" t="s">
        <v>43</v>
      </c>
      <c r="N4315" t="s">
        <v>42</v>
      </c>
      <c r="P4315" s="23">
        <v>94.32</v>
      </c>
      <c r="Q4315" s="4">
        <f t="shared" si="67"/>
        <v>-3.2776717557251906</v>
      </c>
      <c r="R4315" s="23" t="s">
        <v>1198</v>
      </c>
      <c r="T4315" s="41" t="s">
        <v>6107</v>
      </c>
    </row>
    <row r="4316" spans="1:20" x14ac:dyDescent="0.25">
      <c r="A4316" s="21">
        <v>45793</v>
      </c>
      <c r="B4316" s="1" t="s">
        <v>1227</v>
      </c>
      <c r="C4316" t="s">
        <v>1221</v>
      </c>
      <c r="D4316" s="22">
        <v>-2253.1799999999998</v>
      </c>
      <c r="E4316" t="s">
        <v>35</v>
      </c>
      <c r="F4316" s="2">
        <v>610148001</v>
      </c>
      <c r="G4316" s="2" t="s">
        <v>42</v>
      </c>
      <c r="L4316" s="2" t="s">
        <v>7589</v>
      </c>
      <c r="M4316" t="s">
        <v>43</v>
      </c>
      <c r="N4316" t="s">
        <v>42</v>
      </c>
      <c r="P4316" s="23">
        <v>94.32</v>
      </c>
      <c r="Q4316" s="4">
        <f t="shared" si="67"/>
        <v>-23.888676844783713</v>
      </c>
      <c r="R4316" s="23" t="s">
        <v>1198</v>
      </c>
      <c r="T4316" s="41" t="s">
        <v>6107</v>
      </c>
    </row>
    <row r="4317" spans="1:20" x14ac:dyDescent="0.25">
      <c r="A4317" s="21">
        <v>45793</v>
      </c>
      <c r="B4317" s="1" t="s">
        <v>1223</v>
      </c>
      <c r="C4317" t="s">
        <v>1221</v>
      </c>
      <c r="D4317" s="22">
        <v>-448.85</v>
      </c>
      <c r="E4317" t="s">
        <v>35</v>
      </c>
      <c r="F4317" s="2">
        <v>610148001</v>
      </c>
      <c r="G4317" s="2" t="s">
        <v>42</v>
      </c>
      <c r="L4317" s="2" t="s">
        <v>7590</v>
      </c>
      <c r="M4317" t="s">
        <v>43</v>
      </c>
      <c r="N4317" t="s">
        <v>42</v>
      </c>
      <c r="P4317" s="23">
        <v>94.32</v>
      </c>
      <c r="Q4317" s="4">
        <f t="shared" si="67"/>
        <v>-4.7587998303647163</v>
      </c>
      <c r="R4317" s="23" t="s">
        <v>1198</v>
      </c>
      <c r="T4317" s="41" t="s">
        <v>6107</v>
      </c>
    </row>
    <row r="4318" spans="1:20" x14ac:dyDescent="0.25">
      <c r="A4318" s="21">
        <v>45796</v>
      </c>
      <c r="B4318" s="1" t="s">
        <v>7591</v>
      </c>
      <c r="C4318" t="s">
        <v>544</v>
      </c>
      <c r="D4318" s="22">
        <v>530000</v>
      </c>
      <c r="E4318" t="s">
        <v>46</v>
      </c>
      <c r="F4318" s="2">
        <v>210115002</v>
      </c>
      <c r="G4318" s="2" t="s">
        <v>47</v>
      </c>
      <c r="L4318" s="2" t="s">
        <v>7592</v>
      </c>
      <c r="N4318" t="s">
        <v>544</v>
      </c>
      <c r="P4318" s="23">
        <v>94.76</v>
      </c>
      <c r="Q4318" s="4">
        <f t="shared" si="67"/>
        <v>5593.0772477838746</v>
      </c>
      <c r="R4318" s="23" t="s">
        <v>1198</v>
      </c>
    </row>
    <row r="4319" spans="1:20" x14ac:dyDescent="0.25">
      <c r="A4319" s="21">
        <v>45796</v>
      </c>
      <c r="B4319" s="1" t="s">
        <v>1214</v>
      </c>
      <c r="C4319" t="s">
        <v>7593</v>
      </c>
      <c r="D4319" s="22">
        <v>-200000</v>
      </c>
      <c r="E4319" t="s">
        <v>35</v>
      </c>
      <c r="F4319" s="2">
        <v>210101001</v>
      </c>
      <c r="G4319" s="2" t="s">
        <v>36</v>
      </c>
      <c r="L4319" s="2" t="s">
        <v>7594</v>
      </c>
      <c r="M4319" t="s">
        <v>38</v>
      </c>
      <c r="N4319" t="s">
        <v>39</v>
      </c>
      <c r="P4319" s="23">
        <v>94.76</v>
      </c>
      <c r="Q4319" s="4">
        <f t="shared" si="67"/>
        <v>-2110.5951878429714</v>
      </c>
      <c r="R4319" s="23" t="s">
        <v>1198</v>
      </c>
    </row>
    <row r="4320" spans="1:20" x14ac:dyDescent="0.25">
      <c r="A4320" s="21">
        <v>45796</v>
      </c>
      <c r="B4320" s="1" t="s">
        <v>1217</v>
      </c>
      <c r="C4320" t="s">
        <v>7593</v>
      </c>
      <c r="D4320" s="22">
        <v>-200000</v>
      </c>
      <c r="E4320" t="s">
        <v>35</v>
      </c>
      <c r="F4320" s="2">
        <v>210101001</v>
      </c>
      <c r="G4320" s="2" t="s">
        <v>36</v>
      </c>
      <c r="L4320" s="2" t="s">
        <v>7595</v>
      </c>
      <c r="M4320" t="s">
        <v>38</v>
      </c>
      <c r="N4320" t="s">
        <v>39</v>
      </c>
      <c r="P4320" s="23">
        <v>94.76</v>
      </c>
      <c r="Q4320" s="4">
        <f t="shared" si="67"/>
        <v>-2110.5951878429714</v>
      </c>
      <c r="R4320" s="23" t="s">
        <v>1198</v>
      </c>
    </row>
    <row r="4321" spans="1:20" x14ac:dyDescent="0.25">
      <c r="A4321" s="21">
        <v>45796</v>
      </c>
      <c r="B4321" s="1" t="s">
        <v>1211</v>
      </c>
      <c r="C4321" t="s">
        <v>7596</v>
      </c>
      <c r="D4321" s="43">
        <v>-6545.93</v>
      </c>
      <c r="E4321" t="s">
        <v>35</v>
      </c>
      <c r="F4321" s="2">
        <v>110114001</v>
      </c>
      <c r="G4321" s="2" t="s">
        <v>301</v>
      </c>
      <c r="L4321" s="2" t="s">
        <v>7597</v>
      </c>
      <c r="M4321" t="s">
        <v>1186</v>
      </c>
      <c r="N4321" t="s">
        <v>1187</v>
      </c>
      <c r="P4321" s="23">
        <v>94.76</v>
      </c>
      <c r="Q4321" s="4">
        <f t="shared" si="67"/>
        <v>-69.079041789784725</v>
      </c>
      <c r="R4321" s="23" t="s">
        <v>1198</v>
      </c>
      <c r="S4321" s="33" t="s">
        <v>3147</v>
      </c>
    </row>
    <row r="4322" spans="1:20" x14ac:dyDescent="0.25">
      <c r="A4322" s="21">
        <v>45796</v>
      </c>
      <c r="B4322" s="1" t="s">
        <v>1208</v>
      </c>
      <c r="C4322" t="s">
        <v>7593</v>
      </c>
      <c r="D4322" s="22">
        <v>-122127.6</v>
      </c>
      <c r="E4322" t="s">
        <v>35</v>
      </c>
      <c r="F4322" s="2">
        <v>210101001</v>
      </c>
      <c r="G4322" s="2" t="s">
        <v>36</v>
      </c>
      <c r="L4322" s="2" t="s">
        <v>7598</v>
      </c>
      <c r="M4322" t="s">
        <v>38</v>
      </c>
      <c r="N4322" t="s">
        <v>39</v>
      </c>
      <c r="P4322" s="23">
        <v>94.76</v>
      </c>
      <c r="Q4322" s="4">
        <f t="shared" si="67"/>
        <v>-1288.8096243140565</v>
      </c>
      <c r="R4322" s="23" t="s">
        <v>1198</v>
      </c>
    </row>
    <row r="4323" spans="1:20" x14ac:dyDescent="0.25">
      <c r="A4323" s="21">
        <v>45796</v>
      </c>
      <c r="B4323" s="1" t="s">
        <v>1223</v>
      </c>
      <c r="C4323" t="s">
        <v>1221</v>
      </c>
      <c r="D4323" s="22">
        <v>-305.31</v>
      </c>
      <c r="E4323" t="s">
        <v>35</v>
      </c>
      <c r="F4323" s="2">
        <v>610148001</v>
      </c>
      <c r="G4323" s="2" t="s">
        <v>42</v>
      </c>
      <c r="L4323" s="2" t="s">
        <v>7599</v>
      </c>
      <c r="M4323" t="s">
        <v>43</v>
      </c>
      <c r="N4323" t="s">
        <v>42</v>
      </c>
      <c r="P4323" s="23">
        <v>94.76</v>
      </c>
      <c r="Q4323" s="4">
        <f t="shared" si="67"/>
        <v>-3.2219290840016885</v>
      </c>
      <c r="R4323" s="23" t="s">
        <v>1198</v>
      </c>
      <c r="T4323" s="41" t="s">
        <v>6107</v>
      </c>
    </row>
    <row r="4324" spans="1:20" x14ac:dyDescent="0.25">
      <c r="A4324" s="21">
        <v>45796</v>
      </c>
      <c r="B4324" s="1" t="s">
        <v>1220</v>
      </c>
      <c r="C4324" t="s">
        <v>1221</v>
      </c>
      <c r="D4324" s="22">
        <v>-500</v>
      </c>
      <c r="E4324" t="s">
        <v>35</v>
      </c>
      <c r="F4324" s="2">
        <v>610148001</v>
      </c>
      <c r="G4324" s="2" t="s">
        <v>42</v>
      </c>
      <c r="L4324" s="2" t="s">
        <v>7600</v>
      </c>
      <c r="M4324" t="s">
        <v>43</v>
      </c>
      <c r="N4324" t="s">
        <v>42</v>
      </c>
      <c r="P4324" s="23">
        <v>94.76</v>
      </c>
      <c r="Q4324" s="4">
        <f t="shared" si="67"/>
        <v>-5.2764879696074294</v>
      </c>
      <c r="R4324" s="23" t="s">
        <v>1198</v>
      </c>
      <c r="T4324" s="41" t="s">
        <v>6107</v>
      </c>
    </row>
    <row r="4325" spans="1:20" x14ac:dyDescent="0.25">
      <c r="A4325" s="21">
        <v>45796</v>
      </c>
      <c r="B4325" s="1" t="s">
        <v>1225</v>
      </c>
      <c r="C4325" t="s">
        <v>1221</v>
      </c>
      <c r="D4325" s="22">
        <v>-500</v>
      </c>
      <c r="E4325" t="s">
        <v>35</v>
      </c>
      <c r="F4325" s="2">
        <v>610148001</v>
      </c>
      <c r="G4325" s="2" t="s">
        <v>42</v>
      </c>
      <c r="L4325" s="2" t="s">
        <v>7601</v>
      </c>
      <c r="M4325" t="s">
        <v>43</v>
      </c>
      <c r="N4325" t="s">
        <v>42</v>
      </c>
      <c r="P4325" s="23">
        <v>94.76</v>
      </c>
      <c r="Q4325" s="4">
        <f t="shared" si="67"/>
        <v>-5.2764879696074294</v>
      </c>
      <c r="R4325" s="23" t="s">
        <v>1198</v>
      </c>
      <c r="T4325" s="41" t="s">
        <v>6107</v>
      </c>
    </row>
    <row r="4326" spans="1:20" x14ac:dyDescent="0.25">
      <c r="A4326" s="21">
        <v>45796</v>
      </c>
      <c r="B4326" s="1" t="s">
        <v>1227</v>
      </c>
      <c r="C4326" t="s">
        <v>1221</v>
      </c>
      <c r="D4326" s="22">
        <v>-16.36</v>
      </c>
      <c r="E4326" t="s">
        <v>35</v>
      </c>
      <c r="F4326" s="2">
        <v>610148001</v>
      </c>
      <c r="G4326" s="2" t="s">
        <v>42</v>
      </c>
      <c r="L4326" s="2" t="s">
        <v>7602</v>
      </c>
      <c r="M4326" t="s">
        <v>43</v>
      </c>
      <c r="N4326" t="s">
        <v>42</v>
      </c>
      <c r="P4326" s="23">
        <v>94.76</v>
      </c>
      <c r="Q4326" s="4">
        <f t="shared" si="67"/>
        <v>-0.17264668636555508</v>
      </c>
      <c r="R4326" s="23" t="s">
        <v>1198</v>
      </c>
      <c r="T4326" s="41" t="s">
        <v>6107</v>
      </c>
    </row>
    <row r="4327" spans="1:20" x14ac:dyDescent="0.25">
      <c r="A4327" s="21">
        <v>45796</v>
      </c>
      <c r="B4327" s="1" t="s">
        <v>7603</v>
      </c>
      <c r="C4327" t="s">
        <v>7604</v>
      </c>
      <c r="D4327" s="22">
        <v>70349.820000000007</v>
      </c>
      <c r="E4327" t="s">
        <v>46</v>
      </c>
      <c r="F4327" s="2">
        <v>110106001</v>
      </c>
      <c r="G4327" s="2" t="s">
        <v>2034</v>
      </c>
      <c r="L4327" s="2" t="s">
        <v>7605</v>
      </c>
      <c r="N4327" t="s">
        <v>3330</v>
      </c>
      <c r="P4327" s="23">
        <v>94.76</v>
      </c>
      <c r="Q4327" s="4">
        <f t="shared" si="67"/>
        <v>742.39995778809623</v>
      </c>
      <c r="R4327" s="23" t="s">
        <v>1198</v>
      </c>
    </row>
    <row r="4328" spans="1:20" x14ac:dyDescent="0.25">
      <c r="A4328" s="21">
        <v>45798</v>
      </c>
      <c r="B4328" s="1" t="s">
        <v>7606</v>
      </c>
      <c r="C4328" t="s">
        <v>7493</v>
      </c>
      <c r="D4328" s="22">
        <v>615000</v>
      </c>
      <c r="E4328" t="s">
        <v>46</v>
      </c>
      <c r="F4328" s="2">
        <v>210115002</v>
      </c>
      <c r="G4328" s="2" t="s">
        <v>47</v>
      </c>
      <c r="L4328" s="2" t="s">
        <v>7607</v>
      </c>
      <c r="N4328" t="s">
        <v>544</v>
      </c>
      <c r="P4328" s="23">
        <v>94.86</v>
      </c>
      <c r="Q4328" s="4">
        <f t="shared" si="67"/>
        <v>6483.2384566729916</v>
      </c>
      <c r="R4328" s="23" t="s">
        <v>1198</v>
      </c>
    </row>
    <row r="4329" spans="1:20" x14ac:dyDescent="0.25">
      <c r="A4329" s="21">
        <v>45798</v>
      </c>
      <c r="B4329" s="1" t="s">
        <v>1211</v>
      </c>
      <c r="C4329" t="s">
        <v>7608</v>
      </c>
      <c r="D4329" s="22">
        <v>-38164.5</v>
      </c>
      <c r="E4329" t="s">
        <v>35</v>
      </c>
      <c r="F4329" s="2">
        <v>210101001</v>
      </c>
      <c r="G4329" s="2" t="s">
        <v>36</v>
      </c>
      <c r="L4329" s="2" t="s">
        <v>7609</v>
      </c>
      <c r="M4329" t="s">
        <v>751</v>
      </c>
      <c r="N4329" t="s">
        <v>752</v>
      </c>
      <c r="P4329" s="23">
        <v>94.86</v>
      </c>
      <c r="Q4329" s="4">
        <f t="shared" si="67"/>
        <v>-402.32447817836811</v>
      </c>
      <c r="R4329" s="23" t="s">
        <v>1198</v>
      </c>
    </row>
    <row r="4330" spans="1:20" x14ac:dyDescent="0.25">
      <c r="A4330" s="21">
        <v>45798</v>
      </c>
      <c r="B4330" s="1" t="s">
        <v>1214</v>
      </c>
      <c r="C4330" t="s">
        <v>7610</v>
      </c>
      <c r="D4330" s="22">
        <v>-136429.92000000001</v>
      </c>
      <c r="E4330" t="s">
        <v>35</v>
      </c>
      <c r="F4330" s="2">
        <v>210101001</v>
      </c>
      <c r="G4330" s="2" t="s">
        <v>36</v>
      </c>
      <c r="L4330" s="2" t="s">
        <v>7611</v>
      </c>
      <c r="M4330" t="s">
        <v>38</v>
      </c>
      <c r="N4330" t="s">
        <v>39</v>
      </c>
      <c r="P4330" s="23">
        <v>94.86</v>
      </c>
      <c r="Q4330" s="4">
        <f t="shared" si="67"/>
        <v>-1438.2239089184063</v>
      </c>
      <c r="R4330" s="23" t="s">
        <v>1198</v>
      </c>
    </row>
    <row r="4331" spans="1:20" x14ac:dyDescent="0.25">
      <c r="A4331" s="21">
        <v>45798</v>
      </c>
      <c r="B4331" s="1" t="s">
        <v>1217</v>
      </c>
      <c r="C4331" t="s">
        <v>7612</v>
      </c>
      <c r="D4331" s="22">
        <v>-398293.54</v>
      </c>
      <c r="E4331" t="s">
        <v>35</v>
      </c>
      <c r="F4331" s="2">
        <v>210101001</v>
      </c>
      <c r="G4331" s="2" t="s">
        <v>36</v>
      </c>
      <c r="L4331" s="2" t="s">
        <v>7613</v>
      </c>
      <c r="M4331" t="s">
        <v>38</v>
      </c>
      <c r="N4331" t="s">
        <v>39</v>
      </c>
      <c r="P4331" s="23">
        <v>94.86</v>
      </c>
      <c r="Q4331" s="4">
        <f t="shared" si="67"/>
        <v>-4198.7512123128818</v>
      </c>
      <c r="R4331" s="23" t="s">
        <v>1198</v>
      </c>
    </row>
    <row r="4332" spans="1:20" x14ac:dyDescent="0.25">
      <c r="A4332" s="21">
        <v>45798</v>
      </c>
      <c r="B4332" s="1" t="s">
        <v>1208</v>
      </c>
      <c r="C4332" t="s">
        <v>7614</v>
      </c>
      <c r="D4332" s="22">
        <v>-38164.5</v>
      </c>
      <c r="E4332" t="s">
        <v>35</v>
      </c>
      <c r="F4332" s="2">
        <v>210101001</v>
      </c>
      <c r="G4332" s="2" t="s">
        <v>36</v>
      </c>
      <c r="L4332" s="2" t="s">
        <v>7615</v>
      </c>
      <c r="M4332" t="s">
        <v>751</v>
      </c>
      <c r="N4332" t="s">
        <v>752</v>
      </c>
      <c r="P4332" s="23">
        <v>94.86</v>
      </c>
      <c r="Q4332" s="4">
        <f t="shared" si="67"/>
        <v>-402.32447817836811</v>
      </c>
      <c r="R4332" s="23" t="s">
        <v>1198</v>
      </c>
    </row>
    <row r="4333" spans="1:20" x14ac:dyDescent="0.25">
      <c r="A4333" s="21">
        <v>45798</v>
      </c>
      <c r="B4333" s="1" t="s">
        <v>1220</v>
      </c>
      <c r="C4333" t="s">
        <v>1221</v>
      </c>
      <c r="D4333" s="22">
        <v>-995.73</v>
      </c>
      <c r="E4333" t="s">
        <v>35</v>
      </c>
      <c r="F4333" s="2">
        <v>610148001</v>
      </c>
      <c r="G4333" s="2" t="s">
        <v>42</v>
      </c>
      <c r="L4333" s="2" t="s">
        <v>7616</v>
      </c>
      <c r="M4333" t="s">
        <v>43</v>
      </c>
      <c r="N4333" t="s">
        <v>42</v>
      </c>
      <c r="P4333" s="23">
        <v>94.86</v>
      </c>
      <c r="Q4333" s="4">
        <f t="shared" si="67"/>
        <v>-10.496837444655283</v>
      </c>
      <c r="R4333" s="23" t="s">
        <v>1198</v>
      </c>
      <c r="T4333" s="41" t="s">
        <v>6107</v>
      </c>
    </row>
    <row r="4334" spans="1:20" x14ac:dyDescent="0.25">
      <c r="A4334" s="21">
        <v>45798</v>
      </c>
      <c r="B4334" s="1" t="s">
        <v>1225</v>
      </c>
      <c r="C4334" t="s">
        <v>1221</v>
      </c>
      <c r="D4334" s="22">
        <v>-341.07</v>
      </c>
      <c r="E4334" t="s">
        <v>35</v>
      </c>
      <c r="F4334" s="2">
        <v>610148001</v>
      </c>
      <c r="G4334" s="2" t="s">
        <v>42</v>
      </c>
      <c r="L4334" s="2" t="s">
        <v>7617</v>
      </c>
      <c r="M4334" t="s">
        <v>43</v>
      </c>
      <c r="N4334" t="s">
        <v>42</v>
      </c>
      <c r="P4334" s="23">
        <v>94.86</v>
      </c>
      <c r="Q4334" s="4">
        <f t="shared" si="67"/>
        <v>-3.5955091714104994</v>
      </c>
      <c r="R4334" s="23" t="s">
        <v>1198</v>
      </c>
      <c r="T4334" s="41" t="s">
        <v>6107</v>
      </c>
    </row>
    <row r="4335" spans="1:20" x14ac:dyDescent="0.25">
      <c r="A4335" s="21">
        <v>45798</v>
      </c>
      <c r="B4335" s="1" t="s">
        <v>1223</v>
      </c>
      <c r="C4335" t="s">
        <v>1221</v>
      </c>
      <c r="D4335" s="22">
        <v>-95.41</v>
      </c>
      <c r="E4335" t="s">
        <v>35</v>
      </c>
      <c r="F4335" s="2">
        <v>610148001</v>
      </c>
      <c r="G4335" s="2" t="s">
        <v>42</v>
      </c>
      <c r="L4335" s="2" t="s">
        <v>7618</v>
      </c>
      <c r="M4335" t="s">
        <v>43</v>
      </c>
      <c r="N4335" t="s">
        <v>42</v>
      </c>
      <c r="P4335" s="23">
        <v>94.86</v>
      </c>
      <c r="Q4335" s="4">
        <f t="shared" si="67"/>
        <v>-1.0057980181319839</v>
      </c>
      <c r="R4335" s="23" t="s">
        <v>1198</v>
      </c>
      <c r="T4335" s="41" t="s">
        <v>6107</v>
      </c>
    </row>
    <row r="4336" spans="1:20" x14ac:dyDescent="0.25">
      <c r="A4336" s="21">
        <v>45798</v>
      </c>
      <c r="B4336" s="1" t="s">
        <v>1227</v>
      </c>
      <c r="C4336" t="s">
        <v>1221</v>
      </c>
      <c r="D4336" s="22">
        <v>-95.41</v>
      </c>
      <c r="E4336" t="s">
        <v>35</v>
      </c>
      <c r="F4336" s="2">
        <v>610148001</v>
      </c>
      <c r="G4336" s="2" t="s">
        <v>42</v>
      </c>
      <c r="L4336" s="2" t="s">
        <v>7619</v>
      </c>
      <c r="M4336" t="s">
        <v>43</v>
      </c>
      <c r="N4336" t="s">
        <v>42</v>
      </c>
      <c r="P4336" s="23">
        <v>94.86</v>
      </c>
      <c r="Q4336" s="4">
        <f t="shared" si="67"/>
        <v>-1.0057980181319839</v>
      </c>
      <c r="R4336" s="23" t="s">
        <v>1198</v>
      </c>
      <c r="T4336" s="41" t="s">
        <v>6107</v>
      </c>
    </row>
    <row r="4337" spans="1:20" x14ac:dyDescent="0.25">
      <c r="A4337" s="21">
        <v>45799</v>
      </c>
      <c r="B4337" s="1" t="s">
        <v>7620</v>
      </c>
      <c r="C4337" t="s">
        <v>544</v>
      </c>
      <c r="D4337" s="22">
        <v>950000</v>
      </c>
      <c r="E4337" t="s">
        <v>46</v>
      </c>
      <c r="F4337" s="2">
        <v>210115002</v>
      </c>
      <c r="G4337" s="2" t="s">
        <v>47</v>
      </c>
      <c r="L4337" s="2" t="s">
        <v>7621</v>
      </c>
      <c r="N4337" t="s">
        <v>544</v>
      </c>
      <c r="P4337" s="23">
        <v>94.97</v>
      </c>
      <c r="Q4337" s="4">
        <f t="shared" si="67"/>
        <v>10003.158892281774</v>
      </c>
      <c r="R4337" s="23" t="s">
        <v>1198</v>
      </c>
    </row>
    <row r="4338" spans="1:20" x14ac:dyDescent="0.25">
      <c r="A4338" s="21">
        <v>45799</v>
      </c>
      <c r="B4338" s="1" t="s">
        <v>1208</v>
      </c>
      <c r="C4338" t="s">
        <v>7622</v>
      </c>
      <c r="D4338" s="22">
        <v>-200000</v>
      </c>
      <c r="E4338" t="s">
        <v>35</v>
      </c>
      <c r="F4338" s="2">
        <v>110114001</v>
      </c>
      <c r="G4338" s="2" t="s">
        <v>301</v>
      </c>
      <c r="L4338" s="2" t="s">
        <v>7623</v>
      </c>
      <c r="M4338" s="50" t="s">
        <v>976</v>
      </c>
      <c r="N4338" s="50" t="s">
        <v>977</v>
      </c>
      <c r="O4338" s="50"/>
      <c r="P4338" s="23">
        <v>94.97</v>
      </c>
      <c r="Q4338" s="4">
        <f t="shared" si="67"/>
        <v>-2105.9281878487946</v>
      </c>
      <c r="R4338" s="23" t="s">
        <v>1198</v>
      </c>
      <c r="S4338" s="33" t="s">
        <v>5309</v>
      </c>
    </row>
    <row r="4339" spans="1:20" x14ac:dyDescent="0.25">
      <c r="A4339" s="21">
        <v>45799</v>
      </c>
      <c r="B4339" s="1" t="s">
        <v>1214</v>
      </c>
      <c r="C4339" t="s">
        <v>7624</v>
      </c>
      <c r="D4339" s="22">
        <v>-200000</v>
      </c>
      <c r="E4339" t="s">
        <v>35</v>
      </c>
      <c r="F4339" s="2">
        <v>210101001</v>
      </c>
      <c r="G4339" s="2" t="s">
        <v>36</v>
      </c>
      <c r="L4339" s="2" t="s">
        <v>7625</v>
      </c>
      <c r="M4339" t="s">
        <v>38</v>
      </c>
      <c r="N4339" t="s">
        <v>39</v>
      </c>
      <c r="P4339" s="23">
        <v>94.97</v>
      </c>
      <c r="Q4339" s="4">
        <f t="shared" si="67"/>
        <v>-2105.9281878487946</v>
      </c>
      <c r="R4339" s="23" t="s">
        <v>1198</v>
      </c>
    </row>
    <row r="4340" spans="1:20" x14ac:dyDescent="0.25">
      <c r="A4340" s="21">
        <v>45799</v>
      </c>
      <c r="B4340" s="1" t="s">
        <v>1208</v>
      </c>
      <c r="C4340" t="s">
        <v>7622</v>
      </c>
      <c r="D4340" s="22">
        <v>-200000</v>
      </c>
      <c r="E4340" t="s">
        <v>35</v>
      </c>
      <c r="F4340" s="2">
        <v>110114001</v>
      </c>
      <c r="G4340" s="2" t="s">
        <v>301</v>
      </c>
      <c r="L4340" s="2" t="s">
        <v>7626</v>
      </c>
      <c r="M4340" s="50" t="s">
        <v>976</v>
      </c>
      <c r="N4340" s="50" t="s">
        <v>977</v>
      </c>
      <c r="O4340" s="50"/>
      <c r="P4340" s="23">
        <v>94.97</v>
      </c>
      <c r="Q4340" s="4">
        <f t="shared" si="67"/>
        <v>-2105.9281878487946</v>
      </c>
      <c r="R4340" s="23" t="s">
        <v>1198</v>
      </c>
      <c r="S4340" s="33" t="s">
        <v>5309</v>
      </c>
    </row>
    <row r="4341" spans="1:20" x14ac:dyDescent="0.25">
      <c r="A4341" s="21">
        <v>45799</v>
      </c>
      <c r="B4341" s="1" t="s">
        <v>1208</v>
      </c>
      <c r="C4341" t="s">
        <v>7622</v>
      </c>
      <c r="D4341" s="22">
        <v>-180120.98</v>
      </c>
      <c r="E4341" t="s">
        <v>35</v>
      </c>
      <c r="F4341" s="2">
        <v>110114001</v>
      </c>
      <c r="G4341" s="2" t="s">
        <v>301</v>
      </c>
      <c r="L4341" s="2" t="s">
        <v>7627</v>
      </c>
      <c r="M4341" s="50" t="s">
        <v>976</v>
      </c>
      <c r="N4341" s="50" t="s">
        <v>977</v>
      </c>
      <c r="O4341" s="50"/>
      <c r="P4341" s="23">
        <v>94.97</v>
      </c>
      <c r="Q4341" s="4">
        <f t="shared" si="67"/>
        <v>-1896.6092450247447</v>
      </c>
      <c r="R4341" s="23" t="s">
        <v>1198</v>
      </c>
      <c r="S4341" s="33" t="s">
        <v>5309</v>
      </c>
    </row>
    <row r="4342" spans="1:20" x14ac:dyDescent="0.25">
      <c r="A4342" s="21">
        <v>45799</v>
      </c>
      <c r="B4342" s="1" t="s">
        <v>1214</v>
      </c>
      <c r="C4342" t="s">
        <v>7624</v>
      </c>
      <c r="D4342" s="22">
        <v>-9313.8799999999992</v>
      </c>
      <c r="E4342" t="s">
        <v>35</v>
      </c>
      <c r="F4342" s="2">
        <v>210101001</v>
      </c>
      <c r="G4342" s="2" t="s">
        <v>36</v>
      </c>
      <c r="L4342" s="2" t="s">
        <v>7628</v>
      </c>
      <c r="M4342" t="s">
        <v>38</v>
      </c>
      <c r="N4342" t="s">
        <v>39</v>
      </c>
      <c r="P4342" s="23">
        <v>94.97</v>
      </c>
      <c r="Q4342" s="4">
        <f t="shared" si="67"/>
        <v>-98.071812151205634</v>
      </c>
      <c r="R4342" s="23" t="s">
        <v>1198</v>
      </c>
    </row>
    <row r="4343" spans="1:20" x14ac:dyDescent="0.25">
      <c r="A4343" s="21">
        <v>45799</v>
      </c>
      <c r="B4343" s="1" t="s">
        <v>1208</v>
      </c>
      <c r="C4343" t="s">
        <v>7622</v>
      </c>
      <c r="D4343" s="22">
        <v>-200000</v>
      </c>
      <c r="E4343" t="s">
        <v>35</v>
      </c>
      <c r="F4343" s="2">
        <v>110114001</v>
      </c>
      <c r="G4343" s="2" t="s">
        <v>301</v>
      </c>
      <c r="L4343" s="2" t="s">
        <v>7629</v>
      </c>
      <c r="M4343" s="50" t="s">
        <v>976</v>
      </c>
      <c r="N4343" s="50" t="s">
        <v>977</v>
      </c>
      <c r="O4343" s="50"/>
      <c r="P4343" s="23">
        <v>94.97</v>
      </c>
      <c r="Q4343" s="4">
        <f t="shared" si="67"/>
        <v>-2105.9281878487946</v>
      </c>
      <c r="R4343" s="23" t="s">
        <v>1198</v>
      </c>
      <c r="S4343" s="33" t="s">
        <v>5309</v>
      </c>
    </row>
    <row r="4344" spans="1:20" x14ac:dyDescent="0.25">
      <c r="A4344" s="21">
        <v>45799</v>
      </c>
      <c r="B4344" s="1" t="s">
        <v>1211</v>
      </c>
      <c r="C4344" t="s">
        <v>7630</v>
      </c>
      <c r="D4344" s="22">
        <v>-1475.73</v>
      </c>
      <c r="E4344" t="s">
        <v>35</v>
      </c>
      <c r="F4344" s="2">
        <v>210101001</v>
      </c>
      <c r="G4344" s="2" t="s">
        <v>36</v>
      </c>
      <c r="L4344" s="2" t="s">
        <v>7631</v>
      </c>
      <c r="M4344" t="s">
        <v>725</v>
      </c>
      <c r="N4344" t="s">
        <v>726</v>
      </c>
      <c r="P4344" s="23">
        <v>94.97</v>
      </c>
      <c r="Q4344" s="4">
        <f t="shared" si="67"/>
        <v>-15.538907023270507</v>
      </c>
      <c r="R4344" s="23" t="s">
        <v>1198</v>
      </c>
    </row>
    <row r="4345" spans="1:20" x14ac:dyDescent="0.25">
      <c r="A4345" s="21">
        <v>45799</v>
      </c>
      <c r="B4345" s="1" t="s">
        <v>1223</v>
      </c>
      <c r="C4345" t="s">
        <v>1221</v>
      </c>
      <c r="D4345" s="22">
        <v>-450.3</v>
      </c>
      <c r="E4345" t="s">
        <v>35</v>
      </c>
      <c r="F4345" s="2">
        <v>610148001</v>
      </c>
      <c r="G4345" s="2" t="s">
        <v>42</v>
      </c>
      <c r="L4345" s="2" t="s">
        <v>7632</v>
      </c>
      <c r="M4345" t="s">
        <v>43</v>
      </c>
      <c r="N4345" t="s">
        <v>42</v>
      </c>
      <c r="P4345" s="23">
        <v>94.97</v>
      </c>
      <c r="Q4345" s="4">
        <f t="shared" si="67"/>
        <v>-4.7414973149415607</v>
      </c>
      <c r="R4345" s="23" t="s">
        <v>1198</v>
      </c>
      <c r="T4345" s="41" t="s">
        <v>6107</v>
      </c>
    </row>
    <row r="4346" spans="1:20" x14ac:dyDescent="0.25">
      <c r="A4346" s="21">
        <v>45799</v>
      </c>
      <c r="B4346" s="1" t="s">
        <v>1223</v>
      </c>
      <c r="C4346" t="s">
        <v>1221</v>
      </c>
      <c r="D4346" s="22">
        <v>-500</v>
      </c>
      <c r="E4346" t="s">
        <v>35</v>
      </c>
      <c r="F4346" s="2">
        <v>610148001</v>
      </c>
      <c r="G4346" s="2" t="s">
        <v>42</v>
      </c>
      <c r="L4346" s="2" t="s">
        <v>7633</v>
      </c>
      <c r="M4346" t="s">
        <v>43</v>
      </c>
      <c r="N4346" t="s">
        <v>42</v>
      </c>
      <c r="P4346" s="23">
        <v>94.97</v>
      </c>
      <c r="Q4346" s="4">
        <f t="shared" si="67"/>
        <v>-5.264820469621986</v>
      </c>
      <c r="R4346" s="23" t="s">
        <v>1198</v>
      </c>
      <c r="T4346" s="41" t="s">
        <v>6107</v>
      </c>
    </row>
    <row r="4347" spans="1:20" x14ac:dyDescent="0.25">
      <c r="A4347" s="21">
        <v>45799</v>
      </c>
      <c r="B4347" s="1" t="s">
        <v>1223</v>
      </c>
      <c r="C4347" t="s">
        <v>1221</v>
      </c>
      <c r="D4347" s="22">
        <v>-500</v>
      </c>
      <c r="E4347" t="s">
        <v>35</v>
      </c>
      <c r="F4347" s="2">
        <v>610148001</v>
      </c>
      <c r="G4347" s="2" t="s">
        <v>42</v>
      </c>
      <c r="L4347" s="2" t="s">
        <v>7634</v>
      </c>
      <c r="M4347" t="s">
        <v>43</v>
      </c>
      <c r="N4347" t="s">
        <v>42</v>
      </c>
      <c r="P4347" s="23">
        <v>94.97</v>
      </c>
      <c r="Q4347" s="4">
        <f t="shared" si="67"/>
        <v>-5.264820469621986</v>
      </c>
      <c r="R4347" s="23" t="s">
        <v>1198</v>
      </c>
      <c r="T4347" s="41" t="s">
        <v>6107</v>
      </c>
    </row>
    <row r="4348" spans="1:20" x14ac:dyDescent="0.25">
      <c r="A4348" s="21">
        <v>45799</v>
      </c>
      <c r="B4348" s="1" t="s">
        <v>1223</v>
      </c>
      <c r="C4348" t="s">
        <v>1221</v>
      </c>
      <c r="D4348" s="22">
        <v>-500</v>
      </c>
      <c r="E4348" t="s">
        <v>35</v>
      </c>
      <c r="F4348" s="2">
        <v>610148001</v>
      </c>
      <c r="G4348" s="2" t="s">
        <v>42</v>
      </c>
      <c r="L4348" s="2" t="s">
        <v>7635</v>
      </c>
      <c r="M4348" t="s">
        <v>43</v>
      </c>
      <c r="N4348" t="s">
        <v>42</v>
      </c>
      <c r="P4348" s="23">
        <v>94.97</v>
      </c>
      <c r="Q4348" s="4">
        <f t="shared" si="67"/>
        <v>-5.264820469621986</v>
      </c>
      <c r="R4348" s="23" t="s">
        <v>1198</v>
      </c>
      <c r="T4348" s="41" t="s">
        <v>6107</v>
      </c>
    </row>
    <row r="4349" spans="1:20" x14ac:dyDescent="0.25">
      <c r="A4349" s="21">
        <v>45799</v>
      </c>
      <c r="B4349" s="1" t="s">
        <v>1225</v>
      </c>
      <c r="C4349" t="s">
        <v>1221</v>
      </c>
      <c r="D4349" s="22">
        <v>-23.28</v>
      </c>
      <c r="E4349" t="s">
        <v>35</v>
      </c>
      <c r="F4349" s="2">
        <v>610148001</v>
      </c>
      <c r="G4349" s="2" t="s">
        <v>42</v>
      </c>
      <c r="L4349" s="2" t="s">
        <v>7636</v>
      </c>
      <c r="M4349" t="s">
        <v>43</v>
      </c>
      <c r="N4349" t="s">
        <v>42</v>
      </c>
      <c r="P4349" s="23">
        <v>94.97</v>
      </c>
      <c r="Q4349" s="4">
        <f t="shared" si="67"/>
        <v>-0.24513004106559969</v>
      </c>
      <c r="R4349" s="23" t="s">
        <v>1198</v>
      </c>
      <c r="T4349" s="41" t="s">
        <v>6107</v>
      </c>
    </row>
    <row r="4350" spans="1:20" x14ac:dyDescent="0.25">
      <c r="A4350" s="21">
        <v>45799</v>
      </c>
      <c r="B4350" s="1" t="s">
        <v>1227</v>
      </c>
      <c r="C4350" t="s">
        <v>1221</v>
      </c>
      <c r="D4350" s="22">
        <v>-3.68</v>
      </c>
      <c r="E4350" t="s">
        <v>35</v>
      </c>
      <c r="F4350" s="2">
        <v>610148001</v>
      </c>
      <c r="G4350" s="2" t="s">
        <v>42</v>
      </c>
      <c r="L4350" s="2" t="s">
        <v>7637</v>
      </c>
      <c r="M4350" t="s">
        <v>43</v>
      </c>
      <c r="N4350" t="s">
        <v>42</v>
      </c>
      <c r="P4350" s="23">
        <v>94.97</v>
      </c>
      <c r="Q4350" s="4">
        <f t="shared" si="67"/>
        <v>-3.8749078656417815E-2</v>
      </c>
      <c r="R4350" s="23" t="s">
        <v>1198</v>
      </c>
      <c r="T4350" s="41" t="s">
        <v>6107</v>
      </c>
    </row>
    <row r="4351" spans="1:20" x14ac:dyDescent="0.25">
      <c r="A4351" s="21">
        <v>45799</v>
      </c>
      <c r="B4351" s="1" t="s">
        <v>1225</v>
      </c>
      <c r="C4351" t="s">
        <v>1221</v>
      </c>
      <c r="D4351" s="22">
        <v>-500</v>
      </c>
      <c r="E4351" t="s">
        <v>35</v>
      </c>
      <c r="F4351" s="2">
        <v>610148001</v>
      </c>
      <c r="G4351" s="2" t="s">
        <v>42</v>
      </c>
      <c r="L4351" s="2" t="s">
        <v>7638</v>
      </c>
      <c r="M4351" t="s">
        <v>43</v>
      </c>
      <c r="N4351" t="s">
        <v>42</v>
      </c>
      <c r="P4351" s="23">
        <v>94.97</v>
      </c>
      <c r="Q4351" s="4">
        <f t="shared" si="67"/>
        <v>-5.264820469621986</v>
      </c>
      <c r="R4351" s="23" t="s">
        <v>1198</v>
      </c>
      <c r="T4351" s="41" t="s">
        <v>6107</v>
      </c>
    </row>
    <row r="4352" spans="1:20" x14ac:dyDescent="0.25">
      <c r="A4352" s="21">
        <v>45800</v>
      </c>
      <c r="B4352" s="1" t="s">
        <v>7639</v>
      </c>
      <c r="C4352" t="s">
        <v>7640</v>
      </c>
      <c r="D4352" s="22">
        <v>-20000</v>
      </c>
      <c r="E4352" t="s">
        <v>35</v>
      </c>
      <c r="F4352" s="2">
        <v>110101003</v>
      </c>
      <c r="G4352" s="2" t="s">
        <v>6734</v>
      </c>
      <c r="L4352" s="2" t="s">
        <v>7641</v>
      </c>
      <c r="N4352" t="s">
        <v>6736</v>
      </c>
      <c r="P4352" s="23">
        <v>95.02</v>
      </c>
      <c r="Q4352" s="4">
        <f t="shared" si="67"/>
        <v>-210.48200378867608</v>
      </c>
      <c r="R4352" s="23" t="s">
        <v>1198</v>
      </c>
    </row>
    <row r="4353" spans="1:20" x14ac:dyDescent="0.25">
      <c r="A4353" s="21">
        <v>45800</v>
      </c>
      <c r="B4353" s="1" t="s">
        <v>7642</v>
      </c>
      <c r="C4353" t="s">
        <v>7643</v>
      </c>
      <c r="D4353" s="22">
        <v>-50</v>
      </c>
      <c r="E4353" t="s">
        <v>35</v>
      </c>
      <c r="F4353" s="2">
        <v>610148001</v>
      </c>
      <c r="G4353" s="2" t="s">
        <v>42</v>
      </c>
      <c r="L4353" s="2" t="s">
        <v>7644</v>
      </c>
      <c r="M4353" t="s">
        <v>43</v>
      </c>
      <c r="N4353" t="s">
        <v>42</v>
      </c>
      <c r="P4353" s="23">
        <v>95.02</v>
      </c>
      <c r="Q4353" s="4">
        <f t="shared" si="67"/>
        <v>-0.52620500947169024</v>
      </c>
      <c r="R4353" s="23" t="s">
        <v>1198</v>
      </c>
      <c r="T4353" s="41" t="s">
        <v>6107</v>
      </c>
    </row>
    <row r="4354" spans="1:20" x14ac:dyDescent="0.25">
      <c r="A4354" s="21">
        <v>45800</v>
      </c>
      <c r="B4354" s="1" t="s">
        <v>7645</v>
      </c>
      <c r="C4354" t="s">
        <v>544</v>
      </c>
      <c r="D4354" s="22">
        <v>880000</v>
      </c>
      <c r="E4354" t="s">
        <v>46</v>
      </c>
      <c r="F4354" s="2">
        <v>210115002</v>
      </c>
      <c r="G4354" s="2" t="s">
        <v>47</v>
      </c>
      <c r="L4354" s="2" t="s">
        <v>7646</v>
      </c>
      <c r="N4354" t="s">
        <v>544</v>
      </c>
      <c r="P4354" s="23">
        <v>95.02</v>
      </c>
      <c r="Q4354" s="4">
        <f t="shared" si="67"/>
        <v>9261.2081667017483</v>
      </c>
      <c r="R4354" s="23" t="s">
        <v>1198</v>
      </c>
    </row>
    <row r="4355" spans="1:20" x14ac:dyDescent="0.25">
      <c r="A4355" s="21">
        <v>45800</v>
      </c>
      <c r="B4355" s="1" t="s">
        <v>4021</v>
      </c>
      <c r="C4355" t="s">
        <v>7647</v>
      </c>
      <c r="D4355" s="22">
        <v>-131834.26999999999</v>
      </c>
      <c r="E4355" t="s">
        <v>35</v>
      </c>
      <c r="F4355" s="2">
        <v>210101001</v>
      </c>
      <c r="G4355" s="2" t="s">
        <v>36</v>
      </c>
      <c r="L4355" s="2" t="s">
        <v>7648</v>
      </c>
      <c r="M4355" t="s">
        <v>38</v>
      </c>
      <c r="N4355" t="s">
        <v>39</v>
      </c>
      <c r="P4355" s="23">
        <v>95.02</v>
      </c>
      <c r="Q4355" s="4">
        <f t="shared" si="67"/>
        <v>-1387.4370658808671</v>
      </c>
      <c r="R4355" s="23" t="s">
        <v>1198</v>
      </c>
    </row>
    <row r="4356" spans="1:20" x14ac:dyDescent="0.25">
      <c r="A4356" s="21">
        <v>45800</v>
      </c>
      <c r="B4356" s="1" t="s">
        <v>3952</v>
      </c>
      <c r="C4356" t="s">
        <v>7649</v>
      </c>
      <c r="D4356" s="22">
        <v>-950.2</v>
      </c>
      <c r="E4356" t="s">
        <v>35</v>
      </c>
      <c r="F4356" s="2">
        <v>212901001</v>
      </c>
      <c r="G4356" s="2" t="s">
        <v>121</v>
      </c>
      <c r="L4356" s="2" t="s">
        <v>7650</v>
      </c>
      <c r="M4356" t="s">
        <v>67</v>
      </c>
      <c r="N4356" t="s">
        <v>68</v>
      </c>
      <c r="P4356" s="23">
        <v>95.02</v>
      </c>
      <c r="Q4356" s="4">
        <f t="shared" si="67"/>
        <v>-10.000000000000002</v>
      </c>
      <c r="R4356" s="23" t="s">
        <v>1198</v>
      </c>
    </row>
    <row r="4357" spans="1:20" x14ac:dyDescent="0.25">
      <c r="A4357" s="21">
        <v>45800</v>
      </c>
      <c r="B4357" s="1" t="s">
        <v>3924</v>
      </c>
      <c r="C4357" t="s">
        <v>7651</v>
      </c>
      <c r="D4357" s="22">
        <v>-4751</v>
      </c>
      <c r="E4357" t="s">
        <v>35</v>
      </c>
      <c r="F4357" s="2">
        <v>212901001</v>
      </c>
      <c r="G4357" s="2" t="s">
        <v>121</v>
      </c>
      <c r="L4357" s="2" t="s">
        <v>7652</v>
      </c>
      <c r="M4357" t="s">
        <v>67</v>
      </c>
      <c r="N4357" t="s">
        <v>68</v>
      </c>
      <c r="P4357" s="23">
        <v>95.02</v>
      </c>
      <c r="Q4357" s="4">
        <f t="shared" si="67"/>
        <v>-50</v>
      </c>
      <c r="R4357" s="23" t="s">
        <v>1198</v>
      </c>
    </row>
    <row r="4358" spans="1:20" x14ac:dyDescent="0.25">
      <c r="A4358" s="21">
        <v>45800</v>
      </c>
      <c r="B4358" s="1" t="s">
        <v>3949</v>
      </c>
      <c r="C4358" t="s">
        <v>7653</v>
      </c>
      <c r="D4358" s="22">
        <v>-1900.4</v>
      </c>
      <c r="E4358" t="s">
        <v>35</v>
      </c>
      <c r="F4358" s="2">
        <v>212901001</v>
      </c>
      <c r="G4358" s="2" t="s">
        <v>121</v>
      </c>
      <c r="L4358" s="2" t="s">
        <v>7654</v>
      </c>
      <c r="M4358" t="s">
        <v>67</v>
      </c>
      <c r="N4358" t="s">
        <v>68</v>
      </c>
      <c r="P4358" s="23">
        <v>95.02</v>
      </c>
      <c r="Q4358" s="4">
        <f t="shared" si="67"/>
        <v>-20.000000000000004</v>
      </c>
      <c r="R4358" s="23" t="s">
        <v>1198</v>
      </c>
    </row>
    <row r="4359" spans="1:20" x14ac:dyDescent="0.25">
      <c r="A4359" s="21">
        <v>45800</v>
      </c>
      <c r="B4359" s="1" t="s">
        <v>3914</v>
      </c>
      <c r="C4359" t="s">
        <v>7653</v>
      </c>
      <c r="D4359" s="22">
        <v>-1900.4</v>
      </c>
      <c r="E4359" t="s">
        <v>35</v>
      </c>
      <c r="F4359" s="2">
        <v>212901001</v>
      </c>
      <c r="G4359" s="2" t="s">
        <v>121</v>
      </c>
      <c r="L4359" s="2" t="s">
        <v>7655</v>
      </c>
      <c r="M4359" t="s">
        <v>67</v>
      </c>
      <c r="N4359" t="s">
        <v>68</v>
      </c>
      <c r="P4359" s="23">
        <v>95.02</v>
      </c>
      <c r="Q4359" s="4">
        <f t="shared" si="67"/>
        <v>-20.000000000000004</v>
      </c>
      <c r="R4359" s="23" t="s">
        <v>1198</v>
      </c>
    </row>
    <row r="4360" spans="1:20" x14ac:dyDescent="0.25">
      <c r="A4360" s="21">
        <v>45800</v>
      </c>
      <c r="B4360" s="1" t="s">
        <v>3943</v>
      </c>
      <c r="C4360" t="s">
        <v>7656</v>
      </c>
      <c r="D4360" s="22">
        <v>-2850.6</v>
      </c>
      <c r="E4360" t="s">
        <v>35</v>
      </c>
      <c r="F4360" s="2">
        <v>212901001</v>
      </c>
      <c r="G4360" s="2" t="s">
        <v>121</v>
      </c>
      <c r="L4360" s="2" t="s">
        <v>7657</v>
      </c>
      <c r="M4360" t="s">
        <v>67</v>
      </c>
      <c r="N4360" t="s">
        <v>68</v>
      </c>
      <c r="P4360" s="23">
        <v>95.02</v>
      </c>
      <c r="Q4360" s="4">
        <f t="shared" si="67"/>
        <v>-30</v>
      </c>
      <c r="R4360" s="23" t="s">
        <v>1198</v>
      </c>
    </row>
    <row r="4361" spans="1:20" x14ac:dyDescent="0.25">
      <c r="A4361" s="21">
        <v>45800</v>
      </c>
      <c r="B4361" s="1" t="s">
        <v>1211</v>
      </c>
      <c r="C4361" t="s">
        <v>7495</v>
      </c>
      <c r="D4361" s="22">
        <v>-116687.75</v>
      </c>
      <c r="E4361" t="s">
        <v>35</v>
      </c>
      <c r="F4361" s="2">
        <v>210101001</v>
      </c>
      <c r="G4361" s="2" t="s">
        <v>36</v>
      </c>
      <c r="L4361" s="2" t="s">
        <v>7658</v>
      </c>
      <c r="M4361" t="s">
        <v>7497</v>
      </c>
      <c r="N4361" t="s">
        <v>7498</v>
      </c>
      <c r="P4361" s="23">
        <v>95.02</v>
      </c>
      <c r="Q4361" s="4">
        <f t="shared" si="67"/>
        <v>-1228.0335718796043</v>
      </c>
      <c r="R4361" s="23" t="s">
        <v>1198</v>
      </c>
    </row>
    <row r="4362" spans="1:20" x14ac:dyDescent="0.25">
      <c r="A4362" s="21">
        <v>45800</v>
      </c>
      <c r="B4362" s="1" t="s">
        <v>1214</v>
      </c>
      <c r="C4362" t="s">
        <v>6358</v>
      </c>
      <c r="D4362" s="22">
        <v>-9293.2199999999993</v>
      </c>
      <c r="E4362" t="s">
        <v>35</v>
      </c>
      <c r="F4362" s="2">
        <v>110101002</v>
      </c>
      <c r="G4362" s="2" t="s">
        <v>6359</v>
      </c>
      <c r="L4362" s="2" t="s">
        <v>7659</v>
      </c>
      <c r="N4362" t="s">
        <v>7557</v>
      </c>
      <c r="P4362" s="23">
        <v>95.02</v>
      </c>
      <c r="Q4362" s="4">
        <f t="shared" si="67"/>
        <v>-97.802778362450013</v>
      </c>
      <c r="R4362" s="23" t="s">
        <v>1198</v>
      </c>
    </row>
    <row r="4363" spans="1:20" x14ac:dyDescent="0.25">
      <c r="A4363" s="21">
        <v>45800</v>
      </c>
      <c r="B4363" s="1" t="s">
        <v>4127</v>
      </c>
      <c r="C4363" t="s">
        <v>7660</v>
      </c>
      <c r="D4363" s="22">
        <v>-15070.8</v>
      </c>
      <c r="E4363" t="s">
        <v>35</v>
      </c>
      <c r="F4363" s="2">
        <v>210101001</v>
      </c>
      <c r="G4363" s="2" t="s">
        <v>36</v>
      </c>
      <c r="L4363" s="2" t="s">
        <v>7661</v>
      </c>
      <c r="M4363" s="72" t="s">
        <v>114</v>
      </c>
      <c r="N4363" s="73" t="s">
        <v>115</v>
      </c>
      <c r="O4363" s="50"/>
      <c r="P4363" s="23">
        <v>95.02</v>
      </c>
      <c r="Q4363" s="4">
        <f t="shared" ref="Q4363:Q4426" si="68">D4363/P4363</f>
        <v>-158.60660913491895</v>
      </c>
      <c r="R4363" s="23" t="s">
        <v>1198</v>
      </c>
    </row>
    <row r="4364" spans="1:20" x14ac:dyDescent="0.25">
      <c r="A4364" s="32">
        <v>45800</v>
      </c>
      <c r="B4364" s="26" t="s">
        <v>4108</v>
      </c>
      <c r="C4364" s="27" t="s">
        <v>7662</v>
      </c>
      <c r="D4364" s="28">
        <v>-4846.0200000000004</v>
      </c>
      <c r="E4364" s="27" t="s">
        <v>35</v>
      </c>
      <c r="F4364" s="29">
        <v>610156001</v>
      </c>
      <c r="G4364" s="29" t="s">
        <v>91</v>
      </c>
      <c r="H4364" s="107"/>
      <c r="I4364" s="101"/>
      <c r="J4364" s="101"/>
      <c r="K4364" s="29"/>
      <c r="L4364" s="2" t="s">
        <v>7663</v>
      </c>
      <c r="M4364" s="27" t="s">
        <v>5015</v>
      </c>
      <c r="N4364" s="27" t="s">
        <v>1240</v>
      </c>
      <c r="O4364" s="27" t="s">
        <v>59</v>
      </c>
      <c r="P4364" s="31">
        <v>95.02</v>
      </c>
      <c r="Q4364" s="4">
        <f t="shared" si="68"/>
        <v>-51.000000000000007</v>
      </c>
      <c r="R4364" s="23" t="s">
        <v>1198</v>
      </c>
      <c r="T4364" s="23" t="s">
        <v>7664</v>
      </c>
    </row>
    <row r="4365" spans="1:20" x14ac:dyDescent="0.25">
      <c r="A4365" s="21">
        <v>45800</v>
      </c>
      <c r="B4365" s="1" t="s">
        <v>1208</v>
      </c>
      <c r="C4365" t="s">
        <v>7665</v>
      </c>
      <c r="D4365" s="22">
        <v>-6651.4</v>
      </c>
      <c r="E4365" t="s">
        <v>35</v>
      </c>
      <c r="F4365" s="2">
        <v>212901001</v>
      </c>
      <c r="G4365" s="2" t="s">
        <v>121</v>
      </c>
      <c r="L4365" s="2" t="s">
        <v>7666</v>
      </c>
      <c r="M4365" t="s">
        <v>67</v>
      </c>
      <c r="N4365" t="s">
        <v>68</v>
      </c>
      <c r="P4365" s="23">
        <v>95.02</v>
      </c>
      <c r="Q4365" s="4">
        <f t="shared" si="68"/>
        <v>-70</v>
      </c>
      <c r="R4365" s="23" t="s">
        <v>1198</v>
      </c>
    </row>
    <row r="4366" spans="1:20" x14ac:dyDescent="0.25">
      <c r="A4366" s="21">
        <v>45800</v>
      </c>
      <c r="B4366" s="1" t="s">
        <v>1208</v>
      </c>
      <c r="C4366" t="s">
        <v>7125</v>
      </c>
      <c r="D4366" s="22">
        <v>-319935.88</v>
      </c>
      <c r="E4366" t="s">
        <v>35</v>
      </c>
      <c r="F4366" s="2">
        <v>210101001</v>
      </c>
      <c r="G4366" s="2" t="s">
        <v>36</v>
      </c>
      <c r="L4366" s="2" t="s">
        <v>7667</v>
      </c>
      <c r="M4366" t="s">
        <v>38</v>
      </c>
      <c r="N4366" t="s">
        <v>39</v>
      </c>
      <c r="P4366" s="23">
        <v>95.02</v>
      </c>
      <c r="Q4366" s="4">
        <f t="shared" si="68"/>
        <v>-3367.0372553146708</v>
      </c>
      <c r="R4366" s="23" t="s">
        <v>1198</v>
      </c>
    </row>
    <row r="4367" spans="1:20" x14ac:dyDescent="0.25">
      <c r="A4367" s="21">
        <v>45800</v>
      </c>
      <c r="B4367" s="1" t="s">
        <v>4161</v>
      </c>
      <c r="C4367" t="s">
        <v>7668</v>
      </c>
      <c r="D4367" s="22">
        <v>-11309.1</v>
      </c>
      <c r="E4367" t="s">
        <v>35</v>
      </c>
      <c r="F4367" s="2">
        <v>210101001</v>
      </c>
      <c r="G4367" s="2" t="s">
        <v>36</v>
      </c>
      <c r="L4367" s="2" t="s">
        <v>7669</v>
      </c>
      <c r="M4367" t="s">
        <v>114</v>
      </c>
      <c r="N4367" t="s">
        <v>115</v>
      </c>
      <c r="P4367" s="23">
        <v>95.02</v>
      </c>
      <c r="Q4367" s="4">
        <f t="shared" si="68"/>
        <v>-119.01810145232584</v>
      </c>
      <c r="R4367" s="23" t="s">
        <v>1198</v>
      </c>
    </row>
    <row r="4368" spans="1:20" x14ac:dyDescent="0.25">
      <c r="A4368" s="21">
        <v>45800</v>
      </c>
      <c r="B4368" s="1" t="s">
        <v>4091</v>
      </c>
      <c r="C4368" t="s">
        <v>7670</v>
      </c>
      <c r="D4368" s="22">
        <v>-5456.05</v>
      </c>
      <c r="E4368" t="s">
        <v>35</v>
      </c>
      <c r="F4368" s="2">
        <v>110114001</v>
      </c>
      <c r="G4368" s="2" t="s">
        <v>301</v>
      </c>
      <c r="L4368" s="2" t="s">
        <v>7671</v>
      </c>
      <c r="M4368" s="50" t="s">
        <v>2028</v>
      </c>
      <c r="N4368" s="50" t="s">
        <v>2029</v>
      </c>
      <c r="O4368" s="50"/>
      <c r="P4368" s="23">
        <v>95.02</v>
      </c>
      <c r="Q4368" s="4">
        <f t="shared" si="68"/>
        <v>-57.420016838560308</v>
      </c>
      <c r="R4368" s="23" t="s">
        <v>1198</v>
      </c>
      <c r="S4368" s="33" t="s">
        <v>5309</v>
      </c>
    </row>
    <row r="4369" spans="1:20" x14ac:dyDescent="0.25">
      <c r="A4369" s="21">
        <v>45800</v>
      </c>
      <c r="B4369" s="1" t="s">
        <v>4018</v>
      </c>
      <c r="C4369" t="s">
        <v>7672</v>
      </c>
      <c r="D4369" s="22">
        <v>-2280</v>
      </c>
      <c r="E4369" t="s">
        <v>35</v>
      </c>
      <c r="F4369" s="2">
        <v>210101001</v>
      </c>
      <c r="G4369" s="2" t="s">
        <v>36</v>
      </c>
      <c r="L4369" s="2" t="s">
        <v>7673</v>
      </c>
      <c r="M4369" t="s">
        <v>788</v>
      </c>
      <c r="N4369" t="s">
        <v>789</v>
      </c>
      <c r="P4369" s="23">
        <v>95.02</v>
      </c>
      <c r="Q4369" s="4">
        <f t="shared" si="68"/>
        <v>-23.994948431909073</v>
      </c>
      <c r="R4369" s="23" t="s">
        <v>1198</v>
      </c>
    </row>
    <row r="4370" spans="1:20" x14ac:dyDescent="0.25">
      <c r="A4370" s="21">
        <v>45800</v>
      </c>
      <c r="B4370" s="1" t="s">
        <v>3917</v>
      </c>
      <c r="C4370" t="s">
        <v>7674</v>
      </c>
      <c r="D4370" s="22">
        <v>-1900.4</v>
      </c>
      <c r="E4370" t="s">
        <v>35</v>
      </c>
      <c r="F4370" s="2">
        <v>212901001</v>
      </c>
      <c r="G4370" s="2" t="s">
        <v>121</v>
      </c>
      <c r="L4370" s="2" t="s">
        <v>7675</v>
      </c>
      <c r="M4370" t="s">
        <v>67</v>
      </c>
      <c r="N4370" t="s">
        <v>68</v>
      </c>
      <c r="P4370" s="23">
        <v>95.02</v>
      </c>
      <c r="Q4370" s="4">
        <f t="shared" si="68"/>
        <v>-20.000000000000004</v>
      </c>
      <c r="R4370" s="23" t="s">
        <v>1198</v>
      </c>
    </row>
    <row r="4371" spans="1:20" x14ac:dyDescent="0.25">
      <c r="A4371" s="21">
        <v>45800</v>
      </c>
      <c r="B4371" s="1" t="s">
        <v>3936</v>
      </c>
      <c r="C4371" t="s">
        <v>7676</v>
      </c>
      <c r="D4371" s="22">
        <v>-1900.4</v>
      </c>
      <c r="E4371" t="s">
        <v>35</v>
      </c>
      <c r="F4371" s="2">
        <v>212901001</v>
      </c>
      <c r="G4371" s="2" t="s">
        <v>121</v>
      </c>
      <c r="L4371" s="2" t="s">
        <v>7677</v>
      </c>
      <c r="M4371" t="s">
        <v>67</v>
      </c>
      <c r="N4371" t="s">
        <v>68</v>
      </c>
      <c r="P4371" s="23">
        <v>95.02</v>
      </c>
      <c r="Q4371" s="4">
        <f t="shared" si="68"/>
        <v>-20.000000000000004</v>
      </c>
      <c r="R4371" s="23" t="s">
        <v>1198</v>
      </c>
    </row>
    <row r="4372" spans="1:20" x14ac:dyDescent="0.25">
      <c r="A4372" s="21">
        <v>45800</v>
      </c>
      <c r="B4372" s="1" t="s">
        <v>3933</v>
      </c>
      <c r="C4372" t="s">
        <v>7678</v>
      </c>
      <c r="D4372" s="22">
        <v>-14253</v>
      </c>
      <c r="E4372" t="s">
        <v>35</v>
      </c>
      <c r="F4372" s="2">
        <v>212901001</v>
      </c>
      <c r="G4372" s="2" t="s">
        <v>121</v>
      </c>
      <c r="L4372" s="2" t="s">
        <v>7679</v>
      </c>
      <c r="M4372" t="s">
        <v>67</v>
      </c>
      <c r="N4372" t="s">
        <v>68</v>
      </c>
      <c r="P4372" s="23">
        <v>95.02</v>
      </c>
      <c r="Q4372" s="4">
        <f t="shared" si="68"/>
        <v>-150</v>
      </c>
      <c r="R4372" s="23" t="s">
        <v>1198</v>
      </c>
    </row>
    <row r="4373" spans="1:20" x14ac:dyDescent="0.25">
      <c r="A4373" s="21">
        <v>45800</v>
      </c>
      <c r="B4373" s="1" t="s">
        <v>4088</v>
      </c>
      <c r="C4373" t="s">
        <v>7680</v>
      </c>
      <c r="D4373" s="22">
        <v>-3800.8</v>
      </c>
      <c r="E4373" t="s">
        <v>35</v>
      </c>
      <c r="F4373" s="2">
        <v>212901001</v>
      </c>
      <c r="G4373" s="2" t="s">
        <v>121</v>
      </c>
      <c r="L4373" s="2" t="s">
        <v>7681</v>
      </c>
      <c r="M4373" t="s">
        <v>67</v>
      </c>
      <c r="N4373" t="s">
        <v>68</v>
      </c>
      <c r="P4373" s="23">
        <v>95.02</v>
      </c>
      <c r="Q4373" s="4">
        <f t="shared" si="68"/>
        <v>-40.000000000000007</v>
      </c>
      <c r="R4373" s="23" t="s">
        <v>1198</v>
      </c>
    </row>
    <row r="4374" spans="1:20" x14ac:dyDescent="0.25">
      <c r="A4374" s="32">
        <v>45800</v>
      </c>
      <c r="B4374" s="26" t="s">
        <v>1208</v>
      </c>
      <c r="C4374" s="27" t="s">
        <v>7682</v>
      </c>
      <c r="D4374" s="28">
        <v>-3800.8</v>
      </c>
      <c r="E4374" s="27" t="s">
        <v>35</v>
      </c>
      <c r="F4374" s="29">
        <v>610156001</v>
      </c>
      <c r="G4374" s="29" t="s">
        <v>91</v>
      </c>
      <c r="H4374" s="107"/>
      <c r="I4374" s="101"/>
      <c r="J4374" s="101"/>
      <c r="K4374" s="29"/>
      <c r="L4374" s="2" t="s">
        <v>7683</v>
      </c>
      <c r="M4374" s="27" t="s">
        <v>93</v>
      </c>
      <c r="N4374" s="27" t="s">
        <v>94</v>
      </c>
      <c r="O4374" s="27" t="s">
        <v>59</v>
      </c>
      <c r="P4374" s="31">
        <v>95.02</v>
      </c>
      <c r="Q4374" s="4">
        <f t="shared" si="68"/>
        <v>-40.000000000000007</v>
      </c>
      <c r="R4374" s="23" t="s">
        <v>1198</v>
      </c>
      <c r="T4374" s="23" t="s">
        <v>7684</v>
      </c>
    </row>
    <row r="4375" spans="1:20" x14ac:dyDescent="0.25">
      <c r="A4375" s="21">
        <v>45800</v>
      </c>
      <c r="B4375" s="1" t="s">
        <v>4046</v>
      </c>
      <c r="C4375" t="s">
        <v>7495</v>
      </c>
      <c r="D4375" s="22">
        <v>-200000</v>
      </c>
      <c r="E4375" t="s">
        <v>35</v>
      </c>
      <c r="F4375" s="2">
        <v>210101001</v>
      </c>
      <c r="G4375" s="2" t="s">
        <v>36</v>
      </c>
      <c r="L4375" s="2" t="s">
        <v>7685</v>
      </c>
      <c r="M4375" t="s">
        <v>38</v>
      </c>
      <c r="N4375" t="s">
        <v>39</v>
      </c>
      <c r="P4375" s="23">
        <v>95.02</v>
      </c>
      <c r="Q4375" s="4">
        <f t="shared" si="68"/>
        <v>-2104.8200378867609</v>
      </c>
      <c r="R4375" s="23" t="s">
        <v>1198</v>
      </c>
    </row>
    <row r="4376" spans="1:20" x14ac:dyDescent="0.25">
      <c r="A4376" s="21">
        <v>45800</v>
      </c>
      <c r="B4376" s="1" t="s">
        <v>1208</v>
      </c>
      <c r="C4376" t="s">
        <v>7686</v>
      </c>
      <c r="D4376" s="22">
        <v>-5321.12</v>
      </c>
      <c r="E4376" t="s">
        <v>35</v>
      </c>
      <c r="F4376" s="2">
        <v>212901001</v>
      </c>
      <c r="G4376" s="2" t="s">
        <v>121</v>
      </c>
      <c r="L4376" s="2" t="s">
        <v>7687</v>
      </c>
      <c r="M4376" t="s">
        <v>67</v>
      </c>
      <c r="N4376" t="s">
        <v>68</v>
      </c>
      <c r="P4376" s="23">
        <v>95.02</v>
      </c>
      <c r="Q4376" s="4">
        <f t="shared" si="68"/>
        <v>-56</v>
      </c>
      <c r="R4376" s="23" t="s">
        <v>1198</v>
      </c>
    </row>
    <row r="4377" spans="1:20" x14ac:dyDescent="0.25">
      <c r="A4377" s="32">
        <v>45800</v>
      </c>
      <c r="B4377" s="26" t="s">
        <v>1214</v>
      </c>
      <c r="C4377" s="27" t="s">
        <v>54</v>
      </c>
      <c r="D4377" s="28">
        <v>-11402.4</v>
      </c>
      <c r="E4377" s="27" t="s">
        <v>35</v>
      </c>
      <c r="F4377" s="29">
        <v>610129001</v>
      </c>
      <c r="G4377" s="29" t="s">
        <v>55</v>
      </c>
      <c r="H4377" s="107"/>
      <c r="I4377" s="101"/>
      <c r="J4377" s="101"/>
      <c r="K4377" s="29"/>
      <c r="L4377" s="2" t="s">
        <v>7688</v>
      </c>
      <c r="M4377" s="27" t="s">
        <v>57</v>
      </c>
      <c r="N4377" s="27" t="s">
        <v>58</v>
      </c>
      <c r="O4377" s="27" t="s">
        <v>59</v>
      </c>
      <c r="P4377" s="31">
        <v>95.02</v>
      </c>
      <c r="Q4377" s="4">
        <f t="shared" si="68"/>
        <v>-120</v>
      </c>
      <c r="R4377" s="23" t="s">
        <v>1198</v>
      </c>
      <c r="T4377" s="23" t="s">
        <v>7689</v>
      </c>
    </row>
    <row r="4378" spans="1:20" x14ac:dyDescent="0.25">
      <c r="A4378" s="21">
        <v>45800</v>
      </c>
      <c r="B4378" s="1" t="s">
        <v>4249</v>
      </c>
      <c r="C4378" t="s">
        <v>1221</v>
      </c>
      <c r="D4378" s="22">
        <v>-12.11</v>
      </c>
      <c r="E4378" t="s">
        <v>35</v>
      </c>
      <c r="F4378" s="2">
        <v>610148001</v>
      </c>
      <c r="G4378" s="2" t="s">
        <v>42</v>
      </c>
      <c r="L4378" s="2" t="s">
        <v>7690</v>
      </c>
      <c r="M4378" t="s">
        <v>43</v>
      </c>
      <c r="N4378" t="s">
        <v>42</v>
      </c>
      <c r="P4378" s="23">
        <v>95.02</v>
      </c>
      <c r="Q4378" s="4">
        <f t="shared" si="68"/>
        <v>-0.12744685329404337</v>
      </c>
      <c r="R4378" s="23" t="s">
        <v>1198</v>
      </c>
      <c r="T4378" s="41" t="s">
        <v>6107</v>
      </c>
    </row>
    <row r="4379" spans="1:20" x14ac:dyDescent="0.25">
      <c r="A4379" s="21">
        <v>45800</v>
      </c>
      <c r="B4379" s="1" t="s">
        <v>3973</v>
      </c>
      <c r="C4379" t="s">
        <v>1221</v>
      </c>
      <c r="D4379" s="22">
        <v>-4.75</v>
      </c>
      <c r="E4379" t="s">
        <v>35</v>
      </c>
      <c r="F4379" s="2">
        <v>610148001</v>
      </c>
      <c r="G4379" s="2" t="s">
        <v>42</v>
      </c>
      <c r="L4379" s="2" t="s">
        <v>7691</v>
      </c>
      <c r="M4379" t="s">
        <v>43</v>
      </c>
      <c r="N4379" t="s">
        <v>42</v>
      </c>
      <c r="P4379" s="23">
        <v>95.02</v>
      </c>
      <c r="Q4379" s="4">
        <f t="shared" si="68"/>
        <v>-4.9989475899810565E-2</v>
      </c>
      <c r="R4379" s="23" t="s">
        <v>1198</v>
      </c>
      <c r="T4379" s="41" t="s">
        <v>6107</v>
      </c>
    </row>
    <row r="4380" spans="1:20" x14ac:dyDescent="0.25">
      <c r="A4380" s="21">
        <v>45800</v>
      </c>
      <c r="B4380" s="1" t="s">
        <v>1223</v>
      </c>
      <c r="C4380" t="s">
        <v>1221</v>
      </c>
      <c r="D4380" s="22">
        <v>-16.62</v>
      </c>
      <c r="E4380" t="s">
        <v>35</v>
      </c>
      <c r="F4380" s="2">
        <v>610148001</v>
      </c>
      <c r="G4380" s="2" t="s">
        <v>42</v>
      </c>
      <c r="L4380" s="2" t="s">
        <v>7692</v>
      </c>
      <c r="M4380" t="s">
        <v>43</v>
      </c>
      <c r="N4380" t="s">
        <v>42</v>
      </c>
      <c r="P4380" s="23">
        <v>95.02</v>
      </c>
      <c r="Q4380" s="4">
        <f t="shared" si="68"/>
        <v>-0.17491054514838983</v>
      </c>
      <c r="R4380" s="23" t="s">
        <v>1198</v>
      </c>
      <c r="T4380" s="41" t="s">
        <v>6107</v>
      </c>
    </row>
    <row r="4381" spans="1:20" x14ac:dyDescent="0.25">
      <c r="A4381" s="21">
        <v>45800</v>
      </c>
      <c r="B4381" s="1" t="s">
        <v>4219</v>
      </c>
      <c r="C4381" t="s">
        <v>1221</v>
      </c>
      <c r="D4381" s="22">
        <v>-500</v>
      </c>
      <c r="E4381" t="s">
        <v>35</v>
      </c>
      <c r="F4381" s="2">
        <v>610148001</v>
      </c>
      <c r="G4381" s="2" t="s">
        <v>42</v>
      </c>
      <c r="L4381" s="2" t="s">
        <v>7693</v>
      </c>
      <c r="M4381" t="s">
        <v>43</v>
      </c>
      <c r="N4381" t="s">
        <v>42</v>
      </c>
      <c r="P4381" s="23">
        <v>95.02</v>
      </c>
      <c r="Q4381" s="4">
        <f t="shared" si="68"/>
        <v>-5.2620500947169022</v>
      </c>
      <c r="R4381" s="23" t="s">
        <v>1198</v>
      </c>
      <c r="T4381" s="41" t="s">
        <v>6107</v>
      </c>
    </row>
    <row r="4382" spans="1:20" x14ac:dyDescent="0.25">
      <c r="A4382" s="21">
        <v>45800</v>
      </c>
      <c r="B4382" s="1" t="s">
        <v>4309</v>
      </c>
      <c r="C4382" t="s">
        <v>1221</v>
      </c>
      <c r="D4382" s="22">
        <v>-28.27</v>
      </c>
      <c r="E4382" t="s">
        <v>35</v>
      </c>
      <c r="F4382" s="2">
        <v>610148001</v>
      </c>
      <c r="G4382" s="2" t="s">
        <v>42</v>
      </c>
      <c r="L4382" s="2" t="s">
        <v>7694</v>
      </c>
      <c r="M4382" t="s">
        <v>43</v>
      </c>
      <c r="N4382" t="s">
        <v>42</v>
      </c>
      <c r="P4382" s="23">
        <v>95.02</v>
      </c>
      <c r="Q4382" s="4">
        <f t="shared" si="68"/>
        <v>-0.29751631235529363</v>
      </c>
      <c r="R4382" s="23" t="s">
        <v>1198</v>
      </c>
      <c r="T4382" s="41" t="s">
        <v>6107</v>
      </c>
    </row>
    <row r="4383" spans="1:20" x14ac:dyDescent="0.25">
      <c r="A4383" s="21">
        <v>45800</v>
      </c>
      <c r="B4383" s="1" t="s">
        <v>3979</v>
      </c>
      <c r="C4383" t="s">
        <v>1221</v>
      </c>
      <c r="D4383" s="22">
        <v>-4.75</v>
      </c>
      <c r="E4383" t="s">
        <v>35</v>
      </c>
      <c r="F4383" s="2">
        <v>610148001</v>
      </c>
      <c r="G4383" s="2" t="s">
        <v>42</v>
      </c>
      <c r="L4383" s="2" t="s">
        <v>7695</v>
      </c>
      <c r="M4383" t="s">
        <v>43</v>
      </c>
      <c r="N4383" t="s">
        <v>42</v>
      </c>
      <c r="P4383" s="23">
        <v>95.02</v>
      </c>
      <c r="Q4383" s="4">
        <f t="shared" si="68"/>
        <v>-4.9989475899810565E-2</v>
      </c>
      <c r="R4383" s="23" t="s">
        <v>1198</v>
      </c>
      <c r="T4383" s="41" t="s">
        <v>6107</v>
      </c>
    </row>
    <row r="4384" spans="1:20" x14ac:dyDescent="0.25">
      <c r="A4384" s="21">
        <v>45800</v>
      </c>
      <c r="B4384" s="1" t="s">
        <v>1225</v>
      </c>
      <c r="C4384" t="s">
        <v>1221</v>
      </c>
      <c r="D4384" s="22">
        <v>-23.23</v>
      </c>
      <c r="E4384" t="s">
        <v>35</v>
      </c>
      <c r="F4384" s="2">
        <v>610148001</v>
      </c>
      <c r="G4384" s="2" t="s">
        <v>42</v>
      </c>
      <c r="L4384" s="2" t="s">
        <v>7696</v>
      </c>
      <c r="M4384" t="s">
        <v>43</v>
      </c>
      <c r="N4384" t="s">
        <v>42</v>
      </c>
      <c r="P4384" s="23">
        <v>95.02</v>
      </c>
      <c r="Q4384" s="4">
        <f t="shared" si="68"/>
        <v>-0.24447484740054726</v>
      </c>
      <c r="R4384" s="23" t="s">
        <v>1198</v>
      </c>
      <c r="T4384" s="41" t="s">
        <v>6107</v>
      </c>
    </row>
    <row r="4385" spans="1:20" x14ac:dyDescent="0.25">
      <c r="A4385" s="21">
        <v>45800</v>
      </c>
      <c r="B4385" s="1" t="s">
        <v>3967</v>
      </c>
      <c r="C4385" t="s">
        <v>1221</v>
      </c>
      <c r="D4385" s="22">
        <v>-35.630000000000003</v>
      </c>
      <c r="E4385" t="s">
        <v>35</v>
      </c>
      <c r="F4385" s="2">
        <v>610148001</v>
      </c>
      <c r="G4385" s="2" t="s">
        <v>42</v>
      </c>
      <c r="L4385" s="2" t="s">
        <v>7697</v>
      </c>
      <c r="M4385" t="s">
        <v>43</v>
      </c>
      <c r="N4385" t="s">
        <v>42</v>
      </c>
      <c r="P4385" s="23">
        <v>95.02</v>
      </c>
      <c r="Q4385" s="4">
        <f t="shared" si="68"/>
        <v>-0.37497368974952644</v>
      </c>
      <c r="R4385" s="23" t="s">
        <v>1198</v>
      </c>
      <c r="T4385" s="41" t="s">
        <v>6107</v>
      </c>
    </row>
    <row r="4386" spans="1:20" x14ac:dyDescent="0.25">
      <c r="A4386" s="21">
        <v>45800</v>
      </c>
      <c r="B4386" s="1" t="s">
        <v>4217</v>
      </c>
      <c r="C4386" t="s">
        <v>1221</v>
      </c>
      <c r="D4386" s="22">
        <v>-13.64</v>
      </c>
      <c r="E4386" t="s">
        <v>35</v>
      </c>
      <c r="F4386" s="2">
        <v>610148001</v>
      </c>
      <c r="G4386" s="2" t="s">
        <v>42</v>
      </c>
      <c r="L4386" s="2" t="s">
        <v>7698</v>
      </c>
      <c r="M4386" t="s">
        <v>43</v>
      </c>
      <c r="N4386" t="s">
        <v>42</v>
      </c>
      <c r="P4386" s="23">
        <v>95.02</v>
      </c>
      <c r="Q4386" s="4">
        <f t="shared" si="68"/>
        <v>-0.1435487265838771</v>
      </c>
      <c r="R4386" s="23" t="s">
        <v>1198</v>
      </c>
      <c r="T4386" s="41" t="s">
        <v>6107</v>
      </c>
    </row>
    <row r="4387" spans="1:20" x14ac:dyDescent="0.25">
      <c r="A4387" s="21">
        <v>45800</v>
      </c>
      <c r="B4387" s="1" t="s">
        <v>1223</v>
      </c>
      <c r="C4387" t="s">
        <v>1221</v>
      </c>
      <c r="D4387" s="22">
        <v>-799.83</v>
      </c>
      <c r="E4387" t="s">
        <v>35</v>
      </c>
      <c r="F4387" s="2">
        <v>610148001</v>
      </c>
      <c r="G4387" s="2" t="s">
        <v>42</v>
      </c>
      <c r="L4387" s="2" t="s">
        <v>7699</v>
      </c>
      <c r="M4387" t="s">
        <v>43</v>
      </c>
      <c r="N4387" t="s">
        <v>42</v>
      </c>
      <c r="P4387" s="23">
        <v>95.02</v>
      </c>
      <c r="Q4387" s="4">
        <f t="shared" si="68"/>
        <v>-8.4174910545148389</v>
      </c>
      <c r="R4387" s="23" t="s">
        <v>1198</v>
      </c>
      <c r="T4387" s="41" t="s">
        <v>6107</v>
      </c>
    </row>
    <row r="4388" spans="1:20" x14ac:dyDescent="0.25">
      <c r="A4388" s="21">
        <v>45800</v>
      </c>
      <c r="B4388" s="1" t="s">
        <v>1227</v>
      </c>
      <c r="C4388" t="s">
        <v>1221</v>
      </c>
      <c r="D4388" s="22">
        <v>-291.70999999999998</v>
      </c>
      <c r="E4388" t="s">
        <v>35</v>
      </c>
      <c r="F4388" s="2">
        <v>610148001</v>
      </c>
      <c r="G4388" s="2" t="s">
        <v>42</v>
      </c>
      <c r="L4388" s="2" t="s">
        <v>7700</v>
      </c>
      <c r="M4388" t="s">
        <v>43</v>
      </c>
      <c r="N4388" t="s">
        <v>42</v>
      </c>
      <c r="P4388" s="23">
        <v>95.02</v>
      </c>
      <c r="Q4388" s="4">
        <f t="shared" si="68"/>
        <v>-3.0699852662597347</v>
      </c>
      <c r="R4388" s="23" t="s">
        <v>1198</v>
      </c>
      <c r="T4388" s="41" t="s">
        <v>6107</v>
      </c>
    </row>
    <row r="4389" spans="1:20" x14ac:dyDescent="0.25">
      <c r="A4389" s="21">
        <v>45800</v>
      </c>
      <c r="B4389" s="1" t="s">
        <v>4240</v>
      </c>
      <c r="C4389" t="s">
        <v>1221</v>
      </c>
      <c r="D4389" s="22">
        <v>-9.5</v>
      </c>
      <c r="E4389" t="s">
        <v>35</v>
      </c>
      <c r="F4389" s="2">
        <v>610148001</v>
      </c>
      <c r="G4389" s="2" t="s">
        <v>42</v>
      </c>
      <c r="L4389" s="2" t="s">
        <v>7701</v>
      </c>
      <c r="M4389" t="s">
        <v>43</v>
      </c>
      <c r="N4389" t="s">
        <v>42</v>
      </c>
      <c r="P4389" s="23">
        <v>95.02</v>
      </c>
      <c r="Q4389" s="4">
        <f t="shared" si="68"/>
        <v>-9.997895179962113E-2</v>
      </c>
      <c r="R4389" s="23" t="s">
        <v>1198</v>
      </c>
      <c r="T4389" s="41" t="s">
        <v>6107</v>
      </c>
    </row>
    <row r="4390" spans="1:20" x14ac:dyDescent="0.25">
      <c r="A4390" s="21">
        <v>45800</v>
      </c>
      <c r="B4390" s="1" t="s">
        <v>4242</v>
      </c>
      <c r="C4390" t="s">
        <v>1221</v>
      </c>
      <c r="D4390" s="22">
        <v>-5.7</v>
      </c>
      <c r="E4390" t="s">
        <v>35</v>
      </c>
      <c r="F4390" s="2">
        <v>610148001</v>
      </c>
      <c r="G4390" s="2" t="s">
        <v>42</v>
      </c>
      <c r="L4390" s="2" t="s">
        <v>7702</v>
      </c>
      <c r="M4390" t="s">
        <v>43</v>
      </c>
      <c r="N4390" t="s">
        <v>42</v>
      </c>
      <c r="P4390" s="23">
        <v>95.02</v>
      </c>
      <c r="Q4390" s="4">
        <f t="shared" si="68"/>
        <v>-5.9987371079772686E-2</v>
      </c>
      <c r="R4390" s="23" t="s">
        <v>1198</v>
      </c>
      <c r="T4390" s="41" t="s">
        <v>6107</v>
      </c>
    </row>
    <row r="4391" spans="1:20" x14ac:dyDescent="0.25">
      <c r="A4391" s="21">
        <v>45800</v>
      </c>
      <c r="B4391" s="1" t="s">
        <v>3958</v>
      </c>
      <c r="C4391" t="s">
        <v>1221</v>
      </c>
      <c r="D4391" s="22">
        <v>-2.37</v>
      </c>
      <c r="E4391" t="s">
        <v>35</v>
      </c>
      <c r="F4391" s="2">
        <v>610148001</v>
      </c>
      <c r="G4391" s="2" t="s">
        <v>42</v>
      </c>
      <c r="L4391" s="2" t="s">
        <v>7703</v>
      </c>
      <c r="M4391" t="s">
        <v>43</v>
      </c>
      <c r="N4391" t="s">
        <v>42</v>
      </c>
      <c r="P4391" s="23">
        <v>95.02</v>
      </c>
      <c r="Q4391" s="4">
        <f t="shared" si="68"/>
        <v>-2.4942117448958117E-2</v>
      </c>
      <c r="R4391" s="23" t="s">
        <v>1198</v>
      </c>
      <c r="T4391" s="41" t="s">
        <v>6107</v>
      </c>
    </row>
    <row r="4392" spans="1:20" x14ac:dyDescent="0.25">
      <c r="A4392" s="21">
        <v>45800</v>
      </c>
      <c r="B4392" s="1" t="s">
        <v>3955</v>
      </c>
      <c r="C4392" t="s">
        <v>1221</v>
      </c>
      <c r="D4392" s="22">
        <v>-4.75</v>
      </c>
      <c r="E4392" t="s">
        <v>35</v>
      </c>
      <c r="F4392" s="2">
        <v>610148001</v>
      </c>
      <c r="G4392" s="2" t="s">
        <v>42</v>
      </c>
      <c r="L4392" s="2" t="s">
        <v>7704</v>
      </c>
      <c r="M4392" t="s">
        <v>43</v>
      </c>
      <c r="N4392" t="s">
        <v>42</v>
      </c>
      <c r="P4392" s="23">
        <v>95.02</v>
      </c>
      <c r="Q4392" s="4">
        <f t="shared" si="68"/>
        <v>-4.9989475899810565E-2</v>
      </c>
      <c r="R4392" s="23" t="s">
        <v>1198</v>
      </c>
      <c r="T4392" s="41" t="s">
        <v>6107</v>
      </c>
    </row>
    <row r="4393" spans="1:20" x14ac:dyDescent="0.25">
      <c r="A4393" s="21">
        <v>45800</v>
      </c>
      <c r="B4393" s="1" t="s">
        <v>4311</v>
      </c>
      <c r="C4393" t="s">
        <v>1221</v>
      </c>
      <c r="D4393" s="22">
        <v>-329.58</v>
      </c>
      <c r="E4393" t="s">
        <v>35</v>
      </c>
      <c r="F4393" s="2">
        <v>610148001</v>
      </c>
      <c r="G4393" s="2" t="s">
        <v>42</v>
      </c>
      <c r="L4393" s="2" t="s">
        <v>7705</v>
      </c>
      <c r="M4393" t="s">
        <v>43</v>
      </c>
      <c r="N4393" t="s">
        <v>42</v>
      </c>
      <c r="P4393" s="23">
        <v>95.02</v>
      </c>
      <c r="Q4393" s="4">
        <f t="shared" si="68"/>
        <v>-3.4685329404335929</v>
      </c>
      <c r="R4393" s="23" t="s">
        <v>1198</v>
      </c>
      <c r="T4393" s="41" t="s">
        <v>6107</v>
      </c>
    </row>
    <row r="4394" spans="1:20" x14ac:dyDescent="0.25">
      <c r="A4394" s="21">
        <v>45800</v>
      </c>
      <c r="B4394" s="1" t="s">
        <v>1223</v>
      </c>
      <c r="C4394" t="s">
        <v>1221</v>
      </c>
      <c r="D4394" s="22">
        <v>-13.3</v>
      </c>
      <c r="E4394" t="s">
        <v>35</v>
      </c>
      <c r="F4394" s="2">
        <v>610148001</v>
      </c>
      <c r="G4394" s="2" t="s">
        <v>42</v>
      </c>
      <c r="L4394" s="2" t="s">
        <v>7706</v>
      </c>
      <c r="M4394" t="s">
        <v>43</v>
      </c>
      <c r="N4394" t="s">
        <v>42</v>
      </c>
      <c r="P4394" s="23">
        <v>95.02</v>
      </c>
      <c r="Q4394" s="4">
        <f t="shared" si="68"/>
        <v>-0.13997053251946959</v>
      </c>
      <c r="R4394" s="23" t="s">
        <v>1198</v>
      </c>
      <c r="T4394" s="41" t="s">
        <v>6107</v>
      </c>
    </row>
    <row r="4395" spans="1:20" x14ac:dyDescent="0.25">
      <c r="A4395" s="21">
        <v>45800</v>
      </c>
      <c r="B4395" s="1" t="s">
        <v>3965</v>
      </c>
      <c r="C4395" t="s">
        <v>1221</v>
      </c>
      <c r="D4395" s="22">
        <v>-11.87</v>
      </c>
      <c r="E4395" t="s">
        <v>35</v>
      </c>
      <c r="F4395" s="2">
        <v>610148001</v>
      </c>
      <c r="G4395" s="2" t="s">
        <v>42</v>
      </c>
      <c r="L4395" s="2" t="s">
        <v>7707</v>
      </c>
      <c r="M4395" t="s">
        <v>43</v>
      </c>
      <c r="N4395" t="s">
        <v>42</v>
      </c>
      <c r="P4395" s="23">
        <v>95.02</v>
      </c>
      <c r="Q4395" s="4">
        <f t="shared" si="68"/>
        <v>-0.12492106924857925</v>
      </c>
      <c r="R4395" s="23" t="s">
        <v>1198</v>
      </c>
      <c r="T4395" s="41" t="s">
        <v>6107</v>
      </c>
    </row>
    <row r="4396" spans="1:20" x14ac:dyDescent="0.25">
      <c r="A4396" s="21">
        <v>45800</v>
      </c>
      <c r="B4396" s="1" t="s">
        <v>1223</v>
      </c>
      <c r="C4396" t="s">
        <v>1221</v>
      </c>
      <c r="D4396" s="22">
        <v>-9.5</v>
      </c>
      <c r="E4396" t="s">
        <v>35</v>
      </c>
      <c r="F4396" s="2">
        <v>610148001</v>
      </c>
      <c r="G4396" s="2" t="s">
        <v>42</v>
      </c>
      <c r="L4396" s="2" t="s">
        <v>7708</v>
      </c>
      <c r="M4396" t="s">
        <v>43</v>
      </c>
      <c r="N4396" t="s">
        <v>42</v>
      </c>
      <c r="P4396" s="23">
        <v>95.02</v>
      </c>
      <c r="Q4396" s="4">
        <f t="shared" si="68"/>
        <v>-9.997895179962113E-2</v>
      </c>
      <c r="R4396" s="23" t="s">
        <v>1198</v>
      </c>
      <c r="T4396" s="41" t="s">
        <v>6107</v>
      </c>
    </row>
    <row r="4397" spans="1:20" x14ac:dyDescent="0.25">
      <c r="A4397" s="21">
        <v>45800</v>
      </c>
      <c r="B4397" s="1" t="s">
        <v>4284</v>
      </c>
      <c r="C4397" t="s">
        <v>1221</v>
      </c>
      <c r="D4397" s="22">
        <v>-37.67</v>
      </c>
      <c r="E4397" t="s">
        <v>35</v>
      </c>
      <c r="F4397" s="2">
        <v>610148001</v>
      </c>
      <c r="G4397" s="2" t="s">
        <v>42</v>
      </c>
      <c r="L4397" s="2" t="s">
        <v>7709</v>
      </c>
      <c r="M4397" t="s">
        <v>43</v>
      </c>
      <c r="N4397" t="s">
        <v>42</v>
      </c>
      <c r="P4397" s="23">
        <v>95.02</v>
      </c>
      <c r="Q4397" s="4">
        <f t="shared" si="68"/>
        <v>-0.39644285413597141</v>
      </c>
      <c r="R4397" s="23" t="s">
        <v>1198</v>
      </c>
      <c r="T4397" s="41" t="s">
        <v>6107</v>
      </c>
    </row>
    <row r="4398" spans="1:20" x14ac:dyDescent="0.25">
      <c r="A4398" s="21">
        <v>45800</v>
      </c>
      <c r="B4398" s="1" t="s">
        <v>1225</v>
      </c>
      <c r="C4398" t="s">
        <v>1221</v>
      </c>
      <c r="D4398" s="22">
        <v>-28.5</v>
      </c>
      <c r="E4398" t="s">
        <v>35</v>
      </c>
      <c r="F4398" s="2">
        <v>610148001</v>
      </c>
      <c r="G4398" s="2" t="s">
        <v>42</v>
      </c>
      <c r="L4398" s="2" t="s">
        <v>7710</v>
      </c>
      <c r="M4398" t="s">
        <v>43</v>
      </c>
      <c r="N4398" t="s">
        <v>42</v>
      </c>
      <c r="P4398" s="23">
        <v>95.02</v>
      </c>
      <c r="Q4398" s="4">
        <f t="shared" si="68"/>
        <v>-0.29993685539886339</v>
      </c>
      <c r="R4398" s="23" t="s">
        <v>1198</v>
      </c>
      <c r="T4398" s="41" t="s">
        <v>6107</v>
      </c>
    </row>
    <row r="4399" spans="1:20" x14ac:dyDescent="0.25">
      <c r="A4399" s="21">
        <v>45800</v>
      </c>
      <c r="B4399" s="1" t="s">
        <v>3977</v>
      </c>
      <c r="C4399" t="s">
        <v>1221</v>
      </c>
      <c r="D4399" s="22">
        <v>-7.12</v>
      </c>
      <c r="E4399" t="s">
        <v>35</v>
      </c>
      <c r="F4399" s="2">
        <v>610148001</v>
      </c>
      <c r="G4399" s="2" t="s">
        <v>42</v>
      </c>
      <c r="L4399" s="2" t="s">
        <v>7711</v>
      </c>
      <c r="M4399" t="s">
        <v>43</v>
      </c>
      <c r="N4399" t="s">
        <v>42</v>
      </c>
      <c r="P4399" s="23">
        <v>95.02</v>
      </c>
      <c r="Q4399" s="4">
        <f t="shared" si="68"/>
        <v>-7.4931593348768685E-2</v>
      </c>
      <c r="R4399" s="23" t="s">
        <v>1198</v>
      </c>
      <c r="T4399" s="41" t="s">
        <v>6107</v>
      </c>
    </row>
    <row r="4400" spans="1:20" x14ac:dyDescent="0.25">
      <c r="A4400" s="21">
        <v>45800</v>
      </c>
      <c r="B4400" s="1" t="s">
        <v>3962</v>
      </c>
      <c r="C4400" t="s">
        <v>1221</v>
      </c>
      <c r="D4400" s="22">
        <v>-4.75</v>
      </c>
      <c r="E4400" t="s">
        <v>35</v>
      </c>
      <c r="F4400" s="2">
        <v>610148001</v>
      </c>
      <c r="G4400" s="2" t="s">
        <v>42</v>
      </c>
      <c r="L4400" s="2" t="s">
        <v>7712</v>
      </c>
      <c r="M4400" t="s">
        <v>43</v>
      </c>
      <c r="N4400" t="s">
        <v>42</v>
      </c>
      <c r="P4400" s="23">
        <v>95.02</v>
      </c>
      <c r="Q4400" s="4">
        <f t="shared" si="68"/>
        <v>-4.9989475899810565E-2</v>
      </c>
      <c r="R4400" s="23" t="s">
        <v>1198</v>
      </c>
      <c r="T4400" s="41" t="s">
        <v>6107</v>
      </c>
    </row>
    <row r="4401" spans="1:20" x14ac:dyDescent="0.25">
      <c r="A4401" s="21">
        <v>45806</v>
      </c>
      <c r="B4401" s="1" t="s">
        <v>7713</v>
      </c>
      <c r="C4401" t="s">
        <v>544</v>
      </c>
      <c r="D4401" s="22">
        <v>230000</v>
      </c>
      <c r="E4401" t="s">
        <v>46</v>
      </c>
      <c r="F4401" s="2">
        <v>210115002</v>
      </c>
      <c r="G4401" s="2" t="s">
        <v>47</v>
      </c>
      <c r="L4401" s="2" t="s">
        <v>7714</v>
      </c>
      <c r="N4401" t="s">
        <v>544</v>
      </c>
      <c r="P4401" s="23">
        <v>96.53</v>
      </c>
      <c r="Q4401" s="4">
        <f t="shared" si="68"/>
        <v>2382.6789599088365</v>
      </c>
      <c r="R4401" s="23" t="s">
        <v>1198</v>
      </c>
    </row>
    <row r="4402" spans="1:20" x14ac:dyDescent="0.25">
      <c r="A4402" s="21">
        <v>45806</v>
      </c>
      <c r="B4402" s="1" t="s">
        <v>1211</v>
      </c>
      <c r="C4402" t="s">
        <v>7715</v>
      </c>
      <c r="D4402" s="43">
        <v>-35272.06</v>
      </c>
      <c r="E4402" t="s">
        <v>35</v>
      </c>
      <c r="F4402" s="2">
        <v>110114001</v>
      </c>
      <c r="G4402" s="2" t="s">
        <v>301</v>
      </c>
      <c r="L4402" s="2" t="s">
        <v>7716</v>
      </c>
      <c r="M4402" t="s">
        <v>303</v>
      </c>
      <c r="N4402" t="s">
        <v>5305</v>
      </c>
      <c r="P4402" s="23">
        <v>96.53</v>
      </c>
      <c r="Q4402" s="4">
        <f t="shared" si="68"/>
        <v>-365.39997928105248</v>
      </c>
      <c r="R4402" s="23" t="s">
        <v>1198</v>
      </c>
      <c r="S4402" s="33" t="s">
        <v>2599</v>
      </c>
    </row>
    <row r="4403" spans="1:20" ht="15.75" x14ac:dyDescent="0.25">
      <c r="A4403" s="21">
        <v>45806</v>
      </c>
      <c r="B4403" s="1" t="s">
        <v>1208</v>
      </c>
      <c r="C4403" t="s">
        <v>7717</v>
      </c>
      <c r="D4403" s="30">
        <v>-193060</v>
      </c>
      <c r="E4403" t="s">
        <v>35</v>
      </c>
      <c r="F4403" s="2">
        <v>110110001</v>
      </c>
      <c r="G4403" s="2" t="s">
        <v>1276</v>
      </c>
      <c r="L4403" s="2" t="s">
        <v>7718</v>
      </c>
      <c r="M4403" t="s">
        <v>7719</v>
      </c>
      <c r="N4403" t="s">
        <v>39</v>
      </c>
      <c r="P4403" s="23">
        <v>96.53</v>
      </c>
      <c r="Q4403" s="4">
        <f t="shared" si="68"/>
        <v>-2000</v>
      </c>
      <c r="R4403" s="23" t="s">
        <v>1198</v>
      </c>
      <c r="T4403" s="74"/>
    </row>
    <row r="4404" spans="1:20" x14ac:dyDescent="0.25">
      <c r="A4404" s="21">
        <v>45806</v>
      </c>
      <c r="B4404" s="1" t="s">
        <v>1227</v>
      </c>
      <c r="C4404" t="s">
        <v>1221</v>
      </c>
      <c r="D4404" s="22">
        <v>-88.18</v>
      </c>
      <c r="E4404" t="s">
        <v>35</v>
      </c>
      <c r="F4404" s="2">
        <v>610148001</v>
      </c>
      <c r="G4404" s="2" t="s">
        <v>42</v>
      </c>
      <c r="L4404" s="2" t="s">
        <v>7720</v>
      </c>
      <c r="M4404" t="s">
        <v>43</v>
      </c>
      <c r="N4404" t="s">
        <v>42</v>
      </c>
      <c r="P4404" s="23">
        <v>96.53</v>
      </c>
      <c r="Q4404" s="4">
        <f t="shared" si="68"/>
        <v>-0.91349839428157054</v>
      </c>
      <c r="R4404" s="23" t="s">
        <v>1198</v>
      </c>
      <c r="T4404" s="41" t="s">
        <v>6107</v>
      </c>
    </row>
    <row r="4405" spans="1:20" x14ac:dyDescent="0.25">
      <c r="A4405" s="21">
        <v>45806</v>
      </c>
      <c r="B4405" s="1" t="s">
        <v>1223</v>
      </c>
      <c r="C4405" t="s">
        <v>1221</v>
      </c>
      <c r="D4405" s="22">
        <v>-482.65</v>
      </c>
      <c r="E4405" t="s">
        <v>35</v>
      </c>
      <c r="F4405" s="2">
        <v>610148001</v>
      </c>
      <c r="G4405" s="2" t="s">
        <v>42</v>
      </c>
      <c r="L4405" s="2" t="s">
        <v>7721</v>
      </c>
      <c r="M4405" t="s">
        <v>43</v>
      </c>
      <c r="N4405" t="s">
        <v>42</v>
      </c>
      <c r="P4405" s="23">
        <v>96.53</v>
      </c>
      <c r="Q4405" s="4">
        <f t="shared" si="68"/>
        <v>-5</v>
      </c>
      <c r="R4405" s="23" t="s">
        <v>1198</v>
      </c>
      <c r="T4405" s="41" t="s">
        <v>6107</v>
      </c>
    </row>
    <row r="4406" spans="1:20" x14ac:dyDescent="0.25">
      <c r="A4406" s="21">
        <v>45806</v>
      </c>
      <c r="B4406" s="1" t="s">
        <v>7722</v>
      </c>
      <c r="C4406" t="s">
        <v>544</v>
      </c>
      <c r="D4406" s="22">
        <v>200000</v>
      </c>
      <c r="E4406" t="s">
        <v>46</v>
      </c>
      <c r="F4406" s="2">
        <v>210115002</v>
      </c>
      <c r="G4406" s="2" t="s">
        <v>47</v>
      </c>
      <c r="L4406" s="2" t="s">
        <v>7723</v>
      </c>
      <c r="N4406" t="s">
        <v>544</v>
      </c>
      <c r="P4406" s="23">
        <v>96.53</v>
      </c>
      <c r="Q4406" s="4">
        <f t="shared" si="68"/>
        <v>2071.8947477468146</v>
      </c>
      <c r="R4406" s="23" t="s">
        <v>1198</v>
      </c>
    </row>
    <row r="4407" spans="1:20" ht="15.75" x14ac:dyDescent="0.25">
      <c r="A4407" s="21">
        <v>45806</v>
      </c>
      <c r="B4407" s="1" t="s">
        <v>1208</v>
      </c>
      <c r="C4407" t="s">
        <v>7724</v>
      </c>
      <c r="D4407" s="30">
        <v>-91940</v>
      </c>
      <c r="E4407" t="s">
        <v>35</v>
      </c>
      <c r="F4407" s="2">
        <v>110110001</v>
      </c>
      <c r="G4407" s="2" t="s">
        <v>1276</v>
      </c>
      <c r="L4407" s="2" t="s">
        <v>7725</v>
      </c>
      <c r="M4407" t="s">
        <v>7719</v>
      </c>
      <c r="N4407" t="s">
        <v>39</v>
      </c>
      <c r="P4407" s="23">
        <v>96.53</v>
      </c>
      <c r="Q4407" s="4">
        <f t="shared" si="68"/>
        <v>-952.45001553921065</v>
      </c>
      <c r="R4407" s="23" t="s">
        <v>1198</v>
      </c>
      <c r="T4407" s="74"/>
    </row>
    <row r="4408" spans="1:20" x14ac:dyDescent="0.25">
      <c r="A4408" s="21">
        <v>45806</v>
      </c>
      <c r="B4408" s="1" t="s">
        <v>1211</v>
      </c>
      <c r="C4408" t="s">
        <v>7726</v>
      </c>
      <c r="D4408" s="43">
        <v>-56470.05</v>
      </c>
      <c r="E4408" t="s">
        <v>35</v>
      </c>
      <c r="F4408" s="2">
        <v>110114001</v>
      </c>
      <c r="G4408" s="2" t="s">
        <v>301</v>
      </c>
      <c r="L4408" s="2" t="s">
        <v>7727</v>
      </c>
      <c r="N4408" t="s">
        <v>2551</v>
      </c>
      <c r="P4408" s="23">
        <v>96.53</v>
      </c>
      <c r="Q4408" s="4">
        <f t="shared" si="68"/>
        <v>-585</v>
      </c>
      <c r="R4408" s="23" t="s">
        <v>1198</v>
      </c>
    </row>
    <row r="4409" spans="1:20" x14ac:dyDescent="0.25">
      <c r="A4409" s="21">
        <v>45806</v>
      </c>
      <c r="B4409" s="1" t="s">
        <v>1214</v>
      </c>
      <c r="C4409" t="s">
        <v>7728</v>
      </c>
      <c r="D4409" s="22">
        <v>-33592.61</v>
      </c>
      <c r="E4409" t="s">
        <v>35</v>
      </c>
      <c r="F4409" s="2">
        <v>110114001</v>
      </c>
      <c r="G4409" s="2" t="s">
        <v>301</v>
      </c>
      <c r="L4409" s="2" t="s">
        <v>7729</v>
      </c>
      <c r="M4409" s="50" t="s">
        <v>303</v>
      </c>
      <c r="N4409" t="s">
        <v>304</v>
      </c>
      <c r="P4409" s="23">
        <v>96.53</v>
      </c>
      <c r="Q4409" s="4">
        <f t="shared" si="68"/>
        <v>-348.0017611105356</v>
      </c>
      <c r="R4409" s="23" t="s">
        <v>1198</v>
      </c>
      <c r="S4409" s="33" t="s">
        <v>5309</v>
      </c>
    </row>
    <row r="4410" spans="1:20" x14ac:dyDescent="0.25">
      <c r="A4410" s="21">
        <v>45806</v>
      </c>
      <c r="B4410" s="1" t="s">
        <v>1223</v>
      </c>
      <c r="C4410" t="s">
        <v>1221</v>
      </c>
      <c r="D4410" s="22">
        <v>-229.85</v>
      </c>
      <c r="E4410" t="s">
        <v>35</v>
      </c>
      <c r="F4410" s="2">
        <v>610148001</v>
      </c>
      <c r="G4410" s="2" t="s">
        <v>42</v>
      </c>
      <c r="L4410" s="2" t="s">
        <v>7730</v>
      </c>
      <c r="M4410" t="s">
        <v>43</v>
      </c>
      <c r="N4410" t="s">
        <v>42</v>
      </c>
      <c r="P4410" s="23">
        <v>96.53</v>
      </c>
      <c r="Q4410" s="4">
        <f t="shared" si="68"/>
        <v>-2.3811250388480265</v>
      </c>
      <c r="R4410" s="23" t="s">
        <v>1198</v>
      </c>
      <c r="T4410" s="41" t="s">
        <v>6107</v>
      </c>
    </row>
    <row r="4411" spans="1:20" x14ac:dyDescent="0.25">
      <c r="A4411" s="21">
        <v>45806</v>
      </c>
      <c r="B4411" s="1" t="s">
        <v>1225</v>
      </c>
      <c r="C4411" t="s">
        <v>1221</v>
      </c>
      <c r="D4411" s="22">
        <v>-83.98</v>
      </c>
      <c r="E4411" t="s">
        <v>35</v>
      </c>
      <c r="F4411" s="2">
        <v>610148001</v>
      </c>
      <c r="G4411" s="2" t="s">
        <v>42</v>
      </c>
      <c r="L4411" s="2" t="s">
        <v>7731</v>
      </c>
      <c r="M4411" t="s">
        <v>43</v>
      </c>
      <c r="N4411" t="s">
        <v>42</v>
      </c>
      <c r="P4411" s="23">
        <v>96.53</v>
      </c>
      <c r="Q4411" s="4">
        <f t="shared" si="68"/>
        <v>-0.86998860457888738</v>
      </c>
      <c r="R4411" s="23" t="s">
        <v>1198</v>
      </c>
      <c r="T4411" s="41" t="s">
        <v>6107</v>
      </c>
    </row>
    <row r="4412" spans="1:20" x14ac:dyDescent="0.25">
      <c r="A4412" s="21">
        <v>45806</v>
      </c>
      <c r="B4412" s="1" t="s">
        <v>1227</v>
      </c>
      <c r="C4412" t="s">
        <v>1221</v>
      </c>
      <c r="D4412" s="22">
        <v>-141.16999999999999</v>
      </c>
      <c r="E4412" t="s">
        <v>35</v>
      </c>
      <c r="F4412" s="2">
        <v>610148001</v>
      </c>
      <c r="G4412" s="2" t="s">
        <v>42</v>
      </c>
      <c r="L4412" s="2" t="s">
        <v>7732</v>
      </c>
      <c r="M4412" t="s">
        <v>43</v>
      </c>
      <c r="N4412" t="s">
        <v>42</v>
      </c>
      <c r="P4412" s="23">
        <v>96.53</v>
      </c>
      <c r="Q4412" s="4">
        <f t="shared" si="68"/>
        <v>-1.4624469076970887</v>
      </c>
      <c r="R4412" s="23" t="s">
        <v>1198</v>
      </c>
      <c r="T4412" s="41" t="s">
        <v>6107</v>
      </c>
    </row>
    <row r="4413" spans="1:20" x14ac:dyDescent="0.25">
      <c r="A4413" s="21">
        <v>45806</v>
      </c>
      <c r="B4413" s="1" t="s">
        <v>7733</v>
      </c>
      <c r="C4413" t="s">
        <v>544</v>
      </c>
      <c r="D4413" s="22">
        <v>1200000</v>
      </c>
      <c r="E4413" t="s">
        <v>46</v>
      </c>
      <c r="F4413" s="2">
        <v>210115002</v>
      </c>
      <c r="G4413" s="2" t="s">
        <v>47</v>
      </c>
      <c r="L4413" s="2" t="s">
        <v>7734</v>
      </c>
      <c r="N4413" t="s">
        <v>544</v>
      </c>
      <c r="P4413" s="23">
        <v>96.53</v>
      </c>
      <c r="Q4413" s="4">
        <f t="shared" si="68"/>
        <v>12431.368486480887</v>
      </c>
      <c r="R4413" s="23" t="s">
        <v>1198</v>
      </c>
    </row>
    <row r="4414" spans="1:20" x14ac:dyDescent="0.25">
      <c r="A4414" s="21">
        <v>45806</v>
      </c>
      <c r="B4414" s="1" t="s">
        <v>1217</v>
      </c>
      <c r="C4414" t="s">
        <v>7735</v>
      </c>
      <c r="D4414" s="22">
        <v>-200000</v>
      </c>
      <c r="E4414" t="s">
        <v>35</v>
      </c>
      <c r="F4414" s="2">
        <v>110114001</v>
      </c>
      <c r="G4414" s="2" t="s">
        <v>301</v>
      </c>
      <c r="L4414" s="2" t="s">
        <v>7736</v>
      </c>
      <c r="M4414" s="50" t="s">
        <v>303</v>
      </c>
      <c r="N4414" t="s">
        <v>304</v>
      </c>
      <c r="P4414" s="23">
        <v>96.53</v>
      </c>
      <c r="Q4414" s="4">
        <f t="shared" si="68"/>
        <v>-2071.8947477468146</v>
      </c>
      <c r="R4414" s="23" t="s">
        <v>1198</v>
      </c>
      <c r="S4414" s="33" t="s">
        <v>5309</v>
      </c>
    </row>
    <row r="4415" spans="1:20" x14ac:dyDescent="0.25">
      <c r="A4415" s="21">
        <v>45806</v>
      </c>
      <c r="B4415" s="1" t="s">
        <v>2571</v>
      </c>
      <c r="C4415" t="s">
        <v>7737</v>
      </c>
      <c r="D4415" s="22">
        <v>-193466.44</v>
      </c>
      <c r="E4415" t="s">
        <v>35</v>
      </c>
      <c r="F4415" s="2">
        <v>110114001</v>
      </c>
      <c r="G4415" s="2" t="s">
        <v>301</v>
      </c>
      <c r="L4415" s="2" t="s">
        <v>7738</v>
      </c>
      <c r="M4415" s="50" t="s">
        <v>303</v>
      </c>
      <c r="N4415" t="s">
        <v>304</v>
      </c>
      <c r="P4415" s="23">
        <v>96.53</v>
      </c>
      <c r="Q4415" s="4">
        <f t="shared" si="68"/>
        <v>-2004.2105045063711</v>
      </c>
      <c r="R4415" s="23" t="s">
        <v>1198</v>
      </c>
      <c r="S4415" s="33" t="s">
        <v>5309</v>
      </c>
    </row>
    <row r="4416" spans="1:20" x14ac:dyDescent="0.25">
      <c r="A4416" s="21">
        <v>45806</v>
      </c>
      <c r="B4416" s="1" t="s">
        <v>1208</v>
      </c>
      <c r="C4416" t="s">
        <v>7737</v>
      </c>
      <c r="D4416" s="22">
        <v>-200000</v>
      </c>
      <c r="E4416" t="s">
        <v>35</v>
      </c>
      <c r="F4416" s="2">
        <v>110114001</v>
      </c>
      <c r="G4416" s="2" t="s">
        <v>301</v>
      </c>
      <c r="L4416" s="2" t="s">
        <v>7739</v>
      </c>
      <c r="M4416" s="50" t="s">
        <v>303</v>
      </c>
      <c r="N4416" t="s">
        <v>304</v>
      </c>
      <c r="P4416" s="23">
        <v>96.53</v>
      </c>
      <c r="Q4416" s="4">
        <f t="shared" si="68"/>
        <v>-2071.8947477468146</v>
      </c>
      <c r="R4416" s="23" t="s">
        <v>1198</v>
      </c>
      <c r="S4416" s="33" t="s">
        <v>5309</v>
      </c>
    </row>
    <row r="4417" spans="1:20" x14ac:dyDescent="0.25">
      <c r="A4417" s="21">
        <v>45806</v>
      </c>
      <c r="B4417" s="1" t="s">
        <v>1211</v>
      </c>
      <c r="C4417" t="s">
        <v>7737</v>
      </c>
      <c r="D4417" s="22">
        <v>-200000</v>
      </c>
      <c r="E4417" t="s">
        <v>35</v>
      </c>
      <c r="F4417" s="2">
        <v>110114001</v>
      </c>
      <c r="G4417" s="2" t="s">
        <v>301</v>
      </c>
      <c r="L4417" s="2" t="s">
        <v>7740</v>
      </c>
      <c r="M4417" s="50" t="s">
        <v>303</v>
      </c>
      <c r="N4417" t="s">
        <v>304</v>
      </c>
      <c r="P4417" s="23">
        <v>96.53</v>
      </c>
      <c r="Q4417" s="4">
        <f t="shared" si="68"/>
        <v>-2071.8947477468146</v>
      </c>
      <c r="R4417" s="23" t="s">
        <v>1198</v>
      </c>
      <c r="S4417" s="33" t="s">
        <v>5309</v>
      </c>
    </row>
    <row r="4418" spans="1:20" x14ac:dyDescent="0.25">
      <c r="A4418" s="21">
        <v>45806</v>
      </c>
      <c r="B4418" s="1" t="s">
        <v>1214</v>
      </c>
      <c r="C4418" t="s">
        <v>7735</v>
      </c>
      <c r="D4418" s="22">
        <v>-193466.44</v>
      </c>
      <c r="E4418" t="s">
        <v>35</v>
      </c>
      <c r="F4418" s="2">
        <v>110114001</v>
      </c>
      <c r="G4418" s="2" t="s">
        <v>301</v>
      </c>
      <c r="L4418" s="2" t="s">
        <v>7741</v>
      </c>
      <c r="M4418" s="50" t="s">
        <v>303</v>
      </c>
      <c r="N4418" t="s">
        <v>304</v>
      </c>
      <c r="P4418" s="23">
        <v>96.53</v>
      </c>
      <c r="Q4418" s="4">
        <f t="shared" si="68"/>
        <v>-2004.2105045063711</v>
      </c>
      <c r="R4418" s="23" t="s">
        <v>1198</v>
      </c>
      <c r="S4418" s="33" t="s">
        <v>5309</v>
      </c>
    </row>
    <row r="4419" spans="1:20" x14ac:dyDescent="0.25">
      <c r="A4419" s="21">
        <v>45806</v>
      </c>
      <c r="B4419" s="1" t="s">
        <v>2573</v>
      </c>
      <c r="C4419" t="s">
        <v>7735</v>
      </c>
      <c r="D4419" s="22">
        <v>-200000</v>
      </c>
      <c r="E4419" t="s">
        <v>35</v>
      </c>
      <c r="F4419" s="2">
        <v>110114001</v>
      </c>
      <c r="G4419" s="2" t="s">
        <v>301</v>
      </c>
      <c r="L4419" s="2" t="s">
        <v>7742</v>
      </c>
      <c r="M4419" s="50" t="s">
        <v>303</v>
      </c>
      <c r="N4419" t="s">
        <v>304</v>
      </c>
      <c r="P4419" s="23">
        <v>96.53</v>
      </c>
      <c r="Q4419" s="4">
        <f t="shared" si="68"/>
        <v>-2071.8947477468146</v>
      </c>
      <c r="R4419" s="23" t="s">
        <v>1198</v>
      </c>
      <c r="S4419" s="33" t="s">
        <v>5309</v>
      </c>
    </row>
    <row r="4420" spans="1:20" x14ac:dyDescent="0.25">
      <c r="A4420" s="21">
        <v>45806</v>
      </c>
      <c r="B4420" s="1" t="s">
        <v>1227</v>
      </c>
      <c r="C4420" t="s">
        <v>1221</v>
      </c>
      <c r="D4420" s="22">
        <v>-500</v>
      </c>
      <c r="E4420" t="s">
        <v>35</v>
      </c>
      <c r="F4420" s="2">
        <v>610148001</v>
      </c>
      <c r="G4420" s="2" t="s">
        <v>42</v>
      </c>
      <c r="L4420" s="2" t="s">
        <v>7743</v>
      </c>
      <c r="M4420" t="s">
        <v>43</v>
      </c>
      <c r="N4420" t="s">
        <v>42</v>
      </c>
      <c r="P4420" s="23">
        <v>96.53</v>
      </c>
      <c r="Q4420" s="4">
        <f t="shared" si="68"/>
        <v>-5.1797368693670363</v>
      </c>
      <c r="R4420" s="23" t="s">
        <v>1198</v>
      </c>
      <c r="T4420" s="41" t="s">
        <v>6107</v>
      </c>
    </row>
    <row r="4421" spans="1:20" x14ac:dyDescent="0.25">
      <c r="A4421" s="21">
        <v>45806</v>
      </c>
      <c r="B4421" s="1" t="s">
        <v>2582</v>
      </c>
      <c r="C4421" t="s">
        <v>1221</v>
      </c>
      <c r="D4421" s="22">
        <v>-500</v>
      </c>
      <c r="E4421" t="s">
        <v>35</v>
      </c>
      <c r="F4421" s="2">
        <v>610148001</v>
      </c>
      <c r="G4421" s="2" t="s">
        <v>42</v>
      </c>
      <c r="L4421" s="2" t="s">
        <v>7744</v>
      </c>
      <c r="M4421" t="s">
        <v>43</v>
      </c>
      <c r="N4421" t="s">
        <v>42</v>
      </c>
      <c r="P4421" s="23">
        <v>96.53</v>
      </c>
      <c r="Q4421" s="4">
        <f t="shared" si="68"/>
        <v>-5.1797368693670363</v>
      </c>
      <c r="R4421" s="23" t="s">
        <v>1198</v>
      </c>
      <c r="T4421" s="41" t="s">
        <v>6107</v>
      </c>
    </row>
    <row r="4422" spans="1:20" x14ac:dyDescent="0.25">
      <c r="A4422" s="21">
        <v>45806</v>
      </c>
      <c r="B4422" s="1" t="s">
        <v>2585</v>
      </c>
      <c r="C4422" t="s">
        <v>1221</v>
      </c>
      <c r="D4422" s="22">
        <v>-483.66</v>
      </c>
      <c r="E4422" t="s">
        <v>35</v>
      </c>
      <c r="F4422" s="2">
        <v>610148001</v>
      </c>
      <c r="G4422" s="2" t="s">
        <v>42</v>
      </c>
      <c r="L4422" s="2" t="s">
        <v>7745</v>
      </c>
      <c r="M4422" t="s">
        <v>43</v>
      </c>
      <c r="N4422" t="s">
        <v>42</v>
      </c>
      <c r="P4422" s="23">
        <v>96.53</v>
      </c>
      <c r="Q4422" s="4">
        <f t="shared" si="68"/>
        <v>-5.0104630684761213</v>
      </c>
      <c r="R4422" s="23" t="s">
        <v>1198</v>
      </c>
      <c r="T4422" s="41" t="s">
        <v>6107</v>
      </c>
    </row>
    <row r="4423" spans="1:20" x14ac:dyDescent="0.25">
      <c r="A4423" s="21">
        <v>45806</v>
      </c>
      <c r="B4423" s="1" t="s">
        <v>1223</v>
      </c>
      <c r="C4423" t="s">
        <v>1221</v>
      </c>
      <c r="D4423" s="22">
        <v>-500</v>
      </c>
      <c r="E4423" t="s">
        <v>35</v>
      </c>
      <c r="F4423" s="2">
        <v>610148001</v>
      </c>
      <c r="G4423" s="2" t="s">
        <v>42</v>
      </c>
      <c r="L4423" s="2" t="s">
        <v>7746</v>
      </c>
      <c r="M4423" t="s">
        <v>43</v>
      </c>
      <c r="N4423" t="s">
        <v>42</v>
      </c>
      <c r="P4423" s="23">
        <v>96.53</v>
      </c>
      <c r="Q4423" s="4">
        <f t="shared" si="68"/>
        <v>-5.1797368693670363</v>
      </c>
      <c r="R4423" s="23" t="s">
        <v>1198</v>
      </c>
      <c r="T4423" s="41" t="s">
        <v>6107</v>
      </c>
    </row>
    <row r="4424" spans="1:20" x14ac:dyDescent="0.25">
      <c r="A4424" s="21">
        <v>45806</v>
      </c>
      <c r="B4424" s="1" t="s">
        <v>1220</v>
      </c>
      <c r="C4424" t="s">
        <v>1221</v>
      </c>
      <c r="D4424" s="22">
        <v>-500</v>
      </c>
      <c r="E4424" t="s">
        <v>35</v>
      </c>
      <c r="F4424" s="2">
        <v>610148001</v>
      </c>
      <c r="G4424" s="2" t="s">
        <v>42</v>
      </c>
      <c r="L4424" s="2" t="s">
        <v>7747</v>
      </c>
      <c r="M4424" t="s">
        <v>43</v>
      </c>
      <c r="N4424" t="s">
        <v>42</v>
      </c>
      <c r="P4424" s="23">
        <v>96.53</v>
      </c>
      <c r="Q4424" s="4">
        <f t="shared" si="68"/>
        <v>-5.1797368693670363</v>
      </c>
      <c r="R4424" s="23" t="s">
        <v>1198</v>
      </c>
      <c r="T4424" s="41" t="s">
        <v>6107</v>
      </c>
    </row>
    <row r="4425" spans="1:20" x14ac:dyDescent="0.25">
      <c r="A4425" s="21">
        <v>45806</v>
      </c>
      <c r="B4425" s="1" t="s">
        <v>1225</v>
      </c>
      <c r="C4425" t="s">
        <v>1221</v>
      </c>
      <c r="D4425" s="22">
        <v>-483.66</v>
      </c>
      <c r="E4425" t="s">
        <v>35</v>
      </c>
      <c r="F4425" s="2">
        <v>610148001</v>
      </c>
      <c r="G4425" s="2" t="s">
        <v>42</v>
      </c>
      <c r="L4425" s="2" t="s">
        <v>7748</v>
      </c>
      <c r="M4425" t="s">
        <v>43</v>
      </c>
      <c r="N4425" t="s">
        <v>42</v>
      </c>
      <c r="P4425" s="23">
        <v>96.53</v>
      </c>
      <c r="Q4425" s="4">
        <f t="shared" si="68"/>
        <v>-5.0104630684761213</v>
      </c>
      <c r="R4425" s="23" t="s">
        <v>1198</v>
      </c>
      <c r="T4425" s="41" t="s">
        <v>6107</v>
      </c>
    </row>
    <row r="4426" spans="1:20" x14ac:dyDescent="0.25">
      <c r="A4426" s="21">
        <v>45806</v>
      </c>
      <c r="B4426" s="1" t="s">
        <v>7749</v>
      </c>
      <c r="C4426" t="s">
        <v>544</v>
      </c>
      <c r="D4426" s="22">
        <v>150000</v>
      </c>
      <c r="E4426" t="s">
        <v>46</v>
      </c>
      <c r="F4426" s="2">
        <v>210115002</v>
      </c>
      <c r="G4426" s="2" t="s">
        <v>47</v>
      </c>
      <c r="L4426" s="2" t="s">
        <v>7750</v>
      </c>
      <c r="N4426" t="s">
        <v>544</v>
      </c>
      <c r="P4426" s="23">
        <v>96.53</v>
      </c>
      <c r="Q4426" s="4">
        <f t="shared" si="68"/>
        <v>1553.9210608101109</v>
      </c>
      <c r="R4426" s="23" t="s">
        <v>1198</v>
      </c>
    </row>
    <row r="4427" spans="1:20" x14ac:dyDescent="0.25">
      <c r="A4427" s="21">
        <v>45806</v>
      </c>
      <c r="B4427" s="1" t="s">
        <v>1211</v>
      </c>
      <c r="C4427" t="s">
        <v>7751</v>
      </c>
      <c r="D4427" s="22">
        <v>-60868.74</v>
      </c>
      <c r="E4427" t="s">
        <v>35</v>
      </c>
      <c r="F4427" s="2">
        <v>110114001</v>
      </c>
      <c r="G4427" s="2" t="s">
        <v>301</v>
      </c>
      <c r="L4427" s="2" t="s">
        <v>7752</v>
      </c>
      <c r="N4427" t="s">
        <v>3849</v>
      </c>
      <c r="P4427" s="23">
        <v>96.53</v>
      </c>
      <c r="Q4427" s="4">
        <f t="shared" ref="Q4427:Q4490" si="69">D4427/P4427</f>
        <v>-630.5681135398321</v>
      </c>
      <c r="R4427" s="23" t="s">
        <v>1198</v>
      </c>
    </row>
    <row r="4428" spans="1:20" x14ac:dyDescent="0.25">
      <c r="A4428" s="21">
        <v>45806</v>
      </c>
      <c r="B4428" s="1" t="s">
        <v>1208</v>
      </c>
      <c r="C4428" t="s">
        <v>7753</v>
      </c>
      <c r="D4428" s="22">
        <v>-99657.57</v>
      </c>
      <c r="E4428" t="s">
        <v>35</v>
      </c>
      <c r="F4428" s="2">
        <v>110114001</v>
      </c>
      <c r="G4428" s="2" t="s">
        <v>301</v>
      </c>
      <c r="L4428" s="2" t="s">
        <v>7754</v>
      </c>
      <c r="M4428" s="71" t="s">
        <v>38</v>
      </c>
      <c r="N4428" s="71" t="s">
        <v>39</v>
      </c>
      <c r="O4428" s="71"/>
      <c r="P4428" s="23">
        <v>96.53</v>
      </c>
      <c r="Q4428" s="4">
        <f t="shared" si="69"/>
        <v>-1032.3999792810525</v>
      </c>
      <c r="R4428" s="23" t="s">
        <v>1198</v>
      </c>
      <c r="S4428" s="33" t="s">
        <v>5309</v>
      </c>
    </row>
    <row r="4429" spans="1:20" x14ac:dyDescent="0.25">
      <c r="A4429" s="21">
        <v>45806</v>
      </c>
      <c r="B4429" s="1" t="s">
        <v>1227</v>
      </c>
      <c r="C4429" t="s">
        <v>1221</v>
      </c>
      <c r="D4429" s="22">
        <v>-152.16999999999999</v>
      </c>
      <c r="E4429" t="s">
        <v>35</v>
      </c>
      <c r="F4429" s="2">
        <v>610148001</v>
      </c>
      <c r="G4429" s="2" t="s">
        <v>42</v>
      </c>
      <c r="L4429" s="2" t="s">
        <v>7755</v>
      </c>
      <c r="M4429" t="s">
        <v>43</v>
      </c>
      <c r="N4429" t="s">
        <v>42</v>
      </c>
      <c r="P4429" s="23">
        <v>96.53</v>
      </c>
      <c r="Q4429" s="4">
        <f t="shared" si="69"/>
        <v>-1.5764011188231637</v>
      </c>
      <c r="R4429" s="23" t="s">
        <v>1198</v>
      </c>
      <c r="T4429" s="41" t="s">
        <v>6107</v>
      </c>
    </row>
    <row r="4430" spans="1:20" x14ac:dyDescent="0.25">
      <c r="A4430" s="21">
        <v>45806</v>
      </c>
      <c r="B4430" s="1" t="s">
        <v>1223</v>
      </c>
      <c r="C4430" t="s">
        <v>1221</v>
      </c>
      <c r="D4430" s="22">
        <v>-249.14</v>
      </c>
      <c r="E4430" t="s">
        <v>35</v>
      </c>
      <c r="F4430" s="2">
        <v>610148001</v>
      </c>
      <c r="G4430" s="2" t="s">
        <v>42</v>
      </c>
      <c r="L4430" s="2" t="s">
        <v>7756</v>
      </c>
      <c r="M4430" t="s">
        <v>43</v>
      </c>
      <c r="N4430" t="s">
        <v>42</v>
      </c>
      <c r="P4430" s="23">
        <v>96.53</v>
      </c>
      <c r="Q4430" s="4">
        <f t="shared" si="69"/>
        <v>-2.5809592872682066</v>
      </c>
      <c r="R4430" s="23" t="s">
        <v>1198</v>
      </c>
      <c r="T4430" s="41" t="s">
        <v>6107</v>
      </c>
    </row>
    <row r="4431" spans="1:20" x14ac:dyDescent="0.25">
      <c r="A4431" s="21">
        <v>45806</v>
      </c>
      <c r="B4431" s="1" t="s">
        <v>7757</v>
      </c>
      <c r="C4431" t="s">
        <v>7751</v>
      </c>
      <c r="D4431" s="22">
        <v>60868.74</v>
      </c>
      <c r="E4431" t="s">
        <v>46</v>
      </c>
      <c r="F4431" s="2">
        <v>110114001</v>
      </c>
      <c r="G4431" s="2" t="s">
        <v>301</v>
      </c>
      <c r="L4431" s="2" t="s">
        <v>7758</v>
      </c>
      <c r="N4431" t="s">
        <v>3849</v>
      </c>
      <c r="P4431" s="23">
        <v>96.53</v>
      </c>
      <c r="Q4431" s="4">
        <f t="shared" si="69"/>
        <v>630.5681135398321</v>
      </c>
      <c r="R4431" s="23" t="s">
        <v>1198</v>
      </c>
    </row>
    <row r="4432" spans="1:20" x14ac:dyDescent="0.25">
      <c r="A4432" s="21">
        <v>45806</v>
      </c>
      <c r="B4432" s="1" t="s">
        <v>7759</v>
      </c>
      <c r="C4432" t="s">
        <v>544</v>
      </c>
      <c r="D4432" s="22">
        <v>600000</v>
      </c>
      <c r="E4432" t="s">
        <v>46</v>
      </c>
      <c r="F4432" s="2">
        <v>210115002</v>
      </c>
      <c r="G4432" s="2" t="s">
        <v>47</v>
      </c>
      <c r="L4432" s="2" t="s">
        <v>7760</v>
      </c>
      <c r="N4432" t="s">
        <v>544</v>
      </c>
      <c r="P4432" s="23">
        <v>96.53</v>
      </c>
      <c r="Q4432" s="4">
        <f t="shared" si="69"/>
        <v>6215.6842432404437</v>
      </c>
      <c r="R4432" s="23" t="s">
        <v>1198</v>
      </c>
    </row>
    <row r="4433" spans="1:20" x14ac:dyDescent="0.25">
      <c r="A4433" s="21">
        <v>45807</v>
      </c>
      <c r="B4433" s="1" t="s">
        <v>4108</v>
      </c>
      <c r="C4433" t="s">
        <v>7761</v>
      </c>
      <c r="D4433" s="22">
        <v>-1937.2</v>
      </c>
      <c r="E4433" t="s">
        <v>35</v>
      </c>
      <c r="F4433" s="2">
        <v>212901001</v>
      </c>
      <c r="G4433" s="2" t="s">
        <v>121</v>
      </c>
      <c r="L4433" s="2" t="s">
        <v>7762</v>
      </c>
      <c r="M4433" t="s">
        <v>67</v>
      </c>
      <c r="N4433" t="s">
        <v>68</v>
      </c>
      <c r="P4433" s="23">
        <v>96.86</v>
      </c>
      <c r="Q4433" s="4">
        <f t="shared" si="69"/>
        <v>-20</v>
      </c>
      <c r="R4433" s="23" t="s">
        <v>1198</v>
      </c>
    </row>
    <row r="4434" spans="1:20" x14ac:dyDescent="0.25">
      <c r="A4434" s="21">
        <v>45807</v>
      </c>
      <c r="B4434" s="1" t="s">
        <v>3917</v>
      </c>
      <c r="C4434" t="s">
        <v>7763</v>
      </c>
      <c r="D4434" s="22">
        <v>-1937.2</v>
      </c>
      <c r="E4434" t="s">
        <v>35</v>
      </c>
      <c r="F4434" s="2">
        <v>212901001</v>
      </c>
      <c r="G4434" s="2" t="s">
        <v>121</v>
      </c>
      <c r="L4434" s="2" t="s">
        <v>7764</v>
      </c>
      <c r="M4434" t="s">
        <v>67</v>
      </c>
      <c r="N4434" t="s">
        <v>68</v>
      </c>
      <c r="P4434" s="23">
        <v>96.86</v>
      </c>
      <c r="Q4434" s="4">
        <f t="shared" si="69"/>
        <v>-20</v>
      </c>
      <c r="R4434" s="23" t="s">
        <v>1198</v>
      </c>
    </row>
    <row r="4435" spans="1:20" x14ac:dyDescent="0.25">
      <c r="A4435" s="21">
        <v>45807</v>
      </c>
      <c r="B4435" s="1" t="s">
        <v>3933</v>
      </c>
      <c r="C4435" t="s">
        <v>7765</v>
      </c>
      <c r="D4435" s="22">
        <v>-6780.2</v>
      </c>
      <c r="E4435" t="s">
        <v>35</v>
      </c>
      <c r="F4435" s="2">
        <v>212901001</v>
      </c>
      <c r="G4435" s="2" t="s">
        <v>121</v>
      </c>
      <c r="L4435" s="2" t="s">
        <v>7766</v>
      </c>
      <c r="M4435" t="s">
        <v>67</v>
      </c>
      <c r="N4435" t="s">
        <v>68</v>
      </c>
      <c r="P4435" s="23">
        <v>96.86</v>
      </c>
      <c r="Q4435" s="4">
        <f t="shared" si="69"/>
        <v>-70</v>
      </c>
      <c r="R4435" s="23" t="s">
        <v>1198</v>
      </c>
    </row>
    <row r="4436" spans="1:20" x14ac:dyDescent="0.25">
      <c r="A4436" s="21">
        <v>45807</v>
      </c>
      <c r="B4436" s="1" t="s">
        <v>3943</v>
      </c>
      <c r="C4436" t="s">
        <v>7767</v>
      </c>
      <c r="D4436" s="22">
        <v>-14529</v>
      </c>
      <c r="E4436" t="s">
        <v>35</v>
      </c>
      <c r="F4436" s="2">
        <v>212901001</v>
      </c>
      <c r="G4436" s="2" t="s">
        <v>121</v>
      </c>
      <c r="L4436" s="2" t="s">
        <v>7768</v>
      </c>
      <c r="M4436" t="s">
        <v>67</v>
      </c>
      <c r="N4436" t="s">
        <v>68</v>
      </c>
      <c r="P4436" s="23">
        <v>96.86</v>
      </c>
      <c r="Q4436" s="4">
        <f t="shared" si="69"/>
        <v>-150</v>
      </c>
      <c r="R4436" s="23" t="s">
        <v>1198</v>
      </c>
    </row>
    <row r="4437" spans="1:20" x14ac:dyDescent="0.25">
      <c r="A4437" s="21">
        <v>45807</v>
      </c>
      <c r="B4437" s="1" t="s">
        <v>3927</v>
      </c>
      <c r="C4437" t="s">
        <v>7769</v>
      </c>
      <c r="D4437" s="22">
        <v>-1937.2</v>
      </c>
      <c r="E4437" t="s">
        <v>35</v>
      </c>
      <c r="F4437" s="2">
        <v>212901001</v>
      </c>
      <c r="G4437" s="2" t="s">
        <v>121</v>
      </c>
      <c r="L4437" s="2" t="s">
        <v>7770</v>
      </c>
      <c r="M4437" t="s">
        <v>67</v>
      </c>
      <c r="N4437" t="s">
        <v>68</v>
      </c>
      <c r="P4437" s="23">
        <v>96.86</v>
      </c>
      <c r="Q4437" s="4">
        <f t="shared" si="69"/>
        <v>-20</v>
      </c>
      <c r="R4437" s="23" t="s">
        <v>1198</v>
      </c>
    </row>
    <row r="4438" spans="1:20" x14ac:dyDescent="0.25">
      <c r="A4438" s="21">
        <v>45807</v>
      </c>
      <c r="B4438" s="1" t="s">
        <v>4161</v>
      </c>
      <c r="C4438" t="s">
        <v>7771</v>
      </c>
      <c r="D4438" s="22">
        <v>-1937.2</v>
      </c>
      <c r="E4438" t="s">
        <v>35</v>
      </c>
      <c r="F4438" s="2">
        <v>610156001</v>
      </c>
      <c r="G4438" s="2" t="s">
        <v>91</v>
      </c>
      <c r="L4438" s="2" t="s">
        <v>7772</v>
      </c>
      <c r="N4438" t="s">
        <v>3849</v>
      </c>
      <c r="P4438" s="23">
        <v>96.86</v>
      </c>
      <c r="Q4438" s="4">
        <f t="shared" si="69"/>
        <v>-20</v>
      </c>
      <c r="R4438" s="23" t="s">
        <v>1198</v>
      </c>
    </row>
    <row r="4439" spans="1:20" x14ac:dyDescent="0.25">
      <c r="A4439" s="21">
        <v>45807</v>
      </c>
      <c r="B4439" s="1" t="s">
        <v>3914</v>
      </c>
      <c r="C4439" t="s">
        <v>7773</v>
      </c>
      <c r="D4439" s="22">
        <v>-3874.4</v>
      </c>
      <c r="E4439" t="s">
        <v>35</v>
      </c>
      <c r="F4439" s="2">
        <v>212901001</v>
      </c>
      <c r="G4439" s="2" t="s">
        <v>121</v>
      </c>
      <c r="L4439" s="2" t="s">
        <v>7774</v>
      </c>
      <c r="M4439" t="s">
        <v>67</v>
      </c>
      <c r="N4439" t="s">
        <v>68</v>
      </c>
      <c r="P4439" s="23">
        <v>96.86</v>
      </c>
      <c r="Q4439" s="4">
        <f t="shared" si="69"/>
        <v>-40</v>
      </c>
      <c r="R4439" s="23" t="s">
        <v>1198</v>
      </c>
    </row>
    <row r="4440" spans="1:20" x14ac:dyDescent="0.25">
      <c r="A4440" s="32">
        <v>45807</v>
      </c>
      <c r="B4440" s="26" t="s">
        <v>4127</v>
      </c>
      <c r="C4440" s="27" t="s">
        <v>7775</v>
      </c>
      <c r="D4440" s="28">
        <v>-5230.4399999999996</v>
      </c>
      <c r="E4440" s="27" t="s">
        <v>35</v>
      </c>
      <c r="F4440" s="29">
        <v>610156001</v>
      </c>
      <c r="G4440" s="29" t="s">
        <v>91</v>
      </c>
      <c r="H4440" s="107"/>
      <c r="I4440" s="101"/>
      <c r="J4440" s="101"/>
      <c r="K4440" s="29"/>
      <c r="L4440" s="2" t="s">
        <v>7776</v>
      </c>
      <c r="M4440" s="27" t="s">
        <v>5015</v>
      </c>
      <c r="N4440" s="27" t="s">
        <v>1240</v>
      </c>
      <c r="O4440" s="27" t="s">
        <v>59</v>
      </c>
      <c r="P4440" s="31">
        <v>96.86</v>
      </c>
      <c r="Q4440" s="4">
        <f t="shared" si="69"/>
        <v>-53.999999999999993</v>
      </c>
      <c r="R4440" s="23" t="s">
        <v>1198</v>
      </c>
      <c r="T4440" s="23" t="s">
        <v>7777</v>
      </c>
    </row>
    <row r="4441" spans="1:20" x14ac:dyDescent="0.25">
      <c r="A4441" s="21">
        <v>45807</v>
      </c>
      <c r="B4441" s="1" t="s">
        <v>4021</v>
      </c>
      <c r="C4441" t="s">
        <v>7778</v>
      </c>
      <c r="D4441" s="22">
        <v>-16982.900000000001</v>
      </c>
      <c r="E4441" t="s">
        <v>35</v>
      </c>
      <c r="F4441" s="2">
        <v>110114001</v>
      </c>
      <c r="G4441" s="2" t="s">
        <v>301</v>
      </c>
      <c r="L4441" s="2" t="s">
        <v>7779</v>
      </c>
      <c r="M4441" s="50" t="s">
        <v>114</v>
      </c>
      <c r="N4441" s="50" t="s">
        <v>115</v>
      </c>
      <c r="O4441" s="50"/>
      <c r="P4441" s="23">
        <v>96.86</v>
      </c>
      <c r="Q4441" s="4">
        <f t="shared" si="69"/>
        <v>-175.33450340697917</v>
      </c>
      <c r="R4441" s="23" t="s">
        <v>1198</v>
      </c>
      <c r="S4441" s="33" t="s">
        <v>5309</v>
      </c>
    </row>
    <row r="4442" spans="1:20" x14ac:dyDescent="0.25">
      <c r="A4442" s="21">
        <v>45807</v>
      </c>
      <c r="B4442" s="1" t="s">
        <v>3952</v>
      </c>
      <c r="C4442" t="s">
        <v>7780</v>
      </c>
      <c r="D4442" s="22">
        <v>-4843</v>
      </c>
      <c r="E4442" t="s">
        <v>35</v>
      </c>
      <c r="F4442" s="2">
        <v>212901001</v>
      </c>
      <c r="G4442" s="2" t="s">
        <v>121</v>
      </c>
      <c r="L4442" s="2" t="s">
        <v>7781</v>
      </c>
      <c r="M4442" t="s">
        <v>67</v>
      </c>
      <c r="N4442" t="s">
        <v>68</v>
      </c>
      <c r="P4442" s="23">
        <v>96.86</v>
      </c>
      <c r="Q4442" s="4">
        <f t="shared" si="69"/>
        <v>-50</v>
      </c>
      <c r="R4442" s="23" t="s">
        <v>1198</v>
      </c>
    </row>
    <row r="4443" spans="1:20" x14ac:dyDescent="0.25">
      <c r="A4443" s="21">
        <v>45807</v>
      </c>
      <c r="B4443" s="1" t="s">
        <v>4046</v>
      </c>
      <c r="C4443" t="s">
        <v>7782</v>
      </c>
      <c r="D4443" s="22">
        <v>-7335.4</v>
      </c>
      <c r="E4443" t="s">
        <v>35</v>
      </c>
      <c r="F4443" s="2">
        <v>110114001</v>
      </c>
      <c r="G4443" s="2" t="s">
        <v>301</v>
      </c>
      <c r="L4443" s="2" t="s">
        <v>7783</v>
      </c>
      <c r="M4443" t="s">
        <v>114</v>
      </c>
      <c r="N4443" t="s">
        <v>115</v>
      </c>
      <c r="P4443" s="23">
        <v>96.86</v>
      </c>
      <c r="Q4443" s="4">
        <f t="shared" si="69"/>
        <v>-75.731984307247572</v>
      </c>
      <c r="R4443" s="23" t="s">
        <v>1198</v>
      </c>
      <c r="S4443" s="33" t="s">
        <v>5309</v>
      </c>
    </row>
    <row r="4444" spans="1:20" x14ac:dyDescent="0.25">
      <c r="A4444" s="21">
        <v>45807</v>
      </c>
      <c r="B4444" s="1" t="s">
        <v>1214</v>
      </c>
      <c r="C4444" t="s">
        <v>7784</v>
      </c>
      <c r="D4444" s="22">
        <v>-162894.19</v>
      </c>
      <c r="E4444" t="s">
        <v>35</v>
      </c>
      <c r="F4444" s="2">
        <v>110114001</v>
      </c>
      <c r="G4444" s="2" t="s">
        <v>301</v>
      </c>
      <c r="L4444" s="2" t="s">
        <v>7785</v>
      </c>
      <c r="M4444" s="71" t="s">
        <v>38</v>
      </c>
      <c r="N4444" s="71" t="s">
        <v>39</v>
      </c>
      <c r="O4444" s="71"/>
      <c r="P4444" s="23">
        <v>96.86</v>
      </c>
      <c r="Q4444" s="4">
        <f t="shared" si="69"/>
        <v>-1681.7488127193888</v>
      </c>
      <c r="R4444" s="23" t="s">
        <v>1198</v>
      </c>
      <c r="S4444" s="33" t="s">
        <v>5309</v>
      </c>
    </row>
    <row r="4445" spans="1:20" x14ac:dyDescent="0.25">
      <c r="A4445" s="21">
        <v>45807</v>
      </c>
      <c r="B4445" s="1" t="s">
        <v>3949</v>
      </c>
      <c r="C4445" t="s">
        <v>7786</v>
      </c>
      <c r="D4445" s="22">
        <v>-1937.2</v>
      </c>
      <c r="E4445" t="s">
        <v>35</v>
      </c>
      <c r="F4445" s="2">
        <v>212901001</v>
      </c>
      <c r="G4445" s="2" t="s">
        <v>121</v>
      </c>
      <c r="L4445" s="2" t="s">
        <v>7787</v>
      </c>
      <c r="M4445" t="s">
        <v>67</v>
      </c>
      <c r="N4445" t="s">
        <v>68</v>
      </c>
      <c r="P4445" s="23">
        <v>96.86</v>
      </c>
      <c r="Q4445" s="4">
        <f t="shared" si="69"/>
        <v>-20</v>
      </c>
      <c r="R4445" s="23" t="s">
        <v>1198</v>
      </c>
    </row>
    <row r="4446" spans="1:20" x14ac:dyDescent="0.25">
      <c r="A4446" s="32">
        <v>45807</v>
      </c>
      <c r="B4446" s="26" t="s">
        <v>2571</v>
      </c>
      <c r="C4446" s="27" t="s">
        <v>7788</v>
      </c>
      <c r="D4446" s="28">
        <v>-14529</v>
      </c>
      <c r="E4446" s="27" t="s">
        <v>35</v>
      </c>
      <c r="F4446" s="29">
        <v>610156001</v>
      </c>
      <c r="G4446" s="29" t="s">
        <v>91</v>
      </c>
      <c r="H4446" s="107"/>
      <c r="I4446" s="101"/>
      <c r="J4446" s="101"/>
      <c r="K4446" s="29"/>
      <c r="L4446" s="2" t="s">
        <v>7789</v>
      </c>
      <c r="M4446" s="27" t="s">
        <v>93</v>
      </c>
      <c r="N4446" s="27" t="s">
        <v>94</v>
      </c>
      <c r="O4446" s="27" t="s">
        <v>59</v>
      </c>
      <c r="P4446" s="31">
        <v>96.86</v>
      </c>
      <c r="Q4446" s="4">
        <f t="shared" si="69"/>
        <v>-150</v>
      </c>
      <c r="R4446" s="23" t="s">
        <v>1198</v>
      </c>
      <c r="T4446" s="23" t="s">
        <v>7790</v>
      </c>
    </row>
    <row r="4447" spans="1:20" x14ac:dyDescent="0.25">
      <c r="A4447" s="21">
        <v>45807</v>
      </c>
      <c r="B4447" s="1" t="s">
        <v>2573</v>
      </c>
      <c r="C4447" t="s">
        <v>100</v>
      </c>
      <c r="D4447" s="30">
        <v>-9686</v>
      </c>
      <c r="E4447" t="s">
        <v>35</v>
      </c>
      <c r="F4447" s="2">
        <v>610124003</v>
      </c>
      <c r="G4447" s="2" t="s">
        <v>101</v>
      </c>
      <c r="L4447" s="2" t="s">
        <v>7791</v>
      </c>
      <c r="M4447" t="s">
        <v>103</v>
      </c>
      <c r="N4447" t="s">
        <v>104</v>
      </c>
      <c r="O4447" s="27" t="s">
        <v>59</v>
      </c>
      <c r="P4447" s="23">
        <v>96.86</v>
      </c>
      <c r="Q4447" s="4">
        <f t="shared" si="69"/>
        <v>-100</v>
      </c>
      <c r="R4447" s="23" t="s">
        <v>1198</v>
      </c>
      <c r="T4447" s="23" t="s">
        <v>7792</v>
      </c>
    </row>
    <row r="4448" spans="1:20" x14ac:dyDescent="0.25">
      <c r="A4448" s="32">
        <v>45807</v>
      </c>
      <c r="B4448" s="26" t="s">
        <v>1208</v>
      </c>
      <c r="C4448" s="27" t="s">
        <v>54</v>
      </c>
      <c r="D4448" s="28">
        <v>-11623.2</v>
      </c>
      <c r="E4448" s="27" t="s">
        <v>35</v>
      </c>
      <c r="F4448" s="29">
        <v>610129001</v>
      </c>
      <c r="G4448" s="29" t="s">
        <v>55</v>
      </c>
      <c r="H4448" s="107"/>
      <c r="I4448" s="101"/>
      <c r="J4448" s="101"/>
      <c r="K4448" s="29"/>
      <c r="L4448" s="2" t="s">
        <v>7793</v>
      </c>
      <c r="M4448" s="27" t="s">
        <v>57</v>
      </c>
      <c r="N4448" s="27" t="s">
        <v>58</v>
      </c>
      <c r="O4448" s="27" t="s">
        <v>59</v>
      </c>
      <c r="P4448" s="31">
        <v>96.86</v>
      </c>
      <c r="Q4448" s="4">
        <f t="shared" si="69"/>
        <v>-120.00000000000001</v>
      </c>
      <c r="R4448" s="23" t="s">
        <v>1198</v>
      </c>
      <c r="T4448" s="23" t="s">
        <v>7794</v>
      </c>
    </row>
    <row r="4449" spans="1:20" x14ac:dyDescent="0.25">
      <c r="A4449" s="21">
        <v>45807</v>
      </c>
      <c r="B4449" s="1" t="s">
        <v>3930</v>
      </c>
      <c r="C4449" t="s">
        <v>7795</v>
      </c>
      <c r="D4449" s="22">
        <v>-60868.74</v>
      </c>
      <c r="E4449" t="s">
        <v>35</v>
      </c>
      <c r="F4449" s="2">
        <v>210101001</v>
      </c>
      <c r="G4449" s="2" t="s">
        <v>36</v>
      </c>
      <c r="L4449" s="2" t="s">
        <v>7796</v>
      </c>
      <c r="M4449" t="s">
        <v>2635</v>
      </c>
      <c r="N4449" t="s">
        <v>2636</v>
      </c>
      <c r="P4449" s="23">
        <v>96.86</v>
      </c>
      <c r="Q4449" s="4">
        <f t="shared" si="69"/>
        <v>-628.41978112740037</v>
      </c>
      <c r="R4449" s="23" t="s">
        <v>1198</v>
      </c>
    </row>
    <row r="4450" spans="1:20" x14ac:dyDescent="0.25">
      <c r="A4450" s="21">
        <v>45807</v>
      </c>
      <c r="B4450" s="1" t="s">
        <v>4088</v>
      </c>
      <c r="C4450" t="s">
        <v>7797</v>
      </c>
      <c r="D4450" s="22">
        <v>-1937.2</v>
      </c>
      <c r="E4450" t="s">
        <v>35</v>
      </c>
      <c r="F4450" s="2">
        <v>212901001</v>
      </c>
      <c r="G4450" s="2" t="s">
        <v>121</v>
      </c>
      <c r="L4450" s="2" t="s">
        <v>7798</v>
      </c>
      <c r="M4450" t="s">
        <v>67</v>
      </c>
      <c r="N4450" t="s">
        <v>68</v>
      </c>
      <c r="P4450" s="23">
        <v>96.86</v>
      </c>
      <c r="Q4450" s="4">
        <f t="shared" si="69"/>
        <v>-20</v>
      </c>
      <c r="R4450" s="23" t="s">
        <v>1198</v>
      </c>
    </row>
    <row r="4451" spans="1:20" x14ac:dyDescent="0.25">
      <c r="A4451" s="21">
        <v>45807</v>
      </c>
      <c r="B4451" s="1" t="s">
        <v>1217</v>
      </c>
      <c r="C4451" t="s">
        <v>54</v>
      </c>
      <c r="D4451" s="22">
        <v>-11623.2</v>
      </c>
      <c r="E4451" t="s">
        <v>35</v>
      </c>
      <c r="F4451" s="2">
        <v>610129001</v>
      </c>
      <c r="G4451" s="2" t="s">
        <v>55</v>
      </c>
      <c r="L4451" s="2" t="s">
        <v>7799</v>
      </c>
      <c r="N4451" t="s">
        <v>7800</v>
      </c>
      <c r="P4451" s="23">
        <v>96.86</v>
      </c>
      <c r="Q4451" s="4">
        <f t="shared" si="69"/>
        <v>-120.00000000000001</v>
      </c>
      <c r="R4451" s="23" t="s">
        <v>1198</v>
      </c>
    </row>
    <row r="4452" spans="1:20" x14ac:dyDescent="0.25">
      <c r="A4452" s="21">
        <v>45807</v>
      </c>
      <c r="B4452" s="1" t="s">
        <v>4018</v>
      </c>
      <c r="C4452" t="s">
        <v>7801</v>
      </c>
      <c r="D4452" s="43">
        <v>-1937.2</v>
      </c>
      <c r="E4452" t="s">
        <v>35</v>
      </c>
      <c r="F4452" s="2">
        <v>212901001</v>
      </c>
      <c r="G4452" s="2" t="s">
        <v>121</v>
      </c>
      <c r="L4452" s="2" t="s">
        <v>7802</v>
      </c>
      <c r="M4452" t="s">
        <v>67</v>
      </c>
      <c r="N4452" t="s">
        <v>68</v>
      </c>
      <c r="P4452" s="23">
        <v>96.86</v>
      </c>
      <c r="Q4452" s="4">
        <f t="shared" si="69"/>
        <v>-20</v>
      </c>
      <c r="R4452" s="23" t="s">
        <v>1198</v>
      </c>
    </row>
    <row r="4453" spans="1:20" x14ac:dyDescent="0.25">
      <c r="A4453" s="21">
        <v>45807</v>
      </c>
      <c r="B4453" s="1" t="s">
        <v>4091</v>
      </c>
      <c r="C4453" t="s">
        <v>7803</v>
      </c>
      <c r="D4453" s="22">
        <v>-87638.93</v>
      </c>
      <c r="E4453" t="s">
        <v>35</v>
      </c>
      <c r="F4453" s="2">
        <v>110114001</v>
      </c>
      <c r="G4453" s="2" t="s">
        <v>301</v>
      </c>
      <c r="L4453" s="2" t="s">
        <v>7804</v>
      </c>
      <c r="M4453" s="71" t="s">
        <v>38</v>
      </c>
      <c r="N4453" s="71" t="s">
        <v>39</v>
      </c>
      <c r="O4453" s="71"/>
      <c r="P4453" s="23">
        <v>96.86</v>
      </c>
      <c r="Q4453" s="4">
        <f t="shared" si="69"/>
        <v>-904.80002064835844</v>
      </c>
      <c r="R4453" s="23" t="s">
        <v>1198</v>
      </c>
      <c r="S4453" s="33" t="s">
        <v>5309</v>
      </c>
    </row>
    <row r="4454" spans="1:20" x14ac:dyDescent="0.25">
      <c r="A4454" s="21">
        <v>45807</v>
      </c>
      <c r="B4454" s="1" t="s">
        <v>4049</v>
      </c>
      <c r="C4454" t="s">
        <v>6358</v>
      </c>
      <c r="D4454" s="22">
        <v>-8236.14</v>
      </c>
      <c r="E4454" t="s">
        <v>35</v>
      </c>
      <c r="F4454" s="2">
        <v>110101002</v>
      </c>
      <c r="G4454" s="2" t="s">
        <v>6359</v>
      </c>
      <c r="L4454" s="2" t="s">
        <v>7805</v>
      </c>
      <c r="N4454" t="s">
        <v>6361</v>
      </c>
      <c r="P4454" s="23">
        <v>96.86</v>
      </c>
      <c r="Q4454" s="4">
        <f t="shared" si="69"/>
        <v>-85.031385504852352</v>
      </c>
      <c r="R4454" s="23" t="s">
        <v>1198</v>
      </c>
    </row>
    <row r="4455" spans="1:20" x14ac:dyDescent="0.25">
      <c r="A4455" s="21">
        <v>45807</v>
      </c>
      <c r="B4455" s="1" t="s">
        <v>1211</v>
      </c>
      <c r="C4455" t="s">
        <v>7784</v>
      </c>
      <c r="D4455" s="22">
        <v>-200000</v>
      </c>
      <c r="E4455" t="s">
        <v>35</v>
      </c>
      <c r="F4455" s="2">
        <v>110114001</v>
      </c>
      <c r="G4455" s="2" t="s">
        <v>301</v>
      </c>
      <c r="L4455" s="2" t="s">
        <v>7806</v>
      </c>
      <c r="M4455" s="71" t="s">
        <v>38</v>
      </c>
      <c r="N4455" s="71" t="s">
        <v>39</v>
      </c>
      <c r="O4455" s="71"/>
      <c r="P4455" s="23">
        <v>96.86</v>
      </c>
      <c r="Q4455" s="4">
        <f t="shared" si="69"/>
        <v>-2064.8358455502789</v>
      </c>
      <c r="R4455" s="23" t="s">
        <v>1198</v>
      </c>
      <c r="S4455" s="33" t="s">
        <v>5309</v>
      </c>
    </row>
    <row r="4456" spans="1:20" x14ac:dyDescent="0.25">
      <c r="A4456" s="21">
        <v>45807</v>
      </c>
      <c r="B4456" s="1" t="s">
        <v>3924</v>
      </c>
      <c r="C4456" t="s">
        <v>7807</v>
      </c>
      <c r="D4456" s="22">
        <v>-6780.2</v>
      </c>
      <c r="E4456" t="s">
        <v>35</v>
      </c>
      <c r="F4456" s="2">
        <v>212901001</v>
      </c>
      <c r="G4456" s="2" t="s">
        <v>121</v>
      </c>
      <c r="L4456" s="2" t="s">
        <v>7808</v>
      </c>
      <c r="M4456" t="s">
        <v>67</v>
      </c>
      <c r="N4456" t="s">
        <v>68</v>
      </c>
      <c r="P4456" s="23">
        <v>96.86</v>
      </c>
      <c r="Q4456" s="4">
        <f t="shared" si="69"/>
        <v>-70</v>
      </c>
      <c r="R4456" s="23" t="s">
        <v>1198</v>
      </c>
    </row>
    <row r="4457" spans="1:20" x14ac:dyDescent="0.25">
      <c r="A4457" s="21">
        <v>45807</v>
      </c>
      <c r="B4457" s="1" t="s">
        <v>1220</v>
      </c>
      <c r="C4457" t="s">
        <v>1221</v>
      </c>
      <c r="D4457" s="22">
        <v>-29.05</v>
      </c>
      <c r="E4457" t="s">
        <v>35</v>
      </c>
      <c r="F4457" s="2">
        <v>610148001</v>
      </c>
      <c r="G4457" s="2" t="s">
        <v>42</v>
      </c>
      <c r="L4457" s="2" t="s">
        <v>7809</v>
      </c>
      <c r="M4457" t="s">
        <v>43</v>
      </c>
      <c r="N4457" t="s">
        <v>42</v>
      </c>
      <c r="P4457" s="23">
        <v>96.86</v>
      </c>
      <c r="Q4457" s="4">
        <f t="shared" si="69"/>
        <v>-0.29991740656617799</v>
      </c>
      <c r="R4457" s="23" t="s">
        <v>1198</v>
      </c>
      <c r="T4457" s="41" t="s">
        <v>6107</v>
      </c>
    </row>
    <row r="4458" spans="1:20" x14ac:dyDescent="0.25">
      <c r="A4458" s="21">
        <v>45807</v>
      </c>
      <c r="B4458" s="1" t="s">
        <v>3960</v>
      </c>
      <c r="C4458" t="s">
        <v>1221</v>
      </c>
      <c r="D4458" s="22">
        <v>-4.84</v>
      </c>
      <c r="E4458" t="s">
        <v>35</v>
      </c>
      <c r="F4458" s="2">
        <v>610148001</v>
      </c>
      <c r="G4458" s="2" t="s">
        <v>42</v>
      </c>
      <c r="L4458" s="2" t="s">
        <v>7810</v>
      </c>
      <c r="M4458" t="s">
        <v>43</v>
      </c>
      <c r="N4458" t="s">
        <v>42</v>
      </c>
      <c r="P4458" s="23">
        <v>96.86</v>
      </c>
      <c r="Q4458" s="4">
        <f t="shared" si="69"/>
        <v>-4.9969027462316747E-2</v>
      </c>
      <c r="R4458" s="23" t="s">
        <v>1198</v>
      </c>
      <c r="T4458" s="41" t="s">
        <v>6107</v>
      </c>
    </row>
    <row r="4459" spans="1:20" x14ac:dyDescent="0.25">
      <c r="A4459" s="21">
        <v>45807</v>
      </c>
      <c r="B4459" s="1" t="s">
        <v>4240</v>
      </c>
      <c r="C4459" t="s">
        <v>1221</v>
      </c>
      <c r="D4459" s="22">
        <v>-4.84</v>
      </c>
      <c r="E4459" t="s">
        <v>35</v>
      </c>
      <c r="F4459" s="2">
        <v>610148001</v>
      </c>
      <c r="G4459" s="2" t="s">
        <v>42</v>
      </c>
      <c r="L4459" s="2" t="s">
        <v>7811</v>
      </c>
      <c r="M4459" t="s">
        <v>43</v>
      </c>
      <c r="N4459" t="s">
        <v>42</v>
      </c>
      <c r="P4459" s="23">
        <v>96.86</v>
      </c>
      <c r="Q4459" s="4">
        <f t="shared" si="69"/>
        <v>-4.9969027462316747E-2</v>
      </c>
      <c r="R4459" s="23" t="s">
        <v>1198</v>
      </c>
      <c r="T4459" s="41" t="s">
        <v>6107</v>
      </c>
    </row>
    <row r="4460" spans="1:20" x14ac:dyDescent="0.25">
      <c r="A4460" s="21">
        <v>45807</v>
      </c>
      <c r="B4460" s="1" t="s">
        <v>1227</v>
      </c>
      <c r="C4460" t="s">
        <v>1221</v>
      </c>
      <c r="D4460" s="22">
        <v>-500</v>
      </c>
      <c r="E4460" t="s">
        <v>35</v>
      </c>
      <c r="F4460" s="2">
        <v>610148001</v>
      </c>
      <c r="G4460" s="2" t="s">
        <v>42</v>
      </c>
      <c r="L4460" s="2" t="s">
        <v>7812</v>
      </c>
      <c r="M4460" t="s">
        <v>43</v>
      </c>
      <c r="N4460" t="s">
        <v>42</v>
      </c>
      <c r="P4460" s="23">
        <v>96.86</v>
      </c>
      <c r="Q4460" s="4">
        <f t="shared" si="69"/>
        <v>-5.1620896138756969</v>
      </c>
      <c r="R4460" s="23" t="s">
        <v>1198</v>
      </c>
      <c r="T4460" s="41" t="s">
        <v>6107</v>
      </c>
    </row>
    <row r="4461" spans="1:20" x14ac:dyDescent="0.25">
      <c r="A4461" s="21">
        <v>45807</v>
      </c>
      <c r="B4461" s="1" t="s">
        <v>2585</v>
      </c>
      <c r="C4461" t="s">
        <v>1221</v>
      </c>
      <c r="D4461" s="22">
        <v>-36.32</v>
      </c>
      <c r="E4461" t="s">
        <v>35</v>
      </c>
      <c r="F4461" s="2">
        <v>610148001</v>
      </c>
      <c r="G4461" s="2" t="s">
        <v>42</v>
      </c>
      <c r="L4461" s="2" t="s">
        <v>7813</v>
      </c>
      <c r="M4461" t="s">
        <v>43</v>
      </c>
      <c r="N4461" t="s">
        <v>42</v>
      </c>
      <c r="P4461" s="23">
        <v>96.86</v>
      </c>
      <c r="Q4461" s="4">
        <f t="shared" si="69"/>
        <v>-0.37497418955193063</v>
      </c>
      <c r="R4461" s="23" t="s">
        <v>1198</v>
      </c>
      <c r="T4461" s="41" t="s">
        <v>6107</v>
      </c>
    </row>
    <row r="4462" spans="1:20" x14ac:dyDescent="0.25">
      <c r="A4462" s="21">
        <v>45807</v>
      </c>
      <c r="B4462" s="1" t="s">
        <v>3969</v>
      </c>
      <c r="C4462" t="s">
        <v>1221</v>
      </c>
      <c r="D4462" s="22">
        <v>-152.16999999999999</v>
      </c>
      <c r="E4462" t="s">
        <v>35</v>
      </c>
      <c r="F4462" s="2">
        <v>610148001</v>
      </c>
      <c r="G4462" s="2" t="s">
        <v>42</v>
      </c>
      <c r="L4462" s="2" t="s">
        <v>7814</v>
      </c>
      <c r="M4462" t="s">
        <v>43</v>
      </c>
      <c r="N4462" t="s">
        <v>42</v>
      </c>
      <c r="P4462" s="23">
        <v>96.86</v>
      </c>
      <c r="Q4462" s="4">
        <f t="shared" si="69"/>
        <v>-1.5710303530869294</v>
      </c>
      <c r="R4462" s="23" t="s">
        <v>1198</v>
      </c>
      <c r="T4462" s="41" t="s">
        <v>6107</v>
      </c>
    </row>
    <row r="4463" spans="1:20" x14ac:dyDescent="0.25">
      <c r="A4463" s="21">
        <v>45807</v>
      </c>
      <c r="B4463" s="1" t="s">
        <v>3955</v>
      </c>
      <c r="C4463" t="s">
        <v>1221</v>
      </c>
      <c r="D4463" s="22">
        <v>-4.84</v>
      </c>
      <c r="E4463" t="s">
        <v>35</v>
      </c>
      <c r="F4463" s="2">
        <v>610148001</v>
      </c>
      <c r="G4463" s="2" t="s">
        <v>42</v>
      </c>
      <c r="L4463" s="2" t="s">
        <v>7815</v>
      </c>
      <c r="M4463" t="s">
        <v>43</v>
      </c>
      <c r="N4463" t="s">
        <v>42</v>
      </c>
      <c r="P4463" s="23">
        <v>96.86</v>
      </c>
      <c r="Q4463" s="4">
        <f t="shared" si="69"/>
        <v>-4.9969027462316747E-2</v>
      </c>
      <c r="R4463" s="23" t="s">
        <v>1198</v>
      </c>
      <c r="T4463" s="41" t="s">
        <v>6107</v>
      </c>
    </row>
    <row r="4464" spans="1:20" x14ac:dyDescent="0.25">
      <c r="A4464" s="21">
        <v>45807</v>
      </c>
      <c r="B4464" s="1" t="s">
        <v>4242</v>
      </c>
      <c r="C4464" t="s">
        <v>1221</v>
      </c>
      <c r="D4464" s="22">
        <v>-4.84</v>
      </c>
      <c r="E4464" t="s">
        <v>35</v>
      </c>
      <c r="F4464" s="2">
        <v>610148001</v>
      </c>
      <c r="G4464" s="2" t="s">
        <v>42</v>
      </c>
      <c r="L4464" s="2" t="s">
        <v>7816</v>
      </c>
      <c r="M4464" t="s">
        <v>43</v>
      </c>
      <c r="N4464" t="s">
        <v>42</v>
      </c>
      <c r="P4464" s="23">
        <v>96.86</v>
      </c>
      <c r="Q4464" s="4">
        <f t="shared" si="69"/>
        <v>-4.9969027462316747E-2</v>
      </c>
      <c r="R4464" s="23" t="s">
        <v>1198</v>
      </c>
      <c r="T4464" s="41" t="s">
        <v>6107</v>
      </c>
    </row>
    <row r="4465" spans="1:20" x14ac:dyDescent="0.25">
      <c r="A4465" s="21">
        <v>45807</v>
      </c>
      <c r="B4465" s="1" t="s">
        <v>1223</v>
      </c>
      <c r="C4465" t="s">
        <v>1221</v>
      </c>
      <c r="D4465" s="22">
        <v>-29.05</v>
      </c>
      <c r="E4465" t="s">
        <v>35</v>
      </c>
      <c r="F4465" s="2">
        <v>610148001</v>
      </c>
      <c r="G4465" s="2" t="s">
        <v>42</v>
      </c>
      <c r="L4465" s="2" t="s">
        <v>7817</v>
      </c>
      <c r="M4465" t="s">
        <v>43</v>
      </c>
      <c r="N4465" t="s">
        <v>42</v>
      </c>
      <c r="P4465" s="23">
        <v>96.86</v>
      </c>
      <c r="Q4465" s="4">
        <f t="shared" si="69"/>
        <v>-0.29991740656617799</v>
      </c>
      <c r="R4465" s="23" t="s">
        <v>1198</v>
      </c>
      <c r="T4465" s="41" t="s">
        <v>6107</v>
      </c>
    </row>
    <row r="4466" spans="1:20" x14ac:dyDescent="0.25">
      <c r="A4466" s="21">
        <v>45807</v>
      </c>
      <c r="B4466" s="1" t="s">
        <v>4284</v>
      </c>
      <c r="C4466" t="s">
        <v>1221</v>
      </c>
      <c r="D4466" s="22">
        <v>-13.07</v>
      </c>
      <c r="E4466" t="s">
        <v>35</v>
      </c>
      <c r="F4466" s="2">
        <v>610148001</v>
      </c>
      <c r="G4466" s="2" t="s">
        <v>42</v>
      </c>
      <c r="L4466" s="2" t="s">
        <v>7818</v>
      </c>
      <c r="M4466" t="s">
        <v>43</v>
      </c>
      <c r="N4466" t="s">
        <v>42</v>
      </c>
      <c r="P4466" s="23">
        <v>96.86</v>
      </c>
      <c r="Q4466" s="4">
        <f t="shared" si="69"/>
        <v>-0.13493702250671072</v>
      </c>
      <c r="R4466" s="23" t="s">
        <v>1198</v>
      </c>
      <c r="T4466" s="41" t="s">
        <v>6107</v>
      </c>
    </row>
    <row r="4467" spans="1:20" x14ac:dyDescent="0.25">
      <c r="A4467" s="21">
        <v>45807</v>
      </c>
      <c r="B4467" s="1" t="s">
        <v>3979</v>
      </c>
      <c r="C4467" t="s">
        <v>1221</v>
      </c>
      <c r="D4467" s="22">
        <v>-4.84</v>
      </c>
      <c r="E4467" t="s">
        <v>35</v>
      </c>
      <c r="F4467" s="2">
        <v>610148001</v>
      </c>
      <c r="G4467" s="2" t="s">
        <v>42</v>
      </c>
      <c r="L4467" s="2" t="s">
        <v>7819</v>
      </c>
      <c r="M4467" t="s">
        <v>43</v>
      </c>
      <c r="N4467" t="s">
        <v>42</v>
      </c>
      <c r="P4467" s="23">
        <v>96.86</v>
      </c>
      <c r="Q4467" s="4">
        <f t="shared" si="69"/>
        <v>-4.9969027462316747E-2</v>
      </c>
      <c r="R4467" s="23" t="s">
        <v>1198</v>
      </c>
      <c r="T4467" s="41" t="s">
        <v>6107</v>
      </c>
    </row>
    <row r="4468" spans="1:20" x14ac:dyDescent="0.25">
      <c r="A4468" s="21">
        <v>45807</v>
      </c>
      <c r="B4468" s="1" t="s">
        <v>4249</v>
      </c>
      <c r="C4468" t="s">
        <v>1221</v>
      </c>
      <c r="D4468" s="22">
        <v>-4.84</v>
      </c>
      <c r="E4468" t="s">
        <v>35</v>
      </c>
      <c r="F4468" s="2">
        <v>610148001</v>
      </c>
      <c r="G4468" s="2" t="s">
        <v>42</v>
      </c>
      <c r="L4468" s="2" t="s">
        <v>7820</v>
      </c>
      <c r="M4468" t="s">
        <v>43</v>
      </c>
      <c r="N4468" t="s">
        <v>42</v>
      </c>
      <c r="P4468" s="23">
        <v>96.86</v>
      </c>
      <c r="Q4468" s="4">
        <f t="shared" si="69"/>
        <v>-4.9969027462316747E-2</v>
      </c>
      <c r="R4468" s="23" t="s">
        <v>1198</v>
      </c>
      <c r="T4468" s="41" t="s">
        <v>6107</v>
      </c>
    </row>
    <row r="4469" spans="1:20" x14ac:dyDescent="0.25">
      <c r="A4469" s="21">
        <v>45807</v>
      </c>
      <c r="B4469" s="1" t="s">
        <v>4332</v>
      </c>
      <c r="C4469" t="s">
        <v>1221</v>
      </c>
      <c r="D4469" s="22">
        <v>-20.59</v>
      </c>
      <c r="E4469" t="s">
        <v>35</v>
      </c>
      <c r="F4469" s="2">
        <v>610148001</v>
      </c>
      <c r="G4469" s="2" t="s">
        <v>42</v>
      </c>
      <c r="L4469" s="2" t="s">
        <v>7821</v>
      </c>
      <c r="M4469" t="s">
        <v>43</v>
      </c>
      <c r="N4469" t="s">
        <v>42</v>
      </c>
      <c r="P4469" s="23">
        <v>96.86</v>
      </c>
      <c r="Q4469" s="4">
        <f t="shared" si="69"/>
        <v>-0.21257485029940121</v>
      </c>
      <c r="R4469" s="23" t="s">
        <v>1198</v>
      </c>
      <c r="T4469" s="41" t="s">
        <v>6107</v>
      </c>
    </row>
    <row r="4470" spans="1:20" x14ac:dyDescent="0.25">
      <c r="A4470" s="21">
        <v>45807</v>
      </c>
      <c r="B4470" s="1" t="s">
        <v>3977</v>
      </c>
      <c r="C4470" t="s">
        <v>1221</v>
      </c>
      <c r="D4470" s="22">
        <v>-36.32</v>
      </c>
      <c r="E4470" t="s">
        <v>35</v>
      </c>
      <c r="F4470" s="2">
        <v>610148001</v>
      </c>
      <c r="G4470" s="2" t="s">
        <v>42</v>
      </c>
      <c r="L4470" s="2" t="s">
        <v>7822</v>
      </c>
      <c r="M4470" t="s">
        <v>43</v>
      </c>
      <c r="N4470" t="s">
        <v>42</v>
      </c>
      <c r="P4470" s="23">
        <v>96.86</v>
      </c>
      <c r="Q4470" s="4">
        <f t="shared" si="69"/>
        <v>-0.37497418955193063</v>
      </c>
      <c r="R4470" s="23" t="s">
        <v>1198</v>
      </c>
      <c r="T4470" s="41" t="s">
        <v>6107</v>
      </c>
    </row>
    <row r="4471" spans="1:20" x14ac:dyDescent="0.25">
      <c r="A4471" s="21">
        <v>45807</v>
      </c>
      <c r="B4471" s="1" t="s">
        <v>3958</v>
      </c>
      <c r="C4471" t="s">
        <v>1221</v>
      </c>
      <c r="D4471" s="22">
        <v>-12.1</v>
      </c>
      <c r="E4471" t="s">
        <v>35</v>
      </c>
      <c r="F4471" s="2">
        <v>610148001</v>
      </c>
      <c r="G4471" s="2" t="s">
        <v>42</v>
      </c>
      <c r="L4471" s="2" t="s">
        <v>7823</v>
      </c>
      <c r="M4471" t="s">
        <v>43</v>
      </c>
      <c r="N4471" t="s">
        <v>42</v>
      </c>
      <c r="P4471" s="23">
        <v>96.86</v>
      </c>
      <c r="Q4471" s="4">
        <f t="shared" si="69"/>
        <v>-0.12492256865579186</v>
      </c>
      <c r="R4471" s="23" t="s">
        <v>1198</v>
      </c>
      <c r="T4471" s="41" t="s">
        <v>6107</v>
      </c>
    </row>
    <row r="4472" spans="1:20" x14ac:dyDescent="0.25">
      <c r="A4472" s="21">
        <v>45807</v>
      </c>
      <c r="B4472" s="1" t="s">
        <v>2582</v>
      </c>
      <c r="C4472" t="s">
        <v>1221</v>
      </c>
      <c r="D4472" s="22">
        <v>-24.21</v>
      </c>
      <c r="E4472" t="s">
        <v>35</v>
      </c>
      <c r="F4472" s="2">
        <v>610148001</v>
      </c>
      <c r="G4472" s="2" t="s">
        <v>42</v>
      </c>
      <c r="L4472" s="2" t="s">
        <v>7824</v>
      </c>
      <c r="M4472" t="s">
        <v>43</v>
      </c>
      <c r="N4472" t="s">
        <v>42</v>
      </c>
      <c r="P4472" s="23">
        <v>96.86</v>
      </c>
      <c r="Q4472" s="4">
        <f t="shared" si="69"/>
        <v>-0.24994837910386125</v>
      </c>
      <c r="R4472" s="23" t="s">
        <v>1198</v>
      </c>
      <c r="T4472" s="41" t="s">
        <v>6107</v>
      </c>
    </row>
    <row r="4473" spans="1:20" x14ac:dyDescent="0.25">
      <c r="A4473" s="21">
        <v>45807</v>
      </c>
      <c r="B4473" s="1" t="s">
        <v>3965</v>
      </c>
      <c r="C4473" t="s">
        <v>1221</v>
      </c>
      <c r="D4473" s="22">
        <v>-16.95</v>
      </c>
      <c r="E4473" t="s">
        <v>35</v>
      </c>
      <c r="F4473" s="2">
        <v>610148001</v>
      </c>
      <c r="G4473" s="2" t="s">
        <v>42</v>
      </c>
      <c r="L4473" s="2" t="s">
        <v>7825</v>
      </c>
      <c r="M4473" t="s">
        <v>43</v>
      </c>
      <c r="N4473" t="s">
        <v>42</v>
      </c>
      <c r="P4473" s="23">
        <v>96.86</v>
      </c>
      <c r="Q4473" s="4">
        <f t="shared" si="69"/>
        <v>-0.17499483791038611</v>
      </c>
      <c r="R4473" s="23" t="s">
        <v>1198</v>
      </c>
      <c r="T4473" s="41" t="s">
        <v>6107</v>
      </c>
    </row>
    <row r="4474" spans="1:20" x14ac:dyDescent="0.25">
      <c r="A4474" s="21">
        <v>45807</v>
      </c>
      <c r="B4474" s="1" t="s">
        <v>3962</v>
      </c>
      <c r="C4474" t="s">
        <v>1221</v>
      </c>
      <c r="D4474" s="22">
        <v>-9.68</v>
      </c>
      <c r="E4474" t="s">
        <v>35</v>
      </c>
      <c r="F4474" s="2">
        <v>610148001</v>
      </c>
      <c r="G4474" s="2" t="s">
        <v>42</v>
      </c>
      <c r="L4474" s="2" t="s">
        <v>7826</v>
      </c>
      <c r="M4474" t="s">
        <v>43</v>
      </c>
      <c r="N4474" t="s">
        <v>42</v>
      </c>
      <c r="P4474" s="23">
        <v>96.86</v>
      </c>
      <c r="Q4474" s="4">
        <f t="shared" si="69"/>
        <v>-9.9938054924633493E-2</v>
      </c>
      <c r="R4474" s="23" t="s">
        <v>1198</v>
      </c>
      <c r="T4474" s="41" t="s">
        <v>6107</v>
      </c>
    </row>
    <row r="4475" spans="1:20" x14ac:dyDescent="0.25">
      <c r="A4475" s="21">
        <v>45807</v>
      </c>
      <c r="B4475" s="1" t="s">
        <v>4311</v>
      </c>
      <c r="C4475" t="s">
        <v>1221</v>
      </c>
      <c r="D4475" s="22">
        <v>-42.45</v>
      </c>
      <c r="E4475" t="s">
        <v>35</v>
      </c>
      <c r="F4475" s="2">
        <v>610148001</v>
      </c>
      <c r="G4475" s="2" t="s">
        <v>42</v>
      </c>
      <c r="L4475" s="2" t="s">
        <v>7827</v>
      </c>
      <c r="M4475" t="s">
        <v>43</v>
      </c>
      <c r="N4475" t="s">
        <v>42</v>
      </c>
      <c r="P4475" s="23">
        <v>96.86</v>
      </c>
      <c r="Q4475" s="4">
        <f t="shared" si="69"/>
        <v>-0.43826140821804671</v>
      </c>
      <c r="R4475" s="23" t="s">
        <v>1198</v>
      </c>
      <c r="T4475" s="41" t="s">
        <v>6107</v>
      </c>
    </row>
    <row r="4476" spans="1:20" x14ac:dyDescent="0.25">
      <c r="A4476" s="21">
        <v>45807</v>
      </c>
      <c r="B4476" s="1" t="s">
        <v>3967</v>
      </c>
      <c r="C4476" t="s">
        <v>1221</v>
      </c>
      <c r="D4476" s="22">
        <v>-16.95</v>
      </c>
      <c r="E4476" t="s">
        <v>35</v>
      </c>
      <c r="F4476" s="2">
        <v>610148001</v>
      </c>
      <c r="G4476" s="2" t="s">
        <v>42</v>
      </c>
      <c r="L4476" s="2" t="s">
        <v>7828</v>
      </c>
      <c r="M4476" t="s">
        <v>43</v>
      </c>
      <c r="N4476" t="s">
        <v>42</v>
      </c>
      <c r="P4476" s="23">
        <v>96.86</v>
      </c>
      <c r="Q4476" s="4">
        <f t="shared" si="69"/>
        <v>-0.17499483791038611</v>
      </c>
      <c r="R4476" s="23" t="s">
        <v>1198</v>
      </c>
      <c r="T4476" s="41" t="s">
        <v>6107</v>
      </c>
    </row>
    <row r="4477" spans="1:20" x14ac:dyDescent="0.25">
      <c r="A4477" s="21">
        <v>45807</v>
      </c>
      <c r="B4477" s="1" t="s">
        <v>4217</v>
      </c>
      <c r="C4477" t="s">
        <v>1221</v>
      </c>
      <c r="D4477" s="22">
        <v>-219.09</v>
      </c>
      <c r="E4477" t="s">
        <v>35</v>
      </c>
      <c r="F4477" s="2">
        <v>610148001</v>
      </c>
      <c r="G4477" s="2" t="s">
        <v>42</v>
      </c>
      <c r="L4477" s="2" t="s">
        <v>7829</v>
      </c>
      <c r="M4477" t="s">
        <v>43</v>
      </c>
      <c r="N4477" t="s">
        <v>42</v>
      </c>
      <c r="P4477" s="23">
        <v>96.86</v>
      </c>
      <c r="Q4477" s="4">
        <f t="shared" si="69"/>
        <v>-2.261924427008053</v>
      </c>
      <c r="R4477" s="23" t="s">
        <v>1198</v>
      </c>
      <c r="T4477" s="41" t="s">
        <v>6107</v>
      </c>
    </row>
    <row r="4478" spans="1:20" x14ac:dyDescent="0.25">
      <c r="A4478" s="21">
        <v>45807</v>
      </c>
      <c r="B4478" s="1" t="s">
        <v>1225</v>
      </c>
      <c r="C4478" t="s">
        <v>1221</v>
      </c>
      <c r="D4478" s="22">
        <v>-407.23</v>
      </c>
      <c r="E4478" t="s">
        <v>35</v>
      </c>
      <c r="F4478" s="2">
        <v>610148001</v>
      </c>
      <c r="G4478" s="2" t="s">
        <v>42</v>
      </c>
      <c r="L4478" s="2" t="s">
        <v>7830</v>
      </c>
      <c r="M4478" t="s">
        <v>43</v>
      </c>
      <c r="N4478" t="s">
        <v>42</v>
      </c>
      <c r="P4478" s="23">
        <v>96.86</v>
      </c>
      <c r="Q4478" s="4">
        <f t="shared" si="69"/>
        <v>-4.2043155069172</v>
      </c>
      <c r="R4478" s="23" t="s">
        <v>1198</v>
      </c>
      <c r="T4478" s="41" t="s">
        <v>6107</v>
      </c>
    </row>
    <row r="4479" spans="1:20" x14ac:dyDescent="0.25">
      <c r="A4479" s="21">
        <v>45807</v>
      </c>
      <c r="B4479" s="1" t="s">
        <v>4219</v>
      </c>
      <c r="C4479" t="s">
        <v>1221</v>
      </c>
      <c r="D4479" s="22">
        <v>-18.329999999999998</v>
      </c>
      <c r="E4479" t="s">
        <v>35</v>
      </c>
      <c r="F4479" s="2">
        <v>610148001</v>
      </c>
      <c r="G4479" s="2" t="s">
        <v>42</v>
      </c>
      <c r="L4479" s="2" t="s">
        <v>7831</v>
      </c>
      <c r="M4479" t="s">
        <v>43</v>
      </c>
      <c r="N4479" t="s">
        <v>42</v>
      </c>
      <c r="P4479" s="23">
        <v>96.86</v>
      </c>
      <c r="Q4479" s="4">
        <f t="shared" si="69"/>
        <v>-0.18924220524468302</v>
      </c>
      <c r="R4479" s="23" t="s">
        <v>1198</v>
      </c>
      <c r="T4479" s="41" t="s">
        <v>6107</v>
      </c>
    </row>
    <row r="4480" spans="1:20" x14ac:dyDescent="0.25">
      <c r="A4480" s="21">
        <v>45807</v>
      </c>
      <c r="B4480" s="1" t="s">
        <v>4309</v>
      </c>
      <c r="C4480" t="s">
        <v>1221</v>
      </c>
      <c r="D4480" s="22">
        <v>-4.84</v>
      </c>
      <c r="E4480" t="s">
        <v>35</v>
      </c>
      <c r="F4480" s="2">
        <v>610148001</v>
      </c>
      <c r="G4480" s="2" t="s">
        <v>42</v>
      </c>
      <c r="L4480" s="2" t="s">
        <v>7832</v>
      </c>
      <c r="M4480" t="s">
        <v>43</v>
      </c>
      <c r="N4480" t="s">
        <v>42</v>
      </c>
      <c r="P4480" s="23">
        <v>96.86</v>
      </c>
      <c r="Q4480" s="4">
        <f t="shared" si="69"/>
        <v>-4.9969027462316747E-2</v>
      </c>
      <c r="R4480" s="23" t="s">
        <v>1198</v>
      </c>
      <c r="T4480" s="41" t="s">
        <v>6107</v>
      </c>
    </row>
    <row r="4481" spans="1:20" x14ac:dyDescent="0.25">
      <c r="A4481" s="21">
        <v>45807</v>
      </c>
      <c r="B4481" s="1" t="s">
        <v>7833</v>
      </c>
      <c r="C4481" t="s">
        <v>7834</v>
      </c>
      <c r="D4481" s="22">
        <v>1937.2</v>
      </c>
      <c r="E4481" t="s">
        <v>46</v>
      </c>
      <c r="F4481" s="2">
        <v>610156001</v>
      </c>
      <c r="G4481" s="2" t="s">
        <v>91</v>
      </c>
      <c r="L4481" s="2" t="s">
        <v>7835</v>
      </c>
      <c r="N4481" t="s">
        <v>7836</v>
      </c>
      <c r="P4481" s="23">
        <v>96.86</v>
      </c>
      <c r="Q4481" s="4">
        <f t="shared" si="69"/>
        <v>20</v>
      </c>
      <c r="R4481" s="23" t="s">
        <v>1198</v>
      </c>
    </row>
    <row r="4482" spans="1:20" x14ac:dyDescent="0.25">
      <c r="A4482" s="21">
        <v>45807</v>
      </c>
      <c r="B4482" s="1" t="s">
        <v>7837</v>
      </c>
      <c r="C4482" t="s">
        <v>54</v>
      </c>
      <c r="D4482" s="22">
        <v>11623.2</v>
      </c>
      <c r="E4482" t="s">
        <v>46</v>
      </c>
      <c r="F4482" s="2">
        <v>610129001</v>
      </c>
      <c r="G4482" s="2" t="s">
        <v>55</v>
      </c>
      <c r="L4482" s="2" t="s">
        <v>7838</v>
      </c>
      <c r="N4482" t="s">
        <v>2353</v>
      </c>
      <c r="P4482" s="23">
        <v>96.86</v>
      </c>
      <c r="Q4482" s="4">
        <f t="shared" si="69"/>
        <v>120.00000000000001</v>
      </c>
      <c r="R4482" s="23" t="s">
        <v>1198</v>
      </c>
    </row>
    <row r="4483" spans="1:20" x14ac:dyDescent="0.25">
      <c r="A4483" s="21">
        <v>45807</v>
      </c>
      <c r="B4483" s="1" t="s">
        <v>7839</v>
      </c>
      <c r="C4483" t="s">
        <v>544</v>
      </c>
      <c r="D4483" s="22">
        <v>1120000</v>
      </c>
      <c r="E4483" t="s">
        <v>46</v>
      </c>
      <c r="F4483" s="2">
        <v>210115002</v>
      </c>
      <c r="G4483" s="2" t="s">
        <v>47</v>
      </c>
      <c r="L4483" s="2" t="s">
        <v>7840</v>
      </c>
      <c r="N4483" t="s">
        <v>544</v>
      </c>
      <c r="P4483" s="23">
        <v>96.86</v>
      </c>
      <c r="Q4483" s="4">
        <f t="shared" si="69"/>
        <v>11563.080735081561</v>
      </c>
      <c r="R4483" s="23" t="s">
        <v>1198</v>
      </c>
    </row>
    <row r="4484" spans="1:20" x14ac:dyDescent="0.25">
      <c r="A4484" s="32">
        <v>45807</v>
      </c>
      <c r="B4484" s="26" t="s">
        <v>1211</v>
      </c>
      <c r="C4484" s="27" t="s">
        <v>7771</v>
      </c>
      <c r="D4484" s="28">
        <v>-1937.2</v>
      </c>
      <c r="E4484" s="27" t="s">
        <v>35</v>
      </c>
      <c r="F4484" s="29">
        <v>610156001</v>
      </c>
      <c r="G4484" s="29" t="s">
        <v>91</v>
      </c>
      <c r="H4484" s="107"/>
      <c r="I4484" s="101"/>
      <c r="J4484" s="101"/>
      <c r="K4484" s="29"/>
      <c r="L4484" s="2" t="s">
        <v>7841</v>
      </c>
      <c r="M4484" s="27" t="s">
        <v>93</v>
      </c>
      <c r="N4484" s="27" t="s">
        <v>94</v>
      </c>
      <c r="O4484" s="27" t="s">
        <v>59</v>
      </c>
      <c r="P4484" s="31">
        <v>96.86</v>
      </c>
      <c r="Q4484" s="4">
        <f t="shared" si="69"/>
        <v>-20</v>
      </c>
      <c r="R4484" s="23" t="s">
        <v>1198</v>
      </c>
      <c r="T4484" s="23" t="s">
        <v>7790</v>
      </c>
    </row>
    <row r="4485" spans="1:20" x14ac:dyDescent="0.25">
      <c r="A4485" s="21">
        <v>45807</v>
      </c>
      <c r="B4485" s="1" t="s">
        <v>1217</v>
      </c>
      <c r="C4485" t="s">
        <v>7842</v>
      </c>
      <c r="D4485" s="22">
        <v>-3139.25</v>
      </c>
      <c r="E4485" t="s">
        <v>35</v>
      </c>
      <c r="F4485" s="2">
        <v>110114001</v>
      </c>
      <c r="G4485" s="2" t="s">
        <v>301</v>
      </c>
      <c r="L4485" s="2" t="s">
        <v>7843</v>
      </c>
      <c r="M4485" s="50" t="s">
        <v>303</v>
      </c>
      <c r="N4485" s="71" t="s">
        <v>304</v>
      </c>
      <c r="O4485" s="71"/>
      <c r="P4485" s="23">
        <v>96.86</v>
      </c>
      <c r="Q4485" s="4">
        <f t="shared" si="69"/>
        <v>-32.41017964071856</v>
      </c>
      <c r="R4485" s="23" t="s">
        <v>1198</v>
      </c>
      <c r="S4485" s="33" t="s">
        <v>5309</v>
      </c>
    </row>
    <row r="4486" spans="1:20" x14ac:dyDescent="0.25">
      <c r="A4486" s="21">
        <v>45807</v>
      </c>
      <c r="B4486" s="1" t="s">
        <v>2573</v>
      </c>
      <c r="C4486" t="s">
        <v>7844</v>
      </c>
      <c r="D4486" s="22">
        <v>-461629.19</v>
      </c>
      <c r="E4486" t="s">
        <v>35</v>
      </c>
      <c r="F4486" s="2">
        <v>110114001</v>
      </c>
      <c r="G4486" s="2" t="s">
        <v>301</v>
      </c>
      <c r="L4486" s="2" t="s">
        <v>7845</v>
      </c>
      <c r="M4486" s="50" t="s">
        <v>303</v>
      </c>
      <c r="N4486" s="71" t="s">
        <v>304</v>
      </c>
      <c r="O4486" s="71"/>
      <c r="P4486" s="23">
        <v>96.86</v>
      </c>
      <c r="Q4486" s="4">
        <f t="shared" si="69"/>
        <v>-4765.9424943217018</v>
      </c>
      <c r="R4486" s="23" t="s">
        <v>1198</v>
      </c>
      <c r="S4486" s="33" t="s">
        <v>5309</v>
      </c>
    </row>
    <row r="4487" spans="1:20" x14ac:dyDescent="0.25">
      <c r="A4487" s="21">
        <v>45807</v>
      </c>
      <c r="B4487" s="1" t="s">
        <v>1214</v>
      </c>
      <c r="C4487" t="s">
        <v>7842</v>
      </c>
      <c r="D4487" s="22">
        <v>-200000</v>
      </c>
      <c r="E4487" t="s">
        <v>35</v>
      </c>
      <c r="F4487" s="2">
        <v>110114001</v>
      </c>
      <c r="G4487" s="2" t="s">
        <v>301</v>
      </c>
      <c r="L4487" s="2" t="s">
        <v>7846</v>
      </c>
      <c r="M4487" s="50" t="s">
        <v>303</v>
      </c>
      <c r="N4487" s="71" t="s">
        <v>304</v>
      </c>
      <c r="O4487" s="71"/>
      <c r="P4487" s="23">
        <v>96.86</v>
      </c>
      <c r="Q4487" s="4">
        <f t="shared" si="69"/>
        <v>-2064.8358455502789</v>
      </c>
      <c r="R4487" s="23" t="s">
        <v>1198</v>
      </c>
      <c r="S4487" s="33" t="s">
        <v>5309</v>
      </c>
    </row>
    <row r="4488" spans="1:20" x14ac:dyDescent="0.25">
      <c r="A4488" s="21">
        <v>45807</v>
      </c>
      <c r="B4488" s="1" t="s">
        <v>2571</v>
      </c>
      <c r="C4488" t="s">
        <v>7847</v>
      </c>
      <c r="D4488" s="22">
        <v>-114928.91</v>
      </c>
      <c r="E4488" t="s">
        <v>35</v>
      </c>
      <c r="F4488" s="2">
        <v>110114001</v>
      </c>
      <c r="G4488" s="2" t="s">
        <v>301</v>
      </c>
      <c r="L4488" s="2" t="s">
        <v>7848</v>
      </c>
      <c r="M4488" s="50" t="s">
        <v>303</v>
      </c>
      <c r="N4488" s="71" t="s">
        <v>304</v>
      </c>
      <c r="O4488" s="71"/>
      <c r="P4488" s="23">
        <v>96.86</v>
      </c>
      <c r="Q4488" s="4">
        <f t="shared" si="69"/>
        <v>-1186.5466652901096</v>
      </c>
      <c r="R4488" s="23" t="s">
        <v>1198</v>
      </c>
      <c r="S4488" s="33" t="s">
        <v>5309</v>
      </c>
    </row>
    <row r="4489" spans="1:20" x14ac:dyDescent="0.25">
      <c r="A4489" s="21">
        <v>45807</v>
      </c>
      <c r="B4489" s="1" t="s">
        <v>1208</v>
      </c>
      <c r="C4489" t="s">
        <v>7849</v>
      </c>
      <c r="D4489" s="22">
        <v>-2905.8</v>
      </c>
      <c r="E4489" t="s">
        <v>35</v>
      </c>
      <c r="F4489" s="2">
        <v>212901001</v>
      </c>
      <c r="G4489" s="2" t="s">
        <v>121</v>
      </c>
      <c r="L4489" s="2" t="s">
        <v>7850</v>
      </c>
      <c r="M4489" t="s">
        <v>67</v>
      </c>
      <c r="N4489" t="s">
        <v>68</v>
      </c>
      <c r="P4489" s="23">
        <v>96.86</v>
      </c>
      <c r="Q4489" s="4">
        <f t="shared" si="69"/>
        <v>-30.000000000000004</v>
      </c>
      <c r="R4489" s="23" t="s">
        <v>1198</v>
      </c>
    </row>
    <row r="4490" spans="1:20" x14ac:dyDescent="0.25">
      <c r="A4490" s="21">
        <v>45807</v>
      </c>
      <c r="B4490" s="1" t="s">
        <v>3930</v>
      </c>
      <c r="C4490" t="s">
        <v>7851</v>
      </c>
      <c r="D4490" s="22">
        <v>-330296.08</v>
      </c>
      <c r="E4490" t="s">
        <v>35</v>
      </c>
      <c r="F4490" s="2">
        <v>110114001</v>
      </c>
      <c r="G4490" s="2" t="s">
        <v>301</v>
      </c>
      <c r="L4490" s="2" t="s">
        <v>7852</v>
      </c>
      <c r="M4490" s="71" t="s">
        <v>38</v>
      </c>
      <c r="N4490" s="71" t="s">
        <v>39</v>
      </c>
      <c r="O4490" s="71"/>
      <c r="P4490" s="23">
        <v>96.86</v>
      </c>
      <c r="Q4490" s="4">
        <f t="shared" si="69"/>
        <v>-3410.0359281437127</v>
      </c>
      <c r="R4490" s="23" t="s">
        <v>1198</v>
      </c>
      <c r="S4490" s="33" t="s">
        <v>5309</v>
      </c>
    </row>
    <row r="4491" spans="1:20" x14ac:dyDescent="0.25">
      <c r="A4491" s="21">
        <v>45807</v>
      </c>
      <c r="B4491" s="1" t="s">
        <v>1223</v>
      </c>
      <c r="C4491" t="s">
        <v>1221</v>
      </c>
      <c r="D4491" s="22">
        <v>-7.26</v>
      </c>
      <c r="E4491" t="s">
        <v>35</v>
      </c>
      <c r="F4491" s="2">
        <v>610148001</v>
      </c>
      <c r="G4491" s="2" t="s">
        <v>42</v>
      </c>
      <c r="L4491" s="2" t="s">
        <v>7853</v>
      </c>
      <c r="M4491" t="s">
        <v>43</v>
      </c>
      <c r="N4491" t="s">
        <v>42</v>
      </c>
      <c r="P4491" s="23">
        <v>96.86</v>
      </c>
      <c r="Q4491" s="4">
        <f t="shared" ref="Q4491:Q4554" si="70">D4491/P4491</f>
        <v>-7.4953541193475123E-2</v>
      </c>
      <c r="R4491" s="23" t="s">
        <v>1198</v>
      </c>
      <c r="T4491" s="41" t="s">
        <v>6107</v>
      </c>
    </row>
    <row r="4492" spans="1:20" x14ac:dyDescent="0.25">
      <c r="A4492" s="21">
        <v>45807</v>
      </c>
      <c r="B4492" s="1" t="s">
        <v>3969</v>
      </c>
      <c r="C4492" t="s">
        <v>1221</v>
      </c>
      <c r="D4492" s="22">
        <v>-825.74</v>
      </c>
      <c r="E4492" t="s">
        <v>35</v>
      </c>
      <c r="F4492" s="2">
        <v>610148001</v>
      </c>
      <c r="G4492" s="2" t="s">
        <v>42</v>
      </c>
      <c r="L4492" s="2" t="s">
        <v>7854</v>
      </c>
      <c r="M4492" t="s">
        <v>43</v>
      </c>
      <c r="N4492" t="s">
        <v>42</v>
      </c>
      <c r="P4492" s="23">
        <v>96.86</v>
      </c>
      <c r="Q4492" s="4">
        <f t="shared" si="70"/>
        <v>-8.5250877555234368</v>
      </c>
      <c r="R4492" s="23" t="s">
        <v>1198</v>
      </c>
      <c r="T4492" s="41" t="s">
        <v>6107</v>
      </c>
    </row>
    <row r="4493" spans="1:20" x14ac:dyDescent="0.25">
      <c r="A4493" s="21">
        <v>45807</v>
      </c>
      <c r="B4493" s="1" t="s">
        <v>1227</v>
      </c>
      <c r="C4493" t="s">
        <v>1221</v>
      </c>
      <c r="D4493" s="22">
        <v>-4.84</v>
      </c>
      <c r="E4493" t="s">
        <v>35</v>
      </c>
      <c r="F4493" s="2">
        <v>610148001</v>
      </c>
      <c r="G4493" s="2" t="s">
        <v>42</v>
      </c>
      <c r="L4493" s="2" t="s">
        <v>7855</v>
      </c>
      <c r="M4493" t="s">
        <v>43</v>
      </c>
      <c r="N4493" t="s">
        <v>42</v>
      </c>
      <c r="P4493" s="23">
        <v>96.86</v>
      </c>
      <c r="Q4493" s="4">
        <f t="shared" si="70"/>
        <v>-4.9969027462316747E-2</v>
      </c>
      <c r="R4493" s="23" t="s">
        <v>1198</v>
      </c>
      <c r="T4493" s="41" t="s">
        <v>6107</v>
      </c>
    </row>
    <row r="4494" spans="1:20" x14ac:dyDescent="0.25">
      <c r="A4494" s="21">
        <v>45807</v>
      </c>
      <c r="B4494" s="1" t="s">
        <v>2585</v>
      </c>
      <c r="C4494" t="s">
        <v>1221</v>
      </c>
      <c r="D4494" s="22">
        <v>-287.32</v>
      </c>
      <c r="E4494" t="s">
        <v>35</v>
      </c>
      <c r="F4494" s="2">
        <v>610148001</v>
      </c>
      <c r="G4494" s="2" t="s">
        <v>42</v>
      </c>
      <c r="L4494" s="2" t="s">
        <v>7856</v>
      </c>
      <c r="M4494" t="s">
        <v>43</v>
      </c>
      <c r="N4494" t="s">
        <v>42</v>
      </c>
      <c r="P4494" s="23">
        <v>96.86</v>
      </c>
      <c r="Q4494" s="4">
        <f t="shared" si="70"/>
        <v>-2.9663431757175305</v>
      </c>
      <c r="R4494" s="23" t="s">
        <v>1198</v>
      </c>
      <c r="T4494" s="41" t="s">
        <v>6107</v>
      </c>
    </row>
    <row r="4495" spans="1:20" x14ac:dyDescent="0.25">
      <c r="A4495" s="21">
        <v>45807</v>
      </c>
      <c r="B4495" s="1" t="s">
        <v>2582</v>
      </c>
      <c r="C4495" t="s">
        <v>1221</v>
      </c>
      <c r="D4495" s="22">
        <v>-1154.07</v>
      </c>
      <c r="E4495" t="s">
        <v>35</v>
      </c>
      <c r="F4495" s="2">
        <v>610148001</v>
      </c>
      <c r="G4495" s="2" t="s">
        <v>42</v>
      </c>
      <c r="L4495" s="2" t="s">
        <v>7857</v>
      </c>
      <c r="M4495" t="s">
        <v>43</v>
      </c>
      <c r="N4495" t="s">
        <v>42</v>
      </c>
      <c r="P4495" s="23">
        <v>96.86</v>
      </c>
      <c r="Q4495" s="4">
        <f t="shared" si="70"/>
        <v>-11.91482552137105</v>
      </c>
      <c r="R4495" s="23" t="s">
        <v>1198</v>
      </c>
      <c r="T4495" s="41" t="s">
        <v>6107</v>
      </c>
    </row>
    <row r="4496" spans="1:20" x14ac:dyDescent="0.25">
      <c r="A4496" s="21">
        <v>45807</v>
      </c>
      <c r="B4496" s="1" t="s">
        <v>1220</v>
      </c>
      <c r="C4496" t="s">
        <v>1221</v>
      </c>
      <c r="D4496" s="22">
        <v>-7.84</v>
      </c>
      <c r="E4496" t="s">
        <v>35</v>
      </c>
      <c r="F4496" s="2">
        <v>610148001</v>
      </c>
      <c r="G4496" s="2" t="s">
        <v>42</v>
      </c>
      <c r="L4496" s="2" t="s">
        <v>7858</v>
      </c>
      <c r="M4496" t="s">
        <v>43</v>
      </c>
      <c r="N4496" t="s">
        <v>42</v>
      </c>
      <c r="P4496" s="23">
        <v>96.86</v>
      </c>
      <c r="Q4496" s="4">
        <f t="shared" si="70"/>
        <v>-8.0941565145570923E-2</v>
      </c>
      <c r="R4496" s="23" t="s">
        <v>1198</v>
      </c>
      <c r="T4496" s="41" t="s">
        <v>6107</v>
      </c>
    </row>
    <row r="4497" spans="1:23" x14ac:dyDescent="0.25">
      <c r="A4497" s="21">
        <v>45807</v>
      </c>
      <c r="B4497" s="1" t="s">
        <v>1225</v>
      </c>
      <c r="C4497" t="s">
        <v>1221</v>
      </c>
      <c r="D4497" s="22">
        <v>-500</v>
      </c>
      <c r="E4497" t="s">
        <v>35</v>
      </c>
      <c r="F4497" s="2">
        <v>610148001</v>
      </c>
      <c r="G4497" s="2" t="s">
        <v>42</v>
      </c>
      <c r="L4497" s="2" t="s">
        <v>7859</v>
      </c>
      <c r="M4497" t="s">
        <v>43</v>
      </c>
      <c r="N4497" t="s">
        <v>42</v>
      </c>
      <c r="P4497" s="23">
        <v>96.86</v>
      </c>
      <c r="Q4497" s="4">
        <f t="shared" si="70"/>
        <v>-5.1620896138756969</v>
      </c>
      <c r="R4497" s="23" t="s">
        <v>1198</v>
      </c>
      <c r="T4497" s="41" t="s">
        <v>6107</v>
      </c>
    </row>
    <row r="4498" spans="1:23" x14ac:dyDescent="0.25">
      <c r="A4498" s="21">
        <v>45807</v>
      </c>
      <c r="B4498" s="1" t="s">
        <v>7860</v>
      </c>
      <c r="C4498" t="s">
        <v>544</v>
      </c>
      <c r="D4498" s="22">
        <v>650000</v>
      </c>
      <c r="E4498" t="s">
        <v>46</v>
      </c>
      <c r="F4498" s="2">
        <v>210115002</v>
      </c>
      <c r="G4498" s="2" t="s">
        <v>47</v>
      </c>
      <c r="L4498" s="2" t="s">
        <v>7861</v>
      </c>
      <c r="N4498" t="s">
        <v>544</v>
      </c>
      <c r="P4498" s="23">
        <v>96.86</v>
      </c>
      <c r="Q4498" s="4">
        <f t="shared" si="70"/>
        <v>6710.7164980384059</v>
      </c>
      <c r="R4498" s="23" t="s">
        <v>1198</v>
      </c>
    </row>
    <row r="4499" spans="1:23" x14ac:dyDescent="0.25">
      <c r="A4499" s="21">
        <v>45807</v>
      </c>
      <c r="B4499" s="1" t="s">
        <v>4061</v>
      </c>
      <c r="C4499" t="s">
        <v>7862</v>
      </c>
      <c r="D4499" s="22">
        <v>-28572</v>
      </c>
      <c r="E4499" t="s">
        <v>35</v>
      </c>
      <c r="F4499" s="2">
        <v>212901001</v>
      </c>
      <c r="G4499" s="2" t="s">
        <v>121</v>
      </c>
      <c r="L4499" s="2" t="s">
        <v>7863</v>
      </c>
      <c r="M4499" t="s">
        <v>67</v>
      </c>
      <c r="N4499" t="s">
        <v>68</v>
      </c>
      <c r="P4499" s="23">
        <v>96.86</v>
      </c>
      <c r="Q4499" s="4">
        <f t="shared" si="70"/>
        <v>-294.98244889531281</v>
      </c>
      <c r="R4499" s="23" t="s">
        <v>1198</v>
      </c>
      <c r="U4499">
        <v>2</v>
      </c>
      <c r="V4499" t="e">
        <f>VLOOKUP(Tabla3[[#This Row],[Nº]],[1]!NOMINA[#Data],4,FALSE)</f>
        <v>#REF!</v>
      </c>
      <c r="W4499" t="e">
        <f>VLOOKUP(Tabla3[[#This Row],[Nº]],[1]!NOMINA[#Data],5,FALSE)</f>
        <v>#REF!</v>
      </c>
    </row>
    <row r="4500" spans="1:23" x14ac:dyDescent="0.25">
      <c r="A4500" s="21">
        <v>45807</v>
      </c>
      <c r="B4500" s="1" t="s">
        <v>4073</v>
      </c>
      <c r="C4500" t="s">
        <v>7864</v>
      </c>
      <c r="D4500" s="22">
        <v>-5714.4</v>
      </c>
      <c r="E4500" t="s">
        <v>35</v>
      </c>
      <c r="F4500" s="2">
        <v>212901001</v>
      </c>
      <c r="G4500" s="2" t="s">
        <v>121</v>
      </c>
      <c r="L4500" s="2" t="s">
        <v>7865</v>
      </c>
      <c r="M4500" t="s">
        <v>67</v>
      </c>
      <c r="N4500" t="s">
        <v>68</v>
      </c>
      <c r="P4500" s="23">
        <v>96.86</v>
      </c>
      <c r="Q4500" s="4">
        <f t="shared" si="70"/>
        <v>-58.996489779062564</v>
      </c>
      <c r="R4500" s="23" t="s">
        <v>1198</v>
      </c>
      <c r="U4500">
        <v>36</v>
      </c>
      <c r="V4500" t="e">
        <f>VLOOKUP(U4500,[1]!NOMINA[#Data],4,FALSE)</f>
        <v>#REF!</v>
      </c>
      <c r="W4500" t="e">
        <f>VLOOKUP(U4500,[1]!NOMINA[#Data],5,FALSE)</f>
        <v>#REF!</v>
      </c>
    </row>
    <row r="4501" spans="1:23" x14ac:dyDescent="0.25">
      <c r="A4501" s="21">
        <v>45807</v>
      </c>
      <c r="B4501" s="1" t="s">
        <v>4027</v>
      </c>
      <c r="C4501" t="s">
        <v>7866</v>
      </c>
      <c r="D4501" s="22">
        <v>-952.4</v>
      </c>
      <c r="E4501" t="s">
        <v>35</v>
      </c>
      <c r="F4501" s="2">
        <v>212901001</v>
      </c>
      <c r="G4501" s="2" t="s">
        <v>121</v>
      </c>
      <c r="L4501" s="2" t="s">
        <v>7867</v>
      </c>
      <c r="M4501" t="s">
        <v>67</v>
      </c>
      <c r="N4501" t="s">
        <v>68</v>
      </c>
      <c r="P4501" s="23">
        <v>96.86</v>
      </c>
      <c r="Q4501" s="4">
        <f t="shared" si="70"/>
        <v>-9.8327482965104274</v>
      </c>
      <c r="R4501" s="23" t="s">
        <v>1198</v>
      </c>
      <c r="U4501">
        <v>28</v>
      </c>
      <c r="V4501" t="e">
        <f>VLOOKUP(U4501,[1]!NOMINA[#Data],4,FALSE)</f>
        <v>#REF!</v>
      </c>
      <c r="W4501" t="e">
        <f>VLOOKUP(U4501,[1]!NOMINA[#Data],5,FALSE)</f>
        <v>#REF!</v>
      </c>
    </row>
    <row r="4502" spans="1:23" x14ac:dyDescent="0.25">
      <c r="A4502" s="21">
        <v>45807</v>
      </c>
      <c r="B4502" s="1" t="s">
        <v>7868</v>
      </c>
      <c r="C4502" t="s">
        <v>7869</v>
      </c>
      <c r="D4502" s="22">
        <v>-8571.6</v>
      </c>
      <c r="E4502" t="s">
        <v>35</v>
      </c>
      <c r="F4502" s="2">
        <v>212901001</v>
      </c>
      <c r="G4502" s="2" t="s">
        <v>121</v>
      </c>
      <c r="L4502" s="2" t="s">
        <v>7870</v>
      </c>
      <c r="M4502" t="s">
        <v>67</v>
      </c>
      <c r="N4502" t="s">
        <v>68</v>
      </c>
      <c r="P4502" s="23">
        <v>96.86</v>
      </c>
      <c r="Q4502" s="4">
        <f t="shared" si="70"/>
        <v>-88.49473466859385</v>
      </c>
      <c r="R4502" s="23" t="s">
        <v>1198</v>
      </c>
    </row>
    <row r="4503" spans="1:23" x14ac:dyDescent="0.25">
      <c r="A4503" s="21">
        <v>45807</v>
      </c>
      <c r="B4503" s="1" t="s">
        <v>7871</v>
      </c>
      <c r="C4503" t="s">
        <v>7872</v>
      </c>
      <c r="D4503" s="22">
        <v>-61.65</v>
      </c>
      <c r="E4503" t="s">
        <v>35</v>
      </c>
      <c r="F4503" s="2">
        <v>212901001</v>
      </c>
      <c r="G4503" s="2" t="s">
        <v>121</v>
      </c>
      <c r="L4503" s="2" t="s">
        <v>7873</v>
      </c>
      <c r="M4503" t="s">
        <v>67</v>
      </c>
      <c r="N4503" t="s">
        <v>68</v>
      </c>
      <c r="P4503" s="23">
        <v>96.86</v>
      </c>
      <c r="Q4503" s="4">
        <f t="shared" si="70"/>
        <v>-0.63648564939087338</v>
      </c>
      <c r="R4503" s="23" t="s">
        <v>1198</v>
      </c>
      <c r="U4503">
        <v>9</v>
      </c>
      <c r="V4503" t="e">
        <f>VLOOKUP(U4503,[1]!NOMINA[#Data],4,FALSE)</f>
        <v>#REF!</v>
      </c>
      <c r="W4503" t="e">
        <f>VLOOKUP(U4503,[1]!NOMINA[#Data],5,FALSE)</f>
        <v>#REF!</v>
      </c>
    </row>
    <row r="4504" spans="1:23" x14ac:dyDescent="0.25">
      <c r="A4504" s="21">
        <v>45807</v>
      </c>
      <c r="B4504" s="1" t="s">
        <v>7874</v>
      </c>
      <c r="C4504" t="s">
        <v>7875</v>
      </c>
      <c r="D4504" s="22">
        <v>-61.65</v>
      </c>
      <c r="E4504" t="s">
        <v>35</v>
      </c>
      <c r="F4504" s="2">
        <v>212901001</v>
      </c>
      <c r="G4504" s="2" t="s">
        <v>121</v>
      </c>
      <c r="L4504" s="2" t="s">
        <v>7876</v>
      </c>
      <c r="M4504" t="s">
        <v>67</v>
      </c>
      <c r="N4504" t="s">
        <v>68</v>
      </c>
      <c r="P4504" s="23">
        <v>96.86</v>
      </c>
      <c r="Q4504" s="4">
        <f t="shared" si="70"/>
        <v>-0.63648564939087338</v>
      </c>
      <c r="R4504" s="23" t="s">
        <v>1198</v>
      </c>
      <c r="U4504">
        <v>26</v>
      </c>
      <c r="V4504" t="e">
        <f>VLOOKUP(Tabla3[[#This Row],[Nº]],[1]!NOMINA[#Data],4,FALSE)</f>
        <v>#REF!</v>
      </c>
      <c r="W4504" t="e">
        <f>VLOOKUP(Tabla3[[#This Row],[Nº]],[1]!NOMINA[#Data],5,FALSE)</f>
        <v>#REF!</v>
      </c>
    </row>
    <row r="4505" spans="1:23" x14ac:dyDescent="0.25">
      <c r="A4505" s="21">
        <v>45807</v>
      </c>
      <c r="B4505" s="1" t="s">
        <v>7877</v>
      </c>
      <c r="C4505" t="s">
        <v>7878</v>
      </c>
      <c r="D4505" s="22">
        <v>-53.07</v>
      </c>
      <c r="E4505" t="s">
        <v>35</v>
      </c>
      <c r="F4505" s="2">
        <v>212901001</v>
      </c>
      <c r="G4505" s="2" t="s">
        <v>121</v>
      </c>
      <c r="L4505" s="2" t="s">
        <v>7879</v>
      </c>
      <c r="M4505" t="s">
        <v>67</v>
      </c>
      <c r="N4505" t="s">
        <v>68</v>
      </c>
      <c r="P4505" s="23">
        <v>96.86</v>
      </c>
      <c r="Q4505" s="4">
        <f t="shared" si="70"/>
        <v>-0.54790419161676651</v>
      </c>
      <c r="R4505" s="23" t="s">
        <v>1198</v>
      </c>
      <c r="U4505">
        <v>42</v>
      </c>
      <c r="V4505" t="e">
        <f>VLOOKUP(U4505,[1]!NOMINA[#Data],4,FALSE)</f>
        <v>#REF!</v>
      </c>
      <c r="W4505" t="e">
        <f>VLOOKUP(U4505,[1]!NOMINA[#Data],5,FALSE)</f>
        <v>#REF!</v>
      </c>
    </row>
    <row r="4506" spans="1:23" x14ac:dyDescent="0.25">
      <c r="A4506" s="21">
        <v>45807</v>
      </c>
      <c r="B4506" s="1" t="s">
        <v>7880</v>
      </c>
      <c r="C4506" t="s">
        <v>7881</v>
      </c>
      <c r="D4506" s="22">
        <v>-3809.6</v>
      </c>
      <c r="E4506" t="s">
        <v>35</v>
      </c>
      <c r="F4506" s="2">
        <v>212901001</v>
      </c>
      <c r="G4506" s="2" t="s">
        <v>121</v>
      </c>
      <c r="L4506" s="2" t="s">
        <v>7882</v>
      </c>
      <c r="M4506" t="s">
        <v>67</v>
      </c>
      <c r="N4506" t="s">
        <v>68</v>
      </c>
      <c r="P4506" s="23">
        <v>96.86</v>
      </c>
      <c r="Q4506" s="4">
        <f t="shared" si="70"/>
        <v>-39.330993186041709</v>
      </c>
      <c r="R4506" s="23" t="s">
        <v>1198</v>
      </c>
      <c r="U4506">
        <v>4</v>
      </c>
      <c r="V4506" t="e">
        <f>VLOOKUP(U4506,[1]!NOMINA[#Data],4,FALSE)</f>
        <v>#REF!</v>
      </c>
      <c r="W4506" t="e">
        <f>VLOOKUP(U4506,[1]!NOMINA[#Data],5,FALSE)</f>
        <v>#REF!</v>
      </c>
    </row>
    <row r="4507" spans="1:23" x14ac:dyDescent="0.25">
      <c r="A4507" s="21">
        <v>45807</v>
      </c>
      <c r="B4507" s="1" t="s">
        <v>7883</v>
      </c>
      <c r="C4507" t="s">
        <v>7884</v>
      </c>
      <c r="D4507" s="22">
        <v>-3809.6</v>
      </c>
      <c r="E4507" t="s">
        <v>35</v>
      </c>
      <c r="F4507" s="2">
        <v>212901001</v>
      </c>
      <c r="G4507" s="2" t="s">
        <v>121</v>
      </c>
      <c r="L4507" s="2" t="s">
        <v>7885</v>
      </c>
      <c r="M4507" t="s">
        <v>67</v>
      </c>
      <c r="N4507" t="s">
        <v>68</v>
      </c>
      <c r="P4507" s="23">
        <v>96.86</v>
      </c>
      <c r="Q4507" s="4">
        <f t="shared" si="70"/>
        <v>-39.330993186041709</v>
      </c>
      <c r="R4507" s="23" t="s">
        <v>1198</v>
      </c>
      <c r="U4507">
        <v>2</v>
      </c>
      <c r="V4507" t="e">
        <f>VLOOKUP(Tabla3[[#This Row],[Nº]],[1]!NOMINA[#Data],4,FALSE)</f>
        <v>#REF!</v>
      </c>
      <c r="W4507" t="e">
        <f>VLOOKUP(Tabla3[[#This Row],[Nº]],[1]!NOMINA[#Data],5,FALSE)</f>
        <v>#REF!</v>
      </c>
    </row>
    <row r="4508" spans="1:23" x14ac:dyDescent="0.25">
      <c r="A4508" s="21">
        <v>45807</v>
      </c>
      <c r="B4508" s="1" t="s">
        <v>4130</v>
      </c>
      <c r="C4508" t="s">
        <v>7886</v>
      </c>
      <c r="D4508" s="22">
        <v>-3809.6</v>
      </c>
      <c r="E4508" t="s">
        <v>35</v>
      </c>
      <c r="F4508" s="2">
        <v>212901001</v>
      </c>
      <c r="G4508" s="2" t="s">
        <v>121</v>
      </c>
      <c r="L4508" s="2" t="s">
        <v>7887</v>
      </c>
      <c r="M4508" t="s">
        <v>67</v>
      </c>
      <c r="N4508" t="s">
        <v>68</v>
      </c>
      <c r="P4508" s="23">
        <v>96.86</v>
      </c>
      <c r="Q4508" s="4">
        <f t="shared" si="70"/>
        <v>-39.330993186041709</v>
      </c>
      <c r="R4508" s="23" t="s">
        <v>1198</v>
      </c>
      <c r="U4508">
        <v>3</v>
      </c>
      <c r="V4508" t="e">
        <f>VLOOKUP(U4508,[1]!NOMINA[#Data],4,FALSE)</f>
        <v>#REF!</v>
      </c>
      <c r="W4508" t="e">
        <f>VLOOKUP(U4508,[1]!NOMINA[#Data],5,FALSE)</f>
        <v>#REF!</v>
      </c>
    </row>
    <row r="4509" spans="1:23" x14ac:dyDescent="0.25">
      <c r="A4509" s="21">
        <v>45807</v>
      </c>
      <c r="B4509" s="1" t="s">
        <v>4154</v>
      </c>
      <c r="C4509" t="s">
        <v>7888</v>
      </c>
      <c r="D4509" s="22">
        <v>-61.65</v>
      </c>
      <c r="E4509" t="s">
        <v>35</v>
      </c>
      <c r="F4509" s="2">
        <v>212901001</v>
      </c>
      <c r="G4509" s="2" t="s">
        <v>121</v>
      </c>
      <c r="L4509" s="2" t="s">
        <v>7889</v>
      </c>
      <c r="M4509" t="s">
        <v>67</v>
      </c>
      <c r="N4509" t="s">
        <v>68</v>
      </c>
      <c r="P4509" s="23">
        <v>96.86</v>
      </c>
      <c r="Q4509" s="4">
        <f t="shared" si="70"/>
        <v>-0.63648564939087338</v>
      </c>
      <c r="R4509" s="23" t="s">
        <v>1198</v>
      </c>
      <c r="U4509">
        <v>29</v>
      </c>
      <c r="V4509" t="e">
        <f>VLOOKUP(U4509,[1]!NOMINA[#Data],4,FALSE)</f>
        <v>#REF!</v>
      </c>
      <c r="W4509" t="e">
        <f>VLOOKUP(U4509,[1]!NOMINA[#Data],5,FALSE)</f>
        <v>#REF!</v>
      </c>
    </row>
    <row r="4510" spans="1:23" x14ac:dyDescent="0.25">
      <c r="A4510" s="21">
        <v>45807</v>
      </c>
      <c r="B4510" s="1" t="s">
        <v>4033</v>
      </c>
      <c r="C4510" t="s">
        <v>7890</v>
      </c>
      <c r="D4510" s="22">
        <v>-61.65</v>
      </c>
      <c r="E4510" t="s">
        <v>35</v>
      </c>
      <c r="F4510" s="2">
        <v>212901001</v>
      </c>
      <c r="G4510" s="2" t="s">
        <v>121</v>
      </c>
      <c r="L4510" s="2" t="s">
        <v>7891</v>
      </c>
      <c r="M4510" t="s">
        <v>67</v>
      </c>
      <c r="N4510" t="s">
        <v>68</v>
      </c>
      <c r="P4510" s="23">
        <v>96.86</v>
      </c>
      <c r="Q4510" s="4">
        <f t="shared" si="70"/>
        <v>-0.63648564939087338</v>
      </c>
      <c r="R4510" s="23" t="s">
        <v>1198</v>
      </c>
      <c r="U4510">
        <v>10</v>
      </c>
      <c r="V4510" t="e">
        <f>VLOOKUP(U4510,[1]!NOMINA[#Data],4,FALSE)</f>
        <v>#REF!</v>
      </c>
      <c r="W4510" t="e">
        <f>VLOOKUP(U4510,[1]!NOMINA[#Data],5,FALSE)</f>
        <v>#REF!</v>
      </c>
    </row>
    <row r="4511" spans="1:23" x14ac:dyDescent="0.25">
      <c r="A4511" s="21">
        <v>45807</v>
      </c>
      <c r="B4511" s="1" t="s">
        <v>7892</v>
      </c>
      <c r="C4511" t="s">
        <v>7893</v>
      </c>
      <c r="D4511" s="22">
        <v>-61.65</v>
      </c>
      <c r="E4511" t="s">
        <v>35</v>
      </c>
      <c r="F4511" s="2">
        <v>212901001</v>
      </c>
      <c r="G4511" s="2" t="s">
        <v>121</v>
      </c>
      <c r="L4511" s="2" t="s">
        <v>7894</v>
      </c>
      <c r="M4511" t="s">
        <v>67</v>
      </c>
      <c r="N4511" t="s">
        <v>68</v>
      </c>
      <c r="P4511" s="23">
        <v>96.86</v>
      </c>
      <c r="Q4511" s="4">
        <f t="shared" si="70"/>
        <v>-0.63648564939087338</v>
      </c>
      <c r="R4511" s="23" t="s">
        <v>1198</v>
      </c>
      <c r="U4511">
        <v>18</v>
      </c>
      <c r="V4511" t="e">
        <f>VLOOKUP(Tabla3[[#This Row],[Nº]],[1]!NOMINA[#Data],4,FALSE)</f>
        <v>#REF!</v>
      </c>
      <c r="W4511" t="e">
        <f>VLOOKUP(Tabla3[[#This Row],[Nº]],[1]!NOMINA[#Data],5,FALSE)</f>
        <v>#REF!</v>
      </c>
    </row>
    <row r="4512" spans="1:23" x14ac:dyDescent="0.25">
      <c r="A4512" s="21">
        <v>45807</v>
      </c>
      <c r="B4512" s="1" t="s">
        <v>7895</v>
      </c>
      <c r="C4512" t="s">
        <v>7896</v>
      </c>
      <c r="D4512" s="22">
        <v>-61.65</v>
      </c>
      <c r="E4512" t="s">
        <v>35</v>
      </c>
      <c r="F4512" s="2">
        <v>212901001</v>
      </c>
      <c r="G4512" s="2" t="s">
        <v>121</v>
      </c>
      <c r="L4512" s="2" t="s">
        <v>7897</v>
      </c>
      <c r="M4512" t="s">
        <v>67</v>
      </c>
      <c r="N4512" t="s">
        <v>68</v>
      </c>
      <c r="P4512" s="23">
        <v>96.86</v>
      </c>
      <c r="Q4512" s="4">
        <f t="shared" si="70"/>
        <v>-0.63648564939087338</v>
      </c>
      <c r="R4512" s="23" t="s">
        <v>1198</v>
      </c>
      <c r="U4512">
        <v>15</v>
      </c>
      <c r="V4512" t="e">
        <f>VLOOKUP(U4512,[1]!NOMINA[#Data],4,FALSE)</f>
        <v>#REF!</v>
      </c>
      <c r="W4512" t="e">
        <f>VLOOKUP(U4512,[1]!NOMINA[#Data],5,FALSE)</f>
        <v>#REF!</v>
      </c>
    </row>
    <row r="4513" spans="1:23" x14ac:dyDescent="0.25">
      <c r="A4513" s="21">
        <v>45807</v>
      </c>
      <c r="B4513" s="1" t="s">
        <v>7898</v>
      </c>
      <c r="C4513" t="s">
        <v>7899</v>
      </c>
      <c r="D4513" s="22">
        <v>-61.65</v>
      </c>
      <c r="E4513" t="s">
        <v>35</v>
      </c>
      <c r="F4513" s="2">
        <v>212901001</v>
      </c>
      <c r="G4513" s="2" t="s">
        <v>121</v>
      </c>
      <c r="L4513" s="2" t="s">
        <v>7900</v>
      </c>
      <c r="M4513" t="s">
        <v>67</v>
      </c>
      <c r="N4513" t="s">
        <v>68</v>
      </c>
      <c r="P4513" s="23">
        <v>96.86</v>
      </c>
      <c r="Q4513" s="4">
        <f t="shared" si="70"/>
        <v>-0.63648564939087338</v>
      </c>
      <c r="R4513" s="23" t="s">
        <v>1198</v>
      </c>
      <c r="U4513">
        <v>40</v>
      </c>
      <c r="V4513" t="e">
        <f>VLOOKUP(U4513,[1]!NOMINA[#Data],4,FALSE)</f>
        <v>#REF!</v>
      </c>
      <c r="W4513" t="e">
        <f>VLOOKUP(U4513,[1]!NOMINA[#Data],5,FALSE)</f>
        <v>#REF!</v>
      </c>
    </row>
    <row r="4514" spans="1:23" x14ac:dyDescent="0.25">
      <c r="A4514" s="21">
        <v>45807</v>
      </c>
      <c r="B4514" s="1" t="s">
        <v>7901</v>
      </c>
      <c r="C4514" t="s">
        <v>7902</v>
      </c>
      <c r="D4514" s="22">
        <v>-3809.6</v>
      </c>
      <c r="E4514" t="s">
        <v>35</v>
      </c>
      <c r="F4514" s="2">
        <v>212901001</v>
      </c>
      <c r="G4514" s="2" t="s">
        <v>121</v>
      </c>
      <c r="L4514" s="2" t="s">
        <v>7903</v>
      </c>
      <c r="M4514" t="s">
        <v>67</v>
      </c>
      <c r="N4514" t="s">
        <v>68</v>
      </c>
      <c r="P4514" s="23">
        <v>96.86</v>
      </c>
      <c r="Q4514" s="4">
        <f t="shared" si="70"/>
        <v>-39.330993186041709</v>
      </c>
      <c r="R4514" s="23" t="s">
        <v>1198</v>
      </c>
      <c r="U4514">
        <v>1</v>
      </c>
      <c r="V4514" t="e">
        <f>VLOOKUP(U4514,[1]!NOMINA[#Data],4,FALSE)</f>
        <v>#REF!</v>
      </c>
      <c r="W4514" t="e">
        <f>VLOOKUP(U4514,[1]!NOMINA[#Data],5,FALSE)</f>
        <v>#REF!</v>
      </c>
    </row>
    <row r="4515" spans="1:23" x14ac:dyDescent="0.25">
      <c r="A4515" s="21">
        <v>45807</v>
      </c>
      <c r="B4515" s="1" t="s">
        <v>7904</v>
      </c>
      <c r="C4515" t="s">
        <v>7905</v>
      </c>
      <c r="D4515" s="22">
        <v>-3809.6</v>
      </c>
      <c r="E4515" t="s">
        <v>35</v>
      </c>
      <c r="F4515" s="2">
        <v>212901001</v>
      </c>
      <c r="G4515" s="2" t="s">
        <v>121</v>
      </c>
      <c r="L4515" s="2" t="s">
        <v>7906</v>
      </c>
      <c r="M4515" t="s">
        <v>67</v>
      </c>
      <c r="N4515" t="s">
        <v>68</v>
      </c>
      <c r="P4515" s="23">
        <v>96.86</v>
      </c>
      <c r="Q4515" s="4">
        <f t="shared" si="70"/>
        <v>-39.330993186041709</v>
      </c>
      <c r="R4515" s="23" t="s">
        <v>1198</v>
      </c>
      <c r="U4515">
        <v>9</v>
      </c>
      <c r="V4515" t="e">
        <f>VLOOKUP(U4515,[1]!NOMINA[#Data],4,FALSE)</f>
        <v>#REF!</v>
      </c>
      <c r="W4515" t="e">
        <f>VLOOKUP(U4515,[1]!NOMINA[#Data],5,FALSE)</f>
        <v>#REF!</v>
      </c>
    </row>
    <row r="4516" spans="1:23" x14ac:dyDescent="0.25">
      <c r="A4516" s="21">
        <v>45807</v>
      </c>
      <c r="B4516" s="1" t="s">
        <v>7907</v>
      </c>
      <c r="C4516" t="s">
        <v>7908</v>
      </c>
      <c r="D4516" s="22">
        <v>-3809.6</v>
      </c>
      <c r="E4516" t="s">
        <v>35</v>
      </c>
      <c r="F4516" s="2">
        <v>212901001</v>
      </c>
      <c r="G4516" s="2" t="s">
        <v>121</v>
      </c>
      <c r="L4516" s="2" t="s">
        <v>7909</v>
      </c>
      <c r="M4516" t="s">
        <v>67</v>
      </c>
      <c r="N4516" t="s">
        <v>68</v>
      </c>
      <c r="P4516" s="23">
        <v>96.86</v>
      </c>
      <c r="Q4516" s="4">
        <f t="shared" si="70"/>
        <v>-39.330993186041709</v>
      </c>
      <c r="R4516" s="23" t="s">
        <v>1198</v>
      </c>
      <c r="U4516">
        <v>26</v>
      </c>
      <c r="V4516" t="e">
        <f>VLOOKUP(Tabla3[[#This Row],[Nº]],[1]!NOMINA[#Data],4,FALSE)</f>
        <v>#REF!</v>
      </c>
      <c r="W4516" t="e">
        <f>VLOOKUP(Tabla3[[#This Row],[Nº]],[1]!NOMINA[#Data],5,FALSE)</f>
        <v>#REF!</v>
      </c>
    </row>
    <row r="4517" spans="1:23" x14ac:dyDescent="0.25">
      <c r="A4517" s="21">
        <v>45807</v>
      </c>
      <c r="B4517" s="1" t="s">
        <v>7910</v>
      </c>
      <c r="C4517" t="s">
        <v>7911</v>
      </c>
      <c r="D4517" s="22">
        <v>-3809.6</v>
      </c>
      <c r="E4517" t="s">
        <v>35</v>
      </c>
      <c r="F4517" s="2">
        <v>212901001</v>
      </c>
      <c r="G4517" s="2" t="s">
        <v>121</v>
      </c>
      <c r="L4517" s="2" t="s">
        <v>7912</v>
      </c>
      <c r="M4517" t="s">
        <v>67</v>
      </c>
      <c r="N4517" t="s">
        <v>68</v>
      </c>
      <c r="P4517" s="23">
        <v>96.86</v>
      </c>
      <c r="Q4517" s="4">
        <f t="shared" si="70"/>
        <v>-39.330993186041709</v>
      </c>
      <c r="R4517" s="23" t="s">
        <v>1198</v>
      </c>
      <c r="U4517">
        <v>29</v>
      </c>
      <c r="V4517" t="e">
        <f>VLOOKUP(U4517,[1]!NOMINA[#Data],4,FALSE)</f>
        <v>#REF!</v>
      </c>
      <c r="W4517" t="e">
        <f>VLOOKUP(U4517,[1]!NOMINA[#Data],5,FALSE)</f>
        <v>#REF!</v>
      </c>
    </row>
    <row r="4518" spans="1:23" x14ac:dyDescent="0.25">
      <c r="A4518" s="21">
        <v>45807</v>
      </c>
      <c r="B4518" s="1" t="s">
        <v>7913</v>
      </c>
      <c r="C4518" t="s">
        <v>7914</v>
      </c>
      <c r="D4518" s="22">
        <v>-3809.6</v>
      </c>
      <c r="E4518" t="s">
        <v>35</v>
      </c>
      <c r="F4518" s="2">
        <v>212901001</v>
      </c>
      <c r="G4518" s="2" t="s">
        <v>121</v>
      </c>
      <c r="L4518" s="2" t="s">
        <v>7915</v>
      </c>
      <c r="M4518" t="s">
        <v>67</v>
      </c>
      <c r="N4518" t="s">
        <v>68</v>
      </c>
      <c r="P4518" s="23">
        <v>96.86</v>
      </c>
      <c r="Q4518" s="4">
        <f t="shared" si="70"/>
        <v>-39.330993186041709</v>
      </c>
      <c r="R4518" s="23" t="s">
        <v>1198</v>
      </c>
      <c r="U4518">
        <v>10</v>
      </c>
      <c r="V4518" t="e">
        <f>VLOOKUP(U4518,[1]!NOMINA[#Data],4,FALSE)</f>
        <v>#REF!</v>
      </c>
      <c r="W4518" t="e">
        <f>VLOOKUP(U4518,[1]!NOMINA[#Data],5,FALSE)</f>
        <v>#REF!</v>
      </c>
    </row>
    <row r="4519" spans="1:23" x14ac:dyDescent="0.25">
      <c r="A4519" s="21">
        <v>45807</v>
      </c>
      <c r="B4519" s="1" t="s">
        <v>3949</v>
      </c>
      <c r="C4519" t="s">
        <v>7916</v>
      </c>
      <c r="D4519" s="22">
        <v>-7117.29</v>
      </c>
      <c r="E4519" t="s">
        <v>35</v>
      </c>
      <c r="F4519" s="2">
        <v>212901001</v>
      </c>
      <c r="G4519" s="2" t="s">
        <v>121</v>
      </c>
      <c r="L4519" s="2" t="s">
        <v>7917</v>
      </c>
      <c r="M4519" t="s">
        <v>67</v>
      </c>
      <c r="N4519" t="s">
        <v>68</v>
      </c>
      <c r="P4519" s="23">
        <v>96.86</v>
      </c>
      <c r="Q4519" s="4">
        <f t="shared" si="70"/>
        <v>-73.48017757588272</v>
      </c>
      <c r="R4519" s="23" t="s">
        <v>1198</v>
      </c>
      <c r="U4519">
        <v>18</v>
      </c>
      <c r="V4519" t="e">
        <f>VLOOKUP(Tabla3[[#This Row],[Nº]],[1]!NOMINA[#Data],4,FALSE)</f>
        <v>#REF!</v>
      </c>
      <c r="W4519" t="e">
        <f>VLOOKUP(Tabla3[[#This Row],[Nº]],[1]!NOMINA[#Data],5,FALSE)</f>
        <v>#REF!</v>
      </c>
    </row>
    <row r="4520" spans="1:23" x14ac:dyDescent="0.25">
      <c r="A4520" s="21">
        <v>45807</v>
      </c>
      <c r="B4520" s="1" t="s">
        <v>4088</v>
      </c>
      <c r="C4520" t="s">
        <v>7918</v>
      </c>
      <c r="D4520" s="22">
        <v>-7117.29</v>
      </c>
      <c r="E4520" t="s">
        <v>35</v>
      </c>
      <c r="F4520" s="2">
        <v>212901001</v>
      </c>
      <c r="G4520" s="2" t="s">
        <v>121</v>
      </c>
      <c r="L4520" s="2" t="s">
        <v>7919</v>
      </c>
      <c r="M4520" t="s">
        <v>67</v>
      </c>
      <c r="N4520" t="s">
        <v>68</v>
      </c>
      <c r="P4520" s="23">
        <v>96.86</v>
      </c>
      <c r="Q4520" s="4">
        <f t="shared" si="70"/>
        <v>-73.48017757588272</v>
      </c>
      <c r="R4520" s="23" t="s">
        <v>1198</v>
      </c>
      <c r="U4520">
        <v>15</v>
      </c>
      <c r="V4520" t="e">
        <f>VLOOKUP(U4520,[1]!NOMINA[#Data],4,FALSE)</f>
        <v>#REF!</v>
      </c>
      <c r="W4520" t="e">
        <f>VLOOKUP(U4520,[1]!NOMINA[#Data],5,FALSE)</f>
        <v>#REF!</v>
      </c>
    </row>
    <row r="4521" spans="1:23" x14ac:dyDescent="0.25">
      <c r="A4521" s="21">
        <v>45807</v>
      </c>
      <c r="B4521" s="1" t="s">
        <v>7920</v>
      </c>
      <c r="C4521" t="s">
        <v>7921</v>
      </c>
      <c r="D4521" s="22">
        <v>-3809.6</v>
      </c>
      <c r="E4521" t="s">
        <v>35</v>
      </c>
      <c r="F4521" s="2">
        <v>212901001</v>
      </c>
      <c r="G4521" s="2" t="s">
        <v>121</v>
      </c>
      <c r="L4521" s="2" t="s">
        <v>7922</v>
      </c>
      <c r="M4521" t="s">
        <v>67</v>
      </c>
      <c r="N4521" t="s">
        <v>68</v>
      </c>
      <c r="P4521" s="23">
        <v>96.86</v>
      </c>
      <c r="Q4521" s="4">
        <f t="shared" si="70"/>
        <v>-39.330993186041709</v>
      </c>
      <c r="R4521" s="23" t="s">
        <v>1198</v>
      </c>
      <c r="U4521">
        <v>18</v>
      </c>
      <c r="V4521" t="e">
        <f>VLOOKUP(Tabla3[[#This Row],[Nº]],[1]!NOMINA[#Data],4,FALSE)</f>
        <v>#REF!</v>
      </c>
      <c r="W4521" t="e">
        <f>VLOOKUP(Tabla3[[#This Row],[Nº]],[1]!NOMINA[#Data],5,FALSE)</f>
        <v>#REF!</v>
      </c>
    </row>
    <row r="4522" spans="1:23" x14ac:dyDescent="0.25">
      <c r="A4522" s="21">
        <v>45807</v>
      </c>
      <c r="B4522" s="1" t="s">
        <v>7923</v>
      </c>
      <c r="C4522" t="s">
        <v>7924</v>
      </c>
      <c r="D4522" s="22">
        <v>-3809.6</v>
      </c>
      <c r="E4522" t="s">
        <v>35</v>
      </c>
      <c r="F4522" s="2">
        <v>212901001</v>
      </c>
      <c r="G4522" s="2" t="s">
        <v>121</v>
      </c>
      <c r="L4522" s="2" t="s">
        <v>7925</v>
      </c>
      <c r="M4522" t="s">
        <v>67</v>
      </c>
      <c r="N4522" t="s">
        <v>68</v>
      </c>
      <c r="P4522" s="23">
        <v>96.86</v>
      </c>
      <c r="Q4522" s="4">
        <f t="shared" si="70"/>
        <v>-39.330993186041709</v>
      </c>
      <c r="R4522" s="23" t="s">
        <v>1198</v>
      </c>
      <c r="U4522">
        <v>38</v>
      </c>
      <c r="V4522" t="e">
        <f>VLOOKUP(U4522,[1]!NOMINA[#Data],4,FALSE)</f>
        <v>#REF!</v>
      </c>
      <c r="W4522" t="e">
        <f>VLOOKUP(U4522,[1]!NOMINA[#Data],5,FALSE)</f>
        <v>#REF!</v>
      </c>
    </row>
    <row r="4523" spans="1:23" x14ac:dyDescent="0.25">
      <c r="A4523" s="21">
        <v>45807</v>
      </c>
      <c r="B4523" s="1" t="s">
        <v>4142</v>
      </c>
      <c r="C4523" t="s">
        <v>7926</v>
      </c>
      <c r="D4523" s="22">
        <v>-952.4</v>
      </c>
      <c r="E4523" t="s">
        <v>35</v>
      </c>
      <c r="F4523" s="2">
        <v>212901001</v>
      </c>
      <c r="G4523" s="2" t="s">
        <v>121</v>
      </c>
      <c r="L4523" s="2" t="s">
        <v>7927</v>
      </c>
      <c r="M4523" t="s">
        <v>67</v>
      </c>
      <c r="N4523" t="s">
        <v>68</v>
      </c>
      <c r="P4523" s="23">
        <v>96.86</v>
      </c>
      <c r="Q4523" s="4">
        <f t="shared" si="70"/>
        <v>-9.8327482965104274</v>
      </c>
      <c r="R4523" s="23" t="s">
        <v>1198</v>
      </c>
      <c r="U4523">
        <v>39</v>
      </c>
      <c r="V4523" t="e">
        <f>VLOOKUP(U4523,[1]!NOMINA[#Data],4,FALSE)</f>
        <v>#REF!</v>
      </c>
      <c r="W4523" t="e">
        <f>VLOOKUP(U4523,[1]!NOMINA[#Data],5,FALSE)</f>
        <v>#REF!</v>
      </c>
    </row>
    <row r="4524" spans="1:23" x14ac:dyDescent="0.25">
      <c r="A4524" s="21">
        <v>45807</v>
      </c>
      <c r="B4524" s="1" t="s">
        <v>4067</v>
      </c>
      <c r="C4524" t="s">
        <v>7928</v>
      </c>
      <c r="D4524" s="22">
        <v>-952.4</v>
      </c>
      <c r="E4524" t="s">
        <v>35</v>
      </c>
      <c r="F4524" s="2">
        <v>212901001</v>
      </c>
      <c r="G4524" s="2" t="s">
        <v>121</v>
      </c>
      <c r="L4524" s="2" t="s">
        <v>7929</v>
      </c>
      <c r="M4524" t="s">
        <v>67</v>
      </c>
      <c r="N4524" t="s">
        <v>68</v>
      </c>
      <c r="P4524" s="23">
        <v>96.86</v>
      </c>
      <c r="Q4524" s="4">
        <f t="shared" si="70"/>
        <v>-9.8327482965104274</v>
      </c>
      <c r="R4524" s="23" t="s">
        <v>1198</v>
      </c>
      <c r="U4524">
        <v>17</v>
      </c>
      <c r="V4524" t="e">
        <f>VLOOKUP(U4524,[1]!NOMINA[#Data],4,FALSE)</f>
        <v>#REF!</v>
      </c>
      <c r="W4524" t="e">
        <f>VLOOKUP(U4524,[1]!NOMINA[#Data],5,FALSE)</f>
        <v>#REF!</v>
      </c>
    </row>
    <row r="4525" spans="1:23" x14ac:dyDescent="0.25">
      <c r="A4525" s="21">
        <v>45807</v>
      </c>
      <c r="B4525" s="1" t="s">
        <v>7930</v>
      </c>
      <c r="C4525" t="s">
        <v>7931</v>
      </c>
      <c r="D4525" s="22">
        <v>-61.65</v>
      </c>
      <c r="E4525" t="s">
        <v>35</v>
      </c>
      <c r="F4525" s="2">
        <v>212901001</v>
      </c>
      <c r="G4525" s="2" t="s">
        <v>121</v>
      </c>
      <c r="L4525" s="2" t="s">
        <v>7932</v>
      </c>
      <c r="M4525" t="s">
        <v>67</v>
      </c>
      <c r="N4525" t="s">
        <v>68</v>
      </c>
      <c r="P4525" s="23">
        <v>96.86</v>
      </c>
      <c r="Q4525" s="4">
        <f t="shared" si="70"/>
        <v>-0.63648564939087338</v>
      </c>
      <c r="R4525" s="23" t="s">
        <v>1198</v>
      </c>
      <c r="U4525">
        <v>20</v>
      </c>
      <c r="V4525" t="e">
        <f>VLOOKUP(Tabla3[[#This Row],[Nº]],[1]!NOMINA[#Data],4,FALSE)</f>
        <v>#REF!</v>
      </c>
      <c r="W4525" t="e">
        <f>VLOOKUP(Tabla3[[#This Row],[Nº]],[1]!NOMINA[#Data],5,FALSE)</f>
        <v>#REF!</v>
      </c>
    </row>
    <row r="4526" spans="1:23" x14ac:dyDescent="0.25">
      <c r="A4526" s="21">
        <v>45807</v>
      </c>
      <c r="B4526" s="1" t="s">
        <v>7933</v>
      </c>
      <c r="C4526" t="s">
        <v>7934</v>
      </c>
      <c r="D4526" s="22">
        <v>-3809.6</v>
      </c>
      <c r="E4526" t="s">
        <v>35</v>
      </c>
      <c r="F4526" s="2">
        <v>212901001</v>
      </c>
      <c r="G4526" s="2" t="s">
        <v>121</v>
      </c>
      <c r="L4526" s="2" t="s">
        <v>7935</v>
      </c>
      <c r="M4526" t="s">
        <v>67</v>
      </c>
      <c r="N4526" t="s">
        <v>68</v>
      </c>
      <c r="P4526" s="23">
        <v>96.86</v>
      </c>
      <c r="Q4526" s="4">
        <f t="shared" si="70"/>
        <v>-39.330993186041709</v>
      </c>
      <c r="R4526" s="23" t="s">
        <v>1198</v>
      </c>
      <c r="U4526">
        <v>15</v>
      </c>
      <c r="V4526" t="e">
        <f>VLOOKUP(U4526,[1]!NOMINA[#Data],4,FALSE)</f>
        <v>#REF!</v>
      </c>
      <c r="W4526" t="e">
        <f>VLOOKUP(U4526,[1]!NOMINA[#Data],5,FALSE)</f>
        <v>#REF!</v>
      </c>
    </row>
    <row r="4527" spans="1:23" x14ac:dyDescent="0.25">
      <c r="A4527" s="21">
        <v>45807</v>
      </c>
      <c r="B4527" s="1" t="s">
        <v>4170</v>
      </c>
      <c r="C4527" t="s">
        <v>7936</v>
      </c>
      <c r="D4527" s="22">
        <v>-19048</v>
      </c>
      <c r="E4527" t="s">
        <v>35</v>
      </c>
      <c r="F4527" s="2">
        <v>212901001</v>
      </c>
      <c r="G4527" s="2" t="s">
        <v>121</v>
      </c>
      <c r="L4527" s="2" t="s">
        <v>7937</v>
      </c>
      <c r="M4527" t="s">
        <v>67</v>
      </c>
      <c r="N4527" t="s">
        <v>68</v>
      </c>
      <c r="P4527" s="23">
        <v>96.86</v>
      </c>
      <c r="Q4527" s="4">
        <f t="shared" si="70"/>
        <v>-196.65496593020856</v>
      </c>
      <c r="R4527" s="23" t="s">
        <v>1198</v>
      </c>
      <c r="U4527">
        <v>1</v>
      </c>
      <c r="V4527" t="e">
        <f>VLOOKUP(U4527,[1]!NOMINA[#Data],4,FALSE)</f>
        <v>#REF!</v>
      </c>
      <c r="W4527" t="e">
        <f>VLOOKUP(U4527,[1]!NOMINA[#Data],5,FALSE)</f>
        <v>#REF!</v>
      </c>
    </row>
    <row r="4528" spans="1:23" x14ac:dyDescent="0.25">
      <c r="A4528" s="21">
        <v>45807</v>
      </c>
      <c r="B4528" s="1" t="s">
        <v>4197</v>
      </c>
      <c r="C4528" t="s">
        <v>7938</v>
      </c>
      <c r="D4528" s="22">
        <v>-952.4</v>
      </c>
      <c r="E4528" t="s">
        <v>35</v>
      </c>
      <c r="F4528" s="2">
        <v>212901001</v>
      </c>
      <c r="G4528" s="2" t="s">
        <v>121</v>
      </c>
      <c r="L4528" s="2" t="s">
        <v>7939</v>
      </c>
      <c r="M4528" t="s">
        <v>67</v>
      </c>
      <c r="N4528" t="s">
        <v>68</v>
      </c>
      <c r="P4528" s="23">
        <v>96.86</v>
      </c>
      <c r="Q4528" s="4">
        <f t="shared" si="70"/>
        <v>-9.8327482965104274</v>
      </c>
      <c r="R4528" s="23" t="s">
        <v>1198</v>
      </c>
      <c r="U4528">
        <v>15</v>
      </c>
      <c r="V4528" t="e">
        <f>VLOOKUP(U4528,[1]!NOMINA[#Data],4,FALSE)</f>
        <v>#REF!</v>
      </c>
      <c r="W4528" t="e">
        <f>VLOOKUP(U4528,[1]!NOMINA[#Data],5,FALSE)</f>
        <v>#REF!</v>
      </c>
    </row>
    <row r="4529" spans="1:23" x14ac:dyDescent="0.25">
      <c r="A4529" s="21">
        <v>45807</v>
      </c>
      <c r="B4529" s="1" t="s">
        <v>4176</v>
      </c>
      <c r="C4529" t="s">
        <v>7940</v>
      </c>
      <c r="D4529" s="22">
        <v>-952.4</v>
      </c>
      <c r="E4529" t="s">
        <v>35</v>
      </c>
      <c r="F4529" s="2">
        <v>212901001</v>
      </c>
      <c r="G4529" s="2" t="s">
        <v>121</v>
      </c>
      <c r="L4529" s="2" t="s">
        <v>7941</v>
      </c>
      <c r="M4529" t="s">
        <v>67</v>
      </c>
      <c r="N4529" t="s">
        <v>68</v>
      </c>
      <c r="P4529" s="23">
        <v>96.86</v>
      </c>
      <c r="Q4529" s="4">
        <f t="shared" si="70"/>
        <v>-9.8327482965104274</v>
      </c>
      <c r="R4529" s="23" t="s">
        <v>1198</v>
      </c>
      <c r="U4529">
        <v>14</v>
      </c>
      <c r="V4529" t="e">
        <f>VLOOKUP(U4529,[1]!NOMINA[#Data],4,FALSE)</f>
        <v>#REF!</v>
      </c>
      <c r="W4529" t="e">
        <f>VLOOKUP(U4529,[1]!NOMINA[#Data],5,FALSE)</f>
        <v>#REF!</v>
      </c>
    </row>
    <row r="4530" spans="1:23" x14ac:dyDescent="0.25">
      <c r="A4530" s="21">
        <v>45807</v>
      </c>
      <c r="B4530" s="1" t="s">
        <v>4082</v>
      </c>
      <c r="C4530" t="s">
        <v>7942</v>
      </c>
      <c r="D4530" s="22">
        <v>-61.65</v>
      </c>
      <c r="E4530" t="s">
        <v>35</v>
      </c>
      <c r="F4530" s="2">
        <v>212901001</v>
      </c>
      <c r="G4530" s="2" t="s">
        <v>121</v>
      </c>
      <c r="L4530" s="2" t="s">
        <v>7943</v>
      </c>
      <c r="M4530" t="s">
        <v>67</v>
      </c>
      <c r="N4530" t="s">
        <v>68</v>
      </c>
      <c r="P4530" s="23">
        <v>96.86</v>
      </c>
      <c r="Q4530" s="4">
        <f t="shared" si="70"/>
        <v>-0.63648564939087338</v>
      </c>
      <c r="R4530" s="23" t="s">
        <v>1198</v>
      </c>
      <c r="U4530">
        <v>13</v>
      </c>
      <c r="V4530" t="e">
        <f>VLOOKUP(U4530,[1]!NOMINA[#Data],4,FALSE)</f>
        <v>#REF!</v>
      </c>
      <c r="W4530" t="e">
        <f>VLOOKUP(U4530,[1]!NOMINA[#Data],5,FALSE)</f>
        <v>#REF!</v>
      </c>
    </row>
    <row r="4531" spans="1:23" x14ac:dyDescent="0.25">
      <c r="A4531" s="21">
        <v>45807</v>
      </c>
      <c r="B4531" s="1" t="s">
        <v>4085</v>
      </c>
      <c r="C4531" t="s">
        <v>7944</v>
      </c>
      <c r="D4531" s="22">
        <v>-61.65</v>
      </c>
      <c r="E4531" t="s">
        <v>35</v>
      </c>
      <c r="F4531" s="2">
        <v>212901001</v>
      </c>
      <c r="G4531" s="2" t="s">
        <v>121</v>
      </c>
      <c r="L4531" s="2" t="s">
        <v>7945</v>
      </c>
      <c r="M4531" t="s">
        <v>67</v>
      </c>
      <c r="N4531" t="s">
        <v>68</v>
      </c>
      <c r="P4531" s="23">
        <v>96.86</v>
      </c>
      <c r="Q4531" s="4">
        <f t="shared" si="70"/>
        <v>-0.63648564939087338</v>
      </c>
      <c r="R4531" s="23" t="s">
        <v>1198</v>
      </c>
      <c r="U4531">
        <v>8</v>
      </c>
      <c r="V4531" t="e">
        <f>VLOOKUP(U4531,[1]!NOMINA[#Data],4,FALSE)</f>
        <v>#REF!</v>
      </c>
      <c r="W4531" t="e">
        <f>VLOOKUP(U4531,[1]!NOMINA[#Data],5,FALSE)</f>
        <v>#REF!</v>
      </c>
    </row>
    <row r="4532" spans="1:23" x14ac:dyDescent="0.25">
      <c r="A4532" s="21">
        <v>45807</v>
      </c>
      <c r="B4532" s="1" t="s">
        <v>4145</v>
      </c>
      <c r="C4532" t="s">
        <v>7946</v>
      </c>
      <c r="D4532" s="22">
        <v>-61.65</v>
      </c>
      <c r="E4532" t="s">
        <v>35</v>
      </c>
      <c r="F4532" s="2">
        <v>212901001</v>
      </c>
      <c r="G4532" s="2" t="s">
        <v>121</v>
      </c>
      <c r="L4532" s="2" t="s">
        <v>7947</v>
      </c>
      <c r="M4532" t="s">
        <v>67</v>
      </c>
      <c r="N4532" t="s">
        <v>68</v>
      </c>
      <c r="P4532" s="23">
        <v>96.86</v>
      </c>
      <c r="Q4532" s="4">
        <f t="shared" si="70"/>
        <v>-0.63648564939087338</v>
      </c>
      <c r="R4532" s="23" t="s">
        <v>1198</v>
      </c>
      <c r="U4532">
        <v>11</v>
      </c>
      <c r="V4532" t="e">
        <f>VLOOKUP(U4532,[1]!NOMINA[#Data],4,FALSE)</f>
        <v>#REF!</v>
      </c>
      <c r="W4532" t="e">
        <f>VLOOKUP(U4532,[1]!NOMINA[#Data],5,FALSE)</f>
        <v>#REF!</v>
      </c>
    </row>
    <row r="4533" spans="1:23" x14ac:dyDescent="0.25">
      <c r="A4533" s="21">
        <v>45807</v>
      </c>
      <c r="B4533" s="1" t="s">
        <v>4004</v>
      </c>
      <c r="C4533" t="s">
        <v>7948</v>
      </c>
      <c r="D4533" s="22">
        <v>-61.65</v>
      </c>
      <c r="E4533" t="s">
        <v>35</v>
      </c>
      <c r="F4533" s="2">
        <v>212901001</v>
      </c>
      <c r="G4533" s="2" t="s">
        <v>121</v>
      </c>
      <c r="L4533" s="2" t="s">
        <v>7949</v>
      </c>
      <c r="M4533" t="s">
        <v>67</v>
      </c>
      <c r="N4533" t="s">
        <v>68</v>
      </c>
      <c r="P4533" s="23">
        <v>96.86</v>
      </c>
      <c r="Q4533" s="4">
        <f t="shared" si="70"/>
        <v>-0.63648564939087338</v>
      </c>
      <c r="R4533" s="23" t="s">
        <v>1198</v>
      </c>
      <c r="U4533">
        <v>23</v>
      </c>
      <c r="V4533" t="e">
        <f>VLOOKUP(U4533,[1]!NOMINA[#Data],4,FALSE)</f>
        <v>#REF!</v>
      </c>
      <c r="W4533" t="e">
        <f>VLOOKUP(U4533,[1]!NOMINA[#Data],5,FALSE)</f>
        <v>#REF!</v>
      </c>
    </row>
    <row r="4534" spans="1:23" x14ac:dyDescent="0.25">
      <c r="A4534" s="21">
        <v>45807</v>
      </c>
      <c r="B4534" s="1" t="s">
        <v>7950</v>
      </c>
      <c r="C4534" t="s">
        <v>7951</v>
      </c>
      <c r="D4534" s="22">
        <v>-61.65</v>
      </c>
      <c r="E4534" t="s">
        <v>35</v>
      </c>
      <c r="F4534" s="2">
        <v>212901001</v>
      </c>
      <c r="G4534" s="2" t="s">
        <v>121</v>
      </c>
      <c r="L4534" s="2" t="s">
        <v>7952</v>
      </c>
      <c r="M4534" t="s">
        <v>67</v>
      </c>
      <c r="N4534" t="s">
        <v>68</v>
      </c>
      <c r="P4534" s="23">
        <v>96.86</v>
      </c>
      <c r="Q4534" s="4">
        <f t="shared" si="70"/>
        <v>-0.63648564939087338</v>
      </c>
      <c r="R4534" s="23" t="s">
        <v>1198</v>
      </c>
      <c r="U4534">
        <v>43</v>
      </c>
      <c r="V4534" t="e">
        <f>VLOOKUP(U4534,[1]!NOMINA[#Data],4,FALSE)</f>
        <v>#REF!</v>
      </c>
      <c r="W4534" t="e">
        <f>VLOOKUP(U4534,[1]!NOMINA[#Data],5,FALSE)</f>
        <v>#REF!</v>
      </c>
    </row>
    <row r="4535" spans="1:23" x14ac:dyDescent="0.25">
      <c r="A4535" s="21">
        <v>45807</v>
      </c>
      <c r="B4535" s="1" t="s">
        <v>7953</v>
      </c>
      <c r="C4535" t="s">
        <v>7954</v>
      </c>
      <c r="D4535" s="22">
        <v>-61.65</v>
      </c>
      <c r="E4535" t="s">
        <v>35</v>
      </c>
      <c r="F4535" s="2">
        <v>212901001</v>
      </c>
      <c r="G4535" s="2" t="s">
        <v>121</v>
      </c>
      <c r="L4535" s="2" t="s">
        <v>7955</v>
      </c>
      <c r="M4535" t="s">
        <v>67</v>
      </c>
      <c r="N4535" t="s">
        <v>68</v>
      </c>
      <c r="P4535" s="23">
        <v>96.86</v>
      </c>
      <c r="Q4535" s="4">
        <f t="shared" si="70"/>
        <v>-0.63648564939087338</v>
      </c>
      <c r="R4535" s="23" t="s">
        <v>1198</v>
      </c>
      <c r="U4535">
        <v>17</v>
      </c>
      <c r="V4535" t="e">
        <f>VLOOKUP(U4535,[1]!NOMINA[#Data],4,FALSE)</f>
        <v>#REF!</v>
      </c>
      <c r="W4535" t="e">
        <f>VLOOKUP(U4535,[1]!NOMINA[#Data],5,FALSE)</f>
        <v>#REF!</v>
      </c>
    </row>
    <row r="4536" spans="1:23" x14ac:dyDescent="0.25">
      <c r="A4536" s="21">
        <v>45807</v>
      </c>
      <c r="B4536" s="1" t="s">
        <v>7956</v>
      </c>
      <c r="C4536" t="s">
        <v>7957</v>
      </c>
      <c r="D4536" s="22">
        <v>-3809.6</v>
      </c>
      <c r="E4536" t="s">
        <v>35</v>
      </c>
      <c r="F4536" s="2">
        <v>212901001</v>
      </c>
      <c r="G4536" s="2" t="s">
        <v>121</v>
      </c>
      <c r="L4536" s="2" t="s">
        <v>7958</v>
      </c>
      <c r="M4536" t="s">
        <v>67</v>
      </c>
      <c r="N4536" t="s">
        <v>68</v>
      </c>
      <c r="P4536" s="23">
        <v>96.86</v>
      </c>
      <c r="Q4536" s="4">
        <f t="shared" si="70"/>
        <v>-39.330993186041709</v>
      </c>
      <c r="R4536" s="23" t="s">
        <v>1198</v>
      </c>
      <c r="U4536">
        <v>40</v>
      </c>
      <c r="V4536" t="e">
        <f>VLOOKUP(U4536,[1]!NOMINA[#Data],4,FALSE)</f>
        <v>#REF!</v>
      </c>
      <c r="W4536" t="e">
        <f>VLOOKUP(U4536,[1]!NOMINA[#Data],5,FALSE)</f>
        <v>#REF!</v>
      </c>
    </row>
    <row r="4537" spans="1:23" x14ac:dyDescent="0.25">
      <c r="A4537" s="21">
        <v>45807</v>
      </c>
      <c r="B4537" s="1" t="s">
        <v>7959</v>
      </c>
      <c r="C4537" t="s">
        <v>7960</v>
      </c>
      <c r="D4537" s="22">
        <v>-3809.6</v>
      </c>
      <c r="E4537" t="s">
        <v>35</v>
      </c>
      <c r="F4537" s="2">
        <v>212901001</v>
      </c>
      <c r="G4537" s="2" t="s">
        <v>121</v>
      </c>
      <c r="L4537" s="2" t="s">
        <v>7961</v>
      </c>
      <c r="M4537" t="s">
        <v>67</v>
      </c>
      <c r="N4537" t="s">
        <v>68</v>
      </c>
      <c r="P4537" s="23">
        <v>96.86</v>
      </c>
      <c r="Q4537" s="4">
        <f t="shared" si="70"/>
        <v>-39.330993186041709</v>
      </c>
      <c r="R4537" s="23" t="s">
        <v>1198</v>
      </c>
      <c r="U4537">
        <v>20</v>
      </c>
      <c r="V4537" t="e">
        <f>VLOOKUP(Tabla3[[#This Row],[Nº]],[1]!NOMINA[#Data],4,FALSE)</f>
        <v>#REF!</v>
      </c>
      <c r="W4537" t="e">
        <f>VLOOKUP(Tabla3[[#This Row],[Nº]],[1]!NOMINA[#Data],5,FALSE)</f>
        <v>#REF!</v>
      </c>
    </row>
    <row r="4538" spans="1:23" x14ac:dyDescent="0.25">
      <c r="A4538" s="21">
        <v>45807</v>
      </c>
      <c r="B4538" s="1" t="s">
        <v>7962</v>
      </c>
      <c r="C4538" t="s">
        <v>7963</v>
      </c>
      <c r="D4538" s="22">
        <v>-3809.6</v>
      </c>
      <c r="E4538" t="s">
        <v>35</v>
      </c>
      <c r="F4538" s="2">
        <v>212901001</v>
      </c>
      <c r="G4538" s="2" t="s">
        <v>121</v>
      </c>
      <c r="L4538" s="2" t="s">
        <v>7964</v>
      </c>
      <c r="M4538" t="s">
        <v>67</v>
      </c>
      <c r="N4538" t="s">
        <v>68</v>
      </c>
      <c r="P4538" s="23">
        <v>96.86</v>
      </c>
      <c r="Q4538" s="4">
        <f t="shared" si="70"/>
        <v>-39.330993186041709</v>
      </c>
      <c r="R4538" s="23" t="s">
        <v>1198</v>
      </c>
      <c r="U4538">
        <v>13</v>
      </c>
      <c r="V4538" t="e">
        <f>VLOOKUP(U4538,[1]!NOMINA[#Data],4,FALSE)</f>
        <v>#REF!</v>
      </c>
      <c r="W4538" t="e">
        <f>VLOOKUP(U4538,[1]!NOMINA[#Data],5,FALSE)</f>
        <v>#REF!</v>
      </c>
    </row>
    <row r="4539" spans="1:23" x14ac:dyDescent="0.25">
      <c r="A4539" s="21">
        <v>45807</v>
      </c>
      <c r="B4539" s="1" t="s">
        <v>7965</v>
      </c>
      <c r="C4539" t="s">
        <v>7966</v>
      </c>
      <c r="D4539" s="22">
        <v>-3809.6</v>
      </c>
      <c r="E4539" t="s">
        <v>35</v>
      </c>
      <c r="F4539" s="2">
        <v>212901001</v>
      </c>
      <c r="G4539" s="2" t="s">
        <v>121</v>
      </c>
      <c r="L4539" s="2" t="s">
        <v>7967</v>
      </c>
      <c r="M4539" t="s">
        <v>67</v>
      </c>
      <c r="N4539" t="s">
        <v>68</v>
      </c>
      <c r="P4539" s="23">
        <v>96.86</v>
      </c>
      <c r="Q4539" s="4">
        <f t="shared" si="70"/>
        <v>-39.330993186041709</v>
      </c>
      <c r="R4539" s="23" t="s">
        <v>1198</v>
      </c>
      <c r="U4539">
        <v>8</v>
      </c>
      <c r="V4539" t="e">
        <f>VLOOKUP(U4539,[1]!NOMINA[#Data],4,FALSE)</f>
        <v>#REF!</v>
      </c>
      <c r="W4539" t="e">
        <f>VLOOKUP(U4539,[1]!NOMINA[#Data],5,FALSE)</f>
        <v>#REF!</v>
      </c>
    </row>
    <row r="4540" spans="1:23" x14ac:dyDescent="0.25">
      <c r="A4540" s="21">
        <v>45807</v>
      </c>
      <c r="B4540" s="1" t="s">
        <v>7968</v>
      </c>
      <c r="C4540" t="s">
        <v>7969</v>
      </c>
      <c r="D4540" s="22">
        <v>-3809.6</v>
      </c>
      <c r="E4540" t="s">
        <v>35</v>
      </c>
      <c r="F4540" s="2">
        <v>212901001</v>
      </c>
      <c r="G4540" s="2" t="s">
        <v>121</v>
      </c>
      <c r="L4540" s="2" t="s">
        <v>7970</v>
      </c>
      <c r="M4540" t="s">
        <v>67</v>
      </c>
      <c r="N4540" t="s">
        <v>68</v>
      </c>
      <c r="P4540" s="23">
        <v>96.86</v>
      </c>
      <c r="Q4540" s="4">
        <f t="shared" si="70"/>
        <v>-39.330993186041709</v>
      </c>
      <c r="R4540" s="23" t="s">
        <v>1198</v>
      </c>
      <c r="U4540">
        <v>11</v>
      </c>
      <c r="V4540" t="e">
        <f>VLOOKUP(U4540,[1]!NOMINA[#Data],4,FALSE)</f>
        <v>#REF!</v>
      </c>
      <c r="W4540" t="e">
        <f>VLOOKUP(U4540,[1]!NOMINA[#Data],5,FALSE)</f>
        <v>#REF!</v>
      </c>
    </row>
    <row r="4541" spans="1:23" x14ac:dyDescent="0.25">
      <c r="A4541" s="21">
        <v>45807</v>
      </c>
      <c r="B4541" s="1" t="s">
        <v>7971</v>
      </c>
      <c r="C4541" t="s">
        <v>7972</v>
      </c>
      <c r="D4541" s="22">
        <v>-3809.6</v>
      </c>
      <c r="E4541" t="s">
        <v>35</v>
      </c>
      <c r="F4541" s="2">
        <v>212901001</v>
      </c>
      <c r="G4541" s="2" t="s">
        <v>121</v>
      </c>
      <c r="L4541" s="2" t="s">
        <v>7973</v>
      </c>
      <c r="M4541" t="s">
        <v>67</v>
      </c>
      <c r="N4541" t="s">
        <v>68</v>
      </c>
      <c r="P4541" s="23">
        <v>96.86</v>
      </c>
      <c r="Q4541" s="4">
        <f t="shared" si="70"/>
        <v>-39.330993186041709</v>
      </c>
      <c r="R4541" s="23" t="s">
        <v>1198</v>
      </c>
      <c r="U4541">
        <v>23</v>
      </c>
      <c r="V4541" t="e">
        <f>VLOOKUP(U4541,[1]!NOMINA[#Data],4,FALSE)</f>
        <v>#REF!</v>
      </c>
      <c r="W4541" t="e">
        <f>VLOOKUP(U4541,[1]!NOMINA[#Data],5,FALSE)</f>
        <v>#REF!</v>
      </c>
    </row>
    <row r="4542" spans="1:23" x14ac:dyDescent="0.25">
      <c r="A4542" s="21">
        <v>45807</v>
      </c>
      <c r="B4542" s="1" t="s">
        <v>7974</v>
      </c>
      <c r="C4542" t="s">
        <v>7975</v>
      </c>
      <c r="D4542" s="22">
        <v>-3809.6</v>
      </c>
      <c r="E4542" t="s">
        <v>35</v>
      </c>
      <c r="F4542" s="2">
        <v>212901001</v>
      </c>
      <c r="G4542" s="2" t="s">
        <v>121</v>
      </c>
      <c r="L4542" s="2" t="s">
        <v>7976</v>
      </c>
      <c r="M4542" t="s">
        <v>67</v>
      </c>
      <c r="N4542" t="s">
        <v>68</v>
      </c>
      <c r="P4542" s="23">
        <v>96.86</v>
      </c>
      <c r="Q4542" s="4">
        <f t="shared" si="70"/>
        <v>-39.330993186041709</v>
      </c>
      <c r="R4542" s="23" t="s">
        <v>1198</v>
      </c>
      <c r="U4542">
        <v>43</v>
      </c>
      <c r="V4542" t="e">
        <f>VLOOKUP(U4542,[1]!NOMINA[#Data],4,FALSE)</f>
        <v>#REF!</v>
      </c>
      <c r="W4542" t="e">
        <f>VLOOKUP(U4542,[1]!NOMINA[#Data],5,FALSE)</f>
        <v>#REF!</v>
      </c>
    </row>
    <row r="4543" spans="1:23" x14ac:dyDescent="0.25">
      <c r="A4543" s="21">
        <v>45807</v>
      </c>
      <c r="B4543" s="1" t="s">
        <v>1211</v>
      </c>
      <c r="C4543" t="s">
        <v>7977</v>
      </c>
      <c r="D4543" s="22">
        <v>-3281.97</v>
      </c>
      <c r="E4543" t="s">
        <v>35</v>
      </c>
      <c r="F4543" s="2">
        <v>212901001</v>
      </c>
      <c r="G4543" s="2" t="s">
        <v>121</v>
      </c>
      <c r="L4543" s="2" t="s">
        <v>7978</v>
      </c>
      <c r="M4543" t="s">
        <v>67</v>
      </c>
      <c r="N4543" t="s">
        <v>68</v>
      </c>
      <c r="P4543" s="23">
        <v>96.86</v>
      </c>
      <c r="Q4543" s="4">
        <f t="shared" si="70"/>
        <v>-33.883646500103239</v>
      </c>
      <c r="R4543" s="23" t="s">
        <v>1198</v>
      </c>
      <c r="U4543">
        <v>26</v>
      </c>
      <c r="V4543" t="e">
        <f>VLOOKUP(Tabla3[[#This Row],[Nº]],[1]!NOMINA[#Data],4,FALSE)</f>
        <v>#REF!</v>
      </c>
      <c r="W4543" t="e">
        <f>VLOOKUP(Tabla3[[#This Row],[Nº]],[1]!NOMINA[#Data],5,FALSE)</f>
        <v>#REF!</v>
      </c>
    </row>
    <row r="4544" spans="1:23" x14ac:dyDescent="0.25">
      <c r="A4544" s="21">
        <v>45807</v>
      </c>
      <c r="B4544" s="1" t="s">
        <v>1214</v>
      </c>
      <c r="C4544" t="s">
        <v>7979</v>
      </c>
      <c r="D4544" s="22">
        <v>-8060.16</v>
      </c>
      <c r="E4544" t="s">
        <v>35</v>
      </c>
      <c r="F4544" s="2">
        <v>212901001</v>
      </c>
      <c r="G4544" s="2" t="s">
        <v>121</v>
      </c>
      <c r="L4544" s="2" t="s">
        <v>7980</v>
      </c>
      <c r="M4544" t="s">
        <v>67</v>
      </c>
      <c r="N4544" t="s">
        <v>68</v>
      </c>
      <c r="P4544" s="23">
        <v>96.86</v>
      </c>
      <c r="Q4544" s="4">
        <f t="shared" si="70"/>
        <v>-83.214536444352674</v>
      </c>
      <c r="R4544" s="23" t="s">
        <v>1198</v>
      </c>
      <c r="U4544">
        <v>10</v>
      </c>
      <c r="V4544" t="e">
        <f>VLOOKUP(U4544,[1]!NOMINA[#Data],4,FALSE)</f>
        <v>#REF!</v>
      </c>
      <c r="W4544" t="e">
        <f>VLOOKUP(U4544,[1]!NOMINA[#Data],5,FALSE)</f>
        <v>#REF!</v>
      </c>
    </row>
    <row r="4545" spans="1:23" x14ac:dyDescent="0.25">
      <c r="A4545" s="21">
        <v>45807</v>
      </c>
      <c r="B4545" s="1" t="s">
        <v>3924</v>
      </c>
      <c r="C4545" t="s">
        <v>7981</v>
      </c>
      <c r="D4545" s="22">
        <v>-11840.24</v>
      </c>
      <c r="E4545" t="s">
        <v>35</v>
      </c>
      <c r="F4545" s="2">
        <v>212901001</v>
      </c>
      <c r="G4545" s="2" t="s">
        <v>121</v>
      </c>
      <c r="L4545" s="2" t="s">
        <v>7982</v>
      </c>
      <c r="M4545" t="s">
        <v>67</v>
      </c>
      <c r="N4545" t="s">
        <v>68</v>
      </c>
      <c r="P4545" s="23">
        <v>96.86</v>
      </c>
      <c r="Q4545" s="4">
        <f t="shared" si="70"/>
        <v>-122.24075985959117</v>
      </c>
      <c r="R4545" s="23" t="s">
        <v>1198</v>
      </c>
      <c r="U4545">
        <v>40</v>
      </c>
      <c r="V4545" t="e">
        <f>VLOOKUP(U4545,[1]!NOMINA[#Data],4,FALSE)</f>
        <v>#REF!</v>
      </c>
      <c r="W4545" t="e">
        <f>VLOOKUP(U4545,[1]!NOMINA[#Data],5,FALSE)</f>
        <v>#REF!</v>
      </c>
    </row>
    <row r="4546" spans="1:23" x14ac:dyDescent="0.25">
      <c r="A4546" s="21">
        <v>45807</v>
      </c>
      <c r="B4546" s="1" t="s">
        <v>3927</v>
      </c>
      <c r="C4546" t="s">
        <v>7983</v>
      </c>
      <c r="D4546" s="22">
        <v>-7103.95</v>
      </c>
      <c r="E4546" t="s">
        <v>35</v>
      </c>
      <c r="F4546" s="2">
        <v>212901001</v>
      </c>
      <c r="G4546" s="2" t="s">
        <v>121</v>
      </c>
      <c r="L4546" s="2" t="s">
        <v>7984</v>
      </c>
      <c r="M4546" t="s">
        <v>67</v>
      </c>
      <c r="N4546" t="s">
        <v>68</v>
      </c>
      <c r="P4546" s="23">
        <v>96.86</v>
      </c>
      <c r="Q4546" s="4">
        <f t="shared" si="70"/>
        <v>-73.342453024984508</v>
      </c>
      <c r="R4546" s="23" t="s">
        <v>1198</v>
      </c>
      <c r="U4546">
        <v>9</v>
      </c>
      <c r="V4546" t="e">
        <f>VLOOKUP(U4546,[1]!NOMINA[#Data],4,FALSE)</f>
        <v>#REF!</v>
      </c>
      <c r="W4546" t="e">
        <f>VLOOKUP(U4546,[1]!NOMINA[#Data],5,FALSE)</f>
        <v>#REF!</v>
      </c>
    </row>
    <row r="4547" spans="1:23" x14ac:dyDescent="0.25">
      <c r="A4547" s="21">
        <v>45807</v>
      </c>
      <c r="B4547" s="1" t="s">
        <v>4127</v>
      </c>
      <c r="C4547" t="s">
        <v>7985</v>
      </c>
      <c r="D4547" s="22">
        <v>-4040.08</v>
      </c>
      <c r="E4547" t="s">
        <v>35</v>
      </c>
      <c r="F4547" s="2">
        <v>212901001</v>
      </c>
      <c r="G4547" s="2" t="s">
        <v>121</v>
      </c>
      <c r="L4547" s="2" t="s">
        <v>7986</v>
      </c>
      <c r="M4547" t="s">
        <v>67</v>
      </c>
      <c r="N4547" t="s">
        <v>68</v>
      </c>
      <c r="P4547" s="23">
        <v>96.86</v>
      </c>
      <c r="Q4547" s="4">
        <f t="shared" si="70"/>
        <v>-41.710510014453853</v>
      </c>
      <c r="R4547" s="23" t="s">
        <v>1198</v>
      </c>
      <c r="U4547">
        <v>42</v>
      </c>
      <c r="V4547" t="e">
        <f>VLOOKUP(U4547,[1]!NOMINA[#Data],4,FALSE)</f>
        <v>#REF!</v>
      </c>
      <c r="W4547" t="e">
        <f>VLOOKUP(U4547,[1]!NOMINA[#Data],5,FALSE)</f>
        <v>#REF!</v>
      </c>
    </row>
    <row r="4548" spans="1:23" x14ac:dyDescent="0.25">
      <c r="A4548" s="21">
        <v>45807</v>
      </c>
      <c r="B4548" s="1" t="s">
        <v>4094</v>
      </c>
      <c r="C4548" t="s">
        <v>7987</v>
      </c>
      <c r="D4548" s="22">
        <v>-11840.24</v>
      </c>
      <c r="E4548" t="s">
        <v>35</v>
      </c>
      <c r="F4548" s="2">
        <v>212901001</v>
      </c>
      <c r="G4548" s="2" t="s">
        <v>121</v>
      </c>
      <c r="L4548" s="2" t="s">
        <v>7988</v>
      </c>
      <c r="M4548" t="s">
        <v>67</v>
      </c>
      <c r="N4548" t="s">
        <v>68</v>
      </c>
      <c r="P4548" s="23">
        <v>96.86</v>
      </c>
      <c r="Q4548" s="4">
        <f t="shared" si="70"/>
        <v>-122.24075985959117</v>
      </c>
      <c r="R4548" s="23" t="s">
        <v>1198</v>
      </c>
      <c r="U4548">
        <v>6</v>
      </c>
      <c r="V4548" t="e">
        <f>VLOOKUP(U4548,[1]!NOMINA[#Data],4,FALSE)</f>
        <v>#REF!</v>
      </c>
      <c r="W4548" t="e">
        <f>VLOOKUP(U4548,[1]!NOMINA[#Data],5,FALSE)</f>
        <v>#REF!</v>
      </c>
    </row>
    <row r="4549" spans="1:23" x14ac:dyDescent="0.25">
      <c r="A4549" s="21">
        <v>45807</v>
      </c>
      <c r="B4549" s="1" t="s">
        <v>4024</v>
      </c>
      <c r="C4549" t="s">
        <v>7989</v>
      </c>
      <c r="D4549" s="22">
        <v>-6142.98</v>
      </c>
      <c r="E4549" t="s">
        <v>35</v>
      </c>
      <c r="F4549" s="2">
        <v>212901001</v>
      </c>
      <c r="G4549" s="2" t="s">
        <v>121</v>
      </c>
      <c r="L4549" s="2" t="s">
        <v>7990</v>
      </c>
      <c r="M4549" t="s">
        <v>67</v>
      </c>
      <c r="N4549" t="s">
        <v>68</v>
      </c>
      <c r="P4549" s="23">
        <v>96.86</v>
      </c>
      <c r="Q4549" s="4">
        <f t="shared" si="70"/>
        <v>-63.421226512492254</v>
      </c>
      <c r="R4549" s="23" t="s">
        <v>1198</v>
      </c>
      <c r="U4549">
        <v>5</v>
      </c>
      <c r="V4549" t="e">
        <f>VLOOKUP(U4549,[1]!NOMINA[#Data],4,FALSE)</f>
        <v>#REF!</v>
      </c>
      <c r="W4549" t="e">
        <f>VLOOKUP(U4549,[1]!NOMINA[#Data],5,FALSE)</f>
        <v>#REF!</v>
      </c>
    </row>
    <row r="4550" spans="1:23" x14ac:dyDescent="0.25">
      <c r="A4550" s="21">
        <v>45807</v>
      </c>
      <c r="B4550" s="1" t="s">
        <v>4116</v>
      </c>
      <c r="C4550" t="s">
        <v>7991</v>
      </c>
      <c r="D4550" s="22">
        <v>-38031.24</v>
      </c>
      <c r="E4550" t="s">
        <v>35</v>
      </c>
      <c r="F4550" s="2">
        <v>212901001</v>
      </c>
      <c r="G4550" s="2" t="s">
        <v>121</v>
      </c>
      <c r="L4550" s="2" t="s">
        <v>7992</v>
      </c>
      <c r="M4550" t="s">
        <v>67</v>
      </c>
      <c r="N4550" t="s">
        <v>68</v>
      </c>
      <c r="P4550" s="23">
        <v>96.86</v>
      </c>
      <c r="Q4550" s="4">
        <f t="shared" si="70"/>
        <v>-392.64133801362789</v>
      </c>
      <c r="R4550" s="23" t="s">
        <v>1198</v>
      </c>
      <c r="U4550">
        <v>1</v>
      </c>
      <c r="V4550" t="e">
        <f>VLOOKUP(U4550,[1]!NOMINA[#Data],4,FALSE)</f>
        <v>#REF!</v>
      </c>
      <c r="W4550" t="e">
        <f>VLOOKUP(U4550,[1]!NOMINA[#Data],5,FALSE)</f>
        <v>#REF!</v>
      </c>
    </row>
    <row r="4551" spans="1:23" x14ac:dyDescent="0.25">
      <c r="A4551" s="21">
        <v>45807</v>
      </c>
      <c r="B4551" s="1" t="s">
        <v>4133</v>
      </c>
      <c r="C4551" t="s">
        <v>7993</v>
      </c>
      <c r="D4551" s="22">
        <v>-3809.6</v>
      </c>
      <c r="E4551" t="s">
        <v>35</v>
      </c>
      <c r="F4551" s="2">
        <v>212901001</v>
      </c>
      <c r="G4551" s="2" t="s">
        <v>121</v>
      </c>
      <c r="L4551" s="2" t="s">
        <v>7994</v>
      </c>
      <c r="M4551" t="s">
        <v>67</v>
      </c>
      <c r="N4551" t="s">
        <v>68</v>
      </c>
      <c r="P4551" s="23">
        <v>96.86</v>
      </c>
      <c r="Q4551" s="4">
        <f t="shared" si="70"/>
        <v>-39.330993186041709</v>
      </c>
      <c r="R4551" s="23" t="s">
        <v>1198</v>
      </c>
      <c r="U4551">
        <v>17</v>
      </c>
      <c r="V4551" t="e">
        <f>VLOOKUP(U4551,[1]!NOMINA[#Data],4,FALSE)</f>
        <v>#REF!</v>
      </c>
      <c r="W4551" t="e">
        <f>VLOOKUP(U4551,[1]!NOMINA[#Data],5,FALSE)</f>
        <v>#REF!</v>
      </c>
    </row>
    <row r="4552" spans="1:23" x14ac:dyDescent="0.25">
      <c r="A4552" s="21">
        <v>45807</v>
      </c>
      <c r="B4552" s="1" t="s">
        <v>4139</v>
      </c>
      <c r="C4552" t="s">
        <v>7995</v>
      </c>
      <c r="D4552" s="22">
        <v>-5714.4</v>
      </c>
      <c r="E4552" t="s">
        <v>35</v>
      </c>
      <c r="F4552" s="2">
        <v>212901001</v>
      </c>
      <c r="G4552" s="2" t="s">
        <v>121</v>
      </c>
      <c r="L4552" s="2" t="s">
        <v>7996</v>
      </c>
      <c r="M4552" t="s">
        <v>67</v>
      </c>
      <c r="N4552" t="s">
        <v>68</v>
      </c>
      <c r="P4552" s="23">
        <v>96.86</v>
      </c>
      <c r="Q4552" s="4">
        <f t="shared" si="70"/>
        <v>-58.996489779062564</v>
      </c>
      <c r="R4552" s="23" t="s">
        <v>1198</v>
      </c>
      <c r="U4552">
        <v>19</v>
      </c>
      <c r="V4552" t="e">
        <f>VLOOKUP(U4552,[1]!NOMINA[#Data],4,FALSE)</f>
        <v>#REF!</v>
      </c>
      <c r="W4552" t="e">
        <f>VLOOKUP(U4552,[1]!NOMINA[#Data],5,FALSE)</f>
        <v>#REF!</v>
      </c>
    </row>
    <row r="4553" spans="1:23" x14ac:dyDescent="0.25">
      <c r="A4553" s="21">
        <v>45807</v>
      </c>
      <c r="B4553" s="1" t="s">
        <v>7997</v>
      </c>
      <c r="C4553" t="s">
        <v>7998</v>
      </c>
      <c r="D4553" s="22">
        <v>-61.65</v>
      </c>
      <c r="E4553" t="s">
        <v>35</v>
      </c>
      <c r="F4553" s="2">
        <v>212901001</v>
      </c>
      <c r="G4553" s="2" t="s">
        <v>121</v>
      </c>
      <c r="L4553" s="2" t="s">
        <v>7999</v>
      </c>
      <c r="M4553" t="s">
        <v>67</v>
      </c>
      <c r="N4553" t="s">
        <v>68</v>
      </c>
      <c r="P4553" s="23">
        <v>96.86</v>
      </c>
      <c r="Q4553" s="4">
        <f t="shared" si="70"/>
        <v>-0.63648564939087338</v>
      </c>
      <c r="R4553" s="23" t="s">
        <v>1198</v>
      </c>
      <c r="U4553">
        <v>4</v>
      </c>
      <c r="V4553" t="e">
        <f>VLOOKUP(U4553,[1]!NOMINA[#Data],4,FALSE)</f>
        <v>#REF!</v>
      </c>
      <c r="W4553" t="e">
        <f>VLOOKUP(U4553,[1]!NOMINA[#Data],5,FALSE)</f>
        <v>#REF!</v>
      </c>
    </row>
    <row r="4554" spans="1:23" x14ac:dyDescent="0.25">
      <c r="A4554" s="21">
        <v>45807</v>
      </c>
      <c r="B4554" s="1" t="s">
        <v>8000</v>
      </c>
      <c r="C4554" t="s">
        <v>8001</v>
      </c>
      <c r="D4554" s="22">
        <v>-61.65</v>
      </c>
      <c r="E4554" t="s">
        <v>35</v>
      </c>
      <c r="F4554" s="2">
        <v>212901001</v>
      </c>
      <c r="G4554" s="2" t="s">
        <v>121</v>
      </c>
      <c r="L4554" s="2" t="s">
        <v>8002</v>
      </c>
      <c r="M4554" t="s">
        <v>67</v>
      </c>
      <c r="N4554" t="s">
        <v>68</v>
      </c>
      <c r="P4554" s="23">
        <v>96.86</v>
      </c>
      <c r="Q4554" s="4">
        <f t="shared" si="70"/>
        <v>-0.63648564939087338</v>
      </c>
      <c r="R4554" s="23" t="s">
        <v>1198</v>
      </c>
      <c r="U4554">
        <v>22</v>
      </c>
      <c r="V4554" t="e">
        <f>VLOOKUP(U4554,[1]!NOMINA[#Data],4,FALSE)</f>
        <v>#REF!</v>
      </c>
      <c r="W4554" t="e">
        <f>VLOOKUP(U4554,[1]!NOMINA[#Data],5,FALSE)</f>
        <v>#REF!</v>
      </c>
    </row>
    <row r="4555" spans="1:23" x14ac:dyDescent="0.25">
      <c r="A4555" s="21">
        <v>45807</v>
      </c>
      <c r="B4555" s="1" t="s">
        <v>8003</v>
      </c>
      <c r="C4555" t="s">
        <v>8004</v>
      </c>
      <c r="D4555" s="22">
        <v>-61.65</v>
      </c>
      <c r="E4555" t="s">
        <v>35</v>
      </c>
      <c r="F4555" s="2">
        <v>212901001</v>
      </c>
      <c r="G4555" s="2" t="s">
        <v>121</v>
      </c>
      <c r="L4555" s="2" t="s">
        <v>8005</v>
      </c>
      <c r="M4555" t="s">
        <v>67</v>
      </c>
      <c r="N4555" t="s">
        <v>68</v>
      </c>
      <c r="P4555" s="23">
        <v>96.86</v>
      </c>
      <c r="Q4555" s="4">
        <f t="shared" ref="Q4555:Q4618" si="71">D4555/P4555</f>
        <v>-0.63648564939087338</v>
      </c>
      <c r="R4555" s="23" t="s">
        <v>1198</v>
      </c>
      <c r="U4555">
        <v>14</v>
      </c>
      <c r="V4555" t="e">
        <f>VLOOKUP(U4555,[1]!NOMINA[#Data],4,FALSE)</f>
        <v>#REF!</v>
      </c>
      <c r="W4555" t="e">
        <f>VLOOKUP(U4555,[1]!NOMINA[#Data],5,FALSE)</f>
        <v>#REF!</v>
      </c>
    </row>
    <row r="4556" spans="1:23" x14ac:dyDescent="0.25">
      <c r="A4556" s="21">
        <v>45807</v>
      </c>
      <c r="B4556" s="1" t="s">
        <v>8006</v>
      </c>
      <c r="C4556" t="s">
        <v>8007</v>
      </c>
      <c r="D4556" s="22">
        <v>-3809.6</v>
      </c>
      <c r="E4556" t="s">
        <v>35</v>
      </c>
      <c r="F4556" s="2">
        <v>212901001</v>
      </c>
      <c r="G4556" s="2" t="s">
        <v>121</v>
      </c>
      <c r="L4556" s="2" t="s">
        <v>8008</v>
      </c>
      <c r="M4556" t="s">
        <v>67</v>
      </c>
      <c r="N4556" t="s">
        <v>68</v>
      </c>
      <c r="P4556" s="23">
        <v>96.86</v>
      </c>
      <c r="Q4556" s="4">
        <f t="shared" si="71"/>
        <v>-39.330993186041709</v>
      </c>
      <c r="R4556" s="23" t="s">
        <v>1198</v>
      </c>
      <c r="U4556">
        <v>4</v>
      </c>
      <c r="V4556" t="e">
        <f>VLOOKUP(U4556,[1]!NOMINA[#Data],4,FALSE)</f>
        <v>#REF!</v>
      </c>
      <c r="W4556" t="e">
        <f>VLOOKUP(U4556,[1]!NOMINA[#Data],5,FALSE)</f>
        <v>#REF!</v>
      </c>
    </row>
    <row r="4557" spans="1:23" x14ac:dyDescent="0.25">
      <c r="A4557" s="21">
        <v>45807</v>
      </c>
      <c r="B4557" s="1" t="s">
        <v>8009</v>
      </c>
      <c r="C4557" t="s">
        <v>8010</v>
      </c>
      <c r="D4557" s="22">
        <v>-3809.6</v>
      </c>
      <c r="E4557" t="s">
        <v>35</v>
      </c>
      <c r="F4557" s="2">
        <v>212901001</v>
      </c>
      <c r="G4557" s="2" t="s">
        <v>121</v>
      </c>
      <c r="L4557" s="2" t="s">
        <v>8011</v>
      </c>
      <c r="M4557" t="s">
        <v>67</v>
      </c>
      <c r="N4557" t="s">
        <v>68</v>
      </c>
      <c r="P4557" s="23">
        <v>96.86</v>
      </c>
      <c r="Q4557" s="4">
        <f t="shared" si="71"/>
        <v>-39.330993186041709</v>
      </c>
      <c r="R4557" s="23" t="s">
        <v>1198</v>
      </c>
      <c r="U4557">
        <v>22</v>
      </c>
      <c r="V4557" t="e">
        <f>VLOOKUP(U4557,[1]!NOMINA[#Data],4,FALSE)</f>
        <v>#REF!</v>
      </c>
      <c r="W4557" t="e">
        <f>VLOOKUP(U4557,[1]!NOMINA[#Data],5,FALSE)</f>
        <v>#REF!</v>
      </c>
    </row>
    <row r="4558" spans="1:23" x14ac:dyDescent="0.25">
      <c r="A4558" s="21">
        <v>45807</v>
      </c>
      <c r="B4558" s="1" t="s">
        <v>8012</v>
      </c>
      <c r="C4558" t="s">
        <v>8013</v>
      </c>
      <c r="D4558" s="22">
        <v>-3809.6</v>
      </c>
      <c r="E4558" t="s">
        <v>35</v>
      </c>
      <c r="F4558" s="2">
        <v>212901001</v>
      </c>
      <c r="G4558" s="2" t="s">
        <v>121</v>
      </c>
      <c r="L4558" s="2" t="s">
        <v>8014</v>
      </c>
      <c r="M4558" t="s">
        <v>67</v>
      </c>
      <c r="N4558" t="s">
        <v>68</v>
      </c>
      <c r="P4558" s="23">
        <v>96.86</v>
      </c>
      <c r="Q4558" s="4">
        <f t="shared" si="71"/>
        <v>-39.330993186041709</v>
      </c>
      <c r="R4558" s="23" t="s">
        <v>1198</v>
      </c>
      <c r="U4558">
        <v>14</v>
      </c>
      <c r="V4558" t="e">
        <f>VLOOKUP(U4558,[1]!NOMINA[#Data],4,FALSE)</f>
        <v>#REF!</v>
      </c>
      <c r="W4558" t="e">
        <f>VLOOKUP(U4558,[1]!NOMINA[#Data],5,FALSE)</f>
        <v>#REF!</v>
      </c>
    </row>
    <row r="4559" spans="1:23" x14ac:dyDescent="0.25">
      <c r="A4559" s="21">
        <v>45807</v>
      </c>
      <c r="B4559" s="1" t="s">
        <v>8015</v>
      </c>
      <c r="C4559" t="s">
        <v>8016</v>
      </c>
      <c r="D4559" s="22">
        <v>-3809.6</v>
      </c>
      <c r="E4559" t="s">
        <v>35</v>
      </c>
      <c r="F4559" s="2">
        <v>212901001</v>
      </c>
      <c r="G4559" s="2" t="s">
        <v>121</v>
      </c>
      <c r="L4559" s="2" t="s">
        <v>8017</v>
      </c>
      <c r="M4559" t="s">
        <v>67</v>
      </c>
      <c r="N4559" t="s">
        <v>68</v>
      </c>
      <c r="P4559" s="23">
        <v>96.86</v>
      </c>
      <c r="Q4559" s="4">
        <f t="shared" si="71"/>
        <v>-39.330993186041709</v>
      </c>
      <c r="R4559" s="23" t="s">
        <v>1198</v>
      </c>
      <c r="U4559">
        <v>42</v>
      </c>
      <c r="V4559" t="e">
        <f>VLOOKUP(U4559,[1]!NOMINA[#Data],4,FALSE)</f>
        <v>#REF!</v>
      </c>
      <c r="W4559" t="e">
        <f>VLOOKUP(U4559,[1]!NOMINA[#Data],5,FALSE)</f>
        <v>#REF!</v>
      </c>
    </row>
    <row r="4560" spans="1:23" x14ac:dyDescent="0.25">
      <c r="A4560" s="21">
        <v>45807</v>
      </c>
      <c r="B4560" s="1" t="s">
        <v>8018</v>
      </c>
      <c r="C4560" t="s">
        <v>8019</v>
      </c>
      <c r="D4560" s="22">
        <v>-3809.6</v>
      </c>
      <c r="E4560" t="s">
        <v>35</v>
      </c>
      <c r="F4560" s="2">
        <v>212901001</v>
      </c>
      <c r="G4560" s="2" t="s">
        <v>121</v>
      </c>
      <c r="L4560" s="2" t="s">
        <v>8020</v>
      </c>
      <c r="M4560" t="s">
        <v>67</v>
      </c>
      <c r="N4560" t="s">
        <v>68</v>
      </c>
      <c r="P4560" s="23">
        <v>96.86</v>
      </c>
      <c r="Q4560" s="4">
        <f t="shared" si="71"/>
        <v>-39.330993186041709</v>
      </c>
      <c r="R4560" s="23" t="s">
        <v>1198</v>
      </c>
      <c r="U4560">
        <v>39</v>
      </c>
      <c r="V4560" t="e">
        <f>VLOOKUP(U4560,[1]!NOMINA[#Data],4,FALSE)</f>
        <v>#REF!</v>
      </c>
      <c r="W4560" t="e">
        <f>VLOOKUP(U4560,[1]!NOMINA[#Data],5,FALSE)</f>
        <v>#REF!</v>
      </c>
    </row>
    <row r="4561" spans="1:23" x14ac:dyDescent="0.25">
      <c r="A4561" s="21">
        <v>45807</v>
      </c>
      <c r="B4561" s="1" t="s">
        <v>8021</v>
      </c>
      <c r="C4561" t="s">
        <v>8022</v>
      </c>
      <c r="D4561" s="22">
        <v>-8571.6</v>
      </c>
      <c r="E4561" t="s">
        <v>35</v>
      </c>
      <c r="F4561" s="2">
        <v>212901001</v>
      </c>
      <c r="G4561" s="2" t="s">
        <v>121</v>
      </c>
      <c r="L4561" s="2" t="s">
        <v>8023</v>
      </c>
      <c r="M4561" t="s">
        <v>67</v>
      </c>
      <c r="N4561" t="s">
        <v>68</v>
      </c>
      <c r="P4561" s="23">
        <v>96.86</v>
      </c>
      <c r="Q4561" s="4">
        <f t="shared" si="71"/>
        <v>-88.49473466859385</v>
      </c>
      <c r="R4561" s="23" t="s">
        <v>1198</v>
      </c>
    </row>
    <row r="4562" spans="1:23" x14ac:dyDescent="0.25">
      <c r="A4562" s="21">
        <v>45807</v>
      </c>
      <c r="B4562" s="1" t="s">
        <v>3943</v>
      </c>
      <c r="C4562" t="s">
        <v>8024</v>
      </c>
      <c r="D4562" s="22">
        <v>-7103.95</v>
      </c>
      <c r="E4562" t="s">
        <v>35</v>
      </c>
      <c r="F4562" s="2">
        <v>212901001</v>
      </c>
      <c r="G4562" s="2" t="s">
        <v>121</v>
      </c>
      <c r="L4562" s="2" t="s">
        <v>8025</v>
      </c>
      <c r="M4562" t="s">
        <v>67</v>
      </c>
      <c r="N4562" t="s">
        <v>68</v>
      </c>
      <c r="P4562" s="23">
        <v>96.86</v>
      </c>
      <c r="Q4562" s="4">
        <f t="shared" si="71"/>
        <v>-73.342453024984508</v>
      </c>
      <c r="R4562" s="23" t="s">
        <v>1198</v>
      </c>
      <c r="U4562">
        <v>8</v>
      </c>
      <c r="V4562" t="e">
        <f>VLOOKUP(U4562,[1]!NOMINA[#Data],4,FALSE)</f>
        <v>#REF!</v>
      </c>
      <c r="W4562" t="e">
        <f>VLOOKUP(U4562,[1]!NOMINA[#Data],5,FALSE)</f>
        <v>#REF!</v>
      </c>
    </row>
    <row r="4563" spans="1:23" x14ac:dyDescent="0.25">
      <c r="A4563" s="21">
        <v>45807</v>
      </c>
      <c r="B4563" s="1" t="s">
        <v>4015</v>
      </c>
      <c r="C4563" t="s">
        <v>8026</v>
      </c>
      <c r="D4563" s="22">
        <v>-3281.97</v>
      </c>
      <c r="E4563" t="s">
        <v>35</v>
      </c>
      <c r="F4563" s="2">
        <v>212901001</v>
      </c>
      <c r="G4563" s="2" t="s">
        <v>121</v>
      </c>
      <c r="L4563" s="2" t="s">
        <v>8027</v>
      </c>
      <c r="M4563" t="s">
        <v>67</v>
      </c>
      <c r="N4563" t="s">
        <v>68</v>
      </c>
      <c r="P4563" s="23">
        <v>96.86</v>
      </c>
      <c r="Q4563" s="4">
        <f t="shared" si="71"/>
        <v>-33.883646500103239</v>
      </c>
      <c r="R4563" s="23" t="s">
        <v>1198</v>
      </c>
      <c r="U4563">
        <v>27</v>
      </c>
      <c r="V4563" t="e">
        <f>VLOOKUP(U4563,[1]!NOMINA[#Data],4,FALSE)</f>
        <v>#REF!</v>
      </c>
      <c r="W4563" t="e">
        <f>VLOOKUP(U4563,[1]!NOMINA[#Data],5,FALSE)</f>
        <v>#REF!</v>
      </c>
    </row>
    <row r="4564" spans="1:23" x14ac:dyDescent="0.25">
      <c r="A4564" s="21">
        <v>45807</v>
      </c>
      <c r="B4564" s="1" t="s">
        <v>4064</v>
      </c>
      <c r="C4564" t="s">
        <v>8028</v>
      </c>
      <c r="D4564" s="22">
        <v>-952.4</v>
      </c>
      <c r="E4564" t="s">
        <v>35</v>
      </c>
      <c r="F4564" s="2">
        <v>212901001</v>
      </c>
      <c r="G4564" s="2" t="s">
        <v>121</v>
      </c>
      <c r="L4564" s="2" t="s">
        <v>8029</v>
      </c>
      <c r="M4564" t="s">
        <v>67</v>
      </c>
      <c r="N4564" t="s">
        <v>68</v>
      </c>
      <c r="P4564" s="23">
        <v>96.86</v>
      </c>
      <c r="Q4564" s="4">
        <f t="shared" si="71"/>
        <v>-9.8327482965104274</v>
      </c>
      <c r="R4564" s="23" t="s">
        <v>1198</v>
      </c>
      <c r="U4564">
        <v>8</v>
      </c>
      <c r="V4564" t="e">
        <f>VLOOKUP(U4564,[1]!NOMINA[#Data],4,FALSE)</f>
        <v>#REF!</v>
      </c>
      <c r="W4564" t="e">
        <f>VLOOKUP(U4564,[1]!NOMINA[#Data],5,FALSE)</f>
        <v>#REF!</v>
      </c>
    </row>
    <row r="4565" spans="1:23" x14ac:dyDescent="0.25">
      <c r="A4565" s="21">
        <v>45807</v>
      </c>
      <c r="B4565" s="1" t="s">
        <v>4091</v>
      </c>
      <c r="C4565" t="s">
        <v>8030</v>
      </c>
      <c r="D4565" s="22">
        <v>-7018.24</v>
      </c>
      <c r="E4565" t="s">
        <v>35</v>
      </c>
      <c r="F4565" s="2">
        <v>212901001</v>
      </c>
      <c r="G4565" s="2" t="s">
        <v>121</v>
      </c>
      <c r="L4565" s="2" t="s">
        <v>8031</v>
      </c>
      <c r="M4565" t="s">
        <v>67</v>
      </c>
      <c r="N4565" t="s">
        <v>68</v>
      </c>
      <c r="P4565" s="23">
        <v>96.86</v>
      </c>
      <c r="Q4565" s="4">
        <f t="shared" si="71"/>
        <v>-72.457567623373933</v>
      </c>
      <c r="R4565" s="23" t="s">
        <v>1198</v>
      </c>
      <c r="U4565">
        <v>12</v>
      </c>
      <c r="V4565" t="e">
        <f>VLOOKUP(U4565,[1]!NOMINA[#Data],4,FALSE)</f>
        <v>#REF!</v>
      </c>
      <c r="W4565" t="e">
        <f>VLOOKUP(U4565,[1]!NOMINA[#Data],5,FALSE)</f>
        <v>#REF!</v>
      </c>
    </row>
    <row r="4566" spans="1:23" x14ac:dyDescent="0.25">
      <c r="A4566" s="21">
        <v>45807</v>
      </c>
      <c r="B4566" s="1" t="s">
        <v>4049</v>
      </c>
      <c r="C4566" t="s">
        <v>8032</v>
      </c>
      <c r="D4566" s="22">
        <v>-3759.12</v>
      </c>
      <c r="E4566" t="s">
        <v>35</v>
      </c>
      <c r="F4566" s="2">
        <v>212901001</v>
      </c>
      <c r="G4566" s="2" t="s">
        <v>121</v>
      </c>
      <c r="L4566" s="2" t="s">
        <v>8033</v>
      </c>
      <c r="M4566" t="s">
        <v>67</v>
      </c>
      <c r="N4566" t="s">
        <v>68</v>
      </c>
      <c r="P4566" s="23">
        <v>96.86</v>
      </c>
      <c r="Q4566" s="4">
        <f t="shared" si="71"/>
        <v>-38.80982861862482</v>
      </c>
      <c r="R4566" s="23" t="s">
        <v>1198</v>
      </c>
      <c r="U4566">
        <v>29</v>
      </c>
      <c r="V4566" t="e">
        <f>VLOOKUP(U4566,[1]!NOMINA[#Data],4,FALSE)</f>
        <v>#REF!</v>
      </c>
      <c r="W4566" t="e">
        <f>VLOOKUP(U4566,[1]!NOMINA[#Data],5,FALSE)</f>
        <v>#REF!</v>
      </c>
    </row>
    <row r="4567" spans="1:23" x14ac:dyDescent="0.25">
      <c r="A4567" s="21">
        <v>45807</v>
      </c>
      <c r="B4567" s="1" t="s">
        <v>4188</v>
      </c>
      <c r="C4567" t="s">
        <v>8034</v>
      </c>
      <c r="D4567" s="22">
        <v>-952.4</v>
      </c>
      <c r="E4567" t="s">
        <v>35</v>
      </c>
      <c r="F4567" s="2">
        <v>212901001</v>
      </c>
      <c r="G4567" s="2" t="s">
        <v>121</v>
      </c>
      <c r="L4567" s="2" t="s">
        <v>8035</v>
      </c>
      <c r="M4567" t="s">
        <v>67</v>
      </c>
      <c r="N4567" t="s">
        <v>68</v>
      </c>
      <c r="P4567" s="23">
        <v>96.86</v>
      </c>
      <c r="Q4567" s="4">
        <f t="shared" si="71"/>
        <v>-9.8327482965104274</v>
      </c>
      <c r="R4567" s="23" t="s">
        <v>1198</v>
      </c>
      <c r="U4567">
        <v>13</v>
      </c>
      <c r="V4567" t="e">
        <f>VLOOKUP(U4567,[1]!NOMINA[#Data],4,FALSE)</f>
        <v>#REF!</v>
      </c>
      <c r="W4567" t="e">
        <f>VLOOKUP(U4567,[1]!NOMINA[#Data],5,FALSE)</f>
        <v>#REF!</v>
      </c>
    </row>
    <row r="4568" spans="1:23" x14ac:dyDescent="0.25">
      <c r="A4568" s="21">
        <v>45807</v>
      </c>
      <c r="B4568" s="1" t="s">
        <v>4194</v>
      </c>
      <c r="C4568" t="s">
        <v>8036</v>
      </c>
      <c r="D4568" s="22">
        <v>-5714.4</v>
      </c>
      <c r="E4568" t="s">
        <v>35</v>
      </c>
      <c r="F4568" s="2">
        <v>212901001</v>
      </c>
      <c r="G4568" s="2" t="s">
        <v>121</v>
      </c>
      <c r="L4568" s="2" t="s">
        <v>8037</v>
      </c>
      <c r="M4568" t="s">
        <v>67</v>
      </c>
      <c r="N4568" t="s">
        <v>68</v>
      </c>
      <c r="P4568" s="23">
        <v>96.86</v>
      </c>
      <c r="Q4568" s="4">
        <f t="shared" si="71"/>
        <v>-58.996489779062564</v>
      </c>
      <c r="R4568" s="23" t="s">
        <v>1198</v>
      </c>
      <c r="U4568">
        <v>43</v>
      </c>
      <c r="V4568" t="e">
        <f>VLOOKUP(U4568,[1]!NOMINA[#Data],4,FALSE)</f>
        <v>#REF!</v>
      </c>
      <c r="W4568" t="e">
        <f>VLOOKUP(U4568,[1]!NOMINA[#Data],5,FALSE)</f>
        <v>#REF!</v>
      </c>
    </row>
    <row r="4569" spans="1:23" x14ac:dyDescent="0.25">
      <c r="A4569" s="21">
        <v>45807</v>
      </c>
      <c r="B4569" s="1" t="s">
        <v>4173</v>
      </c>
      <c r="C4569" t="s">
        <v>8038</v>
      </c>
      <c r="D4569" s="22">
        <v>-952.4</v>
      </c>
      <c r="E4569" t="s">
        <v>35</v>
      </c>
      <c r="F4569" s="2">
        <v>212901001</v>
      </c>
      <c r="G4569" s="2" t="s">
        <v>121</v>
      </c>
      <c r="L4569" s="2" t="s">
        <v>8039</v>
      </c>
      <c r="M4569" t="s">
        <v>67</v>
      </c>
      <c r="N4569" t="s">
        <v>68</v>
      </c>
      <c r="P4569" s="23">
        <v>96.86</v>
      </c>
      <c r="Q4569" s="4">
        <f t="shared" si="71"/>
        <v>-9.8327482965104274</v>
      </c>
      <c r="R4569" s="23" t="s">
        <v>1198</v>
      </c>
      <c r="U4569">
        <v>12</v>
      </c>
      <c r="V4569" t="e">
        <f>VLOOKUP(U4569,[1]!NOMINA[#Data],4,FALSE)</f>
        <v>#REF!</v>
      </c>
      <c r="W4569" t="e">
        <f>VLOOKUP(U4569,[1]!NOMINA[#Data],5,FALSE)</f>
        <v>#REF!</v>
      </c>
    </row>
    <row r="4570" spans="1:23" x14ac:dyDescent="0.25">
      <c r="A4570" s="21">
        <v>45807</v>
      </c>
      <c r="B4570" s="1" t="s">
        <v>4148</v>
      </c>
      <c r="C4570" t="s">
        <v>8040</v>
      </c>
      <c r="D4570" s="22">
        <v>-952.4</v>
      </c>
      <c r="E4570" t="s">
        <v>35</v>
      </c>
      <c r="F4570" s="2">
        <v>212901001</v>
      </c>
      <c r="G4570" s="2" t="s">
        <v>121</v>
      </c>
      <c r="L4570" s="2" t="s">
        <v>8041</v>
      </c>
      <c r="M4570" t="s">
        <v>67</v>
      </c>
      <c r="N4570" t="s">
        <v>68</v>
      </c>
      <c r="P4570" s="23">
        <v>96.86</v>
      </c>
      <c r="Q4570" s="4">
        <f t="shared" si="71"/>
        <v>-9.8327482965104274</v>
      </c>
      <c r="R4570" s="23" t="s">
        <v>1198</v>
      </c>
      <c r="U4570">
        <v>16</v>
      </c>
      <c r="V4570" t="e">
        <f>VLOOKUP(Tabla3[[#This Row],[Nº]],[1]!NOMINA[#Data],4,FALSE)</f>
        <v>#REF!</v>
      </c>
      <c r="W4570" t="e">
        <f>VLOOKUP(Tabla3[[#This Row],[Nº]],[1]!NOMINA[#Data],5,FALSE)</f>
        <v>#REF!</v>
      </c>
    </row>
    <row r="4571" spans="1:23" x14ac:dyDescent="0.25">
      <c r="A4571" s="21">
        <v>45807</v>
      </c>
      <c r="B4571" s="1" t="s">
        <v>4203</v>
      </c>
      <c r="C4571" t="s">
        <v>8042</v>
      </c>
      <c r="D4571" s="22">
        <v>-61.65</v>
      </c>
      <c r="E4571" t="s">
        <v>35</v>
      </c>
      <c r="F4571" s="2">
        <v>212901001</v>
      </c>
      <c r="G4571" s="2" t="s">
        <v>121</v>
      </c>
      <c r="L4571" s="2" t="s">
        <v>8043</v>
      </c>
      <c r="M4571" t="s">
        <v>67</v>
      </c>
      <c r="N4571" t="s">
        <v>68</v>
      </c>
      <c r="P4571" s="23">
        <v>96.86</v>
      </c>
      <c r="Q4571" s="4">
        <f t="shared" si="71"/>
        <v>-0.63648564939087338</v>
      </c>
      <c r="R4571" s="23" t="s">
        <v>1198</v>
      </c>
      <c r="U4571">
        <v>39</v>
      </c>
      <c r="V4571" t="e">
        <f>VLOOKUP(U4571,[1]!NOMINA[#Data],4,FALSE)</f>
        <v>#REF!</v>
      </c>
      <c r="W4571" t="e">
        <f>VLOOKUP(U4571,[1]!NOMINA[#Data],5,FALSE)</f>
        <v>#REF!</v>
      </c>
    </row>
    <row r="4572" spans="1:23" x14ac:dyDescent="0.25">
      <c r="A4572" s="21">
        <v>45807</v>
      </c>
      <c r="B4572" s="1" t="s">
        <v>4030</v>
      </c>
      <c r="C4572" t="s">
        <v>8044</v>
      </c>
      <c r="D4572" s="22">
        <v>-61.65</v>
      </c>
      <c r="E4572" t="s">
        <v>35</v>
      </c>
      <c r="F4572" s="2">
        <v>212901001</v>
      </c>
      <c r="G4572" s="2" t="s">
        <v>121</v>
      </c>
      <c r="L4572" s="2" t="s">
        <v>8045</v>
      </c>
      <c r="M4572" t="s">
        <v>67</v>
      </c>
      <c r="N4572" t="s">
        <v>68</v>
      </c>
      <c r="P4572" s="23">
        <v>96.86</v>
      </c>
      <c r="Q4572" s="4">
        <f t="shared" si="71"/>
        <v>-0.63648564939087338</v>
      </c>
      <c r="R4572" s="23" t="s">
        <v>1198</v>
      </c>
      <c r="U4572">
        <v>21</v>
      </c>
      <c r="V4572" t="e">
        <f>VLOOKUP(U4572,[1]!NOMINA[#Data],4,FALSE)</f>
        <v>#REF!</v>
      </c>
      <c r="W4572" t="e">
        <f>VLOOKUP(U4572,[1]!NOMINA[#Data],5,FALSE)</f>
        <v>#REF!</v>
      </c>
    </row>
    <row r="4573" spans="1:23" x14ac:dyDescent="0.25">
      <c r="A4573" s="21">
        <v>45807</v>
      </c>
      <c r="B4573" s="1" t="s">
        <v>1208</v>
      </c>
      <c r="C4573" t="s">
        <v>8046</v>
      </c>
      <c r="D4573" s="22">
        <v>-7103.95</v>
      </c>
      <c r="E4573" t="s">
        <v>35</v>
      </c>
      <c r="F4573" s="2">
        <v>212901001</v>
      </c>
      <c r="G4573" s="2" t="s">
        <v>121</v>
      </c>
      <c r="L4573" s="2" t="s">
        <v>8047</v>
      </c>
      <c r="M4573" t="s">
        <v>67</v>
      </c>
      <c r="N4573" t="s">
        <v>68</v>
      </c>
      <c r="P4573" s="23">
        <v>96.86</v>
      </c>
      <c r="Q4573" s="4">
        <f t="shared" si="71"/>
        <v>-73.342453024984508</v>
      </c>
      <c r="R4573" s="23" t="s">
        <v>1198</v>
      </c>
      <c r="U4573">
        <v>11</v>
      </c>
      <c r="V4573" t="e">
        <f>VLOOKUP(U4573,[1]!NOMINA[#Data],4,FALSE)</f>
        <v>#REF!</v>
      </c>
      <c r="W4573" t="e">
        <f>VLOOKUP(U4573,[1]!NOMINA[#Data],5,FALSE)</f>
        <v>#REF!</v>
      </c>
    </row>
    <row r="4574" spans="1:23" x14ac:dyDescent="0.25">
      <c r="A4574" s="21">
        <v>45807</v>
      </c>
      <c r="B4574" s="1" t="s">
        <v>4021</v>
      </c>
      <c r="C4574" t="s">
        <v>8048</v>
      </c>
      <c r="D4574" s="22">
        <v>-3728.65</v>
      </c>
      <c r="E4574" t="s">
        <v>35</v>
      </c>
      <c r="F4574" s="2">
        <v>212901001</v>
      </c>
      <c r="G4574" s="2" t="s">
        <v>121</v>
      </c>
      <c r="L4574" s="2" t="s">
        <v>8049</v>
      </c>
      <c r="M4574" t="s">
        <v>67</v>
      </c>
      <c r="N4574" t="s">
        <v>68</v>
      </c>
      <c r="P4574" s="23">
        <v>96.86</v>
      </c>
      <c r="Q4574" s="4">
        <f t="shared" si="71"/>
        <v>-38.495250877555236</v>
      </c>
      <c r="R4574" s="23" t="s">
        <v>1198</v>
      </c>
      <c r="U4574">
        <v>25</v>
      </c>
      <c r="V4574" t="e">
        <f>VLOOKUP(U4574,[1]!NOMINA[#Data],4,FALSE)</f>
        <v>#REF!</v>
      </c>
      <c r="W4574" t="e">
        <f>VLOOKUP(U4574,[1]!NOMINA[#Data],5,FALSE)</f>
        <v>#REF!</v>
      </c>
    </row>
    <row r="4575" spans="1:23" x14ac:dyDescent="0.25">
      <c r="A4575" s="21">
        <v>45807</v>
      </c>
      <c r="B4575" s="1" t="s">
        <v>4052</v>
      </c>
      <c r="C4575" t="s">
        <v>8050</v>
      </c>
      <c r="D4575" s="22">
        <v>-4718.1899999999996</v>
      </c>
      <c r="E4575" t="s">
        <v>35</v>
      </c>
      <c r="F4575" s="2">
        <v>212901001</v>
      </c>
      <c r="G4575" s="2" t="s">
        <v>121</v>
      </c>
      <c r="L4575" s="2" t="s">
        <v>8051</v>
      </c>
      <c r="M4575" t="s">
        <v>67</v>
      </c>
      <c r="N4575" t="s">
        <v>68</v>
      </c>
      <c r="P4575" s="23">
        <v>96.86</v>
      </c>
      <c r="Q4575" s="4">
        <f t="shared" si="71"/>
        <v>-48.711439190584343</v>
      </c>
      <c r="R4575" s="23" t="s">
        <v>1198</v>
      </c>
      <c r="U4575">
        <v>24</v>
      </c>
      <c r="V4575" t="e">
        <f>VLOOKUP(U4575,[1]!NOMINA[#Data],4,FALSE)</f>
        <v>#REF!</v>
      </c>
      <c r="W4575" t="e">
        <f>VLOOKUP(U4575,[1]!NOMINA[#Data],5,FALSE)</f>
        <v>#REF!</v>
      </c>
    </row>
    <row r="4576" spans="1:23" x14ac:dyDescent="0.25">
      <c r="A4576" s="21">
        <v>45807</v>
      </c>
      <c r="B4576" s="1" t="s">
        <v>4111</v>
      </c>
      <c r="C4576" t="s">
        <v>8052</v>
      </c>
      <c r="D4576" s="22">
        <v>-23745.24</v>
      </c>
      <c r="E4576" t="s">
        <v>35</v>
      </c>
      <c r="F4576" s="2">
        <v>212901001</v>
      </c>
      <c r="G4576" s="2" t="s">
        <v>121</v>
      </c>
      <c r="L4576" s="2" t="s">
        <v>8053</v>
      </c>
      <c r="M4576" t="s">
        <v>67</v>
      </c>
      <c r="N4576" t="s">
        <v>68</v>
      </c>
      <c r="P4576" s="23">
        <v>96.86</v>
      </c>
      <c r="Q4576" s="4">
        <f t="shared" si="71"/>
        <v>-245.15011356597154</v>
      </c>
      <c r="R4576" s="23" t="s">
        <v>1198</v>
      </c>
      <c r="U4576">
        <v>3</v>
      </c>
      <c r="V4576" t="e">
        <f>VLOOKUP(U4576,[1]!NOMINA[#Data],4,FALSE)</f>
        <v>#REF!</v>
      </c>
      <c r="W4576" t="e">
        <f>VLOOKUP(U4576,[1]!NOMINA[#Data],5,FALSE)</f>
        <v>#REF!</v>
      </c>
    </row>
    <row r="4577" spans="1:23" x14ac:dyDescent="0.25">
      <c r="A4577" s="21">
        <v>45807</v>
      </c>
      <c r="B4577" s="1" t="s">
        <v>4114</v>
      </c>
      <c r="C4577" t="s">
        <v>8054</v>
      </c>
      <c r="D4577" s="22">
        <v>-4723.8999999999996</v>
      </c>
      <c r="E4577" t="s">
        <v>35</v>
      </c>
      <c r="F4577" s="2">
        <v>212901001</v>
      </c>
      <c r="G4577" s="2" t="s">
        <v>121</v>
      </c>
      <c r="L4577" s="2" t="s">
        <v>8055</v>
      </c>
      <c r="M4577" t="s">
        <v>67</v>
      </c>
      <c r="N4577" t="s">
        <v>68</v>
      </c>
      <c r="P4577" s="23">
        <v>96.86</v>
      </c>
      <c r="Q4577" s="4">
        <f t="shared" si="71"/>
        <v>-48.770390253974803</v>
      </c>
      <c r="R4577" s="23" t="s">
        <v>1198</v>
      </c>
      <c r="U4577">
        <v>19</v>
      </c>
      <c r="V4577" t="e">
        <f>VLOOKUP(U4577,[1]!NOMINA[#Data],4,FALSE)</f>
        <v>#REF!</v>
      </c>
      <c r="W4577" t="e">
        <f>VLOOKUP(U4577,[1]!NOMINA[#Data],5,FALSE)</f>
        <v>#REF!</v>
      </c>
    </row>
    <row r="4578" spans="1:23" x14ac:dyDescent="0.25">
      <c r="A4578" s="21">
        <v>45807</v>
      </c>
      <c r="B4578" s="1" t="s">
        <v>4058</v>
      </c>
      <c r="C4578" t="s">
        <v>8056</v>
      </c>
      <c r="D4578" s="22">
        <v>-4723.8999999999996</v>
      </c>
      <c r="E4578" t="s">
        <v>35</v>
      </c>
      <c r="F4578" s="2">
        <v>212901001</v>
      </c>
      <c r="G4578" s="2" t="s">
        <v>121</v>
      </c>
      <c r="L4578" s="2" t="s">
        <v>8057</v>
      </c>
      <c r="M4578" t="s">
        <v>67</v>
      </c>
      <c r="N4578" t="s">
        <v>68</v>
      </c>
      <c r="P4578" s="23">
        <v>96.86</v>
      </c>
      <c r="Q4578" s="4">
        <f t="shared" si="71"/>
        <v>-48.770390253974803</v>
      </c>
      <c r="R4578" s="23" t="s">
        <v>1198</v>
      </c>
      <c r="U4578">
        <v>36</v>
      </c>
      <c r="V4578" t="e">
        <f>VLOOKUP(U4578,[1]!NOMINA[#Data],4,FALSE)</f>
        <v>#REF!</v>
      </c>
      <c r="W4578" t="e">
        <f>VLOOKUP(U4578,[1]!NOMINA[#Data],5,FALSE)</f>
        <v>#REF!</v>
      </c>
    </row>
    <row r="4579" spans="1:23" x14ac:dyDescent="0.25">
      <c r="A4579" s="21">
        <v>45807</v>
      </c>
      <c r="B4579" s="1" t="s">
        <v>4119</v>
      </c>
      <c r="C4579" t="s">
        <v>8058</v>
      </c>
      <c r="D4579" s="22">
        <v>-952.4</v>
      </c>
      <c r="E4579" t="s">
        <v>35</v>
      </c>
      <c r="F4579" s="2">
        <v>212901001</v>
      </c>
      <c r="G4579" s="2" t="s">
        <v>121</v>
      </c>
      <c r="L4579" s="2" t="s">
        <v>8059</v>
      </c>
      <c r="M4579" t="s">
        <v>67</v>
      </c>
      <c r="N4579" t="s">
        <v>68</v>
      </c>
      <c r="P4579" s="23">
        <v>96.86</v>
      </c>
      <c r="Q4579" s="4">
        <f t="shared" si="71"/>
        <v>-9.8327482965104274</v>
      </c>
      <c r="R4579" s="23" t="s">
        <v>1198</v>
      </c>
      <c r="U4579">
        <v>6</v>
      </c>
      <c r="V4579" t="e">
        <f>VLOOKUP(U4579,[1]!NOMINA[#Data],4,FALSE)</f>
        <v>#REF!</v>
      </c>
      <c r="W4579" t="e">
        <f>VLOOKUP(U4579,[1]!NOMINA[#Data],5,FALSE)</f>
        <v>#REF!</v>
      </c>
    </row>
    <row r="4580" spans="1:23" x14ac:dyDescent="0.25">
      <c r="A4580" s="21">
        <v>45807</v>
      </c>
      <c r="B4580" s="1" t="s">
        <v>4100</v>
      </c>
      <c r="C4580" t="s">
        <v>8060</v>
      </c>
      <c r="D4580" s="22">
        <v>-952.4</v>
      </c>
      <c r="E4580" t="s">
        <v>35</v>
      </c>
      <c r="F4580" s="2">
        <v>212901001</v>
      </c>
      <c r="G4580" s="2" t="s">
        <v>121</v>
      </c>
      <c r="L4580" s="2" t="s">
        <v>8061</v>
      </c>
      <c r="M4580" t="s">
        <v>67</v>
      </c>
      <c r="N4580" t="s">
        <v>68</v>
      </c>
      <c r="P4580" s="23">
        <v>96.86</v>
      </c>
      <c r="Q4580" s="4">
        <f t="shared" si="71"/>
        <v>-9.8327482965104274</v>
      </c>
      <c r="R4580" s="23" t="s">
        <v>1198</v>
      </c>
      <c r="U4580">
        <v>7</v>
      </c>
      <c r="V4580" t="e">
        <f>VLOOKUP(U4580,[1]!NOMINA[#Data],4,FALSE)</f>
        <v>#REF!</v>
      </c>
      <c r="W4580" t="e">
        <f>VLOOKUP(U4580,[1]!NOMINA[#Data],5,FALSE)</f>
        <v>#REF!</v>
      </c>
    </row>
    <row r="4581" spans="1:23" x14ac:dyDescent="0.25">
      <c r="A4581" s="21">
        <v>45807</v>
      </c>
      <c r="B4581" s="1" t="s">
        <v>8062</v>
      </c>
      <c r="C4581" t="s">
        <v>8063</v>
      </c>
      <c r="D4581" s="22">
        <v>-61.65</v>
      </c>
      <c r="E4581" t="s">
        <v>35</v>
      </c>
      <c r="F4581" s="2">
        <v>212901001</v>
      </c>
      <c r="G4581" s="2" t="s">
        <v>121</v>
      </c>
      <c r="L4581" s="2" t="s">
        <v>8064</v>
      </c>
      <c r="M4581" t="s">
        <v>67</v>
      </c>
      <c r="N4581" t="s">
        <v>68</v>
      </c>
      <c r="P4581" s="23">
        <v>96.86</v>
      </c>
      <c r="Q4581" s="4">
        <f t="shared" si="71"/>
        <v>-0.63648564939087338</v>
      </c>
      <c r="R4581" s="23" t="s">
        <v>1198</v>
      </c>
      <c r="U4581">
        <v>25</v>
      </c>
      <c r="V4581" t="e">
        <f>VLOOKUP(U4581,[1]!NOMINA[#Data],4,FALSE)</f>
        <v>#REF!</v>
      </c>
      <c r="W4581" t="e">
        <f>VLOOKUP(U4581,[1]!NOMINA[#Data],5,FALSE)</f>
        <v>#REF!</v>
      </c>
    </row>
    <row r="4582" spans="1:23" x14ac:dyDescent="0.25">
      <c r="A4582" s="21">
        <v>45807</v>
      </c>
      <c r="B4582" s="1" t="s">
        <v>8065</v>
      </c>
      <c r="C4582" t="s">
        <v>8066</v>
      </c>
      <c r="D4582" s="22">
        <v>-61.65</v>
      </c>
      <c r="E4582" t="s">
        <v>35</v>
      </c>
      <c r="F4582" s="2">
        <v>212901001</v>
      </c>
      <c r="G4582" s="2" t="s">
        <v>121</v>
      </c>
      <c r="L4582" s="2" t="s">
        <v>8067</v>
      </c>
      <c r="M4582" t="s">
        <v>67</v>
      </c>
      <c r="N4582" t="s">
        <v>68</v>
      </c>
      <c r="P4582" s="23">
        <v>96.86</v>
      </c>
      <c r="Q4582" s="4">
        <f t="shared" si="71"/>
        <v>-0.63648564939087338</v>
      </c>
      <c r="R4582" s="23" t="s">
        <v>1198</v>
      </c>
      <c r="U4582">
        <v>12</v>
      </c>
      <c r="V4582" t="e">
        <f>VLOOKUP(U4582,[1]!NOMINA[#Data],4,FALSE)</f>
        <v>#REF!</v>
      </c>
      <c r="W4582" t="e">
        <f>VLOOKUP(U4582,[1]!NOMINA[#Data],5,FALSE)</f>
        <v>#REF!</v>
      </c>
    </row>
    <row r="4583" spans="1:23" x14ac:dyDescent="0.25">
      <c r="A4583" s="21">
        <v>45807</v>
      </c>
      <c r="B4583" s="1" t="s">
        <v>8068</v>
      </c>
      <c r="C4583" t="s">
        <v>8069</v>
      </c>
      <c r="D4583" s="22">
        <v>-61.65</v>
      </c>
      <c r="E4583" t="s">
        <v>35</v>
      </c>
      <c r="F4583" s="2">
        <v>212901001</v>
      </c>
      <c r="G4583" s="2" t="s">
        <v>121</v>
      </c>
      <c r="L4583" s="2" t="s">
        <v>8070</v>
      </c>
      <c r="M4583" t="s">
        <v>67</v>
      </c>
      <c r="N4583" t="s">
        <v>68</v>
      </c>
      <c r="P4583" s="23">
        <v>96.86</v>
      </c>
      <c r="Q4583" s="4">
        <f t="shared" si="71"/>
        <v>-0.63648564939087338</v>
      </c>
      <c r="R4583" s="23" t="s">
        <v>1198</v>
      </c>
      <c r="U4583">
        <v>2</v>
      </c>
      <c r="V4583" t="e">
        <f>VLOOKUP(Tabla3[[#This Row],[Nº]],[1]!NOMINA[#Data],4,FALSE)</f>
        <v>#REF!</v>
      </c>
      <c r="W4583" t="e">
        <f>VLOOKUP(Tabla3[[#This Row],[Nº]],[1]!NOMINA[#Data],5,FALSE)</f>
        <v>#REF!</v>
      </c>
    </row>
    <row r="4584" spans="1:23" x14ac:dyDescent="0.25">
      <c r="A4584" s="21">
        <v>45807</v>
      </c>
      <c r="B4584" s="1" t="s">
        <v>8071</v>
      </c>
      <c r="C4584" t="s">
        <v>8072</v>
      </c>
      <c r="D4584" s="22">
        <v>-3809.6</v>
      </c>
      <c r="E4584" t="s">
        <v>35</v>
      </c>
      <c r="F4584" s="2">
        <v>212901001</v>
      </c>
      <c r="G4584" s="2" t="s">
        <v>121</v>
      </c>
      <c r="L4584" s="2" t="s">
        <v>8073</v>
      </c>
      <c r="M4584" t="s">
        <v>67</v>
      </c>
      <c r="N4584" t="s">
        <v>68</v>
      </c>
      <c r="P4584" s="23">
        <v>96.86</v>
      </c>
      <c r="Q4584" s="4">
        <f t="shared" si="71"/>
        <v>-39.330993186041709</v>
      </c>
      <c r="R4584" s="23" t="s">
        <v>1198</v>
      </c>
      <c r="U4584">
        <v>21</v>
      </c>
      <c r="V4584" t="e">
        <f>VLOOKUP(U4584,[1]!NOMINA[#Data],4,FALSE)</f>
        <v>#REF!</v>
      </c>
      <c r="W4584" t="e">
        <f>VLOOKUP(U4584,[1]!NOMINA[#Data],5,FALSE)</f>
        <v>#REF!</v>
      </c>
    </row>
    <row r="4585" spans="1:23" x14ac:dyDescent="0.25">
      <c r="A4585" s="21">
        <v>45807</v>
      </c>
      <c r="B4585" s="1" t="s">
        <v>8074</v>
      </c>
      <c r="C4585" t="s">
        <v>8075</v>
      </c>
      <c r="D4585" s="22">
        <v>-3809.6</v>
      </c>
      <c r="E4585" t="s">
        <v>35</v>
      </c>
      <c r="F4585" s="2">
        <v>212901001</v>
      </c>
      <c r="G4585" s="2" t="s">
        <v>121</v>
      </c>
      <c r="L4585" s="2" t="s">
        <v>8076</v>
      </c>
      <c r="M4585" t="s">
        <v>67</v>
      </c>
      <c r="N4585" t="s">
        <v>68</v>
      </c>
      <c r="P4585" s="23">
        <v>96.86</v>
      </c>
      <c r="Q4585" s="4">
        <f t="shared" si="71"/>
        <v>-39.330993186041709</v>
      </c>
      <c r="R4585" s="23" t="s">
        <v>1198</v>
      </c>
      <c r="U4585">
        <v>25</v>
      </c>
      <c r="V4585" t="e">
        <f>VLOOKUP(U4585,[1]!NOMINA[#Data],4,FALSE)</f>
        <v>#REF!</v>
      </c>
      <c r="W4585" t="e">
        <f>VLOOKUP(U4585,[1]!NOMINA[#Data],5,FALSE)</f>
        <v>#REF!</v>
      </c>
    </row>
    <row r="4586" spans="1:23" x14ac:dyDescent="0.25">
      <c r="A4586" s="21">
        <v>45807</v>
      </c>
      <c r="B4586" s="1" t="s">
        <v>8077</v>
      </c>
      <c r="C4586" t="s">
        <v>8078</v>
      </c>
      <c r="D4586" s="22">
        <v>-3809.6</v>
      </c>
      <c r="E4586" t="s">
        <v>35</v>
      </c>
      <c r="F4586" s="2">
        <v>212901001</v>
      </c>
      <c r="G4586" s="2" t="s">
        <v>121</v>
      </c>
      <c r="L4586" s="2" t="s">
        <v>8079</v>
      </c>
      <c r="M4586" t="s">
        <v>67</v>
      </c>
      <c r="N4586" t="s">
        <v>68</v>
      </c>
      <c r="P4586" s="23">
        <v>96.86</v>
      </c>
      <c r="Q4586" s="4">
        <f t="shared" si="71"/>
        <v>-39.330993186041709</v>
      </c>
      <c r="R4586" s="23" t="s">
        <v>1198</v>
      </c>
      <c r="U4586">
        <v>12</v>
      </c>
      <c r="V4586" t="e">
        <f>VLOOKUP(U4586,[1]!NOMINA[#Data],4,FALSE)</f>
        <v>#REF!</v>
      </c>
      <c r="W4586" t="e">
        <f>VLOOKUP(U4586,[1]!NOMINA[#Data],5,FALSE)</f>
        <v>#REF!</v>
      </c>
    </row>
    <row r="4587" spans="1:23" x14ac:dyDescent="0.25">
      <c r="A4587" s="21">
        <v>45807</v>
      </c>
      <c r="B4587" s="1" t="s">
        <v>8080</v>
      </c>
      <c r="C4587" t="s">
        <v>8081</v>
      </c>
      <c r="D4587" s="22">
        <v>-3809.6</v>
      </c>
      <c r="E4587" t="s">
        <v>35</v>
      </c>
      <c r="F4587" s="2">
        <v>212901001</v>
      </c>
      <c r="G4587" s="2" t="s">
        <v>121</v>
      </c>
      <c r="L4587" s="2" t="s">
        <v>8082</v>
      </c>
      <c r="M4587" t="s">
        <v>67</v>
      </c>
      <c r="N4587" t="s">
        <v>68</v>
      </c>
      <c r="P4587" s="23">
        <v>96.86</v>
      </c>
      <c r="Q4587" s="4">
        <f t="shared" si="71"/>
        <v>-39.330993186041709</v>
      </c>
      <c r="R4587" s="23" t="s">
        <v>1198</v>
      </c>
      <c r="U4587">
        <v>2</v>
      </c>
      <c r="V4587" t="e">
        <f>VLOOKUP(Tabla3[[#This Row],[Nº]],[1]!NOMINA[#Data],4,FALSE)</f>
        <v>#REF!</v>
      </c>
      <c r="W4587" t="e">
        <f>VLOOKUP(Tabla3[[#This Row],[Nº]],[1]!NOMINA[#Data],5,FALSE)</f>
        <v>#REF!</v>
      </c>
    </row>
    <row r="4588" spans="1:23" x14ac:dyDescent="0.25">
      <c r="A4588" s="21">
        <v>45807</v>
      </c>
      <c r="B4588" s="1" t="s">
        <v>8083</v>
      </c>
      <c r="C4588" t="s">
        <v>8084</v>
      </c>
      <c r="D4588" s="22">
        <v>-3809.6</v>
      </c>
      <c r="E4588" t="s">
        <v>35</v>
      </c>
      <c r="F4588" s="2">
        <v>212901001</v>
      </c>
      <c r="G4588" s="2" t="s">
        <v>121</v>
      </c>
      <c r="L4588" s="2" t="s">
        <v>8085</v>
      </c>
      <c r="M4588" t="s">
        <v>67</v>
      </c>
      <c r="N4588" t="s">
        <v>68</v>
      </c>
      <c r="P4588" s="23">
        <v>96.86</v>
      </c>
      <c r="Q4588" s="4">
        <f t="shared" si="71"/>
        <v>-39.330993186041709</v>
      </c>
      <c r="R4588" s="23" t="s">
        <v>1198</v>
      </c>
      <c r="U4588">
        <v>28</v>
      </c>
      <c r="V4588" t="e">
        <f>VLOOKUP(U4588,[1]!NOMINA[#Data],4,FALSE)</f>
        <v>#REF!</v>
      </c>
      <c r="W4588" t="e">
        <f>VLOOKUP(U4588,[1]!NOMINA[#Data],5,FALSE)</f>
        <v>#REF!</v>
      </c>
    </row>
    <row r="4589" spans="1:23" x14ac:dyDescent="0.25">
      <c r="A4589" s="21">
        <v>45807</v>
      </c>
      <c r="B4589" s="1" t="s">
        <v>8086</v>
      </c>
      <c r="C4589" t="s">
        <v>8087</v>
      </c>
      <c r="D4589" s="22">
        <v>-3809.6</v>
      </c>
      <c r="E4589" t="s">
        <v>35</v>
      </c>
      <c r="F4589" s="2">
        <v>212901001</v>
      </c>
      <c r="G4589" s="2" t="s">
        <v>121</v>
      </c>
      <c r="L4589" s="2" t="s">
        <v>8088</v>
      </c>
      <c r="M4589" t="s">
        <v>67</v>
      </c>
      <c r="N4589" t="s">
        <v>68</v>
      </c>
      <c r="P4589" s="23">
        <v>96.86</v>
      </c>
      <c r="Q4589" s="4">
        <f t="shared" si="71"/>
        <v>-39.330993186041709</v>
      </c>
      <c r="R4589" s="23" t="s">
        <v>1198</v>
      </c>
      <c r="U4589">
        <v>6</v>
      </c>
      <c r="V4589" t="e">
        <f>VLOOKUP(U4589,[1]!NOMINA[#Data],4,FALSE)</f>
        <v>#REF!</v>
      </c>
      <c r="W4589" t="e">
        <f>VLOOKUP(U4589,[1]!NOMINA[#Data],5,FALSE)</f>
        <v>#REF!</v>
      </c>
    </row>
    <row r="4590" spans="1:23" x14ac:dyDescent="0.25">
      <c r="A4590" s="21">
        <v>45807</v>
      </c>
      <c r="B4590" s="1" t="s">
        <v>4151</v>
      </c>
      <c r="C4590" t="s">
        <v>8089</v>
      </c>
      <c r="D4590" s="22">
        <v>-61.65</v>
      </c>
      <c r="E4590" t="s">
        <v>35</v>
      </c>
      <c r="F4590" s="2">
        <v>212901001</v>
      </c>
      <c r="G4590" s="2" t="s">
        <v>121</v>
      </c>
      <c r="L4590" s="2" t="s">
        <v>8090</v>
      </c>
      <c r="M4590" t="s">
        <v>67</v>
      </c>
      <c r="N4590" t="s">
        <v>68</v>
      </c>
      <c r="P4590" s="23">
        <v>96.86</v>
      </c>
      <c r="Q4590" s="4">
        <f t="shared" si="71"/>
        <v>-0.63648564939087338</v>
      </c>
      <c r="R4590" s="23" t="s">
        <v>1198</v>
      </c>
      <c r="U4590">
        <v>28</v>
      </c>
      <c r="V4590" t="e">
        <f>VLOOKUP(U4590,[1]!NOMINA[#Data],4,FALSE)</f>
        <v>#REF!</v>
      </c>
      <c r="W4590" t="e">
        <f>VLOOKUP(U4590,[1]!NOMINA[#Data],5,FALSE)</f>
        <v>#REF!</v>
      </c>
    </row>
    <row r="4591" spans="1:23" x14ac:dyDescent="0.25">
      <c r="A4591" s="21">
        <v>45807</v>
      </c>
      <c r="B4591" s="1" t="s">
        <v>8091</v>
      </c>
      <c r="C4591" t="s">
        <v>8092</v>
      </c>
      <c r="D4591" s="22">
        <v>-61.65</v>
      </c>
      <c r="E4591" t="s">
        <v>35</v>
      </c>
      <c r="F4591" s="2">
        <v>212901001</v>
      </c>
      <c r="G4591" s="2" t="s">
        <v>121</v>
      </c>
      <c r="L4591" s="2" t="s">
        <v>8093</v>
      </c>
      <c r="M4591" t="s">
        <v>67</v>
      </c>
      <c r="N4591" t="s">
        <v>68</v>
      </c>
      <c r="P4591" s="23">
        <v>96.86</v>
      </c>
      <c r="Q4591" s="4">
        <f t="shared" si="71"/>
        <v>-0.63648564939087338</v>
      </c>
      <c r="R4591" s="23" t="s">
        <v>1198</v>
      </c>
      <c r="U4591">
        <v>6</v>
      </c>
      <c r="V4591" t="e">
        <f>VLOOKUP(U4591,[1]!NOMINA[#Data],4,FALSE)</f>
        <v>#REF!</v>
      </c>
      <c r="W4591" t="e">
        <f>VLOOKUP(U4591,[1]!NOMINA[#Data],5,FALSE)</f>
        <v>#REF!</v>
      </c>
    </row>
    <row r="4592" spans="1:23" x14ac:dyDescent="0.25">
      <c r="A4592" s="21">
        <v>45807</v>
      </c>
      <c r="B4592" s="1" t="s">
        <v>8094</v>
      </c>
      <c r="C4592" t="s">
        <v>8095</v>
      </c>
      <c r="D4592" s="22">
        <v>-61.65</v>
      </c>
      <c r="E4592" t="s">
        <v>35</v>
      </c>
      <c r="F4592" s="2">
        <v>212901001</v>
      </c>
      <c r="G4592" s="2" t="s">
        <v>121</v>
      </c>
      <c r="L4592" s="2" t="s">
        <v>8096</v>
      </c>
      <c r="M4592" t="s">
        <v>67</v>
      </c>
      <c r="N4592" t="s">
        <v>68</v>
      </c>
      <c r="P4592" s="23">
        <v>96.86</v>
      </c>
      <c r="Q4592" s="4">
        <f t="shared" si="71"/>
        <v>-0.63648564939087338</v>
      </c>
      <c r="R4592" s="23" t="s">
        <v>1198</v>
      </c>
      <c r="U4592">
        <v>24</v>
      </c>
      <c r="V4592" t="e">
        <f>VLOOKUP(U4592,[1]!NOMINA[#Data],4,FALSE)</f>
        <v>#REF!</v>
      </c>
      <c r="W4592" t="e">
        <f>VLOOKUP(U4592,[1]!NOMINA[#Data],5,FALSE)</f>
        <v>#REF!</v>
      </c>
    </row>
    <row r="4593" spans="1:23" x14ac:dyDescent="0.25">
      <c r="A4593" s="21">
        <v>45807</v>
      </c>
      <c r="B4593" s="1" t="s">
        <v>8097</v>
      </c>
      <c r="C4593" t="s">
        <v>8098</v>
      </c>
      <c r="D4593" s="22">
        <v>-61.65</v>
      </c>
      <c r="E4593" t="s">
        <v>35</v>
      </c>
      <c r="F4593" s="2">
        <v>212901001</v>
      </c>
      <c r="G4593" s="2" t="s">
        <v>121</v>
      </c>
      <c r="L4593" s="2" t="s">
        <v>8099</v>
      </c>
      <c r="M4593" t="s">
        <v>67</v>
      </c>
      <c r="N4593" t="s">
        <v>68</v>
      </c>
      <c r="P4593" s="23">
        <v>96.86</v>
      </c>
      <c r="Q4593" s="4">
        <f t="shared" si="71"/>
        <v>-0.63648564939087338</v>
      </c>
      <c r="R4593" s="23" t="s">
        <v>1198</v>
      </c>
      <c r="U4593">
        <v>3</v>
      </c>
      <c r="V4593" t="e">
        <f>VLOOKUP(U4593,[1]!NOMINA[#Data],4,FALSE)</f>
        <v>#REF!</v>
      </c>
      <c r="W4593" t="e">
        <f>VLOOKUP(U4593,[1]!NOMINA[#Data],5,FALSE)</f>
        <v>#REF!</v>
      </c>
    </row>
    <row r="4594" spans="1:23" x14ac:dyDescent="0.25">
      <c r="A4594" s="21">
        <v>45807</v>
      </c>
      <c r="B4594" s="1" t="s">
        <v>8100</v>
      </c>
      <c r="C4594" t="s">
        <v>8101</v>
      </c>
      <c r="D4594" s="22">
        <v>-61.65</v>
      </c>
      <c r="E4594" t="s">
        <v>35</v>
      </c>
      <c r="F4594" s="2">
        <v>212901001</v>
      </c>
      <c r="G4594" s="2" t="s">
        <v>121</v>
      </c>
      <c r="L4594" s="2" t="s">
        <v>8102</v>
      </c>
      <c r="M4594" t="s">
        <v>67</v>
      </c>
      <c r="N4594" t="s">
        <v>68</v>
      </c>
      <c r="P4594" s="23">
        <v>96.86</v>
      </c>
      <c r="Q4594" s="4">
        <f t="shared" si="71"/>
        <v>-0.63648564939087338</v>
      </c>
      <c r="R4594" s="23" t="s">
        <v>1198</v>
      </c>
      <c r="U4594">
        <v>27</v>
      </c>
      <c r="V4594" t="e">
        <f>VLOOKUP(U4594,[1]!NOMINA[#Data],4,FALSE)</f>
        <v>#REF!</v>
      </c>
      <c r="W4594" t="e">
        <f>VLOOKUP(U4594,[1]!NOMINA[#Data],5,FALSE)</f>
        <v>#REF!</v>
      </c>
    </row>
    <row r="4595" spans="1:23" x14ac:dyDescent="0.25">
      <c r="A4595" s="21">
        <v>45807</v>
      </c>
      <c r="B4595" s="1" t="s">
        <v>8103</v>
      </c>
      <c r="C4595" t="s">
        <v>8104</v>
      </c>
      <c r="D4595" s="22">
        <v>-3809.6</v>
      </c>
      <c r="E4595" t="s">
        <v>35</v>
      </c>
      <c r="F4595" s="2">
        <v>212901001</v>
      </c>
      <c r="G4595" s="2" t="s">
        <v>121</v>
      </c>
      <c r="L4595" s="2" t="s">
        <v>8105</v>
      </c>
      <c r="M4595" t="s">
        <v>67</v>
      </c>
      <c r="N4595" t="s">
        <v>68</v>
      </c>
      <c r="P4595" s="23">
        <v>96.86</v>
      </c>
      <c r="Q4595" s="4">
        <f t="shared" si="71"/>
        <v>-39.330993186041709</v>
      </c>
      <c r="R4595" s="23" t="s">
        <v>1198</v>
      </c>
      <c r="U4595">
        <v>24</v>
      </c>
      <c r="V4595" t="e">
        <f>VLOOKUP(U4595,[1]!NOMINA[#Data],4,FALSE)</f>
        <v>#REF!</v>
      </c>
      <c r="W4595" t="e">
        <f>VLOOKUP(U4595,[1]!NOMINA[#Data],5,FALSE)</f>
        <v>#REF!</v>
      </c>
    </row>
    <row r="4596" spans="1:23" x14ac:dyDescent="0.25">
      <c r="A4596" s="21">
        <v>45807</v>
      </c>
      <c r="B4596" s="1" t="s">
        <v>8106</v>
      </c>
      <c r="C4596" t="s">
        <v>8107</v>
      </c>
      <c r="D4596" s="22">
        <v>-3809.6</v>
      </c>
      <c r="E4596" t="s">
        <v>35</v>
      </c>
      <c r="F4596" s="2">
        <v>212901001</v>
      </c>
      <c r="G4596" s="2" t="s">
        <v>121</v>
      </c>
      <c r="L4596" s="2" t="s">
        <v>8108</v>
      </c>
      <c r="M4596" t="s">
        <v>67</v>
      </c>
      <c r="N4596" t="s">
        <v>68</v>
      </c>
      <c r="P4596" s="23">
        <v>96.86</v>
      </c>
      <c r="Q4596" s="4">
        <f t="shared" si="71"/>
        <v>-39.330993186041709</v>
      </c>
      <c r="R4596" s="23" t="s">
        <v>1198</v>
      </c>
      <c r="U4596">
        <v>3</v>
      </c>
      <c r="V4596" t="e">
        <f>VLOOKUP(U4596,[1]!NOMINA[#Data],4,FALSE)</f>
        <v>#REF!</v>
      </c>
      <c r="W4596" t="e">
        <f>VLOOKUP(U4596,[1]!NOMINA[#Data],5,FALSE)</f>
        <v>#REF!</v>
      </c>
    </row>
    <row r="4597" spans="1:23" x14ac:dyDescent="0.25">
      <c r="A4597" s="21">
        <v>45807</v>
      </c>
      <c r="B4597" s="1" t="s">
        <v>8109</v>
      </c>
      <c r="C4597" t="s">
        <v>8110</v>
      </c>
      <c r="D4597" s="22">
        <v>-3809.6</v>
      </c>
      <c r="E4597" t="s">
        <v>35</v>
      </c>
      <c r="F4597" s="2">
        <v>212901001</v>
      </c>
      <c r="G4597" s="2" t="s">
        <v>121</v>
      </c>
      <c r="L4597" s="2" t="s">
        <v>8111</v>
      </c>
      <c r="M4597" t="s">
        <v>67</v>
      </c>
      <c r="N4597" t="s">
        <v>68</v>
      </c>
      <c r="P4597" s="23">
        <v>96.86</v>
      </c>
      <c r="Q4597" s="4">
        <f t="shared" si="71"/>
        <v>-39.330993186041709</v>
      </c>
      <c r="R4597" s="23" t="s">
        <v>1198</v>
      </c>
      <c r="U4597">
        <v>27</v>
      </c>
      <c r="V4597" t="e">
        <f>VLOOKUP(U4597,[1]!NOMINA[#Data],4,FALSE)</f>
        <v>#REF!</v>
      </c>
      <c r="W4597" t="e">
        <f>VLOOKUP(U4597,[1]!NOMINA[#Data],5,FALSE)</f>
        <v>#REF!</v>
      </c>
    </row>
    <row r="4598" spans="1:23" x14ac:dyDescent="0.25">
      <c r="A4598" s="21">
        <v>45807</v>
      </c>
      <c r="B4598" s="1" t="s">
        <v>1208</v>
      </c>
      <c r="C4598" t="s">
        <v>8112</v>
      </c>
      <c r="D4598" s="22">
        <v>-7117.29</v>
      </c>
      <c r="E4598" t="s">
        <v>35</v>
      </c>
      <c r="F4598" s="2">
        <v>212901001</v>
      </c>
      <c r="G4598" s="2" t="s">
        <v>121</v>
      </c>
      <c r="L4598" s="2" t="s">
        <v>8113</v>
      </c>
      <c r="M4598" t="s">
        <v>67</v>
      </c>
      <c r="N4598" t="s">
        <v>68</v>
      </c>
      <c r="P4598" s="23">
        <v>96.86</v>
      </c>
      <c r="Q4598" s="4">
        <f t="shared" si="71"/>
        <v>-73.48017757588272</v>
      </c>
      <c r="R4598" s="23" t="s">
        <v>1198</v>
      </c>
      <c r="U4598">
        <v>17</v>
      </c>
      <c r="V4598" t="e">
        <f>VLOOKUP(U4598,[1]!NOMINA[#Data],4,FALSE)</f>
        <v>#REF!</v>
      </c>
      <c r="W4598" t="e">
        <f>VLOOKUP(U4598,[1]!NOMINA[#Data],5,FALSE)</f>
        <v>#REF!</v>
      </c>
    </row>
    <row r="4599" spans="1:23" x14ac:dyDescent="0.25">
      <c r="A4599" s="21">
        <v>45807</v>
      </c>
      <c r="B4599" s="1" t="s">
        <v>3933</v>
      </c>
      <c r="C4599" t="s">
        <v>8114</v>
      </c>
      <c r="D4599" s="22">
        <v>-7078.24</v>
      </c>
      <c r="E4599" t="s">
        <v>35</v>
      </c>
      <c r="F4599" s="2">
        <v>212901001</v>
      </c>
      <c r="G4599" s="2" t="s">
        <v>121</v>
      </c>
      <c r="L4599" s="2" t="s">
        <v>8115</v>
      </c>
      <c r="M4599" t="s">
        <v>67</v>
      </c>
      <c r="N4599" t="s">
        <v>68</v>
      </c>
      <c r="P4599" s="23">
        <v>96.86</v>
      </c>
      <c r="Q4599" s="4">
        <f t="shared" si="71"/>
        <v>-73.077018377039025</v>
      </c>
      <c r="R4599" s="23" t="s">
        <v>1198</v>
      </c>
      <c r="U4599">
        <v>13</v>
      </c>
      <c r="V4599" t="e">
        <f>VLOOKUP(U4599,[1]!NOMINA[#Data],4,FALSE)</f>
        <v>#REF!</v>
      </c>
      <c r="W4599" t="e">
        <f>VLOOKUP(U4599,[1]!NOMINA[#Data],5,FALSE)</f>
        <v>#REF!</v>
      </c>
    </row>
    <row r="4600" spans="1:23" x14ac:dyDescent="0.25">
      <c r="A4600" s="21">
        <v>45807</v>
      </c>
      <c r="B4600" s="1" t="s">
        <v>3917</v>
      </c>
      <c r="C4600" t="s">
        <v>8116</v>
      </c>
      <c r="D4600" s="22">
        <v>-11808.81</v>
      </c>
      <c r="E4600" t="s">
        <v>35</v>
      </c>
      <c r="F4600" s="2">
        <v>212901001</v>
      </c>
      <c r="G4600" s="2" t="s">
        <v>121</v>
      </c>
      <c r="L4600" s="2" t="s">
        <v>8117</v>
      </c>
      <c r="M4600" t="s">
        <v>67</v>
      </c>
      <c r="N4600" t="s">
        <v>68</v>
      </c>
      <c r="P4600" s="23">
        <v>96.86</v>
      </c>
      <c r="Q4600" s="4">
        <f t="shared" si="71"/>
        <v>-121.91627090646293</v>
      </c>
      <c r="R4600" s="23" t="s">
        <v>1198</v>
      </c>
      <c r="U4600">
        <v>4</v>
      </c>
      <c r="V4600" t="e">
        <f>VLOOKUP(U4600,[1]!NOMINA[#Data],4,FALSE)</f>
        <v>#REF!</v>
      </c>
      <c r="W4600" t="e">
        <f>VLOOKUP(U4600,[1]!NOMINA[#Data],5,FALSE)</f>
        <v>#REF!</v>
      </c>
    </row>
    <row r="4601" spans="1:23" x14ac:dyDescent="0.25">
      <c r="A4601" s="21">
        <v>45807</v>
      </c>
      <c r="B4601" s="1" t="s">
        <v>4108</v>
      </c>
      <c r="C4601" t="s">
        <v>8118</v>
      </c>
      <c r="D4601" s="22">
        <v>-4712.4799999999996</v>
      </c>
      <c r="E4601" t="s">
        <v>35</v>
      </c>
      <c r="F4601" s="2">
        <v>212901001</v>
      </c>
      <c r="G4601" s="2" t="s">
        <v>121</v>
      </c>
      <c r="L4601" s="2" t="s">
        <v>8119</v>
      </c>
      <c r="M4601" t="s">
        <v>67</v>
      </c>
      <c r="N4601" t="s">
        <v>68</v>
      </c>
      <c r="P4601" s="23">
        <v>96.86</v>
      </c>
      <c r="Q4601" s="4">
        <f t="shared" si="71"/>
        <v>-48.652488127193884</v>
      </c>
      <c r="R4601" s="23" t="s">
        <v>1198</v>
      </c>
      <c r="U4601">
        <v>22</v>
      </c>
      <c r="V4601" t="e">
        <f>VLOOKUP(U4601,[1]!NOMINA[#Data],4,FALSE)</f>
        <v>#REF!</v>
      </c>
      <c r="W4601" t="e">
        <f>VLOOKUP(U4601,[1]!NOMINA[#Data],5,FALSE)</f>
        <v>#REF!</v>
      </c>
    </row>
    <row r="4602" spans="1:23" x14ac:dyDescent="0.25">
      <c r="A4602" s="21">
        <v>45807</v>
      </c>
      <c r="B4602" s="1" t="s">
        <v>4018</v>
      </c>
      <c r="C4602" t="s">
        <v>8120</v>
      </c>
      <c r="D4602" s="22">
        <v>-5349.63</v>
      </c>
      <c r="E4602" t="s">
        <v>35</v>
      </c>
      <c r="F4602" s="2">
        <v>212901001</v>
      </c>
      <c r="G4602" s="2" t="s">
        <v>121</v>
      </c>
      <c r="L4602" s="2" t="s">
        <v>8121</v>
      </c>
      <c r="M4602" t="s">
        <v>67</v>
      </c>
      <c r="N4602" t="s">
        <v>68</v>
      </c>
      <c r="P4602" s="23">
        <v>96.86</v>
      </c>
      <c r="Q4602" s="4">
        <f t="shared" si="71"/>
        <v>-55.230538922155688</v>
      </c>
      <c r="R4602" s="23" t="s">
        <v>1198</v>
      </c>
      <c r="U4602">
        <v>21</v>
      </c>
      <c r="V4602" t="e">
        <f>VLOOKUP(U4602,[1]!NOMINA[#Data],4,FALSE)</f>
        <v>#REF!</v>
      </c>
      <c r="W4602" t="e">
        <f>VLOOKUP(U4602,[1]!NOMINA[#Data],5,FALSE)</f>
        <v>#REF!</v>
      </c>
    </row>
    <row r="4603" spans="1:23" x14ac:dyDescent="0.25">
      <c r="A4603" s="21">
        <v>45807</v>
      </c>
      <c r="B4603" s="1" t="s">
        <v>4055</v>
      </c>
      <c r="C4603" t="s">
        <v>8122</v>
      </c>
      <c r="D4603" s="22">
        <v>-3729.6</v>
      </c>
      <c r="E4603" t="s">
        <v>35</v>
      </c>
      <c r="F4603" s="2">
        <v>212901001</v>
      </c>
      <c r="G4603" s="2" t="s">
        <v>121</v>
      </c>
      <c r="L4603" s="2" t="s">
        <v>8123</v>
      </c>
      <c r="M4603" t="s">
        <v>67</v>
      </c>
      <c r="N4603" t="s">
        <v>68</v>
      </c>
      <c r="P4603" s="23">
        <v>96.86</v>
      </c>
      <c r="Q4603" s="4">
        <f t="shared" si="71"/>
        <v>-38.505058847821594</v>
      </c>
      <c r="R4603" s="23" t="s">
        <v>1198</v>
      </c>
      <c r="U4603">
        <v>7</v>
      </c>
      <c r="V4603" t="e">
        <f>VLOOKUP(U4603,[1]!NOMINA[#Data],4,FALSE)</f>
        <v>#REF!</v>
      </c>
      <c r="W4603" t="e">
        <f>VLOOKUP(U4603,[1]!NOMINA[#Data],5,FALSE)</f>
        <v>#REF!</v>
      </c>
    </row>
    <row r="4604" spans="1:23" x14ac:dyDescent="0.25">
      <c r="A4604" s="21">
        <v>45807</v>
      </c>
      <c r="B4604" s="1" t="s">
        <v>1214</v>
      </c>
      <c r="C4604" t="s">
        <v>8124</v>
      </c>
      <c r="D4604" s="22">
        <v>-3759.12</v>
      </c>
      <c r="E4604" t="s">
        <v>35</v>
      </c>
      <c r="F4604" s="2">
        <v>212901001</v>
      </c>
      <c r="G4604" s="2" t="s">
        <v>121</v>
      </c>
      <c r="L4604" s="2" t="s">
        <v>8125</v>
      </c>
      <c r="M4604" t="s">
        <v>67</v>
      </c>
      <c r="N4604" t="s">
        <v>68</v>
      </c>
      <c r="P4604" s="23">
        <v>96.86</v>
      </c>
      <c r="Q4604" s="4">
        <f t="shared" si="71"/>
        <v>-38.80982861862482</v>
      </c>
      <c r="R4604" s="23" t="s">
        <v>1198</v>
      </c>
      <c r="U4604">
        <v>28</v>
      </c>
      <c r="V4604" t="e">
        <f>VLOOKUP(U4604,[1]!NOMINA[#Data],4,FALSE)</f>
        <v>#REF!</v>
      </c>
      <c r="W4604" t="e">
        <f>VLOOKUP(U4604,[1]!NOMINA[#Data],5,FALSE)</f>
        <v>#REF!</v>
      </c>
    </row>
    <row r="4605" spans="1:23" x14ac:dyDescent="0.25">
      <c r="A4605" s="21">
        <v>45807</v>
      </c>
      <c r="B4605" s="1" t="s">
        <v>4185</v>
      </c>
      <c r="C4605" t="s">
        <v>8126</v>
      </c>
      <c r="D4605" s="22">
        <v>-952.4</v>
      </c>
      <c r="E4605" t="s">
        <v>35</v>
      </c>
      <c r="F4605" s="2">
        <v>212901001</v>
      </c>
      <c r="G4605" s="2" t="s">
        <v>121</v>
      </c>
      <c r="L4605" s="2" t="s">
        <v>8127</v>
      </c>
      <c r="M4605" t="s">
        <v>67</v>
      </c>
      <c r="N4605" t="s">
        <v>68</v>
      </c>
      <c r="P4605" s="23">
        <v>96.86</v>
      </c>
      <c r="Q4605" s="4">
        <f t="shared" si="71"/>
        <v>-9.8327482965104274</v>
      </c>
      <c r="R4605" s="23" t="s">
        <v>1198</v>
      </c>
      <c r="U4605">
        <v>40</v>
      </c>
      <c r="V4605" t="e">
        <f>VLOOKUP(U4605,[1]!NOMINA[#Data],4,FALSE)</f>
        <v>#REF!</v>
      </c>
      <c r="W4605" t="e">
        <f>VLOOKUP(U4605,[1]!NOMINA[#Data],5,FALSE)</f>
        <v>#REF!</v>
      </c>
    </row>
    <row r="4606" spans="1:23" x14ac:dyDescent="0.25">
      <c r="A4606" s="21">
        <v>45807</v>
      </c>
      <c r="B4606" s="1" t="s">
        <v>4167</v>
      </c>
      <c r="C4606" t="s">
        <v>8128</v>
      </c>
      <c r="D4606" s="22">
        <v>-5714.4</v>
      </c>
      <c r="E4606" t="s">
        <v>35</v>
      </c>
      <c r="F4606" s="2">
        <v>212901001</v>
      </c>
      <c r="G4606" s="2" t="s">
        <v>121</v>
      </c>
      <c r="L4606" s="2" t="s">
        <v>8129</v>
      </c>
      <c r="M4606" t="s">
        <v>67</v>
      </c>
      <c r="N4606" t="s">
        <v>68</v>
      </c>
      <c r="P4606" s="23">
        <v>96.86</v>
      </c>
      <c r="Q4606" s="4">
        <f t="shared" si="71"/>
        <v>-58.996489779062564</v>
      </c>
      <c r="R4606" s="23" t="s">
        <v>1198</v>
      </c>
      <c r="U4606">
        <v>3</v>
      </c>
      <c r="V4606" t="e">
        <f>VLOOKUP(U4606,[1]!NOMINA[#Data],4,FALSE)</f>
        <v>#REF!</v>
      </c>
      <c r="W4606" t="e">
        <f>VLOOKUP(U4606,[1]!NOMINA[#Data],5,FALSE)</f>
        <v>#REF!</v>
      </c>
    </row>
    <row r="4607" spans="1:23" x14ac:dyDescent="0.25">
      <c r="A4607" s="21">
        <v>45807</v>
      </c>
      <c r="B4607" s="1" t="s">
        <v>4136</v>
      </c>
      <c r="C4607" t="s">
        <v>8130</v>
      </c>
      <c r="D4607" s="22">
        <v>-952.4</v>
      </c>
      <c r="E4607" t="s">
        <v>35</v>
      </c>
      <c r="F4607" s="2">
        <v>212901001</v>
      </c>
      <c r="G4607" s="2" t="s">
        <v>121</v>
      </c>
      <c r="L4607" s="2" t="s">
        <v>8131</v>
      </c>
      <c r="M4607" t="s">
        <v>67</v>
      </c>
      <c r="N4607" t="s">
        <v>68</v>
      </c>
      <c r="P4607" s="23">
        <v>96.86</v>
      </c>
      <c r="Q4607" s="4">
        <f t="shared" si="71"/>
        <v>-9.8327482965104274</v>
      </c>
      <c r="R4607" s="23" t="s">
        <v>1198</v>
      </c>
      <c r="U4607">
        <v>11</v>
      </c>
      <c r="V4607" t="e">
        <f>VLOOKUP(U4607,[1]!NOMINA[#Data],4,FALSE)</f>
        <v>#REF!</v>
      </c>
      <c r="W4607" t="e">
        <f>VLOOKUP(U4607,[1]!NOMINA[#Data],5,FALSE)</f>
        <v>#REF!</v>
      </c>
    </row>
    <row r="4608" spans="1:23" x14ac:dyDescent="0.25">
      <c r="A4608" s="21">
        <v>45807</v>
      </c>
      <c r="B4608" s="1" t="s">
        <v>4079</v>
      </c>
      <c r="C4608" t="s">
        <v>8132</v>
      </c>
      <c r="D4608" s="22">
        <v>-952.4</v>
      </c>
      <c r="E4608" t="s">
        <v>35</v>
      </c>
      <c r="F4608" s="2">
        <v>212901001</v>
      </c>
      <c r="G4608" s="2" t="s">
        <v>121</v>
      </c>
      <c r="L4608" s="2" t="s">
        <v>8133</v>
      </c>
      <c r="M4608" t="s">
        <v>67</v>
      </c>
      <c r="N4608" t="s">
        <v>68</v>
      </c>
      <c r="P4608" s="23">
        <v>96.86</v>
      </c>
      <c r="Q4608" s="4">
        <f t="shared" si="71"/>
        <v>-9.8327482965104274</v>
      </c>
      <c r="R4608" s="23" t="s">
        <v>1198</v>
      </c>
      <c r="U4608">
        <v>29</v>
      </c>
      <c r="V4608" t="e">
        <f>VLOOKUP(U4608,[1]!NOMINA[#Data],4,FALSE)</f>
        <v>#REF!</v>
      </c>
      <c r="W4608" t="e">
        <f>VLOOKUP(U4608,[1]!NOMINA[#Data],5,FALSE)</f>
        <v>#REF!</v>
      </c>
    </row>
    <row r="4609" spans="1:23" x14ac:dyDescent="0.25">
      <c r="A4609" s="21">
        <v>45807</v>
      </c>
      <c r="B4609" s="1" t="s">
        <v>1208</v>
      </c>
      <c r="C4609" t="s">
        <v>8134</v>
      </c>
      <c r="D4609" s="22">
        <v>-998.12</v>
      </c>
      <c r="E4609" t="s">
        <v>35</v>
      </c>
      <c r="F4609" s="2">
        <v>212901001</v>
      </c>
      <c r="G4609" s="2" t="s">
        <v>121</v>
      </c>
      <c r="L4609" s="2" t="s">
        <v>8135</v>
      </c>
      <c r="M4609" t="s">
        <v>67</v>
      </c>
      <c r="N4609" t="s">
        <v>68</v>
      </c>
      <c r="P4609" s="23">
        <v>96.86</v>
      </c>
      <c r="Q4609" s="4">
        <f t="shared" si="71"/>
        <v>-10.304769770803221</v>
      </c>
      <c r="R4609" s="23" t="s">
        <v>1198</v>
      </c>
      <c r="U4609">
        <v>38</v>
      </c>
      <c r="V4609" t="e">
        <f>VLOOKUP(U4609,[1]!NOMINA[#Data],4,FALSE)</f>
        <v>#REF!</v>
      </c>
      <c r="W4609" t="e">
        <f>VLOOKUP(U4609,[1]!NOMINA[#Data],5,FALSE)</f>
        <v>#REF!</v>
      </c>
    </row>
    <row r="4610" spans="1:23" x14ac:dyDescent="0.25">
      <c r="A4610" s="21">
        <v>45807</v>
      </c>
      <c r="B4610" s="1" t="s">
        <v>1208</v>
      </c>
      <c r="C4610" t="s">
        <v>8136</v>
      </c>
      <c r="D4610" s="22">
        <v>-7117.29</v>
      </c>
      <c r="E4610" t="s">
        <v>35</v>
      </c>
      <c r="F4610" s="2">
        <v>212901001</v>
      </c>
      <c r="G4610" s="2" t="s">
        <v>121</v>
      </c>
      <c r="L4610" s="2" t="s">
        <v>8137</v>
      </c>
      <c r="M4610" t="s">
        <v>67</v>
      </c>
      <c r="N4610" t="s">
        <v>68</v>
      </c>
      <c r="P4610" s="23">
        <v>96.86</v>
      </c>
      <c r="Q4610" s="4">
        <f t="shared" si="71"/>
        <v>-73.48017757588272</v>
      </c>
      <c r="R4610" s="23" t="s">
        <v>1198</v>
      </c>
      <c r="U4610">
        <v>14</v>
      </c>
      <c r="V4610" t="e">
        <f>VLOOKUP(U4610,[1]!NOMINA[#Data],4,FALSE)</f>
        <v>#REF!</v>
      </c>
      <c r="W4610" t="e">
        <f>VLOOKUP(U4610,[1]!NOMINA[#Data],5,FALSE)</f>
        <v>#REF!</v>
      </c>
    </row>
    <row r="4611" spans="1:23" x14ac:dyDescent="0.25">
      <c r="A4611" s="21">
        <v>45807</v>
      </c>
      <c r="B4611" s="1" t="s">
        <v>4070</v>
      </c>
      <c r="C4611" t="s">
        <v>8138</v>
      </c>
      <c r="D4611" s="22">
        <v>-7117.29</v>
      </c>
      <c r="E4611" t="s">
        <v>35</v>
      </c>
      <c r="F4611" s="2">
        <v>212901001</v>
      </c>
      <c r="G4611" s="2" t="s">
        <v>121</v>
      </c>
      <c r="L4611" s="2" t="s">
        <v>8139</v>
      </c>
      <c r="M4611" t="s">
        <v>67</v>
      </c>
      <c r="N4611" t="s">
        <v>68</v>
      </c>
      <c r="P4611" s="23">
        <v>96.86</v>
      </c>
      <c r="Q4611" s="4">
        <f t="shared" si="71"/>
        <v>-73.48017757588272</v>
      </c>
      <c r="R4611" s="23" t="s">
        <v>1198</v>
      </c>
      <c r="U4611">
        <v>16</v>
      </c>
      <c r="V4611" t="e">
        <f>VLOOKUP(Tabla3[[#This Row],[Nº]],[1]!NOMINA[#Data],4,FALSE)</f>
        <v>#REF!</v>
      </c>
      <c r="W4611" t="e">
        <f>VLOOKUP(Tabla3[[#This Row],[Nº]],[1]!NOMINA[#Data],5,FALSE)</f>
        <v>#REF!</v>
      </c>
    </row>
    <row r="4612" spans="1:23" x14ac:dyDescent="0.25">
      <c r="A4612" s="21">
        <v>45807</v>
      </c>
      <c r="B4612" s="1" t="s">
        <v>3936</v>
      </c>
      <c r="C4612" t="s">
        <v>8140</v>
      </c>
      <c r="D4612" s="22">
        <v>-18030.84</v>
      </c>
      <c r="E4612" t="s">
        <v>35</v>
      </c>
      <c r="F4612" s="2">
        <v>212901001</v>
      </c>
      <c r="G4612" s="2" t="s">
        <v>121</v>
      </c>
      <c r="L4612" s="2" t="s">
        <v>8141</v>
      </c>
      <c r="M4612" t="s">
        <v>67</v>
      </c>
      <c r="N4612" t="s">
        <v>68</v>
      </c>
      <c r="P4612" s="23">
        <v>96.86</v>
      </c>
      <c r="Q4612" s="4">
        <f t="shared" si="71"/>
        <v>-186.15362378690895</v>
      </c>
      <c r="R4612" s="23" t="s">
        <v>1198</v>
      </c>
      <c r="U4612">
        <v>43</v>
      </c>
      <c r="V4612" t="e">
        <f>VLOOKUP(U4612,[1]!NOMINA[#Data],4,FALSE)</f>
        <v>#REF!</v>
      </c>
      <c r="W4612" t="e">
        <f>VLOOKUP(U4612,[1]!NOMINA[#Data],5,FALSE)</f>
        <v>#REF!</v>
      </c>
    </row>
    <row r="4613" spans="1:23" x14ac:dyDescent="0.25">
      <c r="A4613" s="21">
        <v>45807</v>
      </c>
      <c r="B4613" s="1" t="s">
        <v>4161</v>
      </c>
      <c r="C4613" t="s">
        <v>8142</v>
      </c>
      <c r="D4613" s="22">
        <v>-7104.9</v>
      </c>
      <c r="E4613" t="s">
        <v>35</v>
      </c>
      <c r="F4613" s="2">
        <v>212901001</v>
      </c>
      <c r="G4613" s="2" t="s">
        <v>121</v>
      </c>
      <c r="L4613" s="2" t="s">
        <v>8143</v>
      </c>
      <c r="M4613" t="s">
        <v>67</v>
      </c>
      <c r="N4613" t="s">
        <v>68</v>
      </c>
      <c r="P4613" s="23">
        <v>96.86</v>
      </c>
      <c r="Q4613" s="4">
        <f t="shared" si="71"/>
        <v>-73.352260995250873</v>
      </c>
      <c r="R4613" s="23" t="s">
        <v>1198</v>
      </c>
      <c r="U4613">
        <v>39</v>
      </c>
      <c r="V4613" t="e">
        <f>VLOOKUP(U4613,[1]!NOMINA[#Data],4,FALSE)</f>
        <v>#REF!</v>
      </c>
      <c r="W4613" t="e">
        <f>VLOOKUP(U4613,[1]!NOMINA[#Data],5,FALSE)</f>
        <v>#REF!</v>
      </c>
    </row>
    <row r="4614" spans="1:23" x14ac:dyDescent="0.25">
      <c r="A4614" s="21">
        <v>45807</v>
      </c>
      <c r="B4614" s="1" t="s">
        <v>4046</v>
      </c>
      <c r="C4614" t="s">
        <v>8144</v>
      </c>
      <c r="D4614" s="22">
        <v>-47555.24</v>
      </c>
      <c r="E4614" t="s">
        <v>35</v>
      </c>
      <c r="F4614" s="2">
        <v>212901001</v>
      </c>
      <c r="G4614" s="2" t="s">
        <v>121</v>
      </c>
      <c r="L4614" s="2" t="s">
        <v>8145</v>
      </c>
      <c r="M4614" t="s">
        <v>67</v>
      </c>
      <c r="N4614" t="s">
        <v>68</v>
      </c>
      <c r="P4614" s="23">
        <v>96.86</v>
      </c>
      <c r="Q4614" s="4">
        <f t="shared" si="71"/>
        <v>-490.9688209787322</v>
      </c>
      <c r="R4614" s="23" t="s">
        <v>1198</v>
      </c>
      <c r="U4614">
        <v>2</v>
      </c>
      <c r="V4614" t="e">
        <f>VLOOKUP(Tabla3[[#This Row],[Nº]],[1]!NOMINA[#Data],4,FALSE)</f>
        <v>#REF!</v>
      </c>
      <c r="W4614" t="e">
        <f>VLOOKUP(Tabla3[[#This Row],[Nº]],[1]!NOMINA[#Data],5,FALSE)</f>
        <v>#REF!</v>
      </c>
    </row>
    <row r="4615" spans="1:23" x14ac:dyDescent="0.25">
      <c r="A4615" s="21">
        <v>45807</v>
      </c>
      <c r="B4615" s="1" t="s">
        <v>4164</v>
      </c>
      <c r="C4615" t="s">
        <v>8146</v>
      </c>
      <c r="D4615" s="22">
        <v>-3809.6</v>
      </c>
      <c r="E4615" t="s">
        <v>35</v>
      </c>
      <c r="F4615" s="2">
        <v>212901001</v>
      </c>
      <c r="G4615" s="2" t="s">
        <v>121</v>
      </c>
      <c r="L4615" s="2" t="s">
        <v>8147</v>
      </c>
      <c r="M4615" t="s">
        <v>67</v>
      </c>
      <c r="N4615" t="s">
        <v>68</v>
      </c>
      <c r="P4615" s="23">
        <v>96.86</v>
      </c>
      <c r="Q4615" s="4">
        <f t="shared" si="71"/>
        <v>-39.330993186041709</v>
      </c>
      <c r="R4615" s="23" t="s">
        <v>1198</v>
      </c>
      <c r="U4615">
        <v>19</v>
      </c>
      <c r="V4615" t="e">
        <f>VLOOKUP(U4615,[1]!NOMINA[#Data],4,FALSE)</f>
        <v>#REF!</v>
      </c>
      <c r="W4615" t="e">
        <f>VLOOKUP(U4615,[1]!NOMINA[#Data],5,FALSE)</f>
        <v>#REF!</v>
      </c>
    </row>
    <row r="4616" spans="1:23" x14ac:dyDescent="0.25">
      <c r="A4616" s="21">
        <v>45807</v>
      </c>
      <c r="B4616" s="1" t="s">
        <v>4097</v>
      </c>
      <c r="C4616" t="s">
        <v>8148</v>
      </c>
      <c r="D4616" s="22">
        <v>-3809.6</v>
      </c>
      <c r="E4616" t="s">
        <v>35</v>
      </c>
      <c r="F4616" s="2">
        <v>212901001</v>
      </c>
      <c r="G4616" s="2" t="s">
        <v>121</v>
      </c>
      <c r="L4616" s="2" t="s">
        <v>8149</v>
      </c>
      <c r="M4616" t="s">
        <v>67</v>
      </c>
      <c r="N4616" t="s">
        <v>68</v>
      </c>
      <c r="P4616" s="23">
        <v>96.86</v>
      </c>
      <c r="Q4616" s="4">
        <f t="shared" si="71"/>
        <v>-39.330993186041709</v>
      </c>
      <c r="R4616" s="23" t="s">
        <v>1198</v>
      </c>
      <c r="U4616">
        <v>5</v>
      </c>
      <c r="V4616" t="e">
        <f>VLOOKUP(U4616,[1]!NOMINA[#Data],4,FALSE)</f>
        <v>#REF!</v>
      </c>
      <c r="W4616" t="e">
        <f>VLOOKUP(U4616,[1]!NOMINA[#Data],5,FALSE)</f>
        <v>#REF!</v>
      </c>
    </row>
    <row r="4617" spans="1:23" x14ac:dyDescent="0.25">
      <c r="A4617" s="21">
        <v>45807</v>
      </c>
      <c r="B4617" s="1" t="s">
        <v>4076</v>
      </c>
      <c r="C4617" t="s">
        <v>8150</v>
      </c>
      <c r="D4617" s="22">
        <v>-952.4</v>
      </c>
      <c r="E4617" t="s">
        <v>35</v>
      </c>
      <c r="F4617" s="2">
        <v>212901001</v>
      </c>
      <c r="G4617" s="2" t="s">
        <v>121</v>
      </c>
      <c r="L4617" s="2" t="s">
        <v>8151</v>
      </c>
      <c r="M4617" t="s">
        <v>67</v>
      </c>
      <c r="N4617" t="s">
        <v>68</v>
      </c>
      <c r="P4617" s="23">
        <v>96.86</v>
      </c>
      <c r="Q4617" s="4">
        <f t="shared" si="71"/>
        <v>-9.8327482965104274</v>
      </c>
      <c r="R4617" s="23" t="s">
        <v>1198</v>
      </c>
      <c r="U4617">
        <v>10</v>
      </c>
      <c r="V4617" t="e">
        <f>VLOOKUP(U4617,[1]!NOMINA[#Data],4,FALSE)</f>
        <v>#REF!</v>
      </c>
      <c r="W4617" t="e">
        <f>VLOOKUP(U4617,[1]!NOMINA[#Data],5,FALSE)</f>
        <v>#REF!</v>
      </c>
    </row>
    <row r="4618" spans="1:23" x14ac:dyDescent="0.25">
      <c r="A4618" s="21">
        <v>45807</v>
      </c>
      <c r="B4618" s="1" t="s">
        <v>4191</v>
      </c>
      <c r="C4618" t="s">
        <v>8152</v>
      </c>
      <c r="D4618" s="22">
        <v>-952.4</v>
      </c>
      <c r="E4618" t="s">
        <v>35</v>
      </c>
      <c r="F4618" s="2">
        <v>212901001</v>
      </c>
      <c r="G4618" s="2" t="s">
        <v>121</v>
      </c>
      <c r="L4618" s="2" t="s">
        <v>8153</v>
      </c>
      <c r="M4618" t="s">
        <v>67</v>
      </c>
      <c r="N4618" t="s">
        <v>68</v>
      </c>
      <c r="P4618" s="23">
        <v>96.86</v>
      </c>
      <c r="Q4618" s="4">
        <f t="shared" si="71"/>
        <v>-9.8327482965104274</v>
      </c>
      <c r="R4618" s="23" t="s">
        <v>1198</v>
      </c>
      <c r="U4618">
        <v>38</v>
      </c>
      <c r="V4618" t="e">
        <f>VLOOKUP(U4618,[1]!NOMINA[#Data],4,FALSE)</f>
        <v>#REF!</v>
      </c>
      <c r="W4618" t="e">
        <f>VLOOKUP(U4618,[1]!NOMINA[#Data],5,FALSE)</f>
        <v>#REF!</v>
      </c>
    </row>
    <row r="4619" spans="1:23" x14ac:dyDescent="0.25">
      <c r="A4619" s="21">
        <v>45807</v>
      </c>
      <c r="B4619" s="1" t="s">
        <v>4122</v>
      </c>
      <c r="C4619" t="s">
        <v>8154</v>
      </c>
      <c r="D4619" s="22">
        <v>-952.4</v>
      </c>
      <c r="E4619" t="s">
        <v>35</v>
      </c>
      <c r="F4619" s="2">
        <v>212901001</v>
      </c>
      <c r="G4619" s="2" t="s">
        <v>121</v>
      </c>
      <c r="L4619" s="2" t="s">
        <v>8155</v>
      </c>
      <c r="M4619" t="s">
        <v>67</v>
      </c>
      <c r="N4619" t="s">
        <v>68</v>
      </c>
      <c r="P4619" s="23">
        <v>96.86</v>
      </c>
      <c r="Q4619" s="4">
        <f t="shared" ref="Q4619:Q4682" si="72">D4619/P4619</f>
        <v>-9.8327482965104274</v>
      </c>
      <c r="R4619" s="23" t="s">
        <v>1198</v>
      </c>
      <c r="U4619">
        <v>9</v>
      </c>
      <c r="V4619" t="e">
        <f>VLOOKUP(U4619,[1]!NOMINA[#Data],4,FALSE)</f>
        <v>#REF!</v>
      </c>
      <c r="W4619" t="e">
        <f>VLOOKUP(U4619,[1]!NOMINA[#Data],5,FALSE)</f>
        <v>#REF!</v>
      </c>
    </row>
    <row r="4620" spans="1:23" x14ac:dyDescent="0.25">
      <c r="A4620" s="21">
        <v>45807</v>
      </c>
      <c r="B4620" s="1" t="s">
        <v>4103</v>
      </c>
      <c r="C4620" t="s">
        <v>8156</v>
      </c>
      <c r="D4620" s="22">
        <v>-952.4</v>
      </c>
      <c r="E4620" t="s">
        <v>35</v>
      </c>
      <c r="F4620" s="2">
        <v>212901001</v>
      </c>
      <c r="G4620" s="2" t="s">
        <v>121</v>
      </c>
      <c r="L4620" s="2" t="s">
        <v>8157</v>
      </c>
      <c r="M4620" t="s">
        <v>67</v>
      </c>
      <c r="N4620" t="s">
        <v>68</v>
      </c>
      <c r="P4620" s="23">
        <v>96.86</v>
      </c>
      <c r="Q4620" s="4">
        <f t="shared" si="72"/>
        <v>-9.8327482965104274</v>
      </c>
      <c r="R4620" s="23" t="s">
        <v>1198</v>
      </c>
      <c r="U4620">
        <v>18</v>
      </c>
      <c r="V4620" t="e">
        <f>VLOOKUP(Tabla3[[#This Row],[Nº]],[1]!NOMINA[#Data],4,FALSE)</f>
        <v>#REF!</v>
      </c>
      <c r="W4620" t="e">
        <f>VLOOKUP(Tabla3[[#This Row],[Nº]],[1]!NOMINA[#Data],5,FALSE)</f>
        <v>#REF!</v>
      </c>
    </row>
    <row r="4621" spans="1:23" x14ac:dyDescent="0.25">
      <c r="A4621" s="21">
        <v>45807</v>
      </c>
      <c r="B4621" s="1" t="s">
        <v>4200</v>
      </c>
      <c r="C4621" t="s">
        <v>8134</v>
      </c>
      <c r="D4621" s="22">
        <v>-10.17</v>
      </c>
      <c r="E4621" t="s">
        <v>35</v>
      </c>
      <c r="F4621" s="2">
        <v>212901001</v>
      </c>
      <c r="G4621" s="2" t="s">
        <v>121</v>
      </c>
      <c r="L4621" s="2" t="s">
        <v>8158</v>
      </c>
      <c r="M4621" t="s">
        <v>67</v>
      </c>
      <c r="N4621" t="s">
        <v>68</v>
      </c>
      <c r="P4621" s="23">
        <v>96.86</v>
      </c>
      <c r="Q4621" s="4">
        <f t="shared" si="72"/>
        <v>-0.10499690274623168</v>
      </c>
      <c r="R4621" s="23" t="s">
        <v>1198</v>
      </c>
      <c r="U4621">
        <v>38</v>
      </c>
      <c r="V4621" t="e">
        <f>VLOOKUP(U4621,[1]!NOMINA[#Data],4,FALSE)</f>
        <v>#REF!</v>
      </c>
      <c r="W4621" t="e">
        <f>VLOOKUP(U4621,[1]!NOMINA[#Data],5,FALSE)</f>
        <v>#REF!</v>
      </c>
    </row>
    <row r="4622" spans="1:23" x14ac:dyDescent="0.25">
      <c r="A4622" s="21">
        <v>45807</v>
      </c>
      <c r="B4622" s="1" t="s">
        <v>8159</v>
      </c>
      <c r="C4622" t="s">
        <v>8160</v>
      </c>
      <c r="D4622" s="22">
        <v>-61.65</v>
      </c>
      <c r="E4622" t="s">
        <v>35</v>
      </c>
      <c r="F4622" s="2">
        <v>212901001</v>
      </c>
      <c r="G4622" s="2" t="s">
        <v>121</v>
      </c>
      <c r="L4622" s="2" t="s">
        <v>8161</v>
      </c>
      <c r="M4622" t="s">
        <v>67</v>
      </c>
      <c r="N4622" t="s">
        <v>68</v>
      </c>
      <c r="P4622" s="23">
        <v>96.86</v>
      </c>
      <c r="Q4622" s="4">
        <f t="shared" si="72"/>
        <v>-0.63648564939087338</v>
      </c>
      <c r="R4622" s="23" t="s">
        <v>1198</v>
      </c>
      <c r="U4622">
        <v>19</v>
      </c>
      <c r="V4622" t="e">
        <f>VLOOKUP(U4622,[1]!NOMINA[#Data],4,FALSE)</f>
        <v>#REF!</v>
      </c>
      <c r="W4622" t="e">
        <f>VLOOKUP(U4622,[1]!NOMINA[#Data],5,FALSE)</f>
        <v>#REF!</v>
      </c>
    </row>
    <row r="4623" spans="1:23" x14ac:dyDescent="0.25">
      <c r="A4623" s="21">
        <v>45807</v>
      </c>
      <c r="B4623" s="1" t="s">
        <v>8162</v>
      </c>
      <c r="C4623" t="s">
        <v>8163</v>
      </c>
      <c r="D4623" s="22">
        <v>-61.65</v>
      </c>
      <c r="E4623" t="s">
        <v>35</v>
      </c>
      <c r="F4623" s="2">
        <v>212901001</v>
      </c>
      <c r="G4623" s="2" t="s">
        <v>121</v>
      </c>
      <c r="L4623" s="2" t="s">
        <v>8164</v>
      </c>
      <c r="M4623" t="s">
        <v>67</v>
      </c>
      <c r="N4623" t="s">
        <v>68</v>
      </c>
      <c r="P4623" s="23">
        <v>96.86</v>
      </c>
      <c r="Q4623" s="4">
        <f t="shared" si="72"/>
        <v>-0.63648564939087338</v>
      </c>
      <c r="R4623" s="23" t="s">
        <v>1198</v>
      </c>
      <c r="U4623">
        <v>5</v>
      </c>
      <c r="V4623" t="e">
        <f>VLOOKUP(U4623,[1]!NOMINA[#Data],4,FALSE)</f>
        <v>#REF!</v>
      </c>
      <c r="W4623" t="e">
        <f>VLOOKUP(U4623,[1]!NOMINA[#Data],5,FALSE)</f>
        <v>#REF!</v>
      </c>
    </row>
    <row r="4624" spans="1:23" x14ac:dyDescent="0.25">
      <c r="A4624" s="21">
        <v>45807</v>
      </c>
      <c r="B4624" s="1" t="s">
        <v>8165</v>
      </c>
      <c r="C4624" t="s">
        <v>8166</v>
      </c>
      <c r="D4624" s="22">
        <v>-61.65</v>
      </c>
      <c r="E4624" t="s">
        <v>35</v>
      </c>
      <c r="F4624" s="2">
        <v>212901001</v>
      </c>
      <c r="G4624" s="2" t="s">
        <v>121</v>
      </c>
      <c r="L4624" s="2" t="s">
        <v>8167</v>
      </c>
      <c r="M4624" t="s">
        <v>67</v>
      </c>
      <c r="N4624" t="s">
        <v>68</v>
      </c>
      <c r="P4624" s="23">
        <v>96.86</v>
      </c>
      <c r="Q4624" s="4">
        <f t="shared" si="72"/>
        <v>-0.63648564939087338</v>
      </c>
      <c r="R4624" s="23" t="s">
        <v>1198</v>
      </c>
      <c r="U4624">
        <v>16</v>
      </c>
      <c r="V4624" t="e">
        <f>VLOOKUP(Tabla3[[#This Row],[Nº]],[1]!NOMINA[#Data],4,FALSE)</f>
        <v>#REF!</v>
      </c>
      <c r="W4624" t="e">
        <f>VLOOKUP(Tabla3[[#This Row],[Nº]],[1]!NOMINA[#Data],5,FALSE)</f>
        <v>#REF!</v>
      </c>
    </row>
    <row r="4625" spans="1:23" x14ac:dyDescent="0.25">
      <c r="A4625" s="21">
        <v>45807</v>
      </c>
      <c r="B4625" s="1" t="s">
        <v>8168</v>
      </c>
      <c r="C4625" t="s">
        <v>8169</v>
      </c>
      <c r="D4625" s="22">
        <v>-61.65</v>
      </c>
      <c r="E4625" t="s">
        <v>35</v>
      </c>
      <c r="F4625" s="2">
        <v>212901001</v>
      </c>
      <c r="G4625" s="2" t="s">
        <v>121</v>
      </c>
      <c r="L4625" s="2" t="s">
        <v>8170</v>
      </c>
      <c r="M4625" t="s">
        <v>67</v>
      </c>
      <c r="N4625" t="s">
        <v>68</v>
      </c>
      <c r="P4625" s="23">
        <v>96.86</v>
      </c>
      <c r="Q4625" s="4">
        <f t="shared" si="72"/>
        <v>-0.63648564939087338</v>
      </c>
      <c r="R4625" s="23" t="s">
        <v>1198</v>
      </c>
      <c r="U4625">
        <v>7</v>
      </c>
      <c r="V4625" t="e">
        <f>VLOOKUP(U4625,[1]!NOMINA[#Data],4,FALSE)</f>
        <v>#REF!</v>
      </c>
      <c r="W4625" t="e">
        <f>VLOOKUP(U4625,[1]!NOMINA[#Data],5,FALSE)</f>
        <v>#REF!</v>
      </c>
    </row>
    <row r="4626" spans="1:23" x14ac:dyDescent="0.25">
      <c r="A4626" s="21">
        <v>45807</v>
      </c>
      <c r="B4626" s="1" t="s">
        <v>8171</v>
      </c>
      <c r="C4626" t="s">
        <v>8172</v>
      </c>
      <c r="D4626" s="22">
        <v>-61.65</v>
      </c>
      <c r="E4626" t="s">
        <v>35</v>
      </c>
      <c r="F4626" s="2">
        <v>212901001</v>
      </c>
      <c r="G4626" s="2" t="s">
        <v>121</v>
      </c>
      <c r="L4626" s="2" t="s">
        <v>8173</v>
      </c>
      <c r="M4626" t="s">
        <v>67</v>
      </c>
      <c r="N4626" t="s">
        <v>68</v>
      </c>
      <c r="P4626" s="23">
        <v>96.86</v>
      </c>
      <c r="Q4626" s="4">
        <f t="shared" si="72"/>
        <v>-0.63648564939087338</v>
      </c>
      <c r="R4626" s="23" t="s">
        <v>1198</v>
      </c>
      <c r="U4626">
        <v>1</v>
      </c>
      <c r="V4626" t="e">
        <f>VLOOKUP(U4626,[1]!NOMINA[#Data],4,FALSE)</f>
        <v>#REF!</v>
      </c>
      <c r="W4626" t="e">
        <f>VLOOKUP(U4626,[1]!NOMINA[#Data],5,FALSE)</f>
        <v>#REF!</v>
      </c>
    </row>
    <row r="4627" spans="1:23" x14ac:dyDescent="0.25">
      <c r="A4627" s="21">
        <v>45807</v>
      </c>
      <c r="B4627" s="1" t="s">
        <v>8174</v>
      </c>
      <c r="C4627" t="s">
        <v>8175</v>
      </c>
      <c r="D4627" s="22">
        <v>-61.65</v>
      </c>
      <c r="E4627" t="s">
        <v>35</v>
      </c>
      <c r="F4627" s="2">
        <v>212901001</v>
      </c>
      <c r="G4627" s="2" t="s">
        <v>121</v>
      </c>
      <c r="L4627" s="2" t="s">
        <v>8176</v>
      </c>
      <c r="M4627" t="s">
        <v>67</v>
      </c>
      <c r="N4627" s="2" t="s">
        <v>68</v>
      </c>
      <c r="O4627" s="2"/>
      <c r="P4627" s="23">
        <v>96.86</v>
      </c>
      <c r="Q4627" s="4">
        <f t="shared" si="72"/>
        <v>-0.63648564939087338</v>
      </c>
      <c r="R4627" s="23" t="s">
        <v>1198</v>
      </c>
      <c r="U4627">
        <v>36</v>
      </c>
      <c r="V4627" t="e">
        <f>VLOOKUP(U4627,[1]!NOMINA[#Data],4,FALSE)</f>
        <v>#REF!</v>
      </c>
      <c r="W4627" t="e">
        <f>VLOOKUP(U4627,[1]!NOMINA[#Data],5,FALSE)</f>
        <v>#REF!</v>
      </c>
    </row>
    <row r="4628" spans="1:23" x14ac:dyDescent="0.25">
      <c r="A4628" s="21">
        <v>45807</v>
      </c>
      <c r="B4628" s="1" t="s">
        <v>8177</v>
      </c>
      <c r="C4628" t="s">
        <v>8178</v>
      </c>
      <c r="D4628" s="22">
        <v>-3809.6</v>
      </c>
      <c r="E4628" t="s">
        <v>35</v>
      </c>
      <c r="F4628" s="2">
        <v>212901001</v>
      </c>
      <c r="G4628" s="2" t="s">
        <v>121</v>
      </c>
      <c r="L4628" s="2" t="s">
        <v>8179</v>
      </c>
      <c r="M4628" t="s">
        <v>67</v>
      </c>
      <c r="N4628" t="s">
        <v>68</v>
      </c>
      <c r="P4628" s="23">
        <v>96.86</v>
      </c>
      <c r="Q4628" s="4">
        <f t="shared" si="72"/>
        <v>-39.330993186041709</v>
      </c>
      <c r="R4628" s="23" t="s">
        <v>1198</v>
      </c>
      <c r="U4628">
        <v>16</v>
      </c>
      <c r="V4628" t="e">
        <f>VLOOKUP(Tabla3[[#This Row],[Nº]],[1]!NOMINA[#Data],4,FALSE)</f>
        <v>#REF!</v>
      </c>
      <c r="W4628" t="e">
        <f>VLOOKUP(Tabla3[[#This Row],[Nº]],[1]!NOMINA[#Data],5,FALSE)</f>
        <v>#REF!</v>
      </c>
    </row>
    <row r="4629" spans="1:23" x14ac:dyDescent="0.25">
      <c r="A4629" s="21">
        <v>45807</v>
      </c>
      <c r="B4629" s="1" t="s">
        <v>8180</v>
      </c>
      <c r="C4629" t="s">
        <v>8181</v>
      </c>
      <c r="D4629" s="22">
        <v>-3809.6</v>
      </c>
      <c r="E4629" t="s">
        <v>35</v>
      </c>
      <c r="F4629" s="2">
        <v>212901001</v>
      </c>
      <c r="G4629" s="2" t="s">
        <v>121</v>
      </c>
      <c r="L4629" s="2" t="s">
        <v>8182</v>
      </c>
      <c r="M4629" t="s">
        <v>67</v>
      </c>
      <c r="N4629" t="s">
        <v>68</v>
      </c>
      <c r="P4629" s="23">
        <v>96.86</v>
      </c>
      <c r="Q4629" s="4">
        <f t="shared" si="72"/>
        <v>-39.330993186041709</v>
      </c>
      <c r="R4629" s="23" t="s">
        <v>1198</v>
      </c>
      <c r="U4629">
        <v>7</v>
      </c>
      <c r="V4629" t="e">
        <f>VLOOKUP(U4629,[1]!NOMINA[#Data],4,FALSE)</f>
        <v>#REF!</v>
      </c>
      <c r="W4629" t="e">
        <f>VLOOKUP(U4629,[1]!NOMINA[#Data],5,FALSE)</f>
        <v>#REF!</v>
      </c>
    </row>
    <row r="4630" spans="1:23" x14ac:dyDescent="0.25">
      <c r="A4630" s="21">
        <v>45807</v>
      </c>
      <c r="B4630" s="1" t="s">
        <v>8183</v>
      </c>
      <c r="C4630" t="s">
        <v>8184</v>
      </c>
      <c r="D4630" s="22">
        <v>-3809.6</v>
      </c>
      <c r="E4630" t="s">
        <v>35</v>
      </c>
      <c r="F4630" s="2">
        <v>212901001</v>
      </c>
      <c r="G4630" s="2" t="s">
        <v>121</v>
      </c>
      <c r="L4630" s="2" t="s">
        <v>8185</v>
      </c>
      <c r="M4630" t="s">
        <v>67</v>
      </c>
      <c r="N4630" t="s">
        <v>68</v>
      </c>
      <c r="P4630" s="23">
        <v>96.86</v>
      </c>
      <c r="Q4630" s="4">
        <f t="shared" si="72"/>
        <v>-39.330993186041709</v>
      </c>
      <c r="R4630" s="23" t="s">
        <v>1198</v>
      </c>
      <c r="U4630">
        <v>1</v>
      </c>
      <c r="V4630" t="e">
        <f>VLOOKUP(U4630,[1]!NOMINA[#Data],4,FALSE)</f>
        <v>#REF!</v>
      </c>
      <c r="W4630" t="e">
        <f>VLOOKUP(U4630,[1]!NOMINA[#Data],5,FALSE)</f>
        <v>#REF!</v>
      </c>
    </row>
    <row r="4631" spans="1:23" x14ac:dyDescent="0.25">
      <c r="A4631" s="21">
        <v>45807</v>
      </c>
      <c r="B4631" s="1" t="s">
        <v>8186</v>
      </c>
      <c r="C4631" t="s">
        <v>8187</v>
      </c>
      <c r="D4631" s="22">
        <v>-3809.6</v>
      </c>
      <c r="E4631" t="s">
        <v>35</v>
      </c>
      <c r="F4631" s="2">
        <v>212901001</v>
      </c>
      <c r="G4631" s="2" t="s">
        <v>121</v>
      </c>
      <c r="L4631" s="2" t="s">
        <v>8188</v>
      </c>
      <c r="M4631" t="s">
        <v>67</v>
      </c>
      <c r="N4631" t="s">
        <v>68</v>
      </c>
      <c r="P4631" s="23">
        <v>96.86</v>
      </c>
      <c r="Q4631" s="4">
        <f t="shared" si="72"/>
        <v>-39.330993186041709</v>
      </c>
      <c r="R4631" s="23" t="s">
        <v>1198</v>
      </c>
      <c r="U4631">
        <v>36</v>
      </c>
      <c r="V4631" t="e">
        <f>VLOOKUP(U4631,[1]!NOMINA[#Data],4,FALSE)</f>
        <v>#REF!</v>
      </c>
      <c r="W4631" t="e">
        <f>VLOOKUP(U4631,[1]!NOMINA[#Data],5,FALSE)</f>
        <v>#REF!</v>
      </c>
    </row>
    <row r="4632" spans="1:23" x14ac:dyDescent="0.25">
      <c r="A4632" s="21">
        <v>45807</v>
      </c>
      <c r="B4632" s="1" t="s">
        <v>8189</v>
      </c>
      <c r="C4632" t="s">
        <v>8190</v>
      </c>
      <c r="D4632" s="22">
        <v>-8571.6</v>
      </c>
      <c r="E4632" t="s">
        <v>35</v>
      </c>
      <c r="F4632" s="2">
        <v>212901001</v>
      </c>
      <c r="G4632" s="2" t="s">
        <v>121</v>
      </c>
      <c r="L4632" s="2" t="s">
        <v>8191</v>
      </c>
      <c r="M4632" t="s">
        <v>67</v>
      </c>
      <c r="N4632" t="s">
        <v>68</v>
      </c>
      <c r="P4632" s="23">
        <v>96.86</v>
      </c>
      <c r="Q4632" s="4">
        <f t="shared" si="72"/>
        <v>-88.49473466859385</v>
      </c>
      <c r="R4632" s="23" t="s">
        <v>1198</v>
      </c>
    </row>
    <row r="4633" spans="1:23" x14ac:dyDescent="0.25">
      <c r="A4633" s="21">
        <v>45807</v>
      </c>
      <c r="B4633" s="1" t="s">
        <v>3952</v>
      </c>
      <c r="C4633" t="s">
        <v>8192</v>
      </c>
      <c r="D4633" s="22">
        <v>-6849.66</v>
      </c>
      <c r="E4633" t="s">
        <v>35</v>
      </c>
      <c r="F4633" s="2">
        <v>212901001</v>
      </c>
      <c r="G4633" s="2" t="s">
        <v>121</v>
      </c>
      <c r="L4633" s="2" t="s">
        <v>8193</v>
      </c>
      <c r="M4633" t="s">
        <v>67</v>
      </c>
      <c r="N4633" t="s">
        <v>68</v>
      </c>
      <c r="P4633" s="23">
        <v>96.86</v>
      </c>
      <c r="Q4633" s="4">
        <f t="shared" si="72"/>
        <v>-70.717117489159605</v>
      </c>
      <c r="R4633" s="23" t="s">
        <v>1198</v>
      </c>
      <c r="U4633">
        <v>20</v>
      </c>
      <c r="V4633" t="e">
        <f>VLOOKUP(Tabla3[[#This Row],[Nº]],[1]!NOMINA[#Data],4,FALSE)</f>
        <v>#REF!</v>
      </c>
      <c r="W4633" t="e">
        <f>VLOOKUP(Tabla3[[#This Row],[Nº]],[1]!NOMINA[#Data],5,FALSE)</f>
        <v>#REF!</v>
      </c>
    </row>
    <row r="4634" spans="1:23" x14ac:dyDescent="0.25">
      <c r="A4634" s="21">
        <v>45807</v>
      </c>
      <c r="B4634" s="1" t="s">
        <v>3914</v>
      </c>
      <c r="C4634" t="s">
        <v>8194</v>
      </c>
      <c r="D4634" s="22">
        <v>-3281.02</v>
      </c>
      <c r="E4634" t="s">
        <v>35</v>
      </c>
      <c r="F4634" s="2">
        <v>212901001</v>
      </c>
      <c r="G4634" s="2" t="s">
        <v>121</v>
      </c>
      <c r="L4634" s="2" t="s">
        <v>8195</v>
      </c>
      <c r="M4634" t="s">
        <v>67</v>
      </c>
      <c r="N4634" t="s">
        <v>68</v>
      </c>
      <c r="P4634" s="23">
        <v>96.86</v>
      </c>
      <c r="Q4634" s="4">
        <f t="shared" si="72"/>
        <v>-33.873838529836881</v>
      </c>
      <c r="R4634" s="23" t="s">
        <v>1198</v>
      </c>
      <c r="U4634">
        <v>23</v>
      </c>
      <c r="V4634" t="e">
        <f>VLOOKUP(U4634,[1]!NOMINA[#Data],4,FALSE)</f>
        <v>#REF!</v>
      </c>
      <c r="W4634" t="e">
        <f>VLOOKUP(U4634,[1]!NOMINA[#Data],5,FALSE)</f>
        <v>#REF!</v>
      </c>
    </row>
    <row r="4635" spans="1:23" x14ac:dyDescent="0.25">
      <c r="A4635" s="21">
        <v>45807</v>
      </c>
      <c r="B4635" s="1" t="s">
        <v>1223</v>
      </c>
      <c r="C4635" t="s">
        <v>1221</v>
      </c>
      <c r="D4635" s="22">
        <v>-17.75</v>
      </c>
      <c r="E4635" t="s">
        <v>35</v>
      </c>
      <c r="F4635" s="2">
        <v>610148001</v>
      </c>
      <c r="G4635" s="2" t="s">
        <v>42</v>
      </c>
      <c r="L4635" s="2" t="s">
        <v>8196</v>
      </c>
      <c r="M4635" t="s">
        <v>43</v>
      </c>
      <c r="N4635" t="s">
        <v>42</v>
      </c>
      <c r="P4635" s="23">
        <v>96.86</v>
      </c>
      <c r="Q4635" s="4">
        <f t="shared" si="72"/>
        <v>-0.18325418129258725</v>
      </c>
      <c r="R4635" s="23" t="s">
        <v>1198</v>
      </c>
      <c r="T4635" s="41" t="s">
        <v>6107</v>
      </c>
    </row>
    <row r="4636" spans="1:23" x14ac:dyDescent="0.25">
      <c r="A4636" s="21">
        <v>45807</v>
      </c>
      <c r="B4636" s="1" t="s">
        <v>4212</v>
      </c>
      <c r="C4636" t="s">
        <v>1221</v>
      </c>
      <c r="D4636" s="22">
        <v>-0.15</v>
      </c>
      <c r="E4636" t="s">
        <v>35</v>
      </c>
      <c r="F4636" s="2">
        <v>610148001</v>
      </c>
      <c r="G4636" s="2" t="s">
        <v>42</v>
      </c>
      <c r="L4636" s="2" t="s">
        <v>8197</v>
      </c>
      <c r="M4636" t="s">
        <v>43</v>
      </c>
      <c r="N4636" t="s">
        <v>42</v>
      </c>
      <c r="P4636" s="23">
        <v>96.86</v>
      </c>
      <c r="Q4636" s="4">
        <f t="shared" si="72"/>
        <v>-1.548626884162709E-3</v>
      </c>
      <c r="R4636" s="23" t="s">
        <v>1198</v>
      </c>
      <c r="T4636" s="41" t="s">
        <v>6107</v>
      </c>
    </row>
    <row r="4637" spans="1:23" x14ac:dyDescent="0.25">
      <c r="A4637" s="21">
        <v>45807</v>
      </c>
      <c r="B4637" s="1" t="s">
        <v>8198</v>
      </c>
      <c r="C4637" t="s">
        <v>1221</v>
      </c>
      <c r="D4637" s="22">
        <v>-0.15</v>
      </c>
      <c r="E4637" t="s">
        <v>35</v>
      </c>
      <c r="F4637" s="2">
        <v>610148001</v>
      </c>
      <c r="G4637" s="2" t="s">
        <v>42</v>
      </c>
      <c r="L4637" s="2" t="s">
        <v>8199</v>
      </c>
      <c r="M4637" t="s">
        <v>43</v>
      </c>
      <c r="N4637" t="s">
        <v>42</v>
      </c>
      <c r="P4637" s="23">
        <v>96.86</v>
      </c>
      <c r="Q4637" s="4">
        <f t="shared" si="72"/>
        <v>-1.548626884162709E-3</v>
      </c>
      <c r="R4637" s="23" t="s">
        <v>1198</v>
      </c>
      <c r="T4637" s="41" t="s">
        <v>6107</v>
      </c>
    </row>
    <row r="4638" spans="1:23" x14ac:dyDescent="0.25">
      <c r="A4638" s="21">
        <v>45807</v>
      </c>
      <c r="B4638" s="1" t="s">
        <v>8200</v>
      </c>
      <c r="C4638" t="s">
        <v>1221</v>
      </c>
      <c r="D4638" s="22">
        <v>-0.15</v>
      </c>
      <c r="E4638" t="s">
        <v>35</v>
      </c>
      <c r="F4638" s="2">
        <v>610148001</v>
      </c>
      <c r="G4638" s="2" t="s">
        <v>42</v>
      </c>
      <c r="L4638" s="2" t="s">
        <v>8201</v>
      </c>
      <c r="M4638" t="s">
        <v>43</v>
      </c>
      <c r="N4638" t="s">
        <v>42</v>
      </c>
      <c r="P4638" s="23">
        <v>96.86</v>
      </c>
      <c r="Q4638" s="4">
        <f t="shared" si="72"/>
        <v>-1.548626884162709E-3</v>
      </c>
      <c r="R4638" s="23" t="s">
        <v>1198</v>
      </c>
      <c r="T4638" s="41" t="s">
        <v>6107</v>
      </c>
    </row>
    <row r="4639" spans="1:23" x14ac:dyDescent="0.25">
      <c r="A4639" s="21">
        <v>45807</v>
      </c>
      <c r="B4639" s="1" t="s">
        <v>8202</v>
      </c>
      <c r="C4639" t="s">
        <v>1221</v>
      </c>
      <c r="D4639" s="22">
        <v>-9.52</v>
      </c>
      <c r="E4639" t="s">
        <v>35</v>
      </c>
      <c r="F4639" s="2">
        <v>610148001</v>
      </c>
      <c r="G4639" s="2" t="s">
        <v>42</v>
      </c>
      <c r="L4639" s="2" t="s">
        <v>8203</v>
      </c>
      <c r="M4639" t="s">
        <v>43</v>
      </c>
      <c r="N4639" t="s">
        <v>42</v>
      </c>
      <c r="P4639" s="23">
        <v>96.86</v>
      </c>
      <c r="Q4639" s="4">
        <f t="shared" si="72"/>
        <v>-9.8286186248193269E-2</v>
      </c>
      <c r="R4639" s="23" t="s">
        <v>1198</v>
      </c>
      <c r="T4639" s="41" t="s">
        <v>6107</v>
      </c>
    </row>
    <row r="4640" spans="1:23" x14ac:dyDescent="0.25">
      <c r="A4640" s="21">
        <v>45807</v>
      </c>
      <c r="B4640" s="1" t="s">
        <v>8204</v>
      </c>
      <c r="C4640" t="s">
        <v>1221</v>
      </c>
      <c r="D4640" s="22">
        <v>-9.52</v>
      </c>
      <c r="E4640" t="s">
        <v>35</v>
      </c>
      <c r="F4640" s="2">
        <v>610148001</v>
      </c>
      <c r="G4640" s="2" t="s">
        <v>42</v>
      </c>
      <c r="L4640" s="2" t="s">
        <v>8205</v>
      </c>
      <c r="M4640" t="s">
        <v>43</v>
      </c>
      <c r="N4640" t="s">
        <v>42</v>
      </c>
      <c r="P4640" s="23">
        <v>96.86</v>
      </c>
      <c r="Q4640" s="4">
        <f t="shared" si="72"/>
        <v>-9.8286186248193269E-2</v>
      </c>
      <c r="R4640" s="23" t="s">
        <v>1198</v>
      </c>
      <c r="T4640" s="41" t="s">
        <v>6107</v>
      </c>
    </row>
    <row r="4641" spans="1:20" x14ac:dyDescent="0.25">
      <c r="A4641" s="21">
        <v>45807</v>
      </c>
      <c r="B4641" s="1" t="s">
        <v>8206</v>
      </c>
      <c r="C4641" t="s">
        <v>1221</v>
      </c>
      <c r="D4641" s="22">
        <v>-9.52</v>
      </c>
      <c r="E4641" t="s">
        <v>35</v>
      </c>
      <c r="F4641" s="2">
        <v>610148001</v>
      </c>
      <c r="G4641" s="2" t="s">
        <v>42</v>
      </c>
      <c r="L4641" s="2" t="s">
        <v>8207</v>
      </c>
      <c r="M4641" t="s">
        <v>43</v>
      </c>
      <c r="N4641" t="s">
        <v>42</v>
      </c>
      <c r="P4641" s="23">
        <v>96.86</v>
      </c>
      <c r="Q4641" s="4">
        <f t="shared" si="72"/>
        <v>-9.8286186248193269E-2</v>
      </c>
      <c r="R4641" s="23" t="s">
        <v>1198</v>
      </c>
      <c r="T4641" s="41" t="s">
        <v>6107</v>
      </c>
    </row>
    <row r="4642" spans="1:20" x14ac:dyDescent="0.25">
      <c r="A4642" s="21">
        <v>45807</v>
      </c>
      <c r="B4642" s="1" t="s">
        <v>8208</v>
      </c>
      <c r="C4642" t="s">
        <v>1221</v>
      </c>
      <c r="D4642" s="22">
        <v>-9.52</v>
      </c>
      <c r="E4642" t="s">
        <v>35</v>
      </c>
      <c r="F4642" s="2">
        <v>610148001</v>
      </c>
      <c r="G4642" s="2" t="s">
        <v>42</v>
      </c>
      <c r="L4642" s="2" t="s">
        <v>8209</v>
      </c>
      <c r="M4642" t="s">
        <v>43</v>
      </c>
      <c r="N4642" t="s">
        <v>42</v>
      </c>
      <c r="P4642" s="23">
        <v>96.86</v>
      </c>
      <c r="Q4642" s="4">
        <f t="shared" si="72"/>
        <v>-9.8286186248193269E-2</v>
      </c>
      <c r="R4642" s="23" t="s">
        <v>1198</v>
      </c>
      <c r="T4642" s="41" t="s">
        <v>6107</v>
      </c>
    </row>
    <row r="4643" spans="1:20" x14ac:dyDescent="0.25">
      <c r="A4643" s="21">
        <v>45807</v>
      </c>
      <c r="B4643" s="1" t="s">
        <v>8210</v>
      </c>
      <c r="C4643" t="s">
        <v>1221</v>
      </c>
      <c r="D4643" s="22">
        <v>-21.42</v>
      </c>
      <c r="E4643" t="s">
        <v>35</v>
      </c>
      <c r="F4643" s="2">
        <v>610148001</v>
      </c>
      <c r="G4643" s="2" t="s">
        <v>42</v>
      </c>
      <c r="L4643" s="2" t="s">
        <v>8211</v>
      </c>
      <c r="M4643" t="s">
        <v>43</v>
      </c>
      <c r="N4643" t="s">
        <v>42</v>
      </c>
      <c r="P4643" s="23">
        <v>96.86</v>
      </c>
      <c r="Q4643" s="4">
        <f t="shared" si="72"/>
        <v>-0.22114391905843486</v>
      </c>
      <c r="R4643" s="23" t="s">
        <v>1198</v>
      </c>
      <c r="T4643" s="41" t="s">
        <v>6107</v>
      </c>
    </row>
    <row r="4644" spans="1:20" x14ac:dyDescent="0.25">
      <c r="A4644" s="21">
        <v>45807</v>
      </c>
      <c r="B4644" s="1" t="s">
        <v>1227</v>
      </c>
      <c r="C4644" t="s">
        <v>1221</v>
      </c>
      <c r="D4644" s="22">
        <v>-8.1999999999999993</v>
      </c>
      <c r="E4644" t="s">
        <v>35</v>
      </c>
      <c r="F4644" s="2">
        <v>610148001</v>
      </c>
      <c r="G4644" s="2" t="s">
        <v>42</v>
      </c>
      <c r="L4644" s="2" t="s">
        <v>8212</v>
      </c>
      <c r="M4644" t="s">
        <v>43</v>
      </c>
      <c r="N4644" t="s">
        <v>42</v>
      </c>
      <c r="P4644" s="23">
        <v>96.86</v>
      </c>
      <c r="Q4644" s="4">
        <f t="shared" si="72"/>
        <v>-8.4658269667561417E-2</v>
      </c>
      <c r="R4644" s="23" t="s">
        <v>1198</v>
      </c>
      <c r="T4644" s="41" t="s">
        <v>6107</v>
      </c>
    </row>
    <row r="4645" spans="1:20" x14ac:dyDescent="0.25">
      <c r="A4645" s="21">
        <v>45807</v>
      </c>
      <c r="B4645" s="1" t="s">
        <v>1223</v>
      </c>
      <c r="C4645" t="s">
        <v>1221</v>
      </c>
      <c r="D4645" s="22">
        <v>-17.79</v>
      </c>
      <c r="E4645" t="s">
        <v>35</v>
      </c>
      <c r="F4645" s="2">
        <v>610148001</v>
      </c>
      <c r="G4645" s="2" t="s">
        <v>42</v>
      </c>
      <c r="L4645" s="2" t="s">
        <v>8213</v>
      </c>
      <c r="M4645" t="s">
        <v>43</v>
      </c>
      <c r="N4645" t="s">
        <v>42</v>
      </c>
      <c r="P4645" s="23">
        <v>96.86</v>
      </c>
      <c r="Q4645" s="4">
        <f t="shared" si="72"/>
        <v>-0.18366714846169729</v>
      </c>
      <c r="R4645" s="23" t="s">
        <v>1198</v>
      </c>
      <c r="T4645" s="41" t="s">
        <v>6107</v>
      </c>
    </row>
    <row r="4646" spans="1:20" x14ac:dyDescent="0.25">
      <c r="A4646" s="21">
        <v>45807</v>
      </c>
      <c r="B4646" s="1" t="s">
        <v>3967</v>
      </c>
      <c r="C4646" t="s">
        <v>1221</v>
      </c>
      <c r="D4646" s="22">
        <v>-17.690000000000001</v>
      </c>
      <c r="E4646" t="s">
        <v>35</v>
      </c>
      <c r="F4646" s="2">
        <v>610148001</v>
      </c>
      <c r="G4646" s="2" t="s">
        <v>42</v>
      </c>
      <c r="L4646" s="2" t="s">
        <v>8214</v>
      </c>
      <c r="M4646" t="s">
        <v>43</v>
      </c>
      <c r="N4646" t="s">
        <v>42</v>
      </c>
      <c r="P4646" s="23">
        <v>96.86</v>
      </c>
      <c r="Q4646" s="4">
        <f t="shared" si="72"/>
        <v>-0.18263473053892218</v>
      </c>
      <c r="R4646" s="23" t="s">
        <v>1198</v>
      </c>
      <c r="T4646" s="41" t="s">
        <v>6107</v>
      </c>
    </row>
    <row r="4647" spans="1:20" x14ac:dyDescent="0.25">
      <c r="A4647" s="21">
        <v>45807</v>
      </c>
      <c r="B4647" s="1" t="s">
        <v>3973</v>
      </c>
      <c r="C4647" t="s">
        <v>1221</v>
      </c>
      <c r="D4647" s="22">
        <v>-45.07</v>
      </c>
      <c r="E4647" t="s">
        <v>35</v>
      </c>
      <c r="F4647" s="2">
        <v>610148001</v>
      </c>
      <c r="G4647" s="2" t="s">
        <v>42</v>
      </c>
      <c r="L4647" s="2" t="s">
        <v>8215</v>
      </c>
      <c r="M4647" t="s">
        <v>43</v>
      </c>
      <c r="N4647" t="s">
        <v>42</v>
      </c>
      <c r="P4647" s="23">
        <v>96.86</v>
      </c>
      <c r="Q4647" s="4">
        <f t="shared" si="72"/>
        <v>-0.46531075779475534</v>
      </c>
      <c r="R4647" s="23" t="s">
        <v>1198</v>
      </c>
      <c r="T4647" s="41" t="s">
        <v>6107</v>
      </c>
    </row>
    <row r="4648" spans="1:20" x14ac:dyDescent="0.25">
      <c r="A4648" s="21">
        <v>45807</v>
      </c>
      <c r="B4648" s="1" t="s">
        <v>4309</v>
      </c>
      <c r="C4648" t="s">
        <v>1221</v>
      </c>
      <c r="D4648" s="22">
        <v>-17.760000000000002</v>
      </c>
      <c r="E4648" t="s">
        <v>35</v>
      </c>
      <c r="F4648" s="2">
        <v>610148001</v>
      </c>
      <c r="G4648" s="2" t="s">
        <v>42</v>
      </c>
      <c r="L4648" s="2" t="s">
        <v>8216</v>
      </c>
      <c r="M4648" t="s">
        <v>43</v>
      </c>
      <c r="N4648" t="s">
        <v>42</v>
      </c>
      <c r="P4648" s="23">
        <v>96.86</v>
      </c>
      <c r="Q4648" s="4">
        <f t="shared" si="72"/>
        <v>-0.18335742308486477</v>
      </c>
      <c r="R4648" s="23" t="s">
        <v>1198</v>
      </c>
      <c r="T4648" s="41" t="s">
        <v>6107</v>
      </c>
    </row>
    <row r="4649" spans="1:20" x14ac:dyDescent="0.25">
      <c r="A4649" s="21">
        <v>45807</v>
      </c>
      <c r="B4649" s="1" t="s">
        <v>4219</v>
      </c>
      <c r="C4649" t="s">
        <v>1221</v>
      </c>
      <c r="D4649" s="22">
        <v>-118.88</v>
      </c>
      <c r="E4649" t="s">
        <v>35</v>
      </c>
      <c r="F4649" s="2">
        <v>610148001</v>
      </c>
      <c r="G4649" s="2" t="s">
        <v>42</v>
      </c>
      <c r="L4649" s="2" t="s">
        <v>8217</v>
      </c>
      <c r="M4649" t="s">
        <v>43</v>
      </c>
      <c r="N4649" t="s">
        <v>42</v>
      </c>
      <c r="P4649" s="23">
        <v>96.86</v>
      </c>
      <c r="Q4649" s="4">
        <f t="shared" si="72"/>
        <v>-1.2273384265950857</v>
      </c>
      <c r="R4649" s="23" t="s">
        <v>1198</v>
      </c>
      <c r="T4649" s="41" t="s">
        <v>6107</v>
      </c>
    </row>
    <row r="4650" spans="1:20" x14ac:dyDescent="0.25">
      <c r="A4650" s="21">
        <v>45807</v>
      </c>
      <c r="B4650" s="1" t="s">
        <v>4313</v>
      </c>
      <c r="C4650" t="s">
        <v>1221</v>
      </c>
      <c r="D4650" s="22">
        <v>-11.79</v>
      </c>
      <c r="E4650" t="s">
        <v>35</v>
      </c>
      <c r="F4650" s="2">
        <v>610148001</v>
      </c>
      <c r="G4650" s="2" t="s">
        <v>42</v>
      </c>
      <c r="L4650" s="2" t="s">
        <v>8218</v>
      </c>
      <c r="M4650" t="s">
        <v>43</v>
      </c>
      <c r="N4650" t="s">
        <v>42</v>
      </c>
      <c r="P4650" s="23">
        <v>96.86</v>
      </c>
      <c r="Q4650" s="4">
        <f t="shared" si="72"/>
        <v>-0.12172207309518893</v>
      </c>
      <c r="R4650" s="23" t="s">
        <v>1198</v>
      </c>
      <c r="T4650" s="41" t="s">
        <v>6107</v>
      </c>
    </row>
    <row r="4651" spans="1:20" x14ac:dyDescent="0.25">
      <c r="A4651" s="21">
        <v>45807</v>
      </c>
      <c r="B4651" s="1" t="s">
        <v>4319</v>
      </c>
      <c r="C4651" t="s">
        <v>1221</v>
      </c>
      <c r="D4651" s="22">
        <v>-9.52</v>
      </c>
      <c r="E4651" t="s">
        <v>35</v>
      </c>
      <c r="F4651" s="2">
        <v>610148001</v>
      </c>
      <c r="G4651" s="2" t="s">
        <v>42</v>
      </c>
      <c r="L4651" s="2" t="s">
        <v>8219</v>
      </c>
      <c r="M4651" t="s">
        <v>43</v>
      </c>
      <c r="N4651" t="s">
        <v>42</v>
      </c>
      <c r="P4651" s="23">
        <v>96.86</v>
      </c>
      <c r="Q4651" s="4">
        <f t="shared" si="72"/>
        <v>-9.8286186248193269E-2</v>
      </c>
      <c r="R4651" s="23" t="s">
        <v>1198</v>
      </c>
      <c r="T4651" s="41" t="s">
        <v>6107</v>
      </c>
    </row>
    <row r="4652" spans="1:20" x14ac:dyDescent="0.25">
      <c r="A4652" s="21">
        <v>45807</v>
      </c>
      <c r="B4652" s="1" t="s">
        <v>4223</v>
      </c>
      <c r="C4652" t="s">
        <v>1221</v>
      </c>
      <c r="D4652" s="22">
        <v>-14.28</v>
      </c>
      <c r="E4652" t="s">
        <v>35</v>
      </c>
      <c r="F4652" s="2">
        <v>610148001</v>
      </c>
      <c r="G4652" s="2" t="s">
        <v>42</v>
      </c>
      <c r="L4652" s="2" t="s">
        <v>8220</v>
      </c>
      <c r="M4652" t="s">
        <v>43</v>
      </c>
      <c r="N4652" t="s">
        <v>42</v>
      </c>
      <c r="P4652" s="23">
        <v>96.86</v>
      </c>
      <c r="Q4652" s="4">
        <f t="shared" si="72"/>
        <v>-0.14742927937228989</v>
      </c>
      <c r="R4652" s="23" t="s">
        <v>1198</v>
      </c>
      <c r="T4652" s="41" t="s">
        <v>6107</v>
      </c>
    </row>
    <row r="4653" spans="1:20" x14ac:dyDescent="0.25">
      <c r="A4653" s="21">
        <v>45807</v>
      </c>
      <c r="B4653" s="1" t="s">
        <v>4233</v>
      </c>
      <c r="C4653" t="s">
        <v>1221</v>
      </c>
      <c r="D4653" s="22">
        <v>-2.38</v>
      </c>
      <c r="E4653" t="s">
        <v>35</v>
      </c>
      <c r="F4653" s="2">
        <v>610148001</v>
      </c>
      <c r="G4653" s="2" t="s">
        <v>42</v>
      </c>
      <c r="L4653" s="2" t="s">
        <v>8221</v>
      </c>
      <c r="M4653" t="s">
        <v>43</v>
      </c>
      <c r="N4653" t="s">
        <v>42</v>
      </c>
      <c r="P4653" s="23">
        <v>96.86</v>
      </c>
      <c r="Q4653" s="4">
        <f t="shared" si="72"/>
        <v>-2.4571546562048317E-2</v>
      </c>
      <c r="R4653" s="23" t="s">
        <v>1198</v>
      </c>
      <c r="T4653" s="41" t="s">
        <v>6107</v>
      </c>
    </row>
    <row r="4654" spans="1:20" x14ac:dyDescent="0.25">
      <c r="A4654" s="21">
        <v>45807</v>
      </c>
      <c r="B4654" s="1" t="s">
        <v>4303</v>
      </c>
      <c r="C4654" t="s">
        <v>1221</v>
      </c>
      <c r="D4654" s="22">
        <v>-2.38</v>
      </c>
      <c r="E4654" t="s">
        <v>35</v>
      </c>
      <c r="F4654" s="2">
        <v>610148001</v>
      </c>
      <c r="G4654" s="2" t="s">
        <v>42</v>
      </c>
      <c r="L4654" s="2" t="s">
        <v>8222</v>
      </c>
      <c r="M4654" t="s">
        <v>43</v>
      </c>
      <c r="N4654" t="s">
        <v>42</v>
      </c>
      <c r="P4654" s="23">
        <v>96.86</v>
      </c>
      <c r="Q4654" s="4">
        <f t="shared" si="72"/>
        <v>-2.4571546562048317E-2</v>
      </c>
      <c r="R4654" s="23" t="s">
        <v>1198</v>
      </c>
      <c r="T4654" s="41" t="s">
        <v>6107</v>
      </c>
    </row>
    <row r="4655" spans="1:20" x14ac:dyDescent="0.25">
      <c r="A4655" s="21">
        <v>45807</v>
      </c>
      <c r="B4655" s="1" t="s">
        <v>4325</v>
      </c>
      <c r="C4655" t="s">
        <v>1221</v>
      </c>
      <c r="D4655" s="22">
        <v>-2.38</v>
      </c>
      <c r="E4655" t="s">
        <v>35</v>
      </c>
      <c r="F4655" s="2">
        <v>610148001</v>
      </c>
      <c r="G4655" s="2" t="s">
        <v>42</v>
      </c>
      <c r="L4655" s="2" t="s">
        <v>8223</v>
      </c>
      <c r="M4655" t="s">
        <v>43</v>
      </c>
      <c r="N4655" t="s">
        <v>42</v>
      </c>
      <c r="P4655" s="23">
        <v>96.86</v>
      </c>
      <c r="Q4655" s="4">
        <f t="shared" si="72"/>
        <v>-2.4571546562048317E-2</v>
      </c>
      <c r="R4655" s="23" t="s">
        <v>1198</v>
      </c>
      <c r="T4655" s="41" t="s">
        <v>6107</v>
      </c>
    </row>
    <row r="4656" spans="1:20" x14ac:dyDescent="0.25">
      <c r="A4656" s="21">
        <v>45807</v>
      </c>
      <c r="B4656" s="1" t="s">
        <v>4307</v>
      </c>
      <c r="C4656" t="s">
        <v>1221</v>
      </c>
      <c r="D4656" s="22">
        <v>-0.15</v>
      </c>
      <c r="E4656" t="s">
        <v>35</v>
      </c>
      <c r="F4656" s="2">
        <v>610148001</v>
      </c>
      <c r="G4656" s="2" t="s">
        <v>42</v>
      </c>
      <c r="L4656" s="2" t="s">
        <v>8224</v>
      </c>
      <c r="M4656" t="s">
        <v>43</v>
      </c>
      <c r="N4656" t="s">
        <v>42</v>
      </c>
      <c r="P4656" s="23">
        <v>96.86</v>
      </c>
      <c r="Q4656" s="4">
        <f t="shared" si="72"/>
        <v>-1.548626884162709E-3</v>
      </c>
      <c r="R4656" s="23" t="s">
        <v>1198</v>
      </c>
      <c r="T4656" s="41" t="s">
        <v>6107</v>
      </c>
    </row>
    <row r="4657" spans="1:20" x14ac:dyDescent="0.25">
      <c r="A4657" s="21">
        <v>45807</v>
      </c>
      <c r="B4657" s="1" t="s">
        <v>8225</v>
      </c>
      <c r="C4657" t="s">
        <v>1221</v>
      </c>
      <c r="D4657" s="22">
        <v>-0.15</v>
      </c>
      <c r="E4657" t="s">
        <v>35</v>
      </c>
      <c r="F4657" s="2">
        <v>610148001</v>
      </c>
      <c r="G4657" s="2" t="s">
        <v>42</v>
      </c>
      <c r="L4657" s="2" t="s">
        <v>8226</v>
      </c>
      <c r="M4657" t="s">
        <v>43</v>
      </c>
      <c r="N4657" t="s">
        <v>42</v>
      </c>
      <c r="P4657" s="23">
        <v>96.86</v>
      </c>
      <c r="Q4657" s="4">
        <f t="shared" si="72"/>
        <v>-1.548626884162709E-3</v>
      </c>
      <c r="R4657" s="23" t="s">
        <v>1198</v>
      </c>
      <c r="T4657" s="41" t="s">
        <v>6107</v>
      </c>
    </row>
    <row r="4658" spans="1:20" x14ac:dyDescent="0.25">
      <c r="A4658" s="21">
        <v>45807</v>
      </c>
      <c r="B4658" s="1" t="s">
        <v>8227</v>
      </c>
      <c r="C4658" t="s">
        <v>1221</v>
      </c>
      <c r="D4658" s="22">
        <v>-0.13</v>
      </c>
      <c r="E4658" t="s">
        <v>35</v>
      </c>
      <c r="F4658" s="2">
        <v>610148001</v>
      </c>
      <c r="G4658" s="2" t="s">
        <v>42</v>
      </c>
      <c r="L4658" s="2" t="s">
        <v>8228</v>
      </c>
      <c r="M4658" t="s">
        <v>43</v>
      </c>
      <c r="N4658" t="s">
        <v>42</v>
      </c>
      <c r="P4658" s="23">
        <v>96.86</v>
      </c>
      <c r="Q4658" s="4">
        <f t="shared" si="72"/>
        <v>-1.3421432996076812E-3</v>
      </c>
      <c r="R4658" s="23" t="s">
        <v>1198</v>
      </c>
      <c r="T4658" s="41" t="s">
        <v>6107</v>
      </c>
    </row>
    <row r="4659" spans="1:20" x14ac:dyDescent="0.25">
      <c r="A4659" s="21">
        <v>45807</v>
      </c>
      <c r="B4659" s="1" t="s">
        <v>8229</v>
      </c>
      <c r="C4659" t="s">
        <v>1221</v>
      </c>
      <c r="D4659" s="22">
        <v>-9.52</v>
      </c>
      <c r="E4659" t="s">
        <v>35</v>
      </c>
      <c r="F4659" s="2">
        <v>610148001</v>
      </c>
      <c r="G4659" s="2" t="s">
        <v>42</v>
      </c>
      <c r="L4659" s="2" t="s">
        <v>8230</v>
      </c>
      <c r="M4659" t="s">
        <v>43</v>
      </c>
      <c r="N4659" t="s">
        <v>42</v>
      </c>
      <c r="P4659" s="23">
        <v>96.86</v>
      </c>
      <c r="Q4659" s="4">
        <f t="shared" si="72"/>
        <v>-9.8286186248193269E-2</v>
      </c>
      <c r="R4659" s="23" t="s">
        <v>1198</v>
      </c>
      <c r="T4659" s="41" t="s">
        <v>6107</v>
      </c>
    </row>
    <row r="4660" spans="1:20" x14ac:dyDescent="0.25">
      <c r="A4660" s="21">
        <v>45807</v>
      </c>
      <c r="B4660" s="1" t="s">
        <v>8231</v>
      </c>
      <c r="C4660" t="s">
        <v>1221</v>
      </c>
      <c r="D4660" s="22">
        <v>-9.52</v>
      </c>
      <c r="E4660" t="s">
        <v>35</v>
      </c>
      <c r="F4660" s="2">
        <v>610148001</v>
      </c>
      <c r="G4660" s="2" t="s">
        <v>42</v>
      </c>
      <c r="L4660" s="2" t="s">
        <v>8232</v>
      </c>
      <c r="M4660" t="s">
        <v>43</v>
      </c>
      <c r="N4660" t="s">
        <v>42</v>
      </c>
      <c r="P4660" s="23">
        <v>96.86</v>
      </c>
      <c r="Q4660" s="4">
        <f t="shared" si="72"/>
        <v>-9.8286186248193269E-2</v>
      </c>
      <c r="R4660" s="23" t="s">
        <v>1198</v>
      </c>
      <c r="T4660" s="41" t="s">
        <v>6107</v>
      </c>
    </row>
    <row r="4661" spans="1:20" x14ac:dyDescent="0.25">
      <c r="A4661" s="21">
        <v>45807</v>
      </c>
      <c r="B4661" s="1" t="s">
        <v>8233</v>
      </c>
      <c r="C4661" t="s">
        <v>1221</v>
      </c>
      <c r="D4661" s="22">
        <v>-9.52</v>
      </c>
      <c r="E4661" t="s">
        <v>35</v>
      </c>
      <c r="F4661" s="2">
        <v>610148001</v>
      </c>
      <c r="G4661" s="2" t="s">
        <v>42</v>
      </c>
      <c r="L4661" s="2" t="s">
        <v>8234</v>
      </c>
      <c r="M4661" t="s">
        <v>43</v>
      </c>
      <c r="N4661" t="s">
        <v>42</v>
      </c>
      <c r="P4661" s="23">
        <v>96.86</v>
      </c>
      <c r="Q4661" s="4">
        <f t="shared" si="72"/>
        <v>-9.8286186248193269E-2</v>
      </c>
      <c r="R4661" s="23" t="s">
        <v>1198</v>
      </c>
      <c r="T4661" s="41" t="s">
        <v>6107</v>
      </c>
    </row>
    <row r="4662" spans="1:20" x14ac:dyDescent="0.25">
      <c r="A4662" s="21">
        <v>45807</v>
      </c>
      <c r="B4662" s="1" t="s">
        <v>4299</v>
      </c>
      <c r="C4662" t="s">
        <v>1221</v>
      </c>
      <c r="D4662" s="22">
        <v>-2.38</v>
      </c>
      <c r="E4662" t="s">
        <v>35</v>
      </c>
      <c r="F4662" s="2">
        <v>610148001</v>
      </c>
      <c r="G4662" s="2" t="s">
        <v>42</v>
      </c>
      <c r="L4662" s="2" t="s">
        <v>8235</v>
      </c>
      <c r="M4662" t="s">
        <v>43</v>
      </c>
      <c r="N4662" t="s">
        <v>42</v>
      </c>
      <c r="P4662" s="23">
        <v>96.86</v>
      </c>
      <c r="Q4662" s="4">
        <f t="shared" si="72"/>
        <v>-2.4571546562048317E-2</v>
      </c>
      <c r="R4662" s="23" t="s">
        <v>1198</v>
      </c>
      <c r="T4662" s="41" t="s">
        <v>6107</v>
      </c>
    </row>
    <row r="4663" spans="1:20" x14ac:dyDescent="0.25">
      <c r="A4663" s="21">
        <v>45807</v>
      </c>
      <c r="B4663" s="1" t="s">
        <v>4270</v>
      </c>
      <c r="C4663" t="s">
        <v>1221</v>
      </c>
      <c r="D4663" s="22">
        <v>-0.15</v>
      </c>
      <c r="E4663" t="s">
        <v>35</v>
      </c>
      <c r="F4663" s="2">
        <v>610148001</v>
      </c>
      <c r="G4663" s="2" t="s">
        <v>42</v>
      </c>
      <c r="L4663" s="2" t="s">
        <v>8236</v>
      </c>
      <c r="M4663" t="s">
        <v>43</v>
      </c>
      <c r="N4663" t="s">
        <v>42</v>
      </c>
      <c r="P4663" s="23">
        <v>96.86</v>
      </c>
      <c r="Q4663" s="4">
        <f t="shared" si="72"/>
        <v>-1.548626884162709E-3</v>
      </c>
      <c r="R4663" s="23" t="s">
        <v>1198</v>
      </c>
      <c r="T4663" s="41" t="s">
        <v>6107</v>
      </c>
    </row>
    <row r="4664" spans="1:20" x14ac:dyDescent="0.25">
      <c r="A4664" s="21">
        <v>45807</v>
      </c>
      <c r="B4664" s="1" t="s">
        <v>3958</v>
      </c>
      <c r="C4664" t="s">
        <v>1221</v>
      </c>
      <c r="D4664" s="22">
        <v>-17.12</v>
      </c>
      <c r="E4664" t="s">
        <v>35</v>
      </c>
      <c r="F4664" s="2">
        <v>610148001</v>
      </c>
      <c r="G4664" s="2" t="s">
        <v>42</v>
      </c>
      <c r="L4664" s="2" t="s">
        <v>8237</v>
      </c>
      <c r="M4664" t="s">
        <v>43</v>
      </c>
      <c r="N4664" t="s">
        <v>42</v>
      </c>
      <c r="P4664" s="23">
        <v>96.86</v>
      </c>
      <c r="Q4664" s="4">
        <f t="shared" si="72"/>
        <v>-0.17674994837910388</v>
      </c>
      <c r="R4664" s="23" t="s">
        <v>1198</v>
      </c>
      <c r="T4664" s="41" t="s">
        <v>6107</v>
      </c>
    </row>
    <row r="4665" spans="1:20" x14ac:dyDescent="0.25">
      <c r="A4665" s="21">
        <v>45807</v>
      </c>
      <c r="B4665" s="1" t="s">
        <v>4227</v>
      </c>
      <c r="C4665" t="s">
        <v>1221</v>
      </c>
      <c r="D4665" s="22">
        <v>-95.07</v>
      </c>
      <c r="E4665" t="s">
        <v>35</v>
      </c>
      <c r="F4665" s="2">
        <v>610148001</v>
      </c>
      <c r="G4665" s="2" t="s">
        <v>42</v>
      </c>
      <c r="L4665" s="2" t="s">
        <v>8238</v>
      </c>
      <c r="M4665" t="s">
        <v>43</v>
      </c>
      <c r="N4665" t="s">
        <v>42</v>
      </c>
      <c r="P4665" s="23">
        <v>96.86</v>
      </c>
      <c r="Q4665" s="4">
        <f t="shared" si="72"/>
        <v>-0.98151971918232495</v>
      </c>
      <c r="R4665" s="23" t="s">
        <v>1198</v>
      </c>
      <c r="T4665" s="41" t="s">
        <v>6107</v>
      </c>
    </row>
    <row r="4666" spans="1:20" x14ac:dyDescent="0.25">
      <c r="A4666" s="21">
        <v>45807</v>
      </c>
      <c r="B4666" s="1" t="s">
        <v>4323</v>
      </c>
      <c r="C4666" t="s">
        <v>1221</v>
      </c>
      <c r="D4666" s="22">
        <v>-2.38</v>
      </c>
      <c r="E4666" t="s">
        <v>35</v>
      </c>
      <c r="F4666" s="2">
        <v>610148001</v>
      </c>
      <c r="G4666" s="2" t="s">
        <v>42</v>
      </c>
      <c r="L4666" s="2" t="s">
        <v>8239</v>
      </c>
      <c r="M4666" t="s">
        <v>43</v>
      </c>
      <c r="N4666" t="s">
        <v>42</v>
      </c>
      <c r="P4666" s="23">
        <v>96.86</v>
      </c>
      <c r="Q4666" s="4">
        <f t="shared" si="72"/>
        <v>-2.4571546562048317E-2</v>
      </c>
      <c r="R4666" s="23" t="s">
        <v>1198</v>
      </c>
      <c r="T4666" s="41" t="s">
        <v>6107</v>
      </c>
    </row>
    <row r="4667" spans="1:20" x14ac:dyDescent="0.25">
      <c r="A4667" s="21">
        <v>45807</v>
      </c>
      <c r="B4667" s="1" t="s">
        <v>4206</v>
      </c>
      <c r="C4667" t="s">
        <v>1221</v>
      </c>
      <c r="D4667" s="22">
        <v>-2.38</v>
      </c>
      <c r="E4667" t="s">
        <v>35</v>
      </c>
      <c r="F4667" s="2">
        <v>610148001</v>
      </c>
      <c r="G4667" s="2" t="s">
        <v>42</v>
      </c>
      <c r="L4667" s="2" t="s">
        <v>8240</v>
      </c>
      <c r="M4667" t="s">
        <v>43</v>
      </c>
      <c r="N4667" t="s">
        <v>42</v>
      </c>
      <c r="P4667" s="23">
        <v>96.86</v>
      </c>
      <c r="Q4667" s="4">
        <f t="shared" si="72"/>
        <v>-2.4571546562048317E-2</v>
      </c>
      <c r="R4667" s="23" t="s">
        <v>1198</v>
      </c>
      <c r="T4667" s="41" t="s">
        <v>6107</v>
      </c>
    </row>
    <row r="4668" spans="1:20" x14ac:dyDescent="0.25">
      <c r="A4668" s="21">
        <v>45807</v>
      </c>
      <c r="B4668" s="1" t="s">
        <v>4305</v>
      </c>
      <c r="C4668" t="s">
        <v>1221</v>
      </c>
      <c r="D4668" s="22">
        <v>-0.15</v>
      </c>
      <c r="E4668" t="s">
        <v>35</v>
      </c>
      <c r="F4668" s="2">
        <v>610148001</v>
      </c>
      <c r="G4668" s="2" t="s">
        <v>42</v>
      </c>
      <c r="L4668" s="2" t="s">
        <v>8241</v>
      </c>
      <c r="M4668" t="s">
        <v>43</v>
      </c>
      <c r="N4668" t="s">
        <v>42</v>
      </c>
      <c r="P4668" s="23">
        <v>96.86</v>
      </c>
      <c r="Q4668" s="4">
        <f t="shared" si="72"/>
        <v>-1.548626884162709E-3</v>
      </c>
      <c r="R4668" s="23" t="s">
        <v>1198</v>
      </c>
      <c r="T4668" s="41" t="s">
        <v>6107</v>
      </c>
    </row>
    <row r="4669" spans="1:20" x14ac:dyDescent="0.25">
      <c r="A4669" s="21">
        <v>45807</v>
      </c>
      <c r="B4669" s="1" t="s">
        <v>4327</v>
      </c>
      <c r="C4669" t="s">
        <v>1221</v>
      </c>
      <c r="D4669" s="22">
        <v>-0.15</v>
      </c>
      <c r="E4669" t="s">
        <v>35</v>
      </c>
      <c r="F4669" s="2">
        <v>610148001</v>
      </c>
      <c r="G4669" s="2" t="s">
        <v>42</v>
      </c>
      <c r="L4669" s="2" t="s">
        <v>8242</v>
      </c>
      <c r="M4669" t="s">
        <v>43</v>
      </c>
      <c r="N4669" t="s">
        <v>42</v>
      </c>
      <c r="P4669" s="23">
        <v>96.86</v>
      </c>
      <c r="Q4669" s="4">
        <f t="shared" si="72"/>
        <v>-1.548626884162709E-3</v>
      </c>
      <c r="R4669" s="23" t="s">
        <v>1198</v>
      </c>
      <c r="T4669" s="41" t="s">
        <v>6107</v>
      </c>
    </row>
    <row r="4670" spans="1:20" x14ac:dyDescent="0.25">
      <c r="A4670" s="21">
        <v>45807</v>
      </c>
      <c r="B4670" s="1" t="s">
        <v>8243</v>
      </c>
      <c r="C4670" t="s">
        <v>1221</v>
      </c>
      <c r="D4670" s="22">
        <v>-0.15</v>
      </c>
      <c r="E4670" t="s">
        <v>35</v>
      </c>
      <c r="F4670" s="2">
        <v>610148001</v>
      </c>
      <c r="G4670" s="2" t="s">
        <v>42</v>
      </c>
      <c r="L4670" s="2" t="s">
        <v>8244</v>
      </c>
      <c r="M4670" t="s">
        <v>43</v>
      </c>
      <c r="N4670" t="s">
        <v>42</v>
      </c>
      <c r="P4670" s="23">
        <v>96.86</v>
      </c>
      <c r="Q4670" s="4">
        <f t="shared" si="72"/>
        <v>-1.548626884162709E-3</v>
      </c>
      <c r="R4670" s="23" t="s">
        <v>1198</v>
      </c>
      <c r="T4670" s="41" t="s">
        <v>6107</v>
      </c>
    </row>
    <row r="4671" spans="1:20" x14ac:dyDescent="0.25">
      <c r="A4671" s="21">
        <v>45807</v>
      </c>
      <c r="B4671" s="1" t="s">
        <v>8245</v>
      </c>
      <c r="C4671" t="s">
        <v>1221</v>
      </c>
      <c r="D4671" s="22">
        <v>-0.15</v>
      </c>
      <c r="E4671" t="s">
        <v>35</v>
      </c>
      <c r="F4671" s="2">
        <v>610148001</v>
      </c>
      <c r="G4671" s="2" t="s">
        <v>42</v>
      </c>
      <c r="L4671" s="2" t="s">
        <v>8246</v>
      </c>
      <c r="M4671" t="s">
        <v>43</v>
      </c>
      <c r="N4671" t="s">
        <v>42</v>
      </c>
      <c r="P4671" s="23">
        <v>96.86</v>
      </c>
      <c r="Q4671" s="4">
        <f t="shared" si="72"/>
        <v>-1.548626884162709E-3</v>
      </c>
      <c r="R4671" s="23" t="s">
        <v>1198</v>
      </c>
      <c r="T4671" s="41" t="s">
        <v>6107</v>
      </c>
    </row>
    <row r="4672" spans="1:20" x14ac:dyDescent="0.25">
      <c r="A4672" s="21">
        <v>45807</v>
      </c>
      <c r="B4672" s="1" t="s">
        <v>8247</v>
      </c>
      <c r="C4672" t="s">
        <v>1221</v>
      </c>
      <c r="D4672" s="22">
        <v>-0.15</v>
      </c>
      <c r="E4672" t="s">
        <v>35</v>
      </c>
      <c r="F4672" s="2">
        <v>610148001</v>
      </c>
      <c r="G4672" s="2" t="s">
        <v>42</v>
      </c>
      <c r="L4672" s="2" t="s">
        <v>8248</v>
      </c>
      <c r="M4672" t="s">
        <v>43</v>
      </c>
      <c r="N4672" t="s">
        <v>42</v>
      </c>
      <c r="P4672" s="23">
        <v>96.86</v>
      </c>
      <c r="Q4672" s="4">
        <f t="shared" si="72"/>
        <v>-1.548626884162709E-3</v>
      </c>
      <c r="R4672" s="23" t="s">
        <v>1198</v>
      </c>
      <c r="T4672" s="41" t="s">
        <v>6107</v>
      </c>
    </row>
    <row r="4673" spans="1:20" x14ac:dyDescent="0.25">
      <c r="A4673" s="21">
        <v>45807</v>
      </c>
      <c r="B4673" s="1" t="s">
        <v>8249</v>
      </c>
      <c r="C4673" t="s">
        <v>1221</v>
      </c>
      <c r="D4673" s="22">
        <v>-9.52</v>
      </c>
      <c r="E4673" t="s">
        <v>35</v>
      </c>
      <c r="F4673" s="2">
        <v>610148001</v>
      </c>
      <c r="G4673" s="2" t="s">
        <v>42</v>
      </c>
      <c r="L4673" s="2" t="s">
        <v>8250</v>
      </c>
      <c r="M4673" t="s">
        <v>43</v>
      </c>
      <c r="N4673" t="s">
        <v>42</v>
      </c>
      <c r="P4673" s="23">
        <v>96.86</v>
      </c>
      <c r="Q4673" s="4">
        <f t="shared" si="72"/>
        <v>-9.8286186248193269E-2</v>
      </c>
      <c r="R4673" s="23" t="s">
        <v>1198</v>
      </c>
      <c r="T4673" s="41" t="s">
        <v>6107</v>
      </c>
    </row>
    <row r="4674" spans="1:20" x14ac:dyDescent="0.25">
      <c r="A4674" s="21">
        <v>45807</v>
      </c>
      <c r="B4674" s="1" t="s">
        <v>8251</v>
      </c>
      <c r="C4674" t="s">
        <v>1221</v>
      </c>
      <c r="D4674" s="22">
        <v>-9.52</v>
      </c>
      <c r="E4674" t="s">
        <v>35</v>
      </c>
      <c r="F4674" s="2">
        <v>610148001</v>
      </c>
      <c r="G4674" s="2" t="s">
        <v>42</v>
      </c>
      <c r="L4674" s="2" t="s">
        <v>8252</v>
      </c>
      <c r="M4674" t="s">
        <v>43</v>
      </c>
      <c r="N4674" t="s">
        <v>42</v>
      </c>
      <c r="P4674" s="23">
        <v>96.86</v>
      </c>
      <c r="Q4674" s="4">
        <f t="shared" si="72"/>
        <v>-9.8286186248193269E-2</v>
      </c>
      <c r="R4674" s="23" t="s">
        <v>1198</v>
      </c>
      <c r="T4674" s="41" t="s">
        <v>6107</v>
      </c>
    </row>
    <row r="4675" spans="1:20" x14ac:dyDescent="0.25">
      <c r="A4675" s="21">
        <v>45807</v>
      </c>
      <c r="B4675" s="1" t="s">
        <v>8253</v>
      </c>
      <c r="C4675" t="s">
        <v>1221</v>
      </c>
      <c r="D4675" s="22">
        <v>-9.52</v>
      </c>
      <c r="E4675" t="s">
        <v>35</v>
      </c>
      <c r="F4675" s="2">
        <v>610148001</v>
      </c>
      <c r="G4675" s="2" t="s">
        <v>42</v>
      </c>
      <c r="L4675" s="2" t="s">
        <v>8254</v>
      </c>
      <c r="M4675" t="s">
        <v>43</v>
      </c>
      <c r="N4675" t="s">
        <v>42</v>
      </c>
      <c r="P4675" s="23">
        <v>96.86</v>
      </c>
      <c r="Q4675" s="4">
        <f t="shared" si="72"/>
        <v>-9.8286186248193269E-2</v>
      </c>
      <c r="R4675" s="23" t="s">
        <v>1198</v>
      </c>
      <c r="T4675" s="41" t="s">
        <v>6107</v>
      </c>
    </row>
    <row r="4676" spans="1:20" x14ac:dyDescent="0.25">
      <c r="A4676" s="21">
        <v>45807</v>
      </c>
      <c r="B4676" s="1" t="s">
        <v>8255</v>
      </c>
      <c r="C4676" t="s">
        <v>1221</v>
      </c>
      <c r="D4676" s="22">
        <v>-9.52</v>
      </c>
      <c r="E4676" t="s">
        <v>35</v>
      </c>
      <c r="F4676" s="2">
        <v>610148001</v>
      </c>
      <c r="G4676" s="2" t="s">
        <v>42</v>
      </c>
      <c r="L4676" s="2" t="s">
        <v>8256</v>
      </c>
      <c r="M4676" t="s">
        <v>43</v>
      </c>
      <c r="N4676" t="s">
        <v>42</v>
      </c>
      <c r="P4676" s="23">
        <v>96.86</v>
      </c>
      <c r="Q4676" s="4">
        <f t="shared" si="72"/>
        <v>-9.8286186248193269E-2</v>
      </c>
      <c r="R4676" s="23" t="s">
        <v>1198</v>
      </c>
      <c r="T4676" s="41" t="s">
        <v>6107</v>
      </c>
    </row>
    <row r="4677" spans="1:20" x14ac:dyDescent="0.25">
      <c r="A4677" s="21">
        <v>45807</v>
      </c>
      <c r="B4677" s="1" t="s">
        <v>8257</v>
      </c>
      <c r="C4677" t="s">
        <v>1221</v>
      </c>
      <c r="D4677" s="22">
        <v>-9.52</v>
      </c>
      <c r="E4677" t="s">
        <v>35</v>
      </c>
      <c r="F4677" s="2">
        <v>610148001</v>
      </c>
      <c r="G4677" s="2" t="s">
        <v>42</v>
      </c>
      <c r="L4677" s="2" t="s">
        <v>8258</v>
      </c>
      <c r="M4677" t="s">
        <v>43</v>
      </c>
      <c r="N4677" t="s">
        <v>42</v>
      </c>
      <c r="P4677" s="23">
        <v>96.86</v>
      </c>
      <c r="Q4677" s="4">
        <f t="shared" si="72"/>
        <v>-9.8286186248193269E-2</v>
      </c>
      <c r="R4677" s="23" t="s">
        <v>1198</v>
      </c>
      <c r="T4677" s="41" t="s">
        <v>6107</v>
      </c>
    </row>
    <row r="4678" spans="1:20" x14ac:dyDescent="0.25">
      <c r="A4678" s="21">
        <v>45807</v>
      </c>
      <c r="B4678" s="1" t="s">
        <v>8259</v>
      </c>
      <c r="C4678" t="s">
        <v>1221</v>
      </c>
      <c r="D4678" s="22">
        <v>-9.52</v>
      </c>
      <c r="E4678" t="s">
        <v>35</v>
      </c>
      <c r="F4678" s="2">
        <v>610148001</v>
      </c>
      <c r="G4678" s="2" t="s">
        <v>42</v>
      </c>
      <c r="L4678" s="2" t="s">
        <v>8260</v>
      </c>
      <c r="M4678" t="s">
        <v>43</v>
      </c>
      <c r="N4678" t="s">
        <v>42</v>
      </c>
      <c r="P4678" s="23">
        <v>96.86</v>
      </c>
      <c r="Q4678" s="4">
        <f t="shared" si="72"/>
        <v>-9.8286186248193269E-2</v>
      </c>
      <c r="R4678" s="23" t="s">
        <v>1198</v>
      </c>
      <c r="T4678" s="41" t="s">
        <v>6107</v>
      </c>
    </row>
    <row r="4679" spans="1:20" x14ac:dyDescent="0.25">
      <c r="A4679" s="21">
        <v>45807</v>
      </c>
      <c r="B4679" s="1" t="s">
        <v>8261</v>
      </c>
      <c r="C4679" t="s">
        <v>1221</v>
      </c>
      <c r="D4679" s="22">
        <v>-9.52</v>
      </c>
      <c r="E4679" t="s">
        <v>35</v>
      </c>
      <c r="F4679" s="2">
        <v>610148001</v>
      </c>
      <c r="G4679" s="2" t="s">
        <v>42</v>
      </c>
      <c r="L4679" s="2" t="s">
        <v>8262</v>
      </c>
      <c r="M4679" t="s">
        <v>43</v>
      </c>
      <c r="N4679" t="s">
        <v>42</v>
      </c>
      <c r="P4679" s="23">
        <v>96.86</v>
      </c>
      <c r="Q4679" s="4">
        <f t="shared" si="72"/>
        <v>-9.8286186248193269E-2</v>
      </c>
      <c r="R4679" s="23" t="s">
        <v>1198</v>
      </c>
      <c r="T4679" s="41" t="s">
        <v>6107</v>
      </c>
    </row>
    <row r="4680" spans="1:20" x14ac:dyDescent="0.25">
      <c r="A4680" s="21">
        <v>45807</v>
      </c>
      <c r="B4680" s="1" t="s">
        <v>8263</v>
      </c>
      <c r="C4680" t="s">
        <v>1221</v>
      </c>
      <c r="D4680" s="22">
        <v>-21.42</v>
      </c>
      <c r="E4680" t="s">
        <v>35</v>
      </c>
      <c r="F4680" s="2">
        <v>610148001</v>
      </c>
      <c r="G4680" s="2" t="s">
        <v>42</v>
      </c>
      <c r="L4680" s="2" t="s">
        <v>8264</v>
      </c>
      <c r="M4680" t="s">
        <v>43</v>
      </c>
      <c r="N4680" t="s">
        <v>42</v>
      </c>
      <c r="P4680" s="23">
        <v>96.86</v>
      </c>
      <c r="Q4680" s="4">
        <f t="shared" si="72"/>
        <v>-0.22114391905843486</v>
      </c>
      <c r="R4680" s="23" t="s">
        <v>1198</v>
      </c>
      <c r="T4680" s="41" t="s">
        <v>6107</v>
      </c>
    </row>
    <row r="4681" spans="1:20" x14ac:dyDescent="0.25">
      <c r="A4681" s="21">
        <v>45807</v>
      </c>
      <c r="B4681" s="1" t="s">
        <v>8265</v>
      </c>
      <c r="C4681" t="s">
        <v>1221</v>
      </c>
      <c r="D4681" s="22">
        <v>-9.52</v>
      </c>
      <c r="E4681" t="s">
        <v>35</v>
      </c>
      <c r="F4681" s="2">
        <v>610148001</v>
      </c>
      <c r="G4681" s="2" t="s">
        <v>42</v>
      </c>
      <c r="L4681" s="2" t="s">
        <v>8266</v>
      </c>
      <c r="M4681" t="s">
        <v>43</v>
      </c>
      <c r="N4681" t="s">
        <v>42</v>
      </c>
      <c r="P4681" s="23">
        <v>96.86</v>
      </c>
      <c r="Q4681" s="4">
        <f t="shared" si="72"/>
        <v>-9.8286186248193269E-2</v>
      </c>
      <c r="R4681" s="23" t="s">
        <v>1198</v>
      </c>
      <c r="T4681" s="41" t="s">
        <v>6107</v>
      </c>
    </row>
    <row r="4682" spans="1:20" x14ac:dyDescent="0.25">
      <c r="A4682" s="21">
        <v>45807</v>
      </c>
      <c r="B4682" s="1" t="s">
        <v>8267</v>
      </c>
      <c r="C4682" t="s">
        <v>1221</v>
      </c>
      <c r="D4682" s="22">
        <v>-9.52</v>
      </c>
      <c r="E4682" t="s">
        <v>35</v>
      </c>
      <c r="F4682" s="2">
        <v>610148001</v>
      </c>
      <c r="G4682" s="2" t="s">
        <v>42</v>
      </c>
      <c r="L4682" s="2" t="s">
        <v>8268</v>
      </c>
      <c r="M4682" t="s">
        <v>43</v>
      </c>
      <c r="N4682" t="s">
        <v>42</v>
      </c>
      <c r="P4682" s="23">
        <v>96.86</v>
      </c>
      <c r="Q4682" s="4">
        <f t="shared" si="72"/>
        <v>-9.8286186248193269E-2</v>
      </c>
      <c r="R4682" s="23" t="s">
        <v>1198</v>
      </c>
      <c r="T4682" s="41" t="s">
        <v>6107</v>
      </c>
    </row>
    <row r="4683" spans="1:20" x14ac:dyDescent="0.25">
      <c r="A4683" s="21">
        <v>45807</v>
      </c>
      <c r="B4683" s="1" t="s">
        <v>8269</v>
      </c>
      <c r="C4683" t="s">
        <v>1221</v>
      </c>
      <c r="D4683" s="22">
        <v>-9.52</v>
      </c>
      <c r="E4683" t="s">
        <v>35</v>
      </c>
      <c r="F4683" s="2">
        <v>610148001</v>
      </c>
      <c r="G4683" s="2" t="s">
        <v>42</v>
      </c>
      <c r="L4683" s="2" t="s">
        <v>8270</v>
      </c>
      <c r="M4683" t="s">
        <v>43</v>
      </c>
      <c r="N4683" t="s">
        <v>42</v>
      </c>
      <c r="P4683" s="23">
        <v>96.86</v>
      </c>
      <c r="Q4683" s="4">
        <f t="shared" ref="Q4683:Q4746" si="73">D4683/P4683</f>
        <v>-9.8286186248193269E-2</v>
      </c>
      <c r="R4683" s="23" t="s">
        <v>1198</v>
      </c>
      <c r="T4683" s="41" t="s">
        <v>6107</v>
      </c>
    </row>
    <row r="4684" spans="1:20" x14ac:dyDescent="0.25">
      <c r="A4684" s="21">
        <v>45807</v>
      </c>
      <c r="B4684" s="1" t="s">
        <v>3962</v>
      </c>
      <c r="C4684" t="s">
        <v>1221</v>
      </c>
      <c r="D4684" s="22">
        <v>-8.1999999999999993</v>
      </c>
      <c r="E4684" t="s">
        <v>35</v>
      </c>
      <c r="F4684" s="2">
        <v>610148001</v>
      </c>
      <c r="G4684" s="2" t="s">
        <v>42</v>
      </c>
      <c r="L4684" s="2" t="s">
        <v>8271</v>
      </c>
      <c r="M4684" t="s">
        <v>43</v>
      </c>
      <c r="N4684" t="s">
        <v>42</v>
      </c>
      <c r="P4684" s="23">
        <v>96.86</v>
      </c>
      <c r="Q4684" s="4">
        <f t="shared" si="73"/>
        <v>-8.4658269667561417E-2</v>
      </c>
      <c r="R4684" s="23" t="s">
        <v>1198</v>
      </c>
      <c r="T4684" s="41" t="s">
        <v>6107</v>
      </c>
    </row>
    <row r="4685" spans="1:20" x14ac:dyDescent="0.25">
      <c r="A4685" s="21">
        <v>45807</v>
      </c>
      <c r="B4685" s="1" t="s">
        <v>4240</v>
      </c>
      <c r="C4685" t="s">
        <v>1221</v>
      </c>
      <c r="D4685" s="22">
        <v>-17.79</v>
      </c>
      <c r="E4685" t="s">
        <v>35</v>
      </c>
      <c r="F4685" s="2">
        <v>610148001</v>
      </c>
      <c r="G4685" s="2" t="s">
        <v>42</v>
      </c>
      <c r="L4685" s="2" t="s">
        <v>8272</v>
      </c>
      <c r="M4685" t="s">
        <v>43</v>
      </c>
      <c r="N4685" t="s">
        <v>42</v>
      </c>
      <c r="P4685" s="23">
        <v>96.86</v>
      </c>
      <c r="Q4685" s="4">
        <f t="shared" si="73"/>
        <v>-0.18366714846169729</v>
      </c>
      <c r="R4685" s="23" t="s">
        <v>1198</v>
      </c>
      <c r="T4685" s="41" t="s">
        <v>6107</v>
      </c>
    </row>
    <row r="4686" spans="1:20" x14ac:dyDescent="0.25">
      <c r="A4686" s="21">
        <v>45807</v>
      </c>
      <c r="B4686" s="1" t="s">
        <v>4332</v>
      </c>
      <c r="C4686" t="s">
        <v>1221</v>
      </c>
      <c r="D4686" s="22">
        <v>-9.39</v>
      </c>
      <c r="E4686" t="s">
        <v>35</v>
      </c>
      <c r="F4686" s="2">
        <v>610148001</v>
      </c>
      <c r="G4686" s="2" t="s">
        <v>42</v>
      </c>
      <c r="L4686" s="2" t="s">
        <v>8273</v>
      </c>
      <c r="M4686" t="s">
        <v>43</v>
      </c>
      <c r="N4686" t="s">
        <v>42</v>
      </c>
      <c r="P4686" s="23">
        <v>96.86</v>
      </c>
      <c r="Q4686" s="4">
        <f t="shared" si="73"/>
        <v>-9.6944042948585593E-2</v>
      </c>
      <c r="R4686" s="23" t="s">
        <v>1198</v>
      </c>
      <c r="T4686" s="41" t="s">
        <v>6107</v>
      </c>
    </row>
    <row r="4687" spans="1:20" x14ac:dyDescent="0.25">
      <c r="A4687" s="21">
        <v>45807</v>
      </c>
      <c r="B4687" s="1" t="s">
        <v>4334</v>
      </c>
      <c r="C4687" t="s">
        <v>1221</v>
      </c>
      <c r="D4687" s="22">
        <v>-15.35</v>
      </c>
      <c r="E4687" t="s">
        <v>35</v>
      </c>
      <c r="F4687" s="2">
        <v>610148001</v>
      </c>
      <c r="G4687" s="2" t="s">
        <v>42</v>
      </c>
      <c r="L4687" s="2" t="s">
        <v>8274</v>
      </c>
      <c r="M4687" t="s">
        <v>43</v>
      </c>
      <c r="N4687" t="s">
        <v>42</v>
      </c>
      <c r="P4687" s="23">
        <v>96.86</v>
      </c>
      <c r="Q4687" s="4">
        <f t="shared" si="73"/>
        <v>-0.1584761511459839</v>
      </c>
      <c r="R4687" s="23" t="s">
        <v>1198</v>
      </c>
      <c r="T4687" s="41" t="s">
        <v>6107</v>
      </c>
    </row>
    <row r="4688" spans="1:20" x14ac:dyDescent="0.25">
      <c r="A4688" s="21">
        <v>45807</v>
      </c>
      <c r="B4688" s="1" t="s">
        <v>4266</v>
      </c>
      <c r="C4688" t="s">
        <v>1221</v>
      </c>
      <c r="D4688" s="22">
        <v>-2.38</v>
      </c>
      <c r="E4688" t="s">
        <v>35</v>
      </c>
      <c r="F4688" s="2">
        <v>610148001</v>
      </c>
      <c r="G4688" s="2" t="s">
        <v>42</v>
      </c>
      <c r="L4688" s="2" t="s">
        <v>8275</v>
      </c>
      <c r="M4688" t="s">
        <v>43</v>
      </c>
      <c r="N4688" t="s">
        <v>42</v>
      </c>
      <c r="P4688" s="23">
        <v>96.86</v>
      </c>
      <c r="Q4688" s="4">
        <f t="shared" si="73"/>
        <v>-2.4571546562048317E-2</v>
      </c>
      <c r="R4688" s="23" t="s">
        <v>1198</v>
      </c>
      <c r="T4688" s="41" t="s">
        <v>6107</v>
      </c>
    </row>
    <row r="4689" spans="1:20" x14ac:dyDescent="0.25">
      <c r="A4689" s="21">
        <v>45807</v>
      </c>
      <c r="B4689" s="1" t="s">
        <v>4321</v>
      </c>
      <c r="C4689" t="s">
        <v>1221</v>
      </c>
      <c r="D4689" s="22">
        <v>-14.28</v>
      </c>
      <c r="E4689" t="s">
        <v>35</v>
      </c>
      <c r="F4689" s="2">
        <v>610148001</v>
      </c>
      <c r="G4689" s="2" t="s">
        <v>42</v>
      </c>
      <c r="L4689" s="2" t="s">
        <v>8276</v>
      </c>
      <c r="M4689" t="s">
        <v>43</v>
      </c>
      <c r="N4689" t="s">
        <v>42</v>
      </c>
      <c r="P4689" s="23">
        <v>96.86</v>
      </c>
      <c r="Q4689" s="4">
        <f t="shared" si="73"/>
        <v>-0.14742927937228989</v>
      </c>
      <c r="R4689" s="23" t="s">
        <v>1198</v>
      </c>
      <c r="T4689" s="41" t="s">
        <v>6107</v>
      </c>
    </row>
    <row r="4690" spans="1:20" x14ac:dyDescent="0.25">
      <c r="A4690" s="21">
        <v>45807</v>
      </c>
      <c r="B4690" s="1" t="s">
        <v>4246</v>
      </c>
      <c r="C4690" t="s">
        <v>1221</v>
      </c>
      <c r="D4690" s="22">
        <v>-2.38</v>
      </c>
      <c r="E4690" t="s">
        <v>35</v>
      </c>
      <c r="F4690" s="2">
        <v>610148001</v>
      </c>
      <c r="G4690" s="2" t="s">
        <v>42</v>
      </c>
      <c r="L4690" s="2" t="s">
        <v>8277</v>
      </c>
      <c r="M4690" t="s">
        <v>43</v>
      </c>
      <c r="N4690" t="s">
        <v>42</v>
      </c>
      <c r="P4690" s="23">
        <v>96.86</v>
      </c>
      <c r="Q4690" s="4">
        <f t="shared" si="73"/>
        <v>-2.4571546562048317E-2</v>
      </c>
      <c r="R4690" s="23" t="s">
        <v>1198</v>
      </c>
      <c r="T4690" s="41" t="s">
        <v>6107</v>
      </c>
    </row>
    <row r="4691" spans="1:20" x14ac:dyDescent="0.25">
      <c r="A4691" s="21">
        <v>45807</v>
      </c>
      <c r="B4691" s="1" t="s">
        <v>4253</v>
      </c>
      <c r="C4691" t="s">
        <v>1221</v>
      </c>
      <c r="D4691" s="22">
        <v>-2.38</v>
      </c>
      <c r="E4691" t="s">
        <v>35</v>
      </c>
      <c r="F4691" s="2">
        <v>610148001</v>
      </c>
      <c r="G4691" s="2" t="s">
        <v>42</v>
      </c>
      <c r="L4691" s="2" t="s">
        <v>8278</v>
      </c>
      <c r="M4691" t="s">
        <v>43</v>
      </c>
      <c r="N4691" t="s">
        <v>42</v>
      </c>
      <c r="P4691" s="23">
        <v>96.86</v>
      </c>
      <c r="Q4691" s="4">
        <f t="shared" si="73"/>
        <v>-2.4571546562048317E-2</v>
      </c>
      <c r="R4691" s="23" t="s">
        <v>1198</v>
      </c>
      <c r="T4691" s="41" t="s">
        <v>6107</v>
      </c>
    </row>
    <row r="4692" spans="1:20" x14ac:dyDescent="0.25">
      <c r="A4692" s="21">
        <v>45807</v>
      </c>
      <c r="B4692" s="1" t="s">
        <v>4292</v>
      </c>
      <c r="C4692" t="s">
        <v>1221</v>
      </c>
      <c r="D4692" s="22">
        <v>-2.38</v>
      </c>
      <c r="E4692" t="s">
        <v>35</v>
      </c>
      <c r="F4692" s="2">
        <v>610148001</v>
      </c>
      <c r="G4692" s="2" t="s">
        <v>42</v>
      </c>
      <c r="L4692" s="2" t="s">
        <v>8279</v>
      </c>
      <c r="M4692" t="s">
        <v>43</v>
      </c>
      <c r="N4692" t="s">
        <v>42</v>
      </c>
      <c r="P4692" s="23">
        <v>96.86</v>
      </c>
      <c r="Q4692" s="4">
        <f t="shared" si="73"/>
        <v>-2.4571546562048317E-2</v>
      </c>
      <c r="R4692" s="23" t="s">
        <v>1198</v>
      </c>
      <c r="T4692" s="41" t="s">
        <v>6107</v>
      </c>
    </row>
    <row r="4693" spans="1:20" x14ac:dyDescent="0.25">
      <c r="A4693" s="21">
        <v>45807</v>
      </c>
      <c r="B4693" s="1" t="s">
        <v>4249</v>
      </c>
      <c r="C4693" t="s">
        <v>1221</v>
      </c>
      <c r="D4693" s="22">
        <v>-11.78</v>
      </c>
      <c r="E4693" t="s">
        <v>35</v>
      </c>
      <c r="F4693" s="2">
        <v>610148001</v>
      </c>
      <c r="G4693" s="2" t="s">
        <v>42</v>
      </c>
      <c r="L4693" s="2" t="s">
        <v>8280</v>
      </c>
      <c r="M4693" t="s">
        <v>43</v>
      </c>
      <c r="N4693" t="s">
        <v>42</v>
      </c>
      <c r="P4693" s="23">
        <v>96.86</v>
      </c>
      <c r="Q4693" s="4">
        <f t="shared" si="73"/>
        <v>-0.12161883130291141</v>
      </c>
      <c r="R4693" s="23" t="s">
        <v>1198</v>
      </c>
      <c r="T4693" s="41" t="s">
        <v>6107</v>
      </c>
    </row>
    <row r="4694" spans="1:20" x14ac:dyDescent="0.25">
      <c r="A4694" s="21">
        <v>45807</v>
      </c>
      <c r="B4694" s="1" t="s">
        <v>8281</v>
      </c>
      <c r="C4694" t="s">
        <v>1221</v>
      </c>
      <c r="D4694" s="22">
        <v>-9.52</v>
      </c>
      <c r="E4694" t="s">
        <v>35</v>
      </c>
      <c r="F4694" s="2">
        <v>610148001</v>
      </c>
      <c r="G4694" s="2" t="s">
        <v>42</v>
      </c>
      <c r="L4694" s="2" t="s">
        <v>8282</v>
      </c>
      <c r="M4694" t="s">
        <v>43</v>
      </c>
      <c r="N4694" t="s">
        <v>42</v>
      </c>
      <c r="P4694" s="23">
        <v>96.86</v>
      </c>
      <c r="Q4694" s="4">
        <f t="shared" si="73"/>
        <v>-9.8286186248193269E-2</v>
      </c>
      <c r="R4694" s="23" t="s">
        <v>1198</v>
      </c>
      <c r="T4694" s="41" t="s">
        <v>6107</v>
      </c>
    </row>
    <row r="4695" spans="1:20" x14ac:dyDescent="0.25">
      <c r="A4695" s="21">
        <v>45807</v>
      </c>
      <c r="B4695" s="1" t="s">
        <v>4210</v>
      </c>
      <c r="C4695" t="s">
        <v>1221</v>
      </c>
      <c r="D4695" s="22">
        <v>-0.15</v>
      </c>
      <c r="E4695" t="s">
        <v>35</v>
      </c>
      <c r="F4695" s="2">
        <v>610148001</v>
      </c>
      <c r="G4695" s="2" t="s">
        <v>42</v>
      </c>
      <c r="L4695" s="2" t="s">
        <v>8283</v>
      </c>
      <c r="M4695" t="s">
        <v>43</v>
      </c>
      <c r="N4695" t="s">
        <v>42</v>
      </c>
      <c r="P4695" s="23">
        <v>96.86</v>
      </c>
      <c r="Q4695" s="4">
        <f t="shared" si="73"/>
        <v>-1.548626884162709E-3</v>
      </c>
      <c r="R4695" s="23" t="s">
        <v>1198</v>
      </c>
      <c r="T4695" s="41" t="s">
        <v>6107</v>
      </c>
    </row>
    <row r="4696" spans="1:20" x14ac:dyDescent="0.25">
      <c r="A4696" s="21">
        <v>45807</v>
      </c>
      <c r="B4696" s="1" t="s">
        <v>8284</v>
      </c>
      <c r="C4696" t="s">
        <v>1221</v>
      </c>
      <c r="D4696" s="22">
        <v>-0.15</v>
      </c>
      <c r="E4696" t="s">
        <v>35</v>
      </c>
      <c r="F4696" s="2">
        <v>610148001</v>
      </c>
      <c r="G4696" s="2" t="s">
        <v>42</v>
      </c>
      <c r="L4696" s="2" t="s">
        <v>8285</v>
      </c>
      <c r="M4696" t="s">
        <v>43</v>
      </c>
      <c r="N4696" t="s">
        <v>42</v>
      </c>
      <c r="P4696" s="23">
        <v>96.86</v>
      </c>
      <c r="Q4696" s="4">
        <f t="shared" si="73"/>
        <v>-1.548626884162709E-3</v>
      </c>
      <c r="R4696" s="23" t="s">
        <v>1198</v>
      </c>
      <c r="T4696" s="41" t="s">
        <v>6107</v>
      </c>
    </row>
    <row r="4697" spans="1:20" x14ac:dyDescent="0.25">
      <c r="A4697" s="21">
        <v>45807</v>
      </c>
      <c r="B4697" s="1" t="s">
        <v>8286</v>
      </c>
      <c r="C4697" t="s">
        <v>1221</v>
      </c>
      <c r="D4697" s="22">
        <v>-0.15</v>
      </c>
      <c r="E4697" t="s">
        <v>35</v>
      </c>
      <c r="F4697" s="2">
        <v>610148001</v>
      </c>
      <c r="G4697" s="2" t="s">
        <v>42</v>
      </c>
      <c r="L4697" s="2" t="s">
        <v>8287</v>
      </c>
      <c r="M4697" t="s">
        <v>43</v>
      </c>
      <c r="N4697" t="s">
        <v>42</v>
      </c>
      <c r="P4697" s="23">
        <v>96.86</v>
      </c>
      <c r="Q4697" s="4">
        <f t="shared" si="73"/>
        <v>-1.548626884162709E-3</v>
      </c>
      <c r="R4697" s="23" t="s">
        <v>1198</v>
      </c>
      <c r="T4697" s="41" t="s">
        <v>6107</v>
      </c>
    </row>
    <row r="4698" spans="1:20" x14ac:dyDescent="0.25">
      <c r="A4698" s="21">
        <v>45807</v>
      </c>
      <c r="B4698" s="1" t="s">
        <v>8288</v>
      </c>
      <c r="C4698" t="s">
        <v>1221</v>
      </c>
      <c r="D4698" s="22">
        <v>-0.15</v>
      </c>
      <c r="E4698" t="s">
        <v>35</v>
      </c>
      <c r="F4698" s="2">
        <v>610148001</v>
      </c>
      <c r="G4698" s="2" t="s">
        <v>42</v>
      </c>
      <c r="L4698" s="2" t="s">
        <v>8289</v>
      </c>
      <c r="M4698" t="s">
        <v>43</v>
      </c>
      <c r="N4698" t="s">
        <v>42</v>
      </c>
      <c r="P4698" s="23">
        <v>96.86</v>
      </c>
      <c r="Q4698" s="4">
        <f t="shared" si="73"/>
        <v>-1.548626884162709E-3</v>
      </c>
      <c r="R4698" s="23" t="s">
        <v>1198</v>
      </c>
      <c r="T4698" s="41" t="s">
        <v>6107</v>
      </c>
    </row>
    <row r="4699" spans="1:20" x14ac:dyDescent="0.25">
      <c r="A4699" s="21">
        <v>45807</v>
      </c>
      <c r="B4699" s="1" t="s">
        <v>8290</v>
      </c>
      <c r="C4699" t="s">
        <v>1221</v>
      </c>
      <c r="D4699" s="22">
        <v>-0.15</v>
      </c>
      <c r="E4699" t="s">
        <v>35</v>
      </c>
      <c r="F4699" s="2">
        <v>610148001</v>
      </c>
      <c r="G4699" s="2" t="s">
        <v>42</v>
      </c>
      <c r="L4699" s="2" t="s">
        <v>8291</v>
      </c>
      <c r="M4699" t="s">
        <v>43</v>
      </c>
      <c r="N4699" t="s">
        <v>42</v>
      </c>
      <c r="P4699" s="23">
        <v>96.86</v>
      </c>
      <c r="Q4699" s="4">
        <f t="shared" si="73"/>
        <v>-1.548626884162709E-3</v>
      </c>
      <c r="R4699" s="23" t="s">
        <v>1198</v>
      </c>
      <c r="T4699" s="41" t="s">
        <v>6107</v>
      </c>
    </row>
    <row r="4700" spans="1:20" x14ac:dyDescent="0.25">
      <c r="A4700" s="21">
        <v>45807</v>
      </c>
      <c r="B4700" s="1" t="s">
        <v>8292</v>
      </c>
      <c r="C4700" t="s">
        <v>1221</v>
      </c>
      <c r="D4700" s="22">
        <v>-9.52</v>
      </c>
      <c r="E4700" t="s">
        <v>35</v>
      </c>
      <c r="F4700" s="2">
        <v>610148001</v>
      </c>
      <c r="G4700" s="2" t="s">
        <v>42</v>
      </c>
      <c r="L4700" s="2" t="s">
        <v>8293</v>
      </c>
      <c r="M4700" t="s">
        <v>43</v>
      </c>
      <c r="N4700" t="s">
        <v>42</v>
      </c>
      <c r="P4700" s="23">
        <v>96.86</v>
      </c>
      <c r="Q4700" s="4">
        <f t="shared" si="73"/>
        <v>-9.8286186248193269E-2</v>
      </c>
      <c r="R4700" s="23" t="s">
        <v>1198</v>
      </c>
      <c r="T4700" s="41" t="s">
        <v>6107</v>
      </c>
    </row>
    <row r="4701" spans="1:20" x14ac:dyDescent="0.25">
      <c r="A4701" s="21">
        <v>45807</v>
      </c>
      <c r="B4701" s="1" t="s">
        <v>8294</v>
      </c>
      <c r="C4701" t="s">
        <v>1221</v>
      </c>
      <c r="D4701" s="22">
        <v>-9.52</v>
      </c>
      <c r="E4701" t="s">
        <v>35</v>
      </c>
      <c r="F4701" s="2">
        <v>610148001</v>
      </c>
      <c r="G4701" s="2" t="s">
        <v>42</v>
      </c>
      <c r="L4701" s="2" t="s">
        <v>8295</v>
      </c>
      <c r="M4701" t="s">
        <v>43</v>
      </c>
      <c r="N4701" t="s">
        <v>42</v>
      </c>
      <c r="P4701" s="23">
        <v>96.86</v>
      </c>
      <c r="Q4701" s="4">
        <f t="shared" si="73"/>
        <v>-9.8286186248193269E-2</v>
      </c>
      <c r="R4701" s="23" t="s">
        <v>1198</v>
      </c>
      <c r="T4701" s="41" t="s">
        <v>6107</v>
      </c>
    </row>
    <row r="4702" spans="1:20" x14ac:dyDescent="0.25">
      <c r="A4702" s="21">
        <v>45807</v>
      </c>
      <c r="B4702" s="1" t="s">
        <v>1225</v>
      </c>
      <c r="C4702" t="s">
        <v>1221</v>
      </c>
      <c r="D4702" s="22">
        <v>-9.39</v>
      </c>
      <c r="E4702" t="s">
        <v>35</v>
      </c>
      <c r="F4702" s="2">
        <v>610148001</v>
      </c>
      <c r="G4702" s="2" t="s">
        <v>42</v>
      </c>
      <c r="L4702" s="2" t="s">
        <v>8296</v>
      </c>
      <c r="M4702" t="s">
        <v>43</v>
      </c>
      <c r="N4702" t="s">
        <v>42</v>
      </c>
      <c r="P4702" s="23">
        <v>96.86</v>
      </c>
      <c r="Q4702" s="4">
        <f t="shared" si="73"/>
        <v>-9.6944042948585593E-2</v>
      </c>
      <c r="R4702" s="23" t="s">
        <v>1198</v>
      </c>
      <c r="T4702" s="41" t="s">
        <v>6107</v>
      </c>
    </row>
    <row r="4703" spans="1:20" x14ac:dyDescent="0.25">
      <c r="A4703" s="21">
        <v>45807</v>
      </c>
      <c r="B4703" s="1" t="s">
        <v>1223</v>
      </c>
      <c r="C4703" t="s">
        <v>1221</v>
      </c>
      <c r="D4703" s="22">
        <v>-2.4900000000000002</v>
      </c>
      <c r="E4703" t="s">
        <v>35</v>
      </c>
      <c r="F4703" s="2">
        <v>610148001</v>
      </c>
      <c r="G4703" s="2" t="s">
        <v>42</v>
      </c>
      <c r="L4703" s="2" t="s">
        <v>8297</v>
      </c>
      <c r="M4703" t="s">
        <v>43</v>
      </c>
      <c r="N4703" t="s">
        <v>42</v>
      </c>
      <c r="P4703" s="23">
        <v>96.86</v>
      </c>
      <c r="Q4703" s="4">
        <f t="shared" si="73"/>
        <v>-2.5707206277100974E-2</v>
      </c>
      <c r="R4703" s="23" t="s">
        <v>1198</v>
      </c>
      <c r="T4703" s="41" t="s">
        <v>6107</v>
      </c>
    </row>
    <row r="4704" spans="1:20" x14ac:dyDescent="0.25">
      <c r="A4704" s="21">
        <v>45807</v>
      </c>
      <c r="B4704" s="1" t="s">
        <v>4242</v>
      </c>
      <c r="C4704" t="s">
        <v>1221</v>
      </c>
      <c r="D4704" s="22">
        <v>-13.37</v>
      </c>
      <c r="E4704" t="s">
        <v>35</v>
      </c>
      <c r="F4704" s="2">
        <v>610148001</v>
      </c>
      <c r="G4704" s="2" t="s">
        <v>42</v>
      </c>
      <c r="L4704" s="2" t="s">
        <v>8298</v>
      </c>
      <c r="M4704" t="s">
        <v>43</v>
      </c>
      <c r="N4704" t="s">
        <v>42</v>
      </c>
      <c r="P4704" s="23">
        <v>96.86</v>
      </c>
      <c r="Q4704" s="4">
        <f t="shared" si="73"/>
        <v>-0.13803427627503612</v>
      </c>
      <c r="R4704" s="23" t="s">
        <v>1198</v>
      </c>
      <c r="T4704" s="41" t="s">
        <v>6107</v>
      </c>
    </row>
    <row r="4705" spans="1:20" x14ac:dyDescent="0.25">
      <c r="A4705" s="21">
        <v>45807</v>
      </c>
      <c r="B4705" s="1" t="s">
        <v>4221</v>
      </c>
      <c r="C4705" t="s">
        <v>1221</v>
      </c>
      <c r="D4705" s="22">
        <v>-29.6</v>
      </c>
      <c r="E4705" t="s">
        <v>35</v>
      </c>
      <c r="F4705" s="2">
        <v>610148001</v>
      </c>
      <c r="G4705" s="2" t="s">
        <v>42</v>
      </c>
      <c r="L4705" s="2" t="s">
        <v>8299</v>
      </c>
      <c r="M4705" t="s">
        <v>43</v>
      </c>
      <c r="N4705" t="s">
        <v>42</v>
      </c>
      <c r="P4705" s="23">
        <v>96.86</v>
      </c>
      <c r="Q4705" s="4">
        <f t="shared" si="73"/>
        <v>-0.3055957051414413</v>
      </c>
      <c r="R4705" s="23" t="s">
        <v>1198</v>
      </c>
      <c r="T4705" s="41" t="s">
        <v>6107</v>
      </c>
    </row>
    <row r="4706" spans="1:20" x14ac:dyDescent="0.25">
      <c r="A4706" s="21">
        <v>45807</v>
      </c>
      <c r="B4706" s="1" t="s">
        <v>4262</v>
      </c>
      <c r="C4706" t="s">
        <v>1221</v>
      </c>
      <c r="D4706" s="22">
        <v>-9.52</v>
      </c>
      <c r="E4706" t="s">
        <v>35</v>
      </c>
      <c r="F4706" s="2">
        <v>610148001</v>
      </c>
      <c r="G4706" s="2" t="s">
        <v>42</v>
      </c>
      <c r="L4706" s="2" t="s">
        <v>8300</v>
      </c>
      <c r="M4706" t="s">
        <v>43</v>
      </c>
      <c r="N4706" t="s">
        <v>42</v>
      </c>
      <c r="P4706" s="23">
        <v>96.86</v>
      </c>
      <c r="Q4706" s="4">
        <f t="shared" si="73"/>
        <v>-9.8286186248193269E-2</v>
      </c>
      <c r="R4706" s="23" t="s">
        <v>1198</v>
      </c>
      <c r="T4706" s="41" t="s">
        <v>6107</v>
      </c>
    </row>
    <row r="4707" spans="1:20" x14ac:dyDescent="0.25">
      <c r="A4707" s="21">
        <v>45807</v>
      </c>
      <c r="B4707" s="1" t="s">
        <v>4231</v>
      </c>
      <c r="C4707" t="s">
        <v>1221</v>
      </c>
      <c r="D4707" s="22">
        <v>-71.430000000000007</v>
      </c>
      <c r="E4707" t="s">
        <v>35</v>
      </c>
      <c r="F4707" s="2">
        <v>610148001</v>
      </c>
      <c r="G4707" s="2" t="s">
        <v>42</v>
      </c>
      <c r="L4707" s="2" t="s">
        <v>8301</v>
      </c>
      <c r="M4707" t="s">
        <v>43</v>
      </c>
      <c r="N4707" t="s">
        <v>42</v>
      </c>
      <c r="P4707" s="23">
        <v>96.86</v>
      </c>
      <c r="Q4707" s="4">
        <f t="shared" si="73"/>
        <v>-0.73745612223828216</v>
      </c>
      <c r="R4707" s="23" t="s">
        <v>1198</v>
      </c>
      <c r="T4707" s="41" t="s">
        <v>6107</v>
      </c>
    </row>
    <row r="4708" spans="1:20" x14ac:dyDescent="0.25">
      <c r="A4708" s="21">
        <v>45807</v>
      </c>
      <c r="B4708" s="1" t="s">
        <v>4251</v>
      </c>
      <c r="C4708" t="s">
        <v>1221</v>
      </c>
      <c r="D4708" s="22">
        <v>-14.28</v>
      </c>
      <c r="E4708" t="s">
        <v>35</v>
      </c>
      <c r="F4708" s="2">
        <v>610148001</v>
      </c>
      <c r="G4708" s="2" t="s">
        <v>42</v>
      </c>
      <c r="L4708" s="2" t="s">
        <v>8302</v>
      </c>
      <c r="M4708" t="s">
        <v>43</v>
      </c>
      <c r="N4708" t="s">
        <v>42</v>
      </c>
      <c r="P4708" s="23">
        <v>96.86</v>
      </c>
      <c r="Q4708" s="4">
        <f t="shared" si="73"/>
        <v>-0.14742927937228989</v>
      </c>
      <c r="R4708" s="23" t="s">
        <v>1198</v>
      </c>
      <c r="T4708" s="41" t="s">
        <v>6107</v>
      </c>
    </row>
    <row r="4709" spans="1:20" x14ac:dyDescent="0.25">
      <c r="A4709" s="21">
        <v>45807</v>
      </c>
      <c r="B4709" s="1" t="s">
        <v>4208</v>
      </c>
      <c r="C4709" t="s">
        <v>1221</v>
      </c>
      <c r="D4709" s="22">
        <v>-0.02</v>
      </c>
      <c r="E4709" t="s">
        <v>35</v>
      </c>
      <c r="F4709" s="2">
        <v>610148001</v>
      </c>
      <c r="G4709" s="2" t="s">
        <v>42</v>
      </c>
      <c r="L4709" s="2" t="s">
        <v>8303</v>
      </c>
      <c r="M4709" t="s">
        <v>43</v>
      </c>
      <c r="N4709" t="s">
        <v>42</v>
      </c>
      <c r="P4709" s="23">
        <v>96.86</v>
      </c>
      <c r="Q4709" s="4">
        <f t="shared" si="73"/>
        <v>-2.0648358455502787E-4</v>
      </c>
      <c r="R4709" s="23" t="s">
        <v>1198</v>
      </c>
      <c r="T4709" s="41" t="s">
        <v>6107</v>
      </c>
    </row>
    <row r="4710" spans="1:20" x14ac:dyDescent="0.25">
      <c r="A4710" s="21">
        <v>45807</v>
      </c>
      <c r="B4710" s="1" t="s">
        <v>4237</v>
      </c>
      <c r="C4710" t="s">
        <v>1221</v>
      </c>
      <c r="D4710" s="22">
        <v>-0.15</v>
      </c>
      <c r="E4710" t="s">
        <v>35</v>
      </c>
      <c r="F4710" s="2">
        <v>610148001</v>
      </c>
      <c r="G4710" s="2" t="s">
        <v>42</v>
      </c>
      <c r="L4710" s="2" t="s">
        <v>8304</v>
      </c>
      <c r="M4710" t="s">
        <v>43</v>
      </c>
      <c r="N4710" t="s">
        <v>42</v>
      </c>
      <c r="P4710" s="23">
        <v>96.86</v>
      </c>
      <c r="Q4710" s="4">
        <f t="shared" si="73"/>
        <v>-1.548626884162709E-3</v>
      </c>
      <c r="R4710" s="23" t="s">
        <v>1198</v>
      </c>
      <c r="T4710" s="41" t="s">
        <v>6107</v>
      </c>
    </row>
    <row r="4711" spans="1:20" x14ac:dyDescent="0.25">
      <c r="A4711" s="21">
        <v>45807</v>
      </c>
      <c r="B4711" s="1" t="s">
        <v>8305</v>
      </c>
      <c r="C4711" t="s">
        <v>1221</v>
      </c>
      <c r="D4711" s="22">
        <v>-0.15</v>
      </c>
      <c r="E4711" t="s">
        <v>35</v>
      </c>
      <c r="F4711" s="2">
        <v>610148001</v>
      </c>
      <c r="G4711" s="2" t="s">
        <v>42</v>
      </c>
      <c r="L4711" s="2" t="s">
        <v>8306</v>
      </c>
      <c r="M4711" t="s">
        <v>43</v>
      </c>
      <c r="N4711" t="s">
        <v>42</v>
      </c>
      <c r="P4711" s="23">
        <v>96.86</v>
      </c>
      <c r="Q4711" s="4">
        <f t="shared" si="73"/>
        <v>-1.548626884162709E-3</v>
      </c>
      <c r="R4711" s="23" t="s">
        <v>1198</v>
      </c>
      <c r="T4711" s="41" t="s">
        <v>6107</v>
      </c>
    </row>
    <row r="4712" spans="1:20" x14ac:dyDescent="0.25">
      <c r="A4712" s="21">
        <v>45807</v>
      </c>
      <c r="B4712" s="1" t="s">
        <v>8307</v>
      </c>
      <c r="C4712" t="s">
        <v>1221</v>
      </c>
      <c r="D4712" s="22">
        <v>-0.15</v>
      </c>
      <c r="E4712" t="s">
        <v>35</v>
      </c>
      <c r="F4712" s="2">
        <v>610148001</v>
      </c>
      <c r="G4712" s="2" t="s">
        <v>42</v>
      </c>
      <c r="L4712" s="2" t="s">
        <v>8308</v>
      </c>
      <c r="M4712" t="s">
        <v>43</v>
      </c>
      <c r="N4712" t="s">
        <v>42</v>
      </c>
      <c r="P4712" s="23">
        <v>96.86</v>
      </c>
      <c r="Q4712" s="4">
        <f t="shared" si="73"/>
        <v>-1.548626884162709E-3</v>
      </c>
      <c r="R4712" s="23" t="s">
        <v>1198</v>
      </c>
      <c r="T4712" s="41" t="s">
        <v>6107</v>
      </c>
    </row>
    <row r="4713" spans="1:20" x14ac:dyDescent="0.25">
      <c r="A4713" s="21">
        <v>45807</v>
      </c>
      <c r="B4713" s="1" t="s">
        <v>8309</v>
      </c>
      <c r="C4713" t="s">
        <v>1221</v>
      </c>
      <c r="D4713" s="22">
        <v>-0.15</v>
      </c>
      <c r="E4713" t="s">
        <v>35</v>
      </c>
      <c r="F4713" s="2">
        <v>610148001</v>
      </c>
      <c r="G4713" s="2" t="s">
        <v>42</v>
      </c>
      <c r="L4713" s="2" t="s">
        <v>8310</v>
      </c>
      <c r="M4713" t="s">
        <v>43</v>
      </c>
      <c r="N4713" t="s">
        <v>42</v>
      </c>
      <c r="P4713" s="23">
        <v>96.86</v>
      </c>
      <c r="Q4713" s="4">
        <f t="shared" si="73"/>
        <v>-1.548626884162709E-3</v>
      </c>
      <c r="R4713" s="23" t="s">
        <v>1198</v>
      </c>
      <c r="T4713" s="41" t="s">
        <v>6107</v>
      </c>
    </row>
    <row r="4714" spans="1:20" x14ac:dyDescent="0.25">
      <c r="A4714" s="21">
        <v>45807</v>
      </c>
      <c r="B4714" s="1" t="s">
        <v>8311</v>
      </c>
      <c r="C4714" t="s">
        <v>1221</v>
      </c>
      <c r="D4714" s="22">
        <v>-0.15</v>
      </c>
      <c r="E4714" t="s">
        <v>35</v>
      </c>
      <c r="F4714" s="2">
        <v>610148001</v>
      </c>
      <c r="G4714" s="2" t="s">
        <v>42</v>
      </c>
      <c r="L4714" s="2" t="s">
        <v>8312</v>
      </c>
      <c r="M4714" t="s">
        <v>43</v>
      </c>
      <c r="N4714" t="s">
        <v>42</v>
      </c>
      <c r="P4714" s="23">
        <v>96.86</v>
      </c>
      <c r="Q4714" s="4">
        <f t="shared" si="73"/>
        <v>-1.548626884162709E-3</v>
      </c>
      <c r="R4714" s="23" t="s">
        <v>1198</v>
      </c>
      <c r="T4714" s="41" t="s">
        <v>6107</v>
      </c>
    </row>
    <row r="4715" spans="1:20" x14ac:dyDescent="0.25">
      <c r="A4715" s="21">
        <v>45807</v>
      </c>
      <c r="B4715" s="1" t="s">
        <v>8313</v>
      </c>
      <c r="C4715" t="s">
        <v>1221</v>
      </c>
      <c r="D4715" s="22">
        <v>-0.15</v>
      </c>
      <c r="E4715" t="s">
        <v>35</v>
      </c>
      <c r="F4715" s="2">
        <v>610148001</v>
      </c>
      <c r="G4715" s="2" t="s">
        <v>42</v>
      </c>
      <c r="L4715" s="2" t="s">
        <v>8314</v>
      </c>
      <c r="M4715" t="s">
        <v>43</v>
      </c>
      <c r="N4715" t="s">
        <v>42</v>
      </c>
      <c r="P4715" s="23">
        <v>96.86</v>
      </c>
      <c r="Q4715" s="4">
        <f t="shared" si="73"/>
        <v>-1.548626884162709E-3</v>
      </c>
      <c r="R4715" s="23" t="s">
        <v>1198</v>
      </c>
      <c r="T4715" s="41" t="s">
        <v>6107</v>
      </c>
    </row>
    <row r="4716" spans="1:20" x14ac:dyDescent="0.25">
      <c r="A4716" s="21">
        <v>45807</v>
      </c>
      <c r="B4716" s="1" t="s">
        <v>8315</v>
      </c>
      <c r="C4716" t="s">
        <v>1221</v>
      </c>
      <c r="D4716" s="22">
        <v>-9.52</v>
      </c>
      <c r="E4716" t="s">
        <v>35</v>
      </c>
      <c r="F4716" s="2">
        <v>610148001</v>
      </c>
      <c r="G4716" s="2" t="s">
        <v>42</v>
      </c>
      <c r="L4716" s="2" t="s">
        <v>8316</v>
      </c>
      <c r="M4716" t="s">
        <v>43</v>
      </c>
      <c r="N4716" t="s">
        <v>42</v>
      </c>
      <c r="P4716" s="23">
        <v>96.86</v>
      </c>
      <c r="Q4716" s="4">
        <f t="shared" si="73"/>
        <v>-9.8286186248193269E-2</v>
      </c>
      <c r="R4716" s="23" t="s">
        <v>1198</v>
      </c>
      <c r="T4716" s="41" t="s">
        <v>6107</v>
      </c>
    </row>
    <row r="4717" spans="1:20" x14ac:dyDescent="0.25">
      <c r="A4717" s="21">
        <v>45807</v>
      </c>
      <c r="B4717" s="1" t="s">
        <v>8317</v>
      </c>
      <c r="C4717" t="s">
        <v>1221</v>
      </c>
      <c r="D4717" s="22">
        <v>-9.52</v>
      </c>
      <c r="E4717" t="s">
        <v>35</v>
      </c>
      <c r="F4717" s="2">
        <v>610148001</v>
      </c>
      <c r="G4717" s="2" t="s">
        <v>42</v>
      </c>
      <c r="L4717" s="2" t="s">
        <v>8318</v>
      </c>
      <c r="M4717" t="s">
        <v>43</v>
      </c>
      <c r="N4717" t="s">
        <v>42</v>
      </c>
      <c r="P4717" s="23">
        <v>96.86</v>
      </c>
      <c r="Q4717" s="4">
        <f t="shared" si="73"/>
        <v>-9.8286186248193269E-2</v>
      </c>
      <c r="R4717" s="23" t="s">
        <v>1198</v>
      </c>
      <c r="T4717" s="41" t="s">
        <v>6107</v>
      </c>
    </row>
    <row r="4718" spans="1:20" x14ac:dyDescent="0.25">
      <c r="A4718" s="21">
        <v>45807</v>
      </c>
      <c r="B4718" s="1" t="s">
        <v>8319</v>
      </c>
      <c r="C4718" t="s">
        <v>1221</v>
      </c>
      <c r="D4718" s="22">
        <v>-9.52</v>
      </c>
      <c r="E4718" t="s">
        <v>35</v>
      </c>
      <c r="F4718" s="2">
        <v>610148001</v>
      </c>
      <c r="G4718" s="2" t="s">
        <v>42</v>
      </c>
      <c r="L4718" s="2" t="s">
        <v>8320</v>
      </c>
      <c r="M4718" t="s">
        <v>43</v>
      </c>
      <c r="N4718" t="s">
        <v>42</v>
      </c>
      <c r="P4718" s="23">
        <v>96.86</v>
      </c>
      <c r="Q4718" s="4">
        <f t="shared" si="73"/>
        <v>-9.8286186248193269E-2</v>
      </c>
      <c r="R4718" s="23" t="s">
        <v>1198</v>
      </c>
      <c r="T4718" s="41" t="s">
        <v>6107</v>
      </c>
    </row>
    <row r="4719" spans="1:20" x14ac:dyDescent="0.25">
      <c r="A4719" s="21">
        <v>45807</v>
      </c>
      <c r="B4719" s="1" t="s">
        <v>8321</v>
      </c>
      <c r="C4719" t="s">
        <v>1221</v>
      </c>
      <c r="D4719" s="22">
        <v>-9.52</v>
      </c>
      <c r="E4719" t="s">
        <v>35</v>
      </c>
      <c r="F4719" s="2">
        <v>610148001</v>
      </c>
      <c r="G4719" s="2" t="s">
        <v>42</v>
      </c>
      <c r="L4719" s="2" t="s">
        <v>8322</v>
      </c>
      <c r="M4719" t="s">
        <v>43</v>
      </c>
      <c r="N4719" t="s">
        <v>42</v>
      </c>
      <c r="P4719" s="23">
        <v>96.86</v>
      </c>
      <c r="Q4719" s="4">
        <f t="shared" si="73"/>
        <v>-9.8286186248193269E-2</v>
      </c>
      <c r="R4719" s="23" t="s">
        <v>1198</v>
      </c>
      <c r="T4719" s="41" t="s">
        <v>6107</v>
      </c>
    </row>
    <row r="4720" spans="1:20" x14ac:dyDescent="0.25">
      <c r="A4720" s="21">
        <v>45807</v>
      </c>
      <c r="B4720" s="1" t="s">
        <v>8323</v>
      </c>
      <c r="C4720" t="s">
        <v>1221</v>
      </c>
      <c r="D4720" s="22">
        <v>-9.52</v>
      </c>
      <c r="E4720" t="s">
        <v>35</v>
      </c>
      <c r="F4720" s="2">
        <v>610148001</v>
      </c>
      <c r="G4720" s="2" t="s">
        <v>42</v>
      </c>
      <c r="L4720" s="2" t="s">
        <v>8324</v>
      </c>
      <c r="M4720" t="s">
        <v>43</v>
      </c>
      <c r="N4720" t="s">
        <v>42</v>
      </c>
      <c r="P4720" s="23">
        <v>96.86</v>
      </c>
      <c r="Q4720" s="4">
        <f t="shared" si="73"/>
        <v>-9.8286186248193269E-2</v>
      </c>
      <c r="R4720" s="23" t="s">
        <v>1198</v>
      </c>
      <c r="T4720" s="41" t="s">
        <v>6107</v>
      </c>
    </row>
    <row r="4721" spans="1:20" x14ac:dyDescent="0.25">
      <c r="A4721" s="21">
        <v>45807</v>
      </c>
      <c r="B4721" s="1" t="s">
        <v>8325</v>
      </c>
      <c r="C4721" t="s">
        <v>1221</v>
      </c>
      <c r="D4721" s="22">
        <v>-9.52</v>
      </c>
      <c r="E4721" t="s">
        <v>35</v>
      </c>
      <c r="F4721" s="2">
        <v>610148001</v>
      </c>
      <c r="G4721" s="2" t="s">
        <v>42</v>
      </c>
      <c r="L4721" s="2" t="s">
        <v>8326</v>
      </c>
      <c r="M4721" t="s">
        <v>43</v>
      </c>
      <c r="N4721" t="s">
        <v>42</v>
      </c>
      <c r="P4721" s="23">
        <v>96.86</v>
      </c>
      <c r="Q4721" s="4">
        <f t="shared" si="73"/>
        <v>-9.8286186248193269E-2</v>
      </c>
      <c r="R4721" s="23" t="s">
        <v>1198</v>
      </c>
      <c r="T4721" s="41" t="s">
        <v>6107</v>
      </c>
    </row>
    <row r="4722" spans="1:20" x14ac:dyDescent="0.25">
      <c r="A4722" s="21">
        <v>45807</v>
      </c>
      <c r="B4722" s="1" t="s">
        <v>8327</v>
      </c>
      <c r="C4722" t="s">
        <v>1221</v>
      </c>
      <c r="D4722" s="22">
        <v>-9.52</v>
      </c>
      <c r="E4722" t="s">
        <v>35</v>
      </c>
      <c r="F4722" s="2">
        <v>610148001</v>
      </c>
      <c r="G4722" s="2" t="s">
        <v>42</v>
      </c>
      <c r="L4722" s="2" t="s">
        <v>8328</v>
      </c>
      <c r="M4722" t="s">
        <v>43</v>
      </c>
      <c r="N4722" t="s">
        <v>42</v>
      </c>
      <c r="P4722" s="23">
        <v>96.86</v>
      </c>
      <c r="Q4722" s="4">
        <f t="shared" si="73"/>
        <v>-9.8286186248193269E-2</v>
      </c>
      <c r="R4722" s="23" t="s">
        <v>1198</v>
      </c>
      <c r="T4722" s="41" t="s">
        <v>6107</v>
      </c>
    </row>
    <row r="4723" spans="1:20" x14ac:dyDescent="0.25">
      <c r="A4723" s="21">
        <v>45807</v>
      </c>
      <c r="B4723" s="1" t="s">
        <v>8329</v>
      </c>
      <c r="C4723" t="s">
        <v>1221</v>
      </c>
      <c r="D4723" s="22">
        <v>-9.52</v>
      </c>
      <c r="E4723" t="s">
        <v>35</v>
      </c>
      <c r="F4723" s="2">
        <v>610148001</v>
      </c>
      <c r="G4723" s="2" t="s">
        <v>42</v>
      </c>
      <c r="L4723" s="2" t="s">
        <v>8330</v>
      </c>
      <c r="M4723" t="s">
        <v>43</v>
      </c>
      <c r="N4723" t="s">
        <v>42</v>
      </c>
      <c r="P4723" s="23">
        <v>96.86</v>
      </c>
      <c r="Q4723" s="4">
        <f t="shared" si="73"/>
        <v>-9.8286186248193269E-2</v>
      </c>
      <c r="R4723" s="23" t="s">
        <v>1198</v>
      </c>
      <c r="T4723" s="41" t="s">
        <v>6107</v>
      </c>
    </row>
    <row r="4724" spans="1:20" x14ac:dyDescent="0.25">
      <c r="A4724" s="21">
        <v>45807</v>
      </c>
      <c r="B4724" s="1" t="s">
        <v>3977</v>
      </c>
      <c r="C4724" t="s">
        <v>1221</v>
      </c>
      <c r="D4724" s="22">
        <v>-17.75</v>
      </c>
      <c r="E4724" t="s">
        <v>35</v>
      </c>
      <c r="F4724" s="2">
        <v>610148001</v>
      </c>
      <c r="G4724" s="2" t="s">
        <v>42</v>
      </c>
      <c r="L4724" s="2" t="s">
        <v>8331</v>
      </c>
      <c r="M4724" t="s">
        <v>43</v>
      </c>
      <c r="N4724" t="s">
        <v>42</v>
      </c>
      <c r="P4724" s="23">
        <v>96.86</v>
      </c>
      <c r="Q4724" s="4">
        <f t="shared" si="73"/>
        <v>-0.18325418129258725</v>
      </c>
      <c r="R4724" s="23" t="s">
        <v>1198</v>
      </c>
      <c r="T4724" s="41" t="s">
        <v>6107</v>
      </c>
    </row>
    <row r="4725" spans="1:20" x14ac:dyDescent="0.25">
      <c r="A4725" s="21">
        <v>45807</v>
      </c>
      <c r="B4725" s="1" t="s">
        <v>3960</v>
      </c>
      <c r="C4725" t="s">
        <v>1221</v>
      </c>
      <c r="D4725" s="22">
        <v>-17.75</v>
      </c>
      <c r="E4725" t="s">
        <v>35</v>
      </c>
      <c r="F4725" s="2">
        <v>610148001</v>
      </c>
      <c r="G4725" s="2" t="s">
        <v>42</v>
      </c>
      <c r="L4725" s="2" t="s">
        <v>8332</v>
      </c>
      <c r="M4725" t="s">
        <v>43</v>
      </c>
      <c r="N4725" t="s">
        <v>42</v>
      </c>
      <c r="P4725" s="23">
        <v>96.86</v>
      </c>
      <c r="Q4725" s="4">
        <f t="shared" si="73"/>
        <v>-0.18325418129258725</v>
      </c>
      <c r="R4725" s="23" t="s">
        <v>1198</v>
      </c>
      <c r="T4725" s="41" t="s">
        <v>6107</v>
      </c>
    </row>
    <row r="4726" spans="1:20" x14ac:dyDescent="0.25">
      <c r="A4726" s="21">
        <v>45807</v>
      </c>
      <c r="B4726" s="1" t="s">
        <v>3979</v>
      </c>
      <c r="C4726" t="s">
        <v>1221</v>
      </c>
      <c r="D4726" s="22">
        <v>-29.52</v>
      </c>
      <c r="E4726" t="s">
        <v>35</v>
      </c>
      <c r="F4726" s="2">
        <v>610148001</v>
      </c>
      <c r="G4726" s="2" t="s">
        <v>42</v>
      </c>
      <c r="L4726" s="2" t="s">
        <v>8333</v>
      </c>
      <c r="M4726" t="s">
        <v>43</v>
      </c>
      <c r="N4726" t="s">
        <v>42</v>
      </c>
      <c r="P4726" s="23">
        <v>96.86</v>
      </c>
      <c r="Q4726" s="4">
        <f t="shared" si="73"/>
        <v>-0.30476977080322115</v>
      </c>
      <c r="R4726" s="23" t="s">
        <v>1198</v>
      </c>
      <c r="T4726" s="41" t="s">
        <v>6107</v>
      </c>
    </row>
    <row r="4727" spans="1:20" x14ac:dyDescent="0.25">
      <c r="A4727" s="21">
        <v>45807</v>
      </c>
      <c r="B4727" s="1" t="s">
        <v>4311</v>
      </c>
      <c r="C4727" t="s">
        <v>1221</v>
      </c>
      <c r="D4727" s="22">
        <v>-9.32</v>
      </c>
      <c r="E4727" t="s">
        <v>35</v>
      </c>
      <c r="F4727" s="2">
        <v>610148001</v>
      </c>
      <c r="G4727" s="2" t="s">
        <v>42</v>
      </c>
      <c r="L4727" s="2" t="s">
        <v>8334</v>
      </c>
      <c r="M4727" t="s">
        <v>43</v>
      </c>
      <c r="N4727" t="s">
        <v>42</v>
      </c>
      <c r="P4727" s="23">
        <v>96.86</v>
      </c>
      <c r="Q4727" s="4">
        <f t="shared" si="73"/>
        <v>-9.6221350402642999E-2</v>
      </c>
      <c r="R4727" s="23" t="s">
        <v>1198</v>
      </c>
      <c r="T4727" s="41" t="s">
        <v>6107</v>
      </c>
    </row>
    <row r="4728" spans="1:20" x14ac:dyDescent="0.25">
      <c r="A4728" s="21">
        <v>45807</v>
      </c>
      <c r="B4728" s="1" t="s">
        <v>4315</v>
      </c>
      <c r="C4728" t="s">
        <v>1221</v>
      </c>
      <c r="D4728" s="22">
        <v>-8.1999999999999993</v>
      </c>
      <c r="E4728" t="s">
        <v>35</v>
      </c>
      <c r="F4728" s="2">
        <v>610148001</v>
      </c>
      <c r="G4728" s="2" t="s">
        <v>42</v>
      </c>
      <c r="L4728" s="2" t="s">
        <v>8335</v>
      </c>
      <c r="M4728" t="s">
        <v>43</v>
      </c>
      <c r="N4728" t="s">
        <v>42</v>
      </c>
      <c r="P4728" s="23">
        <v>96.86</v>
      </c>
      <c r="Q4728" s="4">
        <f t="shared" si="73"/>
        <v>-8.4658269667561417E-2</v>
      </c>
      <c r="R4728" s="23" t="s">
        <v>1198</v>
      </c>
      <c r="T4728" s="41" t="s">
        <v>6107</v>
      </c>
    </row>
    <row r="4729" spans="1:20" x14ac:dyDescent="0.25">
      <c r="A4729" s="21">
        <v>45807</v>
      </c>
      <c r="B4729" s="1" t="s">
        <v>4317</v>
      </c>
      <c r="C4729" t="s">
        <v>1221</v>
      </c>
      <c r="D4729" s="22">
        <v>-9.52</v>
      </c>
      <c r="E4729" t="s">
        <v>35</v>
      </c>
      <c r="F4729" s="2">
        <v>610148001</v>
      </c>
      <c r="G4729" s="2" t="s">
        <v>42</v>
      </c>
      <c r="L4729" s="2" t="s">
        <v>8336</v>
      </c>
      <c r="M4729" t="s">
        <v>43</v>
      </c>
      <c r="N4729" t="s">
        <v>42</v>
      </c>
      <c r="P4729" s="23">
        <v>96.86</v>
      </c>
      <c r="Q4729" s="4">
        <f t="shared" si="73"/>
        <v>-9.8286186248193269E-2</v>
      </c>
      <c r="R4729" s="23" t="s">
        <v>1198</v>
      </c>
      <c r="T4729" s="41" t="s">
        <v>6107</v>
      </c>
    </row>
    <row r="4730" spans="1:20" x14ac:dyDescent="0.25">
      <c r="A4730" s="21">
        <v>45807</v>
      </c>
      <c r="B4730" s="1" t="s">
        <v>4229</v>
      </c>
      <c r="C4730" t="s">
        <v>1221</v>
      </c>
      <c r="D4730" s="22">
        <v>-9.52</v>
      </c>
      <c r="E4730" t="s">
        <v>35</v>
      </c>
      <c r="F4730" s="2">
        <v>610148001</v>
      </c>
      <c r="G4730" s="2" t="s">
        <v>42</v>
      </c>
      <c r="L4730" s="2" t="s">
        <v>8337</v>
      </c>
      <c r="M4730" t="s">
        <v>43</v>
      </c>
      <c r="N4730" t="s">
        <v>42</v>
      </c>
      <c r="P4730" s="23">
        <v>96.86</v>
      </c>
      <c r="Q4730" s="4">
        <f t="shared" si="73"/>
        <v>-9.8286186248193269E-2</v>
      </c>
      <c r="R4730" s="23" t="s">
        <v>1198</v>
      </c>
      <c r="T4730" s="41" t="s">
        <v>6107</v>
      </c>
    </row>
    <row r="4731" spans="1:20" x14ac:dyDescent="0.25">
      <c r="A4731" s="21">
        <v>45807</v>
      </c>
      <c r="B4731" s="1" t="s">
        <v>4281</v>
      </c>
      <c r="C4731" t="s">
        <v>1221</v>
      </c>
      <c r="D4731" s="22">
        <v>-2.38</v>
      </c>
      <c r="E4731" t="s">
        <v>35</v>
      </c>
      <c r="F4731" s="2">
        <v>610148001</v>
      </c>
      <c r="G4731" s="2" t="s">
        <v>42</v>
      </c>
      <c r="L4731" s="2" t="s">
        <v>8338</v>
      </c>
      <c r="M4731" t="s">
        <v>43</v>
      </c>
      <c r="N4731" t="s">
        <v>42</v>
      </c>
      <c r="P4731" s="23">
        <v>96.86</v>
      </c>
      <c r="Q4731" s="4">
        <f t="shared" si="73"/>
        <v>-2.4571546562048317E-2</v>
      </c>
      <c r="R4731" s="23" t="s">
        <v>1198</v>
      </c>
      <c r="T4731" s="41" t="s">
        <v>6107</v>
      </c>
    </row>
    <row r="4732" spans="1:20" x14ac:dyDescent="0.25">
      <c r="A4732" s="21">
        <v>45807</v>
      </c>
      <c r="B4732" s="1" t="s">
        <v>4255</v>
      </c>
      <c r="C4732" t="s">
        <v>1221</v>
      </c>
      <c r="D4732" s="22">
        <v>-2.38</v>
      </c>
      <c r="E4732" t="s">
        <v>35</v>
      </c>
      <c r="F4732" s="2">
        <v>610148001</v>
      </c>
      <c r="G4732" s="2" t="s">
        <v>42</v>
      </c>
      <c r="L4732" s="2" t="s">
        <v>8339</v>
      </c>
      <c r="M4732" t="s">
        <v>43</v>
      </c>
      <c r="N4732" t="s">
        <v>42</v>
      </c>
      <c r="P4732" s="23">
        <v>96.86</v>
      </c>
      <c r="Q4732" s="4">
        <f t="shared" si="73"/>
        <v>-2.4571546562048317E-2</v>
      </c>
      <c r="R4732" s="23" t="s">
        <v>1198</v>
      </c>
      <c r="T4732" s="41" t="s">
        <v>6107</v>
      </c>
    </row>
    <row r="4733" spans="1:20" x14ac:dyDescent="0.25">
      <c r="A4733" s="21">
        <v>45807</v>
      </c>
      <c r="B4733" s="1" t="s">
        <v>4301</v>
      </c>
      <c r="C4733" t="s">
        <v>1221</v>
      </c>
      <c r="D4733" s="22">
        <v>-2.38</v>
      </c>
      <c r="E4733" t="s">
        <v>35</v>
      </c>
      <c r="F4733" s="2">
        <v>610148001</v>
      </c>
      <c r="G4733" s="2" t="s">
        <v>42</v>
      </c>
      <c r="L4733" s="2" t="s">
        <v>8340</v>
      </c>
      <c r="M4733" t="s">
        <v>43</v>
      </c>
      <c r="N4733" t="s">
        <v>42</v>
      </c>
      <c r="P4733" s="23">
        <v>96.86</v>
      </c>
      <c r="Q4733" s="4">
        <f t="shared" si="73"/>
        <v>-2.4571546562048317E-2</v>
      </c>
      <c r="R4733" s="23" t="s">
        <v>1198</v>
      </c>
      <c r="T4733" s="41" t="s">
        <v>6107</v>
      </c>
    </row>
    <row r="4734" spans="1:20" x14ac:dyDescent="0.25">
      <c r="A4734" s="21">
        <v>45807</v>
      </c>
      <c r="B4734" s="1" t="s">
        <v>8341</v>
      </c>
      <c r="C4734" t="s">
        <v>1221</v>
      </c>
      <c r="D4734" s="22">
        <v>-0.15</v>
      </c>
      <c r="E4734" t="s">
        <v>35</v>
      </c>
      <c r="F4734" s="2">
        <v>610148001</v>
      </c>
      <c r="G4734" s="2" t="s">
        <v>42</v>
      </c>
      <c r="L4734" s="2" t="s">
        <v>8342</v>
      </c>
      <c r="M4734" t="s">
        <v>43</v>
      </c>
      <c r="N4734" t="s">
        <v>42</v>
      </c>
      <c r="P4734" s="23">
        <v>96.86</v>
      </c>
      <c r="Q4734" s="4">
        <f t="shared" si="73"/>
        <v>-1.548626884162709E-3</v>
      </c>
      <c r="R4734" s="23" t="s">
        <v>1198</v>
      </c>
      <c r="T4734" s="41" t="s">
        <v>6107</v>
      </c>
    </row>
    <row r="4735" spans="1:20" x14ac:dyDescent="0.25">
      <c r="A4735" s="21">
        <v>45807</v>
      </c>
      <c r="B4735" s="1" t="s">
        <v>8343</v>
      </c>
      <c r="C4735" t="s">
        <v>1221</v>
      </c>
      <c r="D4735" s="22">
        <v>-0.15</v>
      </c>
      <c r="E4735" t="s">
        <v>35</v>
      </c>
      <c r="F4735" s="2">
        <v>610148001</v>
      </c>
      <c r="G4735" s="2" t="s">
        <v>42</v>
      </c>
      <c r="L4735" s="2" t="s">
        <v>8344</v>
      </c>
      <c r="M4735" t="s">
        <v>43</v>
      </c>
      <c r="N4735" t="s">
        <v>42</v>
      </c>
      <c r="P4735" s="23">
        <v>96.86</v>
      </c>
      <c r="Q4735" s="4">
        <f t="shared" si="73"/>
        <v>-1.548626884162709E-3</v>
      </c>
      <c r="R4735" s="23" t="s">
        <v>1198</v>
      </c>
      <c r="T4735" s="41" t="s">
        <v>6107</v>
      </c>
    </row>
    <row r="4736" spans="1:20" x14ac:dyDescent="0.25">
      <c r="A4736" s="21">
        <v>45807</v>
      </c>
      <c r="B4736" s="1" t="s">
        <v>8345</v>
      </c>
      <c r="C4736" t="s">
        <v>1221</v>
      </c>
      <c r="D4736" s="22">
        <v>-0.15</v>
      </c>
      <c r="E4736" t="s">
        <v>35</v>
      </c>
      <c r="F4736" s="2">
        <v>610148001</v>
      </c>
      <c r="G4736" s="2" t="s">
        <v>42</v>
      </c>
      <c r="L4736" s="2" t="s">
        <v>8346</v>
      </c>
      <c r="M4736" t="s">
        <v>43</v>
      </c>
      <c r="N4736" t="s">
        <v>42</v>
      </c>
      <c r="P4736" s="23">
        <v>96.86</v>
      </c>
      <c r="Q4736" s="4">
        <f t="shared" si="73"/>
        <v>-1.548626884162709E-3</v>
      </c>
      <c r="R4736" s="23" t="s">
        <v>1198</v>
      </c>
      <c r="T4736" s="41" t="s">
        <v>6107</v>
      </c>
    </row>
    <row r="4737" spans="1:20" x14ac:dyDescent="0.25">
      <c r="A4737" s="21">
        <v>45807</v>
      </c>
      <c r="B4737" s="1" t="s">
        <v>8347</v>
      </c>
      <c r="C4737" t="s">
        <v>1221</v>
      </c>
      <c r="D4737" s="22">
        <v>-9.52</v>
      </c>
      <c r="E4737" t="s">
        <v>35</v>
      </c>
      <c r="F4737" s="2">
        <v>610148001</v>
      </c>
      <c r="G4737" s="2" t="s">
        <v>42</v>
      </c>
      <c r="L4737" s="2" t="s">
        <v>8348</v>
      </c>
      <c r="M4737" t="s">
        <v>43</v>
      </c>
      <c r="N4737" t="s">
        <v>42</v>
      </c>
      <c r="P4737" s="23">
        <v>96.86</v>
      </c>
      <c r="Q4737" s="4">
        <f t="shared" si="73"/>
        <v>-9.8286186248193269E-2</v>
      </c>
      <c r="R4737" s="23" t="s">
        <v>1198</v>
      </c>
      <c r="T4737" s="41" t="s">
        <v>6107</v>
      </c>
    </row>
    <row r="4738" spans="1:20" x14ac:dyDescent="0.25">
      <c r="A4738" s="21">
        <v>45807</v>
      </c>
      <c r="B4738" s="1" t="s">
        <v>8349</v>
      </c>
      <c r="C4738" t="s">
        <v>1221</v>
      </c>
      <c r="D4738" s="22">
        <v>-9.52</v>
      </c>
      <c r="E4738" t="s">
        <v>35</v>
      </c>
      <c r="F4738" s="2">
        <v>610148001</v>
      </c>
      <c r="G4738" s="2" t="s">
        <v>42</v>
      </c>
      <c r="L4738" s="2" t="s">
        <v>8350</v>
      </c>
      <c r="M4738" t="s">
        <v>43</v>
      </c>
      <c r="N4738" t="s">
        <v>42</v>
      </c>
      <c r="P4738" s="23">
        <v>96.86</v>
      </c>
      <c r="Q4738" s="4">
        <f t="shared" si="73"/>
        <v>-9.8286186248193269E-2</v>
      </c>
      <c r="R4738" s="23" t="s">
        <v>1198</v>
      </c>
      <c r="T4738" s="41" t="s">
        <v>6107</v>
      </c>
    </row>
    <row r="4739" spans="1:20" x14ac:dyDescent="0.25">
      <c r="A4739" s="21">
        <v>45807</v>
      </c>
      <c r="B4739" s="1" t="s">
        <v>8351</v>
      </c>
      <c r="C4739" t="s">
        <v>1221</v>
      </c>
      <c r="D4739" s="22">
        <v>-9.52</v>
      </c>
      <c r="E4739" t="s">
        <v>35</v>
      </c>
      <c r="F4739" s="2">
        <v>610148001</v>
      </c>
      <c r="G4739" s="2" t="s">
        <v>42</v>
      </c>
      <c r="L4739" s="2" t="s">
        <v>8352</v>
      </c>
      <c r="M4739" t="s">
        <v>43</v>
      </c>
      <c r="N4739" t="s">
        <v>42</v>
      </c>
      <c r="P4739" s="23">
        <v>96.86</v>
      </c>
      <c r="Q4739" s="4">
        <f t="shared" si="73"/>
        <v>-9.8286186248193269E-2</v>
      </c>
      <c r="R4739" s="23" t="s">
        <v>1198</v>
      </c>
      <c r="T4739" s="41" t="s">
        <v>6107</v>
      </c>
    </row>
    <row r="4740" spans="1:20" x14ac:dyDescent="0.25">
      <c r="A4740" s="21">
        <v>45807</v>
      </c>
      <c r="B4740" s="1" t="s">
        <v>8353</v>
      </c>
      <c r="C4740" t="s">
        <v>1221</v>
      </c>
      <c r="D4740" s="22">
        <v>-9.52</v>
      </c>
      <c r="E4740" t="s">
        <v>35</v>
      </c>
      <c r="F4740" s="2">
        <v>610148001</v>
      </c>
      <c r="G4740" s="2" t="s">
        <v>42</v>
      </c>
      <c r="L4740" s="2" t="s">
        <v>8354</v>
      </c>
      <c r="M4740" t="s">
        <v>43</v>
      </c>
      <c r="N4740" t="s">
        <v>42</v>
      </c>
      <c r="P4740" s="23">
        <v>96.86</v>
      </c>
      <c r="Q4740" s="4">
        <f t="shared" si="73"/>
        <v>-9.8286186248193269E-2</v>
      </c>
      <c r="R4740" s="23" t="s">
        <v>1198</v>
      </c>
      <c r="T4740" s="41" t="s">
        <v>6107</v>
      </c>
    </row>
    <row r="4741" spans="1:20" x14ac:dyDescent="0.25">
      <c r="A4741" s="21">
        <v>45807</v>
      </c>
      <c r="B4741" s="1" t="s">
        <v>3965</v>
      </c>
      <c r="C4741" t="s">
        <v>1221</v>
      </c>
      <c r="D4741" s="22">
        <v>-29.6</v>
      </c>
      <c r="E4741" t="s">
        <v>35</v>
      </c>
      <c r="F4741" s="2">
        <v>610148001</v>
      </c>
      <c r="G4741" s="2" t="s">
        <v>42</v>
      </c>
      <c r="L4741" s="2" t="s">
        <v>8355</v>
      </c>
      <c r="M4741" t="s">
        <v>43</v>
      </c>
      <c r="N4741" t="s">
        <v>42</v>
      </c>
      <c r="P4741" s="23">
        <v>96.86</v>
      </c>
      <c r="Q4741" s="4">
        <f t="shared" si="73"/>
        <v>-0.3055957051414413</v>
      </c>
      <c r="R4741" s="23" t="s">
        <v>1198</v>
      </c>
      <c r="T4741" s="41" t="s">
        <v>6107</v>
      </c>
    </row>
    <row r="4742" spans="1:20" x14ac:dyDescent="0.25">
      <c r="A4742" s="21">
        <v>45807</v>
      </c>
      <c r="B4742" s="1" t="s">
        <v>4258</v>
      </c>
      <c r="C4742" t="s">
        <v>1221</v>
      </c>
      <c r="D4742" s="22">
        <v>-17.79</v>
      </c>
      <c r="E4742" t="s">
        <v>35</v>
      </c>
      <c r="F4742" s="2">
        <v>610148001</v>
      </c>
      <c r="G4742" s="2" t="s">
        <v>42</v>
      </c>
      <c r="L4742" s="2" t="s">
        <v>8356</v>
      </c>
      <c r="M4742" t="s">
        <v>43</v>
      </c>
      <c r="N4742" t="s">
        <v>42</v>
      </c>
      <c r="P4742" s="23">
        <v>96.86</v>
      </c>
      <c r="Q4742" s="4">
        <f t="shared" si="73"/>
        <v>-0.18366714846169729</v>
      </c>
      <c r="R4742" s="23" t="s">
        <v>1198</v>
      </c>
      <c r="T4742" s="41" t="s">
        <v>6107</v>
      </c>
    </row>
    <row r="4743" spans="1:20" x14ac:dyDescent="0.25">
      <c r="A4743" s="21">
        <v>45807</v>
      </c>
      <c r="B4743" s="1" t="s">
        <v>4217</v>
      </c>
      <c r="C4743" t="s">
        <v>1221</v>
      </c>
      <c r="D4743" s="22">
        <v>-17.54</v>
      </c>
      <c r="E4743" t="s">
        <v>35</v>
      </c>
      <c r="F4743" s="2">
        <v>610148001</v>
      </c>
      <c r="G4743" s="2" t="s">
        <v>42</v>
      </c>
      <c r="L4743" s="2" t="s">
        <v>8357</v>
      </c>
      <c r="M4743" t="s">
        <v>43</v>
      </c>
      <c r="N4743" t="s">
        <v>42</v>
      </c>
      <c r="P4743" s="23">
        <v>96.86</v>
      </c>
      <c r="Q4743" s="4">
        <f t="shared" si="73"/>
        <v>-0.18108610365475944</v>
      </c>
      <c r="R4743" s="23" t="s">
        <v>1198</v>
      </c>
      <c r="T4743" s="41" t="s">
        <v>6107</v>
      </c>
    </row>
    <row r="4744" spans="1:20" x14ac:dyDescent="0.25">
      <c r="A4744" s="21">
        <v>45807</v>
      </c>
      <c r="B4744" s="1" t="s">
        <v>4286</v>
      </c>
      <c r="C4744" t="s">
        <v>1221</v>
      </c>
      <c r="D4744" s="22">
        <v>-11.8</v>
      </c>
      <c r="E4744" t="s">
        <v>35</v>
      </c>
      <c r="F4744" s="2">
        <v>610148001</v>
      </c>
      <c r="G4744" s="2" t="s">
        <v>42</v>
      </c>
      <c r="L4744" s="2" t="s">
        <v>8358</v>
      </c>
      <c r="M4744" t="s">
        <v>43</v>
      </c>
      <c r="N4744" t="s">
        <v>42</v>
      </c>
      <c r="P4744" s="23">
        <v>96.86</v>
      </c>
      <c r="Q4744" s="4">
        <f t="shared" si="73"/>
        <v>-0.12182531488746645</v>
      </c>
      <c r="R4744" s="23" t="s">
        <v>1198</v>
      </c>
      <c r="T4744" s="41" t="s">
        <v>6107</v>
      </c>
    </row>
    <row r="4745" spans="1:20" x14ac:dyDescent="0.25">
      <c r="A4745" s="21">
        <v>45807</v>
      </c>
      <c r="B4745" s="1" t="s">
        <v>4225</v>
      </c>
      <c r="C4745" t="s">
        <v>1221</v>
      </c>
      <c r="D4745" s="22">
        <v>-9.32</v>
      </c>
      <c r="E4745" t="s">
        <v>35</v>
      </c>
      <c r="F4745" s="2">
        <v>610148001</v>
      </c>
      <c r="G4745" s="2" t="s">
        <v>42</v>
      </c>
      <c r="L4745" s="2" t="s">
        <v>8359</v>
      </c>
      <c r="M4745" t="s">
        <v>43</v>
      </c>
      <c r="N4745" t="s">
        <v>42</v>
      </c>
      <c r="P4745" s="23">
        <v>96.86</v>
      </c>
      <c r="Q4745" s="4">
        <f t="shared" si="73"/>
        <v>-9.6221350402642999E-2</v>
      </c>
      <c r="R4745" s="23" t="s">
        <v>1198</v>
      </c>
      <c r="T4745" s="41" t="s">
        <v>6107</v>
      </c>
    </row>
    <row r="4746" spans="1:20" x14ac:dyDescent="0.25">
      <c r="A4746" s="21">
        <v>45807</v>
      </c>
      <c r="B4746" s="1" t="s">
        <v>4264</v>
      </c>
      <c r="C4746" t="s">
        <v>1221</v>
      </c>
      <c r="D4746" s="22">
        <v>-2.38</v>
      </c>
      <c r="E4746" t="s">
        <v>35</v>
      </c>
      <c r="F4746" s="2">
        <v>610148001</v>
      </c>
      <c r="G4746" s="2" t="s">
        <v>42</v>
      </c>
      <c r="L4746" s="2" t="s">
        <v>8360</v>
      </c>
      <c r="M4746" t="s">
        <v>43</v>
      </c>
      <c r="N4746" t="s">
        <v>42</v>
      </c>
      <c r="P4746" s="23">
        <v>96.86</v>
      </c>
      <c r="Q4746" s="4">
        <f t="shared" si="73"/>
        <v>-2.4571546562048317E-2</v>
      </c>
      <c r="R4746" s="23" t="s">
        <v>1198</v>
      </c>
      <c r="T4746" s="41" t="s">
        <v>6107</v>
      </c>
    </row>
    <row r="4747" spans="1:20" x14ac:dyDescent="0.25">
      <c r="A4747" s="21">
        <v>45807</v>
      </c>
      <c r="B4747" s="1" t="s">
        <v>4297</v>
      </c>
      <c r="C4747" t="s">
        <v>1221</v>
      </c>
      <c r="D4747" s="22">
        <v>-47.62</v>
      </c>
      <c r="E4747" t="s">
        <v>35</v>
      </c>
      <c r="F4747" s="2">
        <v>610148001</v>
      </c>
      <c r="G4747" s="2" t="s">
        <v>42</v>
      </c>
      <c r="L4747" s="2" t="s">
        <v>8361</v>
      </c>
      <c r="M4747" t="s">
        <v>43</v>
      </c>
      <c r="N4747" t="s">
        <v>42</v>
      </c>
      <c r="P4747" s="23">
        <v>96.86</v>
      </c>
      <c r="Q4747" s="4">
        <f t="shared" ref="Q4747:Q4810" si="74">D4747/P4747</f>
        <v>-0.49163741482552137</v>
      </c>
      <c r="R4747" s="23" t="s">
        <v>1198</v>
      </c>
      <c r="T4747" s="41" t="s">
        <v>6107</v>
      </c>
    </row>
    <row r="4748" spans="1:20" x14ac:dyDescent="0.25">
      <c r="A4748" s="21">
        <v>45807</v>
      </c>
      <c r="B4748" s="1" t="s">
        <v>4235</v>
      </c>
      <c r="C4748" t="s">
        <v>1221</v>
      </c>
      <c r="D4748" s="22">
        <v>-14.28</v>
      </c>
      <c r="E4748" t="s">
        <v>35</v>
      </c>
      <c r="F4748" s="2">
        <v>610148001</v>
      </c>
      <c r="G4748" s="2" t="s">
        <v>42</v>
      </c>
      <c r="L4748" s="2" t="s">
        <v>8362</v>
      </c>
      <c r="M4748" t="s">
        <v>43</v>
      </c>
      <c r="N4748" t="s">
        <v>42</v>
      </c>
      <c r="P4748" s="23">
        <v>96.86</v>
      </c>
      <c r="Q4748" s="4">
        <f t="shared" si="74"/>
        <v>-0.14742927937228989</v>
      </c>
      <c r="R4748" s="23" t="s">
        <v>1198</v>
      </c>
      <c r="T4748" s="41" t="s">
        <v>6107</v>
      </c>
    </row>
    <row r="4749" spans="1:20" x14ac:dyDescent="0.25">
      <c r="A4749" s="21">
        <v>45807</v>
      </c>
      <c r="B4749" s="1" t="s">
        <v>4290</v>
      </c>
      <c r="C4749" t="s">
        <v>1221</v>
      </c>
      <c r="D4749" s="22">
        <v>-2.38</v>
      </c>
      <c r="E4749" t="s">
        <v>35</v>
      </c>
      <c r="F4749" s="2">
        <v>610148001</v>
      </c>
      <c r="G4749" s="2" t="s">
        <v>42</v>
      </c>
      <c r="L4749" s="2" t="s">
        <v>8363</v>
      </c>
      <c r="M4749" t="s">
        <v>43</v>
      </c>
      <c r="N4749" t="s">
        <v>42</v>
      </c>
      <c r="P4749" s="23">
        <v>96.86</v>
      </c>
      <c r="Q4749" s="4">
        <f t="shared" si="74"/>
        <v>-2.4571546562048317E-2</v>
      </c>
      <c r="R4749" s="23" t="s">
        <v>1198</v>
      </c>
      <c r="T4749" s="41" t="s">
        <v>6107</v>
      </c>
    </row>
    <row r="4750" spans="1:20" x14ac:dyDescent="0.25">
      <c r="A4750" s="21">
        <v>45807</v>
      </c>
      <c r="B4750" s="1" t="s">
        <v>4294</v>
      </c>
      <c r="C4750" t="s">
        <v>1221</v>
      </c>
      <c r="D4750" s="22">
        <v>-2.38</v>
      </c>
      <c r="E4750" t="s">
        <v>35</v>
      </c>
      <c r="F4750" s="2">
        <v>610148001</v>
      </c>
      <c r="G4750" s="2" t="s">
        <v>42</v>
      </c>
      <c r="L4750" s="2" t="s">
        <v>8364</v>
      </c>
      <c r="M4750" t="s">
        <v>43</v>
      </c>
      <c r="N4750" t="s">
        <v>42</v>
      </c>
      <c r="P4750" s="23">
        <v>96.86</v>
      </c>
      <c r="Q4750" s="4">
        <f t="shared" si="74"/>
        <v>-2.4571546562048317E-2</v>
      </c>
      <c r="R4750" s="23" t="s">
        <v>1198</v>
      </c>
      <c r="T4750" s="41" t="s">
        <v>6107</v>
      </c>
    </row>
    <row r="4751" spans="1:20" x14ac:dyDescent="0.25">
      <c r="A4751" s="21">
        <v>45807</v>
      </c>
      <c r="B4751" s="1" t="s">
        <v>4272</v>
      </c>
      <c r="C4751" t="s">
        <v>1221</v>
      </c>
      <c r="D4751" s="22">
        <v>-0.15</v>
      </c>
      <c r="E4751" t="s">
        <v>35</v>
      </c>
      <c r="F4751" s="2">
        <v>610148001</v>
      </c>
      <c r="G4751" s="2" t="s">
        <v>42</v>
      </c>
      <c r="L4751" s="2" t="s">
        <v>8365</v>
      </c>
      <c r="M4751" t="s">
        <v>43</v>
      </c>
      <c r="N4751" t="s">
        <v>42</v>
      </c>
      <c r="P4751" s="23">
        <v>96.86</v>
      </c>
      <c r="Q4751" s="4">
        <f t="shared" si="74"/>
        <v>-1.548626884162709E-3</v>
      </c>
      <c r="R4751" s="23" t="s">
        <v>1198</v>
      </c>
      <c r="T4751" s="41" t="s">
        <v>6107</v>
      </c>
    </row>
    <row r="4752" spans="1:20" x14ac:dyDescent="0.25">
      <c r="A4752" s="21">
        <v>45807</v>
      </c>
      <c r="B4752" s="1" t="s">
        <v>4274</v>
      </c>
      <c r="C4752" t="s">
        <v>1221</v>
      </c>
      <c r="D4752" s="22">
        <v>-0.15</v>
      </c>
      <c r="E4752" t="s">
        <v>35</v>
      </c>
      <c r="F4752" s="2">
        <v>610148001</v>
      </c>
      <c r="G4752" s="2" t="s">
        <v>42</v>
      </c>
      <c r="L4752" s="2" t="s">
        <v>8366</v>
      </c>
      <c r="M4752" t="s">
        <v>43</v>
      </c>
      <c r="N4752" t="s">
        <v>42</v>
      </c>
      <c r="P4752" s="23">
        <v>96.86</v>
      </c>
      <c r="Q4752" s="4">
        <f t="shared" si="74"/>
        <v>-1.548626884162709E-3</v>
      </c>
      <c r="R4752" s="23" t="s">
        <v>1198</v>
      </c>
      <c r="T4752" s="41" t="s">
        <v>6107</v>
      </c>
    </row>
    <row r="4753" spans="1:20" x14ac:dyDescent="0.25">
      <c r="A4753" s="21">
        <v>45807</v>
      </c>
      <c r="B4753" s="1" t="s">
        <v>8367</v>
      </c>
      <c r="C4753" t="s">
        <v>1221</v>
      </c>
      <c r="D4753" s="22">
        <v>-0.15</v>
      </c>
      <c r="E4753" t="s">
        <v>35</v>
      </c>
      <c r="F4753" s="2">
        <v>610148001</v>
      </c>
      <c r="G4753" s="2" t="s">
        <v>42</v>
      </c>
      <c r="L4753" s="2" t="s">
        <v>8368</v>
      </c>
      <c r="M4753" t="s">
        <v>43</v>
      </c>
      <c r="N4753" t="s">
        <v>42</v>
      </c>
      <c r="P4753" s="23">
        <v>96.86</v>
      </c>
      <c r="Q4753" s="4">
        <f t="shared" si="74"/>
        <v>-1.548626884162709E-3</v>
      </c>
      <c r="R4753" s="23" t="s">
        <v>1198</v>
      </c>
      <c r="T4753" s="41" t="s">
        <v>6107</v>
      </c>
    </row>
    <row r="4754" spans="1:20" x14ac:dyDescent="0.25">
      <c r="A4754" s="21">
        <v>45807</v>
      </c>
      <c r="B4754" s="1" t="s">
        <v>8369</v>
      </c>
      <c r="C4754" t="s">
        <v>1221</v>
      </c>
      <c r="D4754" s="22">
        <v>-0.15</v>
      </c>
      <c r="E4754" t="s">
        <v>35</v>
      </c>
      <c r="F4754" s="2">
        <v>610148001</v>
      </c>
      <c r="G4754" s="2" t="s">
        <v>42</v>
      </c>
      <c r="L4754" s="2" t="s">
        <v>8370</v>
      </c>
      <c r="M4754" t="s">
        <v>43</v>
      </c>
      <c r="N4754" t="s">
        <v>42</v>
      </c>
      <c r="P4754" s="23">
        <v>96.86</v>
      </c>
      <c r="Q4754" s="4">
        <f t="shared" si="74"/>
        <v>-1.548626884162709E-3</v>
      </c>
      <c r="R4754" s="23" t="s">
        <v>1198</v>
      </c>
      <c r="T4754" s="41" t="s">
        <v>6107</v>
      </c>
    </row>
    <row r="4755" spans="1:20" x14ac:dyDescent="0.25">
      <c r="A4755" s="21">
        <v>45807</v>
      </c>
      <c r="B4755" s="1" t="s">
        <v>8371</v>
      </c>
      <c r="C4755" t="s">
        <v>1221</v>
      </c>
      <c r="D4755" s="22">
        <v>-0.15</v>
      </c>
      <c r="E4755" t="s">
        <v>35</v>
      </c>
      <c r="F4755" s="2">
        <v>610148001</v>
      </c>
      <c r="G4755" s="2" t="s">
        <v>42</v>
      </c>
      <c r="L4755" s="2" t="s">
        <v>8372</v>
      </c>
      <c r="M4755" t="s">
        <v>43</v>
      </c>
      <c r="N4755" t="s">
        <v>42</v>
      </c>
      <c r="P4755" s="23">
        <v>96.86</v>
      </c>
      <c r="Q4755" s="4">
        <f t="shared" si="74"/>
        <v>-1.548626884162709E-3</v>
      </c>
      <c r="R4755" s="23" t="s">
        <v>1198</v>
      </c>
      <c r="T4755" s="41" t="s">
        <v>6107</v>
      </c>
    </row>
    <row r="4756" spans="1:20" x14ac:dyDescent="0.25">
      <c r="A4756" s="21">
        <v>45807</v>
      </c>
      <c r="B4756" s="1" t="s">
        <v>8373</v>
      </c>
      <c r="C4756" t="s">
        <v>1221</v>
      </c>
      <c r="D4756" s="22">
        <v>-0.15</v>
      </c>
      <c r="E4756" t="s">
        <v>35</v>
      </c>
      <c r="F4756" s="2">
        <v>610148001</v>
      </c>
      <c r="G4756" s="2" t="s">
        <v>42</v>
      </c>
      <c r="L4756" s="2" t="s">
        <v>8374</v>
      </c>
      <c r="M4756" t="s">
        <v>43</v>
      </c>
      <c r="N4756" t="s">
        <v>42</v>
      </c>
      <c r="P4756" s="23">
        <v>96.86</v>
      </c>
      <c r="Q4756" s="4">
        <f t="shared" si="74"/>
        <v>-1.548626884162709E-3</v>
      </c>
      <c r="R4756" s="23" t="s">
        <v>1198</v>
      </c>
      <c r="T4756" s="41" t="s">
        <v>6107</v>
      </c>
    </row>
    <row r="4757" spans="1:20" x14ac:dyDescent="0.25">
      <c r="A4757" s="21">
        <v>45807</v>
      </c>
      <c r="B4757" s="1" t="s">
        <v>8375</v>
      </c>
      <c r="C4757" t="s">
        <v>1221</v>
      </c>
      <c r="D4757" s="22">
        <v>-9.52</v>
      </c>
      <c r="E4757" t="s">
        <v>35</v>
      </c>
      <c r="F4757" s="2">
        <v>610148001</v>
      </c>
      <c r="G4757" s="2" t="s">
        <v>42</v>
      </c>
      <c r="L4757" s="2" t="s">
        <v>8376</v>
      </c>
      <c r="M4757" t="s">
        <v>43</v>
      </c>
      <c r="N4757" t="s">
        <v>42</v>
      </c>
      <c r="P4757" s="23">
        <v>96.86</v>
      </c>
      <c r="Q4757" s="4">
        <f t="shared" si="74"/>
        <v>-9.8286186248193269E-2</v>
      </c>
      <c r="R4757" s="23" t="s">
        <v>1198</v>
      </c>
      <c r="T4757" s="41" t="s">
        <v>6107</v>
      </c>
    </row>
    <row r="4758" spans="1:20" x14ac:dyDescent="0.25">
      <c r="A4758" s="21">
        <v>45807</v>
      </c>
      <c r="B4758" s="1" t="s">
        <v>8377</v>
      </c>
      <c r="C4758" t="s">
        <v>1221</v>
      </c>
      <c r="D4758" s="22">
        <v>-9.52</v>
      </c>
      <c r="E4758" t="s">
        <v>35</v>
      </c>
      <c r="F4758" s="2">
        <v>610148001</v>
      </c>
      <c r="G4758" s="2" t="s">
        <v>42</v>
      </c>
      <c r="L4758" s="2" t="s">
        <v>8378</v>
      </c>
      <c r="M4758" t="s">
        <v>43</v>
      </c>
      <c r="N4758" t="s">
        <v>42</v>
      </c>
      <c r="P4758" s="23">
        <v>96.86</v>
      </c>
      <c r="Q4758" s="4">
        <f t="shared" si="74"/>
        <v>-9.8286186248193269E-2</v>
      </c>
      <c r="R4758" s="23" t="s">
        <v>1198</v>
      </c>
      <c r="T4758" s="41" t="s">
        <v>6107</v>
      </c>
    </row>
    <row r="4759" spans="1:20" x14ac:dyDescent="0.25">
      <c r="A4759" s="21">
        <v>45807</v>
      </c>
      <c r="B4759" s="1" t="s">
        <v>8379</v>
      </c>
      <c r="C4759" t="s">
        <v>1221</v>
      </c>
      <c r="D4759" s="22">
        <v>-9.52</v>
      </c>
      <c r="E4759" t="s">
        <v>35</v>
      </c>
      <c r="F4759" s="2">
        <v>610148001</v>
      </c>
      <c r="G4759" s="2" t="s">
        <v>42</v>
      </c>
      <c r="L4759" s="2" t="s">
        <v>8380</v>
      </c>
      <c r="M4759" t="s">
        <v>43</v>
      </c>
      <c r="N4759" t="s">
        <v>42</v>
      </c>
      <c r="P4759" s="23">
        <v>96.86</v>
      </c>
      <c r="Q4759" s="4">
        <f t="shared" si="74"/>
        <v>-9.8286186248193269E-2</v>
      </c>
      <c r="R4759" s="23" t="s">
        <v>1198</v>
      </c>
      <c r="T4759" s="41" t="s">
        <v>6107</v>
      </c>
    </row>
    <row r="4760" spans="1:20" x14ac:dyDescent="0.25">
      <c r="A4760" s="21">
        <v>45807</v>
      </c>
      <c r="B4760" s="1" t="s">
        <v>8381</v>
      </c>
      <c r="C4760" t="s">
        <v>1221</v>
      </c>
      <c r="D4760" s="22">
        <v>-21.42</v>
      </c>
      <c r="E4760" t="s">
        <v>35</v>
      </c>
      <c r="F4760" s="2">
        <v>610148001</v>
      </c>
      <c r="G4760" s="2" t="s">
        <v>42</v>
      </c>
      <c r="L4760" s="2" t="s">
        <v>8382</v>
      </c>
      <c r="M4760" t="s">
        <v>43</v>
      </c>
      <c r="N4760" t="s">
        <v>42</v>
      </c>
      <c r="P4760" s="23">
        <v>96.86</v>
      </c>
      <c r="Q4760" s="4">
        <f t="shared" si="74"/>
        <v>-0.22114391905843486</v>
      </c>
      <c r="R4760" s="23" t="s">
        <v>1198</v>
      </c>
      <c r="T4760" s="41" t="s">
        <v>6107</v>
      </c>
    </row>
    <row r="4761" spans="1:20" x14ac:dyDescent="0.25">
      <c r="A4761" s="21">
        <v>45807</v>
      </c>
      <c r="B4761" s="1" t="s">
        <v>1225</v>
      </c>
      <c r="C4761" t="s">
        <v>1221</v>
      </c>
      <c r="D4761" s="22">
        <v>-20.149999999999999</v>
      </c>
      <c r="E4761" t="s">
        <v>35</v>
      </c>
      <c r="F4761" s="2">
        <v>610148001</v>
      </c>
      <c r="G4761" s="2" t="s">
        <v>42</v>
      </c>
      <c r="L4761" s="2" t="s">
        <v>8383</v>
      </c>
      <c r="M4761" t="s">
        <v>43</v>
      </c>
      <c r="N4761" t="s">
        <v>42</v>
      </c>
      <c r="P4761" s="23">
        <v>96.86</v>
      </c>
      <c r="Q4761" s="4">
        <f t="shared" si="74"/>
        <v>-0.20803221143919057</v>
      </c>
      <c r="R4761" s="23" t="s">
        <v>1198</v>
      </c>
      <c r="T4761" s="41" t="s">
        <v>6107</v>
      </c>
    </row>
    <row r="4762" spans="1:20" x14ac:dyDescent="0.25">
      <c r="A4762" s="21">
        <v>45807</v>
      </c>
      <c r="B4762" s="1" t="s">
        <v>1223</v>
      </c>
      <c r="C4762" t="s">
        <v>1221</v>
      </c>
      <c r="D4762" s="22">
        <v>-17.79</v>
      </c>
      <c r="E4762" t="s">
        <v>35</v>
      </c>
      <c r="F4762" s="2">
        <v>610148001</v>
      </c>
      <c r="G4762" s="2" t="s">
        <v>42</v>
      </c>
      <c r="L4762" s="2" t="s">
        <v>8384</v>
      </c>
      <c r="M4762" t="s">
        <v>43</v>
      </c>
      <c r="N4762" t="s">
        <v>42</v>
      </c>
      <c r="P4762" s="23">
        <v>96.86</v>
      </c>
      <c r="Q4762" s="4">
        <f t="shared" si="74"/>
        <v>-0.18366714846169729</v>
      </c>
      <c r="R4762" s="23" t="s">
        <v>1198</v>
      </c>
      <c r="T4762" s="41" t="s">
        <v>6107</v>
      </c>
    </row>
    <row r="4763" spans="1:20" x14ac:dyDescent="0.25">
      <c r="A4763" s="21">
        <v>45807</v>
      </c>
      <c r="B4763" s="1" t="s">
        <v>3955</v>
      </c>
      <c r="C4763" t="s">
        <v>1221</v>
      </c>
      <c r="D4763" s="22">
        <v>-17.79</v>
      </c>
      <c r="E4763" t="s">
        <v>35</v>
      </c>
      <c r="F4763" s="2">
        <v>610148001</v>
      </c>
      <c r="G4763" s="2" t="s">
        <v>42</v>
      </c>
      <c r="L4763" s="2" t="s">
        <v>8385</v>
      </c>
      <c r="M4763" t="s">
        <v>43</v>
      </c>
      <c r="N4763" t="s">
        <v>42</v>
      </c>
      <c r="P4763" s="23">
        <v>96.86</v>
      </c>
      <c r="Q4763" s="4">
        <f t="shared" si="74"/>
        <v>-0.18366714846169729</v>
      </c>
      <c r="R4763" s="23" t="s">
        <v>1198</v>
      </c>
      <c r="T4763" s="41" t="s">
        <v>6107</v>
      </c>
    </row>
    <row r="4764" spans="1:20" x14ac:dyDescent="0.25">
      <c r="A4764" s="21">
        <v>45807</v>
      </c>
      <c r="B4764" s="1" t="s">
        <v>4284</v>
      </c>
      <c r="C4764" t="s">
        <v>1221</v>
      </c>
      <c r="D4764" s="22">
        <v>-10.1</v>
      </c>
      <c r="E4764" t="s">
        <v>35</v>
      </c>
      <c r="F4764" s="2">
        <v>610148001</v>
      </c>
      <c r="G4764" s="2" t="s">
        <v>42</v>
      </c>
      <c r="L4764" s="2" t="s">
        <v>8386</v>
      </c>
      <c r="M4764" t="s">
        <v>43</v>
      </c>
      <c r="N4764" t="s">
        <v>42</v>
      </c>
      <c r="P4764" s="23">
        <v>96.86</v>
      </c>
      <c r="Q4764" s="4">
        <f t="shared" si="74"/>
        <v>-0.10427421020028907</v>
      </c>
      <c r="R4764" s="23" t="s">
        <v>1198</v>
      </c>
      <c r="T4764" s="41" t="s">
        <v>6107</v>
      </c>
    </row>
    <row r="4765" spans="1:20" x14ac:dyDescent="0.25">
      <c r="A4765" s="21">
        <v>45807</v>
      </c>
      <c r="B4765" s="1" t="s">
        <v>4244</v>
      </c>
      <c r="C4765" t="s">
        <v>1221</v>
      </c>
      <c r="D4765" s="22">
        <v>-59.36</v>
      </c>
      <c r="E4765" t="s">
        <v>35</v>
      </c>
      <c r="F4765" s="2">
        <v>610148001</v>
      </c>
      <c r="G4765" s="2" t="s">
        <v>42</v>
      </c>
      <c r="L4765" s="2" t="s">
        <v>8387</v>
      </c>
      <c r="M4765" t="s">
        <v>43</v>
      </c>
      <c r="N4765" t="s">
        <v>42</v>
      </c>
      <c r="P4765" s="23">
        <v>96.86</v>
      </c>
      <c r="Q4765" s="4">
        <f t="shared" si="74"/>
        <v>-0.61284327895932278</v>
      </c>
      <c r="R4765" s="23" t="s">
        <v>1198</v>
      </c>
      <c r="T4765" s="41" t="s">
        <v>6107</v>
      </c>
    </row>
    <row r="4766" spans="1:20" x14ac:dyDescent="0.25">
      <c r="A4766" s="21">
        <v>45807</v>
      </c>
      <c r="B4766" s="1" t="s">
        <v>4260</v>
      </c>
      <c r="C4766" t="s">
        <v>1221</v>
      </c>
      <c r="D4766" s="22">
        <v>-11.8</v>
      </c>
      <c r="E4766" t="s">
        <v>35</v>
      </c>
      <c r="F4766" s="2">
        <v>610148001</v>
      </c>
      <c r="G4766" s="2" t="s">
        <v>42</v>
      </c>
      <c r="L4766" s="2" t="s">
        <v>8388</v>
      </c>
      <c r="M4766" t="s">
        <v>43</v>
      </c>
      <c r="N4766" t="s">
        <v>42</v>
      </c>
      <c r="P4766" s="23">
        <v>96.86</v>
      </c>
      <c r="Q4766" s="4">
        <f t="shared" si="74"/>
        <v>-0.12182531488746645</v>
      </c>
      <c r="R4766" s="23" t="s">
        <v>1198</v>
      </c>
      <c r="T4766" s="41" t="s">
        <v>6107</v>
      </c>
    </row>
    <row r="4767" spans="1:20" x14ac:dyDescent="0.25">
      <c r="A4767" s="21">
        <v>45807</v>
      </c>
      <c r="B4767" s="1" t="s">
        <v>4288</v>
      </c>
      <c r="C4767" t="s">
        <v>1221</v>
      </c>
      <c r="D4767" s="22">
        <v>-2.38</v>
      </c>
      <c r="E4767" t="s">
        <v>35</v>
      </c>
      <c r="F4767" s="2">
        <v>610148001</v>
      </c>
      <c r="G4767" s="2" t="s">
        <v>42</v>
      </c>
      <c r="L4767" s="2" t="s">
        <v>8389</v>
      </c>
      <c r="M4767" t="s">
        <v>43</v>
      </c>
      <c r="N4767" t="s">
        <v>42</v>
      </c>
      <c r="P4767" s="23">
        <v>96.86</v>
      </c>
      <c r="Q4767" s="4">
        <f t="shared" si="74"/>
        <v>-2.4571546562048317E-2</v>
      </c>
      <c r="R4767" s="23" t="s">
        <v>1198</v>
      </c>
      <c r="T4767" s="41" t="s">
        <v>6107</v>
      </c>
    </row>
    <row r="4768" spans="1:20" x14ac:dyDescent="0.25">
      <c r="A4768" s="21">
        <v>45807</v>
      </c>
      <c r="B4768" s="1" t="s">
        <v>4268</v>
      </c>
      <c r="C4768" t="s">
        <v>1221</v>
      </c>
      <c r="D4768" s="22">
        <v>-2.38</v>
      </c>
      <c r="E4768" t="s">
        <v>35</v>
      </c>
      <c r="F4768" s="2">
        <v>610148001</v>
      </c>
      <c r="G4768" s="2" t="s">
        <v>42</v>
      </c>
      <c r="L4768" s="2" t="s">
        <v>8390</v>
      </c>
      <c r="M4768" t="s">
        <v>43</v>
      </c>
      <c r="N4768" t="s">
        <v>42</v>
      </c>
      <c r="P4768" s="23">
        <v>96.86</v>
      </c>
      <c r="Q4768" s="4">
        <f t="shared" si="74"/>
        <v>-2.4571546562048317E-2</v>
      </c>
      <c r="R4768" s="23" t="s">
        <v>1198</v>
      </c>
      <c r="T4768" s="41" t="s">
        <v>6107</v>
      </c>
    </row>
    <row r="4769" spans="1:20" x14ac:dyDescent="0.25">
      <c r="A4769" s="21">
        <v>45807</v>
      </c>
      <c r="B4769" s="1" t="s">
        <v>8391</v>
      </c>
      <c r="C4769" t="s">
        <v>1221</v>
      </c>
      <c r="D4769" s="22">
        <v>-0.15</v>
      </c>
      <c r="E4769" t="s">
        <v>35</v>
      </c>
      <c r="F4769" s="2">
        <v>610148001</v>
      </c>
      <c r="G4769" s="2" t="s">
        <v>42</v>
      </c>
      <c r="L4769" s="2" t="s">
        <v>8392</v>
      </c>
      <c r="M4769" t="s">
        <v>43</v>
      </c>
      <c r="N4769" t="s">
        <v>42</v>
      </c>
      <c r="P4769" s="23">
        <v>96.86</v>
      </c>
      <c r="Q4769" s="4">
        <f t="shared" si="74"/>
        <v>-1.548626884162709E-3</v>
      </c>
      <c r="R4769" s="23" t="s">
        <v>1198</v>
      </c>
      <c r="T4769" s="41" t="s">
        <v>6107</v>
      </c>
    </row>
    <row r="4770" spans="1:20" x14ac:dyDescent="0.25">
      <c r="A4770" s="21">
        <v>45807</v>
      </c>
      <c r="B4770" s="1" t="s">
        <v>8393</v>
      </c>
      <c r="C4770" t="s">
        <v>1221</v>
      </c>
      <c r="D4770" s="22">
        <v>-0.15</v>
      </c>
      <c r="E4770" t="s">
        <v>35</v>
      </c>
      <c r="F4770" s="2">
        <v>610148001</v>
      </c>
      <c r="G4770" s="2" t="s">
        <v>42</v>
      </c>
      <c r="L4770" s="2" t="s">
        <v>8394</v>
      </c>
      <c r="M4770" t="s">
        <v>43</v>
      </c>
      <c r="N4770" t="s">
        <v>42</v>
      </c>
      <c r="P4770" s="23">
        <v>96.86</v>
      </c>
      <c r="Q4770" s="4">
        <f t="shared" si="74"/>
        <v>-1.548626884162709E-3</v>
      </c>
      <c r="R4770" s="23" t="s">
        <v>1198</v>
      </c>
      <c r="T4770" s="41" t="s">
        <v>6107</v>
      </c>
    </row>
    <row r="4771" spans="1:20" x14ac:dyDescent="0.25">
      <c r="A4771" s="21">
        <v>45800</v>
      </c>
      <c r="B4771" s="1">
        <v>10712551826</v>
      </c>
      <c r="C4771" t="s">
        <v>8395</v>
      </c>
      <c r="D4771" s="22">
        <v>-120</v>
      </c>
      <c r="E4771" t="s">
        <v>35</v>
      </c>
      <c r="F4771" s="2">
        <v>610148001</v>
      </c>
      <c r="G4771" s="2" t="s">
        <v>42</v>
      </c>
      <c r="L4771" s="2" t="s">
        <v>8396</v>
      </c>
      <c r="M4771" t="s">
        <v>43</v>
      </c>
      <c r="N4771" t="s">
        <v>42</v>
      </c>
      <c r="P4771" s="23">
        <v>95.02</v>
      </c>
      <c r="Q4771" s="4">
        <f t="shared" si="74"/>
        <v>-1.2628920227320564</v>
      </c>
      <c r="R4771" s="23" t="s">
        <v>40</v>
      </c>
      <c r="T4771" s="23" t="s">
        <v>6107</v>
      </c>
    </row>
    <row r="4772" spans="1:20" x14ac:dyDescent="0.25">
      <c r="A4772" s="21">
        <v>45800</v>
      </c>
      <c r="B4772" s="1">
        <v>2712551826</v>
      </c>
      <c r="C4772" t="s">
        <v>7640</v>
      </c>
      <c r="D4772" s="22">
        <v>-40000</v>
      </c>
      <c r="E4772" t="s">
        <v>35</v>
      </c>
      <c r="F4772" s="2">
        <v>110101003</v>
      </c>
      <c r="G4772" s="2" t="s">
        <v>6734</v>
      </c>
      <c r="L4772" s="2" t="s">
        <v>8397</v>
      </c>
      <c r="N4772" t="s">
        <v>7640</v>
      </c>
      <c r="P4772" s="23">
        <v>95.02</v>
      </c>
      <c r="Q4772" s="4">
        <f t="shared" si="74"/>
        <v>-420.96400757735216</v>
      </c>
      <c r="R4772" s="23" t="s">
        <v>40</v>
      </c>
    </row>
    <row r="4773" spans="1:20" x14ac:dyDescent="0.25">
      <c r="A4773" s="21">
        <v>45803</v>
      </c>
      <c r="B4773" s="1">
        <v>25522396325</v>
      </c>
      <c r="C4773" t="s">
        <v>8398</v>
      </c>
      <c r="D4773" s="22">
        <v>522127.6</v>
      </c>
      <c r="E4773" t="s">
        <v>46</v>
      </c>
      <c r="F4773" s="2">
        <v>210101001</v>
      </c>
      <c r="G4773" s="2" t="s">
        <v>36</v>
      </c>
      <c r="L4773" s="2" t="s">
        <v>8399</v>
      </c>
      <c r="N4773" t="s">
        <v>2353</v>
      </c>
      <c r="P4773" s="23">
        <v>95.08</v>
      </c>
      <c r="Q4773" s="4">
        <f t="shared" si="74"/>
        <v>5491.4556163230964</v>
      </c>
      <c r="R4773" s="23" t="s">
        <v>40</v>
      </c>
    </row>
    <row r="4774" spans="1:20" x14ac:dyDescent="0.25">
      <c r="A4774" s="21">
        <v>45807</v>
      </c>
      <c r="B4774" s="1">
        <v>71600000000</v>
      </c>
      <c r="C4774" t="s">
        <v>49</v>
      </c>
      <c r="D4774" s="22">
        <v>-0.5</v>
      </c>
      <c r="E4774" t="s">
        <v>35</v>
      </c>
      <c r="F4774" s="2">
        <v>610148001</v>
      </c>
      <c r="G4774" s="2" t="s">
        <v>42</v>
      </c>
      <c r="L4774" s="2" t="s">
        <v>8400</v>
      </c>
      <c r="M4774" t="s">
        <v>43</v>
      </c>
      <c r="N4774" t="s">
        <v>42</v>
      </c>
      <c r="P4774" s="23">
        <v>96.86</v>
      </c>
      <c r="Q4774" s="4">
        <f t="shared" si="74"/>
        <v>-5.1620896138756967E-3</v>
      </c>
      <c r="R4774" s="23" t="s">
        <v>40</v>
      </c>
      <c r="T4774" s="23" t="s">
        <v>6107</v>
      </c>
    </row>
    <row r="4775" spans="1:20" x14ac:dyDescent="0.25">
      <c r="A4775" s="21">
        <v>45807</v>
      </c>
      <c r="B4775" s="1">
        <v>91577700000</v>
      </c>
      <c r="C4775" t="s">
        <v>50</v>
      </c>
      <c r="D4775" s="22">
        <v>-0.5</v>
      </c>
      <c r="E4775" t="s">
        <v>35</v>
      </c>
      <c r="F4775" s="2">
        <v>610148001</v>
      </c>
      <c r="G4775" s="2" t="s">
        <v>42</v>
      </c>
      <c r="L4775" s="2" t="s">
        <v>8401</v>
      </c>
      <c r="M4775" t="s">
        <v>43</v>
      </c>
      <c r="N4775" t="s">
        <v>42</v>
      </c>
      <c r="P4775" s="23">
        <v>96.86</v>
      </c>
      <c r="Q4775" s="4">
        <f t="shared" si="74"/>
        <v>-5.1620896138756967E-3</v>
      </c>
      <c r="R4775" s="23" t="s">
        <v>40</v>
      </c>
      <c r="T4775" s="23" t="s">
        <v>6107</v>
      </c>
    </row>
    <row r="4776" spans="1:20" x14ac:dyDescent="0.25">
      <c r="A4776" s="21">
        <v>45820</v>
      </c>
      <c r="B4776" s="1">
        <v>101</v>
      </c>
      <c r="C4776" t="s">
        <v>107</v>
      </c>
      <c r="D4776" s="22">
        <v>25000</v>
      </c>
      <c r="E4776" t="s">
        <v>46</v>
      </c>
      <c r="F4776" s="2">
        <v>210115002</v>
      </c>
      <c r="G4776" s="2" t="s">
        <v>47</v>
      </c>
      <c r="L4776" s="2" t="s">
        <v>8402</v>
      </c>
      <c r="N4776" t="s">
        <v>8403</v>
      </c>
      <c r="P4776" s="23">
        <v>100.34</v>
      </c>
      <c r="Q4776" s="4">
        <f t="shared" si="74"/>
        <v>249.1528802072952</v>
      </c>
      <c r="R4776" s="23" t="s">
        <v>53</v>
      </c>
    </row>
    <row r="4777" spans="1:20" x14ac:dyDescent="0.25">
      <c r="A4777" s="21">
        <v>45820</v>
      </c>
      <c r="B4777" s="1">
        <v>102</v>
      </c>
      <c r="C4777" t="s">
        <v>8404</v>
      </c>
      <c r="D4777" s="22">
        <v>-24925</v>
      </c>
      <c r="E4777" t="s">
        <v>35</v>
      </c>
      <c r="F4777" s="2">
        <v>840101001</v>
      </c>
      <c r="G4777" s="2" t="s">
        <v>65</v>
      </c>
      <c r="L4777" s="2" t="s">
        <v>8405</v>
      </c>
      <c r="M4777" t="s">
        <v>67</v>
      </c>
      <c r="N4777" t="s">
        <v>68</v>
      </c>
      <c r="P4777" s="23">
        <v>100.34</v>
      </c>
      <c r="Q4777" s="4">
        <f t="shared" si="74"/>
        <v>-248.40542156667331</v>
      </c>
      <c r="R4777" s="23" t="s">
        <v>53</v>
      </c>
    </row>
    <row r="4778" spans="1:20" x14ac:dyDescent="0.25">
      <c r="A4778" s="21">
        <v>45820</v>
      </c>
      <c r="B4778" s="1">
        <v>103</v>
      </c>
      <c r="C4778" t="s">
        <v>51</v>
      </c>
      <c r="D4778" s="22">
        <v>-74.77</v>
      </c>
      <c r="E4778" t="s">
        <v>35</v>
      </c>
      <c r="F4778" s="2">
        <v>610148001</v>
      </c>
      <c r="G4778" s="2" t="s">
        <v>42</v>
      </c>
      <c r="L4778" s="2" t="s">
        <v>8406</v>
      </c>
      <c r="M4778" t="s">
        <v>43</v>
      </c>
      <c r="N4778" t="s">
        <v>42</v>
      </c>
      <c r="P4778" s="23">
        <v>100.34</v>
      </c>
      <c r="Q4778" s="4">
        <f t="shared" si="74"/>
        <v>-0.74516643412397843</v>
      </c>
      <c r="R4778" s="23" t="s">
        <v>53</v>
      </c>
    </row>
    <row r="4779" spans="1:20" x14ac:dyDescent="0.25">
      <c r="A4779" s="21">
        <v>45831</v>
      </c>
      <c r="B4779" s="1">
        <v>104</v>
      </c>
      <c r="C4779" t="s">
        <v>8403</v>
      </c>
      <c r="D4779" s="22">
        <v>27000</v>
      </c>
      <c r="E4779" t="s">
        <v>46</v>
      </c>
      <c r="F4779" s="2">
        <v>210115002</v>
      </c>
      <c r="G4779" s="2" t="s">
        <v>47</v>
      </c>
      <c r="L4779" s="2" t="s">
        <v>8407</v>
      </c>
      <c r="N4779" t="s">
        <v>8403</v>
      </c>
      <c r="P4779" s="23">
        <v>105.45</v>
      </c>
      <c r="Q4779" s="4">
        <f t="shared" si="74"/>
        <v>256.04551920341396</v>
      </c>
      <c r="R4779" s="23" t="s">
        <v>53</v>
      </c>
    </row>
    <row r="4780" spans="1:20" x14ac:dyDescent="0.25">
      <c r="A4780" s="21">
        <v>45831</v>
      </c>
      <c r="B4780" s="1">
        <v>105</v>
      </c>
      <c r="C4780" t="s">
        <v>8408</v>
      </c>
      <c r="D4780" s="22">
        <v>-26135</v>
      </c>
      <c r="E4780" t="s">
        <v>35</v>
      </c>
      <c r="F4780" s="2">
        <v>840101001</v>
      </c>
      <c r="G4780" s="2" t="s">
        <v>65</v>
      </c>
      <c r="L4780" s="2" t="s">
        <v>8409</v>
      </c>
      <c r="M4780" t="s">
        <v>67</v>
      </c>
      <c r="N4780" t="s">
        <v>68</v>
      </c>
      <c r="P4780" s="23">
        <v>105.45</v>
      </c>
      <c r="Q4780" s="4">
        <f t="shared" si="74"/>
        <v>-247.84257942152678</v>
      </c>
      <c r="R4780" s="23" t="s">
        <v>53</v>
      </c>
    </row>
    <row r="4781" spans="1:20" x14ac:dyDescent="0.25">
      <c r="A4781" s="21">
        <v>45831</v>
      </c>
      <c r="B4781" s="1">
        <v>106</v>
      </c>
      <c r="C4781" t="s">
        <v>51</v>
      </c>
      <c r="D4781" s="22">
        <v>-78.400000000000006</v>
      </c>
      <c r="E4781" t="s">
        <v>35</v>
      </c>
      <c r="F4781" s="2">
        <v>610148001</v>
      </c>
      <c r="G4781" s="2" t="s">
        <v>42</v>
      </c>
      <c r="L4781" s="2" t="s">
        <v>8410</v>
      </c>
      <c r="M4781" t="s">
        <v>43</v>
      </c>
      <c r="N4781" t="s">
        <v>42</v>
      </c>
      <c r="P4781" s="23">
        <v>105.45</v>
      </c>
      <c r="Q4781" s="4">
        <f t="shared" si="74"/>
        <v>-0.74348032242769091</v>
      </c>
      <c r="R4781" s="23" t="s">
        <v>53</v>
      </c>
    </row>
    <row r="4782" spans="1:20" x14ac:dyDescent="0.25">
      <c r="A4782" s="21">
        <v>45836</v>
      </c>
      <c r="B4782" s="1">
        <v>107</v>
      </c>
      <c r="C4782" t="s">
        <v>8411</v>
      </c>
      <c r="D4782" s="22">
        <v>60000</v>
      </c>
      <c r="E4782" t="s">
        <v>46</v>
      </c>
      <c r="F4782" s="2">
        <v>210115002</v>
      </c>
      <c r="G4782" s="2" t="s">
        <v>47</v>
      </c>
      <c r="L4782" s="2" t="s">
        <v>8412</v>
      </c>
      <c r="N4782" t="s">
        <v>8411</v>
      </c>
      <c r="P4782" s="23">
        <v>107.62</v>
      </c>
      <c r="Q4782" s="4">
        <f t="shared" si="74"/>
        <v>557.51719011336183</v>
      </c>
      <c r="R4782" s="23" t="s">
        <v>53</v>
      </c>
    </row>
    <row r="4783" spans="1:20" x14ac:dyDescent="0.25">
      <c r="A4783" s="21">
        <v>45836</v>
      </c>
      <c r="B4783" s="1">
        <v>108</v>
      </c>
      <c r="C4783" t="s">
        <v>8408</v>
      </c>
      <c r="D4783" s="22">
        <v>-26542.5</v>
      </c>
      <c r="E4783" t="s">
        <v>35</v>
      </c>
      <c r="F4783" s="2">
        <v>840101001</v>
      </c>
      <c r="G4783" s="2" t="s">
        <v>65</v>
      </c>
      <c r="L4783" s="2" t="s">
        <v>8413</v>
      </c>
      <c r="M4783" t="s">
        <v>67</v>
      </c>
      <c r="N4783" t="s">
        <v>68</v>
      </c>
      <c r="P4783" s="23">
        <v>107.62</v>
      </c>
      <c r="Q4783" s="4">
        <f t="shared" si="74"/>
        <v>-246.63166697639844</v>
      </c>
      <c r="R4783" s="23" t="s">
        <v>53</v>
      </c>
    </row>
    <row r="4784" spans="1:20" x14ac:dyDescent="0.25">
      <c r="A4784" s="21">
        <v>45836</v>
      </c>
      <c r="B4784" s="1">
        <v>109</v>
      </c>
      <c r="C4784" t="s">
        <v>51</v>
      </c>
      <c r="D4784" s="22">
        <v>-79.62</v>
      </c>
      <c r="E4784" t="s">
        <v>35</v>
      </c>
      <c r="F4784" s="2">
        <v>610148001</v>
      </c>
      <c r="G4784" s="2" t="s">
        <v>42</v>
      </c>
      <c r="L4784" s="2" t="s">
        <v>8414</v>
      </c>
      <c r="M4784" t="s">
        <v>43</v>
      </c>
      <c r="N4784" t="s">
        <v>42</v>
      </c>
      <c r="P4784" s="23">
        <v>107.62</v>
      </c>
      <c r="Q4784" s="4">
        <f t="shared" si="74"/>
        <v>-0.73982531128043116</v>
      </c>
      <c r="R4784" s="23" t="s">
        <v>53</v>
      </c>
    </row>
    <row r="4785" spans="1:20" x14ac:dyDescent="0.25">
      <c r="A4785" s="21">
        <v>45836</v>
      </c>
      <c r="B4785" s="1">
        <v>110</v>
      </c>
      <c r="C4785" t="s">
        <v>8415</v>
      </c>
      <c r="D4785" s="22">
        <v>-26542.5</v>
      </c>
      <c r="E4785" t="s">
        <v>35</v>
      </c>
      <c r="F4785" s="2">
        <v>840101001</v>
      </c>
      <c r="G4785" s="2" t="s">
        <v>65</v>
      </c>
      <c r="L4785" s="2" t="s">
        <v>8416</v>
      </c>
      <c r="M4785" t="s">
        <v>67</v>
      </c>
      <c r="N4785" t="s">
        <v>68</v>
      </c>
      <c r="P4785" s="23">
        <v>107.62</v>
      </c>
      <c r="Q4785" s="4">
        <f t="shared" si="74"/>
        <v>-246.63166697639844</v>
      </c>
      <c r="R4785" s="23" t="s">
        <v>53</v>
      </c>
    </row>
    <row r="4786" spans="1:20" x14ac:dyDescent="0.25">
      <c r="A4786" s="21">
        <v>45836</v>
      </c>
      <c r="B4786" s="1">
        <v>111</v>
      </c>
      <c r="C4786" t="s">
        <v>51</v>
      </c>
      <c r="D4786" s="22">
        <v>-79.62</v>
      </c>
      <c r="E4786" t="s">
        <v>35</v>
      </c>
      <c r="F4786" s="2">
        <v>610148001</v>
      </c>
      <c r="G4786" s="2" t="s">
        <v>42</v>
      </c>
      <c r="L4786" s="2" t="s">
        <v>8417</v>
      </c>
      <c r="M4786" t="s">
        <v>43</v>
      </c>
      <c r="N4786" t="s">
        <v>42</v>
      </c>
      <c r="P4786" s="23">
        <v>107.62</v>
      </c>
      <c r="Q4786" s="4">
        <f t="shared" si="74"/>
        <v>-0.73982531128043116</v>
      </c>
      <c r="R4786" s="23" t="s">
        <v>53</v>
      </c>
    </row>
    <row r="4787" spans="1:20" x14ac:dyDescent="0.25">
      <c r="A4787" s="21">
        <v>45838</v>
      </c>
      <c r="B4787" s="1">
        <v>112</v>
      </c>
      <c r="C4787" t="s">
        <v>86</v>
      </c>
      <c r="D4787" s="22">
        <v>-0.5</v>
      </c>
      <c r="E4787" t="s">
        <v>35</v>
      </c>
      <c r="F4787" s="2">
        <v>610148001</v>
      </c>
      <c r="G4787" s="2" t="s">
        <v>42</v>
      </c>
      <c r="L4787" s="2" t="s">
        <v>8418</v>
      </c>
      <c r="M4787" t="s">
        <v>43</v>
      </c>
      <c r="N4787" t="s">
        <v>42</v>
      </c>
      <c r="P4787" s="23">
        <v>107.62</v>
      </c>
      <c r="Q4787" s="4">
        <f t="shared" si="74"/>
        <v>-4.6459765842780153E-3</v>
      </c>
      <c r="R4787" s="23" t="s">
        <v>53</v>
      </c>
    </row>
    <row r="4788" spans="1:20" x14ac:dyDescent="0.25">
      <c r="A4788" s="21">
        <v>45838</v>
      </c>
      <c r="B4788" s="1">
        <v>113</v>
      </c>
      <c r="C4788" t="s">
        <v>84</v>
      </c>
      <c r="D4788" s="22">
        <v>-0.5</v>
      </c>
      <c r="E4788" t="s">
        <v>35</v>
      </c>
      <c r="F4788" s="2">
        <v>610148001</v>
      </c>
      <c r="G4788" s="2" t="s">
        <v>42</v>
      </c>
      <c r="L4788" s="2" t="s">
        <v>8419</v>
      </c>
      <c r="M4788" t="s">
        <v>43</v>
      </c>
      <c r="N4788" t="s">
        <v>42</v>
      </c>
      <c r="P4788" s="23">
        <v>107.62</v>
      </c>
      <c r="Q4788" s="4">
        <f t="shared" si="74"/>
        <v>-4.6459765842780153E-3</v>
      </c>
      <c r="R4788" s="23" t="s">
        <v>53</v>
      </c>
    </row>
    <row r="4789" spans="1:20" x14ac:dyDescent="0.25">
      <c r="A4789" s="21">
        <v>45812</v>
      </c>
      <c r="B4789" s="1">
        <v>47900018908</v>
      </c>
      <c r="C4789" t="s">
        <v>8420</v>
      </c>
      <c r="D4789" s="22">
        <v>-4422875.79</v>
      </c>
      <c r="E4789" t="s">
        <v>35</v>
      </c>
      <c r="F4789" s="2">
        <v>210101001</v>
      </c>
      <c r="G4789" s="2" t="s">
        <v>36</v>
      </c>
      <c r="L4789" s="2" t="s">
        <v>8421</v>
      </c>
      <c r="M4789" t="s">
        <v>2028</v>
      </c>
      <c r="N4789" t="s">
        <v>2029</v>
      </c>
      <c r="P4789" s="23">
        <v>97.42</v>
      </c>
      <c r="Q4789" s="4">
        <f t="shared" si="74"/>
        <v>-45400.079963046599</v>
      </c>
      <c r="R4789" s="23" t="s">
        <v>40</v>
      </c>
    </row>
    <row r="4790" spans="1:20" x14ac:dyDescent="0.25">
      <c r="A4790" s="21">
        <v>45812</v>
      </c>
      <c r="B4790" s="1">
        <v>43700018908</v>
      </c>
      <c r="C4790" t="s">
        <v>41</v>
      </c>
      <c r="D4790" s="22">
        <v>-0.67</v>
      </c>
      <c r="E4790" t="s">
        <v>35</v>
      </c>
      <c r="F4790" s="2">
        <v>610148001</v>
      </c>
      <c r="G4790" s="2" t="s">
        <v>42</v>
      </c>
      <c r="L4790" s="2" t="s">
        <v>8422</v>
      </c>
      <c r="M4790" t="s">
        <v>43</v>
      </c>
      <c r="N4790" t="s">
        <v>42</v>
      </c>
      <c r="P4790" s="23">
        <v>97.42</v>
      </c>
      <c r="Q4790" s="4">
        <f t="shared" si="74"/>
        <v>-6.8774378977622666E-3</v>
      </c>
      <c r="R4790" s="23" t="s">
        <v>40</v>
      </c>
      <c r="T4790" s="23" t="s">
        <v>8423</v>
      </c>
    </row>
    <row r="4791" spans="1:20" x14ac:dyDescent="0.25">
      <c r="A4791" s="21">
        <v>45812</v>
      </c>
      <c r="B4791" s="1">
        <v>47900072767</v>
      </c>
      <c r="C4791" t="s">
        <v>45</v>
      </c>
      <c r="D4791" s="22">
        <v>3900000</v>
      </c>
      <c r="E4791" t="s">
        <v>46</v>
      </c>
      <c r="F4791" s="2">
        <v>210115002</v>
      </c>
      <c r="G4791" s="2" t="s">
        <v>47</v>
      </c>
      <c r="L4791" s="2" t="s">
        <v>8424</v>
      </c>
      <c r="N4791" t="s">
        <v>45</v>
      </c>
      <c r="P4791" s="23">
        <v>97.42</v>
      </c>
      <c r="Q4791" s="4">
        <f t="shared" si="74"/>
        <v>40032.847464586324</v>
      </c>
      <c r="R4791" s="23" t="s">
        <v>40</v>
      </c>
    </row>
    <row r="4792" spans="1:20" x14ac:dyDescent="0.25">
      <c r="A4792" s="21">
        <v>45814</v>
      </c>
      <c r="B4792" s="1">
        <v>10715993968</v>
      </c>
      <c r="C4792" t="s">
        <v>8395</v>
      </c>
      <c r="D4792" s="22">
        <v>-150</v>
      </c>
      <c r="E4792" t="s">
        <v>35</v>
      </c>
      <c r="F4792" s="2">
        <v>610148001</v>
      </c>
      <c r="G4792" s="2" t="s">
        <v>42</v>
      </c>
      <c r="L4792" s="2" t="s">
        <v>8425</v>
      </c>
      <c r="M4792" t="s">
        <v>43</v>
      </c>
      <c r="N4792" t="s">
        <v>42</v>
      </c>
      <c r="P4792" s="23">
        <v>98.51</v>
      </c>
      <c r="Q4792" s="4">
        <f t="shared" si="74"/>
        <v>-1.5226880519744188</v>
      </c>
      <c r="R4792" s="23" t="s">
        <v>40</v>
      </c>
      <c r="T4792" s="23" t="s">
        <v>8423</v>
      </c>
    </row>
    <row r="4793" spans="1:20" x14ac:dyDescent="0.25">
      <c r="A4793" s="21">
        <v>45814</v>
      </c>
      <c r="B4793" s="1">
        <v>2715993968</v>
      </c>
      <c r="C4793" t="s">
        <v>7640</v>
      </c>
      <c r="D4793" s="22">
        <v>-50000</v>
      </c>
      <c r="E4793" t="s">
        <v>35</v>
      </c>
      <c r="F4793" s="2">
        <v>110101003</v>
      </c>
      <c r="G4793" s="2" t="s">
        <v>6734</v>
      </c>
      <c r="L4793" s="2" t="s">
        <v>8426</v>
      </c>
      <c r="N4793" t="s">
        <v>7640</v>
      </c>
      <c r="P4793" s="23">
        <v>98.51</v>
      </c>
      <c r="Q4793" s="4">
        <f t="shared" si="74"/>
        <v>-507.56268399147291</v>
      </c>
      <c r="R4793" s="23" t="s">
        <v>40</v>
      </c>
    </row>
    <row r="4794" spans="1:20" x14ac:dyDescent="0.25">
      <c r="A4794" s="21">
        <v>45814</v>
      </c>
      <c r="B4794" s="1">
        <v>10715993699</v>
      </c>
      <c r="C4794" t="s">
        <v>8395</v>
      </c>
      <c r="D4794" s="22">
        <v>-600</v>
      </c>
      <c r="E4794" t="s">
        <v>35</v>
      </c>
      <c r="F4794" s="2">
        <v>610148001</v>
      </c>
      <c r="G4794" s="2" t="s">
        <v>42</v>
      </c>
      <c r="L4794" s="2" t="s">
        <v>8427</v>
      </c>
      <c r="M4794" t="s">
        <v>43</v>
      </c>
      <c r="N4794" t="s">
        <v>42</v>
      </c>
      <c r="P4794" s="23">
        <v>98.51</v>
      </c>
      <c r="Q4794" s="4">
        <f t="shared" si="74"/>
        <v>-6.0907522078976752</v>
      </c>
      <c r="R4794" s="23" t="s">
        <v>40</v>
      </c>
      <c r="T4794" s="23" t="s">
        <v>8423</v>
      </c>
    </row>
    <row r="4795" spans="1:20" x14ac:dyDescent="0.25">
      <c r="A4795" s="21">
        <v>45814</v>
      </c>
      <c r="B4795" s="1">
        <v>2715993699</v>
      </c>
      <c r="C4795" t="s">
        <v>7640</v>
      </c>
      <c r="D4795" s="22">
        <v>-200000</v>
      </c>
      <c r="E4795" t="s">
        <v>35</v>
      </c>
      <c r="F4795" s="2">
        <v>110101003</v>
      </c>
      <c r="G4795" s="2" t="s">
        <v>6734</v>
      </c>
      <c r="L4795" s="2" t="s">
        <v>8428</v>
      </c>
      <c r="N4795" t="s">
        <v>7640</v>
      </c>
      <c r="P4795" s="23">
        <v>98.51</v>
      </c>
      <c r="Q4795" s="4">
        <f t="shared" si="74"/>
        <v>-2030.2507359658916</v>
      </c>
      <c r="R4795" s="23" t="s">
        <v>40</v>
      </c>
    </row>
    <row r="4796" spans="1:20" x14ac:dyDescent="0.25">
      <c r="A4796" s="21">
        <v>45814</v>
      </c>
      <c r="B4796" s="1">
        <v>10715993438</v>
      </c>
      <c r="C4796" t="s">
        <v>8395</v>
      </c>
      <c r="D4796" s="22">
        <v>-600</v>
      </c>
      <c r="E4796" t="s">
        <v>35</v>
      </c>
      <c r="F4796" s="2">
        <v>610148001</v>
      </c>
      <c r="G4796" s="2" t="s">
        <v>42</v>
      </c>
      <c r="L4796" s="2" t="s">
        <v>8429</v>
      </c>
      <c r="M4796" t="s">
        <v>43</v>
      </c>
      <c r="N4796" t="s">
        <v>42</v>
      </c>
      <c r="P4796" s="23">
        <v>98.51</v>
      </c>
      <c r="Q4796" s="4">
        <f t="shared" si="74"/>
        <v>-6.0907522078976752</v>
      </c>
      <c r="R4796" s="23" t="s">
        <v>40</v>
      </c>
      <c r="T4796" s="23" t="s">
        <v>8423</v>
      </c>
    </row>
    <row r="4797" spans="1:20" x14ac:dyDescent="0.25">
      <c r="A4797" s="21">
        <v>45814</v>
      </c>
      <c r="B4797" s="1">
        <v>2715993438</v>
      </c>
      <c r="C4797" t="s">
        <v>7640</v>
      </c>
      <c r="D4797" s="22">
        <v>-200000</v>
      </c>
      <c r="E4797" t="s">
        <v>35</v>
      </c>
      <c r="F4797" s="2">
        <v>110101003</v>
      </c>
      <c r="G4797" s="2" t="s">
        <v>6734</v>
      </c>
      <c r="L4797" s="2" t="s">
        <v>8430</v>
      </c>
      <c r="N4797" t="s">
        <v>7640</v>
      </c>
      <c r="P4797" s="23">
        <v>98.51</v>
      </c>
      <c r="Q4797" s="4">
        <f t="shared" si="74"/>
        <v>-2030.2507359658916</v>
      </c>
      <c r="R4797" s="23" t="s">
        <v>40</v>
      </c>
    </row>
    <row r="4798" spans="1:20" x14ac:dyDescent="0.25">
      <c r="A4798" s="21">
        <v>45814</v>
      </c>
      <c r="B4798" s="1">
        <v>47900071716</v>
      </c>
      <c r="C4798" t="s">
        <v>45</v>
      </c>
      <c r="D4798" s="22">
        <v>455000</v>
      </c>
      <c r="E4798" t="s">
        <v>46</v>
      </c>
      <c r="F4798" s="2">
        <v>210115002</v>
      </c>
      <c r="G4798" s="2" t="s">
        <v>47</v>
      </c>
      <c r="L4798" s="2" t="s">
        <v>8431</v>
      </c>
      <c r="N4798" t="s">
        <v>45</v>
      </c>
      <c r="P4798" s="23">
        <v>98.51</v>
      </c>
      <c r="Q4798" s="4">
        <f t="shared" si="74"/>
        <v>4618.8204243224036</v>
      </c>
      <c r="R4798" s="23" t="s">
        <v>40</v>
      </c>
    </row>
    <row r="4799" spans="1:20" x14ac:dyDescent="0.25">
      <c r="A4799" s="21">
        <v>45838</v>
      </c>
      <c r="B4799" s="1">
        <v>71600000000</v>
      </c>
      <c r="C4799" t="s">
        <v>49</v>
      </c>
      <c r="D4799" s="22">
        <v>-0.5</v>
      </c>
      <c r="E4799" t="s">
        <v>35</v>
      </c>
      <c r="F4799" s="2">
        <v>610148001</v>
      </c>
      <c r="G4799" s="2" t="s">
        <v>42</v>
      </c>
      <c r="L4799" s="2" t="s">
        <v>8432</v>
      </c>
      <c r="M4799" t="s">
        <v>43</v>
      </c>
      <c r="N4799" t="s">
        <v>42</v>
      </c>
      <c r="P4799" s="23">
        <v>107.62</v>
      </c>
      <c r="Q4799" s="4">
        <f t="shared" si="74"/>
        <v>-4.6459765842780153E-3</v>
      </c>
      <c r="R4799" s="23" t="s">
        <v>40</v>
      </c>
      <c r="T4799" s="23" t="s">
        <v>8423</v>
      </c>
    </row>
    <row r="4800" spans="1:20" x14ac:dyDescent="0.25">
      <c r="A4800" s="21">
        <v>45838</v>
      </c>
      <c r="B4800" s="1">
        <v>91577700000</v>
      </c>
      <c r="C4800" t="s">
        <v>50</v>
      </c>
      <c r="D4800" s="22">
        <v>-0.5</v>
      </c>
      <c r="E4800" t="s">
        <v>35</v>
      </c>
      <c r="F4800" s="2">
        <v>610148001</v>
      </c>
      <c r="G4800" s="2" t="s">
        <v>42</v>
      </c>
      <c r="L4800" s="2" t="s">
        <v>8433</v>
      </c>
      <c r="M4800" t="s">
        <v>43</v>
      </c>
      <c r="N4800" t="s">
        <v>42</v>
      </c>
      <c r="P4800" s="23">
        <v>107.62</v>
      </c>
      <c r="Q4800" s="4">
        <f t="shared" si="74"/>
        <v>-4.6459765842780153E-3</v>
      </c>
      <c r="R4800" s="23" t="s">
        <v>40</v>
      </c>
      <c r="T4800" s="23" t="s">
        <v>8423</v>
      </c>
    </row>
    <row r="4801" spans="1:20" x14ac:dyDescent="0.25">
      <c r="A4801" s="21">
        <v>45812</v>
      </c>
      <c r="B4801" s="1">
        <v>113972301</v>
      </c>
      <c r="C4801" t="s">
        <v>8434</v>
      </c>
      <c r="D4801" s="22">
        <v>-19289.16</v>
      </c>
      <c r="E4801" s="75" t="s">
        <v>35</v>
      </c>
      <c r="F4801" s="2">
        <v>210101001</v>
      </c>
      <c r="G4801" s="2" t="s">
        <v>36</v>
      </c>
      <c r="L4801" s="2" t="s">
        <v>8435</v>
      </c>
      <c r="M4801" t="s">
        <v>303</v>
      </c>
      <c r="N4801" t="s">
        <v>304</v>
      </c>
      <c r="P4801" s="23">
        <v>97.42</v>
      </c>
      <c r="Q4801" s="4">
        <f t="shared" si="74"/>
        <v>-198</v>
      </c>
      <c r="R4801" s="23" t="s">
        <v>109</v>
      </c>
    </row>
    <row r="4802" spans="1:20" x14ac:dyDescent="0.25">
      <c r="A4802" s="21">
        <v>45812</v>
      </c>
      <c r="B4802" s="1">
        <v>113972301</v>
      </c>
      <c r="C4802" t="s">
        <v>306</v>
      </c>
      <c r="D4802" s="22">
        <v>-57.87</v>
      </c>
      <c r="E4802" s="75" t="s">
        <v>35</v>
      </c>
      <c r="F4802" s="2">
        <v>610148001</v>
      </c>
      <c r="G4802" s="2" t="s">
        <v>42</v>
      </c>
      <c r="L4802" s="2" t="s">
        <v>8436</v>
      </c>
      <c r="M4802" t="s">
        <v>43</v>
      </c>
      <c r="N4802" t="s">
        <v>42</v>
      </c>
      <c r="P4802" s="23">
        <v>97.42</v>
      </c>
      <c r="Q4802" s="4">
        <f t="shared" si="74"/>
        <v>-0.59402586737836172</v>
      </c>
      <c r="R4802" s="23" t="s">
        <v>109</v>
      </c>
      <c r="T4802" s="23" t="s">
        <v>8423</v>
      </c>
    </row>
    <row r="4803" spans="1:20" x14ac:dyDescent="0.25">
      <c r="A4803" s="21">
        <v>45814</v>
      </c>
      <c r="B4803" s="1">
        <v>415993438</v>
      </c>
      <c r="C4803" t="s">
        <v>6733</v>
      </c>
      <c r="D4803" s="22">
        <v>200000</v>
      </c>
      <c r="E4803" s="75" t="s">
        <v>46</v>
      </c>
      <c r="F4803" s="2">
        <v>110101003</v>
      </c>
      <c r="G4803" s="2" t="s">
        <v>6734</v>
      </c>
      <c r="L4803" s="2" t="s">
        <v>8437</v>
      </c>
      <c r="N4803" t="s">
        <v>6733</v>
      </c>
      <c r="P4803" s="23">
        <v>98.51</v>
      </c>
      <c r="Q4803" s="4">
        <f t="shared" si="74"/>
        <v>2030.2507359658916</v>
      </c>
      <c r="R4803" s="23" t="s">
        <v>109</v>
      </c>
    </row>
    <row r="4804" spans="1:20" x14ac:dyDescent="0.25">
      <c r="A4804" s="21">
        <v>45814</v>
      </c>
      <c r="B4804" s="1">
        <v>215993699</v>
      </c>
      <c r="C4804" t="s">
        <v>6733</v>
      </c>
      <c r="D4804" s="22">
        <v>200000</v>
      </c>
      <c r="E4804" s="75" t="s">
        <v>46</v>
      </c>
      <c r="F4804" s="2">
        <v>110101003</v>
      </c>
      <c r="G4804" s="2" t="s">
        <v>6734</v>
      </c>
      <c r="L4804" s="2" t="s">
        <v>8438</v>
      </c>
      <c r="N4804" t="s">
        <v>6733</v>
      </c>
      <c r="P4804" s="23">
        <v>98.51</v>
      </c>
      <c r="Q4804" s="4">
        <f t="shared" si="74"/>
        <v>2030.2507359658916</v>
      </c>
      <c r="R4804" s="23" t="s">
        <v>109</v>
      </c>
    </row>
    <row r="4805" spans="1:20" x14ac:dyDescent="0.25">
      <c r="A4805" s="21">
        <v>45814</v>
      </c>
      <c r="B4805" s="1">
        <v>15993968</v>
      </c>
      <c r="C4805" t="s">
        <v>6733</v>
      </c>
      <c r="D4805" s="22">
        <v>50000</v>
      </c>
      <c r="E4805" s="75" t="s">
        <v>46</v>
      </c>
      <c r="F4805" s="2">
        <v>110101003</v>
      </c>
      <c r="G4805" s="2" t="s">
        <v>6734</v>
      </c>
      <c r="L4805" s="2" t="s">
        <v>8439</v>
      </c>
      <c r="N4805" t="s">
        <v>6733</v>
      </c>
      <c r="P4805" s="23">
        <v>98.51</v>
      </c>
      <c r="Q4805" s="4">
        <f t="shared" si="74"/>
        <v>507.56268399147291</v>
      </c>
      <c r="R4805" s="23" t="s">
        <v>109</v>
      </c>
    </row>
    <row r="4806" spans="1:20" x14ac:dyDescent="0.25">
      <c r="A4806" s="21">
        <v>45814</v>
      </c>
      <c r="B4806" s="1">
        <v>914062943</v>
      </c>
      <c r="C4806" t="s">
        <v>8440</v>
      </c>
      <c r="D4806" s="22">
        <v>-200000</v>
      </c>
      <c r="E4806" s="75" t="s">
        <v>35</v>
      </c>
      <c r="F4806" s="2">
        <v>210101001</v>
      </c>
      <c r="G4806" s="2" t="s">
        <v>36</v>
      </c>
      <c r="L4806" s="2" t="s">
        <v>8441</v>
      </c>
      <c r="M4806" t="s">
        <v>714</v>
      </c>
      <c r="N4806" t="s">
        <v>715</v>
      </c>
      <c r="P4806" s="23">
        <v>98.51</v>
      </c>
      <c r="Q4806" s="4">
        <f t="shared" si="74"/>
        <v>-2030.2507359658916</v>
      </c>
      <c r="R4806" s="23" t="s">
        <v>109</v>
      </c>
    </row>
    <row r="4807" spans="1:20" x14ac:dyDescent="0.25">
      <c r="A4807" s="21">
        <v>45814</v>
      </c>
      <c r="B4807" s="1">
        <v>914062943</v>
      </c>
      <c r="C4807" t="s">
        <v>306</v>
      </c>
      <c r="D4807" s="22">
        <v>-600</v>
      </c>
      <c r="E4807" s="75" t="s">
        <v>35</v>
      </c>
      <c r="F4807" s="2">
        <v>610148001</v>
      </c>
      <c r="G4807" s="2" t="s">
        <v>42</v>
      </c>
      <c r="L4807" s="2" t="s">
        <v>8442</v>
      </c>
      <c r="M4807" t="s">
        <v>43</v>
      </c>
      <c r="N4807" t="s">
        <v>42</v>
      </c>
      <c r="P4807" s="23">
        <v>98.51</v>
      </c>
      <c r="Q4807" s="4">
        <f t="shared" si="74"/>
        <v>-6.0907522078976752</v>
      </c>
      <c r="R4807" s="23" t="s">
        <v>109</v>
      </c>
      <c r="T4807" s="23" t="s">
        <v>8423</v>
      </c>
    </row>
    <row r="4808" spans="1:20" x14ac:dyDescent="0.25">
      <c r="A4808" s="21">
        <v>45814</v>
      </c>
      <c r="B4808" s="1">
        <v>514063002</v>
      </c>
      <c r="C4808" t="s">
        <v>8440</v>
      </c>
      <c r="D4808" s="22">
        <v>-200000</v>
      </c>
      <c r="E4808" s="75" t="s">
        <v>35</v>
      </c>
      <c r="F4808" s="2">
        <v>210101001</v>
      </c>
      <c r="G4808" s="2" t="s">
        <v>36</v>
      </c>
      <c r="L4808" s="2" t="s">
        <v>8443</v>
      </c>
      <c r="M4808" t="s">
        <v>714</v>
      </c>
      <c r="N4808" t="s">
        <v>715</v>
      </c>
      <c r="P4808" s="23">
        <v>98.51</v>
      </c>
      <c r="Q4808" s="4">
        <f t="shared" si="74"/>
        <v>-2030.2507359658916</v>
      </c>
      <c r="R4808" s="23" t="s">
        <v>109</v>
      </c>
    </row>
    <row r="4809" spans="1:20" x14ac:dyDescent="0.25">
      <c r="A4809" s="21">
        <v>45814</v>
      </c>
      <c r="B4809" s="1">
        <v>514063002</v>
      </c>
      <c r="C4809" t="s">
        <v>306</v>
      </c>
      <c r="D4809" s="22">
        <v>-600</v>
      </c>
      <c r="E4809" s="75" t="s">
        <v>35</v>
      </c>
      <c r="F4809" s="2">
        <v>610148001</v>
      </c>
      <c r="G4809" s="2" t="s">
        <v>42</v>
      </c>
      <c r="L4809" s="2" t="s">
        <v>8444</v>
      </c>
      <c r="M4809" t="s">
        <v>43</v>
      </c>
      <c r="N4809" t="s">
        <v>42</v>
      </c>
      <c r="P4809" s="23">
        <v>98.51</v>
      </c>
      <c r="Q4809" s="4">
        <f t="shared" si="74"/>
        <v>-6.0907522078976752</v>
      </c>
      <c r="R4809" s="23" t="s">
        <v>109</v>
      </c>
      <c r="T4809" s="23" t="s">
        <v>8423</v>
      </c>
    </row>
    <row r="4810" spans="1:20" x14ac:dyDescent="0.25">
      <c r="A4810" s="21">
        <v>45814</v>
      </c>
      <c r="B4810" s="1">
        <v>414063060</v>
      </c>
      <c r="C4810" t="s">
        <v>8440</v>
      </c>
      <c r="D4810" s="22">
        <v>-50347.5</v>
      </c>
      <c r="E4810" s="75" t="s">
        <v>35</v>
      </c>
      <c r="F4810" s="2">
        <v>210101001</v>
      </c>
      <c r="G4810" s="2" t="s">
        <v>36</v>
      </c>
      <c r="L4810" s="2" t="s">
        <v>8445</v>
      </c>
      <c r="M4810" t="s">
        <v>714</v>
      </c>
      <c r="N4810" t="s">
        <v>715</v>
      </c>
      <c r="P4810" s="23">
        <v>98.51</v>
      </c>
      <c r="Q4810" s="4">
        <f t="shared" si="74"/>
        <v>-511.09024464521366</v>
      </c>
      <c r="R4810" s="23" t="s">
        <v>109</v>
      </c>
    </row>
    <row r="4811" spans="1:20" x14ac:dyDescent="0.25">
      <c r="A4811" s="21">
        <v>45814</v>
      </c>
      <c r="B4811" s="1">
        <v>414063060</v>
      </c>
      <c r="C4811" t="s">
        <v>306</v>
      </c>
      <c r="D4811" s="22">
        <v>-151.04</v>
      </c>
      <c r="E4811" s="75" t="s">
        <v>35</v>
      </c>
      <c r="F4811" s="2">
        <v>610148001</v>
      </c>
      <c r="G4811" s="2" t="s">
        <v>42</v>
      </c>
      <c r="L4811" s="2" t="s">
        <v>8446</v>
      </c>
      <c r="M4811" t="s">
        <v>43</v>
      </c>
      <c r="N4811" t="s">
        <v>42</v>
      </c>
      <c r="P4811" s="23">
        <v>98.51</v>
      </c>
      <c r="Q4811" s="4">
        <f t="shared" ref="Q4811:Q4874" si="75">D4811/P4811</f>
        <v>-1.5332453558014414</v>
      </c>
      <c r="R4811" s="23" t="s">
        <v>109</v>
      </c>
      <c r="T4811" s="23" t="s">
        <v>8423</v>
      </c>
    </row>
    <row r="4812" spans="1:20" x14ac:dyDescent="0.25">
      <c r="A4812" s="21">
        <v>45814</v>
      </c>
      <c r="B4812" s="1">
        <v>150833027</v>
      </c>
      <c r="C4812" t="s">
        <v>107</v>
      </c>
      <c r="D4812" s="22">
        <v>110000</v>
      </c>
      <c r="E4812" s="75" t="s">
        <v>46</v>
      </c>
      <c r="F4812" s="2">
        <v>210115002</v>
      </c>
      <c r="G4812" s="2" t="s">
        <v>47</v>
      </c>
      <c r="L4812" s="2" t="s">
        <v>8447</v>
      </c>
      <c r="N4812" t="s">
        <v>107</v>
      </c>
      <c r="P4812" s="23">
        <v>98.51</v>
      </c>
      <c r="Q4812" s="4">
        <f t="shared" si="75"/>
        <v>1116.6379047812404</v>
      </c>
      <c r="R4812" s="23" t="s">
        <v>109</v>
      </c>
    </row>
    <row r="4813" spans="1:20" x14ac:dyDescent="0.25">
      <c r="A4813" s="21">
        <v>45814</v>
      </c>
      <c r="B4813" s="1">
        <v>814084846</v>
      </c>
      <c r="C4813" t="s">
        <v>8448</v>
      </c>
      <c r="D4813" s="22">
        <v>-89544.51</v>
      </c>
      <c r="E4813" s="75" t="s">
        <v>35</v>
      </c>
      <c r="F4813" s="2">
        <v>210101001</v>
      </c>
      <c r="G4813" s="2" t="s">
        <v>36</v>
      </c>
      <c r="L4813" s="2" t="s">
        <v>8449</v>
      </c>
      <c r="M4813" t="s">
        <v>38</v>
      </c>
      <c r="N4813" t="s">
        <v>39</v>
      </c>
      <c r="P4813" s="23">
        <v>98.51</v>
      </c>
      <c r="Q4813" s="4">
        <f t="shared" si="75"/>
        <v>-908.98903664602574</v>
      </c>
      <c r="R4813" s="23" t="s">
        <v>109</v>
      </c>
    </row>
    <row r="4814" spans="1:20" x14ac:dyDescent="0.25">
      <c r="A4814" s="21">
        <v>45814</v>
      </c>
      <c r="B4814" s="1">
        <v>814084847</v>
      </c>
      <c r="C4814" t="s">
        <v>8450</v>
      </c>
      <c r="D4814" s="22">
        <v>-15606.44</v>
      </c>
      <c r="E4814" s="75" t="s">
        <v>35</v>
      </c>
      <c r="F4814" s="2">
        <v>210101001</v>
      </c>
      <c r="G4814" s="2" t="s">
        <v>36</v>
      </c>
      <c r="L4814" s="2" t="s">
        <v>8451</v>
      </c>
      <c r="M4814" t="s">
        <v>6364</v>
      </c>
      <c r="N4814" t="s">
        <v>8452</v>
      </c>
      <c r="P4814" s="23">
        <v>98.51</v>
      </c>
      <c r="Q4814" s="4">
        <f t="shared" si="75"/>
        <v>-158.42493147903767</v>
      </c>
      <c r="R4814" s="23" t="s">
        <v>109</v>
      </c>
    </row>
    <row r="4815" spans="1:20" x14ac:dyDescent="0.25">
      <c r="A4815" s="21">
        <v>45814</v>
      </c>
      <c r="B4815" s="1">
        <v>50637547</v>
      </c>
      <c r="C4815" t="s">
        <v>118</v>
      </c>
      <c r="D4815" s="22">
        <v>-262.87</v>
      </c>
      <c r="E4815" s="75" t="s">
        <v>35</v>
      </c>
      <c r="F4815" s="2">
        <v>610148001</v>
      </c>
      <c r="G4815" s="2" t="s">
        <v>42</v>
      </c>
      <c r="L4815" s="2" t="s">
        <v>8453</v>
      </c>
      <c r="M4815" t="s">
        <v>43</v>
      </c>
      <c r="N4815" t="s">
        <v>42</v>
      </c>
      <c r="P4815" s="23">
        <v>98.51</v>
      </c>
      <c r="Q4815" s="4">
        <f t="shared" si="75"/>
        <v>-2.6684600548167698</v>
      </c>
      <c r="R4815" s="23" t="s">
        <v>109</v>
      </c>
      <c r="T4815" s="23" t="s">
        <v>8423</v>
      </c>
    </row>
    <row r="4816" spans="1:20" x14ac:dyDescent="0.25">
      <c r="A4816" s="21">
        <v>45814</v>
      </c>
      <c r="B4816" s="1">
        <v>163633728</v>
      </c>
      <c r="C4816" t="s">
        <v>107</v>
      </c>
      <c r="D4816" s="22">
        <v>460000</v>
      </c>
      <c r="E4816" s="75" t="s">
        <v>46</v>
      </c>
      <c r="F4816" s="2">
        <v>210115002</v>
      </c>
      <c r="G4816" s="2" t="s">
        <v>47</v>
      </c>
      <c r="L4816" s="2" t="s">
        <v>8454</v>
      </c>
      <c r="N4816" t="s">
        <v>107</v>
      </c>
      <c r="P4816" s="23">
        <v>98.51</v>
      </c>
      <c r="Q4816" s="4">
        <f t="shared" si="75"/>
        <v>4669.5766927215509</v>
      </c>
      <c r="R4816" s="23" t="s">
        <v>109</v>
      </c>
    </row>
    <row r="4817" spans="1:18" x14ac:dyDescent="0.25">
      <c r="A4817" s="21">
        <v>45814</v>
      </c>
      <c r="B4817" s="1">
        <v>114090738</v>
      </c>
      <c r="C4817" t="s">
        <v>8455</v>
      </c>
      <c r="D4817" s="22">
        <v>-7880.8</v>
      </c>
      <c r="E4817" s="75" t="s">
        <v>35</v>
      </c>
      <c r="F4817" s="2">
        <v>212901001</v>
      </c>
      <c r="G4817" s="2" t="s">
        <v>121</v>
      </c>
      <c r="L4817" s="2" t="s">
        <v>8456</v>
      </c>
      <c r="M4817" t="s">
        <v>67</v>
      </c>
      <c r="N4817" t="s">
        <v>68</v>
      </c>
      <c r="P4817" s="23">
        <v>98.51</v>
      </c>
      <c r="Q4817" s="4">
        <f t="shared" si="75"/>
        <v>-80</v>
      </c>
      <c r="R4817" s="23" t="s">
        <v>109</v>
      </c>
    </row>
    <row r="4818" spans="1:18" x14ac:dyDescent="0.25">
      <c r="A4818" s="21">
        <v>45814</v>
      </c>
      <c r="B4818" s="1">
        <v>214090742</v>
      </c>
      <c r="C4818" t="s">
        <v>8457</v>
      </c>
      <c r="D4818" s="22">
        <v>-5910.6</v>
      </c>
      <c r="E4818" s="75" t="s">
        <v>35</v>
      </c>
      <c r="F4818" s="2">
        <v>212901001</v>
      </c>
      <c r="G4818" s="2" t="s">
        <v>121</v>
      </c>
      <c r="L4818" s="2" t="s">
        <v>8458</v>
      </c>
      <c r="M4818" t="s">
        <v>67</v>
      </c>
      <c r="N4818" t="s">
        <v>68</v>
      </c>
      <c r="P4818" s="23">
        <v>98.51</v>
      </c>
      <c r="Q4818" s="4">
        <f t="shared" si="75"/>
        <v>-60</v>
      </c>
      <c r="R4818" s="23" t="s">
        <v>109</v>
      </c>
    </row>
    <row r="4819" spans="1:18" x14ac:dyDescent="0.25">
      <c r="A4819" s="21">
        <v>45814</v>
      </c>
      <c r="B4819" s="1">
        <v>214090741</v>
      </c>
      <c r="C4819" t="s">
        <v>8459</v>
      </c>
      <c r="D4819" s="22">
        <v>-5910.6</v>
      </c>
      <c r="E4819" s="75" t="s">
        <v>35</v>
      </c>
      <c r="F4819" s="2">
        <v>212901001</v>
      </c>
      <c r="G4819" s="2" t="s">
        <v>121</v>
      </c>
      <c r="L4819" s="2" t="s">
        <v>8460</v>
      </c>
      <c r="M4819" t="s">
        <v>67</v>
      </c>
      <c r="N4819" t="s">
        <v>68</v>
      </c>
      <c r="P4819" s="23">
        <v>98.51</v>
      </c>
      <c r="Q4819" s="4">
        <f t="shared" si="75"/>
        <v>-60</v>
      </c>
      <c r="R4819" s="23" t="s">
        <v>109</v>
      </c>
    </row>
    <row r="4820" spans="1:18" x14ac:dyDescent="0.25">
      <c r="A4820" s="21">
        <v>45814</v>
      </c>
      <c r="B4820" s="1">
        <v>114090739</v>
      </c>
      <c r="C4820" t="s">
        <v>8461</v>
      </c>
      <c r="D4820" s="22">
        <v>-5910.6</v>
      </c>
      <c r="E4820" s="75" t="s">
        <v>35</v>
      </c>
      <c r="F4820" s="2">
        <v>212901001</v>
      </c>
      <c r="G4820" s="2" t="s">
        <v>121</v>
      </c>
      <c r="L4820" s="2" t="s">
        <v>8462</v>
      </c>
      <c r="M4820" t="s">
        <v>67</v>
      </c>
      <c r="N4820" t="s">
        <v>68</v>
      </c>
      <c r="P4820" s="23">
        <v>98.51</v>
      </c>
      <c r="Q4820" s="4">
        <f t="shared" si="75"/>
        <v>-60</v>
      </c>
      <c r="R4820" s="23" t="s">
        <v>109</v>
      </c>
    </row>
    <row r="4821" spans="1:18" x14ac:dyDescent="0.25">
      <c r="A4821" s="21">
        <v>45814</v>
      </c>
      <c r="B4821" s="1">
        <v>214090743</v>
      </c>
      <c r="C4821" t="s">
        <v>8463</v>
      </c>
      <c r="D4821" s="22">
        <v>-5910.6</v>
      </c>
      <c r="E4821" s="75" t="s">
        <v>35</v>
      </c>
      <c r="F4821" s="2">
        <v>212901001</v>
      </c>
      <c r="G4821" s="2" t="s">
        <v>121</v>
      </c>
      <c r="L4821" s="2" t="s">
        <v>8464</v>
      </c>
      <c r="M4821" t="s">
        <v>67</v>
      </c>
      <c r="N4821" t="s">
        <v>68</v>
      </c>
      <c r="P4821" s="23">
        <v>98.51</v>
      </c>
      <c r="Q4821" s="4">
        <f t="shared" si="75"/>
        <v>-60</v>
      </c>
      <c r="R4821" s="23" t="s">
        <v>109</v>
      </c>
    </row>
    <row r="4822" spans="1:18" x14ac:dyDescent="0.25">
      <c r="A4822" s="21">
        <v>45814</v>
      </c>
      <c r="B4822" s="1">
        <v>214090744</v>
      </c>
      <c r="C4822" t="s">
        <v>8465</v>
      </c>
      <c r="D4822" s="22">
        <v>-5910.6</v>
      </c>
      <c r="E4822" s="75" t="s">
        <v>35</v>
      </c>
      <c r="F4822" s="2">
        <v>212901001</v>
      </c>
      <c r="G4822" s="2" t="s">
        <v>121</v>
      </c>
      <c r="L4822" s="2" t="s">
        <v>8466</v>
      </c>
      <c r="M4822" t="s">
        <v>67</v>
      </c>
      <c r="N4822" t="s">
        <v>68</v>
      </c>
      <c r="P4822" s="23">
        <v>98.51</v>
      </c>
      <c r="Q4822" s="4">
        <f t="shared" si="75"/>
        <v>-60</v>
      </c>
      <c r="R4822" s="23" t="s">
        <v>109</v>
      </c>
    </row>
    <row r="4823" spans="1:18" x14ac:dyDescent="0.25">
      <c r="A4823" s="21">
        <v>45814</v>
      </c>
      <c r="B4823" s="1">
        <v>214090745</v>
      </c>
      <c r="C4823" t="s">
        <v>8467</v>
      </c>
      <c r="D4823" s="22">
        <v>-5910.6</v>
      </c>
      <c r="E4823" s="75" t="s">
        <v>35</v>
      </c>
      <c r="F4823" s="2">
        <v>212901001</v>
      </c>
      <c r="G4823" s="2" t="s">
        <v>121</v>
      </c>
      <c r="L4823" s="2" t="s">
        <v>8468</v>
      </c>
      <c r="M4823" t="s">
        <v>67</v>
      </c>
      <c r="N4823" t="s">
        <v>68</v>
      </c>
      <c r="P4823" s="23">
        <v>98.51</v>
      </c>
      <c r="Q4823" s="4">
        <f t="shared" si="75"/>
        <v>-60</v>
      </c>
      <c r="R4823" s="23" t="s">
        <v>109</v>
      </c>
    </row>
    <row r="4824" spans="1:18" x14ac:dyDescent="0.25">
      <c r="A4824" s="21">
        <v>45814</v>
      </c>
      <c r="B4824" s="1">
        <v>214090746</v>
      </c>
      <c r="C4824" t="s">
        <v>8469</v>
      </c>
      <c r="D4824" s="22">
        <v>-5910.6</v>
      </c>
      <c r="E4824" s="75" t="s">
        <v>35</v>
      </c>
      <c r="F4824" s="2">
        <v>212901001</v>
      </c>
      <c r="G4824" s="2" t="s">
        <v>121</v>
      </c>
      <c r="L4824" s="2" t="s">
        <v>8470</v>
      </c>
      <c r="M4824" t="s">
        <v>67</v>
      </c>
      <c r="N4824" t="s">
        <v>68</v>
      </c>
      <c r="P4824" s="23">
        <v>98.51</v>
      </c>
      <c r="Q4824" s="4">
        <f t="shared" si="75"/>
        <v>-60</v>
      </c>
      <c r="R4824" s="23" t="s">
        <v>109</v>
      </c>
    </row>
    <row r="4825" spans="1:18" x14ac:dyDescent="0.25">
      <c r="A4825" s="21">
        <v>45814</v>
      </c>
      <c r="B4825" s="1">
        <v>214090747</v>
      </c>
      <c r="C4825" t="s">
        <v>8471</v>
      </c>
      <c r="D4825" s="22">
        <v>-5910.6</v>
      </c>
      <c r="E4825" s="75" t="s">
        <v>35</v>
      </c>
      <c r="F4825" s="2">
        <v>212901001</v>
      </c>
      <c r="G4825" s="2" t="s">
        <v>121</v>
      </c>
      <c r="L4825" s="2" t="s">
        <v>8472</v>
      </c>
      <c r="M4825" t="s">
        <v>67</v>
      </c>
      <c r="N4825" t="s">
        <v>68</v>
      </c>
      <c r="P4825" s="23">
        <v>98.51</v>
      </c>
      <c r="Q4825" s="4">
        <f t="shared" si="75"/>
        <v>-60</v>
      </c>
      <c r="R4825" s="23" t="s">
        <v>109</v>
      </c>
    </row>
    <row r="4826" spans="1:18" x14ac:dyDescent="0.25">
      <c r="A4826" s="21">
        <v>45814</v>
      </c>
      <c r="B4826" s="1">
        <v>214090748</v>
      </c>
      <c r="C4826" t="s">
        <v>8473</v>
      </c>
      <c r="D4826" s="22">
        <v>-5910.6</v>
      </c>
      <c r="E4826" s="75" t="s">
        <v>35</v>
      </c>
      <c r="F4826" s="2">
        <v>212901001</v>
      </c>
      <c r="G4826" s="2" t="s">
        <v>121</v>
      </c>
      <c r="L4826" s="2" t="s">
        <v>8474</v>
      </c>
      <c r="M4826" t="s">
        <v>67</v>
      </c>
      <c r="N4826" t="s">
        <v>68</v>
      </c>
      <c r="P4826" s="23">
        <v>98.51</v>
      </c>
      <c r="Q4826" s="4">
        <f t="shared" si="75"/>
        <v>-60</v>
      </c>
      <c r="R4826" s="23" t="s">
        <v>109</v>
      </c>
    </row>
    <row r="4827" spans="1:18" x14ac:dyDescent="0.25">
      <c r="A4827" s="21">
        <v>45814</v>
      </c>
      <c r="B4827" s="1">
        <v>214090750</v>
      </c>
      <c r="C4827" t="s">
        <v>8475</v>
      </c>
      <c r="D4827" s="22">
        <v>-5910.6</v>
      </c>
      <c r="E4827" s="75" t="s">
        <v>35</v>
      </c>
      <c r="F4827" s="2">
        <v>212901001</v>
      </c>
      <c r="G4827" s="2" t="s">
        <v>121</v>
      </c>
      <c r="L4827" s="2" t="s">
        <v>8476</v>
      </c>
      <c r="M4827" t="s">
        <v>67</v>
      </c>
      <c r="N4827" t="s">
        <v>68</v>
      </c>
      <c r="P4827" s="23">
        <v>98.51</v>
      </c>
      <c r="Q4827" s="4">
        <f t="shared" si="75"/>
        <v>-60</v>
      </c>
      <c r="R4827" s="23" t="s">
        <v>109</v>
      </c>
    </row>
    <row r="4828" spans="1:18" x14ac:dyDescent="0.25">
      <c r="A4828" s="21">
        <v>45814</v>
      </c>
      <c r="B4828" s="1">
        <v>214090751</v>
      </c>
      <c r="C4828" t="s">
        <v>8477</v>
      </c>
      <c r="D4828" s="22">
        <v>-5910.6</v>
      </c>
      <c r="E4828" s="75" t="s">
        <v>35</v>
      </c>
      <c r="F4828" s="2">
        <v>212901001</v>
      </c>
      <c r="G4828" s="2" t="s">
        <v>121</v>
      </c>
      <c r="L4828" s="2" t="s">
        <v>8478</v>
      </c>
      <c r="M4828" t="s">
        <v>67</v>
      </c>
      <c r="N4828" t="s">
        <v>68</v>
      </c>
      <c r="P4828" s="23">
        <v>98.51</v>
      </c>
      <c r="Q4828" s="4">
        <f t="shared" si="75"/>
        <v>-60</v>
      </c>
      <c r="R4828" s="23" t="s">
        <v>109</v>
      </c>
    </row>
    <row r="4829" spans="1:18" x14ac:dyDescent="0.25">
      <c r="A4829" s="21">
        <v>45814</v>
      </c>
      <c r="B4829" s="1">
        <v>314090753</v>
      </c>
      <c r="C4829" t="s">
        <v>8479</v>
      </c>
      <c r="D4829" s="22">
        <v>-5910.6</v>
      </c>
      <c r="E4829" s="75" t="s">
        <v>35</v>
      </c>
      <c r="F4829" s="2">
        <v>212901001</v>
      </c>
      <c r="G4829" s="2" t="s">
        <v>121</v>
      </c>
      <c r="L4829" s="2" t="s">
        <v>8480</v>
      </c>
      <c r="M4829" t="s">
        <v>67</v>
      </c>
      <c r="N4829" t="s">
        <v>68</v>
      </c>
      <c r="P4829" s="23">
        <v>98.51</v>
      </c>
      <c r="Q4829" s="4">
        <f t="shared" si="75"/>
        <v>-60</v>
      </c>
      <c r="R4829" s="23" t="s">
        <v>109</v>
      </c>
    </row>
    <row r="4830" spans="1:18" x14ac:dyDescent="0.25">
      <c r="A4830" s="21">
        <v>45814</v>
      </c>
      <c r="B4830" s="1">
        <v>314090754</v>
      </c>
      <c r="C4830" t="s">
        <v>8481</v>
      </c>
      <c r="D4830" s="22">
        <v>-5910.6</v>
      </c>
      <c r="E4830" s="75" t="s">
        <v>35</v>
      </c>
      <c r="F4830" s="2">
        <v>212901001</v>
      </c>
      <c r="G4830" s="2" t="s">
        <v>121</v>
      </c>
      <c r="L4830" s="2" t="s">
        <v>8482</v>
      </c>
      <c r="M4830" t="s">
        <v>67</v>
      </c>
      <c r="N4830" t="s">
        <v>68</v>
      </c>
      <c r="P4830" s="23">
        <v>98.51</v>
      </c>
      <c r="Q4830" s="4">
        <f t="shared" si="75"/>
        <v>-60</v>
      </c>
      <c r="R4830" s="23" t="s">
        <v>109</v>
      </c>
    </row>
    <row r="4831" spans="1:18" x14ac:dyDescent="0.25">
      <c r="A4831" s="21">
        <v>45814</v>
      </c>
      <c r="B4831" s="1">
        <v>314090752</v>
      </c>
      <c r="C4831" t="s">
        <v>8483</v>
      </c>
      <c r="D4831" s="22">
        <v>-5910.6</v>
      </c>
      <c r="E4831" s="75" t="s">
        <v>35</v>
      </c>
      <c r="F4831" s="2">
        <v>212901001</v>
      </c>
      <c r="G4831" s="2" t="s">
        <v>121</v>
      </c>
      <c r="L4831" s="2" t="s">
        <v>8484</v>
      </c>
      <c r="M4831" t="s">
        <v>67</v>
      </c>
      <c r="N4831" t="s">
        <v>68</v>
      </c>
      <c r="P4831" s="23">
        <v>98.51</v>
      </c>
      <c r="Q4831" s="4">
        <f t="shared" si="75"/>
        <v>-60</v>
      </c>
      <c r="R4831" s="23" t="s">
        <v>109</v>
      </c>
    </row>
    <row r="4832" spans="1:18" x14ac:dyDescent="0.25">
      <c r="A4832" s="21">
        <v>45814</v>
      </c>
      <c r="B4832" s="1">
        <v>314090755</v>
      </c>
      <c r="C4832" t="s">
        <v>8485</v>
      </c>
      <c r="D4832" s="22">
        <v>-5910.6</v>
      </c>
      <c r="E4832" s="75" t="s">
        <v>35</v>
      </c>
      <c r="F4832" s="2">
        <v>212901001</v>
      </c>
      <c r="G4832" s="2" t="s">
        <v>121</v>
      </c>
      <c r="L4832" s="2" t="s">
        <v>8486</v>
      </c>
      <c r="M4832" t="s">
        <v>67</v>
      </c>
      <c r="N4832" t="s">
        <v>68</v>
      </c>
      <c r="P4832" s="23">
        <v>98.51</v>
      </c>
      <c r="Q4832" s="4">
        <f t="shared" si="75"/>
        <v>-60</v>
      </c>
      <c r="R4832" s="23" t="s">
        <v>109</v>
      </c>
    </row>
    <row r="4833" spans="1:18" x14ac:dyDescent="0.25">
      <c r="A4833" s="21">
        <v>45814</v>
      </c>
      <c r="B4833" s="1">
        <v>314090756</v>
      </c>
      <c r="C4833" t="s">
        <v>8487</v>
      </c>
      <c r="D4833" s="22">
        <v>-14776.5</v>
      </c>
      <c r="E4833" s="75" t="s">
        <v>35</v>
      </c>
      <c r="F4833" s="2">
        <v>212901001</v>
      </c>
      <c r="G4833" s="2" t="s">
        <v>121</v>
      </c>
      <c r="L4833" s="2" t="s">
        <v>8488</v>
      </c>
      <c r="M4833" t="s">
        <v>67</v>
      </c>
      <c r="N4833" t="s">
        <v>68</v>
      </c>
      <c r="P4833" s="23">
        <v>98.51</v>
      </c>
      <c r="Q4833" s="4">
        <f t="shared" si="75"/>
        <v>-150</v>
      </c>
      <c r="R4833" s="23" t="s">
        <v>109</v>
      </c>
    </row>
    <row r="4834" spans="1:18" x14ac:dyDescent="0.25">
      <c r="A4834" s="21">
        <v>45814</v>
      </c>
      <c r="B4834" s="1">
        <v>314090758</v>
      </c>
      <c r="C4834" t="s">
        <v>8489</v>
      </c>
      <c r="D4834" s="22">
        <v>-9851</v>
      </c>
      <c r="E4834" s="75" t="s">
        <v>35</v>
      </c>
      <c r="F4834" s="2">
        <v>212901001</v>
      </c>
      <c r="G4834" s="2" t="s">
        <v>121</v>
      </c>
      <c r="L4834" s="2" t="s">
        <v>8490</v>
      </c>
      <c r="M4834" t="s">
        <v>67</v>
      </c>
      <c r="N4834" t="s">
        <v>68</v>
      </c>
      <c r="P4834" s="23">
        <v>98.51</v>
      </c>
      <c r="Q4834" s="4">
        <f t="shared" si="75"/>
        <v>-100</v>
      </c>
      <c r="R4834" s="23" t="s">
        <v>109</v>
      </c>
    </row>
    <row r="4835" spans="1:18" x14ac:dyDescent="0.25">
      <c r="A4835" s="21">
        <v>45814</v>
      </c>
      <c r="B4835" s="1">
        <v>314090760</v>
      </c>
      <c r="C4835" t="s">
        <v>8491</v>
      </c>
      <c r="D4835" s="22">
        <v>-7880.8</v>
      </c>
      <c r="E4835" s="75" t="s">
        <v>35</v>
      </c>
      <c r="F4835" s="2">
        <v>212901001</v>
      </c>
      <c r="G4835" s="2" t="s">
        <v>121</v>
      </c>
      <c r="L4835" s="2" t="s">
        <v>8492</v>
      </c>
      <c r="M4835" t="s">
        <v>67</v>
      </c>
      <c r="N4835" t="s">
        <v>68</v>
      </c>
      <c r="P4835" s="23">
        <v>98.51</v>
      </c>
      <c r="Q4835" s="4">
        <f t="shared" si="75"/>
        <v>-80</v>
      </c>
      <c r="R4835" s="23" t="s">
        <v>109</v>
      </c>
    </row>
    <row r="4836" spans="1:18" x14ac:dyDescent="0.25">
      <c r="A4836" s="21">
        <v>45814</v>
      </c>
      <c r="B4836" s="1">
        <v>314090761</v>
      </c>
      <c r="C4836" t="s">
        <v>8493</v>
      </c>
      <c r="D4836" s="22">
        <v>-7880.8</v>
      </c>
      <c r="E4836" s="75" t="s">
        <v>35</v>
      </c>
      <c r="F4836" s="2">
        <v>212901001</v>
      </c>
      <c r="G4836" s="2" t="s">
        <v>121</v>
      </c>
      <c r="L4836" s="2" t="s">
        <v>8494</v>
      </c>
      <c r="M4836" t="s">
        <v>67</v>
      </c>
      <c r="N4836" t="s">
        <v>68</v>
      </c>
      <c r="P4836" s="23">
        <v>98.51</v>
      </c>
      <c r="Q4836" s="4">
        <f t="shared" si="75"/>
        <v>-80</v>
      </c>
      <c r="R4836" s="23" t="s">
        <v>109</v>
      </c>
    </row>
    <row r="4837" spans="1:18" x14ac:dyDescent="0.25">
      <c r="A4837" s="21">
        <v>45814</v>
      </c>
      <c r="B4837" s="1">
        <v>314090759</v>
      </c>
      <c r="C4837" t="s">
        <v>8495</v>
      </c>
      <c r="D4837" s="22">
        <v>-7880.8</v>
      </c>
      <c r="E4837" s="75" t="s">
        <v>35</v>
      </c>
      <c r="F4837" s="2">
        <v>212901001</v>
      </c>
      <c r="G4837" s="2" t="s">
        <v>121</v>
      </c>
      <c r="L4837" s="2" t="s">
        <v>8496</v>
      </c>
      <c r="M4837" t="s">
        <v>67</v>
      </c>
      <c r="N4837" t="s">
        <v>68</v>
      </c>
      <c r="P4837" s="23">
        <v>98.51</v>
      </c>
      <c r="Q4837" s="4">
        <f t="shared" si="75"/>
        <v>-80</v>
      </c>
      <c r="R4837" s="23" t="s">
        <v>109</v>
      </c>
    </row>
    <row r="4838" spans="1:18" x14ac:dyDescent="0.25">
      <c r="A4838" s="21">
        <v>45814</v>
      </c>
      <c r="B4838" s="1">
        <v>414090763</v>
      </c>
      <c r="C4838" t="s">
        <v>8497</v>
      </c>
      <c r="D4838" s="22">
        <v>-7880.8</v>
      </c>
      <c r="E4838" s="75" t="s">
        <v>35</v>
      </c>
      <c r="F4838" s="2">
        <v>212901001</v>
      </c>
      <c r="G4838" s="2" t="s">
        <v>121</v>
      </c>
      <c r="L4838" s="2" t="s">
        <v>8498</v>
      </c>
      <c r="M4838" t="s">
        <v>67</v>
      </c>
      <c r="N4838" t="s">
        <v>68</v>
      </c>
      <c r="P4838" s="23">
        <v>98.51</v>
      </c>
      <c r="Q4838" s="4">
        <f t="shared" si="75"/>
        <v>-80</v>
      </c>
      <c r="R4838" s="23" t="s">
        <v>109</v>
      </c>
    </row>
    <row r="4839" spans="1:18" x14ac:dyDescent="0.25">
      <c r="A4839" s="21">
        <v>45814</v>
      </c>
      <c r="B4839" s="1">
        <v>314090762</v>
      </c>
      <c r="C4839" t="s">
        <v>8499</v>
      </c>
      <c r="D4839" s="22">
        <v>-7880.8</v>
      </c>
      <c r="E4839" s="75" t="s">
        <v>35</v>
      </c>
      <c r="F4839" s="2">
        <v>212901001</v>
      </c>
      <c r="G4839" s="2" t="s">
        <v>121</v>
      </c>
      <c r="L4839" s="2" t="s">
        <v>8500</v>
      </c>
      <c r="M4839" t="s">
        <v>67</v>
      </c>
      <c r="N4839" t="s">
        <v>68</v>
      </c>
      <c r="P4839" s="23">
        <v>98.51</v>
      </c>
      <c r="Q4839" s="4">
        <f t="shared" si="75"/>
        <v>-80</v>
      </c>
      <c r="R4839" s="23" t="s">
        <v>109</v>
      </c>
    </row>
    <row r="4840" spans="1:18" x14ac:dyDescent="0.25">
      <c r="A4840" s="21">
        <v>45814</v>
      </c>
      <c r="B4840" s="1">
        <v>414090767</v>
      </c>
      <c r="C4840" t="s">
        <v>8501</v>
      </c>
      <c r="D4840" s="22">
        <v>-4925.5</v>
      </c>
      <c r="E4840" s="75" t="s">
        <v>35</v>
      </c>
      <c r="F4840" s="2">
        <v>212901001</v>
      </c>
      <c r="G4840" s="2" t="s">
        <v>121</v>
      </c>
      <c r="L4840" s="2" t="s">
        <v>8502</v>
      </c>
      <c r="M4840" t="s">
        <v>67</v>
      </c>
      <c r="N4840" t="s">
        <v>68</v>
      </c>
      <c r="P4840" s="23">
        <v>98.51</v>
      </c>
      <c r="Q4840" s="4">
        <f t="shared" si="75"/>
        <v>-50</v>
      </c>
      <c r="R4840" s="23" t="s">
        <v>109</v>
      </c>
    </row>
    <row r="4841" spans="1:18" x14ac:dyDescent="0.25">
      <c r="A4841" s="21">
        <v>45814</v>
      </c>
      <c r="B4841" s="1">
        <v>414090765</v>
      </c>
      <c r="C4841" t="s">
        <v>8503</v>
      </c>
      <c r="D4841" s="22">
        <v>-4925.5</v>
      </c>
      <c r="E4841" s="75" t="s">
        <v>35</v>
      </c>
      <c r="F4841" s="2">
        <v>212901001</v>
      </c>
      <c r="G4841" s="2" t="s">
        <v>121</v>
      </c>
      <c r="L4841" s="2" t="s">
        <v>8504</v>
      </c>
      <c r="M4841" t="s">
        <v>67</v>
      </c>
      <c r="N4841" t="s">
        <v>68</v>
      </c>
      <c r="P4841" s="23">
        <v>98.51</v>
      </c>
      <c r="Q4841" s="4">
        <f t="shared" si="75"/>
        <v>-50</v>
      </c>
      <c r="R4841" s="23" t="s">
        <v>109</v>
      </c>
    </row>
    <row r="4842" spans="1:18" x14ac:dyDescent="0.25">
      <c r="A4842" s="21">
        <v>45814</v>
      </c>
      <c r="B4842" s="1">
        <v>414090766</v>
      </c>
      <c r="C4842" t="s">
        <v>8505</v>
      </c>
      <c r="D4842" s="22">
        <v>-4925.5</v>
      </c>
      <c r="E4842" s="75" t="s">
        <v>35</v>
      </c>
      <c r="F4842" s="2">
        <v>212901001</v>
      </c>
      <c r="G4842" s="2" t="s">
        <v>121</v>
      </c>
      <c r="L4842" s="2" t="s">
        <v>8506</v>
      </c>
      <c r="M4842" t="s">
        <v>67</v>
      </c>
      <c r="N4842" t="s">
        <v>68</v>
      </c>
      <c r="P4842" s="23">
        <v>98.51</v>
      </c>
      <c r="Q4842" s="4">
        <f t="shared" si="75"/>
        <v>-50</v>
      </c>
      <c r="R4842" s="23" t="s">
        <v>109</v>
      </c>
    </row>
    <row r="4843" spans="1:18" x14ac:dyDescent="0.25">
      <c r="A4843" s="21">
        <v>45814</v>
      </c>
      <c r="B4843" s="1">
        <v>414090764</v>
      </c>
      <c r="C4843" t="s">
        <v>8507</v>
      </c>
      <c r="D4843" s="22">
        <v>-7880.8</v>
      </c>
      <c r="E4843" s="75" t="s">
        <v>35</v>
      </c>
      <c r="F4843" s="2">
        <v>212901001</v>
      </c>
      <c r="G4843" s="2" t="s">
        <v>121</v>
      </c>
      <c r="L4843" s="2" t="s">
        <v>8508</v>
      </c>
      <c r="M4843" t="s">
        <v>67</v>
      </c>
      <c r="N4843" t="s">
        <v>68</v>
      </c>
      <c r="P4843" s="23">
        <v>98.51</v>
      </c>
      <c r="Q4843" s="4">
        <f t="shared" si="75"/>
        <v>-80</v>
      </c>
      <c r="R4843" s="23" t="s">
        <v>109</v>
      </c>
    </row>
    <row r="4844" spans="1:18" x14ac:dyDescent="0.25">
      <c r="A4844" s="21">
        <v>45814</v>
      </c>
      <c r="B4844" s="1">
        <v>414090769</v>
      </c>
      <c r="C4844" t="s">
        <v>8509</v>
      </c>
      <c r="D4844" s="22">
        <v>-4925.5</v>
      </c>
      <c r="E4844" s="75" t="s">
        <v>35</v>
      </c>
      <c r="F4844" s="2">
        <v>212901001</v>
      </c>
      <c r="G4844" s="2" t="s">
        <v>121</v>
      </c>
      <c r="L4844" s="2" t="s">
        <v>8510</v>
      </c>
      <c r="M4844" t="s">
        <v>67</v>
      </c>
      <c r="N4844" t="s">
        <v>68</v>
      </c>
      <c r="P4844" s="23">
        <v>98.51</v>
      </c>
      <c r="Q4844" s="4">
        <f t="shared" si="75"/>
        <v>-50</v>
      </c>
      <c r="R4844" s="23" t="s">
        <v>109</v>
      </c>
    </row>
    <row r="4845" spans="1:18" x14ac:dyDescent="0.25">
      <c r="A4845" s="21">
        <v>45814</v>
      </c>
      <c r="B4845" s="1">
        <v>414090770</v>
      </c>
      <c r="C4845" t="s">
        <v>8511</v>
      </c>
      <c r="D4845" s="22">
        <v>-4925.5</v>
      </c>
      <c r="E4845" s="75" t="s">
        <v>35</v>
      </c>
      <c r="F4845" s="2">
        <v>212901001</v>
      </c>
      <c r="G4845" s="2" t="s">
        <v>121</v>
      </c>
      <c r="L4845" s="2" t="s">
        <v>8512</v>
      </c>
      <c r="M4845" t="s">
        <v>67</v>
      </c>
      <c r="N4845" t="s">
        <v>68</v>
      </c>
      <c r="P4845" s="23">
        <v>98.51</v>
      </c>
      <c r="Q4845" s="4">
        <f t="shared" si="75"/>
        <v>-50</v>
      </c>
      <c r="R4845" s="23" t="s">
        <v>109</v>
      </c>
    </row>
    <row r="4846" spans="1:18" x14ac:dyDescent="0.25">
      <c r="A4846" s="21">
        <v>45814</v>
      </c>
      <c r="B4846" s="1">
        <v>414090771</v>
      </c>
      <c r="C4846" t="s">
        <v>8513</v>
      </c>
      <c r="D4846" s="22">
        <v>-4925.5</v>
      </c>
      <c r="E4846" s="75" t="s">
        <v>35</v>
      </c>
      <c r="F4846" s="2">
        <v>212901001</v>
      </c>
      <c r="G4846" s="2" t="s">
        <v>121</v>
      </c>
      <c r="L4846" s="2" t="s">
        <v>8514</v>
      </c>
      <c r="M4846" t="s">
        <v>67</v>
      </c>
      <c r="N4846" t="s">
        <v>68</v>
      </c>
      <c r="P4846" s="23">
        <v>98.51</v>
      </c>
      <c r="Q4846" s="4">
        <f t="shared" si="75"/>
        <v>-50</v>
      </c>
      <c r="R4846" s="23" t="s">
        <v>109</v>
      </c>
    </row>
    <row r="4847" spans="1:18" x14ac:dyDescent="0.25">
      <c r="A4847" s="21">
        <v>45814</v>
      </c>
      <c r="B4847" s="1">
        <v>514090774</v>
      </c>
      <c r="C4847" t="s">
        <v>8515</v>
      </c>
      <c r="D4847" s="22">
        <v>-3940.4</v>
      </c>
      <c r="E4847" s="75" t="s">
        <v>35</v>
      </c>
      <c r="F4847" s="2">
        <v>212901001</v>
      </c>
      <c r="G4847" s="2" t="s">
        <v>121</v>
      </c>
      <c r="L4847" s="2" t="s">
        <v>8516</v>
      </c>
      <c r="M4847" t="s">
        <v>67</v>
      </c>
      <c r="N4847" t="s">
        <v>68</v>
      </c>
      <c r="P4847" s="23">
        <v>98.51</v>
      </c>
      <c r="Q4847" s="4">
        <f t="shared" si="75"/>
        <v>-40</v>
      </c>
      <c r="R4847" s="23" t="s">
        <v>109</v>
      </c>
    </row>
    <row r="4848" spans="1:18" x14ac:dyDescent="0.25">
      <c r="A4848" s="21">
        <v>45814</v>
      </c>
      <c r="B4848" s="1">
        <v>514090776</v>
      </c>
      <c r="C4848" t="s">
        <v>8517</v>
      </c>
      <c r="D4848" s="22">
        <v>-3940.4</v>
      </c>
      <c r="E4848" s="75" t="s">
        <v>35</v>
      </c>
      <c r="F4848" s="2">
        <v>212901001</v>
      </c>
      <c r="G4848" s="2" t="s">
        <v>121</v>
      </c>
      <c r="L4848" s="2" t="s">
        <v>8518</v>
      </c>
      <c r="M4848" t="s">
        <v>67</v>
      </c>
      <c r="N4848" t="s">
        <v>68</v>
      </c>
      <c r="P4848" s="23">
        <v>98.51</v>
      </c>
      <c r="Q4848" s="4">
        <f t="shared" si="75"/>
        <v>-40</v>
      </c>
      <c r="R4848" s="23" t="s">
        <v>109</v>
      </c>
    </row>
    <row r="4849" spans="1:18" x14ac:dyDescent="0.25">
      <c r="A4849" s="21">
        <v>45814</v>
      </c>
      <c r="B4849" s="1">
        <v>514090775</v>
      </c>
      <c r="C4849" t="s">
        <v>8519</v>
      </c>
      <c r="D4849" s="22">
        <v>-3940.4</v>
      </c>
      <c r="E4849" s="75" t="s">
        <v>35</v>
      </c>
      <c r="F4849" s="2">
        <v>212901001</v>
      </c>
      <c r="G4849" s="2" t="s">
        <v>121</v>
      </c>
      <c r="L4849" s="2" t="s">
        <v>8520</v>
      </c>
      <c r="M4849" t="s">
        <v>67</v>
      </c>
      <c r="N4849" t="s">
        <v>68</v>
      </c>
      <c r="P4849" s="23">
        <v>98.51</v>
      </c>
      <c r="Q4849" s="4">
        <f t="shared" si="75"/>
        <v>-40</v>
      </c>
      <c r="R4849" s="23" t="s">
        <v>109</v>
      </c>
    </row>
    <row r="4850" spans="1:18" x14ac:dyDescent="0.25">
      <c r="A4850" s="21">
        <v>45814</v>
      </c>
      <c r="B4850" s="1">
        <v>414090772</v>
      </c>
      <c r="C4850" t="s">
        <v>8521</v>
      </c>
      <c r="D4850" s="22">
        <v>-3940.4</v>
      </c>
      <c r="E4850" s="75" t="s">
        <v>35</v>
      </c>
      <c r="F4850" s="2">
        <v>212901001</v>
      </c>
      <c r="G4850" s="2" t="s">
        <v>121</v>
      </c>
      <c r="L4850" s="2" t="s">
        <v>8522</v>
      </c>
      <c r="M4850" t="s">
        <v>67</v>
      </c>
      <c r="N4850" t="s">
        <v>68</v>
      </c>
      <c r="P4850" s="23">
        <v>98.51</v>
      </c>
      <c r="Q4850" s="4">
        <f t="shared" si="75"/>
        <v>-40</v>
      </c>
      <c r="R4850" s="23" t="s">
        <v>109</v>
      </c>
    </row>
    <row r="4851" spans="1:18" x14ac:dyDescent="0.25">
      <c r="A4851" s="21">
        <v>45814</v>
      </c>
      <c r="B4851" s="1">
        <v>514090773</v>
      </c>
      <c r="C4851" t="s">
        <v>8523</v>
      </c>
      <c r="D4851" s="22">
        <v>-3940.4</v>
      </c>
      <c r="E4851" s="75" t="s">
        <v>35</v>
      </c>
      <c r="F4851" s="2">
        <v>212901001</v>
      </c>
      <c r="G4851" s="2" t="s">
        <v>121</v>
      </c>
      <c r="L4851" s="2" t="s">
        <v>8524</v>
      </c>
      <c r="M4851" t="s">
        <v>67</v>
      </c>
      <c r="N4851" t="s">
        <v>68</v>
      </c>
      <c r="P4851" s="23">
        <v>98.51</v>
      </c>
      <c r="Q4851" s="4">
        <f t="shared" si="75"/>
        <v>-40</v>
      </c>
      <c r="R4851" s="23" t="s">
        <v>109</v>
      </c>
    </row>
    <row r="4852" spans="1:18" x14ac:dyDescent="0.25">
      <c r="A4852" s="21">
        <v>45814</v>
      </c>
      <c r="B4852" s="1">
        <v>514090778</v>
      </c>
      <c r="C4852" t="s">
        <v>8525</v>
      </c>
      <c r="D4852" s="22">
        <v>-3940.4</v>
      </c>
      <c r="E4852" s="75" t="s">
        <v>35</v>
      </c>
      <c r="F4852" s="2">
        <v>212901001</v>
      </c>
      <c r="G4852" s="2" t="s">
        <v>121</v>
      </c>
      <c r="L4852" s="2" t="s">
        <v>8526</v>
      </c>
      <c r="M4852" t="s">
        <v>67</v>
      </c>
      <c r="N4852" t="s">
        <v>68</v>
      </c>
      <c r="P4852" s="23">
        <v>98.51</v>
      </c>
      <c r="Q4852" s="4">
        <f t="shared" si="75"/>
        <v>-40</v>
      </c>
      <c r="R4852" s="23" t="s">
        <v>109</v>
      </c>
    </row>
    <row r="4853" spans="1:18" x14ac:dyDescent="0.25">
      <c r="A4853" s="21">
        <v>45814</v>
      </c>
      <c r="B4853" s="1">
        <v>514090779</v>
      </c>
      <c r="C4853" t="s">
        <v>8527</v>
      </c>
      <c r="D4853" s="22">
        <v>-3940.4</v>
      </c>
      <c r="E4853" s="75" t="s">
        <v>35</v>
      </c>
      <c r="F4853" s="2">
        <v>212901001</v>
      </c>
      <c r="G4853" s="2" t="s">
        <v>121</v>
      </c>
      <c r="L4853" s="2" t="s">
        <v>8528</v>
      </c>
      <c r="M4853" t="s">
        <v>67</v>
      </c>
      <c r="N4853" t="s">
        <v>68</v>
      </c>
      <c r="P4853" s="23">
        <v>98.51</v>
      </c>
      <c r="Q4853" s="4">
        <f t="shared" si="75"/>
        <v>-40</v>
      </c>
      <c r="R4853" s="23" t="s">
        <v>109</v>
      </c>
    </row>
    <row r="4854" spans="1:18" x14ac:dyDescent="0.25">
      <c r="A4854" s="21">
        <v>45814</v>
      </c>
      <c r="B4854" s="1">
        <v>514090780</v>
      </c>
      <c r="C4854" t="s">
        <v>8529</v>
      </c>
      <c r="D4854" s="22">
        <v>-9851</v>
      </c>
      <c r="E4854" s="75" t="s">
        <v>35</v>
      </c>
      <c r="F4854" s="2">
        <v>212901001</v>
      </c>
      <c r="G4854" s="2" t="s">
        <v>121</v>
      </c>
      <c r="L4854" s="2" t="s">
        <v>8530</v>
      </c>
      <c r="M4854" t="s">
        <v>67</v>
      </c>
      <c r="N4854" t="s">
        <v>68</v>
      </c>
      <c r="P4854" s="23">
        <v>98.51</v>
      </c>
      <c r="Q4854" s="4">
        <f t="shared" si="75"/>
        <v>-100</v>
      </c>
      <c r="R4854" s="23" t="s">
        <v>109</v>
      </c>
    </row>
    <row r="4855" spans="1:18" x14ac:dyDescent="0.25">
      <c r="A4855" s="21">
        <v>45814</v>
      </c>
      <c r="B4855" s="1">
        <v>514090783</v>
      </c>
      <c r="C4855" t="s">
        <v>8531</v>
      </c>
      <c r="D4855" s="22">
        <v>-14776.5</v>
      </c>
      <c r="E4855" s="75" t="s">
        <v>35</v>
      </c>
      <c r="F4855" s="2">
        <v>212901001</v>
      </c>
      <c r="G4855" s="2" t="s">
        <v>121</v>
      </c>
      <c r="L4855" s="2" t="s">
        <v>8532</v>
      </c>
      <c r="M4855" t="s">
        <v>67</v>
      </c>
      <c r="N4855" t="s">
        <v>68</v>
      </c>
      <c r="P4855" s="23">
        <v>98.51</v>
      </c>
      <c r="Q4855" s="4">
        <f t="shared" si="75"/>
        <v>-150</v>
      </c>
      <c r="R4855" s="23" t="s">
        <v>109</v>
      </c>
    </row>
    <row r="4856" spans="1:18" x14ac:dyDescent="0.25">
      <c r="A4856" s="21">
        <v>45814</v>
      </c>
      <c r="B4856" s="1">
        <v>514090781</v>
      </c>
      <c r="C4856" t="s">
        <v>8533</v>
      </c>
      <c r="D4856" s="22">
        <v>-9851</v>
      </c>
      <c r="E4856" s="75" t="s">
        <v>35</v>
      </c>
      <c r="F4856" s="2">
        <v>212901001</v>
      </c>
      <c r="G4856" s="2" t="s">
        <v>121</v>
      </c>
      <c r="L4856" s="2" t="s">
        <v>8534</v>
      </c>
      <c r="M4856" t="s">
        <v>67</v>
      </c>
      <c r="N4856" t="s">
        <v>68</v>
      </c>
      <c r="P4856" s="23">
        <v>98.51</v>
      </c>
      <c r="Q4856" s="4">
        <f t="shared" si="75"/>
        <v>-100</v>
      </c>
      <c r="R4856" s="23" t="s">
        <v>109</v>
      </c>
    </row>
    <row r="4857" spans="1:18" x14ac:dyDescent="0.25">
      <c r="A4857" s="21">
        <v>45814</v>
      </c>
      <c r="B4857" s="1">
        <v>614090784</v>
      </c>
      <c r="C4857" t="s">
        <v>8535</v>
      </c>
      <c r="D4857" s="22">
        <v>-2955.3</v>
      </c>
      <c r="E4857" s="75" t="s">
        <v>35</v>
      </c>
      <c r="F4857" s="2">
        <v>212901001</v>
      </c>
      <c r="G4857" s="2" t="s">
        <v>121</v>
      </c>
      <c r="L4857" s="2" t="s">
        <v>8536</v>
      </c>
      <c r="M4857" t="s">
        <v>67</v>
      </c>
      <c r="N4857" t="s">
        <v>68</v>
      </c>
      <c r="P4857" s="23">
        <v>98.51</v>
      </c>
      <c r="Q4857" s="4">
        <f t="shared" si="75"/>
        <v>-30</v>
      </c>
      <c r="R4857" s="23" t="s">
        <v>109</v>
      </c>
    </row>
    <row r="4858" spans="1:18" x14ac:dyDescent="0.25">
      <c r="A4858" s="21">
        <v>45814</v>
      </c>
      <c r="B4858" s="1">
        <v>614090786</v>
      </c>
      <c r="C4858" t="s">
        <v>8537</v>
      </c>
      <c r="D4858" s="22">
        <v>-10836.1</v>
      </c>
      <c r="E4858" s="75" t="s">
        <v>35</v>
      </c>
      <c r="F4858" s="2">
        <v>212901001</v>
      </c>
      <c r="G4858" s="2" t="s">
        <v>121</v>
      </c>
      <c r="L4858" s="2" t="s">
        <v>8538</v>
      </c>
      <c r="M4858" t="s">
        <v>67</v>
      </c>
      <c r="N4858" t="s">
        <v>68</v>
      </c>
      <c r="P4858" s="23">
        <v>98.51</v>
      </c>
      <c r="Q4858" s="4">
        <f t="shared" si="75"/>
        <v>-110</v>
      </c>
      <c r="R4858" s="23" t="s">
        <v>109</v>
      </c>
    </row>
    <row r="4859" spans="1:18" x14ac:dyDescent="0.25">
      <c r="A4859" s="21">
        <v>45814</v>
      </c>
      <c r="B4859" s="1">
        <v>614090788</v>
      </c>
      <c r="C4859" t="s">
        <v>8539</v>
      </c>
      <c r="D4859" s="22">
        <v>-9851</v>
      </c>
      <c r="E4859" s="75" t="s">
        <v>35</v>
      </c>
      <c r="F4859" s="2">
        <v>212901001</v>
      </c>
      <c r="G4859" s="2" t="s">
        <v>121</v>
      </c>
      <c r="L4859" s="2" t="s">
        <v>8540</v>
      </c>
      <c r="M4859" t="s">
        <v>67</v>
      </c>
      <c r="N4859" t="s">
        <v>68</v>
      </c>
      <c r="P4859" s="23">
        <v>98.51</v>
      </c>
      <c r="Q4859" s="4">
        <f t="shared" si="75"/>
        <v>-100</v>
      </c>
      <c r="R4859" s="23" t="s">
        <v>109</v>
      </c>
    </row>
    <row r="4860" spans="1:18" x14ac:dyDescent="0.25">
      <c r="A4860" s="21">
        <v>45814</v>
      </c>
      <c r="B4860" s="1">
        <v>614090787</v>
      </c>
      <c r="C4860" t="s">
        <v>8541</v>
      </c>
      <c r="D4860" s="22">
        <v>-7880.8</v>
      </c>
      <c r="E4860" s="75" t="s">
        <v>35</v>
      </c>
      <c r="F4860" s="2">
        <v>212901001</v>
      </c>
      <c r="G4860" s="2" t="s">
        <v>121</v>
      </c>
      <c r="L4860" s="2" t="s">
        <v>8542</v>
      </c>
      <c r="M4860" t="s">
        <v>67</v>
      </c>
      <c r="N4860" t="s">
        <v>68</v>
      </c>
      <c r="P4860" s="23">
        <v>98.51</v>
      </c>
      <c r="Q4860" s="4">
        <f t="shared" si="75"/>
        <v>-80</v>
      </c>
      <c r="R4860" s="23" t="s">
        <v>109</v>
      </c>
    </row>
    <row r="4861" spans="1:18" x14ac:dyDescent="0.25">
      <c r="A4861" s="21">
        <v>45814</v>
      </c>
      <c r="B4861" s="1">
        <v>614090791</v>
      </c>
      <c r="C4861" t="s">
        <v>8543</v>
      </c>
      <c r="D4861" s="22">
        <v>-6895.7</v>
      </c>
      <c r="E4861" s="75" t="s">
        <v>35</v>
      </c>
      <c r="F4861" s="2">
        <v>212901001</v>
      </c>
      <c r="G4861" s="2" t="s">
        <v>121</v>
      </c>
      <c r="L4861" s="2" t="s">
        <v>8544</v>
      </c>
      <c r="M4861" t="s">
        <v>67</v>
      </c>
      <c r="N4861" t="s">
        <v>68</v>
      </c>
      <c r="P4861" s="23">
        <v>98.51</v>
      </c>
      <c r="Q4861" s="4">
        <f t="shared" si="75"/>
        <v>-70</v>
      </c>
      <c r="R4861" s="23" t="s">
        <v>109</v>
      </c>
    </row>
    <row r="4862" spans="1:18" x14ac:dyDescent="0.25">
      <c r="A4862" s="21">
        <v>45814</v>
      </c>
      <c r="B4862" s="1">
        <v>614090790</v>
      </c>
      <c r="C4862" t="s">
        <v>8545</v>
      </c>
      <c r="D4862" s="22">
        <v>-6895.7</v>
      </c>
      <c r="E4862" s="75" t="s">
        <v>35</v>
      </c>
      <c r="F4862" s="2">
        <v>212901001</v>
      </c>
      <c r="G4862" s="2" t="s">
        <v>121</v>
      </c>
      <c r="L4862" s="2" t="s">
        <v>8546</v>
      </c>
      <c r="M4862" t="s">
        <v>67</v>
      </c>
      <c r="N4862" t="s">
        <v>68</v>
      </c>
      <c r="P4862" s="23">
        <v>98.51</v>
      </c>
      <c r="Q4862" s="4">
        <f t="shared" si="75"/>
        <v>-70</v>
      </c>
      <c r="R4862" s="23" t="s">
        <v>109</v>
      </c>
    </row>
    <row r="4863" spans="1:18" x14ac:dyDescent="0.25">
      <c r="A4863" s="21">
        <v>45814</v>
      </c>
      <c r="B4863" s="1">
        <v>614090789</v>
      </c>
      <c r="C4863" t="s">
        <v>8547</v>
      </c>
      <c r="D4863" s="22">
        <v>-1477.65</v>
      </c>
      <c r="E4863" s="75" t="s">
        <v>35</v>
      </c>
      <c r="F4863" s="2">
        <v>212901001</v>
      </c>
      <c r="G4863" s="2" t="s">
        <v>121</v>
      </c>
      <c r="L4863" s="2" t="s">
        <v>8548</v>
      </c>
      <c r="M4863" t="s">
        <v>67</v>
      </c>
      <c r="N4863" t="s">
        <v>68</v>
      </c>
      <c r="P4863" s="23">
        <v>98.51</v>
      </c>
      <c r="Q4863" s="4">
        <f t="shared" si="75"/>
        <v>-15</v>
      </c>
      <c r="R4863" s="23" t="s">
        <v>109</v>
      </c>
    </row>
    <row r="4864" spans="1:18" x14ac:dyDescent="0.25">
      <c r="A4864" s="21">
        <v>45814</v>
      </c>
      <c r="B4864" s="1">
        <v>614090794</v>
      </c>
      <c r="C4864" t="s">
        <v>8549</v>
      </c>
      <c r="D4864" s="22">
        <v>-4925.5</v>
      </c>
      <c r="E4864" s="75" t="s">
        <v>35</v>
      </c>
      <c r="F4864" s="2">
        <v>212901001</v>
      </c>
      <c r="G4864" s="2" t="s">
        <v>121</v>
      </c>
      <c r="L4864" s="2" t="s">
        <v>8550</v>
      </c>
      <c r="M4864" t="s">
        <v>67</v>
      </c>
      <c r="N4864" t="s">
        <v>68</v>
      </c>
      <c r="P4864" s="23">
        <v>98.51</v>
      </c>
      <c r="Q4864" s="4">
        <f t="shared" si="75"/>
        <v>-50</v>
      </c>
      <c r="R4864" s="23" t="s">
        <v>109</v>
      </c>
    </row>
    <row r="4865" spans="1:18" x14ac:dyDescent="0.25">
      <c r="A4865" s="21">
        <v>45814</v>
      </c>
      <c r="B4865" s="1">
        <v>614090793</v>
      </c>
      <c r="C4865" t="s">
        <v>8551</v>
      </c>
      <c r="D4865" s="22">
        <v>-6895.7</v>
      </c>
      <c r="E4865" s="75" t="s">
        <v>35</v>
      </c>
      <c r="F4865" s="2">
        <v>212901001</v>
      </c>
      <c r="G4865" s="2" t="s">
        <v>121</v>
      </c>
      <c r="L4865" s="2" t="s">
        <v>8552</v>
      </c>
      <c r="M4865" t="s">
        <v>67</v>
      </c>
      <c r="N4865" t="s">
        <v>68</v>
      </c>
      <c r="P4865" s="23">
        <v>98.51</v>
      </c>
      <c r="Q4865" s="4">
        <f t="shared" si="75"/>
        <v>-70</v>
      </c>
      <c r="R4865" s="23" t="s">
        <v>109</v>
      </c>
    </row>
    <row r="4866" spans="1:18" x14ac:dyDescent="0.25">
      <c r="A4866" s="21">
        <v>45814</v>
      </c>
      <c r="B4866" s="1">
        <v>714090796</v>
      </c>
      <c r="C4866" t="s">
        <v>8553</v>
      </c>
      <c r="D4866" s="22">
        <v>-4925.5</v>
      </c>
      <c r="E4866" s="75" t="s">
        <v>35</v>
      </c>
      <c r="F4866" s="2">
        <v>212901001</v>
      </c>
      <c r="G4866" s="2" t="s">
        <v>121</v>
      </c>
      <c r="L4866" s="2" t="s">
        <v>8554</v>
      </c>
      <c r="M4866" t="s">
        <v>67</v>
      </c>
      <c r="N4866" t="s">
        <v>68</v>
      </c>
      <c r="P4866" s="23">
        <v>98.51</v>
      </c>
      <c r="Q4866" s="4">
        <f t="shared" si="75"/>
        <v>-50</v>
      </c>
      <c r="R4866" s="23" t="s">
        <v>109</v>
      </c>
    </row>
    <row r="4867" spans="1:18" x14ac:dyDescent="0.25">
      <c r="A4867" s="21">
        <v>45814</v>
      </c>
      <c r="B4867" s="1">
        <v>714090797</v>
      </c>
      <c r="C4867" t="s">
        <v>8555</v>
      </c>
      <c r="D4867" s="22">
        <v>-4925.5</v>
      </c>
      <c r="E4867" s="75" t="s">
        <v>35</v>
      </c>
      <c r="F4867" s="2">
        <v>212901001</v>
      </c>
      <c r="G4867" s="2" t="s">
        <v>121</v>
      </c>
      <c r="L4867" s="2" t="s">
        <v>8556</v>
      </c>
      <c r="M4867" t="s">
        <v>67</v>
      </c>
      <c r="N4867" t="s">
        <v>68</v>
      </c>
      <c r="P4867" s="23">
        <v>98.51</v>
      </c>
      <c r="Q4867" s="4">
        <f t="shared" si="75"/>
        <v>-50</v>
      </c>
      <c r="R4867" s="23" t="s">
        <v>109</v>
      </c>
    </row>
    <row r="4868" spans="1:18" x14ac:dyDescent="0.25">
      <c r="A4868" s="21">
        <v>45814</v>
      </c>
      <c r="B4868" s="1">
        <v>614090795</v>
      </c>
      <c r="C4868" t="s">
        <v>8557</v>
      </c>
      <c r="D4868" s="22">
        <v>-6895.7</v>
      </c>
      <c r="E4868" s="75" t="s">
        <v>35</v>
      </c>
      <c r="F4868" s="2">
        <v>212901001</v>
      </c>
      <c r="G4868" s="2" t="s">
        <v>121</v>
      </c>
      <c r="L4868" s="2" t="s">
        <v>8558</v>
      </c>
      <c r="M4868" t="s">
        <v>67</v>
      </c>
      <c r="N4868" t="s">
        <v>68</v>
      </c>
      <c r="P4868" s="23">
        <v>98.51</v>
      </c>
      <c r="Q4868" s="4">
        <f t="shared" si="75"/>
        <v>-70</v>
      </c>
      <c r="R4868" s="23" t="s">
        <v>109</v>
      </c>
    </row>
    <row r="4869" spans="1:18" x14ac:dyDescent="0.25">
      <c r="A4869" s="21">
        <v>45814</v>
      </c>
      <c r="B4869" s="1">
        <v>714090798</v>
      </c>
      <c r="C4869" t="s">
        <v>8559</v>
      </c>
      <c r="D4869" s="22">
        <v>-4925.5</v>
      </c>
      <c r="E4869" s="75" t="s">
        <v>35</v>
      </c>
      <c r="F4869" s="2">
        <v>212901001</v>
      </c>
      <c r="G4869" s="2" t="s">
        <v>121</v>
      </c>
      <c r="L4869" s="2" t="s">
        <v>8560</v>
      </c>
      <c r="M4869" t="s">
        <v>67</v>
      </c>
      <c r="N4869" t="s">
        <v>68</v>
      </c>
      <c r="P4869" s="23">
        <v>98.51</v>
      </c>
      <c r="Q4869" s="4">
        <f t="shared" si="75"/>
        <v>-50</v>
      </c>
      <c r="R4869" s="23" t="s">
        <v>109</v>
      </c>
    </row>
    <row r="4870" spans="1:18" x14ac:dyDescent="0.25">
      <c r="A4870" s="21">
        <v>45814</v>
      </c>
      <c r="B4870" s="1">
        <v>714090801</v>
      </c>
      <c r="C4870" t="s">
        <v>8561</v>
      </c>
      <c r="D4870" s="22">
        <v>-4925.5</v>
      </c>
      <c r="E4870" s="75" t="s">
        <v>35</v>
      </c>
      <c r="F4870" s="2">
        <v>212901001</v>
      </c>
      <c r="G4870" s="2" t="s">
        <v>121</v>
      </c>
      <c r="L4870" s="2" t="s">
        <v>8562</v>
      </c>
      <c r="M4870" t="s">
        <v>67</v>
      </c>
      <c r="N4870" t="s">
        <v>68</v>
      </c>
      <c r="P4870" s="23">
        <v>98.51</v>
      </c>
      <c r="Q4870" s="4">
        <f t="shared" si="75"/>
        <v>-50</v>
      </c>
      <c r="R4870" s="23" t="s">
        <v>109</v>
      </c>
    </row>
    <row r="4871" spans="1:18" x14ac:dyDescent="0.25">
      <c r="A4871" s="21">
        <v>45814</v>
      </c>
      <c r="B4871" s="1">
        <v>714090803</v>
      </c>
      <c r="C4871" t="s">
        <v>8557</v>
      </c>
      <c r="D4871" s="22">
        <v>-4925.5</v>
      </c>
      <c r="E4871" s="75" t="s">
        <v>35</v>
      </c>
      <c r="F4871" s="2">
        <v>212901001</v>
      </c>
      <c r="G4871" s="2" t="s">
        <v>121</v>
      </c>
      <c r="L4871" s="2" t="s">
        <v>8563</v>
      </c>
      <c r="M4871" t="s">
        <v>67</v>
      </c>
      <c r="N4871" t="s">
        <v>68</v>
      </c>
      <c r="P4871" s="23">
        <v>98.51</v>
      </c>
      <c r="Q4871" s="4">
        <f t="shared" si="75"/>
        <v>-50</v>
      </c>
      <c r="R4871" s="23" t="s">
        <v>109</v>
      </c>
    </row>
    <row r="4872" spans="1:18" x14ac:dyDescent="0.25">
      <c r="A4872" s="21">
        <v>45814</v>
      </c>
      <c r="B4872" s="1">
        <v>714090804</v>
      </c>
      <c r="C4872" t="s">
        <v>8564</v>
      </c>
      <c r="D4872" s="22">
        <v>-4925.5</v>
      </c>
      <c r="E4872" s="75" t="s">
        <v>35</v>
      </c>
      <c r="F4872" s="2">
        <v>212901001</v>
      </c>
      <c r="G4872" s="2" t="s">
        <v>121</v>
      </c>
      <c r="L4872" s="2" t="s">
        <v>8565</v>
      </c>
      <c r="M4872" t="s">
        <v>67</v>
      </c>
      <c r="N4872" t="s">
        <v>68</v>
      </c>
      <c r="P4872" s="23">
        <v>98.51</v>
      </c>
      <c r="Q4872" s="4">
        <f t="shared" si="75"/>
        <v>-50</v>
      </c>
      <c r="R4872" s="23" t="s">
        <v>109</v>
      </c>
    </row>
    <row r="4873" spans="1:18" x14ac:dyDescent="0.25">
      <c r="A4873" s="21">
        <v>45814</v>
      </c>
      <c r="B4873" s="1">
        <v>714090805</v>
      </c>
      <c r="C4873" t="s">
        <v>8566</v>
      </c>
      <c r="D4873" s="22">
        <v>-4925.5</v>
      </c>
      <c r="E4873" s="75" t="s">
        <v>35</v>
      </c>
      <c r="F4873" s="2">
        <v>212901001</v>
      </c>
      <c r="G4873" s="2" t="s">
        <v>121</v>
      </c>
      <c r="L4873" s="2" t="s">
        <v>8567</v>
      </c>
      <c r="M4873" t="s">
        <v>67</v>
      </c>
      <c r="N4873" t="s">
        <v>68</v>
      </c>
      <c r="P4873" s="23">
        <v>98.51</v>
      </c>
      <c r="Q4873" s="4">
        <f t="shared" si="75"/>
        <v>-50</v>
      </c>
      <c r="R4873" s="23" t="s">
        <v>109</v>
      </c>
    </row>
    <row r="4874" spans="1:18" x14ac:dyDescent="0.25">
      <c r="A4874" s="21">
        <v>45814</v>
      </c>
      <c r="B4874" s="1">
        <v>714090806</v>
      </c>
      <c r="C4874" t="s">
        <v>8568</v>
      </c>
      <c r="D4874" s="22">
        <v>-4925.5</v>
      </c>
      <c r="E4874" s="75" t="s">
        <v>35</v>
      </c>
      <c r="F4874" s="2">
        <v>212901001</v>
      </c>
      <c r="G4874" s="2" t="s">
        <v>121</v>
      </c>
      <c r="L4874" s="2" t="s">
        <v>8569</v>
      </c>
      <c r="M4874" t="s">
        <v>67</v>
      </c>
      <c r="N4874" t="s">
        <v>68</v>
      </c>
      <c r="P4874" s="23">
        <v>98.51</v>
      </c>
      <c r="Q4874" s="4">
        <f t="shared" si="75"/>
        <v>-50</v>
      </c>
      <c r="R4874" s="23" t="s">
        <v>109</v>
      </c>
    </row>
    <row r="4875" spans="1:18" x14ac:dyDescent="0.25">
      <c r="A4875" s="21">
        <v>45814</v>
      </c>
      <c r="B4875" s="1">
        <v>714090802</v>
      </c>
      <c r="C4875" t="s">
        <v>8570</v>
      </c>
      <c r="D4875" s="22">
        <v>-4925.5</v>
      </c>
      <c r="E4875" s="75" t="s">
        <v>35</v>
      </c>
      <c r="F4875" s="2">
        <v>212901001</v>
      </c>
      <c r="G4875" s="2" t="s">
        <v>121</v>
      </c>
      <c r="L4875" s="2" t="s">
        <v>8571</v>
      </c>
      <c r="M4875" t="s">
        <v>67</v>
      </c>
      <c r="N4875" t="s">
        <v>68</v>
      </c>
      <c r="P4875" s="23">
        <v>98.51</v>
      </c>
      <c r="Q4875" s="4">
        <f t="shared" ref="Q4875:Q4938" si="76">D4875/P4875</f>
        <v>-50</v>
      </c>
      <c r="R4875" s="23" t="s">
        <v>109</v>
      </c>
    </row>
    <row r="4876" spans="1:18" x14ac:dyDescent="0.25">
      <c r="A4876" s="21">
        <v>45814</v>
      </c>
      <c r="B4876" s="1">
        <v>814090808</v>
      </c>
      <c r="C4876" t="s">
        <v>8572</v>
      </c>
      <c r="D4876" s="22">
        <v>-4925.5</v>
      </c>
      <c r="E4876" s="75" t="s">
        <v>35</v>
      </c>
      <c r="F4876" s="2">
        <v>212901001</v>
      </c>
      <c r="G4876" s="2" t="s">
        <v>121</v>
      </c>
      <c r="L4876" s="2" t="s">
        <v>8573</v>
      </c>
      <c r="M4876" t="s">
        <v>67</v>
      </c>
      <c r="N4876" t="s">
        <v>68</v>
      </c>
      <c r="P4876" s="23">
        <v>98.51</v>
      </c>
      <c r="Q4876" s="4">
        <f t="shared" si="76"/>
        <v>-50</v>
      </c>
      <c r="R4876" s="23" t="s">
        <v>109</v>
      </c>
    </row>
    <row r="4877" spans="1:18" x14ac:dyDescent="0.25">
      <c r="A4877" s="21">
        <v>45814</v>
      </c>
      <c r="B4877" s="1">
        <v>814090809</v>
      </c>
      <c r="C4877" t="s">
        <v>8574</v>
      </c>
      <c r="D4877" s="22">
        <v>-4925.5</v>
      </c>
      <c r="E4877" s="75" t="s">
        <v>35</v>
      </c>
      <c r="F4877" s="2">
        <v>212901001</v>
      </c>
      <c r="G4877" s="2" t="s">
        <v>121</v>
      </c>
      <c r="L4877" s="2" t="s">
        <v>8575</v>
      </c>
      <c r="M4877" t="s">
        <v>67</v>
      </c>
      <c r="N4877" t="s">
        <v>68</v>
      </c>
      <c r="P4877" s="23">
        <v>98.51</v>
      </c>
      <c r="Q4877" s="4">
        <f t="shared" si="76"/>
        <v>-50</v>
      </c>
      <c r="R4877" s="23" t="s">
        <v>109</v>
      </c>
    </row>
    <row r="4878" spans="1:18" x14ac:dyDescent="0.25">
      <c r="A4878" s="21">
        <v>45814</v>
      </c>
      <c r="B4878" s="1">
        <v>714090807</v>
      </c>
      <c r="C4878" t="s">
        <v>8576</v>
      </c>
      <c r="D4878" s="22">
        <v>-4925.5</v>
      </c>
      <c r="E4878" s="75" t="s">
        <v>35</v>
      </c>
      <c r="F4878" s="2">
        <v>212901001</v>
      </c>
      <c r="G4878" s="2" t="s">
        <v>121</v>
      </c>
      <c r="L4878" s="2" t="s">
        <v>8577</v>
      </c>
      <c r="M4878" t="s">
        <v>67</v>
      </c>
      <c r="N4878" t="s">
        <v>68</v>
      </c>
      <c r="P4878" s="23">
        <v>98.51</v>
      </c>
      <c r="Q4878" s="4">
        <f t="shared" si="76"/>
        <v>-50</v>
      </c>
      <c r="R4878" s="23" t="s">
        <v>109</v>
      </c>
    </row>
    <row r="4879" spans="1:18" x14ac:dyDescent="0.25">
      <c r="A4879" s="21">
        <v>45814</v>
      </c>
      <c r="B4879" s="1">
        <v>814090813</v>
      </c>
      <c r="C4879" t="s">
        <v>8578</v>
      </c>
      <c r="D4879" s="22">
        <v>-1970.2</v>
      </c>
      <c r="E4879" s="75" t="s">
        <v>35</v>
      </c>
      <c r="F4879" s="2">
        <v>212901001</v>
      </c>
      <c r="G4879" s="2" t="s">
        <v>121</v>
      </c>
      <c r="L4879" s="2" t="s">
        <v>8579</v>
      </c>
      <c r="M4879" t="s">
        <v>67</v>
      </c>
      <c r="N4879" t="s">
        <v>68</v>
      </c>
      <c r="P4879" s="23">
        <v>98.51</v>
      </c>
      <c r="Q4879" s="4">
        <f t="shared" si="76"/>
        <v>-20</v>
      </c>
      <c r="R4879" s="23" t="s">
        <v>109</v>
      </c>
    </row>
    <row r="4880" spans="1:18" x14ac:dyDescent="0.25">
      <c r="A4880" s="21">
        <v>45814</v>
      </c>
      <c r="B4880" s="1">
        <v>814090815</v>
      </c>
      <c r="C4880" t="s">
        <v>8580</v>
      </c>
      <c r="D4880" s="22">
        <v>-1970.2</v>
      </c>
      <c r="E4880" s="75" t="s">
        <v>35</v>
      </c>
      <c r="F4880" s="2">
        <v>212901001</v>
      </c>
      <c r="G4880" s="2" t="s">
        <v>121</v>
      </c>
      <c r="L4880" s="2" t="s">
        <v>8581</v>
      </c>
      <c r="M4880" t="s">
        <v>67</v>
      </c>
      <c r="N4880" t="s">
        <v>68</v>
      </c>
      <c r="P4880" s="23">
        <v>98.51</v>
      </c>
      <c r="Q4880" s="4">
        <f t="shared" si="76"/>
        <v>-20</v>
      </c>
      <c r="R4880" s="23" t="s">
        <v>109</v>
      </c>
    </row>
    <row r="4881" spans="1:20" x14ac:dyDescent="0.25">
      <c r="A4881" s="21">
        <v>45814</v>
      </c>
      <c r="B4881" s="1">
        <v>814090812</v>
      </c>
      <c r="C4881" t="s">
        <v>8582</v>
      </c>
      <c r="D4881" s="22">
        <v>-1970.2</v>
      </c>
      <c r="E4881" s="75" t="s">
        <v>35</v>
      </c>
      <c r="F4881" s="2">
        <v>212901001</v>
      </c>
      <c r="G4881" s="2" t="s">
        <v>121</v>
      </c>
      <c r="L4881" s="2" t="s">
        <v>8583</v>
      </c>
      <c r="M4881" t="s">
        <v>67</v>
      </c>
      <c r="N4881" t="s">
        <v>68</v>
      </c>
      <c r="P4881" s="23">
        <v>98.51</v>
      </c>
      <c r="Q4881" s="4">
        <f t="shared" si="76"/>
        <v>-20</v>
      </c>
      <c r="R4881" s="23" t="s">
        <v>109</v>
      </c>
    </row>
    <row r="4882" spans="1:20" x14ac:dyDescent="0.25">
      <c r="A4882" s="21">
        <v>45814</v>
      </c>
      <c r="B4882" s="1">
        <v>814090810</v>
      </c>
      <c r="C4882" t="s">
        <v>8584</v>
      </c>
      <c r="D4882" s="22">
        <v>-4925.5</v>
      </c>
      <c r="E4882" s="75" t="s">
        <v>35</v>
      </c>
      <c r="F4882" s="2">
        <v>212901001</v>
      </c>
      <c r="G4882" s="2" t="s">
        <v>121</v>
      </c>
      <c r="L4882" s="2" t="s">
        <v>8585</v>
      </c>
      <c r="M4882" t="s">
        <v>67</v>
      </c>
      <c r="N4882" t="s">
        <v>68</v>
      </c>
      <c r="P4882" s="23">
        <v>98.51</v>
      </c>
      <c r="Q4882" s="4">
        <f t="shared" si="76"/>
        <v>-50</v>
      </c>
      <c r="R4882" s="23" t="s">
        <v>109</v>
      </c>
    </row>
    <row r="4883" spans="1:20" x14ac:dyDescent="0.25">
      <c r="A4883" s="21">
        <v>45814</v>
      </c>
      <c r="B4883" s="1">
        <v>814090817</v>
      </c>
      <c r="C4883" t="s">
        <v>8586</v>
      </c>
      <c r="D4883" s="22">
        <v>-9851</v>
      </c>
      <c r="E4883" s="75" t="s">
        <v>35</v>
      </c>
      <c r="F4883" s="2">
        <v>212901001</v>
      </c>
      <c r="G4883" s="2" t="s">
        <v>121</v>
      </c>
      <c r="L4883" s="2" t="s">
        <v>8587</v>
      </c>
      <c r="M4883" t="s">
        <v>67</v>
      </c>
      <c r="N4883" t="s">
        <v>68</v>
      </c>
      <c r="P4883" s="23">
        <v>98.51</v>
      </c>
      <c r="Q4883" s="4">
        <f t="shared" si="76"/>
        <v>-100</v>
      </c>
      <c r="R4883" s="23" t="s">
        <v>109</v>
      </c>
    </row>
    <row r="4884" spans="1:20" x14ac:dyDescent="0.25">
      <c r="A4884" s="21">
        <v>45814</v>
      </c>
      <c r="B4884" s="1">
        <v>814090816</v>
      </c>
      <c r="C4884" t="s">
        <v>8588</v>
      </c>
      <c r="D4884" s="22">
        <v>-1970.2</v>
      </c>
      <c r="E4884" s="75" t="s">
        <v>35</v>
      </c>
      <c r="F4884" s="2">
        <v>212901001</v>
      </c>
      <c r="G4884" s="2" t="s">
        <v>121</v>
      </c>
      <c r="L4884" s="2" t="s">
        <v>8589</v>
      </c>
      <c r="M4884" t="s">
        <v>67</v>
      </c>
      <c r="N4884" t="s">
        <v>68</v>
      </c>
      <c r="P4884" s="23">
        <v>98.51</v>
      </c>
      <c r="Q4884" s="4">
        <f t="shared" si="76"/>
        <v>-20</v>
      </c>
      <c r="R4884" s="23" t="s">
        <v>109</v>
      </c>
    </row>
    <row r="4885" spans="1:20" x14ac:dyDescent="0.25">
      <c r="A4885" s="21">
        <v>45814</v>
      </c>
      <c r="B4885" s="1">
        <v>914090819</v>
      </c>
      <c r="C4885" t="s">
        <v>8590</v>
      </c>
      <c r="D4885" s="22">
        <v>-12018.22</v>
      </c>
      <c r="E4885" s="75" t="s">
        <v>35</v>
      </c>
      <c r="F4885" s="2">
        <v>212901001</v>
      </c>
      <c r="G4885" s="2" t="s">
        <v>121</v>
      </c>
      <c r="L4885" s="2" t="s">
        <v>8591</v>
      </c>
      <c r="M4885" t="s">
        <v>67</v>
      </c>
      <c r="N4885" t="s">
        <v>68</v>
      </c>
      <c r="P4885" s="23">
        <v>98.51</v>
      </c>
      <c r="Q4885" s="4">
        <f t="shared" si="76"/>
        <v>-121.99999999999999</v>
      </c>
      <c r="R4885" s="23" t="s">
        <v>109</v>
      </c>
    </row>
    <row r="4886" spans="1:20" x14ac:dyDescent="0.25">
      <c r="A4886" s="21">
        <v>45814</v>
      </c>
      <c r="B4886" s="1">
        <v>814090818</v>
      </c>
      <c r="C4886" t="s">
        <v>8592</v>
      </c>
      <c r="D4886" s="22">
        <v>-19702</v>
      </c>
      <c r="E4886" s="75" t="s">
        <v>35</v>
      </c>
      <c r="F4886" s="2">
        <v>212901001</v>
      </c>
      <c r="G4886" s="2" t="s">
        <v>121</v>
      </c>
      <c r="L4886" s="2" t="s">
        <v>8593</v>
      </c>
      <c r="M4886" t="s">
        <v>67</v>
      </c>
      <c r="N4886" t="s">
        <v>68</v>
      </c>
      <c r="P4886" s="23">
        <v>98.51</v>
      </c>
      <c r="Q4886" s="4">
        <f t="shared" si="76"/>
        <v>-200</v>
      </c>
      <c r="R4886" s="23" t="s">
        <v>109</v>
      </c>
    </row>
    <row r="4887" spans="1:20" x14ac:dyDescent="0.25">
      <c r="A4887" s="21">
        <v>45814</v>
      </c>
      <c r="B4887" s="1">
        <v>914090820</v>
      </c>
      <c r="C4887" t="s">
        <v>8594</v>
      </c>
      <c r="D4887" s="22">
        <v>-2955.3</v>
      </c>
      <c r="E4887" s="75" t="s">
        <v>35</v>
      </c>
      <c r="F4887" s="2">
        <v>212901001</v>
      </c>
      <c r="G4887" s="2" t="s">
        <v>121</v>
      </c>
      <c r="L4887" s="2" t="s">
        <v>8595</v>
      </c>
      <c r="M4887" t="s">
        <v>67</v>
      </c>
      <c r="N4887" t="s">
        <v>68</v>
      </c>
      <c r="P4887" s="23">
        <v>98.51</v>
      </c>
      <c r="Q4887" s="4">
        <f t="shared" si="76"/>
        <v>-30</v>
      </c>
      <c r="R4887" s="23" t="s">
        <v>109</v>
      </c>
    </row>
    <row r="4888" spans="1:20" x14ac:dyDescent="0.25">
      <c r="A4888" s="21">
        <v>45814</v>
      </c>
      <c r="B4888" s="1">
        <v>914090821</v>
      </c>
      <c r="C4888" t="s">
        <v>8596</v>
      </c>
      <c r="D4888" s="22">
        <v>-3940.4</v>
      </c>
      <c r="E4888" s="75" t="s">
        <v>35</v>
      </c>
      <c r="F4888" s="2">
        <v>212901001</v>
      </c>
      <c r="G4888" s="2" t="s">
        <v>121</v>
      </c>
      <c r="L4888" s="2" t="s">
        <v>8597</v>
      </c>
      <c r="M4888" t="s">
        <v>67</v>
      </c>
      <c r="N4888" t="s">
        <v>68</v>
      </c>
      <c r="P4888" s="23">
        <v>98.51</v>
      </c>
      <c r="Q4888" s="4">
        <f t="shared" si="76"/>
        <v>-40</v>
      </c>
      <c r="R4888" s="23" t="s">
        <v>109</v>
      </c>
    </row>
    <row r="4889" spans="1:20" x14ac:dyDescent="0.25">
      <c r="A4889" s="21">
        <v>45814</v>
      </c>
      <c r="B4889" s="1">
        <v>50699881</v>
      </c>
      <c r="C4889" t="s">
        <v>8598</v>
      </c>
      <c r="D4889" s="22">
        <v>-13791.4</v>
      </c>
      <c r="E4889" s="75" t="s">
        <v>35</v>
      </c>
      <c r="F4889" s="2">
        <v>212901001</v>
      </c>
      <c r="G4889" s="2" t="s">
        <v>121</v>
      </c>
      <c r="L4889" s="2" t="s">
        <v>8599</v>
      </c>
      <c r="M4889" t="s">
        <v>67</v>
      </c>
      <c r="N4889" t="s">
        <v>68</v>
      </c>
      <c r="P4889" s="23">
        <v>98.51</v>
      </c>
      <c r="Q4889" s="4">
        <f t="shared" si="76"/>
        <v>-140</v>
      </c>
      <c r="R4889" s="23" t="s">
        <v>109</v>
      </c>
    </row>
    <row r="4890" spans="1:20" x14ac:dyDescent="0.25">
      <c r="A4890" s="21">
        <v>45814</v>
      </c>
      <c r="B4890" s="1">
        <v>50699881</v>
      </c>
      <c r="C4890" t="s">
        <v>296</v>
      </c>
      <c r="D4890" s="22">
        <v>-20.68</v>
      </c>
      <c r="E4890" s="75" t="s">
        <v>35</v>
      </c>
      <c r="F4890" s="2">
        <v>610148001</v>
      </c>
      <c r="G4890" s="2" t="s">
        <v>42</v>
      </c>
      <c r="L4890" s="2" t="s">
        <v>8600</v>
      </c>
      <c r="M4890" t="s">
        <v>43</v>
      </c>
      <c r="N4890" t="s">
        <v>42</v>
      </c>
      <c r="P4890" s="23">
        <v>98.51</v>
      </c>
      <c r="Q4890" s="4">
        <f t="shared" si="76"/>
        <v>-0.2099279260988732</v>
      </c>
      <c r="R4890" s="23" t="s">
        <v>109</v>
      </c>
      <c r="T4890" s="23" t="s">
        <v>8423</v>
      </c>
    </row>
    <row r="4891" spans="1:20" x14ac:dyDescent="0.25">
      <c r="A4891" s="21">
        <v>45814</v>
      </c>
      <c r="B4891" s="1">
        <v>50699881</v>
      </c>
      <c r="C4891" t="s">
        <v>118</v>
      </c>
      <c r="D4891" s="22">
        <v>-1114.8800000000001</v>
      </c>
      <c r="E4891" s="75" t="s">
        <v>35</v>
      </c>
      <c r="F4891" s="2">
        <v>610148001</v>
      </c>
      <c r="G4891" s="2" t="s">
        <v>42</v>
      </c>
      <c r="L4891" s="2" t="s">
        <v>8601</v>
      </c>
      <c r="M4891" t="s">
        <v>43</v>
      </c>
      <c r="N4891" t="s">
        <v>42</v>
      </c>
      <c r="P4891" s="23">
        <v>98.51</v>
      </c>
      <c r="Q4891" s="4">
        <f t="shared" si="76"/>
        <v>-11.317429702568267</v>
      </c>
      <c r="R4891" s="23" t="s">
        <v>109</v>
      </c>
      <c r="T4891" s="23" t="s">
        <v>8423</v>
      </c>
    </row>
    <row r="4892" spans="1:20" x14ac:dyDescent="0.25">
      <c r="A4892" s="21">
        <v>45817</v>
      </c>
      <c r="B4892" s="1">
        <v>151513193</v>
      </c>
      <c r="C4892" t="s">
        <v>107</v>
      </c>
      <c r="D4892" s="22">
        <v>25000</v>
      </c>
      <c r="E4892" s="75" t="s">
        <v>46</v>
      </c>
      <c r="F4892" s="2">
        <v>210115002</v>
      </c>
      <c r="G4892" s="2" t="s">
        <v>47</v>
      </c>
      <c r="L4892" s="2" t="s">
        <v>8602</v>
      </c>
      <c r="N4892" t="s">
        <v>107</v>
      </c>
      <c r="P4892" s="23">
        <v>99.09</v>
      </c>
      <c r="Q4892" s="4">
        <f t="shared" si="76"/>
        <v>252.29589262286808</v>
      </c>
      <c r="R4892" s="23" t="s">
        <v>109</v>
      </c>
    </row>
    <row r="4893" spans="1:20" x14ac:dyDescent="0.25">
      <c r="A4893" s="21">
        <v>45817</v>
      </c>
      <c r="B4893" s="1">
        <v>714210364</v>
      </c>
      <c r="C4893" t="s">
        <v>8603</v>
      </c>
      <c r="D4893" s="22">
        <v>-23333.71</v>
      </c>
      <c r="E4893" s="75" t="s">
        <v>35</v>
      </c>
      <c r="F4893" s="2">
        <v>210101001</v>
      </c>
      <c r="G4893" s="2" t="s">
        <v>36</v>
      </c>
      <c r="L4893" s="2" t="s">
        <v>8604</v>
      </c>
      <c r="M4893" t="s">
        <v>303</v>
      </c>
      <c r="N4893" t="s">
        <v>304</v>
      </c>
      <c r="P4893" s="23">
        <v>99.09</v>
      </c>
      <c r="Q4893" s="4">
        <f t="shared" si="76"/>
        <v>-235.47996770612573</v>
      </c>
      <c r="R4893" s="23" t="s">
        <v>109</v>
      </c>
    </row>
    <row r="4894" spans="1:20" x14ac:dyDescent="0.25">
      <c r="A4894" s="21">
        <v>45817</v>
      </c>
      <c r="B4894" s="1">
        <v>714210364</v>
      </c>
      <c r="C4894" t="s">
        <v>306</v>
      </c>
      <c r="D4894" s="22">
        <v>-70</v>
      </c>
      <c r="E4894" s="75" t="s">
        <v>35</v>
      </c>
      <c r="F4894" s="2">
        <v>610148001</v>
      </c>
      <c r="G4894" s="2" t="s">
        <v>42</v>
      </c>
      <c r="L4894" s="2" t="s">
        <v>8605</v>
      </c>
      <c r="M4894" t="s">
        <v>43</v>
      </c>
      <c r="N4894" t="s">
        <v>42</v>
      </c>
      <c r="P4894" s="23">
        <v>99.09</v>
      </c>
      <c r="Q4894" s="4">
        <f t="shared" si="76"/>
        <v>-0.70642849934403062</v>
      </c>
      <c r="R4894" s="23" t="s">
        <v>109</v>
      </c>
      <c r="T4894" s="23" t="s">
        <v>8423</v>
      </c>
    </row>
    <row r="4895" spans="1:20" x14ac:dyDescent="0.25">
      <c r="A4895" s="21">
        <v>45818</v>
      </c>
      <c r="B4895" s="1">
        <v>125817532</v>
      </c>
      <c r="C4895" t="s">
        <v>107</v>
      </c>
      <c r="D4895" s="22">
        <v>530000</v>
      </c>
      <c r="E4895" s="75" t="s">
        <v>46</v>
      </c>
      <c r="F4895" s="2">
        <v>210115002</v>
      </c>
      <c r="G4895" s="2" t="s">
        <v>47</v>
      </c>
      <c r="L4895" s="2" t="s">
        <v>8606</v>
      </c>
      <c r="N4895" t="s">
        <v>107</v>
      </c>
      <c r="P4895" s="23">
        <v>99.12</v>
      </c>
      <c r="Q4895" s="4">
        <f t="shared" si="76"/>
        <v>5347.0540758676352</v>
      </c>
      <c r="R4895" s="23" t="s">
        <v>109</v>
      </c>
    </row>
    <row r="4896" spans="1:20" x14ac:dyDescent="0.25">
      <c r="A4896" s="21">
        <v>45818</v>
      </c>
      <c r="B4896" s="1">
        <v>514245591</v>
      </c>
      <c r="C4896" t="s">
        <v>8607</v>
      </c>
      <c r="D4896" s="22">
        <v>-28427.24</v>
      </c>
      <c r="E4896" s="75" t="s">
        <v>35</v>
      </c>
      <c r="F4896" s="2">
        <v>210101001</v>
      </c>
      <c r="G4896" s="2" t="s">
        <v>36</v>
      </c>
      <c r="L4896" s="2" t="s">
        <v>8608</v>
      </c>
      <c r="M4896" t="s">
        <v>534</v>
      </c>
      <c r="N4896" t="s">
        <v>535</v>
      </c>
      <c r="P4896" s="23">
        <v>99.12</v>
      </c>
      <c r="Q4896" s="4">
        <f t="shared" si="76"/>
        <v>-286.79620661824055</v>
      </c>
      <c r="R4896" s="23" t="s">
        <v>109</v>
      </c>
    </row>
    <row r="4897" spans="1:20" x14ac:dyDescent="0.25">
      <c r="A4897" s="21">
        <v>45818</v>
      </c>
      <c r="B4897" s="1">
        <v>514245593</v>
      </c>
      <c r="C4897" t="s">
        <v>8609</v>
      </c>
      <c r="D4897" s="22">
        <v>-146253.54</v>
      </c>
      <c r="E4897" s="75" t="s">
        <v>35</v>
      </c>
      <c r="F4897" s="2">
        <v>210101001</v>
      </c>
      <c r="G4897" s="2" t="s">
        <v>36</v>
      </c>
      <c r="L4897" s="2" t="s">
        <v>8610</v>
      </c>
      <c r="M4897" t="s">
        <v>38</v>
      </c>
      <c r="N4897" t="s">
        <v>39</v>
      </c>
      <c r="P4897" s="23">
        <v>99.12</v>
      </c>
      <c r="Q4897" s="4">
        <f t="shared" si="76"/>
        <v>-1475.519975786925</v>
      </c>
      <c r="R4897" s="23" t="s">
        <v>109</v>
      </c>
    </row>
    <row r="4898" spans="1:20" x14ac:dyDescent="0.25">
      <c r="A4898" s="21">
        <v>45818</v>
      </c>
      <c r="B4898" s="1">
        <v>514245594</v>
      </c>
      <c r="C4898" t="s">
        <v>8611</v>
      </c>
      <c r="D4898" s="22">
        <v>-96646.33</v>
      </c>
      <c r="E4898" s="75" t="s">
        <v>35</v>
      </c>
      <c r="F4898" s="2">
        <v>210101001</v>
      </c>
      <c r="G4898" s="2" t="s">
        <v>36</v>
      </c>
      <c r="L4898" s="2" t="s">
        <v>8612</v>
      </c>
      <c r="M4898" t="s">
        <v>38</v>
      </c>
      <c r="N4898" t="s">
        <v>39</v>
      </c>
      <c r="P4898" s="23">
        <v>99.12</v>
      </c>
      <c r="Q4898" s="4">
        <f t="shared" si="76"/>
        <v>-975.04368442292173</v>
      </c>
      <c r="R4898" s="23" t="s">
        <v>109</v>
      </c>
    </row>
    <row r="4899" spans="1:20" x14ac:dyDescent="0.25">
      <c r="A4899" s="21">
        <v>45818</v>
      </c>
      <c r="B4899" s="1">
        <v>614245598</v>
      </c>
      <c r="C4899" t="s">
        <v>8613</v>
      </c>
      <c r="D4899" s="22">
        <v>-4913.9399999999996</v>
      </c>
      <c r="E4899" s="75" t="s">
        <v>35</v>
      </c>
      <c r="F4899" s="2">
        <v>210101001</v>
      </c>
      <c r="G4899" s="2" t="s">
        <v>36</v>
      </c>
      <c r="L4899" s="2" t="s">
        <v>8614</v>
      </c>
      <c r="M4899" t="s">
        <v>7550</v>
      </c>
      <c r="N4899" t="s">
        <v>7551</v>
      </c>
      <c r="P4899" s="23">
        <v>99.12</v>
      </c>
      <c r="Q4899" s="4">
        <f t="shared" si="76"/>
        <v>-49.575665859564161</v>
      </c>
      <c r="R4899" s="23" t="s">
        <v>109</v>
      </c>
    </row>
    <row r="4900" spans="1:20" x14ac:dyDescent="0.25">
      <c r="A4900" s="21">
        <v>45818</v>
      </c>
      <c r="B4900" s="1">
        <v>514245592</v>
      </c>
      <c r="C4900" t="s">
        <v>8615</v>
      </c>
      <c r="D4900" s="22">
        <v>-6738.08</v>
      </c>
      <c r="E4900" s="75" t="s">
        <v>35</v>
      </c>
      <c r="F4900" s="2">
        <v>210101001</v>
      </c>
      <c r="G4900" s="2" t="s">
        <v>36</v>
      </c>
      <c r="L4900" s="2" t="s">
        <v>8616</v>
      </c>
      <c r="M4900" t="s">
        <v>2635</v>
      </c>
      <c r="N4900" t="s">
        <v>2636</v>
      </c>
      <c r="P4900" s="23">
        <v>99.12</v>
      </c>
      <c r="Q4900" s="4">
        <f t="shared" si="76"/>
        <v>-67.979015334947533</v>
      </c>
      <c r="R4900" s="23" t="s">
        <v>109</v>
      </c>
    </row>
    <row r="4901" spans="1:20" x14ac:dyDescent="0.25">
      <c r="A4901" s="21">
        <v>45818</v>
      </c>
      <c r="B4901" s="1">
        <v>514245597</v>
      </c>
      <c r="C4901" t="s">
        <v>8617</v>
      </c>
      <c r="D4901" s="22">
        <v>-42197.18</v>
      </c>
      <c r="E4901" s="75" t="s">
        <v>35</v>
      </c>
      <c r="F4901" s="2">
        <v>210101001</v>
      </c>
      <c r="G4901" s="2" t="s">
        <v>36</v>
      </c>
      <c r="L4901" s="2" t="s">
        <v>8618</v>
      </c>
      <c r="M4901" t="s">
        <v>1866</v>
      </c>
      <c r="N4901" t="s">
        <v>1867</v>
      </c>
      <c r="P4901" s="23">
        <v>99.12</v>
      </c>
      <c r="Q4901" s="4">
        <f t="shared" si="76"/>
        <v>-425.71811945117031</v>
      </c>
      <c r="R4901" s="23" t="s">
        <v>109</v>
      </c>
    </row>
    <row r="4902" spans="1:20" x14ac:dyDescent="0.25">
      <c r="A4902" s="21">
        <v>45818</v>
      </c>
      <c r="B4902" s="1">
        <v>514245595</v>
      </c>
      <c r="C4902" t="s">
        <v>8611</v>
      </c>
      <c r="D4902" s="22">
        <v>-200000</v>
      </c>
      <c r="E4902" s="75" t="s">
        <v>35</v>
      </c>
      <c r="F4902" s="2">
        <v>210101001</v>
      </c>
      <c r="G4902" s="2" t="s">
        <v>36</v>
      </c>
      <c r="L4902" s="2" t="s">
        <v>8619</v>
      </c>
      <c r="M4902" t="s">
        <v>38</v>
      </c>
      <c r="N4902" t="s">
        <v>39</v>
      </c>
      <c r="P4902" s="23">
        <v>99.12</v>
      </c>
      <c r="Q4902" s="4">
        <f t="shared" si="76"/>
        <v>-2017.7562550443906</v>
      </c>
      <c r="R4902" s="23" t="s">
        <v>109</v>
      </c>
    </row>
    <row r="4903" spans="1:20" x14ac:dyDescent="0.25">
      <c r="A4903" s="21">
        <v>45818</v>
      </c>
      <c r="B4903" s="1">
        <v>614245599</v>
      </c>
      <c r="C4903" t="s">
        <v>8620</v>
      </c>
      <c r="D4903" s="22">
        <v>-2827.2</v>
      </c>
      <c r="E4903" s="75" t="s">
        <v>35</v>
      </c>
      <c r="F4903" s="2">
        <v>210101001</v>
      </c>
      <c r="G4903" s="2" t="s">
        <v>36</v>
      </c>
      <c r="L4903" s="2" t="s">
        <v>8621</v>
      </c>
      <c r="M4903" t="s">
        <v>725</v>
      </c>
      <c r="N4903" t="s">
        <v>726</v>
      </c>
      <c r="P4903" s="23">
        <v>99.12</v>
      </c>
      <c r="Q4903" s="4">
        <f t="shared" si="76"/>
        <v>-28.523002421307503</v>
      </c>
      <c r="R4903" s="23" t="s">
        <v>109</v>
      </c>
    </row>
    <row r="4904" spans="1:20" x14ac:dyDescent="0.25">
      <c r="A4904" s="21">
        <v>45818</v>
      </c>
      <c r="B4904" s="1">
        <v>50642250</v>
      </c>
      <c r="C4904" t="s">
        <v>118</v>
      </c>
      <c r="D4904" s="22">
        <v>-1320</v>
      </c>
      <c r="E4904" s="75" t="s">
        <v>35</v>
      </c>
      <c r="F4904" s="2">
        <v>610148001</v>
      </c>
      <c r="G4904" s="2" t="s">
        <v>42</v>
      </c>
      <c r="L4904" s="2" t="s">
        <v>8622</v>
      </c>
      <c r="M4904" t="s">
        <v>43</v>
      </c>
      <c r="N4904" t="s">
        <v>42</v>
      </c>
      <c r="P4904" s="23">
        <v>99.12</v>
      </c>
      <c r="Q4904" s="4">
        <f t="shared" si="76"/>
        <v>-13.317191283292978</v>
      </c>
      <c r="R4904" s="23" t="s">
        <v>109</v>
      </c>
      <c r="T4904" s="23" t="s">
        <v>8423</v>
      </c>
    </row>
    <row r="4905" spans="1:20" x14ac:dyDescent="0.25">
      <c r="A4905" s="21">
        <v>45818</v>
      </c>
      <c r="B4905" s="1">
        <v>133815874</v>
      </c>
      <c r="C4905" t="s">
        <v>107</v>
      </c>
      <c r="D4905" s="22">
        <v>800000</v>
      </c>
      <c r="E4905" s="75" t="s">
        <v>46</v>
      </c>
      <c r="F4905" s="2">
        <v>210115002</v>
      </c>
      <c r="G4905" s="2" t="s">
        <v>47</v>
      </c>
      <c r="L4905" s="2" t="s">
        <v>8623</v>
      </c>
      <c r="N4905" t="s">
        <v>107</v>
      </c>
      <c r="P4905" s="23">
        <v>99.12</v>
      </c>
      <c r="Q4905" s="4">
        <f t="shared" si="76"/>
        <v>8071.0250201775625</v>
      </c>
      <c r="R4905" s="23" t="s">
        <v>109</v>
      </c>
    </row>
    <row r="4906" spans="1:20" x14ac:dyDescent="0.25">
      <c r="A4906" s="21">
        <v>45818</v>
      </c>
      <c r="B4906" s="1">
        <v>114248166</v>
      </c>
      <c r="C4906" t="s">
        <v>8624</v>
      </c>
      <c r="D4906" s="22">
        <v>-200000</v>
      </c>
      <c r="E4906" s="75" t="s">
        <v>35</v>
      </c>
      <c r="F4906" s="2">
        <v>110114001</v>
      </c>
      <c r="G4906" s="2" t="s">
        <v>301</v>
      </c>
      <c r="L4906" s="2" t="s">
        <v>8625</v>
      </c>
      <c r="M4906" t="s">
        <v>38</v>
      </c>
      <c r="N4906" t="s">
        <v>39</v>
      </c>
      <c r="P4906" s="23">
        <v>99.12</v>
      </c>
      <c r="Q4906" s="4">
        <f t="shared" si="76"/>
        <v>-2017.7562550443906</v>
      </c>
      <c r="R4906" s="23" t="s">
        <v>109</v>
      </c>
      <c r="S4906" s="33" t="s">
        <v>2599</v>
      </c>
    </row>
    <row r="4907" spans="1:20" x14ac:dyDescent="0.25">
      <c r="A4907" s="21">
        <v>45818</v>
      </c>
      <c r="B4907" s="1">
        <v>114248169</v>
      </c>
      <c r="C4907" t="s">
        <v>8624</v>
      </c>
      <c r="D4907" s="22">
        <v>-200000</v>
      </c>
      <c r="E4907" s="75" t="s">
        <v>35</v>
      </c>
      <c r="F4907" s="2">
        <v>110114001</v>
      </c>
      <c r="G4907" s="2" t="s">
        <v>301</v>
      </c>
      <c r="L4907" s="2" t="s">
        <v>8626</v>
      </c>
      <c r="M4907" t="s">
        <v>38</v>
      </c>
      <c r="N4907" t="s">
        <v>39</v>
      </c>
      <c r="P4907" s="23">
        <v>99.12</v>
      </c>
      <c r="Q4907" s="4">
        <f t="shared" si="76"/>
        <v>-2017.7562550443906</v>
      </c>
      <c r="R4907" s="23" t="s">
        <v>109</v>
      </c>
      <c r="S4907" s="33" t="s">
        <v>2599</v>
      </c>
    </row>
    <row r="4908" spans="1:20" x14ac:dyDescent="0.25">
      <c r="A4908" s="21">
        <v>45818</v>
      </c>
      <c r="B4908" s="1">
        <v>114248168</v>
      </c>
      <c r="C4908" t="s">
        <v>8624</v>
      </c>
      <c r="D4908" s="22">
        <v>-200000</v>
      </c>
      <c r="E4908" s="75" t="s">
        <v>35</v>
      </c>
      <c r="F4908" s="2">
        <v>110114001</v>
      </c>
      <c r="G4908" s="2" t="s">
        <v>301</v>
      </c>
      <c r="L4908" s="2" t="s">
        <v>8627</v>
      </c>
      <c r="M4908" t="s">
        <v>38</v>
      </c>
      <c r="N4908" t="s">
        <v>39</v>
      </c>
      <c r="P4908" s="23">
        <v>99.12</v>
      </c>
      <c r="Q4908" s="4">
        <f t="shared" si="76"/>
        <v>-2017.7562550443906</v>
      </c>
      <c r="R4908" s="23" t="s">
        <v>109</v>
      </c>
      <c r="S4908" s="33" t="s">
        <v>2599</v>
      </c>
    </row>
    <row r="4909" spans="1:20" x14ac:dyDescent="0.25">
      <c r="A4909" s="21">
        <v>45818</v>
      </c>
      <c r="B4909" s="1">
        <v>114248171</v>
      </c>
      <c r="C4909" t="s">
        <v>8624</v>
      </c>
      <c r="D4909" s="22">
        <v>-192385.1</v>
      </c>
      <c r="E4909" s="75" t="s">
        <v>35</v>
      </c>
      <c r="F4909" s="2">
        <v>110114001</v>
      </c>
      <c r="G4909" s="2" t="s">
        <v>301</v>
      </c>
      <c r="L4909" s="2" t="s">
        <v>8628</v>
      </c>
      <c r="M4909" t="s">
        <v>38</v>
      </c>
      <c r="N4909" t="s">
        <v>39</v>
      </c>
      <c r="P4909" s="23">
        <v>99.12</v>
      </c>
      <c r="Q4909" s="4">
        <f t="shared" si="76"/>
        <v>-1940.9311945117029</v>
      </c>
      <c r="R4909" s="23" t="s">
        <v>109</v>
      </c>
      <c r="S4909" s="33" t="s">
        <v>2599</v>
      </c>
    </row>
    <row r="4910" spans="1:20" x14ac:dyDescent="0.25">
      <c r="A4910" s="21">
        <v>45818</v>
      </c>
      <c r="B4910" s="1">
        <v>50682493</v>
      </c>
      <c r="C4910" t="s">
        <v>118</v>
      </c>
      <c r="D4910" s="22">
        <v>-1980.96</v>
      </c>
      <c r="E4910" s="75" t="s">
        <v>35</v>
      </c>
      <c r="F4910" s="2">
        <v>610148001</v>
      </c>
      <c r="G4910" s="2" t="s">
        <v>42</v>
      </c>
      <c r="L4910" s="2" t="s">
        <v>8629</v>
      </c>
      <c r="M4910" t="s">
        <v>43</v>
      </c>
      <c r="N4910" t="s">
        <v>42</v>
      </c>
      <c r="P4910" s="23">
        <v>99.12</v>
      </c>
      <c r="Q4910" s="4">
        <f t="shared" si="76"/>
        <v>-19.985472154963681</v>
      </c>
      <c r="R4910" s="23" t="s">
        <v>109</v>
      </c>
      <c r="T4910" s="23" t="s">
        <v>8423</v>
      </c>
    </row>
    <row r="4911" spans="1:20" x14ac:dyDescent="0.25">
      <c r="A4911" s="21">
        <v>45818</v>
      </c>
      <c r="B4911" s="1">
        <v>714248241</v>
      </c>
      <c r="C4911" t="s">
        <v>8630</v>
      </c>
      <c r="D4911" s="22">
        <v>-6442.8</v>
      </c>
      <c r="E4911" s="75" t="s">
        <v>35</v>
      </c>
      <c r="F4911" s="2">
        <v>110114001</v>
      </c>
      <c r="G4911" s="2" t="s">
        <v>301</v>
      </c>
      <c r="L4911" s="2" t="s">
        <v>8631</v>
      </c>
      <c r="M4911" t="s">
        <v>303</v>
      </c>
      <c r="N4911" t="s">
        <v>5305</v>
      </c>
      <c r="P4911" s="23">
        <v>99.12</v>
      </c>
      <c r="Q4911" s="4">
        <f t="shared" si="76"/>
        <v>-65</v>
      </c>
      <c r="R4911" s="23" t="s">
        <v>109</v>
      </c>
      <c r="S4911" s="33" t="s">
        <v>2599</v>
      </c>
    </row>
    <row r="4912" spans="1:20" x14ac:dyDescent="0.25">
      <c r="A4912" s="21">
        <v>45818</v>
      </c>
      <c r="B4912" s="1">
        <v>714248241</v>
      </c>
      <c r="C4912" t="s">
        <v>306</v>
      </c>
      <c r="D4912" s="22">
        <v>-19.329999999999998</v>
      </c>
      <c r="E4912" s="75" t="s">
        <v>35</v>
      </c>
      <c r="F4912" s="2">
        <v>610148001</v>
      </c>
      <c r="G4912" s="2" t="s">
        <v>42</v>
      </c>
      <c r="L4912" s="2" t="s">
        <v>8632</v>
      </c>
      <c r="M4912" t="s">
        <v>43</v>
      </c>
      <c r="N4912" t="s">
        <v>42</v>
      </c>
      <c r="P4912" s="23">
        <v>99.12</v>
      </c>
      <c r="Q4912" s="4">
        <f t="shared" si="76"/>
        <v>-0.19501614205004034</v>
      </c>
      <c r="R4912" s="23" t="s">
        <v>109</v>
      </c>
      <c r="T4912" s="23" t="s">
        <v>8423</v>
      </c>
    </row>
    <row r="4913" spans="1:20" x14ac:dyDescent="0.25">
      <c r="A4913" s="21">
        <v>45818</v>
      </c>
      <c r="B4913" s="1">
        <v>134200216</v>
      </c>
      <c r="C4913" t="s">
        <v>107</v>
      </c>
      <c r="D4913" s="22">
        <v>25000</v>
      </c>
      <c r="E4913" s="75" t="s">
        <v>46</v>
      </c>
      <c r="F4913" s="2">
        <v>210115002</v>
      </c>
      <c r="G4913" s="2" t="s">
        <v>47</v>
      </c>
      <c r="L4913" s="2" t="s">
        <v>8633</v>
      </c>
      <c r="N4913" t="s">
        <v>107</v>
      </c>
      <c r="P4913" s="23">
        <v>99.12</v>
      </c>
      <c r="Q4913" s="4">
        <f t="shared" si="76"/>
        <v>252.21953188054883</v>
      </c>
      <c r="R4913" s="23" t="s">
        <v>109</v>
      </c>
    </row>
    <row r="4914" spans="1:20" x14ac:dyDescent="0.25">
      <c r="A4914" s="21">
        <v>45818</v>
      </c>
      <c r="B4914" s="1">
        <v>214248416</v>
      </c>
      <c r="C4914" t="s">
        <v>8634</v>
      </c>
      <c r="D4914" s="22">
        <v>-1846</v>
      </c>
      <c r="E4914" s="75" t="s">
        <v>35</v>
      </c>
      <c r="F4914" s="2">
        <v>210101001</v>
      </c>
      <c r="G4914" s="2" t="s">
        <v>36</v>
      </c>
      <c r="L4914" s="2" t="s">
        <v>8635</v>
      </c>
      <c r="M4914" t="s">
        <v>725</v>
      </c>
      <c r="N4914" t="s">
        <v>726</v>
      </c>
      <c r="P4914" s="23">
        <v>99.12</v>
      </c>
      <c r="Q4914" s="4">
        <f t="shared" si="76"/>
        <v>-18.623890234059726</v>
      </c>
      <c r="R4914" s="23" t="s">
        <v>109</v>
      </c>
    </row>
    <row r="4915" spans="1:20" x14ac:dyDescent="0.25">
      <c r="A4915" s="21">
        <v>45818</v>
      </c>
      <c r="B4915" s="1">
        <v>214248416</v>
      </c>
      <c r="C4915" t="s">
        <v>306</v>
      </c>
      <c r="D4915" s="22">
        <v>-5.54</v>
      </c>
      <c r="E4915" s="75" t="s">
        <v>35</v>
      </c>
      <c r="F4915" s="2">
        <v>610148001</v>
      </c>
      <c r="G4915" s="2" t="s">
        <v>42</v>
      </c>
      <c r="L4915" s="2" t="s">
        <v>8636</v>
      </c>
      <c r="M4915" t="s">
        <v>43</v>
      </c>
      <c r="N4915" t="s">
        <v>42</v>
      </c>
      <c r="P4915" s="23">
        <v>99.12</v>
      </c>
      <c r="Q4915" s="4">
        <f t="shared" si="76"/>
        <v>-5.5891848264729621E-2</v>
      </c>
      <c r="R4915" s="23" t="s">
        <v>109</v>
      </c>
      <c r="T4915" s="23" t="s">
        <v>8423</v>
      </c>
    </row>
    <row r="4916" spans="1:20" x14ac:dyDescent="0.25">
      <c r="A4916" s="21">
        <v>45818</v>
      </c>
      <c r="B4916" s="1">
        <v>714248466</v>
      </c>
      <c r="C4916" t="s">
        <v>8637</v>
      </c>
      <c r="D4916" s="22">
        <v>-21081.83</v>
      </c>
      <c r="E4916" s="75" t="s">
        <v>35</v>
      </c>
      <c r="F4916" s="2">
        <v>210101001</v>
      </c>
      <c r="G4916" s="2" t="s">
        <v>36</v>
      </c>
      <c r="L4916" s="2" t="s">
        <v>8638</v>
      </c>
      <c r="M4916" t="s">
        <v>725</v>
      </c>
      <c r="N4916" t="s">
        <v>726</v>
      </c>
      <c r="P4916" s="23">
        <v>99.12</v>
      </c>
      <c r="Q4916" s="4">
        <f t="shared" si="76"/>
        <v>-212.68997175141243</v>
      </c>
      <c r="R4916" s="23" t="s">
        <v>109</v>
      </c>
    </row>
    <row r="4917" spans="1:20" x14ac:dyDescent="0.25">
      <c r="A4917" s="21">
        <v>45818</v>
      </c>
      <c r="B4917" s="1">
        <v>714248466</v>
      </c>
      <c r="C4917" t="s">
        <v>306</v>
      </c>
      <c r="D4917" s="22">
        <v>-63.25</v>
      </c>
      <c r="E4917" s="75" t="s">
        <v>35</v>
      </c>
      <c r="F4917" s="2">
        <v>610148001</v>
      </c>
      <c r="G4917" s="2" t="s">
        <v>42</v>
      </c>
      <c r="L4917" s="2" t="s">
        <v>8639</v>
      </c>
      <c r="M4917" t="s">
        <v>43</v>
      </c>
      <c r="N4917" t="s">
        <v>42</v>
      </c>
      <c r="P4917" s="23">
        <v>99.12</v>
      </c>
      <c r="Q4917" s="4">
        <f t="shared" si="76"/>
        <v>-0.63811541565778851</v>
      </c>
      <c r="R4917" s="23" t="s">
        <v>109</v>
      </c>
      <c r="T4917" s="23" t="s">
        <v>8423</v>
      </c>
    </row>
    <row r="4918" spans="1:20" x14ac:dyDescent="0.25">
      <c r="A4918" s="21">
        <v>45818</v>
      </c>
      <c r="B4918" s="1">
        <v>161219466</v>
      </c>
      <c r="C4918" t="s">
        <v>107</v>
      </c>
      <c r="D4918" s="22">
        <v>95000</v>
      </c>
      <c r="E4918" s="75" t="s">
        <v>46</v>
      </c>
      <c r="F4918" s="2">
        <v>210115002</v>
      </c>
      <c r="G4918" s="2" t="s">
        <v>47</v>
      </c>
      <c r="L4918" s="2" t="s">
        <v>8640</v>
      </c>
      <c r="N4918" t="s">
        <v>107</v>
      </c>
      <c r="P4918" s="23">
        <v>99.12</v>
      </c>
      <c r="Q4918" s="4">
        <f t="shared" si="76"/>
        <v>958.43422114608552</v>
      </c>
      <c r="R4918" s="23" t="s">
        <v>109</v>
      </c>
    </row>
    <row r="4919" spans="1:20" x14ac:dyDescent="0.25">
      <c r="A4919" s="21">
        <v>45818</v>
      </c>
      <c r="B4919" s="1">
        <v>0</v>
      </c>
      <c r="C4919" t="s">
        <v>8641</v>
      </c>
      <c r="D4919" s="22">
        <v>-99.12</v>
      </c>
      <c r="E4919" s="75" t="s">
        <v>35</v>
      </c>
      <c r="F4919" s="2">
        <v>610148001</v>
      </c>
      <c r="G4919" s="2" t="s">
        <v>42</v>
      </c>
      <c r="L4919" s="2" t="s">
        <v>8642</v>
      </c>
      <c r="M4919" t="s">
        <v>43</v>
      </c>
      <c r="N4919" t="s">
        <v>42</v>
      </c>
      <c r="P4919" s="23">
        <v>99.12</v>
      </c>
      <c r="Q4919" s="4">
        <f t="shared" si="76"/>
        <v>-1</v>
      </c>
      <c r="R4919" s="23" t="s">
        <v>109</v>
      </c>
      <c r="T4919" s="23" t="s">
        <v>8423</v>
      </c>
    </row>
    <row r="4920" spans="1:20" x14ac:dyDescent="0.25">
      <c r="A4920" s="21">
        <v>45818</v>
      </c>
      <c r="B4920" s="1">
        <v>347510</v>
      </c>
      <c r="C4920" t="s">
        <v>8643</v>
      </c>
      <c r="D4920" s="22">
        <v>-94172.78</v>
      </c>
      <c r="E4920" s="75" t="s">
        <v>35</v>
      </c>
      <c r="F4920" s="2">
        <v>210601001</v>
      </c>
      <c r="G4920" s="2" t="s">
        <v>494</v>
      </c>
      <c r="L4920" s="2" t="s">
        <v>8644</v>
      </c>
      <c r="M4920" t="s">
        <v>496</v>
      </c>
      <c r="N4920" t="s">
        <v>497</v>
      </c>
      <c r="P4920" s="23">
        <v>99.12</v>
      </c>
      <c r="Q4920" s="4">
        <f t="shared" si="76"/>
        <v>-950.08857949959645</v>
      </c>
      <c r="R4920" s="23" t="s">
        <v>109</v>
      </c>
      <c r="T4920" s="23" t="s">
        <v>8645</v>
      </c>
    </row>
    <row r="4921" spans="1:20" x14ac:dyDescent="0.25">
      <c r="A4921" s="21">
        <v>45819</v>
      </c>
      <c r="B4921" s="1">
        <v>140532831</v>
      </c>
      <c r="C4921" t="s">
        <v>107</v>
      </c>
      <c r="D4921" s="22">
        <v>95000</v>
      </c>
      <c r="E4921" s="75" t="s">
        <v>46</v>
      </c>
      <c r="F4921" s="2">
        <v>210115002</v>
      </c>
      <c r="G4921" s="2" t="s">
        <v>47</v>
      </c>
      <c r="L4921" s="2" t="s">
        <v>8646</v>
      </c>
      <c r="N4921" t="s">
        <v>107</v>
      </c>
      <c r="P4921" s="23">
        <v>99.7</v>
      </c>
      <c r="Q4921" s="4">
        <f t="shared" si="76"/>
        <v>952.85857572718157</v>
      </c>
      <c r="R4921" s="23" t="s">
        <v>109</v>
      </c>
    </row>
    <row r="4922" spans="1:20" x14ac:dyDescent="0.25">
      <c r="A4922" s="21">
        <v>45819</v>
      </c>
      <c r="B4922" s="1">
        <v>514293109</v>
      </c>
      <c r="C4922" t="s">
        <v>8647</v>
      </c>
      <c r="D4922" s="22">
        <v>-91367.63</v>
      </c>
      <c r="E4922" s="75" t="s">
        <v>35</v>
      </c>
      <c r="F4922" s="2">
        <v>110114001</v>
      </c>
      <c r="G4922" s="2" t="s">
        <v>301</v>
      </c>
      <c r="L4922" s="2" t="s">
        <v>8648</v>
      </c>
      <c r="M4922" t="s">
        <v>38</v>
      </c>
      <c r="N4922" t="s">
        <v>39</v>
      </c>
      <c r="P4922" s="23">
        <v>99.7</v>
      </c>
      <c r="Q4922" s="4">
        <f t="shared" si="76"/>
        <v>-916.42557673019064</v>
      </c>
      <c r="R4922" s="23" t="s">
        <v>109</v>
      </c>
      <c r="S4922" s="33" t="s">
        <v>2599</v>
      </c>
    </row>
    <row r="4923" spans="1:20" x14ac:dyDescent="0.25">
      <c r="A4923" s="21">
        <v>45819</v>
      </c>
      <c r="B4923" s="1">
        <v>514293110</v>
      </c>
      <c r="C4923" t="s">
        <v>8649</v>
      </c>
      <c r="D4923" s="22">
        <v>-3111.05</v>
      </c>
      <c r="E4923" s="75" t="s">
        <v>35</v>
      </c>
      <c r="F4923" s="2">
        <v>210101001</v>
      </c>
      <c r="G4923" s="2" t="s">
        <v>36</v>
      </c>
      <c r="L4923" s="2" t="s">
        <v>8650</v>
      </c>
      <c r="M4923" t="s">
        <v>1318</v>
      </c>
      <c r="N4923" t="s">
        <v>1319</v>
      </c>
      <c r="P4923" s="23">
        <v>99.7</v>
      </c>
      <c r="Q4923" s="4">
        <f t="shared" si="76"/>
        <v>-31.204112337011033</v>
      </c>
      <c r="R4923" s="23" t="s">
        <v>109</v>
      </c>
    </row>
    <row r="4924" spans="1:20" x14ac:dyDescent="0.25">
      <c r="A4924" s="21">
        <v>45819</v>
      </c>
      <c r="B4924" s="1">
        <v>50689001</v>
      </c>
      <c r="C4924" t="s">
        <v>118</v>
      </c>
      <c r="D4924" s="22">
        <v>-236.19</v>
      </c>
      <c r="E4924" s="75" t="s">
        <v>35</v>
      </c>
      <c r="F4924" s="2">
        <v>610148001</v>
      </c>
      <c r="G4924" s="2" t="s">
        <v>42</v>
      </c>
      <c r="L4924" s="2" t="s">
        <v>8651</v>
      </c>
      <c r="M4924" t="s">
        <v>43</v>
      </c>
      <c r="N4924" t="s">
        <v>42</v>
      </c>
      <c r="P4924" s="23">
        <v>99.7</v>
      </c>
      <c r="Q4924" s="4">
        <f t="shared" si="76"/>
        <v>-2.3690070210631893</v>
      </c>
      <c r="R4924" s="23" t="s">
        <v>109</v>
      </c>
      <c r="T4924" s="23" t="s">
        <v>8423</v>
      </c>
    </row>
    <row r="4925" spans="1:20" x14ac:dyDescent="0.25">
      <c r="A4925" s="21">
        <v>45819</v>
      </c>
      <c r="B4925" s="1">
        <v>155550008</v>
      </c>
      <c r="C4925" t="s">
        <v>107</v>
      </c>
      <c r="D4925" s="22">
        <v>72000</v>
      </c>
      <c r="E4925" s="75" t="s">
        <v>46</v>
      </c>
      <c r="F4925" s="2">
        <v>210115002</v>
      </c>
      <c r="G4925" s="2" t="s">
        <v>47</v>
      </c>
      <c r="L4925" s="2" t="s">
        <v>8652</v>
      </c>
      <c r="N4925" t="s">
        <v>107</v>
      </c>
      <c r="P4925" s="23">
        <v>99.7</v>
      </c>
      <c r="Q4925" s="4">
        <f t="shared" si="76"/>
        <v>722.16649949849545</v>
      </c>
      <c r="R4925" s="23" t="s">
        <v>109</v>
      </c>
    </row>
    <row r="4926" spans="1:20" x14ac:dyDescent="0.25">
      <c r="A4926" s="21">
        <v>45819</v>
      </c>
      <c r="B4926" s="1">
        <v>0</v>
      </c>
      <c r="C4926" t="s">
        <v>8641</v>
      </c>
      <c r="D4926" s="22">
        <v>-99.12</v>
      </c>
      <c r="E4926" s="75" t="s">
        <v>35</v>
      </c>
      <c r="F4926" s="2">
        <v>610148001</v>
      </c>
      <c r="G4926" s="2" t="s">
        <v>42</v>
      </c>
      <c r="L4926" s="2" t="s">
        <v>8653</v>
      </c>
      <c r="M4926" t="s">
        <v>43</v>
      </c>
      <c r="N4926" t="s">
        <v>42</v>
      </c>
      <c r="P4926" s="23">
        <v>99.7</v>
      </c>
      <c r="Q4926" s="4">
        <f t="shared" si="76"/>
        <v>-0.99418254764292879</v>
      </c>
      <c r="R4926" s="23" t="s">
        <v>109</v>
      </c>
      <c r="T4926" s="23" t="s">
        <v>8423</v>
      </c>
    </row>
    <row r="4927" spans="1:20" x14ac:dyDescent="0.25">
      <c r="A4927" s="21">
        <v>45819</v>
      </c>
      <c r="B4927" s="1">
        <v>35907</v>
      </c>
      <c r="C4927" t="s">
        <v>8654</v>
      </c>
      <c r="D4927" s="22">
        <v>-71185.48</v>
      </c>
      <c r="E4927" s="75" t="s">
        <v>35</v>
      </c>
      <c r="F4927" s="2">
        <v>213401001</v>
      </c>
      <c r="G4927" s="2" t="s">
        <v>126</v>
      </c>
      <c r="L4927" s="2" t="s">
        <v>8655</v>
      </c>
      <c r="M4927" t="s">
        <v>128</v>
      </c>
      <c r="N4927" t="s">
        <v>129</v>
      </c>
      <c r="P4927" s="23">
        <v>99.7</v>
      </c>
      <c r="Q4927" s="4">
        <f t="shared" si="76"/>
        <v>-713.99679037111332</v>
      </c>
      <c r="R4927" s="23" t="s">
        <v>109</v>
      </c>
      <c r="T4927" s="23" t="s">
        <v>8656</v>
      </c>
    </row>
    <row r="4928" spans="1:20" x14ac:dyDescent="0.25">
      <c r="A4928" s="21">
        <v>45820</v>
      </c>
      <c r="B4928" s="1">
        <v>160918209</v>
      </c>
      <c r="C4928" t="s">
        <v>107</v>
      </c>
      <c r="D4928" s="22">
        <v>275000</v>
      </c>
      <c r="E4928" s="75" t="s">
        <v>46</v>
      </c>
      <c r="F4928" s="2">
        <v>210115002</v>
      </c>
      <c r="G4928" s="2" t="s">
        <v>47</v>
      </c>
      <c r="L4928" s="2" t="s">
        <v>8657</v>
      </c>
      <c r="N4928" t="s">
        <v>107</v>
      </c>
      <c r="P4928" s="23">
        <v>100.34</v>
      </c>
      <c r="Q4928" s="4">
        <f t="shared" si="76"/>
        <v>2740.6816822802471</v>
      </c>
      <c r="R4928" s="23" t="s">
        <v>109</v>
      </c>
    </row>
    <row r="4929" spans="1:23" x14ac:dyDescent="0.25">
      <c r="A4929" s="21">
        <v>45820</v>
      </c>
      <c r="B4929" s="1">
        <v>163731184</v>
      </c>
      <c r="C4929" t="s">
        <v>8658</v>
      </c>
      <c r="D4929" s="22">
        <v>-8737.5499999999993</v>
      </c>
      <c r="E4929" s="75" t="s">
        <v>35</v>
      </c>
      <c r="F4929" s="2">
        <v>210101001</v>
      </c>
      <c r="G4929" s="2" t="s">
        <v>36</v>
      </c>
      <c r="L4929" s="2" t="s">
        <v>8659</v>
      </c>
      <c r="M4929" t="s">
        <v>2645</v>
      </c>
      <c r="N4929" t="s">
        <v>1187</v>
      </c>
      <c r="P4929" s="23">
        <v>100.34</v>
      </c>
      <c r="Q4929" s="4">
        <f t="shared" si="76"/>
        <v>-87.079429938210069</v>
      </c>
      <c r="R4929" s="23" t="s">
        <v>109</v>
      </c>
    </row>
    <row r="4930" spans="1:23" x14ac:dyDescent="0.25">
      <c r="A4930" s="21">
        <v>45820</v>
      </c>
      <c r="B4930" s="1">
        <v>114348191</v>
      </c>
      <c r="C4930" t="s">
        <v>8660</v>
      </c>
      <c r="D4930" s="22">
        <v>-61.65</v>
      </c>
      <c r="E4930" s="75" t="s">
        <v>35</v>
      </c>
      <c r="F4930" s="2">
        <v>212901001</v>
      </c>
      <c r="G4930" s="2" t="s">
        <v>121</v>
      </c>
      <c r="L4930" s="2" t="s">
        <v>8661</v>
      </c>
      <c r="M4930" t="s">
        <v>67</v>
      </c>
      <c r="N4930" t="s">
        <v>68</v>
      </c>
      <c r="P4930" s="23">
        <v>100.34</v>
      </c>
      <c r="Q4930" s="4">
        <f t="shared" si="76"/>
        <v>-0.61441100259118997</v>
      </c>
      <c r="R4930" s="23" t="s">
        <v>109</v>
      </c>
      <c r="U4930">
        <v>9</v>
      </c>
      <c r="V4930" t="e">
        <f>VLOOKUP(U4930,[1]!NOMINA[#Data],4,FALSE)</f>
        <v>#REF!</v>
      </c>
      <c r="W4930" t="e">
        <f>VLOOKUP(U4930,[1]!NOMINA[#Data],5,FALSE)</f>
        <v>#REF!</v>
      </c>
    </row>
    <row r="4931" spans="1:23" x14ac:dyDescent="0.25">
      <c r="A4931" s="21">
        <v>45820</v>
      </c>
      <c r="B4931" s="1">
        <v>214348192</v>
      </c>
      <c r="C4931" t="s">
        <v>8662</v>
      </c>
      <c r="D4931" s="22">
        <v>-61.65</v>
      </c>
      <c r="E4931" s="75" t="s">
        <v>35</v>
      </c>
      <c r="F4931" s="2">
        <v>212901001</v>
      </c>
      <c r="G4931" s="2" t="s">
        <v>121</v>
      </c>
      <c r="L4931" s="2" t="s">
        <v>8663</v>
      </c>
      <c r="M4931" t="s">
        <v>67</v>
      </c>
      <c r="N4931" t="s">
        <v>68</v>
      </c>
      <c r="P4931" s="23">
        <v>100.34</v>
      </c>
      <c r="Q4931" s="4">
        <f t="shared" si="76"/>
        <v>-0.61441100259118997</v>
      </c>
      <c r="R4931" s="23" t="s">
        <v>109</v>
      </c>
      <c r="U4931">
        <v>26</v>
      </c>
      <c r="V4931" t="e">
        <f>VLOOKUP(Tabla3[[#This Row],[Nº]],[1]!NOMINA[#Data],4,FALSE)</f>
        <v>#REF!</v>
      </c>
      <c r="W4931" t="e">
        <f>VLOOKUP(Tabla3[[#This Row],[Nº]],[1]!NOMINA[#Data],5,FALSE)</f>
        <v>#REF!</v>
      </c>
    </row>
    <row r="4932" spans="1:23" x14ac:dyDescent="0.25">
      <c r="A4932" s="21">
        <v>45820</v>
      </c>
      <c r="B4932" s="1">
        <v>214348194</v>
      </c>
      <c r="C4932" t="s">
        <v>8664</v>
      </c>
      <c r="D4932" s="22">
        <v>-61.65</v>
      </c>
      <c r="E4932" s="75" t="s">
        <v>35</v>
      </c>
      <c r="F4932" s="2">
        <v>212901001</v>
      </c>
      <c r="G4932" s="2" t="s">
        <v>121</v>
      </c>
      <c r="L4932" s="2" t="s">
        <v>8665</v>
      </c>
      <c r="M4932" t="s">
        <v>67</v>
      </c>
      <c r="N4932" t="s">
        <v>68</v>
      </c>
      <c r="P4932" s="23">
        <v>100.34</v>
      </c>
      <c r="Q4932" s="4">
        <f t="shared" si="76"/>
        <v>-0.61441100259118997</v>
      </c>
      <c r="R4932" s="23" t="s">
        <v>109</v>
      </c>
      <c r="U4932">
        <v>29</v>
      </c>
      <c r="V4932" t="e">
        <f>VLOOKUP(U4932,[1]!NOMINA[#Data],4,FALSE)</f>
        <v>#REF!</v>
      </c>
      <c r="W4932" t="e">
        <f>VLOOKUP(U4932,[1]!NOMINA[#Data],5,FALSE)</f>
        <v>#REF!</v>
      </c>
    </row>
    <row r="4933" spans="1:23" x14ac:dyDescent="0.25">
      <c r="A4933" s="21">
        <v>45820</v>
      </c>
      <c r="B4933" s="1">
        <v>214348197</v>
      </c>
      <c r="C4933" t="s">
        <v>8666</v>
      </c>
      <c r="D4933" s="22">
        <v>-57.36</v>
      </c>
      <c r="E4933" s="75" t="s">
        <v>35</v>
      </c>
      <c r="F4933" s="2">
        <v>212901001</v>
      </c>
      <c r="G4933" s="2" t="s">
        <v>121</v>
      </c>
      <c r="L4933" s="2" t="s">
        <v>8667</v>
      </c>
      <c r="M4933" t="s">
        <v>67</v>
      </c>
      <c r="N4933" t="s">
        <v>68</v>
      </c>
      <c r="P4933" s="23">
        <v>100.34</v>
      </c>
      <c r="Q4933" s="4">
        <f t="shared" si="76"/>
        <v>-0.57165636834761813</v>
      </c>
      <c r="R4933" s="23" t="s">
        <v>109</v>
      </c>
      <c r="U4933">
        <v>20</v>
      </c>
      <c r="V4933" t="e">
        <f>VLOOKUP(Tabla3[[#This Row],[Nº]],[1]!NOMINA[#Data],4,FALSE)</f>
        <v>#REF!</v>
      </c>
      <c r="W4933" t="e">
        <f>VLOOKUP(Tabla3[[#This Row],[Nº]],[1]!NOMINA[#Data],5,FALSE)</f>
        <v>#REF!</v>
      </c>
    </row>
    <row r="4934" spans="1:23" x14ac:dyDescent="0.25">
      <c r="A4934" s="21">
        <v>45820</v>
      </c>
      <c r="B4934" s="1">
        <v>214348196</v>
      </c>
      <c r="C4934" t="s">
        <v>8668</v>
      </c>
      <c r="D4934" s="22">
        <v>-61.65</v>
      </c>
      <c r="E4934" s="75" t="s">
        <v>35</v>
      </c>
      <c r="F4934" s="2">
        <v>212901001</v>
      </c>
      <c r="G4934" s="2" t="s">
        <v>121</v>
      </c>
      <c r="L4934" s="2" t="s">
        <v>8669</v>
      </c>
      <c r="M4934" t="s">
        <v>67</v>
      </c>
      <c r="N4934" t="s">
        <v>68</v>
      </c>
      <c r="P4934" s="23">
        <v>100.34</v>
      </c>
      <c r="Q4934" s="4">
        <f t="shared" si="76"/>
        <v>-0.61441100259118997</v>
      </c>
      <c r="R4934" s="23" t="s">
        <v>109</v>
      </c>
      <c r="U4934">
        <v>10</v>
      </c>
      <c r="V4934" t="e">
        <f>VLOOKUP(U4934,[1]!NOMINA[#Data],4,FALSE)</f>
        <v>#REF!</v>
      </c>
      <c r="W4934" t="e">
        <f>VLOOKUP(U4934,[1]!NOMINA[#Data],5,FALSE)</f>
        <v>#REF!</v>
      </c>
    </row>
    <row r="4935" spans="1:23" x14ac:dyDescent="0.25">
      <c r="A4935" s="21">
        <v>45820</v>
      </c>
      <c r="B4935" s="1">
        <v>214348193</v>
      </c>
      <c r="C4935" t="s">
        <v>8670</v>
      </c>
      <c r="D4935" s="22">
        <v>-61.65</v>
      </c>
      <c r="E4935" s="75" t="s">
        <v>35</v>
      </c>
      <c r="F4935" s="2">
        <v>212901001</v>
      </c>
      <c r="G4935" s="2" t="s">
        <v>121</v>
      </c>
      <c r="L4935" s="2" t="s">
        <v>8671</v>
      </c>
      <c r="M4935" t="s">
        <v>67</v>
      </c>
      <c r="N4935" t="s">
        <v>68</v>
      </c>
      <c r="P4935" s="23">
        <v>100.34</v>
      </c>
      <c r="Q4935" s="4">
        <f t="shared" si="76"/>
        <v>-0.61441100259118997</v>
      </c>
      <c r="R4935" s="23" t="s">
        <v>109</v>
      </c>
      <c r="U4935">
        <v>18</v>
      </c>
      <c r="V4935" t="e">
        <f>VLOOKUP(Tabla3[[#This Row],[Nº]],[1]!NOMINA[#Data],4,FALSE)</f>
        <v>#REF!</v>
      </c>
      <c r="W4935" t="e">
        <f>VLOOKUP(Tabla3[[#This Row],[Nº]],[1]!NOMINA[#Data],5,FALSE)</f>
        <v>#REF!</v>
      </c>
    </row>
    <row r="4936" spans="1:23" x14ac:dyDescent="0.25">
      <c r="A4936" s="21">
        <v>45820</v>
      </c>
      <c r="B4936" s="1">
        <v>214348195</v>
      </c>
      <c r="C4936" t="s">
        <v>8672</v>
      </c>
      <c r="D4936" s="22">
        <v>-61.65</v>
      </c>
      <c r="E4936" s="75" t="s">
        <v>35</v>
      </c>
      <c r="F4936" s="2">
        <v>212901001</v>
      </c>
      <c r="G4936" s="2" t="s">
        <v>121</v>
      </c>
      <c r="L4936" s="2" t="s">
        <v>8673</v>
      </c>
      <c r="M4936" t="s">
        <v>67</v>
      </c>
      <c r="N4936" t="s">
        <v>68</v>
      </c>
      <c r="P4936" s="23">
        <v>100.34</v>
      </c>
      <c r="Q4936" s="4">
        <f t="shared" si="76"/>
        <v>-0.61441100259118997</v>
      </c>
      <c r="R4936" s="23" t="s">
        <v>109</v>
      </c>
      <c r="U4936">
        <v>15</v>
      </c>
      <c r="V4936" t="e">
        <f>VLOOKUP(U4936,[1]!NOMINA[#Data],4,FALSE)</f>
        <v>#REF!</v>
      </c>
      <c r="W4936" t="e">
        <f>VLOOKUP(U4936,[1]!NOMINA[#Data],5,FALSE)</f>
        <v>#REF!</v>
      </c>
    </row>
    <row r="4937" spans="1:23" x14ac:dyDescent="0.25">
      <c r="A4937" s="21">
        <v>45820</v>
      </c>
      <c r="B4937" s="1">
        <v>214348198</v>
      </c>
      <c r="C4937" t="s">
        <v>8674</v>
      </c>
      <c r="D4937" s="22">
        <v>-61.65</v>
      </c>
      <c r="E4937" s="75" t="s">
        <v>35</v>
      </c>
      <c r="F4937" s="2">
        <v>212901001</v>
      </c>
      <c r="G4937" s="2" t="s">
        <v>121</v>
      </c>
      <c r="L4937" s="2" t="s">
        <v>8675</v>
      </c>
      <c r="M4937" t="s">
        <v>67</v>
      </c>
      <c r="N4937" s="2" t="s">
        <v>68</v>
      </c>
      <c r="O4937" s="2"/>
      <c r="P4937" s="23">
        <v>100.34</v>
      </c>
      <c r="Q4937" s="4">
        <f t="shared" si="76"/>
        <v>-0.61441100259118997</v>
      </c>
      <c r="R4937" s="23" t="s">
        <v>109</v>
      </c>
      <c r="U4937">
        <v>36</v>
      </c>
      <c r="V4937" t="e">
        <f>VLOOKUP(U4937,[1]!NOMINA[#Data],4,FALSE)</f>
        <v>#REF!</v>
      </c>
      <c r="W4937" t="e">
        <f>VLOOKUP(U4937,[1]!NOMINA[#Data],5,FALSE)</f>
        <v>#REF!</v>
      </c>
    </row>
    <row r="4938" spans="1:23" x14ac:dyDescent="0.25">
      <c r="A4938" s="21">
        <v>45820</v>
      </c>
      <c r="B4938" s="1">
        <v>214348199</v>
      </c>
      <c r="C4938" t="s">
        <v>8676</v>
      </c>
      <c r="D4938" s="22">
        <v>-57.36</v>
      </c>
      <c r="E4938" s="75" t="s">
        <v>35</v>
      </c>
      <c r="F4938" s="2">
        <v>212901001</v>
      </c>
      <c r="G4938" s="2" t="s">
        <v>121</v>
      </c>
      <c r="L4938" s="2" t="s">
        <v>8677</v>
      </c>
      <c r="M4938" t="s">
        <v>67</v>
      </c>
      <c r="N4938" t="s">
        <v>68</v>
      </c>
      <c r="P4938" s="23">
        <v>100.34</v>
      </c>
      <c r="Q4938" s="4">
        <f t="shared" si="76"/>
        <v>-0.57165636834761813</v>
      </c>
      <c r="R4938" s="23" t="s">
        <v>109</v>
      </c>
      <c r="U4938">
        <v>8</v>
      </c>
      <c r="V4938" t="e">
        <f>VLOOKUP(U4938,[1]!NOMINA[#Data],4,FALSE)</f>
        <v>#REF!</v>
      </c>
      <c r="W4938" t="e">
        <f>VLOOKUP(U4938,[1]!NOMINA[#Data],5,FALSE)</f>
        <v>#REF!</v>
      </c>
    </row>
    <row r="4939" spans="1:23" x14ac:dyDescent="0.25">
      <c r="A4939" s="21">
        <v>45820</v>
      </c>
      <c r="B4939" s="1">
        <v>214348201</v>
      </c>
      <c r="C4939" t="s">
        <v>8678</v>
      </c>
      <c r="D4939" s="22">
        <v>-61.65</v>
      </c>
      <c r="E4939" s="75" t="s">
        <v>35</v>
      </c>
      <c r="F4939" s="2">
        <v>212901001</v>
      </c>
      <c r="G4939" s="2" t="s">
        <v>121</v>
      </c>
      <c r="L4939" s="2" t="s">
        <v>8679</v>
      </c>
      <c r="M4939" t="s">
        <v>67</v>
      </c>
      <c r="N4939" t="s">
        <v>68</v>
      </c>
      <c r="P4939" s="23">
        <v>100.34</v>
      </c>
      <c r="Q4939" s="4">
        <f t="shared" ref="Q4939:Q5002" si="77">D4939/P4939</f>
        <v>-0.61441100259118997</v>
      </c>
      <c r="R4939" s="23" t="s">
        <v>109</v>
      </c>
      <c r="U4939">
        <v>13</v>
      </c>
      <c r="V4939" t="e">
        <f>VLOOKUP(U4939,[1]!NOMINA[#Data],4,FALSE)</f>
        <v>#REF!</v>
      </c>
      <c r="W4939" t="e">
        <f>VLOOKUP(U4939,[1]!NOMINA[#Data],5,FALSE)</f>
        <v>#REF!</v>
      </c>
    </row>
    <row r="4940" spans="1:23" x14ac:dyDescent="0.25">
      <c r="A4940" s="21">
        <v>45820</v>
      </c>
      <c r="B4940" s="1">
        <v>314348202</v>
      </c>
      <c r="C4940" t="s">
        <v>8680</v>
      </c>
      <c r="D4940" s="22">
        <v>-61.65</v>
      </c>
      <c r="E4940" s="75" t="s">
        <v>35</v>
      </c>
      <c r="F4940" s="2">
        <v>212901001</v>
      </c>
      <c r="G4940" s="2" t="s">
        <v>121</v>
      </c>
      <c r="L4940" s="2" t="s">
        <v>8681</v>
      </c>
      <c r="M4940" t="s">
        <v>67</v>
      </c>
      <c r="N4940" t="s">
        <v>68</v>
      </c>
      <c r="P4940" s="23">
        <v>100.34</v>
      </c>
      <c r="Q4940" s="4">
        <f t="shared" si="77"/>
        <v>-0.61441100259118997</v>
      </c>
      <c r="R4940" s="23" t="s">
        <v>109</v>
      </c>
      <c r="U4940">
        <v>11</v>
      </c>
      <c r="V4940" t="e">
        <f>VLOOKUP(U4940,[1]!NOMINA[#Data],4,FALSE)</f>
        <v>#REF!</v>
      </c>
      <c r="W4940" t="e">
        <f>VLOOKUP(U4940,[1]!NOMINA[#Data],5,FALSE)</f>
        <v>#REF!</v>
      </c>
    </row>
    <row r="4941" spans="1:23" x14ac:dyDescent="0.25">
      <c r="A4941" s="21">
        <v>45820</v>
      </c>
      <c r="B4941" s="1">
        <v>214348200</v>
      </c>
      <c r="C4941" t="s">
        <v>8682</v>
      </c>
      <c r="D4941" s="22">
        <v>-61.65</v>
      </c>
      <c r="E4941" s="75" t="s">
        <v>35</v>
      </c>
      <c r="F4941" s="2">
        <v>212901001</v>
      </c>
      <c r="G4941" s="2" t="s">
        <v>121</v>
      </c>
      <c r="L4941" s="2" t="s">
        <v>8683</v>
      </c>
      <c r="M4941" t="s">
        <v>67</v>
      </c>
      <c r="N4941" t="s">
        <v>68</v>
      </c>
      <c r="P4941" s="23">
        <v>100.34</v>
      </c>
      <c r="Q4941" s="4">
        <f t="shared" si="77"/>
        <v>-0.61441100259118997</v>
      </c>
      <c r="R4941" s="23" t="s">
        <v>109</v>
      </c>
      <c r="U4941">
        <v>23</v>
      </c>
      <c r="V4941" t="e">
        <f>VLOOKUP(U4941,[1]!NOMINA[#Data],4,FALSE)</f>
        <v>#REF!</v>
      </c>
      <c r="W4941" t="e">
        <f>VLOOKUP(U4941,[1]!NOMINA[#Data],5,FALSE)</f>
        <v>#REF!</v>
      </c>
    </row>
    <row r="4942" spans="1:23" x14ac:dyDescent="0.25">
      <c r="A4942" s="21">
        <v>45820</v>
      </c>
      <c r="B4942" s="1">
        <v>314348206</v>
      </c>
      <c r="C4942" t="s">
        <v>8684</v>
      </c>
      <c r="D4942" s="22">
        <v>-61.65</v>
      </c>
      <c r="E4942" s="75" t="s">
        <v>35</v>
      </c>
      <c r="F4942" s="2">
        <v>212901001</v>
      </c>
      <c r="G4942" s="2" t="s">
        <v>121</v>
      </c>
      <c r="L4942" s="2" t="s">
        <v>8685</v>
      </c>
      <c r="M4942" t="s">
        <v>67</v>
      </c>
      <c r="N4942" t="s">
        <v>68</v>
      </c>
      <c r="P4942" s="23">
        <v>100.34</v>
      </c>
      <c r="Q4942" s="4">
        <f t="shared" si="77"/>
        <v>-0.61441100259118997</v>
      </c>
      <c r="R4942" s="23" t="s">
        <v>109</v>
      </c>
      <c r="U4942">
        <v>43</v>
      </c>
      <c r="V4942" t="e">
        <f>VLOOKUP(U4942,[1]!NOMINA[#Data],4,FALSE)</f>
        <v>#REF!</v>
      </c>
      <c r="W4942" t="e">
        <f>VLOOKUP(U4942,[1]!NOMINA[#Data],5,FALSE)</f>
        <v>#REF!</v>
      </c>
    </row>
    <row r="4943" spans="1:23" x14ac:dyDescent="0.25">
      <c r="A4943" s="21">
        <v>45820</v>
      </c>
      <c r="B4943" s="1">
        <v>314348208</v>
      </c>
      <c r="C4943" t="s">
        <v>8686</v>
      </c>
      <c r="D4943" s="22">
        <v>-44.49</v>
      </c>
      <c r="E4943" s="75" t="s">
        <v>35</v>
      </c>
      <c r="F4943" s="2">
        <v>212901001</v>
      </c>
      <c r="G4943" s="2" t="s">
        <v>121</v>
      </c>
      <c r="L4943" s="2" t="s">
        <v>8687</v>
      </c>
      <c r="M4943" t="s">
        <v>67</v>
      </c>
      <c r="N4943" t="s">
        <v>68</v>
      </c>
      <c r="P4943" s="23">
        <v>100.34</v>
      </c>
      <c r="Q4943" s="4">
        <f t="shared" si="77"/>
        <v>-0.44339246561690254</v>
      </c>
      <c r="R4943" s="23" t="s">
        <v>109</v>
      </c>
      <c r="U4943">
        <v>42</v>
      </c>
      <c r="V4943" t="e">
        <f>VLOOKUP(U4943,[1]!NOMINA[#Data],4,FALSE)</f>
        <v>#REF!</v>
      </c>
      <c r="W4943" t="e">
        <f>VLOOKUP(U4943,[1]!NOMINA[#Data],5,FALSE)</f>
        <v>#REF!</v>
      </c>
    </row>
    <row r="4944" spans="1:23" x14ac:dyDescent="0.25">
      <c r="A4944" s="21">
        <v>45820</v>
      </c>
      <c r="B4944" s="1">
        <v>314348204</v>
      </c>
      <c r="C4944" t="s">
        <v>8688</v>
      </c>
      <c r="D4944" s="22">
        <v>-61.65</v>
      </c>
      <c r="E4944" s="75" t="s">
        <v>35</v>
      </c>
      <c r="F4944" s="2">
        <v>212901001</v>
      </c>
      <c r="G4944" s="2" t="s">
        <v>121</v>
      </c>
      <c r="L4944" s="2" t="s">
        <v>8689</v>
      </c>
      <c r="M4944" t="s">
        <v>67</v>
      </c>
      <c r="N4944" t="s">
        <v>68</v>
      </c>
      <c r="P4944" s="23">
        <v>100.34</v>
      </c>
      <c r="Q4944" s="4">
        <f t="shared" si="77"/>
        <v>-0.61441100259118997</v>
      </c>
      <c r="R4944" s="23" t="s">
        <v>109</v>
      </c>
      <c r="U4944">
        <v>17</v>
      </c>
      <c r="V4944" t="e">
        <f>VLOOKUP(U4944,[1]!NOMINA[#Data],4,FALSE)</f>
        <v>#REF!</v>
      </c>
      <c r="W4944" t="e">
        <f>VLOOKUP(U4944,[1]!NOMINA[#Data],5,FALSE)</f>
        <v>#REF!</v>
      </c>
    </row>
    <row r="4945" spans="1:23" x14ac:dyDescent="0.25">
      <c r="A4945" s="21">
        <v>45820</v>
      </c>
      <c r="B4945" s="1">
        <v>314348205</v>
      </c>
      <c r="C4945" t="s">
        <v>8690</v>
      </c>
      <c r="D4945" s="22">
        <v>-61.65</v>
      </c>
      <c r="E4945" s="75" t="s">
        <v>35</v>
      </c>
      <c r="F4945" s="2">
        <v>212901001</v>
      </c>
      <c r="G4945" s="2" t="s">
        <v>121</v>
      </c>
      <c r="L4945" s="2" t="s">
        <v>8691</v>
      </c>
      <c r="M4945" t="s">
        <v>67</v>
      </c>
      <c r="N4945" t="s">
        <v>68</v>
      </c>
      <c r="P4945" s="23">
        <v>100.34</v>
      </c>
      <c r="Q4945" s="4">
        <f t="shared" si="77"/>
        <v>-0.61441100259118997</v>
      </c>
      <c r="R4945" s="23" t="s">
        <v>109</v>
      </c>
      <c r="U4945">
        <v>4</v>
      </c>
      <c r="V4945" t="e">
        <f>VLOOKUP(U4945,[1]!NOMINA[#Data],4,FALSE)</f>
        <v>#REF!</v>
      </c>
      <c r="W4945" t="e">
        <f>VLOOKUP(U4945,[1]!NOMINA[#Data],5,FALSE)</f>
        <v>#REF!</v>
      </c>
    </row>
    <row r="4946" spans="1:23" x14ac:dyDescent="0.25">
      <c r="A4946" s="21">
        <v>45820</v>
      </c>
      <c r="B4946" s="1">
        <v>314348207</v>
      </c>
      <c r="C4946" t="s">
        <v>8692</v>
      </c>
      <c r="D4946" s="22">
        <v>-53.07</v>
      </c>
      <c r="E4946" s="75" t="s">
        <v>35</v>
      </c>
      <c r="F4946" s="2">
        <v>212901001</v>
      </c>
      <c r="G4946" s="2" t="s">
        <v>121</v>
      </c>
      <c r="L4946" s="2" t="s">
        <v>8693</v>
      </c>
      <c r="M4946" t="s">
        <v>67</v>
      </c>
      <c r="N4946" t="s">
        <v>68</v>
      </c>
      <c r="P4946" s="23">
        <v>100.34</v>
      </c>
      <c r="Q4946" s="4">
        <f t="shared" si="77"/>
        <v>-0.52890173410404617</v>
      </c>
      <c r="R4946" s="23" t="s">
        <v>109</v>
      </c>
      <c r="U4946">
        <v>14</v>
      </c>
      <c r="V4946" t="e">
        <f>VLOOKUP(U4946,[1]!NOMINA[#Data],4,FALSE)</f>
        <v>#REF!</v>
      </c>
      <c r="W4946" t="e">
        <f>VLOOKUP(U4946,[1]!NOMINA[#Data],5,FALSE)</f>
        <v>#REF!</v>
      </c>
    </row>
    <row r="4947" spans="1:23" x14ac:dyDescent="0.25">
      <c r="A4947" s="21">
        <v>45820</v>
      </c>
      <c r="B4947" s="1">
        <v>314348210</v>
      </c>
      <c r="C4947" t="s">
        <v>8694</v>
      </c>
      <c r="D4947" s="22">
        <v>-61.65</v>
      </c>
      <c r="E4947" s="75" t="s">
        <v>35</v>
      </c>
      <c r="F4947" s="2">
        <v>212901001</v>
      </c>
      <c r="G4947" s="2" t="s">
        <v>121</v>
      </c>
      <c r="L4947" s="2" t="s">
        <v>8695</v>
      </c>
      <c r="M4947" t="s">
        <v>67</v>
      </c>
      <c r="N4947" t="s">
        <v>68</v>
      </c>
      <c r="P4947" s="23">
        <v>100.34</v>
      </c>
      <c r="Q4947" s="4">
        <f t="shared" si="77"/>
        <v>-0.61441100259118997</v>
      </c>
      <c r="R4947" s="23" t="s">
        <v>109</v>
      </c>
      <c r="U4947">
        <v>22</v>
      </c>
      <c r="V4947" t="e">
        <f>VLOOKUP(U4947,[1]!NOMINA[#Data],4,FALSE)</f>
        <v>#REF!</v>
      </c>
      <c r="W4947" t="e">
        <f>VLOOKUP(U4947,[1]!NOMINA[#Data],5,FALSE)</f>
        <v>#REF!</v>
      </c>
    </row>
    <row r="4948" spans="1:23" x14ac:dyDescent="0.25">
      <c r="A4948" s="21">
        <v>45820</v>
      </c>
      <c r="B4948" s="1">
        <v>314348209</v>
      </c>
      <c r="C4948" t="s">
        <v>8696</v>
      </c>
      <c r="D4948" s="22">
        <v>-61.65</v>
      </c>
      <c r="E4948" s="75" t="s">
        <v>35</v>
      </c>
      <c r="F4948" s="2">
        <v>212901001</v>
      </c>
      <c r="G4948" s="2" t="s">
        <v>121</v>
      </c>
      <c r="L4948" s="2" t="s">
        <v>8697</v>
      </c>
      <c r="M4948" t="s">
        <v>67</v>
      </c>
      <c r="N4948" t="s">
        <v>68</v>
      </c>
      <c r="P4948" s="23">
        <v>100.34</v>
      </c>
      <c r="Q4948" s="4">
        <f t="shared" si="77"/>
        <v>-0.61441100259118997</v>
      </c>
      <c r="R4948" s="23" t="s">
        <v>109</v>
      </c>
      <c r="U4948">
        <v>39</v>
      </c>
      <c r="V4948" t="e">
        <f>VLOOKUP(U4948,[1]!NOMINA[#Data],4,FALSE)</f>
        <v>#REF!</v>
      </c>
      <c r="W4948" t="e">
        <f>VLOOKUP(U4948,[1]!NOMINA[#Data],5,FALSE)</f>
        <v>#REF!</v>
      </c>
    </row>
    <row r="4949" spans="1:23" x14ac:dyDescent="0.25">
      <c r="A4949" s="21">
        <v>45820</v>
      </c>
      <c r="B4949" s="1">
        <v>414348212</v>
      </c>
      <c r="C4949" t="s">
        <v>8698</v>
      </c>
      <c r="D4949" s="22">
        <v>-61.65</v>
      </c>
      <c r="E4949" s="75" t="s">
        <v>35</v>
      </c>
      <c r="F4949" s="2">
        <v>212901001</v>
      </c>
      <c r="G4949" s="2" t="s">
        <v>121</v>
      </c>
      <c r="L4949" s="2" t="s">
        <v>8699</v>
      </c>
      <c r="M4949" t="s">
        <v>67</v>
      </c>
      <c r="N4949" t="s">
        <v>68</v>
      </c>
      <c r="P4949" s="23">
        <v>100.34</v>
      </c>
      <c r="Q4949" s="4">
        <f t="shared" si="77"/>
        <v>-0.61441100259118997</v>
      </c>
      <c r="R4949" s="23" t="s">
        <v>109</v>
      </c>
      <c r="U4949">
        <v>21</v>
      </c>
      <c r="V4949" t="e">
        <f>VLOOKUP(U4949,[1]!NOMINA[#Data],4,FALSE)</f>
        <v>#REF!</v>
      </c>
      <c r="W4949" t="e">
        <f>VLOOKUP(U4949,[1]!NOMINA[#Data],5,FALSE)</f>
        <v>#REF!</v>
      </c>
    </row>
    <row r="4950" spans="1:23" x14ac:dyDescent="0.25">
      <c r="A4950" s="21">
        <v>45820</v>
      </c>
      <c r="B4950" s="1">
        <v>314348211</v>
      </c>
      <c r="C4950" t="s">
        <v>8700</v>
      </c>
      <c r="D4950" s="22">
        <v>-61.65</v>
      </c>
      <c r="E4950" s="75" t="s">
        <v>35</v>
      </c>
      <c r="F4950" s="2">
        <v>212901001</v>
      </c>
      <c r="G4950" s="2" t="s">
        <v>121</v>
      </c>
      <c r="L4950" s="2" t="s">
        <v>8701</v>
      </c>
      <c r="M4950" t="s">
        <v>67</v>
      </c>
      <c r="N4950" t="s">
        <v>68</v>
      </c>
      <c r="P4950" s="23">
        <v>100.34</v>
      </c>
      <c r="Q4950" s="4">
        <f t="shared" si="77"/>
        <v>-0.61441100259118997</v>
      </c>
      <c r="R4950" s="23" t="s">
        <v>109</v>
      </c>
      <c r="U4950">
        <v>25</v>
      </c>
      <c r="V4950" t="e">
        <f>VLOOKUP(U4950,[1]!NOMINA[#Data],4,FALSE)</f>
        <v>#REF!</v>
      </c>
      <c r="W4950" t="e">
        <f>VLOOKUP(U4950,[1]!NOMINA[#Data],5,FALSE)</f>
        <v>#REF!</v>
      </c>
    </row>
    <row r="4951" spans="1:23" x14ac:dyDescent="0.25">
      <c r="A4951" s="21">
        <v>45820</v>
      </c>
      <c r="B4951" s="1">
        <v>414348214</v>
      </c>
      <c r="C4951" t="s">
        <v>8702</v>
      </c>
      <c r="D4951" s="22">
        <v>-57.36</v>
      </c>
      <c r="E4951" s="75" t="s">
        <v>35</v>
      </c>
      <c r="F4951" s="2">
        <v>212901001</v>
      </c>
      <c r="G4951" s="2" t="s">
        <v>121</v>
      </c>
      <c r="L4951" s="2" t="s">
        <v>8703</v>
      </c>
      <c r="M4951" t="s">
        <v>67</v>
      </c>
      <c r="N4951" t="s">
        <v>68</v>
      </c>
      <c r="P4951" s="23">
        <v>100.34</v>
      </c>
      <c r="Q4951" s="4">
        <f t="shared" si="77"/>
        <v>-0.57165636834761813</v>
      </c>
      <c r="R4951" s="23" t="s">
        <v>109</v>
      </c>
      <c r="U4951">
        <v>28</v>
      </c>
      <c r="V4951" t="e">
        <f>VLOOKUP(U4951,[1]!NOMINA[#Data],4,FALSE)</f>
        <v>#REF!</v>
      </c>
      <c r="W4951" t="e">
        <f>VLOOKUP(U4951,[1]!NOMINA[#Data],5,FALSE)</f>
        <v>#REF!</v>
      </c>
    </row>
    <row r="4952" spans="1:23" x14ac:dyDescent="0.25">
      <c r="A4952" s="21">
        <v>45820</v>
      </c>
      <c r="B4952" s="1">
        <v>414348213</v>
      </c>
      <c r="C4952" t="s">
        <v>8704</v>
      </c>
      <c r="D4952" s="22">
        <v>-61.65</v>
      </c>
      <c r="E4952" s="75" t="s">
        <v>35</v>
      </c>
      <c r="F4952" s="2">
        <v>212901001</v>
      </c>
      <c r="G4952" s="2" t="s">
        <v>121</v>
      </c>
      <c r="L4952" s="2" t="s">
        <v>8705</v>
      </c>
      <c r="M4952" t="s">
        <v>67</v>
      </c>
      <c r="N4952" t="s">
        <v>68</v>
      </c>
      <c r="P4952" s="23">
        <v>100.34</v>
      </c>
      <c r="Q4952" s="4">
        <f t="shared" si="77"/>
        <v>-0.61441100259118997</v>
      </c>
      <c r="R4952" s="23" t="s">
        <v>109</v>
      </c>
      <c r="U4952">
        <v>12</v>
      </c>
      <c r="V4952" t="e">
        <f>VLOOKUP(U4952,[1]!NOMINA[#Data],4,FALSE)</f>
        <v>#REF!</v>
      </c>
      <c r="W4952" t="e">
        <f>VLOOKUP(U4952,[1]!NOMINA[#Data],5,FALSE)</f>
        <v>#REF!</v>
      </c>
    </row>
    <row r="4953" spans="1:23" x14ac:dyDescent="0.25">
      <c r="A4953" s="21">
        <v>45820</v>
      </c>
      <c r="B4953" s="1">
        <v>414348219</v>
      </c>
      <c r="C4953" t="s">
        <v>8706</v>
      </c>
      <c r="D4953" s="22">
        <v>-61.65</v>
      </c>
      <c r="E4953" s="75" t="s">
        <v>35</v>
      </c>
      <c r="F4953" s="2">
        <v>212901001</v>
      </c>
      <c r="G4953" s="2" t="s">
        <v>121</v>
      </c>
      <c r="L4953" s="2" t="s">
        <v>8707</v>
      </c>
      <c r="M4953" t="s">
        <v>67</v>
      </c>
      <c r="N4953" t="s">
        <v>68</v>
      </c>
      <c r="P4953" s="23">
        <v>100.34</v>
      </c>
      <c r="Q4953" s="4">
        <f t="shared" si="77"/>
        <v>-0.61441100259118997</v>
      </c>
      <c r="R4953" s="23" t="s">
        <v>109</v>
      </c>
      <c r="U4953">
        <v>2</v>
      </c>
      <c r="V4953" t="e">
        <f>VLOOKUP(Tabla3[[#This Row],[Nº]],[1]!NOMINA[#Data],4,FALSE)</f>
        <v>#REF!</v>
      </c>
      <c r="W4953" t="e">
        <f>VLOOKUP(Tabla3[[#This Row],[Nº]],[1]!NOMINA[#Data],5,FALSE)</f>
        <v>#REF!</v>
      </c>
    </row>
    <row r="4954" spans="1:23" x14ac:dyDescent="0.25">
      <c r="A4954" s="21">
        <v>45820</v>
      </c>
      <c r="B4954" s="1">
        <v>414348217</v>
      </c>
      <c r="C4954" t="s">
        <v>8708</v>
      </c>
      <c r="D4954" s="22">
        <v>-61.65</v>
      </c>
      <c r="E4954" s="75" t="s">
        <v>35</v>
      </c>
      <c r="F4954" s="2">
        <v>212901001</v>
      </c>
      <c r="G4954" s="2" t="s">
        <v>121</v>
      </c>
      <c r="L4954" s="2" t="s">
        <v>8709</v>
      </c>
      <c r="M4954" t="s">
        <v>67</v>
      </c>
      <c r="N4954" t="s">
        <v>68</v>
      </c>
      <c r="P4954" s="23">
        <v>100.34</v>
      </c>
      <c r="Q4954" s="4">
        <f t="shared" si="77"/>
        <v>-0.61441100259118997</v>
      </c>
      <c r="R4954" s="23" t="s">
        <v>109</v>
      </c>
      <c r="U4954">
        <v>24</v>
      </c>
      <c r="V4954" t="e">
        <f>VLOOKUP(U4954,[1]!NOMINA[#Data],4,FALSE)</f>
        <v>#REF!</v>
      </c>
      <c r="W4954" t="e">
        <f>VLOOKUP(U4954,[1]!NOMINA[#Data],5,FALSE)</f>
        <v>#REF!</v>
      </c>
    </row>
    <row r="4955" spans="1:23" x14ac:dyDescent="0.25">
      <c r="A4955" s="21">
        <v>45820</v>
      </c>
      <c r="B4955" s="1">
        <v>414348215</v>
      </c>
      <c r="C4955" t="s">
        <v>8710</v>
      </c>
      <c r="D4955" s="22">
        <v>-53.07</v>
      </c>
      <c r="E4955" s="75" t="s">
        <v>35</v>
      </c>
      <c r="F4955" s="2">
        <v>212901001</v>
      </c>
      <c r="G4955" s="2" t="s">
        <v>121</v>
      </c>
      <c r="L4955" s="2" t="s">
        <v>8711</v>
      </c>
      <c r="M4955" t="s">
        <v>67</v>
      </c>
      <c r="N4955" t="s">
        <v>68</v>
      </c>
      <c r="P4955" s="23">
        <v>100.34</v>
      </c>
      <c r="Q4955" s="4">
        <f t="shared" si="77"/>
        <v>-0.52890173410404617</v>
      </c>
      <c r="R4955" s="23" t="s">
        <v>109</v>
      </c>
      <c r="U4955">
        <v>6</v>
      </c>
      <c r="V4955" t="e">
        <f>VLOOKUP(U4955,[1]!NOMINA[#Data],4,FALSE)</f>
        <v>#REF!</v>
      </c>
      <c r="W4955" t="e">
        <f>VLOOKUP(U4955,[1]!NOMINA[#Data],5,FALSE)</f>
        <v>#REF!</v>
      </c>
    </row>
    <row r="4956" spans="1:23" x14ac:dyDescent="0.25">
      <c r="A4956" s="21">
        <v>45820</v>
      </c>
      <c r="B4956" s="1">
        <v>414348218</v>
      </c>
      <c r="C4956" t="s">
        <v>8712</v>
      </c>
      <c r="D4956" s="22">
        <v>-61.65</v>
      </c>
      <c r="E4956" s="75" t="s">
        <v>35</v>
      </c>
      <c r="F4956" s="2">
        <v>212901001</v>
      </c>
      <c r="G4956" s="2" t="s">
        <v>121</v>
      </c>
      <c r="L4956" s="2" t="s">
        <v>8713</v>
      </c>
      <c r="M4956" t="s">
        <v>67</v>
      </c>
      <c r="N4956" t="s">
        <v>68</v>
      </c>
      <c r="P4956" s="23">
        <v>100.34</v>
      </c>
      <c r="Q4956" s="4">
        <f t="shared" si="77"/>
        <v>-0.61441100259118997</v>
      </c>
      <c r="R4956" s="23" t="s">
        <v>109</v>
      </c>
      <c r="U4956">
        <v>3</v>
      </c>
      <c r="V4956" t="e">
        <f>VLOOKUP(U4956,[1]!NOMINA[#Data],4,FALSE)</f>
        <v>#REF!</v>
      </c>
      <c r="W4956" t="e">
        <f>VLOOKUP(U4956,[1]!NOMINA[#Data],5,FALSE)</f>
        <v>#REF!</v>
      </c>
    </row>
    <row r="4957" spans="1:23" x14ac:dyDescent="0.25">
      <c r="A4957" s="21">
        <v>45820</v>
      </c>
      <c r="B4957" s="1">
        <v>414348216</v>
      </c>
      <c r="C4957" t="s">
        <v>8714</v>
      </c>
      <c r="D4957" s="22">
        <v>-61.65</v>
      </c>
      <c r="E4957" s="75" t="s">
        <v>35</v>
      </c>
      <c r="F4957" s="2">
        <v>212901001</v>
      </c>
      <c r="G4957" s="2" t="s">
        <v>121</v>
      </c>
      <c r="L4957" s="2" t="s">
        <v>8715</v>
      </c>
      <c r="M4957" t="s">
        <v>67</v>
      </c>
      <c r="N4957" t="s">
        <v>68</v>
      </c>
      <c r="P4957" s="23">
        <v>100.34</v>
      </c>
      <c r="Q4957" s="4">
        <f t="shared" si="77"/>
        <v>-0.61441100259118997</v>
      </c>
      <c r="R4957" s="23" t="s">
        <v>109</v>
      </c>
      <c r="U4957">
        <v>27</v>
      </c>
      <c r="V4957" t="e">
        <f>VLOOKUP(U4957,[1]!NOMINA[#Data],4,FALSE)</f>
        <v>#REF!</v>
      </c>
      <c r="W4957" t="e">
        <f>VLOOKUP(U4957,[1]!NOMINA[#Data],5,FALSE)</f>
        <v>#REF!</v>
      </c>
    </row>
    <row r="4958" spans="1:23" x14ac:dyDescent="0.25">
      <c r="A4958" s="21">
        <v>45820</v>
      </c>
      <c r="B4958" s="1">
        <v>514348222</v>
      </c>
      <c r="C4958" t="s">
        <v>8716</v>
      </c>
      <c r="D4958" s="22">
        <v>-61.65</v>
      </c>
      <c r="E4958" s="75" t="s">
        <v>35</v>
      </c>
      <c r="F4958" s="2">
        <v>212901001</v>
      </c>
      <c r="G4958" s="2" t="s">
        <v>121</v>
      </c>
      <c r="L4958" s="2" t="s">
        <v>8717</v>
      </c>
      <c r="M4958" t="s">
        <v>67</v>
      </c>
      <c r="N4958" t="s">
        <v>68</v>
      </c>
      <c r="P4958" s="23">
        <v>100.34</v>
      </c>
      <c r="Q4958" s="4">
        <f t="shared" si="77"/>
        <v>-0.61441100259118997</v>
      </c>
      <c r="R4958" s="23" t="s">
        <v>109</v>
      </c>
      <c r="U4958">
        <v>19</v>
      </c>
      <c r="V4958" t="e">
        <f>VLOOKUP(U4958,[1]!NOMINA[#Data],4,FALSE)</f>
        <v>#REF!</v>
      </c>
      <c r="W4958" t="e">
        <f>VLOOKUP(U4958,[1]!NOMINA[#Data],5,FALSE)</f>
        <v>#REF!</v>
      </c>
    </row>
    <row r="4959" spans="1:23" x14ac:dyDescent="0.25">
      <c r="A4959" s="21">
        <v>45820</v>
      </c>
      <c r="B4959" s="1">
        <v>414348221</v>
      </c>
      <c r="C4959" t="s">
        <v>8718</v>
      </c>
      <c r="D4959" s="22">
        <v>-61.65</v>
      </c>
      <c r="E4959" s="75" t="s">
        <v>35</v>
      </c>
      <c r="F4959" s="2">
        <v>212901001</v>
      </c>
      <c r="G4959" s="2" t="s">
        <v>121</v>
      </c>
      <c r="L4959" s="2" t="s">
        <v>8719</v>
      </c>
      <c r="M4959" t="s">
        <v>67</v>
      </c>
      <c r="N4959" t="s">
        <v>68</v>
      </c>
      <c r="P4959" s="23">
        <v>100.34</v>
      </c>
      <c r="Q4959" s="4">
        <f t="shared" si="77"/>
        <v>-0.61441100259118997</v>
      </c>
      <c r="R4959" s="23" t="s">
        <v>109</v>
      </c>
      <c r="U4959">
        <v>16</v>
      </c>
      <c r="V4959" t="e">
        <f>VLOOKUP(Tabla3[[#This Row],[Nº]],[1]!NOMINA[#Data],4,FALSE)</f>
        <v>#REF!</v>
      </c>
      <c r="W4959" t="e">
        <f>VLOOKUP(Tabla3[[#This Row],[Nº]],[1]!NOMINA[#Data],5,FALSE)</f>
        <v>#REF!</v>
      </c>
    </row>
    <row r="4960" spans="1:23" x14ac:dyDescent="0.25">
      <c r="A4960" s="21">
        <v>45820</v>
      </c>
      <c r="B4960" s="1">
        <v>414348220</v>
      </c>
      <c r="C4960" t="s">
        <v>8720</v>
      </c>
      <c r="D4960" s="22">
        <v>-57.36</v>
      </c>
      <c r="E4960" s="75" t="s">
        <v>35</v>
      </c>
      <c r="F4960" s="2">
        <v>212901001</v>
      </c>
      <c r="G4960" s="2" t="s">
        <v>121</v>
      </c>
      <c r="L4960" s="2" t="s">
        <v>8721</v>
      </c>
      <c r="M4960" t="s">
        <v>67</v>
      </c>
      <c r="N4960" t="s">
        <v>68</v>
      </c>
      <c r="P4960" s="23">
        <v>100.34</v>
      </c>
      <c r="Q4960" s="4">
        <f t="shared" si="77"/>
        <v>-0.57165636834761813</v>
      </c>
      <c r="R4960" s="23" t="s">
        <v>109</v>
      </c>
      <c r="U4960">
        <v>5</v>
      </c>
      <c r="V4960" t="e">
        <f>VLOOKUP(U4960,[1]!NOMINA[#Data],4,FALSE)</f>
        <v>#REF!</v>
      </c>
      <c r="W4960" t="e">
        <f>VLOOKUP(U4960,[1]!NOMINA[#Data],5,FALSE)</f>
        <v>#REF!</v>
      </c>
    </row>
    <row r="4961" spans="1:23" x14ac:dyDescent="0.25">
      <c r="A4961" s="21">
        <v>45820</v>
      </c>
      <c r="B4961" s="1">
        <v>514348223</v>
      </c>
      <c r="C4961" t="s">
        <v>8722</v>
      </c>
      <c r="D4961" s="22">
        <v>-61.65</v>
      </c>
      <c r="E4961" s="75" t="s">
        <v>35</v>
      </c>
      <c r="F4961" s="2">
        <v>212901001</v>
      </c>
      <c r="G4961" s="2" t="s">
        <v>121</v>
      </c>
      <c r="L4961" s="2" t="s">
        <v>8723</v>
      </c>
      <c r="M4961" t="s">
        <v>67</v>
      </c>
      <c r="N4961" t="s">
        <v>68</v>
      </c>
      <c r="P4961" s="23">
        <v>100.34</v>
      </c>
      <c r="Q4961" s="4">
        <f t="shared" si="77"/>
        <v>-0.61441100259118997</v>
      </c>
      <c r="R4961" s="23" t="s">
        <v>109</v>
      </c>
      <c r="U4961">
        <v>7</v>
      </c>
      <c r="V4961" t="e">
        <f>VLOOKUP(U4961,[1]!NOMINA[#Data],4,FALSE)</f>
        <v>#REF!</v>
      </c>
      <c r="W4961" t="e">
        <f>VLOOKUP(U4961,[1]!NOMINA[#Data],5,FALSE)</f>
        <v>#REF!</v>
      </c>
    </row>
    <row r="4962" spans="1:23" x14ac:dyDescent="0.25">
      <c r="A4962" s="21">
        <v>45820</v>
      </c>
      <c r="B4962" s="1">
        <v>514348224</v>
      </c>
      <c r="C4962" t="s">
        <v>8724</v>
      </c>
      <c r="D4962" s="22">
        <v>-61.65</v>
      </c>
      <c r="E4962" s="75" t="s">
        <v>35</v>
      </c>
      <c r="F4962" s="2">
        <v>212901001</v>
      </c>
      <c r="G4962" s="2" t="s">
        <v>121</v>
      </c>
      <c r="L4962" s="2" t="s">
        <v>8725</v>
      </c>
      <c r="M4962" t="s">
        <v>67</v>
      </c>
      <c r="N4962" t="s">
        <v>68</v>
      </c>
      <c r="P4962" s="23">
        <v>100.34</v>
      </c>
      <c r="Q4962" s="4">
        <f t="shared" si="77"/>
        <v>-0.61441100259118997</v>
      </c>
      <c r="R4962" s="23" t="s">
        <v>109</v>
      </c>
      <c r="U4962">
        <v>1</v>
      </c>
      <c r="V4962" t="e">
        <f>VLOOKUP(U4962,[1]!NOMINA[#Data],4,FALSE)</f>
        <v>#REF!</v>
      </c>
      <c r="W4962" t="e">
        <f>VLOOKUP(U4962,[1]!NOMINA[#Data],5,FALSE)</f>
        <v>#REF!</v>
      </c>
    </row>
    <row r="4963" spans="1:23" x14ac:dyDescent="0.25">
      <c r="A4963" s="21">
        <v>45820</v>
      </c>
      <c r="B4963" s="1">
        <v>514348225</v>
      </c>
      <c r="C4963" t="s">
        <v>8726</v>
      </c>
      <c r="D4963" s="22">
        <v>-4881.3100000000004</v>
      </c>
      <c r="E4963" s="75" t="s">
        <v>35</v>
      </c>
      <c r="F4963" s="2">
        <v>212901001</v>
      </c>
      <c r="G4963" s="2" t="s">
        <v>121</v>
      </c>
      <c r="L4963" s="2" t="s">
        <v>8727</v>
      </c>
      <c r="M4963" t="s">
        <v>67</v>
      </c>
      <c r="N4963" t="s">
        <v>68</v>
      </c>
      <c r="P4963" s="23">
        <v>100.34</v>
      </c>
      <c r="Q4963" s="4">
        <f t="shared" si="77"/>
        <v>-48.647697827386885</v>
      </c>
      <c r="R4963" s="23" t="s">
        <v>109</v>
      </c>
      <c r="U4963">
        <v>9</v>
      </c>
      <c r="V4963" t="e">
        <f>VLOOKUP(U4963,[1]!NOMINA[#Data],4,FALSE)</f>
        <v>#REF!</v>
      </c>
      <c r="W4963" t="e">
        <f>VLOOKUP(U4963,[1]!NOMINA[#Data],5,FALSE)</f>
        <v>#REF!</v>
      </c>
    </row>
    <row r="4964" spans="1:23" x14ac:dyDescent="0.25">
      <c r="A4964" s="21">
        <v>45820</v>
      </c>
      <c r="B4964" s="1">
        <v>514348227</v>
      </c>
      <c r="C4964" t="s">
        <v>8728</v>
      </c>
      <c r="D4964" s="22">
        <v>-3938.15</v>
      </c>
      <c r="E4964" s="75" t="s">
        <v>35</v>
      </c>
      <c r="F4964" s="2">
        <v>212901001</v>
      </c>
      <c r="G4964" s="2" t="s">
        <v>121</v>
      </c>
      <c r="L4964" s="2" t="s">
        <v>8729</v>
      </c>
      <c r="M4964" t="s">
        <v>67</v>
      </c>
      <c r="N4964" t="s">
        <v>68</v>
      </c>
      <c r="P4964" s="23">
        <v>100.34</v>
      </c>
      <c r="Q4964" s="4">
        <f t="shared" si="77"/>
        <v>-39.24805660753438</v>
      </c>
      <c r="R4964" s="23" t="s">
        <v>109</v>
      </c>
      <c r="U4964">
        <v>29</v>
      </c>
      <c r="V4964" t="e">
        <f>VLOOKUP(U4964,[1]!NOMINA[#Data],4,FALSE)</f>
        <v>#REF!</v>
      </c>
      <c r="W4964" t="e">
        <f>VLOOKUP(U4964,[1]!NOMINA[#Data],5,FALSE)</f>
        <v>#REF!</v>
      </c>
    </row>
    <row r="4965" spans="1:23" x14ac:dyDescent="0.25">
      <c r="A4965" s="21">
        <v>45820</v>
      </c>
      <c r="B4965" s="1">
        <v>514348226</v>
      </c>
      <c r="C4965" t="s">
        <v>8730</v>
      </c>
      <c r="D4965" s="22">
        <v>-2740.75</v>
      </c>
      <c r="E4965" s="75" t="s">
        <v>35</v>
      </c>
      <c r="F4965" s="2">
        <v>212901001</v>
      </c>
      <c r="G4965" s="2" t="s">
        <v>121</v>
      </c>
      <c r="L4965" s="2" t="s">
        <v>8731</v>
      </c>
      <c r="M4965" t="s">
        <v>67</v>
      </c>
      <c r="N4965" t="s">
        <v>68</v>
      </c>
      <c r="P4965" s="23">
        <v>100.34</v>
      </c>
      <c r="Q4965" s="4">
        <f t="shared" si="77"/>
        <v>-27.314630257125771</v>
      </c>
      <c r="R4965" s="23" t="s">
        <v>109</v>
      </c>
      <c r="U4965">
        <v>26</v>
      </c>
      <c r="V4965" t="e">
        <f>VLOOKUP(Tabla3[[#This Row],[Nº]],[1]!NOMINA[#Data],4,FALSE)</f>
        <v>#REF!</v>
      </c>
      <c r="W4965" t="e">
        <f>VLOOKUP(Tabla3[[#This Row],[Nº]],[1]!NOMINA[#Data],5,FALSE)</f>
        <v>#REF!</v>
      </c>
    </row>
    <row r="4966" spans="1:23" x14ac:dyDescent="0.25">
      <c r="A4966" s="21">
        <v>45820</v>
      </c>
      <c r="B4966" s="1">
        <v>514348228</v>
      </c>
      <c r="C4966" t="s">
        <v>8732</v>
      </c>
      <c r="D4966" s="22">
        <v>-6043.81</v>
      </c>
      <c r="E4966" s="75" t="s">
        <v>35</v>
      </c>
      <c r="F4966" s="2">
        <v>212901001</v>
      </c>
      <c r="G4966" s="2" t="s">
        <v>121</v>
      </c>
      <c r="L4966" s="2" t="s">
        <v>8733</v>
      </c>
      <c r="M4966" t="s">
        <v>67</v>
      </c>
      <c r="N4966" t="s">
        <v>68</v>
      </c>
      <c r="P4966" s="23">
        <v>100.34</v>
      </c>
      <c r="Q4966" s="4">
        <f t="shared" si="77"/>
        <v>-60.233306757026114</v>
      </c>
      <c r="R4966" s="23" t="s">
        <v>109</v>
      </c>
      <c r="U4966">
        <v>10</v>
      </c>
      <c r="V4966" t="e">
        <f>VLOOKUP(U4966,[1]!NOMINA[#Data],4,FALSE)</f>
        <v>#REF!</v>
      </c>
      <c r="W4966" t="e">
        <f>VLOOKUP(U4966,[1]!NOMINA[#Data],5,FALSE)</f>
        <v>#REF!</v>
      </c>
    </row>
    <row r="4967" spans="1:23" x14ac:dyDescent="0.25">
      <c r="A4967" s="21">
        <v>45820</v>
      </c>
      <c r="B4967" s="1">
        <v>514348229</v>
      </c>
      <c r="C4967" t="s">
        <v>8734</v>
      </c>
      <c r="D4967" s="22">
        <v>-5035.8500000000004</v>
      </c>
      <c r="E4967" s="75" t="s">
        <v>35</v>
      </c>
      <c r="F4967" s="2">
        <v>212901001</v>
      </c>
      <c r="G4967" s="2" t="s">
        <v>121</v>
      </c>
      <c r="L4967" s="2" t="s">
        <v>8735</v>
      </c>
      <c r="M4967" t="s">
        <v>67</v>
      </c>
      <c r="N4967" t="s">
        <v>68</v>
      </c>
      <c r="P4967" s="23">
        <v>100.34</v>
      </c>
      <c r="Q4967" s="4">
        <f t="shared" si="77"/>
        <v>-50.187861271676304</v>
      </c>
      <c r="R4967" s="23" t="s">
        <v>109</v>
      </c>
      <c r="U4967">
        <v>18</v>
      </c>
      <c r="V4967" t="e">
        <f>VLOOKUP(Tabla3[[#This Row],[Nº]],[1]!NOMINA[#Data],4,FALSE)</f>
        <v>#REF!</v>
      </c>
      <c r="W4967" t="e">
        <f>VLOOKUP(Tabla3[[#This Row],[Nº]],[1]!NOMINA[#Data],5,FALSE)</f>
        <v>#REF!</v>
      </c>
    </row>
    <row r="4968" spans="1:23" x14ac:dyDescent="0.25">
      <c r="A4968" s="21">
        <v>45820</v>
      </c>
      <c r="B4968" s="1">
        <v>514348230</v>
      </c>
      <c r="C4968" t="s">
        <v>8736</v>
      </c>
      <c r="D4968" s="22">
        <v>-4582.21</v>
      </c>
      <c r="E4968" s="75" t="s">
        <v>35</v>
      </c>
      <c r="F4968" s="2">
        <v>212901001</v>
      </c>
      <c r="G4968" s="2" t="s">
        <v>121</v>
      </c>
      <c r="L4968" s="2" t="s">
        <v>8737</v>
      </c>
      <c r="M4968" t="s">
        <v>67</v>
      </c>
      <c r="N4968" t="s">
        <v>68</v>
      </c>
      <c r="P4968" s="23">
        <v>100.34</v>
      </c>
      <c r="Q4968" s="4">
        <f t="shared" si="77"/>
        <v>-45.666832768586801</v>
      </c>
      <c r="R4968" s="23" t="s">
        <v>109</v>
      </c>
      <c r="U4968">
        <v>15</v>
      </c>
      <c r="V4968" t="e">
        <f>VLOOKUP(U4968,[1]!NOMINA[#Data],4,FALSE)</f>
        <v>#REF!</v>
      </c>
      <c r="W4968" t="e">
        <f>VLOOKUP(U4968,[1]!NOMINA[#Data],5,FALSE)</f>
        <v>#REF!</v>
      </c>
    </row>
    <row r="4969" spans="1:23" x14ac:dyDescent="0.25">
      <c r="A4969" s="21">
        <v>45820</v>
      </c>
      <c r="B4969" s="1">
        <v>614348233</v>
      </c>
      <c r="C4969" t="s">
        <v>8738</v>
      </c>
      <c r="D4969" s="22">
        <v>-6245.21</v>
      </c>
      <c r="E4969" s="75" t="s">
        <v>35</v>
      </c>
      <c r="F4969" s="2">
        <v>212901001</v>
      </c>
      <c r="G4969" s="2" t="s">
        <v>121</v>
      </c>
      <c r="L4969" s="2" t="s">
        <v>8739</v>
      </c>
      <c r="M4969" t="s">
        <v>67</v>
      </c>
      <c r="N4969" t="s">
        <v>68</v>
      </c>
      <c r="P4969" s="23">
        <v>100.34</v>
      </c>
      <c r="Q4969" s="4">
        <f t="shared" si="77"/>
        <v>-62.240482359976077</v>
      </c>
      <c r="R4969" s="23" t="s">
        <v>109</v>
      </c>
      <c r="U4969">
        <v>8</v>
      </c>
      <c r="V4969" t="e">
        <f>VLOOKUP(U4969,[1]!NOMINA[#Data],4,FALSE)</f>
        <v>#REF!</v>
      </c>
      <c r="W4969" t="e">
        <f>VLOOKUP(U4969,[1]!NOMINA[#Data],5,FALSE)</f>
        <v>#REF!</v>
      </c>
    </row>
    <row r="4970" spans="1:23" x14ac:dyDescent="0.25">
      <c r="A4970" s="21">
        <v>45820</v>
      </c>
      <c r="B4970" s="1">
        <v>614348234</v>
      </c>
      <c r="C4970" t="s">
        <v>8740</v>
      </c>
      <c r="D4970" s="22">
        <v>-6277.11</v>
      </c>
      <c r="E4970" s="75" t="s">
        <v>35</v>
      </c>
      <c r="F4970" s="2">
        <v>212901001</v>
      </c>
      <c r="G4970" s="2" t="s">
        <v>121</v>
      </c>
      <c r="L4970" s="2" t="s">
        <v>8741</v>
      </c>
      <c r="M4970" t="s">
        <v>67</v>
      </c>
      <c r="N4970" t="s">
        <v>68</v>
      </c>
      <c r="P4970" s="23">
        <v>100.34</v>
      </c>
      <c r="Q4970" s="4">
        <f t="shared" si="77"/>
        <v>-62.558401435120587</v>
      </c>
      <c r="R4970" s="23" t="s">
        <v>109</v>
      </c>
      <c r="U4970">
        <v>11</v>
      </c>
      <c r="V4970" t="e">
        <f>VLOOKUP(U4970,[1]!NOMINA[#Data],4,FALSE)</f>
        <v>#REF!</v>
      </c>
      <c r="W4970" t="e">
        <f>VLOOKUP(U4970,[1]!NOMINA[#Data],5,FALSE)</f>
        <v>#REF!</v>
      </c>
    </row>
    <row r="4971" spans="1:23" x14ac:dyDescent="0.25">
      <c r="A4971" s="21">
        <v>45820</v>
      </c>
      <c r="B4971" s="1">
        <v>614348231</v>
      </c>
      <c r="C4971" t="s">
        <v>8742</v>
      </c>
      <c r="D4971" s="22">
        <v>-4136.5600000000004</v>
      </c>
      <c r="E4971" s="75" t="s">
        <v>35</v>
      </c>
      <c r="F4971" s="2">
        <v>212901001</v>
      </c>
      <c r="G4971" s="2" t="s">
        <v>121</v>
      </c>
      <c r="L4971" s="2" t="s">
        <v>8743</v>
      </c>
      <c r="M4971" t="s">
        <v>67</v>
      </c>
      <c r="N4971" t="s">
        <v>68</v>
      </c>
      <c r="P4971" s="23">
        <v>100.34</v>
      </c>
      <c r="Q4971" s="4">
        <f t="shared" si="77"/>
        <v>-41.225433526011564</v>
      </c>
      <c r="R4971" s="23" t="s">
        <v>109</v>
      </c>
      <c r="U4971">
        <v>20</v>
      </c>
      <c r="V4971" t="e">
        <f>VLOOKUP(Tabla3[[#This Row],[Nº]],[1]!NOMINA[#Data],4,FALSE)</f>
        <v>#REF!</v>
      </c>
      <c r="W4971" t="e">
        <f>VLOOKUP(Tabla3[[#This Row],[Nº]],[1]!NOMINA[#Data],5,FALSE)</f>
        <v>#REF!</v>
      </c>
    </row>
    <row r="4972" spans="1:23" x14ac:dyDescent="0.25">
      <c r="A4972" s="21">
        <v>45820</v>
      </c>
      <c r="B4972" s="1">
        <v>614348235</v>
      </c>
      <c r="C4972" t="s">
        <v>8744</v>
      </c>
      <c r="D4972" s="22">
        <v>-1577.26</v>
      </c>
      <c r="E4972" s="75" t="s">
        <v>35</v>
      </c>
      <c r="F4972" s="2">
        <v>212901001</v>
      </c>
      <c r="G4972" s="2" t="s">
        <v>121</v>
      </c>
      <c r="L4972" s="2" t="s">
        <v>8745</v>
      </c>
      <c r="M4972" t="s">
        <v>67</v>
      </c>
      <c r="N4972" t="s">
        <v>68</v>
      </c>
      <c r="P4972" s="23">
        <v>100.34</v>
      </c>
      <c r="Q4972" s="4">
        <f t="shared" si="77"/>
        <v>-15.719154873430336</v>
      </c>
      <c r="R4972" s="23" t="s">
        <v>109</v>
      </c>
      <c r="U4972">
        <v>23</v>
      </c>
      <c r="V4972" t="e">
        <f>VLOOKUP(U4972,[1]!NOMINA[#Data],4,FALSE)</f>
        <v>#REF!</v>
      </c>
      <c r="W4972" t="e">
        <f>VLOOKUP(U4972,[1]!NOMINA[#Data],5,FALSE)</f>
        <v>#REF!</v>
      </c>
    </row>
    <row r="4973" spans="1:23" x14ac:dyDescent="0.25">
      <c r="A4973" s="21">
        <v>45820</v>
      </c>
      <c r="B4973" s="1">
        <v>614348232</v>
      </c>
      <c r="C4973" t="s">
        <v>8746</v>
      </c>
      <c r="D4973" s="22">
        <v>-4791.58</v>
      </c>
      <c r="E4973" s="75" t="s">
        <v>35</v>
      </c>
      <c r="F4973" s="2">
        <v>212901001</v>
      </c>
      <c r="G4973" s="2" t="s">
        <v>121</v>
      </c>
      <c r="L4973" s="2" t="s">
        <v>8747</v>
      </c>
      <c r="M4973" t="s">
        <v>67</v>
      </c>
      <c r="N4973" t="s">
        <v>68</v>
      </c>
      <c r="P4973" s="23">
        <v>100.34</v>
      </c>
      <c r="Q4973" s="4">
        <f t="shared" si="77"/>
        <v>-47.753438309746855</v>
      </c>
      <c r="R4973" s="23" t="s">
        <v>109</v>
      </c>
      <c r="U4973">
        <v>13</v>
      </c>
      <c r="V4973" t="e">
        <f>VLOOKUP(U4973,[1]!NOMINA[#Data],4,FALSE)</f>
        <v>#REF!</v>
      </c>
      <c r="W4973" t="e">
        <f>VLOOKUP(U4973,[1]!NOMINA[#Data],5,FALSE)</f>
        <v>#REF!</v>
      </c>
    </row>
    <row r="4974" spans="1:23" x14ac:dyDescent="0.25">
      <c r="A4974" s="21">
        <v>45820</v>
      </c>
      <c r="B4974" s="1">
        <v>614348236</v>
      </c>
      <c r="C4974" t="s">
        <v>8748</v>
      </c>
      <c r="D4974" s="22">
        <v>-17839.32</v>
      </c>
      <c r="E4974" s="75" t="s">
        <v>35</v>
      </c>
      <c r="F4974" s="2">
        <v>212901001</v>
      </c>
      <c r="G4974" s="2" t="s">
        <v>121</v>
      </c>
      <c r="L4974" s="2" t="s">
        <v>8749</v>
      </c>
      <c r="M4974" t="s">
        <v>67</v>
      </c>
      <c r="N4974" t="s">
        <v>68</v>
      </c>
      <c r="P4974" s="23">
        <v>100.34</v>
      </c>
      <c r="Q4974" s="4">
        <f t="shared" si="77"/>
        <v>-177.7887183575842</v>
      </c>
      <c r="R4974" s="23" t="s">
        <v>109</v>
      </c>
      <c r="U4974">
        <v>43</v>
      </c>
      <c r="V4974" t="e">
        <f>VLOOKUP(U4974,[1]!NOMINA[#Data],4,FALSE)</f>
        <v>#REF!</v>
      </c>
      <c r="W4974" t="e">
        <f>VLOOKUP(U4974,[1]!NOMINA[#Data],5,FALSE)</f>
        <v>#REF!</v>
      </c>
    </row>
    <row r="4975" spans="1:23" x14ac:dyDescent="0.25">
      <c r="A4975" s="21">
        <v>45820</v>
      </c>
      <c r="B4975" s="1">
        <v>614348237</v>
      </c>
      <c r="C4975" t="s">
        <v>8750</v>
      </c>
      <c r="D4975" s="22">
        <v>-4895.2700000000004</v>
      </c>
      <c r="E4975" s="75" t="s">
        <v>35</v>
      </c>
      <c r="F4975" s="2">
        <v>212901001</v>
      </c>
      <c r="G4975" s="2" t="s">
        <v>121</v>
      </c>
      <c r="L4975" s="2" t="s">
        <v>8751</v>
      </c>
      <c r="M4975" t="s">
        <v>67</v>
      </c>
      <c r="N4975" t="s">
        <v>68</v>
      </c>
      <c r="P4975" s="23">
        <v>100.34</v>
      </c>
      <c r="Q4975" s="4">
        <f t="shared" si="77"/>
        <v>-48.786824795694642</v>
      </c>
      <c r="R4975" s="23" t="s">
        <v>109</v>
      </c>
      <c r="U4975">
        <v>17</v>
      </c>
      <c r="V4975" t="e">
        <f>VLOOKUP(U4975,[1]!NOMINA[#Data],4,FALSE)</f>
        <v>#REF!</v>
      </c>
      <c r="W4975" t="e">
        <f>VLOOKUP(U4975,[1]!NOMINA[#Data],5,FALSE)</f>
        <v>#REF!</v>
      </c>
    </row>
    <row r="4976" spans="1:23" x14ac:dyDescent="0.25">
      <c r="A4976" s="21">
        <v>45820</v>
      </c>
      <c r="B4976" s="1">
        <v>614348238</v>
      </c>
      <c r="C4976" t="s">
        <v>8752</v>
      </c>
      <c r="D4976" s="22">
        <v>-10902.2</v>
      </c>
      <c r="E4976" s="75" t="s">
        <v>35</v>
      </c>
      <c r="F4976" s="2">
        <v>212901001</v>
      </c>
      <c r="G4976" s="2" t="s">
        <v>121</v>
      </c>
      <c r="L4976" s="2" t="s">
        <v>8753</v>
      </c>
      <c r="M4976" t="s">
        <v>67</v>
      </c>
      <c r="N4976" t="s">
        <v>68</v>
      </c>
      <c r="P4976" s="23">
        <v>100.34</v>
      </c>
      <c r="Q4976" s="4">
        <f t="shared" si="77"/>
        <v>-108.65258122383895</v>
      </c>
      <c r="R4976" s="23" t="s">
        <v>109</v>
      </c>
      <c r="U4976">
        <v>4</v>
      </c>
      <c r="V4976" t="e">
        <f>VLOOKUP(U4976,[1]!NOMINA[#Data],4,FALSE)</f>
        <v>#REF!</v>
      </c>
      <c r="W4976" t="e">
        <f>VLOOKUP(U4976,[1]!NOMINA[#Data],5,FALSE)</f>
        <v>#REF!</v>
      </c>
    </row>
    <row r="4977" spans="1:23" x14ac:dyDescent="0.25">
      <c r="A4977" s="21">
        <v>45820</v>
      </c>
      <c r="B4977" s="1">
        <v>714348242</v>
      </c>
      <c r="C4977" t="s">
        <v>8754</v>
      </c>
      <c r="D4977" s="22">
        <v>-2220.3200000000002</v>
      </c>
      <c r="E4977" s="75" t="s">
        <v>35</v>
      </c>
      <c r="F4977" s="2">
        <v>212901001</v>
      </c>
      <c r="G4977" s="2" t="s">
        <v>121</v>
      </c>
      <c r="L4977" s="2" t="s">
        <v>8755</v>
      </c>
      <c r="M4977" t="s">
        <v>67</v>
      </c>
      <c r="N4977" t="s">
        <v>68</v>
      </c>
      <c r="P4977" s="23">
        <v>100.34</v>
      </c>
      <c r="Q4977" s="4">
        <f t="shared" si="77"/>
        <v>-22.127964919274469</v>
      </c>
      <c r="R4977" s="23" t="s">
        <v>109</v>
      </c>
      <c r="U4977">
        <v>42</v>
      </c>
      <c r="V4977" t="e">
        <f>VLOOKUP(U4977,[1]!NOMINA[#Data],4,FALSE)</f>
        <v>#REF!</v>
      </c>
      <c r="W4977" t="e">
        <f>VLOOKUP(U4977,[1]!NOMINA[#Data],5,FALSE)</f>
        <v>#REF!</v>
      </c>
    </row>
    <row r="4978" spans="1:23" x14ac:dyDescent="0.25">
      <c r="A4978" s="21">
        <v>45820</v>
      </c>
      <c r="B4978" s="1">
        <v>614348241</v>
      </c>
      <c r="C4978" t="s">
        <v>8756</v>
      </c>
      <c r="D4978" s="22">
        <v>-6270.13</v>
      </c>
      <c r="E4978" s="75" t="s">
        <v>35</v>
      </c>
      <c r="F4978" s="2">
        <v>212901001</v>
      </c>
      <c r="G4978" s="2" t="s">
        <v>121</v>
      </c>
      <c r="L4978" s="2" t="s">
        <v>8757</v>
      </c>
      <c r="M4978" t="s">
        <v>67</v>
      </c>
      <c r="N4978" t="s">
        <v>68</v>
      </c>
      <c r="P4978" s="23">
        <v>100.34</v>
      </c>
      <c r="Q4978" s="4">
        <f t="shared" si="77"/>
        <v>-62.488837950966712</v>
      </c>
      <c r="R4978" s="23" t="s">
        <v>109</v>
      </c>
      <c r="U4978">
        <v>14</v>
      </c>
      <c r="V4978" t="e">
        <f>VLOOKUP(U4978,[1]!NOMINA[#Data],4,FALSE)</f>
        <v>#REF!</v>
      </c>
      <c r="W4978" t="e">
        <f>VLOOKUP(U4978,[1]!NOMINA[#Data],5,FALSE)</f>
        <v>#REF!</v>
      </c>
    </row>
    <row r="4979" spans="1:23" x14ac:dyDescent="0.25">
      <c r="A4979" s="21">
        <v>45820</v>
      </c>
      <c r="B4979" s="1">
        <v>614348240</v>
      </c>
      <c r="C4979" t="s">
        <v>8758</v>
      </c>
      <c r="D4979" s="22">
        <v>-3540.35</v>
      </c>
      <c r="E4979" s="75" t="s">
        <v>35</v>
      </c>
      <c r="F4979" s="2">
        <v>212901001</v>
      </c>
      <c r="G4979" s="2" t="s">
        <v>121</v>
      </c>
      <c r="L4979" s="2" t="s">
        <v>8759</v>
      </c>
      <c r="M4979" t="s">
        <v>67</v>
      </c>
      <c r="N4979" t="s">
        <v>68</v>
      </c>
      <c r="P4979" s="23">
        <v>100.34</v>
      </c>
      <c r="Q4979" s="4">
        <f t="shared" si="77"/>
        <v>-35.283535977675896</v>
      </c>
      <c r="R4979" s="23" t="s">
        <v>109</v>
      </c>
      <c r="U4979">
        <v>22</v>
      </c>
      <c r="V4979" t="e">
        <f>VLOOKUP(U4979,[1]!NOMINA[#Data],4,FALSE)</f>
        <v>#REF!</v>
      </c>
      <c r="W4979" t="e">
        <f>VLOOKUP(U4979,[1]!NOMINA[#Data],5,FALSE)</f>
        <v>#REF!</v>
      </c>
    </row>
    <row r="4980" spans="1:23" x14ac:dyDescent="0.25">
      <c r="A4980" s="21">
        <v>45820</v>
      </c>
      <c r="B4980" s="1">
        <v>714348243</v>
      </c>
      <c r="C4980" t="s">
        <v>8760</v>
      </c>
      <c r="D4980" s="22">
        <v>-5580.21</v>
      </c>
      <c r="E4980" s="75" t="s">
        <v>35</v>
      </c>
      <c r="F4980" s="2">
        <v>212901001</v>
      </c>
      <c r="G4980" s="2" t="s">
        <v>121</v>
      </c>
      <c r="L4980" s="2" t="s">
        <v>8761</v>
      </c>
      <c r="M4980" t="s">
        <v>67</v>
      </c>
      <c r="N4980" t="s">
        <v>68</v>
      </c>
      <c r="P4980" s="23">
        <v>100.34</v>
      </c>
      <c r="Q4980" s="4">
        <f t="shared" si="77"/>
        <v>-55.613015746462025</v>
      </c>
      <c r="R4980" s="23" t="s">
        <v>109</v>
      </c>
      <c r="U4980">
        <v>39</v>
      </c>
      <c r="V4980" t="e">
        <f>VLOOKUP(U4980,[1]!NOMINA[#Data],4,FALSE)</f>
        <v>#REF!</v>
      </c>
      <c r="W4980" t="e">
        <f>VLOOKUP(U4980,[1]!NOMINA[#Data],5,FALSE)</f>
        <v>#REF!</v>
      </c>
    </row>
    <row r="4981" spans="1:23" x14ac:dyDescent="0.25">
      <c r="A4981" s="21">
        <v>45820</v>
      </c>
      <c r="B4981" s="1">
        <v>714348246</v>
      </c>
      <c r="C4981" t="s">
        <v>8762</v>
      </c>
      <c r="D4981" s="22">
        <v>-4854.3999999999996</v>
      </c>
      <c r="E4981" s="75" t="s">
        <v>35</v>
      </c>
      <c r="F4981" s="2">
        <v>212901001</v>
      </c>
      <c r="G4981" s="2" t="s">
        <v>121</v>
      </c>
      <c r="L4981" s="2" t="s">
        <v>8763</v>
      </c>
      <c r="M4981" t="s">
        <v>67</v>
      </c>
      <c r="N4981" t="s">
        <v>68</v>
      </c>
      <c r="P4981" s="23">
        <v>100.34</v>
      </c>
      <c r="Q4981" s="4">
        <f t="shared" si="77"/>
        <v>-48.379509667131749</v>
      </c>
      <c r="R4981" s="23" t="s">
        <v>109</v>
      </c>
      <c r="U4981">
        <v>12</v>
      </c>
      <c r="V4981" t="e">
        <f>VLOOKUP(U4981,[1]!NOMINA[#Data],4,FALSE)</f>
        <v>#REF!</v>
      </c>
      <c r="W4981" t="e">
        <f>VLOOKUP(U4981,[1]!NOMINA[#Data],5,FALSE)</f>
        <v>#REF!</v>
      </c>
    </row>
    <row r="4982" spans="1:23" x14ac:dyDescent="0.25">
      <c r="A4982" s="21">
        <v>45820</v>
      </c>
      <c r="B4982" s="1">
        <v>714348244</v>
      </c>
      <c r="C4982" t="s">
        <v>8764</v>
      </c>
      <c r="D4982" s="22">
        <v>-3540.35</v>
      </c>
      <c r="E4982" s="75" t="s">
        <v>35</v>
      </c>
      <c r="F4982" s="2">
        <v>212901001</v>
      </c>
      <c r="G4982" s="2" t="s">
        <v>121</v>
      </c>
      <c r="L4982" s="2" t="s">
        <v>8765</v>
      </c>
      <c r="M4982" t="s">
        <v>67</v>
      </c>
      <c r="N4982" t="s">
        <v>68</v>
      </c>
      <c r="P4982" s="23">
        <v>100.34</v>
      </c>
      <c r="Q4982" s="4">
        <f t="shared" si="77"/>
        <v>-35.283535977675896</v>
      </c>
      <c r="R4982" s="23" t="s">
        <v>109</v>
      </c>
      <c r="U4982">
        <v>21</v>
      </c>
      <c r="V4982" t="e">
        <f>VLOOKUP(U4982,[1]!NOMINA[#Data],4,FALSE)</f>
        <v>#REF!</v>
      </c>
      <c r="W4982" t="e">
        <f>VLOOKUP(U4982,[1]!NOMINA[#Data],5,FALSE)</f>
        <v>#REF!</v>
      </c>
    </row>
    <row r="4983" spans="1:23" x14ac:dyDescent="0.25">
      <c r="A4983" s="21">
        <v>45820</v>
      </c>
      <c r="B4983" s="1">
        <v>714348245</v>
      </c>
      <c r="C4983" t="s">
        <v>8766</v>
      </c>
      <c r="D4983" s="22">
        <v>-880.35</v>
      </c>
      <c r="E4983" s="75" t="s">
        <v>35</v>
      </c>
      <c r="F4983" s="2">
        <v>212901001</v>
      </c>
      <c r="G4983" s="2" t="s">
        <v>121</v>
      </c>
      <c r="L4983" s="2" t="s">
        <v>8767</v>
      </c>
      <c r="M4983" t="s">
        <v>67</v>
      </c>
      <c r="N4983" t="s">
        <v>68</v>
      </c>
      <c r="P4983" s="23">
        <v>100.34</v>
      </c>
      <c r="Q4983" s="4">
        <f t="shared" si="77"/>
        <v>-8.7736695236196933</v>
      </c>
      <c r="R4983" s="23" t="s">
        <v>109</v>
      </c>
      <c r="U4983">
        <v>25</v>
      </c>
      <c r="V4983" t="e">
        <f>VLOOKUP(U4983,[1]!NOMINA[#Data],4,FALSE)</f>
        <v>#REF!</v>
      </c>
      <c r="W4983" t="e">
        <f>VLOOKUP(U4983,[1]!NOMINA[#Data],5,FALSE)</f>
        <v>#REF!</v>
      </c>
    </row>
    <row r="4984" spans="1:23" x14ac:dyDescent="0.25">
      <c r="A4984" s="21">
        <v>45820</v>
      </c>
      <c r="B4984" s="1">
        <v>714348248</v>
      </c>
      <c r="C4984" t="s">
        <v>8768</v>
      </c>
      <c r="D4984" s="22">
        <v>-1116.6400000000001</v>
      </c>
      <c r="E4984" s="75" t="s">
        <v>35</v>
      </c>
      <c r="F4984" s="2">
        <v>212901001</v>
      </c>
      <c r="G4984" s="2" t="s">
        <v>121</v>
      </c>
      <c r="L4984" s="2" t="s">
        <v>8769</v>
      </c>
      <c r="M4984" t="s">
        <v>67</v>
      </c>
      <c r="N4984" t="s">
        <v>68</v>
      </c>
      <c r="P4984" s="23">
        <v>100.34</v>
      </c>
      <c r="Q4984" s="4">
        <f t="shared" si="77"/>
        <v>-11.128562886186964</v>
      </c>
      <c r="R4984" s="23" t="s">
        <v>109</v>
      </c>
      <c r="U4984">
        <v>28</v>
      </c>
      <c r="V4984" t="e">
        <f>VLOOKUP(U4984,[1]!NOMINA[#Data],4,FALSE)</f>
        <v>#REF!</v>
      </c>
      <c r="W4984" t="e">
        <f>VLOOKUP(U4984,[1]!NOMINA[#Data],5,FALSE)</f>
        <v>#REF!</v>
      </c>
    </row>
    <row r="4985" spans="1:23" x14ac:dyDescent="0.25">
      <c r="A4985" s="21">
        <v>45820</v>
      </c>
      <c r="B4985" s="1">
        <v>714348247</v>
      </c>
      <c r="C4985" t="s">
        <v>8770</v>
      </c>
      <c r="D4985" s="22">
        <v>-49785.2</v>
      </c>
      <c r="E4985" s="75" t="s">
        <v>35</v>
      </c>
      <c r="F4985" s="2">
        <v>212901001</v>
      </c>
      <c r="G4985" s="2" t="s">
        <v>121</v>
      </c>
      <c r="L4985" s="2" t="s">
        <v>8771</v>
      </c>
      <c r="M4985" t="s">
        <v>67</v>
      </c>
      <c r="N4985" t="s">
        <v>68</v>
      </c>
      <c r="P4985" s="23">
        <v>100.34</v>
      </c>
      <c r="Q4985" s="4">
        <f t="shared" si="77"/>
        <v>-496.16503886784926</v>
      </c>
      <c r="R4985" s="23" t="s">
        <v>109</v>
      </c>
      <c r="U4985">
        <v>2</v>
      </c>
      <c r="V4985" t="e">
        <f>VLOOKUP(Tabla3[[#This Row],[Nº]],[1]!NOMINA[#Data],4,FALSE)</f>
        <v>#REF!</v>
      </c>
      <c r="W4985" t="e">
        <f>VLOOKUP(Tabla3[[#This Row],[Nº]],[1]!NOMINA[#Data],5,FALSE)</f>
        <v>#REF!</v>
      </c>
    </row>
    <row r="4986" spans="1:23" x14ac:dyDescent="0.25">
      <c r="A4986" s="21">
        <v>45820</v>
      </c>
      <c r="B4986" s="1">
        <v>714348249</v>
      </c>
      <c r="C4986" t="s">
        <v>8772</v>
      </c>
      <c r="D4986" s="22">
        <v>-9348.8700000000008</v>
      </c>
      <c r="E4986" s="75" t="s">
        <v>35</v>
      </c>
      <c r="F4986" s="2">
        <v>212901001</v>
      </c>
      <c r="G4986" s="2" t="s">
        <v>121</v>
      </c>
      <c r="L4986" s="2" t="s">
        <v>8773</v>
      </c>
      <c r="M4986" t="s">
        <v>67</v>
      </c>
      <c r="N4986" t="s">
        <v>68</v>
      </c>
      <c r="P4986" s="23">
        <v>100.34</v>
      </c>
      <c r="Q4986" s="4">
        <f t="shared" si="77"/>
        <v>-93.171915487343043</v>
      </c>
      <c r="R4986" s="23" t="s">
        <v>109</v>
      </c>
      <c r="U4986">
        <v>6</v>
      </c>
      <c r="V4986" t="e">
        <f>VLOOKUP(U4986,[1]!NOMINA[#Data],4,FALSE)</f>
        <v>#REF!</v>
      </c>
      <c r="W4986" t="e">
        <f>VLOOKUP(U4986,[1]!NOMINA[#Data],5,FALSE)</f>
        <v>#REF!</v>
      </c>
    </row>
    <row r="4987" spans="1:23" x14ac:dyDescent="0.25">
      <c r="A4987" s="21">
        <v>45820</v>
      </c>
      <c r="B4987" s="1">
        <v>814348253</v>
      </c>
      <c r="C4987" t="s">
        <v>8774</v>
      </c>
      <c r="D4987" s="22">
        <v>-2389.81</v>
      </c>
      <c r="E4987" s="75" t="s">
        <v>35</v>
      </c>
      <c r="F4987" s="2">
        <v>212901001</v>
      </c>
      <c r="G4987" s="2" t="s">
        <v>121</v>
      </c>
      <c r="L4987" s="2" t="s">
        <v>8775</v>
      </c>
      <c r="M4987" t="s">
        <v>67</v>
      </c>
      <c r="N4987" t="s">
        <v>68</v>
      </c>
      <c r="P4987" s="23">
        <v>100.34</v>
      </c>
      <c r="Q4987" s="4">
        <f t="shared" si="77"/>
        <v>-23.817121785927846</v>
      </c>
      <c r="R4987" s="23" t="s">
        <v>109</v>
      </c>
      <c r="U4987">
        <v>19</v>
      </c>
      <c r="V4987" t="e">
        <f>VLOOKUP(U4987,[1]!NOMINA[#Data],4,FALSE)</f>
        <v>#REF!</v>
      </c>
      <c r="W4987" t="e">
        <f>VLOOKUP(U4987,[1]!NOMINA[#Data],5,FALSE)</f>
        <v>#REF!</v>
      </c>
    </row>
    <row r="4988" spans="1:23" x14ac:dyDescent="0.25">
      <c r="A4988" s="21">
        <v>45820</v>
      </c>
      <c r="B4988" s="1">
        <v>814348252</v>
      </c>
      <c r="C4988" t="s">
        <v>8776</v>
      </c>
      <c r="D4988" s="22">
        <v>-2042.85</v>
      </c>
      <c r="E4988" s="75" t="s">
        <v>35</v>
      </c>
      <c r="F4988" s="2">
        <v>212901001</v>
      </c>
      <c r="G4988" s="2" t="s">
        <v>121</v>
      </c>
      <c r="L4988" s="2" t="s">
        <v>8777</v>
      </c>
      <c r="M4988" t="s">
        <v>67</v>
      </c>
      <c r="N4988" t="s">
        <v>68</v>
      </c>
      <c r="P4988" s="23">
        <v>100.34</v>
      </c>
      <c r="Q4988" s="4">
        <f t="shared" si="77"/>
        <v>-20.359278453258916</v>
      </c>
      <c r="R4988" s="23" t="s">
        <v>109</v>
      </c>
      <c r="U4988">
        <v>27</v>
      </c>
      <c r="V4988" t="e">
        <f>VLOOKUP(U4988,[1]!NOMINA[#Data],4,FALSE)</f>
        <v>#REF!</v>
      </c>
      <c r="W4988" t="e">
        <f>VLOOKUP(U4988,[1]!NOMINA[#Data],5,FALSE)</f>
        <v>#REF!</v>
      </c>
    </row>
    <row r="4989" spans="1:23" x14ac:dyDescent="0.25">
      <c r="A4989" s="21">
        <v>45820</v>
      </c>
      <c r="B4989" s="1">
        <v>714348250</v>
      </c>
      <c r="C4989" t="s">
        <v>8778</v>
      </c>
      <c r="D4989" s="22">
        <v>-4244.2299999999996</v>
      </c>
      <c r="E4989" s="75" t="s">
        <v>35</v>
      </c>
      <c r="F4989" s="2">
        <v>212901001</v>
      </c>
      <c r="G4989" s="2" t="s">
        <v>121</v>
      </c>
      <c r="L4989" s="2" t="s">
        <v>8779</v>
      </c>
      <c r="M4989" t="s">
        <v>67</v>
      </c>
      <c r="N4989" t="s">
        <v>68</v>
      </c>
      <c r="P4989" s="23">
        <v>100.34</v>
      </c>
      <c r="Q4989" s="4">
        <f t="shared" si="77"/>
        <v>-42.298485150488332</v>
      </c>
      <c r="R4989" s="23" t="s">
        <v>109</v>
      </c>
      <c r="U4989">
        <v>24</v>
      </c>
      <c r="V4989" t="e">
        <f>VLOOKUP(U4989,[1]!NOMINA[#Data],4,FALSE)</f>
        <v>#REF!</v>
      </c>
      <c r="W4989" t="e">
        <f>VLOOKUP(U4989,[1]!NOMINA[#Data],5,FALSE)</f>
        <v>#REF!</v>
      </c>
    </row>
    <row r="4990" spans="1:23" x14ac:dyDescent="0.25">
      <c r="A4990" s="21">
        <v>45820</v>
      </c>
      <c r="B4990" s="1">
        <v>814348251</v>
      </c>
      <c r="C4990" t="s">
        <v>8780</v>
      </c>
      <c r="D4990" s="22">
        <v>-24860.2</v>
      </c>
      <c r="E4990" s="75" t="s">
        <v>35</v>
      </c>
      <c r="F4990" s="2">
        <v>212901001</v>
      </c>
      <c r="G4990" s="2" t="s">
        <v>121</v>
      </c>
      <c r="L4990" s="2" t="s">
        <v>8781</v>
      </c>
      <c r="M4990" t="s">
        <v>67</v>
      </c>
      <c r="N4990" t="s">
        <v>68</v>
      </c>
      <c r="P4990" s="23">
        <v>100.34</v>
      </c>
      <c r="Q4990" s="4">
        <f t="shared" si="77"/>
        <v>-247.75961730117601</v>
      </c>
      <c r="R4990" s="23" t="s">
        <v>109</v>
      </c>
      <c r="U4990">
        <v>3</v>
      </c>
      <c r="V4990" t="e">
        <f>VLOOKUP(U4990,[1]!NOMINA[#Data],4,FALSE)</f>
        <v>#REF!</v>
      </c>
      <c r="W4990" t="e">
        <f>VLOOKUP(U4990,[1]!NOMINA[#Data],5,FALSE)</f>
        <v>#REF!</v>
      </c>
    </row>
    <row r="4991" spans="1:23" x14ac:dyDescent="0.25">
      <c r="A4991" s="21">
        <v>45820</v>
      </c>
      <c r="B4991" s="1">
        <v>814348254</v>
      </c>
      <c r="C4991" t="s">
        <v>8782</v>
      </c>
      <c r="D4991" s="22">
        <v>-3445.63</v>
      </c>
      <c r="E4991" s="75" t="s">
        <v>35</v>
      </c>
      <c r="F4991" s="2">
        <v>212901001</v>
      </c>
      <c r="G4991" s="2" t="s">
        <v>121</v>
      </c>
      <c r="L4991" s="2" t="s">
        <v>8783</v>
      </c>
      <c r="M4991" t="s">
        <v>67</v>
      </c>
      <c r="N4991" t="s">
        <v>68</v>
      </c>
      <c r="P4991" s="23">
        <v>100.34</v>
      </c>
      <c r="Q4991" s="4">
        <f t="shared" si="77"/>
        <v>-34.3395455451465</v>
      </c>
      <c r="R4991" s="23" t="s">
        <v>109</v>
      </c>
      <c r="U4991">
        <v>5</v>
      </c>
      <c r="V4991" t="e">
        <f>VLOOKUP(U4991,[1]!NOMINA[#Data],4,FALSE)</f>
        <v>#REF!</v>
      </c>
      <c r="W4991" t="e">
        <f>VLOOKUP(U4991,[1]!NOMINA[#Data],5,FALSE)</f>
        <v>#REF!</v>
      </c>
    </row>
    <row r="4992" spans="1:23" x14ac:dyDescent="0.25">
      <c r="A4992" s="21">
        <v>45820</v>
      </c>
      <c r="B4992" s="1">
        <v>814348258</v>
      </c>
      <c r="C4992" t="s">
        <v>8784</v>
      </c>
      <c r="D4992" s="22">
        <v>-2389.81</v>
      </c>
      <c r="E4992" s="75" t="s">
        <v>35</v>
      </c>
      <c r="F4992" s="2">
        <v>212901001</v>
      </c>
      <c r="G4992" s="2" t="s">
        <v>121</v>
      </c>
      <c r="L4992" s="2" t="s">
        <v>8785</v>
      </c>
      <c r="M4992" t="s">
        <v>67</v>
      </c>
      <c r="N4992" t="s">
        <v>68</v>
      </c>
      <c r="P4992" s="23">
        <v>100.34</v>
      </c>
      <c r="Q4992" s="4">
        <f t="shared" si="77"/>
        <v>-23.817121785927846</v>
      </c>
      <c r="R4992" s="23" t="s">
        <v>109</v>
      </c>
      <c r="U4992">
        <v>36</v>
      </c>
      <c r="V4992" t="e">
        <f>VLOOKUP(U4992,[1]!NOMINA[#Data],4,FALSE)</f>
        <v>#REF!</v>
      </c>
      <c r="W4992" t="e">
        <f>VLOOKUP(U4992,[1]!NOMINA[#Data],5,FALSE)</f>
        <v>#REF!</v>
      </c>
    </row>
    <row r="4993" spans="1:23" x14ac:dyDescent="0.25">
      <c r="A4993" s="21">
        <v>45820</v>
      </c>
      <c r="B4993" s="1">
        <v>814348256</v>
      </c>
      <c r="C4993" t="s">
        <v>8786</v>
      </c>
      <c r="D4993" s="22">
        <v>-2043.85</v>
      </c>
      <c r="E4993" s="75" t="s">
        <v>35</v>
      </c>
      <c r="F4993" s="2">
        <v>212901001</v>
      </c>
      <c r="G4993" s="2" t="s">
        <v>121</v>
      </c>
      <c r="L4993" s="2" t="s">
        <v>8787</v>
      </c>
      <c r="M4993" t="s">
        <v>67</v>
      </c>
      <c r="N4993" t="s">
        <v>68</v>
      </c>
      <c r="P4993" s="23">
        <v>100.34</v>
      </c>
      <c r="Q4993" s="4">
        <f t="shared" si="77"/>
        <v>-20.369244568467209</v>
      </c>
      <c r="R4993" s="23" t="s">
        <v>109</v>
      </c>
      <c r="U4993">
        <v>7</v>
      </c>
      <c r="V4993" t="e">
        <f>VLOOKUP(U4993,[1]!NOMINA[#Data],4,FALSE)</f>
        <v>#REF!</v>
      </c>
      <c r="W4993" t="e">
        <f>VLOOKUP(U4993,[1]!NOMINA[#Data],5,FALSE)</f>
        <v>#REF!</v>
      </c>
    </row>
    <row r="4994" spans="1:23" x14ac:dyDescent="0.25">
      <c r="A4994" s="21">
        <v>45820</v>
      </c>
      <c r="B4994" s="1">
        <v>814348255</v>
      </c>
      <c r="C4994" t="s">
        <v>8788</v>
      </c>
      <c r="D4994" s="22">
        <v>-5035.8500000000004</v>
      </c>
      <c r="E4994" s="75" t="s">
        <v>35</v>
      </c>
      <c r="F4994" s="2">
        <v>212901001</v>
      </c>
      <c r="G4994" s="2" t="s">
        <v>121</v>
      </c>
      <c r="L4994" s="2" t="s">
        <v>8789</v>
      </c>
      <c r="M4994" t="s">
        <v>67</v>
      </c>
      <c r="N4994" t="s">
        <v>68</v>
      </c>
      <c r="P4994" s="23">
        <v>100.34</v>
      </c>
      <c r="Q4994" s="4">
        <f t="shared" si="77"/>
        <v>-50.187861271676304</v>
      </c>
      <c r="R4994" s="23" t="s">
        <v>109</v>
      </c>
      <c r="U4994">
        <v>16</v>
      </c>
      <c r="V4994" t="e">
        <f>VLOOKUP(Tabla3[[#This Row],[Nº]],[1]!NOMINA[#Data],4,FALSE)</f>
        <v>#REF!</v>
      </c>
      <c r="W4994" t="e">
        <f>VLOOKUP(Tabla3[[#This Row],[Nº]],[1]!NOMINA[#Data],5,FALSE)</f>
        <v>#REF!</v>
      </c>
    </row>
    <row r="4995" spans="1:23" x14ac:dyDescent="0.25">
      <c r="A4995" s="21">
        <v>45820</v>
      </c>
      <c r="B4995" s="1">
        <v>814348257</v>
      </c>
      <c r="C4995" t="s">
        <v>8790</v>
      </c>
      <c r="D4995" s="22">
        <v>-39815.199999999997</v>
      </c>
      <c r="E4995" s="75" t="s">
        <v>35</v>
      </c>
      <c r="F4995" s="2">
        <v>212901001</v>
      </c>
      <c r="G4995" s="2" t="s">
        <v>121</v>
      </c>
      <c r="L4995" s="2" t="s">
        <v>8791</v>
      </c>
      <c r="M4995" t="s">
        <v>67</v>
      </c>
      <c r="N4995" t="s">
        <v>68</v>
      </c>
      <c r="P4995" s="23">
        <v>100.34</v>
      </c>
      <c r="Q4995" s="4">
        <f t="shared" si="77"/>
        <v>-396.80287024117996</v>
      </c>
      <c r="R4995" s="23" t="s">
        <v>109</v>
      </c>
      <c r="U4995">
        <v>1</v>
      </c>
      <c r="V4995" t="e">
        <f>VLOOKUP(U4995,[1]!NOMINA[#Data],4,FALSE)</f>
        <v>#REF!</v>
      </c>
      <c r="W4995" t="e">
        <f>VLOOKUP(U4995,[1]!NOMINA[#Data],5,FALSE)</f>
        <v>#REF!</v>
      </c>
    </row>
    <row r="4996" spans="1:23" x14ac:dyDescent="0.25">
      <c r="A4996" s="21">
        <v>45820</v>
      </c>
      <c r="B4996" s="1">
        <v>50694181</v>
      </c>
      <c r="C4996" t="s">
        <v>8792</v>
      </c>
      <c r="D4996" s="22">
        <v>-9901.0499999999993</v>
      </c>
      <c r="E4996" s="75" t="s">
        <v>35</v>
      </c>
      <c r="F4996" s="2">
        <v>212901001</v>
      </c>
      <c r="G4996" s="2" t="s">
        <v>121</v>
      </c>
      <c r="L4996" s="2" t="s">
        <v>8793</v>
      </c>
      <c r="M4996" t="s">
        <v>67</v>
      </c>
      <c r="N4996" t="s">
        <v>68</v>
      </c>
      <c r="P4996" s="23">
        <v>100.34</v>
      </c>
      <c r="Q4996" s="4">
        <f t="shared" si="77"/>
        <v>-98.67500498305759</v>
      </c>
      <c r="R4996" s="23" t="s">
        <v>109</v>
      </c>
      <c r="U4996">
        <v>40</v>
      </c>
      <c r="V4996" t="e">
        <f>VLOOKUP(U4996,[1]!NOMINA[#Data],4,FALSE)</f>
        <v>#REF!</v>
      </c>
      <c r="W4996" t="e">
        <f>VLOOKUP(U4996,[1]!NOMINA[#Data],5,FALSE)</f>
        <v>#REF!</v>
      </c>
    </row>
    <row r="4997" spans="1:23" x14ac:dyDescent="0.25">
      <c r="A4997" s="21">
        <v>45820</v>
      </c>
      <c r="B4997" s="1">
        <v>50694181</v>
      </c>
      <c r="C4997" t="s">
        <v>296</v>
      </c>
      <c r="D4997" s="22">
        <v>-14.85</v>
      </c>
      <c r="E4997" s="75" t="s">
        <v>35</v>
      </c>
      <c r="F4997" s="2">
        <v>610148001</v>
      </c>
      <c r="G4997" s="2" t="s">
        <v>42</v>
      </c>
      <c r="L4997" s="2" t="s">
        <v>8794</v>
      </c>
      <c r="M4997" t="s">
        <v>43</v>
      </c>
      <c r="N4997" t="s">
        <v>42</v>
      </c>
      <c r="P4997" s="23">
        <v>100.34</v>
      </c>
      <c r="Q4997" s="4">
        <f t="shared" si="77"/>
        <v>-0.14799681084313335</v>
      </c>
      <c r="R4997" s="23" t="s">
        <v>109</v>
      </c>
      <c r="T4997" s="23" t="s">
        <v>8423</v>
      </c>
    </row>
    <row r="4998" spans="1:23" x14ac:dyDescent="0.25">
      <c r="A4998" s="21">
        <v>45820</v>
      </c>
      <c r="B4998" s="1">
        <v>50694181</v>
      </c>
      <c r="C4998" t="s">
        <v>118</v>
      </c>
      <c r="D4998" s="22">
        <v>-648.17999999999995</v>
      </c>
      <c r="E4998" s="75" t="s">
        <v>35</v>
      </c>
      <c r="F4998" s="2">
        <v>610148001</v>
      </c>
      <c r="G4998" s="2" t="s">
        <v>42</v>
      </c>
      <c r="L4998" s="2" t="s">
        <v>8795</v>
      </c>
      <c r="M4998" t="s">
        <v>43</v>
      </c>
      <c r="N4998" t="s">
        <v>42</v>
      </c>
      <c r="P4998" s="23">
        <v>100.34</v>
      </c>
      <c r="Q4998" s="4">
        <f t="shared" si="77"/>
        <v>-6.4598365557105835</v>
      </c>
      <c r="R4998" s="23" t="s">
        <v>109</v>
      </c>
      <c r="T4998" s="23" t="s">
        <v>8423</v>
      </c>
    </row>
    <row r="4999" spans="1:23" x14ac:dyDescent="0.25">
      <c r="A4999" s="21">
        <v>45821</v>
      </c>
      <c r="B4999" s="1">
        <v>172208938</v>
      </c>
      <c r="C4999" t="s">
        <v>8411</v>
      </c>
      <c r="D4999" s="22">
        <v>470000</v>
      </c>
      <c r="E4999" s="75" t="s">
        <v>46</v>
      </c>
      <c r="F4999" s="2">
        <v>210115002</v>
      </c>
      <c r="G4999" s="2" t="s">
        <v>47</v>
      </c>
      <c r="L4999" s="2" t="s">
        <v>8796</v>
      </c>
      <c r="N4999" t="s">
        <v>8411</v>
      </c>
      <c r="P4999" s="23">
        <v>101.08</v>
      </c>
      <c r="Q4999" s="4">
        <f t="shared" si="77"/>
        <v>4649.7823506133755</v>
      </c>
      <c r="R4999" s="23" t="s">
        <v>109</v>
      </c>
    </row>
    <row r="5000" spans="1:23" x14ac:dyDescent="0.25">
      <c r="A5000" s="21">
        <v>45821</v>
      </c>
      <c r="B5000" s="1">
        <v>314409686</v>
      </c>
      <c r="C5000" t="s">
        <v>8797</v>
      </c>
      <c r="D5000" s="22">
        <v>-8086.4</v>
      </c>
      <c r="E5000" s="75" t="s">
        <v>35</v>
      </c>
      <c r="F5000" s="2">
        <v>212901001</v>
      </c>
      <c r="G5000" s="2" t="s">
        <v>121</v>
      </c>
      <c r="L5000" s="2" t="s">
        <v>8798</v>
      </c>
      <c r="M5000" t="s">
        <v>67</v>
      </c>
      <c r="N5000" t="s">
        <v>68</v>
      </c>
      <c r="P5000" s="23">
        <v>101.08</v>
      </c>
      <c r="Q5000" s="4">
        <f t="shared" si="77"/>
        <v>-80</v>
      </c>
      <c r="R5000" s="23" t="s">
        <v>109</v>
      </c>
    </row>
    <row r="5001" spans="1:23" x14ac:dyDescent="0.25">
      <c r="A5001" s="21">
        <v>45821</v>
      </c>
      <c r="B5001" s="1">
        <v>414409688</v>
      </c>
      <c r="C5001" t="s">
        <v>8799</v>
      </c>
      <c r="D5001" s="22">
        <v>-6064.8</v>
      </c>
      <c r="E5001" s="75" t="s">
        <v>35</v>
      </c>
      <c r="F5001" s="2">
        <v>212901001</v>
      </c>
      <c r="G5001" s="2" t="s">
        <v>121</v>
      </c>
      <c r="L5001" s="2" t="s">
        <v>8800</v>
      </c>
      <c r="M5001" t="s">
        <v>67</v>
      </c>
      <c r="N5001" t="s">
        <v>68</v>
      </c>
      <c r="P5001" s="23">
        <v>101.08</v>
      </c>
      <c r="Q5001" s="4">
        <f t="shared" si="77"/>
        <v>-60</v>
      </c>
      <c r="R5001" s="23" t="s">
        <v>109</v>
      </c>
    </row>
    <row r="5002" spans="1:23" x14ac:dyDescent="0.25">
      <c r="A5002" s="21">
        <v>45821</v>
      </c>
      <c r="B5002" s="1">
        <v>414409693</v>
      </c>
      <c r="C5002" t="s">
        <v>8801</v>
      </c>
      <c r="D5002" s="22">
        <v>-6064.8</v>
      </c>
      <c r="E5002" s="75" t="s">
        <v>35</v>
      </c>
      <c r="F5002" s="2">
        <v>212901001</v>
      </c>
      <c r="G5002" s="2" t="s">
        <v>121</v>
      </c>
      <c r="L5002" s="2" t="s">
        <v>8802</v>
      </c>
      <c r="M5002" t="s">
        <v>67</v>
      </c>
      <c r="N5002" t="s">
        <v>68</v>
      </c>
      <c r="P5002" s="23">
        <v>101.08</v>
      </c>
      <c r="Q5002" s="4">
        <f t="shared" si="77"/>
        <v>-60</v>
      </c>
      <c r="R5002" s="23" t="s">
        <v>109</v>
      </c>
    </row>
    <row r="5003" spans="1:23" x14ac:dyDescent="0.25">
      <c r="A5003" s="21">
        <v>45821</v>
      </c>
      <c r="B5003" s="1">
        <v>414409690</v>
      </c>
      <c r="C5003" t="s">
        <v>8803</v>
      </c>
      <c r="D5003" s="22">
        <v>-6064.8</v>
      </c>
      <c r="E5003" s="75" t="s">
        <v>35</v>
      </c>
      <c r="F5003" s="2">
        <v>212901001</v>
      </c>
      <c r="G5003" s="2" t="s">
        <v>121</v>
      </c>
      <c r="L5003" s="2" t="s">
        <v>8804</v>
      </c>
      <c r="M5003" t="s">
        <v>67</v>
      </c>
      <c r="N5003" t="s">
        <v>68</v>
      </c>
      <c r="P5003" s="23">
        <v>101.08</v>
      </c>
      <c r="Q5003" s="4">
        <f t="shared" ref="Q5003:Q5066" si="78">D5003/P5003</f>
        <v>-60</v>
      </c>
      <c r="R5003" s="23" t="s">
        <v>109</v>
      </c>
    </row>
    <row r="5004" spans="1:23" x14ac:dyDescent="0.25">
      <c r="A5004" s="21">
        <v>45821</v>
      </c>
      <c r="B5004" s="1">
        <v>414409691</v>
      </c>
      <c r="C5004" t="s">
        <v>8805</v>
      </c>
      <c r="D5004" s="22">
        <v>-6064.8</v>
      </c>
      <c r="E5004" s="75" t="s">
        <v>35</v>
      </c>
      <c r="F5004" s="2">
        <v>212901001</v>
      </c>
      <c r="G5004" s="2" t="s">
        <v>121</v>
      </c>
      <c r="L5004" s="2" t="s">
        <v>8806</v>
      </c>
      <c r="M5004" t="s">
        <v>67</v>
      </c>
      <c r="N5004" t="s">
        <v>68</v>
      </c>
      <c r="P5004" s="23">
        <v>101.08</v>
      </c>
      <c r="Q5004" s="4">
        <f t="shared" si="78"/>
        <v>-60</v>
      </c>
      <c r="R5004" s="23" t="s">
        <v>109</v>
      </c>
    </row>
    <row r="5005" spans="1:23" x14ac:dyDescent="0.25">
      <c r="A5005" s="21">
        <v>45821</v>
      </c>
      <c r="B5005" s="1">
        <v>514409701</v>
      </c>
      <c r="C5005" t="s">
        <v>8807</v>
      </c>
      <c r="D5005" s="22">
        <v>-6064.8</v>
      </c>
      <c r="E5005" s="75" t="s">
        <v>35</v>
      </c>
      <c r="F5005" s="2">
        <v>212901001</v>
      </c>
      <c r="G5005" s="2" t="s">
        <v>121</v>
      </c>
      <c r="L5005" s="2" t="s">
        <v>8808</v>
      </c>
      <c r="M5005" t="s">
        <v>67</v>
      </c>
      <c r="N5005" t="s">
        <v>68</v>
      </c>
      <c r="P5005" s="23">
        <v>101.08</v>
      </c>
      <c r="Q5005" s="4">
        <f t="shared" si="78"/>
        <v>-60</v>
      </c>
      <c r="R5005" s="23" t="s">
        <v>109</v>
      </c>
    </row>
    <row r="5006" spans="1:23" x14ac:dyDescent="0.25">
      <c r="A5006" s="21">
        <v>45821</v>
      </c>
      <c r="B5006" s="1">
        <v>514409702</v>
      </c>
      <c r="C5006" t="s">
        <v>8809</v>
      </c>
      <c r="D5006" s="22">
        <v>-6064.8</v>
      </c>
      <c r="E5006" s="75" t="s">
        <v>35</v>
      </c>
      <c r="F5006" s="2">
        <v>212901001</v>
      </c>
      <c r="G5006" s="2" t="s">
        <v>121</v>
      </c>
      <c r="L5006" s="2" t="s">
        <v>8810</v>
      </c>
      <c r="M5006" t="s">
        <v>67</v>
      </c>
      <c r="N5006" t="s">
        <v>68</v>
      </c>
      <c r="P5006" s="23">
        <v>101.08</v>
      </c>
      <c r="Q5006" s="4">
        <f t="shared" si="78"/>
        <v>-60</v>
      </c>
      <c r="R5006" s="23" t="s">
        <v>109</v>
      </c>
    </row>
    <row r="5007" spans="1:23" x14ac:dyDescent="0.25">
      <c r="A5007" s="21">
        <v>45821</v>
      </c>
      <c r="B5007" s="1">
        <v>514409705</v>
      </c>
      <c r="C5007" t="s">
        <v>8811</v>
      </c>
      <c r="D5007" s="22">
        <v>-15162</v>
      </c>
      <c r="E5007" s="75" t="s">
        <v>35</v>
      </c>
      <c r="F5007" s="2">
        <v>212901001</v>
      </c>
      <c r="G5007" s="2" t="s">
        <v>121</v>
      </c>
      <c r="L5007" s="2" t="s">
        <v>8812</v>
      </c>
      <c r="M5007" t="s">
        <v>67</v>
      </c>
      <c r="N5007" t="s">
        <v>68</v>
      </c>
      <c r="P5007" s="23">
        <v>101.08</v>
      </c>
      <c r="Q5007" s="4">
        <f t="shared" si="78"/>
        <v>-150</v>
      </c>
      <c r="R5007" s="23" t="s">
        <v>109</v>
      </c>
    </row>
    <row r="5008" spans="1:23" x14ac:dyDescent="0.25">
      <c r="A5008" s="21">
        <v>45821</v>
      </c>
      <c r="B5008" s="1">
        <v>414409689</v>
      </c>
      <c r="C5008" t="s">
        <v>8813</v>
      </c>
      <c r="D5008" s="22">
        <v>-6064.8</v>
      </c>
      <c r="E5008" s="75" t="s">
        <v>35</v>
      </c>
      <c r="F5008" s="2">
        <v>212901001</v>
      </c>
      <c r="G5008" s="2" t="s">
        <v>121</v>
      </c>
      <c r="L5008" s="2" t="s">
        <v>8814</v>
      </c>
      <c r="M5008" t="s">
        <v>67</v>
      </c>
      <c r="N5008" t="s">
        <v>68</v>
      </c>
      <c r="P5008" s="23">
        <v>101.08</v>
      </c>
      <c r="Q5008" s="4">
        <f t="shared" si="78"/>
        <v>-60</v>
      </c>
      <c r="R5008" s="23" t="s">
        <v>109</v>
      </c>
    </row>
    <row r="5009" spans="1:18" x14ac:dyDescent="0.25">
      <c r="A5009" s="21">
        <v>45821</v>
      </c>
      <c r="B5009" s="1">
        <v>514409700</v>
      </c>
      <c r="C5009" t="s">
        <v>8815</v>
      </c>
      <c r="D5009" s="22">
        <v>-6064.8</v>
      </c>
      <c r="E5009" s="75" t="s">
        <v>35</v>
      </c>
      <c r="F5009" s="2">
        <v>212901001</v>
      </c>
      <c r="G5009" s="2" t="s">
        <v>121</v>
      </c>
      <c r="L5009" s="2" t="s">
        <v>8816</v>
      </c>
      <c r="M5009" t="s">
        <v>67</v>
      </c>
      <c r="N5009" t="s">
        <v>68</v>
      </c>
      <c r="P5009" s="23">
        <v>101.08</v>
      </c>
      <c r="Q5009" s="4">
        <f t="shared" si="78"/>
        <v>-60</v>
      </c>
      <c r="R5009" s="23" t="s">
        <v>109</v>
      </c>
    </row>
    <row r="5010" spans="1:18" x14ac:dyDescent="0.25">
      <c r="A5010" s="21">
        <v>45821</v>
      </c>
      <c r="B5010" s="1">
        <v>514409706</v>
      </c>
      <c r="C5010" t="s">
        <v>8817</v>
      </c>
      <c r="D5010" s="22">
        <v>-10108</v>
      </c>
      <c r="E5010" s="75" t="s">
        <v>35</v>
      </c>
      <c r="F5010" s="2">
        <v>212901001</v>
      </c>
      <c r="G5010" s="2" t="s">
        <v>121</v>
      </c>
      <c r="L5010" s="2" t="s">
        <v>8818</v>
      </c>
      <c r="M5010" t="s">
        <v>67</v>
      </c>
      <c r="N5010" t="s">
        <v>68</v>
      </c>
      <c r="P5010" s="23">
        <v>101.08</v>
      </c>
      <c r="Q5010" s="4">
        <f t="shared" si="78"/>
        <v>-100</v>
      </c>
      <c r="R5010" s="23" t="s">
        <v>109</v>
      </c>
    </row>
    <row r="5011" spans="1:18" x14ac:dyDescent="0.25">
      <c r="A5011" s="21">
        <v>45821</v>
      </c>
      <c r="B5011" s="1">
        <v>514409703</v>
      </c>
      <c r="C5011" t="s">
        <v>8819</v>
      </c>
      <c r="D5011" s="22">
        <v>-6064.8</v>
      </c>
      <c r="E5011" s="75" t="s">
        <v>35</v>
      </c>
      <c r="F5011" s="2">
        <v>212901001</v>
      </c>
      <c r="G5011" s="2" t="s">
        <v>121</v>
      </c>
      <c r="L5011" s="2" t="s">
        <v>8820</v>
      </c>
      <c r="M5011" t="s">
        <v>67</v>
      </c>
      <c r="N5011" t="s">
        <v>68</v>
      </c>
      <c r="P5011" s="23">
        <v>101.08</v>
      </c>
      <c r="Q5011" s="4">
        <f t="shared" si="78"/>
        <v>-60</v>
      </c>
      <c r="R5011" s="23" t="s">
        <v>109</v>
      </c>
    </row>
    <row r="5012" spans="1:18" x14ac:dyDescent="0.25">
      <c r="A5012" s="21">
        <v>45821</v>
      </c>
      <c r="B5012" s="1">
        <v>614409708</v>
      </c>
      <c r="C5012" t="s">
        <v>8821</v>
      </c>
      <c r="D5012" s="22">
        <v>-8086.4</v>
      </c>
      <c r="E5012" s="75" t="s">
        <v>35</v>
      </c>
      <c r="F5012" s="2">
        <v>212901001</v>
      </c>
      <c r="G5012" s="2" t="s">
        <v>121</v>
      </c>
      <c r="L5012" s="2" t="s">
        <v>8822</v>
      </c>
      <c r="M5012" t="s">
        <v>67</v>
      </c>
      <c r="N5012" t="s">
        <v>68</v>
      </c>
      <c r="P5012" s="23">
        <v>101.08</v>
      </c>
      <c r="Q5012" s="4">
        <f t="shared" si="78"/>
        <v>-80</v>
      </c>
      <c r="R5012" s="23" t="s">
        <v>109</v>
      </c>
    </row>
    <row r="5013" spans="1:18" x14ac:dyDescent="0.25">
      <c r="A5013" s="21">
        <v>45821</v>
      </c>
      <c r="B5013" s="1">
        <v>614409709</v>
      </c>
      <c r="C5013" t="s">
        <v>8823</v>
      </c>
      <c r="D5013" s="22">
        <v>-8086.4</v>
      </c>
      <c r="E5013" s="75" t="s">
        <v>35</v>
      </c>
      <c r="F5013" s="2">
        <v>212901001</v>
      </c>
      <c r="G5013" s="2" t="s">
        <v>121</v>
      </c>
      <c r="L5013" s="2" t="s">
        <v>8824</v>
      </c>
      <c r="M5013" t="s">
        <v>67</v>
      </c>
      <c r="N5013" t="s">
        <v>68</v>
      </c>
      <c r="P5013" s="23">
        <v>101.08</v>
      </c>
      <c r="Q5013" s="4">
        <f t="shared" si="78"/>
        <v>-80</v>
      </c>
      <c r="R5013" s="23" t="s">
        <v>109</v>
      </c>
    </row>
    <row r="5014" spans="1:18" x14ac:dyDescent="0.25">
      <c r="A5014" s="21">
        <v>45821</v>
      </c>
      <c r="B5014" s="1">
        <v>514409699</v>
      </c>
      <c r="C5014" t="s">
        <v>8825</v>
      </c>
      <c r="D5014" s="22">
        <v>-6064.8</v>
      </c>
      <c r="E5014" s="75" t="s">
        <v>35</v>
      </c>
      <c r="F5014" s="2">
        <v>212901001</v>
      </c>
      <c r="G5014" s="2" t="s">
        <v>121</v>
      </c>
      <c r="L5014" s="2" t="s">
        <v>8826</v>
      </c>
      <c r="M5014" t="s">
        <v>67</v>
      </c>
      <c r="N5014" t="s">
        <v>68</v>
      </c>
      <c r="P5014" s="23">
        <v>101.08</v>
      </c>
      <c r="Q5014" s="4">
        <f t="shared" si="78"/>
        <v>-60</v>
      </c>
      <c r="R5014" s="23" t="s">
        <v>109</v>
      </c>
    </row>
    <row r="5015" spans="1:18" x14ac:dyDescent="0.25">
      <c r="A5015" s="21">
        <v>45821</v>
      </c>
      <c r="B5015" s="1">
        <v>614409707</v>
      </c>
      <c r="C5015" t="s">
        <v>8827</v>
      </c>
      <c r="D5015" s="22">
        <v>-8086.4</v>
      </c>
      <c r="E5015" s="75" t="s">
        <v>35</v>
      </c>
      <c r="F5015" s="2">
        <v>212901001</v>
      </c>
      <c r="G5015" s="2" t="s">
        <v>121</v>
      </c>
      <c r="L5015" s="2" t="s">
        <v>8828</v>
      </c>
      <c r="M5015" t="s">
        <v>67</v>
      </c>
      <c r="N5015" t="s">
        <v>68</v>
      </c>
      <c r="P5015" s="23">
        <v>101.08</v>
      </c>
      <c r="Q5015" s="4">
        <f t="shared" si="78"/>
        <v>-80</v>
      </c>
      <c r="R5015" s="23" t="s">
        <v>109</v>
      </c>
    </row>
    <row r="5016" spans="1:18" x14ac:dyDescent="0.25">
      <c r="A5016" s="21">
        <v>45821</v>
      </c>
      <c r="B5016" s="1">
        <v>514409697</v>
      </c>
      <c r="C5016" t="s">
        <v>8829</v>
      </c>
      <c r="D5016" s="22">
        <v>-6064.8</v>
      </c>
      <c r="E5016" s="75" t="s">
        <v>35</v>
      </c>
      <c r="F5016" s="2">
        <v>212901001</v>
      </c>
      <c r="G5016" s="2" t="s">
        <v>121</v>
      </c>
      <c r="L5016" s="2" t="s">
        <v>8830</v>
      </c>
      <c r="M5016" t="s">
        <v>67</v>
      </c>
      <c r="N5016" t="s">
        <v>68</v>
      </c>
      <c r="P5016" s="23">
        <v>101.08</v>
      </c>
      <c r="Q5016" s="4">
        <f t="shared" si="78"/>
        <v>-60</v>
      </c>
      <c r="R5016" s="23" t="s">
        <v>109</v>
      </c>
    </row>
    <row r="5017" spans="1:18" x14ac:dyDescent="0.25">
      <c r="A5017" s="21">
        <v>45821</v>
      </c>
      <c r="B5017" s="1">
        <v>414409695</v>
      </c>
      <c r="C5017" t="s">
        <v>8831</v>
      </c>
      <c r="D5017" s="22">
        <v>-6064.8</v>
      </c>
      <c r="E5017" s="75" t="s">
        <v>35</v>
      </c>
      <c r="F5017" s="2">
        <v>212901001</v>
      </c>
      <c r="G5017" s="2" t="s">
        <v>121</v>
      </c>
      <c r="L5017" s="2" t="s">
        <v>8832</v>
      </c>
      <c r="M5017" t="s">
        <v>67</v>
      </c>
      <c r="N5017" t="s">
        <v>68</v>
      </c>
      <c r="P5017" s="23">
        <v>101.08</v>
      </c>
      <c r="Q5017" s="4">
        <f t="shared" si="78"/>
        <v>-60</v>
      </c>
      <c r="R5017" s="23" t="s">
        <v>109</v>
      </c>
    </row>
    <row r="5018" spans="1:18" x14ac:dyDescent="0.25">
      <c r="A5018" s="21">
        <v>45821</v>
      </c>
      <c r="B5018" s="1">
        <v>614409711</v>
      </c>
      <c r="C5018" t="s">
        <v>8833</v>
      </c>
      <c r="D5018" s="22">
        <v>-8086.4</v>
      </c>
      <c r="E5018" s="75" t="s">
        <v>35</v>
      </c>
      <c r="F5018" s="2">
        <v>212901001</v>
      </c>
      <c r="G5018" s="2" t="s">
        <v>121</v>
      </c>
      <c r="L5018" s="2" t="s">
        <v>8834</v>
      </c>
      <c r="M5018" t="s">
        <v>67</v>
      </c>
      <c r="N5018" t="s">
        <v>68</v>
      </c>
      <c r="P5018" s="23">
        <v>101.08</v>
      </c>
      <c r="Q5018" s="4">
        <f t="shared" si="78"/>
        <v>-80</v>
      </c>
      <c r="R5018" s="23" t="s">
        <v>109</v>
      </c>
    </row>
    <row r="5019" spans="1:18" x14ac:dyDescent="0.25">
      <c r="A5019" s="21">
        <v>45821</v>
      </c>
      <c r="B5019" s="1">
        <v>414409687</v>
      </c>
      <c r="C5019" t="s">
        <v>8835</v>
      </c>
      <c r="D5019" s="22">
        <v>-6064.8</v>
      </c>
      <c r="E5019" s="75" t="s">
        <v>35</v>
      </c>
      <c r="F5019" s="2">
        <v>212901001</v>
      </c>
      <c r="G5019" s="2" t="s">
        <v>121</v>
      </c>
      <c r="L5019" s="2" t="s">
        <v>8836</v>
      </c>
      <c r="M5019" t="s">
        <v>67</v>
      </c>
      <c r="N5019" t="s">
        <v>68</v>
      </c>
      <c r="P5019" s="23">
        <v>101.08</v>
      </c>
      <c r="Q5019" s="4">
        <f t="shared" si="78"/>
        <v>-60</v>
      </c>
      <c r="R5019" s="23" t="s">
        <v>109</v>
      </c>
    </row>
    <row r="5020" spans="1:18" x14ac:dyDescent="0.25">
      <c r="A5020" s="21">
        <v>45821</v>
      </c>
      <c r="B5020" s="1">
        <v>514409696</v>
      </c>
      <c r="C5020" t="s">
        <v>8837</v>
      </c>
      <c r="D5020" s="22">
        <v>-6064.8</v>
      </c>
      <c r="E5020" s="75" t="s">
        <v>35</v>
      </c>
      <c r="F5020" s="2">
        <v>212901001</v>
      </c>
      <c r="G5020" s="2" t="s">
        <v>121</v>
      </c>
      <c r="L5020" s="2" t="s">
        <v>8838</v>
      </c>
      <c r="M5020" t="s">
        <v>67</v>
      </c>
      <c r="N5020" t="s">
        <v>68</v>
      </c>
      <c r="P5020" s="23">
        <v>101.08</v>
      </c>
      <c r="Q5020" s="4">
        <f t="shared" si="78"/>
        <v>-60</v>
      </c>
      <c r="R5020" s="23" t="s">
        <v>109</v>
      </c>
    </row>
    <row r="5021" spans="1:18" x14ac:dyDescent="0.25">
      <c r="A5021" s="21">
        <v>45821</v>
      </c>
      <c r="B5021" s="1">
        <v>614409710</v>
      </c>
      <c r="C5021" t="s">
        <v>8839</v>
      </c>
      <c r="D5021" s="22">
        <v>-8086.4</v>
      </c>
      <c r="E5021" s="75" t="s">
        <v>35</v>
      </c>
      <c r="F5021" s="2">
        <v>212901001</v>
      </c>
      <c r="G5021" s="2" t="s">
        <v>121</v>
      </c>
      <c r="L5021" s="2" t="s">
        <v>8840</v>
      </c>
      <c r="M5021" t="s">
        <v>67</v>
      </c>
      <c r="N5021" t="s">
        <v>68</v>
      </c>
      <c r="P5021" s="23">
        <v>101.08</v>
      </c>
      <c r="Q5021" s="4">
        <f t="shared" si="78"/>
        <v>-80</v>
      </c>
      <c r="R5021" s="23" t="s">
        <v>109</v>
      </c>
    </row>
    <row r="5022" spans="1:18" x14ac:dyDescent="0.25">
      <c r="A5022" s="21">
        <v>45821</v>
      </c>
      <c r="B5022" s="1">
        <v>414409692</v>
      </c>
      <c r="C5022" t="s">
        <v>8841</v>
      </c>
      <c r="D5022" s="22">
        <v>-6064.8</v>
      </c>
      <c r="E5022" s="75" t="s">
        <v>35</v>
      </c>
      <c r="F5022" s="2">
        <v>212901001</v>
      </c>
      <c r="G5022" s="2" t="s">
        <v>121</v>
      </c>
      <c r="L5022" s="2" t="s">
        <v>8842</v>
      </c>
      <c r="M5022" t="s">
        <v>67</v>
      </c>
      <c r="N5022" t="s">
        <v>68</v>
      </c>
      <c r="P5022" s="23">
        <v>101.08</v>
      </c>
      <c r="Q5022" s="4">
        <f t="shared" si="78"/>
        <v>-60</v>
      </c>
      <c r="R5022" s="23" t="s">
        <v>109</v>
      </c>
    </row>
    <row r="5023" spans="1:18" x14ac:dyDescent="0.25">
      <c r="A5023" s="21">
        <v>45821</v>
      </c>
      <c r="B5023" s="1">
        <v>614409712</v>
      </c>
      <c r="C5023" t="s">
        <v>8843</v>
      </c>
      <c r="D5023" s="22">
        <v>-8086.4</v>
      </c>
      <c r="E5023" s="75" t="s">
        <v>35</v>
      </c>
      <c r="F5023" s="2">
        <v>212901001</v>
      </c>
      <c r="G5023" s="2" t="s">
        <v>121</v>
      </c>
      <c r="L5023" s="2" t="s">
        <v>8844</v>
      </c>
      <c r="M5023" t="s">
        <v>67</v>
      </c>
      <c r="N5023" t="s">
        <v>68</v>
      </c>
      <c r="P5023" s="23">
        <v>101.08</v>
      </c>
      <c r="Q5023" s="4">
        <f t="shared" si="78"/>
        <v>-80</v>
      </c>
      <c r="R5023" s="23" t="s">
        <v>109</v>
      </c>
    </row>
    <row r="5024" spans="1:18" x14ac:dyDescent="0.25">
      <c r="A5024" s="21">
        <v>45821</v>
      </c>
      <c r="B5024" s="1">
        <v>614409714</v>
      </c>
      <c r="C5024" t="s">
        <v>8845</v>
      </c>
      <c r="D5024" s="22">
        <v>-4245.3599999999997</v>
      </c>
      <c r="E5024" s="75" t="s">
        <v>35</v>
      </c>
      <c r="F5024" s="2">
        <v>212901001</v>
      </c>
      <c r="G5024" s="2" t="s">
        <v>121</v>
      </c>
      <c r="L5024" s="2" t="s">
        <v>8846</v>
      </c>
      <c r="M5024" t="s">
        <v>67</v>
      </c>
      <c r="N5024" t="s">
        <v>68</v>
      </c>
      <c r="P5024" s="23">
        <v>101.08</v>
      </c>
      <c r="Q5024" s="4">
        <f t="shared" si="78"/>
        <v>-42</v>
      </c>
      <c r="R5024" s="23" t="s">
        <v>109</v>
      </c>
    </row>
    <row r="5025" spans="1:18" x14ac:dyDescent="0.25">
      <c r="A5025" s="21">
        <v>45821</v>
      </c>
      <c r="B5025" s="1">
        <v>614409715</v>
      </c>
      <c r="C5025" t="s">
        <v>8847</v>
      </c>
      <c r="D5025" s="22">
        <v>-5054</v>
      </c>
      <c r="E5025" s="75" t="s">
        <v>35</v>
      </c>
      <c r="F5025" s="2">
        <v>212901001</v>
      </c>
      <c r="G5025" s="2" t="s">
        <v>121</v>
      </c>
      <c r="L5025" s="2" t="s">
        <v>8848</v>
      </c>
      <c r="M5025" t="s">
        <v>67</v>
      </c>
      <c r="N5025" t="s">
        <v>68</v>
      </c>
      <c r="P5025" s="23">
        <v>101.08</v>
      </c>
      <c r="Q5025" s="4">
        <f t="shared" si="78"/>
        <v>-50</v>
      </c>
      <c r="R5025" s="23" t="s">
        <v>109</v>
      </c>
    </row>
    <row r="5026" spans="1:18" x14ac:dyDescent="0.25">
      <c r="A5026" s="21">
        <v>45821</v>
      </c>
      <c r="B5026" s="1">
        <v>714409716</v>
      </c>
      <c r="C5026" t="s">
        <v>8849</v>
      </c>
      <c r="D5026" s="22">
        <v>-5054</v>
      </c>
      <c r="E5026" s="75" t="s">
        <v>35</v>
      </c>
      <c r="F5026" s="2">
        <v>212901001</v>
      </c>
      <c r="G5026" s="2" t="s">
        <v>121</v>
      </c>
      <c r="L5026" s="2" t="s">
        <v>8850</v>
      </c>
      <c r="M5026" t="s">
        <v>67</v>
      </c>
      <c r="N5026" t="s">
        <v>68</v>
      </c>
      <c r="P5026" s="23">
        <v>101.08</v>
      </c>
      <c r="Q5026" s="4">
        <f t="shared" si="78"/>
        <v>-50</v>
      </c>
      <c r="R5026" s="23" t="s">
        <v>109</v>
      </c>
    </row>
    <row r="5027" spans="1:18" x14ac:dyDescent="0.25">
      <c r="A5027" s="21">
        <v>45821</v>
      </c>
      <c r="B5027" s="1">
        <v>714409717</v>
      </c>
      <c r="C5027" t="s">
        <v>8851</v>
      </c>
      <c r="D5027" s="22">
        <v>-5054</v>
      </c>
      <c r="E5027" s="75" t="s">
        <v>35</v>
      </c>
      <c r="F5027" s="2">
        <v>212901001</v>
      </c>
      <c r="G5027" s="2" t="s">
        <v>121</v>
      </c>
      <c r="L5027" s="2" t="s">
        <v>8852</v>
      </c>
      <c r="M5027" t="s">
        <v>67</v>
      </c>
      <c r="N5027" t="s">
        <v>68</v>
      </c>
      <c r="P5027" s="23">
        <v>101.08</v>
      </c>
      <c r="Q5027" s="4">
        <f t="shared" si="78"/>
        <v>-50</v>
      </c>
      <c r="R5027" s="23" t="s">
        <v>109</v>
      </c>
    </row>
    <row r="5028" spans="1:18" x14ac:dyDescent="0.25">
      <c r="A5028" s="21">
        <v>45821</v>
      </c>
      <c r="B5028" s="1">
        <v>714409721</v>
      </c>
      <c r="C5028" t="s">
        <v>8853</v>
      </c>
      <c r="D5028" s="22">
        <v>-4043.2</v>
      </c>
      <c r="E5028" s="75" t="s">
        <v>35</v>
      </c>
      <c r="F5028" s="2">
        <v>212901001</v>
      </c>
      <c r="G5028" s="2" t="s">
        <v>121</v>
      </c>
      <c r="L5028" s="2" t="s">
        <v>8854</v>
      </c>
      <c r="M5028" t="s">
        <v>67</v>
      </c>
      <c r="N5028" t="s">
        <v>68</v>
      </c>
      <c r="P5028" s="23">
        <v>101.08</v>
      </c>
      <c r="Q5028" s="4">
        <f t="shared" si="78"/>
        <v>-40</v>
      </c>
      <c r="R5028" s="23" t="s">
        <v>109</v>
      </c>
    </row>
    <row r="5029" spans="1:18" x14ac:dyDescent="0.25">
      <c r="A5029" s="21">
        <v>45821</v>
      </c>
      <c r="B5029" s="1">
        <v>714409720</v>
      </c>
      <c r="C5029" t="s">
        <v>8855</v>
      </c>
      <c r="D5029" s="22">
        <v>-5054</v>
      </c>
      <c r="E5029" s="75" t="s">
        <v>35</v>
      </c>
      <c r="F5029" s="2">
        <v>212901001</v>
      </c>
      <c r="G5029" s="2" t="s">
        <v>121</v>
      </c>
      <c r="L5029" s="2" t="s">
        <v>8856</v>
      </c>
      <c r="M5029" t="s">
        <v>67</v>
      </c>
      <c r="N5029" t="s">
        <v>68</v>
      </c>
      <c r="P5029" s="23">
        <v>101.08</v>
      </c>
      <c r="Q5029" s="4">
        <f t="shared" si="78"/>
        <v>-50</v>
      </c>
      <c r="R5029" s="23" t="s">
        <v>109</v>
      </c>
    </row>
    <row r="5030" spans="1:18" x14ac:dyDescent="0.25">
      <c r="A5030" s="21">
        <v>45821</v>
      </c>
      <c r="B5030" s="1">
        <v>714409719</v>
      </c>
      <c r="C5030" t="s">
        <v>8857</v>
      </c>
      <c r="D5030" s="22">
        <v>-5054</v>
      </c>
      <c r="E5030" s="75" t="s">
        <v>35</v>
      </c>
      <c r="F5030" s="2">
        <v>212901001</v>
      </c>
      <c r="G5030" s="2" t="s">
        <v>121</v>
      </c>
      <c r="L5030" s="2" t="s">
        <v>8858</v>
      </c>
      <c r="M5030" t="s">
        <v>67</v>
      </c>
      <c r="N5030" t="s">
        <v>68</v>
      </c>
      <c r="P5030" s="23">
        <v>101.08</v>
      </c>
      <c r="Q5030" s="4">
        <f t="shared" si="78"/>
        <v>-50</v>
      </c>
      <c r="R5030" s="23" t="s">
        <v>109</v>
      </c>
    </row>
    <row r="5031" spans="1:18" x14ac:dyDescent="0.25">
      <c r="A5031" s="21">
        <v>45821</v>
      </c>
      <c r="B5031" s="1">
        <v>714409723</v>
      </c>
      <c r="C5031" t="s">
        <v>8859</v>
      </c>
      <c r="D5031" s="22">
        <v>-4043.2</v>
      </c>
      <c r="E5031" s="75" t="s">
        <v>35</v>
      </c>
      <c r="F5031" s="2">
        <v>212901001</v>
      </c>
      <c r="G5031" s="2" t="s">
        <v>121</v>
      </c>
      <c r="L5031" s="2" t="s">
        <v>8860</v>
      </c>
      <c r="M5031" t="s">
        <v>67</v>
      </c>
      <c r="N5031" t="s">
        <v>68</v>
      </c>
      <c r="P5031" s="23">
        <v>101.08</v>
      </c>
      <c r="Q5031" s="4">
        <f t="shared" si="78"/>
        <v>-40</v>
      </c>
      <c r="R5031" s="23" t="s">
        <v>109</v>
      </c>
    </row>
    <row r="5032" spans="1:18" x14ac:dyDescent="0.25">
      <c r="A5032" s="21">
        <v>45821</v>
      </c>
      <c r="B5032" s="1">
        <v>714409722</v>
      </c>
      <c r="C5032" t="s">
        <v>8861</v>
      </c>
      <c r="D5032" s="22">
        <v>-4043.2</v>
      </c>
      <c r="E5032" s="75" t="s">
        <v>35</v>
      </c>
      <c r="F5032" s="2">
        <v>212901001</v>
      </c>
      <c r="G5032" s="2" t="s">
        <v>121</v>
      </c>
      <c r="L5032" s="2" t="s">
        <v>8862</v>
      </c>
      <c r="M5032" t="s">
        <v>67</v>
      </c>
      <c r="N5032" t="s">
        <v>68</v>
      </c>
      <c r="P5032" s="23">
        <v>101.08</v>
      </c>
      <c r="Q5032" s="4">
        <f t="shared" si="78"/>
        <v>-40</v>
      </c>
      <c r="R5032" s="23" t="s">
        <v>109</v>
      </c>
    </row>
    <row r="5033" spans="1:18" x14ac:dyDescent="0.25">
      <c r="A5033" s="21">
        <v>45821</v>
      </c>
      <c r="B5033" s="1">
        <v>714409725</v>
      </c>
      <c r="C5033" t="s">
        <v>8863</v>
      </c>
      <c r="D5033" s="22">
        <v>-4043.2</v>
      </c>
      <c r="E5033" s="75" t="s">
        <v>35</v>
      </c>
      <c r="F5033" s="2">
        <v>212901001</v>
      </c>
      <c r="G5033" s="2" t="s">
        <v>121</v>
      </c>
      <c r="L5033" s="2" t="s">
        <v>8864</v>
      </c>
      <c r="M5033" t="s">
        <v>67</v>
      </c>
      <c r="N5033" t="s">
        <v>68</v>
      </c>
      <c r="P5033" s="23">
        <v>101.08</v>
      </c>
      <c r="Q5033" s="4">
        <f t="shared" si="78"/>
        <v>-40</v>
      </c>
      <c r="R5033" s="23" t="s">
        <v>109</v>
      </c>
    </row>
    <row r="5034" spans="1:18" x14ac:dyDescent="0.25">
      <c r="A5034" s="21">
        <v>45821</v>
      </c>
      <c r="B5034" s="1">
        <v>714409726</v>
      </c>
      <c r="C5034" t="s">
        <v>8865</v>
      </c>
      <c r="D5034" s="22">
        <v>-4043.2</v>
      </c>
      <c r="E5034" s="75" t="s">
        <v>35</v>
      </c>
      <c r="F5034" s="2">
        <v>212901001</v>
      </c>
      <c r="G5034" s="2" t="s">
        <v>121</v>
      </c>
      <c r="L5034" s="2" t="s">
        <v>8866</v>
      </c>
      <c r="M5034" t="s">
        <v>67</v>
      </c>
      <c r="N5034" t="s">
        <v>68</v>
      </c>
      <c r="P5034" s="23">
        <v>101.08</v>
      </c>
      <c r="Q5034" s="4">
        <f t="shared" si="78"/>
        <v>-40</v>
      </c>
      <c r="R5034" s="23" t="s">
        <v>109</v>
      </c>
    </row>
    <row r="5035" spans="1:18" x14ac:dyDescent="0.25">
      <c r="A5035" s="21">
        <v>45821</v>
      </c>
      <c r="B5035" s="1">
        <v>814409729</v>
      </c>
      <c r="C5035" t="s">
        <v>8867</v>
      </c>
      <c r="D5035" s="22">
        <v>-10108</v>
      </c>
      <c r="E5035" s="75" t="s">
        <v>35</v>
      </c>
      <c r="F5035" s="2">
        <v>212901001</v>
      </c>
      <c r="G5035" s="2" t="s">
        <v>121</v>
      </c>
      <c r="L5035" s="2" t="s">
        <v>8868</v>
      </c>
      <c r="M5035" t="s">
        <v>67</v>
      </c>
      <c r="N5035" t="s">
        <v>68</v>
      </c>
      <c r="P5035" s="23">
        <v>101.08</v>
      </c>
      <c r="Q5035" s="4">
        <f t="shared" si="78"/>
        <v>-100</v>
      </c>
      <c r="R5035" s="23" t="s">
        <v>109</v>
      </c>
    </row>
    <row r="5036" spans="1:18" x14ac:dyDescent="0.25">
      <c r="A5036" s="21">
        <v>45821</v>
      </c>
      <c r="B5036" s="1">
        <v>814409727</v>
      </c>
      <c r="C5036" t="s">
        <v>8869</v>
      </c>
      <c r="D5036" s="22">
        <v>-4043.2</v>
      </c>
      <c r="E5036" s="75" t="s">
        <v>35</v>
      </c>
      <c r="F5036" s="2">
        <v>212901001</v>
      </c>
      <c r="G5036" s="2" t="s">
        <v>121</v>
      </c>
      <c r="L5036" s="2" t="s">
        <v>8870</v>
      </c>
      <c r="M5036" t="s">
        <v>67</v>
      </c>
      <c r="N5036" t="s">
        <v>68</v>
      </c>
      <c r="P5036" s="23">
        <v>101.08</v>
      </c>
      <c r="Q5036" s="4">
        <f t="shared" si="78"/>
        <v>-40</v>
      </c>
      <c r="R5036" s="23" t="s">
        <v>109</v>
      </c>
    </row>
    <row r="5037" spans="1:18" x14ac:dyDescent="0.25">
      <c r="A5037" s="21">
        <v>45821</v>
      </c>
      <c r="B5037" s="1">
        <v>814409733</v>
      </c>
      <c r="C5037" t="s">
        <v>8871</v>
      </c>
      <c r="D5037" s="22">
        <v>-3032.4</v>
      </c>
      <c r="E5037" s="75" t="s">
        <v>35</v>
      </c>
      <c r="F5037" s="2">
        <v>212901001</v>
      </c>
      <c r="G5037" s="2" t="s">
        <v>121</v>
      </c>
      <c r="L5037" s="2" t="s">
        <v>8872</v>
      </c>
      <c r="M5037" t="s">
        <v>67</v>
      </c>
      <c r="N5037" t="s">
        <v>68</v>
      </c>
      <c r="P5037" s="23">
        <v>101.08</v>
      </c>
      <c r="Q5037" s="4">
        <f t="shared" si="78"/>
        <v>-30</v>
      </c>
      <c r="R5037" s="23" t="s">
        <v>109</v>
      </c>
    </row>
    <row r="5038" spans="1:18" x14ac:dyDescent="0.25">
      <c r="A5038" s="21">
        <v>45821</v>
      </c>
      <c r="B5038" s="1">
        <v>814409728</v>
      </c>
      <c r="C5038" t="s">
        <v>8873</v>
      </c>
      <c r="D5038" s="22">
        <v>-4043.2</v>
      </c>
      <c r="E5038" s="75" t="s">
        <v>35</v>
      </c>
      <c r="F5038" s="2">
        <v>212901001</v>
      </c>
      <c r="G5038" s="2" t="s">
        <v>121</v>
      </c>
      <c r="L5038" s="2" t="s">
        <v>8874</v>
      </c>
      <c r="M5038" t="s">
        <v>67</v>
      </c>
      <c r="N5038" t="s">
        <v>68</v>
      </c>
      <c r="P5038" s="23">
        <v>101.08</v>
      </c>
      <c r="Q5038" s="4">
        <f t="shared" si="78"/>
        <v>-40</v>
      </c>
      <c r="R5038" s="23" t="s">
        <v>109</v>
      </c>
    </row>
    <row r="5039" spans="1:18" x14ac:dyDescent="0.25">
      <c r="A5039" s="21">
        <v>45821</v>
      </c>
      <c r="B5039" s="1">
        <v>814409732</v>
      </c>
      <c r="C5039" t="s">
        <v>8875</v>
      </c>
      <c r="D5039" s="22">
        <v>-15162</v>
      </c>
      <c r="E5039" s="75" t="s">
        <v>35</v>
      </c>
      <c r="F5039" s="2">
        <v>212901001</v>
      </c>
      <c r="G5039" s="2" t="s">
        <v>121</v>
      </c>
      <c r="L5039" s="2" t="s">
        <v>8876</v>
      </c>
      <c r="M5039" t="s">
        <v>67</v>
      </c>
      <c r="N5039" t="s">
        <v>68</v>
      </c>
      <c r="P5039" s="23">
        <v>101.08</v>
      </c>
      <c r="Q5039" s="4">
        <f t="shared" si="78"/>
        <v>-150</v>
      </c>
      <c r="R5039" s="23" t="s">
        <v>109</v>
      </c>
    </row>
    <row r="5040" spans="1:18" x14ac:dyDescent="0.25">
      <c r="A5040" s="21">
        <v>45821</v>
      </c>
      <c r="B5040" s="1">
        <v>814409730</v>
      </c>
      <c r="C5040" t="s">
        <v>8877</v>
      </c>
      <c r="D5040" s="22">
        <v>-10108</v>
      </c>
      <c r="E5040" s="75" t="s">
        <v>35</v>
      </c>
      <c r="F5040" s="2">
        <v>212901001</v>
      </c>
      <c r="G5040" s="2" t="s">
        <v>121</v>
      </c>
      <c r="L5040" s="2" t="s">
        <v>8878</v>
      </c>
      <c r="M5040" t="s">
        <v>67</v>
      </c>
      <c r="N5040" t="s">
        <v>68</v>
      </c>
      <c r="P5040" s="23">
        <v>101.08</v>
      </c>
      <c r="Q5040" s="4">
        <f t="shared" si="78"/>
        <v>-100</v>
      </c>
      <c r="R5040" s="23" t="s">
        <v>109</v>
      </c>
    </row>
    <row r="5041" spans="1:18" x14ac:dyDescent="0.25">
      <c r="A5041" s="21">
        <v>45821</v>
      </c>
      <c r="B5041" s="1">
        <v>914409740</v>
      </c>
      <c r="C5041" t="s">
        <v>8879</v>
      </c>
      <c r="D5041" s="22">
        <v>-606.48</v>
      </c>
      <c r="E5041" s="75" t="s">
        <v>35</v>
      </c>
      <c r="F5041" s="2">
        <v>212901001</v>
      </c>
      <c r="G5041" s="2" t="s">
        <v>121</v>
      </c>
      <c r="L5041" s="2" t="s">
        <v>8880</v>
      </c>
      <c r="M5041" t="s">
        <v>67</v>
      </c>
      <c r="N5041" t="s">
        <v>68</v>
      </c>
      <c r="P5041" s="23">
        <v>101.08</v>
      </c>
      <c r="Q5041" s="4">
        <f t="shared" si="78"/>
        <v>-6</v>
      </c>
      <c r="R5041" s="23" t="s">
        <v>109</v>
      </c>
    </row>
    <row r="5042" spans="1:18" x14ac:dyDescent="0.25">
      <c r="A5042" s="21">
        <v>45821</v>
      </c>
      <c r="B5042" s="1">
        <v>914409742</v>
      </c>
      <c r="C5042" t="s">
        <v>8881</v>
      </c>
      <c r="D5042" s="22">
        <v>-6064.8</v>
      </c>
      <c r="E5042" s="75" t="s">
        <v>35</v>
      </c>
      <c r="F5042" s="2">
        <v>212901001</v>
      </c>
      <c r="G5042" s="2" t="s">
        <v>121</v>
      </c>
      <c r="L5042" s="2" t="s">
        <v>8882</v>
      </c>
      <c r="M5042" t="s">
        <v>67</v>
      </c>
      <c r="N5042" t="s">
        <v>68</v>
      </c>
      <c r="P5042" s="23">
        <v>101.08</v>
      </c>
      <c r="Q5042" s="4">
        <f t="shared" si="78"/>
        <v>-60</v>
      </c>
      <c r="R5042" s="23" t="s">
        <v>109</v>
      </c>
    </row>
    <row r="5043" spans="1:18" x14ac:dyDescent="0.25">
      <c r="A5043" s="21">
        <v>45821</v>
      </c>
      <c r="B5043" s="1">
        <v>814409738</v>
      </c>
      <c r="C5043" t="s">
        <v>8883</v>
      </c>
      <c r="D5043" s="22">
        <v>-8086.4</v>
      </c>
      <c r="E5043" s="75" t="s">
        <v>35</v>
      </c>
      <c r="F5043" s="2">
        <v>212901001</v>
      </c>
      <c r="G5043" s="2" t="s">
        <v>121</v>
      </c>
      <c r="L5043" s="2" t="s">
        <v>8884</v>
      </c>
      <c r="M5043" t="s">
        <v>67</v>
      </c>
      <c r="N5043" t="s">
        <v>68</v>
      </c>
      <c r="P5043" s="23">
        <v>101.08</v>
      </c>
      <c r="Q5043" s="4">
        <f t="shared" si="78"/>
        <v>-80</v>
      </c>
      <c r="R5043" s="23" t="s">
        <v>109</v>
      </c>
    </row>
    <row r="5044" spans="1:18" x14ac:dyDescent="0.25">
      <c r="A5044" s="21">
        <v>45821</v>
      </c>
      <c r="B5044" s="1">
        <v>914409743</v>
      </c>
      <c r="C5044" t="s">
        <v>8885</v>
      </c>
      <c r="D5044" s="22">
        <v>-7075.6</v>
      </c>
      <c r="E5044" s="75" t="s">
        <v>35</v>
      </c>
      <c r="F5044" s="2">
        <v>212901001</v>
      </c>
      <c r="G5044" s="2" t="s">
        <v>121</v>
      </c>
      <c r="L5044" s="2" t="s">
        <v>8886</v>
      </c>
      <c r="M5044" t="s">
        <v>67</v>
      </c>
      <c r="N5044" t="s">
        <v>68</v>
      </c>
      <c r="P5044" s="23">
        <v>101.08</v>
      </c>
      <c r="Q5044" s="4">
        <f t="shared" si="78"/>
        <v>-70</v>
      </c>
      <c r="R5044" s="23" t="s">
        <v>109</v>
      </c>
    </row>
    <row r="5045" spans="1:18" x14ac:dyDescent="0.25">
      <c r="A5045" s="21">
        <v>45821</v>
      </c>
      <c r="B5045" s="1">
        <v>914409741</v>
      </c>
      <c r="C5045" t="s">
        <v>8887</v>
      </c>
      <c r="D5045" s="22">
        <v>-7075.6</v>
      </c>
      <c r="E5045" s="75" t="s">
        <v>35</v>
      </c>
      <c r="F5045" s="2">
        <v>212901001</v>
      </c>
      <c r="G5045" s="2" t="s">
        <v>121</v>
      </c>
      <c r="L5045" s="2" t="s">
        <v>8888</v>
      </c>
      <c r="M5045" t="s">
        <v>67</v>
      </c>
      <c r="N5045" t="s">
        <v>68</v>
      </c>
      <c r="P5045" s="23">
        <v>101.08</v>
      </c>
      <c r="Q5045" s="4">
        <f t="shared" si="78"/>
        <v>-70</v>
      </c>
      <c r="R5045" s="23" t="s">
        <v>109</v>
      </c>
    </row>
    <row r="5046" spans="1:18" x14ac:dyDescent="0.25">
      <c r="A5046" s="21">
        <v>45821</v>
      </c>
      <c r="B5046" s="1">
        <v>914409744</v>
      </c>
      <c r="C5046" t="s">
        <v>8889</v>
      </c>
      <c r="D5046" s="22">
        <v>-5054</v>
      </c>
      <c r="E5046" s="75" t="s">
        <v>35</v>
      </c>
      <c r="F5046" s="2">
        <v>212901001</v>
      </c>
      <c r="G5046" s="2" t="s">
        <v>121</v>
      </c>
      <c r="L5046" s="2" t="s">
        <v>8890</v>
      </c>
      <c r="M5046" t="s">
        <v>67</v>
      </c>
      <c r="N5046" t="s">
        <v>68</v>
      </c>
      <c r="P5046" s="23">
        <v>101.08</v>
      </c>
      <c r="Q5046" s="4">
        <f t="shared" si="78"/>
        <v>-50</v>
      </c>
      <c r="R5046" s="23" t="s">
        <v>109</v>
      </c>
    </row>
    <row r="5047" spans="1:18" x14ac:dyDescent="0.25">
      <c r="A5047" s="21">
        <v>45821</v>
      </c>
      <c r="B5047" s="1">
        <v>914409745</v>
      </c>
      <c r="C5047" t="s">
        <v>8891</v>
      </c>
      <c r="D5047" s="22">
        <v>-7075.6</v>
      </c>
      <c r="E5047" s="75" t="s">
        <v>35</v>
      </c>
      <c r="F5047" s="2">
        <v>212901001</v>
      </c>
      <c r="G5047" s="2" t="s">
        <v>121</v>
      </c>
      <c r="L5047" s="2" t="s">
        <v>8892</v>
      </c>
      <c r="M5047" t="s">
        <v>67</v>
      </c>
      <c r="N5047" t="s">
        <v>68</v>
      </c>
      <c r="P5047" s="23">
        <v>101.08</v>
      </c>
      <c r="Q5047" s="4">
        <f t="shared" si="78"/>
        <v>-70</v>
      </c>
      <c r="R5047" s="23" t="s">
        <v>109</v>
      </c>
    </row>
    <row r="5048" spans="1:18" x14ac:dyDescent="0.25">
      <c r="A5048" s="21">
        <v>45821</v>
      </c>
      <c r="B5048" s="1">
        <v>814409734</v>
      </c>
      <c r="C5048" t="s">
        <v>8893</v>
      </c>
      <c r="D5048" s="22">
        <v>-11118.8</v>
      </c>
      <c r="E5048" s="75" t="s">
        <v>35</v>
      </c>
      <c r="F5048" s="2">
        <v>212901001</v>
      </c>
      <c r="G5048" s="2" t="s">
        <v>121</v>
      </c>
      <c r="L5048" s="2" t="s">
        <v>8894</v>
      </c>
      <c r="M5048" t="s">
        <v>67</v>
      </c>
      <c r="N5048" t="s">
        <v>68</v>
      </c>
      <c r="P5048" s="23">
        <v>101.08</v>
      </c>
      <c r="Q5048" s="4">
        <f t="shared" si="78"/>
        <v>-110</v>
      </c>
      <c r="R5048" s="23" t="s">
        <v>109</v>
      </c>
    </row>
    <row r="5049" spans="1:18" x14ac:dyDescent="0.25">
      <c r="A5049" s="21">
        <v>45821</v>
      </c>
      <c r="B5049" s="1">
        <v>914409739</v>
      </c>
      <c r="C5049" t="s">
        <v>8895</v>
      </c>
      <c r="D5049" s="22">
        <v>-10108</v>
      </c>
      <c r="E5049" s="75" t="s">
        <v>35</v>
      </c>
      <c r="F5049" s="2">
        <v>212901001</v>
      </c>
      <c r="G5049" s="2" t="s">
        <v>121</v>
      </c>
      <c r="L5049" s="2" t="s">
        <v>8896</v>
      </c>
      <c r="M5049" t="s">
        <v>67</v>
      </c>
      <c r="N5049" t="s">
        <v>68</v>
      </c>
      <c r="P5049" s="23">
        <v>101.08</v>
      </c>
      <c r="Q5049" s="4">
        <f t="shared" si="78"/>
        <v>-100</v>
      </c>
      <c r="R5049" s="23" t="s">
        <v>109</v>
      </c>
    </row>
    <row r="5050" spans="1:18" x14ac:dyDescent="0.25">
      <c r="A5050" s="21">
        <v>45821</v>
      </c>
      <c r="B5050" s="1">
        <v>914409746</v>
      </c>
      <c r="C5050" t="s">
        <v>8897</v>
      </c>
      <c r="D5050" s="22">
        <v>-5054</v>
      </c>
      <c r="E5050" s="75" t="s">
        <v>35</v>
      </c>
      <c r="F5050" s="2">
        <v>212901001</v>
      </c>
      <c r="G5050" s="2" t="s">
        <v>121</v>
      </c>
      <c r="L5050" s="2" t="s">
        <v>8898</v>
      </c>
      <c r="M5050" t="s">
        <v>67</v>
      </c>
      <c r="N5050" t="s">
        <v>68</v>
      </c>
      <c r="P5050" s="23">
        <v>101.08</v>
      </c>
      <c r="Q5050" s="4">
        <f t="shared" si="78"/>
        <v>-50</v>
      </c>
      <c r="R5050" s="23" t="s">
        <v>109</v>
      </c>
    </row>
    <row r="5051" spans="1:18" x14ac:dyDescent="0.25">
      <c r="A5051" s="21">
        <v>45821</v>
      </c>
      <c r="B5051" s="1">
        <v>14409747</v>
      </c>
      <c r="C5051" t="s">
        <v>8899</v>
      </c>
      <c r="D5051" s="22">
        <v>-5054</v>
      </c>
      <c r="E5051" s="75" t="s">
        <v>35</v>
      </c>
      <c r="F5051" s="2">
        <v>212901001</v>
      </c>
      <c r="G5051" s="2" t="s">
        <v>121</v>
      </c>
      <c r="L5051" s="2" t="s">
        <v>8900</v>
      </c>
      <c r="M5051" t="s">
        <v>67</v>
      </c>
      <c r="N5051" t="s">
        <v>68</v>
      </c>
      <c r="P5051" s="23">
        <v>101.08</v>
      </c>
      <c r="Q5051" s="4">
        <f t="shared" si="78"/>
        <v>-50</v>
      </c>
      <c r="R5051" s="23" t="s">
        <v>109</v>
      </c>
    </row>
    <row r="5052" spans="1:18" x14ac:dyDescent="0.25">
      <c r="A5052" s="21">
        <v>45821</v>
      </c>
      <c r="B5052" s="1">
        <v>14409748</v>
      </c>
      <c r="C5052" t="s">
        <v>8901</v>
      </c>
      <c r="D5052" s="22">
        <v>-5054</v>
      </c>
      <c r="E5052" s="75" t="s">
        <v>35</v>
      </c>
      <c r="F5052" s="2">
        <v>212901001</v>
      </c>
      <c r="G5052" s="2" t="s">
        <v>121</v>
      </c>
      <c r="L5052" s="2" t="s">
        <v>8902</v>
      </c>
      <c r="M5052" t="s">
        <v>67</v>
      </c>
      <c r="N5052" t="s">
        <v>68</v>
      </c>
      <c r="P5052" s="23">
        <v>101.08</v>
      </c>
      <c r="Q5052" s="4">
        <f t="shared" si="78"/>
        <v>-50</v>
      </c>
      <c r="R5052" s="23" t="s">
        <v>109</v>
      </c>
    </row>
    <row r="5053" spans="1:18" x14ac:dyDescent="0.25">
      <c r="A5053" s="21">
        <v>45821</v>
      </c>
      <c r="B5053" s="1">
        <v>14409752</v>
      </c>
      <c r="C5053" t="s">
        <v>8903</v>
      </c>
      <c r="D5053" s="22">
        <v>-5054</v>
      </c>
      <c r="E5053" s="75" t="s">
        <v>35</v>
      </c>
      <c r="F5053" s="2">
        <v>212901001</v>
      </c>
      <c r="G5053" s="2" t="s">
        <v>121</v>
      </c>
      <c r="L5053" s="2" t="s">
        <v>8904</v>
      </c>
      <c r="M5053" t="s">
        <v>67</v>
      </c>
      <c r="N5053" t="s">
        <v>68</v>
      </c>
      <c r="P5053" s="23">
        <v>101.08</v>
      </c>
      <c r="Q5053" s="4">
        <f t="shared" si="78"/>
        <v>-50</v>
      </c>
      <c r="R5053" s="23" t="s">
        <v>109</v>
      </c>
    </row>
    <row r="5054" spans="1:18" x14ac:dyDescent="0.25">
      <c r="A5054" s="21">
        <v>45821</v>
      </c>
      <c r="B5054" s="1">
        <v>14409757</v>
      </c>
      <c r="C5054" t="s">
        <v>8905</v>
      </c>
      <c r="D5054" s="22">
        <v>-4245.3599999999997</v>
      </c>
      <c r="E5054" s="75" t="s">
        <v>35</v>
      </c>
      <c r="F5054" s="2">
        <v>212901001</v>
      </c>
      <c r="G5054" s="2" t="s">
        <v>121</v>
      </c>
      <c r="L5054" s="2" t="s">
        <v>8906</v>
      </c>
      <c r="M5054" t="s">
        <v>67</v>
      </c>
      <c r="N5054" t="s">
        <v>68</v>
      </c>
      <c r="P5054" s="23">
        <v>101.08</v>
      </c>
      <c r="Q5054" s="4">
        <f t="shared" si="78"/>
        <v>-42</v>
      </c>
      <c r="R5054" s="23" t="s">
        <v>109</v>
      </c>
    </row>
    <row r="5055" spans="1:18" x14ac:dyDescent="0.25">
      <c r="A5055" s="21">
        <v>45821</v>
      </c>
      <c r="B5055" s="1">
        <v>14409758</v>
      </c>
      <c r="C5055" t="s">
        <v>8891</v>
      </c>
      <c r="D5055" s="22">
        <v>-5054</v>
      </c>
      <c r="E5055" s="75" t="s">
        <v>35</v>
      </c>
      <c r="F5055" s="2">
        <v>212901001</v>
      </c>
      <c r="G5055" s="2" t="s">
        <v>121</v>
      </c>
      <c r="L5055" s="2" t="s">
        <v>8907</v>
      </c>
      <c r="M5055" t="s">
        <v>67</v>
      </c>
      <c r="N5055" t="s">
        <v>68</v>
      </c>
      <c r="P5055" s="23">
        <v>101.08</v>
      </c>
      <c r="Q5055" s="4">
        <f t="shared" si="78"/>
        <v>-50</v>
      </c>
      <c r="R5055" s="23" t="s">
        <v>109</v>
      </c>
    </row>
    <row r="5056" spans="1:18" x14ac:dyDescent="0.25">
      <c r="A5056" s="21">
        <v>45821</v>
      </c>
      <c r="B5056" s="1">
        <v>14409749</v>
      </c>
      <c r="C5056" t="s">
        <v>8908</v>
      </c>
      <c r="D5056" s="22">
        <v>-5054</v>
      </c>
      <c r="E5056" s="75" t="s">
        <v>35</v>
      </c>
      <c r="F5056" s="2">
        <v>212901001</v>
      </c>
      <c r="G5056" s="2" t="s">
        <v>121</v>
      </c>
      <c r="L5056" s="2" t="s">
        <v>8909</v>
      </c>
      <c r="M5056" t="s">
        <v>67</v>
      </c>
      <c r="N5056" t="s">
        <v>68</v>
      </c>
      <c r="P5056" s="23">
        <v>101.08</v>
      </c>
      <c r="Q5056" s="4">
        <f t="shared" si="78"/>
        <v>-50</v>
      </c>
      <c r="R5056" s="23" t="s">
        <v>109</v>
      </c>
    </row>
    <row r="5057" spans="1:18" x14ac:dyDescent="0.25">
      <c r="A5057" s="21">
        <v>45821</v>
      </c>
      <c r="B5057" s="1">
        <v>14409750</v>
      </c>
      <c r="C5057" t="s">
        <v>8910</v>
      </c>
      <c r="D5057" s="22">
        <v>-5054</v>
      </c>
      <c r="E5057" s="75" t="s">
        <v>35</v>
      </c>
      <c r="F5057" s="2">
        <v>212901001</v>
      </c>
      <c r="G5057" s="2" t="s">
        <v>121</v>
      </c>
      <c r="L5057" s="2" t="s">
        <v>8911</v>
      </c>
      <c r="M5057" t="s">
        <v>67</v>
      </c>
      <c r="N5057" t="s">
        <v>68</v>
      </c>
      <c r="P5057" s="23">
        <v>101.08</v>
      </c>
      <c r="Q5057" s="4">
        <f t="shared" si="78"/>
        <v>-50</v>
      </c>
      <c r="R5057" s="23" t="s">
        <v>109</v>
      </c>
    </row>
    <row r="5058" spans="1:18" x14ac:dyDescent="0.25">
      <c r="A5058" s="21">
        <v>45821</v>
      </c>
      <c r="B5058" s="1">
        <v>14409756</v>
      </c>
      <c r="C5058" t="s">
        <v>8912</v>
      </c>
      <c r="D5058" s="22">
        <v>-5054</v>
      </c>
      <c r="E5058" s="75" t="s">
        <v>35</v>
      </c>
      <c r="F5058" s="2">
        <v>212901001</v>
      </c>
      <c r="G5058" s="2" t="s">
        <v>121</v>
      </c>
      <c r="L5058" s="2" t="s">
        <v>8913</v>
      </c>
      <c r="M5058" t="s">
        <v>67</v>
      </c>
      <c r="N5058" t="s">
        <v>68</v>
      </c>
      <c r="P5058" s="23">
        <v>101.08</v>
      </c>
      <c r="Q5058" s="4">
        <f t="shared" si="78"/>
        <v>-50</v>
      </c>
      <c r="R5058" s="23" t="s">
        <v>109</v>
      </c>
    </row>
    <row r="5059" spans="1:18" x14ac:dyDescent="0.25">
      <c r="A5059" s="21">
        <v>45821</v>
      </c>
      <c r="B5059" s="1">
        <v>14409759</v>
      </c>
      <c r="C5059" t="s">
        <v>8914</v>
      </c>
      <c r="D5059" s="22">
        <v>-5054</v>
      </c>
      <c r="E5059" s="75" t="s">
        <v>35</v>
      </c>
      <c r="F5059" s="2">
        <v>212901001</v>
      </c>
      <c r="G5059" s="2" t="s">
        <v>121</v>
      </c>
      <c r="L5059" s="2" t="s">
        <v>8915</v>
      </c>
      <c r="M5059" t="s">
        <v>67</v>
      </c>
      <c r="N5059" t="s">
        <v>68</v>
      </c>
      <c r="P5059" s="23">
        <v>101.08</v>
      </c>
      <c r="Q5059" s="4">
        <f t="shared" si="78"/>
        <v>-50</v>
      </c>
      <c r="R5059" s="23" t="s">
        <v>109</v>
      </c>
    </row>
    <row r="5060" spans="1:18" x14ac:dyDescent="0.25">
      <c r="A5060" s="21">
        <v>45821</v>
      </c>
      <c r="B5060" s="1">
        <v>114409761</v>
      </c>
      <c r="C5060" t="s">
        <v>8916</v>
      </c>
      <c r="D5060" s="22">
        <v>-5054</v>
      </c>
      <c r="E5060" s="75" t="s">
        <v>35</v>
      </c>
      <c r="F5060" s="2">
        <v>212901001</v>
      </c>
      <c r="G5060" s="2" t="s">
        <v>121</v>
      </c>
      <c r="L5060" s="2" t="s">
        <v>8917</v>
      </c>
      <c r="M5060" t="s">
        <v>67</v>
      </c>
      <c r="N5060" t="s">
        <v>68</v>
      </c>
      <c r="P5060" s="23">
        <v>101.08</v>
      </c>
      <c r="Q5060" s="4">
        <f t="shared" si="78"/>
        <v>-50</v>
      </c>
      <c r="R5060" s="23" t="s">
        <v>109</v>
      </c>
    </row>
    <row r="5061" spans="1:18" x14ac:dyDescent="0.25">
      <c r="A5061" s="21">
        <v>45821</v>
      </c>
      <c r="B5061" s="1">
        <v>114409765</v>
      </c>
      <c r="C5061" t="s">
        <v>8918</v>
      </c>
      <c r="D5061" s="22">
        <v>-2021.6</v>
      </c>
      <c r="E5061" s="75" t="s">
        <v>35</v>
      </c>
      <c r="F5061" s="2">
        <v>212901001</v>
      </c>
      <c r="G5061" s="2" t="s">
        <v>121</v>
      </c>
      <c r="L5061" s="2" t="s">
        <v>8919</v>
      </c>
      <c r="M5061" t="s">
        <v>67</v>
      </c>
      <c r="N5061" t="s">
        <v>68</v>
      </c>
      <c r="P5061" s="23">
        <v>101.08</v>
      </c>
      <c r="Q5061" s="4">
        <f t="shared" si="78"/>
        <v>-20</v>
      </c>
      <c r="R5061" s="23" t="s">
        <v>109</v>
      </c>
    </row>
    <row r="5062" spans="1:18" x14ac:dyDescent="0.25">
      <c r="A5062" s="21">
        <v>45821</v>
      </c>
      <c r="B5062" s="1">
        <v>114409762</v>
      </c>
      <c r="C5062" t="s">
        <v>8920</v>
      </c>
      <c r="D5062" s="22">
        <v>-5862.64</v>
      </c>
      <c r="E5062" s="75" t="s">
        <v>35</v>
      </c>
      <c r="F5062" s="2">
        <v>212901001</v>
      </c>
      <c r="G5062" s="2" t="s">
        <v>121</v>
      </c>
      <c r="L5062" s="2" t="s">
        <v>8921</v>
      </c>
      <c r="M5062" t="s">
        <v>67</v>
      </c>
      <c r="N5062" t="s">
        <v>68</v>
      </c>
      <c r="P5062" s="23">
        <v>101.08</v>
      </c>
      <c r="Q5062" s="4">
        <f t="shared" si="78"/>
        <v>-58.000000000000007</v>
      </c>
      <c r="R5062" s="23" t="s">
        <v>109</v>
      </c>
    </row>
    <row r="5063" spans="1:18" x14ac:dyDescent="0.25">
      <c r="A5063" s="21">
        <v>45821</v>
      </c>
      <c r="B5063" s="1">
        <v>114409760</v>
      </c>
      <c r="C5063" t="s">
        <v>8922</v>
      </c>
      <c r="D5063" s="22">
        <v>-5054</v>
      </c>
      <c r="E5063" s="75" t="s">
        <v>35</v>
      </c>
      <c r="F5063" s="2">
        <v>212901001</v>
      </c>
      <c r="G5063" s="2" t="s">
        <v>121</v>
      </c>
      <c r="L5063" s="2" t="s">
        <v>8923</v>
      </c>
      <c r="M5063" t="s">
        <v>67</v>
      </c>
      <c r="N5063" t="s">
        <v>68</v>
      </c>
      <c r="P5063" s="23">
        <v>101.08</v>
      </c>
      <c r="Q5063" s="4">
        <f t="shared" si="78"/>
        <v>-50</v>
      </c>
      <c r="R5063" s="23" t="s">
        <v>109</v>
      </c>
    </row>
    <row r="5064" spans="1:18" x14ac:dyDescent="0.25">
      <c r="A5064" s="21">
        <v>45821</v>
      </c>
      <c r="B5064" s="1">
        <v>114409764</v>
      </c>
      <c r="C5064" t="s">
        <v>8924</v>
      </c>
      <c r="D5064" s="22">
        <v>-2021.6</v>
      </c>
      <c r="E5064" s="75" t="s">
        <v>35</v>
      </c>
      <c r="F5064" s="2">
        <v>212901001</v>
      </c>
      <c r="G5064" s="2" t="s">
        <v>121</v>
      </c>
      <c r="L5064" s="2" t="s">
        <v>8925</v>
      </c>
      <c r="M5064" t="s">
        <v>67</v>
      </c>
      <c r="N5064" t="s">
        <v>68</v>
      </c>
      <c r="P5064" s="23">
        <v>101.08</v>
      </c>
      <c r="Q5064" s="4">
        <f t="shared" si="78"/>
        <v>-20</v>
      </c>
      <c r="R5064" s="23" t="s">
        <v>109</v>
      </c>
    </row>
    <row r="5065" spans="1:18" x14ac:dyDescent="0.25">
      <c r="A5065" s="21">
        <v>45821</v>
      </c>
      <c r="B5065" s="1">
        <v>114409768</v>
      </c>
      <c r="C5065" t="s">
        <v>8926</v>
      </c>
      <c r="D5065" s="22">
        <v>-10108</v>
      </c>
      <c r="E5065" s="75" t="s">
        <v>35</v>
      </c>
      <c r="F5065" s="2">
        <v>212901001</v>
      </c>
      <c r="G5065" s="2" t="s">
        <v>121</v>
      </c>
      <c r="L5065" s="2" t="s">
        <v>8927</v>
      </c>
      <c r="M5065" t="s">
        <v>67</v>
      </c>
      <c r="N5065" t="s">
        <v>68</v>
      </c>
      <c r="P5065" s="23">
        <v>101.08</v>
      </c>
      <c r="Q5065" s="4">
        <f t="shared" si="78"/>
        <v>-100</v>
      </c>
      <c r="R5065" s="23" t="s">
        <v>109</v>
      </c>
    </row>
    <row r="5066" spans="1:18" x14ac:dyDescent="0.25">
      <c r="A5066" s="21">
        <v>45821</v>
      </c>
      <c r="B5066" s="1">
        <v>114409766</v>
      </c>
      <c r="C5066" t="s">
        <v>8928</v>
      </c>
      <c r="D5066" s="22">
        <v>-2021.6</v>
      </c>
      <c r="E5066" s="75" t="s">
        <v>35</v>
      </c>
      <c r="F5066" s="2">
        <v>212901001</v>
      </c>
      <c r="G5066" s="2" t="s">
        <v>121</v>
      </c>
      <c r="L5066" s="2" t="s">
        <v>8929</v>
      </c>
      <c r="M5066" t="s">
        <v>67</v>
      </c>
      <c r="N5066" t="s">
        <v>68</v>
      </c>
      <c r="P5066" s="23">
        <v>101.08</v>
      </c>
      <c r="Q5066" s="4">
        <f t="shared" si="78"/>
        <v>-20</v>
      </c>
      <c r="R5066" s="23" t="s">
        <v>109</v>
      </c>
    </row>
    <row r="5067" spans="1:18" x14ac:dyDescent="0.25">
      <c r="A5067" s="21">
        <v>45821</v>
      </c>
      <c r="B5067" s="1">
        <v>114409767</v>
      </c>
      <c r="C5067" t="s">
        <v>8930</v>
      </c>
      <c r="D5067" s="22">
        <v>-2021.6</v>
      </c>
      <c r="E5067" s="75" t="s">
        <v>35</v>
      </c>
      <c r="F5067" s="2">
        <v>212901001</v>
      </c>
      <c r="G5067" s="2" t="s">
        <v>121</v>
      </c>
      <c r="L5067" s="2" t="s">
        <v>8931</v>
      </c>
      <c r="M5067" t="s">
        <v>67</v>
      </c>
      <c r="N5067" t="s">
        <v>68</v>
      </c>
      <c r="P5067" s="23">
        <v>101.08</v>
      </c>
      <c r="Q5067" s="4">
        <f t="shared" ref="Q5067:Q5130" si="79">D5067/P5067</f>
        <v>-20</v>
      </c>
      <c r="R5067" s="23" t="s">
        <v>109</v>
      </c>
    </row>
    <row r="5068" spans="1:18" x14ac:dyDescent="0.25">
      <c r="A5068" s="21">
        <v>45821</v>
      </c>
      <c r="B5068" s="1">
        <v>114409769</v>
      </c>
      <c r="C5068" t="s">
        <v>8932</v>
      </c>
      <c r="D5068" s="22">
        <v>-20216</v>
      </c>
      <c r="E5068" s="75" t="s">
        <v>35</v>
      </c>
      <c r="F5068" s="2">
        <v>212901001</v>
      </c>
      <c r="G5068" s="2" t="s">
        <v>121</v>
      </c>
      <c r="L5068" s="2" t="s">
        <v>8933</v>
      </c>
      <c r="M5068" t="s">
        <v>67</v>
      </c>
      <c r="N5068" t="s">
        <v>68</v>
      </c>
      <c r="P5068" s="23">
        <v>101.08</v>
      </c>
      <c r="Q5068" s="4">
        <f t="shared" si="79"/>
        <v>-200</v>
      </c>
      <c r="R5068" s="23" t="s">
        <v>109</v>
      </c>
    </row>
    <row r="5069" spans="1:18" x14ac:dyDescent="0.25">
      <c r="A5069" s="21">
        <v>45821</v>
      </c>
      <c r="B5069" s="1">
        <v>214409771</v>
      </c>
      <c r="C5069" t="s">
        <v>8934</v>
      </c>
      <c r="D5069" s="22">
        <v>-3032.4</v>
      </c>
      <c r="E5069" s="75" t="s">
        <v>35</v>
      </c>
      <c r="F5069" s="2">
        <v>212901001</v>
      </c>
      <c r="G5069" s="2" t="s">
        <v>121</v>
      </c>
      <c r="L5069" s="2" t="s">
        <v>8935</v>
      </c>
      <c r="M5069" t="s">
        <v>67</v>
      </c>
      <c r="N5069" t="s">
        <v>68</v>
      </c>
      <c r="P5069" s="23">
        <v>101.08</v>
      </c>
      <c r="Q5069" s="4">
        <f t="shared" si="79"/>
        <v>-30</v>
      </c>
      <c r="R5069" s="23" t="s">
        <v>109</v>
      </c>
    </row>
    <row r="5070" spans="1:18" x14ac:dyDescent="0.25">
      <c r="A5070" s="21">
        <v>45821</v>
      </c>
      <c r="B5070" s="1">
        <v>214409770</v>
      </c>
      <c r="C5070" t="s">
        <v>8936</v>
      </c>
      <c r="D5070" s="22">
        <v>-12331.76</v>
      </c>
      <c r="E5070" s="75" t="s">
        <v>35</v>
      </c>
      <c r="F5070" s="2">
        <v>212901001</v>
      </c>
      <c r="G5070" s="2" t="s">
        <v>121</v>
      </c>
      <c r="L5070" s="2" t="s">
        <v>8937</v>
      </c>
      <c r="M5070" t="s">
        <v>67</v>
      </c>
      <c r="N5070" t="s">
        <v>68</v>
      </c>
      <c r="P5070" s="23">
        <v>101.08</v>
      </c>
      <c r="Q5070" s="4">
        <f t="shared" si="79"/>
        <v>-122</v>
      </c>
      <c r="R5070" s="23" t="s">
        <v>109</v>
      </c>
    </row>
    <row r="5071" spans="1:18" x14ac:dyDescent="0.25">
      <c r="A5071" s="21">
        <v>45821</v>
      </c>
      <c r="B5071" s="1">
        <v>214409772</v>
      </c>
      <c r="C5071" t="s">
        <v>8938</v>
      </c>
      <c r="D5071" s="22">
        <v>-4043.2</v>
      </c>
      <c r="E5071" s="75" t="s">
        <v>35</v>
      </c>
      <c r="F5071" s="2">
        <v>212901001</v>
      </c>
      <c r="G5071" s="2" t="s">
        <v>121</v>
      </c>
      <c r="L5071" s="2" t="s">
        <v>8939</v>
      </c>
      <c r="M5071" t="s">
        <v>67</v>
      </c>
      <c r="N5071" t="s">
        <v>68</v>
      </c>
      <c r="P5071" s="23">
        <v>101.08</v>
      </c>
      <c r="Q5071" s="4">
        <f t="shared" si="79"/>
        <v>-40</v>
      </c>
      <c r="R5071" s="23" t="s">
        <v>109</v>
      </c>
    </row>
    <row r="5072" spans="1:18" x14ac:dyDescent="0.25">
      <c r="A5072" s="21">
        <v>45821</v>
      </c>
      <c r="B5072" s="1">
        <v>50699609</v>
      </c>
      <c r="C5072" t="s">
        <v>8940</v>
      </c>
      <c r="D5072" s="22">
        <v>-14151.2</v>
      </c>
      <c r="E5072" s="75" t="s">
        <v>35</v>
      </c>
      <c r="F5072" s="2">
        <v>212901001</v>
      </c>
      <c r="G5072" s="2" t="s">
        <v>121</v>
      </c>
      <c r="L5072" s="2" t="s">
        <v>8941</v>
      </c>
      <c r="M5072" t="s">
        <v>67</v>
      </c>
      <c r="N5072" t="s">
        <v>68</v>
      </c>
      <c r="P5072" s="23">
        <v>101.08</v>
      </c>
      <c r="Q5072" s="4">
        <f t="shared" si="79"/>
        <v>-140</v>
      </c>
      <c r="R5072" s="23" t="s">
        <v>109</v>
      </c>
    </row>
    <row r="5073" spans="1:23" x14ac:dyDescent="0.25">
      <c r="A5073" s="21">
        <v>45821</v>
      </c>
      <c r="B5073" s="1">
        <v>50699609</v>
      </c>
      <c r="C5073" t="s">
        <v>296</v>
      </c>
      <c r="D5073" s="22">
        <v>-21.22</v>
      </c>
      <c r="E5073" s="75" t="s">
        <v>35</v>
      </c>
      <c r="F5073" s="2">
        <v>610148001</v>
      </c>
      <c r="G5073" s="2" t="s">
        <v>42</v>
      </c>
      <c r="L5073" s="2" t="s">
        <v>8942</v>
      </c>
      <c r="M5073" t="s">
        <v>43</v>
      </c>
      <c r="N5073" t="s">
        <v>42</v>
      </c>
      <c r="P5073" s="23">
        <v>101.08</v>
      </c>
      <c r="Q5073" s="4">
        <f t="shared" si="79"/>
        <v>-0.20993272655322517</v>
      </c>
      <c r="R5073" s="23" t="s">
        <v>109</v>
      </c>
      <c r="T5073" s="23" t="s">
        <v>8423</v>
      </c>
    </row>
    <row r="5074" spans="1:23" x14ac:dyDescent="0.25">
      <c r="A5074" s="21">
        <v>45821</v>
      </c>
      <c r="B5074" s="1">
        <v>50699609</v>
      </c>
      <c r="C5074" t="s">
        <v>118</v>
      </c>
      <c r="D5074" s="22">
        <v>-1137.1500000000001</v>
      </c>
      <c r="E5074" s="75" t="s">
        <v>35</v>
      </c>
      <c r="F5074" s="2">
        <v>610148001</v>
      </c>
      <c r="G5074" s="2" t="s">
        <v>42</v>
      </c>
      <c r="L5074" s="2" t="s">
        <v>8943</v>
      </c>
      <c r="M5074" t="s">
        <v>43</v>
      </c>
      <c r="N5074" t="s">
        <v>42</v>
      </c>
      <c r="P5074" s="23">
        <v>101.08</v>
      </c>
      <c r="Q5074" s="4">
        <f t="shared" si="79"/>
        <v>-11.250000000000002</v>
      </c>
      <c r="R5074" s="23" t="s">
        <v>109</v>
      </c>
      <c r="T5074" s="23" t="s">
        <v>8423</v>
      </c>
    </row>
    <row r="5075" spans="1:23" x14ac:dyDescent="0.25">
      <c r="A5075" s="21">
        <v>45825</v>
      </c>
      <c r="B5075" s="1">
        <v>131001918</v>
      </c>
      <c r="C5075" t="s">
        <v>8411</v>
      </c>
      <c r="D5075" s="22">
        <v>140000</v>
      </c>
      <c r="E5075" s="75" t="s">
        <v>46</v>
      </c>
      <c r="F5075" s="2">
        <v>210115002</v>
      </c>
      <c r="G5075" s="2" t="s">
        <v>47</v>
      </c>
      <c r="L5075" s="2" t="s">
        <v>8944</v>
      </c>
      <c r="N5075" t="s">
        <v>8411</v>
      </c>
      <c r="P5075" s="23">
        <v>102.16</v>
      </c>
      <c r="Q5075" s="4">
        <f t="shared" si="79"/>
        <v>1370.3993735317149</v>
      </c>
      <c r="R5075" s="23" t="s">
        <v>109</v>
      </c>
    </row>
    <row r="5076" spans="1:23" x14ac:dyDescent="0.25">
      <c r="A5076" s="21">
        <v>45825</v>
      </c>
      <c r="B5076" s="1">
        <v>214527431</v>
      </c>
      <c r="C5076" t="s">
        <v>8945</v>
      </c>
      <c r="D5076" s="22">
        <v>-58023.93</v>
      </c>
      <c r="E5076" s="75" t="s">
        <v>35</v>
      </c>
      <c r="F5076" s="2">
        <v>212901001</v>
      </c>
      <c r="G5076" s="2" t="s">
        <v>121</v>
      </c>
      <c r="L5076" s="2" t="s">
        <v>8946</v>
      </c>
      <c r="M5076" t="s">
        <v>67</v>
      </c>
      <c r="N5076" t="s">
        <v>68</v>
      </c>
      <c r="P5076" s="23">
        <v>102.16</v>
      </c>
      <c r="Q5076" s="4">
        <f t="shared" si="79"/>
        <v>-567.97112372748632</v>
      </c>
      <c r="R5076" s="23" t="s">
        <v>109</v>
      </c>
      <c r="U5076">
        <v>43</v>
      </c>
      <c r="V5076" t="e">
        <f>VLOOKUP(U5076,[1]!NOMINA[#Data],4,FALSE)</f>
        <v>#REF!</v>
      </c>
      <c r="W5076" t="e">
        <f>VLOOKUP(U5076,[1]!NOMINA[#Data],5,FALSE)</f>
        <v>#REF!</v>
      </c>
    </row>
    <row r="5077" spans="1:23" x14ac:dyDescent="0.25">
      <c r="A5077" s="21">
        <v>45825</v>
      </c>
      <c r="B5077" s="1">
        <v>214527432</v>
      </c>
      <c r="C5077" t="s">
        <v>8947</v>
      </c>
      <c r="D5077" s="22">
        <v>-19581.87</v>
      </c>
      <c r="E5077" s="75" t="s">
        <v>35</v>
      </c>
      <c r="F5077" s="2">
        <v>212901001</v>
      </c>
      <c r="G5077" s="2" t="s">
        <v>121</v>
      </c>
      <c r="L5077" s="2" t="s">
        <v>8948</v>
      </c>
      <c r="M5077" t="s">
        <v>67</v>
      </c>
      <c r="N5077" t="s">
        <v>68</v>
      </c>
      <c r="P5077" s="23">
        <v>102.16</v>
      </c>
      <c r="Q5077" s="4">
        <f t="shared" si="79"/>
        <v>-191.67844557556774</v>
      </c>
      <c r="R5077" s="23" t="s">
        <v>109</v>
      </c>
      <c r="U5077">
        <v>42</v>
      </c>
      <c r="V5077" t="e">
        <f>VLOOKUP(U5077,[1]!NOMINA[#Data],4,FALSE)</f>
        <v>#REF!</v>
      </c>
      <c r="W5077" t="e">
        <f>VLOOKUP(U5077,[1]!NOMINA[#Data],5,FALSE)</f>
        <v>#REF!</v>
      </c>
    </row>
    <row r="5078" spans="1:23" x14ac:dyDescent="0.25">
      <c r="A5078" s="21">
        <v>45825</v>
      </c>
      <c r="B5078" s="1">
        <v>214527433</v>
      </c>
      <c r="C5078" t="s">
        <v>8949</v>
      </c>
      <c r="D5078" s="22">
        <v>-19640.919999999998</v>
      </c>
      <c r="E5078" s="75" t="s">
        <v>35</v>
      </c>
      <c r="F5078" s="2">
        <v>212901001</v>
      </c>
      <c r="G5078" s="2" t="s">
        <v>121</v>
      </c>
      <c r="L5078" s="2" t="s">
        <v>8950</v>
      </c>
      <c r="M5078" t="s">
        <v>67</v>
      </c>
      <c r="N5078" t="s">
        <v>68</v>
      </c>
      <c r="P5078" s="23">
        <v>102.16</v>
      </c>
      <c r="Q5078" s="4">
        <f t="shared" si="79"/>
        <v>-192.25646045418949</v>
      </c>
      <c r="R5078" s="23" t="s">
        <v>109</v>
      </c>
      <c r="U5078">
        <v>36</v>
      </c>
      <c r="V5078" t="e">
        <f>VLOOKUP(U5078,[1]!NOMINA[#Data],4,FALSE)</f>
        <v>#REF!</v>
      </c>
      <c r="W5078" t="e">
        <f>VLOOKUP(U5078,[1]!NOMINA[#Data],5,FALSE)</f>
        <v>#REF!</v>
      </c>
    </row>
    <row r="5079" spans="1:23" x14ac:dyDescent="0.25">
      <c r="A5079" s="21">
        <v>45825</v>
      </c>
      <c r="B5079" s="1">
        <v>114527430</v>
      </c>
      <c r="C5079" t="s">
        <v>8951</v>
      </c>
      <c r="D5079" s="22">
        <v>-28322.78</v>
      </c>
      <c r="E5079" s="75" t="s">
        <v>35</v>
      </c>
      <c r="F5079" s="2">
        <v>212901001</v>
      </c>
      <c r="G5079" s="2" t="s">
        <v>121</v>
      </c>
      <c r="L5079" s="2" t="s">
        <v>8952</v>
      </c>
      <c r="M5079" t="s">
        <v>67</v>
      </c>
      <c r="N5079" t="s">
        <v>68</v>
      </c>
      <c r="P5079" s="23">
        <v>102.16</v>
      </c>
      <c r="Q5079" s="4">
        <f t="shared" si="79"/>
        <v>-277.23942834768991</v>
      </c>
      <c r="R5079" s="23" t="s">
        <v>109</v>
      </c>
      <c r="U5079">
        <v>39</v>
      </c>
      <c r="V5079" t="e">
        <f>VLOOKUP(U5079,[1]!NOMINA[#Data],4,FALSE)</f>
        <v>#REF!</v>
      </c>
      <c r="W5079" t="e">
        <f>VLOOKUP(U5079,[1]!NOMINA[#Data],5,FALSE)</f>
        <v>#REF!</v>
      </c>
    </row>
    <row r="5080" spans="1:23" x14ac:dyDescent="0.25">
      <c r="A5080" s="21">
        <v>45825</v>
      </c>
      <c r="B5080" s="1">
        <v>50627179</v>
      </c>
      <c r="C5080" t="s">
        <v>8953</v>
      </c>
      <c r="D5080" s="22">
        <v>-37081.129999999997</v>
      </c>
      <c r="E5080" s="75" t="s">
        <v>35</v>
      </c>
      <c r="F5080" s="2">
        <v>212901001</v>
      </c>
      <c r="G5080" s="2" t="s">
        <v>121</v>
      </c>
      <c r="L5080" s="2" t="s">
        <v>8954</v>
      </c>
      <c r="M5080" t="s">
        <v>67</v>
      </c>
      <c r="N5080" t="s">
        <v>68</v>
      </c>
      <c r="P5080" s="23">
        <v>102.16</v>
      </c>
      <c r="Q5080" s="4">
        <f t="shared" si="79"/>
        <v>-362.97112372748626</v>
      </c>
      <c r="R5080" s="23" t="s">
        <v>109</v>
      </c>
      <c r="U5080">
        <v>40</v>
      </c>
      <c r="V5080" t="e">
        <f>VLOOKUP(U5080,[1]!NOMINA[#Data],4,FALSE)</f>
        <v>#REF!</v>
      </c>
      <c r="W5080" t="e">
        <f>VLOOKUP(U5080,[1]!NOMINA[#Data],5,FALSE)</f>
        <v>#REF!</v>
      </c>
    </row>
    <row r="5081" spans="1:23" x14ac:dyDescent="0.25">
      <c r="A5081" s="21">
        <v>45825</v>
      </c>
      <c r="B5081" s="1">
        <v>50627179</v>
      </c>
      <c r="C5081" t="s">
        <v>296</v>
      </c>
      <c r="D5081" s="22">
        <v>-55.62</v>
      </c>
      <c r="E5081" s="75" t="s">
        <v>35</v>
      </c>
      <c r="F5081" s="2">
        <v>610148001</v>
      </c>
      <c r="G5081" s="2" t="s">
        <v>42</v>
      </c>
      <c r="L5081" s="2" t="s">
        <v>8955</v>
      </c>
      <c r="M5081" t="s">
        <v>43</v>
      </c>
      <c r="N5081" t="s">
        <v>42</v>
      </c>
      <c r="P5081" s="23">
        <v>102.16</v>
      </c>
      <c r="Q5081" s="4">
        <f t="shared" si="79"/>
        <v>-0.54444009397024273</v>
      </c>
      <c r="R5081" s="23" t="s">
        <v>109</v>
      </c>
      <c r="T5081" s="23" t="s">
        <v>8423</v>
      </c>
    </row>
    <row r="5082" spans="1:23" x14ac:dyDescent="0.25">
      <c r="A5082" s="21">
        <v>45825</v>
      </c>
      <c r="B5082" s="1">
        <v>50627179</v>
      </c>
      <c r="C5082" t="s">
        <v>118</v>
      </c>
      <c r="D5082" s="22">
        <v>-313.92</v>
      </c>
      <c r="E5082" s="75" t="s">
        <v>35</v>
      </c>
      <c r="F5082" s="2">
        <v>610148001</v>
      </c>
      <c r="G5082" s="2" t="s">
        <v>42</v>
      </c>
      <c r="L5082" s="2" t="s">
        <v>8956</v>
      </c>
      <c r="M5082" t="s">
        <v>43</v>
      </c>
      <c r="N5082" t="s">
        <v>42</v>
      </c>
      <c r="P5082" s="23">
        <v>102.16</v>
      </c>
      <c r="Q5082" s="4">
        <f t="shared" si="79"/>
        <v>-3.0728269381362572</v>
      </c>
      <c r="R5082" s="23" t="s">
        <v>109</v>
      </c>
      <c r="T5082" s="23" t="s">
        <v>8423</v>
      </c>
    </row>
    <row r="5083" spans="1:23" x14ac:dyDescent="0.25">
      <c r="A5083" s="21">
        <v>45825</v>
      </c>
      <c r="B5083" s="1">
        <v>131951532</v>
      </c>
      <c r="C5083" t="s">
        <v>8411</v>
      </c>
      <c r="D5083" s="22">
        <v>300000</v>
      </c>
      <c r="E5083" s="75" t="s">
        <v>46</v>
      </c>
      <c r="F5083" s="2">
        <v>210115002</v>
      </c>
      <c r="G5083" s="2" t="s">
        <v>47</v>
      </c>
      <c r="L5083" s="2" t="s">
        <v>8957</v>
      </c>
      <c r="N5083" t="s">
        <v>8411</v>
      </c>
      <c r="P5083" s="23">
        <v>102.16</v>
      </c>
      <c r="Q5083" s="4">
        <f t="shared" si="79"/>
        <v>2936.5700861393893</v>
      </c>
      <c r="R5083" s="23" t="s">
        <v>109</v>
      </c>
    </row>
    <row r="5084" spans="1:23" x14ac:dyDescent="0.25">
      <c r="A5084" s="21">
        <v>45825</v>
      </c>
      <c r="B5084" s="1">
        <v>814527692</v>
      </c>
      <c r="C5084" t="s">
        <v>8958</v>
      </c>
      <c r="D5084" s="22">
        <v>-53446.03</v>
      </c>
      <c r="E5084" s="75" t="s">
        <v>35</v>
      </c>
      <c r="F5084" s="2">
        <v>210101001</v>
      </c>
      <c r="G5084" s="2" t="s">
        <v>36</v>
      </c>
      <c r="L5084" s="2" t="s">
        <v>8959</v>
      </c>
      <c r="M5084" t="s">
        <v>303</v>
      </c>
      <c r="N5084" t="s">
        <v>304</v>
      </c>
      <c r="P5084" s="23">
        <v>102.16</v>
      </c>
      <c r="Q5084" s="4">
        <f t="shared" si="79"/>
        <v>-523.16004306969455</v>
      </c>
      <c r="R5084" s="23" t="s">
        <v>109</v>
      </c>
    </row>
    <row r="5085" spans="1:23" x14ac:dyDescent="0.25">
      <c r="A5085" s="21">
        <v>45825</v>
      </c>
      <c r="B5085" s="1">
        <v>914527696</v>
      </c>
      <c r="C5085" t="s">
        <v>8960</v>
      </c>
      <c r="D5085" s="22">
        <v>-41476.959999999999</v>
      </c>
      <c r="E5085" s="75" t="s">
        <v>35</v>
      </c>
      <c r="F5085" s="2">
        <v>210101001</v>
      </c>
      <c r="G5085" s="2" t="s">
        <v>36</v>
      </c>
      <c r="L5085" s="2" t="s">
        <v>8961</v>
      </c>
      <c r="M5085" t="s">
        <v>38</v>
      </c>
      <c r="N5085" t="s">
        <v>39</v>
      </c>
      <c r="P5085" s="23">
        <v>102.16</v>
      </c>
      <c r="Q5085" s="4">
        <f t="shared" si="79"/>
        <v>-406</v>
      </c>
      <c r="R5085" s="23" t="s">
        <v>109</v>
      </c>
    </row>
    <row r="5086" spans="1:23" x14ac:dyDescent="0.25">
      <c r="A5086" s="21">
        <v>45825</v>
      </c>
      <c r="B5086" s="1">
        <v>914527693</v>
      </c>
      <c r="C5086" t="s">
        <v>8962</v>
      </c>
      <c r="D5086" s="22">
        <v>-51544.89</v>
      </c>
      <c r="E5086" s="75" t="s">
        <v>35</v>
      </c>
      <c r="F5086" s="2">
        <v>110114001</v>
      </c>
      <c r="G5086" s="2" t="s">
        <v>301</v>
      </c>
      <c r="L5086" s="2" t="s">
        <v>8963</v>
      </c>
      <c r="M5086" t="s">
        <v>1866</v>
      </c>
      <c r="N5086" t="s">
        <v>1867</v>
      </c>
      <c r="P5086" s="23">
        <v>102.16</v>
      </c>
      <c r="Q5086" s="4">
        <f t="shared" si="79"/>
        <v>-504.55060689115112</v>
      </c>
      <c r="R5086" s="23" t="s">
        <v>109</v>
      </c>
      <c r="S5086" s="33" t="s">
        <v>2599</v>
      </c>
    </row>
    <row r="5087" spans="1:23" x14ac:dyDescent="0.25">
      <c r="A5087" s="21">
        <v>45825</v>
      </c>
      <c r="B5087" s="1">
        <v>914527694</v>
      </c>
      <c r="C5087" t="s">
        <v>8964</v>
      </c>
      <c r="D5087" s="22">
        <v>-49357.58</v>
      </c>
      <c r="E5087" s="75" t="s">
        <v>35</v>
      </c>
      <c r="F5087" s="2">
        <v>110114001</v>
      </c>
      <c r="G5087" s="2" t="s">
        <v>301</v>
      </c>
      <c r="L5087" s="2" t="s">
        <v>8965</v>
      </c>
      <c r="M5087" t="s">
        <v>38</v>
      </c>
      <c r="N5087" t="s">
        <v>39</v>
      </c>
      <c r="P5087" s="23">
        <v>102.16</v>
      </c>
      <c r="Q5087" s="4">
        <f t="shared" si="79"/>
        <v>-483.13997650743937</v>
      </c>
      <c r="R5087" s="23" t="s">
        <v>109</v>
      </c>
      <c r="S5087" s="33" t="s">
        <v>2599</v>
      </c>
    </row>
    <row r="5088" spans="1:23" x14ac:dyDescent="0.25">
      <c r="A5088" s="21">
        <v>45825</v>
      </c>
      <c r="B5088" s="1">
        <v>914527698</v>
      </c>
      <c r="C5088" t="s">
        <v>8966</v>
      </c>
      <c r="D5088" s="22">
        <v>-49298.33</v>
      </c>
      <c r="E5088" s="75" t="s">
        <v>35</v>
      </c>
      <c r="F5088" s="2">
        <v>210101001</v>
      </c>
      <c r="G5088" s="2" t="s">
        <v>36</v>
      </c>
      <c r="L5088" s="2" t="s">
        <v>8967</v>
      </c>
      <c r="M5088" t="s">
        <v>1318</v>
      </c>
      <c r="N5088" t="s">
        <v>1319</v>
      </c>
      <c r="P5088" s="23">
        <v>102.16</v>
      </c>
      <c r="Q5088" s="4">
        <f t="shared" si="79"/>
        <v>-482.56000391542682</v>
      </c>
      <c r="R5088" s="23" t="s">
        <v>109</v>
      </c>
    </row>
    <row r="5089" spans="1:20" x14ac:dyDescent="0.25">
      <c r="A5089" s="21">
        <v>45825</v>
      </c>
      <c r="B5089" s="1">
        <v>914527697</v>
      </c>
      <c r="C5089" t="s">
        <v>8968</v>
      </c>
      <c r="D5089" s="22">
        <v>-41763.01</v>
      </c>
      <c r="E5089" s="75" t="s">
        <v>35</v>
      </c>
      <c r="F5089" s="2">
        <v>110114001</v>
      </c>
      <c r="G5089" s="2" t="s">
        <v>301</v>
      </c>
      <c r="L5089" s="2" t="s">
        <v>8969</v>
      </c>
      <c r="M5089" t="s">
        <v>303</v>
      </c>
      <c r="N5089" t="s">
        <v>5305</v>
      </c>
      <c r="P5089" s="23">
        <v>102.16</v>
      </c>
      <c r="Q5089" s="4">
        <f t="shared" si="79"/>
        <v>-408.80001957713392</v>
      </c>
      <c r="R5089" s="23" t="s">
        <v>109</v>
      </c>
      <c r="S5089" s="33" t="s">
        <v>2599</v>
      </c>
    </row>
    <row r="5090" spans="1:20" x14ac:dyDescent="0.25">
      <c r="A5090" s="21">
        <v>45825</v>
      </c>
      <c r="B5090" s="1">
        <v>50627113</v>
      </c>
      <c r="C5090" t="s">
        <v>118</v>
      </c>
      <c r="D5090" s="22">
        <v>-717.21</v>
      </c>
      <c r="E5090" s="75" t="s">
        <v>35</v>
      </c>
      <c r="F5090" s="2">
        <v>610148001</v>
      </c>
      <c r="G5090" s="2" t="s">
        <v>42</v>
      </c>
      <c r="L5090" s="2" t="s">
        <v>8970</v>
      </c>
      <c r="M5090" t="s">
        <v>43</v>
      </c>
      <c r="N5090" t="s">
        <v>42</v>
      </c>
      <c r="P5090" s="23">
        <v>102.16</v>
      </c>
      <c r="Q5090" s="4">
        <f t="shared" si="79"/>
        <v>-7.0204581049334385</v>
      </c>
      <c r="R5090" s="23" t="s">
        <v>109</v>
      </c>
      <c r="T5090" s="23" t="s">
        <v>8423</v>
      </c>
    </row>
    <row r="5091" spans="1:20" x14ac:dyDescent="0.25">
      <c r="A5091" s="21">
        <v>45825</v>
      </c>
      <c r="B5091" s="1">
        <v>880345408</v>
      </c>
      <c r="C5091" t="s">
        <v>693</v>
      </c>
      <c r="D5091" s="22">
        <v>200000</v>
      </c>
      <c r="E5091" s="75" t="s">
        <v>46</v>
      </c>
      <c r="F5091" s="2">
        <v>210115002</v>
      </c>
      <c r="G5091" s="2" t="s">
        <v>47</v>
      </c>
      <c r="L5091" s="2" t="s">
        <v>8971</v>
      </c>
      <c r="N5091" t="s">
        <v>693</v>
      </c>
      <c r="P5091" s="23">
        <v>102.16</v>
      </c>
      <c r="Q5091" s="4">
        <f t="shared" si="79"/>
        <v>1957.7133907595928</v>
      </c>
      <c r="R5091" s="23" t="s">
        <v>109</v>
      </c>
    </row>
    <row r="5092" spans="1:20" x14ac:dyDescent="0.25">
      <c r="A5092" s="21">
        <v>45825</v>
      </c>
      <c r="B5092" s="1">
        <v>780345545</v>
      </c>
      <c r="C5092" t="s">
        <v>693</v>
      </c>
      <c r="D5092" s="22">
        <v>200000</v>
      </c>
      <c r="E5092" s="75" t="s">
        <v>46</v>
      </c>
      <c r="F5092" s="2">
        <v>210115002</v>
      </c>
      <c r="G5092" s="2" t="s">
        <v>47</v>
      </c>
      <c r="L5092" s="2" t="s">
        <v>8972</v>
      </c>
      <c r="N5092" t="s">
        <v>693</v>
      </c>
      <c r="P5092" s="23">
        <v>102.16</v>
      </c>
      <c r="Q5092" s="4">
        <f t="shared" si="79"/>
        <v>1957.7133907595928</v>
      </c>
      <c r="R5092" s="23" t="s">
        <v>109</v>
      </c>
    </row>
    <row r="5093" spans="1:20" x14ac:dyDescent="0.25">
      <c r="A5093" s="21">
        <v>45825</v>
      </c>
      <c r="B5093" s="1">
        <v>714515235</v>
      </c>
      <c r="C5093" t="s">
        <v>8973</v>
      </c>
      <c r="D5093" s="22">
        <v>-200000</v>
      </c>
      <c r="E5093" s="75" t="s">
        <v>35</v>
      </c>
      <c r="F5093" s="2">
        <v>210101001</v>
      </c>
      <c r="G5093" s="2" t="s">
        <v>36</v>
      </c>
      <c r="L5093" s="2" t="s">
        <v>8974</v>
      </c>
      <c r="M5093" t="s">
        <v>788</v>
      </c>
      <c r="N5093" t="s">
        <v>789</v>
      </c>
      <c r="P5093" s="23">
        <v>102.16</v>
      </c>
      <c r="Q5093" s="4">
        <f t="shared" si="79"/>
        <v>-1957.7133907595928</v>
      </c>
      <c r="R5093" s="23" t="s">
        <v>109</v>
      </c>
    </row>
    <row r="5094" spans="1:20" x14ac:dyDescent="0.25">
      <c r="A5094" s="21">
        <v>45825</v>
      </c>
      <c r="B5094" s="1">
        <v>714515234</v>
      </c>
      <c r="C5094" t="s">
        <v>8973</v>
      </c>
      <c r="D5094" s="22">
        <v>-101372</v>
      </c>
      <c r="E5094" s="75" t="s">
        <v>35</v>
      </c>
      <c r="F5094" s="2">
        <v>210101001</v>
      </c>
      <c r="G5094" s="2" t="s">
        <v>36</v>
      </c>
      <c r="L5094" s="2" t="s">
        <v>8975</v>
      </c>
      <c r="M5094" t="s">
        <v>788</v>
      </c>
      <c r="N5094" t="s">
        <v>789</v>
      </c>
      <c r="P5094" s="23">
        <v>102.16</v>
      </c>
      <c r="Q5094" s="4">
        <f t="shared" si="79"/>
        <v>-992.28660924040719</v>
      </c>
      <c r="R5094" s="23" t="s">
        <v>109</v>
      </c>
    </row>
    <row r="5095" spans="1:20" x14ac:dyDescent="0.25">
      <c r="A5095" s="21">
        <v>45825</v>
      </c>
      <c r="B5095" s="1">
        <v>714515237</v>
      </c>
      <c r="C5095" t="s">
        <v>8976</v>
      </c>
      <c r="D5095" s="22">
        <v>-83048.929999999993</v>
      </c>
      <c r="E5095" s="75" t="s">
        <v>35</v>
      </c>
      <c r="F5095" s="2">
        <v>110114001</v>
      </c>
      <c r="G5095" s="2" t="s">
        <v>301</v>
      </c>
      <c r="L5095" s="2" t="s">
        <v>8977</v>
      </c>
      <c r="M5095" t="s">
        <v>1866</v>
      </c>
      <c r="N5095" t="s">
        <v>1867</v>
      </c>
      <c r="P5095" s="23">
        <v>102.16</v>
      </c>
      <c r="Q5095" s="4">
        <f t="shared" si="79"/>
        <v>-812.93001174628034</v>
      </c>
      <c r="R5095" s="23" t="s">
        <v>109</v>
      </c>
      <c r="S5095" s="33" t="s">
        <v>2599</v>
      </c>
    </row>
    <row r="5096" spans="1:20" x14ac:dyDescent="0.25">
      <c r="A5096" s="21">
        <v>45825</v>
      </c>
      <c r="B5096" s="1">
        <v>714515236</v>
      </c>
      <c r="C5096" t="s">
        <v>8978</v>
      </c>
      <c r="D5096" s="22">
        <v>-1515.9</v>
      </c>
      <c r="E5096" s="75" t="s">
        <v>35</v>
      </c>
      <c r="F5096" s="2">
        <v>210101001</v>
      </c>
      <c r="G5096" s="2" t="s">
        <v>36</v>
      </c>
      <c r="L5096" s="2" t="s">
        <v>8979</v>
      </c>
      <c r="M5096" t="s">
        <v>114</v>
      </c>
      <c r="N5096" t="s">
        <v>115</v>
      </c>
      <c r="P5096" s="23">
        <v>102.16</v>
      </c>
      <c r="Q5096" s="4">
        <f t="shared" si="79"/>
        <v>-14.838488645262334</v>
      </c>
      <c r="R5096" s="23" t="s">
        <v>109</v>
      </c>
    </row>
    <row r="5097" spans="1:20" x14ac:dyDescent="0.25">
      <c r="A5097" s="21">
        <v>45825</v>
      </c>
      <c r="B5097" s="1">
        <v>50664915</v>
      </c>
      <c r="C5097" t="s">
        <v>118</v>
      </c>
      <c r="D5097" s="22">
        <v>-964.84</v>
      </c>
      <c r="E5097" s="75" t="s">
        <v>35</v>
      </c>
      <c r="F5097" s="2">
        <v>610148001</v>
      </c>
      <c r="G5097" s="2" t="s">
        <v>42</v>
      </c>
      <c r="L5097" s="2" t="s">
        <v>8980</v>
      </c>
      <c r="M5097" t="s">
        <v>43</v>
      </c>
      <c r="N5097" t="s">
        <v>42</v>
      </c>
      <c r="P5097" s="23">
        <v>102.16</v>
      </c>
      <c r="Q5097" s="4">
        <f t="shared" si="79"/>
        <v>-9.4444009397024278</v>
      </c>
      <c r="R5097" s="23" t="s">
        <v>109</v>
      </c>
      <c r="T5097" s="23" t="s">
        <v>8423</v>
      </c>
    </row>
    <row r="5098" spans="1:20" x14ac:dyDescent="0.25">
      <c r="A5098" s="21">
        <v>45826</v>
      </c>
      <c r="B5098" s="1">
        <v>130816334</v>
      </c>
      <c r="C5098" t="s">
        <v>8411</v>
      </c>
      <c r="D5098" s="22">
        <v>1250000</v>
      </c>
      <c r="E5098" s="75" t="s">
        <v>46</v>
      </c>
      <c r="F5098" s="2">
        <v>210115002</v>
      </c>
      <c r="G5098" s="2" t="s">
        <v>47</v>
      </c>
      <c r="L5098" s="2" t="s">
        <v>8981</v>
      </c>
      <c r="N5098" t="s">
        <v>8411</v>
      </c>
      <c r="P5098" s="23">
        <v>102.81</v>
      </c>
      <c r="Q5098" s="4">
        <f t="shared" si="79"/>
        <v>12158.350355023829</v>
      </c>
      <c r="R5098" s="23" t="s">
        <v>109</v>
      </c>
    </row>
    <row r="5099" spans="1:20" x14ac:dyDescent="0.25">
      <c r="A5099" s="21">
        <v>45826</v>
      </c>
      <c r="B5099" s="1">
        <v>814540306</v>
      </c>
      <c r="C5099" t="s">
        <v>8982</v>
      </c>
      <c r="D5099" s="43">
        <v>-200000</v>
      </c>
      <c r="E5099" s="75" t="s">
        <v>35</v>
      </c>
      <c r="F5099" s="2">
        <v>110114001</v>
      </c>
      <c r="G5099" s="2" t="s">
        <v>301</v>
      </c>
      <c r="L5099" s="2" t="s">
        <v>8983</v>
      </c>
      <c r="M5099" t="s">
        <v>2028</v>
      </c>
      <c r="N5099" t="s">
        <v>2029</v>
      </c>
      <c r="P5099" s="23">
        <v>102.81</v>
      </c>
      <c r="Q5099" s="4">
        <f t="shared" si="79"/>
        <v>-1945.3360568038129</v>
      </c>
      <c r="R5099" s="23" t="s">
        <v>109</v>
      </c>
      <c r="S5099" s="33" t="s">
        <v>2599</v>
      </c>
    </row>
    <row r="5100" spans="1:20" x14ac:dyDescent="0.25">
      <c r="A5100" s="21">
        <v>45826</v>
      </c>
      <c r="B5100" s="1">
        <v>814540308</v>
      </c>
      <c r="C5100" t="s">
        <v>8982</v>
      </c>
      <c r="D5100" s="43">
        <v>-200000</v>
      </c>
      <c r="E5100" s="75" t="s">
        <v>35</v>
      </c>
      <c r="F5100" s="2">
        <v>110114001</v>
      </c>
      <c r="G5100" s="2" t="s">
        <v>301</v>
      </c>
      <c r="L5100" s="2" t="s">
        <v>8984</v>
      </c>
      <c r="M5100" t="s">
        <v>2028</v>
      </c>
      <c r="N5100" t="s">
        <v>2029</v>
      </c>
      <c r="P5100" s="23">
        <v>102.81</v>
      </c>
      <c r="Q5100" s="4">
        <f t="shared" si="79"/>
        <v>-1945.3360568038129</v>
      </c>
      <c r="R5100" s="23" t="s">
        <v>109</v>
      </c>
      <c r="S5100" s="33" t="s">
        <v>2599</v>
      </c>
    </row>
    <row r="5101" spans="1:20" x14ac:dyDescent="0.25">
      <c r="A5101" s="21">
        <v>45826</v>
      </c>
      <c r="B5101" s="1">
        <v>814540309</v>
      </c>
      <c r="C5101" t="s">
        <v>8982</v>
      </c>
      <c r="D5101" s="43">
        <v>-200000</v>
      </c>
      <c r="E5101" s="75" t="s">
        <v>35</v>
      </c>
      <c r="F5101" s="2">
        <v>110114001</v>
      </c>
      <c r="G5101" s="2" t="s">
        <v>301</v>
      </c>
      <c r="L5101" s="2" t="s">
        <v>8985</v>
      </c>
      <c r="M5101" t="s">
        <v>2028</v>
      </c>
      <c r="N5101" t="s">
        <v>2029</v>
      </c>
      <c r="P5101" s="23">
        <v>102.81</v>
      </c>
      <c r="Q5101" s="4">
        <f t="shared" si="79"/>
        <v>-1945.3360568038129</v>
      </c>
      <c r="R5101" s="23" t="s">
        <v>109</v>
      </c>
      <c r="S5101" s="33" t="s">
        <v>2599</v>
      </c>
    </row>
    <row r="5102" spans="1:20" x14ac:dyDescent="0.25">
      <c r="A5102" s="21">
        <v>45826</v>
      </c>
      <c r="B5102" s="1">
        <v>814540312</v>
      </c>
      <c r="C5102" t="s">
        <v>8982</v>
      </c>
      <c r="D5102" s="43">
        <v>-73885</v>
      </c>
      <c r="E5102" s="75" t="s">
        <v>35</v>
      </c>
      <c r="F5102" s="2">
        <v>110114001</v>
      </c>
      <c r="G5102" s="2" t="s">
        <v>301</v>
      </c>
      <c r="L5102" s="2" t="s">
        <v>8986</v>
      </c>
      <c r="M5102" t="s">
        <v>2028</v>
      </c>
      <c r="N5102" t="s">
        <v>2029</v>
      </c>
      <c r="P5102" s="23">
        <v>102.81</v>
      </c>
      <c r="Q5102" s="4">
        <f t="shared" si="79"/>
        <v>-718.65577278474859</v>
      </c>
      <c r="R5102" s="23" t="s">
        <v>109</v>
      </c>
      <c r="S5102" s="33" t="s">
        <v>2599</v>
      </c>
    </row>
    <row r="5103" spans="1:20" x14ac:dyDescent="0.25">
      <c r="A5103" s="21">
        <v>45826</v>
      </c>
      <c r="B5103" s="1">
        <v>814540310</v>
      </c>
      <c r="C5103" t="s">
        <v>8982</v>
      </c>
      <c r="D5103" s="43">
        <v>-200000</v>
      </c>
      <c r="E5103" s="75" t="s">
        <v>35</v>
      </c>
      <c r="F5103" s="2">
        <v>110114001</v>
      </c>
      <c r="G5103" s="2" t="s">
        <v>301</v>
      </c>
      <c r="L5103" s="2" t="s">
        <v>8987</v>
      </c>
      <c r="M5103" t="s">
        <v>2028</v>
      </c>
      <c r="N5103" t="s">
        <v>2029</v>
      </c>
      <c r="P5103" s="23">
        <v>102.81</v>
      </c>
      <c r="Q5103" s="4">
        <f t="shared" si="79"/>
        <v>-1945.3360568038129</v>
      </c>
      <c r="R5103" s="23" t="s">
        <v>109</v>
      </c>
      <c r="S5103" s="33" t="s">
        <v>2599</v>
      </c>
    </row>
    <row r="5104" spans="1:20" x14ac:dyDescent="0.25">
      <c r="A5104" s="21">
        <v>45826</v>
      </c>
      <c r="B5104" s="1">
        <v>914540314</v>
      </c>
      <c r="C5104" t="s">
        <v>8988</v>
      </c>
      <c r="D5104" s="22">
        <v>-12813.23</v>
      </c>
      <c r="E5104" s="75" t="s">
        <v>35</v>
      </c>
      <c r="F5104" s="2">
        <v>110114001</v>
      </c>
      <c r="G5104" s="2" t="s">
        <v>301</v>
      </c>
      <c r="L5104" s="2" t="s">
        <v>8989</v>
      </c>
      <c r="M5104" t="s">
        <v>788</v>
      </c>
      <c r="N5104" t="s">
        <v>789</v>
      </c>
      <c r="P5104" s="23">
        <v>102.81</v>
      </c>
      <c r="Q5104" s="4">
        <f t="shared" si="79"/>
        <v>-124.63019161560159</v>
      </c>
      <c r="R5104" s="23" t="s">
        <v>109</v>
      </c>
      <c r="S5104" s="33" t="s">
        <v>2599</v>
      </c>
    </row>
    <row r="5105" spans="1:20" x14ac:dyDescent="0.25">
      <c r="A5105" s="21">
        <v>45826</v>
      </c>
      <c r="B5105" s="1">
        <v>814540313</v>
      </c>
      <c r="C5105" t="s">
        <v>8990</v>
      </c>
      <c r="D5105" s="22">
        <v>-2356.8000000000002</v>
      </c>
      <c r="E5105" s="75" t="s">
        <v>35</v>
      </c>
      <c r="F5105" s="2">
        <v>210101001</v>
      </c>
      <c r="G5105" s="2" t="s">
        <v>36</v>
      </c>
      <c r="L5105" s="2" t="s">
        <v>8991</v>
      </c>
      <c r="M5105" t="s">
        <v>788</v>
      </c>
      <c r="N5105" t="s">
        <v>789</v>
      </c>
      <c r="P5105" s="23">
        <v>102.81</v>
      </c>
      <c r="Q5105" s="4">
        <f t="shared" si="79"/>
        <v>-22.923840093376132</v>
      </c>
      <c r="R5105" s="23" t="s">
        <v>109</v>
      </c>
    </row>
    <row r="5106" spans="1:20" x14ac:dyDescent="0.25">
      <c r="A5106" s="21">
        <v>45826</v>
      </c>
      <c r="B5106" s="1">
        <v>914540315</v>
      </c>
      <c r="C5106" t="s">
        <v>8992</v>
      </c>
      <c r="D5106" s="43">
        <v>-125547.04</v>
      </c>
      <c r="E5106" s="75" t="s">
        <v>35</v>
      </c>
      <c r="F5106" s="2">
        <v>110114001</v>
      </c>
      <c r="G5106" s="2" t="s">
        <v>301</v>
      </c>
      <c r="L5106" s="2" t="s">
        <v>8993</v>
      </c>
      <c r="M5106" t="s">
        <v>788</v>
      </c>
      <c r="N5106" t="s">
        <v>789</v>
      </c>
      <c r="P5106" s="23">
        <v>102.81</v>
      </c>
      <c r="Q5106" s="4">
        <f t="shared" si="79"/>
        <v>-1221.1559186849527</v>
      </c>
      <c r="R5106" s="23" t="s">
        <v>109</v>
      </c>
      <c r="S5106" s="33" t="s">
        <v>6924</v>
      </c>
    </row>
    <row r="5107" spans="1:20" x14ac:dyDescent="0.25">
      <c r="A5107" s="21">
        <v>45826</v>
      </c>
      <c r="B5107" s="1">
        <v>914540317</v>
      </c>
      <c r="C5107" t="s">
        <v>8992</v>
      </c>
      <c r="D5107" s="43">
        <v>-200000</v>
      </c>
      <c r="E5107" s="75" t="s">
        <v>35</v>
      </c>
      <c r="F5107" s="2">
        <v>110114001</v>
      </c>
      <c r="G5107" s="2" t="s">
        <v>301</v>
      </c>
      <c r="L5107" s="2" t="s">
        <v>8994</v>
      </c>
      <c r="M5107" t="s">
        <v>788</v>
      </c>
      <c r="N5107" t="s">
        <v>789</v>
      </c>
      <c r="P5107" s="23">
        <v>102.81</v>
      </c>
      <c r="Q5107" s="4">
        <f t="shared" si="79"/>
        <v>-1945.3360568038129</v>
      </c>
      <c r="R5107" s="23" t="s">
        <v>109</v>
      </c>
      <c r="S5107" s="33" t="s">
        <v>6924</v>
      </c>
    </row>
    <row r="5108" spans="1:20" x14ac:dyDescent="0.25">
      <c r="A5108" s="21">
        <v>45826</v>
      </c>
      <c r="B5108" s="1">
        <v>914540316</v>
      </c>
      <c r="C5108" t="s">
        <v>8995</v>
      </c>
      <c r="D5108" s="22">
        <v>-23440.29</v>
      </c>
      <c r="E5108" s="75" t="s">
        <v>35</v>
      </c>
      <c r="F5108" s="2">
        <v>210101001</v>
      </c>
      <c r="G5108" s="2" t="s">
        <v>36</v>
      </c>
      <c r="L5108" s="2" t="s">
        <v>8996</v>
      </c>
      <c r="M5108" t="s">
        <v>1376</v>
      </c>
      <c r="N5108" t="s">
        <v>1377</v>
      </c>
      <c r="P5108" s="23">
        <v>102.81</v>
      </c>
      <c r="Q5108" s="4">
        <f t="shared" si="79"/>
        <v>-227.99620659468923</v>
      </c>
      <c r="R5108" s="23" t="s">
        <v>109</v>
      </c>
    </row>
    <row r="5109" spans="1:20" x14ac:dyDescent="0.25">
      <c r="A5109" s="21">
        <v>45826</v>
      </c>
      <c r="B5109" s="1">
        <v>50662539</v>
      </c>
      <c r="C5109" t="s">
        <v>118</v>
      </c>
      <c r="D5109" s="22">
        <v>-3095.1</v>
      </c>
      <c r="E5109" s="75" t="s">
        <v>35</v>
      </c>
      <c r="F5109" s="2">
        <v>610148001</v>
      </c>
      <c r="G5109" s="2" t="s">
        <v>42</v>
      </c>
      <c r="L5109" s="2" t="s">
        <v>8997</v>
      </c>
      <c r="M5109" t="s">
        <v>43</v>
      </c>
      <c r="N5109" t="s">
        <v>42</v>
      </c>
      <c r="P5109" s="23">
        <v>102.81</v>
      </c>
      <c r="Q5109" s="4">
        <f t="shared" si="79"/>
        <v>-30.105048147067404</v>
      </c>
      <c r="R5109" s="23" t="s">
        <v>109</v>
      </c>
      <c r="T5109" s="23" t="s">
        <v>8423</v>
      </c>
    </row>
    <row r="5110" spans="1:20" x14ac:dyDescent="0.25">
      <c r="A5110" s="21">
        <v>45826</v>
      </c>
      <c r="B5110" s="1">
        <v>143710750</v>
      </c>
      <c r="C5110" t="s">
        <v>8411</v>
      </c>
      <c r="D5110" s="22">
        <v>70000</v>
      </c>
      <c r="E5110" s="75" t="s">
        <v>46</v>
      </c>
      <c r="F5110" s="2">
        <v>210115002</v>
      </c>
      <c r="G5110" s="2" t="s">
        <v>47</v>
      </c>
      <c r="L5110" s="2" t="s">
        <v>8998</v>
      </c>
      <c r="N5110" t="s">
        <v>8411</v>
      </c>
      <c r="P5110" s="23">
        <v>102.81</v>
      </c>
      <c r="Q5110" s="4">
        <f t="shared" si="79"/>
        <v>680.86761988133446</v>
      </c>
      <c r="R5110" s="23" t="s">
        <v>109</v>
      </c>
    </row>
    <row r="5111" spans="1:20" x14ac:dyDescent="0.25">
      <c r="A5111" s="21">
        <v>45826</v>
      </c>
      <c r="B5111" s="1">
        <v>814541538</v>
      </c>
      <c r="C5111" t="s">
        <v>8999</v>
      </c>
      <c r="D5111" s="22">
        <v>-70013.7</v>
      </c>
      <c r="E5111" s="75" t="s">
        <v>35</v>
      </c>
      <c r="F5111" s="2">
        <v>210101001</v>
      </c>
      <c r="G5111" s="2" t="s">
        <v>36</v>
      </c>
      <c r="L5111" s="2" t="s">
        <v>9000</v>
      </c>
      <c r="M5111" t="s">
        <v>38</v>
      </c>
      <c r="N5111" t="s">
        <v>39</v>
      </c>
      <c r="P5111" s="23">
        <v>102.81</v>
      </c>
      <c r="Q5111" s="4">
        <f t="shared" si="79"/>
        <v>-681.00087540122547</v>
      </c>
      <c r="R5111" s="23" t="s">
        <v>109</v>
      </c>
    </row>
    <row r="5112" spans="1:20" x14ac:dyDescent="0.25">
      <c r="A5112" s="21">
        <v>45826</v>
      </c>
      <c r="B5112" s="1">
        <v>814541538</v>
      </c>
      <c r="C5112" t="s">
        <v>306</v>
      </c>
      <c r="D5112" s="22">
        <v>-210.04</v>
      </c>
      <c r="E5112" s="75" t="s">
        <v>35</v>
      </c>
      <c r="F5112" s="2">
        <v>610148001</v>
      </c>
      <c r="G5112" s="2" t="s">
        <v>42</v>
      </c>
      <c r="L5112" s="2" t="s">
        <v>9001</v>
      </c>
      <c r="M5112" t="s">
        <v>43</v>
      </c>
      <c r="N5112" t="s">
        <v>42</v>
      </c>
      <c r="P5112" s="23">
        <v>102.81</v>
      </c>
      <c r="Q5112" s="4">
        <f t="shared" si="79"/>
        <v>-2.0429919268553642</v>
      </c>
      <c r="R5112" s="23" t="s">
        <v>109</v>
      </c>
      <c r="T5112" s="23" t="s">
        <v>8423</v>
      </c>
    </row>
    <row r="5113" spans="1:20" x14ac:dyDescent="0.25">
      <c r="A5113" s="21">
        <v>45827</v>
      </c>
      <c r="B5113" s="1">
        <v>144531873</v>
      </c>
      <c r="C5113" t="s">
        <v>8411</v>
      </c>
      <c r="D5113" s="22">
        <v>350000</v>
      </c>
      <c r="E5113" s="75" t="s">
        <v>46</v>
      </c>
      <c r="F5113" s="2">
        <v>210115002</v>
      </c>
      <c r="G5113" s="2" t="s">
        <v>47</v>
      </c>
      <c r="L5113" s="2" t="s">
        <v>9002</v>
      </c>
      <c r="N5113" t="s">
        <v>8411</v>
      </c>
      <c r="P5113" s="23">
        <v>103.74</v>
      </c>
      <c r="Q5113" s="4">
        <f t="shared" si="79"/>
        <v>3373.8191632928479</v>
      </c>
      <c r="R5113" s="23" t="s">
        <v>109</v>
      </c>
    </row>
    <row r="5114" spans="1:20" x14ac:dyDescent="0.25">
      <c r="A5114" s="21">
        <v>45827</v>
      </c>
      <c r="B5114" s="1">
        <v>714555102</v>
      </c>
      <c r="C5114" t="s">
        <v>9003</v>
      </c>
      <c r="D5114" s="43">
        <v>-26046.76</v>
      </c>
      <c r="E5114" s="75" t="s">
        <v>35</v>
      </c>
      <c r="F5114" s="2">
        <v>110114001</v>
      </c>
      <c r="G5114" s="2" t="s">
        <v>301</v>
      </c>
      <c r="L5114" s="2" t="s">
        <v>9004</v>
      </c>
      <c r="M5114" t="s">
        <v>521</v>
      </c>
      <c r="N5114" t="s">
        <v>3364</v>
      </c>
      <c r="P5114" s="23">
        <v>103.74</v>
      </c>
      <c r="Q5114" s="4">
        <f t="shared" si="79"/>
        <v>-251.07730865625601</v>
      </c>
      <c r="R5114" s="23" t="s">
        <v>109</v>
      </c>
      <c r="S5114" s="33" t="s">
        <v>9005</v>
      </c>
    </row>
    <row r="5115" spans="1:20" x14ac:dyDescent="0.25">
      <c r="A5115" s="21">
        <v>45827</v>
      </c>
      <c r="B5115" s="1">
        <v>714555101</v>
      </c>
      <c r="C5115" t="s">
        <v>9006</v>
      </c>
      <c r="D5115" s="22">
        <v>-5565.65</v>
      </c>
      <c r="E5115" s="75" t="s">
        <v>35</v>
      </c>
      <c r="F5115" s="2">
        <v>210101001</v>
      </c>
      <c r="G5115" s="2" t="s">
        <v>36</v>
      </c>
      <c r="L5115" s="2" t="s">
        <v>9007</v>
      </c>
      <c r="M5115" t="s">
        <v>9008</v>
      </c>
      <c r="N5115" t="s">
        <v>9009</v>
      </c>
      <c r="P5115" s="23">
        <v>103.74</v>
      </c>
      <c r="Q5115" s="4">
        <f t="shared" si="79"/>
        <v>-53.649990360516675</v>
      </c>
      <c r="R5115" s="23" t="s">
        <v>109</v>
      </c>
    </row>
    <row r="5116" spans="1:20" x14ac:dyDescent="0.25">
      <c r="A5116" s="21">
        <v>45827</v>
      </c>
      <c r="B5116" s="1">
        <v>714555103</v>
      </c>
      <c r="C5116" t="s">
        <v>9010</v>
      </c>
      <c r="D5116" s="22">
        <v>-12152.16</v>
      </c>
      <c r="E5116" s="75" t="s">
        <v>35</v>
      </c>
      <c r="F5116" s="2">
        <v>210101001</v>
      </c>
      <c r="G5116" s="2" t="s">
        <v>36</v>
      </c>
      <c r="L5116" s="2" t="s">
        <v>9011</v>
      </c>
      <c r="M5116" t="s">
        <v>788</v>
      </c>
      <c r="N5116" t="s">
        <v>789</v>
      </c>
      <c r="P5116" s="23">
        <v>103.74</v>
      </c>
      <c r="Q5116" s="4">
        <f t="shared" si="79"/>
        <v>-117.14054366685946</v>
      </c>
      <c r="R5116" s="23" t="s">
        <v>109</v>
      </c>
    </row>
    <row r="5117" spans="1:20" x14ac:dyDescent="0.25">
      <c r="A5117" s="21">
        <v>45827</v>
      </c>
      <c r="B5117" s="1">
        <v>714555104</v>
      </c>
      <c r="C5117" t="s">
        <v>9012</v>
      </c>
      <c r="D5117" s="22">
        <v>-48949.24</v>
      </c>
      <c r="E5117" s="75" t="s">
        <v>35</v>
      </c>
      <c r="F5117" s="2">
        <v>210101001</v>
      </c>
      <c r="G5117" s="2" t="s">
        <v>36</v>
      </c>
      <c r="L5117" s="2" t="s">
        <v>9013</v>
      </c>
      <c r="M5117" t="s">
        <v>751</v>
      </c>
      <c r="N5117" t="s">
        <v>752</v>
      </c>
      <c r="P5117" s="23">
        <v>103.74</v>
      </c>
      <c r="Q5117" s="4">
        <f t="shared" si="79"/>
        <v>-471.84538268748793</v>
      </c>
      <c r="R5117" s="23" t="s">
        <v>109</v>
      </c>
    </row>
    <row r="5118" spans="1:20" x14ac:dyDescent="0.25">
      <c r="A5118" s="21">
        <v>45827</v>
      </c>
      <c r="B5118" s="1">
        <v>714555100</v>
      </c>
      <c r="C5118" t="s">
        <v>9014</v>
      </c>
      <c r="D5118" s="22">
        <v>-96123.24</v>
      </c>
      <c r="E5118" s="75" t="s">
        <v>35</v>
      </c>
      <c r="F5118" s="2">
        <v>210101001</v>
      </c>
      <c r="G5118" s="2" t="s">
        <v>36</v>
      </c>
      <c r="L5118" s="2" t="s">
        <v>9015</v>
      </c>
      <c r="M5118" t="s">
        <v>534</v>
      </c>
      <c r="N5118" t="s">
        <v>535</v>
      </c>
      <c r="P5118" s="23">
        <v>103.74</v>
      </c>
      <c r="Q5118" s="4">
        <f t="shared" si="79"/>
        <v>-926.57836899942174</v>
      </c>
      <c r="R5118" s="23" t="s">
        <v>109</v>
      </c>
    </row>
    <row r="5119" spans="1:20" x14ac:dyDescent="0.25">
      <c r="A5119" s="21">
        <v>45827</v>
      </c>
      <c r="B5119" s="1">
        <v>714555105</v>
      </c>
      <c r="C5119" t="s">
        <v>9016</v>
      </c>
      <c r="D5119" s="22">
        <v>-48949.24</v>
      </c>
      <c r="E5119" s="75" t="s">
        <v>35</v>
      </c>
      <c r="F5119" s="2">
        <v>210101001</v>
      </c>
      <c r="G5119" s="2" t="s">
        <v>36</v>
      </c>
      <c r="L5119" s="2" t="s">
        <v>9017</v>
      </c>
      <c r="M5119" t="s">
        <v>751</v>
      </c>
      <c r="N5119" t="s">
        <v>752</v>
      </c>
      <c r="P5119" s="23">
        <v>103.74</v>
      </c>
      <c r="Q5119" s="4">
        <f t="shared" si="79"/>
        <v>-471.84538268748793</v>
      </c>
      <c r="R5119" s="23" t="s">
        <v>109</v>
      </c>
    </row>
    <row r="5120" spans="1:20" x14ac:dyDescent="0.25">
      <c r="A5120" s="21">
        <v>45827</v>
      </c>
      <c r="B5120" s="1">
        <v>814555106</v>
      </c>
      <c r="C5120" t="s">
        <v>9018</v>
      </c>
      <c r="D5120" s="76">
        <v>-114935.12</v>
      </c>
      <c r="E5120" s="75" t="s">
        <v>35</v>
      </c>
      <c r="F5120" s="2">
        <v>110114001</v>
      </c>
      <c r="G5120" s="2" t="s">
        <v>301</v>
      </c>
      <c r="L5120" s="2" t="s">
        <v>9019</v>
      </c>
      <c r="N5120" t="s">
        <v>2551</v>
      </c>
      <c r="P5120" s="23">
        <v>103.74</v>
      </c>
      <c r="Q5120" s="4">
        <f t="shared" si="79"/>
        <v>-1107.9151725467516</v>
      </c>
      <c r="R5120" s="23" t="s">
        <v>109</v>
      </c>
    </row>
    <row r="5121" spans="1:20" x14ac:dyDescent="0.25">
      <c r="A5121" s="21">
        <v>45827</v>
      </c>
      <c r="B5121" s="1">
        <v>50684197</v>
      </c>
      <c r="C5121" t="s">
        <v>118</v>
      </c>
      <c r="D5121" s="22">
        <v>-881.8</v>
      </c>
      <c r="E5121" s="75" t="s">
        <v>35</v>
      </c>
      <c r="F5121" s="2">
        <v>610148001</v>
      </c>
      <c r="G5121" s="2" t="s">
        <v>42</v>
      </c>
      <c r="L5121" s="2" t="s">
        <v>9020</v>
      </c>
      <c r="M5121" t="s">
        <v>43</v>
      </c>
      <c r="N5121" t="s">
        <v>42</v>
      </c>
      <c r="P5121" s="23">
        <v>103.74</v>
      </c>
      <c r="Q5121" s="4">
        <f t="shared" si="79"/>
        <v>-8.5000963948332373</v>
      </c>
      <c r="R5121" s="23" t="s">
        <v>109</v>
      </c>
      <c r="T5121" s="23" t="s">
        <v>8423</v>
      </c>
    </row>
    <row r="5122" spans="1:20" x14ac:dyDescent="0.25">
      <c r="A5122" s="21">
        <v>45828</v>
      </c>
      <c r="B5122" s="1">
        <v>105401766</v>
      </c>
      <c r="C5122" t="s">
        <v>107</v>
      </c>
      <c r="D5122" s="22">
        <v>700000</v>
      </c>
      <c r="E5122" s="75" t="s">
        <v>46</v>
      </c>
      <c r="F5122" s="2">
        <v>210115002</v>
      </c>
      <c r="G5122" s="2" t="s">
        <v>47</v>
      </c>
      <c r="L5122" s="2" t="s">
        <v>9021</v>
      </c>
      <c r="N5122" t="s">
        <v>107</v>
      </c>
      <c r="P5122" s="23">
        <v>104.54</v>
      </c>
      <c r="Q5122" s="4">
        <f t="shared" si="79"/>
        <v>6696.0015305146353</v>
      </c>
      <c r="R5122" s="23" t="s">
        <v>109</v>
      </c>
    </row>
    <row r="5123" spans="1:20" x14ac:dyDescent="0.25">
      <c r="A5123" s="32">
        <v>45828</v>
      </c>
      <c r="B5123" s="26">
        <v>414566192</v>
      </c>
      <c r="C5123" s="27" t="s">
        <v>54</v>
      </c>
      <c r="D5123" s="28">
        <v>-12544.8</v>
      </c>
      <c r="E5123" s="75" t="s">
        <v>35</v>
      </c>
      <c r="F5123" s="29">
        <v>610129001</v>
      </c>
      <c r="G5123" s="29" t="s">
        <v>55</v>
      </c>
      <c r="H5123" s="107"/>
      <c r="I5123" s="101"/>
      <c r="J5123" s="101"/>
      <c r="K5123" s="29"/>
      <c r="L5123" s="2" t="s">
        <v>9022</v>
      </c>
      <c r="M5123" s="27" t="s">
        <v>57</v>
      </c>
      <c r="N5123" s="27" t="s">
        <v>58</v>
      </c>
      <c r="O5123" s="27" t="s">
        <v>59</v>
      </c>
      <c r="P5123" s="31">
        <v>104.54</v>
      </c>
      <c r="Q5123" s="4">
        <f t="shared" si="79"/>
        <v>-119.99999999999999</v>
      </c>
      <c r="R5123" s="23" t="s">
        <v>109</v>
      </c>
      <c r="T5123" s="23" t="s">
        <v>9023</v>
      </c>
    </row>
    <row r="5124" spans="1:20" x14ac:dyDescent="0.25">
      <c r="A5124" s="21">
        <v>45828</v>
      </c>
      <c r="B5124" s="1">
        <v>414566194</v>
      </c>
      <c r="C5124" t="s">
        <v>7557</v>
      </c>
      <c r="D5124" s="22">
        <v>-10840.2</v>
      </c>
      <c r="E5124" s="75" t="s">
        <v>35</v>
      </c>
      <c r="F5124" s="2">
        <v>110101002</v>
      </c>
      <c r="G5124" s="2" t="s">
        <v>6359</v>
      </c>
      <c r="L5124" s="2" t="s">
        <v>9024</v>
      </c>
      <c r="N5124" t="s">
        <v>7557</v>
      </c>
      <c r="P5124" s="23">
        <v>104.54</v>
      </c>
      <c r="Q5124" s="4">
        <f t="shared" si="79"/>
        <v>-103.69427970154965</v>
      </c>
      <c r="R5124" s="23" t="s">
        <v>109</v>
      </c>
    </row>
    <row r="5125" spans="1:20" x14ac:dyDescent="0.25">
      <c r="A5125" s="21">
        <v>45828</v>
      </c>
      <c r="B5125" s="1">
        <v>514566196</v>
      </c>
      <c r="C5125" t="s">
        <v>9025</v>
      </c>
      <c r="D5125" s="22">
        <v>-1045.4000000000001</v>
      </c>
      <c r="E5125" s="75" t="s">
        <v>35</v>
      </c>
      <c r="F5125" s="2">
        <v>212901001</v>
      </c>
      <c r="G5125" s="2" t="s">
        <v>121</v>
      </c>
      <c r="L5125" s="2" t="s">
        <v>9026</v>
      </c>
      <c r="M5125" t="s">
        <v>67</v>
      </c>
      <c r="N5125" t="s">
        <v>68</v>
      </c>
      <c r="P5125" s="23">
        <v>104.54</v>
      </c>
      <c r="Q5125" s="4">
        <f t="shared" si="79"/>
        <v>-10</v>
      </c>
      <c r="R5125" s="23" t="s">
        <v>109</v>
      </c>
    </row>
    <row r="5126" spans="1:20" x14ac:dyDescent="0.25">
      <c r="A5126" s="21">
        <v>45828</v>
      </c>
      <c r="B5126" s="1">
        <v>514566198</v>
      </c>
      <c r="C5126" t="s">
        <v>9027</v>
      </c>
      <c r="D5126" s="22">
        <v>-2090.8000000000002</v>
      </c>
      <c r="E5126" s="75" t="s">
        <v>35</v>
      </c>
      <c r="F5126" s="2">
        <v>212901001</v>
      </c>
      <c r="G5126" s="2" t="s">
        <v>121</v>
      </c>
      <c r="L5126" s="2" t="s">
        <v>9028</v>
      </c>
      <c r="M5126" t="s">
        <v>67</v>
      </c>
      <c r="N5126" t="s">
        <v>68</v>
      </c>
      <c r="P5126" s="23">
        <v>104.54</v>
      </c>
      <c r="Q5126" s="4">
        <f t="shared" si="79"/>
        <v>-20</v>
      </c>
      <c r="R5126" s="23" t="s">
        <v>109</v>
      </c>
    </row>
    <row r="5127" spans="1:20" x14ac:dyDescent="0.25">
      <c r="A5127" s="21">
        <v>45828</v>
      </c>
      <c r="B5127" s="1">
        <v>514566195</v>
      </c>
      <c r="C5127" t="s">
        <v>9029</v>
      </c>
      <c r="D5127" s="22">
        <v>-3136.2</v>
      </c>
      <c r="E5127" s="75" t="s">
        <v>35</v>
      </c>
      <c r="F5127" s="2">
        <v>212901001</v>
      </c>
      <c r="G5127" s="2" t="s">
        <v>121</v>
      </c>
      <c r="L5127" s="2" t="s">
        <v>9030</v>
      </c>
      <c r="M5127" t="s">
        <v>67</v>
      </c>
      <c r="N5127" t="s">
        <v>68</v>
      </c>
      <c r="P5127" s="23">
        <v>104.54</v>
      </c>
      <c r="Q5127" s="4">
        <f t="shared" si="79"/>
        <v>-29.999999999999996</v>
      </c>
      <c r="R5127" s="23" t="s">
        <v>109</v>
      </c>
    </row>
    <row r="5128" spans="1:20" x14ac:dyDescent="0.25">
      <c r="A5128" s="21">
        <v>45828</v>
      </c>
      <c r="B5128" s="1">
        <v>514566197</v>
      </c>
      <c r="C5128" t="s">
        <v>9031</v>
      </c>
      <c r="D5128" s="22">
        <v>-2090.8000000000002</v>
      </c>
      <c r="E5128" s="75" t="s">
        <v>35</v>
      </c>
      <c r="F5128" s="2">
        <v>212901001</v>
      </c>
      <c r="G5128" s="2" t="s">
        <v>121</v>
      </c>
      <c r="L5128" s="2" t="s">
        <v>9032</v>
      </c>
      <c r="M5128" t="s">
        <v>67</v>
      </c>
      <c r="N5128" t="s">
        <v>68</v>
      </c>
      <c r="P5128" s="23">
        <v>104.54</v>
      </c>
      <c r="Q5128" s="4">
        <f t="shared" si="79"/>
        <v>-20</v>
      </c>
      <c r="R5128" s="23" t="s">
        <v>109</v>
      </c>
    </row>
    <row r="5129" spans="1:20" x14ac:dyDescent="0.25">
      <c r="A5129" s="21">
        <v>45828</v>
      </c>
      <c r="B5129" s="1">
        <v>514566199</v>
      </c>
      <c r="C5129" t="s">
        <v>9033</v>
      </c>
      <c r="D5129" s="22">
        <v>-2090.8000000000002</v>
      </c>
      <c r="E5129" s="75" t="s">
        <v>35</v>
      </c>
      <c r="F5129" s="2">
        <v>212901001</v>
      </c>
      <c r="G5129" s="2" t="s">
        <v>121</v>
      </c>
      <c r="L5129" s="2" t="s">
        <v>9034</v>
      </c>
      <c r="M5129" t="s">
        <v>67</v>
      </c>
      <c r="N5129" t="s">
        <v>68</v>
      </c>
      <c r="P5129" s="23">
        <v>104.54</v>
      </c>
      <c r="Q5129" s="4">
        <f t="shared" si="79"/>
        <v>-20</v>
      </c>
      <c r="R5129" s="23" t="s">
        <v>109</v>
      </c>
    </row>
    <row r="5130" spans="1:20" x14ac:dyDescent="0.25">
      <c r="A5130" s="21">
        <v>45828</v>
      </c>
      <c r="B5130" s="1">
        <v>514566201</v>
      </c>
      <c r="C5130" t="s">
        <v>9035</v>
      </c>
      <c r="D5130" s="22">
        <v>-2090.8000000000002</v>
      </c>
      <c r="E5130" s="75" t="s">
        <v>35</v>
      </c>
      <c r="F5130" s="2">
        <v>212901001</v>
      </c>
      <c r="G5130" s="2" t="s">
        <v>121</v>
      </c>
      <c r="L5130" s="2" t="s">
        <v>9036</v>
      </c>
      <c r="M5130" t="s">
        <v>67</v>
      </c>
      <c r="N5130" t="s">
        <v>68</v>
      </c>
      <c r="P5130" s="23">
        <v>104.54</v>
      </c>
      <c r="Q5130" s="4">
        <f t="shared" si="79"/>
        <v>-20</v>
      </c>
      <c r="R5130" s="23" t="s">
        <v>109</v>
      </c>
    </row>
    <row r="5131" spans="1:20" x14ac:dyDescent="0.25">
      <c r="A5131" s="21">
        <v>45828</v>
      </c>
      <c r="B5131" s="1">
        <v>514566200</v>
      </c>
      <c r="C5131" t="s">
        <v>9037</v>
      </c>
      <c r="D5131" s="22">
        <v>-2090.8000000000002</v>
      </c>
      <c r="E5131" s="75" t="s">
        <v>35</v>
      </c>
      <c r="F5131" s="2">
        <v>212901001</v>
      </c>
      <c r="G5131" s="2" t="s">
        <v>121</v>
      </c>
      <c r="L5131" s="2" t="s">
        <v>9038</v>
      </c>
      <c r="M5131" t="s">
        <v>67</v>
      </c>
      <c r="N5131" t="s">
        <v>68</v>
      </c>
      <c r="P5131" s="23">
        <v>104.54</v>
      </c>
      <c r="Q5131" s="4">
        <f t="shared" ref="Q5131:Q5194" si="80">D5131/P5131</f>
        <v>-20</v>
      </c>
      <c r="R5131" s="23" t="s">
        <v>109</v>
      </c>
    </row>
    <row r="5132" spans="1:20" x14ac:dyDescent="0.25">
      <c r="A5132" s="21">
        <v>45828</v>
      </c>
      <c r="B5132" s="1">
        <v>514566203</v>
      </c>
      <c r="C5132" t="s">
        <v>9039</v>
      </c>
      <c r="D5132" s="22">
        <v>-36798.080000000002</v>
      </c>
      <c r="E5132" s="75" t="s">
        <v>35</v>
      </c>
      <c r="F5132" s="2">
        <v>212901001</v>
      </c>
      <c r="G5132" s="2" t="s">
        <v>121</v>
      </c>
      <c r="L5132" s="2" t="s">
        <v>9040</v>
      </c>
      <c r="M5132" t="s">
        <v>67</v>
      </c>
      <c r="N5132" t="s">
        <v>68</v>
      </c>
      <c r="P5132" s="23">
        <v>104.54</v>
      </c>
      <c r="Q5132" s="4">
        <f t="shared" si="80"/>
        <v>-352</v>
      </c>
      <c r="R5132" s="23" t="s">
        <v>109</v>
      </c>
    </row>
    <row r="5133" spans="1:20" x14ac:dyDescent="0.25">
      <c r="A5133" s="21">
        <v>45828</v>
      </c>
      <c r="B5133" s="1">
        <v>614566205</v>
      </c>
      <c r="C5133" t="s">
        <v>9041</v>
      </c>
      <c r="D5133" s="22">
        <v>-14635.6</v>
      </c>
      <c r="E5133" s="75" t="s">
        <v>35</v>
      </c>
      <c r="F5133" s="2">
        <v>212901001</v>
      </c>
      <c r="G5133" s="2" t="s">
        <v>121</v>
      </c>
      <c r="L5133" s="2" t="s">
        <v>9042</v>
      </c>
      <c r="M5133" t="s">
        <v>67</v>
      </c>
      <c r="N5133" t="s">
        <v>68</v>
      </c>
      <c r="P5133" s="23">
        <v>104.54</v>
      </c>
      <c r="Q5133" s="4">
        <f t="shared" si="80"/>
        <v>-140</v>
      </c>
      <c r="R5133" s="23" t="s">
        <v>109</v>
      </c>
    </row>
    <row r="5134" spans="1:20" x14ac:dyDescent="0.25">
      <c r="A5134" s="21">
        <v>45828</v>
      </c>
      <c r="B5134" s="1">
        <v>514566202</v>
      </c>
      <c r="C5134" t="s">
        <v>9043</v>
      </c>
      <c r="D5134" s="22">
        <v>-2090.8000000000002</v>
      </c>
      <c r="E5134" s="75" t="s">
        <v>35</v>
      </c>
      <c r="F5134" s="2">
        <v>212901001</v>
      </c>
      <c r="G5134" s="2" t="s">
        <v>121</v>
      </c>
      <c r="L5134" s="2" t="s">
        <v>9044</v>
      </c>
      <c r="M5134" t="s">
        <v>67</v>
      </c>
      <c r="N5134" t="s">
        <v>68</v>
      </c>
      <c r="P5134" s="23">
        <v>104.54</v>
      </c>
      <c r="Q5134" s="4">
        <f t="shared" si="80"/>
        <v>-20</v>
      </c>
      <c r="R5134" s="23" t="s">
        <v>109</v>
      </c>
    </row>
    <row r="5135" spans="1:20" ht="45" x14ac:dyDescent="0.25">
      <c r="A5135" s="21">
        <v>45828</v>
      </c>
      <c r="B5135" s="1">
        <v>614566204</v>
      </c>
      <c r="C5135" s="77" t="s">
        <v>9045</v>
      </c>
      <c r="D5135" s="22">
        <v>-1045.4000000000001</v>
      </c>
      <c r="E5135" s="75" t="s">
        <v>35</v>
      </c>
      <c r="F5135" s="2">
        <v>212901001</v>
      </c>
      <c r="G5135" s="2" t="s">
        <v>121</v>
      </c>
      <c r="L5135" s="2" t="s">
        <v>9046</v>
      </c>
      <c r="M5135" t="s">
        <v>67</v>
      </c>
      <c r="N5135" t="s">
        <v>68</v>
      </c>
      <c r="P5135" s="23">
        <v>104.54</v>
      </c>
      <c r="Q5135" s="4">
        <f t="shared" si="80"/>
        <v>-10</v>
      </c>
      <c r="R5135" s="23" t="s">
        <v>109</v>
      </c>
    </row>
    <row r="5136" spans="1:20" x14ac:dyDescent="0.25">
      <c r="A5136" s="21">
        <v>45828</v>
      </c>
      <c r="B5136" s="1">
        <v>614566206</v>
      </c>
      <c r="C5136" t="s">
        <v>9047</v>
      </c>
      <c r="D5136" s="22">
        <v>-199359.92</v>
      </c>
      <c r="E5136" s="75" t="s">
        <v>35</v>
      </c>
      <c r="F5136" s="2">
        <v>210101001</v>
      </c>
      <c r="G5136" s="2" t="s">
        <v>36</v>
      </c>
      <c r="L5136" s="2" t="s">
        <v>9048</v>
      </c>
      <c r="M5136" t="s">
        <v>38</v>
      </c>
      <c r="N5136" t="s">
        <v>39</v>
      </c>
      <c r="P5136" s="23">
        <v>104.54</v>
      </c>
      <c r="Q5136" s="4">
        <f t="shared" si="80"/>
        <v>-1907.0204706332504</v>
      </c>
      <c r="R5136" s="23" t="s">
        <v>109</v>
      </c>
    </row>
    <row r="5137" spans="1:20" x14ac:dyDescent="0.25">
      <c r="A5137" s="21">
        <v>45828</v>
      </c>
      <c r="B5137" s="1">
        <v>614566207</v>
      </c>
      <c r="C5137" t="s">
        <v>9047</v>
      </c>
      <c r="D5137" s="22">
        <v>-200000</v>
      </c>
      <c r="E5137" s="75" t="s">
        <v>35</v>
      </c>
      <c r="F5137" s="2">
        <v>210101001</v>
      </c>
      <c r="G5137" s="2" t="s">
        <v>36</v>
      </c>
      <c r="L5137" s="2" t="s">
        <v>9049</v>
      </c>
      <c r="M5137" t="s">
        <v>38</v>
      </c>
      <c r="N5137" t="s">
        <v>39</v>
      </c>
      <c r="P5137" s="23">
        <v>104.54</v>
      </c>
      <c r="Q5137" s="4">
        <f t="shared" si="80"/>
        <v>-1913.143294432753</v>
      </c>
      <c r="R5137" s="23" t="s">
        <v>109</v>
      </c>
    </row>
    <row r="5138" spans="1:20" x14ac:dyDescent="0.25">
      <c r="A5138" s="21">
        <v>45828</v>
      </c>
      <c r="B5138" s="1">
        <v>614566210</v>
      </c>
      <c r="C5138" t="s">
        <v>9050</v>
      </c>
      <c r="D5138" s="22">
        <v>-2090.8000000000002</v>
      </c>
      <c r="E5138" s="75" t="s">
        <v>35</v>
      </c>
      <c r="F5138" s="2">
        <v>212901001</v>
      </c>
      <c r="G5138" s="2" t="s">
        <v>121</v>
      </c>
      <c r="L5138" s="2" t="s">
        <v>9051</v>
      </c>
      <c r="M5138" t="s">
        <v>67</v>
      </c>
      <c r="N5138" t="s">
        <v>68</v>
      </c>
      <c r="P5138" s="23">
        <v>104.54</v>
      </c>
      <c r="Q5138" s="4">
        <f t="shared" si="80"/>
        <v>-20</v>
      </c>
      <c r="R5138" s="23" t="s">
        <v>109</v>
      </c>
    </row>
    <row r="5139" spans="1:20" x14ac:dyDescent="0.25">
      <c r="A5139" s="21">
        <v>45828</v>
      </c>
      <c r="B5139" s="1">
        <v>614566209</v>
      </c>
      <c r="C5139" t="s">
        <v>9047</v>
      </c>
      <c r="D5139" s="22">
        <v>-200000</v>
      </c>
      <c r="E5139" s="75" t="s">
        <v>35</v>
      </c>
      <c r="F5139" s="2">
        <v>210101001</v>
      </c>
      <c r="G5139" s="2" t="s">
        <v>36</v>
      </c>
      <c r="L5139" s="2" t="s">
        <v>9052</v>
      </c>
      <c r="M5139" t="s">
        <v>38</v>
      </c>
      <c r="N5139" t="s">
        <v>39</v>
      </c>
      <c r="P5139" s="23">
        <v>104.54</v>
      </c>
      <c r="Q5139" s="4">
        <f t="shared" si="80"/>
        <v>-1913.143294432753</v>
      </c>
      <c r="R5139" s="23" t="s">
        <v>109</v>
      </c>
    </row>
    <row r="5140" spans="1:20" x14ac:dyDescent="0.25">
      <c r="A5140" s="21">
        <v>45828</v>
      </c>
      <c r="B5140" s="1">
        <v>50669452</v>
      </c>
      <c r="C5140" t="s">
        <v>118</v>
      </c>
      <c r="D5140" s="22">
        <v>-1735.1</v>
      </c>
      <c r="E5140" s="75" t="s">
        <v>35</v>
      </c>
      <c r="F5140" s="2">
        <v>610148001</v>
      </c>
      <c r="G5140" s="2" t="s">
        <v>42</v>
      </c>
      <c r="L5140" s="2" t="s">
        <v>9053</v>
      </c>
      <c r="M5140" t="s">
        <v>43</v>
      </c>
      <c r="N5140" t="s">
        <v>42</v>
      </c>
      <c r="P5140" s="23">
        <v>104.54</v>
      </c>
      <c r="Q5140" s="4">
        <f t="shared" si="80"/>
        <v>-16.597474650851346</v>
      </c>
      <c r="R5140" s="23" t="s">
        <v>109</v>
      </c>
      <c r="T5140" s="23" t="s">
        <v>8423</v>
      </c>
    </row>
    <row r="5141" spans="1:20" x14ac:dyDescent="0.25">
      <c r="A5141" s="21">
        <v>45828</v>
      </c>
      <c r="B5141" s="1">
        <v>113331712</v>
      </c>
      <c r="C5141" t="s">
        <v>107</v>
      </c>
      <c r="D5141" s="22">
        <v>470000</v>
      </c>
      <c r="E5141" s="75" t="s">
        <v>46</v>
      </c>
      <c r="F5141" s="2">
        <v>210115002</v>
      </c>
      <c r="G5141" s="2" t="s">
        <v>47</v>
      </c>
      <c r="L5141" s="2" t="s">
        <v>9054</v>
      </c>
      <c r="N5141" t="s">
        <v>107</v>
      </c>
      <c r="P5141" s="23">
        <v>104.54</v>
      </c>
      <c r="Q5141" s="4">
        <f t="shared" si="80"/>
        <v>4495.8867419169692</v>
      </c>
      <c r="R5141" s="23" t="s">
        <v>109</v>
      </c>
    </row>
    <row r="5142" spans="1:20" x14ac:dyDescent="0.25">
      <c r="A5142" s="21">
        <v>45828</v>
      </c>
      <c r="B5142" s="1">
        <v>214567390</v>
      </c>
      <c r="C5142" t="s">
        <v>9055</v>
      </c>
      <c r="D5142" s="22">
        <v>-8363.2000000000007</v>
      </c>
      <c r="E5142" s="75" t="s">
        <v>35</v>
      </c>
      <c r="F5142" s="2">
        <v>212901001</v>
      </c>
      <c r="G5142" s="2" t="s">
        <v>121</v>
      </c>
      <c r="L5142" s="2" t="s">
        <v>9056</v>
      </c>
      <c r="M5142" t="s">
        <v>67</v>
      </c>
      <c r="N5142" t="s">
        <v>68</v>
      </c>
      <c r="P5142" s="23">
        <v>104.54</v>
      </c>
      <c r="Q5142" s="4">
        <f t="shared" si="80"/>
        <v>-80</v>
      </c>
      <c r="R5142" s="23" t="s">
        <v>109</v>
      </c>
    </row>
    <row r="5143" spans="1:20" x14ac:dyDescent="0.25">
      <c r="A5143" s="21">
        <v>45828</v>
      </c>
      <c r="B5143" s="1">
        <v>214567392</v>
      </c>
      <c r="C5143" t="s">
        <v>9057</v>
      </c>
      <c r="D5143" s="22">
        <v>-6272.4</v>
      </c>
      <c r="E5143" s="75" t="s">
        <v>35</v>
      </c>
      <c r="F5143" s="2">
        <v>212901001</v>
      </c>
      <c r="G5143" s="2" t="s">
        <v>121</v>
      </c>
      <c r="L5143" s="2" t="s">
        <v>9058</v>
      </c>
      <c r="M5143" t="s">
        <v>67</v>
      </c>
      <c r="N5143" t="s">
        <v>68</v>
      </c>
      <c r="P5143" s="23">
        <v>104.54</v>
      </c>
      <c r="Q5143" s="4">
        <f t="shared" si="80"/>
        <v>-59.999999999999993</v>
      </c>
      <c r="R5143" s="23" t="s">
        <v>109</v>
      </c>
    </row>
    <row r="5144" spans="1:20" x14ac:dyDescent="0.25">
      <c r="A5144" s="21">
        <v>45828</v>
      </c>
      <c r="B5144" s="1">
        <v>214567391</v>
      </c>
      <c r="C5144" t="s">
        <v>9059</v>
      </c>
      <c r="D5144" s="22">
        <v>-6272.4</v>
      </c>
      <c r="E5144" s="75" t="s">
        <v>35</v>
      </c>
      <c r="F5144" s="2">
        <v>212901001</v>
      </c>
      <c r="G5144" s="2" t="s">
        <v>121</v>
      </c>
      <c r="L5144" s="2" t="s">
        <v>9060</v>
      </c>
      <c r="M5144" t="s">
        <v>67</v>
      </c>
      <c r="N5144" t="s">
        <v>68</v>
      </c>
      <c r="P5144" s="23">
        <v>104.54</v>
      </c>
      <c r="Q5144" s="4">
        <f t="shared" si="80"/>
        <v>-59.999999999999993</v>
      </c>
      <c r="R5144" s="23" t="s">
        <v>109</v>
      </c>
    </row>
    <row r="5145" spans="1:20" x14ac:dyDescent="0.25">
      <c r="A5145" s="21">
        <v>45828</v>
      </c>
      <c r="B5145" s="1">
        <v>214567393</v>
      </c>
      <c r="C5145" t="s">
        <v>9061</v>
      </c>
      <c r="D5145" s="22">
        <v>-6272.4</v>
      </c>
      <c r="E5145" s="75" t="s">
        <v>35</v>
      </c>
      <c r="F5145" s="2">
        <v>212901001</v>
      </c>
      <c r="G5145" s="2" t="s">
        <v>121</v>
      </c>
      <c r="L5145" s="2" t="s">
        <v>9062</v>
      </c>
      <c r="M5145" t="s">
        <v>67</v>
      </c>
      <c r="N5145" t="s">
        <v>68</v>
      </c>
      <c r="P5145" s="23">
        <v>104.54</v>
      </c>
      <c r="Q5145" s="4">
        <f t="shared" si="80"/>
        <v>-59.999999999999993</v>
      </c>
      <c r="R5145" s="23" t="s">
        <v>109</v>
      </c>
    </row>
    <row r="5146" spans="1:20" x14ac:dyDescent="0.25">
      <c r="A5146" s="21">
        <v>45828</v>
      </c>
      <c r="B5146" s="1">
        <v>314567394</v>
      </c>
      <c r="C5146" t="s">
        <v>9063</v>
      </c>
      <c r="D5146" s="22">
        <v>-6272.4</v>
      </c>
      <c r="E5146" s="75" t="s">
        <v>35</v>
      </c>
      <c r="F5146" s="2">
        <v>212901001</v>
      </c>
      <c r="G5146" s="2" t="s">
        <v>121</v>
      </c>
      <c r="L5146" s="2" t="s">
        <v>9064</v>
      </c>
      <c r="M5146" t="s">
        <v>67</v>
      </c>
      <c r="N5146" t="s">
        <v>68</v>
      </c>
      <c r="P5146" s="23">
        <v>104.54</v>
      </c>
      <c r="Q5146" s="4">
        <f t="shared" si="80"/>
        <v>-59.999999999999993</v>
      </c>
      <c r="R5146" s="23" t="s">
        <v>109</v>
      </c>
    </row>
    <row r="5147" spans="1:20" x14ac:dyDescent="0.25">
      <c r="A5147" s="21">
        <v>45828</v>
      </c>
      <c r="B5147" s="1">
        <v>314567397</v>
      </c>
      <c r="C5147" t="s">
        <v>9065</v>
      </c>
      <c r="D5147" s="22">
        <v>-6272.4</v>
      </c>
      <c r="E5147" s="75" t="s">
        <v>35</v>
      </c>
      <c r="F5147" s="2">
        <v>212901001</v>
      </c>
      <c r="G5147" s="2" t="s">
        <v>121</v>
      </c>
      <c r="L5147" s="2" t="s">
        <v>9066</v>
      </c>
      <c r="M5147" t="s">
        <v>67</v>
      </c>
      <c r="N5147" t="s">
        <v>68</v>
      </c>
      <c r="P5147" s="23">
        <v>104.54</v>
      </c>
      <c r="Q5147" s="4">
        <f t="shared" si="80"/>
        <v>-59.999999999999993</v>
      </c>
      <c r="R5147" s="23" t="s">
        <v>109</v>
      </c>
    </row>
    <row r="5148" spans="1:20" x14ac:dyDescent="0.25">
      <c r="A5148" s="21">
        <v>45828</v>
      </c>
      <c r="B5148" s="1">
        <v>314567395</v>
      </c>
      <c r="C5148" t="s">
        <v>9067</v>
      </c>
      <c r="D5148" s="22">
        <v>-6272.4</v>
      </c>
      <c r="E5148" s="75" t="s">
        <v>35</v>
      </c>
      <c r="F5148" s="2">
        <v>212901001</v>
      </c>
      <c r="G5148" s="2" t="s">
        <v>121</v>
      </c>
      <c r="L5148" s="2" t="s">
        <v>9068</v>
      </c>
      <c r="M5148" t="s">
        <v>67</v>
      </c>
      <c r="N5148" t="s">
        <v>68</v>
      </c>
      <c r="P5148" s="23">
        <v>104.54</v>
      </c>
      <c r="Q5148" s="4">
        <f t="shared" si="80"/>
        <v>-59.999999999999993</v>
      </c>
      <c r="R5148" s="23" t="s">
        <v>109</v>
      </c>
    </row>
    <row r="5149" spans="1:20" x14ac:dyDescent="0.25">
      <c r="A5149" s="21">
        <v>45828</v>
      </c>
      <c r="B5149" s="1">
        <v>314567398</v>
      </c>
      <c r="C5149" t="s">
        <v>9069</v>
      </c>
      <c r="D5149" s="22">
        <v>-6272.4</v>
      </c>
      <c r="E5149" s="75" t="s">
        <v>35</v>
      </c>
      <c r="F5149" s="2">
        <v>212901001</v>
      </c>
      <c r="G5149" s="2" t="s">
        <v>121</v>
      </c>
      <c r="L5149" s="2" t="s">
        <v>9070</v>
      </c>
      <c r="M5149" t="s">
        <v>67</v>
      </c>
      <c r="N5149" t="s">
        <v>68</v>
      </c>
      <c r="P5149" s="23">
        <v>104.54</v>
      </c>
      <c r="Q5149" s="4">
        <f t="shared" si="80"/>
        <v>-59.999999999999993</v>
      </c>
      <c r="R5149" s="23" t="s">
        <v>109</v>
      </c>
    </row>
    <row r="5150" spans="1:20" x14ac:dyDescent="0.25">
      <c r="A5150" s="21">
        <v>45828</v>
      </c>
      <c r="B5150" s="1">
        <v>314567401</v>
      </c>
      <c r="C5150" t="s">
        <v>9071</v>
      </c>
      <c r="D5150" s="22">
        <v>-6272.4</v>
      </c>
      <c r="E5150" s="75" t="s">
        <v>35</v>
      </c>
      <c r="F5150" s="2">
        <v>212901001</v>
      </c>
      <c r="G5150" s="2" t="s">
        <v>121</v>
      </c>
      <c r="L5150" s="2" t="s">
        <v>9072</v>
      </c>
      <c r="M5150" t="s">
        <v>67</v>
      </c>
      <c r="N5150" t="s">
        <v>68</v>
      </c>
      <c r="P5150" s="23">
        <v>104.54</v>
      </c>
      <c r="Q5150" s="4">
        <f t="shared" si="80"/>
        <v>-59.999999999999993</v>
      </c>
      <c r="R5150" s="23" t="s">
        <v>109</v>
      </c>
    </row>
    <row r="5151" spans="1:20" x14ac:dyDescent="0.25">
      <c r="A5151" s="21">
        <v>45828</v>
      </c>
      <c r="B5151" s="1">
        <v>314567400</v>
      </c>
      <c r="C5151" t="s">
        <v>9073</v>
      </c>
      <c r="D5151" s="22">
        <v>-6272.4</v>
      </c>
      <c r="E5151" s="75" t="s">
        <v>35</v>
      </c>
      <c r="F5151" s="2">
        <v>212901001</v>
      </c>
      <c r="G5151" s="2" t="s">
        <v>121</v>
      </c>
      <c r="L5151" s="2" t="s">
        <v>9074</v>
      </c>
      <c r="M5151" t="s">
        <v>67</v>
      </c>
      <c r="N5151" t="s">
        <v>68</v>
      </c>
      <c r="P5151" s="23">
        <v>104.54</v>
      </c>
      <c r="Q5151" s="4">
        <f t="shared" si="80"/>
        <v>-59.999999999999993</v>
      </c>
      <c r="R5151" s="23" t="s">
        <v>109</v>
      </c>
    </row>
    <row r="5152" spans="1:20" x14ac:dyDescent="0.25">
      <c r="A5152" s="21">
        <v>45828</v>
      </c>
      <c r="B5152" s="1">
        <v>314567399</v>
      </c>
      <c r="C5152" t="s">
        <v>9075</v>
      </c>
      <c r="D5152" s="22">
        <v>-6272.4</v>
      </c>
      <c r="E5152" s="75" t="s">
        <v>35</v>
      </c>
      <c r="F5152" s="2">
        <v>212901001</v>
      </c>
      <c r="G5152" s="2" t="s">
        <v>121</v>
      </c>
      <c r="L5152" s="2" t="s">
        <v>9076</v>
      </c>
      <c r="M5152" t="s">
        <v>67</v>
      </c>
      <c r="N5152" t="s">
        <v>68</v>
      </c>
      <c r="P5152" s="23">
        <v>104.54</v>
      </c>
      <c r="Q5152" s="4">
        <f t="shared" si="80"/>
        <v>-59.999999999999993</v>
      </c>
      <c r="R5152" s="23" t="s">
        <v>109</v>
      </c>
    </row>
    <row r="5153" spans="1:18" x14ac:dyDescent="0.25">
      <c r="A5153" s="21">
        <v>45828</v>
      </c>
      <c r="B5153" s="1">
        <v>314567402</v>
      </c>
      <c r="C5153" t="s">
        <v>9077</v>
      </c>
      <c r="D5153" s="22">
        <v>-6272.4</v>
      </c>
      <c r="E5153" s="75" t="s">
        <v>35</v>
      </c>
      <c r="F5153" s="2">
        <v>212901001</v>
      </c>
      <c r="G5153" s="2" t="s">
        <v>121</v>
      </c>
      <c r="L5153" s="2" t="s">
        <v>9078</v>
      </c>
      <c r="M5153" t="s">
        <v>67</v>
      </c>
      <c r="N5153" t="s">
        <v>68</v>
      </c>
      <c r="P5153" s="23">
        <v>104.54</v>
      </c>
      <c r="Q5153" s="4">
        <f t="shared" si="80"/>
        <v>-59.999999999999993</v>
      </c>
      <c r="R5153" s="23" t="s">
        <v>109</v>
      </c>
    </row>
    <row r="5154" spans="1:18" x14ac:dyDescent="0.25">
      <c r="A5154" s="21">
        <v>45828</v>
      </c>
      <c r="B5154" s="1">
        <v>414567405</v>
      </c>
      <c r="C5154" t="s">
        <v>9079</v>
      </c>
      <c r="D5154" s="22">
        <v>-6272.4</v>
      </c>
      <c r="E5154" s="75" t="s">
        <v>35</v>
      </c>
      <c r="F5154" s="2">
        <v>212901001</v>
      </c>
      <c r="G5154" s="2" t="s">
        <v>121</v>
      </c>
      <c r="L5154" s="2" t="s">
        <v>9080</v>
      </c>
      <c r="M5154" t="s">
        <v>67</v>
      </c>
      <c r="N5154" t="s">
        <v>68</v>
      </c>
      <c r="P5154" s="23">
        <v>104.54</v>
      </c>
      <c r="Q5154" s="4">
        <f t="shared" si="80"/>
        <v>-59.999999999999993</v>
      </c>
      <c r="R5154" s="23" t="s">
        <v>109</v>
      </c>
    </row>
    <row r="5155" spans="1:18" x14ac:dyDescent="0.25">
      <c r="A5155" s="21">
        <v>45828</v>
      </c>
      <c r="B5155" s="1">
        <v>414567403</v>
      </c>
      <c r="C5155" t="s">
        <v>9081</v>
      </c>
      <c r="D5155" s="22">
        <v>-6272.4</v>
      </c>
      <c r="E5155" s="75" t="s">
        <v>35</v>
      </c>
      <c r="F5155" s="2">
        <v>212901001</v>
      </c>
      <c r="G5155" s="2" t="s">
        <v>121</v>
      </c>
      <c r="L5155" s="2" t="s">
        <v>9082</v>
      </c>
      <c r="M5155" t="s">
        <v>67</v>
      </c>
      <c r="N5155" t="s">
        <v>68</v>
      </c>
      <c r="P5155" s="23">
        <v>104.54</v>
      </c>
      <c r="Q5155" s="4">
        <f t="shared" si="80"/>
        <v>-59.999999999999993</v>
      </c>
      <c r="R5155" s="23" t="s">
        <v>109</v>
      </c>
    </row>
    <row r="5156" spans="1:18" x14ac:dyDescent="0.25">
      <c r="A5156" s="21">
        <v>45828</v>
      </c>
      <c r="B5156" s="1">
        <v>414567404</v>
      </c>
      <c r="C5156" t="s">
        <v>9083</v>
      </c>
      <c r="D5156" s="22">
        <v>-6272.4</v>
      </c>
      <c r="E5156" s="75" t="s">
        <v>35</v>
      </c>
      <c r="F5156" s="2">
        <v>212901001</v>
      </c>
      <c r="G5156" s="2" t="s">
        <v>121</v>
      </c>
      <c r="L5156" s="2" t="s">
        <v>9084</v>
      </c>
      <c r="M5156" t="s">
        <v>67</v>
      </c>
      <c r="N5156" t="s">
        <v>68</v>
      </c>
      <c r="P5156" s="23">
        <v>104.54</v>
      </c>
      <c r="Q5156" s="4">
        <f t="shared" si="80"/>
        <v>-59.999999999999993</v>
      </c>
      <c r="R5156" s="23" t="s">
        <v>109</v>
      </c>
    </row>
    <row r="5157" spans="1:18" x14ac:dyDescent="0.25">
      <c r="A5157" s="21">
        <v>45828</v>
      </c>
      <c r="B5157" s="1">
        <v>414567406</v>
      </c>
      <c r="C5157" t="s">
        <v>9085</v>
      </c>
      <c r="D5157" s="22">
        <v>-6272.4</v>
      </c>
      <c r="E5157" s="75" t="s">
        <v>35</v>
      </c>
      <c r="F5157" s="2">
        <v>212901001</v>
      </c>
      <c r="G5157" s="2" t="s">
        <v>121</v>
      </c>
      <c r="L5157" s="2" t="s">
        <v>9086</v>
      </c>
      <c r="M5157" t="s">
        <v>67</v>
      </c>
      <c r="N5157" t="s">
        <v>68</v>
      </c>
      <c r="P5157" s="23">
        <v>104.54</v>
      </c>
      <c r="Q5157" s="4">
        <f t="shared" si="80"/>
        <v>-59.999999999999993</v>
      </c>
      <c r="R5157" s="23" t="s">
        <v>109</v>
      </c>
    </row>
    <row r="5158" spans="1:18" x14ac:dyDescent="0.25">
      <c r="A5158" s="21">
        <v>45828</v>
      </c>
      <c r="B5158" s="1">
        <v>414567407</v>
      </c>
      <c r="C5158" t="s">
        <v>9087</v>
      </c>
      <c r="D5158" s="22">
        <v>-15681</v>
      </c>
      <c r="E5158" s="75" t="s">
        <v>35</v>
      </c>
      <c r="F5158" s="2">
        <v>212901001</v>
      </c>
      <c r="G5158" s="2" t="s">
        <v>121</v>
      </c>
      <c r="L5158" s="2" t="s">
        <v>9088</v>
      </c>
      <c r="M5158" t="s">
        <v>67</v>
      </c>
      <c r="N5158" t="s">
        <v>68</v>
      </c>
      <c r="P5158" s="23">
        <v>104.54</v>
      </c>
      <c r="Q5158" s="4">
        <f t="shared" si="80"/>
        <v>-150</v>
      </c>
      <c r="R5158" s="23" t="s">
        <v>109</v>
      </c>
    </row>
    <row r="5159" spans="1:18" x14ac:dyDescent="0.25">
      <c r="A5159" s="21">
        <v>45828</v>
      </c>
      <c r="B5159" s="1">
        <v>414567408</v>
      </c>
      <c r="C5159" t="s">
        <v>9089</v>
      </c>
      <c r="D5159" s="22">
        <v>-10454</v>
      </c>
      <c r="E5159" s="75" t="s">
        <v>35</v>
      </c>
      <c r="F5159" s="2">
        <v>212901001</v>
      </c>
      <c r="G5159" s="2" t="s">
        <v>121</v>
      </c>
      <c r="L5159" s="2" t="s">
        <v>9090</v>
      </c>
      <c r="M5159" t="s">
        <v>67</v>
      </c>
      <c r="N5159" t="s">
        <v>68</v>
      </c>
      <c r="P5159" s="23">
        <v>104.54</v>
      </c>
      <c r="Q5159" s="4">
        <f t="shared" si="80"/>
        <v>-100</v>
      </c>
      <c r="R5159" s="23" t="s">
        <v>109</v>
      </c>
    </row>
    <row r="5160" spans="1:18" x14ac:dyDescent="0.25">
      <c r="A5160" s="21">
        <v>45828</v>
      </c>
      <c r="B5160" s="1">
        <v>514567412</v>
      </c>
      <c r="C5160" t="s">
        <v>9091</v>
      </c>
      <c r="D5160" s="22">
        <v>-8363.2000000000007</v>
      </c>
      <c r="E5160" s="75" t="s">
        <v>35</v>
      </c>
      <c r="F5160" s="2">
        <v>212901001</v>
      </c>
      <c r="G5160" s="2" t="s">
        <v>121</v>
      </c>
      <c r="L5160" s="2" t="s">
        <v>9092</v>
      </c>
      <c r="M5160" t="s">
        <v>67</v>
      </c>
      <c r="N5160" t="s">
        <v>68</v>
      </c>
      <c r="P5160" s="23">
        <v>104.54</v>
      </c>
      <c r="Q5160" s="4">
        <f t="shared" si="80"/>
        <v>-80</v>
      </c>
      <c r="R5160" s="23" t="s">
        <v>109</v>
      </c>
    </row>
    <row r="5161" spans="1:18" x14ac:dyDescent="0.25">
      <c r="A5161" s="21">
        <v>45828</v>
      </c>
      <c r="B5161" s="1">
        <v>414567411</v>
      </c>
      <c r="C5161" t="s">
        <v>9093</v>
      </c>
      <c r="D5161" s="22">
        <v>-8363.2000000000007</v>
      </c>
      <c r="E5161" s="75" t="s">
        <v>35</v>
      </c>
      <c r="F5161" s="2">
        <v>212901001</v>
      </c>
      <c r="G5161" s="2" t="s">
        <v>121</v>
      </c>
      <c r="L5161" s="2" t="s">
        <v>9094</v>
      </c>
      <c r="M5161" t="s">
        <v>67</v>
      </c>
      <c r="N5161" t="s">
        <v>68</v>
      </c>
      <c r="P5161" s="23">
        <v>104.54</v>
      </c>
      <c r="Q5161" s="4">
        <f t="shared" si="80"/>
        <v>-80</v>
      </c>
      <c r="R5161" s="23" t="s">
        <v>109</v>
      </c>
    </row>
    <row r="5162" spans="1:18" x14ac:dyDescent="0.25">
      <c r="A5162" s="21">
        <v>45828</v>
      </c>
      <c r="B5162" s="1">
        <v>514567413</v>
      </c>
      <c r="C5162" t="s">
        <v>9095</v>
      </c>
      <c r="D5162" s="22">
        <v>-8363.2000000000007</v>
      </c>
      <c r="E5162" s="75" t="s">
        <v>35</v>
      </c>
      <c r="F5162" s="2">
        <v>212901001</v>
      </c>
      <c r="G5162" s="2" t="s">
        <v>121</v>
      </c>
      <c r="L5162" s="2" t="s">
        <v>9096</v>
      </c>
      <c r="M5162" t="s">
        <v>67</v>
      </c>
      <c r="N5162" t="s">
        <v>68</v>
      </c>
      <c r="P5162" s="23">
        <v>104.54</v>
      </c>
      <c r="Q5162" s="4">
        <f t="shared" si="80"/>
        <v>-80</v>
      </c>
      <c r="R5162" s="23" t="s">
        <v>109</v>
      </c>
    </row>
    <row r="5163" spans="1:18" x14ac:dyDescent="0.25">
      <c r="A5163" s="21">
        <v>45828</v>
      </c>
      <c r="B5163" s="1">
        <v>514567414</v>
      </c>
      <c r="C5163" t="s">
        <v>9097</v>
      </c>
      <c r="D5163" s="22">
        <v>-8363.2000000000007</v>
      </c>
      <c r="E5163" s="75" t="s">
        <v>35</v>
      </c>
      <c r="F5163" s="2">
        <v>212901001</v>
      </c>
      <c r="G5163" s="2" t="s">
        <v>121</v>
      </c>
      <c r="L5163" s="2" t="s">
        <v>9098</v>
      </c>
      <c r="M5163" t="s">
        <v>67</v>
      </c>
      <c r="N5163" t="s">
        <v>68</v>
      </c>
      <c r="P5163" s="23">
        <v>104.54</v>
      </c>
      <c r="Q5163" s="4">
        <f t="shared" si="80"/>
        <v>-80</v>
      </c>
      <c r="R5163" s="23" t="s">
        <v>109</v>
      </c>
    </row>
    <row r="5164" spans="1:18" x14ac:dyDescent="0.25">
      <c r="A5164" s="21">
        <v>45828</v>
      </c>
      <c r="B5164" s="1">
        <v>414567409</v>
      </c>
      <c r="C5164" t="s">
        <v>9099</v>
      </c>
      <c r="D5164" s="22">
        <v>-8363.2000000000007</v>
      </c>
      <c r="E5164" s="75" t="s">
        <v>35</v>
      </c>
      <c r="F5164" s="2">
        <v>212901001</v>
      </c>
      <c r="G5164" s="2" t="s">
        <v>121</v>
      </c>
      <c r="L5164" s="2" t="s">
        <v>9100</v>
      </c>
      <c r="M5164" t="s">
        <v>67</v>
      </c>
      <c r="N5164" t="s">
        <v>68</v>
      </c>
      <c r="P5164" s="23">
        <v>104.54</v>
      </c>
      <c r="Q5164" s="4">
        <f t="shared" si="80"/>
        <v>-80</v>
      </c>
      <c r="R5164" s="23" t="s">
        <v>109</v>
      </c>
    </row>
    <row r="5165" spans="1:18" x14ac:dyDescent="0.25">
      <c r="A5165" s="21">
        <v>45828</v>
      </c>
      <c r="B5165" s="1">
        <v>514567415</v>
      </c>
      <c r="C5165" t="s">
        <v>9101</v>
      </c>
      <c r="D5165" s="22">
        <v>-8363.2000000000007</v>
      </c>
      <c r="E5165" s="75" t="s">
        <v>35</v>
      </c>
      <c r="F5165" s="2">
        <v>212901001</v>
      </c>
      <c r="G5165" s="2" t="s">
        <v>121</v>
      </c>
      <c r="L5165" s="2" t="s">
        <v>9102</v>
      </c>
      <c r="M5165" t="s">
        <v>67</v>
      </c>
      <c r="N5165" t="s">
        <v>68</v>
      </c>
      <c r="P5165" s="23">
        <v>104.54</v>
      </c>
      <c r="Q5165" s="4">
        <f t="shared" si="80"/>
        <v>-80</v>
      </c>
      <c r="R5165" s="23" t="s">
        <v>109</v>
      </c>
    </row>
    <row r="5166" spans="1:18" x14ac:dyDescent="0.25">
      <c r="A5166" s="21">
        <v>45828</v>
      </c>
      <c r="B5166" s="1">
        <v>514567416</v>
      </c>
      <c r="C5166" t="s">
        <v>9103</v>
      </c>
      <c r="D5166" s="22">
        <v>-5227</v>
      </c>
      <c r="E5166" s="75" t="s">
        <v>35</v>
      </c>
      <c r="F5166" s="2">
        <v>212901001</v>
      </c>
      <c r="G5166" s="2" t="s">
        <v>121</v>
      </c>
      <c r="L5166" s="2" t="s">
        <v>9104</v>
      </c>
      <c r="M5166" t="s">
        <v>67</v>
      </c>
      <c r="N5166" t="s">
        <v>68</v>
      </c>
      <c r="P5166" s="23">
        <v>104.54</v>
      </c>
      <c r="Q5166" s="4">
        <f t="shared" si="80"/>
        <v>-50</v>
      </c>
      <c r="R5166" s="23" t="s">
        <v>109</v>
      </c>
    </row>
    <row r="5167" spans="1:18" x14ac:dyDescent="0.25">
      <c r="A5167" s="21">
        <v>45828</v>
      </c>
      <c r="B5167" s="1">
        <v>514567418</v>
      </c>
      <c r="C5167" t="s">
        <v>9105</v>
      </c>
      <c r="D5167" s="22">
        <v>-5227</v>
      </c>
      <c r="E5167" s="75" t="s">
        <v>35</v>
      </c>
      <c r="F5167" s="2">
        <v>212901001</v>
      </c>
      <c r="G5167" s="2" t="s">
        <v>121</v>
      </c>
      <c r="L5167" s="2" t="s">
        <v>9106</v>
      </c>
      <c r="M5167" t="s">
        <v>67</v>
      </c>
      <c r="N5167" t="s">
        <v>68</v>
      </c>
      <c r="P5167" s="23">
        <v>104.54</v>
      </c>
      <c r="Q5167" s="4">
        <f t="shared" si="80"/>
        <v>-50</v>
      </c>
      <c r="R5167" s="23" t="s">
        <v>109</v>
      </c>
    </row>
    <row r="5168" spans="1:18" x14ac:dyDescent="0.25">
      <c r="A5168" s="21">
        <v>45828</v>
      </c>
      <c r="B5168" s="1">
        <v>614567421</v>
      </c>
      <c r="C5168" t="s">
        <v>9107</v>
      </c>
      <c r="D5168" s="22">
        <v>-5227</v>
      </c>
      <c r="E5168" s="75" t="s">
        <v>35</v>
      </c>
      <c r="F5168" s="2">
        <v>212901001</v>
      </c>
      <c r="G5168" s="2" t="s">
        <v>121</v>
      </c>
      <c r="L5168" s="2" t="s">
        <v>9108</v>
      </c>
      <c r="M5168" t="s">
        <v>67</v>
      </c>
      <c r="N5168" t="s">
        <v>68</v>
      </c>
      <c r="P5168" s="23">
        <v>104.54</v>
      </c>
      <c r="Q5168" s="4">
        <f t="shared" si="80"/>
        <v>-50</v>
      </c>
      <c r="R5168" s="23" t="s">
        <v>109</v>
      </c>
    </row>
    <row r="5169" spans="1:18" x14ac:dyDescent="0.25">
      <c r="A5169" s="21">
        <v>45828</v>
      </c>
      <c r="B5169" s="1">
        <v>514567417</v>
      </c>
      <c r="C5169" t="s">
        <v>9109</v>
      </c>
      <c r="D5169" s="22">
        <v>-5227</v>
      </c>
      <c r="E5169" s="75" t="s">
        <v>35</v>
      </c>
      <c r="F5169" s="2">
        <v>212901001</v>
      </c>
      <c r="G5169" s="2" t="s">
        <v>121</v>
      </c>
      <c r="L5169" s="2" t="s">
        <v>9110</v>
      </c>
      <c r="M5169" t="s">
        <v>67</v>
      </c>
      <c r="N5169" t="s">
        <v>68</v>
      </c>
      <c r="P5169" s="23">
        <v>104.54</v>
      </c>
      <c r="Q5169" s="4">
        <f t="shared" si="80"/>
        <v>-50</v>
      </c>
      <c r="R5169" s="23" t="s">
        <v>109</v>
      </c>
    </row>
    <row r="5170" spans="1:18" x14ac:dyDescent="0.25">
      <c r="A5170" s="21">
        <v>45828</v>
      </c>
      <c r="B5170" s="1">
        <v>614567420</v>
      </c>
      <c r="C5170" t="s">
        <v>9111</v>
      </c>
      <c r="D5170" s="22">
        <v>-5227</v>
      </c>
      <c r="E5170" s="75" t="s">
        <v>35</v>
      </c>
      <c r="F5170" s="2">
        <v>212901001</v>
      </c>
      <c r="G5170" s="2" t="s">
        <v>121</v>
      </c>
      <c r="L5170" s="2" t="s">
        <v>9112</v>
      </c>
      <c r="M5170" t="s">
        <v>67</v>
      </c>
      <c r="N5170" t="s">
        <v>68</v>
      </c>
      <c r="P5170" s="23">
        <v>104.54</v>
      </c>
      <c r="Q5170" s="4">
        <f t="shared" si="80"/>
        <v>-50</v>
      </c>
      <c r="R5170" s="23" t="s">
        <v>109</v>
      </c>
    </row>
    <row r="5171" spans="1:18" x14ac:dyDescent="0.25">
      <c r="A5171" s="21">
        <v>45828</v>
      </c>
      <c r="B5171" s="1">
        <v>514567419</v>
      </c>
      <c r="C5171" t="s">
        <v>9113</v>
      </c>
      <c r="D5171" s="22">
        <v>-5227</v>
      </c>
      <c r="E5171" s="75" t="s">
        <v>35</v>
      </c>
      <c r="F5171" s="2">
        <v>212901001</v>
      </c>
      <c r="G5171" s="2" t="s">
        <v>121</v>
      </c>
      <c r="L5171" s="2" t="s">
        <v>9114</v>
      </c>
      <c r="M5171" t="s">
        <v>67</v>
      </c>
      <c r="N5171" t="s">
        <v>68</v>
      </c>
      <c r="P5171" s="23">
        <v>104.54</v>
      </c>
      <c r="Q5171" s="4">
        <f t="shared" si="80"/>
        <v>-50</v>
      </c>
      <c r="R5171" s="23" t="s">
        <v>109</v>
      </c>
    </row>
    <row r="5172" spans="1:18" x14ac:dyDescent="0.25">
      <c r="A5172" s="21">
        <v>45828</v>
      </c>
      <c r="B5172" s="1">
        <v>614567422</v>
      </c>
      <c r="C5172" t="s">
        <v>9115</v>
      </c>
      <c r="D5172" s="22">
        <v>-4181.6000000000004</v>
      </c>
      <c r="E5172" s="75" t="s">
        <v>35</v>
      </c>
      <c r="F5172" s="2">
        <v>212901001</v>
      </c>
      <c r="G5172" s="2" t="s">
        <v>121</v>
      </c>
      <c r="L5172" s="2" t="s">
        <v>9116</v>
      </c>
      <c r="M5172" t="s">
        <v>67</v>
      </c>
      <c r="N5172" t="s">
        <v>68</v>
      </c>
      <c r="P5172" s="23">
        <v>104.54</v>
      </c>
      <c r="Q5172" s="4">
        <f t="shared" si="80"/>
        <v>-40</v>
      </c>
      <c r="R5172" s="23" t="s">
        <v>109</v>
      </c>
    </row>
    <row r="5173" spans="1:18" x14ac:dyDescent="0.25">
      <c r="A5173" s="21">
        <v>45828</v>
      </c>
      <c r="B5173" s="1">
        <v>614567423</v>
      </c>
      <c r="C5173" t="s">
        <v>9117</v>
      </c>
      <c r="D5173" s="22">
        <v>-4181.6000000000004</v>
      </c>
      <c r="E5173" s="75" t="s">
        <v>35</v>
      </c>
      <c r="F5173" s="2">
        <v>212901001</v>
      </c>
      <c r="G5173" s="2" t="s">
        <v>121</v>
      </c>
      <c r="L5173" s="2" t="s">
        <v>9118</v>
      </c>
      <c r="M5173" t="s">
        <v>67</v>
      </c>
      <c r="N5173" t="s">
        <v>68</v>
      </c>
      <c r="P5173" s="23">
        <v>104.54</v>
      </c>
      <c r="Q5173" s="4">
        <f t="shared" si="80"/>
        <v>-40</v>
      </c>
      <c r="R5173" s="23" t="s">
        <v>109</v>
      </c>
    </row>
    <row r="5174" spans="1:18" x14ac:dyDescent="0.25">
      <c r="A5174" s="21">
        <v>45828</v>
      </c>
      <c r="B5174" s="1">
        <v>614567424</v>
      </c>
      <c r="C5174" t="s">
        <v>9119</v>
      </c>
      <c r="D5174" s="22">
        <v>-4181.6000000000004</v>
      </c>
      <c r="E5174" s="75" t="s">
        <v>35</v>
      </c>
      <c r="F5174" s="2">
        <v>212901001</v>
      </c>
      <c r="G5174" s="2" t="s">
        <v>121</v>
      </c>
      <c r="L5174" s="2" t="s">
        <v>9120</v>
      </c>
      <c r="M5174" t="s">
        <v>67</v>
      </c>
      <c r="N5174" t="s">
        <v>68</v>
      </c>
      <c r="P5174" s="23">
        <v>104.54</v>
      </c>
      <c r="Q5174" s="4">
        <f t="shared" si="80"/>
        <v>-40</v>
      </c>
      <c r="R5174" s="23" t="s">
        <v>109</v>
      </c>
    </row>
    <row r="5175" spans="1:18" x14ac:dyDescent="0.25">
      <c r="A5175" s="21">
        <v>45828</v>
      </c>
      <c r="B5175" s="1">
        <v>614567425</v>
      </c>
      <c r="C5175" t="s">
        <v>9121</v>
      </c>
      <c r="D5175" s="22">
        <v>-4181.6000000000004</v>
      </c>
      <c r="E5175" s="75" t="s">
        <v>35</v>
      </c>
      <c r="F5175" s="2">
        <v>212901001</v>
      </c>
      <c r="G5175" s="2" t="s">
        <v>121</v>
      </c>
      <c r="L5175" s="2" t="s">
        <v>9122</v>
      </c>
      <c r="M5175" t="s">
        <v>67</v>
      </c>
      <c r="N5175" t="s">
        <v>68</v>
      </c>
      <c r="P5175" s="23">
        <v>104.54</v>
      </c>
      <c r="Q5175" s="4">
        <f t="shared" si="80"/>
        <v>-40</v>
      </c>
      <c r="R5175" s="23" t="s">
        <v>109</v>
      </c>
    </row>
    <row r="5176" spans="1:18" x14ac:dyDescent="0.25">
      <c r="A5176" s="21">
        <v>45828</v>
      </c>
      <c r="B5176" s="1">
        <v>614567427</v>
      </c>
      <c r="C5176" t="s">
        <v>9123</v>
      </c>
      <c r="D5176" s="22">
        <v>-4181.6000000000004</v>
      </c>
      <c r="E5176" s="75" t="s">
        <v>35</v>
      </c>
      <c r="F5176" s="2">
        <v>212901001</v>
      </c>
      <c r="G5176" s="2" t="s">
        <v>121</v>
      </c>
      <c r="L5176" s="2" t="s">
        <v>9124</v>
      </c>
      <c r="M5176" t="s">
        <v>67</v>
      </c>
      <c r="N5176" t="s">
        <v>68</v>
      </c>
      <c r="P5176" s="23">
        <v>104.54</v>
      </c>
      <c r="Q5176" s="4">
        <f t="shared" si="80"/>
        <v>-40</v>
      </c>
      <c r="R5176" s="23" t="s">
        <v>109</v>
      </c>
    </row>
    <row r="5177" spans="1:18" x14ac:dyDescent="0.25">
      <c r="A5177" s="21">
        <v>45828</v>
      </c>
      <c r="B5177" s="1">
        <v>614567426</v>
      </c>
      <c r="C5177" t="s">
        <v>9125</v>
      </c>
      <c r="D5177" s="22">
        <v>-4181.6000000000004</v>
      </c>
      <c r="E5177" s="75" t="s">
        <v>35</v>
      </c>
      <c r="F5177" s="2">
        <v>212901001</v>
      </c>
      <c r="G5177" s="2" t="s">
        <v>121</v>
      </c>
      <c r="L5177" s="2" t="s">
        <v>9126</v>
      </c>
      <c r="M5177" t="s">
        <v>67</v>
      </c>
      <c r="N5177" t="s">
        <v>68</v>
      </c>
      <c r="P5177" s="23">
        <v>104.54</v>
      </c>
      <c r="Q5177" s="4">
        <f t="shared" si="80"/>
        <v>-40</v>
      </c>
      <c r="R5177" s="23" t="s">
        <v>109</v>
      </c>
    </row>
    <row r="5178" spans="1:18" x14ac:dyDescent="0.25">
      <c r="A5178" s="21">
        <v>45828</v>
      </c>
      <c r="B5178" s="1">
        <v>614567428</v>
      </c>
      <c r="C5178" t="s">
        <v>9127</v>
      </c>
      <c r="D5178" s="22">
        <v>-4181.6000000000004</v>
      </c>
      <c r="E5178" s="75" t="s">
        <v>35</v>
      </c>
      <c r="F5178" s="2">
        <v>212901001</v>
      </c>
      <c r="G5178" s="2" t="s">
        <v>121</v>
      </c>
      <c r="L5178" s="2" t="s">
        <v>9128</v>
      </c>
      <c r="M5178" t="s">
        <v>67</v>
      </c>
      <c r="N5178" t="s">
        <v>68</v>
      </c>
      <c r="P5178" s="23">
        <v>104.54</v>
      </c>
      <c r="Q5178" s="4">
        <f t="shared" si="80"/>
        <v>-40</v>
      </c>
      <c r="R5178" s="23" t="s">
        <v>109</v>
      </c>
    </row>
    <row r="5179" spans="1:18" x14ac:dyDescent="0.25">
      <c r="A5179" s="21">
        <v>45828</v>
      </c>
      <c r="B5179" s="1">
        <v>714567431</v>
      </c>
      <c r="C5179" t="s">
        <v>9129</v>
      </c>
      <c r="D5179" s="22">
        <v>-15681</v>
      </c>
      <c r="E5179" s="75" t="s">
        <v>35</v>
      </c>
      <c r="F5179" s="2">
        <v>212901001</v>
      </c>
      <c r="G5179" s="2" t="s">
        <v>121</v>
      </c>
      <c r="L5179" s="2" t="s">
        <v>9130</v>
      </c>
      <c r="M5179" t="s">
        <v>67</v>
      </c>
      <c r="N5179" t="s">
        <v>68</v>
      </c>
      <c r="P5179" s="23">
        <v>104.54</v>
      </c>
      <c r="Q5179" s="4">
        <f t="shared" si="80"/>
        <v>-150</v>
      </c>
      <c r="R5179" s="23" t="s">
        <v>109</v>
      </c>
    </row>
    <row r="5180" spans="1:18" x14ac:dyDescent="0.25">
      <c r="A5180" s="21">
        <v>45828</v>
      </c>
      <c r="B5180" s="1">
        <v>714567429</v>
      </c>
      <c r="C5180" t="s">
        <v>9131</v>
      </c>
      <c r="D5180" s="22">
        <v>-10454</v>
      </c>
      <c r="E5180" s="75" t="s">
        <v>35</v>
      </c>
      <c r="F5180" s="2">
        <v>212901001</v>
      </c>
      <c r="G5180" s="2" t="s">
        <v>121</v>
      </c>
      <c r="L5180" s="2" t="s">
        <v>9132</v>
      </c>
      <c r="M5180" t="s">
        <v>67</v>
      </c>
      <c r="N5180" t="s">
        <v>68</v>
      </c>
      <c r="P5180" s="23">
        <v>104.54</v>
      </c>
      <c r="Q5180" s="4">
        <f t="shared" si="80"/>
        <v>-100</v>
      </c>
      <c r="R5180" s="23" t="s">
        <v>109</v>
      </c>
    </row>
    <row r="5181" spans="1:18" x14ac:dyDescent="0.25">
      <c r="A5181" s="21">
        <v>45828</v>
      </c>
      <c r="B5181" s="1">
        <v>714567430</v>
      </c>
      <c r="C5181" t="s">
        <v>9133</v>
      </c>
      <c r="D5181" s="22">
        <v>-10454</v>
      </c>
      <c r="E5181" s="75" t="s">
        <v>35</v>
      </c>
      <c r="F5181" s="2">
        <v>212901001</v>
      </c>
      <c r="G5181" s="2" t="s">
        <v>121</v>
      </c>
      <c r="L5181" s="2" t="s">
        <v>9134</v>
      </c>
      <c r="M5181" t="s">
        <v>67</v>
      </c>
      <c r="N5181" t="s">
        <v>68</v>
      </c>
      <c r="P5181" s="23">
        <v>104.54</v>
      </c>
      <c r="Q5181" s="4">
        <f t="shared" si="80"/>
        <v>-100</v>
      </c>
      <c r="R5181" s="23" t="s">
        <v>109</v>
      </c>
    </row>
    <row r="5182" spans="1:18" x14ac:dyDescent="0.25">
      <c r="A5182" s="21">
        <v>45828</v>
      </c>
      <c r="B5182" s="1">
        <v>714567435</v>
      </c>
      <c r="C5182" t="s">
        <v>9135</v>
      </c>
      <c r="D5182" s="22">
        <v>-8363.2000000000007</v>
      </c>
      <c r="E5182" s="75" t="s">
        <v>35</v>
      </c>
      <c r="F5182" s="2">
        <v>212901001</v>
      </c>
      <c r="G5182" s="2" t="s">
        <v>121</v>
      </c>
      <c r="L5182" s="2" t="s">
        <v>9136</v>
      </c>
      <c r="M5182" t="s">
        <v>67</v>
      </c>
      <c r="N5182" t="s">
        <v>68</v>
      </c>
      <c r="P5182" s="23">
        <v>104.54</v>
      </c>
      <c r="Q5182" s="4">
        <f t="shared" si="80"/>
        <v>-80</v>
      </c>
      <c r="R5182" s="23" t="s">
        <v>109</v>
      </c>
    </row>
    <row r="5183" spans="1:18" x14ac:dyDescent="0.25">
      <c r="A5183" s="21">
        <v>45828</v>
      </c>
      <c r="B5183" s="1">
        <v>714567433</v>
      </c>
      <c r="C5183" t="s">
        <v>9137</v>
      </c>
      <c r="D5183" s="22">
        <v>-3136.2</v>
      </c>
      <c r="E5183" s="75" t="s">
        <v>35</v>
      </c>
      <c r="F5183" s="2">
        <v>212901001</v>
      </c>
      <c r="G5183" s="2" t="s">
        <v>121</v>
      </c>
      <c r="L5183" s="2" t="s">
        <v>9138</v>
      </c>
      <c r="M5183" t="s">
        <v>67</v>
      </c>
      <c r="N5183" t="s">
        <v>68</v>
      </c>
      <c r="P5183" s="23">
        <v>104.54</v>
      </c>
      <c r="Q5183" s="4">
        <f t="shared" si="80"/>
        <v>-29.999999999999996</v>
      </c>
      <c r="R5183" s="23" t="s">
        <v>109</v>
      </c>
    </row>
    <row r="5184" spans="1:18" x14ac:dyDescent="0.25">
      <c r="A5184" s="21">
        <v>45828</v>
      </c>
      <c r="B5184" s="1">
        <v>714567436</v>
      </c>
      <c r="C5184" t="s">
        <v>9139</v>
      </c>
      <c r="D5184" s="22">
        <v>-10454</v>
      </c>
      <c r="E5184" s="75" t="s">
        <v>35</v>
      </c>
      <c r="F5184" s="2">
        <v>212901001</v>
      </c>
      <c r="G5184" s="2" t="s">
        <v>121</v>
      </c>
      <c r="L5184" s="2" t="s">
        <v>9140</v>
      </c>
      <c r="M5184" t="s">
        <v>67</v>
      </c>
      <c r="N5184" t="s">
        <v>68</v>
      </c>
      <c r="P5184" s="23">
        <v>104.54</v>
      </c>
      <c r="Q5184" s="4">
        <f t="shared" si="80"/>
        <v>-100</v>
      </c>
      <c r="R5184" s="23" t="s">
        <v>109</v>
      </c>
    </row>
    <row r="5185" spans="1:18" x14ac:dyDescent="0.25">
      <c r="A5185" s="21">
        <v>45828</v>
      </c>
      <c r="B5185" s="1">
        <v>714567434</v>
      </c>
      <c r="C5185" t="s">
        <v>9141</v>
      </c>
      <c r="D5185" s="22">
        <v>-11499.4</v>
      </c>
      <c r="E5185" s="75" t="s">
        <v>35</v>
      </c>
      <c r="F5185" s="2">
        <v>212901001</v>
      </c>
      <c r="G5185" s="2" t="s">
        <v>121</v>
      </c>
      <c r="L5185" s="2" t="s">
        <v>9142</v>
      </c>
      <c r="M5185" t="s">
        <v>67</v>
      </c>
      <c r="N5185" t="s">
        <v>68</v>
      </c>
      <c r="P5185" s="23">
        <v>104.54</v>
      </c>
      <c r="Q5185" s="4">
        <f t="shared" si="80"/>
        <v>-109.99999999999999</v>
      </c>
      <c r="R5185" s="23" t="s">
        <v>109</v>
      </c>
    </row>
    <row r="5186" spans="1:18" x14ac:dyDescent="0.25">
      <c r="A5186" s="21">
        <v>45828</v>
      </c>
      <c r="B5186" s="1">
        <v>714567438</v>
      </c>
      <c r="C5186" t="s">
        <v>9143</v>
      </c>
      <c r="D5186" s="22">
        <v>-6272.4</v>
      </c>
      <c r="E5186" s="75" t="s">
        <v>35</v>
      </c>
      <c r="F5186" s="2">
        <v>212901001</v>
      </c>
      <c r="G5186" s="2" t="s">
        <v>121</v>
      </c>
      <c r="L5186" s="2" t="s">
        <v>9144</v>
      </c>
      <c r="M5186" t="s">
        <v>67</v>
      </c>
      <c r="N5186" t="s">
        <v>68</v>
      </c>
      <c r="P5186" s="23">
        <v>104.54</v>
      </c>
      <c r="Q5186" s="4">
        <f t="shared" si="80"/>
        <v>-59.999999999999993</v>
      </c>
      <c r="R5186" s="23" t="s">
        <v>109</v>
      </c>
    </row>
    <row r="5187" spans="1:18" x14ac:dyDescent="0.25">
      <c r="A5187" s="21">
        <v>45828</v>
      </c>
      <c r="B5187" s="1">
        <v>714567437</v>
      </c>
      <c r="C5187" t="s">
        <v>9145</v>
      </c>
      <c r="D5187" s="22">
        <v>-7317.8</v>
      </c>
      <c r="E5187" s="75" t="s">
        <v>35</v>
      </c>
      <c r="F5187" s="2">
        <v>212901001</v>
      </c>
      <c r="G5187" s="2" t="s">
        <v>121</v>
      </c>
      <c r="L5187" s="2" t="s">
        <v>9146</v>
      </c>
      <c r="M5187" t="s">
        <v>67</v>
      </c>
      <c r="N5187" t="s">
        <v>68</v>
      </c>
      <c r="P5187" s="23">
        <v>104.54</v>
      </c>
      <c r="Q5187" s="4">
        <f t="shared" si="80"/>
        <v>-70</v>
      </c>
      <c r="R5187" s="23" t="s">
        <v>109</v>
      </c>
    </row>
    <row r="5188" spans="1:18" x14ac:dyDescent="0.25">
      <c r="A5188" s="21">
        <v>45828</v>
      </c>
      <c r="B5188" s="1">
        <v>814567442</v>
      </c>
      <c r="C5188" t="s">
        <v>9147</v>
      </c>
      <c r="D5188" s="22">
        <v>-5227</v>
      </c>
      <c r="E5188" s="75" t="s">
        <v>35</v>
      </c>
      <c r="F5188" s="2">
        <v>212901001</v>
      </c>
      <c r="G5188" s="2" t="s">
        <v>121</v>
      </c>
      <c r="L5188" s="2" t="s">
        <v>9148</v>
      </c>
      <c r="M5188" t="s">
        <v>67</v>
      </c>
      <c r="N5188" t="s">
        <v>68</v>
      </c>
      <c r="P5188" s="23">
        <v>104.54</v>
      </c>
      <c r="Q5188" s="4">
        <f t="shared" si="80"/>
        <v>-50</v>
      </c>
      <c r="R5188" s="23" t="s">
        <v>109</v>
      </c>
    </row>
    <row r="5189" spans="1:18" x14ac:dyDescent="0.25">
      <c r="A5189" s="21">
        <v>45828</v>
      </c>
      <c r="B5189" s="1">
        <v>814567443</v>
      </c>
      <c r="C5189" t="s">
        <v>9149</v>
      </c>
      <c r="D5189" s="22">
        <v>-4390.68</v>
      </c>
      <c r="E5189" s="75" t="s">
        <v>35</v>
      </c>
      <c r="F5189" s="2">
        <v>212901001</v>
      </c>
      <c r="G5189" s="2" t="s">
        <v>121</v>
      </c>
      <c r="L5189" s="2" t="s">
        <v>9150</v>
      </c>
      <c r="M5189" t="s">
        <v>67</v>
      </c>
      <c r="N5189" t="s">
        <v>68</v>
      </c>
      <c r="P5189" s="23">
        <v>104.54</v>
      </c>
      <c r="Q5189" s="4">
        <f t="shared" si="80"/>
        <v>-42</v>
      </c>
      <c r="R5189" s="23" t="s">
        <v>109</v>
      </c>
    </row>
    <row r="5190" spans="1:18" x14ac:dyDescent="0.25">
      <c r="A5190" s="21">
        <v>45828</v>
      </c>
      <c r="B5190" s="1">
        <v>814567444</v>
      </c>
      <c r="C5190" t="s">
        <v>9151</v>
      </c>
      <c r="D5190" s="22">
        <v>-5227</v>
      </c>
      <c r="E5190" s="75" t="s">
        <v>35</v>
      </c>
      <c r="F5190" s="2">
        <v>212901001</v>
      </c>
      <c r="G5190" s="2" t="s">
        <v>121</v>
      </c>
      <c r="L5190" s="2" t="s">
        <v>9152</v>
      </c>
      <c r="M5190" t="s">
        <v>67</v>
      </c>
      <c r="N5190" t="s">
        <v>68</v>
      </c>
      <c r="P5190" s="23">
        <v>104.54</v>
      </c>
      <c r="Q5190" s="4">
        <f t="shared" si="80"/>
        <v>-50</v>
      </c>
      <c r="R5190" s="23" t="s">
        <v>109</v>
      </c>
    </row>
    <row r="5191" spans="1:18" x14ac:dyDescent="0.25">
      <c r="A5191" s="21">
        <v>45828</v>
      </c>
      <c r="B5191" s="1">
        <v>814567440</v>
      </c>
      <c r="C5191" t="s">
        <v>9153</v>
      </c>
      <c r="D5191" s="22">
        <v>-5227</v>
      </c>
      <c r="E5191" s="75" t="s">
        <v>35</v>
      </c>
      <c r="F5191" s="2">
        <v>212901001</v>
      </c>
      <c r="G5191" s="2" t="s">
        <v>121</v>
      </c>
      <c r="L5191" s="2" t="s">
        <v>9154</v>
      </c>
      <c r="M5191" t="s">
        <v>67</v>
      </c>
      <c r="N5191" t="s">
        <v>68</v>
      </c>
      <c r="P5191" s="23">
        <v>104.54</v>
      </c>
      <c r="Q5191" s="4">
        <f t="shared" si="80"/>
        <v>-50</v>
      </c>
      <c r="R5191" s="23" t="s">
        <v>109</v>
      </c>
    </row>
    <row r="5192" spans="1:18" x14ac:dyDescent="0.25">
      <c r="A5192" s="21">
        <v>45828</v>
      </c>
      <c r="B5192" s="1">
        <v>914567447</v>
      </c>
      <c r="C5192" t="s">
        <v>9155</v>
      </c>
      <c r="D5192" s="22">
        <v>-5227</v>
      </c>
      <c r="E5192" s="75" t="s">
        <v>35</v>
      </c>
      <c r="F5192" s="2">
        <v>212901001</v>
      </c>
      <c r="G5192" s="2" t="s">
        <v>121</v>
      </c>
      <c r="L5192" s="2" t="s">
        <v>9156</v>
      </c>
      <c r="M5192" t="s">
        <v>67</v>
      </c>
      <c r="N5192" t="s">
        <v>68</v>
      </c>
      <c r="P5192" s="23">
        <v>104.54</v>
      </c>
      <c r="Q5192" s="4">
        <f t="shared" si="80"/>
        <v>-50</v>
      </c>
      <c r="R5192" s="23" t="s">
        <v>109</v>
      </c>
    </row>
    <row r="5193" spans="1:18" x14ac:dyDescent="0.25">
      <c r="A5193" s="21">
        <v>45828</v>
      </c>
      <c r="B5193" s="1">
        <v>814567439</v>
      </c>
      <c r="C5193" t="s">
        <v>9157</v>
      </c>
      <c r="D5193" s="22">
        <v>-7317.8</v>
      </c>
      <c r="E5193" s="75" t="s">
        <v>35</v>
      </c>
      <c r="F5193" s="2">
        <v>212901001</v>
      </c>
      <c r="G5193" s="2" t="s">
        <v>121</v>
      </c>
      <c r="L5193" s="2" t="s">
        <v>9158</v>
      </c>
      <c r="M5193" t="s">
        <v>67</v>
      </c>
      <c r="N5193" t="s">
        <v>68</v>
      </c>
      <c r="P5193" s="23">
        <v>104.54</v>
      </c>
      <c r="Q5193" s="4">
        <f t="shared" si="80"/>
        <v>-70</v>
      </c>
      <c r="R5193" s="23" t="s">
        <v>109</v>
      </c>
    </row>
    <row r="5194" spans="1:18" x14ac:dyDescent="0.25">
      <c r="A5194" s="21">
        <v>45828</v>
      </c>
      <c r="B5194" s="1">
        <v>814567445</v>
      </c>
      <c r="C5194" t="s">
        <v>9145</v>
      </c>
      <c r="D5194" s="22">
        <v>-5227</v>
      </c>
      <c r="E5194" s="75" t="s">
        <v>35</v>
      </c>
      <c r="F5194" s="2">
        <v>212901001</v>
      </c>
      <c r="G5194" s="2" t="s">
        <v>121</v>
      </c>
      <c r="L5194" s="2" t="s">
        <v>9159</v>
      </c>
      <c r="M5194" t="s">
        <v>67</v>
      </c>
      <c r="N5194" t="s">
        <v>68</v>
      </c>
      <c r="P5194" s="23">
        <v>104.54</v>
      </c>
      <c r="Q5194" s="4">
        <f t="shared" si="80"/>
        <v>-50</v>
      </c>
      <c r="R5194" s="23" t="s">
        <v>109</v>
      </c>
    </row>
    <row r="5195" spans="1:18" x14ac:dyDescent="0.25">
      <c r="A5195" s="21">
        <v>45828</v>
      </c>
      <c r="B5195" s="1">
        <v>814567441</v>
      </c>
      <c r="C5195" t="s">
        <v>9160</v>
      </c>
      <c r="D5195" s="22">
        <v>-7317.8</v>
      </c>
      <c r="E5195" s="75" t="s">
        <v>35</v>
      </c>
      <c r="F5195" s="2">
        <v>212901001</v>
      </c>
      <c r="G5195" s="2" t="s">
        <v>121</v>
      </c>
      <c r="L5195" s="2" t="s">
        <v>9161</v>
      </c>
      <c r="M5195" t="s">
        <v>67</v>
      </c>
      <c r="N5195" t="s">
        <v>68</v>
      </c>
      <c r="P5195" s="23">
        <v>104.54</v>
      </c>
      <c r="Q5195" s="4">
        <f t="shared" ref="Q5195:Q5258" si="81">D5195/P5195</f>
        <v>-70</v>
      </c>
      <c r="R5195" s="23" t="s">
        <v>109</v>
      </c>
    </row>
    <row r="5196" spans="1:18" x14ac:dyDescent="0.25">
      <c r="A5196" s="21">
        <v>45828</v>
      </c>
      <c r="B5196" s="1">
        <v>914567448</v>
      </c>
      <c r="C5196" t="s">
        <v>9162</v>
      </c>
      <c r="D5196" s="22">
        <v>-4390.68</v>
      </c>
      <c r="E5196" s="75" t="s">
        <v>35</v>
      </c>
      <c r="F5196" s="2">
        <v>212901001</v>
      </c>
      <c r="G5196" s="2" t="s">
        <v>121</v>
      </c>
      <c r="L5196" s="2" t="s">
        <v>9163</v>
      </c>
      <c r="M5196" t="s">
        <v>67</v>
      </c>
      <c r="N5196" t="s">
        <v>68</v>
      </c>
      <c r="P5196" s="23">
        <v>104.54</v>
      </c>
      <c r="Q5196" s="4">
        <f t="shared" si="81"/>
        <v>-42</v>
      </c>
      <c r="R5196" s="23" t="s">
        <v>109</v>
      </c>
    </row>
    <row r="5197" spans="1:18" x14ac:dyDescent="0.25">
      <c r="A5197" s="21">
        <v>45828</v>
      </c>
      <c r="B5197" s="1">
        <v>914567450</v>
      </c>
      <c r="C5197" t="s">
        <v>9164</v>
      </c>
      <c r="D5197" s="22">
        <v>-5227</v>
      </c>
      <c r="E5197" s="75" t="s">
        <v>35</v>
      </c>
      <c r="F5197" s="2">
        <v>212901001</v>
      </c>
      <c r="G5197" s="2" t="s">
        <v>121</v>
      </c>
      <c r="L5197" s="2" t="s">
        <v>9165</v>
      </c>
      <c r="M5197" t="s">
        <v>67</v>
      </c>
      <c r="N5197" t="s">
        <v>68</v>
      </c>
      <c r="P5197" s="23">
        <v>104.54</v>
      </c>
      <c r="Q5197" s="4">
        <f t="shared" si="81"/>
        <v>-50</v>
      </c>
      <c r="R5197" s="23" t="s">
        <v>109</v>
      </c>
    </row>
    <row r="5198" spans="1:18" x14ac:dyDescent="0.25">
      <c r="A5198" s="21">
        <v>45828</v>
      </c>
      <c r="B5198" s="1">
        <v>914567449</v>
      </c>
      <c r="C5198" t="s">
        <v>9166</v>
      </c>
      <c r="D5198" s="22">
        <v>-5227</v>
      </c>
      <c r="E5198" s="75" t="s">
        <v>35</v>
      </c>
      <c r="F5198" s="2">
        <v>212901001</v>
      </c>
      <c r="G5198" s="2" t="s">
        <v>121</v>
      </c>
      <c r="L5198" s="2" t="s">
        <v>9167</v>
      </c>
      <c r="M5198" t="s">
        <v>67</v>
      </c>
      <c r="N5198" t="s">
        <v>68</v>
      </c>
      <c r="P5198" s="23">
        <v>104.54</v>
      </c>
      <c r="Q5198" s="4">
        <f t="shared" si="81"/>
        <v>-50</v>
      </c>
      <c r="R5198" s="23" t="s">
        <v>109</v>
      </c>
    </row>
    <row r="5199" spans="1:18" x14ac:dyDescent="0.25">
      <c r="A5199" s="21">
        <v>45828</v>
      </c>
      <c r="B5199" s="1">
        <v>914567451</v>
      </c>
      <c r="C5199" t="s">
        <v>9168</v>
      </c>
      <c r="D5199" s="22">
        <v>-5227</v>
      </c>
      <c r="E5199" s="75" t="s">
        <v>35</v>
      </c>
      <c r="F5199" s="2">
        <v>212901001</v>
      </c>
      <c r="G5199" s="2" t="s">
        <v>121</v>
      </c>
      <c r="L5199" s="2" t="s">
        <v>9169</v>
      </c>
      <c r="M5199" t="s">
        <v>67</v>
      </c>
      <c r="N5199" t="s">
        <v>68</v>
      </c>
      <c r="P5199" s="23">
        <v>104.54</v>
      </c>
      <c r="Q5199" s="4">
        <f t="shared" si="81"/>
        <v>-50</v>
      </c>
      <c r="R5199" s="23" t="s">
        <v>109</v>
      </c>
    </row>
    <row r="5200" spans="1:18" x14ac:dyDescent="0.25">
      <c r="A5200" s="21">
        <v>45828</v>
      </c>
      <c r="B5200" s="1">
        <v>814567446</v>
      </c>
      <c r="C5200" t="s">
        <v>9170</v>
      </c>
      <c r="D5200" s="22">
        <v>-5227</v>
      </c>
      <c r="E5200" s="75" t="s">
        <v>35</v>
      </c>
      <c r="F5200" s="2">
        <v>212901001</v>
      </c>
      <c r="G5200" s="2" t="s">
        <v>121</v>
      </c>
      <c r="L5200" s="2" t="s">
        <v>9171</v>
      </c>
      <c r="M5200" t="s">
        <v>67</v>
      </c>
      <c r="N5200" t="s">
        <v>68</v>
      </c>
      <c r="P5200" s="23">
        <v>104.54</v>
      </c>
      <c r="Q5200" s="4">
        <f t="shared" si="81"/>
        <v>-50</v>
      </c>
      <c r="R5200" s="23" t="s">
        <v>109</v>
      </c>
    </row>
    <row r="5201" spans="1:20" x14ac:dyDescent="0.25">
      <c r="A5201" s="21">
        <v>45828</v>
      </c>
      <c r="B5201" s="1">
        <v>914567452</v>
      </c>
      <c r="C5201" t="s">
        <v>9172</v>
      </c>
      <c r="D5201" s="22">
        <v>-4390.68</v>
      </c>
      <c r="E5201" s="75" t="s">
        <v>35</v>
      </c>
      <c r="F5201" s="2">
        <v>212901001</v>
      </c>
      <c r="G5201" s="2" t="s">
        <v>121</v>
      </c>
      <c r="L5201" s="2" t="s">
        <v>9173</v>
      </c>
      <c r="M5201" t="s">
        <v>67</v>
      </c>
      <c r="N5201" t="s">
        <v>68</v>
      </c>
      <c r="P5201" s="23">
        <v>104.54</v>
      </c>
      <c r="Q5201" s="4">
        <f t="shared" si="81"/>
        <v>-42</v>
      </c>
      <c r="R5201" s="23" t="s">
        <v>109</v>
      </c>
    </row>
    <row r="5202" spans="1:20" x14ac:dyDescent="0.25">
      <c r="A5202" s="21">
        <v>45828</v>
      </c>
      <c r="B5202" s="1">
        <v>914567453</v>
      </c>
      <c r="C5202" t="s">
        <v>9174</v>
      </c>
      <c r="D5202" s="22">
        <v>-5227</v>
      </c>
      <c r="E5202" s="75" t="s">
        <v>35</v>
      </c>
      <c r="F5202" s="2">
        <v>212901001</v>
      </c>
      <c r="G5202" s="2" t="s">
        <v>121</v>
      </c>
      <c r="L5202" s="2" t="s">
        <v>9175</v>
      </c>
      <c r="M5202" t="s">
        <v>67</v>
      </c>
      <c r="N5202" t="s">
        <v>68</v>
      </c>
      <c r="P5202" s="23">
        <v>104.54</v>
      </c>
      <c r="Q5202" s="4">
        <f t="shared" si="81"/>
        <v>-50</v>
      </c>
      <c r="R5202" s="23" t="s">
        <v>109</v>
      </c>
    </row>
    <row r="5203" spans="1:20" x14ac:dyDescent="0.25">
      <c r="A5203" s="21">
        <v>45828</v>
      </c>
      <c r="B5203" s="1">
        <v>914567454</v>
      </c>
      <c r="C5203" t="s">
        <v>9176</v>
      </c>
      <c r="D5203" s="22">
        <v>-5227</v>
      </c>
      <c r="E5203" s="75" t="s">
        <v>35</v>
      </c>
      <c r="F5203" s="2">
        <v>212901001</v>
      </c>
      <c r="G5203" s="2" t="s">
        <v>121</v>
      </c>
      <c r="L5203" s="2" t="s">
        <v>9177</v>
      </c>
      <c r="M5203" t="s">
        <v>67</v>
      </c>
      <c r="N5203" t="s">
        <v>68</v>
      </c>
      <c r="P5203" s="23">
        <v>104.54</v>
      </c>
      <c r="Q5203" s="4">
        <f t="shared" si="81"/>
        <v>-50</v>
      </c>
      <c r="R5203" s="23" t="s">
        <v>109</v>
      </c>
    </row>
    <row r="5204" spans="1:20" x14ac:dyDescent="0.25">
      <c r="A5204" s="21">
        <v>45828</v>
      </c>
      <c r="B5204" s="1">
        <v>14567456</v>
      </c>
      <c r="C5204" t="s">
        <v>9178</v>
      </c>
      <c r="D5204" s="22">
        <v>-2090.8000000000002</v>
      </c>
      <c r="E5204" s="75" t="s">
        <v>35</v>
      </c>
      <c r="F5204" s="2">
        <v>212901001</v>
      </c>
      <c r="G5204" s="2" t="s">
        <v>121</v>
      </c>
      <c r="L5204" s="2" t="s">
        <v>9179</v>
      </c>
      <c r="M5204" t="s">
        <v>67</v>
      </c>
      <c r="N5204" t="s">
        <v>68</v>
      </c>
      <c r="P5204" s="23">
        <v>104.54</v>
      </c>
      <c r="Q5204" s="4">
        <f t="shared" si="81"/>
        <v>-20</v>
      </c>
      <c r="R5204" s="23" t="s">
        <v>109</v>
      </c>
    </row>
    <row r="5205" spans="1:20" x14ac:dyDescent="0.25">
      <c r="A5205" s="21">
        <v>45828</v>
      </c>
      <c r="B5205" s="1">
        <v>914567455</v>
      </c>
      <c r="C5205" t="s">
        <v>9180</v>
      </c>
      <c r="D5205" s="22">
        <v>-2090.8000000000002</v>
      </c>
      <c r="E5205" s="75" t="s">
        <v>35</v>
      </c>
      <c r="F5205" s="2">
        <v>212901001</v>
      </c>
      <c r="G5205" s="2" t="s">
        <v>121</v>
      </c>
      <c r="L5205" s="2" t="s">
        <v>9181</v>
      </c>
      <c r="M5205" t="s">
        <v>67</v>
      </c>
      <c r="N5205" t="s">
        <v>68</v>
      </c>
      <c r="P5205" s="23">
        <v>104.54</v>
      </c>
      <c r="Q5205" s="4">
        <f t="shared" si="81"/>
        <v>-20</v>
      </c>
      <c r="R5205" s="23" t="s">
        <v>109</v>
      </c>
    </row>
    <row r="5206" spans="1:20" x14ac:dyDescent="0.25">
      <c r="A5206" s="21">
        <v>45828</v>
      </c>
      <c r="B5206" s="1">
        <v>14567460</v>
      </c>
      <c r="C5206" t="s">
        <v>9182</v>
      </c>
      <c r="D5206" s="22">
        <v>-20908</v>
      </c>
      <c r="E5206" s="75" t="s">
        <v>35</v>
      </c>
      <c r="F5206" s="2">
        <v>212901001</v>
      </c>
      <c r="G5206" s="2" t="s">
        <v>121</v>
      </c>
      <c r="L5206" s="2" t="s">
        <v>9183</v>
      </c>
      <c r="M5206" t="s">
        <v>67</v>
      </c>
      <c r="N5206" t="s">
        <v>68</v>
      </c>
      <c r="P5206" s="23">
        <v>104.54</v>
      </c>
      <c r="Q5206" s="4">
        <f t="shared" si="81"/>
        <v>-200</v>
      </c>
      <c r="R5206" s="23" t="s">
        <v>109</v>
      </c>
    </row>
    <row r="5207" spans="1:20" x14ac:dyDescent="0.25">
      <c r="A5207" s="21">
        <v>45828</v>
      </c>
      <c r="B5207" s="1">
        <v>14567458</v>
      </c>
      <c r="C5207" t="s">
        <v>9184</v>
      </c>
      <c r="D5207" s="22">
        <v>-2090.8000000000002</v>
      </c>
      <c r="E5207" s="75" t="s">
        <v>35</v>
      </c>
      <c r="F5207" s="2">
        <v>212901001</v>
      </c>
      <c r="G5207" s="2" t="s">
        <v>121</v>
      </c>
      <c r="L5207" s="2" t="s">
        <v>9185</v>
      </c>
      <c r="M5207" t="s">
        <v>67</v>
      </c>
      <c r="N5207" t="s">
        <v>68</v>
      </c>
      <c r="P5207" s="23">
        <v>104.54</v>
      </c>
      <c r="Q5207" s="4">
        <f t="shared" si="81"/>
        <v>-20</v>
      </c>
      <c r="R5207" s="23" t="s">
        <v>109</v>
      </c>
    </row>
    <row r="5208" spans="1:20" x14ac:dyDescent="0.25">
      <c r="A5208" s="32">
        <v>45828</v>
      </c>
      <c r="B5208" s="26">
        <v>14567457</v>
      </c>
      <c r="C5208" s="27" t="s">
        <v>9186</v>
      </c>
      <c r="D5208" s="28">
        <v>-2090.8000000000002</v>
      </c>
      <c r="E5208" s="75" t="s">
        <v>35</v>
      </c>
      <c r="F5208" s="29">
        <v>610125001</v>
      </c>
      <c r="G5208" s="29" t="s">
        <v>5746</v>
      </c>
      <c r="H5208" s="107"/>
      <c r="I5208" s="101"/>
      <c r="J5208" s="101"/>
      <c r="K5208" s="29"/>
      <c r="L5208" s="2" t="s">
        <v>9187</v>
      </c>
      <c r="M5208" s="27" t="s">
        <v>772</v>
      </c>
      <c r="N5208" s="27" t="s">
        <v>773</v>
      </c>
      <c r="O5208" s="27" t="s">
        <v>59</v>
      </c>
      <c r="P5208" s="31">
        <v>104.54</v>
      </c>
      <c r="Q5208" s="4">
        <f t="shared" si="81"/>
        <v>-20</v>
      </c>
      <c r="R5208" s="23" t="s">
        <v>109</v>
      </c>
      <c r="T5208" s="23" t="s">
        <v>9188</v>
      </c>
    </row>
    <row r="5209" spans="1:20" x14ac:dyDescent="0.25">
      <c r="A5209" s="21">
        <v>45828</v>
      </c>
      <c r="B5209" s="1">
        <v>14567459</v>
      </c>
      <c r="C5209" t="s">
        <v>9189</v>
      </c>
      <c r="D5209" s="22">
        <v>-10454</v>
      </c>
      <c r="E5209" s="75" t="s">
        <v>35</v>
      </c>
      <c r="F5209" s="2">
        <v>212901001</v>
      </c>
      <c r="G5209" s="2" t="s">
        <v>121</v>
      </c>
      <c r="L5209" s="2" t="s">
        <v>9190</v>
      </c>
      <c r="M5209" t="s">
        <v>67</v>
      </c>
      <c r="N5209" t="s">
        <v>68</v>
      </c>
      <c r="P5209" s="23">
        <v>104.54</v>
      </c>
      <c r="Q5209" s="4">
        <f t="shared" si="81"/>
        <v>-100</v>
      </c>
      <c r="R5209" s="23" t="s">
        <v>109</v>
      </c>
    </row>
    <row r="5210" spans="1:20" x14ac:dyDescent="0.25">
      <c r="A5210" s="21">
        <v>45828</v>
      </c>
      <c r="B5210" s="1">
        <v>14567463</v>
      </c>
      <c r="C5210" t="s">
        <v>9191</v>
      </c>
      <c r="D5210" s="22">
        <v>-4181.6000000000004</v>
      </c>
      <c r="E5210" s="75" t="s">
        <v>35</v>
      </c>
      <c r="F5210" s="2">
        <v>212901001</v>
      </c>
      <c r="G5210" s="2" t="s">
        <v>121</v>
      </c>
      <c r="L5210" s="2" t="s">
        <v>9192</v>
      </c>
      <c r="M5210" t="s">
        <v>67</v>
      </c>
      <c r="N5210" t="s">
        <v>68</v>
      </c>
      <c r="P5210" s="23">
        <v>104.54</v>
      </c>
      <c r="Q5210" s="4">
        <f t="shared" si="81"/>
        <v>-40</v>
      </c>
      <c r="R5210" s="23" t="s">
        <v>109</v>
      </c>
    </row>
    <row r="5211" spans="1:20" x14ac:dyDescent="0.25">
      <c r="A5211" s="21">
        <v>45828</v>
      </c>
      <c r="B5211" s="1">
        <v>14567461</v>
      </c>
      <c r="C5211" t="s">
        <v>9193</v>
      </c>
      <c r="D5211" s="22">
        <v>-3136.2</v>
      </c>
      <c r="E5211" s="75" t="s">
        <v>35</v>
      </c>
      <c r="F5211" s="2">
        <v>212901001</v>
      </c>
      <c r="G5211" s="2" t="s">
        <v>121</v>
      </c>
      <c r="L5211" s="2" t="s">
        <v>9194</v>
      </c>
      <c r="M5211" t="s">
        <v>67</v>
      </c>
      <c r="N5211" t="s">
        <v>68</v>
      </c>
      <c r="P5211" s="23">
        <v>104.54</v>
      </c>
      <c r="Q5211" s="4">
        <f t="shared" si="81"/>
        <v>-29.999999999999996</v>
      </c>
      <c r="R5211" s="23" t="s">
        <v>109</v>
      </c>
    </row>
    <row r="5212" spans="1:20" x14ac:dyDescent="0.25">
      <c r="A5212" s="32">
        <v>45828</v>
      </c>
      <c r="B5212" s="26">
        <v>50686199</v>
      </c>
      <c r="C5212" s="27" t="s">
        <v>9195</v>
      </c>
      <c r="D5212" s="28">
        <v>-14635.6</v>
      </c>
      <c r="E5212" s="75" t="s">
        <v>35</v>
      </c>
      <c r="F5212" s="29">
        <v>610156001</v>
      </c>
      <c r="G5212" s="29" t="s">
        <v>91</v>
      </c>
      <c r="H5212" s="107"/>
      <c r="I5212" s="101"/>
      <c r="J5212" s="101"/>
      <c r="K5212" s="29"/>
      <c r="L5212" s="2" t="s">
        <v>9196</v>
      </c>
      <c r="M5212" s="27" t="s">
        <v>93</v>
      </c>
      <c r="N5212" s="27" t="s">
        <v>94</v>
      </c>
      <c r="O5212" s="27" t="s">
        <v>59</v>
      </c>
      <c r="P5212" s="31">
        <v>104.54</v>
      </c>
      <c r="Q5212" s="4">
        <f t="shared" si="81"/>
        <v>-140</v>
      </c>
      <c r="R5212" s="23" t="s">
        <v>109</v>
      </c>
      <c r="T5212" t="s">
        <v>9197</v>
      </c>
    </row>
    <row r="5213" spans="1:20" x14ac:dyDescent="0.25">
      <c r="A5213" s="21">
        <v>45828</v>
      </c>
      <c r="B5213" s="1">
        <v>50686199</v>
      </c>
      <c r="C5213" t="s">
        <v>296</v>
      </c>
      <c r="D5213" s="22">
        <v>-21.95</v>
      </c>
      <c r="E5213" s="75" t="s">
        <v>35</v>
      </c>
      <c r="F5213" s="2">
        <v>610148001</v>
      </c>
      <c r="G5213" s="2" t="s">
        <v>42</v>
      </c>
      <c r="L5213" s="2" t="s">
        <v>9198</v>
      </c>
      <c r="M5213" t="s">
        <v>43</v>
      </c>
      <c r="N5213" t="s">
        <v>42</v>
      </c>
      <c r="P5213" s="23">
        <v>104.54</v>
      </c>
      <c r="Q5213" s="4">
        <f t="shared" si="81"/>
        <v>-0.20996747656399462</v>
      </c>
      <c r="R5213" s="23" t="s">
        <v>109</v>
      </c>
      <c r="T5213" s="23" t="s">
        <v>8423</v>
      </c>
    </row>
    <row r="5214" spans="1:20" x14ac:dyDescent="0.25">
      <c r="A5214" s="21">
        <v>45828</v>
      </c>
      <c r="B5214" s="1">
        <v>50686199</v>
      </c>
      <c r="C5214" t="s">
        <v>118</v>
      </c>
      <c r="D5214" s="22">
        <v>-1138.44</v>
      </c>
      <c r="E5214" s="75" t="s">
        <v>35</v>
      </c>
      <c r="F5214" s="2">
        <v>610148001</v>
      </c>
      <c r="G5214" s="2" t="s">
        <v>42</v>
      </c>
      <c r="L5214" s="2" t="s">
        <v>9199</v>
      </c>
      <c r="M5214" t="s">
        <v>43</v>
      </c>
      <c r="N5214" t="s">
        <v>42</v>
      </c>
      <c r="P5214" s="23">
        <v>104.54</v>
      </c>
      <c r="Q5214" s="4">
        <f t="shared" si="81"/>
        <v>-10.889994260570116</v>
      </c>
      <c r="R5214" s="23" t="s">
        <v>109</v>
      </c>
      <c r="T5214" s="23" t="s">
        <v>8423</v>
      </c>
    </row>
    <row r="5215" spans="1:20" x14ac:dyDescent="0.25">
      <c r="A5215" s="21">
        <v>45828</v>
      </c>
      <c r="B5215" s="1">
        <v>131103092</v>
      </c>
      <c r="C5215" t="s">
        <v>107</v>
      </c>
      <c r="D5215" s="22">
        <v>320000</v>
      </c>
      <c r="E5215" s="75" t="s">
        <v>46</v>
      </c>
      <c r="F5215" s="2">
        <v>210115002</v>
      </c>
      <c r="G5215" s="2" t="s">
        <v>47</v>
      </c>
      <c r="L5215" s="2" t="s">
        <v>9200</v>
      </c>
      <c r="N5215" t="s">
        <v>107</v>
      </c>
      <c r="P5215" s="23">
        <v>104.54</v>
      </c>
      <c r="Q5215" s="4">
        <f t="shared" si="81"/>
        <v>3061.0292710924045</v>
      </c>
      <c r="R5215" s="23" t="s">
        <v>109</v>
      </c>
    </row>
    <row r="5216" spans="1:20" x14ac:dyDescent="0.25">
      <c r="A5216" s="21">
        <v>45828</v>
      </c>
      <c r="B5216" s="1">
        <v>214569811</v>
      </c>
      <c r="C5216" t="s">
        <v>9201</v>
      </c>
      <c r="D5216" s="22">
        <v>-104399.39</v>
      </c>
      <c r="E5216" s="75" t="s">
        <v>35</v>
      </c>
      <c r="F5216" s="2">
        <v>210101001</v>
      </c>
      <c r="G5216" s="2" t="s">
        <v>36</v>
      </c>
      <c r="L5216" s="2" t="s">
        <v>9202</v>
      </c>
      <c r="M5216" t="s">
        <v>38</v>
      </c>
      <c r="N5216" t="s">
        <v>39</v>
      </c>
      <c r="P5216" s="23">
        <v>104.54</v>
      </c>
      <c r="Q5216" s="4">
        <f t="shared" si="81"/>
        <v>-998.65496460684903</v>
      </c>
      <c r="R5216" s="23" t="s">
        <v>109</v>
      </c>
    </row>
    <row r="5217" spans="1:20" x14ac:dyDescent="0.25">
      <c r="A5217" s="21">
        <v>45828</v>
      </c>
      <c r="B5217" s="1">
        <v>314569813</v>
      </c>
      <c r="C5217" t="s">
        <v>9203</v>
      </c>
      <c r="D5217" s="22">
        <v>-4604.09</v>
      </c>
      <c r="E5217" s="75" t="s">
        <v>35</v>
      </c>
      <c r="F5217" s="2">
        <v>210101001</v>
      </c>
      <c r="G5217" s="2" t="s">
        <v>36</v>
      </c>
      <c r="L5217" s="2" t="s">
        <v>9204</v>
      </c>
      <c r="M5217" t="s">
        <v>6364</v>
      </c>
      <c r="N5217" t="s">
        <v>8452</v>
      </c>
      <c r="P5217" s="23">
        <v>104.54</v>
      </c>
      <c r="Q5217" s="4">
        <f t="shared" si="81"/>
        <v>-44.04141955232447</v>
      </c>
      <c r="R5217" s="23" t="s">
        <v>109</v>
      </c>
    </row>
    <row r="5218" spans="1:20" x14ac:dyDescent="0.25">
      <c r="A5218" s="21">
        <v>45828</v>
      </c>
      <c r="B5218" s="1">
        <v>314569814</v>
      </c>
      <c r="C5218" t="s">
        <v>9205</v>
      </c>
      <c r="D5218" s="22">
        <v>-11332.03</v>
      </c>
      <c r="E5218" s="75" t="s">
        <v>35</v>
      </c>
      <c r="F5218" s="2">
        <v>210101001</v>
      </c>
      <c r="G5218" s="2" t="s">
        <v>36</v>
      </c>
      <c r="L5218" s="2" t="s">
        <v>9206</v>
      </c>
      <c r="M5218" t="s">
        <v>2645</v>
      </c>
      <c r="N5218" t="s">
        <v>1187</v>
      </c>
      <c r="P5218" s="23">
        <v>104.54</v>
      </c>
      <c r="Q5218" s="4">
        <f t="shared" si="81"/>
        <v>-108.39898603405395</v>
      </c>
      <c r="R5218" s="23" t="s">
        <v>109</v>
      </c>
    </row>
    <row r="5219" spans="1:20" x14ac:dyDescent="0.25">
      <c r="A5219" s="21">
        <v>45828</v>
      </c>
      <c r="B5219" s="1">
        <v>214569812</v>
      </c>
      <c r="C5219" t="s">
        <v>9201</v>
      </c>
      <c r="D5219" s="22">
        <v>-200000</v>
      </c>
      <c r="E5219" s="75" t="s">
        <v>35</v>
      </c>
      <c r="F5219" s="2">
        <v>210101001</v>
      </c>
      <c r="G5219" s="2" t="s">
        <v>36</v>
      </c>
      <c r="L5219" s="2" t="s">
        <v>9207</v>
      </c>
      <c r="M5219" t="s">
        <v>38</v>
      </c>
      <c r="N5219" t="s">
        <v>39</v>
      </c>
      <c r="P5219" s="23">
        <v>104.54</v>
      </c>
      <c r="Q5219" s="4">
        <f t="shared" si="81"/>
        <v>-1913.143294432753</v>
      </c>
      <c r="R5219" s="23" t="s">
        <v>109</v>
      </c>
    </row>
    <row r="5220" spans="1:20" x14ac:dyDescent="0.25">
      <c r="A5220" s="21">
        <v>45828</v>
      </c>
      <c r="B5220" s="1">
        <v>50645880</v>
      </c>
      <c r="C5220" t="s">
        <v>118</v>
      </c>
      <c r="D5220" s="22">
        <v>-800.83</v>
      </c>
      <c r="E5220" s="75" t="s">
        <v>35</v>
      </c>
      <c r="F5220" s="2">
        <v>610148001</v>
      </c>
      <c r="G5220" s="2" t="s">
        <v>42</v>
      </c>
      <c r="L5220" s="2" t="s">
        <v>9208</v>
      </c>
      <c r="M5220" t="s">
        <v>43</v>
      </c>
      <c r="N5220" t="s">
        <v>42</v>
      </c>
      <c r="P5220" s="23">
        <v>104.54</v>
      </c>
      <c r="Q5220" s="4">
        <f t="shared" si="81"/>
        <v>-7.6605127224029079</v>
      </c>
      <c r="R5220" s="23" t="s">
        <v>109</v>
      </c>
      <c r="T5220" s="23" t="s">
        <v>8423</v>
      </c>
    </row>
    <row r="5221" spans="1:20" x14ac:dyDescent="0.25">
      <c r="A5221" s="21">
        <v>45828</v>
      </c>
      <c r="B5221" s="1">
        <v>140119397</v>
      </c>
      <c r="C5221" t="s">
        <v>107</v>
      </c>
      <c r="D5221" s="22">
        <v>550000</v>
      </c>
      <c r="E5221" s="75" t="s">
        <v>46</v>
      </c>
      <c r="F5221" s="2">
        <v>210115002</v>
      </c>
      <c r="G5221" s="2" t="s">
        <v>47</v>
      </c>
      <c r="L5221" s="2" t="s">
        <v>9209</v>
      </c>
      <c r="N5221" t="s">
        <v>107</v>
      </c>
      <c r="P5221" s="23">
        <v>104.54</v>
      </c>
      <c r="Q5221" s="4">
        <f t="shared" si="81"/>
        <v>5261.1440596900702</v>
      </c>
      <c r="R5221" s="23" t="s">
        <v>109</v>
      </c>
    </row>
    <row r="5222" spans="1:20" x14ac:dyDescent="0.25">
      <c r="A5222" s="21">
        <v>45828</v>
      </c>
      <c r="B5222" s="1">
        <v>814571085</v>
      </c>
      <c r="C5222" t="s">
        <v>9210</v>
      </c>
      <c r="D5222" s="22">
        <v>-200000</v>
      </c>
      <c r="E5222" s="75" t="s">
        <v>35</v>
      </c>
      <c r="F5222" s="2">
        <v>210101001</v>
      </c>
      <c r="G5222" s="2" t="s">
        <v>36</v>
      </c>
      <c r="L5222" s="2" t="s">
        <v>9211</v>
      </c>
      <c r="M5222" t="s">
        <v>38</v>
      </c>
      <c r="N5222" t="s">
        <v>39</v>
      </c>
      <c r="P5222" s="23">
        <v>104.54</v>
      </c>
      <c r="Q5222" s="4">
        <f t="shared" si="81"/>
        <v>-1913.143294432753</v>
      </c>
      <c r="R5222" s="23" t="s">
        <v>109</v>
      </c>
    </row>
    <row r="5223" spans="1:20" x14ac:dyDescent="0.25">
      <c r="A5223" s="21">
        <v>45828</v>
      </c>
      <c r="B5223" s="1">
        <v>814571084</v>
      </c>
      <c r="C5223" t="s">
        <v>9210</v>
      </c>
      <c r="D5223" s="22">
        <v>-200000</v>
      </c>
      <c r="E5223" s="75" t="s">
        <v>35</v>
      </c>
      <c r="F5223" s="2">
        <v>210101001</v>
      </c>
      <c r="G5223" s="2" t="s">
        <v>36</v>
      </c>
      <c r="L5223" s="2" t="s">
        <v>9212</v>
      </c>
      <c r="M5223" t="s">
        <v>38</v>
      </c>
      <c r="N5223" t="s">
        <v>39</v>
      </c>
      <c r="P5223" s="23">
        <v>104.54</v>
      </c>
      <c r="Q5223" s="4">
        <f t="shared" si="81"/>
        <v>-1913.143294432753</v>
      </c>
      <c r="R5223" s="23" t="s">
        <v>109</v>
      </c>
    </row>
    <row r="5224" spans="1:20" x14ac:dyDescent="0.25">
      <c r="A5224" s="21">
        <v>45828</v>
      </c>
      <c r="B5224" s="1">
        <v>814571086</v>
      </c>
      <c r="C5224" t="s">
        <v>9210</v>
      </c>
      <c r="D5224" s="22">
        <v>-145698.79999999999</v>
      </c>
      <c r="E5224" s="75" t="s">
        <v>35</v>
      </c>
      <c r="F5224" s="2">
        <v>210101001</v>
      </c>
      <c r="G5224" s="2" t="s">
        <v>36</v>
      </c>
      <c r="L5224" s="2" t="s">
        <v>9213</v>
      </c>
      <c r="M5224" t="s">
        <v>38</v>
      </c>
      <c r="N5224" t="s">
        <v>39</v>
      </c>
      <c r="P5224" s="23">
        <v>104.54</v>
      </c>
      <c r="Q5224" s="4">
        <f t="shared" si="81"/>
        <v>-1393.7134111344938</v>
      </c>
      <c r="R5224" s="23" t="s">
        <v>109</v>
      </c>
    </row>
    <row r="5225" spans="1:20" x14ac:dyDescent="0.25">
      <c r="A5225" s="21">
        <v>45828</v>
      </c>
      <c r="B5225" s="1">
        <v>50676744</v>
      </c>
      <c r="C5225" t="s">
        <v>118</v>
      </c>
      <c r="D5225" s="22">
        <v>-1364.24</v>
      </c>
      <c r="E5225" s="75" t="s">
        <v>35</v>
      </c>
      <c r="F5225" s="2">
        <v>610148001</v>
      </c>
      <c r="G5225" s="2" t="s">
        <v>42</v>
      </c>
      <c r="L5225" s="2" t="s">
        <v>9214</v>
      </c>
      <c r="M5225" t="s">
        <v>43</v>
      </c>
      <c r="N5225" t="s">
        <v>42</v>
      </c>
      <c r="P5225" s="23">
        <v>104.54</v>
      </c>
      <c r="Q5225" s="4">
        <f t="shared" si="81"/>
        <v>-13.049933039984694</v>
      </c>
      <c r="R5225" s="23" t="s">
        <v>109</v>
      </c>
      <c r="T5225" s="23" t="s">
        <v>8423</v>
      </c>
    </row>
    <row r="5226" spans="1:20" x14ac:dyDescent="0.25">
      <c r="A5226" s="21">
        <v>45833</v>
      </c>
      <c r="B5226" s="1">
        <v>101413067</v>
      </c>
      <c r="C5226" t="s">
        <v>107</v>
      </c>
      <c r="D5226" s="22">
        <v>60000</v>
      </c>
      <c r="E5226" s="75" t="s">
        <v>46</v>
      </c>
      <c r="F5226" s="2">
        <v>210115002</v>
      </c>
      <c r="G5226" s="2" t="s">
        <v>47</v>
      </c>
      <c r="L5226" s="2" t="s">
        <v>9215</v>
      </c>
      <c r="N5226" t="s">
        <v>107</v>
      </c>
      <c r="P5226" s="23">
        <v>105.45</v>
      </c>
      <c r="Q5226" s="4">
        <f t="shared" si="81"/>
        <v>568.99004267425323</v>
      </c>
      <c r="R5226" s="23" t="s">
        <v>109</v>
      </c>
    </row>
    <row r="5227" spans="1:20" x14ac:dyDescent="0.25">
      <c r="A5227" s="21">
        <v>45833</v>
      </c>
      <c r="B5227" s="1">
        <v>914617265</v>
      </c>
      <c r="C5227" t="s">
        <v>9216</v>
      </c>
      <c r="D5227" s="22">
        <v>-56941.95</v>
      </c>
      <c r="E5227" s="75" t="s">
        <v>35</v>
      </c>
      <c r="F5227" s="2">
        <v>210101001</v>
      </c>
      <c r="G5227" s="2" t="s">
        <v>36</v>
      </c>
      <c r="L5227" s="2" t="s">
        <v>9217</v>
      </c>
      <c r="M5227" t="s">
        <v>2028</v>
      </c>
      <c r="N5227" t="s">
        <v>2029</v>
      </c>
      <c r="P5227" s="23">
        <v>105.45</v>
      </c>
      <c r="Q5227" s="4">
        <f t="shared" si="81"/>
        <v>-539.99004267425312</v>
      </c>
      <c r="R5227" s="23" t="s">
        <v>109</v>
      </c>
    </row>
    <row r="5228" spans="1:20" x14ac:dyDescent="0.25">
      <c r="A5228" s="21">
        <v>45833</v>
      </c>
      <c r="B5228" s="1">
        <v>914617265</v>
      </c>
      <c r="C5228" t="s">
        <v>306</v>
      </c>
      <c r="D5228" s="22">
        <v>-170.83</v>
      </c>
      <c r="E5228" s="75" t="s">
        <v>35</v>
      </c>
      <c r="F5228" s="2">
        <v>610148001</v>
      </c>
      <c r="G5228" s="2" t="s">
        <v>42</v>
      </c>
      <c r="L5228" s="2" t="s">
        <v>9218</v>
      </c>
      <c r="M5228" t="s">
        <v>43</v>
      </c>
      <c r="N5228" t="s">
        <v>42</v>
      </c>
      <c r="P5228" s="23">
        <v>105.45</v>
      </c>
      <c r="Q5228" s="4">
        <f t="shared" si="81"/>
        <v>-1.6200094831673779</v>
      </c>
      <c r="R5228" s="23" t="s">
        <v>109</v>
      </c>
      <c r="T5228" s="23" t="s">
        <v>8423</v>
      </c>
    </row>
    <row r="5229" spans="1:20" x14ac:dyDescent="0.25">
      <c r="A5229" s="21">
        <v>45833</v>
      </c>
      <c r="B5229" s="1">
        <v>110622362</v>
      </c>
      <c r="C5229" t="s">
        <v>107</v>
      </c>
      <c r="D5229" s="22">
        <v>2076000</v>
      </c>
      <c r="E5229" s="75" t="s">
        <v>46</v>
      </c>
      <c r="F5229" s="2">
        <v>210115002</v>
      </c>
      <c r="G5229" s="2" t="s">
        <v>47</v>
      </c>
      <c r="L5229" s="2" t="s">
        <v>9219</v>
      </c>
      <c r="N5229" t="s">
        <v>107</v>
      </c>
      <c r="P5229" s="23">
        <v>105.45</v>
      </c>
      <c r="Q5229" s="4">
        <f t="shared" si="81"/>
        <v>19687.05547652916</v>
      </c>
      <c r="R5229" s="23" t="s">
        <v>109</v>
      </c>
    </row>
    <row r="5230" spans="1:20" x14ac:dyDescent="0.25">
      <c r="A5230" s="21">
        <v>45833</v>
      </c>
      <c r="B5230" s="1">
        <v>214618610</v>
      </c>
      <c r="C5230" t="s">
        <v>8624</v>
      </c>
      <c r="D5230" s="22">
        <v>-200000</v>
      </c>
      <c r="E5230" s="75" t="s">
        <v>35</v>
      </c>
      <c r="F5230" s="2">
        <v>110114001</v>
      </c>
      <c r="G5230" s="2" t="s">
        <v>301</v>
      </c>
      <c r="L5230" s="2" t="s">
        <v>9220</v>
      </c>
      <c r="M5230" t="s">
        <v>38</v>
      </c>
      <c r="N5230" t="s">
        <v>39</v>
      </c>
      <c r="P5230" s="23">
        <v>105.45</v>
      </c>
      <c r="Q5230" s="4">
        <f t="shared" si="81"/>
        <v>-1896.6334755808439</v>
      </c>
      <c r="R5230" s="23" t="s">
        <v>109</v>
      </c>
      <c r="S5230" s="33" t="s">
        <v>2599</v>
      </c>
    </row>
    <row r="5231" spans="1:20" x14ac:dyDescent="0.25">
      <c r="A5231" s="21">
        <v>45833</v>
      </c>
      <c r="B5231" s="1">
        <v>214618611</v>
      </c>
      <c r="C5231" t="s">
        <v>9221</v>
      </c>
      <c r="D5231" s="22">
        <v>-200000</v>
      </c>
      <c r="E5231" s="75" t="s">
        <v>35</v>
      </c>
      <c r="L5231" s="2" t="s">
        <v>9222</v>
      </c>
      <c r="P5231" s="23">
        <v>105.45</v>
      </c>
      <c r="Q5231" s="4">
        <f t="shared" si="81"/>
        <v>-1896.6334755808439</v>
      </c>
      <c r="R5231" s="23" t="s">
        <v>109</v>
      </c>
      <c r="S5231" s="3" t="s">
        <v>1811</v>
      </c>
    </row>
    <row r="5232" spans="1:20" x14ac:dyDescent="0.25">
      <c r="A5232" s="21">
        <v>45833</v>
      </c>
      <c r="B5232" s="1">
        <v>214618613</v>
      </c>
      <c r="C5232" t="s">
        <v>9221</v>
      </c>
      <c r="D5232" s="22">
        <v>-200000</v>
      </c>
      <c r="E5232" s="75" t="s">
        <v>35</v>
      </c>
      <c r="L5232" s="2" t="s">
        <v>9223</v>
      </c>
      <c r="P5232" s="23">
        <v>105.45</v>
      </c>
      <c r="Q5232" s="4">
        <f t="shared" si="81"/>
        <v>-1896.6334755808439</v>
      </c>
      <c r="R5232" s="23" t="s">
        <v>109</v>
      </c>
      <c r="S5232" s="3" t="s">
        <v>1811</v>
      </c>
    </row>
    <row r="5233" spans="1:20" x14ac:dyDescent="0.25">
      <c r="A5233" s="21">
        <v>45833</v>
      </c>
      <c r="B5233" s="1">
        <v>214618612</v>
      </c>
      <c r="C5233" t="s">
        <v>9221</v>
      </c>
      <c r="D5233" s="22">
        <v>-200000</v>
      </c>
      <c r="E5233" s="75" t="s">
        <v>35</v>
      </c>
      <c r="L5233" s="2" t="s">
        <v>9224</v>
      </c>
      <c r="P5233" s="23">
        <v>105.45</v>
      </c>
      <c r="Q5233" s="4">
        <f t="shared" si="81"/>
        <v>-1896.6334755808439</v>
      </c>
      <c r="R5233" s="23" t="s">
        <v>109</v>
      </c>
      <c r="S5233" s="3" t="s">
        <v>1811</v>
      </c>
    </row>
    <row r="5234" spans="1:20" x14ac:dyDescent="0.25">
      <c r="A5234" s="21">
        <v>45833</v>
      </c>
      <c r="B5234" s="1">
        <v>314618615</v>
      </c>
      <c r="C5234" t="s">
        <v>9221</v>
      </c>
      <c r="D5234" s="22">
        <v>-200000</v>
      </c>
      <c r="E5234" s="75" t="s">
        <v>35</v>
      </c>
      <c r="L5234" s="2" t="s">
        <v>9225</v>
      </c>
      <c r="P5234" s="23">
        <v>105.45</v>
      </c>
      <c r="Q5234" s="4">
        <f t="shared" si="81"/>
        <v>-1896.6334755808439</v>
      </c>
      <c r="R5234" s="23" t="s">
        <v>109</v>
      </c>
      <c r="S5234" s="3" t="s">
        <v>1811</v>
      </c>
    </row>
    <row r="5235" spans="1:20" x14ac:dyDescent="0.25">
      <c r="A5235" s="21">
        <v>45833</v>
      </c>
      <c r="B5235" s="1">
        <v>314618614</v>
      </c>
      <c r="C5235" t="s">
        <v>9221</v>
      </c>
      <c r="D5235" s="22">
        <v>-83272</v>
      </c>
      <c r="E5235" s="75" t="s">
        <v>35</v>
      </c>
      <c r="L5235" s="2" t="s">
        <v>9226</v>
      </c>
      <c r="P5235" s="23">
        <v>105.45</v>
      </c>
      <c r="Q5235" s="4">
        <f t="shared" si="81"/>
        <v>-789.68231389284017</v>
      </c>
      <c r="R5235" s="23" t="s">
        <v>109</v>
      </c>
      <c r="S5235" s="3" t="s">
        <v>1811</v>
      </c>
    </row>
    <row r="5236" spans="1:20" x14ac:dyDescent="0.25">
      <c r="A5236" s="21">
        <v>45833</v>
      </c>
      <c r="B5236" s="1">
        <v>314618616</v>
      </c>
      <c r="C5236" t="s">
        <v>8624</v>
      </c>
      <c r="D5236" s="22">
        <v>-200000</v>
      </c>
      <c r="E5236" s="75" t="s">
        <v>35</v>
      </c>
      <c r="F5236" s="2">
        <v>110114001</v>
      </c>
      <c r="G5236" s="2" t="s">
        <v>301</v>
      </c>
      <c r="L5236" s="2" t="s">
        <v>9227</v>
      </c>
      <c r="M5236" t="s">
        <v>38</v>
      </c>
      <c r="N5236" t="s">
        <v>39</v>
      </c>
      <c r="P5236" s="23">
        <v>105.45</v>
      </c>
      <c r="Q5236" s="4">
        <f t="shared" si="81"/>
        <v>-1896.6334755808439</v>
      </c>
      <c r="R5236" s="23" t="s">
        <v>109</v>
      </c>
      <c r="S5236" s="33" t="s">
        <v>2599</v>
      </c>
    </row>
    <row r="5237" spans="1:20" x14ac:dyDescent="0.25">
      <c r="A5237" s="21">
        <v>45833</v>
      </c>
      <c r="B5237" s="1">
        <v>314618617</v>
      </c>
      <c r="C5237" t="s">
        <v>8624</v>
      </c>
      <c r="D5237" s="22">
        <v>-200000</v>
      </c>
      <c r="E5237" s="75" t="s">
        <v>35</v>
      </c>
      <c r="F5237" s="2">
        <v>110114001</v>
      </c>
      <c r="G5237" s="2" t="s">
        <v>301</v>
      </c>
      <c r="L5237" s="2" t="s">
        <v>9228</v>
      </c>
      <c r="M5237" t="s">
        <v>38</v>
      </c>
      <c r="N5237" t="s">
        <v>39</v>
      </c>
      <c r="P5237" s="23">
        <v>105.45</v>
      </c>
      <c r="Q5237" s="4">
        <f t="shared" si="81"/>
        <v>-1896.6334755808439</v>
      </c>
      <c r="R5237" s="23" t="s">
        <v>109</v>
      </c>
      <c r="S5237" s="33" t="s">
        <v>2599</v>
      </c>
    </row>
    <row r="5238" spans="1:20" x14ac:dyDescent="0.25">
      <c r="A5238" s="21">
        <v>45833</v>
      </c>
      <c r="B5238" s="1">
        <v>314618618</v>
      </c>
      <c r="C5238" t="s">
        <v>8624</v>
      </c>
      <c r="D5238" s="22">
        <v>-200000</v>
      </c>
      <c r="E5238" s="75" t="s">
        <v>35</v>
      </c>
      <c r="F5238" s="2">
        <v>110114001</v>
      </c>
      <c r="G5238" s="2" t="s">
        <v>301</v>
      </c>
      <c r="L5238" s="2" t="s">
        <v>9229</v>
      </c>
      <c r="M5238" t="s">
        <v>38</v>
      </c>
      <c r="N5238" t="s">
        <v>39</v>
      </c>
      <c r="P5238" s="23">
        <v>105.45</v>
      </c>
      <c r="Q5238" s="4">
        <f t="shared" si="81"/>
        <v>-1896.6334755808439</v>
      </c>
      <c r="R5238" s="23" t="s">
        <v>109</v>
      </c>
      <c r="S5238" s="33" t="s">
        <v>2599</v>
      </c>
    </row>
    <row r="5239" spans="1:20" x14ac:dyDescent="0.25">
      <c r="A5239" s="21">
        <v>45833</v>
      </c>
      <c r="B5239" s="1">
        <v>314618619</v>
      </c>
      <c r="C5239" t="s">
        <v>8624</v>
      </c>
      <c r="D5239" s="22">
        <v>-42988.39</v>
      </c>
      <c r="E5239" s="75" t="s">
        <v>35</v>
      </c>
      <c r="F5239" s="2">
        <v>110114001</v>
      </c>
      <c r="G5239" s="2" t="s">
        <v>301</v>
      </c>
      <c r="L5239" s="2" t="s">
        <v>9230</v>
      </c>
      <c r="M5239" t="s">
        <v>38</v>
      </c>
      <c r="N5239" t="s">
        <v>39</v>
      </c>
      <c r="P5239" s="23">
        <v>105.45</v>
      </c>
      <c r="Q5239" s="4">
        <f t="shared" si="81"/>
        <v>-407.66609767662396</v>
      </c>
      <c r="R5239" s="23" t="s">
        <v>109</v>
      </c>
      <c r="S5239" s="33" t="s">
        <v>2599</v>
      </c>
    </row>
    <row r="5240" spans="1:20" x14ac:dyDescent="0.25">
      <c r="A5240" s="21">
        <v>45833</v>
      </c>
      <c r="B5240" s="1">
        <v>314618620</v>
      </c>
      <c r="C5240" t="s">
        <v>9231</v>
      </c>
      <c r="D5240" s="22">
        <v>-109668</v>
      </c>
      <c r="E5240" s="75" t="s">
        <v>35</v>
      </c>
      <c r="F5240" s="2">
        <v>110114001</v>
      </c>
      <c r="G5240" s="2" t="s">
        <v>301</v>
      </c>
      <c r="L5240" s="2" t="s">
        <v>9232</v>
      </c>
      <c r="M5240" t="s">
        <v>714</v>
      </c>
      <c r="N5240" t="s">
        <v>715</v>
      </c>
      <c r="P5240" s="23">
        <v>105.45</v>
      </c>
      <c r="Q5240" s="4">
        <f t="shared" si="81"/>
        <v>-1040</v>
      </c>
      <c r="R5240" s="23" t="s">
        <v>109</v>
      </c>
      <c r="S5240" s="33" t="s">
        <v>2599</v>
      </c>
    </row>
    <row r="5241" spans="1:20" x14ac:dyDescent="0.25">
      <c r="A5241" s="21">
        <v>45833</v>
      </c>
      <c r="B5241" s="1">
        <v>314618621</v>
      </c>
      <c r="C5241" t="s">
        <v>8978</v>
      </c>
      <c r="D5241" s="22">
        <v>-4757.5</v>
      </c>
      <c r="E5241" s="75" t="s">
        <v>35</v>
      </c>
      <c r="F5241" s="2">
        <v>210101001</v>
      </c>
      <c r="G5241" s="2" t="s">
        <v>36</v>
      </c>
      <c r="L5241" s="2" t="s">
        <v>9233</v>
      </c>
      <c r="M5241" t="s">
        <v>114</v>
      </c>
      <c r="N5241" t="s">
        <v>115</v>
      </c>
      <c r="P5241" s="23">
        <v>105.45</v>
      </c>
      <c r="Q5241" s="4">
        <f t="shared" si="81"/>
        <v>-45.116168800379327</v>
      </c>
      <c r="R5241" s="23" t="s">
        <v>109</v>
      </c>
    </row>
    <row r="5242" spans="1:20" x14ac:dyDescent="0.25">
      <c r="A5242" s="21">
        <v>45833</v>
      </c>
      <c r="B5242" s="1">
        <v>414618623</v>
      </c>
      <c r="C5242" t="s">
        <v>9234</v>
      </c>
      <c r="D5242" s="22">
        <v>-28.33</v>
      </c>
      <c r="E5242" s="75" t="s">
        <v>35</v>
      </c>
      <c r="F5242" s="2">
        <v>210101001</v>
      </c>
      <c r="G5242" s="2" t="s">
        <v>36</v>
      </c>
      <c r="L5242" s="2" t="s">
        <v>9235</v>
      </c>
      <c r="M5242" t="s">
        <v>1186</v>
      </c>
      <c r="N5242" t="s">
        <v>1187</v>
      </c>
      <c r="P5242" s="23">
        <v>105.45</v>
      </c>
      <c r="Q5242" s="4">
        <f t="shared" si="81"/>
        <v>-0.26865813181602655</v>
      </c>
      <c r="R5242" s="23" t="s">
        <v>109</v>
      </c>
    </row>
    <row r="5243" spans="1:20" x14ac:dyDescent="0.25">
      <c r="A5243" s="21">
        <v>45833</v>
      </c>
      <c r="B5243" s="1">
        <v>414618625</v>
      </c>
      <c r="C5243" t="s">
        <v>9236</v>
      </c>
      <c r="D5243" s="22">
        <v>-28.33</v>
      </c>
      <c r="E5243" s="75" t="s">
        <v>35</v>
      </c>
      <c r="F5243" s="2">
        <v>210101001</v>
      </c>
      <c r="G5243" s="2" t="s">
        <v>36</v>
      </c>
      <c r="L5243" s="2" t="s">
        <v>9237</v>
      </c>
      <c r="M5243" t="s">
        <v>38</v>
      </c>
      <c r="N5243" t="s">
        <v>39</v>
      </c>
      <c r="P5243" s="23">
        <v>105.45</v>
      </c>
      <c r="Q5243" s="4">
        <f t="shared" si="81"/>
        <v>-0.26865813181602655</v>
      </c>
      <c r="R5243" s="23" t="s">
        <v>109</v>
      </c>
    </row>
    <row r="5244" spans="1:20" x14ac:dyDescent="0.25">
      <c r="A5244" s="21">
        <v>45833</v>
      </c>
      <c r="B5244" s="1">
        <v>414618622</v>
      </c>
      <c r="C5244" t="s">
        <v>9238</v>
      </c>
      <c r="D5244" s="22">
        <v>-65192</v>
      </c>
      <c r="E5244" s="75" t="s">
        <v>35</v>
      </c>
      <c r="F5244" s="2">
        <v>110114001</v>
      </c>
      <c r="G5244" s="2" t="s">
        <v>301</v>
      </c>
      <c r="L5244" s="2" t="s">
        <v>9239</v>
      </c>
      <c r="M5244" t="s">
        <v>38</v>
      </c>
      <c r="N5244" t="s">
        <v>39</v>
      </c>
      <c r="P5244" s="23">
        <v>105.45</v>
      </c>
      <c r="Q5244" s="4">
        <f t="shared" si="81"/>
        <v>-618.22664770033191</v>
      </c>
      <c r="R5244" s="23" t="s">
        <v>109</v>
      </c>
      <c r="S5244" s="33" t="s">
        <v>2599</v>
      </c>
    </row>
    <row r="5245" spans="1:20" x14ac:dyDescent="0.25">
      <c r="A5245" s="21">
        <v>45833</v>
      </c>
      <c r="B5245" s="1">
        <v>414618624</v>
      </c>
      <c r="C5245" t="s">
        <v>8440</v>
      </c>
      <c r="D5245" s="22">
        <v>-28.33</v>
      </c>
      <c r="E5245" s="75" t="s">
        <v>35</v>
      </c>
      <c r="F5245" s="2">
        <v>210101001</v>
      </c>
      <c r="G5245" s="2" t="s">
        <v>36</v>
      </c>
      <c r="L5245" s="2" t="s">
        <v>9240</v>
      </c>
      <c r="M5245" t="s">
        <v>788</v>
      </c>
      <c r="N5245" t="s">
        <v>789</v>
      </c>
      <c r="P5245" s="23">
        <v>105.45</v>
      </c>
      <c r="Q5245" s="4">
        <f t="shared" si="81"/>
        <v>-0.26865813181602655</v>
      </c>
      <c r="R5245" s="23" t="s">
        <v>109</v>
      </c>
    </row>
    <row r="5246" spans="1:20" x14ac:dyDescent="0.25">
      <c r="A5246" s="21">
        <v>45833</v>
      </c>
      <c r="B5246" s="1">
        <v>414618627</v>
      </c>
      <c r="C5246" t="s">
        <v>9241</v>
      </c>
      <c r="D5246" s="22">
        <v>-168804.36</v>
      </c>
      <c r="E5246" s="75" t="s">
        <v>35</v>
      </c>
      <c r="F5246" s="2">
        <v>110114001</v>
      </c>
      <c r="G5246" s="2" t="s">
        <v>301</v>
      </c>
      <c r="L5246" s="2" t="s">
        <v>9242</v>
      </c>
      <c r="M5246" t="s">
        <v>38</v>
      </c>
      <c r="N5246" t="s">
        <v>39</v>
      </c>
      <c r="P5246" s="23">
        <v>105.45</v>
      </c>
      <c r="Q5246" s="4">
        <f t="shared" si="81"/>
        <v>-1600.7999999999997</v>
      </c>
      <c r="R5246" s="23" t="s">
        <v>109</v>
      </c>
      <c r="S5246" s="33" t="s">
        <v>2599</v>
      </c>
    </row>
    <row r="5247" spans="1:20" x14ac:dyDescent="0.25">
      <c r="A5247" s="21">
        <v>45833</v>
      </c>
      <c r="B5247" s="1">
        <v>414618626</v>
      </c>
      <c r="C5247" t="s">
        <v>9243</v>
      </c>
      <c r="D5247" s="22">
        <v>-28.33</v>
      </c>
      <c r="E5247" s="75" t="s">
        <v>35</v>
      </c>
      <c r="F5247" s="2">
        <v>210101001</v>
      </c>
      <c r="G5247" s="2" t="s">
        <v>36</v>
      </c>
      <c r="L5247" s="2" t="s">
        <v>9244</v>
      </c>
      <c r="M5247" t="s">
        <v>714</v>
      </c>
      <c r="N5247" t="s">
        <v>715</v>
      </c>
      <c r="P5247" s="23">
        <v>105.45</v>
      </c>
      <c r="Q5247" s="4">
        <f t="shared" si="81"/>
        <v>-0.26865813181602655</v>
      </c>
      <c r="R5247" s="23" t="s">
        <v>109</v>
      </c>
    </row>
    <row r="5248" spans="1:20" x14ac:dyDescent="0.25">
      <c r="A5248" s="21">
        <v>45833</v>
      </c>
      <c r="B5248" s="1">
        <v>50635785</v>
      </c>
      <c r="C5248" t="s">
        <v>118</v>
      </c>
      <c r="D5248" s="22">
        <v>-5186.9799999999996</v>
      </c>
      <c r="E5248" s="75" t="s">
        <v>35</v>
      </c>
      <c r="F5248" s="2">
        <v>610148001</v>
      </c>
      <c r="G5248" s="2" t="s">
        <v>42</v>
      </c>
      <c r="L5248" s="2" t="s">
        <v>9245</v>
      </c>
      <c r="M5248" t="s">
        <v>43</v>
      </c>
      <c r="N5248" t="s">
        <v>42</v>
      </c>
      <c r="P5248" s="23">
        <v>105.45</v>
      </c>
      <c r="Q5248" s="4">
        <f t="shared" si="81"/>
        <v>-49.188999525841623</v>
      </c>
      <c r="R5248" s="23" t="s">
        <v>109</v>
      </c>
      <c r="T5248" s="23" t="s">
        <v>8423</v>
      </c>
    </row>
    <row r="5249" spans="1:20" x14ac:dyDescent="0.25">
      <c r="A5249" s="21">
        <v>45833</v>
      </c>
      <c r="B5249" s="1">
        <v>113204504</v>
      </c>
      <c r="C5249" t="s">
        <v>107</v>
      </c>
      <c r="D5249" s="22">
        <v>520000</v>
      </c>
      <c r="E5249" s="75" t="s">
        <v>46</v>
      </c>
      <c r="F5249" s="2">
        <v>210115002</v>
      </c>
      <c r="G5249" s="2" t="s">
        <v>47</v>
      </c>
      <c r="L5249" s="2" t="s">
        <v>9246</v>
      </c>
      <c r="N5249" t="s">
        <v>107</v>
      </c>
      <c r="P5249" s="23">
        <v>105.45</v>
      </c>
      <c r="Q5249" s="4">
        <f t="shared" si="81"/>
        <v>4931.2470365101944</v>
      </c>
      <c r="R5249" s="23" t="s">
        <v>109</v>
      </c>
    </row>
    <row r="5250" spans="1:20" x14ac:dyDescent="0.25">
      <c r="A5250" s="32">
        <v>45833</v>
      </c>
      <c r="B5250" s="26">
        <v>614599423</v>
      </c>
      <c r="C5250" s="27" t="s">
        <v>9247</v>
      </c>
      <c r="D5250" s="28">
        <v>-6327</v>
      </c>
      <c r="E5250" s="75" t="s">
        <v>35</v>
      </c>
      <c r="F5250" s="29">
        <v>610122005</v>
      </c>
      <c r="G5250" s="29" t="s">
        <v>765</v>
      </c>
      <c r="H5250" s="107"/>
      <c r="I5250" s="101"/>
      <c r="J5250" s="101"/>
      <c r="K5250" s="29"/>
      <c r="L5250" s="2" t="s">
        <v>9248</v>
      </c>
      <c r="M5250" s="49" t="s">
        <v>1202</v>
      </c>
      <c r="N5250" s="78" t="s">
        <v>1203</v>
      </c>
      <c r="O5250" s="27" t="s">
        <v>59</v>
      </c>
      <c r="P5250" s="31">
        <v>105.45</v>
      </c>
      <c r="Q5250" s="4">
        <f t="shared" si="81"/>
        <v>-60</v>
      </c>
      <c r="R5250" s="23" t="s">
        <v>109</v>
      </c>
      <c r="S5250" s="3"/>
      <c r="T5250" s="23" t="s">
        <v>9249</v>
      </c>
    </row>
    <row r="5251" spans="1:20" x14ac:dyDescent="0.25">
      <c r="A5251" s="21">
        <v>45833</v>
      </c>
      <c r="B5251" s="1">
        <v>614599422</v>
      </c>
      <c r="C5251" t="s">
        <v>9250</v>
      </c>
      <c r="D5251" s="22">
        <v>-115382.2</v>
      </c>
      <c r="E5251" s="75" t="s">
        <v>35</v>
      </c>
      <c r="F5251" s="2">
        <v>110114001</v>
      </c>
      <c r="G5251" s="2" t="s">
        <v>301</v>
      </c>
      <c r="L5251" s="2" t="s">
        <v>9251</v>
      </c>
      <c r="M5251" t="s">
        <v>38</v>
      </c>
      <c r="N5251" t="s">
        <v>39</v>
      </c>
      <c r="P5251" s="23">
        <v>105.45</v>
      </c>
      <c r="Q5251" s="4">
        <f t="shared" si="81"/>
        <v>-1094.1887150308203</v>
      </c>
      <c r="R5251" s="23" t="s">
        <v>109</v>
      </c>
      <c r="S5251" s="33" t="s">
        <v>2599</v>
      </c>
    </row>
    <row r="5252" spans="1:20" x14ac:dyDescent="0.25">
      <c r="A5252" s="21">
        <v>45833</v>
      </c>
      <c r="B5252" s="1">
        <v>614599424</v>
      </c>
      <c r="C5252" t="s">
        <v>9250</v>
      </c>
      <c r="D5252" s="22">
        <v>-200000</v>
      </c>
      <c r="E5252" s="75" t="s">
        <v>35</v>
      </c>
      <c r="F5252" s="2">
        <v>110114001</v>
      </c>
      <c r="G5252" s="2" t="s">
        <v>301</v>
      </c>
      <c r="L5252" s="2" t="s">
        <v>9252</v>
      </c>
      <c r="M5252" t="s">
        <v>38</v>
      </c>
      <c r="N5252" t="s">
        <v>39</v>
      </c>
      <c r="P5252" s="23">
        <v>105.45</v>
      </c>
      <c r="Q5252" s="4">
        <f t="shared" si="81"/>
        <v>-1896.6334755808439</v>
      </c>
      <c r="R5252" s="23" t="s">
        <v>109</v>
      </c>
      <c r="S5252" s="33" t="s">
        <v>2599</v>
      </c>
    </row>
    <row r="5253" spans="1:20" x14ac:dyDescent="0.25">
      <c r="A5253" s="21">
        <v>45833</v>
      </c>
      <c r="B5253" s="1">
        <v>614599425</v>
      </c>
      <c r="C5253" t="s">
        <v>9250</v>
      </c>
      <c r="D5253" s="22">
        <v>-200000</v>
      </c>
      <c r="E5253" s="75" t="s">
        <v>35</v>
      </c>
      <c r="F5253" s="2">
        <v>110114001</v>
      </c>
      <c r="G5253" s="2" t="s">
        <v>301</v>
      </c>
      <c r="L5253" s="2" t="s">
        <v>9253</v>
      </c>
      <c r="M5253" t="s">
        <v>38</v>
      </c>
      <c r="N5253" t="s">
        <v>39</v>
      </c>
      <c r="P5253" s="23">
        <v>105.45</v>
      </c>
      <c r="Q5253" s="4">
        <f t="shared" si="81"/>
        <v>-1896.6334755808439</v>
      </c>
      <c r="R5253" s="23" t="s">
        <v>109</v>
      </c>
      <c r="S5253" s="33" t="s">
        <v>2599</v>
      </c>
    </row>
    <row r="5254" spans="1:20" x14ac:dyDescent="0.25">
      <c r="A5254" s="21">
        <v>45833</v>
      </c>
      <c r="B5254" s="1">
        <v>50672578</v>
      </c>
      <c r="C5254" t="s">
        <v>9254</v>
      </c>
      <c r="D5254" s="22">
        <v>-4241.1899999999996</v>
      </c>
      <c r="E5254" s="75" t="s">
        <v>35</v>
      </c>
      <c r="F5254" s="2">
        <v>210101001</v>
      </c>
      <c r="G5254" s="2" t="s">
        <v>36</v>
      </c>
      <c r="L5254" s="2" t="s">
        <v>9255</v>
      </c>
      <c r="M5254" t="s">
        <v>5015</v>
      </c>
      <c r="N5254" t="s">
        <v>1240</v>
      </c>
      <c r="P5254" s="23">
        <v>105.45</v>
      </c>
      <c r="Q5254" s="4">
        <f t="shared" si="81"/>
        <v>-40.219914651493596</v>
      </c>
      <c r="R5254" s="23" t="s">
        <v>109</v>
      </c>
    </row>
    <row r="5255" spans="1:20" x14ac:dyDescent="0.25">
      <c r="A5255" s="21">
        <v>45833</v>
      </c>
      <c r="B5255" s="1">
        <v>50672578</v>
      </c>
      <c r="C5255" t="s">
        <v>296</v>
      </c>
      <c r="D5255" s="22">
        <v>-6.36</v>
      </c>
      <c r="E5255" s="75" t="s">
        <v>35</v>
      </c>
      <c r="F5255" s="2">
        <v>610148001</v>
      </c>
      <c r="G5255" s="2" t="s">
        <v>42</v>
      </c>
      <c r="L5255" s="2" t="s">
        <v>9256</v>
      </c>
      <c r="M5255" t="s">
        <v>43</v>
      </c>
      <c r="N5255" t="s">
        <v>42</v>
      </c>
      <c r="P5255" s="23">
        <v>105.45</v>
      </c>
      <c r="Q5255" s="4">
        <f t="shared" si="81"/>
        <v>-6.0312944523470843E-2</v>
      </c>
      <c r="R5255" s="23" t="s">
        <v>109</v>
      </c>
      <c r="T5255" s="23" t="s">
        <v>8423</v>
      </c>
    </row>
    <row r="5256" spans="1:20" x14ac:dyDescent="0.25">
      <c r="A5256" s="21">
        <v>45833</v>
      </c>
      <c r="B5256" s="1">
        <v>50672578</v>
      </c>
      <c r="C5256" t="s">
        <v>118</v>
      </c>
      <c r="D5256" s="22">
        <v>-1304.27</v>
      </c>
      <c r="E5256" s="75" t="s">
        <v>35</v>
      </c>
      <c r="F5256" s="2">
        <v>610148001</v>
      </c>
      <c r="G5256" s="2" t="s">
        <v>42</v>
      </c>
      <c r="L5256" s="2" t="s">
        <v>9257</v>
      </c>
      <c r="M5256" t="s">
        <v>43</v>
      </c>
      <c r="N5256" t="s">
        <v>42</v>
      </c>
      <c r="P5256" s="23">
        <v>105.45</v>
      </c>
      <c r="Q5256" s="4">
        <f t="shared" si="81"/>
        <v>-12.368610715979136</v>
      </c>
      <c r="R5256" s="23" t="s">
        <v>109</v>
      </c>
      <c r="T5256" s="23" t="s">
        <v>8423</v>
      </c>
    </row>
    <row r="5257" spans="1:20" x14ac:dyDescent="0.25">
      <c r="A5257" s="21">
        <v>45833</v>
      </c>
      <c r="B5257" s="1">
        <v>135947998</v>
      </c>
      <c r="C5257" t="s">
        <v>107</v>
      </c>
      <c r="D5257" s="22">
        <v>544000</v>
      </c>
      <c r="E5257" s="75" t="s">
        <v>46</v>
      </c>
      <c r="F5257" s="2">
        <v>210115002</v>
      </c>
      <c r="G5257" s="2" t="s">
        <v>47</v>
      </c>
      <c r="L5257" s="2" t="s">
        <v>9258</v>
      </c>
      <c r="N5257" t="s">
        <v>107</v>
      </c>
      <c r="P5257" s="23">
        <v>105.45</v>
      </c>
      <c r="Q5257" s="4">
        <f t="shared" si="81"/>
        <v>5158.8430535798952</v>
      </c>
      <c r="R5257" s="23" t="s">
        <v>109</v>
      </c>
    </row>
    <row r="5258" spans="1:20" x14ac:dyDescent="0.25">
      <c r="A5258" s="21">
        <v>45833</v>
      </c>
      <c r="B5258" s="1">
        <v>514601677</v>
      </c>
      <c r="C5258" t="s">
        <v>9259</v>
      </c>
      <c r="D5258" s="22">
        <v>-4200</v>
      </c>
      <c r="E5258" s="75" t="s">
        <v>35</v>
      </c>
      <c r="F5258" s="2">
        <v>110114001</v>
      </c>
      <c r="G5258" s="2" t="s">
        <v>301</v>
      </c>
      <c r="L5258" s="2" t="s">
        <v>9260</v>
      </c>
      <c r="M5258" t="s">
        <v>1239</v>
      </c>
      <c r="N5258" t="s">
        <v>1240</v>
      </c>
      <c r="P5258" s="23">
        <v>105.45</v>
      </c>
      <c r="Q5258" s="4">
        <f t="shared" si="81"/>
        <v>-39.829302987197721</v>
      </c>
      <c r="R5258" s="23" t="s">
        <v>109</v>
      </c>
      <c r="S5258" s="33" t="s">
        <v>2599</v>
      </c>
    </row>
    <row r="5259" spans="1:20" x14ac:dyDescent="0.25">
      <c r="A5259" s="21">
        <v>45833</v>
      </c>
      <c r="B5259" s="1">
        <v>50628241</v>
      </c>
      <c r="C5259" t="s">
        <v>9261</v>
      </c>
      <c r="D5259" s="22">
        <v>-540663.76</v>
      </c>
      <c r="E5259" s="75" t="s">
        <v>35</v>
      </c>
      <c r="F5259" s="2">
        <v>210101001</v>
      </c>
      <c r="G5259" s="2" t="s">
        <v>36</v>
      </c>
      <c r="L5259" s="2" t="s">
        <v>9262</v>
      </c>
      <c r="M5259" t="s">
        <v>3326</v>
      </c>
      <c r="N5259" t="s">
        <v>3327</v>
      </c>
      <c r="P5259" s="23">
        <v>105.45</v>
      </c>
      <c r="Q5259" s="4">
        <f t="shared" ref="Q5259:Q5322" si="82">D5259/P5259</f>
        <v>-5127.2049312470363</v>
      </c>
      <c r="R5259" s="23" t="s">
        <v>109</v>
      </c>
    </row>
    <row r="5260" spans="1:20" x14ac:dyDescent="0.25">
      <c r="A5260" s="21">
        <v>45833</v>
      </c>
      <c r="B5260" s="1">
        <v>50628241</v>
      </c>
      <c r="C5260" t="s">
        <v>296</v>
      </c>
      <c r="D5260" s="22">
        <v>-810.99</v>
      </c>
      <c r="E5260" s="75" t="s">
        <v>35</v>
      </c>
      <c r="F5260" s="2">
        <v>610148001</v>
      </c>
      <c r="G5260" s="2" t="s">
        <v>42</v>
      </c>
      <c r="L5260" s="2" t="s">
        <v>9263</v>
      </c>
      <c r="M5260" t="s">
        <v>43</v>
      </c>
      <c r="N5260" t="s">
        <v>42</v>
      </c>
      <c r="P5260" s="23">
        <v>105.45</v>
      </c>
      <c r="Q5260" s="4">
        <f t="shared" si="82"/>
        <v>-7.6907539118065431</v>
      </c>
      <c r="R5260" s="23" t="s">
        <v>109</v>
      </c>
      <c r="T5260" s="23" t="s">
        <v>8423</v>
      </c>
    </row>
    <row r="5261" spans="1:20" x14ac:dyDescent="0.25">
      <c r="A5261" s="21">
        <v>45833</v>
      </c>
      <c r="B5261" s="1">
        <v>50628241</v>
      </c>
      <c r="C5261" t="s">
        <v>118</v>
      </c>
      <c r="D5261" s="22">
        <v>-10.5</v>
      </c>
      <c r="E5261" s="75" t="s">
        <v>35</v>
      </c>
      <c r="F5261" s="2">
        <v>610148001</v>
      </c>
      <c r="G5261" s="2" t="s">
        <v>42</v>
      </c>
      <c r="L5261" s="2" t="s">
        <v>9264</v>
      </c>
      <c r="M5261" t="s">
        <v>43</v>
      </c>
      <c r="N5261" t="s">
        <v>42</v>
      </c>
      <c r="P5261" s="23">
        <v>105.45</v>
      </c>
      <c r="Q5261" s="4">
        <f t="shared" si="82"/>
        <v>-9.9573257467994308E-2</v>
      </c>
      <c r="R5261" s="23" t="s">
        <v>109</v>
      </c>
      <c r="T5261" s="23" t="s">
        <v>8423</v>
      </c>
    </row>
    <row r="5262" spans="1:20" x14ac:dyDescent="0.25">
      <c r="A5262" s="21">
        <v>45833</v>
      </c>
      <c r="B5262" s="1">
        <v>914602800</v>
      </c>
      <c r="C5262" t="s">
        <v>9265</v>
      </c>
      <c r="D5262" s="43">
        <v>-5568</v>
      </c>
      <c r="E5262" s="75" t="s">
        <v>35</v>
      </c>
      <c r="F5262" s="2">
        <v>110114001</v>
      </c>
      <c r="G5262" s="2" t="s">
        <v>301</v>
      </c>
      <c r="L5262" s="2" t="s">
        <v>9266</v>
      </c>
      <c r="N5262" t="s">
        <v>2551</v>
      </c>
      <c r="P5262" s="23">
        <v>105.45</v>
      </c>
      <c r="Q5262" s="4">
        <f t="shared" si="82"/>
        <v>-52.802275960170697</v>
      </c>
      <c r="R5262" s="23" t="s">
        <v>109</v>
      </c>
    </row>
    <row r="5263" spans="1:20" x14ac:dyDescent="0.25">
      <c r="A5263" s="21">
        <v>45833</v>
      </c>
      <c r="B5263" s="1">
        <v>914602800</v>
      </c>
      <c r="C5263" t="s">
        <v>306</v>
      </c>
      <c r="D5263" s="22">
        <v>-16.7</v>
      </c>
      <c r="E5263" s="75" t="s">
        <v>35</v>
      </c>
      <c r="F5263" s="2">
        <v>610148001</v>
      </c>
      <c r="G5263" s="2" t="s">
        <v>42</v>
      </c>
      <c r="L5263" s="2" t="s">
        <v>9267</v>
      </c>
      <c r="M5263" t="s">
        <v>43</v>
      </c>
      <c r="N5263" t="s">
        <v>42</v>
      </c>
      <c r="P5263" s="23">
        <v>105.45</v>
      </c>
      <c r="Q5263" s="4">
        <f t="shared" si="82"/>
        <v>-0.15836889521100048</v>
      </c>
      <c r="R5263" s="23" t="s">
        <v>109</v>
      </c>
      <c r="T5263" s="23" t="s">
        <v>8423</v>
      </c>
    </row>
    <row r="5264" spans="1:20" x14ac:dyDescent="0.25">
      <c r="A5264" s="21">
        <v>45833</v>
      </c>
      <c r="B5264" s="1">
        <v>423249912</v>
      </c>
      <c r="C5264" t="s">
        <v>9268</v>
      </c>
      <c r="D5264" s="22">
        <v>15000</v>
      </c>
      <c r="E5264" s="75" t="s">
        <v>46</v>
      </c>
      <c r="F5264" s="2">
        <v>210115002</v>
      </c>
      <c r="G5264" s="2" t="s">
        <v>47</v>
      </c>
      <c r="L5264" s="2" t="s">
        <v>9269</v>
      </c>
      <c r="N5264" t="s">
        <v>107</v>
      </c>
      <c r="P5264" s="23">
        <v>105.45</v>
      </c>
      <c r="Q5264" s="4">
        <f t="shared" si="82"/>
        <v>142.24751066856331</v>
      </c>
      <c r="R5264" s="23" t="s">
        <v>109</v>
      </c>
    </row>
    <row r="5265" spans="1:20" x14ac:dyDescent="0.25">
      <c r="A5265" s="21">
        <v>45833</v>
      </c>
      <c r="B5265" s="1">
        <v>14603164</v>
      </c>
      <c r="C5265" t="s">
        <v>9137</v>
      </c>
      <c r="D5265" s="22">
        <v>-12753.88</v>
      </c>
      <c r="E5265" s="75" t="s">
        <v>35</v>
      </c>
      <c r="F5265" s="2">
        <v>212901001</v>
      </c>
      <c r="G5265" s="2" t="s">
        <v>121</v>
      </c>
      <c r="L5265" s="2" t="s">
        <v>9270</v>
      </c>
      <c r="M5265" t="s">
        <v>67</v>
      </c>
      <c r="N5265" t="s">
        <v>68</v>
      </c>
      <c r="P5265" s="23">
        <v>105.45</v>
      </c>
      <c r="Q5265" s="4">
        <f t="shared" si="82"/>
        <v>-120.94717875770506</v>
      </c>
      <c r="R5265" s="23" t="s">
        <v>109</v>
      </c>
    </row>
    <row r="5266" spans="1:20" x14ac:dyDescent="0.25">
      <c r="A5266" s="21">
        <v>45833</v>
      </c>
      <c r="B5266" s="1">
        <v>14603164</v>
      </c>
      <c r="C5266" t="s">
        <v>306</v>
      </c>
      <c r="D5266" s="22">
        <v>-38.26</v>
      </c>
      <c r="E5266" s="75" t="s">
        <v>35</v>
      </c>
      <c r="F5266" s="2">
        <v>610148001</v>
      </c>
      <c r="G5266" s="2" t="s">
        <v>42</v>
      </c>
      <c r="L5266" s="2" t="s">
        <v>9271</v>
      </c>
      <c r="M5266" t="s">
        <v>43</v>
      </c>
      <c r="N5266" t="s">
        <v>42</v>
      </c>
      <c r="P5266" s="23">
        <v>105.45</v>
      </c>
      <c r="Q5266" s="4">
        <f t="shared" si="82"/>
        <v>-0.36282598387861542</v>
      </c>
      <c r="R5266" s="23" t="s">
        <v>109</v>
      </c>
      <c r="T5266" s="23" t="s">
        <v>8423</v>
      </c>
    </row>
    <row r="5267" spans="1:20" x14ac:dyDescent="0.25">
      <c r="A5267" s="21">
        <v>45834</v>
      </c>
      <c r="B5267" s="1">
        <v>125837822</v>
      </c>
      <c r="C5267" t="s">
        <v>107</v>
      </c>
      <c r="D5267" s="22">
        <v>330000</v>
      </c>
      <c r="E5267" s="75" t="s">
        <v>46</v>
      </c>
      <c r="F5267" s="2">
        <v>210115002</v>
      </c>
      <c r="G5267" s="2" t="s">
        <v>47</v>
      </c>
      <c r="L5267" s="2" t="s">
        <v>9272</v>
      </c>
      <c r="N5267" t="s">
        <v>107</v>
      </c>
      <c r="P5267" s="23">
        <v>106.17</v>
      </c>
      <c r="Q5267" s="4">
        <f t="shared" si="82"/>
        <v>3108.2226617688611</v>
      </c>
      <c r="R5267" s="23" t="s">
        <v>109</v>
      </c>
    </row>
    <row r="5268" spans="1:20" x14ac:dyDescent="0.25">
      <c r="A5268" s="21">
        <v>45834</v>
      </c>
      <c r="B5268" s="1">
        <v>14635611</v>
      </c>
      <c r="C5268" t="s">
        <v>9273</v>
      </c>
      <c r="D5268" s="22">
        <v>-12294.98</v>
      </c>
      <c r="E5268" s="75" t="s">
        <v>35</v>
      </c>
      <c r="F5268" s="2">
        <v>110114001</v>
      </c>
      <c r="G5268" s="2" t="s">
        <v>301</v>
      </c>
      <c r="L5268" s="2" t="s">
        <v>9274</v>
      </c>
      <c r="M5268" t="s">
        <v>788</v>
      </c>
      <c r="N5268" t="s">
        <v>789</v>
      </c>
      <c r="P5268" s="23">
        <v>106.17</v>
      </c>
      <c r="Q5268" s="4">
        <f t="shared" si="82"/>
        <v>-115.8046529151361</v>
      </c>
      <c r="R5268" s="23" t="s">
        <v>109</v>
      </c>
      <c r="S5268" s="33" t="s">
        <v>2599</v>
      </c>
    </row>
    <row r="5269" spans="1:20" x14ac:dyDescent="0.25">
      <c r="A5269" s="21">
        <v>45834</v>
      </c>
      <c r="B5269" s="1">
        <v>114635613</v>
      </c>
      <c r="C5269" t="s">
        <v>9275</v>
      </c>
      <c r="D5269" s="22">
        <v>-23407.16</v>
      </c>
      <c r="E5269" s="75" t="s">
        <v>35</v>
      </c>
      <c r="F5269" s="2">
        <v>110114001</v>
      </c>
      <c r="G5269" s="2" t="s">
        <v>301</v>
      </c>
      <c r="L5269" s="2" t="s">
        <v>9276</v>
      </c>
      <c r="M5269" t="s">
        <v>38</v>
      </c>
      <c r="N5269" t="s">
        <v>39</v>
      </c>
      <c r="P5269" s="23">
        <v>106.17</v>
      </c>
      <c r="Q5269" s="4">
        <f t="shared" si="82"/>
        <v>-220.46868230196853</v>
      </c>
      <c r="R5269" s="23" t="s">
        <v>109</v>
      </c>
      <c r="S5269" s="33" t="s">
        <v>2599</v>
      </c>
    </row>
    <row r="5270" spans="1:20" x14ac:dyDescent="0.25">
      <c r="A5270" s="21">
        <v>45834</v>
      </c>
      <c r="B5270" s="1">
        <v>14635612</v>
      </c>
      <c r="C5270" t="s">
        <v>9277</v>
      </c>
      <c r="D5270" s="22">
        <v>-25669.85</v>
      </c>
      <c r="E5270" s="75" t="s">
        <v>35</v>
      </c>
      <c r="F5270" s="2">
        <v>110114001</v>
      </c>
      <c r="G5270" s="2" t="s">
        <v>301</v>
      </c>
      <c r="L5270" s="2" t="s">
        <v>9278</v>
      </c>
      <c r="M5270" t="s">
        <v>788</v>
      </c>
      <c r="N5270" t="s">
        <v>789</v>
      </c>
      <c r="P5270" s="23">
        <v>106.17</v>
      </c>
      <c r="Q5270" s="4">
        <f t="shared" si="82"/>
        <v>-241.78063483093152</v>
      </c>
      <c r="R5270" s="23" t="s">
        <v>109</v>
      </c>
      <c r="S5270" s="33" t="s">
        <v>2599</v>
      </c>
    </row>
    <row r="5271" spans="1:20" x14ac:dyDescent="0.25">
      <c r="A5271" s="21">
        <v>45834</v>
      </c>
      <c r="B5271" s="1">
        <v>114635614</v>
      </c>
      <c r="C5271" t="s">
        <v>9275</v>
      </c>
      <c r="D5271" s="22">
        <v>-200000</v>
      </c>
      <c r="E5271" s="75" t="s">
        <v>35</v>
      </c>
      <c r="F5271" s="2">
        <v>110114001</v>
      </c>
      <c r="G5271" s="2" t="s">
        <v>301</v>
      </c>
      <c r="L5271" s="2" t="s">
        <v>9279</v>
      </c>
      <c r="M5271" t="s">
        <v>38</v>
      </c>
      <c r="N5271" t="s">
        <v>39</v>
      </c>
      <c r="P5271" s="23">
        <v>106.17</v>
      </c>
      <c r="Q5271" s="4">
        <f t="shared" si="82"/>
        <v>-1883.7713101629463</v>
      </c>
      <c r="R5271" s="23" t="s">
        <v>109</v>
      </c>
      <c r="S5271" s="33" t="s">
        <v>2599</v>
      </c>
    </row>
    <row r="5272" spans="1:20" x14ac:dyDescent="0.25">
      <c r="A5272" s="21">
        <v>45834</v>
      </c>
      <c r="B5272" s="1">
        <v>114635615</v>
      </c>
      <c r="C5272" t="s">
        <v>9280</v>
      </c>
      <c r="D5272" s="22">
        <v>-67114.350000000006</v>
      </c>
      <c r="E5272" s="75" t="s">
        <v>35</v>
      </c>
      <c r="F5272" s="2">
        <v>110114001</v>
      </c>
      <c r="G5272" s="2" t="s">
        <v>301</v>
      </c>
      <c r="L5272" s="2" t="s">
        <v>9281</v>
      </c>
      <c r="M5272" t="s">
        <v>38</v>
      </c>
      <c r="N5272" t="s">
        <v>39</v>
      </c>
      <c r="P5272" s="23">
        <v>106.17</v>
      </c>
      <c r="Q5272" s="4">
        <f t="shared" si="82"/>
        <v>-632.14043515117271</v>
      </c>
      <c r="R5272" s="23" t="s">
        <v>109</v>
      </c>
      <c r="S5272" s="33" t="s">
        <v>2599</v>
      </c>
    </row>
    <row r="5273" spans="1:20" x14ac:dyDescent="0.25">
      <c r="A5273" s="21">
        <v>45834</v>
      </c>
      <c r="B5273" s="1">
        <v>50619821</v>
      </c>
      <c r="C5273" t="s">
        <v>118</v>
      </c>
      <c r="D5273" s="22">
        <v>-821.21</v>
      </c>
      <c r="E5273" s="75" t="s">
        <v>35</v>
      </c>
      <c r="F5273" s="2">
        <v>610148001</v>
      </c>
      <c r="G5273" s="2" t="s">
        <v>42</v>
      </c>
      <c r="L5273" s="2" t="s">
        <v>9282</v>
      </c>
      <c r="M5273" t="s">
        <v>43</v>
      </c>
      <c r="N5273" t="s">
        <v>42</v>
      </c>
      <c r="P5273" s="23">
        <v>106.17</v>
      </c>
      <c r="Q5273" s="4">
        <f t="shared" si="82"/>
        <v>-7.7348591880945659</v>
      </c>
      <c r="R5273" s="23" t="s">
        <v>109</v>
      </c>
      <c r="T5273" s="23" t="s">
        <v>8423</v>
      </c>
    </row>
    <row r="5274" spans="1:20" x14ac:dyDescent="0.25">
      <c r="A5274" s="21">
        <v>45835</v>
      </c>
      <c r="B5274" s="1">
        <v>140953338</v>
      </c>
      <c r="C5274" t="s">
        <v>107</v>
      </c>
      <c r="D5274" s="22">
        <v>780000</v>
      </c>
      <c r="E5274" s="75" t="s">
        <v>46</v>
      </c>
      <c r="F5274" s="2">
        <v>210115002</v>
      </c>
      <c r="G5274" s="2" t="s">
        <v>47</v>
      </c>
      <c r="L5274" s="2" t="s">
        <v>9283</v>
      </c>
      <c r="N5274" t="s">
        <v>107</v>
      </c>
      <c r="P5274" s="23">
        <v>106.86</v>
      </c>
      <c r="Q5274" s="4">
        <f t="shared" si="82"/>
        <v>7299.270072992701</v>
      </c>
      <c r="R5274" s="23" t="s">
        <v>109</v>
      </c>
    </row>
    <row r="5275" spans="1:20" x14ac:dyDescent="0.25">
      <c r="A5275" s="21">
        <v>45835</v>
      </c>
      <c r="B5275" s="1">
        <v>514654366</v>
      </c>
      <c r="C5275" t="s">
        <v>9284</v>
      </c>
      <c r="D5275" s="22">
        <v>-8762.52</v>
      </c>
      <c r="E5275" s="75" t="s">
        <v>35</v>
      </c>
      <c r="F5275" s="2">
        <v>212901001</v>
      </c>
      <c r="G5275" s="2" t="s">
        <v>121</v>
      </c>
      <c r="L5275" s="2" t="s">
        <v>9285</v>
      </c>
      <c r="M5275" t="s">
        <v>67</v>
      </c>
      <c r="N5275" t="s">
        <v>68</v>
      </c>
      <c r="P5275" s="23">
        <v>106.86</v>
      </c>
      <c r="Q5275" s="4">
        <f t="shared" si="82"/>
        <v>-82</v>
      </c>
      <c r="R5275" s="23" t="s">
        <v>109</v>
      </c>
    </row>
    <row r="5276" spans="1:20" x14ac:dyDescent="0.25">
      <c r="A5276" s="21">
        <v>45835</v>
      </c>
      <c r="B5276" s="1">
        <v>514654368</v>
      </c>
      <c r="C5276" t="s">
        <v>9286</v>
      </c>
      <c r="D5276" s="22">
        <v>-9617.4</v>
      </c>
      <c r="E5276" s="75" t="s">
        <v>35</v>
      </c>
      <c r="F5276" s="2">
        <v>212901001</v>
      </c>
      <c r="G5276" s="2" t="s">
        <v>121</v>
      </c>
      <c r="L5276" s="2" t="s">
        <v>9287</v>
      </c>
      <c r="M5276" t="s">
        <v>67</v>
      </c>
      <c r="N5276" t="s">
        <v>68</v>
      </c>
      <c r="P5276" s="23">
        <v>106.86</v>
      </c>
      <c r="Q5276" s="4">
        <f t="shared" si="82"/>
        <v>-90</v>
      </c>
      <c r="R5276" s="23" t="s">
        <v>109</v>
      </c>
    </row>
    <row r="5277" spans="1:20" x14ac:dyDescent="0.25">
      <c r="A5277" s="21">
        <v>45835</v>
      </c>
      <c r="B5277" s="1">
        <v>514654370</v>
      </c>
      <c r="C5277" t="s">
        <v>9288</v>
      </c>
      <c r="D5277" s="22">
        <v>-9617.4</v>
      </c>
      <c r="E5277" s="75" t="s">
        <v>35</v>
      </c>
      <c r="F5277" s="2">
        <v>212901001</v>
      </c>
      <c r="G5277" s="2" t="s">
        <v>121</v>
      </c>
      <c r="L5277" s="2" t="s">
        <v>9289</v>
      </c>
      <c r="M5277" t="s">
        <v>67</v>
      </c>
      <c r="N5277" t="s">
        <v>68</v>
      </c>
      <c r="P5277" s="23">
        <v>106.86</v>
      </c>
      <c r="Q5277" s="4">
        <f t="shared" si="82"/>
        <v>-90</v>
      </c>
      <c r="R5277" s="23" t="s">
        <v>109</v>
      </c>
    </row>
    <row r="5278" spans="1:20" x14ac:dyDescent="0.25">
      <c r="A5278" s="21">
        <v>45835</v>
      </c>
      <c r="B5278" s="1">
        <v>514654367</v>
      </c>
      <c r="C5278" t="s">
        <v>9290</v>
      </c>
      <c r="D5278" s="22">
        <v>-9617.4</v>
      </c>
      <c r="E5278" s="75" t="s">
        <v>35</v>
      </c>
      <c r="F5278" s="2">
        <v>212901001</v>
      </c>
      <c r="G5278" s="2" t="s">
        <v>121</v>
      </c>
      <c r="L5278" s="2" t="s">
        <v>9291</v>
      </c>
      <c r="M5278" t="s">
        <v>67</v>
      </c>
      <c r="N5278" t="s">
        <v>68</v>
      </c>
      <c r="P5278" s="23">
        <v>106.86</v>
      </c>
      <c r="Q5278" s="4">
        <f t="shared" si="82"/>
        <v>-90</v>
      </c>
      <c r="R5278" s="23" t="s">
        <v>109</v>
      </c>
    </row>
    <row r="5279" spans="1:20" x14ac:dyDescent="0.25">
      <c r="A5279" s="21">
        <v>45835</v>
      </c>
      <c r="B5279" s="1">
        <v>514654369</v>
      </c>
      <c r="C5279" t="s">
        <v>9292</v>
      </c>
      <c r="D5279" s="22">
        <v>-9617.4</v>
      </c>
      <c r="E5279" s="75" t="s">
        <v>35</v>
      </c>
      <c r="F5279" s="2">
        <v>212901001</v>
      </c>
      <c r="G5279" s="2" t="s">
        <v>121</v>
      </c>
      <c r="L5279" s="2" t="s">
        <v>9293</v>
      </c>
      <c r="M5279" t="s">
        <v>67</v>
      </c>
      <c r="N5279" t="s">
        <v>68</v>
      </c>
      <c r="P5279" s="23">
        <v>106.86</v>
      </c>
      <c r="Q5279" s="4">
        <f t="shared" si="82"/>
        <v>-90</v>
      </c>
      <c r="R5279" s="23" t="s">
        <v>109</v>
      </c>
    </row>
    <row r="5280" spans="1:20" x14ac:dyDescent="0.25">
      <c r="A5280" s="21">
        <v>45835</v>
      </c>
      <c r="B5280" s="1">
        <v>514654371</v>
      </c>
      <c r="C5280" t="s">
        <v>9294</v>
      </c>
      <c r="D5280" s="22">
        <v>-9617.4</v>
      </c>
      <c r="E5280" s="75" t="s">
        <v>35</v>
      </c>
      <c r="F5280" s="2">
        <v>212901001</v>
      </c>
      <c r="G5280" s="2" t="s">
        <v>121</v>
      </c>
      <c r="L5280" s="2" t="s">
        <v>9295</v>
      </c>
      <c r="M5280" t="s">
        <v>67</v>
      </c>
      <c r="N5280" t="s">
        <v>68</v>
      </c>
      <c r="P5280" s="23">
        <v>106.86</v>
      </c>
      <c r="Q5280" s="4">
        <f t="shared" si="82"/>
        <v>-90</v>
      </c>
      <c r="R5280" s="23" t="s">
        <v>109</v>
      </c>
    </row>
    <row r="5281" spans="1:18" x14ac:dyDescent="0.25">
      <c r="A5281" s="21">
        <v>45835</v>
      </c>
      <c r="B5281" s="1">
        <v>514654372</v>
      </c>
      <c r="C5281" t="s">
        <v>9284</v>
      </c>
      <c r="D5281" s="22">
        <v>-8548.7999999999993</v>
      </c>
      <c r="E5281" s="75" t="s">
        <v>35</v>
      </c>
      <c r="F5281" s="2">
        <v>212901001</v>
      </c>
      <c r="G5281" s="2" t="s">
        <v>121</v>
      </c>
      <c r="L5281" s="2" t="s">
        <v>9296</v>
      </c>
      <c r="M5281" t="s">
        <v>67</v>
      </c>
      <c r="N5281" t="s">
        <v>68</v>
      </c>
      <c r="P5281" s="23">
        <v>106.86</v>
      </c>
      <c r="Q5281" s="4">
        <f t="shared" si="82"/>
        <v>-80</v>
      </c>
      <c r="R5281" s="23" t="s">
        <v>109</v>
      </c>
    </row>
    <row r="5282" spans="1:18" x14ac:dyDescent="0.25">
      <c r="A5282" s="21">
        <v>45835</v>
      </c>
      <c r="B5282" s="1">
        <v>514654373</v>
      </c>
      <c r="C5282" t="s">
        <v>9297</v>
      </c>
      <c r="D5282" s="22">
        <v>-8548.7999999999993</v>
      </c>
      <c r="E5282" s="75" t="s">
        <v>35</v>
      </c>
      <c r="F5282" s="2">
        <v>212901001</v>
      </c>
      <c r="G5282" s="2" t="s">
        <v>121</v>
      </c>
      <c r="L5282" s="2" t="s">
        <v>9298</v>
      </c>
      <c r="M5282" t="s">
        <v>67</v>
      </c>
      <c r="N5282" t="s">
        <v>68</v>
      </c>
      <c r="P5282" s="23">
        <v>106.86</v>
      </c>
      <c r="Q5282" s="4">
        <f t="shared" si="82"/>
        <v>-80</v>
      </c>
      <c r="R5282" s="23" t="s">
        <v>109</v>
      </c>
    </row>
    <row r="5283" spans="1:18" x14ac:dyDescent="0.25">
      <c r="A5283" s="21">
        <v>45835</v>
      </c>
      <c r="B5283" s="1">
        <v>614654375</v>
      </c>
      <c r="C5283" t="s">
        <v>9299</v>
      </c>
      <c r="D5283" s="22">
        <v>-8548.7999999999993</v>
      </c>
      <c r="E5283" s="75" t="s">
        <v>35</v>
      </c>
      <c r="F5283" s="2">
        <v>212901001</v>
      </c>
      <c r="G5283" s="2" t="s">
        <v>121</v>
      </c>
      <c r="L5283" s="2" t="s">
        <v>9300</v>
      </c>
      <c r="M5283" t="s">
        <v>67</v>
      </c>
      <c r="N5283" t="s">
        <v>68</v>
      </c>
      <c r="P5283" s="23">
        <v>106.86</v>
      </c>
      <c r="Q5283" s="4">
        <f t="shared" si="82"/>
        <v>-80</v>
      </c>
      <c r="R5283" s="23" t="s">
        <v>109</v>
      </c>
    </row>
    <row r="5284" spans="1:18" x14ac:dyDescent="0.25">
      <c r="A5284" s="21">
        <v>45835</v>
      </c>
      <c r="B5284" s="1">
        <v>614654374</v>
      </c>
      <c r="C5284" t="s">
        <v>9301</v>
      </c>
      <c r="D5284" s="22">
        <v>-8548.7999999999993</v>
      </c>
      <c r="E5284" s="75" t="s">
        <v>35</v>
      </c>
      <c r="F5284" s="2">
        <v>212901001</v>
      </c>
      <c r="G5284" s="2" t="s">
        <v>121</v>
      </c>
      <c r="L5284" s="2" t="s">
        <v>9302</v>
      </c>
      <c r="M5284" t="s">
        <v>67</v>
      </c>
      <c r="N5284" t="s">
        <v>68</v>
      </c>
      <c r="P5284" s="23">
        <v>106.86</v>
      </c>
      <c r="Q5284" s="4">
        <f t="shared" si="82"/>
        <v>-80</v>
      </c>
      <c r="R5284" s="23" t="s">
        <v>109</v>
      </c>
    </row>
    <row r="5285" spans="1:18" x14ac:dyDescent="0.25">
      <c r="A5285" s="21">
        <v>45835</v>
      </c>
      <c r="B5285" s="1">
        <v>614654376</v>
      </c>
      <c r="C5285" t="s">
        <v>9303</v>
      </c>
      <c r="D5285" s="22">
        <v>-8548.7999999999993</v>
      </c>
      <c r="E5285" s="75" t="s">
        <v>35</v>
      </c>
      <c r="F5285" s="2">
        <v>212901001</v>
      </c>
      <c r="G5285" s="2" t="s">
        <v>121</v>
      </c>
      <c r="L5285" s="2" t="s">
        <v>9304</v>
      </c>
      <c r="M5285" t="s">
        <v>67</v>
      </c>
      <c r="N5285" t="s">
        <v>68</v>
      </c>
      <c r="P5285" s="23">
        <v>106.86</v>
      </c>
      <c r="Q5285" s="4">
        <f t="shared" si="82"/>
        <v>-80</v>
      </c>
      <c r="R5285" s="23" t="s">
        <v>109</v>
      </c>
    </row>
    <row r="5286" spans="1:18" x14ac:dyDescent="0.25">
      <c r="A5286" s="21">
        <v>45835</v>
      </c>
      <c r="B5286" s="1">
        <v>614654379</v>
      </c>
      <c r="C5286" t="s">
        <v>9305</v>
      </c>
      <c r="D5286" s="22">
        <v>-10686</v>
      </c>
      <c r="E5286" s="75" t="s">
        <v>35</v>
      </c>
      <c r="F5286" s="2">
        <v>212901001</v>
      </c>
      <c r="G5286" s="2" t="s">
        <v>121</v>
      </c>
      <c r="L5286" s="2" t="s">
        <v>9306</v>
      </c>
      <c r="M5286" t="s">
        <v>67</v>
      </c>
      <c r="N5286" t="s">
        <v>68</v>
      </c>
      <c r="P5286" s="23">
        <v>106.86</v>
      </c>
      <c r="Q5286" s="4">
        <f t="shared" si="82"/>
        <v>-100</v>
      </c>
      <c r="R5286" s="23" t="s">
        <v>109</v>
      </c>
    </row>
    <row r="5287" spans="1:18" x14ac:dyDescent="0.25">
      <c r="A5287" s="21">
        <v>45835</v>
      </c>
      <c r="B5287" s="1">
        <v>614654377</v>
      </c>
      <c r="C5287" t="s">
        <v>9307</v>
      </c>
      <c r="D5287" s="22">
        <v>-8548.7999999999993</v>
      </c>
      <c r="E5287" s="75" t="s">
        <v>35</v>
      </c>
      <c r="F5287" s="2">
        <v>212901001</v>
      </c>
      <c r="G5287" s="2" t="s">
        <v>121</v>
      </c>
      <c r="L5287" s="2" t="s">
        <v>9308</v>
      </c>
      <c r="M5287" t="s">
        <v>67</v>
      </c>
      <c r="N5287" t="s">
        <v>68</v>
      </c>
      <c r="P5287" s="23">
        <v>106.86</v>
      </c>
      <c r="Q5287" s="4">
        <f t="shared" si="82"/>
        <v>-80</v>
      </c>
      <c r="R5287" s="23" t="s">
        <v>109</v>
      </c>
    </row>
    <row r="5288" spans="1:18" x14ac:dyDescent="0.25">
      <c r="A5288" s="21">
        <v>45835</v>
      </c>
      <c r="B5288" s="1">
        <v>614654378</v>
      </c>
      <c r="C5288" t="s">
        <v>9309</v>
      </c>
      <c r="D5288" s="22">
        <v>-8548.7999999999993</v>
      </c>
      <c r="E5288" s="75" t="s">
        <v>35</v>
      </c>
      <c r="F5288" s="2">
        <v>212901001</v>
      </c>
      <c r="G5288" s="2" t="s">
        <v>121</v>
      </c>
      <c r="L5288" s="2" t="s">
        <v>9310</v>
      </c>
      <c r="M5288" t="s">
        <v>67</v>
      </c>
      <c r="N5288" t="s">
        <v>68</v>
      </c>
      <c r="P5288" s="23">
        <v>106.86</v>
      </c>
      <c r="Q5288" s="4">
        <f t="shared" si="82"/>
        <v>-80</v>
      </c>
      <c r="R5288" s="23" t="s">
        <v>109</v>
      </c>
    </row>
    <row r="5289" spans="1:18" x14ac:dyDescent="0.25">
      <c r="A5289" s="21">
        <v>45835</v>
      </c>
      <c r="B5289" s="1">
        <v>614654380</v>
      </c>
      <c r="C5289" t="s">
        <v>9311</v>
      </c>
      <c r="D5289" s="22">
        <v>-14960.4</v>
      </c>
      <c r="E5289" s="75" t="s">
        <v>35</v>
      </c>
      <c r="F5289" s="2">
        <v>212901001</v>
      </c>
      <c r="G5289" s="2" t="s">
        <v>121</v>
      </c>
      <c r="L5289" s="2" t="s">
        <v>9312</v>
      </c>
      <c r="M5289" t="s">
        <v>67</v>
      </c>
      <c r="N5289" t="s">
        <v>68</v>
      </c>
      <c r="P5289" s="23">
        <v>106.86</v>
      </c>
      <c r="Q5289" s="4">
        <f t="shared" si="82"/>
        <v>-140</v>
      </c>
      <c r="R5289" s="23" t="s">
        <v>109</v>
      </c>
    </row>
    <row r="5290" spans="1:18" x14ac:dyDescent="0.25">
      <c r="A5290" s="21">
        <v>45835</v>
      </c>
      <c r="B5290" s="1">
        <v>614654381</v>
      </c>
      <c r="C5290" t="s">
        <v>9313</v>
      </c>
      <c r="D5290" s="22">
        <v>-20303.400000000001</v>
      </c>
      <c r="E5290" s="75" t="s">
        <v>35</v>
      </c>
      <c r="F5290" s="2">
        <v>212901001</v>
      </c>
      <c r="G5290" s="2" t="s">
        <v>121</v>
      </c>
      <c r="L5290" s="2" t="s">
        <v>9314</v>
      </c>
      <c r="M5290" t="s">
        <v>67</v>
      </c>
      <c r="N5290" t="s">
        <v>68</v>
      </c>
      <c r="P5290" s="23">
        <v>106.86</v>
      </c>
      <c r="Q5290" s="4">
        <f t="shared" si="82"/>
        <v>-190.00000000000003</v>
      </c>
      <c r="R5290" s="23" t="s">
        <v>109</v>
      </c>
    </row>
    <row r="5291" spans="1:18" x14ac:dyDescent="0.25">
      <c r="A5291" s="21">
        <v>45835</v>
      </c>
      <c r="B5291" s="1">
        <v>614654382</v>
      </c>
      <c r="C5291" t="s">
        <v>9315</v>
      </c>
      <c r="D5291" s="22">
        <v>-16029</v>
      </c>
      <c r="E5291" s="75" t="s">
        <v>35</v>
      </c>
      <c r="F5291" s="2">
        <v>212901001</v>
      </c>
      <c r="G5291" s="2" t="s">
        <v>121</v>
      </c>
      <c r="L5291" s="2" t="s">
        <v>9316</v>
      </c>
      <c r="M5291" t="s">
        <v>67</v>
      </c>
      <c r="N5291" t="s">
        <v>68</v>
      </c>
      <c r="P5291" s="23">
        <v>106.86</v>
      </c>
      <c r="Q5291" s="4">
        <f t="shared" si="82"/>
        <v>-150</v>
      </c>
      <c r="R5291" s="23" t="s">
        <v>109</v>
      </c>
    </row>
    <row r="5292" spans="1:18" x14ac:dyDescent="0.25">
      <c r="A5292" s="21">
        <v>45835</v>
      </c>
      <c r="B5292" s="1">
        <v>714654383</v>
      </c>
      <c r="C5292" t="s">
        <v>9317</v>
      </c>
      <c r="D5292" s="22">
        <v>-12823.2</v>
      </c>
      <c r="E5292" s="75" t="s">
        <v>35</v>
      </c>
      <c r="F5292" s="2">
        <v>212901001</v>
      </c>
      <c r="G5292" s="2" t="s">
        <v>121</v>
      </c>
      <c r="L5292" s="2" t="s">
        <v>9318</v>
      </c>
      <c r="M5292" t="s">
        <v>67</v>
      </c>
      <c r="N5292" t="s">
        <v>68</v>
      </c>
      <c r="P5292" s="23">
        <v>106.86</v>
      </c>
      <c r="Q5292" s="4">
        <f t="shared" si="82"/>
        <v>-120.00000000000001</v>
      </c>
      <c r="R5292" s="23" t="s">
        <v>109</v>
      </c>
    </row>
    <row r="5293" spans="1:18" x14ac:dyDescent="0.25">
      <c r="A5293" s="21">
        <v>45835</v>
      </c>
      <c r="B5293" s="1">
        <v>714654385</v>
      </c>
      <c r="C5293" t="s">
        <v>9319</v>
      </c>
      <c r="D5293" s="22">
        <v>-12823.2</v>
      </c>
      <c r="E5293" s="75" t="s">
        <v>35</v>
      </c>
      <c r="F5293" s="2">
        <v>212901001</v>
      </c>
      <c r="G5293" s="2" t="s">
        <v>121</v>
      </c>
      <c r="L5293" s="2" t="s">
        <v>9320</v>
      </c>
      <c r="M5293" t="s">
        <v>67</v>
      </c>
      <c r="N5293" t="s">
        <v>68</v>
      </c>
      <c r="P5293" s="23">
        <v>106.86</v>
      </c>
      <c r="Q5293" s="4">
        <f t="shared" si="82"/>
        <v>-120.00000000000001</v>
      </c>
      <c r="R5293" s="23" t="s">
        <v>109</v>
      </c>
    </row>
    <row r="5294" spans="1:18" x14ac:dyDescent="0.25">
      <c r="A5294" s="21">
        <v>45835</v>
      </c>
      <c r="B5294" s="1">
        <v>714654384</v>
      </c>
      <c r="C5294" t="s">
        <v>9321</v>
      </c>
      <c r="D5294" s="22">
        <v>-14960.4</v>
      </c>
      <c r="E5294" s="75" t="s">
        <v>35</v>
      </c>
      <c r="F5294" s="2">
        <v>212901001</v>
      </c>
      <c r="G5294" s="2" t="s">
        <v>121</v>
      </c>
      <c r="L5294" s="2" t="s">
        <v>9322</v>
      </c>
      <c r="M5294" t="s">
        <v>67</v>
      </c>
      <c r="N5294" t="s">
        <v>68</v>
      </c>
      <c r="P5294" s="23">
        <v>106.86</v>
      </c>
      <c r="Q5294" s="4">
        <f t="shared" si="82"/>
        <v>-140</v>
      </c>
      <c r="R5294" s="23" t="s">
        <v>109</v>
      </c>
    </row>
    <row r="5295" spans="1:18" x14ac:dyDescent="0.25">
      <c r="A5295" s="21">
        <v>45835</v>
      </c>
      <c r="B5295" s="1">
        <v>714654387</v>
      </c>
      <c r="C5295" t="s">
        <v>9323</v>
      </c>
      <c r="D5295" s="22">
        <v>-10686</v>
      </c>
      <c r="E5295" s="75" t="s">
        <v>35</v>
      </c>
      <c r="F5295" s="2">
        <v>212901001</v>
      </c>
      <c r="G5295" s="2" t="s">
        <v>121</v>
      </c>
      <c r="L5295" s="2" t="s">
        <v>9324</v>
      </c>
      <c r="M5295" t="s">
        <v>67</v>
      </c>
      <c r="N5295" t="s">
        <v>68</v>
      </c>
      <c r="P5295" s="23">
        <v>106.86</v>
      </c>
      <c r="Q5295" s="4">
        <f t="shared" si="82"/>
        <v>-100</v>
      </c>
      <c r="R5295" s="23" t="s">
        <v>109</v>
      </c>
    </row>
    <row r="5296" spans="1:18" x14ac:dyDescent="0.25">
      <c r="A5296" s="21">
        <v>45835</v>
      </c>
      <c r="B5296" s="1">
        <v>714654390</v>
      </c>
      <c r="C5296" t="s">
        <v>9325</v>
      </c>
      <c r="D5296" s="22">
        <v>-10686</v>
      </c>
      <c r="E5296" s="75" t="s">
        <v>35</v>
      </c>
      <c r="F5296" s="2">
        <v>212901001</v>
      </c>
      <c r="G5296" s="2" t="s">
        <v>121</v>
      </c>
      <c r="L5296" s="2" t="s">
        <v>9326</v>
      </c>
      <c r="M5296" t="s">
        <v>67</v>
      </c>
      <c r="N5296" t="s">
        <v>68</v>
      </c>
      <c r="P5296" s="23">
        <v>106.86</v>
      </c>
      <c r="Q5296" s="4">
        <f t="shared" si="82"/>
        <v>-100</v>
      </c>
      <c r="R5296" s="23" t="s">
        <v>109</v>
      </c>
    </row>
    <row r="5297" spans="1:18" x14ac:dyDescent="0.25">
      <c r="A5297" s="21">
        <v>45835</v>
      </c>
      <c r="B5297" s="1">
        <v>714654386</v>
      </c>
      <c r="C5297" t="s">
        <v>9327</v>
      </c>
      <c r="D5297" s="22">
        <v>-10686</v>
      </c>
      <c r="E5297" s="75" t="s">
        <v>35</v>
      </c>
      <c r="F5297" s="2">
        <v>212901001</v>
      </c>
      <c r="G5297" s="2" t="s">
        <v>121</v>
      </c>
      <c r="L5297" s="2" t="s">
        <v>9328</v>
      </c>
      <c r="M5297" t="s">
        <v>67</v>
      </c>
      <c r="N5297" t="s">
        <v>68</v>
      </c>
      <c r="P5297" s="23">
        <v>106.86</v>
      </c>
      <c r="Q5297" s="4">
        <f t="shared" si="82"/>
        <v>-100</v>
      </c>
      <c r="R5297" s="23" t="s">
        <v>109</v>
      </c>
    </row>
    <row r="5298" spans="1:18" x14ac:dyDescent="0.25">
      <c r="A5298" s="21">
        <v>45835</v>
      </c>
      <c r="B5298" s="1">
        <v>714654388</v>
      </c>
      <c r="C5298" t="s">
        <v>9329</v>
      </c>
      <c r="D5298" s="22">
        <v>-10686</v>
      </c>
      <c r="E5298" s="75" t="s">
        <v>35</v>
      </c>
      <c r="F5298" s="2">
        <v>212901001</v>
      </c>
      <c r="G5298" s="2" t="s">
        <v>121</v>
      </c>
      <c r="L5298" s="2" t="s">
        <v>9330</v>
      </c>
      <c r="M5298" t="s">
        <v>67</v>
      </c>
      <c r="N5298" t="s">
        <v>68</v>
      </c>
      <c r="P5298" s="23">
        <v>106.86</v>
      </c>
      <c r="Q5298" s="4">
        <f t="shared" si="82"/>
        <v>-100</v>
      </c>
      <c r="R5298" s="23" t="s">
        <v>109</v>
      </c>
    </row>
    <row r="5299" spans="1:18" x14ac:dyDescent="0.25">
      <c r="A5299" s="21">
        <v>45835</v>
      </c>
      <c r="B5299" s="1">
        <v>714654389</v>
      </c>
      <c r="C5299" t="s">
        <v>9331</v>
      </c>
      <c r="D5299" s="22">
        <v>-10686</v>
      </c>
      <c r="E5299" s="75" t="s">
        <v>35</v>
      </c>
      <c r="F5299" s="2">
        <v>212901001</v>
      </c>
      <c r="G5299" s="2" t="s">
        <v>121</v>
      </c>
      <c r="L5299" s="2" t="s">
        <v>9332</v>
      </c>
      <c r="M5299" t="s">
        <v>67</v>
      </c>
      <c r="N5299" t="s">
        <v>68</v>
      </c>
      <c r="P5299" s="23">
        <v>106.86</v>
      </c>
      <c r="Q5299" s="4">
        <f t="shared" si="82"/>
        <v>-100</v>
      </c>
      <c r="R5299" s="23" t="s">
        <v>109</v>
      </c>
    </row>
    <row r="5300" spans="1:18" x14ac:dyDescent="0.25">
      <c r="A5300" s="21">
        <v>45835</v>
      </c>
      <c r="B5300" s="1">
        <v>714654391</v>
      </c>
      <c r="C5300" t="s">
        <v>9333</v>
      </c>
      <c r="D5300" s="22">
        <v>-10686</v>
      </c>
      <c r="E5300" s="75" t="s">
        <v>35</v>
      </c>
      <c r="F5300" s="2">
        <v>212901001</v>
      </c>
      <c r="G5300" s="2" t="s">
        <v>121</v>
      </c>
      <c r="L5300" s="2" t="s">
        <v>9334</v>
      </c>
      <c r="M5300" t="s">
        <v>67</v>
      </c>
      <c r="N5300" t="s">
        <v>68</v>
      </c>
      <c r="P5300" s="23">
        <v>106.86</v>
      </c>
      <c r="Q5300" s="4">
        <f t="shared" si="82"/>
        <v>-100</v>
      </c>
      <c r="R5300" s="23" t="s">
        <v>109</v>
      </c>
    </row>
    <row r="5301" spans="1:18" x14ac:dyDescent="0.25">
      <c r="A5301" s="21">
        <v>45835</v>
      </c>
      <c r="B5301" s="1">
        <v>814654392</v>
      </c>
      <c r="C5301" t="s">
        <v>9335</v>
      </c>
      <c r="D5301" s="22">
        <v>-10686</v>
      </c>
      <c r="E5301" s="75" t="s">
        <v>35</v>
      </c>
      <c r="F5301" s="2">
        <v>212901001</v>
      </c>
      <c r="G5301" s="2" t="s">
        <v>121</v>
      </c>
      <c r="L5301" s="2" t="s">
        <v>9336</v>
      </c>
      <c r="M5301" t="s">
        <v>67</v>
      </c>
      <c r="N5301" t="s">
        <v>68</v>
      </c>
      <c r="P5301" s="23">
        <v>106.86</v>
      </c>
      <c r="Q5301" s="4">
        <f t="shared" si="82"/>
        <v>-100</v>
      </c>
      <c r="R5301" s="23" t="s">
        <v>109</v>
      </c>
    </row>
    <row r="5302" spans="1:18" x14ac:dyDescent="0.25">
      <c r="A5302" s="21">
        <v>45835</v>
      </c>
      <c r="B5302" s="1">
        <v>814654393</v>
      </c>
      <c r="C5302" t="s">
        <v>9337</v>
      </c>
      <c r="D5302" s="22">
        <v>-10686</v>
      </c>
      <c r="E5302" s="75" t="s">
        <v>35</v>
      </c>
      <c r="F5302" s="2">
        <v>212901001</v>
      </c>
      <c r="G5302" s="2" t="s">
        <v>121</v>
      </c>
      <c r="L5302" s="2" t="s">
        <v>9338</v>
      </c>
      <c r="M5302" t="s">
        <v>67</v>
      </c>
      <c r="N5302" t="s">
        <v>68</v>
      </c>
      <c r="P5302" s="23">
        <v>106.86</v>
      </c>
      <c r="Q5302" s="4">
        <f t="shared" si="82"/>
        <v>-100</v>
      </c>
      <c r="R5302" s="23" t="s">
        <v>109</v>
      </c>
    </row>
    <row r="5303" spans="1:18" x14ac:dyDescent="0.25">
      <c r="A5303" s="21">
        <v>45835</v>
      </c>
      <c r="B5303" s="1">
        <v>814654394</v>
      </c>
      <c r="C5303" t="s">
        <v>9339</v>
      </c>
      <c r="D5303" s="22">
        <v>-10686</v>
      </c>
      <c r="E5303" s="75" t="s">
        <v>35</v>
      </c>
      <c r="F5303" s="2">
        <v>212901001</v>
      </c>
      <c r="G5303" s="2" t="s">
        <v>121</v>
      </c>
      <c r="L5303" s="2" t="s">
        <v>9340</v>
      </c>
      <c r="M5303" t="s">
        <v>67</v>
      </c>
      <c r="N5303" t="s">
        <v>68</v>
      </c>
      <c r="P5303" s="23">
        <v>106.86</v>
      </c>
      <c r="Q5303" s="4">
        <f t="shared" si="82"/>
        <v>-100</v>
      </c>
      <c r="R5303" s="23" t="s">
        <v>109</v>
      </c>
    </row>
    <row r="5304" spans="1:18" x14ac:dyDescent="0.25">
      <c r="A5304" s="21">
        <v>45835</v>
      </c>
      <c r="B5304" s="1">
        <v>814654395</v>
      </c>
      <c r="C5304" t="s">
        <v>9341</v>
      </c>
      <c r="D5304" s="22">
        <v>-10686</v>
      </c>
      <c r="E5304" s="75" t="s">
        <v>35</v>
      </c>
      <c r="F5304" s="2">
        <v>212901001</v>
      </c>
      <c r="G5304" s="2" t="s">
        <v>121</v>
      </c>
      <c r="L5304" s="2" t="s">
        <v>9342</v>
      </c>
      <c r="M5304" t="s">
        <v>67</v>
      </c>
      <c r="N5304" t="s">
        <v>68</v>
      </c>
      <c r="P5304" s="23">
        <v>106.86</v>
      </c>
      <c r="Q5304" s="4">
        <f t="shared" si="82"/>
        <v>-100</v>
      </c>
      <c r="R5304" s="23" t="s">
        <v>109</v>
      </c>
    </row>
    <row r="5305" spans="1:18" x14ac:dyDescent="0.25">
      <c r="A5305" s="21">
        <v>45835</v>
      </c>
      <c r="B5305" s="1">
        <v>814654398</v>
      </c>
      <c r="C5305" t="s">
        <v>9343</v>
      </c>
      <c r="D5305" s="22">
        <v>-10686</v>
      </c>
      <c r="E5305" s="75" t="s">
        <v>35</v>
      </c>
      <c r="F5305" s="2">
        <v>212901001</v>
      </c>
      <c r="G5305" s="2" t="s">
        <v>121</v>
      </c>
      <c r="L5305" s="2" t="s">
        <v>9344</v>
      </c>
      <c r="M5305" t="s">
        <v>67</v>
      </c>
      <c r="N5305" t="s">
        <v>68</v>
      </c>
      <c r="P5305" s="23">
        <v>106.86</v>
      </c>
      <c r="Q5305" s="4">
        <f t="shared" si="82"/>
        <v>-100</v>
      </c>
      <c r="R5305" s="23" t="s">
        <v>109</v>
      </c>
    </row>
    <row r="5306" spans="1:18" x14ac:dyDescent="0.25">
      <c r="A5306" s="21">
        <v>45835</v>
      </c>
      <c r="B5306" s="1">
        <v>814654396</v>
      </c>
      <c r="C5306" t="s">
        <v>9345</v>
      </c>
      <c r="D5306" s="22">
        <v>-10686</v>
      </c>
      <c r="E5306" s="75" t="s">
        <v>35</v>
      </c>
      <c r="F5306" s="2">
        <v>212901001</v>
      </c>
      <c r="G5306" s="2" t="s">
        <v>121</v>
      </c>
      <c r="L5306" s="2" t="s">
        <v>9346</v>
      </c>
      <c r="M5306" t="s">
        <v>67</v>
      </c>
      <c r="N5306" t="s">
        <v>68</v>
      </c>
      <c r="P5306" s="23">
        <v>106.86</v>
      </c>
      <c r="Q5306" s="4">
        <f t="shared" si="82"/>
        <v>-100</v>
      </c>
      <c r="R5306" s="23" t="s">
        <v>109</v>
      </c>
    </row>
    <row r="5307" spans="1:18" x14ac:dyDescent="0.25">
      <c r="A5307" s="21">
        <v>45835</v>
      </c>
      <c r="B5307" s="1">
        <v>814654397</v>
      </c>
      <c r="C5307" t="s">
        <v>9347</v>
      </c>
      <c r="D5307" s="22">
        <v>-10686</v>
      </c>
      <c r="E5307" s="75" t="s">
        <v>35</v>
      </c>
      <c r="F5307" s="2">
        <v>212901001</v>
      </c>
      <c r="G5307" s="2" t="s">
        <v>121</v>
      </c>
      <c r="L5307" s="2" t="s">
        <v>9348</v>
      </c>
      <c r="M5307" t="s">
        <v>67</v>
      </c>
      <c r="N5307" t="s">
        <v>68</v>
      </c>
      <c r="P5307" s="23">
        <v>106.86</v>
      </c>
      <c r="Q5307" s="4">
        <f t="shared" si="82"/>
        <v>-100</v>
      </c>
      <c r="R5307" s="23" t="s">
        <v>109</v>
      </c>
    </row>
    <row r="5308" spans="1:18" x14ac:dyDescent="0.25">
      <c r="A5308" s="21">
        <v>45835</v>
      </c>
      <c r="B5308" s="1">
        <v>914654400</v>
      </c>
      <c r="C5308" t="s">
        <v>9349</v>
      </c>
      <c r="D5308" s="22">
        <v>-10686</v>
      </c>
      <c r="E5308" s="75" t="s">
        <v>35</v>
      </c>
      <c r="F5308" s="2">
        <v>212901001</v>
      </c>
      <c r="G5308" s="2" t="s">
        <v>121</v>
      </c>
      <c r="L5308" s="2" t="s">
        <v>9350</v>
      </c>
      <c r="M5308" t="s">
        <v>67</v>
      </c>
      <c r="N5308" t="s">
        <v>68</v>
      </c>
      <c r="P5308" s="23">
        <v>106.86</v>
      </c>
      <c r="Q5308" s="4">
        <f t="shared" si="82"/>
        <v>-100</v>
      </c>
      <c r="R5308" s="23" t="s">
        <v>109</v>
      </c>
    </row>
    <row r="5309" spans="1:18" x14ac:dyDescent="0.25">
      <c r="A5309" s="21">
        <v>45835</v>
      </c>
      <c r="B5309" s="1">
        <v>814654399</v>
      </c>
      <c r="C5309" t="s">
        <v>9351</v>
      </c>
      <c r="D5309" s="22">
        <v>-10686</v>
      </c>
      <c r="E5309" s="75" t="s">
        <v>35</v>
      </c>
      <c r="F5309" s="2">
        <v>212901001</v>
      </c>
      <c r="G5309" s="2" t="s">
        <v>121</v>
      </c>
      <c r="L5309" s="2" t="s">
        <v>9352</v>
      </c>
      <c r="M5309" t="s">
        <v>67</v>
      </c>
      <c r="N5309" t="s">
        <v>68</v>
      </c>
      <c r="P5309" s="23">
        <v>106.86</v>
      </c>
      <c r="Q5309" s="4">
        <f t="shared" si="82"/>
        <v>-100</v>
      </c>
      <c r="R5309" s="23" t="s">
        <v>109</v>
      </c>
    </row>
    <row r="5310" spans="1:18" x14ac:dyDescent="0.25">
      <c r="A5310" s="21">
        <v>45835</v>
      </c>
      <c r="B5310" s="1">
        <v>914654404</v>
      </c>
      <c r="C5310" t="s">
        <v>9353</v>
      </c>
      <c r="D5310" s="22">
        <v>-12823.2</v>
      </c>
      <c r="E5310" s="75" t="s">
        <v>35</v>
      </c>
      <c r="F5310" s="2">
        <v>212901001</v>
      </c>
      <c r="G5310" s="2" t="s">
        <v>121</v>
      </c>
      <c r="L5310" s="2" t="s">
        <v>9354</v>
      </c>
      <c r="M5310" t="s">
        <v>67</v>
      </c>
      <c r="N5310" t="s">
        <v>68</v>
      </c>
      <c r="P5310" s="23">
        <v>106.86</v>
      </c>
      <c r="Q5310" s="4">
        <f t="shared" si="82"/>
        <v>-120.00000000000001</v>
      </c>
      <c r="R5310" s="23" t="s">
        <v>109</v>
      </c>
    </row>
    <row r="5311" spans="1:18" x14ac:dyDescent="0.25">
      <c r="A5311" s="21">
        <v>45835</v>
      </c>
      <c r="B5311" s="1">
        <v>914654402</v>
      </c>
      <c r="C5311" t="s">
        <v>9355</v>
      </c>
      <c r="D5311" s="22">
        <v>-14960.4</v>
      </c>
      <c r="E5311" s="75" t="s">
        <v>35</v>
      </c>
      <c r="F5311" s="2">
        <v>212901001</v>
      </c>
      <c r="G5311" s="2" t="s">
        <v>121</v>
      </c>
      <c r="L5311" s="2" t="s">
        <v>9356</v>
      </c>
      <c r="M5311" t="s">
        <v>67</v>
      </c>
      <c r="N5311" t="s">
        <v>68</v>
      </c>
      <c r="P5311" s="23">
        <v>106.86</v>
      </c>
      <c r="Q5311" s="4">
        <f t="shared" si="82"/>
        <v>-140</v>
      </c>
      <c r="R5311" s="23" t="s">
        <v>109</v>
      </c>
    </row>
    <row r="5312" spans="1:18" x14ac:dyDescent="0.25">
      <c r="A5312" s="21">
        <v>45835</v>
      </c>
      <c r="B5312" s="1">
        <v>914654401</v>
      </c>
      <c r="C5312" t="s">
        <v>9357</v>
      </c>
      <c r="D5312" s="22">
        <v>-20303.400000000001</v>
      </c>
      <c r="E5312" s="75" t="s">
        <v>35</v>
      </c>
      <c r="F5312" s="2">
        <v>212901001</v>
      </c>
      <c r="G5312" s="2" t="s">
        <v>121</v>
      </c>
      <c r="L5312" s="2" t="s">
        <v>9358</v>
      </c>
      <c r="M5312" t="s">
        <v>67</v>
      </c>
      <c r="N5312" t="s">
        <v>68</v>
      </c>
      <c r="P5312" s="23">
        <v>106.86</v>
      </c>
      <c r="Q5312" s="4">
        <f t="shared" si="82"/>
        <v>-190.00000000000003</v>
      </c>
      <c r="R5312" s="23" t="s">
        <v>109</v>
      </c>
    </row>
    <row r="5313" spans="1:18" x14ac:dyDescent="0.25">
      <c r="A5313" s="21">
        <v>45835</v>
      </c>
      <c r="B5313" s="1">
        <v>914654405</v>
      </c>
      <c r="C5313" t="s">
        <v>9359</v>
      </c>
      <c r="D5313" s="22">
        <v>-12823.2</v>
      </c>
      <c r="E5313" s="75" t="s">
        <v>35</v>
      </c>
      <c r="F5313" s="2">
        <v>212901001</v>
      </c>
      <c r="G5313" s="2" t="s">
        <v>121</v>
      </c>
      <c r="L5313" s="2" t="s">
        <v>9360</v>
      </c>
      <c r="M5313" t="s">
        <v>67</v>
      </c>
      <c r="N5313" t="s">
        <v>68</v>
      </c>
      <c r="P5313" s="23">
        <v>106.86</v>
      </c>
      <c r="Q5313" s="4">
        <f t="shared" si="82"/>
        <v>-120.00000000000001</v>
      </c>
      <c r="R5313" s="23" t="s">
        <v>109</v>
      </c>
    </row>
    <row r="5314" spans="1:18" x14ac:dyDescent="0.25">
      <c r="A5314" s="21">
        <v>45835</v>
      </c>
      <c r="B5314" s="1">
        <v>914654408</v>
      </c>
      <c r="C5314" t="s">
        <v>9361</v>
      </c>
      <c r="D5314" s="22">
        <v>-12823.2</v>
      </c>
      <c r="E5314" s="75" t="s">
        <v>35</v>
      </c>
      <c r="F5314" s="2">
        <v>212901001</v>
      </c>
      <c r="G5314" s="2" t="s">
        <v>121</v>
      </c>
      <c r="L5314" s="2" t="s">
        <v>9362</v>
      </c>
      <c r="M5314" t="s">
        <v>67</v>
      </c>
      <c r="N5314" t="s">
        <v>68</v>
      </c>
      <c r="P5314" s="23">
        <v>106.86</v>
      </c>
      <c r="Q5314" s="4">
        <f t="shared" si="82"/>
        <v>-120.00000000000001</v>
      </c>
      <c r="R5314" s="23" t="s">
        <v>109</v>
      </c>
    </row>
    <row r="5315" spans="1:18" x14ac:dyDescent="0.25">
      <c r="A5315" s="21">
        <v>45835</v>
      </c>
      <c r="B5315" s="1">
        <v>914654407</v>
      </c>
      <c r="C5315" t="s">
        <v>9363</v>
      </c>
      <c r="D5315" s="22">
        <v>-12823.2</v>
      </c>
      <c r="E5315" s="75" t="s">
        <v>35</v>
      </c>
      <c r="F5315" s="2">
        <v>212901001</v>
      </c>
      <c r="G5315" s="2" t="s">
        <v>121</v>
      </c>
      <c r="L5315" s="2" t="s">
        <v>9364</v>
      </c>
      <c r="M5315" t="s">
        <v>67</v>
      </c>
      <c r="N5315" t="s">
        <v>68</v>
      </c>
      <c r="P5315" s="23">
        <v>106.86</v>
      </c>
      <c r="Q5315" s="4">
        <f t="shared" si="82"/>
        <v>-120.00000000000001</v>
      </c>
      <c r="R5315" s="23" t="s">
        <v>109</v>
      </c>
    </row>
    <row r="5316" spans="1:18" x14ac:dyDescent="0.25">
      <c r="A5316" s="21">
        <v>45835</v>
      </c>
      <c r="B5316" s="1">
        <v>14654411</v>
      </c>
      <c r="C5316" t="s">
        <v>9365</v>
      </c>
      <c r="D5316" s="22">
        <v>-11754.6</v>
      </c>
      <c r="E5316" s="75" t="s">
        <v>35</v>
      </c>
      <c r="F5316" s="2">
        <v>212901001</v>
      </c>
      <c r="G5316" s="2" t="s">
        <v>121</v>
      </c>
      <c r="L5316" s="2" t="s">
        <v>9366</v>
      </c>
      <c r="M5316" t="s">
        <v>67</v>
      </c>
      <c r="N5316" t="s">
        <v>68</v>
      </c>
      <c r="P5316" s="23">
        <v>106.86</v>
      </c>
      <c r="Q5316" s="4">
        <f t="shared" si="82"/>
        <v>-110</v>
      </c>
      <c r="R5316" s="23" t="s">
        <v>109</v>
      </c>
    </row>
    <row r="5317" spans="1:18" x14ac:dyDescent="0.25">
      <c r="A5317" s="21">
        <v>45835</v>
      </c>
      <c r="B5317" s="1">
        <v>914654409</v>
      </c>
      <c r="C5317" t="s">
        <v>9367</v>
      </c>
      <c r="D5317" s="22">
        <v>-12823.2</v>
      </c>
      <c r="E5317" s="75" t="s">
        <v>35</v>
      </c>
      <c r="F5317" s="2">
        <v>212901001</v>
      </c>
      <c r="G5317" s="2" t="s">
        <v>121</v>
      </c>
      <c r="L5317" s="2" t="s">
        <v>9368</v>
      </c>
      <c r="M5317" t="s">
        <v>67</v>
      </c>
      <c r="N5317" t="s">
        <v>68</v>
      </c>
      <c r="P5317" s="23">
        <v>106.86</v>
      </c>
      <c r="Q5317" s="4">
        <f t="shared" si="82"/>
        <v>-120.00000000000001</v>
      </c>
      <c r="R5317" s="23" t="s">
        <v>109</v>
      </c>
    </row>
    <row r="5318" spans="1:18" x14ac:dyDescent="0.25">
      <c r="A5318" s="21">
        <v>45835</v>
      </c>
      <c r="B5318" s="1">
        <v>914654406</v>
      </c>
      <c r="C5318" t="s">
        <v>9369</v>
      </c>
      <c r="D5318" s="22">
        <v>-12823.2</v>
      </c>
      <c r="E5318" s="75" t="s">
        <v>35</v>
      </c>
      <c r="F5318" s="2">
        <v>212901001</v>
      </c>
      <c r="G5318" s="2" t="s">
        <v>121</v>
      </c>
      <c r="L5318" s="2" t="s">
        <v>9370</v>
      </c>
      <c r="M5318" t="s">
        <v>67</v>
      </c>
      <c r="N5318" t="s">
        <v>68</v>
      </c>
      <c r="P5318" s="23">
        <v>106.86</v>
      </c>
      <c r="Q5318" s="4">
        <f t="shared" si="82"/>
        <v>-120.00000000000001</v>
      </c>
      <c r="R5318" s="23" t="s">
        <v>109</v>
      </c>
    </row>
    <row r="5319" spans="1:18" x14ac:dyDescent="0.25">
      <c r="A5319" s="21">
        <v>45835</v>
      </c>
      <c r="B5319" s="1">
        <v>14654410</v>
      </c>
      <c r="C5319" t="s">
        <v>9371</v>
      </c>
      <c r="D5319" s="22">
        <v>-11754.6</v>
      </c>
      <c r="E5319" s="75" t="s">
        <v>35</v>
      </c>
      <c r="F5319" s="2">
        <v>212901001</v>
      </c>
      <c r="G5319" s="2" t="s">
        <v>121</v>
      </c>
      <c r="L5319" s="2" t="s">
        <v>9372</v>
      </c>
      <c r="M5319" t="s">
        <v>67</v>
      </c>
      <c r="N5319" t="s">
        <v>68</v>
      </c>
      <c r="P5319" s="23">
        <v>106.86</v>
      </c>
      <c r="Q5319" s="4">
        <f t="shared" si="82"/>
        <v>-110</v>
      </c>
      <c r="R5319" s="23" t="s">
        <v>109</v>
      </c>
    </row>
    <row r="5320" spans="1:18" x14ac:dyDescent="0.25">
      <c r="A5320" s="21">
        <v>45835</v>
      </c>
      <c r="B5320" s="1">
        <v>14654412</v>
      </c>
      <c r="C5320" t="s">
        <v>9373</v>
      </c>
      <c r="D5320" s="22">
        <v>-10686</v>
      </c>
      <c r="E5320" s="75" t="s">
        <v>35</v>
      </c>
      <c r="F5320" s="2">
        <v>212901001</v>
      </c>
      <c r="G5320" s="2" t="s">
        <v>121</v>
      </c>
      <c r="L5320" s="2" t="s">
        <v>9374</v>
      </c>
      <c r="M5320" t="s">
        <v>67</v>
      </c>
      <c r="N5320" t="s">
        <v>68</v>
      </c>
      <c r="P5320" s="23">
        <v>106.86</v>
      </c>
      <c r="Q5320" s="4">
        <f t="shared" si="82"/>
        <v>-100</v>
      </c>
      <c r="R5320" s="23" t="s">
        <v>109</v>
      </c>
    </row>
    <row r="5321" spans="1:18" x14ac:dyDescent="0.25">
      <c r="A5321" s="21">
        <v>45835</v>
      </c>
      <c r="B5321" s="1">
        <v>14654413</v>
      </c>
      <c r="C5321" t="s">
        <v>9375</v>
      </c>
      <c r="D5321" s="22">
        <v>-9617.4</v>
      </c>
      <c r="E5321" s="75" t="s">
        <v>35</v>
      </c>
      <c r="F5321" s="2">
        <v>212901001</v>
      </c>
      <c r="G5321" s="2" t="s">
        <v>121</v>
      </c>
      <c r="L5321" s="2" t="s">
        <v>9376</v>
      </c>
      <c r="M5321" t="s">
        <v>67</v>
      </c>
      <c r="N5321" t="s">
        <v>68</v>
      </c>
      <c r="P5321" s="23">
        <v>106.86</v>
      </c>
      <c r="Q5321" s="4">
        <f t="shared" si="82"/>
        <v>-90</v>
      </c>
      <c r="R5321" s="23" t="s">
        <v>109</v>
      </c>
    </row>
    <row r="5322" spans="1:18" x14ac:dyDescent="0.25">
      <c r="A5322" s="21">
        <v>45835</v>
      </c>
      <c r="B5322" s="1">
        <v>14654415</v>
      </c>
      <c r="C5322" t="s">
        <v>9377</v>
      </c>
      <c r="D5322" s="22">
        <v>-9617.4</v>
      </c>
      <c r="E5322" s="75" t="s">
        <v>35</v>
      </c>
      <c r="F5322" s="2">
        <v>212901001</v>
      </c>
      <c r="G5322" s="2" t="s">
        <v>121</v>
      </c>
      <c r="L5322" s="2" t="s">
        <v>9378</v>
      </c>
      <c r="M5322" t="s">
        <v>67</v>
      </c>
      <c r="N5322" t="s">
        <v>68</v>
      </c>
      <c r="P5322" s="23">
        <v>106.86</v>
      </c>
      <c r="Q5322" s="4">
        <f t="shared" si="82"/>
        <v>-90</v>
      </c>
      <c r="R5322" s="23" t="s">
        <v>109</v>
      </c>
    </row>
    <row r="5323" spans="1:18" x14ac:dyDescent="0.25">
      <c r="A5323" s="21">
        <v>45835</v>
      </c>
      <c r="B5323" s="1">
        <v>14654416</v>
      </c>
      <c r="C5323" t="s">
        <v>9379</v>
      </c>
      <c r="D5323" s="22">
        <v>-9617.4</v>
      </c>
      <c r="E5323" s="75" t="s">
        <v>35</v>
      </c>
      <c r="F5323" s="2">
        <v>212901001</v>
      </c>
      <c r="G5323" s="2" t="s">
        <v>121</v>
      </c>
      <c r="L5323" s="2" t="s">
        <v>9380</v>
      </c>
      <c r="M5323" t="s">
        <v>67</v>
      </c>
      <c r="N5323" t="s">
        <v>68</v>
      </c>
      <c r="P5323" s="23">
        <v>106.86</v>
      </c>
      <c r="Q5323" s="4">
        <f t="shared" ref="Q5323:Q5386" si="83">D5323/P5323</f>
        <v>-90</v>
      </c>
      <c r="R5323" s="23" t="s">
        <v>109</v>
      </c>
    </row>
    <row r="5324" spans="1:18" x14ac:dyDescent="0.25">
      <c r="A5324" s="21">
        <v>45835</v>
      </c>
      <c r="B5324" s="1">
        <v>14654414</v>
      </c>
      <c r="C5324" t="s">
        <v>9381</v>
      </c>
      <c r="D5324" s="22">
        <v>-11754.6</v>
      </c>
      <c r="E5324" s="75" t="s">
        <v>35</v>
      </c>
      <c r="F5324" s="2">
        <v>212901001</v>
      </c>
      <c r="G5324" s="2" t="s">
        <v>121</v>
      </c>
      <c r="L5324" s="2" t="s">
        <v>9382</v>
      </c>
      <c r="M5324" t="s">
        <v>67</v>
      </c>
      <c r="N5324" t="s">
        <v>68</v>
      </c>
      <c r="P5324" s="23">
        <v>106.86</v>
      </c>
      <c r="Q5324" s="4">
        <f t="shared" si="83"/>
        <v>-110</v>
      </c>
      <c r="R5324" s="23" t="s">
        <v>109</v>
      </c>
    </row>
    <row r="5325" spans="1:18" x14ac:dyDescent="0.25">
      <c r="A5325" s="21">
        <v>45835</v>
      </c>
      <c r="B5325" s="1">
        <v>114654418</v>
      </c>
      <c r="C5325" t="s">
        <v>9383</v>
      </c>
      <c r="D5325" s="22">
        <v>-9617.4</v>
      </c>
      <c r="E5325" s="75" t="s">
        <v>35</v>
      </c>
      <c r="F5325" s="2">
        <v>212901001</v>
      </c>
      <c r="G5325" s="2" t="s">
        <v>121</v>
      </c>
      <c r="L5325" s="2" t="s">
        <v>9384</v>
      </c>
      <c r="M5325" t="s">
        <v>67</v>
      </c>
      <c r="N5325" t="s">
        <v>68</v>
      </c>
      <c r="P5325" s="23">
        <v>106.86</v>
      </c>
      <c r="Q5325" s="4">
        <f t="shared" si="83"/>
        <v>-90</v>
      </c>
      <c r="R5325" s="23" t="s">
        <v>109</v>
      </c>
    </row>
    <row r="5326" spans="1:18" x14ac:dyDescent="0.25">
      <c r="A5326" s="21">
        <v>45835</v>
      </c>
      <c r="B5326" s="1">
        <v>114654419</v>
      </c>
      <c r="C5326" t="s">
        <v>9385</v>
      </c>
      <c r="D5326" s="22">
        <v>-9617.4</v>
      </c>
      <c r="E5326" s="75" t="s">
        <v>35</v>
      </c>
      <c r="F5326" s="2">
        <v>212901001</v>
      </c>
      <c r="G5326" s="2" t="s">
        <v>121</v>
      </c>
      <c r="L5326" s="2" t="s">
        <v>9386</v>
      </c>
      <c r="M5326" t="s">
        <v>67</v>
      </c>
      <c r="N5326" t="s">
        <v>68</v>
      </c>
      <c r="P5326" s="23">
        <v>106.86</v>
      </c>
      <c r="Q5326" s="4">
        <f t="shared" si="83"/>
        <v>-90</v>
      </c>
      <c r="R5326" s="23" t="s">
        <v>109</v>
      </c>
    </row>
    <row r="5327" spans="1:18" x14ac:dyDescent="0.25">
      <c r="A5327" s="21">
        <v>45835</v>
      </c>
      <c r="B5327" s="1">
        <v>14654417</v>
      </c>
      <c r="C5327" t="s">
        <v>9381</v>
      </c>
      <c r="D5327" s="22">
        <v>-9617.4</v>
      </c>
      <c r="E5327" s="75" t="s">
        <v>35</v>
      </c>
      <c r="F5327" s="2">
        <v>212901001</v>
      </c>
      <c r="G5327" s="2" t="s">
        <v>121</v>
      </c>
      <c r="L5327" s="2" t="s">
        <v>9387</v>
      </c>
      <c r="M5327" t="s">
        <v>67</v>
      </c>
      <c r="N5327" t="s">
        <v>68</v>
      </c>
      <c r="P5327" s="23">
        <v>106.86</v>
      </c>
      <c r="Q5327" s="4">
        <f t="shared" si="83"/>
        <v>-90</v>
      </c>
      <c r="R5327" s="23" t="s">
        <v>109</v>
      </c>
    </row>
    <row r="5328" spans="1:18" x14ac:dyDescent="0.25">
      <c r="A5328" s="21">
        <v>45835</v>
      </c>
      <c r="B5328" s="1">
        <v>114654421</v>
      </c>
      <c r="C5328" t="s">
        <v>9388</v>
      </c>
      <c r="D5328" s="22">
        <v>-9617.4</v>
      </c>
      <c r="E5328" s="75" t="s">
        <v>35</v>
      </c>
      <c r="F5328" s="2">
        <v>212901001</v>
      </c>
      <c r="G5328" s="2" t="s">
        <v>121</v>
      </c>
      <c r="L5328" s="2" t="s">
        <v>9389</v>
      </c>
      <c r="M5328" t="s">
        <v>67</v>
      </c>
      <c r="N5328" t="s">
        <v>68</v>
      </c>
      <c r="P5328" s="23">
        <v>106.86</v>
      </c>
      <c r="Q5328" s="4">
        <f t="shared" si="83"/>
        <v>-90</v>
      </c>
      <c r="R5328" s="23" t="s">
        <v>109</v>
      </c>
    </row>
    <row r="5329" spans="1:18" x14ac:dyDescent="0.25">
      <c r="A5329" s="21">
        <v>45835</v>
      </c>
      <c r="B5329" s="1">
        <v>114654420</v>
      </c>
      <c r="C5329" t="s">
        <v>9390</v>
      </c>
      <c r="D5329" s="22">
        <v>-9617.4</v>
      </c>
      <c r="E5329" s="75" t="s">
        <v>35</v>
      </c>
      <c r="F5329" s="2">
        <v>212901001</v>
      </c>
      <c r="G5329" s="2" t="s">
        <v>121</v>
      </c>
      <c r="L5329" s="2" t="s">
        <v>9391</v>
      </c>
      <c r="M5329" t="s">
        <v>67</v>
      </c>
      <c r="N5329" t="s">
        <v>68</v>
      </c>
      <c r="P5329" s="23">
        <v>106.86</v>
      </c>
      <c r="Q5329" s="4">
        <f t="shared" si="83"/>
        <v>-90</v>
      </c>
      <c r="R5329" s="23" t="s">
        <v>109</v>
      </c>
    </row>
    <row r="5330" spans="1:18" x14ac:dyDescent="0.25">
      <c r="A5330" s="21">
        <v>45835</v>
      </c>
      <c r="B5330" s="1">
        <v>114654422</v>
      </c>
      <c r="C5330" t="s">
        <v>9392</v>
      </c>
      <c r="D5330" s="22">
        <v>-9617.4</v>
      </c>
      <c r="E5330" s="75" t="s">
        <v>35</v>
      </c>
      <c r="F5330" s="2">
        <v>212901001</v>
      </c>
      <c r="G5330" s="2" t="s">
        <v>121</v>
      </c>
      <c r="L5330" s="2" t="s">
        <v>9393</v>
      </c>
      <c r="M5330" t="s">
        <v>67</v>
      </c>
      <c r="N5330" t="s">
        <v>68</v>
      </c>
      <c r="P5330" s="23">
        <v>106.86</v>
      </c>
      <c r="Q5330" s="4">
        <f t="shared" si="83"/>
        <v>-90</v>
      </c>
      <c r="R5330" s="23" t="s">
        <v>109</v>
      </c>
    </row>
    <row r="5331" spans="1:18" x14ac:dyDescent="0.25">
      <c r="A5331" s="21">
        <v>45835</v>
      </c>
      <c r="B5331" s="1">
        <v>114654423</v>
      </c>
      <c r="C5331" t="s">
        <v>9394</v>
      </c>
      <c r="D5331" s="22">
        <v>-9617.4</v>
      </c>
      <c r="E5331" s="75" t="s">
        <v>35</v>
      </c>
      <c r="F5331" s="2">
        <v>212901001</v>
      </c>
      <c r="G5331" s="2" t="s">
        <v>121</v>
      </c>
      <c r="L5331" s="2" t="s">
        <v>9395</v>
      </c>
      <c r="M5331" t="s">
        <v>67</v>
      </c>
      <c r="N5331" t="s">
        <v>68</v>
      </c>
      <c r="P5331" s="23">
        <v>106.86</v>
      </c>
      <c r="Q5331" s="4">
        <f t="shared" si="83"/>
        <v>-90</v>
      </c>
      <c r="R5331" s="23" t="s">
        <v>109</v>
      </c>
    </row>
    <row r="5332" spans="1:18" x14ac:dyDescent="0.25">
      <c r="A5332" s="21">
        <v>45835</v>
      </c>
      <c r="B5332" s="1">
        <v>114654425</v>
      </c>
      <c r="C5332" t="s">
        <v>9396</v>
      </c>
      <c r="D5332" s="22">
        <v>-9617.4</v>
      </c>
      <c r="E5332" s="75" t="s">
        <v>35</v>
      </c>
      <c r="F5332" s="2">
        <v>212901001</v>
      </c>
      <c r="G5332" s="2" t="s">
        <v>121</v>
      </c>
      <c r="L5332" s="2" t="s">
        <v>9397</v>
      </c>
      <c r="M5332" t="s">
        <v>67</v>
      </c>
      <c r="N5332" t="s">
        <v>68</v>
      </c>
      <c r="P5332" s="23">
        <v>106.86</v>
      </c>
      <c r="Q5332" s="4">
        <f t="shared" si="83"/>
        <v>-90</v>
      </c>
      <c r="R5332" s="23" t="s">
        <v>109</v>
      </c>
    </row>
    <row r="5333" spans="1:18" x14ac:dyDescent="0.25">
      <c r="A5333" s="21">
        <v>45835</v>
      </c>
      <c r="B5333" s="1">
        <v>114654424</v>
      </c>
      <c r="C5333" t="s">
        <v>9398</v>
      </c>
      <c r="D5333" s="22">
        <v>-9617.4</v>
      </c>
      <c r="E5333" s="75" t="s">
        <v>35</v>
      </c>
      <c r="F5333" s="2">
        <v>212901001</v>
      </c>
      <c r="G5333" s="2" t="s">
        <v>121</v>
      </c>
      <c r="L5333" s="2" t="s">
        <v>9399</v>
      </c>
      <c r="M5333" t="s">
        <v>67</v>
      </c>
      <c r="N5333" t="s">
        <v>68</v>
      </c>
      <c r="P5333" s="23">
        <v>106.86</v>
      </c>
      <c r="Q5333" s="4">
        <f t="shared" si="83"/>
        <v>-90</v>
      </c>
      <c r="R5333" s="23" t="s">
        <v>109</v>
      </c>
    </row>
    <row r="5334" spans="1:18" x14ac:dyDescent="0.25">
      <c r="A5334" s="21">
        <v>45835</v>
      </c>
      <c r="B5334" s="1">
        <v>114654426</v>
      </c>
      <c r="C5334" t="s">
        <v>9400</v>
      </c>
      <c r="D5334" s="22">
        <v>-9617.4</v>
      </c>
      <c r="E5334" s="75" t="s">
        <v>35</v>
      </c>
      <c r="F5334" s="2">
        <v>212901001</v>
      </c>
      <c r="G5334" s="2" t="s">
        <v>121</v>
      </c>
      <c r="L5334" s="2" t="s">
        <v>9401</v>
      </c>
      <c r="M5334" t="s">
        <v>67</v>
      </c>
      <c r="N5334" t="s">
        <v>68</v>
      </c>
      <c r="P5334" s="23">
        <v>106.86</v>
      </c>
      <c r="Q5334" s="4">
        <f t="shared" si="83"/>
        <v>-90</v>
      </c>
      <c r="R5334" s="23" t="s">
        <v>109</v>
      </c>
    </row>
    <row r="5335" spans="1:18" x14ac:dyDescent="0.25">
      <c r="A5335" s="21">
        <v>45835</v>
      </c>
      <c r="B5335" s="1">
        <v>214654428</v>
      </c>
      <c r="C5335" t="s">
        <v>9402</v>
      </c>
      <c r="D5335" s="22">
        <v>-6411.6</v>
      </c>
      <c r="E5335" s="75" t="s">
        <v>35</v>
      </c>
      <c r="F5335" s="2">
        <v>212901001</v>
      </c>
      <c r="G5335" s="2" t="s">
        <v>121</v>
      </c>
      <c r="L5335" s="2" t="s">
        <v>9403</v>
      </c>
      <c r="M5335" t="s">
        <v>67</v>
      </c>
      <c r="N5335" t="s">
        <v>68</v>
      </c>
      <c r="P5335" s="23">
        <v>106.86</v>
      </c>
      <c r="Q5335" s="4">
        <f t="shared" si="83"/>
        <v>-60.000000000000007</v>
      </c>
      <c r="R5335" s="23" t="s">
        <v>109</v>
      </c>
    </row>
    <row r="5336" spans="1:18" x14ac:dyDescent="0.25">
      <c r="A5336" s="21">
        <v>45835</v>
      </c>
      <c r="B5336" s="1">
        <v>214654429</v>
      </c>
      <c r="C5336" t="s">
        <v>9404</v>
      </c>
      <c r="D5336" s="22">
        <v>-6411.6</v>
      </c>
      <c r="E5336" s="75" t="s">
        <v>35</v>
      </c>
      <c r="F5336" s="2">
        <v>212901001</v>
      </c>
      <c r="G5336" s="2" t="s">
        <v>121</v>
      </c>
      <c r="L5336" s="2" t="s">
        <v>9405</v>
      </c>
      <c r="M5336" t="s">
        <v>67</v>
      </c>
      <c r="N5336" t="s">
        <v>68</v>
      </c>
      <c r="P5336" s="23">
        <v>106.86</v>
      </c>
      <c r="Q5336" s="4">
        <f t="shared" si="83"/>
        <v>-60.000000000000007</v>
      </c>
      <c r="R5336" s="23" t="s">
        <v>109</v>
      </c>
    </row>
    <row r="5337" spans="1:18" x14ac:dyDescent="0.25">
      <c r="A5337" s="21">
        <v>45835</v>
      </c>
      <c r="B5337" s="1">
        <v>214654430</v>
      </c>
      <c r="C5337" t="s">
        <v>9406</v>
      </c>
      <c r="D5337" s="22">
        <v>-6411.6</v>
      </c>
      <c r="E5337" s="75" t="s">
        <v>35</v>
      </c>
      <c r="F5337" s="2">
        <v>212901001</v>
      </c>
      <c r="G5337" s="2" t="s">
        <v>121</v>
      </c>
      <c r="L5337" s="2" t="s">
        <v>9407</v>
      </c>
      <c r="M5337" t="s">
        <v>67</v>
      </c>
      <c r="N5337" t="s">
        <v>68</v>
      </c>
      <c r="P5337" s="23">
        <v>106.86</v>
      </c>
      <c r="Q5337" s="4">
        <f t="shared" si="83"/>
        <v>-60.000000000000007</v>
      </c>
      <c r="R5337" s="23" t="s">
        <v>109</v>
      </c>
    </row>
    <row r="5338" spans="1:18" x14ac:dyDescent="0.25">
      <c r="A5338" s="21">
        <v>45835</v>
      </c>
      <c r="B5338" s="1">
        <v>214654427</v>
      </c>
      <c r="C5338" t="s">
        <v>9408</v>
      </c>
      <c r="D5338" s="22">
        <v>-9617.4</v>
      </c>
      <c r="E5338" s="75" t="s">
        <v>35</v>
      </c>
      <c r="F5338" s="2">
        <v>212901001</v>
      </c>
      <c r="G5338" s="2" t="s">
        <v>121</v>
      </c>
      <c r="L5338" s="2" t="s">
        <v>9409</v>
      </c>
      <c r="M5338" t="s">
        <v>67</v>
      </c>
      <c r="N5338" t="s">
        <v>68</v>
      </c>
      <c r="P5338" s="23">
        <v>106.86</v>
      </c>
      <c r="Q5338" s="4">
        <f t="shared" si="83"/>
        <v>-90</v>
      </c>
      <c r="R5338" s="23" t="s">
        <v>109</v>
      </c>
    </row>
    <row r="5339" spans="1:18" x14ac:dyDescent="0.25">
      <c r="A5339" s="21">
        <v>45835</v>
      </c>
      <c r="B5339" s="1">
        <v>214654431</v>
      </c>
      <c r="C5339" t="s">
        <v>9410</v>
      </c>
      <c r="D5339" s="22">
        <v>-6411.6</v>
      </c>
      <c r="E5339" s="75" t="s">
        <v>35</v>
      </c>
      <c r="F5339" s="2">
        <v>212901001</v>
      </c>
      <c r="G5339" s="2" t="s">
        <v>121</v>
      </c>
      <c r="L5339" s="2" t="s">
        <v>9411</v>
      </c>
      <c r="M5339" t="s">
        <v>67</v>
      </c>
      <c r="N5339" t="s">
        <v>68</v>
      </c>
      <c r="P5339" s="23">
        <v>106.86</v>
      </c>
      <c r="Q5339" s="4">
        <f t="shared" si="83"/>
        <v>-60.000000000000007</v>
      </c>
      <c r="R5339" s="23" t="s">
        <v>109</v>
      </c>
    </row>
    <row r="5340" spans="1:18" x14ac:dyDescent="0.25">
      <c r="A5340" s="21">
        <v>45835</v>
      </c>
      <c r="B5340" s="1">
        <v>214654433</v>
      </c>
      <c r="C5340" t="s">
        <v>9412</v>
      </c>
      <c r="D5340" s="22">
        <v>-13250.64</v>
      </c>
      <c r="E5340" s="75" t="s">
        <v>35</v>
      </c>
      <c r="F5340" s="2">
        <v>212901001</v>
      </c>
      <c r="G5340" s="2" t="s">
        <v>121</v>
      </c>
      <c r="L5340" s="2" t="s">
        <v>9413</v>
      </c>
      <c r="M5340" t="s">
        <v>67</v>
      </c>
      <c r="N5340" t="s">
        <v>68</v>
      </c>
      <c r="P5340" s="23">
        <v>106.86</v>
      </c>
      <c r="Q5340" s="4">
        <f t="shared" si="83"/>
        <v>-124</v>
      </c>
      <c r="R5340" s="23" t="s">
        <v>109</v>
      </c>
    </row>
    <row r="5341" spans="1:18" x14ac:dyDescent="0.25">
      <c r="A5341" s="21">
        <v>45835</v>
      </c>
      <c r="B5341" s="1">
        <v>214654434</v>
      </c>
      <c r="C5341" t="s">
        <v>9414</v>
      </c>
      <c r="D5341" s="22">
        <v>-21372</v>
      </c>
      <c r="E5341" s="75" t="s">
        <v>35</v>
      </c>
      <c r="F5341" s="2">
        <v>212901001</v>
      </c>
      <c r="G5341" s="2" t="s">
        <v>121</v>
      </c>
      <c r="L5341" s="2" t="s">
        <v>9415</v>
      </c>
      <c r="M5341" t="s">
        <v>67</v>
      </c>
      <c r="N5341" t="s">
        <v>68</v>
      </c>
      <c r="P5341" s="23">
        <v>106.86</v>
      </c>
      <c r="Q5341" s="4">
        <f t="shared" si="83"/>
        <v>-200</v>
      </c>
      <c r="R5341" s="23" t="s">
        <v>109</v>
      </c>
    </row>
    <row r="5342" spans="1:18" x14ac:dyDescent="0.25">
      <c r="A5342" s="21">
        <v>45835</v>
      </c>
      <c r="B5342" s="1">
        <v>214654432</v>
      </c>
      <c r="C5342" t="s">
        <v>9416</v>
      </c>
      <c r="D5342" s="22">
        <v>-10686</v>
      </c>
      <c r="E5342" s="75" t="s">
        <v>35</v>
      </c>
      <c r="F5342" s="2">
        <v>212901001</v>
      </c>
      <c r="G5342" s="2" t="s">
        <v>121</v>
      </c>
      <c r="L5342" s="2" t="s">
        <v>9417</v>
      </c>
      <c r="M5342" t="s">
        <v>67</v>
      </c>
      <c r="N5342" t="s">
        <v>68</v>
      </c>
      <c r="P5342" s="23">
        <v>106.86</v>
      </c>
      <c r="Q5342" s="4">
        <f t="shared" si="83"/>
        <v>-100</v>
      </c>
      <c r="R5342" s="23" t="s">
        <v>109</v>
      </c>
    </row>
    <row r="5343" spans="1:18" x14ac:dyDescent="0.25">
      <c r="A5343" s="21">
        <v>45835</v>
      </c>
      <c r="B5343" s="1">
        <v>314654436</v>
      </c>
      <c r="C5343" t="s">
        <v>9418</v>
      </c>
      <c r="D5343" s="22">
        <v>-8548.7999999999993</v>
      </c>
      <c r="E5343" s="75" t="s">
        <v>35</v>
      </c>
      <c r="F5343" s="2">
        <v>212901001</v>
      </c>
      <c r="G5343" s="2" t="s">
        <v>121</v>
      </c>
      <c r="L5343" s="2" t="s">
        <v>9419</v>
      </c>
      <c r="M5343" t="s">
        <v>67</v>
      </c>
      <c r="N5343" t="s">
        <v>68</v>
      </c>
      <c r="P5343" s="23">
        <v>106.86</v>
      </c>
      <c r="Q5343" s="4">
        <f t="shared" si="83"/>
        <v>-80</v>
      </c>
      <c r="R5343" s="23" t="s">
        <v>109</v>
      </c>
    </row>
    <row r="5344" spans="1:18" x14ac:dyDescent="0.25">
      <c r="A5344" s="21">
        <v>45835</v>
      </c>
      <c r="B5344" s="1">
        <v>314654435</v>
      </c>
      <c r="C5344" t="s">
        <v>9420</v>
      </c>
      <c r="D5344" s="22">
        <v>-7480.2</v>
      </c>
      <c r="E5344" s="75" t="s">
        <v>35</v>
      </c>
      <c r="F5344" s="2">
        <v>212901001</v>
      </c>
      <c r="G5344" s="2" t="s">
        <v>121</v>
      </c>
      <c r="L5344" s="2" t="s">
        <v>9421</v>
      </c>
      <c r="M5344" t="s">
        <v>67</v>
      </c>
      <c r="N5344" t="s">
        <v>68</v>
      </c>
      <c r="P5344" s="23">
        <v>106.86</v>
      </c>
      <c r="Q5344" s="4">
        <f t="shared" si="83"/>
        <v>-70</v>
      </c>
      <c r="R5344" s="23" t="s">
        <v>109</v>
      </c>
    </row>
    <row r="5345" spans="1:20" x14ac:dyDescent="0.25">
      <c r="A5345" s="21">
        <v>45835</v>
      </c>
      <c r="B5345" s="1">
        <v>50633368</v>
      </c>
      <c r="C5345" t="s">
        <v>9422</v>
      </c>
      <c r="D5345" s="22">
        <v>-19234.8</v>
      </c>
      <c r="E5345" s="75" t="s">
        <v>35</v>
      </c>
      <c r="F5345" s="2">
        <v>212901001</v>
      </c>
      <c r="G5345" s="2" t="s">
        <v>121</v>
      </c>
      <c r="L5345" s="2" t="s">
        <v>9423</v>
      </c>
      <c r="M5345" t="s">
        <v>67</v>
      </c>
      <c r="N5345" t="s">
        <v>68</v>
      </c>
      <c r="P5345" s="23">
        <v>106.86</v>
      </c>
      <c r="Q5345" s="4">
        <f t="shared" si="83"/>
        <v>-180</v>
      </c>
      <c r="R5345" s="23" t="s">
        <v>109</v>
      </c>
    </row>
    <row r="5346" spans="1:20" x14ac:dyDescent="0.25">
      <c r="A5346" s="21">
        <v>45835</v>
      </c>
      <c r="B5346" s="1">
        <v>50633368</v>
      </c>
      <c r="C5346" t="s">
        <v>296</v>
      </c>
      <c r="D5346" s="22">
        <v>-28.85</v>
      </c>
      <c r="E5346" s="75" t="s">
        <v>35</v>
      </c>
      <c r="F5346" s="2">
        <v>610148001</v>
      </c>
      <c r="G5346" s="2" t="s">
        <v>42</v>
      </c>
      <c r="L5346" s="2" t="s">
        <v>9424</v>
      </c>
      <c r="M5346" t="s">
        <v>43</v>
      </c>
      <c r="N5346" t="s">
        <v>42</v>
      </c>
      <c r="P5346" s="23">
        <v>106.86</v>
      </c>
      <c r="Q5346" s="4">
        <f t="shared" si="83"/>
        <v>-0.26997941231517875</v>
      </c>
      <c r="R5346" s="23" t="s">
        <v>109</v>
      </c>
      <c r="T5346" s="23" t="s">
        <v>8423</v>
      </c>
    </row>
    <row r="5347" spans="1:20" x14ac:dyDescent="0.25">
      <c r="A5347" s="21">
        <v>45835</v>
      </c>
      <c r="B5347" s="1">
        <v>50633368</v>
      </c>
      <c r="C5347" t="s">
        <v>118</v>
      </c>
      <c r="D5347" s="22">
        <v>-1898.36</v>
      </c>
      <c r="E5347" s="75" t="s">
        <v>35</v>
      </c>
      <c r="F5347" s="2">
        <v>610148001</v>
      </c>
      <c r="G5347" s="2" t="s">
        <v>42</v>
      </c>
      <c r="L5347" s="2" t="s">
        <v>9425</v>
      </c>
      <c r="M5347" t="s">
        <v>43</v>
      </c>
      <c r="N5347" t="s">
        <v>42</v>
      </c>
      <c r="P5347" s="23">
        <v>106.86</v>
      </c>
      <c r="Q5347" s="4">
        <f t="shared" si="83"/>
        <v>-17.764926071495413</v>
      </c>
      <c r="R5347" s="23" t="s">
        <v>109</v>
      </c>
      <c r="T5347" s="23" t="s">
        <v>8423</v>
      </c>
    </row>
    <row r="5348" spans="1:20" x14ac:dyDescent="0.25">
      <c r="A5348" s="21">
        <v>45835</v>
      </c>
      <c r="B5348" s="1">
        <v>143107190</v>
      </c>
      <c r="C5348" t="s">
        <v>107</v>
      </c>
      <c r="D5348" s="22">
        <v>580000</v>
      </c>
      <c r="E5348" s="75" t="s">
        <v>46</v>
      </c>
      <c r="F5348" s="2">
        <v>210115002</v>
      </c>
      <c r="G5348" s="2" t="s">
        <v>47</v>
      </c>
      <c r="L5348" s="2" t="s">
        <v>9426</v>
      </c>
      <c r="N5348" t="s">
        <v>107</v>
      </c>
      <c r="P5348" s="23">
        <v>106.86</v>
      </c>
      <c r="Q5348" s="4">
        <f t="shared" si="83"/>
        <v>5427.6623619689317</v>
      </c>
      <c r="R5348" s="23" t="s">
        <v>109</v>
      </c>
    </row>
    <row r="5349" spans="1:20" x14ac:dyDescent="0.25">
      <c r="A5349" s="21">
        <v>45835</v>
      </c>
      <c r="B5349" s="1">
        <v>714654863</v>
      </c>
      <c r="C5349" t="s">
        <v>9427</v>
      </c>
      <c r="D5349" s="22">
        <v>-76746.850000000006</v>
      </c>
      <c r="E5349" s="75" t="s">
        <v>35</v>
      </c>
      <c r="F5349" s="2">
        <v>210101001</v>
      </c>
      <c r="G5349" s="2" t="s">
        <v>36</v>
      </c>
      <c r="L5349" s="2" t="s">
        <v>9428</v>
      </c>
      <c r="M5349" t="s">
        <v>714</v>
      </c>
      <c r="N5349" t="s">
        <v>715</v>
      </c>
      <c r="P5349" s="23">
        <v>106.86</v>
      </c>
      <c r="Q5349" s="4">
        <f t="shared" si="83"/>
        <v>-718.19998128392297</v>
      </c>
      <c r="R5349" s="23" t="s">
        <v>109</v>
      </c>
    </row>
    <row r="5350" spans="1:20" x14ac:dyDescent="0.25">
      <c r="A5350" s="21">
        <v>45835</v>
      </c>
      <c r="B5350" s="1">
        <v>714654864</v>
      </c>
      <c r="C5350" t="s">
        <v>9429</v>
      </c>
      <c r="D5350" s="22">
        <v>-200000</v>
      </c>
      <c r="E5350" s="75" t="s">
        <v>35</v>
      </c>
      <c r="F5350" s="2">
        <v>110114001</v>
      </c>
      <c r="G5350" s="2" t="s">
        <v>301</v>
      </c>
      <c r="L5350" s="2" t="s">
        <v>9430</v>
      </c>
      <c r="M5350" t="s">
        <v>303</v>
      </c>
      <c r="N5350" t="s">
        <v>304</v>
      </c>
      <c r="P5350" s="23">
        <v>106.86</v>
      </c>
      <c r="Q5350" s="4">
        <f t="shared" si="83"/>
        <v>-1871.6077110237695</v>
      </c>
      <c r="R5350" s="23" t="s">
        <v>109</v>
      </c>
      <c r="S5350" s="33" t="s">
        <v>2599</v>
      </c>
    </row>
    <row r="5351" spans="1:20" x14ac:dyDescent="0.25">
      <c r="A5351" s="21">
        <v>45835</v>
      </c>
      <c r="B5351" s="1">
        <v>714654866</v>
      </c>
      <c r="C5351" t="s">
        <v>9431</v>
      </c>
      <c r="D5351" s="22">
        <v>-32060.89</v>
      </c>
      <c r="E5351" s="75" t="s">
        <v>35</v>
      </c>
      <c r="F5351" s="2">
        <v>110114001</v>
      </c>
      <c r="G5351" s="2" t="s">
        <v>301</v>
      </c>
      <c r="L5351" s="2" t="s">
        <v>9432</v>
      </c>
      <c r="M5351" t="s">
        <v>2028</v>
      </c>
      <c r="N5351" t="s">
        <v>2029</v>
      </c>
      <c r="P5351" s="23">
        <v>106.86</v>
      </c>
      <c r="Q5351" s="4">
        <f t="shared" si="83"/>
        <v>-300.02704473142427</v>
      </c>
      <c r="R5351" s="23" t="s">
        <v>109</v>
      </c>
      <c r="S5351" s="33" t="s">
        <v>2599</v>
      </c>
    </row>
    <row r="5352" spans="1:20" x14ac:dyDescent="0.25">
      <c r="A5352" s="21">
        <v>45835</v>
      </c>
      <c r="B5352" s="1">
        <v>714654865</v>
      </c>
      <c r="C5352" t="s">
        <v>9429</v>
      </c>
      <c r="D5352" s="22">
        <v>-24846.66</v>
      </c>
      <c r="E5352" s="75" t="s">
        <v>35</v>
      </c>
      <c r="F5352" s="2">
        <v>110114001</v>
      </c>
      <c r="G5352" s="2" t="s">
        <v>301</v>
      </c>
      <c r="L5352" s="2" t="s">
        <v>9433</v>
      </c>
      <c r="M5352" t="s">
        <v>303</v>
      </c>
      <c r="N5352" t="s">
        <v>304</v>
      </c>
      <c r="P5352" s="23">
        <v>106.86</v>
      </c>
      <c r="Q5352" s="4">
        <f t="shared" si="83"/>
        <v>-232.51600224592926</v>
      </c>
      <c r="R5352" s="23" t="s">
        <v>109</v>
      </c>
      <c r="S5352" s="33" t="s">
        <v>2599</v>
      </c>
    </row>
    <row r="5353" spans="1:20" x14ac:dyDescent="0.25">
      <c r="A5353" s="21">
        <v>45835</v>
      </c>
      <c r="B5353" s="1">
        <v>714654867</v>
      </c>
      <c r="C5353" t="s">
        <v>9434</v>
      </c>
      <c r="D5353" s="22">
        <v>-8548.81</v>
      </c>
      <c r="E5353" s="75" t="s">
        <v>35</v>
      </c>
      <c r="F5353" s="2">
        <v>110114001</v>
      </c>
      <c r="G5353" s="2" t="s">
        <v>301</v>
      </c>
      <c r="L5353" s="2" t="s">
        <v>9435</v>
      </c>
      <c r="M5353" t="s">
        <v>1866</v>
      </c>
      <c r="N5353" t="s">
        <v>1867</v>
      </c>
      <c r="P5353" s="23">
        <v>106.86</v>
      </c>
      <c r="Q5353" s="4">
        <f t="shared" si="83"/>
        <v>-80.000093580385553</v>
      </c>
      <c r="R5353" s="23" t="s">
        <v>109</v>
      </c>
      <c r="S5353" s="33" t="s">
        <v>2599</v>
      </c>
    </row>
    <row r="5354" spans="1:20" x14ac:dyDescent="0.25">
      <c r="A5354" s="21">
        <v>45835</v>
      </c>
      <c r="B5354" s="1">
        <v>714654868</v>
      </c>
      <c r="C5354" t="s">
        <v>9436</v>
      </c>
      <c r="D5354" s="22">
        <v>-141311.66</v>
      </c>
      <c r="E5354" s="75" t="s">
        <v>35</v>
      </c>
      <c r="F5354" s="2">
        <v>110114001</v>
      </c>
      <c r="G5354" s="2" t="s">
        <v>301</v>
      </c>
      <c r="L5354" s="2" t="s">
        <v>9437</v>
      </c>
      <c r="M5354" t="s">
        <v>1866</v>
      </c>
      <c r="N5354" t="s">
        <v>1867</v>
      </c>
      <c r="P5354" s="23">
        <v>106.86</v>
      </c>
      <c r="Q5354" s="4">
        <f t="shared" si="83"/>
        <v>-1322.3999625678459</v>
      </c>
      <c r="R5354" s="23" t="s">
        <v>109</v>
      </c>
      <c r="S5354" s="33" t="s">
        <v>2599</v>
      </c>
    </row>
    <row r="5355" spans="1:20" x14ac:dyDescent="0.25">
      <c r="A5355" s="21">
        <v>45835</v>
      </c>
      <c r="B5355" s="1">
        <v>50621360</v>
      </c>
      <c r="C5355" t="s">
        <v>9438</v>
      </c>
      <c r="D5355" s="22">
        <v>-20817.439999999999</v>
      </c>
      <c r="E5355" s="75" t="s">
        <v>35</v>
      </c>
      <c r="F5355" s="2">
        <v>110114001</v>
      </c>
      <c r="G5355" s="2" t="s">
        <v>301</v>
      </c>
      <c r="L5355" s="2" t="s">
        <v>9439</v>
      </c>
      <c r="M5355" t="s">
        <v>760</v>
      </c>
      <c r="N5355" t="s">
        <v>761</v>
      </c>
      <c r="P5355" s="23">
        <v>106.86</v>
      </c>
      <c r="Q5355" s="4">
        <f t="shared" si="83"/>
        <v>-194.81040613887328</v>
      </c>
      <c r="R5355" s="23" t="s">
        <v>109</v>
      </c>
      <c r="S5355" s="33" t="s">
        <v>2599</v>
      </c>
    </row>
    <row r="5356" spans="1:20" x14ac:dyDescent="0.25">
      <c r="A5356" s="21">
        <v>45835</v>
      </c>
      <c r="B5356" s="1">
        <v>50621360</v>
      </c>
      <c r="C5356" t="s">
        <v>296</v>
      </c>
      <c r="D5356" s="22">
        <v>-31.22</v>
      </c>
      <c r="E5356" s="75" t="s">
        <v>35</v>
      </c>
      <c r="F5356" s="2">
        <v>610148001</v>
      </c>
      <c r="G5356" s="2" t="s">
        <v>42</v>
      </c>
      <c r="L5356" s="2" t="s">
        <v>9440</v>
      </c>
      <c r="M5356" t="s">
        <v>43</v>
      </c>
      <c r="N5356" t="s">
        <v>42</v>
      </c>
      <c r="P5356" s="23">
        <v>106.86</v>
      </c>
      <c r="Q5356" s="4">
        <f t="shared" si="83"/>
        <v>-0.29215796369081037</v>
      </c>
      <c r="R5356" s="23" t="s">
        <v>109</v>
      </c>
      <c r="T5356" s="23" t="s">
        <v>8423</v>
      </c>
    </row>
    <row r="5357" spans="1:20" x14ac:dyDescent="0.25">
      <c r="A5357" s="21">
        <v>45835</v>
      </c>
      <c r="B5357" s="1">
        <v>50621360</v>
      </c>
      <c r="C5357" t="s">
        <v>118</v>
      </c>
      <c r="D5357" s="22">
        <v>-1208.78</v>
      </c>
      <c r="E5357" s="75" t="s">
        <v>35</v>
      </c>
      <c r="F5357" s="2">
        <v>610148001</v>
      </c>
      <c r="G5357" s="2" t="s">
        <v>42</v>
      </c>
      <c r="L5357" s="2" t="s">
        <v>9441</v>
      </c>
      <c r="M5357" t="s">
        <v>43</v>
      </c>
      <c r="N5357" t="s">
        <v>42</v>
      </c>
      <c r="P5357" s="23">
        <v>106.86</v>
      </c>
      <c r="Q5357" s="4">
        <f t="shared" si="83"/>
        <v>-11.31180984465656</v>
      </c>
      <c r="R5357" s="23" t="s">
        <v>109</v>
      </c>
      <c r="T5357" s="23" t="s">
        <v>8423</v>
      </c>
    </row>
    <row r="5358" spans="1:20" x14ac:dyDescent="0.25">
      <c r="A5358" s="21">
        <v>45835</v>
      </c>
      <c r="B5358" s="1">
        <v>143349939</v>
      </c>
      <c r="C5358" t="s">
        <v>9442</v>
      </c>
      <c r="D5358" s="22">
        <v>-69237.22</v>
      </c>
      <c r="E5358" s="75" t="s">
        <v>35</v>
      </c>
      <c r="F5358" s="2">
        <v>210101001</v>
      </c>
      <c r="G5358" s="2" t="s">
        <v>36</v>
      </c>
      <c r="L5358" s="2" t="s">
        <v>9443</v>
      </c>
      <c r="M5358" t="s">
        <v>2635</v>
      </c>
      <c r="N5358" t="s">
        <v>2636</v>
      </c>
      <c r="P5358" s="23">
        <v>106.86</v>
      </c>
      <c r="Q5358" s="4">
        <f t="shared" si="83"/>
        <v>-647.92457420924575</v>
      </c>
      <c r="R5358" s="23" t="s">
        <v>109</v>
      </c>
    </row>
    <row r="5359" spans="1:20" x14ac:dyDescent="0.25">
      <c r="A5359" s="21">
        <v>45838</v>
      </c>
      <c r="B5359" s="1">
        <v>60725562</v>
      </c>
      <c r="C5359" t="s">
        <v>967</v>
      </c>
      <c r="D5359" s="22">
        <v>-161.44</v>
      </c>
      <c r="E5359" s="75" t="s">
        <v>35</v>
      </c>
      <c r="F5359" s="2">
        <v>610148001</v>
      </c>
      <c r="G5359" s="2" t="s">
        <v>42</v>
      </c>
      <c r="L5359" s="2" t="s">
        <v>9444</v>
      </c>
      <c r="M5359" t="s">
        <v>43</v>
      </c>
      <c r="N5359" t="s">
        <v>42</v>
      </c>
      <c r="P5359" s="23">
        <v>107.62</v>
      </c>
      <c r="Q5359" s="4">
        <f t="shared" si="83"/>
        <v>-1.5000929195316854</v>
      </c>
      <c r="R5359" s="23" t="s">
        <v>109</v>
      </c>
      <c r="T5359" s="23" t="s">
        <v>8423</v>
      </c>
    </row>
    <row r="5360" spans="1:20" x14ac:dyDescent="0.25">
      <c r="A5360" s="21">
        <v>45838</v>
      </c>
      <c r="B5360" s="1">
        <v>981310351</v>
      </c>
      <c r="C5360" t="s">
        <v>9445</v>
      </c>
      <c r="D5360" s="22">
        <v>200000</v>
      </c>
      <c r="E5360" s="75" t="s">
        <v>46</v>
      </c>
      <c r="F5360" s="2">
        <v>210115002</v>
      </c>
      <c r="G5360" s="2" t="s">
        <v>47</v>
      </c>
      <c r="L5360" s="2" t="s">
        <v>9446</v>
      </c>
      <c r="N5360" t="s">
        <v>9445</v>
      </c>
      <c r="P5360" s="23">
        <v>107.62</v>
      </c>
      <c r="Q5360" s="4">
        <f t="shared" si="83"/>
        <v>1858.390633711206</v>
      </c>
      <c r="R5360" s="23" t="s">
        <v>109</v>
      </c>
    </row>
    <row r="5361" spans="1:23" x14ac:dyDescent="0.25">
      <c r="A5361" s="21">
        <v>45838</v>
      </c>
      <c r="B5361" s="1">
        <v>581310474</v>
      </c>
      <c r="C5361" t="s">
        <v>9445</v>
      </c>
      <c r="D5361" s="22">
        <v>200000</v>
      </c>
      <c r="E5361" s="75" t="s">
        <v>46</v>
      </c>
      <c r="F5361" s="2">
        <v>210115002</v>
      </c>
      <c r="G5361" s="2" t="s">
        <v>47</v>
      </c>
      <c r="L5361" s="2" t="s">
        <v>9447</v>
      </c>
      <c r="N5361" t="s">
        <v>9445</v>
      </c>
      <c r="P5361" s="23">
        <v>107.62</v>
      </c>
      <c r="Q5361" s="4">
        <f t="shared" si="83"/>
        <v>1858.390633711206</v>
      </c>
      <c r="R5361" s="23" t="s">
        <v>109</v>
      </c>
    </row>
    <row r="5362" spans="1:23" x14ac:dyDescent="0.25">
      <c r="A5362" s="21">
        <v>45838</v>
      </c>
      <c r="B5362" s="1">
        <v>881310534</v>
      </c>
      <c r="C5362" t="s">
        <v>9445</v>
      </c>
      <c r="D5362" s="22">
        <v>200000</v>
      </c>
      <c r="E5362" s="75" t="s">
        <v>46</v>
      </c>
      <c r="F5362" s="2">
        <v>210115002</v>
      </c>
      <c r="G5362" s="2" t="s">
        <v>47</v>
      </c>
      <c r="L5362" s="2" t="s">
        <v>9448</v>
      </c>
      <c r="N5362" t="s">
        <v>9445</v>
      </c>
      <c r="P5362" s="23">
        <v>107.62</v>
      </c>
      <c r="Q5362" s="4">
        <f t="shared" si="83"/>
        <v>1858.390633711206</v>
      </c>
      <c r="R5362" s="23" t="s">
        <v>109</v>
      </c>
    </row>
    <row r="5363" spans="1:23" x14ac:dyDescent="0.25">
      <c r="A5363" s="21">
        <v>45838</v>
      </c>
      <c r="B5363" s="1">
        <v>681310719</v>
      </c>
      <c r="C5363" t="s">
        <v>9445</v>
      </c>
      <c r="D5363" s="22">
        <v>50000</v>
      </c>
      <c r="E5363" s="75" t="s">
        <v>46</v>
      </c>
      <c r="F5363" s="2">
        <v>210115002</v>
      </c>
      <c r="G5363" s="2" t="s">
        <v>47</v>
      </c>
      <c r="L5363" s="2" t="s">
        <v>9449</v>
      </c>
      <c r="N5363" t="s">
        <v>9445</v>
      </c>
      <c r="P5363" s="23">
        <v>107.62</v>
      </c>
      <c r="Q5363" s="4">
        <f t="shared" si="83"/>
        <v>464.59765842780149</v>
      </c>
      <c r="R5363" s="23" t="s">
        <v>109</v>
      </c>
    </row>
    <row r="5364" spans="1:23" x14ac:dyDescent="0.25">
      <c r="A5364" s="21">
        <v>45838</v>
      </c>
      <c r="B5364" s="1">
        <v>214681594</v>
      </c>
      <c r="C5364" t="s">
        <v>9450</v>
      </c>
      <c r="D5364" s="22">
        <v>-9555.2999999999993</v>
      </c>
      <c r="E5364" s="75" t="s">
        <v>35</v>
      </c>
      <c r="F5364" s="2">
        <v>212901001</v>
      </c>
      <c r="G5364" s="2" t="s">
        <v>121</v>
      </c>
      <c r="L5364" s="2" t="s">
        <v>9451</v>
      </c>
      <c r="M5364" t="s">
        <v>67</v>
      </c>
      <c r="N5364" t="s">
        <v>68</v>
      </c>
      <c r="P5364" s="23">
        <v>107.62</v>
      </c>
      <c r="Q5364" s="4">
        <f t="shared" si="83"/>
        <v>-88.78740011150343</v>
      </c>
      <c r="R5364" s="23" t="s">
        <v>109</v>
      </c>
    </row>
    <row r="5365" spans="1:23" x14ac:dyDescent="0.25">
      <c r="A5365" s="21">
        <v>45838</v>
      </c>
      <c r="B5365" s="1">
        <v>214681595</v>
      </c>
      <c r="C5365" t="s">
        <v>9452</v>
      </c>
      <c r="D5365" s="22">
        <v>-9555.2999999999993</v>
      </c>
      <c r="E5365" s="75" t="s">
        <v>35</v>
      </c>
      <c r="F5365" s="2">
        <v>212901001</v>
      </c>
      <c r="G5365" s="2" t="s">
        <v>121</v>
      </c>
      <c r="L5365" s="2" t="s">
        <v>9453</v>
      </c>
      <c r="M5365" t="s">
        <v>67</v>
      </c>
      <c r="N5365" t="s">
        <v>68</v>
      </c>
      <c r="P5365" s="23">
        <v>107.62</v>
      </c>
      <c r="Q5365" s="4">
        <f t="shared" si="83"/>
        <v>-88.78740011150343</v>
      </c>
      <c r="R5365" s="23" t="s">
        <v>109</v>
      </c>
    </row>
    <row r="5366" spans="1:23" x14ac:dyDescent="0.25">
      <c r="A5366" s="21">
        <v>45838</v>
      </c>
      <c r="B5366" s="1">
        <v>314681596</v>
      </c>
      <c r="C5366" t="s">
        <v>9454</v>
      </c>
      <c r="D5366" s="22">
        <v>-9555.2999999999993</v>
      </c>
      <c r="E5366" s="75" t="s">
        <v>35</v>
      </c>
      <c r="F5366" s="2">
        <v>212901001</v>
      </c>
      <c r="G5366" s="2" t="s">
        <v>121</v>
      </c>
      <c r="L5366" s="2" t="s">
        <v>9455</v>
      </c>
      <c r="M5366" t="s">
        <v>67</v>
      </c>
      <c r="N5366" t="s">
        <v>68</v>
      </c>
      <c r="P5366" s="23">
        <v>107.62</v>
      </c>
      <c r="Q5366" s="4">
        <f t="shared" si="83"/>
        <v>-88.78740011150343</v>
      </c>
      <c r="R5366" s="23" t="s">
        <v>109</v>
      </c>
    </row>
    <row r="5367" spans="1:23" x14ac:dyDescent="0.25">
      <c r="A5367" s="21">
        <v>45838</v>
      </c>
      <c r="B5367" s="1">
        <v>314681597</v>
      </c>
      <c r="C5367" t="s">
        <v>9456</v>
      </c>
      <c r="D5367" s="22">
        <v>-7926.65</v>
      </c>
      <c r="E5367" s="75" t="s">
        <v>35</v>
      </c>
      <c r="F5367" s="2">
        <v>212901001</v>
      </c>
      <c r="G5367" s="2" t="s">
        <v>121</v>
      </c>
      <c r="L5367" s="2" t="s">
        <v>9457</v>
      </c>
      <c r="M5367" t="s">
        <v>67</v>
      </c>
      <c r="N5367" t="s">
        <v>68</v>
      </c>
      <c r="P5367" s="23">
        <v>107.62</v>
      </c>
      <c r="Q5367" s="4">
        <f t="shared" si="83"/>
        <v>-73.654060583534658</v>
      </c>
      <c r="R5367" s="23" t="s">
        <v>109</v>
      </c>
      <c r="U5367">
        <v>9</v>
      </c>
      <c r="V5367" t="e">
        <f>VLOOKUP(U5367,[1]!NOMINA[#Data],4,FALSE)</f>
        <v>#REF!</v>
      </c>
      <c r="W5367" t="e">
        <f>VLOOKUP(U5367,[1]!NOMINA[#Data],5,FALSE)</f>
        <v>#REF!</v>
      </c>
    </row>
    <row r="5368" spans="1:23" x14ac:dyDescent="0.25">
      <c r="A5368" s="21">
        <v>45838</v>
      </c>
      <c r="B5368" s="1">
        <v>314681598</v>
      </c>
      <c r="C5368" t="s">
        <v>9458</v>
      </c>
      <c r="D5368" s="22">
        <v>-10839.96</v>
      </c>
      <c r="E5368" s="75" t="s">
        <v>35</v>
      </c>
      <c r="F5368" s="2">
        <v>212901001</v>
      </c>
      <c r="G5368" s="2" t="s">
        <v>121</v>
      </c>
      <c r="L5368" s="2" t="s">
        <v>9459</v>
      </c>
      <c r="M5368" t="s">
        <v>67</v>
      </c>
      <c r="N5368" t="s">
        <v>68</v>
      </c>
      <c r="P5368" s="23">
        <v>107.62</v>
      </c>
      <c r="Q5368" s="4">
        <f t="shared" si="83"/>
        <v>-100.72440066902061</v>
      </c>
      <c r="R5368" s="23" t="s">
        <v>109</v>
      </c>
      <c r="U5368">
        <v>30</v>
      </c>
      <c r="V5368" t="e">
        <f>VLOOKUP(U5368,[1]!NOMINA[#Data],4,FALSE)</f>
        <v>#REF!</v>
      </c>
      <c r="W5368" t="e">
        <f>VLOOKUP(U5368,[1]!NOMINA[#Data],5,FALSE)</f>
        <v>#REF!</v>
      </c>
    </row>
    <row r="5369" spans="1:23" x14ac:dyDescent="0.25">
      <c r="A5369" s="21">
        <v>45838</v>
      </c>
      <c r="B5369" s="1">
        <v>314681601</v>
      </c>
      <c r="C5369" t="s">
        <v>9460</v>
      </c>
      <c r="D5369" s="22">
        <v>-7926.65</v>
      </c>
      <c r="E5369" s="75" t="s">
        <v>35</v>
      </c>
      <c r="F5369" s="2">
        <v>212901001</v>
      </c>
      <c r="G5369" s="2" t="s">
        <v>121</v>
      </c>
      <c r="L5369" s="2" t="s">
        <v>9461</v>
      </c>
      <c r="M5369" t="s">
        <v>67</v>
      </c>
      <c r="N5369" t="s">
        <v>68</v>
      </c>
      <c r="P5369" s="23">
        <v>107.62</v>
      </c>
      <c r="Q5369" s="4">
        <f t="shared" si="83"/>
        <v>-73.654060583534658</v>
      </c>
      <c r="R5369" s="23" t="s">
        <v>109</v>
      </c>
      <c r="U5369">
        <v>10</v>
      </c>
      <c r="V5369" t="e">
        <f>VLOOKUP(U5369,[1]!NOMINA[#Data],4,FALSE)</f>
        <v>#REF!</v>
      </c>
      <c r="W5369" t="e">
        <f>VLOOKUP(U5369,[1]!NOMINA[#Data],5,FALSE)</f>
        <v>#REF!</v>
      </c>
    </row>
    <row r="5370" spans="1:23" x14ac:dyDescent="0.25">
      <c r="A5370" s="21">
        <v>45838</v>
      </c>
      <c r="B5370" s="1">
        <v>314681599</v>
      </c>
      <c r="C5370" t="s">
        <v>9462</v>
      </c>
      <c r="D5370" s="22">
        <v>-3666.05</v>
      </c>
      <c r="E5370" s="75" t="s">
        <v>35</v>
      </c>
      <c r="F5370" s="2">
        <v>212901001</v>
      </c>
      <c r="G5370" s="2" t="s">
        <v>121</v>
      </c>
      <c r="L5370" s="2" t="s">
        <v>9463</v>
      </c>
      <c r="M5370" t="s">
        <v>67</v>
      </c>
      <c r="N5370" t="s">
        <v>68</v>
      </c>
      <c r="P5370" s="23">
        <v>107.62</v>
      </c>
      <c r="Q5370" s="4">
        <f t="shared" si="83"/>
        <v>-34.064764913584838</v>
      </c>
      <c r="R5370" s="23" t="s">
        <v>109</v>
      </c>
      <c r="U5370">
        <v>26</v>
      </c>
      <c r="V5370" t="e">
        <f>VLOOKUP(U5370,[1]!NOMINA[#Data],4,FALSE)</f>
        <v>#REF!</v>
      </c>
      <c r="W5370" t="e">
        <f>VLOOKUP(U5370,[1]!NOMINA[#Data],5,FALSE)</f>
        <v>#REF!</v>
      </c>
    </row>
    <row r="5371" spans="1:23" x14ac:dyDescent="0.25">
      <c r="A5371" s="21">
        <v>45838</v>
      </c>
      <c r="B5371" s="1">
        <v>314681600</v>
      </c>
      <c r="C5371" t="s">
        <v>9464</v>
      </c>
      <c r="D5371" s="22">
        <v>-4197.96</v>
      </c>
      <c r="E5371" s="75" t="s">
        <v>35</v>
      </c>
      <c r="F5371" s="2">
        <v>212901001</v>
      </c>
      <c r="G5371" s="2" t="s">
        <v>121</v>
      </c>
      <c r="L5371" s="2" t="s">
        <v>9465</v>
      </c>
      <c r="M5371" t="s">
        <v>67</v>
      </c>
      <c r="N5371" t="s">
        <v>68</v>
      </c>
      <c r="P5371" s="23">
        <v>107.62</v>
      </c>
      <c r="Q5371" s="4">
        <f t="shared" si="83"/>
        <v>-39.007247723471473</v>
      </c>
      <c r="R5371" s="23" t="s">
        <v>109</v>
      </c>
      <c r="U5371">
        <v>29</v>
      </c>
      <c r="V5371" t="e">
        <f>VLOOKUP(U5371,[1]!NOMINA[#Data],4,FALSE)</f>
        <v>#REF!</v>
      </c>
      <c r="W5371" t="e">
        <f>VLOOKUP(U5371,[1]!NOMINA[#Data],5,FALSE)</f>
        <v>#REF!</v>
      </c>
    </row>
    <row r="5372" spans="1:23" x14ac:dyDescent="0.25">
      <c r="A5372" s="21">
        <v>45838</v>
      </c>
      <c r="B5372" s="1">
        <v>314681602</v>
      </c>
      <c r="C5372" t="s">
        <v>9466</v>
      </c>
      <c r="D5372" s="22">
        <v>-7941.52</v>
      </c>
      <c r="E5372" s="75" t="s">
        <v>35</v>
      </c>
      <c r="F5372" s="2">
        <v>212901001</v>
      </c>
      <c r="G5372" s="2" t="s">
        <v>121</v>
      </c>
      <c r="L5372" s="2" t="s">
        <v>9467</v>
      </c>
      <c r="M5372" t="s">
        <v>67</v>
      </c>
      <c r="N5372" t="s">
        <v>68</v>
      </c>
      <c r="P5372" s="23">
        <v>107.62</v>
      </c>
      <c r="Q5372" s="4">
        <f t="shared" si="83"/>
        <v>-73.792231927151093</v>
      </c>
      <c r="R5372" s="23" t="s">
        <v>109</v>
      </c>
      <c r="U5372">
        <v>18</v>
      </c>
      <c r="V5372" t="e">
        <f>VLOOKUP(Tabla3[[#This Row],[Nº]],[1]!NOMINA[#Data],4,FALSE)</f>
        <v>#REF!</v>
      </c>
      <c r="W5372" t="e">
        <f>VLOOKUP(Tabla3[[#This Row],[Nº]],[1]!NOMINA[#Data],5,FALSE)</f>
        <v>#REF!</v>
      </c>
    </row>
    <row r="5373" spans="1:23" x14ac:dyDescent="0.25">
      <c r="A5373" s="21">
        <v>45838</v>
      </c>
      <c r="B5373" s="1">
        <v>314681603</v>
      </c>
      <c r="C5373" t="s">
        <v>9468</v>
      </c>
      <c r="D5373" s="22">
        <v>-8458.56</v>
      </c>
      <c r="E5373" s="75" t="s">
        <v>35</v>
      </c>
      <c r="F5373" s="2">
        <v>212901001</v>
      </c>
      <c r="G5373" s="2" t="s">
        <v>121</v>
      </c>
      <c r="L5373" s="2" t="s">
        <v>9469</v>
      </c>
      <c r="M5373" t="s">
        <v>67</v>
      </c>
      <c r="N5373" t="s">
        <v>68</v>
      </c>
      <c r="P5373" s="23">
        <v>107.62</v>
      </c>
      <c r="Q5373" s="4">
        <f t="shared" si="83"/>
        <v>-78.596543393421285</v>
      </c>
      <c r="R5373" s="23" t="s">
        <v>109</v>
      </c>
      <c r="U5373">
        <v>35</v>
      </c>
      <c r="V5373" t="e">
        <f>VLOOKUP(U5373,[1]!NOMINA[#Data],4,FALSE)</f>
        <v>#REF!</v>
      </c>
      <c r="W5373" t="e">
        <f>VLOOKUP(U5373,[1]!NOMINA[#Data],5,FALSE)</f>
        <v>#REF!</v>
      </c>
    </row>
    <row r="5374" spans="1:23" x14ac:dyDescent="0.25">
      <c r="A5374" s="21">
        <v>45838</v>
      </c>
      <c r="B5374" s="1">
        <v>314681604</v>
      </c>
      <c r="C5374" t="s">
        <v>9470</v>
      </c>
      <c r="D5374" s="22">
        <v>-7874.63</v>
      </c>
      <c r="E5374" s="75" t="s">
        <v>35</v>
      </c>
      <c r="F5374" s="2">
        <v>212901001</v>
      </c>
      <c r="G5374" s="2" t="s">
        <v>121</v>
      </c>
      <c r="L5374" s="2" t="s">
        <v>9471</v>
      </c>
      <c r="M5374" t="s">
        <v>67</v>
      </c>
      <c r="N5374" t="s">
        <v>68</v>
      </c>
      <c r="P5374" s="23">
        <v>107.62</v>
      </c>
      <c r="Q5374" s="4">
        <f t="shared" si="83"/>
        <v>-73.170693179706376</v>
      </c>
      <c r="R5374" s="23" t="s">
        <v>109</v>
      </c>
      <c r="U5374">
        <v>15</v>
      </c>
      <c r="V5374" t="e">
        <f>VLOOKUP(U5374,[1]!NOMINA[#Data],4,FALSE)</f>
        <v>#REF!</v>
      </c>
      <c r="W5374" t="e">
        <f>VLOOKUP(U5374,[1]!NOMINA[#Data],5,FALSE)</f>
        <v>#REF!</v>
      </c>
    </row>
    <row r="5375" spans="1:23" x14ac:dyDescent="0.25">
      <c r="A5375" s="21">
        <v>45838</v>
      </c>
      <c r="B5375" s="1">
        <v>414681607</v>
      </c>
      <c r="C5375" t="s">
        <v>9472</v>
      </c>
      <c r="D5375" s="22">
        <v>-7133.56</v>
      </c>
      <c r="E5375" s="75" t="s">
        <v>35</v>
      </c>
      <c r="F5375" s="2">
        <v>212901001</v>
      </c>
      <c r="G5375" s="2" t="s">
        <v>121</v>
      </c>
      <c r="L5375" s="2" t="s">
        <v>9473</v>
      </c>
      <c r="M5375" t="s">
        <v>67</v>
      </c>
      <c r="N5375" t="s">
        <v>68</v>
      </c>
      <c r="P5375" s="23">
        <v>107.62</v>
      </c>
      <c r="Q5375" s="4">
        <f t="shared" si="83"/>
        <v>-66.284705445084555</v>
      </c>
      <c r="R5375" s="23" t="s">
        <v>109</v>
      </c>
      <c r="U5375">
        <v>20</v>
      </c>
      <c r="V5375" t="e">
        <f>VLOOKUP(U5375,[1]!NOMINA[#Data],4,FALSE)</f>
        <v>#REF!</v>
      </c>
      <c r="W5375" t="e">
        <f>VLOOKUP(U5375,[1]!NOMINA[#Data],5,FALSE)</f>
        <v>#REF!</v>
      </c>
    </row>
    <row r="5376" spans="1:23" x14ac:dyDescent="0.25">
      <c r="A5376" s="21">
        <v>45838</v>
      </c>
      <c r="B5376" s="1">
        <v>414681606</v>
      </c>
      <c r="C5376" t="s">
        <v>9474</v>
      </c>
      <c r="D5376" s="22">
        <v>-7867.2</v>
      </c>
      <c r="E5376" s="75" t="s">
        <v>35</v>
      </c>
      <c r="F5376" s="2">
        <v>212901001</v>
      </c>
      <c r="G5376" s="2" t="s">
        <v>121</v>
      </c>
      <c r="L5376" s="2" t="s">
        <v>9475</v>
      </c>
      <c r="M5376" t="s">
        <v>67</v>
      </c>
      <c r="N5376" t="s">
        <v>68</v>
      </c>
      <c r="P5376" s="23">
        <v>107.62</v>
      </c>
      <c r="Q5376" s="4">
        <f t="shared" si="83"/>
        <v>-73.101653967663992</v>
      </c>
      <c r="R5376" s="23" t="s">
        <v>109</v>
      </c>
      <c r="U5376">
        <v>33</v>
      </c>
      <c r="V5376" t="e">
        <f>VLOOKUP(U5376,[1]!NOMINA[#Data],4,FALSE)</f>
        <v>#REF!</v>
      </c>
      <c r="W5376" t="e">
        <f>VLOOKUP(U5376,[1]!NOMINA[#Data],5,FALSE)</f>
        <v>#REF!</v>
      </c>
    </row>
    <row r="5377" spans="1:23" x14ac:dyDescent="0.25">
      <c r="A5377" s="21">
        <v>45838</v>
      </c>
      <c r="B5377" s="1">
        <v>414681610</v>
      </c>
      <c r="C5377" t="s">
        <v>9476</v>
      </c>
      <c r="D5377" s="22">
        <v>-7926.65</v>
      </c>
      <c r="E5377" s="75" t="s">
        <v>35</v>
      </c>
      <c r="F5377" s="2">
        <v>212901001</v>
      </c>
      <c r="G5377" s="2" t="s">
        <v>121</v>
      </c>
      <c r="L5377" s="2" t="s">
        <v>9477</v>
      </c>
      <c r="M5377" t="s">
        <v>67</v>
      </c>
      <c r="N5377" t="s">
        <v>68</v>
      </c>
      <c r="P5377" s="23">
        <v>107.62</v>
      </c>
      <c r="Q5377" s="4">
        <f t="shared" si="83"/>
        <v>-73.654060583534658</v>
      </c>
      <c r="R5377" s="23" t="s">
        <v>109</v>
      </c>
      <c r="U5377">
        <v>8</v>
      </c>
      <c r="V5377" t="e">
        <f>VLOOKUP(U5377,[1]!NOMINA[#Data],4,FALSE)</f>
        <v>#REF!</v>
      </c>
      <c r="W5377" t="e">
        <f>VLOOKUP(U5377,[1]!NOMINA[#Data],5,FALSE)</f>
        <v>#REF!</v>
      </c>
    </row>
    <row r="5378" spans="1:23" x14ac:dyDescent="0.25">
      <c r="A5378" s="21">
        <v>45838</v>
      </c>
      <c r="B5378" s="1">
        <v>414681608</v>
      </c>
      <c r="C5378" t="s">
        <v>9478</v>
      </c>
      <c r="D5378" s="22">
        <v>-7831.1</v>
      </c>
      <c r="E5378" s="75" t="s">
        <v>35</v>
      </c>
      <c r="F5378" s="2">
        <v>212901001</v>
      </c>
      <c r="G5378" s="2" t="s">
        <v>121</v>
      </c>
      <c r="L5378" s="2" t="s">
        <v>9479</v>
      </c>
      <c r="M5378" t="s">
        <v>67</v>
      </c>
      <c r="N5378" t="s">
        <v>68</v>
      </c>
      <c r="P5378" s="23">
        <v>107.62</v>
      </c>
      <c r="Q5378" s="4">
        <f t="shared" si="83"/>
        <v>-72.766214458279137</v>
      </c>
      <c r="R5378" s="23" t="s">
        <v>109</v>
      </c>
      <c r="U5378">
        <v>13</v>
      </c>
      <c r="V5378" t="e">
        <f>VLOOKUP(U5378,[1]!NOMINA[#Data],4,FALSE)</f>
        <v>#REF!</v>
      </c>
      <c r="W5378" t="e">
        <f>VLOOKUP(U5378,[1]!NOMINA[#Data],5,FALSE)</f>
        <v>#REF!</v>
      </c>
    </row>
    <row r="5379" spans="1:23" x14ac:dyDescent="0.25">
      <c r="A5379" s="21">
        <v>45838</v>
      </c>
      <c r="B5379" s="1">
        <v>414681612</v>
      </c>
      <c r="C5379" t="s">
        <v>9480</v>
      </c>
      <c r="D5379" s="22">
        <v>-3664.99</v>
      </c>
      <c r="E5379" s="75" t="s">
        <v>35</v>
      </c>
      <c r="F5379" s="2">
        <v>212901001</v>
      </c>
      <c r="G5379" s="2" t="s">
        <v>121</v>
      </c>
      <c r="L5379" s="2" t="s">
        <v>9481</v>
      </c>
      <c r="M5379" t="s">
        <v>67</v>
      </c>
      <c r="N5379" t="s">
        <v>68</v>
      </c>
      <c r="P5379" s="23">
        <v>107.62</v>
      </c>
      <c r="Q5379" s="4">
        <f t="shared" si="83"/>
        <v>-34.054915443226164</v>
      </c>
      <c r="R5379" s="23" t="s">
        <v>109</v>
      </c>
      <c r="U5379">
        <v>23</v>
      </c>
      <c r="V5379" t="e">
        <f>VLOOKUP(U5379,[1]!NOMINA[#Data],4,FALSE)</f>
        <v>#REF!</v>
      </c>
      <c r="W5379" t="e">
        <f>VLOOKUP(U5379,[1]!NOMINA[#Data],5,FALSE)</f>
        <v>#REF!</v>
      </c>
    </row>
    <row r="5380" spans="1:23" x14ac:dyDescent="0.25">
      <c r="A5380" s="21">
        <v>45838</v>
      </c>
      <c r="B5380" s="1">
        <v>414681611</v>
      </c>
      <c r="C5380" t="s">
        <v>9482</v>
      </c>
      <c r="D5380" s="22">
        <v>-7926.65</v>
      </c>
      <c r="E5380" s="75" t="s">
        <v>35</v>
      </c>
      <c r="F5380" s="2">
        <v>212901001</v>
      </c>
      <c r="G5380" s="2" t="s">
        <v>121</v>
      </c>
      <c r="L5380" s="2" t="s">
        <v>9483</v>
      </c>
      <c r="M5380" t="s">
        <v>67</v>
      </c>
      <c r="N5380" t="s">
        <v>68</v>
      </c>
      <c r="P5380" s="23">
        <v>107.62</v>
      </c>
      <c r="Q5380" s="4">
        <f t="shared" si="83"/>
        <v>-73.654060583534658</v>
      </c>
      <c r="R5380" s="23" t="s">
        <v>109</v>
      </c>
      <c r="U5380">
        <v>11</v>
      </c>
      <c r="V5380" t="e">
        <f>VLOOKUP(U5380,[1]!NOMINA[#Data],4,FALSE)</f>
        <v>#REF!</v>
      </c>
      <c r="W5380" t="e">
        <f>VLOOKUP(U5380,[1]!NOMINA[#Data],5,FALSE)</f>
        <v>#REF!</v>
      </c>
    </row>
    <row r="5381" spans="1:23" x14ac:dyDescent="0.25">
      <c r="A5381" s="21">
        <v>45838</v>
      </c>
      <c r="B5381" s="1">
        <v>414681614</v>
      </c>
      <c r="C5381" t="s">
        <v>9484</v>
      </c>
      <c r="D5381" s="22">
        <v>-7941.52</v>
      </c>
      <c r="E5381" s="75" t="s">
        <v>35</v>
      </c>
      <c r="F5381" s="2">
        <v>212901001</v>
      </c>
      <c r="G5381" s="2" t="s">
        <v>121</v>
      </c>
      <c r="L5381" s="2" t="s">
        <v>9485</v>
      </c>
      <c r="M5381" t="s">
        <v>67</v>
      </c>
      <c r="N5381" t="s">
        <v>68</v>
      </c>
      <c r="P5381" s="23">
        <v>107.62</v>
      </c>
      <c r="Q5381" s="4">
        <f t="shared" si="83"/>
        <v>-73.792231927151093</v>
      </c>
      <c r="R5381" s="23" t="s">
        <v>109</v>
      </c>
      <c r="U5381">
        <v>17</v>
      </c>
      <c r="V5381" t="e">
        <f>VLOOKUP(U5381,[1]!NOMINA[#Data],4,FALSE)</f>
        <v>#REF!</v>
      </c>
      <c r="W5381" t="e">
        <f>VLOOKUP(U5381,[1]!NOMINA[#Data],5,FALSE)</f>
        <v>#REF!</v>
      </c>
    </row>
    <row r="5382" spans="1:23" x14ac:dyDescent="0.25">
      <c r="A5382" s="21">
        <v>45838</v>
      </c>
      <c r="B5382" s="1">
        <v>514681615</v>
      </c>
      <c r="C5382" t="s">
        <v>9486</v>
      </c>
      <c r="D5382" s="22">
        <v>-7867.2</v>
      </c>
      <c r="E5382" s="75" t="s">
        <v>35</v>
      </c>
      <c r="F5382" s="2">
        <v>212901001</v>
      </c>
      <c r="G5382" s="2" t="s">
        <v>121</v>
      </c>
      <c r="L5382" s="2" t="s">
        <v>9487</v>
      </c>
      <c r="M5382" t="s">
        <v>67</v>
      </c>
      <c r="N5382" t="s">
        <v>68</v>
      </c>
      <c r="P5382" s="23">
        <v>107.62</v>
      </c>
      <c r="Q5382" s="4">
        <f t="shared" si="83"/>
        <v>-73.101653967663992</v>
      </c>
      <c r="R5382" s="23" t="s">
        <v>109</v>
      </c>
      <c r="U5382">
        <v>31</v>
      </c>
      <c r="V5382" t="e">
        <f>VLOOKUP(U5382,[1]!NOMINA[#Data],4,FALSE)</f>
        <v>#REF!</v>
      </c>
      <c r="W5382" t="e">
        <f>VLOOKUP(U5382,[1]!NOMINA[#Data],5,FALSE)</f>
        <v>#REF!</v>
      </c>
    </row>
    <row r="5383" spans="1:23" x14ac:dyDescent="0.25">
      <c r="A5383" s="21">
        <v>45838</v>
      </c>
      <c r="B5383" s="1">
        <v>514681618</v>
      </c>
      <c r="C5383" t="s">
        <v>9488</v>
      </c>
      <c r="D5383" s="22">
        <v>-5260.72</v>
      </c>
      <c r="E5383" s="75" t="s">
        <v>35</v>
      </c>
      <c r="F5383" s="2">
        <v>212901001</v>
      </c>
      <c r="G5383" s="2" t="s">
        <v>121</v>
      </c>
      <c r="L5383" s="2" t="s">
        <v>9489</v>
      </c>
      <c r="M5383" t="s">
        <v>67</v>
      </c>
      <c r="N5383" t="s">
        <v>68</v>
      </c>
      <c r="P5383" s="23">
        <v>107.62</v>
      </c>
      <c r="Q5383" s="4">
        <f t="shared" si="83"/>
        <v>-48.882363872886081</v>
      </c>
      <c r="R5383" s="23" t="s">
        <v>109</v>
      </c>
      <c r="U5383">
        <v>22</v>
      </c>
      <c r="V5383" t="e">
        <f>VLOOKUP(U5383,[1]!NOMINA[#Data],4,FALSE)</f>
        <v>#REF!</v>
      </c>
      <c r="W5383" t="e">
        <f>VLOOKUP(U5383,[1]!NOMINA[#Data],5,FALSE)</f>
        <v>#REF!</v>
      </c>
    </row>
    <row r="5384" spans="1:23" x14ac:dyDescent="0.25">
      <c r="A5384" s="21">
        <v>45838</v>
      </c>
      <c r="B5384" s="1">
        <v>514681617</v>
      </c>
      <c r="C5384" t="s">
        <v>9490</v>
      </c>
      <c r="D5384" s="22">
        <v>-7867.2</v>
      </c>
      <c r="E5384" s="75" t="s">
        <v>35</v>
      </c>
      <c r="F5384" s="2">
        <v>212901001</v>
      </c>
      <c r="G5384" s="2" t="s">
        <v>121</v>
      </c>
      <c r="L5384" s="2" t="s">
        <v>9491</v>
      </c>
      <c r="M5384" t="s">
        <v>67</v>
      </c>
      <c r="N5384" t="s">
        <v>68</v>
      </c>
      <c r="P5384" s="23">
        <v>107.62</v>
      </c>
      <c r="Q5384" s="4">
        <f t="shared" si="83"/>
        <v>-73.101653967663992</v>
      </c>
      <c r="R5384" s="23" t="s">
        <v>109</v>
      </c>
      <c r="U5384">
        <v>32</v>
      </c>
      <c r="V5384" t="e">
        <f>VLOOKUP(U5384,[1]!NOMINA[#Data],4,FALSE)</f>
        <v>#REF!</v>
      </c>
      <c r="W5384" t="e">
        <f>VLOOKUP(U5384,[1]!NOMINA[#Data],5,FALSE)</f>
        <v>#REF!</v>
      </c>
    </row>
    <row r="5385" spans="1:23" x14ac:dyDescent="0.25">
      <c r="A5385" s="21">
        <v>45838</v>
      </c>
      <c r="B5385" s="1">
        <v>514681616</v>
      </c>
      <c r="C5385" t="s">
        <v>9492</v>
      </c>
      <c r="D5385" s="22">
        <v>-11613.94</v>
      </c>
      <c r="E5385" s="75" t="s">
        <v>35</v>
      </c>
      <c r="F5385" s="2">
        <v>212901001</v>
      </c>
      <c r="G5385" s="2" t="s">
        <v>121</v>
      </c>
      <c r="L5385" s="2" t="s">
        <v>9493</v>
      </c>
      <c r="M5385" t="s">
        <v>67</v>
      </c>
      <c r="N5385" t="s">
        <v>68</v>
      </c>
      <c r="P5385" s="23">
        <v>107.62</v>
      </c>
      <c r="Q5385" s="4">
        <f t="shared" si="83"/>
        <v>-107.91618658241963</v>
      </c>
      <c r="R5385" s="23" t="s">
        <v>109</v>
      </c>
      <c r="U5385">
        <v>4</v>
      </c>
      <c r="V5385" t="e">
        <f>VLOOKUP(U5385,[1]!NOMINA[#Data],4,FALSE)</f>
        <v>#REF!</v>
      </c>
      <c r="W5385" t="e">
        <f>VLOOKUP(U5385,[1]!NOMINA[#Data],5,FALSE)</f>
        <v>#REF!</v>
      </c>
    </row>
    <row r="5386" spans="1:23" x14ac:dyDescent="0.25">
      <c r="A5386" s="21">
        <v>45838</v>
      </c>
      <c r="B5386" s="1">
        <v>514681620</v>
      </c>
      <c r="C5386" t="s">
        <v>9494</v>
      </c>
      <c r="D5386" s="22">
        <v>-5260.72</v>
      </c>
      <c r="E5386" s="75" t="s">
        <v>35</v>
      </c>
      <c r="F5386" s="2">
        <v>212901001</v>
      </c>
      <c r="G5386" s="2" t="s">
        <v>121</v>
      </c>
      <c r="L5386" s="2" t="s">
        <v>9495</v>
      </c>
      <c r="M5386" t="s">
        <v>67</v>
      </c>
      <c r="N5386" t="s">
        <v>68</v>
      </c>
      <c r="P5386" s="23">
        <v>107.62</v>
      </c>
      <c r="Q5386" s="4">
        <f t="shared" si="83"/>
        <v>-48.882363872886081</v>
      </c>
      <c r="R5386" s="23" t="s">
        <v>109</v>
      </c>
      <c r="U5386">
        <v>21</v>
      </c>
      <c r="V5386" t="e">
        <f>VLOOKUP(U5386,[1]!NOMINA[#Data],4,FALSE)</f>
        <v>#REF!</v>
      </c>
      <c r="W5386" t="e">
        <f>VLOOKUP(U5386,[1]!NOMINA[#Data],5,FALSE)</f>
        <v>#REF!</v>
      </c>
    </row>
    <row r="5387" spans="1:23" x14ac:dyDescent="0.25">
      <c r="A5387" s="21">
        <v>45838</v>
      </c>
      <c r="B5387" s="1">
        <v>514681619</v>
      </c>
      <c r="C5387" t="s">
        <v>9496</v>
      </c>
      <c r="D5387" s="22">
        <v>-7874.63</v>
      </c>
      <c r="E5387" s="75" t="s">
        <v>35</v>
      </c>
      <c r="F5387" s="2">
        <v>212901001</v>
      </c>
      <c r="G5387" s="2" t="s">
        <v>121</v>
      </c>
      <c r="L5387" s="2" t="s">
        <v>9497</v>
      </c>
      <c r="M5387" t="s">
        <v>67</v>
      </c>
      <c r="N5387" t="s">
        <v>68</v>
      </c>
      <c r="P5387" s="23">
        <v>107.62</v>
      </c>
      <c r="Q5387" s="4">
        <f t="shared" ref="Q5387:Q5450" si="84">D5387/P5387</f>
        <v>-73.170693179706376</v>
      </c>
      <c r="R5387" s="23" t="s">
        <v>109</v>
      </c>
      <c r="U5387">
        <v>14</v>
      </c>
      <c r="V5387" t="e">
        <f>VLOOKUP(U5387,[1]!NOMINA[#Data],4,FALSE)</f>
        <v>#REF!</v>
      </c>
      <c r="W5387" t="e">
        <f>VLOOKUP(U5387,[1]!NOMINA[#Data],5,FALSE)</f>
        <v>#REF!</v>
      </c>
    </row>
    <row r="5388" spans="1:23" x14ac:dyDescent="0.25">
      <c r="A5388" s="21">
        <v>45838</v>
      </c>
      <c r="B5388" s="1">
        <v>514681623</v>
      </c>
      <c r="C5388" t="s">
        <v>9498</v>
      </c>
      <c r="D5388" s="22">
        <v>-53020.24</v>
      </c>
      <c r="E5388" s="75" t="s">
        <v>35</v>
      </c>
      <c r="F5388" s="2">
        <v>212901001</v>
      </c>
      <c r="G5388" s="2" t="s">
        <v>121</v>
      </c>
      <c r="L5388" s="2" t="s">
        <v>9499</v>
      </c>
      <c r="M5388" t="s">
        <v>67</v>
      </c>
      <c r="N5388" t="s">
        <v>68</v>
      </c>
      <c r="P5388" s="23">
        <v>107.62</v>
      </c>
      <c r="Q5388" s="4">
        <f t="shared" si="84"/>
        <v>-492.66158706560117</v>
      </c>
      <c r="R5388" s="23" t="s">
        <v>109</v>
      </c>
      <c r="U5388">
        <v>2</v>
      </c>
      <c r="V5388" t="e">
        <f>VLOOKUP(Tabla3[[#This Row],[Nº]],[1]!NOMINA[#Data],4,FALSE)</f>
        <v>#REF!</v>
      </c>
      <c r="W5388" t="e">
        <f>VLOOKUP(Tabla3[[#This Row],[Nº]],[1]!NOMINA[#Data],5,FALSE)</f>
        <v>#REF!</v>
      </c>
    </row>
    <row r="5389" spans="1:23" x14ac:dyDescent="0.25">
      <c r="A5389" s="21">
        <v>45838</v>
      </c>
      <c r="B5389" s="1">
        <v>514681621</v>
      </c>
      <c r="C5389" t="s">
        <v>9500</v>
      </c>
      <c r="D5389" s="22">
        <v>-3666.05</v>
      </c>
      <c r="E5389" s="75" t="s">
        <v>35</v>
      </c>
      <c r="F5389" s="2">
        <v>212901001</v>
      </c>
      <c r="G5389" s="2" t="s">
        <v>121</v>
      </c>
      <c r="L5389" s="2" t="s">
        <v>9501</v>
      </c>
      <c r="M5389" t="s">
        <v>67</v>
      </c>
      <c r="N5389" t="s">
        <v>68</v>
      </c>
      <c r="P5389" s="23">
        <v>107.62</v>
      </c>
      <c r="Q5389" s="4">
        <f t="shared" si="84"/>
        <v>-34.064764913584838</v>
      </c>
      <c r="R5389" s="23" t="s">
        <v>109</v>
      </c>
      <c r="U5389">
        <v>25</v>
      </c>
      <c r="V5389" t="e">
        <f>VLOOKUP(U5389,[1]!NOMINA[#Data],4,FALSE)</f>
        <v>#REF!</v>
      </c>
      <c r="W5389" t="e">
        <f>VLOOKUP(U5389,[1]!NOMINA[#Data],5,FALSE)</f>
        <v>#REF!</v>
      </c>
    </row>
    <row r="5390" spans="1:23" x14ac:dyDescent="0.25">
      <c r="A5390" s="21">
        <v>45838</v>
      </c>
      <c r="B5390" s="1">
        <v>614681624</v>
      </c>
      <c r="C5390" t="s">
        <v>9502</v>
      </c>
      <c r="D5390" s="22">
        <v>-4197.96</v>
      </c>
      <c r="E5390" s="75" t="s">
        <v>35</v>
      </c>
      <c r="F5390" s="2">
        <v>212901001</v>
      </c>
      <c r="G5390" s="2" t="s">
        <v>121</v>
      </c>
      <c r="L5390" s="2" t="s">
        <v>9503</v>
      </c>
      <c r="M5390" t="s">
        <v>67</v>
      </c>
      <c r="N5390" t="s">
        <v>68</v>
      </c>
      <c r="P5390" s="23">
        <v>107.62</v>
      </c>
      <c r="Q5390" s="4">
        <f t="shared" si="84"/>
        <v>-39.007247723471473</v>
      </c>
      <c r="R5390" s="23" t="s">
        <v>109</v>
      </c>
      <c r="U5390">
        <v>28</v>
      </c>
      <c r="V5390" t="e">
        <f>VLOOKUP(U5390,[1]!NOMINA[#Data],4,FALSE)</f>
        <v>#REF!</v>
      </c>
      <c r="W5390" t="e">
        <f>VLOOKUP(U5390,[1]!NOMINA[#Data],5,FALSE)</f>
        <v>#REF!</v>
      </c>
    </row>
    <row r="5391" spans="1:23" x14ac:dyDescent="0.25">
      <c r="A5391" s="21">
        <v>45838</v>
      </c>
      <c r="B5391" s="1">
        <v>514681622</v>
      </c>
      <c r="C5391" t="s">
        <v>9504</v>
      </c>
      <c r="D5391" s="22">
        <v>-7371.38</v>
      </c>
      <c r="E5391" s="75" t="s">
        <v>35</v>
      </c>
      <c r="F5391" s="2">
        <v>212901001</v>
      </c>
      <c r="G5391" s="2" t="s">
        <v>121</v>
      </c>
      <c r="L5391" s="2" t="s">
        <v>9505</v>
      </c>
      <c r="M5391" t="s">
        <v>67</v>
      </c>
      <c r="N5391" t="s">
        <v>68</v>
      </c>
      <c r="P5391" s="23">
        <v>107.62</v>
      </c>
      <c r="Q5391" s="4">
        <f t="shared" si="84"/>
        <v>-68.494517747630553</v>
      </c>
      <c r="R5391" s="23" t="s">
        <v>109</v>
      </c>
      <c r="U5391">
        <v>12</v>
      </c>
      <c r="V5391" t="e">
        <f>VLOOKUP(U5391,[1]!NOMINA[#Data],4,FALSE)</f>
        <v>#REF!</v>
      </c>
      <c r="W5391" t="e">
        <f>VLOOKUP(U5391,[1]!NOMINA[#Data],5,FALSE)</f>
        <v>#REF!</v>
      </c>
    </row>
    <row r="5392" spans="1:23" x14ac:dyDescent="0.25">
      <c r="A5392" s="21">
        <v>45838</v>
      </c>
      <c r="B5392" s="1">
        <v>614681628</v>
      </c>
      <c r="C5392" t="s">
        <v>9506</v>
      </c>
      <c r="D5392" s="22">
        <v>-3666.05</v>
      </c>
      <c r="E5392" s="75" t="s">
        <v>35</v>
      </c>
      <c r="F5392" s="2">
        <v>212901001</v>
      </c>
      <c r="G5392" s="2" t="s">
        <v>121</v>
      </c>
      <c r="L5392" s="2" t="s">
        <v>9507</v>
      </c>
      <c r="M5392" t="s">
        <v>67</v>
      </c>
      <c r="N5392" t="s">
        <v>68</v>
      </c>
      <c r="P5392" s="23">
        <v>107.62</v>
      </c>
      <c r="Q5392" s="4">
        <f t="shared" si="84"/>
        <v>-34.064764913584838</v>
      </c>
      <c r="R5392" s="23" t="s">
        <v>109</v>
      </c>
      <c r="U5392">
        <v>27</v>
      </c>
      <c r="V5392" t="e">
        <f>VLOOKUP(U5392,[1]!NOMINA[#Data],4,FALSE)</f>
        <v>#REF!</v>
      </c>
      <c r="W5392" t="e">
        <f>VLOOKUP(U5392,[1]!NOMINA[#Data],5,FALSE)</f>
        <v>#REF!</v>
      </c>
    </row>
    <row r="5393" spans="1:23" x14ac:dyDescent="0.25">
      <c r="A5393" s="21">
        <v>45838</v>
      </c>
      <c r="B5393" s="1">
        <v>614681629</v>
      </c>
      <c r="C5393" t="s">
        <v>9508</v>
      </c>
      <c r="D5393" s="22">
        <v>-5273.46</v>
      </c>
      <c r="E5393" s="75" t="s">
        <v>35</v>
      </c>
      <c r="F5393" s="2">
        <v>212901001</v>
      </c>
      <c r="G5393" s="2" t="s">
        <v>121</v>
      </c>
      <c r="L5393" s="2" t="s">
        <v>9509</v>
      </c>
      <c r="M5393" t="s">
        <v>67</v>
      </c>
      <c r="N5393" t="s">
        <v>68</v>
      </c>
      <c r="P5393" s="23">
        <v>107.62</v>
      </c>
      <c r="Q5393" s="4">
        <f t="shared" si="84"/>
        <v>-49.00074335625348</v>
      </c>
      <c r="R5393" s="23" t="s">
        <v>109</v>
      </c>
      <c r="U5393">
        <v>19</v>
      </c>
      <c r="V5393" t="e">
        <f>VLOOKUP(U5393,[1]!NOMINA[#Data],4,FALSE)</f>
        <v>#REF!</v>
      </c>
      <c r="W5393" t="e">
        <f>VLOOKUP(U5393,[1]!NOMINA[#Data],5,FALSE)</f>
        <v>#REF!</v>
      </c>
    </row>
    <row r="5394" spans="1:23" x14ac:dyDescent="0.25">
      <c r="A5394" s="21">
        <v>45838</v>
      </c>
      <c r="B5394" s="1">
        <v>614681626</v>
      </c>
      <c r="C5394" t="s">
        <v>9510</v>
      </c>
      <c r="D5394" s="22">
        <v>-5267.09</v>
      </c>
      <c r="E5394" s="75" t="s">
        <v>35</v>
      </c>
      <c r="F5394" s="2">
        <v>212901001</v>
      </c>
      <c r="G5394" s="2" t="s">
        <v>121</v>
      </c>
      <c r="L5394" s="2" t="s">
        <v>9511</v>
      </c>
      <c r="M5394" t="s">
        <v>67</v>
      </c>
      <c r="N5394" t="s">
        <v>68</v>
      </c>
      <c r="P5394" s="23">
        <v>107.62</v>
      </c>
      <c r="Q5394" s="4">
        <f t="shared" si="84"/>
        <v>-48.941553614569784</v>
      </c>
      <c r="R5394" s="23" t="s">
        <v>109</v>
      </c>
      <c r="U5394">
        <v>24</v>
      </c>
      <c r="V5394" t="e">
        <f>VLOOKUP(U5394,[1]!NOMINA[#Data],4,FALSE)</f>
        <v>#REF!</v>
      </c>
      <c r="W5394" t="e">
        <f>VLOOKUP(U5394,[1]!NOMINA[#Data],5,FALSE)</f>
        <v>#REF!</v>
      </c>
    </row>
    <row r="5395" spans="1:23" x14ac:dyDescent="0.25">
      <c r="A5395" s="21">
        <v>45838</v>
      </c>
      <c r="B5395" s="1">
        <v>614681625</v>
      </c>
      <c r="C5395" t="s">
        <v>9512</v>
      </c>
      <c r="D5395" s="22">
        <v>-13206.49</v>
      </c>
      <c r="E5395" s="75" t="s">
        <v>35</v>
      </c>
      <c r="F5395" s="2">
        <v>212901001</v>
      </c>
      <c r="G5395" s="2" t="s">
        <v>121</v>
      </c>
      <c r="L5395" s="2" t="s">
        <v>9513</v>
      </c>
      <c r="M5395" t="s">
        <v>67</v>
      </c>
      <c r="N5395" t="s">
        <v>68</v>
      </c>
      <c r="P5395" s="23">
        <v>107.62</v>
      </c>
      <c r="Q5395" s="4">
        <f t="shared" si="84"/>
        <v>-122.71408660100353</v>
      </c>
      <c r="R5395" s="23" t="s">
        <v>109</v>
      </c>
      <c r="U5395">
        <v>6</v>
      </c>
      <c r="V5395" t="e">
        <f>VLOOKUP(U5395,[1]!NOMINA[#Data],4,FALSE)</f>
        <v>#REF!</v>
      </c>
      <c r="W5395" t="e">
        <f>VLOOKUP(U5395,[1]!NOMINA[#Data],5,FALSE)</f>
        <v>#REF!</v>
      </c>
    </row>
    <row r="5396" spans="1:23" x14ac:dyDescent="0.25">
      <c r="A5396" s="21">
        <v>45838</v>
      </c>
      <c r="B5396" s="1">
        <v>614681627</v>
      </c>
      <c r="C5396" t="s">
        <v>9514</v>
      </c>
      <c r="D5396" s="22">
        <v>-26477.74</v>
      </c>
      <c r="E5396" s="75" t="s">
        <v>35</v>
      </c>
      <c r="F5396" s="2">
        <v>212901001</v>
      </c>
      <c r="G5396" s="2" t="s">
        <v>121</v>
      </c>
      <c r="L5396" s="2" t="s">
        <v>9515</v>
      </c>
      <c r="M5396" t="s">
        <v>67</v>
      </c>
      <c r="N5396" t="s">
        <v>68</v>
      </c>
      <c r="P5396" s="23">
        <v>107.62</v>
      </c>
      <c r="Q5396" s="4">
        <f t="shared" si="84"/>
        <v>-246.02992008920276</v>
      </c>
      <c r="R5396" s="23" t="s">
        <v>109</v>
      </c>
      <c r="U5396">
        <v>3</v>
      </c>
      <c r="V5396" t="e">
        <f>VLOOKUP(U5396,[1]!NOMINA[#Data],4,FALSE)</f>
        <v>#REF!</v>
      </c>
      <c r="W5396" t="e">
        <f>VLOOKUP(U5396,[1]!NOMINA[#Data],5,FALSE)</f>
        <v>#REF!</v>
      </c>
    </row>
    <row r="5397" spans="1:23" x14ac:dyDescent="0.25">
      <c r="A5397" s="21">
        <v>45838</v>
      </c>
      <c r="B5397" s="1">
        <v>614681631</v>
      </c>
      <c r="C5397" t="s">
        <v>9516</v>
      </c>
      <c r="D5397" s="22">
        <v>-7941.52</v>
      </c>
      <c r="E5397" s="75" t="s">
        <v>35</v>
      </c>
      <c r="F5397" s="2">
        <v>212901001</v>
      </c>
      <c r="G5397" s="2" t="s">
        <v>121</v>
      </c>
      <c r="L5397" s="2" t="s">
        <v>9517</v>
      </c>
      <c r="M5397" t="s">
        <v>67</v>
      </c>
      <c r="N5397" t="s">
        <v>68</v>
      </c>
      <c r="P5397" s="23">
        <v>107.62</v>
      </c>
      <c r="Q5397" s="4">
        <f t="shared" si="84"/>
        <v>-73.792231927151093</v>
      </c>
      <c r="R5397" s="23" t="s">
        <v>109</v>
      </c>
      <c r="U5397">
        <v>16</v>
      </c>
      <c r="V5397" t="e">
        <f>VLOOKUP(Tabla3[[#This Row],[Nº]],[1]!NOMINA[#Data],4,FALSE)</f>
        <v>#REF!</v>
      </c>
      <c r="W5397" t="e">
        <f>VLOOKUP(Tabla3[[#This Row],[Nº]],[1]!NOMINA[#Data],5,FALSE)</f>
        <v>#REF!</v>
      </c>
    </row>
    <row r="5398" spans="1:23" x14ac:dyDescent="0.25">
      <c r="A5398" s="21">
        <v>45838</v>
      </c>
      <c r="B5398" s="1">
        <v>614681630</v>
      </c>
      <c r="C5398" t="s">
        <v>9518</v>
      </c>
      <c r="D5398" s="22">
        <v>-6855.4</v>
      </c>
      <c r="E5398" s="75" t="s">
        <v>35</v>
      </c>
      <c r="F5398" s="2">
        <v>212901001</v>
      </c>
      <c r="G5398" s="2" t="s">
        <v>121</v>
      </c>
      <c r="L5398" s="2" t="s">
        <v>9519</v>
      </c>
      <c r="M5398" t="s">
        <v>67</v>
      </c>
      <c r="N5398" t="s">
        <v>68</v>
      </c>
      <c r="P5398" s="23">
        <v>107.62</v>
      </c>
      <c r="Q5398" s="4">
        <f t="shared" si="84"/>
        <v>-63.700055751719006</v>
      </c>
      <c r="R5398" s="23" t="s">
        <v>109</v>
      </c>
      <c r="U5398">
        <v>5</v>
      </c>
      <c r="V5398" t="e">
        <f>VLOOKUP(U5398,[1]!NOMINA[#Data],4,FALSE)</f>
        <v>#REF!</v>
      </c>
      <c r="W5398" t="e">
        <f>VLOOKUP(U5398,[1]!NOMINA[#Data],5,FALSE)</f>
        <v>#REF!</v>
      </c>
    </row>
    <row r="5399" spans="1:23" x14ac:dyDescent="0.25">
      <c r="A5399" s="21">
        <v>45838</v>
      </c>
      <c r="B5399" s="1">
        <v>714681633</v>
      </c>
      <c r="C5399" t="s">
        <v>9520</v>
      </c>
      <c r="D5399" s="22">
        <v>-42403.24</v>
      </c>
      <c r="E5399" s="75" t="s">
        <v>35</v>
      </c>
      <c r="F5399" s="2">
        <v>212901001</v>
      </c>
      <c r="G5399" s="2" t="s">
        <v>121</v>
      </c>
      <c r="L5399" s="2" t="s">
        <v>9521</v>
      </c>
      <c r="M5399" t="s">
        <v>67</v>
      </c>
      <c r="N5399" t="s">
        <v>68</v>
      </c>
      <c r="P5399" s="23">
        <v>107.62</v>
      </c>
      <c r="Q5399" s="4">
        <f t="shared" si="84"/>
        <v>-394.00892027504176</v>
      </c>
      <c r="R5399" s="23" t="s">
        <v>109</v>
      </c>
      <c r="U5399">
        <v>1</v>
      </c>
      <c r="V5399" t="e">
        <f>VLOOKUP(U5399,[1]!NOMINA[#Data],4,FALSE)</f>
        <v>#REF!</v>
      </c>
      <c r="W5399" t="e">
        <f>VLOOKUP(U5399,[1]!NOMINA[#Data],5,FALSE)</f>
        <v>#REF!</v>
      </c>
    </row>
    <row r="5400" spans="1:23" x14ac:dyDescent="0.25">
      <c r="A5400" s="21">
        <v>45838</v>
      </c>
      <c r="B5400" s="1">
        <v>614681632</v>
      </c>
      <c r="C5400" t="s">
        <v>9522</v>
      </c>
      <c r="D5400" s="22">
        <v>-3667.11</v>
      </c>
      <c r="E5400" s="75" t="s">
        <v>35</v>
      </c>
      <c r="F5400" s="2">
        <v>212901001</v>
      </c>
      <c r="G5400" s="2" t="s">
        <v>121</v>
      </c>
      <c r="L5400" s="2" t="s">
        <v>9523</v>
      </c>
      <c r="M5400" t="s">
        <v>67</v>
      </c>
      <c r="N5400" t="s">
        <v>68</v>
      </c>
      <c r="P5400" s="23">
        <v>107.62</v>
      </c>
      <c r="Q5400" s="4">
        <f t="shared" si="84"/>
        <v>-34.074614383943505</v>
      </c>
      <c r="R5400" s="23" t="s">
        <v>109</v>
      </c>
      <c r="U5400">
        <v>7</v>
      </c>
      <c r="V5400" t="e">
        <f>VLOOKUP(U5400,[1]!NOMINA[#Data],4,FALSE)</f>
        <v>#REF!</v>
      </c>
      <c r="W5400" t="e">
        <f>VLOOKUP(U5400,[1]!NOMINA[#Data],5,FALSE)</f>
        <v>#REF!</v>
      </c>
    </row>
    <row r="5401" spans="1:23" x14ac:dyDescent="0.25">
      <c r="A5401" s="21">
        <v>45838</v>
      </c>
      <c r="B5401" s="1">
        <v>714681634</v>
      </c>
      <c r="C5401" t="s">
        <v>9524</v>
      </c>
      <c r="D5401" s="22">
        <v>-4246.8</v>
      </c>
      <c r="E5401" s="75" t="s">
        <v>35</v>
      </c>
      <c r="F5401" s="2">
        <v>212901001</v>
      </c>
      <c r="G5401" s="2" t="s">
        <v>121</v>
      </c>
      <c r="L5401" s="2" t="s">
        <v>9525</v>
      </c>
      <c r="M5401" t="s">
        <v>67</v>
      </c>
      <c r="N5401" t="s">
        <v>68</v>
      </c>
      <c r="P5401" s="23">
        <v>107.62</v>
      </c>
      <c r="Q5401" s="4">
        <f t="shared" si="84"/>
        <v>-39.461066716223748</v>
      </c>
      <c r="R5401" s="23" t="s">
        <v>109</v>
      </c>
      <c r="U5401">
        <v>4</v>
      </c>
      <c r="V5401" t="e">
        <f>VLOOKUP(U5401,[1]!NOMINA[#Data],4,FALSE)</f>
        <v>#REF!</v>
      </c>
      <c r="W5401" t="e">
        <f>VLOOKUP(U5401,[1]!NOMINA[#Data],5,FALSE)</f>
        <v>#REF!</v>
      </c>
    </row>
    <row r="5402" spans="1:23" x14ac:dyDescent="0.25">
      <c r="A5402" s="21">
        <v>45838</v>
      </c>
      <c r="B5402" s="1">
        <v>714681635</v>
      </c>
      <c r="C5402" t="s">
        <v>9526</v>
      </c>
      <c r="D5402" s="22">
        <v>-4246.8</v>
      </c>
      <c r="E5402" s="75" t="s">
        <v>35</v>
      </c>
      <c r="F5402" s="2">
        <v>212901001</v>
      </c>
      <c r="G5402" s="2" t="s">
        <v>121</v>
      </c>
      <c r="L5402" s="2" t="s">
        <v>9527</v>
      </c>
      <c r="M5402" t="s">
        <v>67</v>
      </c>
      <c r="N5402" t="s">
        <v>68</v>
      </c>
      <c r="P5402" s="23">
        <v>107.62</v>
      </c>
      <c r="Q5402" s="4">
        <f t="shared" si="84"/>
        <v>-39.461066716223748</v>
      </c>
      <c r="R5402" s="23" t="s">
        <v>109</v>
      </c>
      <c r="U5402">
        <v>2</v>
      </c>
      <c r="V5402" t="e">
        <f>VLOOKUP(Tabla3[[#This Row],[Nº]],[1]!NOMINA[#Data],4,FALSE)</f>
        <v>#REF!</v>
      </c>
      <c r="W5402" t="e">
        <f>VLOOKUP(Tabla3[[#This Row],[Nº]],[1]!NOMINA[#Data],5,FALSE)</f>
        <v>#REF!</v>
      </c>
    </row>
    <row r="5403" spans="1:23" x14ac:dyDescent="0.25">
      <c r="A5403" s="21">
        <v>45838</v>
      </c>
      <c r="B5403" s="1">
        <v>714681638</v>
      </c>
      <c r="C5403" t="s">
        <v>9528</v>
      </c>
      <c r="D5403" s="22">
        <v>-4246.8</v>
      </c>
      <c r="E5403" s="75" t="s">
        <v>35</v>
      </c>
      <c r="F5403" s="2">
        <v>212901001</v>
      </c>
      <c r="G5403" s="2" t="s">
        <v>121</v>
      </c>
      <c r="L5403" s="2" t="s">
        <v>9529</v>
      </c>
      <c r="M5403" t="s">
        <v>67</v>
      </c>
      <c r="N5403" t="s">
        <v>68</v>
      </c>
      <c r="P5403" s="23">
        <v>107.62</v>
      </c>
      <c r="Q5403" s="4">
        <f t="shared" si="84"/>
        <v>-39.461066716223748</v>
      </c>
      <c r="R5403" s="23" t="s">
        <v>109</v>
      </c>
      <c r="U5403">
        <v>3</v>
      </c>
      <c r="V5403" t="e">
        <f>VLOOKUP(U5403,[1]!NOMINA[#Data],4,FALSE)</f>
        <v>#REF!</v>
      </c>
      <c r="W5403" t="e">
        <f>VLOOKUP(U5403,[1]!NOMINA[#Data],5,FALSE)</f>
        <v>#REF!</v>
      </c>
    </row>
    <row r="5404" spans="1:23" x14ac:dyDescent="0.25">
      <c r="A5404" s="21">
        <v>45838</v>
      </c>
      <c r="B5404" s="1">
        <v>714681636</v>
      </c>
      <c r="C5404" t="s">
        <v>9530</v>
      </c>
      <c r="D5404" s="22">
        <v>-4246.8</v>
      </c>
      <c r="E5404" s="75" t="s">
        <v>35</v>
      </c>
      <c r="F5404" s="2">
        <v>212901001</v>
      </c>
      <c r="G5404" s="2" t="s">
        <v>121</v>
      </c>
      <c r="L5404" s="2" t="s">
        <v>9531</v>
      </c>
      <c r="M5404" t="s">
        <v>67</v>
      </c>
      <c r="N5404" t="s">
        <v>68</v>
      </c>
      <c r="P5404" s="23">
        <v>107.62</v>
      </c>
      <c r="Q5404" s="4">
        <f t="shared" si="84"/>
        <v>-39.461066716223748</v>
      </c>
      <c r="R5404" s="23" t="s">
        <v>109</v>
      </c>
      <c r="U5404">
        <v>1</v>
      </c>
      <c r="V5404" t="e">
        <f>VLOOKUP(U5404,[1]!NOMINA[#Data],4,FALSE)</f>
        <v>#REF!</v>
      </c>
      <c r="W5404" t="e">
        <f>VLOOKUP(U5404,[1]!NOMINA[#Data],5,FALSE)</f>
        <v>#REF!</v>
      </c>
    </row>
    <row r="5405" spans="1:23" x14ac:dyDescent="0.25">
      <c r="A5405" s="21">
        <v>45838</v>
      </c>
      <c r="B5405" s="1">
        <v>714681637</v>
      </c>
      <c r="C5405" t="s">
        <v>9532</v>
      </c>
      <c r="D5405" s="22">
        <v>-4246.8</v>
      </c>
      <c r="E5405" s="75" t="s">
        <v>35</v>
      </c>
      <c r="F5405" s="2">
        <v>212901001</v>
      </c>
      <c r="G5405" s="2" t="s">
        <v>121</v>
      </c>
      <c r="L5405" s="2" t="s">
        <v>9533</v>
      </c>
      <c r="M5405" t="s">
        <v>67</v>
      </c>
      <c r="N5405" t="s">
        <v>68</v>
      </c>
      <c r="P5405" s="23">
        <v>107.62</v>
      </c>
      <c r="Q5405" s="4">
        <f t="shared" si="84"/>
        <v>-39.461066716223748</v>
      </c>
      <c r="R5405" s="23" t="s">
        <v>109</v>
      </c>
      <c r="U5405">
        <v>9</v>
      </c>
      <c r="V5405" t="e">
        <f>VLOOKUP(U5405,[1]!NOMINA[#Data],4,FALSE)</f>
        <v>#REF!</v>
      </c>
      <c r="W5405" t="e">
        <f>VLOOKUP(U5405,[1]!NOMINA[#Data],5,FALSE)</f>
        <v>#REF!</v>
      </c>
    </row>
    <row r="5406" spans="1:23" x14ac:dyDescent="0.25">
      <c r="A5406" s="21">
        <v>45838</v>
      </c>
      <c r="B5406" s="1">
        <v>714681639</v>
      </c>
      <c r="C5406" t="s">
        <v>9534</v>
      </c>
      <c r="D5406" s="22">
        <v>-1981.84</v>
      </c>
      <c r="E5406" s="75" t="s">
        <v>35</v>
      </c>
      <c r="F5406" s="2">
        <v>212901001</v>
      </c>
      <c r="G5406" s="2" t="s">
        <v>121</v>
      </c>
      <c r="L5406" s="2" t="s">
        <v>9535</v>
      </c>
      <c r="M5406" t="s">
        <v>67</v>
      </c>
      <c r="N5406" t="s">
        <v>68</v>
      </c>
      <c r="P5406" s="23">
        <v>107.62</v>
      </c>
      <c r="Q5406" s="4">
        <f t="shared" si="84"/>
        <v>-18.415164467571081</v>
      </c>
      <c r="R5406" s="23" t="s">
        <v>109</v>
      </c>
      <c r="U5406">
        <v>31</v>
      </c>
      <c r="V5406" t="e">
        <f>VLOOKUP(U5406,[1]!NOMINA[#Data],4,FALSE)</f>
        <v>#REF!</v>
      </c>
      <c r="W5406" t="e">
        <f>VLOOKUP(U5406,[1]!NOMINA[#Data],5,FALSE)</f>
        <v>#REF!</v>
      </c>
    </row>
    <row r="5407" spans="1:23" x14ac:dyDescent="0.25">
      <c r="A5407" s="21">
        <v>45838</v>
      </c>
      <c r="B5407" s="1">
        <v>714681640</v>
      </c>
      <c r="C5407" t="s">
        <v>9536</v>
      </c>
      <c r="D5407" s="22">
        <v>-4246.8</v>
      </c>
      <c r="E5407" s="75" t="s">
        <v>35</v>
      </c>
      <c r="F5407" s="2">
        <v>212901001</v>
      </c>
      <c r="G5407" s="2" t="s">
        <v>121</v>
      </c>
      <c r="L5407" s="2" t="s">
        <v>9537</v>
      </c>
      <c r="M5407" t="s">
        <v>67</v>
      </c>
      <c r="N5407" t="s">
        <v>68</v>
      </c>
      <c r="P5407" s="23">
        <v>107.62</v>
      </c>
      <c r="Q5407" s="4">
        <f t="shared" si="84"/>
        <v>-39.461066716223748</v>
      </c>
      <c r="R5407" s="23" t="s">
        <v>109</v>
      </c>
      <c r="U5407">
        <v>10</v>
      </c>
      <c r="V5407" t="e">
        <f>VLOOKUP(U5407,[1]!NOMINA[#Data],4,FALSE)</f>
        <v>#REF!</v>
      </c>
      <c r="W5407" t="e">
        <f>VLOOKUP(U5407,[1]!NOMINA[#Data],5,FALSE)</f>
        <v>#REF!</v>
      </c>
    </row>
    <row r="5408" spans="1:23" x14ac:dyDescent="0.25">
      <c r="A5408" s="21">
        <v>45838</v>
      </c>
      <c r="B5408" s="1">
        <v>714681641</v>
      </c>
      <c r="C5408" t="s">
        <v>9538</v>
      </c>
      <c r="D5408" s="22">
        <v>-4246.8</v>
      </c>
      <c r="E5408" s="75" t="s">
        <v>35</v>
      </c>
      <c r="F5408" s="2">
        <v>212901001</v>
      </c>
      <c r="G5408" s="2" t="s">
        <v>121</v>
      </c>
      <c r="L5408" s="2" t="s">
        <v>9539</v>
      </c>
      <c r="M5408" t="s">
        <v>67</v>
      </c>
      <c r="N5408" t="s">
        <v>68</v>
      </c>
      <c r="P5408" s="23">
        <v>107.62</v>
      </c>
      <c r="Q5408" s="4">
        <f t="shared" si="84"/>
        <v>-39.461066716223748</v>
      </c>
      <c r="R5408" s="23" t="s">
        <v>109</v>
      </c>
      <c r="U5408">
        <v>26</v>
      </c>
      <c r="V5408" t="e">
        <f>VLOOKUP(U5408,[1]!NOMINA[#Data],4,FALSE)</f>
        <v>#REF!</v>
      </c>
      <c r="W5408" t="e">
        <f>VLOOKUP(U5408,[1]!NOMINA[#Data],5,FALSE)</f>
        <v>#REF!</v>
      </c>
    </row>
    <row r="5409" spans="1:23" x14ac:dyDescent="0.25">
      <c r="A5409" s="21">
        <v>45838</v>
      </c>
      <c r="B5409" s="1">
        <v>814681642</v>
      </c>
      <c r="C5409" t="s">
        <v>9540</v>
      </c>
      <c r="D5409" s="22">
        <v>-4246.8</v>
      </c>
      <c r="E5409" s="75" t="s">
        <v>35</v>
      </c>
      <c r="F5409" s="2">
        <v>212901001</v>
      </c>
      <c r="G5409" s="2" t="s">
        <v>121</v>
      </c>
      <c r="L5409" s="2" t="s">
        <v>9541</v>
      </c>
      <c r="M5409" t="s">
        <v>67</v>
      </c>
      <c r="N5409" t="s">
        <v>68</v>
      </c>
      <c r="P5409" s="23">
        <v>107.62</v>
      </c>
      <c r="Q5409" s="4">
        <f t="shared" si="84"/>
        <v>-39.461066716223748</v>
      </c>
      <c r="R5409" s="23" t="s">
        <v>109</v>
      </c>
      <c r="U5409">
        <v>29</v>
      </c>
      <c r="V5409" t="e">
        <f>VLOOKUP(U5409,[1]!NOMINA[#Data],4,FALSE)</f>
        <v>#REF!</v>
      </c>
      <c r="W5409" t="e">
        <f>VLOOKUP(U5409,[1]!NOMINA[#Data],5,FALSE)</f>
        <v>#REF!</v>
      </c>
    </row>
    <row r="5410" spans="1:23" x14ac:dyDescent="0.25">
      <c r="A5410" s="21">
        <v>45838</v>
      </c>
      <c r="B5410" s="1">
        <v>814681646</v>
      </c>
      <c r="C5410" t="s">
        <v>9542</v>
      </c>
      <c r="D5410" s="22">
        <v>-4246.8</v>
      </c>
      <c r="E5410" s="75" t="s">
        <v>35</v>
      </c>
      <c r="F5410" s="2">
        <v>212901001</v>
      </c>
      <c r="G5410" s="2" t="s">
        <v>121</v>
      </c>
      <c r="L5410" s="2" t="s">
        <v>9543</v>
      </c>
      <c r="M5410" t="s">
        <v>67</v>
      </c>
      <c r="N5410" t="s">
        <v>68</v>
      </c>
      <c r="P5410" s="23">
        <v>107.62</v>
      </c>
      <c r="Q5410" s="4">
        <f t="shared" si="84"/>
        <v>-39.461066716223748</v>
      </c>
      <c r="R5410" s="23" t="s">
        <v>109</v>
      </c>
      <c r="U5410">
        <v>18</v>
      </c>
      <c r="V5410" t="e">
        <f>VLOOKUP(Tabla3[[#This Row],[Nº]],[1]!NOMINA[#Data],4,FALSE)</f>
        <v>#REF!</v>
      </c>
      <c r="W5410" t="e">
        <f>VLOOKUP(Tabla3[[#This Row],[Nº]],[1]!NOMINA[#Data],5,FALSE)</f>
        <v>#REF!</v>
      </c>
    </row>
    <row r="5411" spans="1:23" x14ac:dyDescent="0.25">
      <c r="A5411" s="21">
        <v>45838</v>
      </c>
      <c r="B5411" s="1">
        <v>814681643</v>
      </c>
      <c r="C5411" t="s">
        <v>9544</v>
      </c>
      <c r="D5411" s="22">
        <v>-4246.8</v>
      </c>
      <c r="E5411" s="75" t="s">
        <v>35</v>
      </c>
      <c r="F5411" s="2">
        <v>212901001</v>
      </c>
      <c r="G5411" s="2" t="s">
        <v>121</v>
      </c>
      <c r="L5411" s="2" t="s">
        <v>9545</v>
      </c>
      <c r="M5411" t="s">
        <v>67</v>
      </c>
      <c r="N5411" t="s">
        <v>68</v>
      </c>
      <c r="P5411" s="23">
        <v>107.62</v>
      </c>
      <c r="Q5411" s="4">
        <f t="shared" si="84"/>
        <v>-39.461066716223748</v>
      </c>
      <c r="R5411" s="23" t="s">
        <v>109</v>
      </c>
      <c r="U5411">
        <v>35</v>
      </c>
      <c r="V5411" t="e">
        <f>VLOOKUP(U5411,[1]!NOMINA[#Data],4,FALSE)</f>
        <v>#REF!</v>
      </c>
      <c r="W5411" t="e">
        <f>VLOOKUP(U5411,[1]!NOMINA[#Data],5,FALSE)</f>
        <v>#REF!</v>
      </c>
    </row>
    <row r="5412" spans="1:23" x14ac:dyDescent="0.25">
      <c r="A5412" s="21">
        <v>45838</v>
      </c>
      <c r="B5412" s="1">
        <v>814681645</v>
      </c>
      <c r="C5412" t="s">
        <v>9546</v>
      </c>
      <c r="D5412" s="22">
        <v>-4246.8</v>
      </c>
      <c r="E5412" s="75" t="s">
        <v>35</v>
      </c>
      <c r="F5412" s="2">
        <v>212901001</v>
      </c>
      <c r="G5412" s="2" t="s">
        <v>121</v>
      </c>
      <c r="L5412" s="2" t="s">
        <v>9547</v>
      </c>
      <c r="M5412" t="s">
        <v>67</v>
      </c>
      <c r="N5412" t="s">
        <v>68</v>
      </c>
      <c r="P5412" s="23">
        <v>107.62</v>
      </c>
      <c r="Q5412" s="4">
        <f t="shared" si="84"/>
        <v>-39.461066716223748</v>
      </c>
      <c r="R5412" s="23" t="s">
        <v>109</v>
      </c>
      <c r="U5412">
        <v>15</v>
      </c>
      <c r="V5412" t="e">
        <f>VLOOKUP(U5412,[1]!NOMINA[#Data],4,FALSE)</f>
        <v>#REF!</v>
      </c>
      <c r="W5412" t="e">
        <f>VLOOKUP(U5412,[1]!NOMINA[#Data],5,FALSE)</f>
        <v>#REF!</v>
      </c>
    </row>
    <row r="5413" spans="1:23" x14ac:dyDescent="0.25">
      <c r="A5413" s="21">
        <v>45838</v>
      </c>
      <c r="B5413" s="1">
        <v>814681648</v>
      </c>
      <c r="C5413" t="s">
        <v>9548</v>
      </c>
      <c r="D5413" s="22">
        <v>-1981.84</v>
      </c>
      <c r="E5413" s="75" t="s">
        <v>35</v>
      </c>
      <c r="F5413" s="2">
        <v>212901001</v>
      </c>
      <c r="G5413" s="2" t="s">
        <v>121</v>
      </c>
      <c r="L5413" s="2" t="s">
        <v>9549</v>
      </c>
      <c r="M5413" t="s">
        <v>67</v>
      </c>
      <c r="N5413" t="s">
        <v>68</v>
      </c>
      <c r="P5413" s="23">
        <v>107.62</v>
      </c>
      <c r="Q5413" s="4">
        <f t="shared" si="84"/>
        <v>-18.415164467571081</v>
      </c>
      <c r="R5413" s="23" t="s">
        <v>109</v>
      </c>
      <c r="U5413">
        <v>33</v>
      </c>
      <c r="V5413" t="e">
        <f>VLOOKUP(U5413,[1]!NOMINA[#Data],4,FALSE)</f>
        <v>#REF!</v>
      </c>
      <c r="W5413" t="e">
        <f>VLOOKUP(U5413,[1]!NOMINA[#Data],5,FALSE)</f>
        <v>#REF!</v>
      </c>
    </row>
    <row r="5414" spans="1:23" x14ac:dyDescent="0.25">
      <c r="A5414" s="21">
        <v>45838</v>
      </c>
      <c r="B5414" s="1">
        <v>814681651</v>
      </c>
      <c r="C5414" t="s">
        <v>9550</v>
      </c>
      <c r="D5414" s="22">
        <v>-4246.8</v>
      </c>
      <c r="E5414" s="75" t="s">
        <v>35</v>
      </c>
      <c r="F5414" s="2">
        <v>212901001</v>
      </c>
      <c r="G5414" s="2" t="s">
        <v>121</v>
      </c>
      <c r="L5414" s="2" t="s">
        <v>9551</v>
      </c>
      <c r="M5414" t="s">
        <v>67</v>
      </c>
      <c r="N5414" t="s">
        <v>68</v>
      </c>
      <c r="P5414" s="23">
        <v>107.62</v>
      </c>
      <c r="Q5414" s="4">
        <f t="shared" si="84"/>
        <v>-39.461066716223748</v>
      </c>
      <c r="R5414" s="23" t="s">
        <v>109</v>
      </c>
      <c r="U5414">
        <v>20</v>
      </c>
      <c r="V5414" t="e">
        <f>VLOOKUP(U5414,[1]!NOMINA[#Data],4,FALSE)</f>
        <v>#REF!</v>
      </c>
      <c r="W5414" t="e">
        <f>VLOOKUP(U5414,[1]!NOMINA[#Data],5,FALSE)</f>
        <v>#REF!</v>
      </c>
    </row>
    <row r="5415" spans="1:23" x14ac:dyDescent="0.25">
      <c r="A5415" s="21">
        <v>45838</v>
      </c>
      <c r="B5415" s="1">
        <v>814681644</v>
      </c>
      <c r="C5415" t="s">
        <v>9544</v>
      </c>
      <c r="D5415" s="22">
        <v>-1132.48</v>
      </c>
      <c r="E5415" s="75" t="s">
        <v>35</v>
      </c>
      <c r="F5415" s="2">
        <v>212901001</v>
      </c>
      <c r="G5415" s="2" t="s">
        <v>121</v>
      </c>
      <c r="L5415" s="2" t="s">
        <v>9552</v>
      </c>
      <c r="M5415" t="s">
        <v>67</v>
      </c>
      <c r="N5415" t="s">
        <v>68</v>
      </c>
      <c r="P5415" s="23">
        <v>107.62</v>
      </c>
      <c r="Q5415" s="4">
        <f t="shared" si="84"/>
        <v>-10.522951124326333</v>
      </c>
      <c r="R5415" s="23" t="s">
        <v>109</v>
      </c>
      <c r="U5415">
        <v>35</v>
      </c>
      <c r="V5415" t="e">
        <f>VLOOKUP(U5415,[1]!NOMINA[#Data],4,FALSE)</f>
        <v>#REF!</v>
      </c>
      <c r="W5415" t="e">
        <f>VLOOKUP(U5415,[1]!NOMINA[#Data],5,FALSE)</f>
        <v>#REF!</v>
      </c>
    </row>
    <row r="5416" spans="1:23" x14ac:dyDescent="0.25">
      <c r="A5416" s="21">
        <v>45838</v>
      </c>
      <c r="B5416" s="1">
        <v>814681650</v>
      </c>
      <c r="C5416" t="s">
        <v>9553</v>
      </c>
      <c r="D5416" s="22">
        <v>-4246.8</v>
      </c>
      <c r="E5416" s="75" t="s">
        <v>35</v>
      </c>
      <c r="F5416" s="2">
        <v>212901001</v>
      </c>
      <c r="G5416" s="2" t="s">
        <v>121</v>
      </c>
      <c r="L5416" s="2" t="s">
        <v>9554</v>
      </c>
      <c r="M5416" t="s">
        <v>67</v>
      </c>
      <c r="N5416" t="s">
        <v>68</v>
      </c>
      <c r="P5416" s="23">
        <v>107.62</v>
      </c>
      <c r="Q5416" s="4">
        <f t="shared" si="84"/>
        <v>-39.461066716223748</v>
      </c>
      <c r="R5416" s="23" t="s">
        <v>109</v>
      </c>
      <c r="U5416">
        <v>13</v>
      </c>
      <c r="V5416" t="e">
        <f>VLOOKUP(U5416,[1]!NOMINA[#Data],4,FALSE)</f>
        <v>#REF!</v>
      </c>
      <c r="W5416" t="e">
        <f>VLOOKUP(U5416,[1]!NOMINA[#Data],5,FALSE)</f>
        <v>#REF!</v>
      </c>
    </row>
    <row r="5417" spans="1:23" x14ac:dyDescent="0.25">
      <c r="A5417" s="21">
        <v>45838</v>
      </c>
      <c r="B5417" s="1">
        <v>814681652</v>
      </c>
      <c r="C5417" t="s">
        <v>9555</v>
      </c>
      <c r="D5417" s="22">
        <v>-4246.8</v>
      </c>
      <c r="E5417" s="75" t="s">
        <v>35</v>
      </c>
      <c r="F5417" s="2">
        <v>212901001</v>
      </c>
      <c r="G5417" s="2" t="s">
        <v>121</v>
      </c>
      <c r="L5417" s="2" t="s">
        <v>9556</v>
      </c>
      <c r="M5417" t="s">
        <v>67</v>
      </c>
      <c r="N5417" t="s">
        <v>68</v>
      </c>
      <c r="P5417" s="23">
        <v>107.62</v>
      </c>
      <c r="Q5417" s="4">
        <f t="shared" si="84"/>
        <v>-39.461066716223748</v>
      </c>
      <c r="R5417" s="23" t="s">
        <v>109</v>
      </c>
      <c r="U5417">
        <v>8</v>
      </c>
      <c r="V5417" t="e">
        <f>VLOOKUP(U5417,[1]!NOMINA[#Data],4,FALSE)</f>
        <v>#REF!</v>
      </c>
      <c r="W5417" t="e">
        <f>VLOOKUP(U5417,[1]!NOMINA[#Data],5,FALSE)</f>
        <v>#REF!</v>
      </c>
    </row>
    <row r="5418" spans="1:23" x14ac:dyDescent="0.25">
      <c r="A5418" s="21">
        <v>45838</v>
      </c>
      <c r="B5418" s="1">
        <v>814681649</v>
      </c>
      <c r="C5418" t="s">
        <v>9557</v>
      </c>
      <c r="D5418" s="22">
        <v>-4246.8</v>
      </c>
      <c r="E5418" s="75" t="s">
        <v>35</v>
      </c>
      <c r="F5418" s="2">
        <v>212901001</v>
      </c>
      <c r="G5418" s="2" t="s">
        <v>121</v>
      </c>
      <c r="L5418" s="2" t="s">
        <v>9558</v>
      </c>
      <c r="M5418" t="s">
        <v>67</v>
      </c>
      <c r="N5418" t="s">
        <v>68</v>
      </c>
      <c r="P5418" s="23">
        <v>107.62</v>
      </c>
      <c r="Q5418" s="4">
        <f t="shared" si="84"/>
        <v>-39.461066716223748</v>
      </c>
      <c r="R5418" s="23" t="s">
        <v>109</v>
      </c>
      <c r="U5418">
        <v>11</v>
      </c>
      <c r="V5418" t="e">
        <f>VLOOKUP(U5418,[1]!NOMINA[#Data],4,FALSE)</f>
        <v>#REF!</v>
      </c>
      <c r="W5418" t="e">
        <f>VLOOKUP(U5418,[1]!NOMINA[#Data],5,FALSE)</f>
        <v>#REF!</v>
      </c>
    </row>
    <row r="5419" spans="1:23" x14ac:dyDescent="0.25">
      <c r="A5419" s="21">
        <v>45838</v>
      </c>
      <c r="B5419" s="1">
        <v>914681653</v>
      </c>
      <c r="C5419" t="s">
        <v>9559</v>
      </c>
      <c r="D5419" s="22">
        <v>-4246.8</v>
      </c>
      <c r="E5419" s="75" t="s">
        <v>35</v>
      </c>
      <c r="F5419" s="2">
        <v>212901001</v>
      </c>
      <c r="G5419" s="2" t="s">
        <v>121</v>
      </c>
      <c r="L5419" s="2" t="s">
        <v>9560</v>
      </c>
      <c r="M5419" t="s">
        <v>67</v>
      </c>
      <c r="N5419" t="s">
        <v>68</v>
      </c>
      <c r="P5419" s="23">
        <v>107.62</v>
      </c>
      <c r="Q5419" s="4">
        <f t="shared" si="84"/>
        <v>-39.461066716223748</v>
      </c>
      <c r="R5419" s="23" t="s">
        <v>109</v>
      </c>
      <c r="U5419">
        <v>23</v>
      </c>
      <c r="V5419" t="e">
        <f>VLOOKUP(U5419,[1]!NOMINA[#Data],4,FALSE)</f>
        <v>#REF!</v>
      </c>
      <c r="W5419" t="e">
        <f>VLOOKUP(U5419,[1]!NOMINA[#Data],5,FALSE)</f>
        <v>#REF!</v>
      </c>
    </row>
    <row r="5420" spans="1:23" x14ac:dyDescent="0.25">
      <c r="A5420" s="21">
        <v>45838</v>
      </c>
      <c r="B5420" s="1">
        <v>914681654</v>
      </c>
      <c r="C5420" t="s">
        <v>9561</v>
      </c>
      <c r="D5420" s="22">
        <v>-4246.8</v>
      </c>
      <c r="E5420" s="75" t="s">
        <v>35</v>
      </c>
      <c r="F5420" s="2">
        <v>212901001</v>
      </c>
      <c r="G5420" s="2" t="s">
        <v>121</v>
      </c>
      <c r="L5420" s="2" t="s">
        <v>9562</v>
      </c>
      <c r="M5420" t="s">
        <v>67</v>
      </c>
      <c r="N5420" t="s">
        <v>68</v>
      </c>
      <c r="P5420" s="23">
        <v>107.62</v>
      </c>
      <c r="Q5420" s="4">
        <f t="shared" si="84"/>
        <v>-39.461066716223748</v>
      </c>
      <c r="R5420" s="23" t="s">
        <v>109</v>
      </c>
      <c r="U5420">
        <v>17</v>
      </c>
      <c r="V5420" t="e">
        <f>VLOOKUP(U5420,[1]!NOMINA[#Data],4,FALSE)</f>
        <v>#REF!</v>
      </c>
      <c r="W5420" t="e">
        <f>VLOOKUP(U5420,[1]!NOMINA[#Data],5,FALSE)</f>
        <v>#REF!</v>
      </c>
    </row>
    <row r="5421" spans="1:23" x14ac:dyDescent="0.25">
      <c r="A5421" s="21">
        <v>45838</v>
      </c>
      <c r="B5421" s="1">
        <v>914681656</v>
      </c>
      <c r="C5421" t="s">
        <v>9563</v>
      </c>
      <c r="D5421" s="22">
        <v>-4246.8</v>
      </c>
      <c r="E5421" s="75" t="s">
        <v>35</v>
      </c>
      <c r="F5421" s="2">
        <v>212901001</v>
      </c>
      <c r="G5421" s="2" t="s">
        <v>121</v>
      </c>
      <c r="L5421" s="2" t="s">
        <v>9564</v>
      </c>
      <c r="M5421" t="s">
        <v>67</v>
      </c>
      <c r="N5421" t="s">
        <v>68</v>
      </c>
      <c r="P5421" s="23">
        <v>107.62</v>
      </c>
      <c r="Q5421" s="4">
        <f t="shared" si="84"/>
        <v>-39.461066716223748</v>
      </c>
      <c r="R5421" s="23" t="s">
        <v>109</v>
      </c>
      <c r="U5421">
        <v>4</v>
      </c>
      <c r="V5421" t="e">
        <f>VLOOKUP(U5421,[1]!NOMINA[#Data],4,FALSE)</f>
        <v>#REF!</v>
      </c>
      <c r="W5421" t="e">
        <f>VLOOKUP(U5421,[1]!NOMINA[#Data],5,FALSE)</f>
        <v>#REF!</v>
      </c>
    </row>
    <row r="5422" spans="1:23" x14ac:dyDescent="0.25">
      <c r="A5422" s="21">
        <v>45838</v>
      </c>
      <c r="B5422" s="1">
        <v>914681658</v>
      </c>
      <c r="C5422" t="s">
        <v>9565</v>
      </c>
      <c r="D5422" s="22">
        <v>-4246.8</v>
      </c>
      <c r="E5422" s="75" t="s">
        <v>35</v>
      </c>
      <c r="F5422" s="2">
        <v>212901001</v>
      </c>
      <c r="G5422" s="2" t="s">
        <v>121</v>
      </c>
      <c r="L5422" s="2" t="s">
        <v>9566</v>
      </c>
      <c r="M5422" t="s">
        <v>67</v>
      </c>
      <c r="N5422" t="s">
        <v>68</v>
      </c>
      <c r="P5422" s="23">
        <v>107.62</v>
      </c>
      <c r="Q5422" s="4">
        <f t="shared" si="84"/>
        <v>-39.461066716223748</v>
      </c>
      <c r="R5422" s="23" t="s">
        <v>109</v>
      </c>
      <c r="U5422">
        <v>22</v>
      </c>
      <c r="V5422" t="e">
        <f>VLOOKUP(U5422,[1]!NOMINA[#Data],4,FALSE)</f>
        <v>#REF!</v>
      </c>
      <c r="W5422" t="e">
        <f>VLOOKUP(U5422,[1]!NOMINA[#Data],5,FALSE)</f>
        <v>#REF!</v>
      </c>
    </row>
    <row r="5423" spans="1:23" x14ac:dyDescent="0.25">
      <c r="A5423" s="21">
        <v>45838</v>
      </c>
      <c r="B5423" s="1">
        <v>914681655</v>
      </c>
      <c r="C5423" t="s">
        <v>9567</v>
      </c>
      <c r="D5423" s="22">
        <v>-1981.84</v>
      </c>
      <c r="E5423" s="75" t="s">
        <v>35</v>
      </c>
      <c r="F5423" s="2">
        <v>212901001</v>
      </c>
      <c r="G5423" s="2" t="s">
        <v>121</v>
      </c>
      <c r="L5423" s="2" t="s">
        <v>9568</v>
      </c>
      <c r="M5423" t="s">
        <v>67</v>
      </c>
      <c r="N5423" t="s">
        <v>68</v>
      </c>
      <c r="P5423" s="23">
        <v>107.62</v>
      </c>
      <c r="Q5423" s="4">
        <f t="shared" si="84"/>
        <v>-18.415164467571081</v>
      </c>
      <c r="R5423" s="23" t="s">
        <v>109</v>
      </c>
      <c r="U5423">
        <v>34</v>
      </c>
      <c r="V5423" t="e">
        <f>VLOOKUP(U5423,[1]!NOMINA[#Data],4,FALSE)</f>
        <v>#REF!</v>
      </c>
      <c r="W5423" t="e">
        <f>VLOOKUP(U5423,[1]!NOMINA[#Data],5,FALSE)</f>
        <v>#REF!</v>
      </c>
    </row>
    <row r="5424" spans="1:23" x14ac:dyDescent="0.25">
      <c r="A5424" s="21">
        <v>45838</v>
      </c>
      <c r="B5424" s="1">
        <v>914681657</v>
      </c>
      <c r="C5424" t="s">
        <v>9569</v>
      </c>
      <c r="D5424" s="22">
        <v>-1981.84</v>
      </c>
      <c r="E5424" s="75" t="s">
        <v>35</v>
      </c>
      <c r="F5424" s="2">
        <v>212901001</v>
      </c>
      <c r="G5424" s="2" t="s">
        <v>121</v>
      </c>
      <c r="L5424" s="2" t="s">
        <v>9570</v>
      </c>
      <c r="M5424" t="s">
        <v>67</v>
      </c>
      <c r="N5424" t="s">
        <v>68</v>
      </c>
      <c r="P5424" s="23">
        <v>107.62</v>
      </c>
      <c r="Q5424" s="4">
        <f t="shared" si="84"/>
        <v>-18.415164467571081</v>
      </c>
      <c r="R5424" s="23" t="s">
        <v>109</v>
      </c>
      <c r="U5424">
        <v>32</v>
      </c>
      <c r="V5424" t="e">
        <f>VLOOKUP(U5424,[1]!NOMINA[#Data],4,FALSE)</f>
        <v>#REF!</v>
      </c>
      <c r="W5424" t="e">
        <f>VLOOKUP(U5424,[1]!NOMINA[#Data],5,FALSE)</f>
        <v>#REF!</v>
      </c>
    </row>
    <row r="5425" spans="1:23" x14ac:dyDescent="0.25">
      <c r="A5425" s="21">
        <v>45838</v>
      </c>
      <c r="B5425" s="1">
        <v>914681659</v>
      </c>
      <c r="C5425" t="s">
        <v>9571</v>
      </c>
      <c r="D5425" s="22">
        <v>-4246.8</v>
      </c>
      <c r="E5425" s="75" t="s">
        <v>35</v>
      </c>
      <c r="F5425" s="2">
        <v>212901001</v>
      </c>
      <c r="G5425" s="2" t="s">
        <v>121</v>
      </c>
      <c r="L5425" s="2" t="s">
        <v>9572</v>
      </c>
      <c r="M5425" t="s">
        <v>67</v>
      </c>
      <c r="N5425" t="s">
        <v>68</v>
      </c>
      <c r="P5425" s="23">
        <v>107.62</v>
      </c>
      <c r="Q5425" s="4">
        <f t="shared" si="84"/>
        <v>-39.461066716223748</v>
      </c>
      <c r="R5425" s="23" t="s">
        <v>109</v>
      </c>
      <c r="U5425">
        <v>14</v>
      </c>
      <c r="V5425" t="e">
        <f>VLOOKUP(U5425,[1]!NOMINA[#Data],4,FALSE)</f>
        <v>#REF!</v>
      </c>
      <c r="W5425" t="e">
        <f>VLOOKUP(U5425,[1]!NOMINA[#Data],5,FALSE)</f>
        <v>#REF!</v>
      </c>
    </row>
    <row r="5426" spans="1:23" x14ac:dyDescent="0.25">
      <c r="A5426" s="21">
        <v>45838</v>
      </c>
      <c r="B5426" s="1">
        <v>14681661</v>
      </c>
      <c r="C5426" t="s">
        <v>9573</v>
      </c>
      <c r="D5426" s="22">
        <v>-4246.8</v>
      </c>
      <c r="E5426" s="75" t="s">
        <v>35</v>
      </c>
      <c r="F5426" s="2">
        <v>212901001</v>
      </c>
      <c r="G5426" s="2" t="s">
        <v>121</v>
      </c>
      <c r="L5426" s="2" t="s">
        <v>9574</v>
      </c>
      <c r="M5426" t="s">
        <v>67</v>
      </c>
      <c r="N5426" t="s">
        <v>68</v>
      </c>
      <c r="P5426" s="23">
        <v>107.62</v>
      </c>
      <c r="Q5426" s="4">
        <f t="shared" si="84"/>
        <v>-39.461066716223748</v>
      </c>
      <c r="R5426" s="23" t="s">
        <v>109</v>
      </c>
      <c r="U5426">
        <v>21</v>
      </c>
      <c r="V5426" t="e">
        <f>VLOOKUP(U5426,[1]!NOMINA[#Data],4,FALSE)</f>
        <v>#REF!</v>
      </c>
      <c r="W5426" t="e">
        <f>VLOOKUP(U5426,[1]!NOMINA[#Data],5,FALSE)</f>
        <v>#REF!</v>
      </c>
    </row>
    <row r="5427" spans="1:23" x14ac:dyDescent="0.25">
      <c r="A5427" s="21">
        <v>45838</v>
      </c>
      <c r="B5427" s="1">
        <v>14681660</v>
      </c>
      <c r="C5427" t="s">
        <v>9575</v>
      </c>
      <c r="D5427" s="22">
        <v>-4246.8</v>
      </c>
      <c r="E5427" s="75" t="s">
        <v>35</v>
      </c>
      <c r="F5427" s="2">
        <v>212901001</v>
      </c>
      <c r="G5427" s="2" t="s">
        <v>121</v>
      </c>
      <c r="L5427" s="2" t="s">
        <v>9576</v>
      </c>
      <c r="M5427" t="s">
        <v>67</v>
      </c>
      <c r="N5427" t="s">
        <v>68</v>
      </c>
      <c r="P5427" s="23">
        <v>107.62</v>
      </c>
      <c r="Q5427" s="4">
        <f t="shared" si="84"/>
        <v>-39.461066716223748</v>
      </c>
      <c r="R5427" s="23" t="s">
        <v>109</v>
      </c>
      <c r="U5427">
        <v>25</v>
      </c>
      <c r="V5427" t="e">
        <f>VLOOKUP(U5427,[1]!NOMINA[#Data],4,FALSE)</f>
        <v>#REF!</v>
      </c>
      <c r="W5427" t="e">
        <f>VLOOKUP(U5427,[1]!NOMINA[#Data],5,FALSE)</f>
        <v>#REF!</v>
      </c>
    </row>
    <row r="5428" spans="1:23" x14ac:dyDescent="0.25">
      <c r="A5428" s="21">
        <v>45838</v>
      </c>
      <c r="B5428" s="1">
        <v>14681664</v>
      </c>
      <c r="C5428" t="s">
        <v>9577</v>
      </c>
      <c r="D5428" s="22">
        <v>-4246.8</v>
      </c>
      <c r="E5428" s="75" t="s">
        <v>35</v>
      </c>
      <c r="F5428" s="2">
        <v>212901001</v>
      </c>
      <c r="G5428" s="2" t="s">
        <v>121</v>
      </c>
      <c r="L5428" s="2" t="s">
        <v>9578</v>
      </c>
      <c r="M5428" t="s">
        <v>67</v>
      </c>
      <c r="N5428" t="s">
        <v>68</v>
      </c>
      <c r="P5428" s="23">
        <v>107.62</v>
      </c>
      <c r="Q5428" s="4">
        <f t="shared" si="84"/>
        <v>-39.461066716223748</v>
      </c>
      <c r="R5428" s="23" t="s">
        <v>109</v>
      </c>
      <c r="U5428">
        <v>12</v>
      </c>
      <c r="V5428" t="e">
        <f>VLOOKUP(U5428,[1]!NOMINA[#Data],4,FALSE)</f>
        <v>#REF!</v>
      </c>
      <c r="W5428" t="e">
        <f>VLOOKUP(U5428,[1]!NOMINA[#Data],5,FALSE)</f>
        <v>#REF!</v>
      </c>
    </row>
    <row r="5429" spans="1:23" x14ac:dyDescent="0.25">
      <c r="A5429" s="21">
        <v>45838</v>
      </c>
      <c r="B5429" s="1">
        <v>14681662</v>
      </c>
      <c r="C5429" t="s">
        <v>9579</v>
      </c>
      <c r="D5429" s="22">
        <v>-4246.8</v>
      </c>
      <c r="E5429" s="75" t="s">
        <v>35</v>
      </c>
      <c r="F5429" s="2">
        <v>212901001</v>
      </c>
      <c r="G5429" s="2" t="s">
        <v>121</v>
      </c>
      <c r="L5429" s="2" t="s">
        <v>9580</v>
      </c>
      <c r="M5429" t="s">
        <v>67</v>
      </c>
      <c r="N5429" t="s">
        <v>68</v>
      </c>
      <c r="P5429" s="23">
        <v>107.62</v>
      </c>
      <c r="Q5429" s="4">
        <f t="shared" si="84"/>
        <v>-39.461066716223748</v>
      </c>
      <c r="R5429" s="23" t="s">
        <v>109</v>
      </c>
      <c r="U5429">
        <v>2</v>
      </c>
      <c r="V5429" t="e">
        <f>VLOOKUP(Tabla3[[#This Row],[Nº]],[1]!NOMINA[#Data],4,FALSE)</f>
        <v>#REF!</v>
      </c>
      <c r="W5429" t="e">
        <f>VLOOKUP(Tabla3[[#This Row],[Nº]],[1]!NOMINA[#Data],5,FALSE)</f>
        <v>#REF!</v>
      </c>
    </row>
    <row r="5430" spans="1:23" x14ac:dyDescent="0.25">
      <c r="A5430" s="21">
        <v>45838</v>
      </c>
      <c r="B5430" s="1">
        <v>14681663</v>
      </c>
      <c r="C5430" t="s">
        <v>9581</v>
      </c>
      <c r="D5430" s="22">
        <v>-4246.8</v>
      </c>
      <c r="E5430" s="75" t="s">
        <v>35</v>
      </c>
      <c r="F5430" s="2">
        <v>212901001</v>
      </c>
      <c r="G5430" s="2" t="s">
        <v>121</v>
      </c>
      <c r="L5430" s="2" t="s">
        <v>9582</v>
      </c>
      <c r="M5430" t="s">
        <v>67</v>
      </c>
      <c r="N5430" t="s">
        <v>68</v>
      </c>
      <c r="P5430" s="23">
        <v>107.62</v>
      </c>
      <c r="Q5430" s="4">
        <f t="shared" si="84"/>
        <v>-39.461066716223748</v>
      </c>
      <c r="R5430" s="23" t="s">
        <v>109</v>
      </c>
      <c r="U5430">
        <v>28</v>
      </c>
      <c r="V5430" t="e">
        <f>VLOOKUP(U5430,[1]!NOMINA[#Data],4,FALSE)</f>
        <v>#REF!</v>
      </c>
      <c r="W5430" t="e">
        <f>VLOOKUP(U5430,[1]!NOMINA[#Data],5,FALSE)</f>
        <v>#REF!</v>
      </c>
    </row>
    <row r="5431" spans="1:23" x14ac:dyDescent="0.25">
      <c r="A5431" s="21">
        <v>45838</v>
      </c>
      <c r="B5431" s="1">
        <v>14681665</v>
      </c>
      <c r="C5431" t="s">
        <v>9583</v>
      </c>
      <c r="D5431" s="22">
        <v>-4246.8</v>
      </c>
      <c r="E5431" s="75" t="s">
        <v>35</v>
      </c>
      <c r="F5431" s="2">
        <v>212901001</v>
      </c>
      <c r="G5431" s="2" t="s">
        <v>121</v>
      </c>
      <c r="L5431" s="2" t="s">
        <v>9584</v>
      </c>
      <c r="M5431" t="s">
        <v>67</v>
      </c>
      <c r="N5431" t="s">
        <v>68</v>
      </c>
      <c r="P5431" s="23">
        <v>107.62</v>
      </c>
      <c r="Q5431" s="4">
        <f t="shared" si="84"/>
        <v>-39.461066716223748</v>
      </c>
      <c r="R5431" s="23" t="s">
        <v>109</v>
      </c>
      <c r="U5431">
        <v>6</v>
      </c>
      <c r="V5431" t="e">
        <f>VLOOKUP(U5431,[1]!NOMINA[#Data],4,FALSE)</f>
        <v>#REF!</v>
      </c>
      <c r="W5431" t="e">
        <f>VLOOKUP(U5431,[1]!NOMINA[#Data],5,FALSE)</f>
        <v>#REF!</v>
      </c>
    </row>
    <row r="5432" spans="1:23" x14ac:dyDescent="0.25">
      <c r="A5432" s="21">
        <v>45838</v>
      </c>
      <c r="B5432" s="1">
        <v>14681666</v>
      </c>
      <c r="C5432" t="s">
        <v>9585</v>
      </c>
      <c r="D5432" s="22">
        <v>-4246.8</v>
      </c>
      <c r="E5432" s="75" t="s">
        <v>35</v>
      </c>
      <c r="F5432" s="2">
        <v>212901001</v>
      </c>
      <c r="G5432" s="2" t="s">
        <v>121</v>
      </c>
      <c r="L5432" s="2" t="s">
        <v>9586</v>
      </c>
      <c r="M5432" t="s">
        <v>67</v>
      </c>
      <c r="N5432" t="s">
        <v>68</v>
      </c>
      <c r="P5432" s="23">
        <v>107.62</v>
      </c>
      <c r="Q5432" s="4">
        <f t="shared" si="84"/>
        <v>-39.461066716223748</v>
      </c>
      <c r="R5432" s="23" t="s">
        <v>109</v>
      </c>
      <c r="U5432">
        <v>24</v>
      </c>
      <c r="V5432" t="e">
        <f>VLOOKUP(U5432,[1]!NOMINA[#Data],4,FALSE)</f>
        <v>#REF!</v>
      </c>
      <c r="W5432" t="e">
        <f>VLOOKUP(U5432,[1]!NOMINA[#Data],5,FALSE)</f>
        <v>#REF!</v>
      </c>
    </row>
    <row r="5433" spans="1:23" x14ac:dyDescent="0.25">
      <c r="A5433" s="21">
        <v>45838</v>
      </c>
      <c r="B5433" s="1">
        <v>14681668</v>
      </c>
      <c r="C5433" t="s">
        <v>9587</v>
      </c>
      <c r="D5433" s="22">
        <v>-4246.8</v>
      </c>
      <c r="E5433" s="75" t="s">
        <v>35</v>
      </c>
      <c r="F5433" s="2">
        <v>212901001</v>
      </c>
      <c r="G5433" s="2" t="s">
        <v>121</v>
      </c>
      <c r="L5433" s="2" t="s">
        <v>9588</v>
      </c>
      <c r="M5433" t="s">
        <v>67</v>
      </c>
      <c r="N5433" t="s">
        <v>68</v>
      </c>
      <c r="P5433" s="23">
        <v>107.62</v>
      </c>
      <c r="Q5433" s="4">
        <f t="shared" si="84"/>
        <v>-39.461066716223748</v>
      </c>
      <c r="R5433" s="23" t="s">
        <v>109</v>
      </c>
      <c r="U5433">
        <v>3</v>
      </c>
      <c r="V5433" t="e">
        <f>VLOOKUP(U5433,[1]!NOMINA[#Data],4,FALSE)</f>
        <v>#REF!</v>
      </c>
      <c r="W5433" t="e">
        <f>VLOOKUP(U5433,[1]!NOMINA[#Data],5,FALSE)</f>
        <v>#REF!</v>
      </c>
    </row>
    <row r="5434" spans="1:23" x14ac:dyDescent="0.25">
      <c r="A5434" s="21">
        <v>45838</v>
      </c>
      <c r="B5434" s="1">
        <v>14681667</v>
      </c>
      <c r="C5434" t="s">
        <v>9589</v>
      </c>
      <c r="D5434" s="22">
        <v>-4246.8</v>
      </c>
      <c r="E5434" s="75" t="s">
        <v>35</v>
      </c>
      <c r="F5434" s="2">
        <v>212901001</v>
      </c>
      <c r="G5434" s="2" t="s">
        <v>121</v>
      </c>
      <c r="L5434" s="2" t="s">
        <v>9590</v>
      </c>
      <c r="M5434" t="s">
        <v>67</v>
      </c>
      <c r="N5434" t="s">
        <v>68</v>
      </c>
      <c r="P5434" s="23">
        <v>107.62</v>
      </c>
      <c r="Q5434" s="4">
        <f t="shared" si="84"/>
        <v>-39.461066716223748</v>
      </c>
      <c r="R5434" s="23" t="s">
        <v>109</v>
      </c>
      <c r="U5434">
        <v>27</v>
      </c>
      <c r="V5434" t="e">
        <f>VLOOKUP(U5434,[1]!NOMINA[#Data],4,FALSE)</f>
        <v>#REF!</v>
      </c>
      <c r="W5434" t="e">
        <f>VLOOKUP(U5434,[1]!NOMINA[#Data],5,FALSE)</f>
        <v>#REF!</v>
      </c>
    </row>
    <row r="5435" spans="1:23" x14ac:dyDescent="0.25">
      <c r="A5435" s="21">
        <v>45838</v>
      </c>
      <c r="B5435" s="1">
        <v>114681669</v>
      </c>
      <c r="C5435" t="s">
        <v>9591</v>
      </c>
      <c r="D5435" s="22">
        <v>-4246.8</v>
      </c>
      <c r="E5435" s="75" t="s">
        <v>35</v>
      </c>
      <c r="F5435" s="2">
        <v>212901001</v>
      </c>
      <c r="G5435" s="2" t="s">
        <v>121</v>
      </c>
      <c r="L5435" s="2" t="s">
        <v>9592</v>
      </c>
      <c r="M5435" t="s">
        <v>67</v>
      </c>
      <c r="N5435" t="s">
        <v>68</v>
      </c>
      <c r="P5435" s="23">
        <v>107.62</v>
      </c>
      <c r="Q5435" s="4">
        <f t="shared" si="84"/>
        <v>-39.461066716223748</v>
      </c>
      <c r="R5435" s="23" t="s">
        <v>109</v>
      </c>
      <c r="U5435">
        <v>19</v>
      </c>
      <c r="V5435" t="e">
        <f>VLOOKUP(U5435,[1]!NOMINA[#Data],4,FALSE)</f>
        <v>#REF!</v>
      </c>
      <c r="W5435" t="e">
        <f>VLOOKUP(U5435,[1]!NOMINA[#Data],5,FALSE)</f>
        <v>#REF!</v>
      </c>
    </row>
    <row r="5436" spans="1:23" x14ac:dyDescent="0.25">
      <c r="A5436" s="21">
        <v>45838</v>
      </c>
      <c r="B5436" s="1">
        <v>114681670</v>
      </c>
      <c r="C5436" t="s">
        <v>9593</v>
      </c>
      <c r="D5436" s="22">
        <v>-4246.8</v>
      </c>
      <c r="E5436" s="75" t="s">
        <v>35</v>
      </c>
      <c r="F5436" s="2">
        <v>212901001</v>
      </c>
      <c r="G5436" s="2" t="s">
        <v>121</v>
      </c>
      <c r="L5436" s="2" t="s">
        <v>9594</v>
      </c>
      <c r="M5436" t="s">
        <v>67</v>
      </c>
      <c r="N5436" t="s">
        <v>68</v>
      </c>
      <c r="P5436" s="23">
        <v>107.62</v>
      </c>
      <c r="Q5436" s="4">
        <f t="shared" si="84"/>
        <v>-39.461066716223748</v>
      </c>
      <c r="R5436" s="23" t="s">
        <v>109</v>
      </c>
      <c r="U5436">
        <v>5</v>
      </c>
      <c r="V5436" t="e">
        <f>VLOOKUP(U5436,[1]!NOMINA[#Data],4,FALSE)</f>
        <v>#REF!</v>
      </c>
      <c r="W5436" t="e">
        <f>VLOOKUP(U5436,[1]!NOMINA[#Data],5,FALSE)</f>
        <v>#REF!</v>
      </c>
    </row>
    <row r="5437" spans="1:23" x14ac:dyDescent="0.25">
      <c r="A5437" s="21">
        <v>45838</v>
      </c>
      <c r="B5437" s="1">
        <v>114681673</v>
      </c>
      <c r="C5437" t="s">
        <v>9595</v>
      </c>
      <c r="D5437" s="22">
        <v>-4246.8</v>
      </c>
      <c r="E5437" s="75" t="s">
        <v>35</v>
      </c>
      <c r="F5437" s="2">
        <v>212901001</v>
      </c>
      <c r="G5437" s="2" t="s">
        <v>121</v>
      </c>
      <c r="L5437" s="2" t="s">
        <v>9596</v>
      </c>
      <c r="M5437" t="s">
        <v>67</v>
      </c>
      <c r="N5437" t="s">
        <v>68</v>
      </c>
      <c r="P5437" s="23">
        <v>107.62</v>
      </c>
      <c r="Q5437" s="4">
        <f t="shared" si="84"/>
        <v>-39.461066716223748</v>
      </c>
      <c r="R5437" s="23" t="s">
        <v>109</v>
      </c>
      <c r="U5437">
        <v>16</v>
      </c>
      <c r="V5437" t="e">
        <f>VLOOKUP(Tabla3[[#This Row],[Nº]],[1]!NOMINA[#Data],4,FALSE)</f>
        <v>#REF!</v>
      </c>
      <c r="W5437" t="e">
        <f>VLOOKUP(Tabla3[[#This Row],[Nº]],[1]!NOMINA[#Data],5,FALSE)</f>
        <v>#REF!</v>
      </c>
    </row>
    <row r="5438" spans="1:23" x14ac:dyDescent="0.25">
      <c r="A5438" s="21">
        <v>45838</v>
      </c>
      <c r="B5438" s="1">
        <v>114681672</v>
      </c>
      <c r="C5438" t="s">
        <v>9597</v>
      </c>
      <c r="D5438" s="22">
        <v>-4246.8</v>
      </c>
      <c r="E5438" s="75" t="s">
        <v>35</v>
      </c>
      <c r="F5438" s="2">
        <v>212901001</v>
      </c>
      <c r="G5438" s="2" t="s">
        <v>121</v>
      </c>
      <c r="L5438" s="2" t="s">
        <v>9598</v>
      </c>
      <c r="M5438" t="s">
        <v>67</v>
      </c>
      <c r="N5438" t="s">
        <v>68</v>
      </c>
      <c r="P5438" s="23">
        <v>107.62</v>
      </c>
      <c r="Q5438" s="4">
        <f t="shared" si="84"/>
        <v>-39.461066716223748</v>
      </c>
      <c r="R5438" s="23" t="s">
        <v>109</v>
      </c>
      <c r="U5438">
        <v>7</v>
      </c>
      <c r="V5438" t="e">
        <f>VLOOKUP(U5438,[1]!NOMINA[#Data],4,FALSE)</f>
        <v>#REF!</v>
      </c>
      <c r="W5438" t="e">
        <f>VLOOKUP(U5438,[1]!NOMINA[#Data],5,FALSE)</f>
        <v>#REF!</v>
      </c>
    </row>
    <row r="5439" spans="1:23" x14ac:dyDescent="0.25">
      <c r="A5439" s="21">
        <v>45838</v>
      </c>
      <c r="B5439" s="1">
        <v>114681671</v>
      </c>
      <c r="C5439" t="s">
        <v>9599</v>
      </c>
      <c r="D5439" s="22">
        <v>-4246.8</v>
      </c>
      <c r="E5439" s="75" t="s">
        <v>35</v>
      </c>
      <c r="F5439" s="2">
        <v>212901001</v>
      </c>
      <c r="G5439" s="2" t="s">
        <v>121</v>
      </c>
      <c r="L5439" s="2" t="s">
        <v>9600</v>
      </c>
      <c r="M5439" t="s">
        <v>67</v>
      </c>
      <c r="N5439" t="s">
        <v>68</v>
      </c>
      <c r="P5439" s="23">
        <v>107.62</v>
      </c>
      <c r="Q5439" s="4">
        <f t="shared" si="84"/>
        <v>-39.461066716223748</v>
      </c>
      <c r="R5439" s="23" t="s">
        <v>109</v>
      </c>
      <c r="U5439">
        <v>1</v>
      </c>
      <c r="V5439" t="e">
        <f>VLOOKUP(U5439,[1]!NOMINA[#Data],4,FALSE)</f>
        <v>#REF!</v>
      </c>
      <c r="W5439" t="e">
        <f>VLOOKUP(U5439,[1]!NOMINA[#Data],5,FALSE)</f>
        <v>#REF!</v>
      </c>
    </row>
    <row r="5440" spans="1:23" x14ac:dyDescent="0.25">
      <c r="A5440" s="21">
        <v>45838</v>
      </c>
      <c r="B5440" s="1">
        <v>114681674</v>
      </c>
      <c r="C5440" t="s">
        <v>9601</v>
      </c>
      <c r="D5440" s="22">
        <v>-60.3</v>
      </c>
      <c r="E5440" s="75" t="s">
        <v>35</v>
      </c>
      <c r="F5440" s="2">
        <v>212901001</v>
      </c>
      <c r="G5440" s="2" t="s">
        <v>121</v>
      </c>
      <c r="L5440" s="2" t="s">
        <v>9602</v>
      </c>
      <c r="M5440" t="s">
        <v>67</v>
      </c>
      <c r="N5440" t="s">
        <v>68</v>
      </c>
      <c r="P5440" s="23">
        <v>107.62</v>
      </c>
      <c r="Q5440" s="4">
        <f t="shared" si="84"/>
        <v>-0.56030477606392859</v>
      </c>
      <c r="R5440" s="23" t="s">
        <v>109</v>
      </c>
      <c r="U5440">
        <v>9</v>
      </c>
      <c r="V5440" t="e">
        <f>VLOOKUP(U5440,[1]!NOMINA[#Data],4,FALSE)</f>
        <v>#REF!</v>
      </c>
      <c r="W5440" t="e">
        <f>VLOOKUP(U5440,[1]!NOMINA[#Data],5,FALSE)</f>
        <v>#REF!</v>
      </c>
    </row>
    <row r="5441" spans="1:23" x14ac:dyDescent="0.25">
      <c r="A5441" s="21">
        <v>45838</v>
      </c>
      <c r="B5441" s="1">
        <v>114681675</v>
      </c>
      <c r="C5441" t="s">
        <v>9603</v>
      </c>
      <c r="D5441" s="22">
        <v>-56.01</v>
      </c>
      <c r="E5441" s="75" t="s">
        <v>35</v>
      </c>
      <c r="F5441" s="2">
        <v>212901001</v>
      </c>
      <c r="G5441" s="2" t="s">
        <v>121</v>
      </c>
      <c r="L5441" s="2" t="s">
        <v>9604</v>
      </c>
      <c r="M5441" t="s">
        <v>67</v>
      </c>
      <c r="N5441" t="s">
        <v>68</v>
      </c>
      <c r="P5441" s="23">
        <v>107.62</v>
      </c>
      <c r="Q5441" s="4">
        <f t="shared" si="84"/>
        <v>-0.52044229697082323</v>
      </c>
      <c r="R5441" s="23" t="s">
        <v>109</v>
      </c>
      <c r="U5441">
        <v>30</v>
      </c>
      <c r="V5441" t="e">
        <f>VLOOKUP(U5441,[1]!NOMINA[#Data],4,FALSE)</f>
        <v>#REF!</v>
      </c>
      <c r="W5441" t="e">
        <f>VLOOKUP(U5441,[1]!NOMINA[#Data],5,FALSE)</f>
        <v>#REF!</v>
      </c>
    </row>
    <row r="5442" spans="1:23" x14ac:dyDescent="0.25">
      <c r="A5442" s="21">
        <v>45838</v>
      </c>
      <c r="B5442" s="1">
        <v>114681676</v>
      </c>
      <c r="C5442" t="s">
        <v>9605</v>
      </c>
      <c r="D5442" s="22">
        <v>-60.3</v>
      </c>
      <c r="E5442" s="75" t="s">
        <v>35</v>
      </c>
      <c r="F5442" s="2">
        <v>212901001</v>
      </c>
      <c r="G5442" s="2" t="s">
        <v>121</v>
      </c>
      <c r="L5442" s="2" t="s">
        <v>9606</v>
      </c>
      <c r="M5442" t="s">
        <v>67</v>
      </c>
      <c r="N5442" t="s">
        <v>68</v>
      </c>
      <c r="P5442" s="23">
        <v>107.62</v>
      </c>
      <c r="Q5442" s="4">
        <f t="shared" si="84"/>
        <v>-0.56030477606392859</v>
      </c>
      <c r="R5442" s="23" t="s">
        <v>109</v>
      </c>
      <c r="U5442">
        <v>26</v>
      </c>
      <c r="V5442" t="e">
        <f>VLOOKUP(U5442,[1]!NOMINA[#Data],4,FALSE)</f>
        <v>#REF!</v>
      </c>
      <c r="W5442" t="e">
        <f>VLOOKUP(U5442,[1]!NOMINA[#Data],5,FALSE)</f>
        <v>#REF!</v>
      </c>
    </row>
    <row r="5443" spans="1:23" x14ac:dyDescent="0.25">
      <c r="A5443" s="21">
        <v>45838</v>
      </c>
      <c r="B5443" s="1">
        <v>114681677</v>
      </c>
      <c r="C5443" t="s">
        <v>9607</v>
      </c>
      <c r="D5443" s="22">
        <v>-60.3</v>
      </c>
      <c r="E5443" s="75" t="s">
        <v>35</v>
      </c>
      <c r="F5443" s="2">
        <v>212901001</v>
      </c>
      <c r="G5443" s="2" t="s">
        <v>121</v>
      </c>
      <c r="L5443" s="2" t="s">
        <v>9608</v>
      </c>
      <c r="M5443" t="s">
        <v>67</v>
      </c>
      <c r="N5443" t="s">
        <v>68</v>
      </c>
      <c r="P5443" s="23">
        <v>107.62</v>
      </c>
      <c r="Q5443" s="4">
        <f t="shared" si="84"/>
        <v>-0.56030477606392859</v>
      </c>
      <c r="R5443" s="23" t="s">
        <v>109</v>
      </c>
      <c r="U5443">
        <v>29</v>
      </c>
      <c r="V5443" t="e">
        <f>VLOOKUP(U5443,[1]!NOMINA[#Data],4,FALSE)</f>
        <v>#REF!</v>
      </c>
      <c r="W5443" t="e">
        <f>VLOOKUP(U5443,[1]!NOMINA[#Data],5,FALSE)</f>
        <v>#REF!</v>
      </c>
    </row>
    <row r="5444" spans="1:23" x14ac:dyDescent="0.25">
      <c r="A5444" s="21">
        <v>45838</v>
      </c>
      <c r="B5444" s="1">
        <v>214681678</v>
      </c>
      <c r="C5444" t="s">
        <v>9609</v>
      </c>
      <c r="D5444" s="22">
        <v>-60.3</v>
      </c>
      <c r="E5444" s="75" t="s">
        <v>35</v>
      </c>
      <c r="F5444" s="2">
        <v>212901001</v>
      </c>
      <c r="G5444" s="2" t="s">
        <v>121</v>
      </c>
      <c r="L5444" s="2" t="s">
        <v>9610</v>
      </c>
      <c r="M5444" t="s">
        <v>67</v>
      </c>
      <c r="N5444" t="s">
        <v>68</v>
      </c>
      <c r="P5444" s="23">
        <v>107.62</v>
      </c>
      <c r="Q5444" s="4">
        <f t="shared" si="84"/>
        <v>-0.56030477606392859</v>
      </c>
      <c r="R5444" s="23" t="s">
        <v>109</v>
      </c>
      <c r="U5444">
        <v>10</v>
      </c>
      <c r="V5444" t="e">
        <f>VLOOKUP(U5444,[1]!NOMINA[#Data],4,FALSE)</f>
        <v>#REF!</v>
      </c>
      <c r="W5444" t="e">
        <f>VLOOKUP(U5444,[1]!NOMINA[#Data],5,FALSE)</f>
        <v>#REF!</v>
      </c>
    </row>
    <row r="5445" spans="1:23" x14ac:dyDescent="0.25">
      <c r="A5445" s="21">
        <v>45838</v>
      </c>
      <c r="B5445" s="1">
        <v>214681682</v>
      </c>
      <c r="C5445" t="s">
        <v>9611</v>
      </c>
      <c r="D5445" s="22">
        <v>-60.3</v>
      </c>
      <c r="E5445" s="75" t="s">
        <v>35</v>
      </c>
      <c r="F5445" s="2">
        <v>212901001</v>
      </c>
      <c r="G5445" s="2" t="s">
        <v>121</v>
      </c>
      <c r="L5445" s="2" t="s">
        <v>9612</v>
      </c>
      <c r="M5445" t="s">
        <v>67</v>
      </c>
      <c r="N5445" t="s">
        <v>68</v>
      </c>
      <c r="P5445" s="23">
        <v>107.62</v>
      </c>
      <c r="Q5445" s="4">
        <f t="shared" si="84"/>
        <v>-0.56030477606392859</v>
      </c>
      <c r="R5445" s="23" t="s">
        <v>109</v>
      </c>
      <c r="U5445">
        <v>18</v>
      </c>
      <c r="V5445" t="e">
        <f>VLOOKUP(Tabla3[[#This Row],[Nº]],[1]!NOMINA[#Data],4,FALSE)</f>
        <v>#REF!</v>
      </c>
      <c r="W5445" t="e">
        <f>VLOOKUP(Tabla3[[#This Row],[Nº]],[1]!NOMINA[#Data],5,FALSE)</f>
        <v>#REF!</v>
      </c>
    </row>
    <row r="5446" spans="1:23" x14ac:dyDescent="0.25">
      <c r="A5446" s="21">
        <v>45838</v>
      </c>
      <c r="B5446" s="1">
        <v>214681685</v>
      </c>
      <c r="C5446" t="s">
        <v>9613</v>
      </c>
      <c r="D5446" s="22">
        <v>-56.01</v>
      </c>
      <c r="E5446" s="75" t="s">
        <v>35</v>
      </c>
      <c r="F5446" s="2">
        <v>212901001</v>
      </c>
      <c r="G5446" s="2" t="s">
        <v>121</v>
      </c>
      <c r="L5446" s="2" t="s">
        <v>9614</v>
      </c>
      <c r="M5446" t="s">
        <v>67</v>
      </c>
      <c r="N5446" t="s">
        <v>68</v>
      </c>
      <c r="P5446" s="23">
        <v>107.62</v>
      </c>
      <c r="Q5446" s="4">
        <f t="shared" si="84"/>
        <v>-0.52044229697082323</v>
      </c>
      <c r="R5446" s="23" t="s">
        <v>109</v>
      </c>
      <c r="U5446">
        <v>33</v>
      </c>
      <c r="V5446" t="e">
        <f>VLOOKUP(U5446,[1]!NOMINA[#Data],4,FALSE)</f>
        <v>#REF!</v>
      </c>
      <c r="W5446" t="e">
        <f>VLOOKUP(U5446,[1]!NOMINA[#Data],5,FALSE)</f>
        <v>#REF!</v>
      </c>
    </row>
    <row r="5447" spans="1:23" x14ac:dyDescent="0.25">
      <c r="A5447" s="21">
        <v>45838</v>
      </c>
      <c r="B5447" s="1">
        <v>214681679</v>
      </c>
      <c r="C5447" t="s">
        <v>9615</v>
      </c>
      <c r="D5447" s="22">
        <v>-60.3</v>
      </c>
      <c r="E5447" s="75" t="s">
        <v>35</v>
      </c>
      <c r="F5447" s="2">
        <v>212901001</v>
      </c>
      <c r="G5447" s="2" t="s">
        <v>121</v>
      </c>
      <c r="L5447" s="2" t="s">
        <v>9616</v>
      </c>
      <c r="M5447" t="s">
        <v>67</v>
      </c>
      <c r="N5447" t="s">
        <v>68</v>
      </c>
      <c r="P5447" s="23">
        <v>107.62</v>
      </c>
      <c r="Q5447" s="4">
        <f t="shared" si="84"/>
        <v>-0.56030477606392859</v>
      </c>
      <c r="R5447" s="23" t="s">
        <v>109</v>
      </c>
      <c r="U5447">
        <v>15</v>
      </c>
      <c r="V5447" t="e">
        <f>VLOOKUP(Tabla3[[#This Row],[Nº]],[1]!NOMINA[#Data],4,FALSE)</f>
        <v>#REF!</v>
      </c>
      <c r="W5447" t="e">
        <f>VLOOKUP(U5447,[1]!NOMINA[#Data],5,FALSE)</f>
        <v>#REF!</v>
      </c>
    </row>
    <row r="5448" spans="1:23" x14ac:dyDescent="0.25">
      <c r="A5448" s="21">
        <v>45838</v>
      </c>
      <c r="B5448" s="1">
        <v>214681681</v>
      </c>
      <c r="C5448" t="s">
        <v>9617</v>
      </c>
      <c r="D5448" s="22">
        <v>-30.27</v>
      </c>
      <c r="E5448" s="75" t="s">
        <v>35</v>
      </c>
      <c r="F5448" s="2">
        <v>212901001</v>
      </c>
      <c r="G5448" s="2" t="s">
        <v>121</v>
      </c>
      <c r="L5448" s="2" t="s">
        <v>9618</v>
      </c>
      <c r="M5448" t="s">
        <v>67</v>
      </c>
      <c r="N5448" t="s">
        <v>68</v>
      </c>
      <c r="P5448" s="23">
        <v>107.62</v>
      </c>
      <c r="Q5448" s="4">
        <f t="shared" si="84"/>
        <v>-0.28126742241219105</v>
      </c>
      <c r="R5448" s="23" t="s">
        <v>109</v>
      </c>
      <c r="U5448">
        <v>35</v>
      </c>
      <c r="V5448" t="e">
        <f>VLOOKUP(Tabla3[[#This Row],[Nº]],[1]!NOMINA[#Data],4,FALSE)</f>
        <v>#REF!</v>
      </c>
      <c r="W5448" t="e">
        <f>VLOOKUP(U5448,[1]!NOMINA[#Data],5,FALSE)</f>
        <v>#REF!</v>
      </c>
    </row>
    <row r="5449" spans="1:23" x14ac:dyDescent="0.25">
      <c r="A5449" s="21">
        <v>45838</v>
      </c>
      <c r="B5449" s="1">
        <v>214681686</v>
      </c>
      <c r="C5449" t="s">
        <v>9619</v>
      </c>
      <c r="D5449" s="22">
        <v>-56.01</v>
      </c>
      <c r="E5449" s="75" t="s">
        <v>35</v>
      </c>
      <c r="F5449" s="2">
        <v>212901001</v>
      </c>
      <c r="G5449" s="2" t="s">
        <v>121</v>
      </c>
      <c r="L5449" s="2" t="s">
        <v>9620</v>
      </c>
      <c r="M5449" t="s">
        <v>67</v>
      </c>
      <c r="N5449" t="s">
        <v>68</v>
      </c>
      <c r="P5449" s="23">
        <v>107.62</v>
      </c>
      <c r="Q5449" s="4">
        <f t="shared" si="84"/>
        <v>-0.52044229697082323</v>
      </c>
      <c r="R5449" s="23" t="s">
        <v>109</v>
      </c>
      <c r="U5449">
        <v>31</v>
      </c>
      <c r="V5449" t="e">
        <f>VLOOKUP(Tabla3[[#This Row],[Nº]],[1]!NOMINA[#Data],4,FALSE)</f>
        <v>#REF!</v>
      </c>
      <c r="W5449" t="e">
        <f>VLOOKUP(U5449,[1]!NOMINA[#Data],5,FALSE)</f>
        <v>#REF!</v>
      </c>
    </row>
    <row r="5450" spans="1:23" x14ac:dyDescent="0.25">
      <c r="A5450" s="21">
        <v>45838</v>
      </c>
      <c r="B5450" s="1">
        <v>314681688</v>
      </c>
      <c r="C5450" t="s">
        <v>9621</v>
      </c>
      <c r="D5450" s="22">
        <v>-60.3</v>
      </c>
      <c r="E5450" s="75" t="s">
        <v>35</v>
      </c>
      <c r="F5450" s="2">
        <v>212901001</v>
      </c>
      <c r="G5450" s="2" t="s">
        <v>121</v>
      </c>
      <c r="L5450" s="2" t="s">
        <v>9622</v>
      </c>
      <c r="M5450" t="s">
        <v>67</v>
      </c>
      <c r="N5450" t="s">
        <v>68</v>
      </c>
      <c r="P5450" s="23">
        <v>107.62</v>
      </c>
      <c r="Q5450" s="4">
        <f t="shared" si="84"/>
        <v>-0.56030477606392859</v>
      </c>
      <c r="R5450" s="23" t="s">
        <v>109</v>
      </c>
      <c r="U5450">
        <v>13</v>
      </c>
      <c r="V5450" t="e">
        <f>VLOOKUP(Tabla3[[#This Row],[Nº]],[1]!NOMINA[#Data],4,FALSE)</f>
        <v>#REF!</v>
      </c>
      <c r="W5450" t="e">
        <f>VLOOKUP(U5450,[1]!NOMINA[#Data],5,FALSE)</f>
        <v>#REF!</v>
      </c>
    </row>
    <row r="5451" spans="1:23" x14ac:dyDescent="0.25">
      <c r="A5451" s="21">
        <v>45838</v>
      </c>
      <c r="B5451" s="1">
        <v>314681687</v>
      </c>
      <c r="C5451" t="s">
        <v>9623</v>
      </c>
      <c r="D5451" s="22">
        <v>-60.3</v>
      </c>
      <c r="E5451" s="75" t="s">
        <v>35</v>
      </c>
      <c r="F5451" s="2">
        <v>212901001</v>
      </c>
      <c r="G5451" s="2" t="s">
        <v>121</v>
      </c>
      <c r="L5451" s="2" t="s">
        <v>9624</v>
      </c>
      <c r="M5451" t="s">
        <v>67</v>
      </c>
      <c r="N5451" t="s">
        <v>68</v>
      </c>
      <c r="P5451" s="23">
        <v>107.62</v>
      </c>
      <c r="Q5451" s="4">
        <f t="shared" ref="Q5451:Q5514" si="85">D5451/P5451</f>
        <v>-0.56030477606392859</v>
      </c>
      <c r="R5451" s="23" t="s">
        <v>109</v>
      </c>
      <c r="U5451">
        <v>8</v>
      </c>
      <c r="V5451" t="e">
        <f>VLOOKUP(Tabla3[[#This Row],[Nº]],[1]!NOMINA[#Data],4,FALSE)</f>
        <v>#REF!</v>
      </c>
      <c r="W5451" t="e">
        <f>VLOOKUP(U5451,[1]!NOMINA[#Data],5,FALSE)</f>
        <v>#REF!</v>
      </c>
    </row>
    <row r="5452" spans="1:23" x14ac:dyDescent="0.25">
      <c r="A5452" s="21">
        <v>45838</v>
      </c>
      <c r="B5452" s="1">
        <v>314681689</v>
      </c>
      <c r="C5452" t="s">
        <v>9625</v>
      </c>
      <c r="D5452" s="22">
        <v>-60.3</v>
      </c>
      <c r="E5452" s="75" t="s">
        <v>35</v>
      </c>
      <c r="F5452" s="2">
        <v>212901001</v>
      </c>
      <c r="G5452" s="2" t="s">
        <v>121</v>
      </c>
      <c r="L5452" s="2" t="s">
        <v>9626</v>
      </c>
      <c r="M5452" t="s">
        <v>67</v>
      </c>
      <c r="N5452" t="s">
        <v>68</v>
      </c>
      <c r="P5452" s="23">
        <v>107.62</v>
      </c>
      <c r="Q5452" s="4">
        <f t="shared" si="85"/>
        <v>-0.56030477606392859</v>
      </c>
      <c r="R5452" s="23" t="s">
        <v>109</v>
      </c>
      <c r="U5452">
        <v>11</v>
      </c>
      <c r="V5452" t="e">
        <f>VLOOKUP(Tabla3[[#This Row],[Nº]],[1]!NOMINA[#Data],4,FALSE)</f>
        <v>#REF!</v>
      </c>
      <c r="W5452" t="e">
        <f>VLOOKUP(U5452,[1]!NOMINA[#Data],5,FALSE)</f>
        <v>#REF!</v>
      </c>
    </row>
    <row r="5453" spans="1:23" x14ac:dyDescent="0.25">
      <c r="A5453" s="21">
        <v>45838</v>
      </c>
      <c r="B5453" s="1">
        <v>314681691</v>
      </c>
      <c r="C5453" t="s">
        <v>9627</v>
      </c>
      <c r="D5453" s="22">
        <v>-60.3</v>
      </c>
      <c r="E5453" s="75" t="s">
        <v>35</v>
      </c>
      <c r="F5453" s="2">
        <v>212901001</v>
      </c>
      <c r="G5453" s="2" t="s">
        <v>121</v>
      </c>
      <c r="L5453" s="2" t="s">
        <v>9628</v>
      </c>
      <c r="M5453" t="s">
        <v>67</v>
      </c>
      <c r="N5453" t="s">
        <v>68</v>
      </c>
      <c r="P5453" s="23">
        <v>107.62</v>
      </c>
      <c r="Q5453" s="4">
        <f t="shared" si="85"/>
        <v>-0.56030477606392859</v>
      </c>
      <c r="R5453" s="23" t="s">
        <v>109</v>
      </c>
      <c r="U5453">
        <v>23</v>
      </c>
      <c r="V5453" t="e">
        <f>VLOOKUP(Tabla3[[#This Row],[Nº]],[1]!NOMINA[#Data],4,FALSE)</f>
        <v>#REF!</v>
      </c>
      <c r="W5453" t="e">
        <f>VLOOKUP(U5453,[1]!NOMINA[#Data],5,FALSE)</f>
        <v>#REF!</v>
      </c>
    </row>
    <row r="5454" spans="1:23" x14ac:dyDescent="0.25">
      <c r="A5454" s="21">
        <v>45838</v>
      </c>
      <c r="B5454" s="1">
        <v>314681690</v>
      </c>
      <c r="C5454" t="s">
        <v>9629</v>
      </c>
      <c r="D5454" s="22">
        <v>-60.3</v>
      </c>
      <c r="E5454" s="75" t="s">
        <v>35</v>
      </c>
      <c r="F5454" s="2">
        <v>212901001</v>
      </c>
      <c r="G5454" s="2" t="s">
        <v>121</v>
      </c>
      <c r="L5454" s="2" t="s">
        <v>9630</v>
      </c>
      <c r="M5454" t="s">
        <v>67</v>
      </c>
      <c r="N5454" t="s">
        <v>68</v>
      </c>
      <c r="P5454" s="23">
        <v>107.62</v>
      </c>
      <c r="Q5454" s="4">
        <f t="shared" si="85"/>
        <v>-0.56030477606392859</v>
      </c>
      <c r="R5454" s="23" t="s">
        <v>109</v>
      </c>
      <c r="U5454">
        <v>17</v>
      </c>
      <c r="V5454" t="e">
        <f>VLOOKUP(Tabla3[[#This Row],[Nº]],[1]!NOMINA[#Data],4,FALSE)</f>
        <v>#REF!</v>
      </c>
      <c r="W5454" t="e">
        <f>VLOOKUP(U5454,[1]!NOMINA[#Data],5,FALSE)</f>
        <v>#REF!</v>
      </c>
    </row>
    <row r="5455" spans="1:23" x14ac:dyDescent="0.25">
      <c r="A5455" s="21">
        <v>45838</v>
      </c>
      <c r="B5455" s="1">
        <v>314681695</v>
      </c>
      <c r="C5455" t="s">
        <v>9631</v>
      </c>
      <c r="D5455" s="22">
        <v>-60.3</v>
      </c>
      <c r="E5455" s="75" t="s">
        <v>35</v>
      </c>
      <c r="F5455" s="2">
        <v>212901001</v>
      </c>
      <c r="G5455" s="2" t="s">
        <v>121</v>
      </c>
      <c r="L5455" s="2" t="s">
        <v>9632</v>
      </c>
      <c r="M5455" t="s">
        <v>67</v>
      </c>
      <c r="N5455" t="s">
        <v>68</v>
      </c>
      <c r="P5455" s="23">
        <v>107.62</v>
      </c>
      <c r="Q5455" s="4">
        <f t="shared" si="85"/>
        <v>-0.56030477606392859</v>
      </c>
      <c r="R5455" s="23" t="s">
        <v>109</v>
      </c>
      <c r="U5455">
        <v>4</v>
      </c>
      <c r="V5455" t="e">
        <f>VLOOKUP(Tabla3[[#This Row],[Nº]],[1]!NOMINA[#Data],4,FALSE)</f>
        <v>#REF!</v>
      </c>
      <c r="W5455" t="e">
        <f>VLOOKUP(U5455,[1]!NOMINA[#Data],5,FALSE)</f>
        <v>#REF!</v>
      </c>
    </row>
    <row r="5456" spans="1:23" x14ac:dyDescent="0.25">
      <c r="A5456" s="21">
        <v>45838</v>
      </c>
      <c r="B5456" s="1">
        <v>314681692</v>
      </c>
      <c r="C5456" t="s">
        <v>9633</v>
      </c>
      <c r="D5456" s="22">
        <v>-56.01</v>
      </c>
      <c r="E5456" s="75" t="s">
        <v>35</v>
      </c>
      <c r="F5456" s="2">
        <v>212901001</v>
      </c>
      <c r="G5456" s="2" t="s">
        <v>121</v>
      </c>
      <c r="L5456" s="2" t="s">
        <v>9634</v>
      </c>
      <c r="M5456" t="s">
        <v>67</v>
      </c>
      <c r="N5456" t="s">
        <v>68</v>
      </c>
      <c r="P5456" s="23">
        <v>107.62</v>
      </c>
      <c r="Q5456" s="4">
        <f t="shared" si="85"/>
        <v>-0.52044229697082323</v>
      </c>
      <c r="R5456" s="23" t="s">
        <v>109</v>
      </c>
      <c r="U5456">
        <v>20</v>
      </c>
      <c r="V5456" t="e">
        <f>VLOOKUP(Tabla3[[#This Row],[Nº]],[1]!NOMINA[#Data],4,FALSE)</f>
        <v>#REF!</v>
      </c>
      <c r="W5456" t="e">
        <f>VLOOKUP(U5456,[1]!NOMINA[#Data],5,FALSE)</f>
        <v>#REF!</v>
      </c>
    </row>
    <row r="5457" spans="1:23" x14ac:dyDescent="0.25">
      <c r="A5457" s="21">
        <v>45838</v>
      </c>
      <c r="B5457" s="1">
        <v>314681693</v>
      </c>
      <c r="C5457" t="s">
        <v>9635</v>
      </c>
      <c r="D5457" s="22">
        <v>-60.3</v>
      </c>
      <c r="E5457" s="75" t="s">
        <v>35</v>
      </c>
      <c r="F5457" s="2">
        <v>212901001</v>
      </c>
      <c r="G5457" s="2" t="s">
        <v>121</v>
      </c>
      <c r="L5457" s="2" t="s">
        <v>9636</v>
      </c>
      <c r="M5457" t="s">
        <v>67</v>
      </c>
      <c r="N5457" t="s">
        <v>68</v>
      </c>
      <c r="P5457" s="23">
        <v>107.62</v>
      </c>
      <c r="Q5457" s="4">
        <f t="shared" si="85"/>
        <v>-0.56030477606392859</v>
      </c>
      <c r="R5457" s="23" t="s">
        <v>109</v>
      </c>
      <c r="U5457">
        <v>22</v>
      </c>
      <c r="V5457" t="e">
        <f>VLOOKUP(Tabla3[[#This Row],[Nº]],[1]!NOMINA[#Data],4,FALSE)</f>
        <v>#REF!</v>
      </c>
      <c r="W5457" t="e">
        <f>VLOOKUP(U5457,[1]!NOMINA[#Data],5,FALSE)</f>
        <v>#REF!</v>
      </c>
    </row>
    <row r="5458" spans="1:23" x14ac:dyDescent="0.25">
      <c r="A5458" s="21">
        <v>45838</v>
      </c>
      <c r="B5458" s="1">
        <v>314681694</v>
      </c>
      <c r="C5458" t="s">
        <v>9637</v>
      </c>
      <c r="D5458" s="22">
        <v>-56.01</v>
      </c>
      <c r="E5458" s="75" t="s">
        <v>35</v>
      </c>
      <c r="F5458" s="2">
        <v>212901001</v>
      </c>
      <c r="G5458" s="2" t="s">
        <v>121</v>
      </c>
      <c r="L5458" s="2" t="s">
        <v>9638</v>
      </c>
      <c r="M5458" t="s">
        <v>67</v>
      </c>
      <c r="N5458" t="s">
        <v>68</v>
      </c>
      <c r="P5458" s="23">
        <v>107.62</v>
      </c>
      <c r="Q5458" s="4">
        <f t="shared" si="85"/>
        <v>-0.52044229697082323</v>
      </c>
      <c r="R5458" s="23" t="s">
        <v>109</v>
      </c>
      <c r="U5458">
        <v>32</v>
      </c>
      <c r="V5458" t="e">
        <f>VLOOKUP(Tabla3[[#This Row],[Nº]],[1]!NOMINA[#Data],4,FALSE)</f>
        <v>#REF!</v>
      </c>
      <c r="W5458" t="e">
        <f>VLOOKUP(U5458,[1]!NOMINA[#Data],5,FALSE)</f>
        <v>#REF!</v>
      </c>
    </row>
    <row r="5459" spans="1:23" x14ac:dyDescent="0.25">
      <c r="A5459" s="21">
        <v>45838</v>
      </c>
      <c r="B5459" s="1">
        <v>414681696</v>
      </c>
      <c r="C5459" t="s">
        <v>9639</v>
      </c>
      <c r="D5459" s="22">
        <v>-60.3</v>
      </c>
      <c r="E5459" s="75" t="s">
        <v>35</v>
      </c>
      <c r="F5459" s="2">
        <v>212901001</v>
      </c>
      <c r="G5459" s="2" t="s">
        <v>121</v>
      </c>
      <c r="L5459" s="2" t="s">
        <v>9640</v>
      </c>
      <c r="M5459" t="s">
        <v>67</v>
      </c>
      <c r="N5459" t="s">
        <v>68</v>
      </c>
      <c r="P5459" s="23">
        <v>107.62</v>
      </c>
      <c r="Q5459" s="4">
        <f t="shared" si="85"/>
        <v>-0.56030477606392859</v>
      </c>
      <c r="R5459" s="23" t="s">
        <v>109</v>
      </c>
      <c r="U5459">
        <v>14</v>
      </c>
      <c r="V5459" t="e">
        <f>VLOOKUP(Tabla3[[#This Row],[Nº]],[1]!NOMINA[#Data],4,FALSE)</f>
        <v>#REF!</v>
      </c>
      <c r="W5459" t="e">
        <f>VLOOKUP(U5459,[1]!NOMINA[#Data],5,FALSE)</f>
        <v>#REF!</v>
      </c>
    </row>
    <row r="5460" spans="1:23" x14ac:dyDescent="0.25">
      <c r="A5460" s="21">
        <v>45838</v>
      </c>
      <c r="B5460" s="1">
        <v>414681697</v>
      </c>
      <c r="C5460" t="s">
        <v>9641</v>
      </c>
      <c r="D5460" s="22">
        <v>-60.3</v>
      </c>
      <c r="E5460" s="75" t="s">
        <v>35</v>
      </c>
      <c r="F5460" s="2">
        <v>212901001</v>
      </c>
      <c r="G5460" s="2" t="s">
        <v>121</v>
      </c>
      <c r="L5460" s="2" t="s">
        <v>9642</v>
      </c>
      <c r="M5460" t="s">
        <v>67</v>
      </c>
      <c r="N5460" t="s">
        <v>68</v>
      </c>
      <c r="P5460" s="23">
        <v>107.62</v>
      </c>
      <c r="Q5460" s="4">
        <f t="shared" si="85"/>
        <v>-0.56030477606392859</v>
      </c>
      <c r="R5460" s="23" t="s">
        <v>109</v>
      </c>
      <c r="U5460">
        <v>21</v>
      </c>
      <c r="V5460" t="e">
        <f>VLOOKUP(Tabla3[[#This Row],[Nº]],[1]!NOMINA[#Data],4,FALSE)</f>
        <v>#REF!</v>
      </c>
      <c r="W5460" t="e">
        <f>VLOOKUP(U5460,[1]!NOMINA[#Data],5,FALSE)</f>
        <v>#REF!</v>
      </c>
    </row>
    <row r="5461" spans="1:23" x14ac:dyDescent="0.25">
      <c r="A5461" s="21">
        <v>45838</v>
      </c>
      <c r="B5461" s="1">
        <v>414681699</v>
      </c>
      <c r="C5461" t="s">
        <v>9643</v>
      </c>
      <c r="D5461" s="22">
        <v>-56.01</v>
      </c>
      <c r="E5461" s="75" t="s">
        <v>35</v>
      </c>
      <c r="F5461" s="2">
        <v>212901001</v>
      </c>
      <c r="G5461" s="2" t="s">
        <v>121</v>
      </c>
      <c r="L5461" s="2" t="s">
        <v>9644</v>
      </c>
      <c r="M5461" t="s">
        <v>67</v>
      </c>
      <c r="N5461" t="s">
        <v>68</v>
      </c>
      <c r="P5461" s="23">
        <v>107.62</v>
      </c>
      <c r="Q5461" s="4">
        <f t="shared" si="85"/>
        <v>-0.52044229697082323</v>
      </c>
      <c r="R5461" s="23" t="s">
        <v>109</v>
      </c>
      <c r="U5461">
        <v>34</v>
      </c>
      <c r="V5461" t="e">
        <f>VLOOKUP(U5461,[1]!NOMINA[#Data],4,FALSE)</f>
        <v>#REF!</v>
      </c>
      <c r="W5461" t="e">
        <f>VLOOKUP(U5461,[1]!NOMINA[#Data],5,FALSE)</f>
        <v>#REF!</v>
      </c>
    </row>
    <row r="5462" spans="1:23" x14ac:dyDescent="0.25">
      <c r="A5462" s="21">
        <v>45838</v>
      </c>
      <c r="B5462" s="1">
        <v>414681700</v>
      </c>
      <c r="C5462" t="s">
        <v>9645</v>
      </c>
      <c r="D5462" s="22">
        <v>-60.3</v>
      </c>
      <c r="E5462" s="75" t="s">
        <v>35</v>
      </c>
      <c r="F5462" s="2">
        <v>212901001</v>
      </c>
      <c r="G5462" s="2" t="s">
        <v>121</v>
      </c>
      <c r="L5462" s="2" t="s">
        <v>9646</v>
      </c>
      <c r="M5462" t="s">
        <v>67</v>
      </c>
      <c r="N5462" t="s">
        <v>68</v>
      </c>
      <c r="P5462" s="23">
        <v>107.62</v>
      </c>
      <c r="Q5462" s="4">
        <f t="shared" si="85"/>
        <v>-0.56030477606392859</v>
      </c>
      <c r="R5462" s="23" t="s">
        <v>109</v>
      </c>
      <c r="U5462">
        <v>25</v>
      </c>
      <c r="V5462" t="e">
        <f>VLOOKUP(Tabla3[[#This Row],[Nº]],[1]!NOMINA[#Data],4,FALSE)</f>
        <v>#REF!</v>
      </c>
      <c r="W5462" t="e">
        <f>VLOOKUP(U5462,[1]!NOMINA[#Data],5,FALSE)</f>
        <v>#REF!</v>
      </c>
    </row>
    <row r="5463" spans="1:23" x14ac:dyDescent="0.25">
      <c r="A5463" s="21">
        <v>45838</v>
      </c>
      <c r="B5463" s="1">
        <v>414681698</v>
      </c>
      <c r="C5463" t="s">
        <v>9647</v>
      </c>
      <c r="D5463" s="22">
        <v>-60.3</v>
      </c>
      <c r="E5463" s="75" t="s">
        <v>35</v>
      </c>
      <c r="F5463" s="2">
        <v>212901001</v>
      </c>
      <c r="G5463" s="2" t="s">
        <v>121</v>
      </c>
      <c r="L5463" s="2" t="s">
        <v>9648</v>
      </c>
      <c r="M5463" t="s">
        <v>67</v>
      </c>
      <c r="N5463" t="s">
        <v>68</v>
      </c>
      <c r="P5463" s="23">
        <v>107.62</v>
      </c>
      <c r="Q5463" s="4">
        <f t="shared" si="85"/>
        <v>-0.56030477606392859</v>
      </c>
      <c r="R5463" s="23" t="s">
        <v>109</v>
      </c>
      <c r="U5463">
        <v>2</v>
      </c>
      <c r="V5463" t="e">
        <f>VLOOKUP(Tabla3[[#This Row],[Nº]],[1]!NOMINA[#Data],4,FALSE)</f>
        <v>#REF!</v>
      </c>
      <c r="W5463" t="e">
        <f>VLOOKUP(Tabla3[[#This Row],[Nº]],[1]!NOMINA[#Data],5,FALSE)</f>
        <v>#REF!</v>
      </c>
    </row>
    <row r="5464" spans="1:23" x14ac:dyDescent="0.25">
      <c r="A5464" s="21">
        <v>45838</v>
      </c>
      <c r="B5464" s="1">
        <v>414681703</v>
      </c>
      <c r="C5464" t="s">
        <v>9649</v>
      </c>
      <c r="D5464" s="22">
        <v>-60.3</v>
      </c>
      <c r="E5464" s="75" t="s">
        <v>35</v>
      </c>
      <c r="F5464" s="2">
        <v>212901001</v>
      </c>
      <c r="G5464" s="2" t="s">
        <v>121</v>
      </c>
      <c r="L5464" s="2" t="s">
        <v>9650</v>
      </c>
      <c r="M5464" t="s">
        <v>67</v>
      </c>
      <c r="N5464" t="s">
        <v>68</v>
      </c>
      <c r="P5464" s="23">
        <v>107.62</v>
      </c>
      <c r="Q5464" s="4">
        <f t="shared" si="85"/>
        <v>-0.56030477606392859</v>
      </c>
      <c r="R5464" s="23" t="s">
        <v>109</v>
      </c>
      <c r="U5464">
        <v>28</v>
      </c>
      <c r="V5464" t="e">
        <f>VLOOKUP(Tabla3[[#This Row],[Nº]],[1]!NOMINA[#Data],4,FALSE)</f>
        <v>#REF!</v>
      </c>
      <c r="W5464" t="e">
        <f>VLOOKUP(U5464,[1]!NOMINA[#Data],5,FALSE)</f>
        <v>#REF!</v>
      </c>
    </row>
    <row r="5465" spans="1:23" x14ac:dyDescent="0.25">
      <c r="A5465" s="21">
        <v>45838</v>
      </c>
      <c r="B5465" s="1">
        <v>414681702</v>
      </c>
      <c r="C5465" t="s">
        <v>9651</v>
      </c>
      <c r="D5465" s="22">
        <v>-60.3</v>
      </c>
      <c r="E5465" s="75" t="s">
        <v>35</v>
      </c>
      <c r="F5465" s="2">
        <v>212901001</v>
      </c>
      <c r="G5465" s="2" t="s">
        <v>121</v>
      </c>
      <c r="L5465" s="2" t="s">
        <v>9652</v>
      </c>
      <c r="M5465" t="s">
        <v>67</v>
      </c>
      <c r="N5465" t="s">
        <v>68</v>
      </c>
      <c r="P5465" s="23">
        <v>107.62</v>
      </c>
      <c r="Q5465" s="4">
        <f t="shared" si="85"/>
        <v>-0.56030477606392859</v>
      </c>
      <c r="R5465" s="23" t="s">
        <v>109</v>
      </c>
      <c r="U5465">
        <v>6</v>
      </c>
      <c r="V5465" t="e">
        <f>VLOOKUP(Tabla3[[#This Row],[Nº]],[1]!NOMINA[#Data],4,FALSE)</f>
        <v>#REF!</v>
      </c>
      <c r="W5465" t="e">
        <f>VLOOKUP(U5465,[1]!NOMINA[#Data],5,FALSE)</f>
        <v>#REF!</v>
      </c>
    </row>
    <row r="5466" spans="1:23" x14ac:dyDescent="0.25">
      <c r="A5466" s="21">
        <v>45838</v>
      </c>
      <c r="B5466" s="1">
        <v>414681704</v>
      </c>
      <c r="C5466" t="s">
        <v>9653</v>
      </c>
      <c r="D5466" s="22">
        <v>-60.3</v>
      </c>
      <c r="E5466" s="75" t="s">
        <v>35</v>
      </c>
      <c r="F5466" s="2">
        <v>212901001</v>
      </c>
      <c r="G5466" s="2" t="s">
        <v>121</v>
      </c>
      <c r="L5466" s="2" t="s">
        <v>9654</v>
      </c>
      <c r="M5466" t="s">
        <v>67</v>
      </c>
      <c r="N5466" t="s">
        <v>68</v>
      </c>
      <c r="P5466" s="23">
        <v>107.62</v>
      </c>
      <c r="Q5466" s="4">
        <f t="shared" si="85"/>
        <v>-0.56030477606392859</v>
      </c>
      <c r="R5466" s="23" t="s">
        <v>109</v>
      </c>
      <c r="U5466">
        <v>24</v>
      </c>
      <c r="V5466" t="e">
        <f>VLOOKUP(Tabla3[[#This Row],[Nº]],[1]!NOMINA[#Data],4,FALSE)</f>
        <v>#REF!</v>
      </c>
      <c r="W5466" t="e">
        <f>VLOOKUP(U5466,[1]!NOMINA[#Data],5,FALSE)</f>
        <v>#REF!</v>
      </c>
    </row>
    <row r="5467" spans="1:23" x14ac:dyDescent="0.25">
      <c r="A5467" s="21">
        <v>45838</v>
      </c>
      <c r="B5467" s="1">
        <v>514681706</v>
      </c>
      <c r="C5467" t="s">
        <v>9655</v>
      </c>
      <c r="D5467" s="22">
        <v>-60.3</v>
      </c>
      <c r="E5467" s="75" t="s">
        <v>35</v>
      </c>
      <c r="F5467" s="2">
        <v>212901001</v>
      </c>
      <c r="G5467" s="2" t="s">
        <v>121</v>
      </c>
      <c r="L5467" s="2" t="s">
        <v>9656</v>
      </c>
      <c r="M5467" t="s">
        <v>67</v>
      </c>
      <c r="N5467" t="s">
        <v>68</v>
      </c>
      <c r="P5467" s="23">
        <v>107.62</v>
      </c>
      <c r="Q5467" s="4">
        <f t="shared" si="85"/>
        <v>-0.56030477606392859</v>
      </c>
      <c r="R5467" s="23" t="s">
        <v>109</v>
      </c>
      <c r="U5467">
        <v>3</v>
      </c>
      <c r="V5467" t="e">
        <f>VLOOKUP(Tabla3[[#This Row],[Nº]],[1]!NOMINA[#Data],4,FALSE)</f>
        <v>#REF!</v>
      </c>
      <c r="W5467" t="e">
        <f>VLOOKUP(U5467,[1]!NOMINA[#Data],5,FALSE)</f>
        <v>#REF!</v>
      </c>
    </row>
    <row r="5468" spans="1:23" x14ac:dyDescent="0.25">
      <c r="A5468" s="21">
        <v>45838</v>
      </c>
      <c r="B5468" s="1">
        <v>514681705</v>
      </c>
      <c r="C5468" t="s">
        <v>9657</v>
      </c>
      <c r="D5468" s="22">
        <v>-60.3</v>
      </c>
      <c r="E5468" s="75" t="s">
        <v>35</v>
      </c>
      <c r="F5468" s="2">
        <v>212901001</v>
      </c>
      <c r="G5468" s="2" t="s">
        <v>121</v>
      </c>
      <c r="L5468" s="2" t="s">
        <v>9658</v>
      </c>
      <c r="M5468" t="s">
        <v>67</v>
      </c>
      <c r="N5468" t="s">
        <v>68</v>
      </c>
      <c r="P5468" s="23">
        <v>107.62</v>
      </c>
      <c r="Q5468" s="4">
        <f t="shared" si="85"/>
        <v>-0.56030477606392859</v>
      </c>
      <c r="R5468" s="23" t="s">
        <v>109</v>
      </c>
      <c r="U5468">
        <v>27</v>
      </c>
      <c r="V5468" t="e">
        <f>VLOOKUP(Tabla3[[#This Row],[Nº]],[1]!NOMINA[#Data],4,FALSE)</f>
        <v>#REF!</v>
      </c>
      <c r="W5468" t="e">
        <f>VLOOKUP(U5468,[1]!NOMINA[#Data],5,FALSE)</f>
        <v>#REF!</v>
      </c>
    </row>
    <row r="5469" spans="1:23" x14ac:dyDescent="0.25">
      <c r="A5469" s="21">
        <v>45838</v>
      </c>
      <c r="B5469" s="1">
        <v>514681707</v>
      </c>
      <c r="C5469" t="s">
        <v>9659</v>
      </c>
      <c r="D5469" s="22">
        <v>-60.3</v>
      </c>
      <c r="E5469" s="75" t="s">
        <v>35</v>
      </c>
      <c r="F5469" s="2">
        <v>212901001</v>
      </c>
      <c r="G5469" s="2" t="s">
        <v>121</v>
      </c>
      <c r="L5469" s="2" t="s">
        <v>9660</v>
      </c>
      <c r="M5469" t="s">
        <v>67</v>
      </c>
      <c r="N5469" t="s">
        <v>68</v>
      </c>
      <c r="P5469" s="23">
        <v>107.62</v>
      </c>
      <c r="Q5469" s="4">
        <f t="shared" si="85"/>
        <v>-0.56030477606392859</v>
      </c>
      <c r="R5469" s="23" t="s">
        <v>109</v>
      </c>
      <c r="U5469">
        <v>19</v>
      </c>
      <c r="V5469" t="e">
        <f>VLOOKUP(Tabla3[[#This Row],[Nº]],[1]!NOMINA[#Data],4,FALSE)</f>
        <v>#REF!</v>
      </c>
      <c r="W5469" t="e">
        <f>VLOOKUP(U5469,[1]!NOMINA[#Data],5,FALSE)</f>
        <v>#REF!</v>
      </c>
    </row>
    <row r="5470" spans="1:23" x14ac:dyDescent="0.25">
      <c r="A5470" s="21">
        <v>45838</v>
      </c>
      <c r="B5470" s="1">
        <v>514681709</v>
      </c>
      <c r="C5470" t="s">
        <v>9661</v>
      </c>
      <c r="D5470" s="22">
        <v>-60.3</v>
      </c>
      <c r="E5470" s="75" t="s">
        <v>35</v>
      </c>
      <c r="F5470" s="2">
        <v>212901001</v>
      </c>
      <c r="G5470" s="2" t="s">
        <v>121</v>
      </c>
      <c r="L5470" s="2" t="s">
        <v>9662</v>
      </c>
      <c r="M5470" t="s">
        <v>67</v>
      </c>
      <c r="N5470" t="s">
        <v>68</v>
      </c>
      <c r="P5470" s="23">
        <v>107.62</v>
      </c>
      <c r="Q5470" s="4">
        <f t="shared" si="85"/>
        <v>-0.56030477606392859</v>
      </c>
      <c r="R5470" s="23" t="s">
        <v>109</v>
      </c>
      <c r="U5470">
        <v>5</v>
      </c>
      <c r="V5470" t="e">
        <f>VLOOKUP(Tabla3[[#This Row],[Nº]],[1]!NOMINA[#Data],4,FALSE)</f>
        <v>#REF!</v>
      </c>
      <c r="W5470" t="e">
        <f>VLOOKUP(U5470,[1]!NOMINA[#Data],5,FALSE)</f>
        <v>#REF!</v>
      </c>
    </row>
    <row r="5471" spans="1:23" x14ac:dyDescent="0.25">
      <c r="A5471" s="21">
        <v>45838</v>
      </c>
      <c r="B5471" s="1">
        <v>514681708</v>
      </c>
      <c r="C5471" t="s">
        <v>9663</v>
      </c>
      <c r="D5471" s="22">
        <v>-60.3</v>
      </c>
      <c r="E5471" s="75" t="s">
        <v>35</v>
      </c>
      <c r="F5471" s="2">
        <v>212901001</v>
      </c>
      <c r="G5471" s="2" t="s">
        <v>121</v>
      </c>
      <c r="L5471" s="2" t="s">
        <v>9664</v>
      </c>
      <c r="M5471" t="s">
        <v>67</v>
      </c>
      <c r="N5471" t="s">
        <v>68</v>
      </c>
      <c r="P5471" s="23">
        <v>107.62</v>
      </c>
      <c r="Q5471" s="4">
        <f t="shared" si="85"/>
        <v>-0.56030477606392859</v>
      </c>
      <c r="R5471" s="23" t="s">
        <v>109</v>
      </c>
      <c r="U5471">
        <v>16</v>
      </c>
      <c r="V5471" t="e">
        <f>VLOOKUP(Tabla3[[#This Row],[Nº]],[1]!NOMINA[#Data],4,FALSE)</f>
        <v>#REF!</v>
      </c>
      <c r="W5471" t="e">
        <f>VLOOKUP(Tabla3[[#This Row],[Nº]],[1]!NOMINA[#Data],5,FALSE)</f>
        <v>#REF!</v>
      </c>
    </row>
    <row r="5472" spans="1:23" x14ac:dyDescent="0.25">
      <c r="A5472" s="21">
        <v>45838</v>
      </c>
      <c r="B5472" s="1">
        <v>514681711</v>
      </c>
      <c r="C5472" t="s">
        <v>9665</v>
      </c>
      <c r="D5472" s="22">
        <v>-60.3</v>
      </c>
      <c r="E5472" s="75" t="s">
        <v>35</v>
      </c>
      <c r="F5472" s="2">
        <v>212901001</v>
      </c>
      <c r="G5472" s="2" t="s">
        <v>121</v>
      </c>
      <c r="L5472" s="2" t="s">
        <v>9666</v>
      </c>
      <c r="M5472" t="s">
        <v>67</v>
      </c>
      <c r="N5472" t="s">
        <v>68</v>
      </c>
      <c r="P5472" s="23">
        <v>107.62</v>
      </c>
      <c r="Q5472" s="4">
        <f t="shared" si="85"/>
        <v>-0.56030477606392859</v>
      </c>
      <c r="R5472" s="23" t="s">
        <v>109</v>
      </c>
      <c r="U5472">
        <v>7</v>
      </c>
      <c r="V5472" t="e">
        <f>VLOOKUP(Tabla3[[#This Row],[Nº]],[1]!NOMINA[#Data],4,FALSE)</f>
        <v>#REF!</v>
      </c>
      <c r="W5472" t="e">
        <f>VLOOKUP(U5472,[1]!NOMINA[#Data],5,FALSE)</f>
        <v>#REF!</v>
      </c>
    </row>
    <row r="5473" spans="1:23" x14ac:dyDescent="0.25">
      <c r="A5473" s="21">
        <v>45838</v>
      </c>
      <c r="B5473" s="1">
        <v>514681710</v>
      </c>
      <c r="C5473" t="s">
        <v>9667</v>
      </c>
      <c r="D5473" s="22">
        <v>-60.3</v>
      </c>
      <c r="E5473" s="75" t="s">
        <v>35</v>
      </c>
      <c r="F5473" s="2">
        <v>212901001</v>
      </c>
      <c r="G5473" s="2" t="s">
        <v>121</v>
      </c>
      <c r="L5473" s="2" t="s">
        <v>9668</v>
      </c>
      <c r="M5473" t="s">
        <v>67</v>
      </c>
      <c r="N5473" t="s">
        <v>68</v>
      </c>
      <c r="P5473" s="23">
        <v>107.62</v>
      </c>
      <c r="Q5473" s="4">
        <f t="shared" si="85"/>
        <v>-0.56030477606392859</v>
      </c>
      <c r="R5473" s="23" t="s">
        <v>109</v>
      </c>
      <c r="U5473">
        <v>1</v>
      </c>
      <c r="V5473" t="e">
        <f>VLOOKUP(U5473,[1]!NOMINA[#Data],4,FALSE)</f>
        <v>#REF!</v>
      </c>
      <c r="W5473" t="e">
        <f>VLOOKUP(U5473,[1]!NOMINA[#Data],5,FALSE)</f>
        <v>#REF!</v>
      </c>
    </row>
    <row r="5474" spans="1:23" x14ac:dyDescent="0.25">
      <c r="A5474" s="21">
        <v>45838</v>
      </c>
      <c r="B5474" s="1">
        <v>514681712</v>
      </c>
      <c r="C5474" t="s">
        <v>9669</v>
      </c>
      <c r="D5474" s="22">
        <v>-31851</v>
      </c>
      <c r="E5474" s="75" t="s">
        <v>35</v>
      </c>
      <c r="F5474" s="2">
        <v>212901001</v>
      </c>
      <c r="G5474" s="2" t="s">
        <v>121</v>
      </c>
      <c r="L5474" s="2" t="s">
        <v>9670</v>
      </c>
      <c r="M5474" t="s">
        <v>67</v>
      </c>
      <c r="N5474" t="s">
        <v>68</v>
      </c>
      <c r="P5474" s="23">
        <v>107.62</v>
      </c>
      <c r="Q5474" s="4">
        <f t="shared" si="85"/>
        <v>-295.95800037167811</v>
      </c>
      <c r="R5474" s="23" t="s">
        <v>109</v>
      </c>
      <c r="U5474">
        <v>2</v>
      </c>
      <c r="V5474" t="e">
        <f>VLOOKUP(Tabla3[[#This Row],[Nº]],[1]!NOMINA[#Data],4,FALSE)</f>
        <v>#REF!</v>
      </c>
      <c r="W5474" t="e">
        <f>VLOOKUP(Tabla3[[#This Row],[Nº]],[1]!NOMINA[#Data],5,FALSE)</f>
        <v>#REF!</v>
      </c>
    </row>
    <row r="5475" spans="1:23" x14ac:dyDescent="0.25">
      <c r="A5475" s="21">
        <v>45838</v>
      </c>
      <c r="B5475" s="1">
        <v>614681713</v>
      </c>
      <c r="C5475" t="s">
        <v>9671</v>
      </c>
      <c r="D5475" s="22">
        <v>-1061.7</v>
      </c>
      <c r="E5475" s="75" t="s">
        <v>35</v>
      </c>
      <c r="F5475" s="2">
        <v>212901001</v>
      </c>
      <c r="G5475" s="2" t="s">
        <v>121</v>
      </c>
      <c r="L5475" s="2" t="s">
        <v>9672</v>
      </c>
      <c r="M5475" t="s">
        <v>67</v>
      </c>
      <c r="N5475" t="s">
        <v>68</v>
      </c>
      <c r="P5475" s="23">
        <v>107.62</v>
      </c>
      <c r="Q5475" s="4">
        <f t="shared" si="85"/>
        <v>-9.8652666790559369</v>
      </c>
      <c r="R5475" s="23" t="s">
        <v>109</v>
      </c>
      <c r="U5475">
        <v>28</v>
      </c>
      <c r="V5475" t="e">
        <f>VLOOKUP(Tabla3[[#This Row],[Nº]],[1]!NOMINA[#Data],4,FALSE)</f>
        <v>#REF!</v>
      </c>
      <c r="W5475" t="e">
        <f>VLOOKUP(U5475,[1]!NOMINA[#Data],5,FALSE)</f>
        <v>#REF!</v>
      </c>
    </row>
    <row r="5476" spans="1:23" x14ac:dyDescent="0.25">
      <c r="A5476" s="21">
        <v>45838</v>
      </c>
      <c r="B5476" s="1">
        <v>614681715</v>
      </c>
      <c r="C5476" t="s">
        <v>9673</v>
      </c>
      <c r="D5476" s="22">
        <v>-1061.7</v>
      </c>
      <c r="E5476" s="75" t="s">
        <v>35</v>
      </c>
      <c r="F5476" s="2">
        <v>212901001</v>
      </c>
      <c r="G5476" s="2" t="s">
        <v>121</v>
      </c>
      <c r="L5476" s="2" t="s">
        <v>9674</v>
      </c>
      <c r="M5476" t="s">
        <v>67</v>
      </c>
      <c r="N5476" t="s">
        <v>68</v>
      </c>
      <c r="P5476" s="23">
        <v>107.62</v>
      </c>
      <c r="Q5476" s="4">
        <f t="shared" si="85"/>
        <v>-9.8652666790559369</v>
      </c>
      <c r="R5476" s="23" t="s">
        <v>109</v>
      </c>
      <c r="U5476">
        <v>17</v>
      </c>
      <c r="V5476" t="e">
        <f>VLOOKUP(Tabla3[[#This Row],[Nº]],[1]!NOMINA[#Data],4,FALSE)</f>
        <v>#REF!</v>
      </c>
      <c r="W5476" t="e">
        <f>VLOOKUP(U5476,[1]!NOMINA[#Data],5,FALSE)</f>
        <v>#REF!</v>
      </c>
    </row>
    <row r="5477" spans="1:23" x14ac:dyDescent="0.25">
      <c r="A5477" s="21">
        <v>45838</v>
      </c>
      <c r="B5477" s="1">
        <v>614681716</v>
      </c>
      <c r="C5477" t="s">
        <v>9675</v>
      </c>
      <c r="D5477" s="22">
        <v>-1061.7</v>
      </c>
      <c r="E5477" s="75" t="s">
        <v>35</v>
      </c>
      <c r="F5477" s="2">
        <v>212901001</v>
      </c>
      <c r="G5477" s="2" t="s">
        <v>121</v>
      </c>
      <c r="L5477" s="2" t="s">
        <v>9676</v>
      </c>
      <c r="M5477" t="s">
        <v>67</v>
      </c>
      <c r="N5477" t="s">
        <v>68</v>
      </c>
      <c r="P5477" s="23">
        <v>107.62</v>
      </c>
      <c r="Q5477" s="4">
        <f t="shared" si="85"/>
        <v>-9.8652666790559369</v>
      </c>
      <c r="R5477" s="23" t="s">
        <v>109</v>
      </c>
      <c r="U5477">
        <v>15</v>
      </c>
      <c r="V5477" t="e">
        <f>VLOOKUP(Tabla3[[#This Row],[Nº]],[1]!NOMINA[#Data],4,FALSE)</f>
        <v>#REF!</v>
      </c>
      <c r="W5477" t="e">
        <f>VLOOKUP(U5477,[1]!NOMINA[#Data],5,FALSE)</f>
        <v>#REF!</v>
      </c>
    </row>
    <row r="5478" spans="1:23" x14ac:dyDescent="0.25">
      <c r="A5478" s="21">
        <v>45838</v>
      </c>
      <c r="B5478" s="1">
        <v>614681714</v>
      </c>
      <c r="C5478" t="s">
        <v>9677</v>
      </c>
      <c r="D5478" s="22">
        <v>-6370.2</v>
      </c>
      <c r="E5478" s="75" t="s">
        <v>35</v>
      </c>
      <c r="F5478" s="2">
        <v>212901001</v>
      </c>
      <c r="G5478" s="2" t="s">
        <v>121</v>
      </c>
      <c r="L5478" s="2" t="s">
        <v>9678</v>
      </c>
      <c r="M5478" t="s">
        <v>67</v>
      </c>
      <c r="N5478" t="s">
        <v>68</v>
      </c>
      <c r="P5478" s="23">
        <v>107.62</v>
      </c>
      <c r="Q5478" s="4">
        <f t="shared" si="85"/>
        <v>-59.191600074335618</v>
      </c>
      <c r="R5478" s="23" t="s">
        <v>109</v>
      </c>
      <c r="U5478">
        <v>19</v>
      </c>
      <c r="V5478" t="e">
        <f>VLOOKUP(Tabla3[[#This Row],[Nº]],[1]!NOMINA[#Data],4,FALSE)</f>
        <v>#REF!</v>
      </c>
      <c r="W5478" t="e">
        <f>VLOOKUP(U5478,[1]!NOMINA[#Data],5,FALSE)</f>
        <v>#REF!</v>
      </c>
    </row>
    <row r="5479" spans="1:23" x14ac:dyDescent="0.25">
      <c r="A5479" s="21">
        <v>45838</v>
      </c>
      <c r="B5479" s="1">
        <v>614681718</v>
      </c>
      <c r="C5479" t="s">
        <v>9679</v>
      </c>
      <c r="D5479" s="22">
        <v>-1061.7</v>
      </c>
      <c r="E5479" s="75" t="s">
        <v>35</v>
      </c>
      <c r="F5479" s="2">
        <v>212901001</v>
      </c>
      <c r="G5479" s="2" t="s">
        <v>121</v>
      </c>
      <c r="L5479" s="2" t="s">
        <v>9680</v>
      </c>
      <c r="M5479" t="s">
        <v>67</v>
      </c>
      <c r="N5479" t="s">
        <v>68</v>
      </c>
      <c r="P5479" s="23">
        <v>107.62</v>
      </c>
      <c r="Q5479" s="4">
        <f t="shared" si="85"/>
        <v>-9.8652666790559369</v>
      </c>
      <c r="R5479" s="23" t="s">
        <v>109</v>
      </c>
      <c r="U5479">
        <v>14</v>
      </c>
      <c r="V5479" t="e">
        <f>VLOOKUP(Tabla3[[#This Row],[Nº]],[1]!NOMINA[#Data],4,FALSE)</f>
        <v>#REF!</v>
      </c>
      <c r="W5479" t="e">
        <f>VLOOKUP(U5479,[1]!NOMINA[#Data],5,FALSE)</f>
        <v>#REF!</v>
      </c>
    </row>
    <row r="5480" spans="1:23" x14ac:dyDescent="0.25">
      <c r="A5480" s="21">
        <v>45838</v>
      </c>
      <c r="B5480" s="1">
        <v>614681717</v>
      </c>
      <c r="C5480" t="s">
        <v>9681</v>
      </c>
      <c r="D5480" s="22">
        <v>-1061.7</v>
      </c>
      <c r="E5480" s="75" t="s">
        <v>35</v>
      </c>
      <c r="F5480" s="2">
        <v>212901001</v>
      </c>
      <c r="G5480" s="2" t="s">
        <v>121</v>
      </c>
      <c r="L5480" s="2" t="s">
        <v>9682</v>
      </c>
      <c r="M5480" t="s">
        <v>67</v>
      </c>
      <c r="N5480" t="s">
        <v>68</v>
      </c>
      <c r="P5480" s="23">
        <v>107.62</v>
      </c>
      <c r="Q5480" s="4">
        <f t="shared" si="85"/>
        <v>-9.8652666790559369</v>
      </c>
      <c r="R5480" s="23" t="s">
        <v>109</v>
      </c>
      <c r="U5480">
        <v>8</v>
      </c>
      <c r="V5480" t="e">
        <f>VLOOKUP(Tabla3[[#This Row],[Nº]],[1]!NOMINA[#Data],4,FALSE)</f>
        <v>#REF!</v>
      </c>
      <c r="W5480" t="e">
        <f>VLOOKUP(U5480,[1]!NOMINA[#Data],5,FALSE)</f>
        <v>#REF!</v>
      </c>
    </row>
    <row r="5481" spans="1:23" x14ac:dyDescent="0.25">
      <c r="A5481" s="21">
        <v>45838</v>
      </c>
      <c r="B5481" s="1">
        <v>614681720</v>
      </c>
      <c r="C5481" t="s">
        <v>9683</v>
      </c>
      <c r="D5481" s="22">
        <v>-21234</v>
      </c>
      <c r="E5481" s="75" t="s">
        <v>35</v>
      </c>
      <c r="F5481" s="2">
        <v>212901001</v>
      </c>
      <c r="G5481" s="2" t="s">
        <v>121</v>
      </c>
      <c r="L5481" s="2" t="s">
        <v>9684</v>
      </c>
      <c r="M5481" t="s">
        <v>67</v>
      </c>
      <c r="N5481" t="s">
        <v>68</v>
      </c>
      <c r="P5481" s="23">
        <v>107.62</v>
      </c>
      <c r="Q5481" s="4">
        <f t="shared" si="85"/>
        <v>-197.30533358111873</v>
      </c>
      <c r="R5481" s="23" t="s">
        <v>109</v>
      </c>
      <c r="U5481">
        <v>1</v>
      </c>
      <c r="V5481" t="e">
        <f>VLOOKUP(U5481,[1]!NOMINA[#Data],4,FALSE)</f>
        <v>#REF!</v>
      </c>
      <c r="W5481" t="e">
        <f>VLOOKUP(U5481,[1]!NOMINA[#Data],5,FALSE)</f>
        <v>#REF!</v>
      </c>
    </row>
    <row r="5482" spans="1:23" x14ac:dyDescent="0.25">
      <c r="A5482" s="21">
        <v>45838</v>
      </c>
      <c r="B5482" s="1">
        <v>614681719</v>
      </c>
      <c r="C5482" t="s">
        <v>9685</v>
      </c>
      <c r="D5482" s="22">
        <v>-1061.7</v>
      </c>
      <c r="E5482" s="75" t="s">
        <v>35</v>
      </c>
      <c r="F5482" s="2">
        <v>212901001</v>
      </c>
      <c r="G5482" s="2" t="s">
        <v>121</v>
      </c>
      <c r="L5482" s="2" t="s">
        <v>9686</v>
      </c>
      <c r="M5482" t="s">
        <v>67</v>
      </c>
      <c r="N5482" t="s">
        <v>68</v>
      </c>
      <c r="P5482" s="23">
        <v>107.62</v>
      </c>
      <c r="Q5482" s="4">
        <f t="shared" si="85"/>
        <v>-9.8652666790559369</v>
      </c>
      <c r="R5482" s="23" t="s">
        <v>109</v>
      </c>
      <c r="U5482">
        <v>13</v>
      </c>
      <c r="V5482" t="e">
        <f>VLOOKUP(Tabla3[[#This Row],[Nº]],[1]!NOMINA[#Data],4,FALSE)</f>
        <v>#REF!</v>
      </c>
      <c r="W5482" t="e">
        <f>VLOOKUP(U5482,[1]!NOMINA[#Data],5,FALSE)</f>
        <v>#REF!</v>
      </c>
    </row>
    <row r="5483" spans="1:23" x14ac:dyDescent="0.25">
      <c r="A5483" s="21">
        <v>45838</v>
      </c>
      <c r="B5483" s="1">
        <v>714681722</v>
      </c>
      <c r="C5483" t="s">
        <v>9687</v>
      </c>
      <c r="D5483" s="22">
        <v>-1061.7</v>
      </c>
      <c r="E5483" s="75" t="s">
        <v>35</v>
      </c>
      <c r="F5483" s="2">
        <v>212901001</v>
      </c>
      <c r="G5483" s="2" t="s">
        <v>121</v>
      </c>
      <c r="L5483" s="2" t="s">
        <v>9688</v>
      </c>
      <c r="M5483" t="s">
        <v>67</v>
      </c>
      <c r="N5483" t="s">
        <v>68</v>
      </c>
      <c r="P5483" s="23">
        <v>107.62</v>
      </c>
      <c r="Q5483" s="4">
        <f t="shared" si="85"/>
        <v>-9.8652666790559369</v>
      </c>
      <c r="R5483" s="23" t="s">
        <v>109</v>
      </c>
      <c r="U5483">
        <v>12</v>
      </c>
      <c r="V5483" t="e">
        <f>VLOOKUP(Tabla3[[#This Row],[Nº]],[1]!NOMINA[#Data],4,FALSE)</f>
        <v>#REF!</v>
      </c>
      <c r="W5483" t="e">
        <f>VLOOKUP(U5483,[1]!NOMINA[#Data],5,FALSE)</f>
        <v>#REF!</v>
      </c>
    </row>
    <row r="5484" spans="1:23" x14ac:dyDescent="0.25">
      <c r="A5484" s="21">
        <v>45838</v>
      </c>
      <c r="B5484" s="1">
        <v>614681721</v>
      </c>
      <c r="C5484" t="s">
        <v>9689</v>
      </c>
      <c r="D5484" s="22">
        <v>-1061.7</v>
      </c>
      <c r="E5484" s="75" t="s">
        <v>35</v>
      </c>
      <c r="F5484" s="2">
        <v>212901001</v>
      </c>
      <c r="G5484" s="2" t="s">
        <v>121</v>
      </c>
      <c r="L5484" s="2" t="s">
        <v>9690</v>
      </c>
      <c r="M5484" t="s">
        <v>67</v>
      </c>
      <c r="N5484" t="s">
        <v>68</v>
      </c>
      <c r="P5484" s="23">
        <v>107.62</v>
      </c>
      <c r="Q5484" s="4">
        <f t="shared" si="85"/>
        <v>-9.8652666790559369</v>
      </c>
      <c r="R5484" s="23" t="s">
        <v>109</v>
      </c>
      <c r="U5484">
        <v>16</v>
      </c>
      <c r="V5484" t="e">
        <f>VLOOKUP(Tabla3[[#This Row],[Nº]],[1]!NOMINA[#Data],4,FALSE)</f>
        <v>#REF!</v>
      </c>
      <c r="W5484" t="e">
        <f>VLOOKUP(Tabla3[[#This Row],[Nº]],[1]!NOMINA[#Data],5,FALSE)</f>
        <v>#REF!</v>
      </c>
    </row>
    <row r="5485" spans="1:23" x14ac:dyDescent="0.25">
      <c r="A5485" s="21">
        <v>45838</v>
      </c>
      <c r="B5485" s="1">
        <v>714681723</v>
      </c>
      <c r="C5485" t="s">
        <v>9691</v>
      </c>
      <c r="D5485" s="22">
        <v>-1061.7</v>
      </c>
      <c r="E5485" s="75" t="s">
        <v>35</v>
      </c>
      <c r="F5485" s="2">
        <v>212901001</v>
      </c>
      <c r="G5485" s="2" t="s">
        <v>121</v>
      </c>
      <c r="L5485" s="2" t="s">
        <v>9692</v>
      </c>
      <c r="M5485" t="s">
        <v>67</v>
      </c>
      <c r="N5485" t="s">
        <v>68</v>
      </c>
      <c r="P5485" s="23">
        <v>107.62</v>
      </c>
      <c r="Q5485" s="4">
        <f t="shared" si="85"/>
        <v>-9.8652666790559369</v>
      </c>
      <c r="R5485" s="23" t="s">
        <v>109</v>
      </c>
      <c r="U5485">
        <v>6</v>
      </c>
      <c r="V5485" t="e">
        <f>VLOOKUP(Tabla3[[#This Row],[Nº]],[1]!NOMINA[#Data],4,FALSE)</f>
        <v>#REF!</v>
      </c>
      <c r="W5485" t="e">
        <f>VLOOKUP(U5485,[1]!NOMINA[#Data],5,FALSE)</f>
        <v>#REF!</v>
      </c>
    </row>
    <row r="5486" spans="1:23" x14ac:dyDescent="0.25">
      <c r="A5486" s="21">
        <v>45838</v>
      </c>
      <c r="B5486" s="1">
        <v>714681726</v>
      </c>
      <c r="C5486" t="s">
        <v>9693</v>
      </c>
      <c r="D5486" s="22">
        <v>-1061.7</v>
      </c>
      <c r="E5486" s="75" t="s">
        <v>35</v>
      </c>
      <c r="F5486" s="2">
        <v>212901001</v>
      </c>
      <c r="G5486" s="2" t="s">
        <v>121</v>
      </c>
      <c r="L5486" s="2" t="s">
        <v>9694</v>
      </c>
      <c r="M5486" t="s">
        <v>67</v>
      </c>
      <c r="N5486" t="s">
        <v>68</v>
      </c>
      <c r="P5486" s="23">
        <v>107.62</v>
      </c>
      <c r="Q5486" s="4">
        <f t="shared" si="85"/>
        <v>-9.8652666790559369</v>
      </c>
      <c r="R5486" s="23" t="s">
        <v>109</v>
      </c>
      <c r="U5486">
        <v>7</v>
      </c>
      <c r="V5486" t="e">
        <f>VLOOKUP(Tabla3[[#This Row],[Nº]],[1]!NOMINA[#Data],4,FALSE)</f>
        <v>#REF!</v>
      </c>
      <c r="W5486" t="e">
        <f>VLOOKUP(U5486,[1]!NOMINA[#Data],5,FALSE)</f>
        <v>#REF!</v>
      </c>
    </row>
    <row r="5487" spans="1:23" x14ac:dyDescent="0.25">
      <c r="A5487" s="21">
        <v>45838</v>
      </c>
      <c r="B5487" s="1">
        <v>714681725</v>
      </c>
      <c r="C5487" t="s">
        <v>9695</v>
      </c>
      <c r="D5487" s="22">
        <v>-6370.2</v>
      </c>
      <c r="E5487" s="75" t="s">
        <v>35</v>
      </c>
      <c r="F5487" s="2">
        <v>212901001</v>
      </c>
      <c r="G5487" s="2" t="s">
        <v>121</v>
      </c>
      <c r="L5487" s="2" t="s">
        <v>9696</v>
      </c>
      <c r="M5487" t="s">
        <v>67</v>
      </c>
      <c r="N5487" t="s">
        <v>68</v>
      </c>
      <c r="P5487" s="23">
        <v>107.62</v>
      </c>
      <c r="Q5487" s="4">
        <f t="shared" si="85"/>
        <v>-59.191600074335618</v>
      </c>
      <c r="R5487" s="23" t="s">
        <v>109</v>
      </c>
      <c r="U5487">
        <v>3</v>
      </c>
      <c r="V5487" t="e">
        <f>VLOOKUP(Tabla3[[#This Row],[Nº]],[1]!NOMINA[#Data],4,FALSE)</f>
        <v>#REF!</v>
      </c>
      <c r="W5487" t="e">
        <f>VLOOKUP(U5487,[1]!NOMINA[#Data],5,FALSE)</f>
        <v>#REF!</v>
      </c>
    </row>
    <row r="5488" spans="1:23" x14ac:dyDescent="0.25">
      <c r="A5488" s="21">
        <v>45838</v>
      </c>
      <c r="B5488" s="1">
        <v>714681724</v>
      </c>
      <c r="C5488" t="s">
        <v>9697</v>
      </c>
      <c r="D5488" s="22">
        <v>-1061.7</v>
      </c>
      <c r="E5488" s="75" t="s">
        <v>35</v>
      </c>
      <c r="F5488" s="2">
        <v>212901001</v>
      </c>
      <c r="G5488" s="2" t="s">
        <v>121</v>
      </c>
      <c r="L5488" s="2" t="s">
        <v>9698</v>
      </c>
      <c r="M5488" t="s">
        <v>67</v>
      </c>
      <c r="N5488" t="s">
        <v>68</v>
      </c>
      <c r="P5488" s="23">
        <v>107.62</v>
      </c>
      <c r="Q5488" s="4">
        <f t="shared" si="85"/>
        <v>-9.8652666790559369</v>
      </c>
      <c r="R5488" s="23" t="s">
        <v>109</v>
      </c>
      <c r="U5488">
        <v>11</v>
      </c>
      <c r="V5488" t="e">
        <f>VLOOKUP(Tabla3[[#This Row],[Nº]],[1]!NOMINA[#Data],4,FALSE)</f>
        <v>#REF!</v>
      </c>
      <c r="W5488" t="e">
        <f>VLOOKUP(U5488,[1]!NOMINA[#Data],5,FALSE)</f>
        <v>#REF!</v>
      </c>
    </row>
    <row r="5489" spans="1:23" x14ac:dyDescent="0.25">
      <c r="A5489" s="21">
        <v>45838</v>
      </c>
      <c r="B5489" s="1">
        <v>714681727</v>
      </c>
      <c r="C5489" t="s">
        <v>9699</v>
      </c>
      <c r="D5489" s="22">
        <v>-1061.7</v>
      </c>
      <c r="E5489" s="75" t="s">
        <v>35</v>
      </c>
      <c r="F5489" s="2">
        <v>212901001</v>
      </c>
      <c r="G5489" s="2" t="s">
        <v>121</v>
      </c>
      <c r="L5489" s="2" t="s">
        <v>9700</v>
      </c>
      <c r="M5489" t="s">
        <v>67</v>
      </c>
      <c r="N5489" t="s">
        <v>68</v>
      </c>
      <c r="P5489" s="23">
        <v>107.62</v>
      </c>
      <c r="Q5489" s="4">
        <f t="shared" si="85"/>
        <v>-9.8652666790559369</v>
      </c>
      <c r="R5489" s="23" t="s">
        <v>109</v>
      </c>
      <c r="U5489">
        <v>29</v>
      </c>
      <c r="V5489" t="e">
        <f>VLOOKUP(U5489,[1]!NOMINA[#Data],4,FALSE)</f>
        <v>#REF!</v>
      </c>
      <c r="W5489" t="e">
        <f>VLOOKUP(U5489,[1]!NOMINA[#Data],5,FALSE)</f>
        <v>#REF!</v>
      </c>
    </row>
    <row r="5490" spans="1:23" x14ac:dyDescent="0.25">
      <c r="A5490" s="21">
        <v>45838</v>
      </c>
      <c r="B5490" s="1">
        <v>714681728</v>
      </c>
      <c r="C5490" t="s">
        <v>9701</v>
      </c>
      <c r="D5490" s="22">
        <v>-1061.7</v>
      </c>
      <c r="E5490" s="75" t="s">
        <v>35</v>
      </c>
      <c r="F5490" s="2">
        <v>212901001</v>
      </c>
      <c r="G5490" s="2" t="s">
        <v>121</v>
      </c>
      <c r="L5490" s="2" t="s">
        <v>9702</v>
      </c>
      <c r="M5490" t="s">
        <v>67</v>
      </c>
      <c r="N5490" t="s">
        <v>68</v>
      </c>
      <c r="P5490" s="23">
        <v>107.62</v>
      </c>
      <c r="Q5490" s="4">
        <f t="shared" si="85"/>
        <v>-9.8652666790559369</v>
      </c>
      <c r="R5490" s="23" t="s">
        <v>109</v>
      </c>
      <c r="U5490">
        <v>10</v>
      </c>
      <c r="V5490" t="e">
        <f>VLOOKUP(Tabla3[[#This Row],[Nº]],[1]!NOMINA[#Data],4,FALSE)</f>
        <v>#REF!</v>
      </c>
      <c r="W5490" t="e">
        <f>VLOOKUP(U5490,[1]!NOMINA[#Data],5,FALSE)</f>
        <v>#REF!</v>
      </c>
    </row>
    <row r="5491" spans="1:23" x14ac:dyDescent="0.25">
      <c r="A5491" s="21">
        <v>45838</v>
      </c>
      <c r="B5491" s="1">
        <v>714681729</v>
      </c>
      <c r="C5491" t="s">
        <v>9703</v>
      </c>
      <c r="D5491" s="22">
        <v>-1061.7</v>
      </c>
      <c r="E5491" s="75" t="s">
        <v>35</v>
      </c>
      <c r="F5491" s="2">
        <v>212901001</v>
      </c>
      <c r="G5491" s="2" t="s">
        <v>121</v>
      </c>
      <c r="L5491" s="2" t="s">
        <v>9704</v>
      </c>
      <c r="M5491" t="s">
        <v>67</v>
      </c>
      <c r="N5491" t="s">
        <v>68</v>
      </c>
      <c r="P5491" s="23">
        <v>107.62</v>
      </c>
      <c r="Q5491" s="4">
        <f t="shared" si="85"/>
        <v>-9.8652666790559369</v>
      </c>
      <c r="R5491" s="23" t="s">
        <v>109</v>
      </c>
      <c r="U5491">
        <v>9</v>
      </c>
      <c r="V5491" t="e">
        <f>VLOOKUP(Tabla3[[#This Row],[Nº]],[1]!NOMINA[#Data],4,FALSE)</f>
        <v>#REF!</v>
      </c>
      <c r="W5491" t="e">
        <f>VLOOKUP(U5491,[1]!NOMINA[#Data],5,FALSE)</f>
        <v>#REF!</v>
      </c>
    </row>
    <row r="5492" spans="1:23" x14ac:dyDescent="0.25">
      <c r="A5492" s="21">
        <v>45838</v>
      </c>
      <c r="B5492" s="1">
        <v>714681730</v>
      </c>
      <c r="C5492" t="s">
        <v>9705</v>
      </c>
      <c r="D5492" s="22">
        <v>-1061.7</v>
      </c>
      <c r="E5492" s="75" t="s">
        <v>35</v>
      </c>
      <c r="F5492" s="2">
        <v>212901001</v>
      </c>
      <c r="G5492" s="2" t="s">
        <v>121</v>
      </c>
      <c r="L5492" s="2" t="s">
        <v>9706</v>
      </c>
      <c r="M5492" t="s">
        <v>67</v>
      </c>
      <c r="N5492" t="s">
        <v>68</v>
      </c>
      <c r="P5492" s="23">
        <v>107.62</v>
      </c>
      <c r="Q5492" s="4">
        <f t="shared" si="85"/>
        <v>-9.8652666790559369</v>
      </c>
      <c r="R5492" s="23" t="s">
        <v>109</v>
      </c>
      <c r="U5492">
        <v>18</v>
      </c>
      <c r="V5492" t="e">
        <f>VLOOKUP(Tabla3[[#This Row],[Nº]],[1]!NOMINA[#Data],4,FALSE)</f>
        <v>#REF!</v>
      </c>
      <c r="W5492" t="e">
        <f>VLOOKUP(Tabla3[[#This Row],[Nº]],[1]!NOMINA[#Data],5,FALSE)</f>
        <v>#REF!</v>
      </c>
    </row>
    <row r="5493" spans="1:23" x14ac:dyDescent="0.25">
      <c r="A5493" s="21">
        <v>45838</v>
      </c>
      <c r="B5493" s="1">
        <v>50695925</v>
      </c>
      <c r="C5493" t="s">
        <v>118</v>
      </c>
      <c r="D5493" s="22">
        <v>-1509.36</v>
      </c>
      <c r="E5493" s="75" t="s">
        <v>35</v>
      </c>
      <c r="F5493" s="2">
        <v>610148001</v>
      </c>
      <c r="G5493" s="2" t="s">
        <v>42</v>
      </c>
      <c r="L5493" s="2" t="s">
        <v>9707</v>
      </c>
      <c r="M5493" t="s">
        <v>43</v>
      </c>
      <c r="N5493" t="s">
        <v>42</v>
      </c>
      <c r="P5493" s="23">
        <v>107.62</v>
      </c>
      <c r="Q5493" s="4">
        <f t="shared" si="85"/>
        <v>-14.024902434491729</v>
      </c>
      <c r="R5493" s="23" t="s">
        <v>109</v>
      </c>
      <c r="T5493" s="23" t="s">
        <v>8423</v>
      </c>
    </row>
    <row r="5494" spans="1:23" x14ac:dyDescent="0.25">
      <c r="A5494" s="21">
        <v>45838</v>
      </c>
      <c r="B5494" s="1">
        <v>50695925</v>
      </c>
      <c r="C5494" t="s">
        <v>1565</v>
      </c>
      <c r="D5494" s="22">
        <v>-0.39</v>
      </c>
      <c r="E5494" s="75" t="s">
        <v>35</v>
      </c>
      <c r="F5494" s="2">
        <v>610148001</v>
      </c>
      <c r="G5494" s="2" t="s">
        <v>42</v>
      </c>
      <c r="L5494" s="2" t="s">
        <v>9708</v>
      </c>
      <c r="M5494" t="s">
        <v>43</v>
      </c>
      <c r="N5494" t="s">
        <v>42</v>
      </c>
      <c r="P5494" s="23">
        <v>107.62</v>
      </c>
      <c r="Q5494" s="4">
        <f t="shared" si="85"/>
        <v>-3.623861735736852E-3</v>
      </c>
      <c r="R5494" s="23" t="s">
        <v>109</v>
      </c>
      <c r="T5494" s="23" t="s">
        <v>8423</v>
      </c>
    </row>
    <row r="5495" spans="1:23" x14ac:dyDescent="0.25">
      <c r="A5495" s="21">
        <v>45838</v>
      </c>
      <c r="B5495" s="1">
        <v>514682638</v>
      </c>
      <c r="C5495" t="s">
        <v>9709</v>
      </c>
      <c r="D5495" s="22">
        <v>-7867.2</v>
      </c>
      <c r="E5495" s="75" t="s">
        <v>35</v>
      </c>
      <c r="F5495" s="2">
        <v>212901001</v>
      </c>
      <c r="G5495" s="2" t="s">
        <v>121</v>
      </c>
      <c r="L5495" s="2" t="s">
        <v>9710</v>
      </c>
      <c r="M5495" t="s">
        <v>67</v>
      </c>
      <c r="N5495" t="s">
        <v>68</v>
      </c>
      <c r="P5495" s="23">
        <v>107.62</v>
      </c>
      <c r="Q5495" s="4">
        <f t="shared" si="85"/>
        <v>-73.101653967663992</v>
      </c>
      <c r="R5495" s="23" t="s">
        <v>109</v>
      </c>
      <c r="U5495">
        <v>34</v>
      </c>
      <c r="V5495" t="e">
        <f>VLOOKUP(U5495,[1]!NOMINA[#Data],4,FALSE)</f>
        <v>#REF!</v>
      </c>
      <c r="W5495" t="e">
        <f>VLOOKUP(U5495,[1]!NOMINA[#Data],5,FALSE)</f>
        <v>#REF!</v>
      </c>
    </row>
    <row r="5496" spans="1:23" x14ac:dyDescent="0.25">
      <c r="A5496" s="21">
        <v>45838</v>
      </c>
      <c r="B5496" s="1">
        <v>514682640</v>
      </c>
      <c r="C5496" t="s">
        <v>9711</v>
      </c>
      <c r="D5496" s="22">
        <v>-56.01</v>
      </c>
      <c r="E5496" s="75" t="s">
        <v>35</v>
      </c>
      <c r="F5496" s="2">
        <v>212901001</v>
      </c>
      <c r="G5496" s="2" t="s">
        <v>121</v>
      </c>
      <c r="L5496" s="2" t="s">
        <v>9712</v>
      </c>
      <c r="M5496" t="s">
        <v>67</v>
      </c>
      <c r="N5496" t="s">
        <v>68</v>
      </c>
      <c r="P5496" s="23">
        <v>107.62</v>
      </c>
      <c r="Q5496" s="4">
        <f t="shared" si="85"/>
        <v>-0.52044229697082323</v>
      </c>
      <c r="R5496" s="23" t="s">
        <v>109</v>
      </c>
      <c r="U5496">
        <v>12</v>
      </c>
      <c r="V5496" t="e">
        <f>VLOOKUP(Tabla3[[#This Row],[Nº]],[1]!NOMINA[#Data],4,FALSE)</f>
        <v>#REF!</v>
      </c>
      <c r="W5496" t="e">
        <f>VLOOKUP(U5496,[1]!NOMINA[#Data],5,FALSE)</f>
        <v>#REF!</v>
      </c>
    </row>
    <row r="5497" spans="1:23" x14ac:dyDescent="0.25">
      <c r="A5497" s="21">
        <v>45838</v>
      </c>
      <c r="B5497" s="1">
        <v>514682639</v>
      </c>
      <c r="C5497" t="s">
        <v>9713</v>
      </c>
      <c r="D5497" s="22">
        <v>-1981.84</v>
      </c>
      <c r="E5497" s="75" t="s">
        <v>35</v>
      </c>
      <c r="F5497" s="2">
        <v>212901001</v>
      </c>
      <c r="G5497" s="2" t="s">
        <v>121</v>
      </c>
      <c r="L5497" s="2" t="s">
        <v>9714</v>
      </c>
      <c r="M5497" t="s">
        <v>67</v>
      </c>
      <c r="N5497" t="s">
        <v>68</v>
      </c>
      <c r="P5497" s="23">
        <v>107.62</v>
      </c>
      <c r="Q5497" s="4">
        <f t="shared" si="85"/>
        <v>-18.415164467571081</v>
      </c>
      <c r="R5497" s="23" t="s">
        <v>109</v>
      </c>
      <c r="U5497">
        <v>30</v>
      </c>
      <c r="V5497" t="e">
        <f>VLOOKUP(Tabla3[[#This Row],[Nº]],[1]!NOMINA[#Data],4,FALSE)</f>
        <v>#REF!</v>
      </c>
      <c r="W5497" t="e">
        <f>VLOOKUP(U5497,[1]!NOMINA[#Data],5,FALSE)</f>
        <v>#REF!</v>
      </c>
    </row>
    <row r="5498" spans="1:23" x14ac:dyDescent="0.25">
      <c r="A5498" s="21">
        <v>45838</v>
      </c>
      <c r="B5498" s="1">
        <v>50636328</v>
      </c>
      <c r="C5498" t="s">
        <v>118</v>
      </c>
      <c r="D5498" s="22">
        <v>-24.76</v>
      </c>
      <c r="E5498" s="75" t="s">
        <v>35</v>
      </c>
      <c r="F5498" s="2">
        <v>610148001</v>
      </c>
      <c r="G5498" s="2" t="s">
        <v>42</v>
      </c>
      <c r="L5498" s="2" t="s">
        <v>9715</v>
      </c>
      <c r="M5498" t="s">
        <v>43</v>
      </c>
      <c r="N5498" t="s">
        <v>42</v>
      </c>
      <c r="P5498" s="23">
        <v>107.62</v>
      </c>
      <c r="Q5498" s="4">
        <f t="shared" si="85"/>
        <v>-0.23006876045344732</v>
      </c>
      <c r="R5498" s="23" t="s">
        <v>109</v>
      </c>
      <c r="T5498" s="23" t="s">
        <v>8423</v>
      </c>
    </row>
    <row r="5499" spans="1:23" x14ac:dyDescent="0.25">
      <c r="A5499" s="21">
        <v>45838</v>
      </c>
      <c r="B5499" s="1">
        <v>0</v>
      </c>
      <c r="C5499" t="s">
        <v>1192</v>
      </c>
      <c r="D5499" s="22">
        <v>-0.5</v>
      </c>
      <c r="E5499" s="75" t="s">
        <v>35</v>
      </c>
      <c r="F5499" s="2">
        <v>610148001</v>
      </c>
      <c r="G5499" s="2" t="s">
        <v>42</v>
      </c>
      <c r="L5499" s="2" t="s">
        <v>9716</v>
      </c>
      <c r="M5499" t="s">
        <v>43</v>
      </c>
      <c r="N5499" t="s">
        <v>42</v>
      </c>
      <c r="P5499" s="23">
        <v>107.62</v>
      </c>
      <c r="Q5499" s="4">
        <f t="shared" si="85"/>
        <v>-4.6459765842780153E-3</v>
      </c>
      <c r="R5499" s="23" t="s">
        <v>109</v>
      </c>
      <c r="T5499" s="23" t="s">
        <v>8423</v>
      </c>
    </row>
    <row r="5500" spans="1:23" x14ac:dyDescent="0.25">
      <c r="A5500" s="21">
        <v>45838</v>
      </c>
      <c r="B5500" s="1">
        <v>0</v>
      </c>
      <c r="C5500" t="s">
        <v>1194</v>
      </c>
      <c r="D5500" s="22">
        <v>-0.5</v>
      </c>
      <c r="E5500" s="75" t="s">
        <v>35</v>
      </c>
      <c r="F5500" s="2">
        <v>610148001</v>
      </c>
      <c r="G5500" s="2" t="s">
        <v>42</v>
      </c>
      <c r="L5500" s="2" t="s">
        <v>9717</v>
      </c>
      <c r="M5500" t="s">
        <v>43</v>
      </c>
      <c r="N5500" t="s">
        <v>42</v>
      </c>
      <c r="P5500" s="23">
        <v>107.62</v>
      </c>
      <c r="Q5500" s="4">
        <f t="shared" si="85"/>
        <v>-4.6459765842780153E-3</v>
      </c>
      <c r="R5500" s="23" t="s">
        <v>109</v>
      </c>
      <c r="T5500" s="23" t="s">
        <v>8423</v>
      </c>
    </row>
    <row r="5501" spans="1:23" x14ac:dyDescent="0.25">
      <c r="A5501" s="21">
        <v>45809</v>
      </c>
      <c r="B5501" s="1">
        <v>120200002020</v>
      </c>
      <c r="C5501" t="s">
        <v>9718</v>
      </c>
      <c r="D5501" s="22">
        <v>-0.5</v>
      </c>
      <c r="E5501" t="s">
        <v>35</v>
      </c>
      <c r="F5501" s="2">
        <v>610148001</v>
      </c>
      <c r="G5501" s="2" t="s">
        <v>42</v>
      </c>
      <c r="L5501" s="2" t="s">
        <v>9719</v>
      </c>
      <c r="M5501" t="s">
        <v>43</v>
      </c>
      <c r="N5501" t="s">
        <v>42</v>
      </c>
      <c r="P5501" s="23">
        <v>97.31</v>
      </c>
      <c r="Q5501" s="4">
        <f t="shared" si="85"/>
        <v>-5.1382180659747196E-3</v>
      </c>
      <c r="R5501" s="23" t="s">
        <v>1198</v>
      </c>
      <c r="S5501" s="79"/>
      <c r="T5501" s="41" t="s">
        <v>8423</v>
      </c>
    </row>
    <row r="5502" spans="1:23" x14ac:dyDescent="0.25">
      <c r="A5502" s="21">
        <v>45810</v>
      </c>
      <c r="B5502" s="1" t="s">
        <v>9720</v>
      </c>
      <c r="C5502" t="s">
        <v>544</v>
      </c>
      <c r="D5502" s="22">
        <v>100000</v>
      </c>
      <c r="E5502" t="s">
        <v>46</v>
      </c>
      <c r="F5502" s="2">
        <v>210115002</v>
      </c>
      <c r="G5502" s="2" t="s">
        <v>47</v>
      </c>
      <c r="L5502" s="2" t="s">
        <v>9721</v>
      </c>
      <c r="N5502" t="s">
        <v>544</v>
      </c>
      <c r="P5502" s="23">
        <v>97.31</v>
      </c>
      <c r="Q5502" s="4">
        <f t="shared" si="85"/>
        <v>1027.643613194944</v>
      </c>
      <c r="R5502" s="23" t="s">
        <v>1198</v>
      </c>
      <c r="T5502" s="2"/>
    </row>
    <row r="5503" spans="1:23" x14ac:dyDescent="0.25">
      <c r="A5503" s="21">
        <v>45810</v>
      </c>
      <c r="B5503" s="1" t="s">
        <v>9722</v>
      </c>
      <c r="C5503" t="s">
        <v>544</v>
      </c>
      <c r="D5503" s="22">
        <v>300000</v>
      </c>
      <c r="E5503" t="s">
        <v>46</v>
      </c>
      <c r="F5503" s="2">
        <v>210115002</v>
      </c>
      <c r="G5503" s="2" t="s">
        <v>47</v>
      </c>
      <c r="L5503" s="2" t="s">
        <v>9723</v>
      </c>
      <c r="N5503" t="s">
        <v>544</v>
      </c>
      <c r="P5503" s="23">
        <v>97.31</v>
      </c>
      <c r="Q5503" s="4">
        <f t="shared" si="85"/>
        <v>3082.930839584832</v>
      </c>
      <c r="R5503" s="23" t="s">
        <v>1198</v>
      </c>
      <c r="T5503" s="2"/>
    </row>
    <row r="5504" spans="1:23" x14ac:dyDescent="0.25">
      <c r="A5504" s="21">
        <v>45810</v>
      </c>
      <c r="B5504" s="1" t="s">
        <v>1208</v>
      </c>
      <c r="C5504" t="s">
        <v>9724</v>
      </c>
      <c r="D5504" s="43">
        <v>-189750</v>
      </c>
      <c r="E5504" t="s">
        <v>35</v>
      </c>
      <c r="F5504" s="2">
        <v>110114001</v>
      </c>
      <c r="G5504" s="2" t="s">
        <v>301</v>
      </c>
      <c r="L5504" s="2" t="s">
        <v>9725</v>
      </c>
      <c r="N5504" t="s">
        <v>2551</v>
      </c>
      <c r="P5504" s="23">
        <v>97.31</v>
      </c>
      <c r="Q5504" s="4">
        <f t="shared" si="85"/>
        <v>-1949.9537560374063</v>
      </c>
      <c r="R5504" s="23" t="s">
        <v>1198</v>
      </c>
      <c r="T5504" s="2"/>
    </row>
    <row r="5505" spans="1:20" x14ac:dyDescent="0.25">
      <c r="A5505" s="21">
        <v>45810</v>
      </c>
      <c r="B5505" s="1" t="s">
        <v>1208</v>
      </c>
      <c r="C5505" t="s">
        <v>9726</v>
      </c>
      <c r="D5505" s="22">
        <v>-96671.87</v>
      </c>
      <c r="E5505" t="s">
        <v>35</v>
      </c>
      <c r="F5505" s="2">
        <v>210101001</v>
      </c>
      <c r="G5505" s="2" t="s">
        <v>36</v>
      </c>
      <c r="L5505" s="2" t="s">
        <v>9727</v>
      </c>
      <c r="M5505" t="s">
        <v>1866</v>
      </c>
      <c r="N5505" t="s">
        <v>1867</v>
      </c>
      <c r="P5505" s="23">
        <v>97.31</v>
      </c>
      <c r="Q5505" s="4">
        <f t="shared" si="85"/>
        <v>-993.44229781111903</v>
      </c>
      <c r="R5505" s="23" t="s">
        <v>1198</v>
      </c>
      <c r="T5505" s="2"/>
    </row>
    <row r="5506" spans="1:20" x14ac:dyDescent="0.25">
      <c r="A5506" s="21">
        <v>45810</v>
      </c>
      <c r="B5506" s="1" t="s">
        <v>1211</v>
      </c>
      <c r="C5506" t="s">
        <v>9234</v>
      </c>
      <c r="D5506" s="22">
        <v>-16715.849999999999</v>
      </c>
      <c r="E5506" t="s">
        <v>35</v>
      </c>
      <c r="F5506" s="2">
        <v>210101001</v>
      </c>
      <c r="G5506" s="2" t="s">
        <v>36</v>
      </c>
      <c r="L5506" s="2" t="s">
        <v>9728</v>
      </c>
      <c r="M5506" t="s">
        <v>1186</v>
      </c>
      <c r="N5506" t="s">
        <v>1187</v>
      </c>
      <c r="P5506" s="23">
        <v>97.31</v>
      </c>
      <c r="Q5506" s="4">
        <f t="shared" si="85"/>
        <v>-171.77936491624703</v>
      </c>
      <c r="R5506" s="23" t="s">
        <v>1198</v>
      </c>
      <c r="T5506" s="2"/>
    </row>
    <row r="5507" spans="1:20" x14ac:dyDescent="0.25">
      <c r="A5507" s="21">
        <v>45810</v>
      </c>
      <c r="B5507" s="1" t="s">
        <v>1214</v>
      </c>
      <c r="C5507" t="s">
        <v>9729</v>
      </c>
      <c r="D5507" s="43">
        <v>-34541.160000000003</v>
      </c>
      <c r="E5507" t="s">
        <v>35</v>
      </c>
      <c r="F5507" s="2">
        <v>110114001</v>
      </c>
      <c r="G5507" s="2" t="s">
        <v>301</v>
      </c>
      <c r="L5507" s="2" t="s">
        <v>9730</v>
      </c>
      <c r="N5507" t="s">
        <v>2551</v>
      </c>
      <c r="P5507" s="23">
        <v>97.31</v>
      </c>
      <c r="Q5507" s="4">
        <f t="shared" si="85"/>
        <v>-354.96002466344675</v>
      </c>
      <c r="R5507" s="23" t="s">
        <v>1198</v>
      </c>
      <c r="T5507" s="2"/>
    </row>
    <row r="5508" spans="1:20" x14ac:dyDescent="0.25">
      <c r="A5508" s="21">
        <v>45810</v>
      </c>
      <c r="B5508" s="1" t="s">
        <v>1214</v>
      </c>
      <c r="C5508" t="s">
        <v>9731</v>
      </c>
      <c r="D5508" s="22">
        <v>-101121.84</v>
      </c>
      <c r="E5508" t="s">
        <v>35</v>
      </c>
      <c r="F5508" s="2">
        <v>210101001</v>
      </c>
      <c r="G5508" s="2" t="s">
        <v>36</v>
      </c>
      <c r="L5508" s="2" t="s">
        <v>9732</v>
      </c>
      <c r="M5508" t="s">
        <v>1866</v>
      </c>
      <c r="N5508" t="s">
        <v>1867</v>
      </c>
      <c r="P5508" s="23">
        <v>97.31</v>
      </c>
      <c r="Q5508" s="4">
        <f t="shared" si="85"/>
        <v>-1039.1721303052102</v>
      </c>
      <c r="R5508" s="23" t="s">
        <v>1198</v>
      </c>
      <c r="T5508" s="2"/>
    </row>
    <row r="5509" spans="1:20" x14ac:dyDescent="0.25">
      <c r="A5509" s="21">
        <v>45810</v>
      </c>
      <c r="B5509" s="1" t="s">
        <v>1208</v>
      </c>
      <c r="C5509" t="s">
        <v>9733</v>
      </c>
      <c r="D5509" s="22">
        <v>-30561.27</v>
      </c>
      <c r="E5509" t="s">
        <v>35</v>
      </c>
      <c r="F5509" s="2">
        <v>210101001</v>
      </c>
      <c r="G5509" s="2" t="s">
        <v>36</v>
      </c>
      <c r="L5509" s="2" t="s">
        <v>9734</v>
      </c>
      <c r="M5509" t="s">
        <v>38</v>
      </c>
      <c r="N5509" t="s">
        <v>39</v>
      </c>
      <c r="P5509" s="23">
        <v>97.31</v>
      </c>
      <c r="Q5509" s="4">
        <f t="shared" si="85"/>
        <v>-314.06093926626244</v>
      </c>
      <c r="R5509" s="23" t="s">
        <v>1198</v>
      </c>
      <c r="T5509" s="2"/>
    </row>
    <row r="5510" spans="1:20" x14ac:dyDescent="0.25">
      <c r="A5510" s="21">
        <v>45810</v>
      </c>
      <c r="B5510" s="1" t="s">
        <v>1223</v>
      </c>
      <c r="C5510" t="s">
        <v>1221</v>
      </c>
      <c r="D5510" s="22">
        <v>-76.400000000000006</v>
      </c>
      <c r="E5510" t="s">
        <v>35</v>
      </c>
      <c r="F5510" s="2">
        <v>610148001</v>
      </c>
      <c r="G5510" s="2" t="s">
        <v>42</v>
      </c>
      <c r="L5510" s="2" t="s">
        <v>9735</v>
      </c>
      <c r="M5510" t="s">
        <v>43</v>
      </c>
      <c r="N5510" t="s">
        <v>42</v>
      </c>
      <c r="P5510" s="23">
        <v>97.31</v>
      </c>
      <c r="Q5510" s="4">
        <f t="shared" si="85"/>
        <v>-0.78511972048093726</v>
      </c>
      <c r="R5510" s="23" t="s">
        <v>1198</v>
      </c>
      <c r="T5510" s="41" t="s">
        <v>8423</v>
      </c>
    </row>
    <row r="5511" spans="1:20" x14ac:dyDescent="0.25">
      <c r="A5511" s="21">
        <v>45810</v>
      </c>
      <c r="B5511" s="1" t="s">
        <v>1225</v>
      </c>
      <c r="C5511" t="s">
        <v>1221</v>
      </c>
      <c r="D5511" s="22">
        <v>-252.8</v>
      </c>
      <c r="E5511" t="s">
        <v>35</v>
      </c>
      <c r="F5511" s="2">
        <v>610148001</v>
      </c>
      <c r="G5511" s="2" t="s">
        <v>42</v>
      </c>
      <c r="L5511" s="2" t="s">
        <v>9736</v>
      </c>
      <c r="M5511" t="s">
        <v>43</v>
      </c>
      <c r="N5511" t="s">
        <v>42</v>
      </c>
      <c r="P5511" s="23">
        <v>97.31</v>
      </c>
      <c r="Q5511" s="4">
        <f t="shared" si="85"/>
        <v>-2.5978830541568185</v>
      </c>
      <c r="R5511" s="23" t="s">
        <v>1198</v>
      </c>
      <c r="T5511" s="41" t="s">
        <v>8423</v>
      </c>
    </row>
    <row r="5512" spans="1:20" x14ac:dyDescent="0.25">
      <c r="A5512" s="21">
        <v>45810</v>
      </c>
      <c r="B5512" s="1" t="s">
        <v>1227</v>
      </c>
      <c r="C5512" t="s">
        <v>1221</v>
      </c>
      <c r="D5512" s="22">
        <v>-41.78</v>
      </c>
      <c r="E5512" t="s">
        <v>35</v>
      </c>
      <c r="F5512" s="2">
        <v>610148001</v>
      </c>
      <c r="G5512" s="2" t="s">
        <v>42</v>
      </c>
      <c r="L5512" s="2" t="s">
        <v>9737</v>
      </c>
      <c r="M5512" t="s">
        <v>43</v>
      </c>
      <c r="N5512" t="s">
        <v>42</v>
      </c>
      <c r="P5512" s="23">
        <v>97.31</v>
      </c>
      <c r="Q5512" s="4">
        <f t="shared" si="85"/>
        <v>-0.42934950159284763</v>
      </c>
      <c r="R5512" s="23" t="s">
        <v>1198</v>
      </c>
      <c r="T5512" s="41" t="s">
        <v>8423</v>
      </c>
    </row>
    <row r="5513" spans="1:20" x14ac:dyDescent="0.25">
      <c r="A5513" s="21">
        <v>45810</v>
      </c>
      <c r="B5513" s="1" t="s">
        <v>1223</v>
      </c>
      <c r="C5513" t="s">
        <v>1221</v>
      </c>
      <c r="D5513" s="22">
        <v>-241.67</v>
      </c>
      <c r="E5513" t="s">
        <v>35</v>
      </c>
      <c r="F5513" s="2">
        <v>610148001</v>
      </c>
      <c r="G5513" s="2" t="s">
        <v>42</v>
      </c>
      <c r="L5513" s="2" t="s">
        <v>9738</v>
      </c>
      <c r="M5513" t="s">
        <v>43</v>
      </c>
      <c r="N5513" t="s">
        <v>42</v>
      </c>
      <c r="P5513" s="23">
        <v>97.31</v>
      </c>
      <c r="Q5513" s="4">
        <f t="shared" si="85"/>
        <v>-2.483506320008221</v>
      </c>
      <c r="R5513" s="23" t="s">
        <v>1198</v>
      </c>
      <c r="T5513" s="41" t="s">
        <v>8423</v>
      </c>
    </row>
    <row r="5514" spans="1:20" x14ac:dyDescent="0.25">
      <c r="A5514" s="21">
        <v>45810</v>
      </c>
      <c r="B5514" s="1" t="s">
        <v>1225</v>
      </c>
      <c r="C5514" t="s">
        <v>1221</v>
      </c>
      <c r="D5514" s="22">
        <v>-86.35</v>
      </c>
      <c r="E5514" t="s">
        <v>35</v>
      </c>
      <c r="F5514" s="2">
        <v>610148001</v>
      </c>
      <c r="G5514" s="2" t="s">
        <v>42</v>
      </c>
      <c r="L5514" s="2" t="s">
        <v>9739</v>
      </c>
      <c r="M5514" t="s">
        <v>43</v>
      </c>
      <c r="N5514" t="s">
        <v>42</v>
      </c>
      <c r="P5514" s="23">
        <v>97.31</v>
      </c>
      <c r="Q5514" s="4">
        <f t="shared" si="85"/>
        <v>-0.88737025999383401</v>
      </c>
      <c r="R5514" s="23" t="s">
        <v>1198</v>
      </c>
      <c r="T5514" s="41" t="s">
        <v>8423</v>
      </c>
    </row>
    <row r="5515" spans="1:20" x14ac:dyDescent="0.25">
      <c r="A5515" s="21">
        <v>45810</v>
      </c>
      <c r="B5515" s="1" t="s">
        <v>1223</v>
      </c>
      <c r="C5515" t="s">
        <v>1221</v>
      </c>
      <c r="D5515" s="22">
        <v>-474.37</v>
      </c>
      <c r="E5515" t="s">
        <v>35</v>
      </c>
      <c r="F5515" s="2">
        <v>610148001</v>
      </c>
      <c r="G5515" s="2" t="s">
        <v>42</v>
      </c>
      <c r="L5515" s="2" t="s">
        <v>9740</v>
      </c>
      <c r="M5515" t="s">
        <v>43</v>
      </c>
      <c r="N5515" t="s">
        <v>42</v>
      </c>
      <c r="P5515" s="23">
        <v>97.31</v>
      </c>
      <c r="Q5515" s="4">
        <f t="shared" ref="Q5515:Q5578" si="86">D5515/P5515</f>
        <v>-4.8748330079128559</v>
      </c>
      <c r="R5515" s="23" t="s">
        <v>1198</v>
      </c>
      <c r="T5515" s="41" t="s">
        <v>8423</v>
      </c>
    </row>
    <row r="5516" spans="1:20" x14ac:dyDescent="0.25">
      <c r="A5516" s="21">
        <v>45811</v>
      </c>
      <c r="B5516" s="1" t="s">
        <v>9741</v>
      </c>
      <c r="C5516" t="s">
        <v>544</v>
      </c>
      <c r="D5516" s="22">
        <v>3750000</v>
      </c>
      <c r="E5516" t="s">
        <v>46</v>
      </c>
      <c r="F5516" s="2">
        <v>210115002</v>
      </c>
      <c r="G5516" s="2" t="s">
        <v>47</v>
      </c>
      <c r="L5516" s="2" t="s">
        <v>9742</v>
      </c>
      <c r="N5516" t="s">
        <v>544</v>
      </c>
      <c r="P5516" s="23">
        <v>97.31</v>
      </c>
      <c r="Q5516" s="4">
        <f t="shared" si="86"/>
        <v>38536.635494810398</v>
      </c>
      <c r="R5516" s="23" t="s">
        <v>1198</v>
      </c>
      <c r="T5516" s="2"/>
    </row>
    <row r="5517" spans="1:20" x14ac:dyDescent="0.25">
      <c r="A5517" s="21">
        <v>45811</v>
      </c>
      <c r="B5517" s="1" t="s">
        <v>3952</v>
      </c>
      <c r="C5517" t="s">
        <v>9743</v>
      </c>
      <c r="D5517" s="22">
        <v>-200000</v>
      </c>
      <c r="E5517" t="s">
        <v>35</v>
      </c>
      <c r="F5517" s="2">
        <v>210101001</v>
      </c>
      <c r="G5517" s="2" t="s">
        <v>36</v>
      </c>
      <c r="L5517" s="2" t="s">
        <v>9744</v>
      </c>
      <c r="M5517" t="s">
        <v>38</v>
      </c>
      <c r="N5517" t="s">
        <v>39</v>
      </c>
      <c r="P5517" s="23">
        <v>97.31</v>
      </c>
      <c r="Q5517" s="4">
        <f t="shared" si="86"/>
        <v>-2055.287226389888</v>
      </c>
      <c r="R5517" s="23" t="s">
        <v>1198</v>
      </c>
      <c r="T5517" s="2"/>
    </row>
    <row r="5518" spans="1:20" x14ac:dyDescent="0.25">
      <c r="A5518" s="21">
        <v>45811</v>
      </c>
      <c r="B5518" s="1" t="s">
        <v>4018</v>
      </c>
      <c r="C5518" t="s">
        <v>9743</v>
      </c>
      <c r="D5518" s="22">
        <v>-200000</v>
      </c>
      <c r="E5518" t="s">
        <v>35</v>
      </c>
      <c r="F5518" s="2">
        <v>210101001</v>
      </c>
      <c r="G5518" s="2" t="s">
        <v>36</v>
      </c>
      <c r="L5518" s="2" t="s">
        <v>9745</v>
      </c>
      <c r="M5518" t="s">
        <v>38</v>
      </c>
      <c r="N5518" t="s">
        <v>39</v>
      </c>
      <c r="P5518" s="23">
        <v>97.31</v>
      </c>
      <c r="Q5518" s="4">
        <f t="shared" si="86"/>
        <v>-2055.287226389888</v>
      </c>
      <c r="R5518" s="23" t="s">
        <v>1198</v>
      </c>
      <c r="T5518" s="2"/>
    </row>
    <row r="5519" spans="1:20" x14ac:dyDescent="0.25">
      <c r="A5519" s="21">
        <v>45811</v>
      </c>
      <c r="B5519" s="1" t="s">
        <v>4161</v>
      </c>
      <c r="C5519" t="s">
        <v>9743</v>
      </c>
      <c r="D5519" s="22">
        <v>-200000</v>
      </c>
      <c r="E5519" t="s">
        <v>35</v>
      </c>
      <c r="F5519" s="2">
        <v>210101001</v>
      </c>
      <c r="G5519" s="2" t="s">
        <v>36</v>
      </c>
      <c r="L5519" s="2" t="s">
        <v>9746</v>
      </c>
      <c r="M5519" t="s">
        <v>38</v>
      </c>
      <c r="N5519" t="s">
        <v>39</v>
      </c>
      <c r="P5519" s="23">
        <v>97.31</v>
      </c>
      <c r="Q5519" s="4">
        <f t="shared" si="86"/>
        <v>-2055.287226389888</v>
      </c>
      <c r="R5519" s="23" t="s">
        <v>1198</v>
      </c>
      <c r="T5519" s="2"/>
    </row>
    <row r="5520" spans="1:20" x14ac:dyDescent="0.25">
      <c r="A5520" s="21">
        <v>45811</v>
      </c>
      <c r="B5520" s="1" t="s">
        <v>4127</v>
      </c>
      <c r="C5520" t="s">
        <v>9747</v>
      </c>
      <c r="D5520" s="43">
        <v>-200000</v>
      </c>
      <c r="E5520" t="s">
        <v>35</v>
      </c>
      <c r="F5520" s="2">
        <v>110114001</v>
      </c>
      <c r="G5520" s="2" t="s">
        <v>301</v>
      </c>
      <c r="L5520" s="2" t="s">
        <v>9748</v>
      </c>
      <c r="M5520" t="s">
        <v>2028</v>
      </c>
      <c r="N5520" t="s">
        <v>2029</v>
      </c>
      <c r="P5520" s="23">
        <v>97.31</v>
      </c>
      <c r="Q5520" s="4">
        <f t="shared" si="86"/>
        <v>-2055.287226389888</v>
      </c>
      <c r="R5520" s="23" t="s">
        <v>1198</v>
      </c>
      <c r="S5520" s="33" t="s">
        <v>2599</v>
      </c>
      <c r="T5520" s="2"/>
    </row>
    <row r="5521" spans="1:20" x14ac:dyDescent="0.25">
      <c r="A5521" s="21">
        <v>45811</v>
      </c>
      <c r="B5521" s="1" t="s">
        <v>1214</v>
      </c>
      <c r="C5521" t="s">
        <v>9747</v>
      </c>
      <c r="D5521" s="43">
        <v>-200000</v>
      </c>
      <c r="E5521" t="s">
        <v>35</v>
      </c>
      <c r="F5521" s="2">
        <v>110114001</v>
      </c>
      <c r="G5521" s="2" t="s">
        <v>301</v>
      </c>
      <c r="L5521" s="2" t="s">
        <v>9749</v>
      </c>
      <c r="M5521" t="s">
        <v>2028</v>
      </c>
      <c r="N5521" t="s">
        <v>2029</v>
      </c>
      <c r="P5521" s="23">
        <v>97.31</v>
      </c>
      <c r="Q5521" s="4">
        <f t="shared" si="86"/>
        <v>-2055.287226389888</v>
      </c>
      <c r="R5521" s="23" t="s">
        <v>1198</v>
      </c>
      <c r="S5521" s="33" t="s">
        <v>2599</v>
      </c>
      <c r="T5521" s="2"/>
    </row>
    <row r="5522" spans="1:20" x14ac:dyDescent="0.25">
      <c r="A5522" s="21">
        <v>45811</v>
      </c>
      <c r="B5522" s="1" t="s">
        <v>3936</v>
      </c>
      <c r="C5522" t="s">
        <v>9750</v>
      </c>
      <c r="D5522" s="22">
        <v>-15486</v>
      </c>
      <c r="E5522" t="s">
        <v>35</v>
      </c>
      <c r="F5522" s="2">
        <v>210101001</v>
      </c>
      <c r="G5522" s="2" t="s">
        <v>36</v>
      </c>
      <c r="L5522" s="2" t="s">
        <v>9751</v>
      </c>
      <c r="M5522" t="s">
        <v>38</v>
      </c>
      <c r="N5522" t="s">
        <v>39</v>
      </c>
      <c r="P5522" s="23">
        <v>97.31</v>
      </c>
      <c r="Q5522" s="4">
        <f t="shared" si="86"/>
        <v>-159.14088993936903</v>
      </c>
      <c r="R5522" s="23" t="s">
        <v>1198</v>
      </c>
      <c r="T5522" s="2"/>
    </row>
    <row r="5523" spans="1:20" x14ac:dyDescent="0.25">
      <c r="A5523" s="21">
        <v>45811</v>
      </c>
      <c r="B5523" s="1" t="s">
        <v>3933</v>
      </c>
      <c r="C5523" t="s">
        <v>9747</v>
      </c>
      <c r="D5523" s="43">
        <v>-200000</v>
      </c>
      <c r="E5523" t="s">
        <v>35</v>
      </c>
      <c r="F5523" s="2">
        <v>110114001</v>
      </c>
      <c r="G5523" s="2" t="s">
        <v>301</v>
      </c>
      <c r="L5523" s="2" t="s">
        <v>9752</v>
      </c>
      <c r="M5523" t="s">
        <v>2028</v>
      </c>
      <c r="N5523" t="s">
        <v>2029</v>
      </c>
      <c r="P5523" s="23">
        <v>97.31</v>
      </c>
      <c r="Q5523" s="4">
        <f t="shared" si="86"/>
        <v>-2055.287226389888</v>
      </c>
      <c r="R5523" s="23" t="s">
        <v>1198</v>
      </c>
      <c r="S5523" s="33" t="s">
        <v>2599</v>
      </c>
      <c r="T5523" s="2"/>
    </row>
    <row r="5524" spans="1:20" x14ac:dyDescent="0.25">
      <c r="A5524" s="21">
        <v>45811</v>
      </c>
      <c r="B5524" s="1" t="s">
        <v>2571</v>
      </c>
      <c r="C5524" t="s">
        <v>9747</v>
      </c>
      <c r="D5524" s="43">
        <v>-200000</v>
      </c>
      <c r="E5524" t="s">
        <v>35</v>
      </c>
      <c r="F5524" s="2">
        <v>110114001</v>
      </c>
      <c r="G5524" s="2" t="s">
        <v>301</v>
      </c>
      <c r="L5524" s="2" t="s">
        <v>9753</v>
      </c>
      <c r="M5524" t="s">
        <v>2028</v>
      </c>
      <c r="N5524" t="s">
        <v>2029</v>
      </c>
      <c r="P5524" s="23">
        <v>97.31</v>
      </c>
      <c r="Q5524" s="4">
        <f t="shared" si="86"/>
        <v>-2055.287226389888</v>
      </c>
      <c r="R5524" s="23" t="s">
        <v>1198</v>
      </c>
      <c r="S5524" s="33" t="s">
        <v>2599</v>
      </c>
      <c r="T5524" s="2"/>
    </row>
    <row r="5525" spans="1:20" x14ac:dyDescent="0.25">
      <c r="A5525" s="21">
        <v>45811</v>
      </c>
      <c r="B5525" s="1" t="s">
        <v>1211</v>
      </c>
      <c r="C5525" t="s">
        <v>9747</v>
      </c>
      <c r="D5525" s="43">
        <v>-200000</v>
      </c>
      <c r="E5525" t="s">
        <v>35</v>
      </c>
      <c r="F5525" s="2">
        <v>110114001</v>
      </c>
      <c r="G5525" s="2" t="s">
        <v>301</v>
      </c>
      <c r="L5525" s="2" t="s">
        <v>9754</v>
      </c>
      <c r="M5525" t="s">
        <v>2028</v>
      </c>
      <c r="N5525" t="s">
        <v>2029</v>
      </c>
      <c r="P5525" s="23">
        <v>97.31</v>
      </c>
      <c r="Q5525" s="4">
        <f t="shared" si="86"/>
        <v>-2055.287226389888</v>
      </c>
      <c r="R5525" s="23" t="s">
        <v>1198</v>
      </c>
      <c r="S5525" s="33" t="s">
        <v>2599</v>
      </c>
      <c r="T5525" s="2"/>
    </row>
    <row r="5526" spans="1:20" x14ac:dyDescent="0.25">
      <c r="A5526" s="21">
        <v>45811</v>
      </c>
      <c r="B5526" s="1" t="s">
        <v>3927</v>
      </c>
      <c r="C5526" t="s">
        <v>9747</v>
      </c>
      <c r="D5526" s="43">
        <v>-200000</v>
      </c>
      <c r="E5526" t="s">
        <v>35</v>
      </c>
      <c r="F5526" s="2">
        <v>110114001</v>
      </c>
      <c r="G5526" s="2" t="s">
        <v>301</v>
      </c>
      <c r="L5526" s="2" t="s">
        <v>9755</v>
      </c>
      <c r="M5526" t="s">
        <v>2028</v>
      </c>
      <c r="N5526" t="s">
        <v>2029</v>
      </c>
      <c r="P5526" s="23">
        <v>97.31</v>
      </c>
      <c r="Q5526" s="4">
        <f t="shared" si="86"/>
        <v>-2055.287226389888</v>
      </c>
      <c r="R5526" s="23" t="s">
        <v>1198</v>
      </c>
      <c r="S5526" s="33" t="s">
        <v>2599</v>
      </c>
      <c r="T5526" s="2"/>
    </row>
    <row r="5527" spans="1:20" x14ac:dyDescent="0.25">
      <c r="A5527" s="21">
        <v>45811</v>
      </c>
      <c r="B5527" s="1" t="s">
        <v>3924</v>
      </c>
      <c r="C5527" t="s">
        <v>9747</v>
      </c>
      <c r="D5527" s="43">
        <v>-200000</v>
      </c>
      <c r="E5527" t="s">
        <v>35</v>
      </c>
      <c r="F5527" s="2">
        <v>110114001</v>
      </c>
      <c r="G5527" s="2" t="s">
        <v>301</v>
      </c>
      <c r="L5527" s="2" t="s">
        <v>9756</v>
      </c>
      <c r="M5527" t="s">
        <v>2028</v>
      </c>
      <c r="N5527" t="s">
        <v>2029</v>
      </c>
      <c r="P5527" s="23">
        <v>97.31</v>
      </c>
      <c r="Q5527" s="4">
        <f t="shared" si="86"/>
        <v>-2055.287226389888</v>
      </c>
      <c r="R5527" s="23" t="s">
        <v>1198</v>
      </c>
      <c r="S5527" s="33" t="s">
        <v>2599</v>
      </c>
      <c r="T5527" s="2"/>
    </row>
    <row r="5528" spans="1:20" x14ac:dyDescent="0.25">
      <c r="A5528" s="21">
        <v>45811</v>
      </c>
      <c r="B5528" s="1" t="s">
        <v>1208</v>
      </c>
      <c r="C5528" t="s">
        <v>9747</v>
      </c>
      <c r="D5528" s="43">
        <v>-200000</v>
      </c>
      <c r="E5528" t="s">
        <v>35</v>
      </c>
      <c r="F5528" s="2">
        <v>110114001</v>
      </c>
      <c r="G5528" s="2" t="s">
        <v>301</v>
      </c>
      <c r="L5528" s="2" t="s">
        <v>9757</v>
      </c>
      <c r="M5528" t="s">
        <v>2028</v>
      </c>
      <c r="N5528" t="s">
        <v>2029</v>
      </c>
      <c r="P5528" s="23">
        <v>97.31</v>
      </c>
      <c r="Q5528" s="4">
        <f t="shared" si="86"/>
        <v>-2055.287226389888</v>
      </c>
      <c r="R5528" s="23" t="s">
        <v>1198</v>
      </c>
      <c r="S5528" s="33" t="s">
        <v>2599</v>
      </c>
      <c r="T5528" s="2"/>
    </row>
    <row r="5529" spans="1:20" x14ac:dyDescent="0.25">
      <c r="A5529" s="21">
        <v>45811</v>
      </c>
      <c r="B5529" s="1" t="s">
        <v>3917</v>
      </c>
      <c r="C5529" t="s">
        <v>9758</v>
      </c>
      <c r="D5529" s="22">
        <v>-200000</v>
      </c>
      <c r="E5529" t="s">
        <v>35</v>
      </c>
      <c r="F5529" s="2">
        <v>210101001</v>
      </c>
      <c r="G5529" s="2" t="s">
        <v>36</v>
      </c>
      <c r="L5529" s="2" t="s">
        <v>9759</v>
      </c>
      <c r="M5529" t="s">
        <v>38</v>
      </c>
      <c r="N5529" t="s">
        <v>39</v>
      </c>
      <c r="P5529" s="23">
        <v>97.31</v>
      </c>
      <c r="Q5529" s="4">
        <f t="shared" si="86"/>
        <v>-2055.287226389888</v>
      </c>
      <c r="R5529" s="23" t="s">
        <v>1198</v>
      </c>
      <c r="T5529" s="80"/>
    </row>
    <row r="5530" spans="1:20" x14ac:dyDescent="0.25">
      <c r="A5530" s="21">
        <v>45811</v>
      </c>
      <c r="B5530" s="1" t="s">
        <v>3914</v>
      </c>
      <c r="C5530" t="s">
        <v>9747</v>
      </c>
      <c r="D5530" s="43">
        <v>-54270</v>
      </c>
      <c r="E5530" t="s">
        <v>35</v>
      </c>
      <c r="F5530" s="2">
        <v>110114001</v>
      </c>
      <c r="G5530" s="2" t="s">
        <v>301</v>
      </c>
      <c r="L5530" s="2" t="s">
        <v>9760</v>
      </c>
      <c r="M5530" t="s">
        <v>2028</v>
      </c>
      <c r="N5530" t="s">
        <v>2029</v>
      </c>
      <c r="P5530" s="23">
        <v>97.31</v>
      </c>
      <c r="Q5530" s="4">
        <f t="shared" si="86"/>
        <v>-557.70218888089607</v>
      </c>
      <c r="R5530" s="23" t="s">
        <v>1198</v>
      </c>
      <c r="S5530" s="33" t="s">
        <v>2599</v>
      </c>
      <c r="T5530" s="2"/>
    </row>
    <row r="5531" spans="1:20" x14ac:dyDescent="0.25">
      <c r="A5531" s="21">
        <v>45811</v>
      </c>
      <c r="B5531" s="1" t="s">
        <v>3943</v>
      </c>
      <c r="C5531" t="s">
        <v>9761</v>
      </c>
      <c r="D5531" s="43">
        <v>-200000</v>
      </c>
      <c r="E5531" t="s">
        <v>35</v>
      </c>
      <c r="F5531" s="2">
        <v>110114001</v>
      </c>
      <c r="G5531" s="2" t="s">
        <v>301</v>
      </c>
      <c r="L5531" s="2" t="s">
        <v>9762</v>
      </c>
      <c r="N5531" t="s">
        <v>2551</v>
      </c>
      <c r="P5531" s="23">
        <v>97.31</v>
      </c>
      <c r="Q5531" s="4">
        <f t="shared" si="86"/>
        <v>-2055.287226389888</v>
      </c>
      <c r="R5531" s="23" t="s">
        <v>1198</v>
      </c>
      <c r="T5531" s="2"/>
    </row>
    <row r="5532" spans="1:20" x14ac:dyDescent="0.25">
      <c r="A5532" s="21">
        <v>45811</v>
      </c>
      <c r="B5532" s="1" t="s">
        <v>3930</v>
      </c>
      <c r="C5532" t="s">
        <v>9761</v>
      </c>
      <c r="D5532" s="43">
        <v>-200000</v>
      </c>
      <c r="E5532" t="s">
        <v>35</v>
      </c>
      <c r="F5532" s="2">
        <v>110114001</v>
      </c>
      <c r="G5532" s="2" t="s">
        <v>301</v>
      </c>
      <c r="L5532" s="2" t="s">
        <v>9763</v>
      </c>
      <c r="N5532" t="s">
        <v>2551</v>
      </c>
      <c r="P5532" s="23">
        <v>97.31</v>
      </c>
      <c r="Q5532" s="4">
        <f t="shared" si="86"/>
        <v>-2055.287226389888</v>
      </c>
      <c r="R5532" s="23" t="s">
        <v>1198</v>
      </c>
      <c r="T5532" s="2"/>
    </row>
    <row r="5533" spans="1:20" x14ac:dyDescent="0.25">
      <c r="A5533" s="21">
        <v>45811</v>
      </c>
      <c r="B5533" s="1" t="s">
        <v>3949</v>
      </c>
      <c r="C5533" t="s">
        <v>9764</v>
      </c>
      <c r="D5533" s="22">
        <v>-174276.37</v>
      </c>
      <c r="E5533" t="s">
        <v>35</v>
      </c>
      <c r="F5533" s="2">
        <v>210101001</v>
      </c>
      <c r="G5533" s="2" t="s">
        <v>36</v>
      </c>
      <c r="L5533" s="2" t="s">
        <v>9765</v>
      </c>
      <c r="M5533" t="s">
        <v>714</v>
      </c>
      <c r="N5533" t="s">
        <v>715</v>
      </c>
      <c r="P5533" s="23">
        <v>97.31</v>
      </c>
      <c r="Q5533" s="4">
        <f t="shared" si="86"/>
        <v>-1790.9399856129894</v>
      </c>
      <c r="R5533" s="23" t="s">
        <v>1198</v>
      </c>
      <c r="T5533" s="2"/>
    </row>
    <row r="5534" spans="1:20" x14ac:dyDescent="0.25">
      <c r="A5534" s="21">
        <v>45811</v>
      </c>
      <c r="B5534" s="1" t="s">
        <v>4021</v>
      </c>
      <c r="C5534" t="s">
        <v>9761</v>
      </c>
      <c r="D5534" s="43">
        <v>-200000</v>
      </c>
      <c r="E5534" t="s">
        <v>35</v>
      </c>
      <c r="F5534" s="2">
        <v>110114001</v>
      </c>
      <c r="G5534" s="2" t="s">
        <v>301</v>
      </c>
      <c r="L5534" s="2" t="s">
        <v>9766</v>
      </c>
      <c r="N5534" t="s">
        <v>2551</v>
      </c>
      <c r="P5534" s="23">
        <v>97.31</v>
      </c>
      <c r="Q5534" s="4">
        <f t="shared" si="86"/>
        <v>-2055.287226389888</v>
      </c>
      <c r="R5534" s="23" t="s">
        <v>1198</v>
      </c>
      <c r="T5534" s="2"/>
    </row>
    <row r="5535" spans="1:20" ht="15.75" x14ac:dyDescent="0.25">
      <c r="A5535" s="21">
        <v>45811</v>
      </c>
      <c r="B5535" s="1" t="s">
        <v>4088</v>
      </c>
      <c r="C5535" t="s">
        <v>9767</v>
      </c>
      <c r="D5535" s="22">
        <v>-196410.5</v>
      </c>
      <c r="E5535" t="s">
        <v>35</v>
      </c>
      <c r="F5535" s="2">
        <v>110114001</v>
      </c>
      <c r="G5535" s="2" t="s">
        <v>301</v>
      </c>
      <c r="L5535" s="2" t="s">
        <v>9768</v>
      </c>
      <c r="M5535" t="s">
        <v>38</v>
      </c>
      <c r="N5535" t="s">
        <v>39</v>
      </c>
      <c r="P5535" s="23">
        <v>97.31</v>
      </c>
      <c r="Q5535" s="4">
        <f t="shared" si="86"/>
        <v>-2018.3999588942554</v>
      </c>
      <c r="R5535" s="23" t="s">
        <v>1198</v>
      </c>
      <c r="S5535" s="36" t="s">
        <v>2599</v>
      </c>
      <c r="T5535" s="2"/>
    </row>
    <row r="5536" spans="1:20" x14ac:dyDescent="0.25">
      <c r="A5536" s="21">
        <v>45811</v>
      </c>
      <c r="B5536" s="1" t="s">
        <v>2573</v>
      </c>
      <c r="C5536" t="s">
        <v>9761</v>
      </c>
      <c r="D5536" s="43">
        <v>-200000</v>
      </c>
      <c r="E5536" t="s">
        <v>35</v>
      </c>
      <c r="F5536" s="2">
        <v>110114001</v>
      </c>
      <c r="G5536" s="2" t="s">
        <v>301</v>
      </c>
      <c r="L5536" s="2" t="s">
        <v>9769</v>
      </c>
      <c r="N5536" t="s">
        <v>2551</v>
      </c>
      <c r="P5536" s="23">
        <v>97.31</v>
      </c>
      <c r="Q5536" s="4">
        <f t="shared" si="86"/>
        <v>-2055.287226389888</v>
      </c>
      <c r="R5536" s="23" t="s">
        <v>1198</v>
      </c>
      <c r="T5536" s="2"/>
    </row>
    <row r="5537" spans="1:20" x14ac:dyDescent="0.25">
      <c r="A5537" s="21">
        <v>45811</v>
      </c>
      <c r="B5537" s="1" t="s">
        <v>1217</v>
      </c>
      <c r="C5537" t="s">
        <v>9743</v>
      </c>
      <c r="D5537" s="22">
        <v>-25664.38</v>
      </c>
      <c r="E5537" t="s">
        <v>35</v>
      </c>
      <c r="F5537" s="2">
        <v>210101001</v>
      </c>
      <c r="G5537" s="2" t="s">
        <v>36</v>
      </c>
      <c r="L5537" s="2" t="s">
        <v>9770</v>
      </c>
      <c r="M5537" t="s">
        <v>38</v>
      </c>
      <c r="N5537" t="s">
        <v>39</v>
      </c>
      <c r="P5537" s="23">
        <v>97.31</v>
      </c>
      <c r="Q5537" s="4">
        <f t="shared" si="86"/>
        <v>-263.73836193608059</v>
      </c>
      <c r="R5537" s="23" t="s">
        <v>1198</v>
      </c>
      <c r="T5537" s="2"/>
    </row>
    <row r="5538" spans="1:20" x14ac:dyDescent="0.25">
      <c r="A5538" s="21">
        <v>45811</v>
      </c>
      <c r="B5538" s="1" t="s">
        <v>4091</v>
      </c>
      <c r="C5538" t="s">
        <v>9761</v>
      </c>
      <c r="D5538" s="43">
        <v>-64000</v>
      </c>
      <c r="E5538" t="s">
        <v>35</v>
      </c>
      <c r="F5538" s="2">
        <v>110114001</v>
      </c>
      <c r="G5538" s="2" t="s">
        <v>301</v>
      </c>
      <c r="L5538" s="2" t="s">
        <v>9771</v>
      </c>
      <c r="N5538" t="s">
        <v>2551</v>
      </c>
      <c r="P5538" s="23">
        <v>97.31</v>
      </c>
      <c r="Q5538" s="4">
        <f t="shared" si="86"/>
        <v>-657.69191244476417</v>
      </c>
      <c r="R5538" s="23" t="s">
        <v>1198</v>
      </c>
      <c r="T5538" s="2"/>
    </row>
    <row r="5539" spans="1:20" x14ac:dyDescent="0.25">
      <c r="A5539" s="21">
        <v>45811</v>
      </c>
      <c r="B5539" s="1" t="s">
        <v>3917</v>
      </c>
      <c r="C5539" t="s">
        <v>9758</v>
      </c>
      <c r="D5539" s="22" t="s">
        <v>9772</v>
      </c>
      <c r="E5539" t="s">
        <v>35</v>
      </c>
      <c r="F5539" s="2">
        <v>210101001</v>
      </c>
      <c r="G5539" s="2" t="s">
        <v>36</v>
      </c>
      <c r="L5539" s="2" t="s">
        <v>9773</v>
      </c>
      <c r="M5539" t="s">
        <v>38</v>
      </c>
      <c r="N5539" t="s">
        <v>39</v>
      </c>
      <c r="P5539" s="23">
        <v>97.31</v>
      </c>
      <c r="Q5539" s="4">
        <f t="shared" si="86"/>
        <v>-82.786763950262042</v>
      </c>
      <c r="R5539" s="23" t="s">
        <v>1198</v>
      </c>
      <c r="T5539" s="2"/>
    </row>
    <row r="5540" spans="1:20" x14ac:dyDescent="0.25">
      <c r="A5540" s="21">
        <v>45811</v>
      </c>
      <c r="B5540" s="1" t="s">
        <v>4242</v>
      </c>
      <c r="C5540" t="s">
        <v>1221</v>
      </c>
      <c r="D5540" s="22" t="s">
        <v>9774</v>
      </c>
      <c r="E5540" t="s">
        <v>35</v>
      </c>
      <c r="F5540" s="2">
        <v>610148001</v>
      </c>
      <c r="G5540" s="2" t="s">
        <v>42</v>
      </c>
      <c r="L5540" s="2" t="s">
        <v>9775</v>
      </c>
      <c r="M5540" t="s">
        <v>43</v>
      </c>
      <c r="N5540" t="s">
        <v>42</v>
      </c>
      <c r="P5540" s="23">
        <v>97.31</v>
      </c>
      <c r="Q5540" s="4">
        <f t="shared" si="86"/>
        <v>-5.1382180659747201</v>
      </c>
      <c r="R5540" s="23" t="s">
        <v>1198</v>
      </c>
      <c r="T5540" s="41" t="s">
        <v>8423</v>
      </c>
    </row>
    <row r="5541" spans="1:20" x14ac:dyDescent="0.25">
      <c r="A5541" s="21">
        <v>45811</v>
      </c>
      <c r="B5541" s="1" t="s">
        <v>1225</v>
      </c>
      <c r="C5541" t="s">
        <v>1221</v>
      </c>
      <c r="D5541" s="22" t="s">
        <v>9774</v>
      </c>
      <c r="E5541" t="s">
        <v>35</v>
      </c>
      <c r="F5541" s="2">
        <v>610148001</v>
      </c>
      <c r="G5541" s="2" t="s">
        <v>42</v>
      </c>
      <c r="L5541" s="2" t="s">
        <v>9776</v>
      </c>
      <c r="M5541" t="s">
        <v>43</v>
      </c>
      <c r="N5541" t="s">
        <v>42</v>
      </c>
      <c r="P5541" s="23">
        <v>97.31</v>
      </c>
      <c r="Q5541" s="4">
        <f t="shared" si="86"/>
        <v>-5.1382180659747201</v>
      </c>
      <c r="R5541" s="23" t="s">
        <v>1198</v>
      </c>
      <c r="T5541" s="41" t="s">
        <v>8423</v>
      </c>
    </row>
    <row r="5542" spans="1:20" x14ac:dyDescent="0.25">
      <c r="A5542" s="21">
        <v>45811</v>
      </c>
      <c r="B5542" s="1" t="s">
        <v>3965</v>
      </c>
      <c r="C5542" t="s">
        <v>1221</v>
      </c>
      <c r="D5542" s="22" t="s">
        <v>9774</v>
      </c>
      <c r="E5542" t="s">
        <v>35</v>
      </c>
      <c r="F5542" s="2">
        <v>610148001</v>
      </c>
      <c r="G5542" s="2" t="s">
        <v>42</v>
      </c>
      <c r="L5542" s="2" t="s">
        <v>9777</v>
      </c>
      <c r="M5542" t="s">
        <v>43</v>
      </c>
      <c r="N5542" t="s">
        <v>42</v>
      </c>
      <c r="P5542" s="23">
        <v>97.31</v>
      </c>
      <c r="Q5542" s="4">
        <f t="shared" si="86"/>
        <v>-5.1382180659747201</v>
      </c>
      <c r="R5542" s="23" t="s">
        <v>1198</v>
      </c>
      <c r="T5542" s="41" t="s">
        <v>8423</v>
      </c>
    </row>
    <row r="5543" spans="1:20" x14ac:dyDescent="0.25">
      <c r="A5543" s="21">
        <v>45811</v>
      </c>
      <c r="B5543" s="1" t="s">
        <v>3962</v>
      </c>
      <c r="C5543" t="s">
        <v>1221</v>
      </c>
      <c r="D5543" s="22" t="s">
        <v>9778</v>
      </c>
      <c r="E5543" t="s">
        <v>35</v>
      </c>
      <c r="F5543" s="2">
        <v>610148001</v>
      </c>
      <c r="G5543" s="2" t="s">
        <v>42</v>
      </c>
      <c r="L5543" s="2" t="s">
        <v>9779</v>
      </c>
      <c r="M5543" t="s">
        <v>43</v>
      </c>
      <c r="N5543" t="s">
        <v>42</v>
      </c>
      <c r="P5543" s="23">
        <v>97.31</v>
      </c>
      <c r="Q5543" s="4">
        <f t="shared" si="86"/>
        <v>-1.3942040900215804</v>
      </c>
      <c r="R5543" s="23" t="s">
        <v>1198</v>
      </c>
      <c r="T5543" s="41" t="s">
        <v>8423</v>
      </c>
    </row>
    <row r="5544" spans="1:20" x14ac:dyDescent="0.25">
      <c r="A5544" s="21">
        <v>45811</v>
      </c>
      <c r="B5544" s="1" t="s">
        <v>3979</v>
      </c>
      <c r="C5544" t="s">
        <v>1221</v>
      </c>
      <c r="D5544" s="22" t="s">
        <v>9774</v>
      </c>
      <c r="E5544" t="s">
        <v>35</v>
      </c>
      <c r="F5544" s="2">
        <v>610148001</v>
      </c>
      <c r="G5544" s="2" t="s">
        <v>42</v>
      </c>
      <c r="L5544" s="2" t="s">
        <v>9780</v>
      </c>
      <c r="M5544" t="s">
        <v>43</v>
      </c>
      <c r="N5544" t="s">
        <v>42</v>
      </c>
      <c r="P5544" s="23">
        <v>97.31</v>
      </c>
      <c r="Q5544" s="4">
        <f t="shared" si="86"/>
        <v>-5.1382180659747201</v>
      </c>
      <c r="R5544" s="23" t="s">
        <v>1198</v>
      </c>
      <c r="T5544" s="41" t="s">
        <v>8423</v>
      </c>
    </row>
    <row r="5545" spans="1:20" x14ac:dyDescent="0.25">
      <c r="A5545" s="21">
        <v>45811</v>
      </c>
      <c r="B5545" s="1" t="s">
        <v>1227</v>
      </c>
      <c r="C5545" t="s">
        <v>1221</v>
      </c>
      <c r="D5545" s="22" t="s">
        <v>9774</v>
      </c>
      <c r="E5545" t="s">
        <v>35</v>
      </c>
      <c r="F5545" s="2">
        <v>610148001</v>
      </c>
      <c r="G5545" s="2" t="s">
        <v>42</v>
      </c>
      <c r="L5545" s="2" t="s">
        <v>9781</v>
      </c>
      <c r="M5545" t="s">
        <v>43</v>
      </c>
      <c r="N5545" t="s">
        <v>42</v>
      </c>
      <c r="P5545" s="23">
        <v>97.31</v>
      </c>
      <c r="Q5545" s="4">
        <f t="shared" si="86"/>
        <v>-5.1382180659747201</v>
      </c>
      <c r="R5545" s="23" t="s">
        <v>1198</v>
      </c>
      <c r="T5545" s="41" t="s">
        <v>8423</v>
      </c>
    </row>
    <row r="5546" spans="1:20" x14ac:dyDescent="0.25">
      <c r="A5546" s="21">
        <v>45811</v>
      </c>
      <c r="B5546" s="1" t="s">
        <v>3979</v>
      </c>
      <c r="C5546" t="s">
        <v>1221</v>
      </c>
      <c r="D5546" s="22" t="s">
        <v>9782</v>
      </c>
      <c r="E5546" t="s">
        <v>35</v>
      </c>
      <c r="F5546" s="2">
        <v>610148001</v>
      </c>
      <c r="G5546" s="2" t="s">
        <v>42</v>
      </c>
      <c r="L5546" s="2" t="s">
        <v>9783</v>
      </c>
      <c r="M5546" t="s">
        <v>43</v>
      </c>
      <c r="N5546" t="s">
        <v>42</v>
      </c>
      <c r="P5546" s="23">
        <v>97.31</v>
      </c>
      <c r="Q5546" s="4">
        <f t="shared" si="86"/>
        <v>-0.2068646593361422</v>
      </c>
      <c r="R5546" s="23" t="s">
        <v>1198</v>
      </c>
      <c r="T5546" s="41" t="s">
        <v>8423</v>
      </c>
    </row>
    <row r="5547" spans="1:20" x14ac:dyDescent="0.25">
      <c r="A5547" s="21">
        <v>45811</v>
      </c>
      <c r="B5547" s="1" t="s">
        <v>1223</v>
      </c>
      <c r="C5547" t="s">
        <v>1221</v>
      </c>
      <c r="D5547" s="22" t="s">
        <v>9774</v>
      </c>
      <c r="E5547" t="s">
        <v>35</v>
      </c>
      <c r="F5547" s="2">
        <v>610148001</v>
      </c>
      <c r="G5547" s="2" t="s">
        <v>42</v>
      </c>
      <c r="L5547" s="2" t="s">
        <v>9784</v>
      </c>
      <c r="M5547" t="s">
        <v>43</v>
      </c>
      <c r="N5547" t="s">
        <v>42</v>
      </c>
      <c r="P5547" s="23">
        <v>97.31</v>
      </c>
      <c r="Q5547" s="4">
        <f t="shared" si="86"/>
        <v>-5.1382180659747201</v>
      </c>
      <c r="R5547" s="23" t="s">
        <v>1198</v>
      </c>
      <c r="T5547" s="41" t="s">
        <v>8423</v>
      </c>
    </row>
    <row r="5548" spans="1:20" x14ac:dyDescent="0.25">
      <c r="A5548" s="21">
        <v>45811</v>
      </c>
      <c r="B5548" s="1" t="s">
        <v>2582</v>
      </c>
      <c r="C5548" t="s">
        <v>1221</v>
      </c>
      <c r="D5548" s="22" t="s">
        <v>9774</v>
      </c>
      <c r="E5548" t="s">
        <v>35</v>
      </c>
      <c r="F5548" s="2">
        <v>610148001</v>
      </c>
      <c r="G5548" s="2" t="s">
        <v>42</v>
      </c>
      <c r="L5548" s="2" t="s">
        <v>9785</v>
      </c>
      <c r="M5548" t="s">
        <v>43</v>
      </c>
      <c r="N5548" t="s">
        <v>42</v>
      </c>
      <c r="P5548" s="23">
        <v>97.31</v>
      </c>
      <c r="Q5548" s="4">
        <f t="shared" si="86"/>
        <v>-5.1382180659747201</v>
      </c>
      <c r="R5548" s="23" t="s">
        <v>1198</v>
      </c>
      <c r="T5548" s="41" t="s">
        <v>8423</v>
      </c>
    </row>
    <row r="5549" spans="1:20" x14ac:dyDescent="0.25">
      <c r="A5549" s="21">
        <v>45811</v>
      </c>
      <c r="B5549" s="1" t="s">
        <v>3958</v>
      </c>
      <c r="C5549" t="s">
        <v>1221</v>
      </c>
      <c r="D5549" s="22" t="s">
        <v>9774</v>
      </c>
      <c r="E5549" t="s">
        <v>35</v>
      </c>
      <c r="F5549" s="2">
        <v>610148001</v>
      </c>
      <c r="G5549" s="2" t="s">
        <v>42</v>
      </c>
      <c r="L5549" s="2" t="s">
        <v>9786</v>
      </c>
      <c r="M5549" t="s">
        <v>43</v>
      </c>
      <c r="N5549" t="s">
        <v>42</v>
      </c>
      <c r="P5549" s="23">
        <v>97.31</v>
      </c>
      <c r="Q5549" s="4">
        <f t="shared" si="86"/>
        <v>-5.1382180659747201</v>
      </c>
      <c r="R5549" s="23" t="s">
        <v>1198</v>
      </c>
      <c r="T5549" s="41" t="s">
        <v>8423</v>
      </c>
    </row>
    <row r="5550" spans="1:20" x14ac:dyDescent="0.25">
      <c r="A5550" s="21">
        <v>45811</v>
      </c>
      <c r="B5550" s="1" t="s">
        <v>3967</v>
      </c>
      <c r="C5550" t="s">
        <v>1221</v>
      </c>
      <c r="D5550" s="22" t="s">
        <v>9774</v>
      </c>
      <c r="E5550" t="s">
        <v>35</v>
      </c>
      <c r="F5550" s="2">
        <v>610148001</v>
      </c>
      <c r="G5550" s="2" t="s">
        <v>42</v>
      </c>
      <c r="L5550" s="2" t="s">
        <v>9787</v>
      </c>
      <c r="M5550" t="s">
        <v>43</v>
      </c>
      <c r="N5550" t="s">
        <v>42</v>
      </c>
      <c r="P5550" s="23">
        <v>97.31</v>
      </c>
      <c r="Q5550" s="4">
        <f t="shared" si="86"/>
        <v>-5.1382180659747201</v>
      </c>
      <c r="R5550" s="23" t="s">
        <v>1198</v>
      </c>
      <c r="T5550" s="41" t="s">
        <v>8423</v>
      </c>
    </row>
    <row r="5551" spans="1:20" x14ac:dyDescent="0.25">
      <c r="A5551" s="21">
        <v>45811</v>
      </c>
      <c r="B5551" s="1" t="s">
        <v>3973</v>
      </c>
      <c r="C5551" t="s">
        <v>1221</v>
      </c>
      <c r="D5551" s="22" t="s">
        <v>9788</v>
      </c>
      <c r="E5551" t="s">
        <v>35</v>
      </c>
      <c r="F5551" s="2">
        <v>610148001</v>
      </c>
      <c r="G5551" s="2" t="s">
        <v>42</v>
      </c>
      <c r="L5551" s="2" t="s">
        <v>9789</v>
      </c>
      <c r="M5551" t="s">
        <v>43</v>
      </c>
      <c r="N5551" t="s">
        <v>42</v>
      </c>
      <c r="P5551" s="23">
        <v>97.31</v>
      </c>
      <c r="Q5551" s="4">
        <f t="shared" si="86"/>
        <v>-0.39780084266776283</v>
      </c>
      <c r="R5551" s="23" t="s">
        <v>1198</v>
      </c>
      <c r="T5551" s="41" t="s">
        <v>8423</v>
      </c>
    </row>
    <row r="5552" spans="1:20" x14ac:dyDescent="0.25">
      <c r="A5552" s="21">
        <v>45811</v>
      </c>
      <c r="B5552" s="1" t="s">
        <v>4311</v>
      </c>
      <c r="C5552" t="s">
        <v>1221</v>
      </c>
      <c r="D5552" s="22" t="s">
        <v>9774</v>
      </c>
      <c r="E5552" t="s">
        <v>35</v>
      </c>
      <c r="F5552" s="2">
        <v>610148001</v>
      </c>
      <c r="G5552" s="2" t="s">
        <v>42</v>
      </c>
      <c r="L5552" s="2" t="s">
        <v>9790</v>
      </c>
      <c r="M5552" t="s">
        <v>43</v>
      </c>
      <c r="N5552" t="s">
        <v>42</v>
      </c>
      <c r="P5552" s="23">
        <v>97.31</v>
      </c>
      <c r="Q5552" s="4">
        <f t="shared" si="86"/>
        <v>-5.1382180659747201</v>
      </c>
      <c r="R5552" s="23" t="s">
        <v>1198</v>
      </c>
      <c r="T5552" s="41" t="s">
        <v>8423</v>
      </c>
    </row>
    <row r="5553" spans="1:20" x14ac:dyDescent="0.25">
      <c r="A5553" s="21">
        <v>45811</v>
      </c>
      <c r="B5553" s="1" t="s">
        <v>1220</v>
      </c>
      <c r="C5553" t="s">
        <v>1221</v>
      </c>
      <c r="D5553" s="22" t="s">
        <v>9791</v>
      </c>
      <c r="E5553" t="s">
        <v>35</v>
      </c>
      <c r="F5553" s="2">
        <v>610148001</v>
      </c>
      <c r="G5553" s="2" t="s">
        <v>42</v>
      </c>
      <c r="L5553" s="2" t="s">
        <v>9792</v>
      </c>
      <c r="M5553" t="s">
        <v>43</v>
      </c>
      <c r="N5553" t="s">
        <v>42</v>
      </c>
      <c r="P5553" s="23">
        <v>97.31</v>
      </c>
      <c r="Q5553" s="4">
        <f t="shared" si="86"/>
        <v>-0.659336142225876</v>
      </c>
      <c r="R5553" s="23" t="s">
        <v>1198</v>
      </c>
      <c r="T5553" s="41" t="s">
        <v>8423</v>
      </c>
    </row>
    <row r="5554" spans="1:20" x14ac:dyDescent="0.25">
      <c r="A5554" s="21">
        <v>45811</v>
      </c>
      <c r="B5554" s="1" t="s">
        <v>2585</v>
      </c>
      <c r="C5554" t="s">
        <v>1221</v>
      </c>
      <c r="D5554" s="22" t="s">
        <v>9774</v>
      </c>
      <c r="E5554" t="s">
        <v>35</v>
      </c>
      <c r="F5554" s="2">
        <v>610148001</v>
      </c>
      <c r="G5554" s="2" t="s">
        <v>42</v>
      </c>
      <c r="L5554" s="2" t="s">
        <v>9793</v>
      </c>
      <c r="M5554" t="s">
        <v>43</v>
      </c>
      <c r="N5554" t="s">
        <v>42</v>
      </c>
      <c r="P5554" s="23">
        <v>97.31</v>
      </c>
      <c r="Q5554" s="4">
        <f t="shared" si="86"/>
        <v>-5.1382180659747201</v>
      </c>
      <c r="R5554" s="23" t="s">
        <v>1198</v>
      </c>
      <c r="T5554" s="41" t="s">
        <v>8423</v>
      </c>
    </row>
    <row r="5555" spans="1:20" x14ac:dyDescent="0.25">
      <c r="A5555" s="21">
        <v>45811</v>
      </c>
      <c r="B5555" s="1" t="s">
        <v>3969</v>
      </c>
      <c r="C5555" t="s">
        <v>1221</v>
      </c>
      <c r="D5555" s="22" t="s">
        <v>9774</v>
      </c>
      <c r="E5555" t="s">
        <v>35</v>
      </c>
      <c r="F5555" s="2">
        <v>610148001</v>
      </c>
      <c r="G5555" s="2" t="s">
        <v>42</v>
      </c>
      <c r="L5555" s="2" t="s">
        <v>9794</v>
      </c>
      <c r="M5555" t="s">
        <v>43</v>
      </c>
      <c r="N5555" t="s">
        <v>42</v>
      </c>
      <c r="P5555" s="23">
        <v>97.31</v>
      </c>
      <c r="Q5555" s="4">
        <f t="shared" si="86"/>
        <v>-5.1382180659747201</v>
      </c>
      <c r="R5555" s="23" t="s">
        <v>1198</v>
      </c>
      <c r="T5555" s="41" t="s">
        <v>8423</v>
      </c>
    </row>
    <row r="5556" spans="1:20" x14ac:dyDescent="0.25">
      <c r="A5556" s="21">
        <v>45811</v>
      </c>
      <c r="B5556" s="1" t="s">
        <v>3960</v>
      </c>
      <c r="C5556" t="s">
        <v>1221</v>
      </c>
      <c r="D5556" s="22" t="s">
        <v>9774</v>
      </c>
      <c r="E5556" t="s">
        <v>35</v>
      </c>
      <c r="F5556" s="2">
        <v>610148001</v>
      </c>
      <c r="G5556" s="2" t="s">
        <v>42</v>
      </c>
      <c r="L5556" s="2" t="s">
        <v>9795</v>
      </c>
      <c r="M5556" t="s">
        <v>43</v>
      </c>
      <c r="N5556" t="s">
        <v>42</v>
      </c>
      <c r="P5556" s="23">
        <v>97.31</v>
      </c>
      <c r="Q5556" s="4">
        <f t="shared" si="86"/>
        <v>-5.1382180659747201</v>
      </c>
      <c r="R5556" s="23" t="s">
        <v>1198</v>
      </c>
      <c r="T5556" s="41" t="s">
        <v>8423</v>
      </c>
    </row>
    <row r="5557" spans="1:20" x14ac:dyDescent="0.25">
      <c r="A5557" s="21">
        <v>45811</v>
      </c>
      <c r="B5557" s="1" t="s">
        <v>4240</v>
      </c>
      <c r="C5557" t="s">
        <v>1221</v>
      </c>
      <c r="D5557" s="22" t="s">
        <v>9796</v>
      </c>
      <c r="E5557" t="s">
        <v>35</v>
      </c>
      <c r="F5557" s="2">
        <v>610148001</v>
      </c>
      <c r="G5557" s="2" t="s">
        <v>42</v>
      </c>
      <c r="L5557" s="2" t="s">
        <v>9797</v>
      </c>
      <c r="M5557" t="s">
        <v>43</v>
      </c>
      <c r="N5557" t="s">
        <v>42</v>
      </c>
      <c r="P5557" s="23">
        <v>97.31</v>
      </c>
      <c r="Q5557" s="4">
        <f t="shared" si="86"/>
        <v>-5.0459356695098139</v>
      </c>
      <c r="R5557" s="23" t="s">
        <v>1198</v>
      </c>
      <c r="T5557" s="41" t="s">
        <v>8423</v>
      </c>
    </row>
    <row r="5558" spans="1:20" x14ac:dyDescent="0.25">
      <c r="A5558" s="21">
        <v>45811</v>
      </c>
      <c r="B5558" s="1" t="s">
        <v>4217</v>
      </c>
      <c r="C5558" t="s">
        <v>1221</v>
      </c>
      <c r="D5558" s="22" t="s">
        <v>9798</v>
      </c>
      <c r="E5558" t="s">
        <v>35</v>
      </c>
      <c r="F5558" s="2">
        <v>610148001</v>
      </c>
      <c r="G5558" s="2" t="s">
        <v>42</v>
      </c>
      <c r="L5558" s="2" t="s">
        <v>9799</v>
      </c>
      <c r="M5558" t="s">
        <v>43</v>
      </c>
      <c r="N5558" t="s">
        <v>42</v>
      </c>
      <c r="P5558" s="23">
        <v>97.31</v>
      </c>
      <c r="Q5558" s="4">
        <f t="shared" si="86"/>
        <v>-1.6442297811119104</v>
      </c>
      <c r="R5558" s="23" t="s">
        <v>1198</v>
      </c>
      <c r="T5558" s="41" t="s">
        <v>8423</v>
      </c>
    </row>
    <row r="5559" spans="1:20" x14ac:dyDescent="0.25">
      <c r="A5559" s="21">
        <v>45811</v>
      </c>
      <c r="B5559" s="1" t="s">
        <v>3955</v>
      </c>
      <c r="C5559" t="s">
        <v>1221</v>
      </c>
      <c r="D5559" s="22" t="s">
        <v>9800</v>
      </c>
      <c r="E5559" t="s">
        <v>35</v>
      </c>
      <c r="F5559" s="2">
        <v>610148001</v>
      </c>
      <c r="G5559" s="2" t="s">
        <v>42</v>
      </c>
      <c r="L5559" s="2" t="s">
        <v>9801</v>
      </c>
      <c r="M5559" t="s">
        <v>43</v>
      </c>
      <c r="N5559" t="s">
        <v>42</v>
      </c>
      <c r="P5559" s="23">
        <v>97.31</v>
      </c>
      <c r="Q5559" s="4">
        <f t="shared" si="86"/>
        <v>-4.477340458329051</v>
      </c>
      <c r="R5559" s="23" t="s">
        <v>1198</v>
      </c>
      <c r="T5559" s="41" t="s">
        <v>8423</v>
      </c>
    </row>
    <row r="5560" spans="1:20" x14ac:dyDescent="0.25">
      <c r="A5560" s="21">
        <v>45811</v>
      </c>
      <c r="B5560" s="1" t="s">
        <v>4284</v>
      </c>
      <c r="C5560" t="s">
        <v>1221</v>
      </c>
      <c r="D5560" s="22" t="s">
        <v>9774</v>
      </c>
      <c r="E5560" t="s">
        <v>35</v>
      </c>
      <c r="F5560" s="2">
        <v>610148001</v>
      </c>
      <c r="G5560" s="2" t="s">
        <v>42</v>
      </c>
      <c r="L5560" s="2" t="s">
        <v>9802</v>
      </c>
      <c r="M5560" t="s">
        <v>43</v>
      </c>
      <c r="N5560" t="s">
        <v>42</v>
      </c>
      <c r="P5560" s="23">
        <v>97.31</v>
      </c>
      <c r="Q5560" s="4">
        <f t="shared" si="86"/>
        <v>-5.1382180659747201</v>
      </c>
      <c r="R5560" s="23" t="s">
        <v>1198</v>
      </c>
      <c r="T5560" s="41" t="s">
        <v>8423</v>
      </c>
    </row>
    <row r="5561" spans="1:20" x14ac:dyDescent="0.25">
      <c r="A5561" s="21">
        <v>45811</v>
      </c>
      <c r="B5561" s="1" t="s">
        <v>3977</v>
      </c>
      <c r="C5561" t="s">
        <v>1221</v>
      </c>
      <c r="D5561" s="22" t="s">
        <v>9774</v>
      </c>
      <c r="E5561" t="s">
        <v>35</v>
      </c>
      <c r="F5561" s="2">
        <v>610148001</v>
      </c>
      <c r="G5561" s="2" t="s">
        <v>42</v>
      </c>
      <c r="L5561" s="2" t="s">
        <v>9803</v>
      </c>
      <c r="M5561" t="s">
        <v>43</v>
      </c>
      <c r="N5561" t="s">
        <v>42</v>
      </c>
      <c r="P5561" s="23">
        <v>97.31</v>
      </c>
      <c r="Q5561" s="4">
        <f t="shared" si="86"/>
        <v>-5.1382180659747201</v>
      </c>
      <c r="R5561" s="23" t="s">
        <v>1198</v>
      </c>
      <c r="T5561" s="41" t="s">
        <v>8423</v>
      </c>
    </row>
    <row r="5562" spans="1:20" x14ac:dyDescent="0.25">
      <c r="A5562" s="21">
        <v>45811</v>
      </c>
      <c r="B5562" s="1" t="s">
        <v>4309</v>
      </c>
      <c r="C5562" t="s">
        <v>1221</v>
      </c>
      <c r="D5562" s="22" t="s">
        <v>9774</v>
      </c>
      <c r="E5562" t="s">
        <v>35</v>
      </c>
      <c r="F5562" s="2">
        <v>610148001</v>
      </c>
      <c r="G5562" s="2" t="s">
        <v>42</v>
      </c>
      <c r="L5562" s="2" t="s">
        <v>9804</v>
      </c>
      <c r="M5562" t="s">
        <v>43</v>
      </c>
      <c r="N5562" t="s">
        <v>42</v>
      </c>
      <c r="P5562" s="23">
        <v>97.31</v>
      </c>
      <c r="Q5562" s="4">
        <f t="shared" si="86"/>
        <v>-5.1382180659747201</v>
      </c>
      <c r="R5562" s="23" t="s">
        <v>1198</v>
      </c>
      <c r="T5562" s="41" t="s">
        <v>8423</v>
      </c>
    </row>
    <row r="5563" spans="1:20" x14ac:dyDescent="0.25">
      <c r="A5563" s="21">
        <v>45812</v>
      </c>
      <c r="B5563" s="1" t="s">
        <v>9805</v>
      </c>
      <c r="C5563" t="s">
        <v>544</v>
      </c>
      <c r="D5563" s="22">
        <v>1040000</v>
      </c>
      <c r="E5563" t="s">
        <v>46</v>
      </c>
      <c r="F5563" s="2">
        <v>210115002</v>
      </c>
      <c r="G5563" s="2" t="s">
        <v>47</v>
      </c>
      <c r="L5563" s="2" t="s">
        <v>9806</v>
      </c>
      <c r="N5563" t="s">
        <v>544</v>
      </c>
      <c r="P5563" s="23">
        <v>97.42</v>
      </c>
      <c r="Q5563" s="4">
        <f t="shared" si="86"/>
        <v>10675.425990556354</v>
      </c>
      <c r="R5563" s="23" t="s">
        <v>1198</v>
      </c>
      <c r="T5563" s="2"/>
    </row>
    <row r="5564" spans="1:20" x14ac:dyDescent="0.25">
      <c r="A5564" s="21">
        <v>45812</v>
      </c>
      <c r="B5564" s="1" t="s">
        <v>2571</v>
      </c>
      <c r="C5564" t="s">
        <v>9807</v>
      </c>
      <c r="D5564" s="43">
        <v>-126500</v>
      </c>
      <c r="E5564" t="s">
        <v>35</v>
      </c>
      <c r="F5564" s="2">
        <v>110114001</v>
      </c>
      <c r="G5564" s="2" t="s">
        <v>301</v>
      </c>
      <c r="L5564" s="2" t="s">
        <v>9808</v>
      </c>
      <c r="N5564" t="s">
        <v>2551</v>
      </c>
      <c r="P5564" s="23">
        <v>97.42</v>
      </c>
      <c r="Q5564" s="4">
        <f t="shared" si="86"/>
        <v>-1298.5013344282488</v>
      </c>
      <c r="R5564" s="23" t="s">
        <v>1198</v>
      </c>
      <c r="T5564" s="2"/>
    </row>
    <row r="5565" spans="1:20" x14ac:dyDescent="0.25">
      <c r="A5565" s="21">
        <v>45812</v>
      </c>
      <c r="B5565" s="1" t="s">
        <v>1208</v>
      </c>
      <c r="C5565" t="s">
        <v>9809</v>
      </c>
      <c r="D5565" s="22">
        <v>-200000</v>
      </c>
      <c r="E5565" t="s">
        <v>35</v>
      </c>
      <c r="F5565" s="2">
        <v>210101001</v>
      </c>
      <c r="G5565" s="2" t="s">
        <v>36</v>
      </c>
      <c r="L5565" s="2" t="s">
        <v>9810</v>
      </c>
      <c r="M5565" t="s">
        <v>38</v>
      </c>
      <c r="N5565" t="s">
        <v>39</v>
      </c>
      <c r="P5565" s="23">
        <v>97.42</v>
      </c>
      <c r="Q5565" s="4">
        <f t="shared" si="86"/>
        <v>-2052.9665366454528</v>
      </c>
      <c r="R5565" s="23" t="s">
        <v>1198</v>
      </c>
      <c r="T5565" s="2"/>
    </row>
    <row r="5566" spans="1:20" x14ac:dyDescent="0.25">
      <c r="A5566" s="21">
        <v>45812</v>
      </c>
      <c r="B5566" s="1" t="s">
        <v>1208</v>
      </c>
      <c r="C5566" t="s">
        <v>9809</v>
      </c>
      <c r="D5566" s="22">
        <v>-68608</v>
      </c>
      <c r="E5566" t="s">
        <v>35</v>
      </c>
      <c r="F5566" s="2">
        <v>210101001</v>
      </c>
      <c r="G5566" s="2" t="s">
        <v>36</v>
      </c>
      <c r="L5566" s="2" t="s">
        <v>9811</v>
      </c>
      <c r="M5566" t="s">
        <v>38</v>
      </c>
      <c r="N5566" t="s">
        <v>39</v>
      </c>
      <c r="P5566" s="23">
        <v>97.42</v>
      </c>
      <c r="Q5566" s="4">
        <f t="shared" si="86"/>
        <v>-704.24964073085607</v>
      </c>
      <c r="R5566" s="23" t="s">
        <v>1198</v>
      </c>
      <c r="T5566" s="2"/>
    </row>
    <row r="5567" spans="1:20" x14ac:dyDescent="0.25">
      <c r="A5567" s="21">
        <v>45812</v>
      </c>
      <c r="B5567" s="1" t="s">
        <v>3930</v>
      </c>
      <c r="C5567" t="s">
        <v>9812</v>
      </c>
      <c r="D5567" s="22">
        <v>-57228.4</v>
      </c>
      <c r="E5567" t="s">
        <v>35</v>
      </c>
      <c r="F5567" s="2">
        <v>210101001</v>
      </c>
      <c r="G5567" s="2" t="s">
        <v>36</v>
      </c>
      <c r="L5567" s="2" t="s">
        <v>9813</v>
      </c>
      <c r="M5567" t="s">
        <v>303</v>
      </c>
      <c r="N5567" t="s">
        <v>304</v>
      </c>
      <c r="P5567" s="23">
        <v>97.42</v>
      </c>
      <c r="Q5567" s="4">
        <f t="shared" si="86"/>
        <v>-587.43995072880307</v>
      </c>
      <c r="R5567" s="23" t="s">
        <v>1198</v>
      </c>
      <c r="T5567" s="2"/>
    </row>
    <row r="5568" spans="1:20" x14ac:dyDescent="0.25">
      <c r="A5568" s="21">
        <v>45812</v>
      </c>
      <c r="B5568" s="1" t="s">
        <v>1208</v>
      </c>
      <c r="C5568" t="s">
        <v>9809</v>
      </c>
      <c r="D5568" s="22">
        <v>-200000</v>
      </c>
      <c r="E5568" t="s">
        <v>35</v>
      </c>
      <c r="F5568" s="2">
        <v>210101001</v>
      </c>
      <c r="G5568" s="2" t="s">
        <v>36</v>
      </c>
      <c r="L5568" s="2" t="s">
        <v>9814</v>
      </c>
      <c r="M5568" t="s">
        <v>38</v>
      </c>
      <c r="N5568" t="s">
        <v>39</v>
      </c>
      <c r="P5568" s="23">
        <v>97.42</v>
      </c>
      <c r="Q5568" s="4">
        <f t="shared" si="86"/>
        <v>-2052.9665366454528</v>
      </c>
      <c r="R5568" s="23" t="s">
        <v>1198</v>
      </c>
      <c r="T5568" s="2"/>
    </row>
    <row r="5569" spans="1:20" x14ac:dyDescent="0.25">
      <c r="A5569" s="21">
        <v>45812</v>
      </c>
      <c r="B5569" s="1" t="s">
        <v>1208</v>
      </c>
      <c r="C5569" t="s">
        <v>9809</v>
      </c>
      <c r="D5569" s="22">
        <v>-200000</v>
      </c>
      <c r="E5569" t="s">
        <v>35</v>
      </c>
      <c r="F5569" s="2">
        <v>210101001</v>
      </c>
      <c r="G5569" s="2" t="s">
        <v>36</v>
      </c>
      <c r="L5569" s="2" t="s">
        <v>9815</v>
      </c>
      <c r="M5569" t="s">
        <v>38</v>
      </c>
      <c r="N5569" t="s">
        <v>39</v>
      </c>
      <c r="P5569" s="23">
        <v>97.42</v>
      </c>
      <c r="Q5569" s="4">
        <f t="shared" si="86"/>
        <v>-2052.9665366454528</v>
      </c>
      <c r="R5569" s="23" t="s">
        <v>1198</v>
      </c>
      <c r="T5569" s="2"/>
    </row>
    <row r="5570" spans="1:20" x14ac:dyDescent="0.25">
      <c r="A5570" s="21">
        <v>45812</v>
      </c>
      <c r="B5570" s="1" t="s">
        <v>1208</v>
      </c>
      <c r="C5570" t="s">
        <v>9809</v>
      </c>
      <c r="D5570" s="22">
        <v>-200000</v>
      </c>
      <c r="E5570" t="s">
        <v>35</v>
      </c>
      <c r="F5570" s="2">
        <v>210101001</v>
      </c>
      <c r="G5570" s="2" t="s">
        <v>36</v>
      </c>
      <c r="L5570" s="2" t="s">
        <v>9816</v>
      </c>
      <c r="M5570" t="s">
        <v>38</v>
      </c>
      <c r="N5570" t="s">
        <v>39</v>
      </c>
      <c r="P5570" s="23">
        <v>97.42</v>
      </c>
      <c r="Q5570" s="4">
        <f t="shared" si="86"/>
        <v>-2052.9665366454528</v>
      </c>
      <c r="R5570" s="23" t="s">
        <v>1198</v>
      </c>
      <c r="T5570" s="2"/>
    </row>
    <row r="5571" spans="1:20" x14ac:dyDescent="0.25">
      <c r="A5571" s="21">
        <v>45812</v>
      </c>
      <c r="B5571" s="1" t="s">
        <v>2585</v>
      </c>
      <c r="C5571" t="s">
        <v>1221</v>
      </c>
      <c r="D5571" s="22">
        <v>-316.25</v>
      </c>
      <c r="E5571" t="s">
        <v>35</v>
      </c>
      <c r="F5571" s="2">
        <v>610148001</v>
      </c>
      <c r="G5571" s="2" t="s">
        <v>42</v>
      </c>
      <c r="L5571" s="2" t="s">
        <v>9817</v>
      </c>
      <c r="M5571" t="s">
        <v>43</v>
      </c>
      <c r="N5571" t="s">
        <v>42</v>
      </c>
      <c r="P5571" s="23">
        <v>97.42</v>
      </c>
      <c r="Q5571" s="4">
        <f t="shared" si="86"/>
        <v>-3.2462533360706218</v>
      </c>
      <c r="R5571" s="23" t="s">
        <v>1198</v>
      </c>
      <c r="T5571" s="41" t="s">
        <v>8423</v>
      </c>
    </row>
    <row r="5572" spans="1:20" x14ac:dyDescent="0.25">
      <c r="A5572" s="21">
        <v>45812</v>
      </c>
      <c r="B5572" s="1" t="s">
        <v>1223</v>
      </c>
      <c r="C5572" t="s">
        <v>1221</v>
      </c>
      <c r="D5572" s="22">
        <v>-500</v>
      </c>
      <c r="E5572" t="s">
        <v>35</v>
      </c>
      <c r="F5572" s="2">
        <v>610148001</v>
      </c>
      <c r="G5572" s="2" t="s">
        <v>42</v>
      </c>
      <c r="L5572" s="2" t="s">
        <v>9818</v>
      </c>
      <c r="M5572" t="s">
        <v>43</v>
      </c>
      <c r="N5572" t="s">
        <v>42</v>
      </c>
      <c r="P5572" s="23">
        <v>97.42</v>
      </c>
      <c r="Q5572" s="4">
        <f t="shared" si="86"/>
        <v>-5.1324163416136317</v>
      </c>
      <c r="R5572" s="23" t="s">
        <v>1198</v>
      </c>
      <c r="T5572" s="41" t="s">
        <v>8423</v>
      </c>
    </row>
    <row r="5573" spans="1:20" x14ac:dyDescent="0.25">
      <c r="A5573" s="21">
        <v>45812</v>
      </c>
      <c r="B5573" s="1" t="s">
        <v>1223</v>
      </c>
      <c r="C5573" t="s">
        <v>1221</v>
      </c>
      <c r="D5573" s="22">
        <v>-500</v>
      </c>
      <c r="E5573" t="s">
        <v>35</v>
      </c>
      <c r="F5573" s="2">
        <v>610148001</v>
      </c>
      <c r="G5573" s="2" t="s">
        <v>42</v>
      </c>
      <c r="L5573" s="2" t="s">
        <v>9819</v>
      </c>
      <c r="M5573" t="s">
        <v>43</v>
      </c>
      <c r="N5573" t="s">
        <v>42</v>
      </c>
      <c r="P5573" s="23">
        <v>97.42</v>
      </c>
      <c r="Q5573" s="4">
        <f t="shared" si="86"/>
        <v>-5.1324163416136317</v>
      </c>
      <c r="R5573" s="23" t="s">
        <v>1198</v>
      </c>
      <c r="T5573" s="41" t="s">
        <v>8423</v>
      </c>
    </row>
    <row r="5574" spans="1:20" x14ac:dyDescent="0.25">
      <c r="A5574" s="21">
        <v>45812</v>
      </c>
      <c r="B5574" s="1" t="s">
        <v>1223</v>
      </c>
      <c r="C5574" t="s">
        <v>1221</v>
      </c>
      <c r="D5574" s="22">
        <v>-500</v>
      </c>
      <c r="E5574" t="s">
        <v>35</v>
      </c>
      <c r="F5574" s="2">
        <v>610148001</v>
      </c>
      <c r="G5574" s="2" t="s">
        <v>42</v>
      </c>
      <c r="L5574" s="2" t="s">
        <v>9820</v>
      </c>
      <c r="M5574" t="s">
        <v>43</v>
      </c>
      <c r="N5574" t="s">
        <v>42</v>
      </c>
      <c r="P5574" s="23">
        <v>97.42</v>
      </c>
      <c r="Q5574" s="4">
        <f t="shared" si="86"/>
        <v>-5.1324163416136317</v>
      </c>
      <c r="R5574" s="23" t="s">
        <v>1198</v>
      </c>
      <c r="T5574" s="41" t="s">
        <v>8423</v>
      </c>
    </row>
    <row r="5575" spans="1:20" x14ac:dyDescent="0.25">
      <c r="A5575" s="21">
        <v>45812</v>
      </c>
      <c r="B5575" s="1" t="s">
        <v>1223</v>
      </c>
      <c r="C5575" t="s">
        <v>1221</v>
      </c>
      <c r="D5575" s="22">
        <v>-500</v>
      </c>
      <c r="E5575" t="s">
        <v>35</v>
      </c>
      <c r="F5575" s="2">
        <v>610148001</v>
      </c>
      <c r="G5575" s="2" t="s">
        <v>42</v>
      </c>
      <c r="L5575" s="2" t="s">
        <v>9821</v>
      </c>
      <c r="M5575" t="s">
        <v>43</v>
      </c>
      <c r="N5575" t="s">
        <v>42</v>
      </c>
      <c r="P5575" s="23">
        <v>97.42</v>
      </c>
      <c r="Q5575" s="4">
        <f t="shared" si="86"/>
        <v>-5.1324163416136317</v>
      </c>
      <c r="R5575" s="23" t="s">
        <v>1198</v>
      </c>
      <c r="T5575" s="41" t="s">
        <v>8423</v>
      </c>
    </row>
    <row r="5576" spans="1:20" x14ac:dyDescent="0.25">
      <c r="A5576" s="21">
        <v>45812</v>
      </c>
      <c r="B5576" s="1" t="s">
        <v>3969</v>
      </c>
      <c r="C5576" t="s">
        <v>1221</v>
      </c>
      <c r="D5576" s="22">
        <v>-143.07</v>
      </c>
      <c r="E5576" t="s">
        <v>35</v>
      </c>
      <c r="F5576" s="2">
        <v>610148001</v>
      </c>
      <c r="G5576" s="2" t="s">
        <v>42</v>
      </c>
      <c r="L5576" s="2" t="s">
        <v>9822</v>
      </c>
      <c r="M5576" t="s">
        <v>43</v>
      </c>
      <c r="N5576" t="s">
        <v>42</v>
      </c>
      <c r="P5576" s="23">
        <v>97.42</v>
      </c>
      <c r="Q5576" s="4">
        <f t="shared" si="86"/>
        <v>-1.4685896119893245</v>
      </c>
      <c r="R5576" s="23" t="s">
        <v>1198</v>
      </c>
      <c r="T5576" s="41" t="s">
        <v>8423</v>
      </c>
    </row>
    <row r="5577" spans="1:20" x14ac:dyDescent="0.25">
      <c r="A5577" s="21">
        <v>45812</v>
      </c>
      <c r="B5577" s="1" t="s">
        <v>1223</v>
      </c>
      <c r="C5577" t="s">
        <v>1221</v>
      </c>
      <c r="D5577" s="22">
        <v>-171.52</v>
      </c>
      <c r="E5577" t="s">
        <v>35</v>
      </c>
      <c r="F5577" s="2">
        <v>610148001</v>
      </c>
      <c r="G5577" s="2" t="s">
        <v>42</v>
      </c>
      <c r="L5577" s="2" t="s">
        <v>9823</v>
      </c>
      <c r="M5577" t="s">
        <v>43</v>
      </c>
      <c r="N5577" t="s">
        <v>42</v>
      </c>
      <c r="P5577" s="23">
        <v>97.42</v>
      </c>
      <c r="Q5577" s="4">
        <f t="shared" si="86"/>
        <v>-1.7606241018271402</v>
      </c>
      <c r="R5577" s="23" t="s">
        <v>1198</v>
      </c>
      <c r="T5577" s="41" t="s">
        <v>8423</v>
      </c>
    </row>
    <row r="5578" spans="1:20" x14ac:dyDescent="0.25">
      <c r="A5578" s="21">
        <v>45812</v>
      </c>
      <c r="B5578" s="1" t="s">
        <v>9824</v>
      </c>
      <c r="C5578" t="s">
        <v>9825</v>
      </c>
      <c r="D5578" s="22">
        <v>-166.6</v>
      </c>
      <c r="E5578" t="s">
        <v>35</v>
      </c>
      <c r="F5578" s="2">
        <v>213201001</v>
      </c>
      <c r="G5578" s="2" t="s">
        <v>1245</v>
      </c>
      <c r="L5578" s="2" t="s">
        <v>9826</v>
      </c>
      <c r="M5578" t="s">
        <v>1247</v>
      </c>
      <c r="N5578" t="s">
        <v>1248</v>
      </c>
      <c r="P5578" s="23">
        <v>97.42</v>
      </c>
      <c r="Q5578" s="4">
        <f t="shared" si="86"/>
        <v>-1.710121125025662</v>
      </c>
      <c r="R5578" s="23" t="s">
        <v>1198</v>
      </c>
      <c r="T5578" s="41" t="s">
        <v>9827</v>
      </c>
    </row>
    <row r="5579" spans="1:20" x14ac:dyDescent="0.25">
      <c r="A5579" s="21">
        <v>45812</v>
      </c>
      <c r="B5579" s="1" t="s">
        <v>9828</v>
      </c>
      <c r="C5579" t="s">
        <v>9829</v>
      </c>
      <c r="D5579" s="22">
        <v>-693</v>
      </c>
      <c r="E5579" t="s">
        <v>35</v>
      </c>
      <c r="F5579" s="2">
        <v>213101001</v>
      </c>
      <c r="G5579" s="2" t="s">
        <v>1252</v>
      </c>
      <c r="L5579" s="2" t="s">
        <v>9830</v>
      </c>
      <c r="M5579" t="s">
        <v>1254</v>
      </c>
      <c r="N5579" t="s">
        <v>1255</v>
      </c>
      <c r="P5579" s="23">
        <v>97.42</v>
      </c>
      <c r="Q5579" s="4">
        <f t="shared" ref="Q5579:Q5642" si="87">D5579/P5579</f>
        <v>-7.1135290494764938</v>
      </c>
      <c r="R5579" s="23" t="s">
        <v>1198</v>
      </c>
      <c r="T5579" s="41" t="s">
        <v>9827</v>
      </c>
    </row>
    <row r="5580" spans="1:20" x14ac:dyDescent="0.25">
      <c r="A5580" s="21">
        <v>45813</v>
      </c>
      <c r="B5580" s="1" t="s">
        <v>9831</v>
      </c>
      <c r="C5580" t="s">
        <v>7493</v>
      </c>
      <c r="D5580" s="22">
        <v>460000</v>
      </c>
      <c r="E5580" t="s">
        <v>46</v>
      </c>
      <c r="F5580" s="2">
        <v>210115002</v>
      </c>
      <c r="G5580" s="2" t="s">
        <v>47</v>
      </c>
      <c r="L5580" s="2" t="s">
        <v>9832</v>
      </c>
      <c r="N5580" t="s">
        <v>544</v>
      </c>
      <c r="P5580" s="23">
        <v>97.9</v>
      </c>
      <c r="Q5580" s="4">
        <f t="shared" si="87"/>
        <v>4698.6721144024514</v>
      </c>
      <c r="R5580" s="23" t="s">
        <v>1198</v>
      </c>
      <c r="T5580" s="2"/>
    </row>
    <row r="5581" spans="1:20" x14ac:dyDescent="0.25">
      <c r="A5581" s="21">
        <v>45813</v>
      </c>
      <c r="B5581" s="1" t="s">
        <v>1208</v>
      </c>
      <c r="C5581" t="s">
        <v>9833</v>
      </c>
      <c r="D5581" s="22" t="s">
        <v>9834</v>
      </c>
      <c r="E5581" t="s">
        <v>35</v>
      </c>
      <c r="F5581" s="2">
        <v>210101001</v>
      </c>
      <c r="G5581" s="2" t="s">
        <v>36</v>
      </c>
      <c r="L5581" s="2" t="s">
        <v>9835</v>
      </c>
      <c r="M5581" t="s">
        <v>38</v>
      </c>
      <c r="N5581" t="s">
        <v>39</v>
      </c>
      <c r="P5581" s="23">
        <v>97.9</v>
      </c>
      <c r="Q5581" s="4">
        <f t="shared" si="87"/>
        <v>-949.89908069458625</v>
      </c>
      <c r="R5581" s="23" t="s">
        <v>1198</v>
      </c>
      <c r="S5581" s="81"/>
      <c r="T5581" s="80"/>
    </row>
    <row r="5582" spans="1:20" x14ac:dyDescent="0.25">
      <c r="A5582" s="21">
        <v>45813</v>
      </c>
      <c r="B5582" s="1" t="s">
        <v>1208</v>
      </c>
      <c r="C5582" t="s">
        <v>9836</v>
      </c>
      <c r="D5582" s="22" t="s">
        <v>9837</v>
      </c>
      <c r="E5582" t="s">
        <v>35</v>
      </c>
      <c r="F5582" s="2">
        <v>210101001</v>
      </c>
      <c r="G5582" s="2" t="s">
        <v>36</v>
      </c>
      <c r="L5582" s="2" t="s">
        <v>9838</v>
      </c>
      <c r="M5582" t="s">
        <v>788</v>
      </c>
      <c r="N5582" t="s">
        <v>789</v>
      </c>
      <c r="P5582" s="23">
        <v>97.9</v>
      </c>
      <c r="Q5582" s="4">
        <f t="shared" si="87"/>
        <v>-71.501532175689476</v>
      </c>
      <c r="R5582" s="23" t="s">
        <v>1198</v>
      </c>
      <c r="S5582" s="81"/>
      <c r="T5582" s="80"/>
    </row>
    <row r="5583" spans="1:20" x14ac:dyDescent="0.25">
      <c r="A5583" s="21">
        <v>45813</v>
      </c>
      <c r="B5583" s="1" t="s">
        <v>1208</v>
      </c>
      <c r="C5583" t="s">
        <v>9839</v>
      </c>
      <c r="D5583" s="22" t="s">
        <v>9840</v>
      </c>
      <c r="E5583" t="s">
        <v>35</v>
      </c>
      <c r="F5583" s="2">
        <v>210101001</v>
      </c>
      <c r="G5583" s="2" t="s">
        <v>36</v>
      </c>
      <c r="L5583" s="2" t="s">
        <v>9841</v>
      </c>
      <c r="M5583" t="s">
        <v>1866</v>
      </c>
      <c r="N5583" t="s">
        <v>1867</v>
      </c>
      <c r="P5583" s="23">
        <v>97.9</v>
      </c>
      <c r="Q5583" s="4">
        <f t="shared" si="87"/>
        <v>-865.35995914198156</v>
      </c>
      <c r="R5583" s="23" t="s">
        <v>1198</v>
      </c>
      <c r="S5583" s="81"/>
      <c r="T5583" s="80"/>
    </row>
    <row r="5584" spans="1:20" x14ac:dyDescent="0.25">
      <c r="A5584" s="21">
        <v>45813</v>
      </c>
      <c r="B5584" s="1" t="s">
        <v>1208</v>
      </c>
      <c r="C5584" t="s">
        <v>9842</v>
      </c>
      <c r="D5584" s="22" t="s">
        <v>9843</v>
      </c>
      <c r="E5584" t="s">
        <v>35</v>
      </c>
      <c r="F5584" s="2">
        <v>210101001</v>
      </c>
      <c r="G5584" s="2" t="s">
        <v>36</v>
      </c>
      <c r="L5584" s="2" t="s">
        <v>9844</v>
      </c>
      <c r="M5584" t="s">
        <v>788</v>
      </c>
      <c r="N5584" t="s">
        <v>789</v>
      </c>
      <c r="P5584" s="23">
        <v>97.9</v>
      </c>
      <c r="Q5584" s="4">
        <f t="shared" si="87"/>
        <v>-342</v>
      </c>
      <c r="R5584" s="23" t="s">
        <v>1198</v>
      </c>
      <c r="T5584" s="2"/>
    </row>
    <row r="5585" spans="1:20" x14ac:dyDescent="0.25">
      <c r="A5585" s="21">
        <v>45813</v>
      </c>
      <c r="B5585" s="1" t="s">
        <v>1208</v>
      </c>
      <c r="C5585" t="s">
        <v>9833</v>
      </c>
      <c r="D5585" s="22" t="s">
        <v>9845</v>
      </c>
      <c r="E5585" t="s">
        <v>35</v>
      </c>
      <c r="F5585" s="2">
        <v>210101001</v>
      </c>
      <c r="G5585" s="2" t="s">
        <v>36</v>
      </c>
      <c r="L5585" s="2" t="s">
        <v>9846</v>
      </c>
      <c r="M5585" t="s">
        <v>38</v>
      </c>
      <c r="N5585" t="s">
        <v>39</v>
      </c>
      <c r="P5585" s="23">
        <v>97.9</v>
      </c>
      <c r="Q5585" s="4">
        <f t="shared" si="87"/>
        <v>-2042.9009193054135</v>
      </c>
      <c r="R5585" s="23" t="s">
        <v>1198</v>
      </c>
      <c r="S5585" s="81"/>
      <c r="T5585" s="80"/>
    </row>
    <row r="5586" spans="1:20" x14ac:dyDescent="0.25">
      <c r="A5586" s="21">
        <v>45813</v>
      </c>
      <c r="B5586" s="1" t="s">
        <v>2571</v>
      </c>
      <c r="C5586" t="s">
        <v>9243</v>
      </c>
      <c r="D5586" s="22" t="s">
        <v>9847</v>
      </c>
      <c r="E5586" t="s">
        <v>35</v>
      </c>
      <c r="F5586" s="2">
        <v>210101001</v>
      </c>
      <c r="G5586" s="2" t="s">
        <v>36</v>
      </c>
      <c r="L5586" s="2" t="s">
        <v>9848</v>
      </c>
      <c r="M5586" t="s">
        <v>714</v>
      </c>
      <c r="N5586" t="s">
        <v>715</v>
      </c>
      <c r="P5586" s="23">
        <v>97.9</v>
      </c>
      <c r="Q5586" s="4">
        <f t="shared" si="87"/>
        <v>-437.07660878447393</v>
      </c>
      <c r="R5586" s="23" t="s">
        <v>1198</v>
      </c>
      <c r="T5586" s="2"/>
    </row>
    <row r="5587" spans="1:20" x14ac:dyDescent="0.25">
      <c r="A5587" s="21">
        <v>45813</v>
      </c>
      <c r="B5587" s="1" t="s">
        <v>1223</v>
      </c>
      <c r="C5587" t="s">
        <v>1221</v>
      </c>
      <c r="D5587" s="22" t="s">
        <v>9849</v>
      </c>
      <c r="E5587" t="s">
        <v>35</v>
      </c>
      <c r="F5587" s="2">
        <v>610148001</v>
      </c>
      <c r="G5587" s="2" t="s">
        <v>42</v>
      </c>
      <c r="L5587" s="2" t="s">
        <v>9850</v>
      </c>
      <c r="M5587" t="s">
        <v>43</v>
      </c>
      <c r="N5587" t="s">
        <v>42</v>
      </c>
      <c r="P5587" s="23">
        <v>97.9</v>
      </c>
      <c r="Q5587" s="4">
        <f t="shared" si="87"/>
        <v>-2.3746680286006128</v>
      </c>
      <c r="R5587" s="23" t="s">
        <v>1198</v>
      </c>
      <c r="T5587" s="41" t="s">
        <v>8423</v>
      </c>
    </row>
    <row r="5588" spans="1:20" x14ac:dyDescent="0.25">
      <c r="A5588" s="21">
        <v>45813</v>
      </c>
      <c r="B5588" s="1" t="s">
        <v>1223</v>
      </c>
      <c r="C5588" t="s">
        <v>1221</v>
      </c>
      <c r="D5588" s="22" t="s">
        <v>9851</v>
      </c>
      <c r="E5588" t="s">
        <v>35</v>
      </c>
      <c r="F5588" s="2">
        <v>610148001</v>
      </c>
      <c r="G5588" s="2" t="s">
        <v>42</v>
      </c>
      <c r="L5588" s="2" t="s">
        <v>9852</v>
      </c>
      <c r="M5588" t="s">
        <v>43</v>
      </c>
      <c r="N5588" t="s">
        <v>42</v>
      </c>
      <c r="P5588" s="23">
        <v>97.9</v>
      </c>
      <c r="Q5588" s="4">
        <f t="shared" si="87"/>
        <v>-2.1633299284984675</v>
      </c>
      <c r="R5588" s="23" t="s">
        <v>1198</v>
      </c>
      <c r="T5588" s="41" t="s">
        <v>8423</v>
      </c>
    </row>
    <row r="5589" spans="1:20" x14ac:dyDescent="0.25">
      <c r="A5589" s="21">
        <v>45813</v>
      </c>
      <c r="B5589" s="1" t="s">
        <v>1223</v>
      </c>
      <c r="C5589" t="s">
        <v>1221</v>
      </c>
      <c r="D5589" s="22" t="s">
        <v>9853</v>
      </c>
      <c r="E5589" t="s">
        <v>35</v>
      </c>
      <c r="F5589" s="2">
        <v>610148001</v>
      </c>
      <c r="G5589" s="2" t="s">
        <v>42</v>
      </c>
      <c r="L5589" s="2" t="s">
        <v>9854</v>
      </c>
      <c r="M5589" t="s">
        <v>43</v>
      </c>
      <c r="N5589" t="s">
        <v>42</v>
      </c>
      <c r="P5589" s="23">
        <v>97.9</v>
      </c>
      <c r="Q5589" s="4">
        <f t="shared" si="87"/>
        <v>-0.17875383043922369</v>
      </c>
      <c r="R5589" s="23" t="s">
        <v>1198</v>
      </c>
      <c r="T5589" s="41" t="s">
        <v>8423</v>
      </c>
    </row>
    <row r="5590" spans="1:20" x14ac:dyDescent="0.25">
      <c r="A5590" s="21">
        <v>45813</v>
      </c>
      <c r="B5590" s="1" t="s">
        <v>1223</v>
      </c>
      <c r="C5590" t="s">
        <v>1221</v>
      </c>
      <c r="D5590" s="22" t="s">
        <v>9774</v>
      </c>
      <c r="E5590" t="s">
        <v>35</v>
      </c>
      <c r="F5590" s="2">
        <v>610148001</v>
      </c>
      <c r="G5590" s="2" t="s">
        <v>42</v>
      </c>
      <c r="L5590" s="2" t="s">
        <v>9855</v>
      </c>
      <c r="M5590" t="s">
        <v>43</v>
      </c>
      <c r="N5590" t="s">
        <v>42</v>
      </c>
      <c r="P5590" s="23">
        <v>97.9</v>
      </c>
      <c r="Q5590" s="4">
        <f t="shared" si="87"/>
        <v>-5.1072522982635338</v>
      </c>
      <c r="R5590" s="23" t="s">
        <v>1198</v>
      </c>
      <c r="T5590" s="41" t="s">
        <v>8423</v>
      </c>
    </row>
    <row r="5591" spans="1:20" x14ac:dyDescent="0.25">
      <c r="A5591" s="21">
        <v>45813</v>
      </c>
      <c r="B5591" s="1" t="s">
        <v>2585</v>
      </c>
      <c r="C5591" t="s">
        <v>1221</v>
      </c>
      <c r="D5591" s="22" t="s">
        <v>9856</v>
      </c>
      <c r="E5591" t="s">
        <v>35</v>
      </c>
      <c r="F5591" s="2">
        <v>610148001</v>
      </c>
      <c r="G5591" s="2" t="s">
        <v>42</v>
      </c>
      <c r="L5591" s="2" t="s">
        <v>9857</v>
      </c>
      <c r="M5591" t="s">
        <v>43</v>
      </c>
      <c r="N5591" t="s">
        <v>42</v>
      </c>
      <c r="P5591" s="23">
        <v>97.9</v>
      </c>
      <c r="Q5591" s="4">
        <f t="shared" si="87"/>
        <v>-1.0926455566905005</v>
      </c>
      <c r="R5591" s="23" t="s">
        <v>1198</v>
      </c>
      <c r="T5591" s="41" t="s">
        <v>8423</v>
      </c>
    </row>
    <row r="5592" spans="1:20" x14ac:dyDescent="0.25">
      <c r="A5592" s="21">
        <v>45813</v>
      </c>
      <c r="B5592" s="1" t="s">
        <v>1223</v>
      </c>
      <c r="C5592" t="s">
        <v>1221</v>
      </c>
      <c r="D5592" s="22" t="s">
        <v>9858</v>
      </c>
      <c r="E5592" t="s">
        <v>35</v>
      </c>
      <c r="F5592" s="2">
        <v>610148001</v>
      </c>
      <c r="G5592" s="2" t="s">
        <v>42</v>
      </c>
      <c r="L5592" s="2" t="s">
        <v>9859</v>
      </c>
      <c r="M5592" t="s">
        <v>43</v>
      </c>
      <c r="N5592" t="s">
        <v>42</v>
      </c>
      <c r="P5592" s="23">
        <v>97.9</v>
      </c>
      <c r="Q5592" s="4">
        <f t="shared" si="87"/>
        <v>-0.85495403472931564</v>
      </c>
      <c r="R5592" s="23" t="s">
        <v>1198</v>
      </c>
      <c r="T5592" s="41" t="s">
        <v>8423</v>
      </c>
    </row>
    <row r="5593" spans="1:20" x14ac:dyDescent="0.25">
      <c r="A5593" s="21">
        <v>45814</v>
      </c>
      <c r="B5593" s="1" t="s">
        <v>9860</v>
      </c>
      <c r="C5593" t="s">
        <v>544</v>
      </c>
      <c r="D5593" s="22">
        <v>1800000</v>
      </c>
      <c r="E5593" t="s">
        <v>46</v>
      </c>
      <c r="F5593" s="2">
        <v>210115002</v>
      </c>
      <c r="G5593" s="2" t="s">
        <v>47</v>
      </c>
      <c r="L5593" s="2" t="s">
        <v>9861</v>
      </c>
      <c r="N5593" t="s">
        <v>544</v>
      </c>
      <c r="P5593" s="23">
        <v>98.51</v>
      </c>
      <c r="Q5593" s="4">
        <f t="shared" si="87"/>
        <v>18272.256623693025</v>
      </c>
      <c r="R5593" s="23" t="s">
        <v>1198</v>
      </c>
      <c r="T5593" s="2"/>
    </row>
    <row r="5594" spans="1:20" x14ac:dyDescent="0.25">
      <c r="A5594" s="21">
        <v>45814</v>
      </c>
      <c r="B5594" s="1" t="s">
        <v>9862</v>
      </c>
      <c r="C5594" t="s">
        <v>544</v>
      </c>
      <c r="D5594" s="22">
        <v>200000</v>
      </c>
      <c r="E5594" t="s">
        <v>46</v>
      </c>
      <c r="F5594" s="2">
        <v>210115002</v>
      </c>
      <c r="G5594" s="2" t="s">
        <v>47</v>
      </c>
      <c r="L5594" s="2" t="s">
        <v>9863</v>
      </c>
      <c r="N5594" t="s">
        <v>544</v>
      </c>
      <c r="P5594" s="23">
        <v>98.51</v>
      </c>
      <c r="Q5594" s="4">
        <f t="shared" si="87"/>
        <v>2030.2507359658916</v>
      </c>
      <c r="R5594" s="23" t="s">
        <v>1198</v>
      </c>
      <c r="T5594" s="2"/>
    </row>
    <row r="5595" spans="1:20" x14ac:dyDescent="0.25">
      <c r="A5595" s="21">
        <v>45814</v>
      </c>
      <c r="B5595" s="1" t="s">
        <v>9864</v>
      </c>
      <c r="C5595" t="s">
        <v>544</v>
      </c>
      <c r="D5595" s="22">
        <v>100000</v>
      </c>
      <c r="E5595" t="s">
        <v>46</v>
      </c>
      <c r="F5595" s="2">
        <v>210115002</v>
      </c>
      <c r="G5595" s="2" t="s">
        <v>47</v>
      </c>
      <c r="L5595" s="2" t="s">
        <v>9865</v>
      </c>
      <c r="N5595" t="s">
        <v>544</v>
      </c>
      <c r="P5595" s="23">
        <v>98.51</v>
      </c>
      <c r="Q5595" s="4">
        <f t="shared" si="87"/>
        <v>1015.1253679829458</v>
      </c>
      <c r="R5595" s="23" t="s">
        <v>1198</v>
      </c>
      <c r="T5595" s="2"/>
    </row>
    <row r="5596" spans="1:20" x14ac:dyDescent="0.25">
      <c r="A5596" s="21">
        <v>45814</v>
      </c>
      <c r="B5596" s="1" t="s">
        <v>1208</v>
      </c>
      <c r="C5596" t="s">
        <v>9866</v>
      </c>
      <c r="D5596" s="22">
        <v>-25008.37</v>
      </c>
      <c r="E5596" t="s">
        <v>35</v>
      </c>
      <c r="F5596" s="2">
        <v>210101001</v>
      </c>
      <c r="G5596" s="2" t="s">
        <v>36</v>
      </c>
      <c r="L5596" s="2" t="s">
        <v>9867</v>
      </c>
      <c r="M5596" t="s">
        <v>1600</v>
      </c>
      <c r="N5596" t="s">
        <v>1601</v>
      </c>
      <c r="P5596" s="23">
        <v>98.51</v>
      </c>
      <c r="Q5596" s="4">
        <f t="shared" si="87"/>
        <v>-253.86630798903661</v>
      </c>
      <c r="R5596" s="23" t="s">
        <v>1198</v>
      </c>
      <c r="T5596" s="2"/>
    </row>
    <row r="5597" spans="1:20" x14ac:dyDescent="0.25">
      <c r="A5597" s="21">
        <v>45814</v>
      </c>
      <c r="B5597" s="1" t="s">
        <v>4094</v>
      </c>
      <c r="C5597" t="s">
        <v>9868</v>
      </c>
      <c r="D5597" s="22">
        <v>-12192.35</v>
      </c>
      <c r="E5597" t="s">
        <v>35</v>
      </c>
      <c r="F5597" s="2">
        <v>210101001</v>
      </c>
      <c r="G5597" s="2" t="s">
        <v>36</v>
      </c>
      <c r="L5597" s="2" t="s">
        <v>9869</v>
      </c>
      <c r="M5597" t="s">
        <v>114</v>
      </c>
      <c r="N5597" t="s">
        <v>115</v>
      </c>
      <c r="P5597" s="23">
        <v>98.51</v>
      </c>
      <c r="Q5597" s="4">
        <f t="shared" si="87"/>
        <v>-123.7676378032687</v>
      </c>
      <c r="R5597" s="23" t="s">
        <v>1198</v>
      </c>
      <c r="T5597" s="2"/>
    </row>
    <row r="5598" spans="1:20" x14ac:dyDescent="0.25">
      <c r="A5598" s="21">
        <v>45814</v>
      </c>
      <c r="B5598" s="1" t="s">
        <v>4070</v>
      </c>
      <c r="C5598" t="s">
        <v>9870</v>
      </c>
      <c r="D5598" s="43">
        <v>-98510</v>
      </c>
      <c r="E5598" t="s">
        <v>35</v>
      </c>
      <c r="F5598" s="2">
        <v>110114001</v>
      </c>
      <c r="G5598" s="2" t="s">
        <v>301</v>
      </c>
      <c r="L5598" s="2" t="s">
        <v>9871</v>
      </c>
      <c r="N5598" t="s">
        <v>2551</v>
      </c>
      <c r="P5598" s="23">
        <v>98.51</v>
      </c>
      <c r="Q5598" s="4">
        <f t="shared" si="87"/>
        <v>-1000</v>
      </c>
      <c r="R5598" s="23" t="s">
        <v>1198</v>
      </c>
      <c r="T5598" s="2"/>
    </row>
    <row r="5599" spans="1:20" ht="15.75" x14ac:dyDescent="0.25">
      <c r="A5599" s="21">
        <v>45814</v>
      </c>
      <c r="B5599" s="1" t="s">
        <v>1208</v>
      </c>
      <c r="C5599" t="s">
        <v>9872</v>
      </c>
      <c r="D5599" s="22">
        <v>-26514.44</v>
      </c>
      <c r="E5599" t="s">
        <v>35</v>
      </c>
      <c r="F5599" s="2">
        <v>110114001</v>
      </c>
      <c r="G5599" s="2" t="s">
        <v>301</v>
      </c>
      <c r="L5599" s="2" t="s">
        <v>9873</v>
      </c>
      <c r="M5599" t="s">
        <v>38</v>
      </c>
      <c r="N5599" t="s">
        <v>39</v>
      </c>
      <c r="P5599" s="23">
        <v>98.51</v>
      </c>
      <c r="Q5599" s="4">
        <f t="shared" si="87"/>
        <v>-269.15480661861739</v>
      </c>
      <c r="R5599" s="23" t="s">
        <v>1198</v>
      </c>
      <c r="S5599" s="36" t="s">
        <v>5309</v>
      </c>
      <c r="T5599" s="2"/>
    </row>
    <row r="5600" spans="1:20" x14ac:dyDescent="0.25">
      <c r="A5600" s="21">
        <v>45814</v>
      </c>
      <c r="B5600" s="1" t="s">
        <v>4091</v>
      </c>
      <c r="C5600" t="s">
        <v>9874</v>
      </c>
      <c r="D5600" s="22">
        <v>-985.1</v>
      </c>
      <c r="E5600" t="s">
        <v>35</v>
      </c>
      <c r="F5600" s="2">
        <v>212901001</v>
      </c>
      <c r="G5600" s="2" t="s">
        <v>121</v>
      </c>
      <c r="L5600" s="2" t="s">
        <v>9875</v>
      </c>
      <c r="M5600" t="s">
        <v>67</v>
      </c>
      <c r="N5600" t="s">
        <v>68</v>
      </c>
      <c r="P5600" s="23">
        <v>98.51</v>
      </c>
      <c r="Q5600" s="4">
        <f t="shared" si="87"/>
        <v>-10</v>
      </c>
      <c r="R5600" s="23" t="s">
        <v>1198</v>
      </c>
      <c r="T5600" s="2"/>
    </row>
    <row r="5601" spans="1:20" x14ac:dyDescent="0.25">
      <c r="A5601" s="32">
        <v>45814</v>
      </c>
      <c r="B5601" s="26" t="s">
        <v>1208</v>
      </c>
      <c r="C5601" s="27" t="s">
        <v>54</v>
      </c>
      <c r="D5601" s="28">
        <v>-11821.2</v>
      </c>
      <c r="E5601" s="27" t="s">
        <v>35</v>
      </c>
      <c r="F5601" s="29">
        <v>610129001</v>
      </c>
      <c r="G5601" s="29" t="s">
        <v>55</v>
      </c>
      <c r="H5601" s="107"/>
      <c r="I5601" s="101"/>
      <c r="J5601" s="101"/>
      <c r="K5601" s="29"/>
      <c r="L5601" s="2" t="s">
        <v>9876</v>
      </c>
      <c r="M5601" s="27" t="s">
        <v>57</v>
      </c>
      <c r="N5601" s="27" t="s">
        <v>58</v>
      </c>
      <c r="O5601" s="27" t="s">
        <v>59</v>
      </c>
      <c r="P5601" s="31">
        <v>98.51</v>
      </c>
      <c r="Q5601" s="4">
        <f t="shared" si="87"/>
        <v>-120</v>
      </c>
      <c r="R5601" s="23" t="s">
        <v>1198</v>
      </c>
      <c r="T5601" s="41" t="s">
        <v>9877</v>
      </c>
    </row>
    <row r="5602" spans="1:20" x14ac:dyDescent="0.25">
      <c r="A5602" s="21">
        <v>45814</v>
      </c>
      <c r="B5602" s="1" t="s">
        <v>4046</v>
      </c>
      <c r="C5602" t="s">
        <v>9878</v>
      </c>
      <c r="D5602" s="22">
        <v>-2617.98</v>
      </c>
      <c r="E5602" t="s">
        <v>35</v>
      </c>
      <c r="F5602" s="2">
        <v>210101001</v>
      </c>
      <c r="G5602" s="2" t="s">
        <v>36</v>
      </c>
      <c r="L5602" s="2" t="s">
        <v>9879</v>
      </c>
      <c r="M5602" t="s">
        <v>1239</v>
      </c>
      <c r="N5602" t="s">
        <v>1240</v>
      </c>
      <c r="P5602" s="23">
        <v>98.51</v>
      </c>
      <c r="Q5602" s="4">
        <f t="shared" si="87"/>
        <v>-26.575779108719924</v>
      </c>
      <c r="R5602" s="23" t="s">
        <v>1198</v>
      </c>
      <c r="S5602" s="67"/>
      <c r="T5602" s="82"/>
    </row>
    <row r="5603" spans="1:20" ht="15.75" x14ac:dyDescent="0.25">
      <c r="A5603" s="21">
        <v>45814</v>
      </c>
      <c r="B5603" s="1" t="s">
        <v>4114</v>
      </c>
      <c r="C5603" t="s">
        <v>9880</v>
      </c>
      <c r="D5603" s="22">
        <v>-79990.12</v>
      </c>
      <c r="E5603" t="s">
        <v>35</v>
      </c>
      <c r="F5603" s="2">
        <v>110114001</v>
      </c>
      <c r="G5603" s="2" t="s">
        <v>301</v>
      </c>
      <c r="L5603" s="2" t="s">
        <v>9881</v>
      </c>
      <c r="M5603" t="s">
        <v>1866</v>
      </c>
      <c r="N5603" t="s">
        <v>1867</v>
      </c>
      <c r="P5603" s="23">
        <v>98.51</v>
      </c>
      <c r="Q5603" s="4">
        <f t="shared" si="87"/>
        <v>-811.99999999999989</v>
      </c>
      <c r="R5603" s="23" t="s">
        <v>1198</v>
      </c>
      <c r="S5603" s="36" t="s">
        <v>9882</v>
      </c>
      <c r="T5603" s="2"/>
    </row>
    <row r="5604" spans="1:20" x14ac:dyDescent="0.25">
      <c r="A5604" s="21">
        <v>45814</v>
      </c>
      <c r="B5604" s="1" t="s">
        <v>3914</v>
      </c>
      <c r="C5604" t="s">
        <v>9883</v>
      </c>
      <c r="D5604" s="22">
        <v>-16740.900000000001</v>
      </c>
      <c r="E5604" t="s">
        <v>35</v>
      </c>
      <c r="F5604" s="2">
        <v>210101001</v>
      </c>
      <c r="G5604" s="2" t="s">
        <v>36</v>
      </c>
      <c r="L5604" s="2" t="s">
        <v>9884</v>
      </c>
      <c r="M5604" t="s">
        <v>788</v>
      </c>
      <c r="N5604" t="s">
        <v>789</v>
      </c>
      <c r="P5604" s="23">
        <v>98.51</v>
      </c>
      <c r="Q5604" s="4">
        <f t="shared" si="87"/>
        <v>-169.94112272865701</v>
      </c>
      <c r="R5604" s="23" t="s">
        <v>1198</v>
      </c>
      <c r="T5604" s="2"/>
    </row>
    <row r="5605" spans="1:20" x14ac:dyDescent="0.25">
      <c r="A5605" s="21">
        <v>45814</v>
      </c>
      <c r="B5605" s="1" t="s">
        <v>4088</v>
      </c>
      <c r="C5605" t="s">
        <v>9885</v>
      </c>
      <c r="D5605" s="22">
        <v>-1970.2</v>
      </c>
      <c r="E5605" t="s">
        <v>35</v>
      </c>
      <c r="F5605" s="2">
        <v>212901001</v>
      </c>
      <c r="G5605" s="2" t="s">
        <v>121</v>
      </c>
      <c r="L5605" s="2" t="s">
        <v>9886</v>
      </c>
      <c r="M5605" t="s">
        <v>67</v>
      </c>
      <c r="N5605" t="s">
        <v>68</v>
      </c>
      <c r="P5605" s="23">
        <v>98.51</v>
      </c>
      <c r="Q5605" s="4">
        <f t="shared" si="87"/>
        <v>-20</v>
      </c>
      <c r="R5605" s="23" t="s">
        <v>1198</v>
      </c>
      <c r="T5605" s="2"/>
    </row>
    <row r="5606" spans="1:20" x14ac:dyDescent="0.25">
      <c r="A5606" s="21">
        <v>45814</v>
      </c>
      <c r="B5606" s="1" t="s">
        <v>4161</v>
      </c>
      <c r="C5606" t="s">
        <v>9887</v>
      </c>
      <c r="D5606" s="22">
        <v>-1970.2</v>
      </c>
      <c r="E5606" t="s">
        <v>35</v>
      </c>
      <c r="F5606" s="2">
        <v>212901001</v>
      </c>
      <c r="G5606" s="2" t="s">
        <v>121</v>
      </c>
      <c r="L5606" s="2" t="s">
        <v>9888</v>
      </c>
      <c r="M5606" t="s">
        <v>67</v>
      </c>
      <c r="N5606" t="s">
        <v>68</v>
      </c>
      <c r="P5606" s="23">
        <v>98.51</v>
      </c>
      <c r="Q5606" s="4">
        <f t="shared" si="87"/>
        <v>-20</v>
      </c>
      <c r="R5606" s="23" t="s">
        <v>1198</v>
      </c>
      <c r="T5606" s="2"/>
    </row>
    <row r="5607" spans="1:20" x14ac:dyDescent="0.25">
      <c r="A5607" s="21">
        <v>45814</v>
      </c>
      <c r="B5607" s="1" t="s">
        <v>4116</v>
      </c>
      <c r="C5607" t="s">
        <v>6361</v>
      </c>
      <c r="D5607" s="22">
        <v>-11677.29</v>
      </c>
      <c r="E5607" t="s">
        <v>35</v>
      </c>
      <c r="F5607" s="2">
        <v>110101002</v>
      </c>
      <c r="G5607" s="2" t="s">
        <v>6359</v>
      </c>
      <c r="L5607" s="2" t="s">
        <v>9889</v>
      </c>
      <c r="N5607" t="s">
        <v>6361</v>
      </c>
      <c r="P5607" s="23">
        <v>98.51</v>
      </c>
      <c r="Q5607" s="4">
        <f t="shared" si="87"/>
        <v>-118.53913308293575</v>
      </c>
      <c r="R5607" s="23" t="s">
        <v>1198</v>
      </c>
      <c r="T5607" s="2"/>
    </row>
    <row r="5608" spans="1:20" x14ac:dyDescent="0.25">
      <c r="A5608" s="21">
        <v>45814</v>
      </c>
      <c r="B5608" s="1" t="s">
        <v>1208</v>
      </c>
      <c r="C5608" t="s">
        <v>9890</v>
      </c>
      <c r="D5608" s="22">
        <v>-1970.2</v>
      </c>
      <c r="E5608" t="s">
        <v>35</v>
      </c>
      <c r="F5608" s="2">
        <v>212901001</v>
      </c>
      <c r="G5608" s="2" t="s">
        <v>121</v>
      </c>
      <c r="L5608" s="2" t="s">
        <v>9891</v>
      </c>
      <c r="M5608" t="s">
        <v>67</v>
      </c>
      <c r="N5608" t="s">
        <v>68</v>
      </c>
      <c r="P5608" s="23">
        <v>98.51</v>
      </c>
      <c r="Q5608" s="4">
        <f t="shared" si="87"/>
        <v>-20</v>
      </c>
      <c r="R5608" s="23" t="s">
        <v>1198</v>
      </c>
      <c r="T5608" s="2"/>
    </row>
    <row r="5609" spans="1:20" ht="15.75" x14ac:dyDescent="0.25">
      <c r="A5609" s="21">
        <v>45814</v>
      </c>
      <c r="B5609" s="1" t="s">
        <v>1208</v>
      </c>
      <c r="C5609" t="s">
        <v>9872</v>
      </c>
      <c r="D5609" s="22">
        <v>-200000</v>
      </c>
      <c r="E5609" t="s">
        <v>35</v>
      </c>
      <c r="F5609" s="2">
        <v>110114001</v>
      </c>
      <c r="G5609" s="2" t="s">
        <v>301</v>
      </c>
      <c r="L5609" s="2" t="s">
        <v>9892</v>
      </c>
      <c r="M5609" t="s">
        <v>38</v>
      </c>
      <c r="N5609" t="s">
        <v>39</v>
      </c>
      <c r="P5609" s="23">
        <v>98.51</v>
      </c>
      <c r="Q5609" s="4">
        <f t="shared" si="87"/>
        <v>-2030.2507359658916</v>
      </c>
      <c r="R5609" s="23" t="s">
        <v>1198</v>
      </c>
      <c r="S5609" s="36" t="s">
        <v>5309</v>
      </c>
      <c r="T5609" s="2"/>
    </row>
    <row r="5610" spans="1:20" ht="15.75" x14ac:dyDescent="0.25">
      <c r="A5610" s="21">
        <v>45814</v>
      </c>
      <c r="B5610" s="1" t="s">
        <v>1208</v>
      </c>
      <c r="C5610" t="s">
        <v>9872</v>
      </c>
      <c r="D5610" s="22">
        <v>-200000</v>
      </c>
      <c r="E5610" t="s">
        <v>35</v>
      </c>
      <c r="F5610" s="2">
        <v>110114001</v>
      </c>
      <c r="G5610" s="2" t="s">
        <v>301</v>
      </c>
      <c r="L5610" s="2" t="s">
        <v>9893</v>
      </c>
      <c r="M5610" t="s">
        <v>38</v>
      </c>
      <c r="N5610" t="s">
        <v>39</v>
      </c>
      <c r="P5610" s="23">
        <v>98.51</v>
      </c>
      <c r="Q5610" s="4">
        <f t="shared" si="87"/>
        <v>-2030.2507359658916</v>
      </c>
      <c r="R5610" s="23" t="s">
        <v>1198</v>
      </c>
      <c r="S5610" s="36" t="s">
        <v>5309</v>
      </c>
      <c r="T5610" s="2"/>
    </row>
    <row r="5611" spans="1:20" ht="15.75" x14ac:dyDescent="0.25">
      <c r="A5611" s="21">
        <v>45814</v>
      </c>
      <c r="B5611" s="1" t="s">
        <v>4015</v>
      </c>
      <c r="C5611" t="s">
        <v>9894</v>
      </c>
      <c r="D5611" s="22">
        <v>-52335.23</v>
      </c>
      <c r="E5611" t="s">
        <v>35</v>
      </c>
      <c r="F5611" s="2">
        <v>110114001</v>
      </c>
      <c r="G5611" s="2" t="s">
        <v>301</v>
      </c>
      <c r="L5611" s="2" t="s">
        <v>9895</v>
      </c>
      <c r="M5611" t="s">
        <v>534</v>
      </c>
      <c r="N5611" t="s">
        <v>535</v>
      </c>
      <c r="P5611" s="23">
        <v>98.51</v>
      </c>
      <c r="Q5611" s="4">
        <f t="shared" si="87"/>
        <v>-531.26819612222107</v>
      </c>
      <c r="R5611" s="23" t="s">
        <v>1198</v>
      </c>
      <c r="S5611" s="36" t="s">
        <v>9882</v>
      </c>
      <c r="T5611" s="2"/>
    </row>
    <row r="5612" spans="1:20" x14ac:dyDescent="0.25">
      <c r="A5612" s="21">
        <v>45814</v>
      </c>
      <c r="B5612" s="1" t="s">
        <v>4111</v>
      </c>
      <c r="C5612" t="s">
        <v>9896</v>
      </c>
      <c r="D5612" s="22">
        <v>-32111.360000000001</v>
      </c>
      <c r="E5612" t="s">
        <v>35</v>
      </c>
      <c r="F5612" s="2">
        <v>210101001</v>
      </c>
      <c r="G5612" s="2" t="s">
        <v>36</v>
      </c>
      <c r="L5612" s="2" t="s">
        <v>9897</v>
      </c>
      <c r="M5612" t="s">
        <v>303</v>
      </c>
      <c r="N5612" t="s">
        <v>304</v>
      </c>
      <c r="P5612" s="23">
        <v>98.51</v>
      </c>
      <c r="Q5612" s="4">
        <f t="shared" si="87"/>
        <v>-325.97056136432849</v>
      </c>
      <c r="R5612" s="23" t="s">
        <v>1198</v>
      </c>
      <c r="T5612" s="2"/>
    </row>
    <row r="5613" spans="1:20" x14ac:dyDescent="0.25">
      <c r="A5613" s="21">
        <v>45814</v>
      </c>
      <c r="B5613" s="1" t="s">
        <v>4052</v>
      </c>
      <c r="C5613" t="s">
        <v>9898</v>
      </c>
      <c r="D5613" s="22">
        <v>-20810.009999999998</v>
      </c>
      <c r="E5613" t="s">
        <v>35</v>
      </c>
      <c r="F5613" s="2">
        <v>210101001</v>
      </c>
      <c r="G5613" s="2" t="s">
        <v>36</v>
      </c>
      <c r="L5613" s="2" t="s">
        <v>9899</v>
      </c>
      <c r="M5613" t="s">
        <v>1866</v>
      </c>
      <c r="N5613" t="s">
        <v>1867</v>
      </c>
      <c r="P5613" s="23">
        <v>98.51</v>
      </c>
      <c r="Q5613" s="4">
        <f t="shared" si="87"/>
        <v>-211.24769058978782</v>
      </c>
      <c r="R5613" s="23" t="s">
        <v>1198</v>
      </c>
      <c r="T5613" s="2"/>
    </row>
    <row r="5614" spans="1:20" x14ac:dyDescent="0.25">
      <c r="A5614" s="21">
        <v>45814</v>
      </c>
      <c r="B5614" s="1" t="s">
        <v>3917</v>
      </c>
      <c r="C5614" t="s">
        <v>9900</v>
      </c>
      <c r="D5614" s="22">
        <v>-1970.2</v>
      </c>
      <c r="E5614" t="s">
        <v>35</v>
      </c>
      <c r="F5614" s="2">
        <v>212901001</v>
      </c>
      <c r="G5614" s="2" t="s">
        <v>121</v>
      </c>
      <c r="L5614" s="2" t="s">
        <v>9901</v>
      </c>
      <c r="M5614" t="s">
        <v>67</v>
      </c>
      <c r="N5614" t="s">
        <v>68</v>
      </c>
      <c r="P5614" s="23">
        <v>98.51</v>
      </c>
      <c r="Q5614" s="4">
        <f t="shared" si="87"/>
        <v>-20</v>
      </c>
      <c r="R5614" s="23" t="s">
        <v>1198</v>
      </c>
      <c r="T5614" s="2"/>
    </row>
    <row r="5615" spans="1:20" x14ac:dyDescent="0.25">
      <c r="A5615" s="21">
        <v>45814</v>
      </c>
      <c r="B5615" s="1" t="s">
        <v>3917</v>
      </c>
      <c r="C5615" t="s">
        <v>9902</v>
      </c>
      <c r="D5615" s="22">
        <v>-1970.2</v>
      </c>
      <c r="E5615" t="s">
        <v>35</v>
      </c>
      <c r="F5615" s="2">
        <v>212901001</v>
      </c>
      <c r="G5615" s="2" t="s">
        <v>121</v>
      </c>
      <c r="L5615" s="2" t="s">
        <v>9903</v>
      </c>
      <c r="M5615" t="s">
        <v>67</v>
      </c>
      <c r="N5615" t="s">
        <v>68</v>
      </c>
      <c r="P5615" s="23">
        <v>98.51</v>
      </c>
      <c r="Q5615" s="4">
        <f t="shared" si="87"/>
        <v>-20</v>
      </c>
      <c r="R5615" s="23" t="s">
        <v>1198</v>
      </c>
      <c r="T5615" s="2"/>
    </row>
    <row r="5616" spans="1:20" x14ac:dyDescent="0.25">
      <c r="A5616" s="21">
        <v>45814</v>
      </c>
      <c r="B5616" s="1" t="s">
        <v>3936</v>
      </c>
      <c r="C5616" t="s">
        <v>9904</v>
      </c>
      <c r="D5616" s="22">
        <v>-14776.5</v>
      </c>
      <c r="E5616" t="s">
        <v>35</v>
      </c>
      <c r="F5616" s="2">
        <v>212901001</v>
      </c>
      <c r="G5616" s="2" t="s">
        <v>121</v>
      </c>
      <c r="L5616" s="2" t="s">
        <v>9905</v>
      </c>
      <c r="M5616" t="s">
        <v>67</v>
      </c>
      <c r="N5616" t="s">
        <v>68</v>
      </c>
      <c r="P5616" s="23">
        <v>98.51</v>
      </c>
      <c r="Q5616" s="4">
        <f t="shared" si="87"/>
        <v>-150</v>
      </c>
      <c r="R5616" s="23" t="s">
        <v>1198</v>
      </c>
      <c r="T5616" s="2"/>
    </row>
    <row r="5617" spans="1:20" x14ac:dyDescent="0.25">
      <c r="A5617" s="32">
        <v>45814</v>
      </c>
      <c r="B5617" s="26" t="s">
        <v>4127</v>
      </c>
      <c r="C5617" s="27" t="s">
        <v>9906</v>
      </c>
      <c r="D5617" s="28">
        <v>-1970.2</v>
      </c>
      <c r="E5617" s="27" t="s">
        <v>35</v>
      </c>
      <c r="F5617" s="29">
        <v>610125001</v>
      </c>
      <c r="G5617" s="29" t="s">
        <v>5746</v>
      </c>
      <c r="H5617" s="107"/>
      <c r="I5617" s="101"/>
      <c r="J5617" s="101"/>
      <c r="K5617" s="29"/>
      <c r="L5617" s="2" t="s">
        <v>9907</v>
      </c>
      <c r="M5617" s="27" t="s">
        <v>772</v>
      </c>
      <c r="N5617" s="27" t="s">
        <v>773</v>
      </c>
      <c r="O5617" s="27" t="s">
        <v>59</v>
      </c>
      <c r="P5617" s="31">
        <v>98.51</v>
      </c>
      <c r="Q5617" s="4">
        <f t="shared" si="87"/>
        <v>-20</v>
      </c>
      <c r="R5617" s="23" t="s">
        <v>1198</v>
      </c>
      <c r="T5617" s="41" t="s">
        <v>9908</v>
      </c>
    </row>
    <row r="5618" spans="1:20" x14ac:dyDescent="0.25">
      <c r="A5618" s="21">
        <v>45814</v>
      </c>
      <c r="B5618" s="1" t="s">
        <v>4024</v>
      </c>
      <c r="C5618" t="s">
        <v>9909</v>
      </c>
      <c r="D5618" s="22">
        <v>-60644.73</v>
      </c>
      <c r="E5618" t="s">
        <v>35</v>
      </c>
      <c r="F5618" s="2">
        <v>210101001</v>
      </c>
      <c r="G5618" s="2" t="s">
        <v>36</v>
      </c>
      <c r="L5618" s="2" t="s">
        <v>9910</v>
      </c>
      <c r="M5618" t="s">
        <v>521</v>
      </c>
      <c r="N5618" t="s">
        <v>3364</v>
      </c>
      <c r="P5618" s="23">
        <v>98.51</v>
      </c>
      <c r="Q5618" s="4">
        <f t="shared" si="87"/>
        <v>-615.62003857476395</v>
      </c>
      <c r="R5618" s="23" t="s">
        <v>1198</v>
      </c>
      <c r="T5618" s="2"/>
    </row>
    <row r="5619" spans="1:20" x14ac:dyDescent="0.25">
      <c r="A5619" s="21">
        <v>45814</v>
      </c>
      <c r="B5619" s="1" t="s">
        <v>4049</v>
      </c>
      <c r="C5619" t="s">
        <v>9911</v>
      </c>
      <c r="D5619" s="22">
        <v>-9598.81</v>
      </c>
      <c r="E5619" t="s">
        <v>35</v>
      </c>
      <c r="F5619" s="2">
        <v>210101001</v>
      </c>
      <c r="G5619" s="2" t="s">
        <v>36</v>
      </c>
      <c r="L5619" s="2" t="s">
        <v>9912</v>
      </c>
      <c r="M5619" t="s">
        <v>2912</v>
      </c>
      <c r="N5619" t="s">
        <v>2913</v>
      </c>
      <c r="P5619" s="23">
        <v>98.51</v>
      </c>
      <c r="Q5619" s="4">
        <f t="shared" si="87"/>
        <v>-97.439955334483798</v>
      </c>
      <c r="R5619" s="23" t="s">
        <v>1198</v>
      </c>
      <c r="T5619" s="2"/>
    </row>
    <row r="5620" spans="1:20" ht="15.75" x14ac:dyDescent="0.25">
      <c r="A5620" s="21">
        <v>45814</v>
      </c>
      <c r="B5620" s="1" t="s">
        <v>1208</v>
      </c>
      <c r="C5620" t="s">
        <v>9872</v>
      </c>
      <c r="D5620" s="22">
        <v>-200000</v>
      </c>
      <c r="E5620" t="s">
        <v>35</v>
      </c>
      <c r="F5620" s="2">
        <v>110114001</v>
      </c>
      <c r="G5620" s="2" t="s">
        <v>301</v>
      </c>
      <c r="L5620" s="2" t="s">
        <v>9913</v>
      </c>
      <c r="M5620" t="s">
        <v>38</v>
      </c>
      <c r="N5620" t="s">
        <v>39</v>
      </c>
      <c r="P5620" s="23">
        <v>98.51</v>
      </c>
      <c r="Q5620" s="4">
        <f t="shared" si="87"/>
        <v>-2030.2507359658916</v>
      </c>
      <c r="R5620" s="23" t="s">
        <v>1198</v>
      </c>
      <c r="S5620" s="36" t="s">
        <v>5309</v>
      </c>
      <c r="T5620" s="2"/>
    </row>
    <row r="5621" spans="1:20" ht="15.75" x14ac:dyDescent="0.25">
      <c r="A5621" s="21">
        <v>45814</v>
      </c>
      <c r="B5621" s="1" t="s">
        <v>1208</v>
      </c>
      <c r="C5621" t="s">
        <v>9872</v>
      </c>
      <c r="D5621" s="22">
        <v>-200000</v>
      </c>
      <c r="E5621" t="s">
        <v>35</v>
      </c>
      <c r="F5621" s="2">
        <v>110114001</v>
      </c>
      <c r="G5621" s="2" t="s">
        <v>301</v>
      </c>
      <c r="L5621" s="2" t="s">
        <v>9914</v>
      </c>
      <c r="M5621" t="s">
        <v>38</v>
      </c>
      <c r="N5621" t="s">
        <v>39</v>
      </c>
      <c r="P5621" s="23">
        <v>98.51</v>
      </c>
      <c r="Q5621" s="4">
        <f t="shared" si="87"/>
        <v>-2030.2507359658916</v>
      </c>
      <c r="R5621" s="23" t="s">
        <v>1198</v>
      </c>
      <c r="S5621" s="36" t="s">
        <v>5309</v>
      </c>
      <c r="T5621" s="2"/>
    </row>
    <row r="5622" spans="1:20" ht="15.75" x14ac:dyDescent="0.25">
      <c r="A5622" s="21">
        <v>45814</v>
      </c>
      <c r="B5622" s="1" t="s">
        <v>1208</v>
      </c>
      <c r="C5622" t="s">
        <v>9872</v>
      </c>
      <c r="D5622" s="22">
        <v>-200000</v>
      </c>
      <c r="E5622" t="s">
        <v>35</v>
      </c>
      <c r="F5622" s="2">
        <v>110114001</v>
      </c>
      <c r="G5622" s="2" t="s">
        <v>301</v>
      </c>
      <c r="L5622" s="2" t="s">
        <v>9915</v>
      </c>
      <c r="M5622" t="s">
        <v>38</v>
      </c>
      <c r="N5622" t="s">
        <v>39</v>
      </c>
      <c r="P5622" s="23">
        <v>98.51</v>
      </c>
      <c r="Q5622" s="4">
        <f t="shared" si="87"/>
        <v>-2030.2507359658916</v>
      </c>
      <c r="R5622" s="23" t="s">
        <v>1198</v>
      </c>
      <c r="S5622" s="36" t="s">
        <v>5309</v>
      </c>
      <c r="T5622" s="2"/>
    </row>
    <row r="5623" spans="1:20" x14ac:dyDescent="0.25">
      <c r="A5623" s="21">
        <v>45814</v>
      </c>
      <c r="B5623" s="1" t="s">
        <v>3949</v>
      </c>
      <c r="C5623" t="s">
        <v>9916</v>
      </c>
      <c r="D5623" s="22">
        <v>-985.1</v>
      </c>
      <c r="E5623" t="s">
        <v>35</v>
      </c>
      <c r="F5623" s="2">
        <v>212901001</v>
      </c>
      <c r="G5623" s="2" t="s">
        <v>121</v>
      </c>
      <c r="L5623" s="2" t="s">
        <v>9917</v>
      </c>
      <c r="M5623" t="s">
        <v>67</v>
      </c>
      <c r="N5623" t="s">
        <v>68</v>
      </c>
      <c r="P5623" s="23">
        <v>98.51</v>
      </c>
      <c r="Q5623" s="4">
        <f t="shared" si="87"/>
        <v>-10</v>
      </c>
      <c r="R5623" s="23" t="s">
        <v>1198</v>
      </c>
      <c r="T5623" s="2"/>
    </row>
    <row r="5624" spans="1:20" x14ac:dyDescent="0.25">
      <c r="A5624" s="32">
        <v>45814</v>
      </c>
      <c r="B5624" s="26" t="s">
        <v>4018</v>
      </c>
      <c r="C5624" s="27" t="s">
        <v>9918</v>
      </c>
      <c r="D5624" s="28">
        <v>-10639.08</v>
      </c>
      <c r="E5624" s="27" t="s">
        <v>35</v>
      </c>
      <c r="F5624" s="29">
        <v>610156001</v>
      </c>
      <c r="G5624" s="29" t="s">
        <v>91</v>
      </c>
      <c r="H5624" s="107"/>
      <c r="I5624" s="101"/>
      <c r="J5624" s="101"/>
      <c r="K5624" s="29"/>
      <c r="L5624" s="2" t="s">
        <v>9919</v>
      </c>
      <c r="M5624" s="27" t="s">
        <v>5015</v>
      </c>
      <c r="N5624" s="27" t="s">
        <v>1240</v>
      </c>
      <c r="O5624" s="27" t="s">
        <v>59</v>
      </c>
      <c r="P5624" s="31">
        <v>98.51</v>
      </c>
      <c r="Q5624" s="4">
        <f t="shared" si="87"/>
        <v>-108</v>
      </c>
      <c r="R5624" s="23" t="s">
        <v>1198</v>
      </c>
      <c r="T5624" s="41" t="s">
        <v>9920</v>
      </c>
    </row>
    <row r="5625" spans="1:20" x14ac:dyDescent="0.25">
      <c r="A5625" s="21">
        <v>45814</v>
      </c>
      <c r="B5625" s="1" t="s">
        <v>4055</v>
      </c>
      <c r="C5625" t="s">
        <v>9921</v>
      </c>
      <c r="D5625" s="22">
        <v>-111206.46</v>
      </c>
      <c r="E5625" t="s">
        <v>35</v>
      </c>
      <c r="F5625" s="2">
        <v>210101001</v>
      </c>
      <c r="G5625" s="2" t="s">
        <v>36</v>
      </c>
      <c r="L5625" s="2" t="s">
        <v>9922</v>
      </c>
      <c r="M5625" t="s">
        <v>976</v>
      </c>
      <c r="N5625" t="s">
        <v>977</v>
      </c>
      <c r="P5625" s="23">
        <v>98.51</v>
      </c>
      <c r="Q5625" s="4">
        <f t="shared" si="87"/>
        <v>-1128.8849862958075</v>
      </c>
      <c r="R5625" s="23" t="s">
        <v>1198</v>
      </c>
      <c r="T5625" s="2"/>
    </row>
    <row r="5626" spans="1:20" ht="15.75" x14ac:dyDescent="0.25">
      <c r="A5626" s="21">
        <v>45814</v>
      </c>
      <c r="B5626" s="1" t="s">
        <v>1208</v>
      </c>
      <c r="C5626" t="s">
        <v>9872</v>
      </c>
      <c r="D5626" s="22">
        <v>-200000</v>
      </c>
      <c r="E5626" t="s">
        <v>35</v>
      </c>
      <c r="F5626" s="2">
        <v>110114001</v>
      </c>
      <c r="G5626" s="2" t="s">
        <v>301</v>
      </c>
      <c r="L5626" s="2" t="s">
        <v>9923</v>
      </c>
      <c r="M5626" t="s">
        <v>38</v>
      </c>
      <c r="N5626" t="s">
        <v>39</v>
      </c>
      <c r="P5626" s="23">
        <v>98.51</v>
      </c>
      <c r="Q5626" s="4">
        <f t="shared" si="87"/>
        <v>-2030.2507359658916</v>
      </c>
      <c r="R5626" s="23" t="s">
        <v>1198</v>
      </c>
      <c r="S5626" s="36" t="s">
        <v>5309</v>
      </c>
      <c r="T5626" s="2"/>
    </row>
    <row r="5627" spans="1:20" ht="15.75" x14ac:dyDescent="0.25">
      <c r="A5627" s="21">
        <v>45814</v>
      </c>
      <c r="B5627" s="1" t="s">
        <v>1208</v>
      </c>
      <c r="C5627" t="s">
        <v>9872</v>
      </c>
      <c r="D5627" s="22">
        <v>-200000</v>
      </c>
      <c r="E5627" t="s">
        <v>35</v>
      </c>
      <c r="F5627" s="2">
        <v>110114001</v>
      </c>
      <c r="G5627" s="2" t="s">
        <v>301</v>
      </c>
      <c r="L5627" s="2" t="s">
        <v>9924</v>
      </c>
      <c r="M5627" t="s">
        <v>38</v>
      </c>
      <c r="N5627" t="s">
        <v>39</v>
      </c>
      <c r="P5627" s="23">
        <v>98.51</v>
      </c>
      <c r="Q5627" s="4">
        <f t="shared" si="87"/>
        <v>-2030.2507359658916</v>
      </c>
      <c r="R5627" s="23" t="s">
        <v>1198</v>
      </c>
      <c r="S5627" s="36" t="s">
        <v>5309</v>
      </c>
      <c r="T5627" s="2"/>
    </row>
    <row r="5628" spans="1:20" x14ac:dyDescent="0.25">
      <c r="A5628" s="21">
        <v>45814</v>
      </c>
      <c r="B5628" s="1" t="s">
        <v>3927</v>
      </c>
      <c r="C5628" t="s">
        <v>9925</v>
      </c>
      <c r="D5628" s="22">
        <v>-45322.1</v>
      </c>
      <c r="E5628" t="s">
        <v>35</v>
      </c>
      <c r="F5628" s="2">
        <v>210101001</v>
      </c>
      <c r="G5628" s="2" t="s">
        <v>36</v>
      </c>
      <c r="L5628" s="2" t="s">
        <v>9926</v>
      </c>
      <c r="M5628" t="s">
        <v>38</v>
      </c>
      <c r="N5628" t="s">
        <v>39</v>
      </c>
      <c r="P5628" s="23">
        <v>98.51</v>
      </c>
      <c r="Q5628" s="4">
        <f t="shared" si="87"/>
        <v>-460.07613440259865</v>
      </c>
      <c r="R5628" s="23" t="s">
        <v>1198</v>
      </c>
      <c r="T5628" s="80"/>
    </row>
    <row r="5629" spans="1:20" x14ac:dyDescent="0.25">
      <c r="A5629" s="32">
        <v>45814</v>
      </c>
      <c r="B5629" s="26" t="s">
        <v>4021</v>
      </c>
      <c r="C5629" s="27" t="s">
        <v>9927</v>
      </c>
      <c r="D5629" s="28">
        <v>-11821.2</v>
      </c>
      <c r="E5629" s="27" t="s">
        <v>35</v>
      </c>
      <c r="F5629" s="29">
        <v>610156001</v>
      </c>
      <c r="G5629" s="29" t="s">
        <v>91</v>
      </c>
      <c r="H5629" s="107"/>
      <c r="I5629" s="101"/>
      <c r="J5629" s="101"/>
      <c r="K5629" s="29"/>
      <c r="L5629" s="2" t="s">
        <v>9928</v>
      </c>
      <c r="M5629" s="27" t="s">
        <v>93</v>
      </c>
      <c r="N5629" s="27" t="s">
        <v>94</v>
      </c>
      <c r="O5629" s="27" t="s">
        <v>59</v>
      </c>
      <c r="P5629" s="31">
        <v>98.51</v>
      </c>
      <c r="Q5629" s="4">
        <f t="shared" si="87"/>
        <v>-120</v>
      </c>
      <c r="R5629" s="23" t="s">
        <v>1198</v>
      </c>
      <c r="T5629" s="41" t="s">
        <v>9929</v>
      </c>
    </row>
    <row r="5630" spans="1:20" x14ac:dyDescent="0.25">
      <c r="A5630" s="21">
        <v>45814</v>
      </c>
      <c r="B5630" s="1" t="s">
        <v>1223</v>
      </c>
      <c r="C5630" t="s">
        <v>1221</v>
      </c>
      <c r="D5630" s="22">
        <v>-66.28</v>
      </c>
      <c r="E5630" t="s">
        <v>35</v>
      </c>
      <c r="F5630" s="2">
        <v>610148001</v>
      </c>
      <c r="G5630" s="2" t="s">
        <v>42</v>
      </c>
      <c r="L5630" s="2" t="s">
        <v>9930</v>
      </c>
      <c r="M5630" t="s">
        <v>43</v>
      </c>
      <c r="N5630" t="s">
        <v>42</v>
      </c>
      <c r="P5630" s="23">
        <v>98.51</v>
      </c>
      <c r="Q5630" s="4">
        <f t="shared" si="87"/>
        <v>-0.6728250938990965</v>
      </c>
      <c r="R5630" s="23" t="s">
        <v>1198</v>
      </c>
      <c r="T5630" s="41" t="s">
        <v>8423</v>
      </c>
    </row>
    <row r="5631" spans="1:20" x14ac:dyDescent="0.25">
      <c r="A5631" s="21">
        <v>45814</v>
      </c>
      <c r="B5631" s="1" t="s">
        <v>4217</v>
      </c>
      <c r="C5631" t="s">
        <v>1221</v>
      </c>
      <c r="D5631" s="22">
        <v>-2.46</v>
      </c>
      <c r="E5631" t="s">
        <v>35</v>
      </c>
      <c r="F5631" s="2">
        <v>610148001</v>
      </c>
      <c r="G5631" s="2" t="s">
        <v>42</v>
      </c>
      <c r="L5631" s="2" t="s">
        <v>9931</v>
      </c>
      <c r="M5631" t="s">
        <v>43</v>
      </c>
      <c r="N5631" t="s">
        <v>42</v>
      </c>
      <c r="P5631" s="23">
        <v>98.51</v>
      </c>
      <c r="Q5631" s="4">
        <f t="shared" si="87"/>
        <v>-2.4972084052380467E-2</v>
      </c>
      <c r="R5631" s="23" t="s">
        <v>1198</v>
      </c>
      <c r="T5631" s="41" t="s">
        <v>8423</v>
      </c>
    </row>
    <row r="5632" spans="1:20" x14ac:dyDescent="0.25">
      <c r="A5632" s="21">
        <v>45814</v>
      </c>
      <c r="B5632" s="1" t="s">
        <v>4227</v>
      </c>
      <c r="C5632" t="s">
        <v>1221</v>
      </c>
      <c r="D5632" s="22">
        <v>-29.19</v>
      </c>
      <c r="E5632" t="s">
        <v>35</v>
      </c>
      <c r="F5632" s="2">
        <v>610148001</v>
      </c>
      <c r="G5632" s="2" t="s">
        <v>42</v>
      </c>
      <c r="L5632" s="2" t="s">
        <v>9932</v>
      </c>
      <c r="M5632" t="s">
        <v>43</v>
      </c>
      <c r="N5632" t="s">
        <v>42</v>
      </c>
      <c r="P5632" s="23">
        <v>98.51</v>
      </c>
      <c r="Q5632" s="4">
        <f t="shared" si="87"/>
        <v>-0.29631509491422192</v>
      </c>
      <c r="R5632" s="23" t="s">
        <v>1198</v>
      </c>
      <c r="T5632" s="41" t="s">
        <v>8423</v>
      </c>
    </row>
    <row r="5633" spans="1:20" x14ac:dyDescent="0.25">
      <c r="A5633" s="21">
        <v>45814</v>
      </c>
      <c r="B5633" s="1" t="s">
        <v>1223</v>
      </c>
      <c r="C5633" t="s">
        <v>1221</v>
      </c>
      <c r="D5633" s="22">
        <v>-500</v>
      </c>
      <c r="E5633" t="s">
        <v>35</v>
      </c>
      <c r="F5633" s="2">
        <v>610148001</v>
      </c>
      <c r="G5633" s="2" t="s">
        <v>42</v>
      </c>
      <c r="L5633" s="2" t="s">
        <v>9933</v>
      </c>
      <c r="M5633" t="s">
        <v>43</v>
      </c>
      <c r="N5633" t="s">
        <v>42</v>
      </c>
      <c r="P5633" s="23">
        <v>98.51</v>
      </c>
      <c r="Q5633" s="4">
        <f t="shared" si="87"/>
        <v>-5.0756268399147295</v>
      </c>
      <c r="R5633" s="23" t="s">
        <v>1198</v>
      </c>
      <c r="T5633" s="41" t="s">
        <v>8423</v>
      </c>
    </row>
    <row r="5634" spans="1:20" x14ac:dyDescent="0.25">
      <c r="A5634" s="21">
        <v>45814</v>
      </c>
      <c r="B5634" s="1" t="s">
        <v>1223</v>
      </c>
      <c r="C5634" t="s">
        <v>1221</v>
      </c>
      <c r="D5634" s="22">
        <v>-500</v>
      </c>
      <c r="E5634" t="s">
        <v>35</v>
      </c>
      <c r="F5634" s="2">
        <v>610148001</v>
      </c>
      <c r="G5634" s="2" t="s">
        <v>42</v>
      </c>
      <c r="L5634" s="2" t="s">
        <v>9934</v>
      </c>
      <c r="M5634" t="s">
        <v>43</v>
      </c>
      <c r="N5634" t="s">
        <v>42</v>
      </c>
      <c r="P5634" s="23">
        <v>98.51</v>
      </c>
      <c r="Q5634" s="4">
        <f t="shared" si="87"/>
        <v>-5.0756268399147295</v>
      </c>
      <c r="R5634" s="23" t="s">
        <v>1198</v>
      </c>
      <c r="T5634" s="41" t="s">
        <v>8423</v>
      </c>
    </row>
    <row r="5635" spans="1:20" x14ac:dyDescent="0.25">
      <c r="A5635" s="21">
        <v>45814</v>
      </c>
      <c r="B5635" s="1" t="s">
        <v>3960</v>
      </c>
      <c r="C5635" t="s">
        <v>1221</v>
      </c>
      <c r="D5635" s="22">
        <v>-113.3</v>
      </c>
      <c r="E5635" t="s">
        <v>35</v>
      </c>
      <c r="F5635" s="2">
        <v>610148001</v>
      </c>
      <c r="G5635" s="2" t="s">
        <v>42</v>
      </c>
      <c r="L5635" s="2" t="s">
        <v>9935</v>
      </c>
      <c r="M5635" t="s">
        <v>43</v>
      </c>
      <c r="N5635" t="s">
        <v>42</v>
      </c>
      <c r="P5635" s="23">
        <v>98.51</v>
      </c>
      <c r="Q5635" s="4">
        <f t="shared" si="87"/>
        <v>-1.1501370419246777</v>
      </c>
      <c r="R5635" s="23" t="s">
        <v>1198</v>
      </c>
      <c r="T5635" s="41" t="s">
        <v>8423</v>
      </c>
    </row>
    <row r="5636" spans="1:20" x14ac:dyDescent="0.25">
      <c r="A5636" s="21">
        <v>45814</v>
      </c>
      <c r="B5636" s="1" t="s">
        <v>3962</v>
      </c>
      <c r="C5636" t="s">
        <v>1221</v>
      </c>
      <c r="D5636" s="22">
        <v>-41.85</v>
      </c>
      <c r="E5636" t="s">
        <v>35</v>
      </c>
      <c r="F5636" s="2">
        <v>610148001</v>
      </c>
      <c r="G5636" s="2" t="s">
        <v>42</v>
      </c>
      <c r="L5636" s="2" t="s">
        <v>9936</v>
      </c>
      <c r="M5636" t="s">
        <v>43</v>
      </c>
      <c r="N5636" t="s">
        <v>42</v>
      </c>
      <c r="P5636" s="23">
        <v>98.51</v>
      </c>
      <c r="Q5636" s="4">
        <f t="shared" si="87"/>
        <v>-0.42482996650086285</v>
      </c>
      <c r="R5636" s="23" t="s">
        <v>1198</v>
      </c>
      <c r="T5636" s="41" t="s">
        <v>8423</v>
      </c>
    </row>
    <row r="5637" spans="1:20" x14ac:dyDescent="0.25">
      <c r="A5637" s="21">
        <v>45814</v>
      </c>
      <c r="B5637" s="1" t="s">
        <v>4244</v>
      </c>
      <c r="C5637" t="s">
        <v>1221</v>
      </c>
      <c r="D5637" s="22">
        <v>-80.27</v>
      </c>
      <c r="E5637" t="s">
        <v>35</v>
      </c>
      <c r="F5637" s="2">
        <v>610148001</v>
      </c>
      <c r="G5637" s="2" t="s">
        <v>42</v>
      </c>
      <c r="L5637" s="2" t="s">
        <v>9937</v>
      </c>
      <c r="M5637" t="s">
        <v>43</v>
      </c>
      <c r="N5637" t="s">
        <v>42</v>
      </c>
      <c r="P5637" s="23">
        <v>98.51</v>
      </c>
      <c r="Q5637" s="4">
        <f t="shared" si="87"/>
        <v>-0.81484113287991056</v>
      </c>
      <c r="R5637" s="23" t="s">
        <v>1198</v>
      </c>
      <c r="T5637" s="41" t="s">
        <v>8423</v>
      </c>
    </row>
    <row r="5638" spans="1:20" x14ac:dyDescent="0.25">
      <c r="A5638" s="21">
        <v>45814</v>
      </c>
      <c r="B5638" s="1" t="s">
        <v>1223</v>
      </c>
      <c r="C5638" t="s">
        <v>1221</v>
      </c>
      <c r="D5638" s="22">
        <v>-29.55</v>
      </c>
      <c r="E5638" t="s">
        <v>35</v>
      </c>
      <c r="F5638" s="2">
        <v>610148001</v>
      </c>
      <c r="G5638" s="2" t="s">
        <v>42</v>
      </c>
      <c r="L5638" s="2" t="s">
        <v>9938</v>
      </c>
      <c r="M5638" t="s">
        <v>43</v>
      </c>
      <c r="N5638" t="s">
        <v>42</v>
      </c>
      <c r="P5638" s="23">
        <v>98.51</v>
      </c>
      <c r="Q5638" s="4">
        <f t="shared" si="87"/>
        <v>-0.29996954623896049</v>
      </c>
      <c r="R5638" s="23" t="s">
        <v>1198</v>
      </c>
      <c r="T5638" s="41" t="s">
        <v>8423</v>
      </c>
    </row>
    <row r="5639" spans="1:20" x14ac:dyDescent="0.25">
      <c r="A5639" s="21">
        <v>45814</v>
      </c>
      <c r="B5639" s="1" t="s">
        <v>1223</v>
      </c>
      <c r="C5639" t="s">
        <v>1221</v>
      </c>
      <c r="D5639" s="22">
        <v>-500</v>
      </c>
      <c r="E5639" t="s">
        <v>35</v>
      </c>
      <c r="F5639" s="2">
        <v>610148001</v>
      </c>
      <c r="G5639" s="2" t="s">
        <v>42</v>
      </c>
      <c r="L5639" s="2" t="s">
        <v>9939</v>
      </c>
      <c r="M5639" t="s">
        <v>43</v>
      </c>
      <c r="N5639" t="s">
        <v>42</v>
      </c>
      <c r="P5639" s="23">
        <v>98.51</v>
      </c>
      <c r="Q5639" s="4">
        <f t="shared" si="87"/>
        <v>-5.0756268399147295</v>
      </c>
      <c r="R5639" s="23" t="s">
        <v>1198</v>
      </c>
      <c r="T5639" s="41" t="s">
        <v>8423</v>
      </c>
    </row>
    <row r="5640" spans="1:20" x14ac:dyDescent="0.25">
      <c r="A5640" s="21">
        <v>45814</v>
      </c>
      <c r="B5640" s="1" t="s">
        <v>4284</v>
      </c>
      <c r="C5640" t="s">
        <v>1221</v>
      </c>
      <c r="D5640" s="22">
        <v>-4.92</v>
      </c>
      <c r="E5640" t="s">
        <v>35</v>
      </c>
      <c r="F5640" s="2">
        <v>610148001</v>
      </c>
      <c r="G5640" s="2" t="s">
        <v>42</v>
      </c>
      <c r="L5640" s="2" t="s">
        <v>9940</v>
      </c>
      <c r="M5640" t="s">
        <v>43</v>
      </c>
      <c r="N5640" t="s">
        <v>42</v>
      </c>
      <c r="P5640" s="23">
        <v>98.51</v>
      </c>
      <c r="Q5640" s="4">
        <f t="shared" si="87"/>
        <v>-4.9944168104760933E-2</v>
      </c>
      <c r="R5640" s="23" t="s">
        <v>1198</v>
      </c>
      <c r="T5640" s="41" t="s">
        <v>8423</v>
      </c>
    </row>
    <row r="5641" spans="1:20" x14ac:dyDescent="0.25">
      <c r="A5641" s="21">
        <v>45814</v>
      </c>
      <c r="B5641" s="1" t="s">
        <v>4311</v>
      </c>
      <c r="C5641" t="s">
        <v>1221</v>
      </c>
      <c r="D5641" s="22">
        <v>-29.55</v>
      </c>
      <c r="E5641" t="s">
        <v>35</v>
      </c>
      <c r="F5641" s="2">
        <v>610148001</v>
      </c>
      <c r="G5641" s="2" t="s">
        <v>42</v>
      </c>
      <c r="L5641" s="2" t="s">
        <v>9941</v>
      </c>
      <c r="M5641" t="s">
        <v>43</v>
      </c>
      <c r="N5641" t="s">
        <v>42</v>
      </c>
      <c r="P5641" s="23">
        <v>98.51</v>
      </c>
      <c r="Q5641" s="4">
        <f t="shared" si="87"/>
        <v>-0.29996954623896049</v>
      </c>
      <c r="R5641" s="23" t="s">
        <v>1198</v>
      </c>
      <c r="T5641" s="41" t="s">
        <v>8423</v>
      </c>
    </row>
    <row r="5642" spans="1:20" x14ac:dyDescent="0.25">
      <c r="A5642" s="21">
        <v>45814</v>
      </c>
      <c r="B5642" s="1" t="s">
        <v>4219</v>
      </c>
      <c r="C5642" t="s">
        <v>1221</v>
      </c>
      <c r="D5642" s="22">
        <v>-6.54</v>
      </c>
      <c r="E5642" t="s">
        <v>35</v>
      </c>
      <c r="F5642" s="2">
        <v>610148001</v>
      </c>
      <c r="G5642" s="2" t="s">
        <v>42</v>
      </c>
      <c r="L5642" s="2" t="s">
        <v>9942</v>
      </c>
      <c r="M5642" t="s">
        <v>43</v>
      </c>
      <c r="N5642" t="s">
        <v>42</v>
      </c>
      <c r="P5642" s="23">
        <v>98.51</v>
      </c>
      <c r="Q5642" s="4">
        <f t="shared" si="87"/>
        <v>-6.6389199066084661E-2</v>
      </c>
      <c r="R5642" s="23" t="s">
        <v>1198</v>
      </c>
      <c r="T5642" s="41" t="s">
        <v>8423</v>
      </c>
    </row>
    <row r="5643" spans="1:20" x14ac:dyDescent="0.25">
      <c r="A5643" s="21">
        <v>45814</v>
      </c>
      <c r="B5643" s="1" t="s">
        <v>1223</v>
      </c>
      <c r="C5643" t="s">
        <v>1221</v>
      </c>
      <c r="D5643" s="22">
        <v>-500</v>
      </c>
      <c r="E5643" t="s">
        <v>35</v>
      </c>
      <c r="F5643" s="2">
        <v>610148001</v>
      </c>
      <c r="G5643" s="2" t="s">
        <v>42</v>
      </c>
      <c r="L5643" s="2" t="s">
        <v>9943</v>
      </c>
      <c r="M5643" t="s">
        <v>43</v>
      </c>
      <c r="N5643" t="s">
        <v>42</v>
      </c>
      <c r="P5643" s="23">
        <v>98.51</v>
      </c>
      <c r="Q5643" s="4">
        <f t="shared" ref="Q5643:Q5706" si="88">D5643/P5643</f>
        <v>-5.0756268399147295</v>
      </c>
      <c r="R5643" s="23" t="s">
        <v>1198</v>
      </c>
      <c r="T5643" s="41" t="s">
        <v>8423</v>
      </c>
    </row>
    <row r="5644" spans="1:20" x14ac:dyDescent="0.25">
      <c r="A5644" s="21">
        <v>45814</v>
      </c>
      <c r="B5644" s="1" t="s">
        <v>4240</v>
      </c>
      <c r="C5644" t="s">
        <v>1221</v>
      </c>
      <c r="D5644" s="22">
        <v>-4.92</v>
      </c>
      <c r="E5644" t="s">
        <v>35</v>
      </c>
      <c r="F5644" s="2">
        <v>610148001</v>
      </c>
      <c r="G5644" s="2" t="s">
        <v>42</v>
      </c>
      <c r="L5644" s="2" t="s">
        <v>9944</v>
      </c>
      <c r="M5644" t="s">
        <v>43</v>
      </c>
      <c r="N5644" t="s">
        <v>42</v>
      </c>
      <c r="P5644" s="23">
        <v>98.51</v>
      </c>
      <c r="Q5644" s="4">
        <f t="shared" si="88"/>
        <v>-4.9944168104760933E-2</v>
      </c>
      <c r="R5644" s="23" t="s">
        <v>1198</v>
      </c>
      <c r="T5644" s="41" t="s">
        <v>8423</v>
      </c>
    </row>
    <row r="5645" spans="1:20" x14ac:dyDescent="0.25">
      <c r="A5645" s="21">
        <v>45814</v>
      </c>
      <c r="B5645" s="1" t="s">
        <v>4334</v>
      </c>
      <c r="C5645" t="s">
        <v>1221</v>
      </c>
      <c r="D5645" s="22">
        <v>-151.61000000000001</v>
      </c>
      <c r="E5645" t="s">
        <v>35</v>
      </c>
      <c r="F5645" s="2">
        <v>610148001</v>
      </c>
      <c r="G5645" s="2" t="s">
        <v>42</v>
      </c>
      <c r="L5645" s="2" t="s">
        <v>9945</v>
      </c>
      <c r="M5645" t="s">
        <v>43</v>
      </c>
      <c r="N5645" t="s">
        <v>42</v>
      </c>
      <c r="P5645" s="23">
        <v>98.51</v>
      </c>
      <c r="Q5645" s="4">
        <f t="shared" si="88"/>
        <v>-1.5390315703989443</v>
      </c>
      <c r="R5645" s="23" t="s">
        <v>1198</v>
      </c>
      <c r="T5645" s="41" t="s">
        <v>8423</v>
      </c>
    </row>
    <row r="5646" spans="1:20" x14ac:dyDescent="0.25">
      <c r="A5646" s="21">
        <v>45814</v>
      </c>
      <c r="B5646" s="1" t="s">
        <v>3955</v>
      </c>
      <c r="C5646" t="s">
        <v>1221</v>
      </c>
      <c r="D5646" s="22">
        <v>-2.46</v>
      </c>
      <c r="E5646" t="s">
        <v>35</v>
      </c>
      <c r="F5646" s="2">
        <v>610148001</v>
      </c>
      <c r="G5646" s="2" t="s">
        <v>42</v>
      </c>
      <c r="L5646" s="2" t="s">
        <v>9946</v>
      </c>
      <c r="M5646" t="s">
        <v>43</v>
      </c>
      <c r="N5646" t="s">
        <v>42</v>
      </c>
      <c r="P5646" s="23">
        <v>98.51</v>
      </c>
      <c r="Q5646" s="4">
        <f t="shared" si="88"/>
        <v>-2.4972084052380467E-2</v>
      </c>
      <c r="R5646" s="23" t="s">
        <v>1198</v>
      </c>
      <c r="T5646" s="41" t="s">
        <v>8423</v>
      </c>
    </row>
    <row r="5647" spans="1:20" x14ac:dyDescent="0.25">
      <c r="A5647" s="21">
        <v>45814</v>
      </c>
      <c r="B5647" s="1" t="s">
        <v>3979</v>
      </c>
      <c r="C5647" t="s">
        <v>1221</v>
      </c>
      <c r="D5647" s="22">
        <v>-4.92</v>
      </c>
      <c r="E5647" t="s">
        <v>35</v>
      </c>
      <c r="F5647" s="2">
        <v>610148001</v>
      </c>
      <c r="G5647" s="2" t="s">
        <v>42</v>
      </c>
      <c r="L5647" s="2" t="s">
        <v>9947</v>
      </c>
      <c r="M5647" t="s">
        <v>43</v>
      </c>
      <c r="N5647" t="s">
        <v>42</v>
      </c>
      <c r="P5647" s="23">
        <v>98.51</v>
      </c>
      <c r="Q5647" s="4">
        <f t="shared" si="88"/>
        <v>-4.9944168104760933E-2</v>
      </c>
      <c r="R5647" s="23" t="s">
        <v>1198</v>
      </c>
      <c r="T5647" s="41" t="s">
        <v>8423</v>
      </c>
    </row>
    <row r="5648" spans="1:20" x14ac:dyDescent="0.25">
      <c r="A5648" s="21">
        <v>45814</v>
      </c>
      <c r="B5648" s="1" t="s">
        <v>4315</v>
      </c>
      <c r="C5648" t="s">
        <v>1221</v>
      </c>
      <c r="D5648" s="22">
        <v>-130.83000000000001</v>
      </c>
      <c r="E5648" t="s">
        <v>35</v>
      </c>
      <c r="F5648" s="2">
        <v>610148001</v>
      </c>
      <c r="G5648" s="2" t="s">
        <v>42</v>
      </c>
      <c r="L5648" s="2" t="s">
        <v>9948</v>
      </c>
      <c r="M5648" t="s">
        <v>43</v>
      </c>
      <c r="N5648" t="s">
        <v>42</v>
      </c>
      <c r="P5648" s="23">
        <v>98.51</v>
      </c>
      <c r="Q5648" s="4">
        <f t="shared" si="88"/>
        <v>-1.3280885189320881</v>
      </c>
      <c r="R5648" s="23" t="s">
        <v>1198</v>
      </c>
      <c r="T5648" s="41" t="s">
        <v>8423</v>
      </c>
    </row>
    <row r="5649" spans="1:20" x14ac:dyDescent="0.25">
      <c r="A5649" s="21">
        <v>45814</v>
      </c>
      <c r="B5649" s="1" t="s">
        <v>3973</v>
      </c>
      <c r="C5649" t="s">
        <v>1221</v>
      </c>
      <c r="D5649" s="22">
        <v>-36.94</v>
      </c>
      <c r="E5649" t="s">
        <v>35</v>
      </c>
      <c r="F5649" s="2">
        <v>610148001</v>
      </c>
      <c r="G5649" s="2" t="s">
        <v>42</v>
      </c>
      <c r="L5649" s="2" t="s">
        <v>9949</v>
      </c>
      <c r="M5649" t="s">
        <v>43</v>
      </c>
      <c r="N5649" t="s">
        <v>42</v>
      </c>
      <c r="P5649" s="23">
        <v>98.51</v>
      </c>
      <c r="Q5649" s="4">
        <f t="shared" si="88"/>
        <v>-0.37498731093290016</v>
      </c>
      <c r="R5649" s="23" t="s">
        <v>1198</v>
      </c>
      <c r="T5649" s="41" t="s">
        <v>8423</v>
      </c>
    </row>
    <row r="5650" spans="1:20" x14ac:dyDescent="0.25">
      <c r="A5650" s="21">
        <v>45814</v>
      </c>
      <c r="B5650" s="1" t="s">
        <v>4332</v>
      </c>
      <c r="C5650" t="s">
        <v>1221</v>
      </c>
      <c r="D5650" s="22">
        <v>-23.99</v>
      </c>
      <c r="E5650" t="s">
        <v>35</v>
      </c>
      <c r="F5650" s="2">
        <v>610148001</v>
      </c>
      <c r="G5650" s="2" t="s">
        <v>42</v>
      </c>
      <c r="L5650" s="2" t="s">
        <v>9950</v>
      </c>
      <c r="M5650" t="s">
        <v>43</v>
      </c>
      <c r="N5650" t="s">
        <v>42</v>
      </c>
      <c r="P5650" s="23">
        <v>98.51</v>
      </c>
      <c r="Q5650" s="4">
        <f t="shared" si="88"/>
        <v>-0.24352857577910869</v>
      </c>
      <c r="R5650" s="23" t="s">
        <v>1198</v>
      </c>
      <c r="T5650" s="41" t="s">
        <v>8423</v>
      </c>
    </row>
    <row r="5651" spans="1:20" x14ac:dyDescent="0.25">
      <c r="A5651" s="21">
        <v>45814</v>
      </c>
      <c r="B5651" s="1" t="s">
        <v>4221</v>
      </c>
      <c r="C5651" t="s">
        <v>1221</v>
      </c>
      <c r="D5651" s="22">
        <v>-30.48</v>
      </c>
      <c r="E5651" t="s">
        <v>35</v>
      </c>
      <c r="F5651" s="2">
        <v>610148001</v>
      </c>
      <c r="G5651" s="2" t="s">
        <v>42</v>
      </c>
      <c r="L5651" s="2" t="s">
        <v>9951</v>
      </c>
      <c r="M5651" t="s">
        <v>43</v>
      </c>
      <c r="N5651" t="s">
        <v>42</v>
      </c>
      <c r="P5651" s="23">
        <v>98.51</v>
      </c>
      <c r="Q5651" s="4">
        <f t="shared" si="88"/>
        <v>-0.3094102121612019</v>
      </c>
      <c r="R5651" s="23" t="s">
        <v>1198</v>
      </c>
      <c r="T5651" s="41" t="s">
        <v>8423</v>
      </c>
    </row>
    <row r="5652" spans="1:20" x14ac:dyDescent="0.25">
      <c r="A5652" s="21">
        <v>45814</v>
      </c>
      <c r="B5652" s="1" t="s">
        <v>4313</v>
      </c>
      <c r="C5652" t="s">
        <v>1221</v>
      </c>
      <c r="D5652" s="22">
        <v>-52.02</v>
      </c>
      <c r="E5652" t="s">
        <v>35</v>
      </c>
      <c r="F5652" s="2">
        <v>610148001</v>
      </c>
      <c r="G5652" s="2" t="s">
        <v>42</v>
      </c>
      <c r="L5652" s="2" t="s">
        <v>9952</v>
      </c>
      <c r="M5652" t="s">
        <v>43</v>
      </c>
      <c r="N5652" t="s">
        <v>42</v>
      </c>
      <c r="P5652" s="23">
        <v>98.51</v>
      </c>
      <c r="Q5652" s="4">
        <f t="shared" si="88"/>
        <v>-0.52806821642472845</v>
      </c>
      <c r="R5652" s="23" t="s">
        <v>1198</v>
      </c>
      <c r="T5652" s="41" t="s">
        <v>8423</v>
      </c>
    </row>
    <row r="5653" spans="1:20" x14ac:dyDescent="0.25">
      <c r="A5653" s="21">
        <v>45814</v>
      </c>
      <c r="B5653" s="1" t="s">
        <v>1223</v>
      </c>
      <c r="C5653" t="s">
        <v>1221</v>
      </c>
      <c r="D5653" s="22">
        <v>-500</v>
      </c>
      <c r="E5653" t="s">
        <v>35</v>
      </c>
      <c r="F5653" s="2">
        <v>610148001</v>
      </c>
      <c r="G5653" s="2" t="s">
        <v>42</v>
      </c>
      <c r="L5653" s="2" t="s">
        <v>9953</v>
      </c>
      <c r="M5653" t="s">
        <v>43</v>
      </c>
      <c r="N5653" t="s">
        <v>42</v>
      </c>
      <c r="P5653" s="23">
        <v>98.51</v>
      </c>
      <c r="Q5653" s="4">
        <f t="shared" si="88"/>
        <v>-5.0756268399147295</v>
      </c>
      <c r="R5653" s="23" t="s">
        <v>1198</v>
      </c>
      <c r="T5653" s="41" t="s">
        <v>8423</v>
      </c>
    </row>
    <row r="5654" spans="1:20" x14ac:dyDescent="0.25">
      <c r="A5654" s="21">
        <v>45814</v>
      </c>
      <c r="B5654" s="1" t="s">
        <v>1223</v>
      </c>
      <c r="C5654" t="s">
        <v>1221</v>
      </c>
      <c r="D5654" s="22">
        <v>-500</v>
      </c>
      <c r="E5654" t="s">
        <v>35</v>
      </c>
      <c r="F5654" s="2">
        <v>610148001</v>
      </c>
      <c r="G5654" s="2" t="s">
        <v>42</v>
      </c>
      <c r="L5654" s="2" t="s">
        <v>9954</v>
      </c>
      <c r="M5654" t="s">
        <v>43</v>
      </c>
      <c r="N5654" t="s">
        <v>42</v>
      </c>
      <c r="P5654" s="23">
        <v>98.51</v>
      </c>
      <c r="Q5654" s="4">
        <f t="shared" si="88"/>
        <v>-5.0756268399147295</v>
      </c>
      <c r="R5654" s="23" t="s">
        <v>1198</v>
      </c>
      <c r="T5654" s="41" t="s">
        <v>8423</v>
      </c>
    </row>
    <row r="5655" spans="1:20" x14ac:dyDescent="0.25">
      <c r="A5655" s="21">
        <v>45814</v>
      </c>
      <c r="B5655" s="1" t="s">
        <v>3979</v>
      </c>
      <c r="C5655" t="s">
        <v>1221</v>
      </c>
      <c r="D5655" s="22">
        <v>-4.92</v>
      </c>
      <c r="E5655" t="s">
        <v>35</v>
      </c>
      <c r="F5655" s="2">
        <v>610148001</v>
      </c>
      <c r="G5655" s="2" t="s">
        <v>42</v>
      </c>
      <c r="L5655" s="2" t="s">
        <v>9955</v>
      </c>
      <c r="M5655" t="s">
        <v>43</v>
      </c>
      <c r="N5655" t="s">
        <v>42</v>
      </c>
      <c r="P5655" s="23">
        <v>98.51</v>
      </c>
      <c r="Q5655" s="4">
        <f t="shared" si="88"/>
        <v>-4.9944168104760933E-2</v>
      </c>
      <c r="R5655" s="23" t="s">
        <v>1198</v>
      </c>
      <c r="T5655" s="41" t="s">
        <v>8423</v>
      </c>
    </row>
    <row r="5656" spans="1:20" x14ac:dyDescent="0.25">
      <c r="A5656" s="21">
        <v>45814</v>
      </c>
      <c r="B5656" s="1" t="s">
        <v>4309</v>
      </c>
      <c r="C5656" t="s">
        <v>1221</v>
      </c>
      <c r="D5656" s="22">
        <v>-4.92</v>
      </c>
      <c r="E5656" t="s">
        <v>35</v>
      </c>
      <c r="F5656" s="2">
        <v>610148001</v>
      </c>
      <c r="G5656" s="2" t="s">
        <v>42</v>
      </c>
      <c r="L5656" s="2" t="s">
        <v>9956</v>
      </c>
      <c r="M5656" t="s">
        <v>43</v>
      </c>
      <c r="N5656" t="s">
        <v>42</v>
      </c>
      <c r="P5656" s="23">
        <v>98.51</v>
      </c>
      <c r="Q5656" s="4">
        <f t="shared" si="88"/>
        <v>-4.9944168104760933E-2</v>
      </c>
      <c r="R5656" s="23" t="s">
        <v>1198</v>
      </c>
      <c r="T5656" s="41" t="s">
        <v>8423</v>
      </c>
    </row>
    <row r="5657" spans="1:20" x14ac:dyDescent="0.25">
      <c r="A5657" s="21">
        <v>45814</v>
      </c>
      <c r="B5657" s="1" t="s">
        <v>4242</v>
      </c>
      <c r="C5657" t="s">
        <v>1221</v>
      </c>
      <c r="D5657" s="22">
        <v>-26.59</v>
      </c>
      <c r="E5657" t="s">
        <v>35</v>
      </c>
      <c r="F5657" s="2">
        <v>610148001</v>
      </c>
      <c r="G5657" s="2" t="s">
        <v>42</v>
      </c>
      <c r="L5657" s="2" t="s">
        <v>9957</v>
      </c>
      <c r="M5657" t="s">
        <v>43</v>
      </c>
      <c r="N5657" t="s">
        <v>42</v>
      </c>
      <c r="P5657" s="23">
        <v>98.51</v>
      </c>
      <c r="Q5657" s="4">
        <f t="shared" si="88"/>
        <v>-0.26992183534666531</v>
      </c>
      <c r="R5657" s="23" t="s">
        <v>1198</v>
      </c>
      <c r="T5657" s="41" t="s">
        <v>8423</v>
      </c>
    </row>
    <row r="5658" spans="1:20" x14ac:dyDescent="0.25">
      <c r="A5658" s="21">
        <v>45814</v>
      </c>
      <c r="B5658" s="1" t="s">
        <v>4286</v>
      </c>
      <c r="C5658" t="s">
        <v>1221</v>
      </c>
      <c r="D5658" s="22">
        <v>-199.97</v>
      </c>
      <c r="E5658" t="s">
        <v>35</v>
      </c>
      <c r="F5658" s="2">
        <v>610148001</v>
      </c>
      <c r="G5658" s="2" t="s">
        <v>42</v>
      </c>
      <c r="L5658" s="2" t="s">
        <v>9958</v>
      </c>
      <c r="M5658" t="s">
        <v>43</v>
      </c>
      <c r="N5658" t="s">
        <v>42</v>
      </c>
      <c r="P5658" s="23">
        <v>98.51</v>
      </c>
      <c r="Q5658" s="4">
        <f t="shared" si="88"/>
        <v>-2.0299461983554967</v>
      </c>
      <c r="R5658" s="23" t="s">
        <v>1198</v>
      </c>
      <c r="T5658" s="41" t="s">
        <v>8423</v>
      </c>
    </row>
    <row r="5659" spans="1:20" x14ac:dyDescent="0.25">
      <c r="A5659" s="21">
        <v>45814</v>
      </c>
      <c r="B5659" s="1" t="s">
        <v>4225</v>
      </c>
      <c r="C5659" t="s">
        <v>1221</v>
      </c>
      <c r="D5659" s="22">
        <v>-278.01</v>
      </c>
      <c r="E5659" t="s">
        <v>35</v>
      </c>
      <c r="F5659" s="2">
        <v>610148001</v>
      </c>
      <c r="G5659" s="2" t="s">
        <v>42</v>
      </c>
      <c r="L5659" s="2" t="s">
        <v>9959</v>
      </c>
      <c r="M5659" t="s">
        <v>43</v>
      </c>
      <c r="N5659" t="s">
        <v>42</v>
      </c>
      <c r="P5659" s="23">
        <v>98.51</v>
      </c>
      <c r="Q5659" s="4">
        <f t="shared" si="88"/>
        <v>-2.8221500355293876</v>
      </c>
      <c r="R5659" s="23" t="s">
        <v>1198</v>
      </c>
      <c r="T5659" s="41" t="s">
        <v>8423</v>
      </c>
    </row>
    <row r="5660" spans="1:20" x14ac:dyDescent="0.25">
      <c r="A5660" s="21">
        <v>45814</v>
      </c>
      <c r="B5660" s="1" t="s">
        <v>1223</v>
      </c>
      <c r="C5660" t="s">
        <v>1221</v>
      </c>
      <c r="D5660" s="22">
        <v>-62.52</v>
      </c>
      <c r="E5660" t="s">
        <v>35</v>
      </c>
      <c r="F5660" s="2">
        <v>610148001</v>
      </c>
      <c r="G5660" s="2" t="s">
        <v>42</v>
      </c>
      <c r="L5660" s="2" t="s">
        <v>9960</v>
      </c>
      <c r="M5660" t="s">
        <v>43</v>
      </c>
      <c r="N5660" t="s">
        <v>42</v>
      </c>
      <c r="P5660" s="23">
        <v>98.51</v>
      </c>
      <c r="Q5660" s="4">
        <f t="shared" si="88"/>
        <v>-0.63465638006293779</v>
      </c>
      <c r="R5660" s="23" t="s">
        <v>1198</v>
      </c>
      <c r="T5660" s="41" t="s">
        <v>8423</v>
      </c>
    </row>
    <row r="5661" spans="1:20" x14ac:dyDescent="0.25">
      <c r="A5661" s="21">
        <v>45814</v>
      </c>
      <c r="B5661" s="1" t="s">
        <v>1223</v>
      </c>
      <c r="C5661" t="s">
        <v>1221</v>
      </c>
      <c r="D5661" s="22">
        <v>-500</v>
      </c>
      <c r="E5661" t="s">
        <v>35</v>
      </c>
      <c r="F5661" s="2">
        <v>610148001</v>
      </c>
      <c r="G5661" s="2" t="s">
        <v>42</v>
      </c>
      <c r="L5661" s="2" t="s">
        <v>9961</v>
      </c>
      <c r="M5661" t="s">
        <v>43</v>
      </c>
      <c r="N5661" t="s">
        <v>42</v>
      </c>
      <c r="P5661" s="23">
        <v>98.51</v>
      </c>
      <c r="Q5661" s="4">
        <f t="shared" si="88"/>
        <v>-5.0756268399147295</v>
      </c>
      <c r="R5661" s="23" t="s">
        <v>1198</v>
      </c>
      <c r="T5661" s="41" t="s">
        <v>8423</v>
      </c>
    </row>
    <row r="5662" spans="1:20" x14ac:dyDescent="0.25">
      <c r="A5662" s="21">
        <v>45814</v>
      </c>
      <c r="B5662" s="1" t="s">
        <v>4258</v>
      </c>
      <c r="C5662" t="s">
        <v>1221</v>
      </c>
      <c r="D5662" s="22">
        <v>-246.27</v>
      </c>
      <c r="E5662" t="s">
        <v>35</v>
      </c>
      <c r="F5662" s="2">
        <v>610148001</v>
      </c>
      <c r="G5662" s="2" t="s">
        <v>42</v>
      </c>
      <c r="L5662" s="2" t="s">
        <v>9962</v>
      </c>
      <c r="M5662" t="s">
        <v>43</v>
      </c>
      <c r="N5662" t="s">
        <v>42</v>
      </c>
      <c r="P5662" s="23">
        <v>98.51</v>
      </c>
      <c r="Q5662" s="4">
        <f t="shared" si="88"/>
        <v>-2.4999492437316007</v>
      </c>
      <c r="R5662" s="23" t="s">
        <v>1198</v>
      </c>
      <c r="T5662" s="41" t="s">
        <v>8423</v>
      </c>
    </row>
    <row r="5663" spans="1:20" x14ac:dyDescent="0.25">
      <c r="A5663" s="21">
        <v>45814</v>
      </c>
      <c r="B5663" s="1" t="s">
        <v>1223</v>
      </c>
      <c r="C5663" t="s">
        <v>1221</v>
      </c>
      <c r="D5663" s="22">
        <v>-4.92</v>
      </c>
      <c r="E5663" t="s">
        <v>35</v>
      </c>
      <c r="F5663" s="2">
        <v>610148001</v>
      </c>
      <c r="G5663" s="2" t="s">
        <v>42</v>
      </c>
      <c r="L5663" s="2" t="s">
        <v>9963</v>
      </c>
      <c r="M5663" t="s">
        <v>43</v>
      </c>
      <c r="N5663" t="s">
        <v>42</v>
      </c>
      <c r="P5663" s="23">
        <v>98.51</v>
      </c>
      <c r="Q5663" s="4">
        <f t="shared" si="88"/>
        <v>-4.9944168104760933E-2</v>
      </c>
      <c r="R5663" s="23" t="s">
        <v>1198</v>
      </c>
      <c r="T5663" s="41" t="s">
        <v>8423</v>
      </c>
    </row>
    <row r="5664" spans="1:20" x14ac:dyDescent="0.25">
      <c r="A5664" s="21">
        <v>45817</v>
      </c>
      <c r="B5664" s="1" t="s">
        <v>9964</v>
      </c>
      <c r="C5664" t="s">
        <v>544</v>
      </c>
      <c r="D5664" s="22">
        <v>750000</v>
      </c>
      <c r="E5664" t="s">
        <v>46</v>
      </c>
      <c r="F5664" s="2">
        <v>210115002</v>
      </c>
      <c r="G5664" s="2" t="s">
        <v>47</v>
      </c>
      <c r="L5664" s="2" t="s">
        <v>9965</v>
      </c>
      <c r="N5664" t="s">
        <v>544</v>
      </c>
      <c r="P5664" s="23">
        <v>99.09</v>
      </c>
      <c r="Q5664" s="4">
        <f t="shared" si="88"/>
        <v>7568.8767786860426</v>
      </c>
      <c r="R5664" s="23" t="s">
        <v>1198</v>
      </c>
      <c r="T5664" s="2"/>
    </row>
    <row r="5665" spans="1:20" x14ac:dyDescent="0.25">
      <c r="A5665" s="21">
        <v>45817</v>
      </c>
      <c r="B5665" s="1" t="s">
        <v>3952</v>
      </c>
      <c r="C5665" t="s">
        <v>9966</v>
      </c>
      <c r="D5665" s="22">
        <v>-3494.31</v>
      </c>
      <c r="E5665" t="s">
        <v>35</v>
      </c>
      <c r="F5665" s="2">
        <v>210101001</v>
      </c>
      <c r="G5665" s="2" t="s">
        <v>36</v>
      </c>
      <c r="L5665" s="2" t="s">
        <v>9967</v>
      </c>
      <c r="M5665" t="s">
        <v>1600</v>
      </c>
      <c r="N5665" t="s">
        <v>1601</v>
      </c>
      <c r="P5665" s="23">
        <v>99.09</v>
      </c>
      <c r="Q5665" s="4">
        <f t="shared" si="88"/>
        <v>-35.264002422040569</v>
      </c>
      <c r="R5665" s="23" t="s">
        <v>1198</v>
      </c>
      <c r="T5665" s="2"/>
    </row>
    <row r="5666" spans="1:20" x14ac:dyDescent="0.25">
      <c r="A5666" s="21">
        <v>45817</v>
      </c>
      <c r="B5666" s="1" t="s">
        <v>2571</v>
      </c>
      <c r="C5666" t="s">
        <v>9968</v>
      </c>
      <c r="D5666" s="22">
        <v>-13815.6</v>
      </c>
      <c r="E5666" t="s">
        <v>35</v>
      </c>
      <c r="F5666" s="2">
        <v>210101001</v>
      </c>
      <c r="G5666" s="2" t="s">
        <v>36</v>
      </c>
      <c r="L5666" s="2" t="s">
        <v>9969</v>
      </c>
      <c r="M5666" t="s">
        <v>788</v>
      </c>
      <c r="N5666" t="s">
        <v>789</v>
      </c>
      <c r="P5666" s="23">
        <v>99.09</v>
      </c>
      <c r="Q5666" s="4">
        <f t="shared" si="88"/>
        <v>-139.42476536481985</v>
      </c>
      <c r="R5666" s="23" t="s">
        <v>1198</v>
      </c>
      <c r="T5666" s="2"/>
    </row>
    <row r="5667" spans="1:20" x14ac:dyDescent="0.25">
      <c r="A5667" s="21">
        <v>45817</v>
      </c>
      <c r="B5667" s="1" t="s">
        <v>2573</v>
      </c>
      <c r="C5667" t="s">
        <v>9970</v>
      </c>
      <c r="D5667" s="22">
        <v>-42926.48</v>
      </c>
      <c r="E5667" t="s">
        <v>35</v>
      </c>
      <c r="F5667" s="2">
        <v>210101001</v>
      </c>
      <c r="G5667" s="2" t="s">
        <v>36</v>
      </c>
      <c r="L5667" s="2" t="s">
        <v>9971</v>
      </c>
      <c r="M5667" t="s">
        <v>1376</v>
      </c>
      <c r="N5667" t="s">
        <v>1377</v>
      </c>
      <c r="P5667" s="23">
        <v>99.09</v>
      </c>
      <c r="Q5667" s="4">
        <f t="shared" si="88"/>
        <v>-433.20698355030783</v>
      </c>
      <c r="R5667" s="23" t="s">
        <v>1198</v>
      </c>
      <c r="T5667" s="2"/>
    </row>
    <row r="5668" spans="1:20" x14ac:dyDescent="0.25">
      <c r="A5668" s="21">
        <v>45817</v>
      </c>
      <c r="B5668" s="1" t="s">
        <v>3924</v>
      </c>
      <c r="C5668" t="s">
        <v>9972</v>
      </c>
      <c r="D5668" s="43">
        <v>-10345</v>
      </c>
      <c r="E5668" t="s">
        <v>35</v>
      </c>
      <c r="F5668" s="2">
        <v>110114001</v>
      </c>
      <c r="G5668" s="2" t="s">
        <v>301</v>
      </c>
      <c r="L5668" s="2" t="s">
        <v>9973</v>
      </c>
      <c r="N5668" t="s">
        <v>2551</v>
      </c>
      <c r="P5668" s="23">
        <v>99.09</v>
      </c>
      <c r="Q5668" s="4">
        <f t="shared" si="88"/>
        <v>-104.40004036734281</v>
      </c>
      <c r="R5668" s="23" t="s">
        <v>1198</v>
      </c>
      <c r="T5668" s="2"/>
    </row>
    <row r="5669" spans="1:20" ht="15.75" x14ac:dyDescent="0.25">
      <c r="A5669" s="21">
        <v>45817</v>
      </c>
      <c r="B5669" s="1" t="s">
        <v>1217</v>
      </c>
      <c r="C5669" t="s">
        <v>9974</v>
      </c>
      <c r="D5669" s="22">
        <v>-103053.6</v>
      </c>
      <c r="E5669" t="s">
        <v>35</v>
      </c>
      <c r="F5669" s="2">
        <v>110114001</v>
      </c>
      <c r="G5669" s="2" t="s">
        <v>301</v>
      </c>
      <c r="L5669" s="2" t="s">
        <v>9975</v>
      </c>
      <c r="M5669" t="s">
        <v>714</v>
      </c>
      <c r="N5669" t="s">
        <v>715</v>
      </c>
      <c r="P5669" s="23">
        <v>99.09</v>
      </c>
      <c r="Q5669" s="4">
        <f t="shared" si="88"/>
        <v>-1040</v>
      </c>
      <c r="R5669" s="23" t="s">
        <v>1198</v>
      </c>
      <c r="S5669" s="36" t="s">
        <v>5309</v>
      </c>
      <c r="T5669" s="2"/>
    </row>
    <row r="5670" spans="1:20" x14ac:dyDescent="0.25">
      <c r="A5670" s="21">
        <v>45817</v>
      </c>
      <c r="B5670" s="1" t="s">
        <v>1208</v>
      </c>
      <c r="C5670" t="s">
        <v>9976</v>
      </c>
      <c r="D5670" s="22">
        <v>-200000</v>
      </c>
      <c r="E5670" t="s">
        <v>35</v>
      </c>
      <c r="F5670" s="2">
        <v>210101001</v>
      </c>
      <c r="G5670" s="2" t="s">
        <v>36</v>
      </c>
      <c r="L5670" s="2" t="s">
        <v>9977</v>
      </c>
      <c r="M5670" t="s">
        <v>2912</v>
      </c>
      <c r="N5670" t="s">
        <v>2913</v>
      </c>
      <c r="P5670" s="23">
        <v>99.09</v>
      </c>
      <c r="Q5670" s="4">
        <f t="shared" si="88"/>
        <v>-2018.3671409829446</v>
      </c>
      <c r="R5670" s="23" t="s">
        <v>1198</v>
      </c>
      <c r="T5670" s="2"/>
    </row>
    <row r="5671" spans="1:20" x14ac:dyDescent="0.25">
      <c r="A5671" s="21">
        <v>45817</v>
      </c>
      <c r="B5671" s="1" t="s">
        <v>1211</v>
      </c>
      <c r="C5671" t="s">
        <v>9976</v>
      </c>
      <c r="D5671" s="22">
        <v>-200000</v>
      </c>
      <c r="E5671" t="s">
        <v>35</v>
      </c>
      <c r="F5671" s="2">
        <v>210101001</v>
      </c>
      <c r="G5671" s="2" t="s">
        <v>36</v>
      </c>
      <c r="L5671" s="2" t="s">
        <v>9978</v>
      </c>
      <c r="M5671" t="s">
        <v>2912</v>
      </c>
      <c r="N5671" t="s">
        <v>2913</v>
      </c>
      <c r="P5671" s="23">
        <v>99.09</v>
      </c>
      <c r="Q5671" s="4">
        <f t="shared" si="88"/>
        <v>-2018.3671409829446</v>
      </c>
      <c r="R5671" s="23" t="s">
        <v>1198</v>
      </c>
      <c r="T5671" s="2"/>
    </row>
    <row r="5672" spans="1:20" x14ac:dyDescent="0.25">
      <c r="A5672" s="21">
        <v>45817</v>
      </c>
      <c r="B5672" s="1" t="s">
        <v>3930</v>
      </c>
      <c r="C5672" t="s">
        <v>9979</v>
      </c>
      <c r="D5672" s="22">
        <v>-18691.349999999999</v>
      </c>
      <c r="E5672" t="s">
        <v>35</v>
      </c>
      <c r="F5672" s="2">
        <v>210101001</v>
      </c>
      <c r="G5672" s="2" t="s">
        <v>36</v>
      </c>
      <c r="L5672" s="2" t="s">
        <v>9980</v>
      </c>
      <c r="M5672" t="s">
        <v>2912</v>
      </c>
      <c r="N5672" t="s">
        <v>2913</v>
      </c>
      <c r="P5672" s="23">
        <v>99.09</v>
      </c>
      <c r="Q5672" s="4">
        <f t="shared" si="88"/>
        <v>-188.63003330305781</v>
      </c>
      <c r="R5672" s="23" t="s">
        <v>1198</v>
      </c>
      <c r="T5672" s="2"/>
    </row>
    <row r="5673" spans="1:20" x14ac:dyDescent="0.25">
      <c r="A5673" s="21">
        <v>45817</v>
      </c>
      <c r="B5673" s="1" t="s">
        <v>1214</v>
      </c>
      <c r="C5673" t="s">
        <v>9976</v>
      </c>
      <c r="D5673" s="22">
        <v>-184492.27</v>
      </c>
      <c r="E5673" t="s">
        <v>35</v>
      </c>
      <c r="F5673" s="2">
        <v>210101001</v>
      </c>
      <c r="G5673" s="2" t="s">
        <v>36</v>
      </c>
      <c r="L5673" s="2" t="s">
        <v>9981</v>
      </c>
      <c r="M5673" t="s">
        <v>2912</v>
      </c>
      <c r="N5673" t="s">
        <v>2913</v>
      </c>
      <c r="P5673" s="23">
        <v>99.09</v>
      </c>
      <c r="Q5673" s="4">
        <f t="shared" si="88"/>
        <v>-1861.8656776667674</v>
      </c>
      <c r="R5673" s="23" t="s">
        <v>1198</v>
      </c>
      <c r="T5673" s="2"/>
    </row>
    <row r="5674" spans="1:20" x14ac:dyDescent="0.25">
      <c r="A5674" s="21">
        <v>45817</v>
      </c>
      <c r="B5674" s="1" t="s">
        <v>2585</v>
      </c>
      <c r="C5674" t="s">
        <v>1221</v>
      </c>
      <c r="D5674" s="22">
        <v>-34.53</v>
      </c>
      <c r="E5674" t="s">
        <v>35</v>
      </c>
      <c r="F5674" s="2">
        <v>610148001</v>
      </c>
      <c r="G5674" s="2" t="s">
        <v>42</v>
      </c>
      <c r="L5674" s="2" t="s">
        <v>9982</v>
      </c>
      <c r="M5674" t="s">
        <v>43</v>
      </c>
      <c r="N5674" t="s">
        <v>42</v>
      </c>
      <c r="P5674" s="23">
        <v>99.09</v>
      </c>
      <c r="Q5674" s="4">
        <f t="shared" si="88"/>
        <v>-0.34847108689070544</v>
      </c>
      <c r="R5674" s="23" t="s">
        <v>1198</v>
      </c>
      <c r="T5674" s="41" t="s">
        <v>8423</v>
      </c>
    </row>
    <row r="5675" spans="1:20" x14ac:dyDescent="0.25">
      <c r="A5675" s="21">
        <v>45817</v>
      </c>
      <c r="B5675" s="1" t="s">
        <v>3958</v>
      </c>
      <c r="C5675" t="s">
        <v>1221</v>
      </c>
      <c r="D5675" s="22">
        <v>-8.73</v>
      </c>
      <c r="E5675" t="s">
        <v>35</v>
      </c>
      <c r="F5675" s="2">
        <v>610148001</v>
      </c>
      <c r="G5675" s="2" t="s">
        <v>42</v>
      </c>
      <c r="L5675" s="2" t="s">
        <v>9983</v>
      </c>
      <c r="M5675" t="s">
        <v>43</v>
      </c>
      <c r="N5675" t="s">
        <v>42</v>
      </c>
      <c r="P5675" s="23">
        <v>99.09</v>
      </c>
      <c r="Q5675" s="4">
        <f t="shared" si="88"/>
        <v>-8.8101725703905537E-2</v>
      </c>
      <c r="R5675" s="23" t="s">
        <v>1198</v>
      </c>
      <c r="T5675" s="41" t="s">
        <v>8423</v>
      </c>
    </row>
    <row r="5676" spans="1:20" x14ac:dyDescent="0.25">
      <c r="A5676" s="21">
        <v>45817</v>
      </c>
      <c r="B5676" s="1" t="s">
        <v>1225</v>
      </c>
      <c r="C5676" t="s">
        <v>1221</v>
      </c>
      <c r="D5676" s="22">
        <v>-461.23</v>
      </c>
      <c r="E5676" t="s">
        <v>35</v>
      </c>
      <c r="F5676" s="2">
        <v>610148001</v>
      </c>
      <c r="G5676" s="2" t="s">
        <v>42</v>
      </c>
      <c r="L5676" s="2" t="s">
        <v>9984</v>
      </c>
      <c r="M5676" t="s">
        <v>43</v>
      </c>
      <c r="N5676" t="s">
        <v>42</v>
      </c>
      <c r="P5676" s="23">
        <v>99.09</v>
      </c>
      <c r="Q5676" s="4">
        <f t="shared" si="88"/>
        <v>-4.6546573821778185</v>
      </c>
      <c r="R5676" s="23" t="s">
        <v>1198</v>
      </c>
      <c r="T5676" s="41" t="s">
        <v>8423</v>
      </c>
    </row>
    <row r="5677" spans="1:20" x14ac:dyDescent="0.25">
      <c r="A5677" s="21">
        <v>45817</v>
      </c>
      <c r="B5677" s="1" t="s">
        <v>1220</v>
      </c>
      <c r="C5677" t="s">
        <v>1221</v>
      </c>
      <c r="D5677" s="22">
        <v>-257.63</v>
      </c>
      <c r="E5677" t="s">
        <v>35</v>
      </c>
      <c r="F5677" s="2">
        <v>610148001</v>
      </c>
      <c r="G5677" s="2" t="s">
        <v>42</v>
      </c>
      <c r="L5677" s="2" t="s">
        <v>9985</v>
      </c>
      <c r="M5677" t="s">
        <v>43</v>
      </c>
      <c r="N5677" t="s">
        <v>42</v>
      </c>
      <c r="P5677" s="23">
        <v>99.09</v>
      </c>
      <c r="Q5677" s="4">
        <f t="shared" si="88"/>
        <v>-2.5999596326571801</v>
      </c>
      <c r="R5677" s="23" t="s">
        <v>1198</v>
      </c>
      <c r="T5677" s="41" t="s">
        <v>8423</v>
      </c>
    </row>
    <row r="5678" spans="1:20" x14ac:dyDescent="0.25">
      <c r="A5678" s="21">
        <v>45817</v>
      </c>
      <c r="B5678" s="1" t="s">
        <v>3969</v>
      </c>
      <c r="C5678" t="s">
        <v>1221</v>
      </c>
      <c r="D5678" s="22">
        <v>-46.72</v>
      </c>
      <c r="E5678" t="s">
        <v>35</v>
      </c>
      <c r="F5678" s="2">
        <v>610148001</v>
      </c>
      <c r="G5678" s="2" t="s">
        <v>42</v>
      </c>
      <c r="L5678" s="2" t="s">
        <v>9986</v>
      </c>
      <c r="M5678" t="s">
        <v>43</v>
      </c>
      <c r="N5678" t="s">
        <v>42</v>
      </c>
      <c r="P5678" s="23">
        <v>99.09</v>
      </c>
      <c r="Q5678" s="4">
        <f t="shared" si="88"/>
        <v>-0.4714905641336159</v>
      </c>
      <c r="R5678" s="23" t="s">
        <v>1198</v>
      </c>
      <c r="T5678" s="41" t="s">
        <v>8423</v>
      </c>
    </row>
    <row r="5679" spans="1:20" x14ac:dyDescent="0.25">
      <c r="A5679" s="21">
        <v>45817</v>
      </c>
      <c r="B5679" s="1" t="s">
        <v>1223</v>
      </c>
      <c r="C5679" t="s">
        <v>1221</v>
      </c>
      <c r="D5679" s="22">
        <v>-500</v>
      </c>
      <c r="E5679" t="s">
        <v>35</v>
      </c>
      <c r="F5679" s="2">
        <v>610148001</v>
      </c>
      <c r="G5679" s="2" t="s">
        <v>42</v>
      </c>
      <c r="L5679" s="2" t="s">
        <v>9987</v>
      </c>
      <c r="M5679" t="s">
        <v>43</v>
      </c>
      <c r="N5679" t="s">
        <v>42</v>
      </c>
      <c r="P5679" s="23">
        <v>99.09</v>
      </c>
      <c r="Q5679" s="4">
        <f t="shared" si="88"/>
        <v>-5.0459178524573618</v>
      </c>
      <c r="R5679" s="23" t="s">
        <v>1198</v>
      </c>
      <c r="T5679" s="41" t="s">
        <v>8423</v>
      </c>
    </row>
    <row r="5680" spans="1:20" x14ac:dyDescent="0.25">
      <c r="A5680" s="21">
        <v>45817</v>
      </c>
      <c r="B5680" s="1" t="s">
        <v>1227</v>
      </c>
      <c r="C5680" t="s">
        <v>1221</v>
      </c>
      <c r="D5680" s="22">
        <v>-500</v>
      </c>
      <c r="E5680" t="s">
        <v>35</v>
      </c>
      <c r="F5680" s="2">
        <v>610148001</v>
      </c>
      <c r="G5680" s="2" t="s">
        <v>42</v>
      </c>
      <c r="L5680" s="2" t="s">
        <v>9988</v>
      </c>
      <c r="M5680" t="s">
        <v>43</v>
      </c>
      <c r="N5680" t="s">
        <v>42</v>
      </c>
      <c r="P5680" s="23">
        <v>99.09</v>
      </c>
      <c r="Q5680" s="4">
        <f t="shared" si="88"/>
        <v>-5.0459178524573618</v>
      </c>
      <c r="R5680" s="23" t="s">
        <v>1198</v>
      </c>
      <c r="T5680" s="41" t="s">
        <v>8423</v>
      </c>
    </row>
    <row r="5681" spans="1:20" x14ac:dyDescent="0.25">
      <c r="A5681" s="21">
        <v>45817</v>
      </c>
      <c r="B5681" s="1" t="s">
        <v>3965</v>
      </c>
      <c r="C5681" t="s">
        <v>1221</v>
      </c>
      <c r="D5681" s="22">
        <v>-25.86</v>
      </c>
      <c r="E5681" t="s">
        <v>35</v>
      </c>
      <c r="F5681" s="2">
        <v>610148001</v>
      </c>
      <c r="G5681" s="2" t="s">
        <v>42</v>
      </c>
      <c r="L5681" s="2" t="s">
        <v>9989</v>
      </c>
      <c r="M5681" t="s">
        <v>43</v>
      </c>
      <c r="N5681" t="s">
        <v>42</v>
      </c>
      <c r="P5681" s="23">
        <v>99.09</v>
      </c>
      <c r="Q5681" s="4">
        <f t="shared" si="88"/>
        <v>-0.26097487132909475</v>
      </c>
      <c r="R5681" s="23" t="s">
        <v>1198</v>
      </c>
      <c r="T5681" s="41" t="s">
        <v>8423</v>
      </c>
    </row>
    <row r="5682" spans="1:20" x14ac:dyDescent="0.25">
      <c r="A5682" s="21">
        <v>45817</v>
      </c>
      <c r="B5682" s="1" t="s">
        <v>2582</v>
      </c>
      <c r="C5682" t="s">
        <v>1221</v>
      </c>
      <c r="D5682" s="22">
        <v>-107.31</v>
      </c>
      <c r="E5682" t="s">
        <v>35</v>
      </c>
      <c r="F5682" s="2">
        <v>610148001</v>
      </c>
      <c r="G5682" s="2" t="s">
        <v>42</v>
      </c>
      <c r="L5682" s="2" t="s">
        <v>9990</v>
      </c>
      <c r="M5682" t="s">
        <v>43</v>
      </c>
      <c r="N5682" t="s">
        <v>42</v>
      </c>
      <c r="P5682" s="23">
        <v>99.09</v>
      </c>
      <c r="Q5682" s="4">
        <f t="shared" si="88"/>
        <v>-1.082954889494399</v>
      </c>
      <c r="R5682" s="23" t="s">
        <v>1198</v>
      </c>
      <c r="T5682" s="41" t="s">
        <v>8423</v>
      </c>
    </row>
    <row r="5683" spans="1:20" x14ac:dyDescent="0.25">
      <c r="A5683" s="21">
        <v>45819</v>
      </c>
      <c r="B5683" s="1" t="s">
        <v>9991</v>
      </c>
      <c r="C5683" t="s">
        <v>544</v>
      </c>
      <c r="D5683" s="22">
        <v>3700000</v>
      </c>
      <c r="E5683" t="s">
        <v>46</v>
      </c>
      <c r="F5683" s="2">
        <v>210115002</v>
      </c>
      <c r="G5683" s="2" t="s">
        <v>47</v>
      </c>
      <c r="L5683" s="2" t="s">
        <v>9992</v>
      </c>
      <c r="N5683" t="s">
        <v>544</v>
      </c>
      <c r="P5683" s="23">
        <v>99.7</v>
      </c>
      <c r="Q5683" s="4">
        <f t="shared" si="88"/>
        <v>37111.33400200602</v>
      </c>
      <c r="R5683" s="23" t="s">
        <v>1198</v>
      </c>
      <c r="T5683" s="2"/>
    </row>
    <row r="5684" spans="1:20" x14ac:dyDescent="0.25">
      <c r="A5684" s="21">
        <v>45819</v>
      </c>
      <c r="B5684" s="1" t="s">
        <v>1217</v>
      </c>
      <c r="C5684" t="s">
        <v>9743</v>
      </c>
      <c r="D5684" s="22">
        <v>-200000</v>
      </c>
      <c r="E5684" t="s">
        <v>35</v>
      </c>
      <c r="F5684" s="2">
        <v>210101001</v>
      </c>
      <c r="G5684" s="2" t="s">
        <v>36</v>
      </c>
      <c r="L5684" s="2" t="s">
        <v>9993</v>
      </c>
      <c r="M5684" t="s">
        <v>38</v>
      </c>
      <c r="N5684" t="s">
        <v>39</v>
      </c>
      <c r="P5684" s="23">
        <v>99.7</v>
      </c>
      <c r="Q5684" s="4">
        <f t="shared" si="88"/>
        <v>-2006.0180541624875</v>
      </c>
      <c r="R5684" s="23" t="s">
        <v>1198</v>
      </c>
      <c r="T5684" s="2"/>
    </row>
    <row r="5685" spans="1:20" x14ac:dyDescent="0.25">
      <c r="A5685" s="21">
        <v>45819</v>
      </c>
      <c r="B5685" s="1" t="s">
        <v>1208</v>
      </c>
      <c r="C5685" t="s">
        <v>9743</v>
      </c>
      <c r="D5685" s="22">
        <v>-200000</v>
      </c>
      <c r="E5685" t="s">
        <v>35</v>
      </c>
      <c r="F5685" s="2">
        <v>210101001</v>
      </c>
      <c r="G5685" s="2" t="s">
        <v>36</v>
      </c>
      <c r="L5685" s="2" t="s">
        <v>9994</v>
      </c>
      <c r="M5685" t="s">
        <v>38</v>
      </c>
      <c r="N5685" t="s">
        <v>39</v>
      </c>
      <c r="P5685" s="23">
        <v>99.7</v>
      </c>
      <c r="Q5685" s="4">
        <f t="shared" si="88"/>
        <v>-2006.0180541624875</v>
      </c>
      <c r="R5685" s="23" t="s">
        <v>1198</v>
      </c>
      <c r="T5685" s="2"/>
    </row>
    <row r="5686" spans="1:20" x14ac:dyDescent="0.25">
      <c r="A5686" s="21">
        <v>45819</v>
      </c>
      <c r="B5686" s="1" t="s">
        <v>1217</v>
      </c>
      <c r="C5686" t="s">
        <v>9995</v>
      </c>
      <c r="D5686" s="22">
        <v>-200000</v>
      </c>
      <c r="E5686" t="s">
        <v>35</v>
      </c>
      <c r="F5686" s="2">
        <v>210101001</v>
      </c>
      <c r="G5686" s="2" t="s">
        <v>36</v>
      </c>
      <c r="L5686" s="2" t="s">
        <v>9996</v>
      </c>
      <c r="M5686" t="s">
        <v>38</v>
      </c>
      <c r="N5686" t="s">
        <v>39</v>
      </c>
      <c r="P5686" s="23">
        <v>99.7</v>
      </c>
      <c r="Q5686" s="4">
        <f t="shared" si="88"/>
        <v>-2006.0180541624875</v>
      </c>
      <c r="R5686" s="23" t="s">
        <v>1198</v>
      </c>
      <c r="T5686" s="2"/>
    </row>
    <row r="5687" spans="1:20" x14ac:dyDescent="0.25">
      <c r="A5687" s="21">
        <v>45819</v>
      </c>
      <c r="B5687" s="1" t="s">
        <v>1217</v>
      </c>
      <c r="C5687" t="s">
        <v>9995</v>
      </c>
      <c r="D5687" s="22">
        <v>-200000</v>
      </c>
      <c r="E5687" t="s">
        <v>35</v>
      </c>
      <c r="F5687" s="2">
        <v>210101001</v>
      </c>
      <c r="G5687" s="2" t="s">
        <v>36</v>
      </c>
      <c r="L5687" s="2" t="s">
        <v>9997</v>
      </c>
      <c r="M5687" t="s">
        <v>38</v>
      </c>
      <c r="N5687" t="s">
        <v>39</v>
      </c>
      <c r="P5687" s="23">
        <v>99.7</v>
      </c>
      <c r="Q5687" s="4">
        <f t="shared" si="88"/>
        <v>-2006.0180541624875</v>
      </c>
      <c r="R5687" s="23" t="s">
        <v>1198</v>
      </c>
      <c r="T5687" s="2"/>
    </row>
    <row r="5688" spans="1:20" x14ac:dyDescent="0.25">
      <c r="A5688" s="21">
        <v>45819</v>
      </c>
      <c r="B5688" s="1" t="s">
        <v>4088</v>
      </c>
      <c r="C5688" t="s">
        <v>9998</v>
      </c>
      <c r="D5688" s="43">
        <v>-200000</v>
      </c>
      <c r="E5688" t="s">
        <v>35</v>
      </c>
      <c r="F5688" s="2">
        <v>110114001</v>
      </c>
      <c r="G5688" s="2" t="s">
        <v>301</v>
      </c>
      <c r="L5688" s="2" t="s">
        <v>9999</v>
      </c>
      <c r="N5688" t="s">
        <v>2551</v>
      </c>
      <c r="P5688" s="23">
        <v>99.7</v>
      </c>
      <c r="Q5688" s="4">
        <f t="shared" si="88"/>
        <v>-2006.0180541624875</v>
      </c>
      <c r="R5688" s="23" t="s">
        <v>1198</v>
      </c>
      <c r="T5688" s="2"/>
    </row>
    <row r="5689" spans="1:20" x14ac:dyDescent="0.25">
      <c r="A5689" s="21">
        <v>45819</v>
      </c>
      <c r="B5689" s="1" t="s">
        <v>1217</v>
      </c>
      <c r="C5689" t="s">
        <v>9998</v>
      </c>
      <c r="D5689" s="43">
        <v>-200000</v>
      </c>
      <c r="E5689" t="s">
        <v>35</v>
      </c>
      <c r="F5689" s="2">
        <v>110114001</v>
      </c>
      <c r="G5689" s="2" t="s">
        <v>301</v>
      </c>
      <c r="L5689" s="2" t="s">
        <v>10000</v>
      </c>
      <c r="N5689" t="s">
        <v>2551</v>
      </c>
      <c r="P5689" s="23">
        <v>99.7</v>
      </c>
      <c r="Q5689" s="4">
        <f t="shared" si="88"/>
        <v>-2006.0180541624875</v>
      </c>
      <c r="R5689" s="23" t="s">
        <v>1198</v>
      </c>
      <c r="T5689" s="2"/>
    </row>
    <row r="5690" spans="1:20" x14ac:dyDescent="0.25">
      <c r="A5690" s="21">
        <v>45819</v>
      </c>
      <c r="B5690" s="1" t="s">
        <v>1217</v>
      </c>
      <c r="C5690" t="s">
        <v>9998</v>
      </c>
      <c r="D5690" s="43">
        <v>-200000</v>
      </c>
      <c r="E5690" t="s">
        <v>35</v>
      </c>
      <c r="F5690" s="2">
        <v>110114001</v>
      </c>
      <c r="G5690" s="2" t="s">
        <v>301</v>
      </c>
      <c r="L5690" s="2" t="s">
        <v>10001</v>
      </c>
      <c r="N5690" t="s">
        <v>2551</v>
      </c>
      <c r="P5690" s="23">
        <v>99.7</v>
      </c>
      <c r="Q5690" s="4">
        <f t="shared" si="88"/>
        <v>-2006.0180541624875</v>
      </c>
      <c r="R5690" s="23" t="s">
        <v>1198</v>
      </c>
      <c r="T5690" s="2"/>
    </row>
    <row r="5691" spans="1:20" x14ac:dyDescent="0.25">
      <c r="A5691" s="21">
        <v>45819</v>
      </c>
      <c r="B5691" s="1" t="s">
        <v>1217</v>
      </c>
      <c r="C5691" t="s">
        <v>9998</v>
      </c>
      <c r="D5691" s="43">
        <v>-200000</v>
      </c>
      <c r="E5691" t="s">
        <v>35</v>
      </c>
      <c r="F5691" s="2">
        <v>110114001</v>
      </c>
      <c r="G5691" s="2" t="s">
        <v>301</v>
      </c>
      <c r="L5691" s="2" t="s">
        <v>10002</v>
      </c>
      <c r="N5691" t="s">
        <v>2551</v>
      </c>
      <c r="P5691" s="23">
        <v>99.7</v>
      </c>
      <c r="Q5691" s="4">
        <f t="shared" si="88"/>
        <v>-2006.0180541624875</v>
      </c>
      <c r="R5691" s="23" t="s">
        <v>1198</v>
      </c>
      <c r="T5691" s="2"/>
    </row>
    <row r="5692" spans="1:20" x14ac:dyDescent="0.25">
      <c r="A5692" s="21">
        <v>45819</v>
      </c>
      <c r="B5692" s="1" t="s">
        <v>1217</v>
      </c>
      <c r="C5692" t="s">
        <v>9998</v>
      </c>
      <c r="D5692" s="43">
        <v>-200000</v>
      </c>
      <c r="E5692" t="s">
        <v>35</v>
      </c>
      <c r="F5692" s="2">
        <v>110114001</v>
      </c>
      <c r="G5692" s="2" t="s">
        <v>301</v>
      </c>
      <c r="L5692" s="2" t="s">
        <v>10003</v>
      </c>
      <c r="N5692" t="s">
        <v>2551</v>
      </c>
      <c r="P5692" s="23">
        <v>99.7</v>
      </c>
      <c r="Q5692" s="4">
        <f t="shared" si="88"/>
        <v>-2006.0180541624875</v>
      </c>
      <c r="R5692" s="23" t="s">
        <v>1198</v>
      </c>
      <c r="T5692" s="2"/>
    </row>
    <row r="5693" spans="1:20" x14ac:dyDescent="0.25">
      <c r="A5693" s="21">
        <v>45819</v>
      </c>
      <c r="B5693" s="1" t="s">
        <v>1217</v>
      </c>
      <c r="C5693" t="s">
        <v>9998</v>
      </c>
      <c r="D5693" s="43">
        <v>-200000</v>
      </c>
      <c r="E5693" t="s">
        <v>35</v>
      </c>
      <c r="F5693" s="2">
        <v>110114001</v>
      </c>
      <c r="G5693" s="2" t="s">
        <v>301</v>
      </c>
      <c r="L5693" s="2" t="s">
        <v>10004</v>
      </c>
      <c r="N5693" t="s">
        <v>2551</v>
      </c>
      <c r="P5693" s="23">
        <v>99.7</v>
      </c>
      <c r="Q5693" s="4">
        <f t="shared" si="88"/>
        <v>-2006.0180541624875</v>
      </c>
      <c r="R5693" s="23" t="s">
        <v>1198</v>
      </c>
      <c r="T5693" s="2"/>
    </row>
    <row r="5694" spans="1:20" x14ac:dyDescent="0.25">
      <c r="A5694" s="21">
        <v>45819</v>
      </c>
      <c r="B5694" s="1" t="s">
        <v>4088</v>
      </c>
      <c r="C5694" t="s">
        <v>9998</v>
      </c>
      <c r="D5694" s="43">
        <v>-200000</v>
      </c>
      <c r="E5694" t="s">
        <v>35</v>
      </c>
      <c r="F5694" s="2">
        <v>110114001</v>
      </c>
      <c r="G5694" s="2" t="s">
        <v>301</v>
      </c>
      <c r="L5694" s="2" t="s">
        <v>10005</v>
      </c>
      <c r="N5694" t="s">
        <v>2551</v>
      </c>
      <c r="P5694" s="23">
        <v>99.7</v>
      </c>
      <c r="Q5694" s="4">
        <f t="shared" si="88"/>
        <v>-2006.0180541624875</v>
      </c>
      <c r="R5694" s="23" t="s">
        <v>1198</v>
      </c>
      <c r="T5694" s="2"/>
    </row>
    <row r="5695" spans="1:20" x14ac:dyDescent="0.25">
      <c r="A5695" s="21">
        <v>45819</v>
      </c>
      <c r="B5695" s="1" t="s">
        <v>1217</v>
      </c>
      <c r="C5695" t="s">
        <v>9998</v>
      </c>
      <c r="D5695" s="43">
        <v>-200000</v>
      </c>
      <c r="E5695" t="s">
        <v>35</v>
      </c>
      <c r="F5695" s="2">
        <v>110114001</v>
      </c>
      <c r="G5695" s="2" t="s">
        <v>301</v>
      </c>
      <c r="L5695" s="2" t="s">
        <v>10006</v>
      </c>
      <c r="N5695" t="s">
        <v>2551</v>
      </c>
      <c r="P5695" s="23">
        <v>99.7</v>
      </c>
      <c r="Q5695" s="4">
        <f t="shared" si="88"/>
        <v>-2006.0180541624875</v>
      </c>
      <c r="R5695" s="23" t="s">
        <v>1198</v>
      </c>
      <c r="T5695" s="2"/>
    </row>
    <row r="5696" spans="1:20" x14ac:dyDescent="0.25">
      <c r="A5696" s="21">
        <v>45819</v>
      </c>
      <c r="B5696" s="1" t="s">
        <v>1217</v>
      </c>
      <c r="C5696" t="s">
        <v>9998</v>
      </c>
      <c r="D5696" s="43">
        <v>-200000</v>
      </c>
      <c r="E5696" t="s">
        <v>35</v>
      </c>
      <c r="F5696" s="2">
        <v>110114001</v>
      </c>
      <c r="G5696" s="2" t="s">
        <v>301</v>
      </c>
      <c r="L5696" s="2" t="s">
        <v>10007</v>
      </c>
      <c r="N5696" t="s">
        <v>2551</v>
      </c>
      <c r="P5696" s="23">
        <v>99.7</v>
      </c>
      <c r="Q5696" s="4">
        <f t="shared" si="88"/>
        <v>-2006.0180541624875</v>
      </c>
      <c r="R5696" s="23" t="s">
        <v>1198</v>
      </c>
      <c r="T5696" s="2"/>
    </row>
    <row r="5697" spans="1:20" x14ac:dyDescent="0.25">
      <c r="A5697" s="21">
        <v>45819</v>
      </c>
      <c r="B5697" s="1" t="s">
        <v>1208</v>
      </c>
      <c r="C5697" t="s">
        <v>9743</v>
      </c>
      <c r="D5697" s="22">
        <v>-3660.49</v>
      </c>
      <c r="E5697" t="s">
        <v>35</v>
      </c>
      <c r="F5697" s="2">
        <v>210101001</v>
      </c>
      <c r="G5697" s="2" t="s">
        <v>36</v>
      </c>
      <c r="L5697" s="2" t="s">
        <v>10008</v>
      </c>
      <c r="M5697" t="s">
        <v>38</v>
      </c>
      <c r="N5697" t="s">
        <v>39</v>
      </c>
      <c r="P5697" s="23">
        <v>99.7</v>
      </c>
      <c r="Q5697" s="4">
        <f t="shared" si="88"/>
        <v>-36.715045135406214</v>
      </c>
      <c r="R5697" s="23" t="s">
        <v>1198</v>
      </c>
      <c r="T5697" s="2"/>
    </row>
    <row r="5698" spans="1:20" x14ac:dyDescent="0.25">
      <c r="A5698" s="21">
        <v>45819</v>
      </c>
      <c r="B5698" s="1" t="s">
        <v>1208</v>
      </c>
      <c r="C5698" t="s">
        <v>9998</v>
      </c>
      <c r="D5698" s="43">
        <v>-200000</v>
      </c>
      <c r="E5698" t="s">
        <v>35</v>
      </c>
      <c r="F5698" s="2">
        <v>110114001</v>
      </c>
      <c r="G5698" s="2" t="s">
        <v>301</v>
      </c>
      <c r="L5698" s="2" t="s">
        <v>10009</v>
      </c>
      <c r="N5698" t="s">
        <v>2551</v>
      </c>
      <c r="P5698" s="23">
        <v>99.7</v>
      </c>
      <c r="Q5698" s="4">
        <f t="shared" si="88"/>
        <v>-2006.0180541624875</v>
      </c>
      <c r="R5698" s="23" t="s">
        <v>1198</v>
      </c>
      <c r="T5698" s="2"/>
    </row>
    <row r="5699" spans="1:20" x14ac:dyDescent="0.25">
      <c r="A5699" s="21">
        <v>45819</v>
      </c>
      <c r="B5699" s="1" t="s">
        <v>4088</v>
      </c>
      <c r="C5699" t="s">
        <v>9995</v>
      </c>
      <c r="D5699" s="22">
        <v>-47573.24</v>
      </c>
      <c r="E5699" t="s">
        <v>35</v>
      </c>
      <c r="F5699" s="2">
        <v>210101001</v>
      </c>
      <c r="G5699" s="2" t="s">
        <v>36</v>
      </c>
      <c r="L5699" s="2" t="s">
        <v>10010</v>
      </c>
      <c r="M5699" t="s">
        <v>38</v>
      </c>
      <c r="N5699" t="s">
        <v>39</v>
      </c>
      <c r="P5699" s="23">
        <v>99.7</v>
      </c>
      <c r="Q5699" s="4">
        <f t="shared" si="88"/>
        <v>-477.16389167502501</v>
      </c>
      <c r="R5699" s="23" t="s">
        <v>1198</v>
      </c>
      <c r="T5699" s="2"/>
    </row>
    <row r="5700" spans="1:20" x14ac:dyDescent="0.25">
      <c r="A5700" s="21">
        <v>45819</v>
      </c>
      <c r="B5700" s="1" t="s">
        <v>4018</v>
      </c>
      <c r="C5700" t="s">
        <v>10011</v>
      </c>
      <c r="D5700" s="22">
        <v>-61295.56</v>
      </c>
      <c r="E5700" t="s">
        <v>35</v>
      </c>
      <c r="F5700" s="2">
        <v>210101001</v>
      </c>
      <c r="G5700" s="2" t="s">
        <v>36</v>
      </c>
      <c r="L5700" s="2" t="s">
        <v>10012</v>
      </c>
      <c r="M5700" t="s">
        <v>38</v>
      </c>
      <c r="N5700" t="s">
        <v>39</v>
      </c>
      <c r="P5700" s="23">
        <v>99.7</v>
      </c>
      <c r="Q5700" s="4">
        <f t="shared" si="88"/>
        <v>-614.79999999999995</v>
      </c>
      <c r="R5700" s="23" t="s">
        <v>1198</v>
      </c>
      <c r="T5700" s="2"/>
    </row>
    <row r="5701" spans="1:20" x14ac:dyDescent="0.25">
      <c r="A5701" s="21">
        <v>45819</v>
      </c>
      <c r="B5701" s="1" t="s">
        <v>1217</v>
      </c>
      <c r="C5701" t="s">
        <v>9998</v>
      </c>
      <c r="D5701" s="43">
        <v>-200000</v>
      </c>
      <c r="E5701" t="s">
        <v>35</v>
      </c>
      <c r="F5701" s="2">
        <v>110114001</v>
      </c>
      <c r="G5701" s="2" t="s">
        <v>301</v>
      </c>
      <c r="L5701" s="2" t="s">
        <v>10013</v>
      </c>
      <c r="N5701" t="s">
        <v>2551</v>
      </c>
      <c r="P5701" s="23">
        <v>99.7</v>
      </c>
      <c r="Q5701" s="4">
        <f t="shared" si="88"/>
        <v>-2006.0180541624875</v>
      </c>
      <c r="R5701" s="23" t="s">
        <v>1198</v>
      </c>
      <c r="T5701" s="2"/>
    </row>
    <row r="5702" spans="1:20" x14ac:dyDescent="0.25">
      <c r="A5702" s="21">
        <v>45819</v>
      </c>
      <c r="B5702" s="1" t="s">
        <v>4021</v>
      </c>
      <c r="C5702" t="s">
        <v>10014</v>
      </c>
      <c r="D5702" s="22">
        <v>-25443.439999999999</v>
      </c>
      <c r="E5702" t="s">
        <v>35</v>
      </c>
      <c r="F5702" s="2">
        <v>210101001</v>
      </c>
      <c r="G5702" s="2" t="s">
        <v>36</v>
      </c>
      <c r="L5702" s="2" t="s">
        <v>10015</v>
      </c>
      <c r="M5702" t="s">
        <v>788</v>
      </c>
      <c r="N5702" t="s">
        <v>789</v>
      </c>
      <c r="P5702" s="23">
        <v>99.7</v>
      </c>
      <c r="Q5702" s="4">
        <f t="shared" si="88"/>
        <v>-255.2</v>
      </c>
      <c r="R5702" s="23" t="s">
        <v>1198</v>
      </c>
      <c r="T5702" s="2"/>
    </row>
    <row r="5703" spans="1:20" x14ac:dyDescent="0.25">
      <c r="A5703" s="21">
        <v>45819</v>
      </c>
      <c r="B5703" s="1" t="s">
        <v>1217</v>
      </c>
      <c r="C5703" t="s">
        <v>9998</v>
      </c>
      <c r="D5703" s="43">
        <v>-152517.6</v>
      </c>
      <c r="E5703" t="s">
        <v>35</v>
      </c>
      <c r="F5703" s="2">
        <v>110114001</v>
      </c>
      <c r="G5703" s="2" t="s">
        <v>301</v>
      </c>
      <c r="L5703" s="2" t="s">
        <v>10016</v>
      </c>
      <c r="N5703" t="s">
        <v>2551</v>
      </c>
      <c r="P5703" s="23">
        <v>99.7</v>
      </c>
      <c r="Q5703" s="4">
        <f t="shared" si="88"/>
        <v>-1529.7652958876631</v>
      </c>
      <c r="R5703" s="23" t="s">
        <v>1198</v>
      </c>
      <c r="T5703" s="2"/>
    </row>
    <row r="5704" spans="1:20" x14ac:dyDescent="0.25">
      <c r="A5704" s="21">
        <v>45819</v>
      </c>
      <c r="B5704" s="1" t="s">
        <v>1217</v>
      </c>
      <c r="C5704" t="s">
        <v>9998</v>
      </c>
      <c r="D5704" s="43">
        <v>-200000</v>
      </c>
      <c r="E5704" t="s">
        <v>35</v>
      </c>
      <c r="F5704" s="2">
        <v>110114001</v>
      </c>
      <c r="G5704" s="2" t="s">
        <v>301</v>
      </c>
      <c r="L5704" s="2" t="s">
        <v>10017</v>
      </c>
      <c r="N5704" t="s">
        <v>2551</v>
      </c>
      <c r="P5704" s="23">
        <v>99.7</v>
      </c>
      <c r="Q5704" s="4">
        <f t="shared" si="88"/>
        <v>-2006.0180541624875</v>
      </c>
      <c r="R5704" s="23" t="s">
        <v>1198</v>
      </c>
      <c r="T5704" s="2"/>
    </row>
    <row r="5705" spans="1:20" x14ac:dyDescent="0.25">
      <c r="A5705" s="21">
        <v>45819</v>
      </c>
      <c r="B5705" s="1" t="s">
        <v>1217</v>
      </c>
      <c r="C5705" t="s">
        <v>9998</v>
      </c>
      <c r="D5705" s="43">
        <v>-200000</v>
      </c>
      <c r="E5705" t="s">
        <v>35</v>
      </c>
      <c r="F5705" s="2">
        <v>110114001</v>
      </c>
      <c r="G5705" s="2" t="s">
        <v>301</v>
      </c>
      <c r="L5705" s="2" t="s">
        <v>10018</v>
      </c>
      <c r="N5705" t="s">
        <v>2551</v>
      </c>
      <c r="P5705" s="23">
        <v>99.7</v>
      </c>
      <c r="Q5705" s="4">
        <f t="shared" si="88"/>
        <v>-2006.0180541624875</v>
      </c>
      <c r="R5705" s="23" t="s">
        <v>1198</v>
      </c>
      <c r="T5705" s="2"/>
    </row>
    <row r="5706" spans="1:20" x14ac:dyDescent="0.25">
      <c r="A5706" s="21">
        <v>45819</v>
      </c>
      <c r="B5706" s="1" t="s">
        <v>1220</v>
      </c>
      <c r="C5706" t="s">
        <v>1221</v>
      </c>
      <c r="D5706" s="22">
        <v>-500</v>
      </c>
      <c r="E5706" t="s">
        <v>35</v>
      </c>
      <c r="F5706" s="2">
        <v>610148001</v>
      </c>
      <c r="G5706" s="2" t="s">
        <v>42</v>
      </c>
      <c r="L5706" s="2" t="s">
        <v>10019</v>
      </c>
      <c r="M5706" t="s">
        <v>43</v>
      </c>
      <c r="N5706" t="s">
        <v>42</v>
      </c>
      <c r="P5706" s="23">
        <v>99.7</v>
      </c>
      <c r="Q5706" s="4">
        <f t="shared" si="88"/>
        <v>-5.0150451354062184</v>
      </c>
      <c r="R5706" s="23" t="s">
        <v>1198</v>
      </c>
      <c r="T5706" s="41" t="s">
        <v>8423</v>
      </c>
    </row>
    <row r="5707" spans="1:20" x14ac:dyDescent="0.25">
      <c r="A5707" s="21">
        <v>45819</v>
      </c>
      <c r="B5707" s="1" t="s">
        <v>1223</v>
      </c>
      <c r="C5707" t="s">
        <v>1221</v>
      </c>
      <c r="D5707" s="22">
        <v>-9.15</v>
      </c>
      <c r="E5707" t="s">
        <v>35</v>
      </c>
      <c r="F5707" s="2">
        <v>610148001</v>
      </c>
      <c r="G5707" s="2" t="s">
        <v>42</v>
      </c>
      <c r="L5707" s="2" t="s">
        <v>10020</v>
      </c>
      <c r="M5707" t="s">
        <v>43</v>
      </c>
      <c r="N5707" t="s">
        <v>42</v>
      </c>
      <c r="P5707" s="23">
        <v>99.7</v>
      </c>
      <c r="Q5707" s="4">
        <f t="shared" ref="Q5707:Q5770" si="89">D5707/P5707</f>
        <v>-9.1775325977933808E-2</v>
      </c>
      <c r="R5707" s="23" t="s">
        <v>1198</v>
      </c>
      <c r="T5707" s="41" t="s">
        <v>8423</v>
      </c>
    </row>
    <row r="5708" spans="1:20" x14ac:dyDescent="0.25">
      <c r="A5708" s="21">
        <v>45819</v>
      </c>
      <c r="B5708" s="1" t="s">
        <v>1220</v>
      </c>
      <c r="C5708" t="s">
        <v>1221</v>
      </c>
      <c r="D5708" s="22">
        <v>-500</v>
      </c>
      <c r="E5708" t="s">
        <v>35</v>
      </c>
      <c r="F5708" s="2">
        <v>610148001</v>
      </c>
      <c r="G5708" s="2" t="s">
        <v>42</v>
      </c>
      <c r="L5708" s="2" t="s">
        <v>10021</v>
      </c>
      <c r="M5708" t="s">
        <v>43</v>
      </c>
      <c r="N5708" t="s">
        <v>42</v>
      </c>
      <c r="P5708" s="23">
        <v>99.7</v>
      </c>
      <c r="Q5708" s="4">
        <f t="shared" si="89"/>
        <v>-5.0150451354062184</v>
      </c>
      <c r="R5708" s="23" t="s">
        <v>1198</v>
      </c>
      <c r="T5708" s="41" t="s">
        <v>8423</v>
      </c>
    </row>
    <row r="5709" spans="1:20" x14ac:dyDescent="0.25">
      <c r="A5709" s="21">
        <v>45819</v>
      </c>
      <c r="B5709" s="1" t="s">
        <v>1220</v>
      </c>
      <c r="C5709" t="s">
        <v>1221</v>
      </c>
      <c r="D5709" s="22">
        <v>-500</v>
      </c>
      <c r="E5709" t="s">
        <v>35</v>
      </c>
      <c r="F5709" s="2">
        <v>610148001</v>
      </c>
      <c r="G5709" s="2" t="s">
        <v>42</v>
      </c>
      <c r="L5709" s="2" t="s">
        <v>10022</v>
      </c>
      <c r="M5709" t="s">
        <v>43</v>
      </c>
      <c r="N5709" t="s">
        <v>42</v>
      </c>
      <c r="P5709" s="23">
        <v>99.7</v>
      </c>
      <c r="Q5709" s="4">
        <f t="shared" si="89"/>
        <v>-5.0150451354062184</v>
      </c>
      <c r="R5709" s="23" t="s">
        <v>1198</v>
      </c>
      <c r="T5709" s="41" t="s">
        <v>8423</v>
      </c>
    </row>
    <row r="5710" spans="1:20" x14ac:dyDescent="0.25">
      <c r="A5710" s="21">
        <v>45819</v>
      </c>
      <c r="B5710" s="1" t="s">
        <v>1220</v>
      </c>
      <c r="C5710" t="s">
        <v>1221</v>
      </c>
      <c r="D5710" s="22">
        <v>-381.29</v>
      </c>
      <c r="E5710" t="s">
        <v>35</v>
      </c>
      <c r="F5710" s="2">
        <v>610148001</v>
      </c>
      <c r="G5710" s="2" t="s">
        <v>42</v>
      </c>
      <c r="L5710" s="2" t="s">
        <v>10023</v>
      </c>
      <c r="M5710" t="s">
        <v>43</v>
      </c>
      <c r="N5710" t="s">
        <v>42</v>
      </c>
      <c r="P5710" s="23">
        <v>99.7</v>
      </c>
      <c r="Q5710" s="4">
        <f t="shared" si="89"/>
        <v>-3.8243731193580741</v>
      </c>
      <c r="R5710" s="23" t="s">
        <v>1198</v>
      </c>
      <c r="T5710" s="41" t="s">
        <v>8423</v>
      </c>
    </row>
    <row r="5711" spans="1:20" x14ac:dyDescent="0.25">
      <c r="A5711" s="21">
        <v>45819</v>
      </c>
      <c r="B5711" s="1" t="s">
        <v>1220</v>
      </c>
      <c r="C5711" t="s">
        <v>1221</v>
      </c>
      <c r="D5711" s="22">
        <v>-500</v>
      </c>
      <c r="E5711" t="s">
        <v>35</v>
      </c>
      <c r="F5711" s="2">
        <v>610148001</v>
      </c>
      <c r="G5711" s="2" t="s">
        <v>42</v>
      </c>
      <c r="L5711" s="2" t="s">
        <v>10024</v>
      </c>
      <c r="M5711" t="s">
        <v>43</v>
      </c>
      <c r="N5711" t="s">
        <v>42</v>
      </c>
      <c r="P5711" s="23">
        <v>99.7</v>
      </c>
      <c r="Q5711" s="4">
        <f t="shared" si="89"/>
        <v>-5.0150451354062184</v>
      </c>
      <c r="R5711" s="23" t="s">
        <v>1198</v>
      </c>
      <c r="T5711" s="41" t="s">
        <v>8423</v>
      </c>
    </row>
    <row r="5712" spans="1:20" x14ac:dyDescent="0.25">
      <c r="A5712" s="21">
        <v>45819</v>
      </c>
      <c r="B5712" s="1" t="s">
        <v>1220</v>
      </c>
      <c r="C5712" t="s">
        <v>1221</v>
      </c>
      <c r="D5712" s="22">
        <v>-500</v>
      </c>
      <c r="E5712" t="s">
        <v>35</v>
      </c>
      <c r="F5712" s="2">
        <v>610148001</v>
      </c>
      <c r="G5712" s="2" t="s">
        <v>42</v>
      </c>
      <c r="L5712" s="2" t="s">
        <v>10025</v>
      </c>
      <c r="M5712" t="s">
        <v>43</v>
      </c>
      <c r="N5712" t="s">
        <v>42</v>
      </c>
      <c r="P5712" s="23">
        <v>99.7</v>
      </c>
      <c r="Q5712" s="4">
        <f t="shared" si="89"/>
        <v>-5.0150451354062184</v>
      </c>
      <c r="R5712" s="23" t="s">
        <v>1198</v>
      </c>
      <c r="T5712" s="41" t="s">
        <v>8423</v>
      </c>
    </row>
    <row r="5713" spans="1:20" x14ac:dyDescent="0.25">
      <c r="A5713" s="21">
        <v>45819</v>
      </c>
      <c r="B5713" s="1" t="s">
        <v>1220</v>
      </c>
      <c r="C5713" t="s">
        <v>1221</v>
      </c>
      <c r="D5713" s="22">
        <v>-500</v>
      </c>
      <c r="E5713" t="s">
        <v>35</v>
      </c>
      <c r="F5713" s="2">
        <v>610148001</v>
      </c>
      <c r="G5713" s="2" t="s">
        <v>42</v>
      </c>
      <c r="L5713" s="2" t="s">
        <v>10026</v>
      </c>
      <c r="M5713" t="s">
        <v>43</v>
      </c>
      <c r="N5713" t="s">
        <v>42</v>
      </c>
      <c r="P5713" s="23">
        <v>99.7</v>
      </c>
      <c r="Q5713" s="4">
        <f t="shared" si="89"/>
        <v>-5.0150451354062184</v>
      </c>
      <c r="R5713" s="23" t="s">
        <v>1198</v>
      </c>
      <c r="T5713" s="41" t="s">
        <v>8423</v>
      </c>
    </row>
    <row r="5714" spans="1:20" x14ac:dyDescent="0.25">
      <c r="A5714" s="21">
        <v>45819</v>
      </c>
      <c r="B5714" s="1" t="s">
        <v>1220</v>
      </c>
      <c r="C5714" t="s">
        <v>1221</v>
      </c>
      <c r="D5714" s="22">
        <v>-500</v>
      </c>
      <c r="E5714" t="s">
        <v>35</v>
      </c>
      <c r="F5714" s="2">
        <v>610148001</v>
      </c>
      <c r="G5714" s="2" t="s">
        <v>42</v>
      </c>
      <c r="L5714" s="2" t="s">
        <v>10027</v>
      </c>
      <c r="M5714" t="s">
        <v>43</v>
      </c>
      <c r="N5714" t="s">
        <v>42</v>
      </c>
      <c r="P5714" s="23">
        <v>99.7</v>
      </c>
      <c r="Q5714" s="4">
        <f t="shared" si="89"/>
        <v>-5.0150451354062184</v>
      </c>
      <c r="R5714" s="23" t="s">
        <v>1198</v>
      </c>
      <c r="T5714" s="41" t="s">
        <v>8423</v>
      </c>
    </row>
    <row r="5715" spans="1:20" x14ac:dyDescent="0.25">
      <c r="A5715" s="21">
        <v>45819</v>
      </c>
      <c r="B5715" s="1" t="s">
        <v>4311</v>
      </c>
      <c r="C5715" t="s">
        <v>1221</v>
      </c>
      <c r="D5715" s="22">
        <v>-63.6</v>
      </c>
      <c r="E5715" t="s">
        <v>35</v>
      </c>
      <c r="F5715" s="2">
        <v>610148001</v>
      </c>
      <c r="G5715" s="2" t="s">
        <v>42</v>
      </c>
      <c r="L5715" s="2" t="s">
        <v>10028</v>
      </c>
      <c r="M5715" t="s">
        <v>43</v>
      </c>
      <c r="N5715" t="s">
        <v>42</v>
      </c>
      <c r="P5715" s="23">
        <v>99.7</v>
      </c>
      <c r="Q5715" s="4">
        <f t="shared" si="89"/>
        <v>-0.63791374122367106</v>
      </c>
      <c r="R5715" s="23" t="s">
        <v>1198</v>
      </c>
      <c r="T5715" s="41" t="s">
        <v>8423</v>
      </c>
    </row>
    <row r="5716" spans="1:20" x14ac:dyDescent="0.25">
      <c r="A5716" s="21">
        <v>45819</v>
      </c>
      <c r="B5716" s="1" t="s">
        <v>1220</v>
      </c>
      <c r="C5716" t="s">
        <v>1221</v>
      </c>
      <c r="D5716" s="22">
        <v>-500</v>
      </c>
      <c r="E5716" t="s">
        <v>35</v>
      </c>
      <c r="F5716" s="2">
        <v>610148001</v>
      </c>
      <c r="G5716" s="2" t="s">
        <v>42</v>
      </c>
      <c r="L5716" s="2" t="s">
        <v>10029</v>
      </c>
      <c r="M5716" t="s">
        <v>43</v>
      </c>
      <c r="N5716" t="s">
        <v>42</v>
      </c>
      <c r="P5716" s="23">
        <v>99.7</v>
      </c>
      <c r="Q5716" s="4">
        <f t="shared" si="89"/>
        <v>-5.0150451354062184</v>
      </c>
      <c r="R5716" s="23" t="s">
        <v>1198</v>
      </c>
      <c r="T5716" s="41" t="s">
        <v>8423</v>
      </c>
    </row>
    <row r="5717" spans="1:20" x14ac:dyDescent="0.25">
      <c r="A5717" s="21">
        <v>45819</v>
      </c>
      <c r="B5717" s="1" t="s">
        <v>4240</v>
      </c>
      <c r="C5717" t="s">
        <v>1221</v>
      </c>
      <c r="D5717" s="22">
        <v>-500</v>
      </c>
      <c r="E5717" t="s">
        <v>35</v>
      </c>
      <c r="F5717" s="2">
        <v>610148001</v>
      </c>
      <c r="G5717" s="2" t="s">
        <v>42</v>
      </c>
      <c r="L5717" s="2" t="s">
        <v>10030</v>
      </c>
      <c r="M5717" t="s">
        <v>43</v>
      </c>
      <c r="N5717" t="s">
        <v>42</v>
      </c>
      <c r="P5717" s="23">
        <v>99.7</v>
      </c>
      <c r="Q5717" s="4">
        <f t="shared" si="89"/>
        <v>-5.0150451354062184</v>
      </c>
      <c r="R5717" s="23" t="s">
        <v>1198</v>
      </c>
      <c r="T5717" s="41" t="s">
        <v>8423</v>
      </c>
    </row>
    <row r="5718" spans="1:20" x14ac:dyDescent="0.25">
      <c r="A5718" s="21">
        <v>45819</v>
      </c>
      <c r="B5718" s="1" t="s">
        <v>1220</v>
      </c>
      <c r="C5718" t="s">
        <v>1221</v>
      </c>
      <c r="D5718" s="22">
        <v>-500</v>
      </c>
      <c r="E5718" t="s">
        <v>35</v>
      </c>
      <c r="F5718" s="2">
        <v>610148001</v>
      </c>
      <c r="G5718" s="2" t="s">
        <v>42</v>
      </c>
      <c r="L5718" s="2" t="s">
        <v>10031</v>
      </c>
      <c r="M5718" t="s">
        <v>43</v>
      </c>
      <c r="N5718" t="s">
        <v>42</v>
      </c>
      <c r="P5718" s="23">
        <v>99.7</v>
      </c>
      <c r="Q5718" s="4">
        <f t="shared" si="89"/>
        <v>-5.0150451354062184</v>
      </c>
      <c r="R5718" s="23" t="s">
        <v>1198</v>
      </c>
      <c r="T5718" s="41" t="s">
        <v>8423</v>
      </c>
    </row>
    <row r="5719" spans="1:20" x14ac:dyDescent="0.25">
      <c r="A5719" s="21">
        <v>45819</v>
      </c>
      <c r="B5719" s="1" t="s">
        <v>4240</v>
      </c>
      <c r="C5719" t="s">
        <v>1221</v>
      </c>
      <c r="D5719" s="22">
        <v>-500</v>
      </c>
      <c r="E5719" t="s">
        <v>35</v>
      </c>
      <c r="F5719" s="2">
        <v>610148001</v>
      </c>
      <c r="G5719" s="2" t="s">
        <v>42</v>
      </c>
      <c r="L5719" s="2" t="s">
        <v>10032</v>
      </c>
      <c r="M5719" t="s">
        <v>43</v>
      </c>
      <c r="N5719" t="s">
        <v>42</v>
      </c>
      <c r="P5719" s="23">
        <v>99.7</v>
      </c>
      <c r="Q5719" s="4">
        <f t="shared" si="89"/>
        <v>-5.0150451354062184</v>
      </c>
      <c r="R5719" s="23" t="s">
        <v>1198</v>
      </c>
      <c r="T5719" s="41" t="s">
        <v>8423</v>
      </c>
    </row>
    <row r="5720" spans="1:20" x14ac:dyDescent="0.25">
      <c r="A5720" s="21">
        <v>45819</v>
      </c>
      <c r="B5720" s="1" t="s">
        <v>4240</v>
      </c>
      <c r="C5720" t="s">
        <v>1221</v>
      </c>
      <c r="D5720" s="22">
        <v>-118.93</v>
      </c>
      <c r="E5720" t="s">
        <v>35</v>
      </c>
      <c r="F5720" s="2">
        <v>610148001</v>
      </c>
      <c r="G5720" s="2" t="s">
        <v>42</v>
      </c>
      <c r="L5720" s="2" t="s">
        <v>10033</v>
      </c>
      <c r="M5720" t="s">
        <v>43</v>
      </c>
      <c r="N5720" t="s">
        <v>42</v>
      </c>
      <c r="P5720" s="23">
        <v>99.7</v>
      </c>
      <c r="Q5720" s="4">
        <f t="shared" si="89"/>
        <v>-1.1928786359077233</v>
      </c>
      <c r="R5720" s="23" t="s">
        <v>1198</v>
      </c>
      <c r="T5720" s="41" t="s">
        <v>8423</v>
      </c>
    </row>
    <row r="5721" spans="1:20" x14ac:dyDescent="0.25">
      <c r="A5721" s="21">
        <v>45819</v>
      </c>
      <c r="B5721" s="1" t="s">
        <v>1220</v>
      </c>
      <c r="C5721" t="s">
        <v>1221</v>
      </c>
      <c r="D5721" s="22">
        <v>-500</v>
      </c>
      <c r="E5721" t="s">
        <v>35</v>
      </c>
      <c r="F5721" s="2">
        <v>610148001</v>
      </c>
      <c r="G5721" s="2" t="s">
        <v>42</v>
      </c>
      <c r="L5721" s="2" t="s">
        <v>10034</v>
      </c>
      <c r="M5721" t="s">
        <v>43</v>
      </c>
      <c r="N5721" t="s">
        <v>42</v>
      </c>
      <c r="P5721" s="23">
        <v>99.7</v>
      </c>
      <c r="Q5721" s="4">
        <f t="shared" si="89"/>
        <v>-5.0150451354062184</v>
      </c>
      <c r="R5721" s="23" t="s">
        <v>1198</v>
      </c>
      <c r="T5721" s="41" t="s">
        <v>8423</v>
      </c>
    </row>
    <row r="5722" spans="1:20" x14ac:dyDescent="0.25">
      <c r="A5722" s="21">
        <v>45819</v>
      </c>
      <c r="B5722" s="1" t="s">
        <v>4242</v>
      </c>
      <c r="C5722" t="s">
        <v>1221</v>
      </c>
      <c r="D5722" s="22">
        <v>-153.22999999999999</v>
      </c>
      <c r="E5722" t="s">
        <v>35</v>
      </c>
      <c r="F5722" s="2">
        <v>610148001</v>
      </c>
      <c r="G5722" s="2" t="s">
        <v>42</v>
      </c>
      <c r="L5722" s="2" t="s">
        <v>10035</v>
      </c>
      <c r="M5722" t="s">
        <v>43</v>
      </c>
      <c r="N5722" t="s">
        <v>42</v>
      </c>
      <c r="P5722" s="23">
        <v>99.7</v>
      </c>
      <c r="Q5722" s="4">
        <f t="shared" si="89"/>
        <v>-1.5369107321965896</v>
      </c>
      <c r="R5722" s="23" t="s">
        <v>1198</v>
      </c>
      <c r="T5722" s="41" t="s">
        <v>8423</v>
      </c>
    </row>
    <row r="5723" spans="1:20" x14ac:dyDescent="0.25">
      <c r="A5723" s="21">
        <v>45819</v>
      </c>
      <c r="B5723" s="1" t="s">
        <v>1223</v>
      </c>
      <c r="C5723" t="s">
        <v>1221</v>
      </c>
      <c r="D5723" s="22">
        <v>-500</v>
      </c>
      <c r="E5723" t="s">
        <v>35</v>
      </c>
      <c r="F5723" s="2">
        <v>610148001</v>
      </c>
      <c r="G5723" s="2" t="s">
        <v>42</v>
      </c>
      <c r="L5723" s="2" t="s">
        <v>10036</v>
      </c>
      <c r="M5723" t="s">
        <v>43</v>
      </c>
      <c r="N5723" t="s">
        <v>42</v>
      </c>
      <c r="P5723" s="23">
        <v>99.7</v>
      </c>
      <c r="Q5723" s="4">
        <f t="shared" si="89"/>
        <v>-5.0150451354062184</v>
      </c>
      <c r="R5723" s="23" t="s">
        <v>1198</v>
      </c>
      <c r="T5723" s="41" t="s">
        <v>8423</v>
      </c>
    </row>
    <row r="5724" spans="1:20" x14ac:dyDescent="0.25">
      <c r="A5724" s="21">
        <v>45819</v>
      </c>
      <c r="B5724" s="1" t="s">
        <v>1223</v>
      </c>
      <c r="C5724" t="s">
        <v>1221</v>
      </c>
      <c r="D5724" s="22">
        <v>-500</v>
      </c>
      <c r="E5724" t="s">
        <v>35</v>
      </c>
      <c r="F5724" s="2">
        <v>610148001</v>
      </c>
      <c r="G5724" s="2" t="s">
        <v>42</v>
      </c>
      <c r="L5724" s="2" t="s">
        <v>10037</v>
      </c>
      <c r="M5724" t="s">
        <v>43</v>
      </c>
      <c r="N5724" t="s">
        <v>42</v>
      </c>
      <c r="P5724" s="23">
        <v>99.7</v>
      </c>
      <c r="Q5724" s="4">
        <f t="shared" si="89"/>
        <v>-5.0150451354062184</v>
      </c>
      <c r="R5724" s="23" t="s">
        <v>1198</v>
      </c>
      <c r="T5724" s="41" t="s">
        <v>8423</v>
      </c>
    </row>
    <row r="5725" spans="1:20" x14ac:dyDescent="0.25">
      <c r="A5725" s="21">
        <v>45819</v>
      </c>
      <c r="B5725" s="1" t="s">
        <v>1220</v>
      </c>
      <c r="C5725" t="s">
        <v>1221</v>
      </c>
      <c r="D5725" s="22">
        <v>-500</v>
      </c>
      <c r="E5725" t="s">
        <v>35</v>
      </c>
      <c r="F5725" s="2">
        <v>610148001</v>
      </c>
      <c r="G5725" s="2" t="s">
        <v>42</v>
      </c>
      <c r="L5725" s="2" t="s">
        <v>10038</v>
      </c>
      <c r="M5725" t="s">
        <v>43</v>
      </c>
      <c r="N5725" t="s">
        <v>42</v>
      </c>
      <c r="P5725" s="23">
        <v>99.7</v>
      </c>
      <c r="Q5725" s="4">
        <f t="shared" si="89"/>
        <v>-5.0150451354062184</v>
      </c>
      <c r="R5725" s="23" t="s">
        <v>1198</v>
      </c>
      <c r="T5725" s="41" t="s">
        <v>8423</v>
      </c>
    </row>
    <row r="5726" spans="1:20" x14ac:dyDescent="0.25">
      <c r="A5726" s="21">
        <v>45819</v>
      </c>
      <c r="B5726" s="1" t="s">
        <v>1220</v>
      </c>
      <c r="C5726" t="s">
        <v>1221</v>
      </c>
      <c r="D5726" s="22">
        <v>-500</v>
      </c>
      <c r="E5726" t="s">
        <v>35</v>
      </c>
      <c r="F5726" s="2">
        <v>610148001</v>
      </c>
      <c r="G5726" s="2" t="s">
        <v>42</v>
      </c>
      <c r="L5726" s="2" t="s">
        <v>10039</v>
      </c>
      <c r="M5726" t="s">
        <v>43</v>
      </c>
      <c r="N5726" t="s">
        <v>42</v>
      </c>
      <c r="P5726" s="23">
        <v>99.7</v>
      </c>
      <c r="Q5726" s="4">
        <f t="shared" si="89"/>
        <v>-5.0150451354062184</v>
      </c>
      <c r="R5726" s="23" t="s">
        <v>1198</v>
      </c>
      <c r="T5726" s="41" t="s">
        <v>8423</v>
      </c>
    </row>
    <row r="5727" spans="1:20" x14ac:dyDescent="0.25">
      <c r="A5727" s="21">
        <v>45819</v>
      </c>
      <c r="B5727" s="1" t="s">
        <v>1220</v>
      </c>
      <c r="C5727" t="s">
        <v>1221</v>
      </c>
      <c r="D5727" s="22">
        <v>-500</v>
      </c>
      <c r="E5727" t="s">
        <v>35</v>
      </c>
      <c r="F5727" s="2">
        <v>610148001</v>
      </c>
      <c r="G5727" s="2" t="s">
        <v>42</v>
      </c>
      <c r="L5727" s="2" t="s">
        <v>10040</v>
      </c>
      <c r="M5727" t="s">
        <v>43</v>
      </c>
      <c r="N5727" t="s">
        <v>42</v>
      </c>
      <c r="P5727" s="23">
        <v>99.7</v>
      </c>
      <c r="Q5727" s="4">
        <f t="shared" si="89"/>
        <v>-5.0150451354062184</v>
      </c>
      <c r="R5727" s="23" t="s">
        <v>1198</v>
      </c>
      <c r="T5727" s="41" t="s">
        <v>8423</v>
      </c>
    </row>
    <row r="5728" spans="1:20" x14ac:dyDescent="0.25">
      <c r="A5728" s="21">
        <v>45820</v>
      </c>
      <c r="B5728" s="1" t="s">
        <v>10041</v>
      </c>
      <c r="C5728" t="s">
        <v>544</v>
      </c>
      <c r="D5728" s="22">
        <v>300000</v>
      </c>
      <c r="E5728" t="s">
        <v>46</v>
      </c>
      <c r="F5728" s="2">
        <v>210115002</v>
      </c>
      <c r="G5728" s="2" t="s">
        <v>47</v>
      </c>
      <c r="L5728" s="2" t="s">
        <v>10042</v>
      </c>
      <c r="N5728" t="s">
        <v>544</v>
      </c>
      <c r="P5728" s="23">
        <v>100.34</v>
      </c>
      <c r="Q5728" s="4">
        <f t="shared" si="89"/>
        <v>2989.8345624875424</v>
      </c>
      <c r="R5728" s="23" t="s">
        <v>1198</v>
      </c>
      <c r="T5728" s="2"/>
    </row>
    <row r="5729" spans="1:20" x14ac:dyDescent="0.25">
      <c r="A5729" s="21">
        <v>45820</v>
      </c>
      <c r="B5729" s="1" t="s">
        <v>1214</v>
      </c>
      <c r="C5729" t="s">
        <v>10043</v>
      </c>
      <c r="D5729" s="22">
        <v>-32596</v>
      </c>
      <c r="E5729" t="s">
        <v>35</v>
      </c>
      <c r="F5729" s="2">
        <v>210101001</v>
      </c>
      <c r="G5729" s="2" t="s">
        <v>36</v>
      </c>
      <c r="L5729" s="2" t="s">
        <v>10044</v>
      </c>
      <c r="M5729" t="s">
        <v>788</v>
      </c>
      <c r="N5729" t="s">
        <v>789</v>
      </c>
      <c r="P5729" s="23">
        <v>100.34</v>
      </c>
      <c r="Q5729" s="4">
        <f t="shared" si="89"/>
        <v>-324.85549132947978</v>
      </c>
      <c r="R5729" s="23" t="s">
        <v>1198</v>
      </c>
      <c r="T5729" s="2"/>
    </row>
    <row r="5730" spans="1:20" ht="15.75" x14ac:dyDescent="0.25">
      <c r="A5730" s="21">
        <v>45820</v>
      </c>
      <c r="B5730" s="1" t="s">
        <v>2571</v>
      </c>
      <c r="C5730" t="s">
        <v>10045</v>
      </c>
      <c r="D5730" s="22">
        <v>-26168.39</v>
      </c>
      <c r="E5730" t="s">
        <v>35</v>
      </c>
      <c r="F5730" s="2">
        <v>110114001</v>
      </c>
      <c r="G5730" s="2" t="s">
        <v>301</v>
      </c>
      <c r="L5730" s="2" t="s">
        <v>10046</v>
      </c>
      <c r="M5730" t="s">
        <v>38</v>
      </c>
      <c r="N5730" t="s">
        <v>39</v>
      </c>
      <c r="P5730" s="23">
        <v>100.34</v>
      </c>
      <c r="Q5730" s="4">
        <f t="shared" si="89"/>
        <v>-260.79718955551124</v>
      </c>
      <c r="R5730" s="23" t="s">
        <v>1198</v>
      </c>
      <c r="S5730" s="36" t="s">
        <v>2599</v>
      </c>
      <c r="T5730" s="2"/>
    </row>
    <row r="5731" spans="1:20" x14ac:dyDescent="0.25">
      <c r="A5731" s="21">
        <v>45820</v>
      </c>
      <c r="B5731" s="1" t="s">
        <v>1217</v>
      </c>
      <c r="C5731" t="s">
        <v>10047</v>
      </c>
      <c r="D5731" s="22">
        <v>-28808.23</v>
      </c>
      <c r="E5731" t="s">
        <v>35</v>
      </c>
      <c r="F5731" s="2">
        <v>210101001</v>
      </c>
      <c r="G5731" s="2" t="s">
        <v>36</v>
      </c>
      <c r="L5731" s="2" t="s">
        <v>10048</v>
      </c>
      <c r="M5731" t="s">
        <v>788</v>
      </c>
      <c r="N5731" t="s">
        <v>789</v>
      </c>
      <c r="P5731" s="23">
        <v>100.34</v>
      </c>
      <c r="Q5731" s="4">
        <f t="shared" si="89"/>
        <v>-287.10613912696829</v>
      </c>
      <c r="R5731" s="23" t="s">
        <v>1198</v>
      </c>
      <c r="T5731" s="2"/>
    </row>
    <row r="5732" spans="1:20" ht="15.75" x14ac:dyDescent="0.25">
      <c r="A5732" s="21">
        <v>45820</v>
      </c>
      <c r="B5732" s="1" t="s">
        <v>2573</v>
      </c>
      <c r="C5732" t="s">
        <v>10045</v>
      </c>
      <c r="D5732" s="22">
        <v>-200000</v>
      </c>
      <c r="E5732" t="s">
        <v>35</v>
      </c>
      <c r="F5732" s="2">
        <v>110114001</v>
      </c>
      <c r="G5732" s="2" t="s">
        <v>301</v>
      </c>
      <c r="L5732" s="2" t="s">
        <v>10049</v>
      </c>
      <c r="M5732" t="s">
        <v>38</v>
      </c>
      <c r="N5732" t="s">
        <v>39</v>
      </c>
      <c r="P5732" s="23">
        <v>100.34</v>
      </c>
      <c r="Q5732" s="4">
        <f t="shared" si="89"/>
        <v>-1993.2230416583616</v>
      </c>
      <c r="R5732" s="23" t="s">
        <v>1198</v>
      </c>
      <c r="S5732" s="36" t="s">
        <v>2599</v>
      </c>
      <c r="T5732" s="2"/>
    </row>
    <row r="5733" spans="1:20" x14ac:dyDescent="0.25">
      <c r="A5733" s="21">
        <v>45820</v>
      </c>
      <c r="B5733" s="1" t="s">
        <v>1211</v>
      </c>
      <c r="C5733" t="s">
        <v>10050</v>
      </c>
      <c r="D5733" s="22">
        <v>-5429.84</v>
      </c>
      <c r="E5733" t="s">
        <v>35</v>
      </c>
      <c r="F5733" s="2">
        <v>210101001</v>
      </c>
      <c r="G5733" s="2" t="s">
        <v>36</v>
      </c>
      <c r="L5733" s="2" t="s">
        <v>10051</v>
      </c>
      <c r="M5733" t="s">
        <v>1866</v>
      </c>
      <c r="N5733" t="s">
        <v>1867</v>
      </c>
      <c r="P5733" s="23">
        <v>100.34</v>
      </c>
      <c r="Q5733" s="4">
        <f t="shared" si="89"/>
        <v>-54.11441100259119</v>
      </c>
      <c r="R5733" s="23" t="s">
        <v>1198</v>
      </c>
      <c r="T5733" s="2"/>
    </row>
    <row r="5734" spans="1:20" x14ac:dyDescent="0.25">
      <c r="A5734" s="21">
        <v>45820</v>
      </c>
      <c r="B5734" s="1" t="s">
        <v>3930</v>
      </c>
      <c r="C5734" t="s">
        <v>10052</v>
      </c>
      <c r="D5734" s="22">
        <v>-26628.639999999999</v>
      </c>
      <c r="E5734" t="s">
        <v>35</v>
      </c>
      <c r="F5734" s="2">
        <v>210101001</v>
      </c>
      <c r="G5734" s="2" t="s">
        <v>36</v>
      </c>
      <c r="L5734" s="2" t="s">
        <v>10053</v>
      </c>
      <c r="M5734" t="s">
        <v>2635</v>
      </c>
      <c r="N5734" t="s">
        <v>2636</v>
      </c>
      <c r="P5734" s="23">
        <v>100.34</v>
      </c>
      <c r="Q5734" s="4">
        <f t="shared" si="89"/>
        <v>-265.38409408012757</v>
      </c>
      <c r="R5734" s="23" t="s">
        <v>1198</v>
      </c>
      <c r="T5734" s="2"/>
    </row>
    <row r="5735" spans="1:20" x14ac:dyDescent="0.25">
      <c r="A5735" s="21">
        <v>45820</v>
      </c>
      <c r="B5735" s="1" t="s">
        <v>1208</v>
      </c>
      <c r="C5735" t="s">
        <v>10054</v>
      </c>
      <c r="D5735" s="22">
        <v>-11173.86</v>
      </c>
      <c r="E5735" t="s">
        <v>35</v>
      </c>
      <c r="F5735" s="2">
        <v>210101001</v>
      </c>
      <c r="G5735" s="2" t="s">
        <v>36</v>
      </c>
      <c r="L5735" s="2" t="s">
        <v>10055</v>
      </c>
      <c r="M5735" t="s">
        <v>1866</v>
      </c>
      <c r="N5735" t="s">
        <v>1867</v>
      </c>
      <c r="P5735" s="23">
        <v>100.34</v>
      </c>
      <c r="Q5735" s="4">
        <f t="shared" si="89"/>
        <v>-111.3599760813235</v>
      </c>
      <c r="R5735" s="23" t="s">
        <v>1198</v>
      </c>
      <c r="T5735" s="2"/>
    </row>
    <row r="5736" spans="1:20" x14ac:dyDescent="0.25">
      <c r="A5736" s="21">
        <v>45820</v>
      </c>
      <c r="B5736" s="1" t="s">
        <v>1225</v>
      </c>
      <c r="C5736" t="s">
        <v>1221</v>
      </c>
      <c r="D5736" s="22">
        <v>-81.489999999999995</v>
      </c>
      <c r="E5736" t="s">
        <v>35</v>
      </c>
      <c r="F5736" s="2">
        <v>610148001</v>
      </c>
      <c r="G5736" s="2" t="s">
        <v>42</v>
      </c>
      <c r="L5736" s="2" t="s">
        <v>10056</v>
      </c>
      <c r="M5736" t="s">
        <v>43</v>
      </c>
      <c r="N5736" t="s">
        <v>42</v>
      </c>
      <c r="P5736" s="23">
        <v>100.34</v>
      </c>
      <c r="Q5736" s="4">
        <f t="shared" si="89"/>
        <v>-0.81213872832369938</v>
      </c>
      <c r="R5736" s="23" t="s">
        <v>1198</v>
      </c>
      <c r="T5736" s="41" t="s">
        <v>8423</v>
      </c>
    </row>
    <row r="5737" spans="1:20" x14ac:dyDescent="0.25">
      <c r="A5737" s="21">
        <v>45820</v>
      </c>
      <c r="B5737" s="1" t="s">
        <v>1223</v>
      </c>
      <c r="C5737" t="s">
        <v>1221</v>
      </c>
      <c r="D5737" s="22">
        <v>-27.93</v>
      </c>
      <c r="E5737" t="s">
        <v>35</v>
      </c>
      <c r="F5737" s="2">
        <v>610148001</v>
      </c>
      <c r="G5737" s="2" t="s">
        <v>42</v>
      </c>
      <c r="L5737" s="2" t="s">
        <v>10057</v>
      </c>
      <c r="M5737" t="s">
        <v>43</v>
      </c>
      <c r="N5737" t="s">
        <v>42</v>
      </c>
      <c r="P5737" s="23">
        <v>100.34</v>
      </c>
      <c r="Q5737" s="4">
        <f t="shared" si="89"/>
        <v>-0.27835359776759017</v>
      </c>
      <c r="R5737" s="23" t="s">
        <v>1198</v>
      </c>
      <c r="T5737" s="41" t="s">
        <v>8423</v>
      </c>
    </row>
    <row r="5738" spans="1:20" x14ac:dyDescent="0.25">
      <c r="A5738" s="21">
        <v>45820</v>
      </c>
      <c r="B5738" s="1" t="s">
        <v>1227</v>
      </c>
      <c r="C5738" t="s">
        <v>1221</v>
      </c>
      <c r="D5738" s="22">
        <v>-13.57</v>
      </c>
      <c r="E5738" t="s">
        <v>35</v>
      </c>
      <c r="F5738" s="2">
        <v>610148001</v>
      </c>
      <c r="G5738" s="2" t="s">
        <v>42</v>
      </c>
      <c r="L5738" s="2" t="s">
        <v>10058</v>
      </c>
      <c r="M5738" t="s">
        <v>43</v>
      </c>
      <c r="N5738" t="s">
        <v>42</v>
      </c>
      <c r="P5738" s="23">
        <v>100.34</v>
      </c>
      <c r="Q5738" s="4">
        <f t="shared" si="89"/>
        <v>-0.13524018337651983</v>
      </c>
      <c r="R5738" s="23" t="s">
        <v>1198</v>
      </c>
      <c r="T5738" s="41" t="s">
        <v>8423</v>
      </c>
    </row>
    <row r="5739" spans="1:20" x14ac:dyDescent="0.25">
      <c r="A5739" s="21">
        <v>45820</v>
      </c>
      <c r="B5739" s="1" t="s">
        <v>2585</v>
      </c>
      <c r="C5739" t="s">
        <v>1221</v>
      </c>
      <c r="D5739" s="22">
        <v>-65.42</v>
      </c>
      <c r="E5739" t="s">
        <v>35</v>
      </c>
      <c r="F5739" s="2">
        <v>610148001</v>
      </c>
      <c r="G5739" s="2" t="s">
        <v>42</v>
      </c>
      <c r="L5739" s="2" t="s">
        <v>10059</v>
      </c>
      <c r="M5739" t="s">
        <v>43</v>
      </c>
      <c r="N5739" t="s">
        <v>42</v>
      </c>
      <c r="P5739" s="23">
        <v>100.34</v>
      </c>
      <c r="Q5739" s="4">
        <f t="shared" si="89"/>
        <v>-0.65198325692645009</v>
      </c>
      <c r="R5739" s="23" t="s">
        <v>1198</v>
      </c>
      <c r="T5739" s="41" t="s">
        <v>8423</v>
      </c>
    </row>
    <row r="5740" spans="1:20" x14ac:dyDescent="0.25">
      <c r="A5740" s="21">
        <v>45820</v>
      </c>
      <c r="B5740" s="1" t="s">
        <v>2582</v>
      </c>
      <c r="C5740" t="s">
        <v>1221</v>
      </c>
      <c r="D5740" s="22">
        <v>-500</v>
      </c>
      <c r="E5740" t="s">
        <v>35</v>
      </c>
      <c r="F5740" s="2">
        <v>610148001</v>
      </c>
      <c r="G5740" s="2" t="s">
        <v>42</v>
      </c>
      <c r="L5740" s="2" t="s">
        <v>10060</v>
      </c>
      <c r="M5740" t="s">
        <v>43</v>
      </c>
      <c r="N5740" t="s">
        <v>42</v>
      </c>
      <c r="P5740" s="23">
        <v>100.34</v>
      </c>
      <c r="Q5740" s="4">
        <f t="shared" si="89"/>
        <v>-4.9830576041459036</v>
      </c>
      <c r="R5740" s="23" t="s">
        <v>1198</v>
      </c>
      <c r="T5740" s="41" t="s">
        <v>8423</v>
      </c>
    </row>
    <row r="5741" spans="1:20" x14ac:dyDescent="0.25">
      <c r="A5741" s="21">
        <v>45820</v>
      </c>
      <c r="B5741" s="1" t="s">
        <v>1220</v>
      </c>
      <c r="C5741" t="s">
        <v>1221</v>
      </c>
      <c r="D5741" s="22">
        <v>-72.02</v>
      </c>
      <c r="E5741" t="s">
        <v>35</v>
      </c>
      <c r="F5741" s="2">
        <v>610148001</v>
      </c>
      <c r="G5741" s="2" t="s">
        <v>42</v>
      </c>
      <c r="L5741" s="2" t="s">
        <v>10061</v>
      </c>
      <c r="M5741" t="s">
        <v>43</v>
      </c>
      <c r="N5741" t="s">
        <v>42</v>
      </c>
      <c r="P5741" s="23">
        <v>100.34</v>
      </c>
      <c r="Q5741" s="4">
        <f t="shared" si="89"/>
        <v>-0.71775961730117599</v>
      </c>
      <c r="R5741" s="23" t="s">
        <v>1198</v>
      </c>
      <c r="T5741" s="41" t="s">
        <v>8423</v>
      </c>
    </row>
    <row r="5742" spans="1:20" x14ac:dyDescent="0.25">
      <c r="A5742" s="21">
        <v>45820</v>
      </c>
      <c r="B5742" s="1" t="s">
        <v>3969</v>
      </c>
      <c r="C5742" t="s">
        <v>1221</v>
      </c>
      <c r="D5742" s="22">
        <v>-66.569999999999993</v>
      </c>
      <c r="E5742" t="s">
        <v>35</v>
      </c>
      <c r="F5742" s="2">
        <v>610148001</v>
      </c>
      <c r="G5742" s="2" t="s">
        <v>42</v>
      </c>
      <c r="L5742" s="2" t="s">
        <v>10062</v>
      </c>
      <c r="M5742" t="s">
        <v>43</v>
      </c>
      <c r="N5742" t="s">
        <v>42</v>
      </c>
      <c r="P5742" s="23">
        <v>100.34</v>
      </c>
      <c r="Q5742" s="4">
        <f t="shared" si="89"/>
        <v>-0.66344428941598554</v>
      </c>
      <c r="R5742" s="23" t="s">
        <v>1198</v>
      </c>
      <c r="T5742" s="41" t="s">
        <v>8423</v>
      </c>
    </row>
    <row r="5743" spans="1:20" x14ac:dyDescent="0.25">
      <c r="A5743" s="21">
        <v>45821</v>
      </c>
      <c r="B5743" s="1" t="s">
        <v>10063</v>
      </c>
      <c r="C5743" t="s">
        <v>544</v>
      </c>
      <c r="D5743" s="22">
        <v>1060000</v>
      </c>
      <c r="E5743" t="s">
        <v>46</v>
      </c>
      <c r="F5743" s="2">
        <v>210115002</v>
      </c>
      <c r="G5743" s="2" t="s">
        <v>47</v>
      </c>
      <c r="L5743" s="2" t="s">
        <v>10064</v>
      </c>
      <c r="N5743" t="s">
        <v>544</v>
      </c>
      <c r="P5743" s="23">
        <v>101.08</v>
      </c>
      <c r="Q5743" s="4">
        <f t="shared" si="89"/>
        <v>10486.743173723784</v>
      </c>
      <c r="R5743" s="23" t="s">
        <v>1198</v>
      </c>
      <c r="T5743" s="2"/>
    </row>
    <row r="5744" spans="1:20" x14ac:dyDescent="0.25">
      <c r="A5744" s="21">
        <v>45821</v>
      </c>
      <c r="B5744" s="1" t="s">
        <v>10065</v>
      </c>
      <c r="C5744" t="s">
        <v>8411</v>
      </c>
      <c r="D5744" s="22">
        <v>40000</v>
      </c>
      <c r="E5744" t="s">
        <v>46</v>
      </c>
      <c r="F5744" s="2">
        <v>210115002</v>
      </c>
      <c r="G5744" s="2" t="s">
        <v>47</v>
      </c>
      <c r="L5744" s="2" t="s">
        <v>10066</v>
      </c>
      <c r="N5744" t="s">
        <v>8411</v>
      </c>
      <c r="P5744" s="23">
        <v>101.08</v>
      </c>
      <c r="Q5744" s="4">
        <f t="shared" si="89"/>
        <v>395.7261574990107</v>
      </c>
      <c r="R5744" s="23" t="s">
        <v>1198</v>
      </c>
      <c r="T5744" s="2"/>
    </row>
    <row r="5745" spans="1:20" x14ac:dyDescent="0.25">
      <c r="A5745" s="21">
        <v>45821</v>
      </c>
      <c r="B5745" s="1" t="s">
        <v>1211</v>
      </c>
      <c r="C5745" t="s">
        <v>10067</v>
      </c>
      <c r="D5745" s="22">
        <v>-6064.8</v>
      </c>
      <c r="E5745" t="s">
        <v>35</v>
      </c>
      <c r="F5745" s="2">
        <v>212901001</v>
      </c>
      <c r="G5745" s="2" t="s">
        <v>121</v>
      </c>
      <c r="L5745" s="2" t="s">
        <v>10068</v>
      </c>
      <c r="M5745" t="s">
        <v>67</v>
      </c>
      <c r="N5745" t="s">
        <v>68</v>
      </c>
      <c r="P5745" s="23">
        <v>101.08</v>
      </c>
      <c r="Q5745" s="4">
        <f t="shared" si="89"/>
        <v>-60</v>
      </c>
      <c r="R5745" s="23" t="s">
        <v>1198</v>
      </c>
      <c r="T5745" s="2"/>
    </row>
    <row r="5746" spans="1:20" x14ac:dyDescent="0.25">
      <c r="A5746" s="21">
        <v>45821</v>
      </c>
      <c r="B5746" s="1" t="s">
        <v>4108</v>
      </c>
      <c r="C5746" t="s">
        <v>10069</v>
      </c>
      <c r="D5746" s="22">
        <v>-64048.72</v>
      </c>
      <c r="E5746" t="s">
        <v>35</v>
      </c>
      <c r="F5746" s="2">
        <v>210101001</v>
      </c>
      <c r="G5746" s="2" t="s">
        <v>36</v>
      </c>
      <c r="L5746" s="2" t="s">
        <v>10070</v>
      </c>
      <c r="M5746" t="s">
        <v>976</v>
      </c>
      <c r="N5746" t="s">
        <v>977</v>
      </c>
      <c r="P5746" s="23">
        <v>101.08</v>
      </c>
      <c r="Q5746" s="4">
        <f t="shared" si="89"/>
        <v>-633.64384645825089</v>
      </c>
      <c r="R5746" s="23" t="s">
        <v>1198</v>
      </c>
      <c r="T5746" s="2"/>
    </row>
    <row r="5747" spans="1:20" x14ac:dyDescent="0.25">
      <c r="A5747" s="21">
        <v>45821</v>
      </c>
      <c r="B5747" s="1" t="s">
        <v>3936</v>
      </c>
      <c r="C5747" t="s">
        <v>10071</v>
      </c>
      <c r="D5747" s="22">
        <v>-326.11</v>
      </c>
      <c r="E5747" t="s">
        <v>35</v>
      </c>
      <c r="F5747" s="2">
        <v>210101001</v>
      </c>
      <c r="G5747" s="2" t="s">
        <v>36</v>
      </c>
      <c r="L5747" s="2" t="s">
        <v>10072</v>
      </c>
      <c r="M5747" t="s">
        <v>1239</v>
      </c>
      <c r="N5747" t="s">
        <v>1240</v>
      </c>
      <c r="P5747" s="23">
        <v>101.08</v>
      </c>
      <c r="Q5747" s="4">
        <f t="shared" si="89"/>
        <v>-3.2262564305500594</v>
      </c>
      <c r="R5747" s="23" t="s">
        <v>1198</v>
      </c>
      <c r="T5747" s="2"/>
    </row>
    <row r="5748" spans="1:20" x14ac:dyDescent="0.25">
      <c r="A5748" s="32">
        <v>45821</v>
      </c>
      <c r="B5748" s="26" t="s">
        <v>1208</v>
      </c>
      <c r="C5748" s="27" t="s">
        <v>54</v>
      </c>
      <c r="D5748" s="28">
        <v>-12129.6</v>
      </c>
      <c r="E5748" s="27" t="s">
        <v>35</v>
      </c>
      <c r="F5748" s="29">
        <v>610129001</v>
      </c>
      <c r="G5748" s="29" t="s">
        <v>55</v>
      </c>
      <c r="H5748" s="107"/>
      <c r="I5748" s="101"/>
      <c r="J5748" s="101"/>
      <c r="K5748" s="29"/>
      <c r="L5748" s="2" t="s">
        <v>10073</v>
      </c>
      <c r="M5748" s="27" t="s">
        <v>57</v>
      </c>
      <c r="N5748" s="27" t="s">
        <v>58</v>
      </c>
      <c r="O5748" s="27" t="s">
        <v>59</v>
      </c>
      <c r="P5748" s="31">
        <v>101.08</v>
      </c>
      <c r="Q5748" s="4">
        <f t="shared" si="89"/>
        <v>-120</v>
      </c>
      <c r="R5748" s="23" t="s">
        <v>1198</v>
      </c>
      <c r="T5748" s="41" t="s">
        <v>10074</v>
      </c>
    </row>
    <row r="5749" spans="1:20" x14ac:dyDescent="0.25">
      <c r="A5749" s="21">
        <v>45821</v>
      </c>
      <c r="B5749" s="1" t="s">
        <v>3914</v>
      </c>
      <c r="C5749" t="s">
        <v>10075</v>
      </c>
      <c r="D5749" s="22">
        <v>-1304.44</v>
      </c>
      <c r="E5749" t="s">
        <v>35</v>
      </c>
      <c r="F5749" s="2">
        <v>210101001</v>
      </c>
      <c r="G5749" s="2" t="s">
        <v>36</v>
      </c>
      <c r="L5749" s="2" t="s">
        <v>10076</v>
      </c>
      <c r="M5749" t="s">
        <v>1239</v>
      </c>
      <c r="N5749" t="s">
        <v>1240</v>
      </c>
      <c r="P5749" s="23">
        <v>101.08</v>
      </c>
      <c r="Q5749" s="4">
        <f t="shared" si="89"/>
        <v>-12.905025722200238</v>
      </c>
      <c r="R5749" s="23" t="s">
        <v>1198</v>
      </c>
      <c r="T5749" s="2"/>
    </row>
    <row r="5750" spans="1:20" x14ac:dyDescent="0.25">
      <c r="A5750" s="32">
        <v>45821</v>
      </c>
      <c r="B5750" s="26" t="s">
        <v>3933</v>
      </c>
      <c r="C5750" s="27" t="s">
        <v>10077</v>
      </c>
      <c r="D5750" s="28">
        <v>-10108</v>
      </c>
      <c r="E5750" s="27" t="s">
        <v>35</v>
      </c>
      <c r="F5750" s="29">
        <v>610156001</v>
      </c>
      <c r="G5750" s="29" t="s">
        <v>91</v>
      </c>
      <c r="H5750" s="107"/>
      <c r="I5750" s="101"/>
      <c r="J5750" s="101"/>
      <c r="K5750" s="29"/>
      <c r="L5750" s="2" t="s">
        <v>10078</v>
      </c>
      <c r="M5750" s="27" t="s">
        <v>93</v>
      </c>
      <c r="N5750" s="27" t="s">
        <v>94</v>
      </c>
      <c r="O5750" s="27" t="s">
        <v>59</v>
      </c>
      <c r="P5750" s="31">
        <v>101.08</v>
      </c>
      <c r="Q5750" s="4">
        <f t="shared" si="89"/>
        <v>-100</v>
      </c>
      <c r="R5750" s="23" t="s">
        <v>1198</v>
      </c>
      <c r="T5750" s="41" t="s">
        <v>10079</v>
      </c>
    </row>
    <row r="5751" spans="1:20" x14ac:dyDescent="0.25">
      <c r="A5751" s="21">
        <v>45821</v>
      </c>
      <c r="B5751" s="1" t="s">
        <v>4091</v>
      </c>
      <c r="C5751" t="s">
        <v>7557</v>
      </c>
      <c r="D5751" s="22">
        <v>-11087.17</v>
      </c>
      <c r="E5751" t="s">
        <v>35</v>
      </c>
      <c r="F5751" s="2">
        <v>110101002</v>
      </c>
      <c r="G5751" s="2" t="s">
        <v>6359</v>
      </c>
      <c r="L5751" s="2" t="s">
        <v>10080</v>
      </c>
      <c r="N5751" t="s">
        <v>7557</v>
      </c>
      <c r="P5751" s="23">
        <v>101.08</v>
      </c>
      <c r="Q5751" s="4">
        <f t="shared" si="89"/>
        <v>-109.68707954095765</v>
      </c>
      <c r="R5751" s="23" t="s">
        <v>1198</v>
      </c>
      <c r="T5751" s="2"/>
    </row>
    <row r="5752" spans="1:20" x14ac:dyDescent="0.25">
      <c r="A5752" s="21">
        <v>45821</v>
      </c>
      <c r="B5752" s="1" t="s">
        <v>3949</v>
      </c>
      <c r="C5752" t="s">
        <v>10069</v>
      </c>
      <c r="D5752" s="22">
        <v>-200000</v>
      </c>
      <c r="E5752" t="s">
        <v>35</v>
      </c>
      <c r="F5752" s="2">
        <v>210101001</v>
      </c>
      <c r="G5752" s="2" t="s">
        <v>36</v>
      </c>
      <c r="L5752" s="2" t="s">
        <v>10081</v>
      </c>
      <c r="M5752" t="s">
        <v>976</v>
      </c>
      <c r="N5752" t="s">
        <v>977</v>
      </c>
      <c r="P5752" s="23">
        <v>101.08</v>
      </c>
      <c r="Q5752" s="4">
        <f t="shared" si="89"/>
        <v>-1978.6307874950535</v>
      </c>
      <c r="R5752" s="23" t="s">
        <v>1198</v>
      </c>
      <c r="T5752" s="2"/>
    </row>
    <row r="5753" spans="1:20" ht="15.75" x14ac:dyDescent="0.25">
      <c r="A5753" s="21">
        <v>45821</v>
      </c>
      <c r="B5753" s="1" t="s">
        <v>3927</v>
      </c>
      <c r="C5753" t="s">
        <v>10082</v>
      </c>
      <c r="D5753" s="22">
        <v>-62932.32</v>
      </c>
      <c r="E5753" t="s">
        <v>35</v>
      </c>
      <c r="F5753" s="2">
        <v>110114001</v>
      </c>
      <c r="G5753" s="2" t="s">
        <v>301</v>
      </c>
      <c r="L5753" s="2" t="s">
        <v>10083</v>
      </c>
      <c r="M5753" t="s">
        <v>38</v>
      </c>
      <c r="N5753" t="s">
        <v>39</v>
      </c>
      <c r="P5753" s="23">
        <v>101.08</v>
      </c>
      <c r="Q5753" s="4">
        <f t="shared" si="89"/>
        <v>-622.59912940245351</v>
      </c>
      <c r="R5753" s="23" t="s">
        <v>1198</v>
      </c>
      <c r="S5753" s="36" t="s">
        <v>2599</v>
      </c>
      <c r="T5753" s="2"/>
    </row>
    <row r="5754" spans="1:20" x14ac:dyDescent="0.25">
      <c r="A5754" s="21">
        <v>45821</v>
      </c>
      <c r="B5754" s="1" t="s">
        <v>3943</v>
      </c>
      <c r="C5754" t="s">
        <v>10084</v>
      </c>
      <c r="D5754" s="22">
        <v>-1010.8</v>
      </c>
      <c r="E5754" t="s">
        <v>35</v>
      </c>
      <c r="F5754" s="2">
        <v>212901001</v>
      </c>
      <c r="G5754" s="2" t="s">
        <v>121</v>
      </c>
      <c r="L5754" s="2" t="s">
        <v>10085</v>
      </c>
      <c r="M5754" t="s">
        <v>67</v>
      </c>
      <c r="N5754" t="s">
        <v>68</v>
      </c>
      <c r="P5754" s="23">
        <v>101.08</v>
      </c>
      <c r="Q5754" s="4">
        <f t="shared" si="89"/>
        <v>-10</v>
      </c>
      <c r="R5754" s="23" t="s">
        <v>1198</v>
      </c>
      <c r="T5754" s="2"/>
    </row>
    <row r="5755" spans="1:20" x14ac:dyDescent="0.25">
      <c r="A5755" s="21">
        <v>45821</v>
      </c>
      <c r="B5755" s="1" t="s">
        <v>2571</v>
      </c>
      <c r="C5755" t="s">
        <v>10086</v>
      </c>
      <c r="D5755" s="22">
        <v>-2021.6</v>
      </c>
      <c r="E5755" t="s">
        <v>35</v>
      </c>
      <c r="F5755" s="2">
        <v>212901001</v>
      </c>
      <c r="G5755" s="2" t="s">
        <v>121</v>
      </c>
      <c r="L5755" s="2" t="s">
        <v>10087</v>
      </c>
      <c r="M5755" t="s">
        <v>67</v>
      </c>
      <c r="N5755" t="s">
        <v>68</v>
      </c>
      <c r="P5755" s="23">
        <v>101.08</v>
      </c>
      <c r="Q5755" s="4">
        <f t="shared" si="89"/>
        <v>-20</v>
      </c>
      <c r="R5755" s="23" t="s">
        <v>1198</v>
      </c>
      <c r="T5755" s="2"/>
    </row>
    <row r="5756" spans="1:20" x14ac:dyDescent="0.25">
      <c r="A5756" s="21">
        <v>45821</v>
      </c>
      <c r="B5756" s="1" t="s">
        <v>1214</v>
      </c>
      <c r="C5756" t="s">
        <v>10088</v>
      </c>
      <c r="D5756" s="22">
        <v>-3032.4</v>
      </c>
      <c r="E5756" t="s">
        <v>35</v>
      </c>
      <c r="F5756" s="2">
        <v>212901001</v>
      </c>
      <c r="G5756" s="2" t="s">
        <v>121</v>
      </c>
      <c r="L5756" s="2" t="s">
        <v>10089</v>
      </c>
      <c r="M5756" t="s">
        <v>67</v>
      </c>
      <c r="N5756" t="s">
        <v>68</v>
      </c>
      <c r="P5756" s="23">
        <v>101.08</v>
      </c>
      <c r="Q5756" s="4">
        <f t="shared" si="89"/>
        <v>-30</v>
      </c>
      <c r="R5756" s="23" t="s">
        <v>1198</v>
      </c>
      <c r="T5756" s="2"/>
    </row>
    <row r="5757" spans="1:20" ht="15.75" x14ac:dyDescent="0.25">
      <c r="A5757" s="21">
        <v>45821</v>
      </c>
      <c r="B5757" s="1" t="s">
        <v>4161</v>
      </c>
      <c r="C5757" t="s">
        <v>10090</v>
      </c>
      <c r="D5757" s="22">
        <v>-183753.28</v>
      </c>
      <c r="E5757" t="s">
        <v>35</v>
      </c>
      <c r="F5757" s="2">
        <v>110114001</v>
      </c>
      <c r="G5757" s="2" t="s">
        <v>301</v>
      </c>
      <c r="L5757" s="2" t="s">
        <v>10091</v>
      </c>
      <c r="M5757" t="s">
        <v>38</v>
      </c>
      <c r="N5757" t="s">
        <v>39</v>
      </c>
      <c r="P5757" s="23">
        <v>101.08</v>
      </c>
      <c r="Q5757" s="4">
        <f t="shared" si="89"/>
        <v>-1817.8994855559952</v>
      </c>
      <c r="R5757" s="23" t="s">
        <v>1198</v>
      </c>
      <c r="S5757" s="36" t="s">
        <v>2599</v>
      </c>
      <c r="T5757" s="2"/>
    </row>
    <row r="5758" spans="1:20" x14ac:dyDescent="0.25">
      <c r="A5758" s="21">
        <v>45821</v>
      </c>
      <c r="B5758" s="1" t="s">
        <v>1217</v>
      </c>
      <c r="C5758" t="s">
        <v>10092</v>
      </c>
      <c r="D5758" s="22">
        <v>-4043.2</v>
      </c>
      <c r="E5758" t="s">
        <v>35</v>
      </c>
      <c r="F5758" s="2">
        <v>212901001</v>
      </c>
      <c r="G5758" s="2" t="s">
        <v>121</v>
      </c>
      <c r="L5758" s="2" t="s">
        <v>10093</v>
      </c>
      <c r="M5758" t="s">
        <v>67</v>
      </c>
      <c r="N5758" t="s">
        <v>68</v>
      </c>
      <c r="P5758" s="23">
        <v>101.08</v>
      </c>
      <c r="Q5758" s="4">
        <f t="shared" si="89"/>
        <v>-40</v>
      </c>
      <c r="R5758" s="23" t="s">
        <v>1198</v>
      </c>
      <c r="T5758" s="2"/>
    </row>
    <row r="5759" spans="1:20" x14ac:dyDescent="0.25">
      <c r="A5759" s="21">
        <v>45821</v>
      </c>
      <c r="B5759" s="1" t="s">
        <v>4018</v>
      </c>
      <c r="C5759" t="s">
        <v>10094</v>
      </c>
      <c r="D5759" s="22">
        <v>-4043.2</v>
      </c>
      <c r="E5759" t="s">
        <v>35</v>
      </c>
      <c r="F5759" s="2">
        <v>212901001</v>
      </c>
      <c r="G5759" s="2" t="s">
        <v>121</v>
      </c>
      <c r="L5759" s="2" t="s">
        <v>10095</v>
      </c>
      <c r="M5759" t="s">
        <v>67</v>
      </c>
      <c r="N5759" t="s">
        <v>68</v>
      </c>
      <c r="P5759" s="23">
        <v>101.08</v>
      </c>
      <c r="Q5759" s="4">
        <f t="shared" si="89"/>
        <v>-40</v>
      </c>
      <c r="R5759" s="23" t="s">
        <v>1198</v>
      </c>
      <c r="T5759" s="2"/>
    </row>
    <row r="5760" spans="1:20" x14ac:dyDescent="0.25">
      <c r="A5760" s="21">
        <v>45821</v>
      </c>
      <c r="B5760" s="1" t="s">
        <v>4021</v>
      </c>
      <c r="C5760" t="s">
        <v>10096</v>
      </c>
      <c r="D5760" s="22">
        <v>-26520</v>
      </c>
      <c r="E5760" t="s">
        <v>35</v>
      </c>
      <c r="F5760" s="2">
        <v>210101001</v>
      </c>
      <c r="G5760" s="2" t="s">
        <v>36</v>
      </c>
      <c r="L5760" s="2" t="s">
        <v>10097</v>
      </c>
      <c r="M5760" t="s">
        <v>788</v>
      </c>
      <c r="N5760" t="s">
        <v>789</v>
      </c>
      <c r="P5760" s="23">
        <v>101.08</v>
      </c>
      <c r="Q5760" s="4">
        <f t="shared" si="89"/>
        <v>-262.36644242184411</v>
      </c>
      <c r="R5760" s="23" t="s">
        <v>1198</v>
      </c>
      <c r="T5760" s="2"/>
    </row>
    <row r="5761" spans="1:20" x14ac:dyDescent="0.25">
      <c r="A5761" s="32">
        <v>45821</v>
      </c>
      <c r="B5761" s="26" t="s">
        <v>3952</v>
      </c>
      <c r="C5761" s="27" t="s">
        <v>10098</v>
      </c>
      <c r="D5761" s="28">
        <v>-4548.6000000000004</v>
      </c>
      <c r="E5761" s="27" t="s">
        <v>35</v>
      </c>
      <c r="F5761" s="29">
        <v>610156001</v>
      </c>
      <c r="G5761" s="29" t="s">
        <v>91</v>
      </c>
      <c r="H5761" s="107"/>
      <c r="I5761" s="101"/>
      <c r="J5761" s="101"/>
      <c r="K5761" s="29"/>
      <c r="L5761" s="2" t="s">
        <v>10099</v>
      </c>
      <c r="M5761" s="27" t="s">
        <v>5015</v>
      </c>
      <c r="N5761" s="27" t="s">
        <v>1240</v>
      </c>
      <c r="O5761" s="27" t="s">
        <v>59</v>
      </c>
      <c r="P5761" s="31">
        <v>101.08</v>
      </c>
      <c r="Q5761" s="4">
        <f t="shared" si="89"/>
        <v>-45.000000000000007</v>
      </c>
      <c r="R5761" s="23" t="s">
        <v>1198</v>
      </c>
      <c r="T5761" s="41" t="s">
        <v>10100</v>
      </c>
    </row>
    <row r="5762" spans="1:20" x14ac:dyDescent="0.25">
      <c r="A5762" s="21">
        <v>45821</v>
      </c>
      <c r="B5762" s="1" t="s">
        <v>3917</v>
      </c>
      <c r="C5762" t="s">
        <v>10101</v>
      </c>
      <c r="D5762" s="22">
        <v>-88020.06</v>
      </c>
      <c r="E5762" t="s">
        <v>35</v>
      </c>
      <c r="F5762" s="2">
        <v>210101001</v>
      </c>
      <c r="G5762" s="2" t="s">
        <v>36</v>
      </c>
      <c r="L5762" s="2" t="s">
        <v>10102</v>
      </c>
      <c r="M5762" t="s">
        <v>38</v>
      </c>
      <c r="N5762" t="s">
        <v>39</v>
      </c>
      <c r="P5762" s="23">
        <v>101.08</v>
      </c>
      <c r="Q5762" s="4">
        <f t="shared" si="89"/>
        <v>-870.79600316580922</v>
      </c>
      <c r="R5762" s="23" t="s">
        <v>1198</v>
      </c>
      <c r="T5762" s="2"/>
    </row>
    <row r="5763" spans="1:20" x14ac:dyDescent="0.25">
      <c r="A5763" s="21">
        <v>45821</v>
      </c>
      <c r="B5763" s="1" t="s">
        <v>4108</v>
      </c>
      <c r="C5763" t="s">
        <v>10069</v>
      </c>
      <c r="D5763" s="22">
        <v>-200000</v>
      </c>
      <c r="E5763" t="s">
        <v>35</v>
      </c>
      <c r="F5763" s="2">
        <v>210101001</v>
      </c>
      <c r="G5763" s="2" t="s">
        <v>36</v>
      </c>
      <c r="L5763" s="2" t="s">
        <v>10103</v>
      </c>
      <c r="M5763" t="s">
        <v>976</v>
      </c>
      <c r="N5763" t="s">
        <v>977</v>
      </c>
      <c r="P5763" s="23">
        <v>101.08</v>
      </c>
      <c r="Q5763" s="4">
        <f t="shared" si="89"/>
        <v>-1978.6307874950535</v>
      </c>
      <c r="R5763" s="23" t="s">
        <v>1198</v>
      </c>
      <c r="T5763" s="2"/>
    </row>
    <row r="5764" spans="1:20" x14ac:dyDescent="0.25">
      <c r="A5764" s="32">
        <v>45821</v>
      </c>
      <c r="B5764" s="26" t="s">
        <v>2573</v>
      </c>
      <c r="C5764" s="27" t="s">
        <v>10104</v>
      </c>
      <c r="D5764" s="28">
        <v>-4043.2</v>
      </c>
      <c r="E5764" s="27" t="s">
        <v>35</v>
      </c>
      <c r="F5764" s="29">
        <v>610125001</v>
      </c>
      <c r="G5764" s="29" t="s">
        <v>5746</v>
      </c>
      <c r="H5764" s="107"/>
      <c r="I5764" s="101"/>
      <c r="J5764" s="101"/>
      <c r="K5764" s="29"/>
      <c r="L5764" s="2" t="s">
        <v>10105</v>
      </c>
      <c r="M5764" s="27" t="s">
        <v>772</v>
      </c>
      <c r="N5764" s="27" t="s">
        <v>773</v>
      </c>
      <c r="O5764" s="27" t="s">
        <v>59</v>
      </c>
      <c r="P5764" s="31">
        <v>101.08</v>
      </c>
      <c r="Q5764" s="4">
        <f t="shared" si="89"/>
        <v>-40</v>
      </c>
      <c r="R5764" s="23" t="s">
        <v>1198</v>
      </c>
      <c r="T5764" s="41" t="s">
        <v>10106</v>
      </c>
    </row>
    <row r="5765" spans="1:20" x14ac:dyDescent="0.25">
      <c r="A5765" s="21">
        <v>45821</v>
      </c>
      <c r="B5765" s="1" t="s">
        <v>3930</v>
      </c>
      <c r="C5765" t="s">
        <v>10107</v>
      </c>
      <c r="D5765" s="22">
        <v>-2021.6</v>
      </c>
      <c r="E5765" t="s">
        <v>35</v>
      </c>
      <c r="F5765" s="2">
        <v>212901001</v>
      </c>
      <c r="G5765" s="2" t="s">
        <v>121</v>
      </c>
      <c r="L5765" s="2" t="s">
        <v>10108</v>
      </c>
      <c r="M5765" t="s">
        <v>67</v>
      </c>
      <c r="N5765" t="s">
        <v>68</v>
      </c>
      <c r="P5765" s="23">
        <v>101.08</v>
      </c>
      <c r="Q5765" s="4">
        <f t="shared" si="89"/>
        <v>-20</v>
      </c>
      <c r="R5765" s="23" t="s">
        <v>1198</v>
      </c>
      <c r="T5765" s="2"/>
    </row>
    <row r="5766" spans="1:20" x14ac:dyDescent="0.25">
      <c r="A5766" s="21">
        <v>45821</v>
      </c>
      <c r="B5766" s="1" t="s">
        <v>3924</v>
      </c>
      <c r="C5766" t="s">
        <v>10109</v>
      </c>
      <c r="D5766" s="22">
        <v>-2021.6</v>
      </c>
      <c r="E5766" t="s">
        <v>35</v>
      </c>
      <c r="F5766" s="2">
        <v>212901001</v>
      </c>
      <c r="G5766" s="2" t="s">
        <v>121</v>
      </c>
      <c r="L5766" s="2" t="s">
        <v>10110</v>
      </c>
      <c r="M5766" t="s">
        <v>67</v>
      </c>
      <c r="N5766" t="s">
        <v>68</v>
      </c>
      <c r="P5766" s="23">
        <v>101.08</v>
      </c>
      <c r="Q5766" s="4">
        <f t="shared" si="89"/>
        <v>-20</v>
      </c>
      <c r="R5766" s="23" t="s">
        <v>1198</v>
      </c>
      <c r="T5766" s="2"/>
    </row>
    <row r="5767" spans="1:20" x14ac:dyDescent="0.25">
      <c r="A5767" s="21">
        <v>45821</v>
      </c>
      <c r="B5767" s="1" t="s">
        <v>4108</v>
      </c>
      <c r="C5767" t="s">
        <v>10101</v>
      </c>
      <c r="D5767" s="22">
        <v>-200000</v>
      </c>
      <c r="E5767" t="s">
        <v>35</v>
      </c>
      <c r="F5767" s="2">
        <v>210101001</v>
      </c>
      <c r="G5767" s="2" t="s">
        <v>36</v>
      </c>
      <c r="L5767" s="2" t="s">
        <v>10111</v>
      </c>
      <c r="M5767" t="s">
        <v>38</v>
      </c>
      <c r="N5767" t="s">
        <v>39</v>
      </c>
      <c r="P5767" s="23">
        <v>101.08</v>
      </c>
      <c r="Q5767" s="4">
        <f t="shared" si="89"/>
        <v>-1978.6307874950535</v>
      </c>
      <c r="R5767" s="23" t="s">
        <v>1198</v>
      </c>
      <c r="T5767" s="2"/>
    </row>
    <row r="5768" spans="1:20" x14ac:dyDescent="0.25">
      <c r="A5768" s="21">
        <v>45821</v>
      </c>
      <c r="B5768" s="1" t="s">
        <v>1225</v>
      </c>
      <c r="C5768" t="s">
        <v>1221</v>
      </c>
      <c r="D5768" s="22">
        <v>-7.58</v>
      </c>
      <c r="E5768" t="s">
        <v>35</v>
      </c>
      <c r="F5768" s="2">
        <v>610148001</v>
      </c>
      <c r="G5768" s="2" t="s">
        <v>42</v>
      </c>
      <c r="L5768" s="2" t="s">
        <v>10112</v>
      </c>
      <c r="M5768" t="s">
        <v>43</v>
      </c>
      <c r="N5768" t="s">
        <v>42</v>
      </c>
      <c r="P5768" s="23">
        <v>101.08</v>
      </c>
      <c r="Q5768" s="4">
        <f t="shared" si="89"/>
        <v>-7.4990106846062526E-2</v>
      </c>
      <c r="R5768" s="23" t="s">
        <v>1198</v>
      </c>
      <c r="T5768" s="41" t="s">
        <v>8423</v>
      </c>
    </row>
    <row r="5769" spans="1:20" x14ac:dyDescent="0.25">
      <c r="A5769" s="21">
        <v>45821</v>
      </c>
      <c r="B5769" s="1" t="s">
        <v>2582</v>
      </c>
      <c r="C5769" t="s">
        <v>1221</v>
      </c>
      <c r="D5769" s="22">
        <v>-10.1</v>
      </c>
      <c r="E5769" t="s">
        <v>35</v>
      </c>
      <c r="F5769" s="2">
        <v>610148001</v>
      </c>
      <c r="G5769" s="2" t="s">
        <v>42</v>
      </c>
      <c r="L5769" s="2" t="s">
        <v>10113</v>
      </c>
      <c r="M5769" t="s">
        <v>43</v>
      </c>
      <c r="N5769" t="s">
        <v>42</v>
      </c>
      <c r="P5769" s="23">
        <v>101.08</v>
      </c>
      <c r="Q5769" s="4">
        <f t="shared" si="89"/>
        <v>-9.9920854768500197E-2</v>
      </c>
      <c r="R5769" s="23" t="s">
        <v>1198</v>
      </c>
      <c r="T5769" s="41" t="s">
        <v>8423</v>
      </c>
    </row>
    <row r="5770" spans="1:20" x14ac:dyDescent="0.25">
      <c r="A5770" s="21">
        <v>45821</v>
      </c>
      <c r="B5770" s="1" t="s">
        <v>3962</v>
      </c>
      <c r="C5770" t="s">
        <v>1221</v>
      </c>
      <c r="D5770" s="22">
        <v>-3.26</v>
      </c>
      <c r="E5770" t="s">
        <v>35</v>
      </c>
      <c r="F5770" s="2">
        <v>610148001</v>
      </c>
      <c r="G5770" s="2" t="s">
        <v>42</v>
      </c>
      <c r="L5770" s="2" t="s">
        <v>10114</v>
      </c>
      <c r="M5770" t="s">
        <v>43</v>
      </c>
      <c r="N5770" t="s">
        <v>42</v>
      </c>
      <c r="P5770" s="23">
        <v>101.08</v>
      </c>
      <c r="Q5770" s="4">
        <f t="shared" si="89"/>
        <v>-3.2251681836169367E-2</v>
      </c>
      <c r="R5770" s="23" t="s">
        <v>1198</v>
      </c>
      <c r="T5770" s="41" t="s">
        <v>8423</v>
      </c>
    </row>
    <row r="5771" spans="1:20" x14ac:dyDescent="0.25">
      <c r="A5771" s="21">
        <v>45821</v>
      </c>
      <c r="B5771" s="1" t="s">
        <v>4249</v>
      </c>
      <c r="C5771" t="s">
        <v>1221</v>
      </c>
      <c r="D5771" s="22">
        <v>-160.12</v>
      </c>
      <c r="E5771" t="s">
        <v>35</v>
      </c>
      <c r="F5771" s="2">
        <v>610148001</v>
      </c>
      <c r="G5771" s="2" t="s">
        <v>42</v>
      </c>
      <c r="L5771" s="2" t="s">
        <v>10115</v>
      </c>
      <c r="M5771" t="s">
        <v>43</v>
      </c>
      <c r="N5771" t="s">
        <v>42</v>
      </c>
      <c r="P5771" s="23">
        <v>101.08</v>
      </c>
      <c r="Q5771" s="4">
        <f t="shared" ref="Q5771:Q5834" si="90">D5771/P5771</f>
        <v>-1.5840918084685398</v>
      </c>
      <c r="R5771" s="23" t="s">
        <v>1198</v>
      </c>
      <c r="T5771" s="41" t="s">
        <v>8423</v>
      </c>
    </row>
    <row r="5772" spans="1:20" x14ac:dyDescent="0.25">
      <c r="A5772" s="21">
        <v>45821</v>
      </c>
      <c r="B5772" s="1" t="s">
        <v>4217</v>
      </c>
      <c r="C5772" t="s">
        <v>1221</v>
      </c>
      <c r="D5772" s="22">
        <v>-27.71</v>
      </c>
      <c r="E5772" t="s">
        <v>35</v>
      </c>
      <c r="F5772" s="2">
        <v>610148001</v>
      </c>
      <c r="G5772" s="2" t="s">
        <v>42</v>
      </c>
      <c r="L5772" s="2" t="s">
        <v>10116</v>
      </c>
      <c r="M5772" t="s">
        <v>43</v>
      </c>
      <c r="N5772" t="s">
        <v>42</v>
      </c>
      <c r="P5772" s="23">
        <v>101.08</v>
      </c>
      <c r="Q5772" s="4">
        <f t="shared" si="90"/>
        <v>-0.27413929560743966</v>
      </c>
      <c r="R5772" s="23" t="s">
        <v>1198</v>
      </c>
      <c r="T5772" s="41" t="s">
        <v>8423</v>
      </c>
    </row>
    <row r="5773" spans="1:20" x14ac:dyDescent="0.25">
      <c r="A5773" s="21">
        <v>45821</v>
      </c>
      <c r="B5773" s="1" t="s">
        <v>1223</v>
      </c>
      <c r="C5773" t="s">
        <v>1221</v>
      </c>
      <c r="D5773" s="22">
        <v>-30.32</v>
      </c>
      <c r="E5773" t="s">
        <v>35</v>
      </c>
      <c r="F5773" s="2">
        <v>610148001</v>
      </c>
      <c r="G5773" s="2" t="s">
        <v>42</v>
      </c>
      <c r="L5773" s="2" t="s">
        <v>10117</v>
      </c>
      <c r="M5773" t="s">
        <v>43</v>
      </c>
      <c r="N5773" t="s">
        <v>42</v>
      </c>
      <c r="P5773" s="23">
        <v>101.08</v>
      </c>
      <c r="Q5773" s="4">
        <f t="shared" si="90"/>
        <v>-0.29996042738425011</v>
      </c>
      <c r="R5773" s="23" t="s">
        <v>1198</v>
      </c>
      <c r="T5773" s="41" t="s">
        <v>8423</v>
      </c>
    </row>
    <row r="5774" spans="1:20" x14ac:dyDescent="0.25">
      <c r="A5774" s="21">
        <v>45821</v>
      </c>
      <c r="B5774" s="1" t="s">
        <v>2585</v>
      </c>
      <c r="C5774" t="s">
        <v>1221</v>
      </c>
      <c r="D5774" s="22">
        <v>-5.05</v>
      </c>
      <c r="E5774" t="s">
        <v>35</v>
      </c>
      <c r="F5774" s="2">
        <v>610148001</v>
      </c>
      <c r="G5774" s="2" t="s">
        <v>42</v>
      </c>
      <c r="L5774" s="2" t="s">
        <v>10118</v>
      </c>
      <c r="M5774" t="s">
        <v>43</v>
      </c>
      <c r="N5774" t="s">
        <v>42</v>
      </c>
      <c r="P5774" s="23">
        <v>101.08</v>
      </c>
      <c r="Q5774" s="4">
        <f t="shared" si="90"/>
        <v>-4.9960427384250099E-2</v>
      </c>
      <c r="R5774" s="23" t="s">
        <v>1198</v>
      </c>
      <c r="T5774" s="41" t="s">
        <v>8423</v>
      </c>
    </row>
    <row r="5775" spans="1:20" x14ac:dyDescent="0.25">
      <c r="A5775" s="21">
        <v>45821</v>
      </c>
      <c r="B5775" s="1" t="s">
        <v>3958</v>
      </c>
      <c r="C5775" t="s">
        <v>1221</v>
      </c>
      <c r="D5775" s="22">
        <v>-11.37</v>
      </c>
      <c r="E5775" t="s">
        <v>35</v>
      </c>
      <c r="F5775" s="2">
        <v>610148001</v>
      </c>
      <c r="G5775" s="2" t="s">
        <v>42</v>
      </c>
      <c r="L5775" s="2" t="s">
        <v>10119</v>
      </c>
      <c r="M5775" t="s">
        <v>43</v>
      </c>
      <c r="N5775" t="s">
        <v>42</v>
      </c>
      <c r="P5775" s="23">
        <v>101.08</v>
      </c>
      <c r="Q5775" s="4">
        <f t="shared" si="90"/>
        <v>-0.11248516026909378</v>
      </c>
      <c r="R5775" s="23" t="s">
        <v>1198</v>
      </c>
      <c r="T5775" s="41" t="s">
        <v>8423</v>
      </c>
    </row>
    <row r="5776" spans="1:20" x14ac:dyDescent="0.25">
      <c r="A5776" s="21">
        <v>45821</v>
      </c>
      <c r="B5776" s="1" t="s">
        <v>3969</v>
      </c>
      <c r="C5776" t="s">
        <v>1221</v>
      </c>
      <c r="D5776" s="22">
        <v>-5.05</v>
      </c>
      <c r="E5776" t="s">
        <v>35</v>
      </c>
      <c r="F5776" s="2">
        <v>610148001</v>
      </c>
      <c r="G5776" s="2" t="s">
        <v>42</v>
      </c>
      <c r="L5776" s="2" t="s">
        <v>10120</v>
      </c>
      <c r="M5776" t="s">
        <v>43</v>
      </c>
      <c r="N5776" t="s">
        <v>42</v>
      </c>
      <c r="P5776" s="23">
        <v>101.08</v>
      </c>
      <c r="Q5776" s="4">
        <f t="shared" si="90"/>
        <v>-4.9960427384250099E-2</v>
      </c>
      <c r="R5776" s="23" t="s">
        <v>1198</v>
      </c>
      <c r="T5776" s="41" t="s">
        <v>8423</v>
      </c>
    </row>
    <row r="5777" spans="1:20" x14ac:dyDescent="0.25">
      <c r="A5777" s="21">
        <v>45821</v>
      </c>
      <c r="B5777" s="1" t="s">
        <v>3965</v>
      </c>
      <c r="C5777" t="s">
        <v>1221</v>
      </c>
      <c r="D5777" s="22">
        <v>-5.05</v>
      </c>
      <c r="E5777" t="s">
        <v>35</v>
      </c>
      <c r="F5777" s="2">
        <v>610148001</v>
      </c>
      <c r="G5777" s="2" t="s">
        <v>42</v>
      </c>
      <c r="L5777" s="2" t="s">
        <v>10121</v>
      </c>
      <c r="M5777" t="s">
        <v>43</v>
      </c>
      <c r="N5777" t="s">
        <v>42</v>
      </c>
      <c r="P5777" s="23">
        <v>101.08</v>
      </c>
      <c r="Q5777" s="4">
        <f t="shared" si="90"/>
        <v>-4.9960427384250099E-2</v>
      </c>
      <c r="R5777" s="23" t="s">
        <v>1198</v>
      </c>
      <c r="T5777" s="41" t="s">
        <v>8423</v>
      </c>
    </row>
    <row r="5778" spans="1:20" x14ac:dyDescent="0.25">
      <c r="A5778" s="21">
        <v>45821</v>
      </c>
      <c r="B5778" s="1" t="s">
        <v>3973</v>
      </c>
      <c r="C5778" t="s">
        <v>1221</v>
      </c>
      <c r="D5778" s="22">
        <v>-0.81</v>
      </c>
      <c r="E5778" t="s">
        <v>35</v>
      </c>
      <c r="F5778" s="2">
        <v>610148001</v>
      </c>
      <c r="G5778" s="2" t="s">
        <v>42</v>
      </c>
      <c r="L5778" s="2" t="s">
        <v>10122</v>
      </c>
      <c r="M5778" t="s">
        <v>43</v>
      </c>
      <c r="N5778" t="s">
        <v>42</v>
      </c>
      <c r="P5778" s="23">
        <v>101.08</v>
      </c>
      <c r="Q5778" s="4">
        <f t="shared" si="90"/>
        <v>-8.0134546893549669E-3</v>
      </c>
      <c r="R5778" s="23" t="s">
        <v>1198</v>
      </c>
      <c r="T5778" s="41" t="s">
        <v>8423</v>
      </c>
    </row>
    <row r="5779" spans="1:20" x14ac:dyDescent="0.25">
      <c r="A5779" s="21">
        <v>45821</v>
      </c>
      <c r="B5779" s="1" t="s">
        <v>3960</v>
      </c>
      <c r="C5779" t="s">
        <v>1221</v>
      </c>
      <c r="D5779" s="22">
        <v>-157.33000000000001</v>
      </c>
      <c r="E5779" t="s">
        <v>35</v>
      </c>
      <c r="F5779" s="2">
        <v>610148001</v>
      </c>
      <c r="G5779" s="2" t="s">
        <v>42</v>
      </c>
      <c r="L5779" s="2" t="s">
        <v>10123</v>
      </c>
      <c r="M5779" t="s">
        <v>43</v>
      </c>
      <c r="N5779" t="s">
        <v>42</v>
      </c>
      <c r="P5779" s="23">
        <v>101.08</v>
      </c>
      <c r="Q5779" s="4">
        <f t="shared" si="90"/>
        <v>-1.556489908982984</v>
      </c>
      <c r="R5779" s="23" t="s">
        <v>1198</v>
      </c>
      <c r="T5779" s="41" t="s">
        <v>8423</v>
      </c>
    </row>
    <row r="5780" spans="1:20" x14ac:dyDescent="0.25">
      <c r="A5780" s="21">
        <v>45821</v>
      </c>
      <c r="B5780" s="1" t="s">
        <v>4249</v>
      </c>
      <c r="C5780" t="s">
        <v>1221</v>
      </c>
      <c r="D5780" s="22">
        <v>-500</v>
      </c>
      <c r="E5780" t="s">
        <v>35</v>
      </c>
      <c r="F5780" s="2">
        <v>610148001</v>
      </c>
      <c r="G5780" s="2" t="s">
        <v>42</v>
      </c>
      <c r="L5780" s="2" t="s">
        <v>10124</v>
      </c>
      <c r="M5780" t="s">
        <v>43</v>
      </c>
      <c r="N5780" t="s">
        <v>42</v>
      </c>
      <c r="P5780" s="23">
        <v>101.08</v>
      </c>
      <c r="Q5780" s="4">
        <f t="shared" si="90"/>
        <v>-4.9465769687376335</v>
      </c>
      <c r="R5780" s="23" t="s">
        <v>1198</v>
      </c>
      <c r="T5780" s="41" t="s">
        <v>8423</v>
      </c>
    </row>
    <row r="5781" spans="1:20" x14ac:dyDescent="0.25">
      <c r="A5781" s="21">
        <v>45821</v>
      </c>
      <c r="B5781" s="1" t="s">
        <v>3977</v>
      </c>
      <c r="C5781" t="s">
        <v>1221</v>
      </c>
      <c r="D5781" s="22">
        <v>-2.52</v>
      </c>
      <c r="E5781" t="s">
        <v>35</v>
      </c>
      <c r="F5781" s="2">
        <v>610148001</v>
      </c>
      <c r="G5781" s="2" t="s">
        <v>42</v>
      </c>
      <c r="L5781" s="2" t="s">
        <v>10125</v>
      </c>
      <c r="M5781" t="s">
        <v>43</v>
      </c>
      <c r="N5781" t="s">
        <v>42</v>
      </c>
      <c r="P5781" s="23">
        <v>101.08</v>
      </c>
      <c r="Q5781" s="4">
        <f t="shared" si="90"/>
        <v>-2.4930747922437674E-2</v>
      </c>
      <c r="R5781" s="23" t="s">
        <v>1198</v>
      </c>
      <c r="T5781" s="41" t="s">
        <v>8423</v>
      </c>
    </row>
    <row r="5782" spans="1:20" x14ac:dyDescent="0.25">
      <c r="A5782" s="21">
        <v>45821</v>
      </c>
      <c r="B5782" s="1" t="s">
        <v>3955</v>
      </c>
      <c r="C5782" t="s">
        <v>1221</v>
      </c>
      <c r="D5782" s="22">
        <v>-500</v>
      </c>
      <c r="E5782" t="s">
        <v>35</v>
      </c>
      <c r="F5782" s="2">
        <v>610148001</v>
      </c>
      <c r="G5782" s="2" t="s">
        <v>42</v>
      </c>
      <c r="L5782" s="2" t="s">
        <v>10126</v>
      </c>
      <c r="M5782" t="s">
        <v>43</v>
      </c>
      <c r="N5782" t="s">
        <v>42</v>
      </c>
      <c r="P5782" s="23">
        <v>101.08</v>
      </c>
      <c r="Q5782" s="4">
        <f t="shared" si="90"/>
        <v>-4.9465769687376335</v>
      </c>
      <c r="R5782" s="23" t="s">
        <v>1198</v>
      </c>
      <c r="T5782" s="41" t="s">
        <v>8423</v>
      </c>
    </row>
    <row r="5783" spans="1:20" x14ac:dyDescent="0.25">
      <c r="A5783" s="21">
        <v>45821</v>
      </c>
      <c r="B5783" s="1" t="s">
        <v>4309</v>
      </c>
      <c r="C5783" t="s">
        <v>1221</v>
      </c>
      <c r="D5783" s="22">
        <v>-459.38</v>
      </c>
      <c r="E5783" t="s">
        <v>35</v>
      </c>
      <c r="F5783" s="2">
        <v>610148001</v>
      </c>
      <c r="G5783" s="2" t="s">
        <v>42</v>
      </c>
      <c r="L5783" s="2" t="s">
        <v>10127</v>
      </c>
      <c r="M5783" t="s">
        <v>43</v>
      </c>
      <c r="N5783" t="s">
        <v>42</v>
      </c>
      <c r="P5783" s="23">
        <v>101.08</v>
      </c>
      <c r="Q5783" s="4">
        <f t="shared" si="90"/>
        <v>-4.5447170557973884</v>
      </c>
      <c r="R5783" s="23" t="s">
        <v>1198</v>
      </c>
      <c r="T5783" s="41" t="s">
        <v>8423</v>
      </c>
    </row>
    <row r="5784" spans="1:20" x14ac:dyDescent="0.25">
      <c r="A5784" s="21">
        <v>45821</v>
      </c>
      <c r="B5784" s="1" t="s">
        <v>4311</v>
      </c>
      <c r="C5784" t="s">
        <v>1221</v>
      </c>
      <c r="D5784" s="22">
        <v>-66.3</v>
      </c>
      <c r="E5784" t="s">
        <v>35</v>
      </c>
      <c r="F5784" s="2">
        <v>610148001</v>
      </c>
      <c r="G5784" s="2" t="s">
        <v>42</v>
      </c>
      <c r="L5784" s="2" t="s">
        <v>10128</v>
      </c>
      <c r="M5784" t="s">
        <v>43</v>
      </c>
      <c r="N5784" t="s">
        <v>42</v>
      </c>
      <c r="P5784" s="23">
        <v>101.08</v>
      </c>
      <c r="Q5784" s="4">
        <f t="shared" si="90"/>
        <v>-0.65591610605461015</v>
      </c>
      <c r="R5784" s="23" t="s">
        <v>1198</v>
      </c>
      <c r="T5784" s="41" t="s">
        <v>8423</v>
      </c>
    </row>
    <row r="5785" spans="1:20" x14ac:dyDescent="0.25">
      <c r="A5785" s="21">
        <v>45821</v>
      </c>
      <c r="B5785" s="1" t="s">
        <v>1220</v>
      </c>
      <c r="C5785" t="s">
        <v>1221</v>
      </c>
      <c r="D5785" s="22">
        <v>-10.1</v>
      </c>
      <c r="E5785" t="s">
        <v>35</v>
      </c>
      <c r="F5785" s="2">
        <v>610148001</v>
      </c>
      <c r="G5785" s="2" t="s">
        <v>42</v>
      </c>
      <c r="L5785" s="2" t="s">
        <v>10129</v>
      </c>
      <c r="M5785" t="s">
        <v>43</v>
      </c>
      <c r="N5785" t="s">
        <v>42</v>
      </c>
      <c r="P5785" s="23">
        <v>101.08</v>
      </c>
      <c r="Q5785" s="4">
        <f t="shared" si="90"/>
        <v>-9.9920854768500197E-2</v>
      </c>
      <c r="R5785" s="23" t="s">
        <v>1198</v>
      </c>
      <c r="T5785" s="41" t="s">
        <v>8423</v>
      </c>
    </row>
    <row r="5786" spans="1:20" x14ac:dyDescent="0.25">
      <c r="A5786" s="21">
        <v>45821</v>
      </c>
      <c r="B5786" s="1" t="s">
        <v>3967</v>
      </c>
      <c r="C5786" t="s">
        <v>1221</v>
      </c>
      <c r="D5786" s="22">
        <v>-25.27</v>
      </c>
      <c r="E5786" t="s">
        <v>35</v>
      </c>
      <c r="F5786" s="2">
        <v>610148001</v>
      </c>
      <c r="G5786" s="2" t="s">
        <v>42</v>
      </c>
      <c r="L5786" s="2" t="s">
        <v>10130</v>
      </c>
      <c r="M5786" t="s">
        <v>43</v>
      </c>
      <c r="N5786" t="s">
        <v>42</v>
      </c>
      <c r="P5786" s="23">
        <v>101.08</v>
      </c>
      <c r="Q5786" s="4">
        <f t="shared" si="90"/>
        <v>-0.25</v>
      </c>
      <c r="R5786" s="23" t="s">
        <v>1198</v>
      </c>
      <c r="T5786" s="41" t="s">
        <v>8423</v>
      </c>
    </row>
    <row r="5787" spans="1:20" x14ac:dyDescent="0.25">
      <c r="A5787" s="21">
        <v>45821</v>
      </c>
      <c r="B5787" s="1" t="s">
        <v>4242</v>
      </c>
      <c r="C5787" t="s">
        <v>1221</v>
      </c>
      <c r="D5787" s="22">
        <v>-10.1</v>
      </c>
      <c r="E5787" t="s">
        <v>35</v>
      </c>
      <c r="F5787" s="2">
        <v>610148001</v>
      </c>
      <c r="G5787" s="2" t="s">
        <v>42</v>
      </c>
      <c r="L5787" s="2" t="s">
        <v>10131</v>
      </c>
      <c r="M5787" t="s">
        <v>43</v>
      </c>
      <c r="N5787" t="s">
        <v>42</v>
      </c>
      <c r="P5787" s="23">
        <v>101.08</v>
      </c>
      <c r="Q5787" s="4">
        <f t="shared" si="90"/>
        <v>-9.9920854768500197E-2</v>
      </c>
      <c r="R5787" s="23" t="s">
        <v>1198</v>
      </c>
      <c r="T5787" s="41" t="s">
        <v>8423</v>
      </c>
    </row>
    <row r="5788" spans="1:20" x14ac:dyDescent="0.25">
      <c r="A5788" s="21">
        <v>45821</v>
      </c>
      <c r="B5788" s="1" t="s">
        <v>1227</v>
      </c>
      <c r="C5788" t="s">
        <v>1221</v>
      </c>
      <c r="D5788" s="22">
        <v>-15.16</v>
      </c>
      <c r="E5788" t="s">
        <v>35</v>
      </c>
      <c r="F5788" s="2">
        <v>610148001</v>
      </c>
      <c r="G5788" s="2" t="s">
        <v>42</v>
      </c>
      <c r="L5788" s="2" t="s">
        <v>10132</v>
      </c>
      <c r="M5788" t="s">
        <v>43</v>
      </c>
      <c r="N5788" t="s">
        <v>42</v>
      </c>
      <c r="P5788" s="23">
        <v>101.08</v>
      </c>
      <c r="Q5788" s="4">
        <f t="shared" si="90"/>
        <v>-0.14998021369212505</v>
      </c>
      <c r="R5788" s="23" t="s">
        <v>1198</v>
      </c>
      <c r="T5788" s="41" t="s">
        <v>8423</v>
      </c>
    </row>
    <row r="5789" spans="1:20" x14ac:dyDescent="0.25">
      <c r="A5789" s="21">
        <v>45821</v>
      </c>
      <c r="B5789" s="1" t="s">
        <v>3979</v>
      </c>
      <c r="C5789" t="s">
        <v>1221</v>
      </c>
      <c r="D5789" s="22">
        <v>-220.05</v>
      </c>
      <c r="E5789" t="s">
        <v>35</v>
      </c>
      <c r="F5789" s="2">
        <v>610148001</v>
      </c>
      <c r="G5789" s="2" t="s">
        <v>42</v>
      </c>
      <c r="L5789" s="2" t="s">
        <v>10133</v>
      </c>
      <c r="M5789" t="s">
        <v>43</v>
      </c>
      <c r="N5789" t="s">
        <v>42</v>
      </c>
      <c r="P5789" s="23">
        <v>101.08</v>
      </c>
      <c r="Q5789" s="4">
        <f t="shared" si="90"/>
        <v>-2.1769885239414326</v>
      </c>
      <c r="R5789" s="23" t="s">
        <v>1198</v>
      </c>
      <c r="T5789" s="41" t="s">
        <v>8423</v>
      </c>
    </row>
    <row r="5790" spans="1:20" x14ac:dyDescent="0.25">
      <c r="A5790" s="21">
        <v>45821</v>
      </c>
      <c r="B5790" s="1" t="s">
        <v>4249</v>
      </c>
      <c r="C5790" t="s">
        <v>1221</v>
      </c>
      <c r="D5790" s="22">
        <v>-500</v>
      </c>
      <c r="E5790" t="s">
        <v>35</v>
      </c>
      <c r="F5790" s="2">
        <v>610148001</v>
      </c>
      <c r="G5790" s="2" t="s">
        <v>42</v>
      </c>
      <c r="L5790" s="2" t="s">
        <v>10134</v>
      </c>
      <c r="M5790" t="s">
        <v>43</v>
      </c>
      <c r="N5790" t="s">
        <v>42</v>
      </c>
      <c r="P5790" s="23">
        <v>101.08</v>
      </c>
      <c r="Q5790" s="4">
        <f t="shared" si="90"/>
        <v>-4.9465769687376335</v>
      </c>
      <c r="R5790" s="23" t="s">
        <v>1198</v>
      </c>
      <c r="T5790" s="41" t="s">
        <v>8423</v>
      </c>
    </row>
    <row r="5791" spans="1:20" x14ac:dyDescent="0.25">
      <c r="A5791" s="21">
        <v>45833</v>
      </c>
      <c r="B5791" s="1" t="s">
        <v>10135</v>
      </c>
      <c r="C5791" t="s">
        <v>10136</v>
      </c>
      <c r="D5791" s="22">
        <v>582032.31999999995</v>
      </c>
      <c r="E5791" t="s">
        <v>46</v>
      </c>
      <c r="F5791" s="2">
        <v>110106001</v>
      </c>
      <c r="G5791" s="2" t="s">
        <v>2034</v>
      </c>
      <c r="L5791" s="2" t="s">
        <v>10137</v>
      </c>
      <c r="N5791" t="s">
        <v>10138</v>
      </c>
      <c r="P5791" s="23">
        <v>105.45</v>
      </c>
      <c r="Q5791" s="4">
        <f t="shared" si="90"/>
        <v>5519.5099099099089</v>
      </c>
      <c r="R5791" s="23" t="s">
        <v>1198</v>
      </c>
      <c r="T5791" s="2"/>
    </row>
    <row r="5792" spans="1:20" x14ac:dyDescent="0.25">
      <c r="A5792" s="21">
        <v>45835</v>
      </c>
      <c r="B5792" s="1" t="s">
        <v>10139</v>
      </c>
      <c r="C5792" t="s">
        <v>544</v>
      </c>
      <c r="D5792" s="22">
        <v>100000</v>
      </c>
      <c r="E5792" t="s">
        <v>46</v>
      </c>
      <c r="F5792" s="2">
        <v>210115002</v>
      </c>
      <c r="G5792" s="2" t="s">
        <v>47</v>
      </c>
      <c r="L5792" s="2" t="s">
        <v>10140</v>
      </c>
      <c r="N5792" t="s">
        <v>544</v>
      </c>
      <c r="P5792" s="23">
        <v>106.86</v>
      </c>
      <c r="Q5792" s="4">
        <f t="shared" si="90"/>
        <v>935.80385551188476</v>
      </c>
      <c r="R5792" s="23" t="s">
        <v>1198</v>
      </c>
      <c r="T5792" s="2"/>
    </row>
    <row r="5793" spans="1:20" x14ac:dyDescent="0.25">
      <c r="A5793" s="21">
        <v>45835</v>
      </c>
      <c r="B5793" s="1" t="s">
        <v>3927</v>
      </c>
      <c r="C5793" t="s">
        <v>10141</v>
      </c>
      <c r="D5793" s="22">
        <v>-2137.1999999999998</v>
      </c>
      <c r="E5793" t="s">
        <v>35</v>
      </c>
      <c r="F5793" s="2">
        <v>212901001</v>
      </c>
      <c r="G5793" s="2" t="s">
        <v>121</v>
      </c>
      <c r="L5793" s="2" t="s">
        <v>10142</v>
      </c>
      <c r="M5793" t="s">
        <v>67</v>
      </c>
      <c r="N5793" t="s">
        <v>68</v>
      </c>
      <c r="P5793" s="23">
        <v>106.86</v>
      </c>
      <c r="Q5793" s="4">
        <f t="shared" si="90"/>
        <v>-20</v>
      </c>
      <c r="R5793" s="23" t="s">
        <v>1198</v>
      </c>
      <c r="T5793" s="2"/>
    </row>
    <row r="5794" spans="1:20" x14ac:dyDescent="0.25">
      <c r="A5794" s="32">
        <v>45835</v>
      </c>
      <c r="B5794" s="26" t="s">
        <v>3949</v>
      </c>
      <c r="C5794" s="27" t="s">
        <v>10143</v>
      </c>
      <c r="D5794" s="28">
        <v>-21372</v>
      </c>
      <c r="E5794" s="27" t="s">
        <v>35</v>
      </c>
      <c r="F5794" s="29">
        <v>610156001</v>
      </c>
      <c r="G5794" s="29" t="s">
        <v>91</v>
      </c>
      <c r="H5794" s="107"/>
      <c r="I5794" s="101"/>
      <c r="J5794" s="101"/>
      <c r="K5794" s="29"/>
      <c r="L5794" s="2" t="s">
        <v>10144</v>
      </c>
      <c r="M5794" s="27" t="s">
        <v>5015</v>
      </c>
      <c r="N5794" s="27" t="s">
        <v>1240</v>
      </c>
      <c r="O5794" s="27" t="s">
        <v>59</v>
      </c>
      <c r="P5794" s="31">
        <v>106.86</v>
      </c>
      <c r="Q5794" s="4">
        <f t="shared" si="90"/>
        <v>-200</v>
      </c>
      <c r="R5794" s="23" t="s">
        <v>1198</v>
      </c>
      <c r="T5794" s="41" t="s">
        <v>10145</v>
      </c>
    </row>
    <row r="5795" spans="1:20" x14ac:dyDescent="0.25">
      <c r="A5795" s="21">
        <v>45835</v>
      </c>
      <c r="B5795" s="1" t="s">
        <v>2571</v>
      </c>
      <c r="C5795" t="s">
        <v>10146</v>
      </c>
      <c r="D5795" s="22">
        <v>-16029</v>
      </c>
      <c r="E5795" t="s">
        <v>35</v>
      </c>
      <c r="F5795" s="2">
        <v>212901001</v>
      </c>
      <c r="G5795" s="2" t="s">
        <v>121</v>
      </c>
      <c r="L5795" s="2" t="s">
        <v>10147</v>
      </c>
      <c r="M5795" t="s">
        <v>67</v>
      </c>
      <c r="N5795" t="s">
        <v>68</v>
      </c>
      <c r="P5795" s="23">
        <v>106.86</v>
      </c>
      <c r="Q5795" s="4">
        <f t="shared" si="90"/>
        <v>-150</v>
      </c>
      <c r="R5795" s="23" t="s">
        <v>1198</v>
      </c>
      <c r="T5795" s="2"/>
    </row>
    <row r="5796" spans="1:20" ht="15.75" x14ac:dyDescent="0.25">
      <c r="A5796" s="21">
        <v>45835</v>
      </c>
      <c r="B5796" s="1" t="s">
        <v>1208</v>
      </c>
      <c r="C5796" t="s">
        <v>9872</v>
      </c>
      <c r="D5796" s="22">
        <v>-200000</v>
      </c>
      <c r="E5796" t="s">
        <v>35</v>
      </c>
      <c r="F5796" s="2">
        <v>110114001</v>
      </c>
      <c r="G5796" s="2" t="s">
        <v>301</v>
      </c>
      <c r="L5796" s="2" t="s">
        <v>10148</v>
      </c>
      <c r="M5796" t="s">
        <v>38</v>
      </c>
      <c r="N5796" t="s">
        <v>39</v>
      </c>
      <c r="P5796" s="23">
        <v>106.86</v>
      </c>
      <c r="Q5796" s="4">
        <f t="shared" si="90"/>
        <v>-1871.6077110237695</v>
      </c>
      <c r="R5796" s="23" t="s">
        <v>1198</v>
      </c>
      <c r="S5796" s="36" t="s">
        <v>2599</v>
      </c>
      <c r="T5796" s="2"/>
    </row>
    <row r="5797" spans="1:20" ht="15.75" x14ac:dyDescent="0.25">
      <c r="A5797" s="21">
        <v>45835</v>
      </c>
      <c r="B5797" s="1" t="s">
        <v>3917</v>
      </c>
      <c r="C5797" t="s">
        <v>10149</v>
      </c>
      <c r="D5797" s="22">
        <v>-30296.43</v>
      </c>
      <c r="E5797" t="s">
        <v>35</v>
      </c>
      <c r="F5797" s="2">
        <v>110114001</v>
      </c>
      <c r="G5797" s="2" t="s">
        <v>301</v>
      </c>
      <c r="L5797" s="2" t="s">
        <v>10150</v>
      </c>
      <c r="M5797" t="s">
        <v>534</v>
      </c>
      <c r="N5797" t="s">
        <v>535</v>
      </c>
      <c r="P5797" s="23">
        <v>106.86</v>
      </c>
      <c r="Q5797" s="4">
        <f t="shared" si="90"/>
        <v>-283.51516002245927</v>
      </c>
      <c r="R5797" s="23" t="s">
        <v>1198</v>
      </c>
      <c r="S5797" s="36" t="s">
        <v>2599</v>
      </c>
      <c r="T5797" s="2"/>
    </row>
    <row r="5798" spans="1:20" x14ac:dyDescent="0.25">
      <c r="A5798" s="21">
        <v>45835</v>
      </c>
      <c r="B5798" s="1" t="s">
        <v>3952</v>
      </c>
      <c r="C5798" t="s">
        <v>10151</v>
      </c>
      <c r="D5798" s="22">
        <v>-3205.8</v>
      </c>
      <c r="E5798" t="s">
        <v>35</v>
      </c>
      <c r="F5798" s="2">
        <v>212901001</v>
      </c>
      <c r="G5798" s="2" t="s">
        <v>121</v>
      </c>
      <c r="L5798" s="2" t="s">
        <v>10152</v>
      </c>
      <c r="M5798" t="s">
        <v>67</v>
      </c>
      <c r="N5798" t="s">
        <v>68</v>
      </c>
      <c r="P5798" s="23">
        <v>106.86</v>
      </c>
      <c r="Q5798" s="4">
        <f t="shared" si="90"/>
        <v>-30.000000000000004</v>
      </c>
      <c r="R5798" s="23" t="s">
        <v>1198</v>
      </c>
      <c r="T5798" s="2"/>
    </row>
    <row r="5799" spans="1:20" x14ac:dyDescent="0.25">
      <c r="A5799" s="32">
        <v>45835</v>
      </c>
      <c r="B5799" s="26" t="s">
        <v>1217</v>
      </c>
      <c r="C5799" s="27" t="s">
        <v>54</v>
      </c>
      <c r="D5799" s="28">
        <v>-12823.2</v>
      </c>
      <c r="E5799" s="27" t="s">
        <v>35</v>
      </c>
      <c r="F5799" s="29">
        <v>610129001</v>
      </c>
      <c r="G5799" s="29" t="s">
        <v>55</v>
      </c>
      <c r="H5799" s="107"/>
      <c r="I5799" s="101"/>
      <c r="J5799" s="101"/>
      <c r="K5799" s="29"/>
      <c r="L5799" s="2" t="s">
        <v>10153</v>
      </c>
      <c r="M5799" s="27" t="s">
        <v>57</v>
      </c>
      <c r="N5799" s="27" t="s">
        <v>58</v>
      </c>
      <c r="O5799" s="27" t="s">
        <v>59</v>
      </c>
      <c r="P5799" s="31">
        <v>106.86</v>
      </c>
      <c r="Q5799" s="4">
        <f t="shared" si="90"/>
        <v>-120.00000000000001</v>
      </c>
      <c r="R5799" s="23" t="s">
        <v>1198</v>
      </c>
      <c r="T5799" s="41" t="s">
        <v>10154</v>
      </c>
    </row>
    <row r="5800" spans="1:20" ht="15.75" x14ac:dyDescent="0.25">
      <c r="A5800" s="21">
        <v>45835</v>
      </c>
      <c r="B5800" s="1" t="s">
        <v>1214</v>
      </c>
      <c r="C5800" t="s">
        <v>9872</v>
      </c>
      <c r="D5800" s="22">
        <v>-42122.559999999998</v>
      </c>
      <c r="E5800" t="s">
        <v>35</v>
      </c>
      <c r="F5800" s="2">
        <v>110114001</v>
      </c>
      <c r="G5800" s="2" t="s">
        <v>301</v>
      </c>
      <c r="L5800" s="2" t="s">
        <v>10155</v>
      </c>
      <c r="M5800" t="s">
        <v>38</v>
      </c>
      <c r="N5800" t="s">
        <v>39</v>
      </c>
      <c r="P5800" s="23">
        <v>106.86</v>
      </c>
      <c r="Q5800" s="4">
        <f t="shared" si="90"/>
        <v>-394.18454052030694</v>
      </c>
      <c r="R5800" s="23" t="s">
        <v>1198</v>
      </c>
      <c r="S5800" s="36" t="s">
        <v>2599</v>
      </c>
      <c r="T5800" s="2"/>
    </row>
    <row r="5801" spans="1:20" ht="15.75" x14ac:dyDescent="0.25">
      <c r="A5801" s="21">
        <v>45835</v>
      </c>
      <c r="B5801" s="1" t="s">
        <v>4108</v>
      </c>
      <c r="C5801" t="s">
        <v>10156</v>
      </c>
      <c r="D5801" s="22">
        <v>-55335.88</v>
      </c>
      <c r="E5801" t="s">
        <v>35</v>
      </c>
      <c r="F5801" s="2">
        <v>110114001</v>
      </c>
      <c r="G5801" s="2" t="s">
        <v>301</v>
      </c>
      <c r="L5801" s="2" t="s">
        <v>10157</v>
      </c>
      <c r="M5801" t="s">
        <v>788</v>
      </c>
      <c r="N5801" t="s">
        <v>789</v>
      </c>
      <c r="P5801" s="23">
        <v>106.86</v>
      </c>
      <c r="Q5801" s="4">
        <f t="shared" si="90"/>
        <v>-517.83529852142988</v>
      </c>
      <c r="R5801" s="23" t="s">
        <v>1198</v>
      </c>
      <c r="S5801" s="36" t="s">
        <v>2599</v>
      </c>
      <c r="T5801" s="2"/>
    </row>
    <row r="5802" spans="1:20" x14ac:dyDescent="0.25">
      <c r="A5802" s="21">
        <v>45835</v>
      </c>
      <c r="B5802" s="1" t="s">
        <v>3924</v>
      </c>
      <c r="C5802" t="s">
        <v>10158</v>
      </c>
      <c r="D5802" s="22">
        <v>-3205.8</v>
      </c>
      <c r="E5802" t="s">
        <v>35</v>
      </c>
      <c r="F5802" s="2">
        <v>212901001</v>
      </c>
      <c r="G5802" s="2" t="s">
        <v>121</v>
      </c>
      <c r="L5802" s="2" t="s">
        <v>10159</v>
      </c>
      <c r="M5802" t="s">
        <v>67</v>
      </c>
      <c r="N5802" t="s">
        <v>68</v>
      </c>
      <c r="P5802" s="23">
        <v>106.86</v>
      </c>
      <c r="Q5802" s="4">
        <f t="shared" si="90"/>
        <v>-30.000000000000004</v>
      </c>
      <c r="R5802" s="23" t="s">
        <v>1198</v>
      </c>
      <c r="T5802" s="2"/>
    </row>
    <row r="5803" spans="1:20" x14ac:dyDescent="0.25">
      <c r="A5803" s="21">
        <v>45835</v>
      </c>
      <c r="B5803" s="1" t="s">
        <v>3930</v>
      </c>
      <c r="C5803" t="s">
        <v>10160</v>
      </c>
      <c r="D5803" s="22">
        <v>-3205.8</v>
      </c>
      <c r="E5803" t="s">
        <v>35</v>
      </c>
      <c r="F5803" s="2">
        <v>212901001</v>
      </c>
      <c r="G5803" s="2" t="s">
        <v>121</v>
      </c>
      <c r="L5803" s="2" t="s">
        <v>10161</v>
      </c>
      <c r="M5803" t="s">
        <v>67</v>
      </c>
      <c r="N5803" t="s">
        <v>68</v>
      </c>
      <c r="P5803" s="23">
        <v>106.86</v>
      </c>
      <c r="Q5803" s="4">
        <f t="shared" si="90"/>
        <v>-30.000000000000004</v>
      </c>
      <c r="R5803" s="23" t="s">
        <v>1198</v>
      </c>
      <c r="T5803" s="2"/>
    </row>
    <row r="5804" spans="1:20" x14ac:dyDescent="0.25">
      <c r="A5804" s="21">
        <v>45835</v>
      </c>
      <c r="B5804" s="1" t="s">
        <v>3933</v>
      </c>
      <c r="C5804" t="s">
        <v>10162</v>
      </c>
      <c r="D5804" s="22">
        <v>-2137.1999999999998</v>
      </c>
      <c r="E5804" t="s">
        <v>35</v>
      </c>
      <c r="F5804" s="2">
        <v>212901001</v>
      </c>
      <c r="G5804" s="2" t="s">
        <v>121</v>
      </c>
      <c r="L5804" s="2" t="s">
        <v>10163</v>
      </c>
      <c r="M5804" t="s">
        <v>67</v>
      </c>
      <c r="N5804" t="s">
        <v>68</v>
      </c>
      <c r="P5804" s="23">
        <v>106.86</v>
      </c>
      <c r="Q5804" s="4">
        <f t="shared" si="90"/>
        <v>-20</v>
      </c>
      <c r="R5804" s="23" t="s">
        <v>1198</v>
      </c>
      <c r="T5804" s="2"/>
    </row>
    <row r="5805" spans="1:20" x14ac:dyDescent="0.25">
      <c r="A5805" s="21">
        <v>45835</v>
      </c>
      <c r="B5805" s="1" t="s">
        <v>3943</v>
      </c>
      <c r="C5805" t="s">
        <v>10164</v>
      </c>
      <c r="D5805" s="22">
        <v>-2137.1999999999998</v>
      </c>
      <c r="E5805" t="s">
        <v>35</v>
      </c>
      <c r="F5805" s="2">
        <v>212901001</v>
      </c>
      <c r="G5805" s="2" t="s">
        <v>121</v>
      </c>
      <c r="L5805" s="2" t="s">
        <v>10165</v>
      </c>
      <c r="M5805" t="s">
        <v>67</v>
      </c>
      <c r="N5805" t="s">
        <v>68</v>
      </c>
      <c r="P5805" s="23">
        <v>106.86</v>
      </c>
      <c r="Q5805" s="4">
        <f t="shared" si="90"/>
        <v>-20</v>
      </c>
      <c r="R5805" s="23" t="s">
        <v>1198</v>
      </c>
      <c r="T5805" s="2"/>
    </row>
    <row r="5806" spans="1:20" x14ac:dyDescent="0.25">
      <c r="A5806" s="21">
        <v>45835</v>
      </c>
      <c r="B5806" s="1" t="s">
        <v>2573</v>
      </c>
      <c r="C5806" t="s">
        <v>7557</v>
      </c>
      <c r="D5806" s="22">
        <v>-10978.35</v>
      </c>
      <c r="E5806" t="s">
        <v>35</v>
      </c>
      <c r="F5806" s="2">
        <v>110101002</v>
      </c>
      <c r="G5806" s="2" t="s">
        <v>6359</v>
      </c>
      <c r="L5806" s="2" t="s">
        <v>10166</v>
      </c>
      <c r="N5806" t="s">
        <v>7557</v>
      </c>
      <c r="P5806" s="23">
        <v>106.86</v>
      </c>
      <c r="Q5806" s="4">
        <f t="shared" si="90"/>
        <v>-102.735822571589</v>
      </c>
      <c r="R5806" s="23" t="s">
        <v>1198</v>
      </c>
      <c r="T5806" s="2"/>
    </row>
    <row r="5807" spans="1:20" x14ac:dyDescent="0.25">
      <c r="A5807" s="21">
        <v>45835</v>
      </c>
      <c r="B5807" s="1" t="s">
        <v>3936</v>
      </c>
      <c r="C5807" t="s">
        <v>10167</v>
      </c>
      <c r="D5807" s="22">
        <v>-1068.5999999999999</v>
      </c>
      <c r="E5807" t="s">
        <v>35</v>
      </c>
      <c r="F5807" s="2">
        <v>212901001</v>
      </c>
      <c r="G5807" s="2" t="s">
        <v>121</v>
      </c>
      <c r="L5807" s="2" t="s">
        <v>10168</v>
      </c>
      <c r="M5807" t="s">
        <v>67</v>
      </c>
      <c r="N5807" t="s">
        <v>68</v>
      </c>
      <c r="P5807" s="23">
        <v>106.86</v>
      </c>
      <c r="Q5807" s="4">
        <f t="shared" si="90"/>
        <v>-10</v>
      </c>
      <c r="R5807" s="23" t="s">
        <v>1198</v>
      </c>
      <c r="T5807" s="2"/>
    </row>
    <row r="5808" spans="1:20" ht="15.75" x14ac:dyDescent="0.25">
      <c r="A5808" s="21">
        <v>45835</v>
      </c>
      <c r="B5808" s="1" t="s">
        <v>4088</v>
      </c>
      <c r="C5808" t="s">
        <v>10169</v>
      </c>
      <c r="D5808" s="22">
        <v>-49873.97</v>
      </c>
      <c r="E5808" t="s">
        <v>35</v>
      </c>
      <c r="F5808" s="2">
        <v>110114001</v>
      </c>
      <c r="G5808" s="2" t="s">
        <v>301</v>
      </c>
      <c r="L5808" s="2" t="s">
        <v>10170</v>
      </c>
      <c r="M5808" t="s">
        <v>38</v>
      </c>
      <c r="N5808" t="s">
        <v>39</v>
      </c>
      <c r="P5808" s="23">
        <v>106.86</v>
      </c>
      <c r="Q5808" s="4">
        <f t="shared" si="90"/>
        <v>-466.72253415684077</v>
      </c>
      <c r="R5808" s="23" t="s">
        <v>1198</v>
      </c>
      <c r="S5808" s="36" t="s">
        <v>2599</v>
      </c>
      <c r="T5808" s="2"/>
    </row>
    <row r="5809" spans="1:20" x14ac:dyDescent="0.25">
      <c r="A5809" s="32">
        <v>45835</v>
      </c>
      <c r="B5809" s="26" t="s">
        <v>3914</v>
      </c>
      <c r="C5809" s="27" t="s">
        <v>10171</v>
      </c>
      <c r="D5809" s="28">
        <v>-9617.4</v>
      </c>
      <c r="E5809" s="27" t="s">
        <v>35</v>
      </c>
      <c r="F5809" s="29">
        <v>610156001</v>
      </c>
      <c r="G5809" s="29" t="s">
        <v>91</v>
      </c>
      <c r="H5809" s="107"/>
      <c r="I5809" s="101"/>
      <c r="J5809" s="101"/>
      <c r="K5809" s="29"/>
      <c r="L5809" s="2" t="s">
        <v>10172</v>
      </c>
      <c r="M5809" s="27" t="s">
        <v>93</v>
      </c>
      <c r="N5809" s="27" t="s">
        <v>94</v>
      </c>
      <c r="O5809" s="27" t="s">
        <v>59</v>
      </c>
      <c r="P5809" s="31">
        <v>106.86</v>
      </c>
      <c r="Q5809" s="4">
        <f t="shared" si="90"/>
        <v>-90</v>
      </c>
      <c r="R5809" s="23" t="s">
        <v>1198</v>
      </c>
      <c r="T5809" s="41" t="s">
        <v>10173</v>
      </c>
    </row>
    <row r="5810" spans="1:20" ht="15.75" x14ac:dyDescent="0.25">
      <c r="A5810" s="21">
        <v>45835</v>
      </c>
      <c r="B5810" s="1" t="s">
        <v>1211</v>
      </c>
      <c r="C5810" t="s">
        <v>9872</v>
      </c>
      <c r="D5810" s="22">
        <v>-200000</v>
      </c>
      <c r="E5810" t="s">
        <v>35</v>
      </c>
      <c r="F5810" s="2">
        <v>110114001</v>
      </c>
      <c r="G5810" s="2" t="s">
        <v>301</v>
      </c>
      <c r="L5810" s="2" t="s">
        <v>10174</v>
      </c>
      <c r="M5810" t="s">
        <v>38</v>
      </c>
      <c r="N5810" t="s">
        <v>39</v>
      </c>
      <c r="P5810" s="23">
        <v>106.86</v>
      </c>
      <c r="Q5810" s="4">
        <f t="shared" si="90"/>
        <v>-1871.6077110237695</v>
      </c>
      <c r="R5810" s="23" t="s">
        <v>1198</v>
      </c>
      <c r="S5810" s="36" t="s">
        <v>2599</v>
      </c>
      <c r="T5810" s="2"/>
    </row>
    <row r="5811" spans="1:20" x14ac:dyDescent="0.25">
      <c r="A5811" s="21">
        <v>45835</v>
      </c>
      <c r="B5811" s="1" t="s">
        <v>3969</v>
      </c>
      <c r="C5811" t="s">
        <v>1221</v>
      </c>
      <c r="D5811" s="22">
        <v>-8.01</v>
      </c>
      <c r="E5811" t="s">
        <v>35</v>
      </c>
      <c r="F5811" s="2">
        <v>610148001</v>
      </c>
      <c r="G5811" s="2" t="s">
        <v>42</v>
      </c>
      <c r="L5811" s="2" t="s">
        <v>10175</v>
      </c>
      <c r="M5811" t="s">
        <v>43</v>
      </c>
      <c r="N5811" t="s">
        <v>42</v>
      </c>
      <c r="P5811" s="23">
        <v>106.86</v>
      </c>
      <c r="Q5811" s="4">
        <f t="shared" si="90"/>
        <v>-7.4957888826501964E-2</v>
      </c>
      <c r="R5811" s="23" t="s">
        <v>1198</v>
      </c>
      <c r="T5811" s="41" t="s">
        <v>8423</v>
      </c>
    </row>
    <row r="5812" spans="1:20" x14ac:dyDescent="0.25">
      <c r="A5812" s="21">
        <v>45835</v>
      </c>
      <c r="B5812" s="1" t="s">
        <v>1227</v>
      </c>
      <c r="C5812" t="s">
        <v>1221</v>
      </c>
      <c r="D5812" s="22">
        <v>-500</v>
      </c>
      <c r="E5812" t="s">
        <v>35</v>
      </c>
      <c r="F5812" s="2">
        <v>610148001</v>
      </c>
      <c r="G5812" s="2" t="s">
        <v>42</v>
      </c>
      <c r="L5812" s="2" t="s">
        <v>10176</v>
      </c>
      <c r="M5812" t="s">
        <v>43</v>
      </c>
      <c r="N5812" t="s">
        <v>42</v>
      </c>
      <c r="P5812" s="23">
        <v>106.86</v>
      </c>
      <c r="Q5812" s="4">
        <f t="shared" si="90"/>
        <v>-4.6790192775594237</v>
      </c>
      <c r="R5812" s="23" t="s">
        <v>1198</v>
      </c>
      <c r="T5812" s="41" t="s">
        <v>8423</v>
      </c>
    </row>
    <row r="5813" spans="1:20" x14ac:dyDescent="0.25">
      <c r="A5813" s="21">
        <v>45835</v>
      </c>
      <c r="B5813" s="1" t="s">
        <v>2585</v>
      </c>
      <c r="C5813" t="s">
        <v>1221</v>
      </c>
      <c r="D5813" s="22">
        <v>-40.07</v>
      </c>
      <c r="E5813" t="s">
        <v>35</v>
      </c>
      <c r="F5813" s="2">
        <v>610148001</v>
      </c>
      <c r="G5813" s="2" t="s">
        <v>42</v>
      </c>
      <c r="L5813" s="2" t="s">
        <v>10177</v>
      </c>
      <c r="M5813" t="s">
        <v>43</v>
      </c>
      <c r="N5813" t="s">
        <v>42</v>
      </c>
      <c r="P5813" s="23">
        <v>106.86</v>
      </c>
      <c r="Q5813" s="4">
        <f t="shared" si="90"/>
        <v>-0.37497660490361223</v>
      </c>
      <c r="R5813" s="23" t="s">
        <v>1198</v>
      </c>
      <c r="T5813" s="41" t="s">
        <v>8423</v>
      </c>
    </row>
    <row r="5814" spans="1:20" x14ac:dyDescent="0.25">
      <c r="A5814" s="21">
        <v>45835</v>
      </c>
      <c r="B5814" s="1" t="s">
        <v>3962</v>
      </c>
      <c r="C5814" t="s">
        <v>1221</v>
      </c>
      <c r="D5814" s="22">
        <v>-24.04</v>
      </c>
      <c r="E5814" t="s">
        <v>35</v>
      </c>
      <c r="F5814" s="2">
        <v>610148001</v>
      </c>
      <c r="G5814" s="2" t="s">
        <v>42</v>
      </c>
      <c r="L5814" s="2" t="s">
        <v>10178</v>
      </c>
      <c r="M5814" t="s">
        <v>43</v>
      </c>
      <c r="N5814" t="s">
        <v>42</v>
      </c>
      <c r="P5814" s="23">
        <v>106.86</v>
      </c>
      <c r="Q5814" s="4">
        <f t="shared" si="90"/>
        <v>-0.22496724686505709</v>
      </c>
      <c r="R5814" s="23" t="s">
        <v>1198</v>
      </c>
      <c r="T5814" s="41" t="s">
        <v>8423</v>
      </c>
    </row>
    <row r="5815" spans="1:20" x14ac:dyDescent="0.25">
      <c r="A5815" s="21">
        <v>45835</v>
      </c>
      <c r="B5815" s="1" t="s">
        <v>3977</v>
      </c>
      <c r="C5815" t="s">
        <v>1221</v>
      </c>
      <c r="D5815" s="22">
        <v>-5.34</v>
      </c>
      <c r="E5815" t="s">
        <v>35</v>
      </c>
      <c r="F5815" s="2">
        <v>610148001</v>
      </c>
      <c r="G5815" s="2" t="s">
        <v>42</v>
      </c>
      <c r="L5815" s="2" t="s">
        <v>10179</v>
      </c>
      <c r="M5815" t="s">
        <v>43</v>
      </c>
      <c r="N5815" t="s">
        <v>42</v>
      </c>
      <c r="P5815" s="23">
        <v>106.86</v>
      </c>
      <c r="Q5815" s="4">
        <f t="shared" si="90"/>
        <v>-4.9971925884334641E-2</v>
      </c>
      <c r="R5815" s="23" t="s">
        <v>1198</v>
      </c>
      <c r="T5815" s="41" t="s">
        <v>8423</v>
      </c>
    </row>
    <row r="5816" spans="1:20" x14ac:dyDescent="0.25">
      <c r="A5816" s="21">
        <v>45835</v>
      </c>
      <c r="B5816" s="1" t="s">
        <v>3979</v>
      </c>
      <c r="C5816" t="s">
        <v>1221</v>
      </c>
      <c r="D5816" s="22">
        <v>-75.739999999999995</v>
      </c>
      <c r="E5816" t="s">
        <v>35</v>
      </c>
      <c r="F5816" s="2">
        <v>610148001</v>
      </c>
      <c r="G5816" s="2" t="s">
        <v>42</v>
      </c>
      <c r="L5816" s="2" t="s">
        <v>10180</v>
      </c>
      <c r="M5816" t="s">
        <v>43</v>
      </c>
      <c r="N5816" t="s">
        <v>42</v>
      </c>
      <c r="P5816" s="23">
        <v>106.86</v>
      </c>
      <c r="Q5816" s="4">
        <f t="shared" si="90"/>
        <v>-0.70877784016470147</v>
      </c>
      <c r="R5816" s="23" t="s">
        <v>1198</v>
      </c>
      <c r="T5816" s="41" t="s">
        <v>8423</v>
      </c>
    </row>
    <row r="5817" spans="1:20" x14ac:dyDescent="0.25">
      <c r="A5817" s="21">
        <v>45835</v>
      </c>
      <c r="B5817" s="1" t="s">
        <v>3973</v>
      </c>
      <c r="C5817" t="s">
        <v>1221</v>
      </c>
      <c r="D5817" s="22">
        <v>-2.67</v>
      </c>
      <c r="E5817" t="s">
        <v>35</v>
      </c>
      <c r="F5817" s="2">
        <v>610148001</v>
      </c>
      <c r="G5817" s="2" t="s">
        <v>42</v>
      </c>
      <c r="L5817" s="2" t="s">
        <v>10181</v>
      </c>
      <c r="M5817" t="s">
        <v>43</v>
      </c>
      <c r="N5817" t="s">
        <v>42</v>
      </c>
      <c r="P5817" s="23">
        <v>106.86</v>
      </c>
      <c r="Q5817" s="4">
        <f t="shared" si="90"/>
        <v>-2.498596294216732E-2</v>
      </c>
      <c r="R5817" s="23" t="s">
        <v>1198</v>
      </c>
      <c r="T5817" s="41" t="s">
        <v>8423</v>
      </c>
    </row>
    <row r="5818" spans="1:20" x14ac:dyDescent="0.25">
      <c r="A5818" s="21">
        <v>45835</v>
      </c>
      <c r="B5818" s="1" t="s">
        <v>3967</v>
      </c>
      <c r="C5818" t="s">
        <v>1221</v>
      </c>
      <c r="D5818" s="22">
        <v>-5.34</v>
      </c>
      <c r="E5818" t="s">
        <v>35</v>
      </c>
      <c r="F5818" s="2">
        <v>610148001</v>
      </c>
      <c r="G5818" s="2" t="s">
        <v>42</v>
      </c>
      <c r="L5818" s="2" t="s">
        <v>10182</v>
      </c>
      <c r="M5818" t="s">
        <v>43</v>
      </c>
      <c r="N5818" t="s">
        <v>42</v>
      </c>
      <c r="P5818" s="23">
        <v>106.86</v>
      </c>
      <c r="Q5818" s="4">
        <f t="shared" si="90"/>
        <v>-4.9971925884334641E-2</v>
      </c>
      <c r="R5818" s="23" t="s">
        <v>1198</v>
      </c>
      <c r="T5818" s="41" t="s">
        <v>8423</v>
      </c>
    </row>
    <row r="5819" spans="1:20" x14ac:dyDescent="0.25">
      <c r="A5819" s="21">
        <v>45835</v>
      </c>
      <c r="B5819" s="1" t="s">
        <v>3958</v>
      </c>
      <c r="C5819" t="s">
        <v>1221</v>
      </c>
      <c r="D5819" s="22">
        <v>-8.01</v>
      </c>
      <c r="E5819" t="s">
        <v>35</v>
      </c>
      <c r="F5819" s="2">
        <v>610148001</v>
      </c>
      <c r="G5819" s="2" t="s">
        <v>42</v>
      </c>
      <c r="L5819" s="2" t="s">
        <v>10183</v>
      </c>
      <c r="M5819" t="s">
        <v>43</v>
      </c>
      <c r="N5819" t="s">
        <v>42</v>
      </c>
      <c r="P5819" s="23">
        <v>106.86</v>
      </c>
      <c r="Q5819" s="4">
        <f t="shared" si="90"/>
        <v>-7.4957888826501964E-2</v>
      </c>
      <c r="R5819" s="23" t="s">
        <v>1198</v>
      </c>
      <c r="T5819" s="41" t="s">
        <v>8423</v>
      </c>
    </row>
    <row r="5820" spans="1:20" x14ac:dyDescent="0.25">
      <c r="A5820" s="21">
        <v>45835</v>
      </c>
      <c r="B5820" s="1" t="s">
        <v>3960</v>
      </c>
      <c r="C5820" t="s">
        <v>1221</v>
      </c>
      <c r="D5820" s="22">
        <v>-5.34</v>
      </c>
      <c r="E5820" t="s">
        <v>35</v>
      </c>
      <c r="F5820" s="2">
        <v>610148001</v>
      </c>
      <c r="G5820" s="2" t="s">
        <v>42</v>
      </c>
      <c r="L5820" s="2" t="s">
        <v>10184</v>
      </c>
      <c r="M5820" t="s">
        <v>43</v>
      </c>
      <c r="N5820" t="s">
        <v>42</v>
      </c>
      <c r="P5820" s="23">
        <v>106.86</v>
      </c>
      <c r="Q5820" s="4">
        <f t="shared" si="90"/>
        <v>-4.9971925884334641E-2</v>
      </c>
      <c r="R5820" s="23" t="s">
        <v>1198</v>
      </c>
      <c r="T5820" s="41" t="s">
        <v>8423</v>
      </c>
    </row>
    <row r="5821" spans="1:20" x14ac:dyDescent="0.25">
      <c r="A5821" s="21">
        <v>45835</v>
      </c>
      <c r="B5821" s="1" t="s">
        <v>4240</v>
      </c>
      <c r="C5821" t="s">
        <v>1221</v>
      </c>
      <c r="D5821" s="22">
        <v>-124.68</v>
      </c>
      <c r="E5821" t="s">
        <v>35</v>
      </c>
      <c r="F5821" s="2">
        <v>610148001</v>
      </c>
      <c r="G5821" s="2" t="s">
        <v>42</v>
      </c>
      <c r="L5821" s="2" t="s">
        <v>10185</v>
      </c>
      <c r="M5821" t="s">
        <v>43</v>
      </c>
      <c r="N5821" t="s">
        <v>42</v>
      </c>
      <c r="P5821" s="23">
        <v>106.86</v>
      </c>
      <c r="Q5821" s="4">
        <f t="shared" si="90"/>
        <v>-1.166760247052218</v>
      </c>
      <c r="R5821" s="23" t="s">
        <v>1198</v>
      </c>
      <c r="T5821" s="41" t="s">
        <v>8423</v>
      </c>
    </row>
    <row r="5822" spans="1:20" x14ac:dyDescent="0.25">
      <c r="A5822" s="21">
        <v>45835</v>
      </c>
      <c r="B5822" s="1" t="s">
        <v>1225</v>
      </c>
      <c r="C5822" t="s">
        <v>1221</v>
      </c>
      <c r="D5822" s="22">
        <v>-105.3</v>
      </c>
      <c r="E5822" t="s">
        <v>35</v>
      </c>
      <c r="F5822" s="2">
        <v>610148001</v>
      </c>
      <c r="G5822" s="2" t="s">
        <v>42</v>
      </c>
      <c r="L5822" s="2" t="s">
        <v>10186</v>
      </c>
      <c r="M5822" t="s">
        <v>43</v>
      </c>
      <c r="N5822" t="s">
        <v>42</v>
      </c>
      <c r="P5822" s="23">
        <v>106.86</v>
      </c>
      <c r="Q5822" s="4">
        <f t="shared" si="90"/>
        <v>-0.98540145985401462</v>
      </c>
      <c r="R5822" s="23" t="s">
        <v>1198</v>
      </c>
      <c r="T5822" s="41" t="s">
        <v>8423</v>
      </c>
    </row>
    <row r="5823" spans="1:20" x14ac:dyDescent="0.25">
      <c r="A5823" s="21">
        <v>45835</v>
      </c>
      <c r="B5823" s="1" t="s">
        <v>3965</v>
      </c>
      <c r="C5823" t="s">
        <v>1221</v>
      </c>
      <c r="D5823" s="22">
        <v>-8.01</v>
      </c>
      <c r="E5823" t="s">
        <v>35</v>
      </c>
      <c r="F5823" s="2">
        <v>610148001</v>
      </c>
      <c r="G5823" s="2" t="s">
        <v>42</v>
      </c>
      <c r="L5823" s="2" t="s">
        <v>10187</v>
      </c>
      <c r="M5823" t="s">
        <v>43</v>
      </c>
      <c r="N5823" t="s">
        <v>42</v>
      </c>
      <c r="P5823" s="23">
        <v>106.86</v>
      </c>
      <c r="Q5823" s="4">
        <f t="shared" si="90"/>
        <v>-7.4957888826501964E-2</v>
      </c>
      <c r="R5823" s="23" t="s">
        <v>1198</v>
      </c>
      <c r="T5823" s="41" t="s">
        <v>8423</v>
      </c>
    </row>
    <row r="5824" spans="1:20" x14ac:dyDescent="0.25">
      <c r="A5824" s="21">
        <v>45835</v>
      </c>
      <c r="B5824" s="1" t="s">
        <v>3955</v>
      </c>
      <c r="C5824" t="s">
        <v>1221</v>
      </c>
      <c r="D5824" s="22">
        <v>-53.43</v>
      </c>
      <c r="E5824" t="s">
        <v>35</v>
      </c>
      <c r="F5824" s="2">
        <v>610148001</v>
      </c>
      <c r="G5824" s="2" t="s">
        <v>42</v>
      </c>
      <c r="L5824" s="2" t="s">
        <v>10188</v>
      </c>
      <c r="M5824" t="s">
        <v>43</v>
      </c>
      <c r="N5824" t="s">
        <v>42</v>
      </c>
      <c r="P5824" s="23">
        <v>106.86</v>
      </c>
      <c r="Q5824" s="4">
        <f t="shared" si="90"/>
        <v>-0.5</v>
      </c>
      <c r="R5824" s="23" t="s">
        <v>1198</v>
      </c>
      <c r="T5824" s="41" t="s">
        <v>8423</v>
      </c>
    </row>
    <row r="5825" spans="1:20" x14ac:dyDescent="0.25">
      <c r="A5825" s="21">
        <v>45835</v>
      </c>
      <c r="B5825" s="1" t="s">
        <v>1223</v>
      </c>
      <c r="C5825" t="s">
        <v>1221</v>
      </c>
      <c r="D5825" s="22">
        <v>-500</v>
      </c>
      <c r="E5825" t="s">
        <v>35</v>
      </c>
      <c r="F5825" s="2">
        <v>610148001</v>
      </c>
      <c r="G5825" s="2" t="s">
        <v>42</v>
      </c>
      <c r="L5825" s="2" t="s">
        <v>10189</v>
      </c>
      <c r="M5825" t="s">
        <v>43</v>
      </c>
      <c r="N5825" t="s">
        <v>42</v>
      </c>
      <c r="P5825" s="23">
        <v>106.86</v>
      </c>
      <c r="Q5825" s="4">
        <f t="shared" si="90"/>
        <v>-4.6790192775594237</v>
      </c>
      <c r="R5825" s="23" t="s">
        <v>1198</v>
      </c>
      <c r="T5825" s="41" t="s">
        <v>8423</v>
      </c>
    </row>
    <row r="5826" spans="1:20" x14ac:dyDescent="0.25">
      <c r="A5826" s="21">
        <v>45835</v>
      </c>
      <c r="B5826" s="1" t="s">
        <v>1220</v>
      </c>
      <c r="C5826" t="s">
        <v>1221</v>
      </c>
      <c r="D5826" s="22">
        <v>-32.049999999999997</v>
      </c>
      <c r="E5826" t="s">
        <v>35</v>
      </c>
      <c r="F5826" s="2">
        <v>610148001</v>
      </c>
      <c r="G5826" s="2" t="s">
        <v>42</v>
      </c>
      <c r="L5826" s="2" t="s">
        <v>10190</v>
      </c>
      <c r="M5826" t="s">
        <v>43</v>
      </c>
      <c r="N5826" t="s">
        <v>42</v>
      </c>
      <c r="P5826" s="23">
        <v>106.86</v>
      </c>
      <c r="Q5826" s="4">
        <f t="shared" si="90"/>
        <v>-0.29992513569155904</v>
      </c>
      <c r="R5826" s="23" t="s">
        <v>1198</v>
      </c>
      <c r="T5826" s="41" t="s">
        <v>8423</v>
      </c>
    </row>
    <row r="5827" spans="1:20" x14ac:dyDescent="0.25">
      <c r="A5827" s="21">
        <v>45835</v>
      </c>
      <c r="B5827" s="1" t="s">
        <v>2582</v>
      </c>
      <c r="C5827" t="s">
        <v>1221</v>
      </c>
      <c r="D5827" s="22">
        <v>-27.44</v>
      </c>
      <c r="E5827" t="s">
        <v>35</v>
      </c>
      <c r="F5827" s="2">
        <v>610148001</v>
      </c>
      <c r="G5827" s="2" t="s">
        <v>42</v>
      </c>
      <c r="L5827" s="2" t="s">
        <v>10191</v>
      </c>
      <c r="M5827" t="s">
        <v>43</v>
      </c>
      <c r="N5827" t="s">
        <v>42</v>
      </c>
      <c r="P5827" s="23">
        <v>106.86</v>
      </c>
      <c r="Q5827" s="4">
        <f t="shared" si="90"/>
        <v>-0.25678457795246118</v>
      </c>
      <c r="R5827" s="23" t="s">
        <v>1198</v>
      </c>
      <c r="T5827" s="41" t="s">
        <v>8423</v>
      </c>
    </row>
    <row r="5828" spans="1:20" x14ac:dyDescent="0.25">
      <c r="A5828" s="21">
        <v>45835</v>
      </c>
      <c r="B5828" s="1" t="s">
        <v>4249</v>
      </c>
      <c r="C5828" t="s">
        <v>1221</v>
      </c>
      <c r="D5828" s="22">
        <v>-138.33000000000001</v>
      </c>
      <c r="E5828" t="s">
        <v>35</v>
      </c>
      <c r="F5828" s="2">
        <v>610148001</v>
      </c>
      <c r="G5828" s="2" t="s">
        <v>42</v>
      </c>
      <c r="L5828" s="2" t="s">
        <v>10192</v>
      </c>
      <c r="M5828" t="s">
        <v>43</v>
      </c>
      <c r="N5828" t="s">
        <v>42</v>
      </c>
      <c r="P5828" s="23">
        <v>106.86</v>
      </c>
      <c r="Q5828" s="4">
        <f t="shared" si="90"/>
        <v>-1.2944974733295902</v>
      </c>
      <c r="R5828" s="23" t="s">
        <v>1198</v>
      </c>
      <c r="T5828" s="41" t="s">
        <v>8423</v>
      </c>
    </row>
    <row r="5829" spans="1:20" x14ac:dyDescent="0.25">
      <c r="A5829" s="21">
        <v>45838</v>
      </c>
      <c r="B5829" s="1" t="s">
        <v>10193</v>
      </c>
      <c r="C5829" t="s">
        <v>10194</v>
      </c>
      <c r="D5829" s="22">
        <v>630000</v>
      </c>
      <c r="E5829" t="s">
        <v>46</v>
      </c>
      <c r="F5829" s="2">
        <v>210115002</v>
      </c>
      <c r="G5829" s="2" t="s">
        <v>47</v>
      </c>
      <c r="L5829" s="2" t="s">
        <v>10195</v>
      </c>
      <c r="N5829" t="s">
        <v>544</v>
      </c>
      <c r="P5829" s="23">
        <v>107.62</v>
      </c>
      <c r="Q5829" s="4">
        <f t="shared" si="90"/>
        <v>5853.930496190299</v>
      </c>
      <c r="R5829" s="23" t="s">
        <v>1198</v>
      </c>
      <c r="T5829" s="2"/>
    </row>
    <row r="5830" spans="1:20" x14ac:dyDescent="0.25">
      <c r="A5830" s="21">
        <v>45838</v>
      </c>
      <c r="B5830" s="1" t="s">
        <v>3924</v>
      </c>
      <c r="C5830" t="s">
        <v>8973</v>
      </c>
      <c r="D5830" s="22">
        <v>-200000</v>
      </c>
      <c r="E5830" t="s">
        <v>35</v>
      </c>
      <c r="F5830" s="2">
        <v>210101001</v>
      </c>
      <c r="G5830" s="2" t="s">
        <v>36</v>
      </c>
      <c r="L5830" s="2" t="s">
        <v>10196</v>
      </c>
      <c r="M5830" t="s">
        <v>788</v>
      </c>
      <c r="N5830" t="s">
        <v>789</v>
      </c>
      <c r="P5830" s="23">
        <v>107.62</v>
      </c>
      <c r="Q5830" s="4">
        <f t="shared" si="90"/>
        <v>-1858.390633711206</v>
      </c>
      <c r="R5830" s="23" t="s">
        <v>1198</v>
      </c>
      <c r="T5830" s="2"/>
    </row>
    <row r="5831" spans="1:20" ht="15.75" x14ac:dyDescent="0.25">
      <c r="A5831" s="21">
        <v>45838</v>
      </c>
      <c r="B5831" s="1" t="s">
        <v>2573</v>
      </c>
      <c r="C5831" t="s">
        <v>10197</v>
      </c>
      <c r="D5831" s="22">
        <v>-142316.69</v>
      </c>
      <c r="E5831" t="s">
        <v>35</v>
      </c>
      <c r="F5831" s="2">
        <v>110114001</v>
      </c>
      <c r="G5831" s="2" t="s">
        <v>301</v>
      </c>
      <c r="L5831" s="2" t="s">
        <v>10198</v>
      </c>
      <c r="M5831" t="s">
        <v>1866</v>
      </c>
      <c r="N5831" t="s">
        <v>1867</v>
      </c>
      <c r="P5831" s="23">
        <v>107.62</v>
      </c>
      <c r="Q5831" s="4">
        <f t="shared" si="90"/>
        <v>-1322.4000185839063</v>
      </c>
      <c r="R5831" s="23" t="s">
        <v>1198</v>
      </c>
      <c r="S5831" s="36" t="s">
        <v>2599</v>
      </c>
      <c r="T5831" s="2"/>
    </row>
    <row r="5832" spans="1:20" x14ac:dyDescent="0.25">
      <c r="A5832" s="21">
        <v>45838</v>
      </c>
      <c r="B5832" s="1" t="s">
        <v>1208</v>
      </c>
      <c r="C5832" t="s">
        <v>100</v>
      </c>
      <c r="D5832" s="30">
        <v>-10762</v>
      </c>
      <c r="E5832" t="s">
        <v>35</v>
      </c>
      <c r="F5832" s="2">
        <v>610124003</v>
      </c>
      <c r="G5832" s="2" t="s">
        <v>101</v>
      </c>
      <c r="L5832" s="2" t="s">
        <v>10199</v>
      </c>
      <c r="M5832" t="s">
        <v>103</v>
      </c>
      <c r="N5832" t="s">
        <v>104</v>
      </c>
      <c r="O5832" s="27" t="s">
        <v>59</v>
      </c>
      <c r="P5832" s="23">
        <v>107.62</v>
      </c>
      <c r="Q5832" s="4">
        <f t="shared" si="90"/>
        <v>-100</v>
      </c>
      <c r="R5832" s="23" t="s">
        <v>1198</v>
      </c>
      <c r="T5832" s="41" t="s">
        <v>10200</v>
      </c>
    </row>
    <row r="5833" spans="1:20" x14ac:dyDescent="0.25">
      <c r="A5833" s="32">
        <v>45838</v>
      </c>
      <c r="B5833" s="26" t="s">
        <v>1211</v>
      </c>
      <c r="C5833" s="27" t="s">
        <v>10201</v>
      </c>
      <c r="D5833" s="28">
        <v>-16143</v>
      </c>
      <c r="E5833" s="27" t="s">
        <v>35</v>
      </c>
      <c r="F5833" s="29">
        <v>610156001</v>
      </c>
      <c r="G5833" s="29" t="s">
        <v>91</v>
      </c>
      <c r="H5833" s="107"/>
      <c r="I5833" s="101"/>
      <c r="J5833" s="101"/>
      <c r="K5833" s="29"/>
      <c r="L5833" s="2" t="s">
        <v>10202</v>
      </c>
      <c r="M5833" s="27" t="s">
        <v>93</v>
      </c>
      <c r="N5833" s="27" t="s">
        <v>94</v>
      </c>
      <c r="O5833" s="27" t="s">
        <v>59</v>
      </c>
      <c r="P5833" s="31">
        <v>107.62</v>
      </c>
      <c r="Q5833" s="4">
        <f t="shared" si="90"/>
        <v>-150</v>
      </c>
      <c r="R5833" s="23" t="s">
        <v>1198</v>
      </c>
      <c r="T5833" s="41" t="s">
        <v>10203</v>
      </c>
    </row>
    <row r="5834" spans="1:20" ht="15.75" x14ac:dyDescent="0.25">
      <c r="A5834" s="21">
        <v>45838</v>
      </c>
      <c r="B5834" s="1" t="s">
        <v>2571</v>
      </c>
      <c r="C5834" t="s">
        <v>10204</v>
      </c>
      <c r="D5834" s="22">
        <v>-41196.94</v>
      </c>
      <c r="E5834" t="s">
        <v>35</v>
      </c>
      <c r="F5834" s="2">
        <v>110114001</v>
      </c>
      <c r="G5834" s="2" t="s">
        <v>301</v>
      </c>
      <c r="L5834" s="2" t="s">
        <v>10205</v>
      </c>
      <c r="M5834" t="s">
        <v>760</v>
      </c>
      <c r="N5834" t="s">
        <v>761</v>
      </c>
      <c r="P5834" s="23">
        <v>107.62</v>
      </c>
      <c r="Q5834" s="4">
        <f t="shared" si="90"/>
        <v>-382.80003716781266</v>
      </c>
      <c r="R5834" s="23" t="s">
        <v>1198</v>
      </c>
      <c r="S5834" s="36" t="s">
        <v>2599</v>
      </c>
      <c r="T5834" s="2"/>
    </row>
    <row r="5835" spans="1:20" x14ac:dyDescent="0.25">
      <c r="A5835" s="21">
        <v>45838</v>
      </c>
      <c r="B5835" s="1" t="s">
        <v>3930</v>
      </c>
      <c r="C5835" t="s">
        <v>8973</v>
      </c>
      <c r="D5835" s="22">
        <v>-200000</v>
      </c>
      <c r="E5835" t="s">
        <v>35</v>
      </c>
      <c r="F5835" s="2">
        <v>210101001</v>
      </c>
      <c r="G5835" s="2" t="s">
        <v>36</v>
      </c>
      <c r="L5835" s="2" t="s">
        <v>10206</v>
      </c>
      <c r="M5835" t="s">
        <v>788</v>
      </c>
      <c r="N5835" t="s">
        <v>789</v>
      </c>
      <c r="P5835" s="23">
        <v>107.62</v>
      </c>
      <c r="Q5835" s="4">
        <f t="shared" ref="Q5835:Q5898" si="91">D5835/P5835</f>
        <v>-1858.390633711206</v>
      </c>
      <c r="R5835" s="23" t="s">
        <v>1198</v>
      </c>
      <c r="T5835" s="2"/>
    </row>
    <row r="5836" spans="1:20" x14ac:dyDescent="0.25">
      <c r="A5836" s="32">
        <v>45838</v>
      </c>
      <c r="B5836" s="26" t="s">
        <v>1214</v>
      </c>
      <c r="C5836" s="27" t="s">
        <v>10207</v>
      </c>
      <c r="D5836" s="28">
        <v>-2152.4</v>
      </c>
      <c r="E5836" s="27" t="s">
        <v>35</v>
      </c>
      <c r="F5836" s="29">
        <v>610125001</v>
      </c>
      <c r="G5836" s="29" t="s">
        <v>5746</v>
      </c>
      <c r="H5836" s="107"/>
      <c r="I5836" s="101"/>
      <c r="J5836" s="101"/>
      <c r="K5836" s="29"/>
      <c r="L5836" s="2" t="s">
        <v>10208</v>
      </c>
      <c r="M5836" s="27" t="s">
        <v>772</v>
      </c>
      <c r="N5836" s="27" t="s">
        <v>773</v>
      </c>
      <c r="O5836" s="27" t="s">
        <v>59</v>
      </c>
      <c r="P5836" s="31">
        <v>107.62</v>
      </c>
      <c r="Q5836" s="4">
        <f t="shared" si="91"/>
        <v>-20</v>
      </c>
      <c r="R5836" s="23" t="s">
        <v>1198</v>
      </c>
      <c r="T5836" s="41" t="s">
        <v>10209</v>
      </c>
    </row>
    <row r="5837" spans="1:20" x14ac:dyDescent="0.25">
      <c r="A5837" s="21">
        <v>45838</v>
      </c>
      <c r="B5837" s="1" t="s">
        <v>1217</v>
      </c>
      <c r="C5837" t="s">
        <v>8973</v>
      </c>
      <c r="D5837" s="22">
        <v>-22510.39</v>
      </c>
      <c r="E5837" t="s">
        <v>35</v>
      </c>
      <c r="F5837" s="2">
        <v>210101001</v>
      </c>
      <c r="G5837" s="2" t="s">
        <v>36</v>
      </c>
      <c r="L5837" s="2" t="s">
        <v>10210</v>
      </c>
      <c r="M5837" t="s">
        <v>788</v>
      </c>
      <c r="N5837" t="s">
        <v>789</v>
      </c>
      <c r="P5837" s="23">
        <v>107.62</v>
      </c>
      <c r="Q5837" s="4">
        <f t="shared" si="91"/>
        <v>-209.16548968593196</v>
      </c>
      <c r="R5837" s="23" t="s">
        <v>1198</v>
      </c>
      <c r="T5837" s="2"/>
    </row>
    <row r="5838" spans="1:20" x14ac:dyDescent="0.25">
      <c r="A5838" s="21">
        <v>45838</v>
      </c>
      <c r="B5838" s="1" t="s">
        <v>1223</v>
      </c>
      <c r="C5838" t="s">
        <v>1221</v>
      </c>
      <c r="D5838" s="22">
        <v>-26.9</v>
      </c>
      <c r="E5838" t="s">
        <v>35</v>
      </c>
      <c r="F5838" s="2">
        <v>610148001</v>
      </c>
      <c r="G5838" s="2" t="s">
        <v>42</v>
      </c>
      <c r="L5838" s="2" t="s">
        <v>10211</v>
      </c>
      <c r="M5838" t="s">
        <v>43</v>
      </c>
      <c r="N5838" t="s">
        <v>42</v>
      </c>
      <c r="P5838" s="23">
        <v>107.62</v>
      </c>
      <c r="Q5838" s="4">
        <f t="shared" si="91"/>
        <v>-0.2499535402341572</v>
      </c>
      <c r="R5838" s="23" t="s">
        <v>1198</v>
      </c>
      <c r="T5838" s="41" t="s">
        <v>8423</v>
      </c>
    </row>
    <row r="5839" spans="1:20" x14ac:dyDescent="0.25">
      <c r="A5839" s="21">
        <v>45838</v>
      </c>
      <c r="B5839" s="1" t="s">
        <v>3969</v>
      </c>
      <c r="C5839" t="s">
        <v>1221</v>
      </c>
      <c r="D5839" s="22">
        <v>-500</v>
      </c>
      <c r="E5839" t="s">
        <v>35</v>
      </c>
      <c r="F5839" s="2">
        <v>610148001</v>
      </c>
      <c r="G5839" s="2" t="s">
        <v>42</v>
      </c>
      <c r="L5839" s="2" t="s">
        <v>10212</v>
      </c>
      <c r="M5839" t="s">
        <v>43</v>
      </c>
      <c r="N5839" t="s">
        <v>42</v>
      </c>
      <c r="P5839" s="23">
        <v>107.62</v>
      </c>
      <c r="Q5839" s="4">
        <f t="shared" si="91"/>
        <v>-4.6459765842780154</v>
      </c>
      <c r="R5839" s="23" t="s">
        <v>1198</v>
      </c>
      <c r="T5839" s="41" t="s">
        <v>8423</v>
      </c>
    </row>
    <row r="5840" spans="1:20" x14ac:dyDescent="0.25">
      <c r="A5840" s="21">
        <v>45838</v>
      </c>
      <c r="B5840" s="1" t="s">
        <v>1225</v>
      </c>
      <c r="C5840" t="s">
        <v>1221</v>
      </c>
      <c r="D5840" s="22">
        <v>-5.38</v>
      </c>
      <c r="E5840" t="s">
        <v>35</v>
      </c>
      <c r="F5840" s="2">
        <v>610148001</v>
      </c>
      <c r="G5840" s="2" t="s">
        <v>42</v>
      </c>
      <c r="L5840" s="2" t="s">
        <v>10213</v>
      </c>
      <c r="M5840" t="s">
        <v>43</v>
      </c>
      <c r="N5840" t="s">
        <v>42</v>
      </c>
      <c r="P5840" s="23">
        <v>107.62</v>
      </c>
      <c r="Q5840" s="4">
        <f t="shared" si="91"/>
        <v>-4.9990708046831443E-2</v>
      </c>
      <c r="R5840" s="23" t="s">
        <v>1198</v>
      </c>
      <c r="T5840" s="41" t="s">
        <v>8423</v>
      </c>
    </row>
    <row r="5841" spans="1:20" x14ac:dyDescent="0.25">
      <c r="A5841" s="21">
        <v>45838</v>
      </c>
      <c r="B5841" s="1" t="s">
        <v>1220</v>
      </c>
      <c r="C5841" t="s">
        <v>1221</v>
      </c>
      <c r="D5841" s="22">
        <v>-56.27</v>
      </c>
      <c r="E5841" t="s">
        <v>35</v>
      </c>
      <c r="F5841" s="2">
        <v>610148001</v>
      </c>
      <c r="G5841" s="2" t="s">
        <v>42</v>
      </c>
      <c r="L5841" s="2" t="s">
        <v>10214</v>
      </c>
      <c r="M5841" t="s">
        <v>43</v>
      </c>
      <c r="N5841" t="s">
        <v>42</v>
      </c>
      <c r="P5841" s="23">
        <v>107.62</v>
      </c>
      <c r="Q5841" s="4">
        <f t="shared" si="91"/>
        <v>-0.52285820479464784</v>
      </c>
      <c r="R5841" s="23" t="s">
        <v>1198</v>
      </c>
      <c r="T5841" s="41" t="s">
        <v>8423</v>
      </c>
    </row>
    <row r="5842" spans="1:20" x14ac:dyDescent="0.25">
      <c r="A5842" s="21">
        <v>45838</v>
      </c>
      <c r="B5842" s="1" t="s">
        <v>2582</v>
      </c>
      <c r="C5842" t="s">
        <v>1221</v>
      </c>
      <c r="D5842" s="22">
        <v>-355.79</v>
      </c>
      <c r="E5842" t="s">
        <v>35</v>
      </c>
      <c r="F5842" s="2">
        <v>610148001</v>
      </c>
      <c r="G5842" s="2" t="s">
        <v>42</v>
      </c>
      <c r="L5842" s="2" t="s">
        <v>10215</v>
      </c>
      <c r="M5842" t="s">
        <v>43</v>
      </c>
      <c r="N5842" t="s">
        <v>42</v>
      </c>
      <c r="P5842" s="23">
        <v>107.62</v>
      </c>
      <c r="Q5842" s="4">
        <f t="shared" si="91"/>
        <v>-3.30598401784055</v>
      </c>
      <c r="R5842" s="23" t="s">
        <v>1198</v>
      </c>
      <c r="T5842" s="41" t="s">
        <v>8423</v>
      </c>
    </row>
    <row r="5843" spans="1:20" x14ac:dyDescent="0.25">
      <c r="A5843" s="21">
        <v>45838</v>
      </c>
      <c r="B5843" s="1" t="s">
        <v>2585</v>
      </c>
      <c r="C5843" t="s">
        <v>1221</v>
      </c>
      <c r="D5843" s="22">
        <v>-102.99</v>
      </c>
      <c r="E5843" t="s">
        <v>35</v>
      </c>
      <c r="F5843" s="2">
        <v>610148001</v>
      </c>
      <c r="G5843" s="2" t="s">
        <v>42</v>
      </c>
      <c r="L5843" s="2" t="s">
        <v>10216</v>
      </c>
      <c r="M5843" t="s">
        <v>43</v>
      </c>
      <c r="N5843" t="s">
        <v>42</v>
      </c>
      <c r="P5843" s="23">
        <v>107.62</v>
      </c>
      <c r="Q5843" s="4">
        <f t="shared" si="91"/>
        <v>-0.95697825682958548</v>
      </c>
      <c r="R5843" s="23" t="s">
        <v>1198</v>
      </c>
      <c r="T5843" s="41" t="s">
        <v>8423</v>
      </c>
    </row>
    <row r="5844" spans="1:20" x14ac:dyDescent="0.25">
      <c r="A5844" s="21">
        <v>45838</v>
      </c>
      <c r="B5844" s="1" t="s">
        <v>3965</v>
      </c>
      <c r="C5844" t="s">
        <v>1221</v>
      </c>
      <c r="D5844" s="22">
        <v>-500</v>
      </c>
      <c r="E5844" t="s">
        <v>35</v>
      </c>
      <c r="F5844" s="2">
        <v>610148001</v>
      </c>
      <c r="G5844" s="2" t="s">
        <v>42</v>
      </c>
      <c r="L5844" s="2" t="s">
        <v>10217</v>
      </c>
      <c r="M5844" t="s">
        <v>43</v>
      </c>
      <c r="N5844" t="s">
        <v>42</v>
      </c>
      <c r="P5844" s="23">
        <v>107.62</v>
      </c>
      <c r="Q5844" s="4">
        <f t="shared" si="91"/>
        <v>-4.6459765842780154</v>
      </c>
      <c r="R5844" s="23" t="s">
        <v>1198</v>
      </c>
      <c r="T5844" s="41" t="s">
        <v>8423</v>
      </c>
    </row>
    <row r="5845" spans="1:20" x14ac:dyDescent="0.25">
      <c r="A5845" s="21">
        <v>45838</v>
      </c>
      <c r="B5845" s="1" t="s">
        <v>1227</v>
      </c>
      <c r="C5845" t="s">
        <v>1221</v>
      </c>
      <c r="D5845" s="22">
        <v>-40.35</v>
      </c>
      <c r="E5845" t="s">
        <v>35</v>
      </c>
      <c r="F5845" s="2">
        <v>610148001</v>
      </c>
      <c r="G5845" s="2" t="s">
        <v>42</v>
      </c>
      <c r="L5845" s="2" t="s">
        <v>10218</v>
      </c>
      <c r="M5845" t="s">
        <v>43</v>
      </c>
      <c r="N5845" t="s">
        <v>42</v>
      </c>
      <c r="P5845" s="23">
        <v>107.62</v>
      </c>
      <c r="Q5845" s="4">
        <f t="shared" si="91"/>
        <v>-0.37493031035123581</v>
      </c>
      <c r="R5845" s="23" t="s">
        <v>1198</v>
      </c>
      <c r="T5845" s="41" t="s">
        <v>8423</v>
      </c>
    </row>
    <row r="5846" spans="1:20" x14ac:dyDescent="0.25">
      <c r="A5846" s="21">
        <v>45842</v>
      </c>
      <c r="C5846" t="s">
        <v>10219</v>
      </c>
      <c r="D5846" s="43" t="s">
        <v>10220</v>
      </c>
      <c r="E5846" t="s">
        <v>35</v>
      </c>
      <c r="F5846" s="2">
        <v>610148001</v>
      </c>
      <c r="G5846" s="2" t="s">
        <v>42</v>
      </c>
      <c r="L5846" s="2" t="s">
        <v>10221</v>
      </c>
      <c r="M5846" t="s">
        <v>43</v>
      </c>
      <c r="N5846" t="s">
        <v>42</v>
      </c>
      <c r="P5846" s="23">
        <v>110.56</v>
      </c>
      <c r="Q5846" s="4">
        <f t="shared" si="91"/>
        <v>-5.4269175108538352</v>
      </c>
      <c r="R5846" s="23" t="s">
        <v>40</v>
      </c>
      <c r="T5846" s="23" t="s">
        <v>10222</v>
      </c>
    </row>
    <row r="5847" spans="1:20" x14ac:dyDescent="0.25">
      <c r="A5847" s="21">
        <v>45842</v>
      </c>
      <c r="C5847" t="s">
        <v>7640</v>
      </c>
      <c r="D5847" s="43" t="s">
        <v>9845</v>
      </c>
      <c r="E5847" t="s">
        <v>35</v>
      </c>
      <c r="F5847" s="2">
        <v>110101003</v>
      </c>
      <c r="G5847" s="2" t="s">
        <v>6734</v>
      </c>
      <c r="L5847" s="2" t="s">
        <v>10223</v>
      </c>
      <c r="N5847" t="s">
        <v>7640</v>
      </c>
      <c r="P5847" s="23">
        <v>110.56</v>
      </c>
      <c r="Q5847" s="4">
        <f t="shared" si="91"/>
        <v>-1808.972503617945</v>
      </c>
      <c r="R5847" s="23" t="s">
        <v>40</v>
      </c>
    </row>
    <row r="5848" spans="1:20" x14ac:dyDescent="0.25">
      <c r="A5848" s="21">
        <v>45842</v>
      </c>
      <c r="C5848" t="s">
        <v>10224</v>
      </c>
      <c r="D5848" s="43" t="s">
        <v>10225</v>
      </c>
      <c r="E5848" t="s">
        <v>46</v>
      </c>
      <c r="F5848" s="2">
        <v>210115002</v>
      </c>
      <c r="G5848" s="2" t="s">
        <v>47</v>
      </c>
      <c r="L5848" s="2" t="s">
        <v>10226</v>
      </c>
      <c r="N5848" t="s">
        <v>10224</v>
      </c>
      <c r="P5848" s="23">
        <v>110.56</v>
      </c>
      <c r="Q5848" s="4">
        <f t="shared" si="91"/>
        <v>2170.7670043415342</v>
      </c>
      <c r="R5848" s="23" t="s">
        <v>40</v>
      </c>
    </row>
    <row r="5849" spans="1:20" x14ac:dyDescent="0.25">
      <c r="A5849" s="21">
        <v>45852</v>
      </c>
      <c r="C5849" t="s">
        <v>10219</v>
      </c>
      <c r="D5849" s="43" t="s">
        <v>10227</v>
      </c>
      <c r="E5849" t="s">
        <v>35</v>
      </c>
      <c r="F5849" s="2">
        <v>610148001</v>
      </c>
      <c r="G5849" s="2" t="s">
        <v>42</v>
      </c>
      <c r="L5849" s="2" t="s">
        <v>10228</v>
      </c>
      <c r="M5849" t="s">
        <v>43</v>
      </c>
      <c r="N5849" t="s">
        <v>42</v>
      </c>
      <c r="P5849" s="23">
        <v>115.33</v>
      </c>
      <c r="Q5849" s="4">
        <f t="shared" si="91"/>
        <v>-26.012312494580769</v>
      </c>
      <c r="R5849" s="23" t="s">
        <v>40</v>
      </c>
      <c r="T5849" s="23" t="s">
        <v>10222</v>
      </c>
    </row>
    <row r="5850" spans="1:20" x14ac:dyDescent="0.25">
      <c r="A5850" s="21">
        <v>45852</v>
      </c>
      <c r="C5850" t="s">
        <v>10229</v>
      </c>
      <c r="D5850" s="43">
        <v>200000</v>
      </c>
      <c r="E5850" t="s">
        <v>46</v>
      </c>
      <c r="F5850" s="2">
        <v>110106001</v>
      </c>
      <c r="G5850" s="2" t="s">
        <v>2034</v>
      </c>
      <c r="L5850" s="2" t="s">
        <v>10230</v>
      </c>
      <c r="N5850" t="s">
        <v>10231</v>
      </c>
      <c r="P5850" s="23">
        <v>115.33</v>
      </c>
      <c r="Q5850" s="4">
        <f t="shared" si="91"/>
        <v>1734.1541663053845</v>
      </c>
      <c r="R5850" s="23" t="s">
        <v>40</v>
      </c>
      <c r="S5850" t="s">
        <v>10232</v>
      </c>
    </row>
    <row r="5851" spans="1:20" x14ac:dyDescent="0.25">
      <c r="A5851" s="21">
        <v>45852</v>
      </c>
      <c r="C5851" t="s">
        <v>10219</v>
      </c>
      <c r="D5851" s="43">
        <v>-750</v>
      </c>
      <c r="E5851" t="s">
        <v>35</v>
      </c>
      <c r="F5851" s="2">
        <v>610148001</v>
      </c>
      <c r="G5851" s="2" t="s">
        <v>42</v>
      </c>
      <c r="L5851" s="2" t="s">
        <v>10233</v>
      </c>
      <c r="M5851" t="s">
        <v>43</v>
      </c>
      <c r="N5851" t="s">
        <v>42</v>
      </c>
      <c r="P5851" s="23">
        <v>115.33</v>
      </c>
      <c r="Q5851" s="4">
        <f t="shared" si="91"/>
        <v>-6.5030781236451922</v>
      </c>
      <c r="R5851" s="23" t="s">
        <v>40</v>
      </c>
      <c r="T5851" s="23" t="s">
        <v>10222</v>
      </c>
    </row>
    <row r="5852" spans="1:20" x14ac:dyDescent="0.25">
      <c r="A5852" s="21">
        <v>45852</v>
      </c>
      <c r="C5852" t="s">
        <v>10229</v>
      </c>
      <c r="D5852" s="43">
        <v>50000</v>
      </c>
      <c r="E5852" t="s">
        <v>46</v>
      </c>
      <c r="F5852" s="2">
        <v>110106001</v>
      </c>
      <c r="G5852" s="2" t="s">
        <v>2034</v>
      </c>
      <c r="L5852" s="2" t="s">
        <v>10234</v>
      </c>
      <c r="N5852" t="s">
        <v>10231</v>
      </c>
      <c r="P5852" s="23">
        <v>115.33</v>
      </c>
      <c r="Q5852" s="4">
        <f t="shared" si="91"/>
        <v>433.53854157634612</v>
      </c>
      <c r="R5852" s="23" t="s">
        <v>40</v>
      </c>
      <c r="S5852" t="s">
        <v>10232</v>
      </c>
    </row>
    <row r="5853" spans="1:20" x14ac:dyDescent="0.25">
      <c r="A5853" s="21">
        <v>45852</v>
      </c>
      <c r="C5853" t="s">
        <v>10219</v>
      </c>
      <c r="D5853" s="43">
        <v>-2250</v>
      </c>
      <c r="E5853" t="s">
        <v>35</v>
      </c>
      <c r="F5853" s="2">
        <v>610148001</v>
      </c>
      <c r="G5853" s="2" t="s">
        <v>42</v>
      </c>
      <c r="L5853" s="2" t="s">
        <v>10235</v>
      </c>
      <c r="M5853" t="s">
        <v>43</v>
      </c>
      <c r="N5853" t="s">
        <v>42</v>
      </c>
      <c r="P5853" s="23">
        <v>115.33</v>
      </c>
      <c r="Q5853" s="4">
        <f t="shared" si="91"/>
        <v>-19.509234370935577</v>
      </c>
      <c r="R5853" s="23" t="s">
        <v>40</v>
      </c>
      <c r="T5853" s="23" t="s">
        <v>10222</v>
      </c>
    </row>
    <row r="5854" spans="1:20" x14ac:dyDescent="0.25">
      <c r="A5854" s="21">
        <v>45852</v>
      </c>
      <c r="C5854" t="s">
        <v>10229</v>
      </c>
      <c r="D5854" s="43">
        <v>150000</v>
      </c>
      <c r="E5854" t="s">
        <v>46</v>
      </c>
      <c r="F5854" s="2">
        <v>110106001</v>
      </c>
      <c r="G5854" s="2" t="s">
        <v>2034</v>
      </c>
      <c r="L5854" s="2" t="s">
        <v>10236</v>
      </c>
      <c r="N5854" t="s">
        <v>10231</v>
      </c>
      <c r="P5854" s="23">
        <v>115.33</v>
      </c>
      <c r="Q5854" s="4">
        <f t="shared" si="91"/>
        <v>1300.6156247290385</v>
      </c>
      <c r="R5854" s="23" t="s">
        <v>40</v>
      </c>
      <c r="S5854" t="s">
        <v>10232</v>
      </c>
    </row>
    <row r="5855" spans="1:20" x14ac:dyDescent="0.25">
      <c r="A5855" s="21">
        <v>45852</v>
      </c>
      <c r="C5855" t="s">
        <v>10219</v>
      </c>
      <c r="D5855" s="43">
        <v>-750</v>
      </c>
      <c r="E5855" t="s">
        <v>35</v>
      </c>
      <c r="F5855" s="2">
        <v>610148001</v>
      </c>
      <c r="G5855" s="83" t="s">
        <v>42</v>
      </c>
      <c r="H5855" s="109"/>
      <c r="I5855" s="103"/>
      <c r="J5855" s="103"/>
      <c r="K5855" s="83"/>
      <c r="L5855" s="2" t="s">
        <v>10237</v>
      </c>
      <c r="M5855" t="s">
        <v>43</v>
      </c>
      <c r="N5855" t="s">
        <v>42</v>
      </c>
      <c r="P5855" s="23">
        <v>115.33</v>
      </c>
      <c r="Q5855" s="4">
        <f t="shared" si="91"/>
        <v>-6.5030781236451922</v>
      </c>
      <c r="R5855" s="23" t="s">
        <v>40</v>
      </c>
      <c r="T5855" s="23" t="s">
        <v>10222</v>
      </c>
    </row>
    <row r="5856" spans="1:20" x14ac:dyDescent="0.25">
      <c r="A5856" s="21">
        <v>45852</v>
      </c>
      <c r="C5856" t="s">
        <v>10229</v>
      </c>
      <c r="D5856" s="43">
        <v>50000</v>
      </c>
      <c r="E5856" t="s">
        <v>46</v>
      </c>
      <c r="F5856" s="2">
        <v>110106001</v>
      </c>
      <c r="G5856" s="83" t="s">
        <v>2034</v>
      </c>
      <c r="H5856" s="109"/>
      <c r="I5856" s="103"/>
      <c r="J5856" s="103"/>
      <c r="K5856" s="83"/>
      <c r="L5856" s="2" t="s">
        <v>10238</v>
      </c>
      <c r="N5856" t="s">
        <v>10231</v>
      </c>
      <c r="P5856" s="23">
        <v>115.33</v>
      </c>
      <c r="Q5856" s="4">
        <f t="shared" si="91"/>
        <v>433.53854157634612</v>
      </c>
      <c r="R5856" s="23" t="s">
        <v>40</v>
      </c>
      <c r="S5856" t="s">
        <v>10232</v>
      </c>
    </row>
    <row r="5857" spans="1:20" x14ac:dyDescent="0.25">
      <c r="A5857" s="21">
        <v>45852</v>
      </c>
      <c r="C5857" t="s">
        <v>10219</v>
      </c>
      <c r="D5857" s="43">
        <v>-1500</v>
      </c>
      <c r="E5857" t="s">
        <v>35</v>
      </c>
      <c r="F5857" s="2">
        <v>610148001</v>
      </c>
      <c r="G5857" s="83" t="s">
        <v>42</v>
      </c>
      <c r="H5857" s="109"/>
      <c r="I5857" s="103"/>
      <c r="J5857" s="103"/>
      <c r="K5857" s="83"/>
      <c r="L5857" s="2" t="s">
        <v>10239</v>
      </c>
      <c r="M5857" t="s">
        <v>43</v>
      </c>
      <c r="N5857" t="s">
        <v>42</v>
      </c>
      <c r="P5857" s="23">
        <v>115.33</v>
      </c>
      <c r="Q5857" s="4">
        <f t="shared" si="91"/>
        <v>-13.006156247290384</v>
      </c>
      <c r="R5857" s="23" t="s">
        <v>40</v>
      </c>
      <c r="T5857" s="23" t="s">
        <v>10222</v>
      </c>
    </row>
    <row r="5858" spans="1:20" x14ac:dyDescent="0.25">
      <c r="A5858" s="21">
        <v>45852</v>
      </c>
      <c r="C5858" t="s">
        <v>10229</v>
      </c>
      <c r="D5858" s="43">
        <v>100000</v>
      </c>
      <c r="E5858" t="s">
        <v>46</v>
      </c>
      <c r="F5858" s="2">
        <v>110106001</v>
      </c>
      <c r="G5858" s="2" t="s">
        <v>2034</v>
      </c>
      <c r="L5858" s="2" t="s">
        <v>10240</v>
      </c>
      <c r="N5858" t="s">
        <v>10231</v>
      </c>
      <c r="P5858" s="23">
        <v>115.33</v>
      </c>
      <c r="Q5858" s="4">
        <f t="shared" si="91"/>
        <v>867.07708315269224</v>
      </c>
      <c r="R5858" s="23" t="s">
        <v>40</v>
      </c>
      <c r="S5858" t="s">
        <v>10232</v>
      </c>
    </row>
    <row r="5859" spans="1:20" x14ac:dyDescent="0.25">
      <c r="A5859" s="21">
        <v>45853</v>
      </c>
      <c r="C5859" t="s">
        <v>10219</v>
      </c>
      <c r="D5859" s="43">
        <v>-130.88</v>
      </c>
      <c r="E5859" t="s">
        <v>35</v>
      </c>
      <c r="F5859" s="2">
        <v>610148001</v>
      </c>
      <c r="G5859" s="2" t="s">
        <v>42</v>
      </c>
      <c r="L5859" s="2" t="s">
        <v>10241</v>
      </c>
      <c r="M5859" t="s">
        <v>43</v>
      </c>
      <c r="N5859" t="s">
        <v>42</v>
      </c>
      <c r="P5859" s="23">
        <v>115.84</v>
      </c>
      <c r="Q5859" s="4">
        <f t="shared" si="91"/>
        <v>-1.1298342541436464</v>
      </c>
      <c r="R5859" s="23" t="s">
        <v>40</v>
      </c>
      <c r="T5859" s="23" t="s">
        <v>10222</v>
      </c>
    </row>
    <row r="5860" spans="1:20" x14ac:dyDescent="0.25">
      <c r="A5860" s="21">
        <v>45853</v>
      </c>
      <c r="C5860" t="s">
        <v>10229</v>
      </c>
      <c r="D5860" s="43">
        <v>8725.4</v>
      </c>
      <c r="E5860" t="s">
        <v>46</v>
      </c>
      <c r="F5860" s="2">
        <v>110106001</v>
      </c>
      <c r="G5860" s="2" t="s">
        <v>2034</v>
      </c>
      <c r="L5860" s="2" t="s">
        <v>10242</v>
      </c>
      <c r="N5860" t="s">
        <v>10231</v>
      </c>
      <c r="P5860" s="23">
        <v>115.84</v>
      </c>
      <c r="Q5860" s="4">
        <f t="shared" si="91"/>
        <v>75.322859116022087</v>
      </c>
      <c r="R5860" s="23" t="s">
        <v>40</v>
      </c>
      <c r="S5860" t="s">
        <v>10232</v>
      </c>
    </row>
    <row r="5861" spans="1:20" x14ac:dyDescent="0.25">
      <c r="A5861" s="21">
        <v>45867</v>
      </c>
      <c r="C5861" t="s">
        <v>10219</v>
      </c>
      <c r="D5861" s="43" t="s">
        <v>10243</v>
      </c>
      <c r="E5861" t="s">
        <v>35</v>
      </c>
      <c r="F5861" s="2">
        <v>610148001</v>
      </c>
      <c r="G5861" s="2" t="s">
        <v>42</v>
      </c>
      <c r="L5861" s="2" t="s">
        <v>10244</v>
      </c>
      <c r="M5861" t="s">
        <v>43</v>
      </c>
      <c r="N5861" t="s">
        <v>42</v>
      </c>
      <c r="P5861" s="23">
        <v>122.84</v>
      </c>
      <c r="Q5861" s="4">
        <f t="shared" si="91"/>
        <v>-1.805275154672745</v>
      </c>
      <c r="R5861" s="23" t="s">
        <v>40</v>
      </c>
      <c r="T5861" s="23" t="s">
        <v>10222</v>
      </c>
    </row>
    <row r="5862" spans="1:20" x14ac:dyDescent="0.25">
      <c r="A5862" s="21">
        <v>45867</v>
      </c>
      <c r="C5862" t="s">
        <v>10245</v>
      </c>
      <c r="D5862" s="43" t="s">
        <v>10246</v>
      </c>
      <c r="E5862" t="s">
        <v>35</v>
      </c>
      <c r="F5862" s="2">
        <v>210101001</v>
      </c>
      <c r="G5862" s="2" t="s">
        <v>36</v>
      </c>
      <c r="L5862" s="2" t="s">
        <v>10247</v>
      </c>
      <c r="M5862" t="s">
        <v>2635</v>
      </c>
      <c r="N5862" t="s">
        <v>2636</v>
      </c>
      <c r="P5862" s="23">
        <v>122.84</v>
      </c>
      <c r="Q5862" s="4">
        <f t="shared" si="91"/>
        <v>-601.77263106479973</v>
      </c>
      <c r="R5862" s="23" t="s">
        <v>40</v>
      </c>
    </row>
    <row r="5863" spans="1:20" x14ac:dyDescent="0.25">
      <c r="A5863" s="21">
        <v>45867</v>
      </c>
      <c r="C5863" t="s">
        <v>10219</v>
      </c>
      <c r="D5863" s="43" t="s">
        <v>10248</v>
      </c>
      <c r="E5863" t="s">
        <v>35</v>
      </c>
      <c r="F5863" s="2">
        <v>610148001</v>
      </c>
      <c r="G5863" s="2" t="s">
        <v>42</v>
      </c>
      <c r="L5863" s="2" t="s">
        <v>10249</v>
      </c>
      <c r="M5863" t="s">
        <v>43</v>
      </c>
      <c r="N5863" t="s">
        <v>42</v>
      </c>
      <c r="P5863" s="23">
        <v>122.84</v>
      </c>
      <c r="Q5863" s="4">
        <f t="shared" si="91"/>
        <v>-0.50830348420709859</v>
      </c>
      <c r="R5863" s="23" t="s">
        <v>40</v>
      </c>
      <c r="T5863" s="23" t="s">
        <v>10222</v>
      </c>
    </row>
    <row r="5864" spans="1:20" x14ac:dyDescent="0.25">
      <c r="A5864" s="21">
        <v>45867</v>
      </c>
      <c r="C5864" t="s">
        <v>10250</v>
      </c>
      <c r="D5864" s="43" t="s">
        <v>10251</v>
      </c>
      <c r="E5864" t="s">
        <v>35</v>
      </c>
      <c r="F5864" s="2">
        <v>110114001</v>
      </c>
      <c r="G5864" s="2" t="s">
        <v>301</v>
      </c>
      <c r="L5864" s="2" t="s">
        <v>10252</v>
      </c>
      <c r="M5864" t="s">
        <v>10253</v>
      </c>
      <c r="N5864" t="s">
        <v>10254</v>
      </c>
      <c r="P5864" s="23">
        <v>122.84</v>
      </c>
      <c r="Q5864" s="4">
        <f t="shared" si="91"/>
        <v>-169.45066753500487</v>
      </c>
      <c r="R5864" s="23" t="s">
        <v>40</v>
      </c>
    </row>
    <row r="5865" spans="1:20" x14ac:dyDescent="0.25">
      <c r="A5865" s="21">
        <v>45867</v>
      </c>
      <c r="C5865" t="s">
        <v>10219</v>
      </c>
      <c r="D5865" s="43" t="s">
        <v>10255</v>
      </c>
      <c r="E5865" t="s">
        <v>35</v>
      </c>
      <c r="F5865" s="2">
        <v>610148001</v>
      </c>
      <c r="G5865" s="2" t="s">
        <v>42</v>
      </c>
      <c r="L5865" s="2" t="s">
        <v>10256</v>
      </c>
      <c r="M5865" t="s">
        <v>43</v>
      </c>
      <c r="N5865" t="s">
        <v>42</v>
      </c>
      <c r="P5865" s="23">
        <v>122.84</v>
      </c>
      <c r="Q5865" s="4">
        <f t="shared" si="91"/>
        <v>-8.9954412243568871E-2</v>
      </c>
      <c r="R5865" s="23" t="s">
        <v>40</v>
      </c>
      <c r="T5865" s="23" t="s">
        <v>10222</v>
      </c>
    </row>
    <row r="5866" spans="1:20" x14ac:dyDescent="0.25">
      <c r="A5866" s="32">
        <v>45867</v>
      </c>
      <c r="B5866" s="26"/>
      <c r="C5866" s="27" t="s">
        <v>10257</v>
      </c>
      <c r="D5866" s="46">
        <v>-3685.2</v>
      </c>
      <c r="E5866" s="27" t="s">
        <v>35</v>
      </c>
      <c r="F5866" s="29">
        <v>610122005</v>
      </c>
      <c r="G5866" s="29" t="s">
        <v>765</v>
      </c>
      <c r="H5866" s="107"/>
      <c r="I5866" s="101"/>
      <c r="J5866" s="101"/>
      <c r="K5866" s="29"/>
      <c r="L5866" s="2" t="s">
        <v>10258</v>
      </c>
      <c r="M5866" s="27" t="s">
        <v>1202</v>
      </c>
      <c r="N5866" s="27" t="s">
        <v>1203</v>
      </c>
      <c r="O5866" s="27" t="s">
        <v>59</v>
      </c>
      <c r="P5866" s="31">
        <v>122.84</v>
      </c>
      <c r="Q5866" s="4">
        <f t="shared" si="91"/>
        <v>-29.999999999999996</v>
      </c>
      <c r="R5866" s="23" t="s">
        <v>40</v>
      </c>
      <c r="T5866" s="23" t="s">
        <v>10259</v>
      </c>
    </row>
    <row r="5867" spans="1:20" x14ac:dyDescent="0.25">
      <c r="A5867" s="21">
        <v>45869</v>
      </c>
      <c r="C5867" t="s">
        <v>10260</v>
      </c>
      <c r="D5867" s="43" t="s">
        <v>10261</v>
      </c>
      <c r="E5867" t="s">
        <v>35</v>
      </c>
      <c r="F5867" s="2">
        <v>610148001</v>
      </c>
      <c r="G5867" s="2" t="s">
        <v>42</v>
      </c>
      <c r="L5867" s="2" t="s">
        <v>10262</v>
      </c>
      <c r="M5867" t="s">
        <v>43</v>
      </c>
      <c r="N5867" t="s">
        <v>42</v>
      </c>
      <c r="P5867" s="23">
        <v>124.51</v>
      </c>
      <c r="Q5867" s="4">
        <f t="shared" si="91"/>
        <v>-4.0157417074933735E-3</v>
      </c>
      <c r="R5867" s="23" t="s">
        <v>40</v>
      </c>
      <c r="T5867" s="23" t="s">
        <v>10222</v>
      </c>
    </row>
    <row r="5868" spans="1:20" x14ac:dyDescent="0.25">
      <c r="A5868" s="21">
        <v>45869</v>
      </c>
      <c r="C5868" t="s">
        <v>10263</v>
      </c>
      <c r="D5868" s="43" t="s">
        <v>10261</v>
      </c>
      <c r="E5868" t="s">
        <v>35</v>
      </c>
      <c r="F5868" s="2">
        <v>610148001</v>
      </c>
      <c r="G5868" s="2" t="s">
        <v>42</v>
      </c>
      <c r="L5868" s="2" t="s">
        <v>10264</v>
      </c>
      <c r="M5868" t="s">
        <v>43</v>
      </c>
      <c r="N5868" t="s">
        <v>42</v>
      </c>
      <c r="P5868" s="23">
        <v>124.51</v>
      </c>
      <c r="Q5868" s="4">
        <f t="shared" si="91"/>
        <v>-4.0157417074933735E-3</v>
      </c>
      <c r="R5868" s="23" t="s">
        <v>40</v>
      </c>
      <c r="T5868" s="23" t="s">
        <v>10222</v>
      </c>
    </row>
    <row r="5869" spans="1:20" x14ac:dyDescent="0.25">
      <c r="A5869" s="21">
        <v>45869</v>
      </c>
      <c r="C5869" t="s">
        <v>10219</v>
      </c>
      <c r="D5869" s="43" t="s">
        <v>10265</v>
      </c>
      <c r="E5869" t="s">
        <v>35</v>
      </c>
      <c r="F5869" s="2">
        <v>610148001</v>
      </c>
      <c r="G5869" s="2" t="s">
        <v>42</v>
      </c>
      <c r="L5869" s="2" t="s">
        <v>10266</v>
      </c>
      <c r="M5869" t="s">
        <v>43</v>
      </c>
      <c r="N5869" t="s">
        <v>42</v>
      </c>
      <c r="P5869" s="23">
        <v>124.51</v>
      </c>
      <c r="Q5869" s="4">
        <f t="shared" si="91"/>
        <v>-2.4094450244960242</v>
      </c>
      <c r="R5869" s="23" t="s">
        <v>40</v>
      </c>
      <c r="T5869" s="23" t="s">
        <v>10222</v>
      </c>
    </row>
    <row r="5870" spans="1:20" x14ac:dyDescent="0.25">
      <c r="A5870" s="21">
        <v>45869</v>
      </c>
      <c r="C5870" t="s">
        <v>7640</v>
      </c>
      <c r="D5870" s="43" t="s">
        <v>10267</v>
      </c>
      <c r="E5870" t="s">
        <v>35</v>
      </c>
      <c r="F5870" s="2">
        <v>110101003</v>
      </c>
      <c r="G5870" s="2" t="s">
        <v>6734</v>
      </c>
      <c r="L5870" s="2" t="s">
        <v>10268</v>
      </c>
      <c r="N5870" t="s">
        <v>7640</v>
      </c>
      <c r="P5870" s="23">
        <v>124.51</v>
      </c>
      <c r="Q5870" s="4">
        <f t="shared" si="91"/>
        <v>-803.14834149867477</v>
      </c>
      <c r="R5870" s="23" t="s">
        <v>40</v>
      </c>
    </row>
    <row r="5871" spans="1:20" x14ac:dyDescent="0.25">
      <c r="A5871" s="21">
        <v>45852</v>
      </c>
      <c r="C5871" t="s">
        <v>51</v>
      </c>
      <c r="D5871" s="43">
        <v>-85.8</v>
      </c>
      <c r="E5871" t="s">
        <v>35</v>
      </c>
      <c r="F5871" s="2">
        <v>610148001</v>
      </c>
      <c r="G5871" s="2" t="s">
        <v>42</v>
      </c>
      <c r="L5871" s="2" t="s">
        <v>10269</v>
      </c>
      <c r="M5871" t="s">
        <v>43</v>
      </c>
      <c r="N5871" t="s">
        <v>42</v>
      </c>
      <c r="P5871" s="23">
        <v>115.33</v>
      </c>
      <c r="Q5871" s="4">
        <f t="shared" si="91"/>
        <v>-0.74395213734500998</v>
      </c>
      <c r="R5871" s="23" t="s">
        <v>53</v>
      </c>
      <c r="T5871" s="23" t="s">
        <v>10222</v>
      </c>
    </row>
    <row r="5872" spans="1:20" x14ac:dyDescent="0.25">
      <c r="A5872" s="21">
        <v>45852</v>
      </c>
      <c r="C5872" t="s">
        <v>10270</v>
      </c>
      <c r="D5872" s="43">
        <v>-28602.5</v>
      </c>
      <c r="E5872" t="s">
        <v>35</v>
      </c>
      <c r="F5872" s="2">
        <v>840101001</v>
      </c>
      <c r="G5872" s="2" t="s">
        <v>65</v>
      </c>
      <c r="L5872" s="2" t="s">
        <v>10271</v>
      </c>
      <c r="M5872" t="s">
        <v>67</v>
      </c>
      <c r="N5872" t="s">
        <v>68</v>
      </c>
      <c r="P5872" s="23">
        <v>115.33</v>
      </c>
      <c r="Q5872" s="4">
        <f t="shared" si="91"/>
        <v>-248.00572270874881</v>
      </c>
      <c r="R5872" s="23" t="s">
        <v>53</v>
      </c>
    </row>
    <row r="5873" spans="1:20" x14ac:dyDescent="0.25">
      <c r="A5873" s="21">
        <v>45852</v>
      </c>
      <c r="C5873" t="s">
        <v>51</v>
      </c>
      <c r="D5873" s="43">
        <v>-85.8</v>
      </c>
      <c r="E5873" t="s">
        <v>35</v>
      </c>
      <c r="F5873" s="2">
        <v>610148001</v>
      </c>
      <c r="G5873" s="2" t="s">
        <v>42</v>
      </c>
      <c r="L5873" s="2" t="s">
        <v>10272</v>
      </c>
      <c r="M5873" t="s">
        <v>43</v>
      </c>
      <c r="N5873" t="s">
        <v>42</v>
      </c>
      <c r="P5873" s="23">
        <v>115.33</v>
      </c>
      <c r="Q5873" s="4">
        <f t="shared" si="91"/>
        <v>-0.74395213734500998</v>
      </c>
      <c r="R5873" s="23" t="s">
        <v>53</v>
      </c>
      <c r="T5873" s="23" t="s">
        <v>10222</v>
      </c>
    </row>
    <row r="5874" spans="1:20" x14ac:dyDescent="0.25">
      <c r="A5874" s="21">
        <v>45852</v>
      </c>
      <c r="C5874" t="s">
        <v>10273</v>
      </c>
      <c r="D5874" s="43">
        <v>-28602.5</v>
      </c>
      <c r="E5874" t="s">
        <v>35</v>
      </c>
      <c r="F5874" s="2">
        <v>840101001</v>
      </c>
      <c r="G5874" s="2" t="s">
        <v>65</v>
      </c>
      <c r="L5874" s="2" t="s">
        <v>10274</v>
      </c>
      <c r="M5874" t="s">
        <v>67</v>
      </c>
      <c r="N5874" t="s">
        <v>68</v>
      </c>
      <c r="P5874" s="23">
        <v>115.33</v>
      </c>
      <c r="Q5874" s="4">
        <f t="shared" si="91"/>
        <v>-248.00572270874881</v>
      </c>
      <c r="R5874" s="23" t="s">
        <v>53</v>
      </c>
    </row>
    <row r="5875" spans="1:20" x14ac:dyDescent="0.25">
      <c r="A5875" s="21">
        <v>45852</v>
      </c>
      <c r="C5875" t="s">
        <v>107</v>
      </c>
      <c r="D5875" s="43">
        <v>58000</v>
      </c>
      <c r="E5875" t="s">
        <v>46</v>
      </c>
      <c r="F5875" s="2">
        <v>210115002</v>
      </c>
      <c r="G5875" s="2" t="s">
        <v>47</v>
      </c>
      <c r="L5875" s="2" t="s">
        <v>10275</v>
      </c>
      <c r="N5875" t="s">
        <v>107</v>
      </c>
      <c r="P5875" s="23">
        <v>115.33</v>
      </c>
      <c r="Q5875" s="4">
        <f t="shared" si="91"/>
        <v>502.9047082285615</v>
      </c>
      <c r="R5875" s="23" t="s">
        <v>53</v>
      </c>
    </row>
    <row r="5876" spans="1:20" x14ac:dyDescent="0.25">
      <c r="A5876" s="21">
        <v>45867</v>
      </c>
      <c r="C5876" t="s">
        <v>51</v>
      </c>
      <c r="D5876" s="43">
        <v>-91.62</v>
      </c>
      <c r="E5876" t="s">
        <v>35</v>
      </c>
      <c r="F5876" s="2">
        <v>610148001</v>
      </c>
      <c r="G5876" s="2" t="s">
        <v>42</v>
      </c>
      <c r="L5876" s="2" t="s">
        <v>10276</v>
      </c>
      <c r="M5876" t="s">
        <v>43</v>
      </c>
      <c r="N5876" t="s">
        <v>42</v>
      </c>
      <c r="P5876" s="23">
        <v>122.84</v>
      </c>
      <c r="Q5876" s="4">
        <f t="shared" si="91"/>
        <v>-0.74584825789645071</v>
      </c>
      <c r="R5876" s="23" t="s">
        <v>53</v>
      </c>
      <c r="T5876" s="23" t="s">
        <v>10222</v>
      </c>
    </row>
    <row r="5877" spans="1:20" x14ac:dyDescent="0.25">
      <c r="A5877" s="21">
        <v>45867</v>
      </c>
      <c r="C5877" t="s">
        <v>10277</v>
      </c>
      <c r="D5877" s="43">
        <v>-30542.5</v>
      </c>
      <c r="E5877" t="s">
        <v>35</v>
      </c>
      <c r="F5877" s="2">
        <v>840101001</v>
      </c>
      <c r="G5877" s="2" t="s">
        <v>65</v>
      </c>
      <c r="L5877" s="2" t="s">
        <v>10278</v>
      </c>
      <c r="M5877" t="s">
        <v>67</v>
      </c>
      <c r="N5877" t="s">
        <v>68</v>
      </c>
      <c r="P5877" s="23">
        <v>122.84</v>
      </c>
      <c r="Q5877" s="4">
        <f t="shared" si="91"/>
        <v>-248.63643764246174</v>
      </c>
      <c r="R5877" s="23" t="s">
        <v>53</v>
      </c>
    </row>
    <row r="5878" spans="1:20" x14ac:dyDescent="0.25">
      <c r="A5878" s="21">
        <v>45867</v>
      </c>
      <c r="C5878" t="s">
        <v>51</v>
      </c>
      <c r="D5878" s="43">
        <v>-91.62</v>
      </c>
      <c r="E5878" t="s">
        <v>35</v>
      </c>
      <c r="F5878" s="2">
        <v>610148001</v>
      </c>
      <c r="G5878" s="2" t="s">
        <v>42</v>
      </c>
      <c r="L5878" s="2" t="s">
        <v>10279</v>
      </c>
      <c r="M5878" t="s">
        <v>43</v>
      </c>
      <c r="N5878" t="s">
        <v>42</v>
      </c>
      <c r="P5878" s="23">
        <v>122.84</v>
      </c>
      <c r="Q5878" s="4">
        <f t="shared" si="91"/>
        <v>-0.74584825789645071</v>
      </c>
      <c r="R5878" s="23" t="s">
        <v>53</v>
      </c>
      <c r="T5878" s="23" t="s">
        <v>10222</v>
      </c>
    </row>
    <row r="5879" spans="1:20" x14ac:dyDescent="0.25">
      <c r="A5879" s="21">
        <v>45867</v>
      </c>
      <c r="C5879" t="s">
        <v>10280</v>
      </c>
      <c r="D5879" s="43">
        <v>-30542.5</v>
      </c>
      <c r="E5879" t="s">
        <v>35</v>
      </c>
      <c r="F5879" s="2">
        <v>840101001</v>
      </c>
      <c r="G5879" s="2" t="s">
        <v>65</v>
      </c>
      <c r="L5879" s="2" t="s">
        <v>10281</v>
      </c>
      <c r="M5879" t="s">
        <v>67</v>
      </c>
      <c r="N5879" t="s">
        <v>68</v>
      </c>
      <c r="P5879" s="23">
        <v>122.84</v>
      </c>
      <c r="Q5879" s="4">
        <f t="shared" si="91"/>
        <v>-248.63643764246174</v>
      </c>
      <c r="R5879" s="23" t="s">
        <v>53</v>
      </c>
    </row>
    <row r="5880" spans="1:20" x14ac:dyDescent="0.25">
      <c r="A5880" s="21">
        <v>45867</v>
      </c>
      <c r="C5880" t="s">
        <v>9268</v>
      </c>
      <c r="D5880" s="43">
        <v>65000</v>
      </c>
      <c r="E5880" t="s">
        <v>46</v>
      </c>
      <c r="F5880" s="2">
        <v>210115002</v>
      </c>
      <c r="G5880" s="2" t="s">
        <v>47</v>
      </c>
      <c r="L5880" s="2" t="s">
        <v>10282</v>
      </c>
      <c r="N5880" t="s">
        <v>9268</v>
      </c>
      <c r="P5880" s="23">
        <v>122.84</v>
      </c>
      <c r="Q5880" s="4">
        <f t="shared" si="91"/>
        <v>529.14360143275803</v>
      </c>
      <c r="R5880" s="23" t="s">
        <v>53</v>
      </c>
    </row>
    <row r="5881" spans="1:20" x14ac:dyDescent="0.25">
      <c r="A5881" s="21">
        <v>45869</v>
      </c>
      <c r="C5881" t="s">
        <v>84</v>
      </c>
      <c r="D5881" s="43">
        <v>-0.5</v>
      </c>
      <c r="E5881" t="s">
        <v>35</v>
      </c>
      <c r="F5881" s="2">
        <v>610148001</v>
      </c>
      <c r="G5881" s="2" t="s">
        <v>42</v>
      </c>
      <c r="L5881" s="2" t="s">
        <v>10283</v>
      </c>
      <c r="M5881" t="s">
        <v>43</v>
      </c>
      <c r="N5881" t="s">
        <v>42</v>
      </c>
      <c r="P5881" s="23">
        <v>124.51</v>
      </c>
      <c r="Q5881" s="4">
        <f t="shared" si="91"/>
        <v>-4.0157417074933735E-3</v>
      </c>
      <c r="R5881" s="23" t="s">
        <v>53</v>
      </c>
      <c r="T5881" s="23" t="s">
        <v>10222</v>
      </c>
    </row>
    <row r="5882" spans="1:20" x14ac:dyDescent="0.25">
      <c r="A5882" s="21">
        <v>45869</v>
      </c>
      <c r="C5882" t="s">
        <v>86</v>
      </c>
      <c r="D5882" s="43">
        <v>-0.5</v>
      </c>
      <c r="E5882" t="s">
        <v>35</v>
      </c>
      <c r="F5882" s="2">
        <v>610148001</v>
      </c>
      <c r="G5882" s="2" t="s">
        <v>42</v>
      </c>
      <c r="L5882" s="2" t="s">
        <v>10284</v>
      </c>
      <c r="M5882" t="s">
        <v>43</v>
      </c>
      <c r="N5882" t="s">
        <v>42</v>
      </c>
      <c r="P5882" s="23">
        <v>124.51</v>
      </c>
      <c r="Q5882" s="4">
        <f t="shared" si="91"/>
        <v>-4.0157417074933735E-3</v>
      </c>
      <c r="R5882" s="23" t="s">
        <v>53</v>
      </c>
      <c r="T5882" s="23" t="s">
        <v>10222</v>
      </c>
    </row>
    <row r="5883" spans="1:20" x14ac:dyDescent="0.25">
      <c r="A5883" s="21">
        <v>45839</v>
      </c>
      <c r="B5883" s="1">
        <v>114116391</v>
      </c>
      <c r="C5883" t="s">
        <v>107</v>
      </c>
      <c r="D5883" s="43">
        <v>550000</v>
      </c>
      <c r="E5883" t="s">
        <v>46</v>
      </c>
      <c r="F5883" s="2">
        <v>210115002</v>
      </c>
      <c r="G5883" s="2" t="s">
        <v>47</v>
      </c>
      <c r="L5883" s="2" t="s">
        <v>10285</v>
      </c>
      <c r="N5883" t="s">
        <v>107</v>
      </c>
      <c r="P5883" s="23">
        <v>108.19</v>
      </c>
      <c r="Q5883" s="4">
        <f t="shared" si="91"/>
        <v>5083.6491357796467</v>
      </c>
      <c r="R5883" s="23" t="s">
        <v>109</v>
      </c>
    </row>
    <row r="5884" spans="1:20" x14ac:dyDescent="0.25">
      <c r="A5884" s="21">
        <v>45839</v>
      </c>
      <c r="B5884" s="1">
        <v>714704197</v>
      </c>
      <c r="C5884" t="s">
        <v>10286</v>
      </c>
      <c r="D5884" s="43">
        <v>-200000</v>
      </c>
      <c r="E5884" t="s">
        <v>35</v>
      </c>
      <c r="F5884" s="2">
        <v>210101001</v>
      </c>
      <c r="G5884" s="2" t="s">
        <v>36</v>
      </c>
      <c r="L5884" s="2" t="s">
        <v>10287</v>
      </c>
      <c r="M5884" t="s">
        <v>38</v>
      </c>
      <c r="N5884" t="s">
        <v>39</v>
      </c>
      <c r="P5884" s="23">
        <v>108.19</v>
      </c>
      <c r="Q5884" s="4">
        <f t="shared" si="91"/>
        <v>-1848.5996857380535</v>
      </c>
      <c r="R5884" s="23" t="s">
        <v>109</v>
      </c>
    </row>
    <row r="5885" spans="1:20" x14ac:dyDescent="0.25">
      <c r="A5885" s="21">
        <v>45839</v>
      </c>
      <c r="B5885" s="1">
        <v>714704197</v>
      </c>
      <c r="C5885" t="s">
        <v>306</v>
      </c>
      <c r="D5885" s="43">
        <v>-600</v>
      </c>
      <c r="E5885" t="s">
        <v>35</v>
      </c>
      <c r="F5885" s="2">
        <v>610148001</v>
      </c>
      <c r="G5885" s="2" t="s">
        <v>42</v>
      </c>
      <c r="L5885" s="2" t="s">
        <v>10288</v>
      </c>
      <c r="M5885" t="s">
        <v>43</v>
      </c>
      <c r="N5885" t="s">
        <v>42</v>
      </c>
      <c r="P5885" s="23">
        <v>108.19</v>
      </c>
      <c r="Q5885" s="4">
        <f t="shared" si="91"/>
        <v>-5.5457990572141602</v>
      </c>
      <c r="R5885" s="23" t="s">
        <v>109</v>
      </c>
      <c r="T5885" s="23" t="s">
        <v>10222</v>
      </c>
    </row>
    <row r="5886" spans="1:20" x14ac:dyDescent="0.25">
      <c r="A5886" s="21">
        <v>45839</v>
      </c>
      <c r="B5886" s="1">
        <v>114547366</v>
      </c>
      <c r="C5886" t="s">
        <v>107</v>
      </c>
      <c r="D5886" s="43">
        <v>584000</v>
      </c>
      <c r="E5886" t="s">
        <v>46</v>
      </c>
      <c r="F5886" s="2">
        <v>210115002</v>
      </c>
      <c r="G5886" s="2" t="s">
        <v>47</v>
      </c>
      <c r="L5886" s="2" t="s">
        <v>10289</v>
      </c>
      <c r="N5886" t="s">
        <v>107</v>
      </c>
      <c r="P5886" s="23">
        <v>108.19</v>
      </c>
      <c r="Q5886" s="4">
        <f t="shared" si="91"/>
        <v>5397.9110823551164</v>
      </c>
      <c r="R5886" s="23" t="s">
        <v>109</v>
      </c>
    </row>
    <row r="5887" spans="1:20" x14ac:dyDescent="0.25">
      <c r="A5887" s="21">
        <v>45839</v>
      </c>
      <c r="B5887" s="1">
        <v>414704271</v>
      </c>
      <c r="C5887" t="s">
        <v>10286</v>
      </c>
      <c r="D5887" s="43">
        <v>-200000</v>
      </c>
      <c r="E5887" t="s">
        <v>35</v>
      </c>
      <c r="F5887" s="2">
        <v>210101001</v>
      </c>
      <c r="G5887" s="2" t="s">
        <v>36</v>
      </c>
      <c r="L5887" s="2" t="s">
        <v>10290</v>
      </c>
      <c r="M5887" t="s">
        <v>38</v>
      </c>
      <c r="N5887" t="s">
        <v>39</v>
      </c>
      <c r="P5887" s="23">
        <v>108.19</v>
      </c>
      <c r="Q5887" s="4">
        <f t="shared" si="91"/>
        <v>-1848.5996857380535</v>
      </c>
      <c r="R5887" s="23" t="s">
        <v>109</v>
      </c>
    </row>
    <row r="5888" spans="1:20" x14ac:dyDescent="0.25">
      <c r="A5888" s="21">
        <v>45839</v>
      </c>
      <c r="B5888" s="1">
        <v>414704271</v>
      </c>
      <c r="C5888" t="s">
        <v>306</v>
      </c>
      <c r="D5888" s="43">
        <v>-600</v>
      </c>
      <c r="E5888" t="s">
        <v>35</v>
      </c>
      <c r="F5888" s="2">
        <v>610148001</v>
      </c>
      <c r="G5888" s="2" t="s">
        <v>42</v>
      </c>
      <c r="L5888" s="2" t="s">
        <v>10291</v>
      </c>
      <c r="M5888" t="s">
        <v>43</v>
      </c>
      <c r="N5888" t="s">
        <v>42</v>
      </c>
      <c r="P5888" s="23">
        <v>108.19</v>
      </c>
      <c r="Q5888" s="4">
        <f t="shared" si="91"/>
        <v>-5.5457990572141602</v>
      </c>
      <c r="R5888" s="23" t="s">
        <v>109</v>
      </c>
      <c r="T5888" s="23" t="s">
        <v>10222</v>
      </c>
    </row>
    <row r="5889" spans="1:20" x14ac:dyDescent="0.25">
      <c r="A5889" s="21">
        <v>45839</v>
      </c>
      <c r="B5889" s="1">
        <v>414704279</v>
      </c>
      <c r="C5889" t="s">
        <v>10292</v>
      </c>
      <c r="D5889" s="43">
        <v>-140950</v>
      </c>
      <c r="E5889" t="s">
        <v>35</v>
      </c>
      <c r="F5889" s="2">
        <v>610122005</v>
      </c>
      <c r="G5889" s="2" t="s">
        <v>765</v>
      </c>
      <c r="L5889" s="2" t="s">
        <v>10293</v>
      </c>
      <c r="M5889" t="s">
        <v>1202</v>
      </c>
      <c r="N5889" s="3" t="s">
        <v>1203</v>
      </c>
      <c r="O5889" s="27" t="s">
        <v>59</v>
      </c>
      <c r="P5889" s="23">
        <v>108.19</v>
      </c>
      <c r="Q5889" s="4">
        <f t="shared" si="91"/>
        <v>-1302.8006285238932</v>
      </c>
      <c r="R5889" s="23" t="s">
        <v>109</v>
      </c>
    </row>
    <row r="5890" spans="1:20" x14ac:dyDescent="0.25">
      <c r="A5890" s="21">
        <v>45839</v>
      </c>
      <c r="B5890" s="1">
        <v>414704279</v>
      </c>
      <c r="C5890" t="s">
        <v>306</v>
      </c>
      <c r="D5890" s="43">
        <v>-422.85</v>
      </c>
      <c r="E5890" t="s">
        <v>35</v>
      </c>
      <c r="F5890" s="2">
        <v>610148001</v>
      </c>
      <c r="G5890" s="2" t="s">
        <v>42</v>
      </c>
      <c r="L5890" s="2" t="s">
        <v>10294</v>
      </c>
      <c r="M5890" t="s">
        <v>43</v>
      </c>
      <c r="N5890" t="s">
        <v>42</v>
      </c>
      <c r="P5890" s="23">
        <v>108.19</v>
      </c>
      <c r="Q5890" s="4">
        <f t="shared" si="91"/>
        <v>-3.9084018855716796</v>
      </c>
      <c r="R5890" s="23" t="s">
        <v>109</v>
      </c>
      <c r="T5890" s="23" t="s">
        <v>10222</v>
      </c>
    </row>
    <row r="5891" spans="1:20" x14ac:dyDescent="0.25">
      <c r="A5891" s="21">
        <v>45839</v>
      </c>
      <c r="B5891" s="1">
        <v>714704327</v>
      </c>
      <c r="C5891" t="s">
        <v>10292</v>
      </c>
      <c r="D5891" s="43">
        <v>-200000</v>
      </c>
      <c r="E5891" t="s">
        <v>35</v>
      </c>
      <c r="F5891" s="2">
        <v>610122005</v>
      </c>
      <c r="G5891" s="2" t="s">
        <v>765</v>
      </c>
      <c r="L5891" s="2" t="s">
        <v>10295</v>
      </c>
      <c r="M5891" t="s">
        <v>1202</v>
      </c>
      <c r="N5891" s="3" t="s">
        <v>1203</v>
      </c>
      <c r="O5891" s="27" t="s">
        <v>59</v>
      </c>
      <c r="P5891" s="23">
        <v>108.19</v>
      </c>
      <c r="Q5891" s="4">
        <f t="shared" si="91"/>
        <v>-1848.5996857380535</v>
      </c>
      <c r="R5891" s="23" t="s">
        <v>109</v>
      </c>
    </row>
    <row r="5892" spans="1:20" x14ac:dyDescent="0.25">
      <c r="A5892" s="21">
        <v>45839</v>
      </c>
      <c r="B5892" s="1">
        <v>714704328</v>
      </c>
      <c r="C5892" t="s">
        <v>10292</v>
      </c>
      <c r="D5892" s="43">
        <v>-200000</v>
      </c>
      <c r="E5892" t="s">
        <v>35</v>
      </c>
      <c r="F5892" s="2">
        <v>610122005</v>
      </c>
      <c r="G5892" s="2" t="s">
        <v>765</v>
      </c>
      <c r="L5892" s="2" t="s">
        <v>10296</v>
      </c>
      <c r="M5892" t="s">
        <v>1202</v>
      </c>
      <c r="N5892" s="3" t="s">
        <v>1203</v>
      </c>
      <c r="O5892" s="27" t="s">
        <v>59</v>
      </c>
      <c r="P5892" s="23">
        <v>108.19</v>
      </c>
      <c r="Q5892" s="4">
        <f t="shared" si="91"/>
        <v>-1848.5996857380535</v>
      </c>
      <c r="R5892" s="23" t="s">
        <v>109</v>
      </c>
    </row>
    <row r="5893" spans="1:20" x14ac:dyDescent="0.25">
      <c r="A5893" s="21">
        <v>45839</v>
      </c>
      <c r="B5893" s="1">
        <v>714704331</v>
      </c>
      <c r="C5893" t="s">
        <v>10297</v>
      </c>
      <c r="D5893" s="43">
        <v>-51712.800000000003</v>
      </c>
      <c r="E5893" t="s">
        <v>35</v>
      </c>
      <c r="F5893" s="2">
        <v>210101001</v>
      </c>
      <c r="G5893" s="2" t="s">
        <v>36</v>
      </c>
      <c r="L5893" s="2" t="s">
        <v>10298</v>
      </c>
      <c r="M5893" t="s">
        <v>788</v>
      </c>
      <c r="N5893" t="s">
        <v>789</v>
      </c>
      <c r="P5893" s="23">
        <v>108.19</v>
      </c>
      <c r="Q5893" s="4">
        <f t="shared" si="91"/>
        <v>-477.98132914317409</v>
      </c>
      <c r="R5893" s="23" t="s">
        <v>109</v>
      </c>
    </row>
    <row r="5894" spans="1:20" x14ac:dyDescent="0.25">
      <c r="A5894" s="21">
        <v>45839</v>
      </c>
      <c r="B5894" s="1">
        <v>714704329</v>
      </c>
      <c r="C5894" t="s">
        <v>10286</v>
      </c>
      <c r="D5894" s="43">
        <v>-128373.99</v>
      </c>
      <c r="E5894" t="s">
        <v>35</v>
      </c>
      <c r="F5894" s="2">
        <v>210101001</v>
      </c>
      <c r="G5894" s="2" t="s">
        <v>36</v>
      </c>
      <c r="L5894" s="2" t="s">
        <v>10299</v>
      </c>
      <c r="M5894" t="s">
        <v>38</v>
      </c>
      <c r="N5894" t="s">
        <v>39</v>
      </c>
      <c r="P5894" s="23">
        <v>108.19</v>
      </c>
      <c r="Q5894" s="4">
        <f t="shared" si="91"/>
        <v>-1186.5605878547001</v>
      </c>
      <c r="R5894" s="23" t="s">
        <v>109</v>
      </c>
    </row>
    <row r="5895" spans="1:20" x14ac:dyDescent="0.25">
      <c r="A5895" s="32">
        <v>45839</v>
      </c>
      <c r="B5895" s="26">
        <v>714704330</v>
      </c>
      <c r="C5895" s="27" t="s">
        <v>10300</v>
      </c>
      <c r="D5895" s="46">
        <v>-2163.8000000000002</v>
      </c>
      <c r="E5895" s="27" t="s">
        <v>35</v>
      </c>
      <c r="F5895" s="29">
        <v>610125001</v>
      </c>
      <c r="G5895" s="29" t="s">
        <v>5746</v>
      </c>
      <c r="H5895" s="107"/>
      <c r="I5895" s="101"/>
      <c r="J5895" s="101"/>
      <c r="K5895" s="29"/>
      <c r="L5895" s="2" t="s">
        <v>10301</v>
      </c>
      <c r="M5895" s="27" t="s">
        <v>772</v>
      </c>
      <c r="N5895" s="27" t="s">
        <v>773</v>
      </c>
      <c r="O5895" s="27" t="s">
        <v>59</v>
      </c>
      <c r="P5895" s="31">
        <v>108.19</v>
      </c>
      <c r="Q5895" s="4">
        <f t="shared" si="91"/>
        <v>-20.000000000000004</v>
      </c>
      <c r="R5895" s="23" t="s">
        <v>109</v>
      </c>
      <c r="T5895" s="23" t="s">
        <v>10302</v>
      </c>
    </row>
    <row r="5896" spans="1:20" x14ac:dyDescent="0.25">
      <c r="A5896" s="21">
        <v>45839</v>
      </c>
      <c r="B5896" s="1">
        <v>50718804</v>
      </c>
      <c r="C5896" t="s">
        <v>118</v>
      </c>
      <c r="D5896" s="43">
        <v>-1455.62</v>
      </c>
      <c r="E5896" t="s">
        <v>35</v>
      </c>
      <c r="F5896" s="2">
        <v>610148001</v>
      </c>
      <c r="G5896" s="2" t="s">
        <v>42</v>
      </c>
      <c r="L5896" s="2" t="s">
        <v>10303</v>
      </c>
      <c r="M5896" t="s">
        <v>43</v>
      </c>
      <c r="N5896" t="s">
        <v>42</v>
      </c>
      <c r="P5896" s="23">
        <v>108.19</v>
      </c>
      <c r="Q5896" s="4">
        <f t="shared" si="91"/>
        <v>-13.454293372770126</v>
      </c>
      <c r="R5896" s="23" t="s">
        <v>109</v>
      </c>
      <c r="T5896" s="23" t="s">
        <v>10222</v>
      </c>
    </row>
    <row r="5897" spans="1:20" x14ac:dyDescent="0.25">
      <c r="A5897" s="21">
        <v>45839</v>
      </c>
      <c r="B5897" s="1">
        <v>142540106</v>
      </c>
      <c r="C5897" t="s">
        <v>107</v>
      </c>
      <c r="D5897" s="43">
        <v>700000</v>
      </c>
      <c r="E5897" t="s">
        <v>46</v>
      </c>
      <c r="F5897" s="2">
        <v>210115002</v>
      </c>
      <c r="G5897" s="2" t="s">
        <v>47</v>
      </c>
      <c r="L5897" s="2" t="s">
        <v>10304</v>
      </c>
      <c r="N5897" t="s">
        <v>107</v>
      </c>
      <c r="P5897" s="23">
        <v>108.19</v>
      </c>
      <c r="Q5897" s="4">
        <f t="shared" si="91"/>
        <v>6470.0989000831869</v>
      </c>
      <c r="R5897" s="23" t="s">
        <v>109</v>
      </c>
    </row>
    <row r="5898" spans="1:20" x14ac:dyDescent="0.25">
      <c r="A5898" s="21">
        <v>45839</v>
      </c>
      <c r="B5898" s="1">
        <v>814707609</v>
      </c>
      <c r="C5898" t="s">
        <v>10305</v>
      </c>
      <c r="D5898" s="43">
        <v>-43046.64</v>
      </c>
      <c r="E5898" t="s">
        <v>35</v>
      </c>
      <c r="F5898" s="2">
        <v>110114001</v>
      </c>
      <c r="G5898" s="2" t="s">
        <v>301</v>
      </c>
      <c r="L5898" s="2" t="s">
        <v>10306</v>
      </c>
      <c r="M5898" t="s">
        <v>1866</v>
      </c>
      <c r="N5898" t="s">
        <v>1867</v>
      </c>
      <c r="P5898" s="23">
        <v>108.19</v>
      </c>
      <c r="Q5898" s="4">
        <f t="shared" si="91"/>
        <v>-397.88002588039558</v>
      </c>
      <c r="R5898" s="23" t="s">
        <v>109</v>
      </c>
      <c r="S5898" s="33" t="s">
        <v>9005</v>
      </c>
    </row>
    <row r="5899" spans="1:20" x14ac:dyDescent="0.25">
      <c r="A5899" s="21">
        <v>45839</v>
      </c>
      <c r="B5899" s="1">
        <v>814707610</v>
      </c>
      <c r="C5899" t="s">
        <v>10307</v>
      </c>
      <c r="D5899" s="43">
        <v>-35767.61</v>
      </c>
      <c r="E5899" t="s">
        <v>35</v>
      </c>
      <c r="F5899" s="2">
        <v>110114001</v>
      </c>
      <c r="G5899" s="2" t="s">
        <v>301</v>
      </c>
      <c r="L5899" s="2" t="s">
        <v>10308</v>
      </c>
      <c r="M5899" t="s">
        <v>788</v>
      </c>
      <c r="N5899" t="s">
        <v>789</v>
      </c>
      <c r="P5899" s="23">
        <v>108.19</v>
      </c>
      <c r="Q5899" s="4">
        <f t="shared" ref="Q5899:Q5962" si="92">D5899/P5899</f>
        <v>-330.5999630280063</v>
      </c>
      <c r="R5899" s="23" t="s">
        <v>109</v>
      </c>
      <c r="S5899" s="33" t="s">
        <v>9005</v>
      </c>
    </row>
    <row r="5900" spans="1:20" x14ac:dyDescent="0.25">
      <c r="A5900" s="21">
        <v>45839</v>
      </c>
      <c r="B5900" s="1">
        <v>814707611</v>
      </c>
      <c r="C5900" t="s">
        <v>9872</v>
      </c>
      <c r="D5900" s="43">
        <v>-61554.95</v>
      </c>
      <c r="E5900" t="s">
        <v>35</v>
      </c>
      <c r="F5900" s="2">
        <v>110114001</v>
      </c>
      <c r="G5900" s="2" t="s">
        <v>301</v>
      </c>
      <c r="L5900" s="2" t="s">
        <v>10309</v>
      </c>
      <c r="M5900" t="s">
        <v>38</v>
      </c>
      <c r="N5900" t="s">
        <v>39</v>
      </c>
      <c r="P5900" s="23">
        <v>108.19</v>
      </c>
      <c r="Q5900" s="4">
        <f t="shared" si="92"/>
        <v>-568.95230612810792</v>
      </c>
      <c r="R5900" s="23" t="s">
        <v>109</v>
      </c>
    </row>
    <row r="5901" spans="1:20" x14ac:dyDescent="0.25">
      <c r="A5901" s="21">
        <v>45839</v>
      </c>
      <c r="B5901" s="1">
        <v>914707613</v>
      </c>
      <c r="C5901" t="s">
        <v>9872</v>
      </c>
      <c r="D5901" s="43">
        <v>-200000</v>
      </c>
      <c r="E5901" t="s">
        <v>35</v>
      </c>
      <c r="F5901" s="2">
        <v>110114001</v>
      </c>
      <c r="G5901" s="2" t="s">
        <v>301</v>
      </c>
      <c r="L5901" s="2" t="s">
        <v>10310</v>
      </c>
      <c r="M5901" t="s">
        <v>38</v>
      </c>
      <c r="N5901" t="s">
        <v>39</v>
      </c>
      <c r="P5901" s="23">
        <v>108.19</v>
      </c>
      <c r="Q5901" s="4">
        <f t="shared" si="92"/>
        <v>-1848.5996857380535</v>
      </c>
      <c r="R5901" s="23" t="s">
        <v>109</v>
      </c>
    </row>
    <row r="5902" spans="1:20" x14ac:dyDescent="0.25">
      <c r="A5902" s="21">
        <v>45839</v>
      </c>
      <c r="B5902" s="1">
        <v>914707612</v>
      </c>
      <c r="C5902" t="s">
        <v>9872</v>
      </c>
      <c r="D5902" s="43">
        <v>-200000</v>
      </c>
      <c r="E5902" t="s">
        <v>35</v>
      </c>
      <c r="F5902" s="2">
        <v>110114001</v>
      </c>
      <c r="G5902" s="2" t="s">
        <v>301</v>
      </c>
      <c r="L5902" s="2" t="s">
        <v>10311</v>
      </c>
      <c r="M5902" t="s">
        <v>38</v>
      </c>
      <c r="N5902" t="s">
        <v>39</v>
      </c>
      <c r="P5902" s="23">
        <v>108.19</v>
      </c>
      <c r="Q5902" s="4">
        <f t="shared" si="92"/>
        <v>-1848.5996857380535</v>
      </c>
      <c r="R5902" s="23" t="s">
        <v>109</v>
      </c>
    </row>
    <row r="5903" spans="1:20" x14ac:dyDescent="0.25">
      <c r="A5903" s="21">
        <v>45839</v>
      </c>
      <c r="B5903" s="1">
        <v>914707614</v>
      </c>
      <c r="C5903" t="s">
        <v>10312</v>
      </c>
      <c r="D5903" s="43">
        <v>-49085.4</v>
      </c>
      <c r="E5903" t="s">
        <v>35</v>
      </c>
      <c r="F5903" s="2">
        <v>210101001</v>
      </c>
      <c r="G5903" s="2" t="s">
        <v>36</v>
      </c>
      <c r="L5903" s="2" t="s">
        <v>10313</v>
      </c>
      <c r="M5903" t="s">
        <v>38</v>
      </c>
      <c r="N5903" t="s">
        <v>39</v>
      </c>
      <c r="P5903" s="23">
        <v>108.19</v>
      </c>
      <c r="Q5903" s="4">
        <f t="shared" si="92"/>
        <v>-453.69627507163324</v>
      </c>
      <c r="R5903" s="23" t="s">
        <v>109</v>
      </c>
    </row>
    <row r="5904" spans="1:20" x14ac:dyDescent="0.25">
      <c r="A5904" s="21">
        <v>45839</v>
      </c>
      <c r="B5904" s="1">
        <v>914707615</v>
      </c>
      <c r="C5904" t="s">
        <v>10314</v>
      </c>
      <c r="D5904" s="43">
        <v>-111067.85</v>
      </c>
      <c r="E5904" t="s">
        <v>35</v>
      </c>
      <c r="F5904" s="2">
        <v>210101001</v>
      </c>
      <c r="G5904" s="2" t="s">
        <v>36</v>
      </c>
      <c r="L5904" s="2" t="s">
        <v>10315</v>
      </c>
      <c r="M5904" t="s">
        <v>38</v>
      </c>
      <c r="N5904" t="s">
        <v>39</v>
      </c>
      <c r="P5904" s="23">
        <v>108.19</v>
      </c>
      <c r="Q5904" s="4">
        <f t="shared" si="92"/>
        <v>-1026.5999630280064</v>
      </c>
      <c r="R5904" s="23" t="s">
        <v>109</v>
      </c>
    </row>
    <row r="5905" spans="1:20" x14ac:dyDescent="0.25">
      <c r="A5905" s="21">
        <v>45839</v>
      </c>
      <c r="B5905" s="1">
        <v>50764975</v>
      </c>
      <c r="C5905" t="s">
        <v>118</v>
      </c>
      <c r="D5905" s="43">
        <v>-1751.3</v>
      </c>
      <c r="E5905" t="s">
        <v>35</v>
      </c>
      <c r="F5905" s="2">
        <v>610148001</v>
      </c>
      <c r="G5905" s="2" t="s">
        <v>42</v>
      </c>
      <c r="L5905" s="2" t="s">
        <v>10316</v>
      </c>
      <c r="M5905" t="s">
        <v>43</v>
      </c>
      <c r="N5905" t="s">
        <v>42</v>
      </c>
      <c r="P5905" s="23">
        <v>108.19</v>
      </c>
      <c r="Q5905" s="4">
        <f t="shared" si="92"/>
        <v>-16.187263148165265</v>
      </c>
      <c r="R5905" s="23" t="s">
        <v>109</v>
      </c>
      <c r="T5905" s="23" t="s">
        <v>10222</v>
      </c>
    </row>
    <row r="5906" spans="1:20" x14ac:dyDescent="0.25">
      <c r="A5906" s="21">
        <v>45839</v>
      </c>
      <c r="B5906" s="1">
        <v>151648713</v>
      </c>
      <c r="C5906" t="s">
        <v>107</v>
      </c>
      <c r="D5906" s="43">
        <v>50000</v>
      </c>
      <c r="E5906" t="s">
        <v>46</v>
      </c>
      <c r="F5906" s="2">
        <v>210115002</v>
      </c>
      <c r="G5906" s="2" t="s">
        <v>47</v>
      </c>
      <c r="L5906" s="2" t="s">
        <v>10317</v>
      </c>
      <c r="N5906" t="s">
        <v>107</v>
      </c>
      <c r="P5906" s="23">
        <v>108.19</v>
      </c>
      <c r="Q5906" s="4">
        <f t="shared" si="92"/>
        <v>462.14992143451337</v>
      </c>
      <c r="R5906" s="23" t="s">
        <v>109</v>
      </c>
    </row>
    <row r="5907" spans="1:20" x14ac:dyDescent="0.25">
      <c r="A5907" s="21">
        <v>45839</v>
      </c>
      <c r="B5907" s="1">
        <v>0</v>
      </c>
      <c r="C5907" t="s">
        <v>8641</v>
      </c>
      <c r="D5907" s="43">
        <v>-99.12</v>
      </c>
      <c r="E5907" t="s">
        <v>35</v>
      </c>
      <c r="F5907" s="2">
        <v>610148001</v>
      </c>
      <c r="G5907" s="2" t="s">
        <v>42</v>
      </c>
      <c r="L5907" s="2" t="s">
        <v>10318</v>
      </c>
      <c r="M5907" t="s">
        <v>43</v>
      </c>
      <c r="N5907" t="s">
        <v>42</v>
      </c>
      <c r="P5907" s="23">
        <v>108.19</v>
      </c>
      <c r="Q5907" s="4">
        <f t="shared" si="92"/>
        <v>-0.9161660042517793</v>
      </c>
      <c r="R5907" s="23" t="s">
        <v>109</v>
      </c>
      <c r="T5907" s="23" t="s">
        <v>10222</v>
      </c>
    </row>
    <row r="5908" spans="1:20" x14ac:dyDescent="0.25">
      <c r="A5908" s="21">
        <v>45839</v>
      </c>
      <c r="B5908" s="1">
        <v>163975</v>
      </c>
      <c r="C5908" t="s">
        <v>10319</v>
      </c>
      <c r="D5908" s="43">
        <v>-86881.63</v>
      </c>
      <c r="E5908" t="s">
        <v>35</v>
      </c>
      <c r="F5908" s="2">
        <v>213401001</v>
      </c>
      <c r="G5908" s="2" t="s">
        <v>126</v>
      </c>
      <c r="L5908" s="2" t="s">
        <v>10320</v>
      </c>
      <c r="M5908" t="s">
        <v>128</v>
      </c>
      <c r="N5908" t="s">
        <v>129</v>
      </c>
      <c r="P5908" s="23">
        <v>108.19</v>
      </c>
      <c r="Q5908" s="4">
        <f t="shared" si="92"/>
        <v>-803.04676957204924</v>
      </c>
      <c r="R5908" s="23" t="s">
        <v>109</v>
      </c>
      <c r="T5908" s="23" t="s">
        <v>10321</v>
      </c>
    </row>
    <row r="5909" spans="1:20" x14ac:dyDescent="0.25">
      <c r="A5909" s="21">
        <v>45840</v>
      </c>
      <c r="B5909" s="1">
        <v>114616401</v>
      </c>
      <c r="C5909" t="s">
        <v>10322</v>
      </c>
      <c r="D5909" s="43">
        <v>25867.49</v>
      </c>
      <c r="E5909" t="s">
        <v>46</v>
      </c>
      <c r="F5909" s="2">
        <v>110106001</v>
      </c>
      <c r="G5909" s="2" t="s">
        <v>2034</v>
      </c>
      <c r="L5909" s="2" t="s">
        <v>10323</v>
      </c>
      <c r="N5909" t="s">
        <v>10324</v>
      </c>
      <c r="P5909" s="23">
        <v>108.98</v>
      </c>
      <c r="Q5909" s="4">
        <f t="shared" si="92"/>
        <v>237.35997430721233</v>
      </c>
      <c r="R5909" s="23" t="s">
        <v>109</v>
      </c>
    </row>
    <row r="5910" spans="1:20" x14ac:dyDescent="0.25">
      <c r="A5910" s="21">
        <v>45840</v>
      </c>
      <c r="B5910" s="1">
        <v>50786701</v>
      </c>
      <c r="C5910" t="s">
        <v>10325</v>
      </c>
      <c r="D5910" s="43">
        <v>81412.42</v>
      </c>
      <c r="E5910" t="s">
        <v>46</v>
      </c>
      <c r="F5910" s="2">
        <v>110106001</v>
      </c>
      <c r="G5910" s="2" t="s">
        <v>2034</v>
      </c>
      <c r="L5910" s="2" t="s">
        <v>10326</v>
      </c>
      <c r="N5910" t="s">
        <v>10327</v>
      </c>
      <c r="P5910" s="23">
        <v>108.98</v>
      </c>
      <c r="Q5910" s="4">
        <f t="shared" si="92"/>
        <v>747.04000734079648</v>
      </c>
      <c r="R5910" s="23" t="s">
        <v>109</v>
      </c>
    </row>
    <row r="5911" spans="1:20" x14ac:dyDescent="0.25">
      <c r="A5911" s="21">
        <v>45840</v>
      </c>
      <c r="B5911" s="1">
        <v>143516278</v>
      </c>
      <c r="C5911" t="s">
        <v>107</v>
      </c>
      <c r="D5911" s="43">
        <v>200000</v>
      </c>
      <c r="E5911" t="s">
        <v>46</v>
      </c>
      <c r="F5911" s="2">
        <v>210101001</v>
      </c>
      <c r="G5911" s="2" t="s">
        <v>36</v>
      </c>
      <c r="L5911" s="2" t="s">
        <v>10328</v>
      </c>
      <c r="N5911" t="s">
        <v>107</v>
      </c>
      <c r="P5911" s="23">
        <v>108.98</v>
      </c>
      <c r="Q5911" s="4">
        <f t="shared" si="92"/>
        <v>1835.1991191044228</v>
      </c>
      <c r="R5911" s="23" t="s">
        <v>109</v>
      </c>
    </row>
    <row r="5912" spans="1:20" x14ac:dyDescent="0.25">
      <c r="A5912" s="21">
        <v>45840</v>
      </c>
      <c r="B5912" s="1">
        <v>114723823</v>
      </c>
      <c r="C5912" t="s">
        <v>10329</v>
      </c>
      <c r="D5912" s="43">
        <v>-36946.639999999999</v>
      </c>
      <c r="E5912" t="s">
        <v>35</v>
      </c>
      <c r="F5912" s="2">
        <v>210101001</v>
      </c>
      <c r="G5912" s="2" t="s">
        <v>36</v>
      </c>
      <c r="L5912" s="2" t="s">
        <v>10330</v>
      </c>
      <c r="M5912" t="s">
        <v>303</v>
      </c>
      <c r="N5912" t="s">
        <v>304</v>
      </c>
      <c r="P5912" s="23">
        <v>108.98</v>
      </c>
      <c r="Q5912" s="4">
        <f t="shared" si="92"/>
        <v>-339.02220590934115</v>
      </c>
      <c r="R5912" s="23" t="s">
        <v>109</v>
      </c>
    </row>
    <row r="5913" spans="1:20" x14ac:dyDescent="0.25">
      <c r="A5913" s="21">
        <v>45840</v>
      </c>
      <c r="B5913" s="1">
        <v>114723824</v>
      </c>
      <c r="C5913" t="s">
        <v>10331</v>
      </c>
      <c r="D5913" s="43">
        <v>-91036.800000000003</v>
      </c>
      <c r="E5913" t="s">
        <v>35</v>
      </c>
      <c r="F5913" s="2">
        <v>210101001</v>
      </c>
      <c r="G5913" s="2" t="s">
        <v>36</v>
      </c>
      <c r="L5913" s="2" t="s">
        <v>10332</v>
      </c>
      <c r="M5913" t="s">
        <v>38</v>
      </c>
      <c r="N5913" t="s">
        <v>39</v>
      </c>
      <c r="P5913" s="23">
        <v>108.98</v>
      </c>
      <c r="Q5913" s="4">
        <f t="shared" si="92"/>
        <v>-835.35327583042761</v>
      </c>
      <c r="R5913" s="23" t="s">
        <v>109</v>
      </c>
    </row>
    <row r="5914" spans="1:20" x14ac:dyDescent="0.25">
      <c r="A5914" s="21">
        <v>45840</v>
      </c>
      <c r="B5914" s="1">
        <v>114723826</v>
      </c>
      <c r="C5914" t="s">
        <v>10333</v>
      </c>
      <c r="D5914" s="43">
        <v>-89503.09</v>
      </c>
      <c r="E5914" t="s">
        <v>35</v>
      </c>
      <c r="F5914" s="2">
        <v>210101001</v>
      </c>
      <c r="G5914" s="2" t="s">
        <v>36</v>
      </c>
      <c r="L5914" s="2" t="s">
        <v>10334</v>
      </c>
      <c r="M5914" t="s">
        <v>788</v>
      </c>
      <c r="N5914" t="s">
        <v>789</v>
      </c>
      <c r="P5914" s="23">
        <v>108.98</v>
      </c>
      <c r="Q5914" s="4">
        <f t="shared" si="92"/>
        <v>-821.27995962561931</v>
      </c>
      <c r="R5914" s="23" t="s">
        <v>109</v>
      </c>
    </row>
    <row r="5915" spans="1:20" x14ac:dyDescent="0.25">
      <c r="A5915" s="21">
        <v>45840</v>
      </c>
      <c r="B5915" s="1">
        <v>114723828</v>
      </c>
      <c r="C5915" t="s">
        <v>10335</v>
      </c>
      <c r="D5915" s="43">
        <v>-42427</v>
      </c>
      <c r="E5915" t="s">
        <v>35</v>
      </c>
      <c r="F5915" s="2">
        <v>210101001</v>
      </c>
      <c r="G5915" s="2" t="s">
        <v>36</v>
      </c>
      <c r="L5915" s="2" t="s">
        <v>10336</v>
      </c>
      <c r="M5915" t="s">
        <v>303</v>
      </c>
      <c r="N5915" t="s">
        <v>304</v>
      </c>
      <c r="P5915" s="23">
        <v>108.98</v>
      </c>
      <c r="Q5915" s="4">
        <f t="shared" si="92"/>
        <v>-389.3099651312167</v>
      </c>
      <c r="R5915" s="23" t="s">
        <v>109</v>
      </c>
    </row>
    <row r="5916" spans="1:20" x14ac:dyDescent="0.25">
      <c r="A5916" s="21">
        <v>45840</v>
      </c>
      <c r="B5916" s="1">
        <v>114723827</v>
      </c>
      <c r="C5916" t="s">
        <v>10337</v>
      </c>
      <c r="D5916" s="43">
        <v>-64472.57</v>
      </c>
      <c r="E5916" t="s">
        <v>35</v>
      </c>
      <c r="F5916" s="2">
        <v>210101001</v>
      </c>
      <c r="G5916" s="2" t="s">
        <v>36</v>
      </c>
      <c r="L5916" s="2" t="s">
        <v>10338</v>
      </c>
      <c r="M5916" t="s">
        <v>788</v>
      </c>
      <c r="N5916" t="s">
        <v>789</v>
      </c>
      <c r="P5916" s="23">
        <v>108.98</v>
      </c>
      <c r="Q5916" s="4">
        <f t="shared" si="92"/>
        <v>-591.60001835199114</v>
      </c>
      <c r="R5916" s="23" t="s">
        <v>109</v>
      </c>
    </row>
    <row r="5917" spans="1:20" x14ac:dyDescent="0.25">
      <c r="A5917" s="21">
        <v>45840</v>
      </c>
      <c r="B5917" s="1">
        <v>50745420</v>
      </c>
      <c r="C5917" t="s">
        <v>118</v>
      </c>
      <c r="D5917" s="43">
        <v>-810.96</v>
      </c>
      <c r="E5917" t="s">
        <v>35</v>
      </c>
      <c r="F5917" s="2">
        <v>610148001</v>
      </c>
      <c r="G5917" s="2" t="s">
        <v>42</v>
      </c>
      <c r="L5917" s="2" t="s">
        <v>10339</v>
      </c>
      <c r="M5917" t="s">
        <v>43</v>
      </c>
      <c r="N5917" t="s">
        <v>42</v>
      </c>
      <c r="P5917" s="23">
        <v>108.98</v>
      </c>
      <c r="Q5917" s="4">
        <f t="shared" si="92"/>
        <v>-7.4413653881446136</v>
      </c>
      <c r="R5917" s="23" t="s">
        <v>109</v>
      </c>
      <c r="T5917" s="23" t="s">
        <v>10222</v>
      </c>
    </row>
    <row r="5918" spans="1:20" x14ac:dyDescent="0.25">
      <c r="A5918" s="21">
        <v>45841</v>
      </c>
      <c r="B5918" s="1">
        <v>133759626</v>
      </c>
      <c r="C5918" t="s">
        <v>10340</v>
      </c>
      <c r="D5918" s="43">
        <v>20000</v>
      </c>
      <c r="E5918" t="s">
        <v>46</v>
      </c>
      <c r="F5918" s="2">
        <v>210115002</v>
      </c>
      <c r="G5918" s="2" t="s">
        <v>47</v>
      </c>
      <c r="L5918" s="2" t="s">
        <v>10341</v>
      </c>
      <c r="N5918" t="s">
        <v>10340</v>
      </c>
      <c r="P5918" s="23">
        <v>109.77</v>
      </c>
      <c r="Q5918" s="4">
        <f t="shared" si="92"/>
        <v>182.19914366402477</v>
      </c>
      <c r="R5918" s="23" t="s">
        <v>109</v>
      </c>
    </row>
    <row r="5919" spans="1:20" x14ac:dyDescent="0.25">
      <c r="A5919" s="21">
        <v>45841</v>
      </c>
      <c r="B5919" s="1">
        <v>134604366</v>
      </c>
      <c r="C5919" t="s">
        <v>10340</v>
      </c>
      <c r="D5919" s="43">
        <v>10000</v>
      </c>
      <c r="E5919" t="s">
        <v>46</v>
      </c>
      <c r="F5919" s="2">
        <v>210115002</v>
      </c>
      <c r="G5919" s="2" t="s">
        <v>47</v>
      </c>
      <c r="L5919" s="2" t="s">
        <v>10342</v>
      </c>
      <c r="N5919" t="s">
        <v>10340</v>
      </c>
      <c r="P5919" s="23">
        <v>109.77</v>
      </c>
      <c r="Q5919" s="4">
        <f t="shared" si="92"/>
        <v>91.099571832012387</v>
      </c>
      <c r="R5919" s="23" t="s">
        <v>109</v>
      </c>
    </row>
    <row r="5920" spans="1:20" x14ac:dyDescent="0.25">
      <c r="A5920" s="21">
        <v>45841</v>
      </c>
      <c r="B5920" s="1">
        <v>14739860</v>
      </c>
      <c r="C5920" t="s">
        <v>10343</v>
      </c>
      <c r="D5920" s="43">
        <v>-12477.68</v>
      </c>
      <c r="E5920" t="s">
        <v>35</v>
      </c>
      <c r="F5920" s="2">
        <v>210101001</v>
      </c>
      <c r="G5920" s="2" t="s">
        <v>36</v>
      </c>
      <c r="L5920" s="2" t="s">
        <v>10344</v>
      </c>
      <c r="M5920" t="s">
        <v>521</v>
      </c>
      <c r="N5920" t="s">
        <v>3364</v>
      </c>
      <c r="P5920" s="23">
        <v>109.77</v>
      </c>
      <c r="Q5920" s="4">
        <f t="shared" si="92"/>
        <v>-113.67113054568644</v>
      </c>
      <c r="R5920" s="23" t="s">
        <v>109</v>
      </c>
    </row>
    <row r="5921" spans="1:20" x14ac:dyDescent="0.25">
      <c r="A5921" s="21">
        <v>45841</v>
      </c>
      <c r="B5921" s="1">
        <v>14739859</v>
      </c>
      <c r="C5921" t="s">
        <v>10345</v>
      </c>
      <c r="D5921" s="43">
        <v>-9438.1299999999992</v>
      </c>
      <c r="E5921" t="s">
        <v>35</v>
      </c>
      <c r="F5921" s="2">
        <v>210101001</v>
      </c>
      <c r="G5921" s="2" t="s">
        <v>36</v>
      </c>
      <c r="L5921" s="2" t="s">
        <v>10346</v>
      </c>
      <c r="M5921" t="s">
        <v>788</v>
      </c>
      <c r="N5921" t="s">
        <v>789</v>
      </c>
      <c r="P5921" s="23">
        <v>109.77</v>
      </c>
      <c r="Q5921" s="4">
        <f t="shared" si="92"/>
        <v>-85.980960189487107</v>
      </c>
      <c r="R5921" s="23" t="s">
        <v>109</v>
      </c>
    </row>
    <row r="5922" spans="1:20" x14ac:dyDescent="0.25">
      <c r="A5922" s="21">
        <v>45841</v>
      </c>
      <c r="B5922" s="1">
        <v>50742927</v>
      </c>
      <c r="C5922" t="s">
        <v>118</v>
      </c>
      <c r="D5922" s="43">
        <v>-54.78</v>
      </c>
      <c r="E5922" t="s">
        <v>35</v>
      </c>
      <c r="F5922" s="2">
        <v>610148001</v>
      </c>
      <c r="G5922" s="2" t="s">
        <v>42</v>
      </c>
      <c r="L5922" s="2" t="s">
        <v>10347</v>
      </c>
      <c r="M5922" t="s">
        <v>43</v>
      </c>
      <c r="N5922" t="s">
        <v>42</v>
      </c>
      <c r="P5922" s="23">
        <v>109.77</v>
      </c>
      <c r="Q5922" s="4">
        <f t="shared" si="92"/>
        <v>-0.49904345449576387</v>
      </c>
      <c r="R5922" s="23" t="s">
        <v>109</v>
      </c>
      <c r="T5922" s="23" t="s">
        <v>10222</v>
      </c>
    </row>
    <row r="5923" spans="1:20" x14ac:dyDescent="0.25">
      <c r="A5923" s="21">
        <v>45841</v>
      </c>
      <c r="B5923" s="1">
        <v>143514555</v>
      </c>
      <c r="C5923" t="s">
        <v>10340</v>
      </c>
      <c r="D5923" s="43">
        <v>35000</v>
      </c>
      <c r="E5923" t="s">
        <v>46</v>
      </c>
      <c r="F5923" s="2">
        <v>210115002</v>
      </c>
      <c r="G5923" s="2" t="s">
        <v>47</v>
      </c>
      <c r="L5923" s="2" t="s">
        <v>10348</v>
      </c>
      <c r="N5923" t="s">
        <v>10340</v>
      </c>
      <c r="P5923" s="23">
        <v>109.77</v>
      </c>
      <c r="Q5923" s="4">
        <f t="shared" si="92"/>
        <v>318.84850141204339</v>
      </c>
      <c r="R5923" s="23" t="s">
        <v>109</v>
      </c>
    </row>
    <row r="5924" spans="1:20" x14ac:dyDescent="0.25">
      <c r="A5924" s="21">
        <v>45841</v>
      </c>
      <c r="B5924" s="1">
        <v>14741513</v>
      </c>
      <c r="C5924" t="s">
        <v>10349</v>
      </c>
      <c r="D5924" s="43">
        <v>-34364.300000000003</v>
      </c>
      <c r="E5924" t="s">
        <v>35</v>
      </c>
      <c r="F5924" s="2">
        <v>210101001</v>
      </c>
      <c r="G5924" s="2" t="s">
        <v>36</v>
      </c>
      <c r="L5924" s="2" t="s">
        <v>10350</v>
      </c>
      <c r="M5924" t="s">
        <v>38</v>
      </c>
      <c r="N5924" t="s">
        <v>39</v>
      </c>
      <c r="P5924" s="23">
        <v>109.77</v>
      </c>
      <c r="Q5924" s="4">
        <f t="shared" si="92"/>
        <v>-313.05730163068239</v>
      </c>
      <c r="R5924" s="23" t="s">
        <v>109</v>
      </c>
    </row>
    <row r="5925" spans="1:20" x14ac:dyDescent="0.25">
      <c r="A5925" s="21">
        <v>45841</v>
      </c>
      <c r="B5925" s="1">
        <v>14741513</v>
      </c>
      <c r="C5925" t="s">
        <v>306</v>
      </c>
      <c r="D5925" s="43">
        <v>-103.09</v>
      </c>
      <c r="E5925" t="s">
        <v>35</v>
      </c>
      <c r="F5925" s="2">
        <v>610148001</v>
      </c>
      <c r="G5925" s="2" t="s">
        <v>42</v>
      </c>
      <c r="L5925" s="2" t="s">
        <v>10351</v>
      </c>
      <c r="M5925" t="s">
        <v>43</v>
      </c>
      <c r="N5925" t="s">
        <v>42</v>
      </c>
      <c r="P5925" s="23">
        <v>109.77</v>
      </c>
      <c r="Q5925" s="4">
        <f t="shared" si="92"/>
        <v>-0.93914548601621584</v>
      </c>
      <c r="R5925" s="23" t="s">
        <v>109</v>
      </c>
      <c r="T5925" s="23" t="s">
        <v>10222</v>
      </c>
    </row>
    <row r="5926" spans="1:20" x14ac:dyDescent="0.25">
      <c r="A5926" s="21">
        <v>45842</v>
      </c>
      <c r="B5926" s="1">
        <v>115721423</v>
      </c>
      <c r="C5926" t="s">
        <v>107</v>
      </c>
      <c r="D5926" s="43">
        <v>75000</v>
      </c>
      <c r="E5926" t="s">
        <v>46</v>
      </c>
      <c r="F5926" s="2">
        <v>210115002</v>
      </c>
      <c r="G5926" s="2" t="s">
        <v>47</v>
      </c>
      <c r="L5926" s="2" t="s">
        <v>10352</v>
      </c>
      <c r="N5926" t="s">
        <v>107</v>
      </c>
      <c r="P5926" s="23">
        <v>110.56</v>
      </c>
      <c r="Q5926" s="4">
        <f t="shared" si="92"/>
        <v>678.36468885672934</v>
      </c>
      <c r="R5926" s="23" t="s">
        <v>109</v>
      </c>
    </row>
    <row r="5927" spans="1:20" x14ac:dyDescent="0.25">
      <c r="A5927" s="21">
        <v>45842</v>
      </c>
      <c r="B5927" s="1">
        <v>514758210</v>
      </c>
      <c r="C5927" t="s">
        <v>10353</v>
      </c>
      <c r="D5927" s="43">
        <v>-13267.2</v>
      </c>
      <c r="E5927" t="s">
        <v>35</v>
      </c>
      <c r="F5927" s="2">
        <v>212901001</v>
      </c>
      <c r="G5927" s="2" t="s">
        <v>121</v>
      </c>
      <c r="L5927" s="2" t="s">
        <v>10354</v>
      </c>
      <c r="M5927" t="s">
        <v>67</v>
      </c>
      <c r="N5927" t="s">
        <v>68</v>
      </c>
      <c r="P5927" s="23">
        <v>110.56</v>
      </c>
      <c r="Q5927" s="4">
        <f t="shared" si="92"/>
        <v>-120</v>
      </c>
      <c r="R5927" s="23" t="s">
        <v>109</v>
      </c>
    </row>
    <row r="5928" spans="1:20" x14ac:dyDescent="0.25">
      <c r="A5928" s="21">
        <v>45842</v>
      </c>
      <c r="B5928" s="1">
        <v>614758213</v>
      </c>
      <c r="C5928" t="s">
        <v>10355</v>
      </c>
      <c r="D5928" s="43">
        <v>-10960.71</v>
      </c>
      <c r="E5928" t="s">
        <v>35</v>
      </c>
      <c r="F5928" s="2">
        <v>110101002</v>
      </c>
      <c r="G5928" s="2" t="s">
        <v>6359</v>
      </c>
      <c r="L5928" s="2" t="s">
        <v>10356</v>
      </c>
      <c r="N5928" t="s">
        <v>7557</v>
      </c>
      <c r="P5928" s="23">
        <v>110.56</v>
      </c>
      <c r="Q5928" s="4">
        <f t="shared" si="92"/>
        <v>-99.138115050651223</v>
      </c>
      <c r="R5928" s="23" t="s">
        <v>109</v>
      </c>
    </row>
    <row r="5929" spans="1:20" x14ac:dyDescent="0.25">
      <c r="A5929" s="32">
        <v>45842</v>
      </c>
      <c r="B5929" s="26">
        <v>614758214</v>
      </c>
      <c r="C5929" s="27" t="s">
        <v>10357</v>
      </c>
      <c r="D5929" s="46">
        <v>-13267.2</v>
      </c>
      <c r="E5929" s="27" t="s">
        <v>35</v>
      </c>
      <c r="F5929" s="29">
        <v>610129001</v>
      </c>
      <c r="G5929" s="29" t="s">
        <v>55</v>
      </c>
      <c r="H5929" s="107"/>
      <c r="I5929" s="101"/>
      <c r="J5929" s="101"/>
      <c r="K5929" s="29"/>
      <c r="L5929" s="2" t="s">
        <v>10358</v>
      </c>
      <c r="M5929" s="27" t="s">
        <v>57</v>
      </c>
      <c r="N5929" s="27" t="s">
        <v>58</v>
      </c>
      <c r="O5929" s="27" t="s">
        <v>59</v>
      </c>
      <c r="P5929" s="31">
        <v>110.56</v>
      </c>
      <c r="Q5929" s="4">
        <f t="shared" si="92"/>
        <v>-120</v>
      </c>
      <c r="R5929" s="23" t="s">
        <v>109</v>
      </c>
      <c r="T5929" s="23" t="s">
        <v>10359</v>
      </c>
    </row>
    <row r="5930" spans="1:20" x14ac:dyDescent="0.25">
      <c r="A5930" s="21">
        <v>45842</v>
      </c>
      <c r="B5930" s="1">
        <v>614758215</v>
      </c>
      <c r="C5930" t="s">
        <v>10360</v>
      </c>
      <c r="D5930" s="43">
        <v>-1105.5999999999999</v>
      </c>
      <c r="E5930" t="s">
        <v>35</v>
      </c>
      <c r="F5930" s="2">
        <v>212901001</v>
      </c>
      <c r="G5930" s="2" t="s">
        <v>121</v>
      </c>
      <c r="L5930" s="2" t="s">
        <v>10361</v>
      </c>
      <c r="M5930" t="s">
        <v>67</v>
      </c>
      <c r="N5930" t="s">
        <v>68</v>
      </c>
      <c r="P5930" s="23">
        <v>110.56</v>
      </c>
      <c r="Q5930" s="4">
        <f t="shared" si="92"/>
        <v>-9.9999999999999982</v>
      </c>
      <c r="R5930" s="23" t="s">
        <v>109</v>
      </c>
    </row>
    <row r="5931" spans="1:20" x14ac:dyDescent="0.25">
      <c r="A5931" s="21">
        <v>45842</v>
      </c>
      <c r="B5931" s="1">
        <v>614758212</v>
      </c>
      <c r="C5931" t="s">
        <v>10362</v>
      </c>
      <c r="D5931" s="43">
        <v>-3403.44</v>
      </c>
      <c r="E5931" t="s">
        <v>35</v>
      </c>
      <c r="F5931" s="2">
        <v>210101001</v>
      </c>
      <c r="G5931" s="2" t="s">
        <v>36</v>
      </c>
      <c r="L5931" s="2" t="s">
        <v>10363</v>
      </c>
      <c r="M5931" t="s">
        <v>114</v>
      </c>
      <c r="N5931" t="s">
        <v>115</v>
      </c>
      <c r="P5931" s="23">
        <v>110.56</v>
      </c>
      <c r="Q5931" s="4">
        <f t="shared" si="92"/>
        <v>-30.783646888567294</v>
      </c>
      <c r="R5931" s="23" t="s">
        <v>109</v>
      </c>
    </row>
    <row r="5932" spans="1:20" x14ac:dyDescent="0.25">
      <c r="A5932" s="21">
        <v>45842</v>
      </c>
      <c r="B5932" s="1">
        <v>614758216</v>
      </c>
      <c r="C5932" t="s">
        <v>10364</v>
      </c>
      <c r="D5932" s="43">
        <v>-2211.1999999999998</v>
      </c>
      <c r="E5932" t="s">
        <v>35</v>
      </c>
      <c r="F5932" s="2">
        <v>212901001</v>
      </c>
      <c r="G5932" s="2" t="s">
        <v>121</v>
      </c>
      <c r="L5932" s="2" t="s">
        <v>10365</v>
      </c>
      <c r="M5932" t="s">
        <v>67</v>
      </c>
      <c r="N5932" t="s">
        <v>68</v>
      </c>
      <c r="P5932" s="23">
        <v>110.56</v>
      </c>
      <c r="Q5932" s="4">
        <f t="shared" si="92"/>
        <v>-19.999999999999996</v>
      </c>
      <c r="R5932" s="23" t="s">
        <v>109</v>
      </c>
    </row>
    <row r="5933" spans="1:20" x14ac:dyDescent="0.25">
      <c r="A5933" s="21">
        <v>45842</v>
      </c>
      <c r="B5933" s="1">
        <v>614758217</v>
      </c>
      <c r="C5933" t="s">
        <v>10366</v>
      </c>
      <c r="D5933" s="43">
        <v>-2211.1999999999998</v>
      </c>
      <c r="E5933" t="s">
        <v>35</v>
      </c>
      <c r="F5933" s="2">
        <v>212901001</v>
      </c>
      <c r="G5933" s="2" t="s">
        <v>121</v>
      </c>
      <c r="L5933" s="2" t="s">
        <v>10367</v>
      </c>
      <c r="M5933" t="s">
        <v>67</v>
      </c>
      <c r="N5933" t="s">
        <v>68</v>
      </c>
      <c r="P5933" s="23">
        <v>110.56</v>
      </c>
      <c r="Q5933" s="4">
        <f t="shared" si="92"/>
        <v>-19.999999999999996</v>
      </c>
      <c r="R5933" s="23" t="s">
        <v>109</v>
      </c>
    </row>
    <row r="5934" spans="1:20" x14ac:dyDescent="0.25">
      <c r="A5934" s="21">
        <v>45842</v>
      </c>
      <c r="B5934" s="1">
        <v>614758219</v>
      </c>
      <c r="C5934" t="s">
        <v>10368</v>
      </c>
      <c r="D5934" s="43">
        <v>-17689.599999999999</v>
      </c>
      <c r="E5934" t="s">
        <v>35</v>
      </c>
      <c r="F5934" s="2">
        <v>212901001</v>
      </c>
      <c r="G5934" s="2" t="s">
        <v>121</v>
      </c>
      <c r="L5934" s="2" t="s">
        <v>10369</v>
      </c>
      <c r="M5934" t="s">
        <v>67</v>
      </c>
      <c r="N5934" t="s">
        <v>68</v>
      </c>
      <c r="P5934" s="23">
        <v>110.56</v>
      </c>
      <c r="Q5934" s="4">
        <f t="shared" si="92"/>
        <v>-159.99999999999997</v>
      </c>
      <c r="R5934" s="23" t="s">
        <v>109</v>
      </c>
    </row>
    <row r="5935" spans="1:20" x14ac:dyDescent="0.25">
      <c r="A5935" s="21">
        <v>45842</v>
      </c>
      <c r="B5935" s="1">
        <v>614758218</v>
      </c>
      <c r="C5935" t="s">
        <v>10370</v>
      </c>
      <c r="D5935" s="43">
        <v>-2211.1999999999998</v>
      </c>
      <c r="E5935" t="s">
        <v>35</v>
      </c>
      <c r="F5935" s="2">
        <v>212901001</v>
      </c>
      <c r="G5935" s="2" t="s">
        <v>121</v>
      </c>
      <c r="L5935" s="2" t="s">
        <v>10371</v>
      </c>
      <c r="M5935" t="s">
        <v>67</v>
      </c>
      <c r="N5935" t="s">
        <v>68</v>
      </c>
      <c r="P5935" s="23">
        <v>110.56</v>
      </c>
      <c r="Q5935" s="4">
        <f t="shared" si="92"/>
        <v>-19.999999999999996</v>
      </c>
      <c r="R5935" s="23" t="s">
        <v>109</v>
      </c>
    </row>
    <row r="5936" spans="1:20" x14ac:dyDescent="0.25">
      <c r="A5936" s="21">
        <v>45842</v>
      </c>
      <c r="B5936" s="1">
        <v>614758220</v>
      </c>
      <c r="C5936" t="s">
        <v>10372</v>
      </c>
      <c r="D5936" s="43">
        <v>-8844.7999999999993</v>
      </c>
      <c r="E5936" t="s">
        <v>35</v>
      </c>
      <c r="F5936" s="2">
        <v>212901001</v>
      </c>
      <c r="G5936" s="2" t="s">
        <v>121</v>
      </c>
      <c r="L5936" s="2" t="s">
        <v>10373</v>
      </c>
      <c r="M5936" t="s">
        <v>67</v>
      </c>
      <c r="N5936" t="s">
        <v>68</v>
      </c>
      <c r="P5936" s="23">
        <v>110.56</v>
      </c>
      <c r="Q5936" s="4">
        <f t="shared" si="92"/>
        <v>-79.999999999999986</v>
      </c>
      <c r="R5936" s="23" t="s">
        <v>109</v>
      </c>
    </row>
    <row r="5937" spans="1:20" x14ac:dyDescent="0.25">
      <c r="A5937" s="21">
        <v>45842</v>
      </c>
      <c r="B5937" s="1">
        <v>50764795</v>
      </c>
      <c r="C5937" t="s">
        <v>118</v>
      </c>
      <c r="D5937" s="43">
        <v>-187.93</v>
      </c>
      <c r="E5937" t="s">
        <v>35</v>
      </c>
      <c r="F5937" s="2">
        <v>610148001</v>
      </c>
      <c r="G5937" s="2" t="s">
        <v>42</v>
      </c>
      <c r="L5937" s="2" t="s">
        <v>10374</v>
      </c>
      <c r="M5937" t="s">
        <v>43</v>
      </c>
      <c r="N5937" t="s">
        <v>42</v>
      </c>
      <c r="P5937" s="23">
        <v>110.56</v>
      </c>
      <c r="Q5937" s="4">
        <f t="shared" si="92"/>
        <v>-1.699801013024602</v>
      </c>
      <c r="R5937" s="23" t="s">
        <v>109</v>
      </c>
      <c r="T5937" s="23" t="s">
        <v>10222</v>
      </c>
    </row>
    <row r="5938" spans="1:20" x14ac:dyDescent="0.25">
      <c r="A5938" s="21">
        <v>45842</v>
      </c>
      <c r="B5938" s="1">
        <v>131457978</v>
      </c>
      <c r="C5938" t="s">
        <v>107</v>
      </c>
      <c r="D5938" s="43">
        <v>510000</v>
      </c>
      <c r="E5938" t="s">
        <v>46</v>
      </c>
      <c r="F5938" s="2">
        <v>210115002</v>
      </c>
      <c r="G5938" s="2" t="s">
        <v>47</v>
      </c>
      <c r="L5938" s="2" t="s">
        <v>10375</v>
      </c>
      <c r="N5938" t="s">
        <v>107</v>
      </c>
      <c r="P5938" s="23">
        <v>110.56</v>
      </c>
      <c r="Q5938" s="4">
        <f t="shared" si="92"/>
        <v>4612.8798842257593</v>
      </c>
      <c r="R5938" s="23" t="s">
        <v>109</v>
      </c>
    </row>
    <row r="5939" spans="1:20" x14ac:dyDescent="0.25">
      <c r="A5939" s="21">
        <v>45842</v>
      </c>
      <c r="B5939" s="1">
        <v>614760860</v>
      </c>
      <c r="C5939" t="s">
        <v>10376</v>
      </c>
      <c r="D5939" s="43">
        <v>-6633.6</v>
      </c>
      <c r="E5939" t="s">
        <v>35</v>
      </c>
      <c r="F5939" s="2">
        <v>212901001</v>
      </c>
      <c r="G5939" s="2" t="s">
        <v>121</v>
      </c>
      <c r="L5939" s="2" t="s">
        <v>10377</v>
      </c>
      <c r="M5939" t="s">
        <v>67</v>
      </c>
      <c r="N5939" t="s">
        <v>68</v>
      </c>
      <c r="P5939" s="23">
        <v>110.56</v>
      </c>
      <c r="Q5939" s="4">
        <f t="shared" si="92"/>
        <v>-60</v>
      </c>
      <c r="R5939" s="23" t="s">
        <v>109</v>
      </c>
    </row>
    <row r="5940" spans="1:20" x14ac:dyDescent="0.25">
      <c r="A5940" s="21">
        <v>45842</v>
      </c>
      <c r="B5940" s="1">
        <v>614760859</v>
      </c>
      <c r="C5940" t="s">
        <v>10378</v>
      </c>
      <c r="D5940" s="43">
        <v>-8844.7999999999993</v>
      </c>
      <c r="E5940" t="s">
        <v>35</v>
      </c>
      <c r="F5940" s="2">
        <v>212901001</v>
      </c>
      <c r="G5940" s="2" t="s">
        <v>121</v>
      </c>
      <c r="L5940" s="2" t="s">
        <v>10379</v>
      </c>
      <c r="M5940" t="s">
        <v>67</v>
      </c>
      <c r="N5940" t="s">
        <v>68</v>
      </c>
      <c r="P5940" s="23">
        <v>110.56</v>
      </c>
      <c r="Q5940" s="4">
        <f t="shared" si="92"/>
        <v>-79.999999999999986</v>
      </c>
      <c r="R5940" s="23" t="s">
        <v>109</v>
      </c>
    </row>
    <row r="5941" spans="1:20" x14ac:dyDescent="0.25">
      <c r="A5941" s="21">
        <v>45842</v>
      </c>
      <c r="B5941" s="1">
        <v>614760861</v>
      </c>
      <c r="C5941" t="s">
        <v>10380</v>
      </c>
      <c r="D5941" s="43">
        <v>-6633.6</v>
      </c>
      <c r="E5941" t="s">
        <v>35</v>
      </c>
      <c r="F5941" s="2">
        <v>212901001</v>
      </c>
      <c r="G5941" s="2" t="s">
        <v>121</v>
      </c>
      <c r="L5941" s="2" t="s">
        <v>10381</v>
      </c>
      <c r="M5941" t="s">
        <v>67</v>
      </c>
      <c r="N5941" t="s">
        <v>68</v>
      </c>
      <c r="P5941" s="23">
        <v>110.56</v>
      </c>
      <c r="Q5941" s="4">
        <f t="shared" si="92"/>
        <v>-60</v>
      </c>
      <c r="R5941" s="23" t="s">
        <v>109</v>
      </c>
    </row>
    <row r="5942" spans="1:20" x14ac:dyDescent="0.25">
      <c r="A5942" s="21">
        <v>45842</v>
      </c>
      <c r="B5942" s="1">
        <v>614760862</v>
      </c>
      <c r="C5942" t="s">
        <v>10382</v>
      </c>
      <c r="D5942" s="43">
        <v>-6633.6</v>
      </c>
      <c r="E5942" t="s">
        <v>35</v>
      </c>
      <c r="F5942" s="2">
        <v>212901001</v>
      </c>
      <c r="G5942" s="2" t="s">
        <v>121</v>
      </c>
      <c r="L5942" s="2" t="s">
        <v>10383</v>
      </c>
      <c r="M5942" t="s">
        <v>67</v>
      </c>
      <c r="N5942" t="s">
        <v>68</v>
      </c>
      <c r="P5942" s="23">
        <v>110.56</v>
      </c>
      <c r="Q5942" s="4">
        <f t="shared" si="92"/>
        <v>-60</v>
      </c>
      <c r="R5942" s="23" t="s">
        <v>109</v>
      </c>
    </row>
    <row r="5943" spans="1:20" x14ac:dyDescent="0.25">
      <c r="A5943" s="21">
        <v>45842</v>
      </c>
      <c r="B5943" s="1">
        <v>614760863</v>
      </c>
      <c r="C5943" t="s">
        <v>10384</v>
      </c>
      <c r="D5943" s="43">
        <v>-6633.6</v>
      </c>
      <c r="E5943" t="s">
        <v>35</v>
      </c>
      <c r="F5943" s="2">
        <v>212901001</v>
      </c>
      <c r="G5943" s="2" t="s">
        <v>121</v>
      </c>
      <c r="L5943" s="2" t="s">
        <v>10385</v>
      </c>
      <c r="M5943" t="s">
        <v>67</v>
      </c>
      <c r="N5943" t="s">
        <v>68</v>
      </c>
      <c r="P5943" s="23">
        <v>110.56</v>
      </c>
      <c r="Q5943" s="4">
        <f t="shared" si="92"/>
        <v>-60</v>
      </c>
      <c r="R5943" s="23" t="s">
        <v>109</v>
      </c>
    </row>
    <row r="5944" spans="1:20" x14ac:dyDescent="0.25">
      <c r="A5944" s="21">
        <v>45842</v>
      </c>
      <c r="B5944" s="1">
        <v>614760864</v>
      </c>
      <c r="C5944" t="s">
        <v>10386</v>
      </c>
      <c r="D5944" s="43">
        <v>-6633.6</v>
      </c>
      <c r="E5944" t="s">
        <v>35</v>
      </c>
      <c r="F5944" s="2">
        <v>212901001</v>
      </c>
      <c r="G5944" s="2" t="s">
        <v>121</v>
      </c>
      <c r="L5944" s="2" t="s">
        <v>10387</v>
      </c>
      <c r="M5944" t="s">
        <v>67</v>
      </c>
      <c r="N5944" t="s">
        <v>68</v>
      </c>
      <c r="P5944" s="23">
        <v>110.56</v>
      </c>
      <c r="Q5944" s="4">
        <f t="shared" si="92"/>
        <v>-60</v>
      </c>
      <c r="R5944" s="23" t="s">
        <v>109</v>
      </c>
    </row>
    <row r="5945" spans="1:20" x14ac:dyDescent="0.25">
      <c r="A5945" s="21">
        <v>45842</v>
      </c>
      <c r="B5945" s="1">
        <v>714760867</v>
      </c>
      <c r="C5945" t="s">
        <v>10388</v>
      </c>
      <c r="D5945" s="43">
        <v>-6633.6</v>
      </c>
      <c r="E5945" t="s">
        <v>35</v>
      </c>
      <c r="F5945" s="2">
        <v>212901001</v>
      </c>
      <c r="G5945" s="2" t="s">
        <v>121</v>
      </c>
      <c r="L5945" s="2" t="s">
        <v>10389</v>
      </c>
      <c r="M5945" t="s">
        <v>67</v>
      </c>
      <c r="N5945" t="s">
        <v>68</v>
      </c>
      <c r="P5945" s="23">
        <v>110.56</v>
      </c>
      <c r="Q5945" s="4">
        <f t="shared" si="92"/>
        <v>-60</v>
      </c>
      <c r="R5945" s="23" t="s">
        <v>109</v>
      </c>
    </row>
    <row r="5946" spans="1:20" x14ac:dyDescent="0.25">
      <c r="A5946" s="21">
        <v>45842</v>
      </c>
      <c r="B5946" s="1">
        <v>714760869</v>
      </c>
      <c r="C5946" t="s">
        <v>10390</v>
      </c>
      <c r="D5946" s="43">
        <v>-6633.6</v>
      </c>
      <c r="E5946" t="s">
        <v>35</v>
      </c>
      <c r="F5946" s="2">
        <v>212901001</v>
      </c>
      <c r="G5946" s="2" t="s">
        <v>121</v>
      </c>
      <c r="L5946" s="2" t="s">
        <v>10391</v>
      </c>
      <c r="M5946" t="s">
        <v>67</v>
      </c>
      <c r="N5946" t="s">
        <v>68</v>
      </c>
      <c r="P5946" s="23">
        <v>110.56</v>
      </c>
      <c r="Q5946" s="4">
        <f t="shared" si="92"/>
        <v>-60</v>
      </c>
      <c r="R5946" s="23" t="s">
        <v>109</v>
      </c>
    </row>
    <row r="5947" spans="1:20" x14ac:dyDescent="0.25">
      <c r="A5947" s="21">
        <v>45842</v>
      </c>
      <c r="B5947" s="1">
        <v>714760870</v>
      </c>
      <c r="C5947" t="s">
        <v>10392</v>
      </c>
      <c r="D5947" s="43">
        <v>-6633.6</v>
      </c>
      <c r="E5947" t="s">
        <v>35</v>
      </c>
      <c r="F5947" s="2">
        <v>212901001</v>
      </c>
      <c r="G5947" s="2" t="s">
        <v>121</v>
      </c>
      <c r="L5947" s="2" t="s">
        <v>10393</v>
      </c>
      <c r="M5947" t="s">
        <v>67</v>
      </c>
      <c r="N5947" t="s">
        <v>68</v>
      </c>
      <c r="P5947" s="23">
        <v>110.56</v>
      </c>
      <c r="Q5947" s="4">
        <f t="shared" si="92"/>
        <v>-60</v>
      </c>
      <c r="R5947" s="23" t="s">
        <v>109</v>
      </c>
    </row>
    <row r="5948" spans="1:20" x14ac:dyDescent="0.25">
      <c r="A5948" s="21">
        <v>45842</v>
      </c>
      <c r="B5948" s="1">
        <v>714760866</v>
      </c>
      <c r="C5948" t="s">
        <v>10394</v>
      </c>
      <c r="D5948" s="43">
        <v>-6633.6</v>
      </c>
      <c r="E5948" t="s">
        <v>35</v>
      </c>
      <c r="F5948" s="2">
        <v>212901001</v>
      </c>
      <c r="G5948" s="2" t="s">
        <v>121</v>
      </c>
      <c r="L5948" s="2" t="s">
        <v>10395</v>
      </c>
      <c r="M5948" t="s">
        <v>67</v>
      </c>
      <c r="N5948" t="s">
        <v>68</v>
      </c>
      <c r="P5948" s="23">
        <v>110.56</v>
      </c>
      <c r="Q5948" s="4">
        <f t="shared" si="92"/>
        <v>-60</v>
      </c>
      <c r="R5948" s="23" t="s">
        <v>109</v>
      </c>
    </row>
    <row r="5949" spans="1:20" x14ac:dyDescent="0.25">
      <c r="A5949" s="21">
        <v>45842</v>
      </c>
      <c r="B5949" s="1">
        <v>714760868</v>
      </c>
      <c r="C5949" t="s">
        <v>10396</v>
      </c>
      <c r="D5949" s="43">
        <v>-6633.6</v>
      </c>
      <c r="E5949" t="s">
        <v>35</v>
      </c>
      <c r="F5949" s="2">
        <v>212901001</v>
      </c>
      <c r="G5949" s="2" t="s">
        <v>121</v>
      </c>
      <c r="L5949" s="2" t="s">
        <v>10397</v>
      </c>
      <c r="M5949" t="s">
        <v>67</v>
      </c>
      <c r="N5949" t="s">
        <v>68</v>
      </c>
      <c r="P5949" s="23">
        <v>110.56</v>
      </c>
      <c r="Q5949" s="4">
        <f t="shared" si="92"/>
        <v>-60</v>
      </c>
      <c r="R5949" s="23" t="s">
        <v>109</v>
      </c>
    </row>
    <row r="5950" spans="1:20" x14ac:dyDescent="0.25">
      <c r="A5950" s="21">
        <v>45842</v>
      </c>
      <c r="B5950" s="1">
        <v>714760871</v>
      </c>
      <c r="C5950" t="s">
        <v>10398</v>
      </c>
      <c r="D5950" s="43">
        <v>-6633.6</v>
      </c>
      <c r="E5950" t="s">
        <v>35</v>
      </c>
      <c r="F5950" s="2">
        <v>212901001</v>
      </c>
      <c r="G5950" s="2" t="s">
        <v>121</v>
      </c>
      <c r="L5950" s="2" t="s">
        <v>10399</v>
      </c>
      <c r="M5950" t="s">
        <v>67</v>
      </c>
      <c r="N5950" t="s">
        <v>68</v>
      </c>
      <c r="P5950" s="23">
        <v>110.56</v>
      </c>
      <c r="Q5950" s="4">
        <f t="shared" si="92"/>
        <v>-60</v>
      </c>
      <c r="R5950" s="23" t="s">
        <v>109</v>
      </c>
    </row>
    <row r="5951" spans="1:20" x14ac:dyDescent="0.25">
      <c r="A5951" s="21">
        <v>45842</v>
      </c>
      <c r="B5951" s="1">
        <v>714760872</v>
      </c>
      <c r="C5951" t="s">
        <v>10400</v>
      </c>
      <c r="D5951" s="43">
        <v>-6633.6</v>
      </c>
      <c r="E5951" t="s">
        <v>35</v>
      </c>
      <c r="F5951" s="2">
        <v>212901001</v>
      </c>
      <c r="G5951" s="2" t="s">
        <v>121</v>
      </c>
      <c r="L5951" s="2" t="s">
        <v>10401</v>
      </c>
      <c r="M5951" t="s">
        <v>67</v>
      </c>
      <c r="N5951" t="s">
        <v>68</v>
      </c>
      <c r="P5951" s="23">
        <v>110.56</v>
      </c>
      <c r="Q5951" s="4">
        <f t="shared" si="92"/>
        <v>-60</v>
      </c>
      <c r="R5951" s="23" t="s">
        <v>109</v>
      </c>
    </row>
    <row r="5952" spans="1:20" x14ac:dyDescent="0.25">
      <c r="A5952" s="21">
        <v>45842</v>
      </c>
      <c r="B5952" s="1">
        <v>714760874</v>
      </c>
      <c r="C5952" t="s">
        <v>10402</v>
      </c>
      <c r="D5952" s="43">
        <v>-6633.6</v>
      </c>
      <c r="E5952" t="s">
        <v>35</v>
      </c>
      <c r="F5952" s="2">
        <v>212901001</v>
      </c>
      <c r="G5952" s="2" t="s">
        <v>121</v>
      </c>
      <c r="L5952" s="2" t="s">
        <v>10403</v>
      </c>
      <c r="M5952" t="s">
        <v>67</v>
      </c>
      <c r="N5952" t="s">
        <v>68</v>
      </c>
      <c r="P5952" s="23">
        <v>110.56</v>
      </c>
      <c r="Q5952" s="4">
        <f t="shared" si="92"/>
        <v>-60</v>
      </c>
      <c r="R5952" s="23" t="s">
        <v>109</v>
      </c>
    </row>
    <row r="5953" spans="1:18" x14ac:dyDescent="0.25">
      <c r="A5953" s="21">
        <v>45842</v>
      </c>
      <c r="B5953" s="1">
        <v>714760873</v>
      </c>
      <c r="C5953" t="s">
        <v>10404</v>
      </c>
      <c r="D5953" s="43">
        <v>-6633.6</v>
      </c>
      <c r="E5953" t="s">
        <v>35</v>
      </c>
      <c r="F5953" s="2">
        <v>212901001</v>
      </c>
      <c r="G5953" s="2" t="s">
        <v>121</v>
      </c>
      <c r="L5953" s="2" t="s">
        <v>10405</v>
      </c>
      <c r="M5953" t="s">
        <v>67</v>
      </c>
      <c r="N5953" t="s">
        <v>68</v>
      </c>
      <c r="P5953" s="23">
        <v>110.56</v>
      </c>
      <c r="Q5953" s="4">
        <f t="shared" si="92"/>
        <v>-60</v>
      </c>
      <c r="R5953" s="23" t="s">
        <v>109</v>
      </c>
    </row>
    <row r="5954" spans="1:18" x14ac:dyDescent="0.25">
      <c r="A5954" s="21">
        <v>45842</v>
      </c>
      <c r="B5954" s="1">
        <v>714760875</v>
      </c>
      <c r="C5954" t="s">
        <v>10406</v>
      </c>
      <c r="D5954" s="43">
        <v>-6633.6</v>
      </c>
      <c r="E5954" t="s">
        <v>35</v>
      </c>
      <c r="F5954" s="2">
        <v>212901001</v>
      </c>
      <c r="G5954" s="2" t="s">
        <v>121</v>
      </c>
      <c r="L5954" s="2" t="s">
        <v>10407</v>
      </c>
      <c r="M5954" t="s">
        <v>67</v>
      </c>
      <c r="N5954" t="s">
        <v>68</v>
      </c>
      <c r="P5954" s="23">
        <v>110.56</v>
      </c>
      <c r="Q5954" s="4">
        <f t="shared" si="92"/>
        <v>-60</v>
      </c>
      <c r="R5954" s="23" t="s">
        <v>109</v>
      </c>
    </row>
    <row r="5955" spans="1:18" x14ac:dyDescent="0.25">
      <c r="A5955" s="21">
        <v>45842</v>
      </c>
      <c r="B5955" s="1">
        <v>814760876</v>
      </c>
      <c r="C5955" t="s">
        <v>10408</v>
      </c>
      <c r="D5955" s="43">
        <v>-16584</v>
      </c>
      <c r="E5955" t="s">
        <v>35</v>
      </c>
      <c r="F5955" s="2">
        <v>212901001</v>
      </c>
      <c r="G5955" s="2" t="s">
        <v>121</v>
      </c>
      <c r="L5955" s="2" t="s">
        <v>10409</v>
      </c>
      <c r="M5955" t="s">
        <v>67</v>
      </c>
      <c r="N5955" t="s">
        <v>68</v>
      </c>
      <c r="P5955" s="23">
        <v>110.56</v>
      </c>
      <c r="Q5955" s="4">
        <f t="shared" si="92"/>
        <v>-150</v>
      </c>
      <c r="R5955" s="23" t="s">
        <v>109</v>
      </c>
    </row>
    <row r="5956" spans="1:18" x14ac:dyDescent="0.25">
      <c r="A5956" s="21">
        <v>45842</v>
      </c>
      <c r="B5956" s="1">
        <v>814760878</v>
      </c>
      <c r="C5956" t="s">
        <v>10410</v>
      </c>
      <c r="D5956" s="43">
        <v>-11056</v>
      </c>
      <c r="E5956" t="s">
        <v>35</v>
      </c>
      <c r="F5956" s="2">
        <v>212901001</v>
      </c>
      <c r="G5956" s="2" t="s">
        <v>121</v>
      </c>
      <c r="L5956" s="2" t="s">
        <v>10411</v>
      </c>
      <c r="M5956" t="s">
        <v>67</v>
      </c>
      <c r="N5956" t="s">
        <v>68</v>
      </c>
      <c r="P5956" s="23">
        <v>110.56</v>
      </c>
      <c r="Q5956" s="4">
        <f t="shared" si="92"/>
        <v>-100</v>
      </c>
      <c r="R5956" s="23" t="s">
        <v>109</v>
      </c>
    </row>
    <row r="5957" spans="1:18" x14ac:dyDescent="0.25">
      <c r="A5957" s="21">
        <v>45842</v>
      </c>
      <c r="B5957" s="1">
        <v>814760882</v>
      </c>
      <c r="C5957" t="s">
        <v>10412</v>
      </c>
      <c r="D5957" s="43">
        <v>-8844.7999999999993</v>
      </c>
      <c r="E5957" t="s">
        <v>35</v>
      </c>
      <c r="F5957" s="2">
        <v>212901001</v>
      </c>
      <c r="G5957" s="2" t="s">
        <v>121</v>
      </c>
      <c r="L5957" s="2" t="s">
        <v>10413</v>
      </c>
      <c r="M5957" t="s">
        <v>67</v>
      </c>
      <c r="N5957" t="s">
        <v>68</v>
      </c>
      <c r="P5957" s="23">
        <v>110.56</v>
      </c>
      <c r="Q5957" s="4">
        <f t="shared" si="92"/>
        <v>-79.999999999999986</v>
      </c>
      <c r="R5957" s="23" t="s">
        <v>109</v>
      </c>
    </row>
    <row r="5958" spans="1:18" x14ac:dyDescent="0.25">
      <c r="A5958" s="21">
        <v>45842</v>
      </c>
      <c r="B5958" s="1">
        <v>814760883</v>
      </c>
      <c r="C5958" t="s">
        <v>10414</v>
      </c>
      <c r="D5958" s="43">
        <v>-8844.7999999999993</v>
      </c>
      <c r="E5958" t="s">
        <v>35</v>
      </c>
      <c r="F5958" s="2">
        <v>212901001</v>
      </c>
      <c r="G5958" s="2" t="s">
        <v>121</v>
      </c>
      <c r="L5958" s="2" t="s">
        <v>10415</v>
      </c>
      <c r="M5958" t="s">
        <v>67</v>
      </c>
      <c r="N5958" t="s">
        <v>68</v>
      </c>
      <c r="P5958" s="23">
        <v>110.56</v>
      </c>
      <c r="Q5958" s="4">
        <f t="shared" si="92"/>
        <v>-79.999999999999986</v>
      </c>
      <c r="R5958" s="23" t="s">
        <v>109</v>
      </c>
    </row>
    <row r="5959" spans="1:18" x14ac:dyDescent="0.25">
      <c r="A5959" s="21">
        <v>45842</v>
      </c>
      <c r="B5959" s="1">
        <v>814760881</v>
      </c>
      <c r="C5959" t="s">
        <v>10416</v>
      </c>
      <c r="D5959" s="43">
        <v>-8844.7999999999993</v>
      </c>
      <c r="E5959" t="s">
        <v>35</v>
      </c>
      <c r="F5959" s="2">
        <v>212901001</v>
      </c>
      <c r="G5959" s="2" t="s">
        <v>121</v>
      </c>
      <c r="L5959" s="2" t="s">
        <v>10417</v>
      </c>
      <c r="M5959" t="s">
        <v>67</v>
      </c>
      <c r="N5959" t="s">
        <v>68</v>
      </c>
      <c r="P5959" s="23">
        <v>110.56</v>
      </c>
      <c r="Q5959" s="4">
        <f t="shared" si="92"/>
        <v>-79.999999999999986</v>
      </c>
      <c r="R5959" s="23" t="s">
        <v>109</v>
      </c>
    </row>
    <row r="5960" spans="1:18" x14ac:dyDescent="0.25">
      <c r="A5960" s="21">
        <v>45842</v>
      </c>
      <c r="B5960" s="1">
        <v>814760884</v>
      </c>
      <c r="C5960" t="s">
        <v>10418</v>
      </c>
      <c r="D5960" s="43">
        <v>-8844.7999999999993</v>
      </c>
      <c r="E5960" t="s">
        <v>35</v>
      </c>
      <c r="F5960" s="2">
        <v>212901001</v>
      </c>
      <c r="G5960" s="2" t="s">
        <v>121</v>
      </c>
      <c r="L5960" s="2" t="s">
        <v>10419</v>
      </c>
      <c r="M5960" t="s">
        <v>67</v>
      </c>
      <c r="N5960" t="s">
        <v>68</v>
      </c>
      <c r="P5960" s="23">
        <v>110.56</v>
      </c>
      <c r="Q5960" s="4">
        <f t="shared" si="92"/>
        <v>-79.999999999999986</v>
      </c>
      <c r="R5960" s="23" t="s">
        <v>109</v>
      </c>
    </row>
    <row r="5961" spans="1:18" x14ac:dyDescent="0.25">
      <c r="A5961" s="21">
        <v>45842</v>
      </c>
      <c r="B5961" s="1">
        <v>814760885</v>
      </c>
      <c r="C5961" t="s">
        <v>10420</v>
      </c>
      <c r="D5961" s="43">
        <v>-8844.7999999999993</v>
      </c>
      <c r="E5961" t="s">
        <v>35</v>
      </c>
      <c r="F5961" s="2">
        <v>212901001</v>
      </c>
      <c r="G5961" s="2" t="s">
        <v>121</v>
      </c>
      <c r="L5961" s="2" t="s">
        <v>10421</v>
      </c>
      <c r="M5961" t="s">
        <v>67</v>
      </c>
      <c r="N5961" t="s">
        <v>68</v>
      </c>
      <c r="P5961" s="23">
        <v>110.56</v>
      </c>
      <c r="Q5961" s="4">
        <f t="shared" si="92"/>
        <v>-79.999999999999986</v>
      </c>
      <c r="R5961" s="23" t="s">
        <v>109</v>
      </c>
    </row>
    <row r="5962" spans="1:18" x14ac:dyDescent="0.25">
      <c r="A5962" s="21">
        <v>45842</v>
      </c>
      <c r="B5962" s="1">
        <v>814760886</v>
      </c>
      <c r="C5962" t="s">
        <v>10422</v>
      </c>
      <c r="D5962" s="43">
        <v>-5528</v>
      </c>
      <c r="E5962" t="s">
        <v>35</v>
      </c>
      <c r="F5962" s="2">
        <v>212901001</v>
      </c>
      <c r="G5962" s="2" t="s">
        <v>121</v>
      </c>
      <c r="L5962" s="2" t="s">
        <v>10423</v>
      </c>
      <c r="M5962" t="s">
        <v>67</v>
      </c>
      <c r="N5962" t="s">
        <v>68</v>
      </c>
      <c r="P5962" s="23">
        <v>110.56</v>
      </c>
      <c r="Q5962" s="4">
        <f t="shared" si="92"/>
        <v>-50</v>
      </c>
      <c r="R5962" s="23" t="s">
        <v>109</v>
      </c>
    </row>
    <row r="5963" spans="1:18" x14ac:dyDescent="0.25">
      <c r="A5963" s="21">
        <v>45842</v>
      </c>
      <c r="B5963" s="1">
        <v>814760880</v>
      </c>
      <c r="C5963" t="s">
        <v>10424</v>
      </c>
      <c r="D5963" s="43">
        <v>-8844.7999999999993</v>
      </c>
      <c r="E5963" t="s">
        <v>35</v>
      </c>
      <c r="F5963" s="2">
        <v>212901001</v>
      </c>
      <c r="G5963" s="2" t="s">
        <v>121</v>
      </c>
      <c r="L5963" s="2" t="s">
        <v>10425</v>
      </c>
      <c r="M5963" t="s">
        <v>67</v>
      </c>
      <c r="N5963" t="s">
        <v>68</v>
      </c>
      <c r="P5963" s="23">
        <v>110.56</v>
      </c>
      <c r="Q5963" s="4">
        <f t="shared" ref="Q5963:Q6026" si="93">D5963/P5963</f>
        <v>-79.999999999999986</v>
      </c>
      <c r="R5963" s="23" t="s">
        <v>109</v>
      </c>
    </row>
    <row r="5964" spans="1:18" x14ac:dyDescent="0.25">
      <c r="A5964" s="21">
        <v>45842</v>
      </c>
      <c r="B5964" s="1">
        <v>914760888</v>
      </c>
      <c r="C5964" t="s">
        <v>10426</v>
      </c>
      <c r="D5964" s="43">
        <v>-5528</v>
      </c>
      <c r="E5964" t="s">
        <v>35</v>
      </c>
      <c r="F5964" s="2">
        <v>212901001</v>
      </c>
      <c r="G5964" s="2" t="s">
        <v>121</v>
      </c>
      <c r="L5964" s="2" t="s">
        <v>10427</v>
      </c>
      <c r="M5964" t="s">
        <v>67</v>
      </c>
      <c r="N5964" t="s">
        <v>68</v>
      </c>
      <c r="P5964" s="23">
        <v>110.56</v>
      </c>
      <c r="Q5964" s="4">
        <f t="shared" si="93"/>
        <v>-50</v>
      </c>
      <c r="R5964" s="23" t="s">
        <v>109</v>
      </c>
    </row>
    <row r="5965" spans="1:18" x14ac:dyDescent="0.25">
      <c r="A5965" s="21">
        <v>45842</v>
      </c>
      <c r="B5965" s="1">
        <v>914760889</v>
      </c>
      <c r="C5965" t="s">
        <v>10428</v>
      </c>
      <c r="D5965" s="43">
        <v>-5528</v>
      </c>
      <c r="E5965" t="s">
        <v>35</v>
      </c>
      <c r="F5965" s="2">
        <v>212901001</v>
      </c>
      <c r="G5965" s="2" t="s">
        <v>121</v>
      </c>
      <c r="L5965" s="2" t="s">
        <v>10429</v>
      </c>
      <c r="M5965" t="s">
        <v>67</v>
      </c>
      <c r="N5965" t="s">
        <v>68</v>
      </c>
      <c r="P5965" s="23">
        <v>110.56</v>
      </c>
      <c r="Q5965" s="4">
        <f t="shared" si="93"/>
        <v>-50</v>
      </c>
      <c r="R5965" s="23" t="s">
        <v>109</v>
      </c>
    </row>
    <row r="5966" spans="1:18" x14ac:dyDescent="0.25">
      <c r="A5966" s="21">
        <v>45842</v>
      </c>
      <c r="B5966" s="1">
        <v>914760891</v>
      </c>
      <c r="C5966" t="s">
        <v>10430</v>
      </c>
      <c r="D5966" s="43">
        <v>-5528</v>
      </c>
      <c r="E5966" t="s">
        <v>35</v>
      </c>
      <c r="F5966" s="2">
        <v>212901001</v>
      </c>
      <c r="G5966" s="2" t="s">
        <v>121</v>
      </c>
      <c r="L5966" s="2" t="s">
        <v>10431</v>
      </c>
      <c r="M5966" t="s">
        <v>67</v>
      </c>
      <c r="N5966" t="s">
        <v>68</v>
      </c>
      <c r="P5966" s="23">
        <v>110.56</v>
      </c>
      <c r="Q5966" s="4">
        <f t="shared" si="93"/>
        <v>-50</v>
      </c>
      <c r="R5966" s="23" t="s">
        <v>109</v>
      </c>
    </row>
    <row r="5967" spans="1:18" x14ac:dyDescent="0.25">
      <c r="A5967" s="21">
        <v>45842</v>
      </c>
      <c r="B5967" s="1">
        <v>914760893</v>
      </c>
      <c r="C5967" t="s">
        <v>10432</v>
      </c>
      <c r="D5967" s="43">
        <v>-4422.3999999999996</v>
      </c>
      <c r="E5967" t="s">
        <v>35</v>
      </c>
      <c r="F5967" s="2">
        <v>212901001</v>
      </c>
      <c r="G5967" s="2" t="s">
        <v>121</v>
      </c>
      <c r="L5967" s="2" t="s">
        <v>10433</v>
      </c>
      <c r="M5967" t="s">
        <v>67</v>
      </c>
      <c r="N5967" t="s">
        <v>68</v>
      </c>
      <c r="P5967" s="23">
        <v>110.56</v>
      </c>
      <c r="Q5967" s="4">
        <f t="shared" si="93"/>
        <v>-39.999999999999993</v>
      </c>
      <c r="R5967" s="23" t="s">
        <v>109</v>
      </c>
    </row>
    <row r="5968" spans="1:18" x14ac:dyDescent="0.25">
      <c r="A5968" s="21">
        <v>45842</v>
      </c>
      <c r="B5968" s="1">
        <v>914760887</v>
      </c>
      <c r="C5968" t="s">
        <v>10434</v>
      </c>
      <c r="D5968" s="43">
        <v>-5528</v>
      </c>
      <c r="E5968" t="s">
        <v>35</v>
      </c>
      <c r="F5968" s="2">
        <v>212901001</v>
      </c>
      <c r="G5968" s="2" t="s">
        <v>121</v>
      </c>
      <c r="L5968" s="2" t="s">
        <v>10435</v>
      </c>
      <c r="M5968" t="s">
        <v>67</v>
      </c>
      <c r="N5968" t="s">
        <v>68</v>
      </c>
      <c r="P5968" s="23">
        <v>110.56</v>
      </c>
      <c r="Q5968" s="4">
        <f t="shared" si="93"/>
        <v>-50</v>
      </c>
      <c r="R5968" s="23" t="s">
        <v>109</v>
      </c>
    </row>
    <row r="5969" spans="1:20" x14ac:dyDescent="0.25">
      <c r="A5969" s="21">
        <v>45842</v>
      </c>
      <c r="B5969" s="1">
        <v>14760899</v>
      </c>
      <c r="C5969" t="s">
        <v>10436</v>
      </c>
      <c r="D5969" s="43">
        <v>-4422.3999999999996</v>
      </c>
      <c r="E5969" t="s">
        <v>35</v>
      </c>
      <c r="F5969" s="2">
        <v>212901001</v>
      </c>
      <c r="G5969" s="2" t="s">
        <v>121</v>
      </c>
      <c r="L5969" s="2" t="s">
        <v>10437</v>
      </c>
      <c r="M5969" t="s">
        <v>67</v>
      </c>
      <c r="N5969" t="s">
        <v>68</v>
      </c>
      <c r="P5969" s="23">
        <v>110.56</v>
      </c>
      <c r="Q5969" s="4">
        <f t="shared" si="93"/>
        <v>-39.999999999999993</v>
      </c>
      <c r="R5969" s="23" t="s">
        <v>109</v>
      </c>
    </row>
    <row r="5970" spans="1:20" x14ac:dyDescent="0.25">
      <c r="A5970" s="21">
        <v>45842</v>
      </c>
      <c r="B5970" s="1">
        <v>914760895</v>
      </c>
      <c r="C5970" t="s">
        <v>10438</v>
      </c>
      <c r="D5970" s="43">
        <v>-4422.3999999999996</v>
      </c>
      <c r="E5970" t="s">
        <v>35</v>
      </c>
      <c r="F5970" s="2">
        <v>212901001</v>
      </c>
      <c r="G5970" s="2" t="s">
        <v>121</v>
      </c>
      <c r="L5970" s="2" t="s">
        <v>10439</v>
      </c>
      <c r="M5970" t="s">
        <v>67</v>
      </c>
      <c r="N5970" t="s">
        <v>68</v>
      </c>
      <c r="P5970" s="23">
        <v>110.56</v>
      </c>
      <c r="Q5970" s="4">
        <f t="shared" si="93"/>
        <v>-39.999999999999993</v>
      </c>
      <c r="R5970" s="23" t="s">
        <v>109</v>
      </c>
    </row>
    <row r="5971" spans="1:20" x14ac:dyDescent="0.25">
      <c r="A5971" s="21">
        <v>45842</v>
      </c>
      <c r="B5971" s="1">
        <v>14760900</v>
      </c>
      <c r="C5971" t="s">
        <v>10440</v>
      </c>
      <c r="D5971" s="43">
        <v>-4422.3999999999996</v>
      </c>
      <c r="E5971" t="s">
        <v>35</v>
      </c>
      <c r="F5971" s="2">
        <v>212901001</v>
      </c>
      <c r="G5971" s="2" t="s">
        <v>121</v>
      </c>
      <c r="L5971" s="2" t="s">
        <v>10441</v>
      </c>
      <c r="M5971" t="s">
        <v>67</v>
      </c>
      <c r="N5971" t="s">
        <v>68</v>
      </c>
      <c r="P5971" s="23">
        <v>110.56</v>
      </c>
      <c r="Q5971" s="4">
        <f t="shared" si="93"/>
        <v>-39.999999999999993</v>
      </c>
      <c r="R5971" s="23" t="s">
        <v>109</v>
      </c>
    </row>
    <row r="5972" spans="1:20" x14ac:dyDescent="0.25">
      <c r="A5972" s="21">
        <v>45842</v>
      </c>
      <c r="B5972" s="1">
        <v>14760901</v>
      </c>
      <c r="C5972" t="s">
        <v>10442</v>
      </c>
      <c r="D5972" s="43">
        <v>-4422.3999999999996</v>
      </c>
      <c r="E5972" t="s">
        <v>35</v>
      </c>
      <c r="F5972" s="2">
        <v>212901001</v>
      </c>
      <c r="G5972" s="2" t="s">
        <v>121</v>
      </c>
      <c r="L5972" s="2" t="s">
        <v>10443</v>
      </c>
      <c r="M5972" t="s">
        <v>67</v>
      </c>
      <c r="N5972" t="s">
        <v>68</v>
      </c>
      <c r="P5972" s="23">
        <v>110.56</v>
      </c>
      <c r="Q5972" s="4">
        <f t="shared" si="93"/>
        <v>-39.999999999999993</v>
      </c>
      <c r="R5972" s="23" t="s">
        <v>109</v>
      </c>
    </row>
    <row r="5973" spans="1:20" x14ac:dyDescent="0.25">
      <c r="A5973" s="21">
        <v>45842</v>
      </c>
      <c r="B5973" s="1">
        <v>14760898</v>
      </c>
      <c r="C5973" t="s">
        <v>10444</v>
      </c>
      <c r="D5973" s="43">
        <v>-4422.3999999999996</v>
      </c>
      <c r="E5973" t="s">
        <v>35</v>
      </c>
      <c r="F5973" s="2">
        <v>212901001</v>
      </c>
      <c r="G5973" s="2" t="s">
        <v>121</v>
      </c>
      <c r="L5973" s="2" t="s">
        <v>10445</v>
      </c>
      <c r="M5973" t="s">
        <v>67</v>
      </c>
      <c r="N5973" t="s">
        <v>68</v>
      </c>
      <c r="P5973" s="23">
        <v>110.56</v>
      </c>
      <c r="Q5973" s="4">
        <f t="shared" si="93"/>
        <v>-39.999999999999993</v>
      </c>
      <c r="R5973" s="23" t="s">
        <v>109</v>
      </c>
    </row>
    <row r="5974" spans="1:20" x14ac:dyDescent="0.25">
      <c r="A5974" s="21">
        <v>45842</v>
      </c>
      <c r="B5974" s="1">
        <v>914760897</v>
      </c>
      <c r="C5974" t="s">
        <v>10446</v>
      </c>
      <c r="D5974" s="43">
        <v>-4422.3999999999996</v>
      </c>
      <c r="E5974" t="s">
        <v>35</v>
      </c>
      <c r="F5974" s="2">
        <v>212901001</v>
      </c>
      <c r="G5974" s="2" t="s">
        <v>121</v>
      </c>
      <c r="L5974" s="2" t="s">
        <v>10447</v>
      </c>
      <c r="M5974" t="s">
        <v>67</v>
      </c>
      <c r="N5974" t="s">
        <v>68</v>
      </c>
      <c r="P5974" s="23">
        <v>110.56</v>
      </c>
      <c r="Q5974" s="4">
        <f t="shared" si="93"/>
        <v>-39.999999999999993</v>
      </c>
      <c r="R5974" s="23" t="s">
        <v>109</v>
      </c>
    </row>
    <row r="5975" spans="1:20" x14ac:dyDescent="0.25">
      <c r="A5975" s="21">
        <v>45842</v>
      </c>
      <c r="B5975" s="1">
        <v>914760892</v>
      </c>
      <c r="C5975" t="s">
        <v>10448</v>
      </c>
      <c r="D5975" s="43">
        <v>-5528</v>
      </c>
      <c r="E5975" t="s">
        <v>35</v>
      </c>
      <c r="F5975" s="2">
        <v>212901001</v>
      </c>
      <c r="G5975" s="2" t="s">
        <v>121</v>
      </c>
      <c r="L5975" s="2" t="s">
        <v>10449</v>
      </c>
      <c r="M5975" t="s">
        <v>67</v>
      </c>
      <c r="N5975" t="s">
        <v>68</v>
      </c>
      <c r="P5975" s="23">
        <v>110.56</v>
      </c>
      <c r="Q5975" s="4">
        <f t="shared" si="93"/>
        <v>-50</v>
      </c>
      <c r="R5975" s="23" t="s">
        <v>109</v>
      </c>
    </row>
    <row r="5976" spans="1:20" x14ac:dyDescent="0.25">
      <c r="A5976" s="21">
        <v>45842</v>
      </c>
      <c r="B5976" s="1">
        <v>14760905</v>
      </c>
      <c r="C5976" t="s">
        <v>10450</v>
      </c>
      <c r="D5976" s="43">
        <v>-12161.6</v>
      </c>
      <c r="E5976" t="s">
        <v>35</v>
      </c>
      <c r="F5976" s="2">
        <v>212901001</v>
      </c>
      <c r="G5976" s="2" t="s">
        <v>121</v>
      </c>
      <c r="L5976" s="2" t="s">
        <v>10451</v>
      </c>
      <c r="M5976" t="s">
        <v>67</v>
      </c>
      <c r="N5976" t="s">
        <v>68</v>
      </c>
      <c r="P5976" s="23">
        <v>110.56</v>
      </c>
      <c r="Q5976" s="4">
        <f t="shared" si="93"/>
        <v>-110</v>
      </c>
      <c r="R5976" s="23" t="s">
        <v>109</v>
      </c>
    </row>
    <row r="5977" spans="1:20" x14ac:dyDescent="0.25">
      <c r="A5977" s="21">
        <v>45842</v>
      </c>
      <c r="B5977" s="1">
        <v>14760902</v>
      </c>
      <c r="C5977" t="s">
        <v>10452</v>
      </c>
      <c r="D5977" s="43">
        <v>-11056</v>
      </c>
      <c r="E5977" t="s">
        <v>35</v>
      </c>
      <c r="F5977" s="2">
        <v>212901001</v>
      </c>
      <c r="G5977" s="2" t="s">
        <v>121</v>
      </c>
      <c r="L5977" s="2" t="s">
        <v>10453</v>
      </c>
      <c r="M5977" t="s">
        <v>67</v>
      </c>
      <c r="N5977" t="s">
        <v>68</v>
      </c>
      <c r="P5977" s="23">
        <v>110.56</v>
      </c>
      <c r="Q5977" s="4">
        <f t="shared" si="93"/>
        <v>-100</v>
      </c>
      <c r="R5977" s="23" t="s">
        <v>109</v>
      </c>
    </row>
    <row r="5978" spans="1:20" x14ac:dyDescent="0.25">
      <c r="A5978" s="21">
        <v>45842</v>
      </c>
      <c r="B5978" s="1">
        <v>114760908</v>
      </c>
      <c r="C5978" t="s">
        <v>10454</v>
      </c>
      <c r="D5978" s="43">
        <v>-11056</v>
      </c>
      <c r="E5978" t="s">
        <v>35</v>
      </c>
      <c r="F5978" s="2">
        <v>212901001</v>
      </c>
      <c r="G5978" s="2" t="s">
        <v>121</v>
      </c>
      <c r="L5978" s="2" t="s">
        <v>10455</v>
      </c>
      <c r="M5978" t="s">
        <v>67</v>
      </c>
      <c r="N5978" t="s">
        <v>68</v>
      </c>
      <c r="P5978" s="23">
        <v>110.56</v>
      </c>
      <c r="Q5978" s="4">
        <f t="shared" si="93"/>
        <v>-100</v>
      </c>
      <c r="R5978" s="23" t="s">
        <v>109</v>
      </c>
    </row>
    <row r="5979" spans="1:20" x14ac:dyDescent="0.25">
      <c r="A5979" s="21">
        <v>45842</v>
      </c>
      <c r="B5979" s="1">
        <v>114760909</v>
      </c>
      <c r="C5979" t="s">
        <v>10456</v>
      </c>
      <c r="D5979" s="43">
        <v>-7739.2</v>
      </c>
      <c r="E5979" t="s">
        <v>35</v>
      </c>
      <c r="F5979" s="2">
        <v>212901001</v>
      </c>
      <c r="G5979" s="2" t="s">
        <v>121</v>
      </c>
      <c r="L5979" s="2" t="s">
        <v>10457</v>
      </c>
      <c r="M5979" t="s">
        <v>67</v>
      </c>
      <c r="N5979" t="s">
        <v>68</v>
      </c>
      <c r="P5979" s="23">
        <v>110.56</v>
      </c>
      <c r="Q5979" s="4">
        <f t="shared" si="93"/>
        <v>-70</v>
      </c>
      <c r="R5979" s="23" t="s">
        <v>109</v>
      </c>
    </row>
    <row r="5980" spans="1:20" x14ac:dyDescent="0.25">
      <c r="A5980" s="32">
        <v>45842</v>
      </c>
      <c r="B5980" s="26">
        <v>14760907</v>
      </c>
      <c r="C5980" s="27" t="s">
        <v>10458</v>
      </c>
      <c r="D5980" s="46">
        <v>-8844.7999999999993</v>
      </c>
      <c r="E5980" s="27" t="s">
        <v>35</v>
      </c>
      <c r="F5980" s="29">
        <v>610156001</v>
      </c>
      <c r="G5980" s="29" t="s">
        <v>91</v>
      </c>
      <c r="H5980" s="107"/>
      <c r="I5980" s="101"/>
      <c r="J5980" s="101"/>
      <c r="K5980" s="29"/>
      <c r="L5980" s="2" t="s">
        <v>10459</v>
      </c>
      <c r="M5980" s="27" t="s">
        <v>93</v>
      </c>
      <c r="N5980" s="27" t="s">
        <v>94</v>
      </c>
      <c r="O5980" s="27" t="s">
        <v>59</v>
      </c>
      <c r="P5980" s="31">
        <v>110.56</v>
      </c>
      <c r="Q5980" s="4">
        <f t="shared" si="93"/>
        <v>-79.999999999999986</v>
      </c>
      <c r="R5980" s="23" t="s">
        <v>109</v>
      </c>
      <c r="T5980" s="23" t="s">
        <v>10460</v>
      </c>
    </row>
    <row r="5981" spans="1:20" x14ac:dyDescent="0.25">
      <c r="A5981" s="21">
        <v>45842</v>
      </c>
      <c r="B5981" s="1">
        <v>114760911</v>
      </c>
      <c r="C5981" t="s">
        <v>10461</v>
      </c>
      <c r="D5981" s="43">
        <v>-7739.2</v>
      </c>
      <c r="E5981" t="s">
        <v>35</v>
      </c>
      <c r="F5981" s="2">
        <v>212901001</v>
      </c>
      <c r="G5981" s="2" t="s">
        <v>121</v>
      </c>
      <c r="L5981" s="2" t="s">
        <v>10462</v>
      </c>
      <c r="M5981" t="s">
        <v>67</v>
      </c>
      <c r="N5981" t="s">
        <v>68</v>
      </c>
      <c r="P5981" s="23">
        <v>110.56</v>
      </c>
      <c r="Q5981" s="4">
        <f t="shared" si="93"/>
        <v>-70</v>
      </c>
      <c r="R5981" s="23" t="s">
        <v>109</v>
      </c>
    </row>
    <row r="5982" spans="1:20" x14ac:dyDescent="0.25">
      <c r="A5982" s="21">
        <v>45842</v>
      </c>
      <c r="B5982" s="1">
        <v>14760904</v>
      </c>
      <c r="C5982" t="s">
        <v>10463</v>
      </c>
      <c r="D5982" s="43">
        <v>-16584</v>
      </c>
      <c r="E5982" t="s">
        <v>35</v>
      </c>
      <c r="F5982" s="2">
        <v>212901001</v>
      </c>
      <c r="G5982" s="2" t="s">
        <v>121</v>
      </c>
      <c r="L5982" s="2" t="s">
        <v>10464</v>
      </c>
      <c r="M5982" t="s">
        <v>67</v>
      </c>
      <c r="N5982" t="s">
        <v>68</v>
      </c>
      <c r="P5982" s="23">
        <v>110.56</v>
      </c>
      <c r="Q5982" s="4">
        <f t="shared" si="93"/>
        <v>-150</v>
      </c>
      <c r="R5982" s="23" t="s">
        <v>109</v>
      </c>
    </row>
    <row r="5983" spans="1:20" x14ac:dyDescent="0.25">
      <c r="A5983" s="21">
        <v>45842</v>
      </c>
      <c r="B5983" s="1">
        <v>14760903</v>
      </c>
      <c r="C5983" t="s">
        <v>10465</v>
      </c>
      <c r="D5983" s="43">
        <v>-11056</v>
      </c>
      <c r="E5983" t="s">
        <v>35</v>
      </c>
      <c r="F5983" s="2">
        <v>212901001</v>
      </c>
      <c r="G5983" s="2" t="s">
        <v>121</v>
      </c>
      <c r="L5983" s="2" t="s">
        <v>10466</v>
      </c>
      <c r="M5983" t="s">
        <v>67</v>
      </c>
      <c r="N5983" t="s">
        <v>68</v>
      </c>
      <c r="P5983" s="23">
        <v>110.56</v>
      </c>
      <c r="Q5983" s="4">
        <f t="shared" si="93"/>
        <v>-100</v>
      </c>
      <c r="R5983" s="23" t="s">
        <v>109</v>
      </c>
    </row>
    <row r="5984" spans="1:20" x14ac:dyDescent="0.25">
      <c r="A5984" s="21">
        <v>45842</v>
      </c>
      <c r="B5984" s="1">
        <v>114760912</v>
      </c>
      <c r="C5984" t="s">
        <v>10467</v>
      </c>
      <c r="D5984" s="43">
        <v>-6633.6</v>
      </c>
      <c r="E5984" t="s">
        <v>35</v>
      </c>
      <c r="F5984" s="2">
        <v>212901001</v>
      </c>
      <c r="G5984" s="2" t="s">
        <v>121</v>
      </c>
      <c r="L5984" s="2" t="s">
        <v>10468</v>
      </c>
      <c r="M5984" t="s">
        <v>67</v>
      </c>
      <c r="N5984" t="s">
        <v>68</v>
      </c>
      <c r="P5984" s="23">
        <v>110.56</v>
      </c>
      <c r="Q5984" s="4">
        <f t="shared" si="93"/>
        <v>-60</v>
      </c>
      <c r="R5984" s="23" t="s">
        <v>109</v>
      </c>
    </row>
    <row r="5985" spans="1:18" x14ac:dyDescent="0.25">
      <c r="A5985" s="21">
        <v>45842</v>
      </c>
      <c r="B5985" s="1">
        <v>114760913</v>
      </c>
      <c r="C5985" t="s">
        <v>10469</v>
      </c>
      <c r="D5985" s="43">
        <v>-4643.5200000000004</v>
      </c>
      <c r="E5985" t="s">
        <v>35</v>
      </c>
      <c r="F5985" s="2">
        <v>212901001</v>
      </c>
      <c r="G5985" s="2" t="s">
        <v>121</v>
      </c>
      <c r="L5985" s="2" t="s">
        <v>10470</v>
      </c>
      <c r="M5985" t="s">
        <v>67</v>
      </c>
      <c r="N5985" t="s">
        <v>68</v>
      </c>
      <c r="P5985" s="23">
        <v>110.56</v>
      </c>
      <c r="Q5985" s="4">
        <f t="shared" si="93"/>
        <v>-42</v>
      </c>
      <c r="R5985" s="23" t="s">
        <v>109</v>
      </c>
    </row>
    <row r="5986" spans="1:18" x14ac:dyDescent="0.25">
      <c r="A5986" s="21">
        <v>45842</v>
      </c>
      <c r="B5986" s="1">
        <v>114760917</v>
      </c>
      <c r="C5986" t="s">
        <v>10471</v>
      </c>
      <c r="D5986" s="43">
        <v>-5528</v>
      </c>
      <c r="E5986" t="s">
        <v>35</v>
      </c>
      <c r="F5986" s="2">
        <v>212901001</v>
      </c>
      <c r="G5986" s="2" t="s">
        <v>121</v>
      </c>
      <c r="L5986" s="2" t="s">
        <v>10472</v>
      </c>
      <c r="M5986" t="s">
        <v>67</v>
      </c>
      <c r="N5986" t="s">
        <v>68</v>
      </c>
      <c r="P5986" s="23">
        <v>110.56</v>
      </c>
      <c r="Q5986" s="4">
        <f t="shared" si="93"/>
        <v>-50</v>
      </c>
      <c r="R5986" s="23" t="s">
        <v>109</v>
      </c>
    </row>
    <row r="5987" spans="1:18" x14ac:dyDescent="0.25">
      <c r="A5987" s="21">
        <v>45842</v>
      </c>
      <c r="B5987" s="1">
        <v>114760916</v>
      </c>
      <c r="C5987" t="s">
        <v>10473</v>
      </c>
      <c r="D5987" s="43">
        <v>-5528</v>
      </c>
      <c r="E5987" t="s">
        <v>35</v>
      </c>
      <c r="F5987" s="2">
        <v>212901001</v>
      </c>
      <c r="G5987" s="2" t="s">
        <v>121</v>
      </c>
      <c r="L5987" s="2" t="s">
        <v>10474</v>
      </c>
      <c r="M5987" t="s">
        <v>67</v>
      </c>
      <c r="N5987" t="s">
        <v>68</v>
      </c>
      <c r="P5987" s="23">
        <v>110.56</v>
      </c>
      <c r="Q5987" s="4">
        <f t="shared" si="93"/>
        <v>-50</v>
      </c>
      <c r="R5987" s="23" t="s">
        <v>109</v>
      </c>
    </row>
    <row r="5988" spans="1:18" x14ac:dyDescent="0.25">
      <c r="A5988" s="21">
        <v>45842</v>
      </c>
      <c r="B5988" s="1">
        <v>114760914</v>
      </c>
      <c r="C5988" t="s">
        <v>10475</v>
      </c>
      <c r="D5988" s="43">
        <v>-7739.2</v>
      </c>
      <c r="E5988" t="s">
        <v>35</v>
      </c>
      <c r="F5988" s="2">
        <v>212901001</v>
      </c>
      <c r="G5988" s="2" t="s">
        <v>121</v>
      </c>
      <c r="L5988" s="2" t="s">
        <v>10476</v>
      </c>
      <c r="M5988" t="s">
        <v>67</v>
      </c>
      <c r="N5988" t="s">
        <v>68</v>
      </c>
      <c r="P5988" s="23">
        <v>110.56</v>
      </c>
      <c r="Q5988" s="4">
        <f t="shared" si="93"/>
        <v>-70</v>
      </c>
      <c r="R5988" s="23" t="s">
        <v>109</v>
      </c>
    </row>
    <row r="5989" spans="1:18" x14ac:dyDescent="0.25">
      <c r="A5989" s="21">
        <v>45842</v>
      </c>
      <c r="B5989" s="1">
        <v>114760919</v>
      </c>
      <c r="C5989" t="s">
        <v>10477</v>
      </c>
      <c r="D5989" s="43">
        <v>-5528</v>
      </c>
      <c r="E5989" t="s">
        <v>35</v>
      </c>
      <c r="F5989" s="2">
        <v>212901001</v>
      </c>
      <c r="G5989" s="2" t="s">
        <v>121</v>
      </c>
      <c r="L5989" s="2" t="s">
        <v>10478</v>
      </c>
      <c r="M5989" t="s">
        <v>67</v>
      </c>
      <c r="N5989" t="s">
        <v>68</v>
      </c>
      <c r="P5989" s="23">
        <v>110.56</v>
      </c>
      <c r="Q5989" s="4">
        <f t="shared" si="93"/>
        <v>-50</v>
      </c>
      <c r="R5989" s="23" t="s">
        <v>109</v>
      </c>
    </row>
    <row r="5990" spans="1:18" x14ac:dyDescent="0.25">
      <c r="A5990" s="21">
        <v>45842</v>
      </c>
      <c r="B5990" s="1">
        <v>214760922</v>
      </c>
      <c r="C5990" t="s">
        <v>10479</v>
      </c>
      <c r="D5990" s="43">
        <v>-4643.5200000000004</v>
      </c>
      <c r="E5990" t="s">
        <v>35</v>
      </c>
      <c r="F5990" s="2">
        <v>212901001</v>
      </c>
      <c r="G5990" s="2" t="s">
        <v>121</v>
      </c>
      <c r="L5990" s="2" t="s">
        <v>10480</v>
      </c>
      <c r="M5990" t="s">
        <v>67</v>
      </c>
      <c r="N5990" t="s">
        <v>68</v>
      </c>
      <c r="P5990" s="23">
        <v>110.56</v>
      </c>
      <c r="Q5990" s="4">
        <f t="shared" si="93"/>
        <v>-42</v>
      </c>
      <c r="R5990" s="23" t="s">
        <v>109</v>
      </c>
    </row>
    <row r="5991" spans="1:18" x14ac:dyDescent="0.25">
      <c r="A5991" s="21">
        <v>45842</v>
      </c>
      <c r="B5991" s="1">
        <v>214760925</v>
      </c>
      <c r="C5991" t="s">
        <v>10475</v>
      </c>
      <c r="D5991" s="43">
        <v>-5528</v>
      </c>
      <c r="E5991" t="s">
        <v>35</v>
      </c>
      <c r="F5991" s="2">
        <v>212901001</v>
      </c>
      <c r="G5991" s="2" t="s">
        <v>121</v>
      </c>
      <c r="L5991" s="2" t="s">
        <v>10481</v>
      </c>
      <c r="M5991" t="s">
        <v>67</v>
      </c>
      <c r="N5991" t="s">
        <v>68</v>
      </c>
      <c r="P5991" s="23">
        <v>110.56</v>
      </c>
      <c r="Q5991" s="4">
        <f t="shared" si="93"/>
        <v>-50</v>
      </c>
      <c r="R5991" s="23" t="s">
        <v>109</v>
      </c>
    </row>
    <row r="5992" spans="1:18" x14ac:dyDescent="0.25">
      <c r="A5992" s="21">
        <v>45842</v>
      </c>
      <c r="B5992" s="1">
        <v>214760921</v>
      </c>
      <c r="C5992" t="s">
        <v>10482</v>
      </c>
      <c r="D5992" s="43">
        <v>-5528</v>
      </c>
      <c r="E5992" t="s">
        <v>35</v>
      </c>
      <c r="F5992" s="2">
        <v>212901001</v>
      </c>
      <c r="G5992" s="2" t="s">
        <v>121</v>
      </c>
      <c r="L5992" s="2" t="s">
        <v>10483</v>
      </c>
      <c r="M5992" t="s">
        <v>67</v>
      </c>
      <c r="N5992" t="s">
        <v>68</v>
      </c>
      <c r="P5992" s="23">
        <v>110.56</v>
      </c>
      <c r="Q5992" s="4">
        <f t="shared" si="93"/>
        <v>-50</v>
      </c>
      <c r="R5992" s="23" t="s">
        <v>109</v>
      </c>
    </row>
    <row r="5993" spans="1:18" x14ac:dyDescent="0.25">
      <c r="A5993" s="21">
        <v>45842</v>
      </c>
      <c r="B5993" s="1">
        <v>114760918</v>
      </c>
      <c r="C5993" t="s">
        <v>10484</v>
      </c>
      <c r="D5993" s="43">
        <v>-5528</v>
      </c>
      <c r="E5993" t="s">
        <v>35</v>
      </c>
      <c r="F5993" s="2">
        <v>212901001</v>
      </c>
      <c r="G5993" s="2" t="s">
        <v>121</v>
      </c>
      <c r="L5993" s="2" t="s">
        <v>10485</v>
      </c>
      <c r="M5993" t="s">
        <v>67</v>
      </c>
      <c r="N5993" t="s">
        <v>68</v>
      </c>
      <c r="P5993" s="23">
        <v>110.56</v>
      </c>
      <c r="Q5993" s="4">
        <f t="shared" si="93"/>
        <v>-50</v>
      </c>
      <c r="R5993" s="23" t="s">
        <v>109</v>
      </c>
    </row>
    <row r="5994" spans="1:18" x14ac:dyDescent="0.25">
      <c r="A5994" s="21">
        <v>45842</v>
      </c>
      <c r="B5994" s="1">
        <v>214760923</v>
      </c>
      <c r="C5994" t="s">
        <v>10486</v>
      </c>
      <c r="D5994" s="43">
        <v>-5528</v>
      </c>
      <c r="E5994" t="s">
        <v>35</v>
      </c>
      <c r="F5994" s="2">
        <v>212901001</v>
      </c>
      <c r="G5994" s="2" t="s">
        <v>121</v>
      </c>
      <c r="L5994" s="2" t="s">
        <v>10487</v>
      </c>
      <c r="M5994" t="s">
        <v>67</v>
      </c>
      <c r="N5994" t="s">
        <v>68</v>
      </c>
      <c r="P5994" s="23">
        <v>110.56</v>
      </c>
      <c r="Q5994" s="4">
        <f t="shared" si="93"/>
        <v>-50</v>
      </c>
      <c r="R5994" s="23" t="s">
        <v>109</v>
      </c>
    </row>
    <row r="5995" spans="1:18" x14ac:dyDescent="0.25">
      <c r="A5995" s="21">
        <v>45842</v>
      </c>
      <c r="B5995" s="1">
        <v>214760924</v>
      </c>
      <c r="C5995" t="s">
        <v>10488</v>
      </c>
      <c r="D5995" s="43">
        <v>-5528</v>
      </c>
      <c r="E5995" t="s">
        <v>35</v>
      </c>
      <c r="F5995" s="2">
        <v>212901001</v>
      </c>
      <c r="G5995" s="2" t="s">
        <v>121</v>
      </c>
      <c r="L5995" s="2" t="s">
        <v>10489</v>
      </c>
      <c r="M5995" t="s">
        <v>67</v>
      </c>
      <c r="N5995" t="s">
        <v>68</v>
      </c>
      <c r="P5995" s="23">
        <v>110.56</v>
      </c>
      <c r="Q5995" s="4">
        <f t="shared" si="93"/>
        <v>-50</v>
      </c>
      <c r="R5995" s="23" t="s">
        <v>109</v>
      </c>
    </row>
    <row r="5996" spans="1:18" x14ac:dyDescent="0.25">
      <c r="A5996" s="21">
        <v>45842</v>
      </c>
      <c r="B5996" s="1">
        <v>214760927</v>
      </c>
      <c r="C5996" t="s">
        <v>10490</v>
      </c>
      <c r="D5996" s="43">
        <v>-5528</v>
      </c>
      <c r="E5996" t="s">
        <v>35</v>
      </c>
      <c r="F5996" s="2">
        <v>212901001</v>
      </c>
      <c r="G5996" s="2" t="s">
        <v>121</v>
      </c>
      <c r="L5996" s="2" t="s">
        <v>10491</v>
      </c>
      <c r="M5996" t="s">
        <v>67</v>
      </c>
      <c r="N5996" t="s">
        <v>68</v>
      </c>
      <c r="P5996" s="23">
        <v>110.56</v>
      </c>
      <c r="Q5996" s="4">
        <f t="shared" si="93"/>
        <v>-50</v>
      </c>
      <c r="R5996" s="23" t="s">
        <v>109</v>
      </c>
    </row>
    <row r="5997" spans="1:18" x14ac:dyDescent="0.25">
      <c r="A5997" s="21">
        <v>45842</v>
      </c>
      <c r="B5997" s="1">
        <v>214760920</v>
      </c>
      <c r="C5997" t="s">
        <v>10492</v>
      </c>
      <c r="D5997" s="43">
        <v>-5528</v>
      </c>
      <c r="E5997" t="s">
        <v>35</v>
      </c>
      <c r="F5997" s="2">
        <v>212901001</v>
      </c>
      <c r="G5997" s="2" t="s">
        <v>121</v>
      </c>
      <c r="L5997" s="2" t="s">
        <v>10493</v>
      </c>
      <c r="M5997" t="s">
        <v>67</v>
      </c>
      <c r="N5997" t="s">
        <v>68</v>
      </c>
      <c r="P5997" s="23">
        <v>110.56</v>
      </c>
      <c r="Q5997" s="4">
        <f t="shared" si="93"/>
        <v>-50</v>
      </c>
      <c r="R5997" s="23" t="s">
        <v>109</v>
      </c>
    </row>
    <row r="5998" spans="1:18" x14ac:dyDescent="0.25">
      <c r="A5998" s="21">
        <v>45842</v>
      </c>
      <c r="B5998" s="1">
        <v>314760930</v>
      </c>
      <c r="C5998" t="s">
        <v>10494</v>
      </c>
      <c r="D5998" s="43">
        <v>-2211.1999999999998</v>
      </c>
      <c r="E5998" t="s">
        <v>35</v>
      </c>
      <c r="F5998" s="2">
        <v>212901001</v>
      </c>
      <c r="G5998" s="2" t="s">
        <v>121</v>
      </c>
      <c r="L5998" s="2" t="s">
        <v>10495</v>
      </c>
      <c r="M5998" t="s">
        <v>67</v>
      </c>
      <c r="N5998" t="s">
        <v>68</v>
      </c>
      <c r="P5998" s="23">
        <v>110.56</v>
      </c>
      <c r="Q5998" s="4">
        <f t="shared" si="93"/>
        <v>-19.999999999999996</v>
      </c>
      <c r="R5998" s="23" t="s">
        <v>109</v>
      </c>
    </row>
    <row r="5999" spans="1:18" x14ac:dyDescent="0.25">
      <c r="A5999" s="21">
        <v>45842</v>
      </c>
      <c r="B5999" s="1">
        <v>214760928</v>
      </c>
      <c r="C5999" t="s">
        <v>10496</v>
      </c>
      <c r="D5999" s="43">
        <v>-5528</v>
      </c>
      <c r="E5999" t="s">
        <v>35</v>
      </c>
      <c r="F5999" s="2">
        <v>212901001</v>
      </c>
      <c r="G5999" s="2" t="s">
        <v>121</v>
      </c>
      <c r="L5999" s="2" t="s">
        <v>10497</v>
      </c>
      <c r="M5999" t="s">
        <v>67</v>
      </c>
      <c r="N5999" t="s">
        <v>68</v>
      </c>
      <c r="P5999" s="23">
        <v>110.56</v>
      </c>
      <c r="Q5999" s="4">
        <f t="shared" si="93"/>
        <v>-50</v>
      </c>
      <c r="R5999" s="23" t="s">
        <v>109</v>
      </c>
    </row>
    <row r="6000" spans="1:18" x14ac:dyDescent="0.25">
      <c r="A6000" s="21">
        <v>45842</v>
      </c>
      <c r="B6000" s="1">
        <v>214760926</v>
      </c>
      <c r="C6000" t="s">
        <v>10498</v>
      </c>
      <c r="D6000" s="43">
        <v>-5528</v>
      </c>
      <c r="E6000" t="s">
        <v>35</v>
      </c>
      <c r="F6000" s="2">
        <v>212901001</v>
      </c>
      <c r="G6000" s="2" t="s">
        <v>121</v>
      </c>
      <c r="L6000" s="2" t="s">
        <v>10499</v>
      </c>
      <c r="M6000" t="s">
        <v>67</v>
      </c>
      <c r="N6000" t="s">
        <v>68</v>
      </c>
      <c r="P6000" s="23">
        <v>110.56</v>
      </c>
      <c r="Q6000" s="4">
        <f t="shared" si="93"/>
        <v>-50</v>
      </c>
      <c r="R6000" s="23" t="s">
        <v>109</v>
      </c>
    </row>
    <row r="6001" spans="1:20" x14ac:dyDescent="0.25">
      <c r="A6001" s="21">
        <v>45842</v>
      </c>
      <c r="B6001" s="1">
        <v>314760929</v>
      </c>
      <c r="C6001" t="s">
        <v>10500</v>
      </c>
      <c r="D6001" s="43">
        <v>-2211.1999999999998</v>
      </c>
      <c r="E6001" t="s">
        <v>35</v>
      </c>
      <c r="F6001" s="2">
        <v>212901001</v>
      </c>
      <c r="G6001" s="2" t="s">
        <v>121</v>
      </c>
      <c r="L6001" s="2" t="s">
        <v>10501</v>
      </c>
      <c r="M6001" t="s">
        <v>67</v>
      </c>
      <c r="N6001" t="s">
        <v>68</v>
      </c>
      <c r="P6001" s="23">
        <v>110.56</v>
      </c>
      <c r="Q6001" s="4">
        <f t="shared" si="93"/>
        <v>-19.999999999999996</v>
      </c>
      <c r="R6001" s="23" t="s">
        <v>109</v>
      </c>
    </row>
    <row r="6002" spans="1:20" x14ac:dyDescent="0.25">
      <c r="A6002" s="21">
        <v>45842</v>
      </c>
      <c r="B6002" s="1">
        <v>314760935</v>
      </c>
      <c r="C6002" t="s">
        <v>10502</v>
      </c>
      <c r="D6002" s="43">
        <v>-13488.32</v>
      </c>
      <c r="E6002" t="s">
        <v>35</v>
      </c>
      <c r="F6002" s="2">
        <v>212901001</v>
      </c>
      <c r="G6002" s="2" t="s">
        <v>121</v>
      </c>
      <c r="L6002" s="2" t="s">
        <v>10503</v>
      </c>
      <c r="M6002" t="s">
        <v>67</v>
      </c>
      <c r="N6002" t="s">
        <v>68</v>
      </c>
      <c r="P6002" s="23">
        <v>110.56</v>
      </c>
      <c r="Q6002" s="4">
        <f t="shared" si="93"/>
        <v>-122</v>
      </c>
      <c r="R6002" s="23" t="s">
        <v>109</v>
      </c>
    </row>
    <row r="6003" spans="1:20" x14ac:dyDescent="0.25">
      <c r="A6003" s="21">
        <v>45842</v>
      </c>
      <c r="B6003" s="1">
        <v>314760934</v>
      </c>
      <c r="C6003" t="s">
        <v>10504</v>
      </c>
      <c r="D6003" s="43">
        <v>-22112</v>
      </c>
      <c r="E6003" t="s">
        <v>35</v>
      </c>
      <c r="F6003" s="2">
        <v>212901001</v>
      </c>
      <c r="G6003" s="2" t="s">
        <v>121</v>
      </c>
      <c r="L6003" s="2" t="s">
        <v>10505</v>
      </c>
      <c r="M6003" t="s">
        <v>67</v>
      </c>
      <c r="N6003" t="s">
        <v>68</v>
      </c>
      <c r="P6003" s="23">
        <v>110.56</v>
      </c>
      <c r="Q6003" s="4">
        <f t="shared" si="93"/>
        <v>-200</v>
      </c>
      <c r="R6003" s="23" t="s">
        <v>109</v>
      </c>
    </row>
    <row r="6004" spans="1:20" x14ac:dyDescent="0.25">
      <c r="A6004" s="21">
        <v>45842</v>
      </c>
      <c r="B6004" s="1">
        <v>314760931</v>
      </c>
      <c r="C6004" t="s">
        <v>10506</v>
      </c>
      <c r="D6004" s="43">
        <v>-2211.1999999999998</v>
      </c>
      <c r="E6004" t="s">
        <v>35</v>
      </c>
      <c r="F6004" s="2">
        <v>212901001</v>
      </c>
      <c r="G6004" s="2" t="s">
        <v>121</v>
      </c>
      <c r="L6004" s="2" t="s">
        <v>10507</v>
      </c>
      <c r="M6004" t="s">
        <v>67</v>
      </c>
      <c r="N6004" t="s">
        <v>68</v>
      </c>
      <c r="P6004" s="23">
        <v>110.56</v>
      </c>
      <c r="Q6004" s="4">
        <f t="shared" si="93"/>
        <v>-19.999999999999996</v>
      </c>
      <c r="R6004" s="23" t="s">
        <v>109</v>
      </c>
    </row>
    <row r="6005" spans="1:20" x14ac:dyDescent="0.25">
      <c r="A6005" s="21">
        <v>45842</v>
      </c>
      <c r="B6005" s="1">
        <v>314760932</v>
      </c>
      <c r="C6005" t="s">
        <v>10508</v>
      </c>
      <c r="D6005" s="43">
        <v>-2211.1999999999998</v>
      </c>
      <c r="E6005" t="s">
        <v>35</v>
      </c>
      <c r="F6005" s="2">
        <v>212901001</v>
      </c>
      <c r="G6005" s="2" t="s">
        <v>121</v>
      </c>
      <c r="L6005" s="2" t="s">
        <v>10509</v>
      </c>
      <c r="M6005" t="s">
        <v>67</v>
      </c>
      <c r="N6005" t="s">
        <v>68</v>
      </c>
      <c r="P6005" s="23">
        <v>110.56</v>
      </c>
      <c r="Q6005" s="4">
        <f t="shared" si="93"/>
        <v>-19.999999999999996</v>
      </c>
      <c r="R6005" s="23" t="s">
        <v>109</v>
      </c>
    </row>
    <row r="6006" spans="1:20" x14ac:dyDescent="0.25">
      <c r="A6006" s="21">
        <v>45842</v>
      </c>
      <c r="B6006" s="1">
        <v>314760936</v>
      </c>
      <c r="C6006" t="s">
        <v>10510</v>
      </c>
      <c r="D6006" s="43">
        <v>-3316.8</v>
      </c>
      <c r="E6006" t="s">
        <v>35</v>
      </c>
      <c r="F6006" s="2">
        <v>212901001</v>
      </c>
      <c r="G6006" s="2" t="s">
        <v>121</v>
      </c>
      <c r="L6006" s="2" t="s">
        <v>10511</v>
      </c>
      <c r="M6006" t="s">
        <v>67</v>
      </c>
      <c r="N6006" t="s">
        <v>68</v>
      </c>
      <c r="P6006" s="23">
        <v>110.56</v>
      </c>
      <c r="Q6006" s="4">
        <f t="shared" si="93"/>
        <v>-30</v>
      </c>
      <c r="R6006" s="23" t="s">
        <v>109</v>
      </c>
    </row>
    <row r="6007" spans="1:20" x14ac:dyDescent="0.25">
      <c r="A6007" s="21">
        <v>45842</v>
      </c>
      <c r="B6007" s="1">
        <v>314760933</v>
      </c>
      <c r="C6007" t="s">
        <v>10512</v>
      </c>
      <c r="D6007" s="43">
        <v>-11056</v>
      </c>
      <c r="E6007" t="s">
        <v>35</v>
      </c>
      <c r="F6007" s="2">
        <v>212901001</v>
      </c>
      <c r="G6007" s="2" t="s">
        <v>121</v>
      </c>
      <c r="L6007" s="2" t="s">
        <v>10513</v>
      </c>
      <c r="M6007" t="s">
        <v>67</v>
      </c>
      <c r="N6007" t="s">
        <v>68</v>
      </c>
      <c r="P6007" s="23">
        <v>110.56</v>
      </c>
      <c r="Q6007" s="4">
        <f t="shared" si="93"/>
        <v>-100</v>
      </c>
      <c r="R6007" s="23" t="s">
        <v>109</v>
      </c>
    </row>
    <row r="6008" spans="1:20" x14ac:dyDescent="0.25">
      <c r="A6008" s="21">
        <v>45842</v>
      </c>
      <c r="B6008" s="1">
        <v>314760937</v>
      </c>
      <c r="C6008" t="s">
        <v>10510</v>
      </c>
      <c r="D6008" s="43">
        <v>-4422.3999999999996</v>
      </c>
      <c r="E6008" t="s">
        <v>35</v>
      </c>
      <c r="F6008" s="2">
        <v>212901001</v>
      </c>
      <c r="G6008" s="2" t="s">
        <v>121</v>
      </c>
      <c r="L6008" s="2" t="s">
        <v>10514</v>
      </c>
      <c r="M6008" t="s">
        <v>67</v>
      </c>
      <c r="N6008" t="s">
        <v>68</v>
      </c>
      <c r="P6008" s="23">
        <v>110.56</v>
      </c>
      <c r="Q6008" s="4">
        <f t="shared" si="93"/>
        <v>-39.999999999999993</v>
      </c>
      <c r="R6008" s="23" t="s">
        <v>109</v>
      </c>
    </row>
    <row r="6009" spans="1:20" x14ac:dyDescent="0.25">
      <c r="A6009" s="21">
        <v>45842</v>
      </c>
      <c r="B6009" s="1">
        <v>50755666</v>
      </c>
      <c r="C6009" t="s">
        <v>10515</v>
      </c>
      <c r="D6009" s="43">
        <v>-15478.4</v>
      </c>
      <c r="E6009" t="s">
        <v>35</v>
      </c>
      <c r="F6009" s="2">
        <v>212901001</v>
      </c>
      <c r="G6009" s="2" t="s">
        <v>121</v>
      </c>
      <c r="L6009" s="2" t="s">
        <v>10516</v>
      </c>
      <c r="M6009" t="s">
        <v>67</v>
      </c>
      <c r="N6009" t="s">
        <v>68</v>
      </c>
      <c r="P6009" s="23">
        <v>110.56</v>
      </c>
      <c r="Q6009" s="4">
        <f t="shared" si="93"/>
        <v>-140</v>
      </c>
      <c r="R6009" s="23" t="s">
        <v>109</v>
      </c>
    </row>
    <row r="6010" spans="1:20" x14ac:dyDescent="0.25">
      <c r="A6010" s="21">
        <v>45842</v>
      </c>
      <c r="B6010" s="1">
        <v>50755666</v>
      </c>
      <c r="C6010" t="s">
        <v>296</v>
      </c>
      <c r="D6010" s="43">
        <v>-23.21</v>
      </c>
      <c r="E6010" t="s">
        <v>35</v>
      </c>
      <c r="F6010" s="2">
        <v>610148001</v>
      </c>
      <c r="G6010" s="2" t="s">
        <v>42</v>
      </c>
      <c r="L6010" s="2" t="s">
        <v>10517</v>
      </c>
      <c r="M6010" t="s">
        <v>43</v>
      </c>
      <c r="N6010" t="s">
        <v>42</v>
      </c>
      <c r="P6010" s="23">
        <v>110.56</v>
      </c>
      <c r="Q6010" s="4">
        <f t="shared" si="93"/>
        <v>-0.20993125904486251</v>
      </c>
      <c r="R6010" s="23" t="s">
        <v>109</v>
      </c>
      <c r="T6010" s="23" t="s">
        <v>10222</v>
      </c>
    </row>
    <row r="6011" spans="1:20" x14ac:dyDescent="0.25">
      <c r="A6011" s="21">
        <v>45842</v>
      </c>
      <c r="B6011" s="1">
        <v>50755666</v>
      </c>
      <c r="C6011" t="s">
        <v>118</v>
      </c>
      <c r="D6011" s="43">
        <v>-1231.6300000000001</v>
      </c>
      <c r="E6011" t="s">
        <v>35</v>
      </c>
      <c r="F6011" s="2">
        <v>610148001</v>
      </c>
      <c r="G6011" s="2" t="s">
        <v>42</v>
      </c>
      <c r="L6011" s="2" t="s">
        <v>10518</v>
      </c>
      <c r="M6011" t="s">
        <v>43</v>
      </c>
      <c r="N6011" t="s">
        <v>42</v>
      </c>
      <c r="P6011" s="23">
        <v>110.56</v>
      </c>
      <c r="Q6011" s="4">
        <f t="shared" si="93"/>
        <v>-11.139924023154849</v>
      </c>
      <c r="R6011" s="23" t="s">
        <v>109</v>
      </c>
      <c r="T6011" s="23" t="s">
        <v>10222</v>
      </c>
    </row>
    <row r="6012" spans="1:20" x14ac:dyDescent="0.25">
      <c r="A6012" s="21">
        <v>45842</v>
      </c>
      <c r="B6012" s="1">
        <v>523156567</v>
      </c>
      <c r="C6012" t="s">
        <v>6733</v>
      </c>
      <c r="D6012" s="43">
        <v>200000</v>
      </c>
      <c r="E6012" t="s">
        <v>46</v>
      </c>
      <c r="F6012" s="2">
        <v>110101003</v>
      </c>
      <c r="G6012" s="2" t="s">
        <v>6734</v>
      </c>
      <c r="L6012" s="2" t="s">
        <v>10519</v>
      </c>
      <c r="N6012" t="s">
        <v>6733</v>
      </c>
      <c r="P6012" s="23">
        <v>110.56</v>
      </c>
      <c r="Q6012" s="4">
        <f t="shared" si="93"/>
        <v>1808.972503617945</v>
      </c>
      <c r="R6012" s="23" t="s">
        <v>109</v>
      </c>
    </row>
    <row r="6013" spans="1:20" x14ac:dyDescent="0.25">
      <c r="A6013" s="21">
        <v>45842</v>
      </c>
      <c r="B6013" s="1">
        <v>142357965</v>
      </c>
      <c r="C6013" t="s">
        <v>107</v>
      </c>
      <c r="D6013" s="43">
        <v>160000</v>
      </c>
      <c r="E6013" t="s">
        <v>46</v>
      </c>
      <c r="F6013" s="2">
        <v>210115002</v>
      </c>
      <c r="G6013" s="2" t="s">
        <v>47</v>
      </c>
      <c r="L6013" s="2" t="s">
        <v>10520</v>
      </c>
      <c r="N6013" t="s">
        <v>107</v>
      </c>
      <c r="P6013" s="23">
        <v>110.56</v>
      </c>
      <c r="Q6013" s="4">
        <f t="shared" si="93"/>
        <v>1447.178002894356</v>
      </c>
      <c r="R6013" s="23" t="s">
        <v>109</v>
      </c>
    </row>
    <row r="6014" spans="1:20" x14ac:dyDescent="0.25">
      <c r="A6014" s="21">
        <v>45842</v>
      </c>
      <c r="B6014" s="1">
        <v>314766266</v>
      </c>
      <c r="C6014" t="s">
        <v>10521</v>
      </c>
      <c r="D6014" s="43">
        <v>-118155.11</v>
      </c>
      <c r="E6014" t="s">
        <v>35</v>
      </c>
      <c r="F6014" s="2">
        <v>210101001</v>
      </c>
      <c r="G6014" s="2" t="s">
        <v>36</v>
      </c>
      <c r="L6014" s="2" t="s">
        <v>10522</v>
      </c>
      <c r="M6014" t="s">
        <v>303</v>
      </c>
      <c r="N6014" t="s">
        <v>304</v>
      </c>
      <c r="P6014" s="23">
        <v>110.56</v>
      </c>
      <c r="Q6014" s="4">
        <f t="shared" si="93"/>
        <v>-1068.6967257597685</v>
      </c>
      <c r="R6014" s="23" t="s">
        <v>109</v>
      </c>
    </row>
    <row r="6015" spans="1:20" x14ac:dyDescent="0.25">
      <c r="A6015" s="21">
        <v>45842</v>
      </c>
      <c r="B6015" s="1">
        <v>314766268</v>
      </c>
      <c r="C6015" t="s">
        <v>9974</v>
      </c>
      <c r="D6015" s="43">
        <v>-36484</v>
      </c>
      <c r="E6015" t="s">
        <v>35</v>
      </c>
      <c r="F6015" s="2">
        <v>110114001</v>
      </c>
      <c r="G6015" s="2" t="s">
        <v>301</v>
      </c>
      <c r="L6015" s="2" t="s">
        <v>10523</v>
      </c>
      <c r="M6015" t="s">
        <v>714</v>
      </c>
      <c r="N6015" t="s">
        <v>715</v>
      </c>
      <c r="P6015" s="23">
        <v>110.56</v>
      </c>
      <c r="Q6015" s="4">
        <f t="shared" si="93"/>
        <v>-329.9927641099855</v>
      </c>
      <c r="R6015" s="23" t="s">
        <v>109</v>
      </c>
    </row>
    <row r="6016" spans="1:20" x14ac:dyDescent="0.25">
      <c r="A6016" s="21">
        <v>45842</v>
      </c>
      <c r="B6016" s="1">
        <v>314766267</v>
      </c>
      <c r="C6016" t="s">
        <v>9974</v>
      </c>
      <c r="D6016" s="43">
        <v>-200000</v>
      </c>
      <c r="E6016" t="s">
        <v>35</v>
      </c>
      <c r="F6016" s="2">
        <v>110114001</v>
      </c>
      <c r="G6016" s="2" t="s">
        <v>301</v>
      </c>
      <c r="L6016" s="2" t="s">
        <v>10524</v>
      </c>
      <c r="M6016" t="s">
        <v>714</v>
      </c>
      <c r="N6016" t="s">
        <v>715</v>
      </c>
      <c r="P6016" s="23">
        <v>110.56</v>
      </c>
      <c r="Q6016" s="4">
        <f t="shared" si="93"/>
        <v>-1808.972503617945</v>
      </c>
      <c r="R6016" s="23" t="s">
        <v>109</v>
      </c>
    </row>
    <row r="6017" spans="1:20" x14ac:dyDescent="0.25">
      <c r="A6017" s="21">
        <v>45842</v>
      </c>
      <c r="B6017" s="1">
        <v>50763600</v>
      </c>
      <c r="C6017" t="s">
        <v>118</v>
      </c>
      <c r="D6017" s="43">
        <v>-886.59</v>
      </c>
      <c r="E6017" t="s">
        <v>35</v>
      </c>
      <c r="F6017" s="2">
        <v>610148001</v>
      </c>
      <c r="G6017" s="2" t="s">
        <v>42</v>
      </c>
      <c r="L6017" s="2" t="s">
        <v>10525</v>
      </c>
      <c r="M6017" t="s">
        <v>43</v>
      </c>
      <c r="N6017" t="s">
        <v>42</v>
      </c>
      <c r="P6017" s="23">
        <v>110.56</v>
      </c>
      <c r="Q6017" s="4">
        <f t="shared" si="93"/>
        <v>-8.0190846599131689</v>
      </c>
      <c r="R6017" s="23" t="s">
        <v>109</v>
      </c>
      <c r="T6017" s="23" t="s">
        <v>10222</v>
      </c>
    </row>
    <row r="6018" spans="1:20" x14ac:dyDescent="0.25">
      <c r="A6018" s="21">
        <v>45842</v>
      </c>
      <c r="B6018" s="1">
        <v>151754574</v>
      </c>
      <c r="C6018" t="s">
        <v>107</v>
      </c>
      <c r="D6018" s="43">
        <v>20000</v>
      </c>
      <c r="E6018" t="s">
        <v>46</v>
      </c>
      <c r="F6018" s="2">
        <v>210115002</v>
      </c>
      <c r="G6018" s="2" t="s">
        <v>47</v>
      </c>
      <c r="L6018" s="2" t="s">
        <v>10526</v>
      </c>
      <c r="N6018" t="s">
        <v>107</v>
      </c>
      <c r="P6018" s="23">
        <v>110.56</v>
      </c>
      <c r="Q6018" s="4">
        <f t="shared" si="93"/>
        <v>180.89725036179451</v>
      </c>
      <c r="R6018" s="23" t="s">
        <v>109</v>
      </c>
    </row>
    <row r="6019" spans="1:20" x14ac:dyDescent="0.25">
      <c r="A6019" s="21">
        <v>45842</v>
      </c>
      <c r="B6019" s="1">
        <v>114770838</v>
      </c>
      <c r="C6019" t="s">
        <v>10527</v>
      </c>
      <c r="D6019" s="43">
        <v>-22088.95</v>
      </c>
      <c r="E6019" t="s">
        <v>35</v>
      </c>
      <c r="F6019" s="2">
        <v>210101001</v>
      </c>
      <c r="G6019" s="2" t="s">
        <v>36</v>
      </c>
      <c r="L6019" s="2" t="s">
        <v>10528</v>
      </c>
      <c r="M6019" t="s">
        <v>521</v>
      </c>
      <c r="N6019" t="s">
        <v>3364</v>
      </c>
      <c r="P6019" s="23">
        <v>110.56</v>
      </c>
      <c r="Q6019" s="4">
        <f t="shared" si="93"/>
        <v>-199.79151591895803</v>
      </c>
      <c r="R6019" s="23" t="s">
        <v>109</v>
      </c>
    </row>
    <row r="6020" spans="1:20" x14ac:dyDescent="0.25">
      <c r="A6020" s="21">
        <v>45842</v>
      </c>
      <c r="B6020" s="1">
        <v>114770838</v>
      </c>
      <c r="C6020" t="s">
        <v>306</v>
      </c>
      <c r="D6020" s="43">
        <v>-66.27</v>
      </c>
      <c r="E6020" t="s">
        <v>35</v>
      </c>
      <c r="F6020" s="2">
        <v>610148001</v>
      </c>
      <c r="G6020" s="2" t="s">
        <v>42</v>
      </c>
      <c r="L6020" s="2" t="s">
        <v>10529</v>
      </c>
      <c r="M6020" t="s">
        <v>43</v>
      </c>
      <c r="N6020" t="s">
        <v>42</v>
      </c>
      <c r="P6020" s="23">
        <v>110.56</v>
      </c>
      <c r="Q6020" s="4">
        <f t="shared" si="93"/>
        <v>-0.59940303907380599</v>
      </c>
      <c r="R6020" s="23" t="s">
        <v>109</v>
      </c>
      <c r="T6020" s="23" t="s">
        <v>10222</v>
      </c>
    </row>
    <row r="6021" spans="1:20" x14ac:dyDescent="0.25">
      <c r="A6021" s="21">
        <v>45848</v>
      </c>
      <c r="B6021" s="1">
        <v>93049438</v>
      </c>
      <c r="C6021" t="s">
        <v>107</v>
      </c>
      <c r="D6021" s="43">
        <v>80000</v>
      </c>
      <c r="E6021" t="s">
        <v>46</v>
      </c>
      <c r="F6021" s="2">
        <v>210115002</v>
      </c>
      <c r="G6021" s="2" t="s">
        <v>47</v>
      </c>
      <c r="L6021" s="2" t="s">
        <v>10530</v>
      </c>
      <c r="N6021" t="s">
        <v>107</v>
      </c>
      <c r="P6021" s="23">
        <v>113.75</v>
      </c>
      <c r="Q6021" s="4">
        <f t="shared" si="93"/>
        <v>703.2967032967033</v>
      </c>
      <c r="R6021" s="23" t="s">
        <v>109</v>
      </c>
    </row>
    <row r="6022" spans="1:20" x14ac:dyDescent="0.25">
      <c r="A6022" s="21">
        <v>45848</v>
      </c>
      <c r="B6022" s="1">
        <v>475016</v>
      </c>
      <c r="C6022" t="s">
        <v>10531</v>
      </c>
      <c r="D6022" s="43">
        <v>-77673.279999999999</v>
      </c>
      <c r="E6022" t="s">
        <v>35</v>
      </c>
      <c r="F6022" s="2">
        <v>210601001</v>
      </c>
      <c r="G6022" s="2" t="s">
        <v>494</v>
      </c>
      <c r="L6022" s="2" t="s">
        <v>10532</v>
      </c>
      <c r="M6022" t="s">
        <v>496</v>
      </c>
      <c r="N6022" t="s">
        <v>497</v>
      </c>
      <c r="P6022" s="23">
        <v>113.75</v>
      </c>
      <c r="Q6022" s="4">
        <f t="shared" si="93"/>
        <v>-682.84202197802199</v>
      </c>
      <c r="R6022" s="23" t="s">
        <v>109</v>
      </c>
      <c r="T6022" s="23" t="s">
        <v>10533</v>
      </c>
    </row>
    <row r="6023" spans="1:20" x14ac:dyDescent="0.25">
      <c r="A6023" s="21">
        <v>45848</v>
      </c>
      <c r="B6023" s="1">
        <v>0</v>
      </c>
      <c r="C6023" t="s">
        <v>8641</v>
      </c>
      <c r="D6023" s="43">
        <v>-108.97</v>
      </c>
      <c r="E6023" t="s">
        <v>35</v>
      </c>
      <c r="F6023" s="2">
        <v>610148001</v>
      </c>
      <c r="G6023" s="2" t="s">
        <v>42</v>
      </c>
      <c r="L6023" s="2" t="s">
        <v>10534</v>
      </c>
      <c r="M6023" t="s">
        <v>43</v>
      </c>
      <c r="N6023" t="s">
        <v>42</v>
      </c>
      <c r="P6023" s="23">
        <v>113.75</v>
      </c>
      <c r="Q6023" s="4">
        <f t="shared" si="93"/>
        <v>-0.95797802197802195</v>
      </c>
      <c r="R6023" s="23" t="s">
        <v>109</v>
      </c>
      <c r="T6023" s="23" t="s">
        <v>10222</v>
      </c>
    </row>
    <row r="6024" spans="1:20" x14ac:dyDescent="0.25">
      <c r="A6024" s="21">
        <v>45849</v>
      </c>
      <c r="B6024" s="1">
        <v>104059630</v>
      </c>
      <c r="C6024" t="s">
        <v>107</v>
      </c>
      <c r="D6024" s="43">
        <v>30000</v>
      </c>
      <c r="E6024" t="s">
        <v>46</v>
      </c>
      <c r="F6024" s="2">
        <v>210115002</v>
      </c>
      <c r="G6024" s="2" t="s">
        <v>47</v>
      </c>
      <c r="L6024" s="2" t="s">
        <v>10535</v>
      </c>
      <c r="N6024" t="s">
        <v>107</v>
      </c>
      <c r="P6024" s="23">
        <v>114.41</v>
      </c>
      <c r="Q6024" s="4">
        <f t="shared" si="93"/>
        <v>262.21484136002101</v>
      </c>
      <c r="R6024" s="23" t="s">
        <v>109</v>
      </c>
    </row>
    <row r="6025" spans="1:20" x14ac:dyDescent="0.25">
      <c r="A6025" s="21">
        <v>45849</v>
      </c>
      <c r="B6025" s="1">
        <v>915032715</v>
      </c>
      <c r="C6025" t="s">
        <v>10536</v>
      </c>
      <c r="D6025" s="43">
        <v>-25612.799999999999</v>
      </c>
      <c r="E6025" t="s">
        <v>35</v>
      </c>
      <c r="F6025" s="2">
        <v>210101001</v>
      </c>
      <c r="G6025" s="2" t="s">
        <v>36</v>
      </c>
      <c r="L6025" s="2" t="s">
        <v>10537</v>
      </c>
      <c r="M6025" t="s">
        <v>760</v>
      </c>
      <c r="N6025" t="s">
        <v>761</v>
      </c>
      <c r="P6025" s="23">
        <v>114.41</v>
      </c>
      <c r="Q6025" s="4">
        <f t="shared" si="93"/>
        <v>-223.86854295953151</v>
      </c>
      <c r="R6025" s="23" t="s">
        <v>109</v>
      </c>
    </row>
    <row r="6026" spans="1:20" x14ac:dyDescent="0.25">
      <c r="A6026" s="21">
        <v>45849</v>
      </c>
      <c r="B6026" s="1">
        <v>915032715</v>
      </c>
      <c r="C6026" t="s">
        <v>306</v>
      </c>
      <c r="D6026" s="43">
        <v>-76.84</v>
      </c>
      <c r="E6026" t="s">
        <v>35</v>
      </c>
      <c r="F6026" s="2">
        <v>610148001</v>
      </c>
      <c r="G6026" s="2" t="s">
        <v>42</v>
      </c>
      <c r="L6026" s="2" t="s">
        <v>10538</v>
      </c>
      <c r="M6026" t="s">
        <v>43</v>
      </c>
      <c r="N6026" t="s">
        <v>42</v>
      </c>
      <c r="P6026" s="23">
        <v>114.41</v>
      </c>
      <c r="Q6026" s="4">
        <f t="shared" si="93"/>
        <v>-0.67161961367013379</v>
      </c>
      <c r="R6026" s="23" t="s">
        <v>109</v>
      </c>
      <c r="T6026" s="23" t="s">
        <v>10222</v>
      </c>
    </row>
    <row r="6027" spans="1:20" x14ac:dyDescent="0.25">
      <c r="A6027" s="21">
        <v>45849</v>
      </c>
      <c r="B6027" s="1">
        <v>130809076</v>
      </c>
      <c r="C6027" t="s">
        <v>107</v>
      </c>
      <c r="D6027" s="43">
        <v>520000</v>
      </c>
      <c r="E6027" t="s">
        <v>46</v>
      </c>
      <c r="F6027" s="2">
        <v>210115002</v>
      </c>
      <c r="G6027" s="2" t="s">
        <v>47</v>
      </c>
      <c r="L6027" s="2" t="s">
        <v>10539</v>
      </c>
      <c r="N6027" t="s">
        <v>107</v>
      </c>
      <c r="P6027" s="23">
        <v>114.41</v>
      </c>
      <c r="Q6027" s="4">
        <f t="shared" ref="Q6027:Q6090" si="94">D6027/P6027</f>
        <v>4545.0572502403638</v>
      </c>
      <c r="R6027" s="23" t="s">
        <v>109</v>
      </c>
    </row>
    <row r="6028" spans="1:20" x14ac:dyDescent="0.25">
      <c r="A6028" s="21">
        <v>45849</v>
      </c>
      <c r="B6028" s="1">
        <v>315042519</v>
      </c>
      <c r="C6028" t="s">
        <v>10540</v>
      </c>
      <c r="D6028" s="43">
        <v>-9152.7999999999993</v>
      </c>
      <c r="E6028" t="s">
        <v>35</v>
      </c>
      <c r="F6028" s="2">
        <v>212901001</v>
      </c>
      <c r="G6028" s="2" t="s">
        <v>121</v>
      </c>
      <c r="L6028" s="2" t="s">
        <v>10541</v>
      </c>
      <c r="M6028" t="s">
        <v>67</v>
      </c>
      <c r="N6028" t="s">
        <v>68</v>
      </c>
      <c r="P6028" s="23">
        <v>114.41</v>
      </c>
      <c r="Q6028" s="4">
        <f t="shared" si="94"/>
        <v>-80</v>
      </c>
      <c r="R6028" s="23" t="s">
        <v>109</v>
      </c>
    </row>
    <row r="6029" spans="1:20" x14ac:dyDescent="0.25">
      <c r="A6029" s="21">
        <v>45849</v>
      </c>
      <c r="B6029" s="1">
        <v>415042521</v>
      </c>
      <c r="C6029" t="s">
        <v>10542</v>
      </c>
      <c r="D6029" s="43">
        <v>-6864.6</v>
      </c>
      <c r="E6029" t="s">
        <v>35</v>
      </c>
      <c r="F6029" s="2">
        <v>212901001</v>
      </c>
      <c r="G6029" s="2" t="s">
        <v>121</v>
      </c>
      <c r="L6029" s="2" t="s">
        <v>10543</v>
      </c>
      <c r="M6029" t="s">
        <v>67</v>
      </c>
      <c r="N6029" t="s">
        <v>68</v>
      </c>
      <c r="P6029" s="23">
        <v>114.41</v>
      </c>
      <c r="Q6029" s="4">
        <f t="shared" si="94"/>
        <v>-60.000000000000007</v>
      </c>
      <c r="R6029" s="23" t="s">
        <v>109</v>
      </c>
    </row>
    <row r="6030" spans="1:20" x14ac:dyDescent="0.25">
      <c r="A6030" s="21">
        <v>45849</v>
      </c>
      <c r="B6030" s="1">
        <v>315042520</v>
      </c>
      <c r="C6030" t="s">
        <v>10544</v>
      </c>
      <c r="D6030" s="43">
        <v>-6864.6</v>
      </c>
      <c r="E6030" t="s">
        <v>35</v>
      </c>
      <c r="F6030" s="2">
        <v>212901001</v>
      </c>
      <c r="G6030" s="2" t="s">
        <v>121</v>
      </c>
      <c r="L6030" s="2" t="s">
        <v>10545</v>
      </c>
      <c r="M6030" t="s">
        <v>67</v>
      </c>
      <c r="N6030" t="s">
        <v>68</v>
      </c>
      <c r="P6030" s="23">
        <v>114.41</v>
      </c>
      <c r="Q6030" s="4">
        <f t="shared" si="94"/>
        <v>-60.000000000000007</v>
      </c>
      <c r="R6030" s="23" t="s">
        <v>109</v>
      </c>
    </row>
    <row r="6031" spans="1:20" x14ac:dyDescent="0.25">
      <c r="A6031" s="21">
        <v>45849</v>
      </c>
      <c r="B6031" s="1">
        <v>415042522</v>
      </c>
      <c r="C6031" t="s">
        <v>10546</v>
      </c>
      <c r="D6031" s="43">
        <v>-6864.6</v>
      </c>
      <c r="E6031" t="s">
        <v>35</v>
      </c>
      <c r="F6031" s="2">
        <v>212901001</v>
      </c>
      <c r="G6031" s="2" t="s">
        <v>121</v>
      </c>
      <c r="L6031" s="2" t="s">
        <v>10547</v>
      </c>
      <c r="M6031" t="s">
        <v>67</v>
      </c>
      <c r="N6031" t="s">
        <v>68</v>
      </c>
      <c r="P6031" s="23">
        <v>114.41</v>
      </c>
      <c r="Q6031" s="4">
        <f t="shared" si="94"/>
        <v>-60.000000000000007</v>
      </c>
      <c r="R6031" s="23" t="s">
        <v>109</v>
      </c>
    </row>
    <row r="6032" spans="1:20" x14ac:dyDescent="0.25">
      <c r="A6032" s="21">
        <v>45849</v>
      </c>
      <c r="B6032" s="1">
        <v>415042528</v>
      </c>
      <c r="C6032" t="s">
        <v>10548</v>
      </c>
      <c r="D6032" s="43">
        <v>-6864.6</v>
      </c>
      <c r="E6032" t="s">
        <v>35</v>
      </c>
      <c r="F6032" s="2">
        <v>212901001</v>
      </c>
      <c r="G6032" s="2" t="s">
        <v>121</v>
      </c>
      <c r="L6032" s="2" t="s">
        <v>10549</v>
      </c>
      <c r="M6032" t="s">
        <v>67</v>
      </c>
      <c r="N6032" t="s">
        <v>68</v>
      </c>
      <c r="P6032" s="23">
        <v>114.41</v>
      </c>
      <c r="Q6032" s="4">
        <f t="shared" si="94"/>
        <v>-60.000000000000007</v>
      </c>
      <c r="R6032" s="23" t="s">
        <v>109</v>
      </c>
    </row>
    <row r="6033" spans="1:18" x14ac:dyDescent="0.25">
      <c r="A6033" s="21">
        <v>45849</v>
      </c>
      <c r="B6033" s="1">
        <v>515042532</v>
      </c>
      <c r="C6033" t="s">
        <v>10550</v>
      </c>
      <c r="D6033" s="43">
        <v>-6864.6</v>
      </c>
      <c r="E6033" t="s">
        <v>35</v>
      </c>
      <c r="F6033" s="2">
        <v>212901001</v>
      </c>
      <c r="G6033" s="2" t="s">
        <v>121</v>
      </c>
      <c r="L6033" s="2" t="s">
        <v>10551</v>
      </c>
      <c r="M6033" t="s">
        <v>67</v>
      </c>
      <c r="N6033" t="s">
        <v>68</v>
      </c>
      <c r="P6033" s="23">
        <v>114.41</v>
      </c>
      <c r="Q6033" s="4">
        <f t="shared" si="94"/>
        <v>-60.000000000000007</v>
      </c>
      <c r="R6033" s="23" t="s">
        <v>109</v>
      </c>
    </row>
    <row r="6034" spans="1:18" x14ac:dyDescent="0.25">
      <c r="A6034" s="21">
        <v>45849</v>
      </c>
      <c r="B6034" s="1">
        <v>515042534</v>
      </c>
      <c r="C6034" t="s">
        <v>10552</v>
      </c>
      <c r="D6034" s="43">
        <v>-6864.6</v>
      </c>
      <c r="E6034" t="s">
        <v>35</v>
      </c>
      <c r="F6034" s="2">
        <v>212901001</v>
      </c>
      <c r="G6034" s="2" t="s">
        <v>121</v>
      </c>
      <c r="L6034" s="2" t="s">
        <v>10553</v>
      </c>
      <c r="M6034" t="s">
        <v>67</v>
      </c>
      <c r="N6034" t="s">
        <v>68</v>
      </c>
      <c r="P6034" s="23">
        <v>114.41</v>
      </c>
      <c r="Q6034" s="4">
        <f t="shared" si="94"/>
        <v>-60.000000000000007</v>
      </c>
      <c r="R6034" s="23" t="s">
        <v>109</v>
      </c>
    </row>
    <row r="6035" spans="1:18" x14ac:dyDescent="0.25">
      <c r="A6035" s="21">
        <v>45849</v>
      </c>
      <c r="B6035" s="1">
        <v>515042538</v>
      </c>
      <c r="C6035" t="s">
        <v>10554</v>
      </c>
      <c r="D6035" s="43">
        <v>-6864.6</v>
      </c>
      <c r="E6035" t="s">
        <v>35</v>
      </c>
      <c r="F6035" s="2">
        <v>212901001</v>
      </c>
      <c r="G6035" s="2" t="s">
        <v>121</v>
      </c>
      <c r="L6035" s="2" t="s">
        <v>10555</v>
      </c>
      <c r="M6035" t="s">
        <v>67</v>
      </c>
      <c r="N6035" t="s">
        <v>68</v>
      </c>
      <c r="P6035" s="23">
        <v>114.41</v>
      </c>
      <c r="Q6035" s="4">
        <f t="shared" si="94"/>
        <v>-60.000000000000007</v>
      </c>
      <c r="R6035" s="23" t="s">
        <v>109</v>
      </c>
    </row>
    <row r="6036" spans="1:18" x14ac:dyDescent="0.25">
      <c r="A6036" s="21">
        <v>45849</v>
      </c>
      <c r="B6036" s="1">
        <v>515042537</v>
      </c>
      <c r="C6036" t="s">
        <v>10556</v>
      </c>
      <c r="D6036" s="43">
        <v>-6864.6</v>
      </c>
      <c r="E6036" t="s">
        <v>35</v>
      </c>
      <c r="F6036" s="2">
        <v>212901001</v>
      </c>
      <c r="G6036" s="2" t="s">
        <v>121</v>
      </c>
      <c r="L6036" s="2" t="s">
        <v>10557</v>
      </c>
      <c r="M6036" t="s">
        <v>67</v>
      </c>
      <c r="N6036" t="s">
        <v>68</v>
      </c>
      <c r="P6036" s="23">
        <v>114.41</v>
      </c>
      <c r="Q6036" s="4">
        <f t="shared" si="94"/>
        <v>-60.000000000000007</v>
      </c>
      <c r="R6036" s="23" t="s">
        <v>109</v>
      </c>
    </row>
    <row r="6037" spans="1:18" x14ac:dyDescent="0.25">
      <c r="A6037" s="21">
        <v>45849</v>
      </c>
      <c r="B6037" s="1">
        <v>515042533</v>
      </c>
      <c r="C6037" t="s">
        <v>10558</v>
      </c>
      <c r="D6037" s="43">
        <v>-6864.6</v>
      </c>
      <c r="E6037" t="s">
        <v>35</v>
      </c>
      <c r="F6037" s="2">
        <v>212901001</v>
      </c>
      <c r="G6037" s="2" t="s">
        <v>121</v>
      </c>
      <c r="L6037" s="2" t="s">
        <v>10559</v>
      </c>
      <c r="M6037" t="s">
        <v>67</v>
      </c>
      <c r="N6037" t="s">
        <v>68</v>
      </c>
      <c r="P6037" s="23">
        <v>114.41</v>
      </c>
      <c r="Q6037" s="4">
        <f t="shared" si="94"/>
        <v>-60.000000000000007</v>
      </c>
      <c r="R6037" s="23" t="s">
        <v>109</v>
      </c>
    </row>
    <row r="6038" spans="1:18" x14ac:dyDescent="0.25">
      <c r="A6038" s="21">
        <v>45849</v>
      </c>
      <c r="B6038" s="1">
        <v>615042542</v>
      </c>
      <c r="C6038" t="s">
        <v>10560</v>
      </c>
      <c r="D6038" s="43">
        <v>-9152.7999999999993</v>
      </c>
      <c r="E6038" t="s">
        <v>35</v>
      </c>
      <c r="F6038" s="2">
        <v>212901001</v>
      </c>
      <c r="G6038" s="2" t="s">
        <v>121</v>
      </c>
      <c r="L6038" s="2" t="s">
        <v>10561</v>
      </c>
      <c r="M6038" t="s">
        <v>67</v>
      </c>
      <c r="N6038" t="s">
        <v>68</v>
      </c>
      <c r="P6038" s="23">
        <v>114.41</v>
      </c>
      <c r="Q6038" s="4">
        <f t="shared" si="94"/>
        <v>-80</v>
      </c>
      <c r="R6038" s="23" t="s">
        <v>109</v>
      </c>
    </row>
    <row r="6039" spans="1:18" x14ac:dyDescent="0.25">
      <c r="A6039" s="21">
        <v>45849</v>
      </c>
      <c r="B6039" s="1">
        <v>515042539</v>
      </c>
      <c r="C6039" t="s">
        <v>10562</v>
      </c>
      <c r="D6039" s="43">
        <v>-17161.5</v>
      </c>
      <c r="E6039" t="s">
        <v>35</v>
      </c>
      <c r="F6039" s="2">
        <v>212901001</v>
      </c>
      <c r="G6039" s="2" t="s">
        <v>121</v>
      </c>
      <c r="L6039" s="2" t="s">
        <v>10563</v>
      </c>
      <c r="M6039" t="s">
        <v>67</v>
      </c>
      <c r="N6039" t="s">
        <v>68</v>
      </c>
      <c r="P6039" s="23">
        <v>114.41</v>
      </c>
      <c r="Q6039" s="4">
        <f t="shared" si="94"/>
        <v>-150</v>
      </c>
      <c r="R6039" s="23" t="s">
        <v>109</v>
      </c>
    </row>
    <row r="6040" spans="1:18" x14ac:dyDescent="0.25">
      <c r="A6040" s="21">
        <v>45849</v>
      </c>
      <c r="B6040" s="1">
        <v>515042541</v>
      </c>
      <c r="C6040" t="s">
        <v>10564</v>
      </c>
      <c r="D6040" s="43">
        <v>-9152.7999999999993</v>
      </c>
      <c r="E6040" t="s">
        <v>35</v>
      </c>
      <c r="F6040" s="2">
        <v>212901001</v>
      </c>
      <c r="G6040" s="2" t="s">
        <v>121</v>
      </c>
      <c r="L6040" s="2" t="s">
        <v>10565</v>
      </c>
      <c r="M6040" t="s">
        <v>67</v>
      </c>
      <c r="N6040" t="s">
        <v>68</v>
      </c>
      <c r="P6040" s="23">
        <v>114.41</v>
      </c>
      <c r="Q6040" s="4">
        <f t="shared" si="94"/>
        <v>-80</v>
      </c>
      <c r="R6040" s="23" t="s">
        <v>109</v>
      </c>
    </row>
    <row r="6041" spans="1:18" x14ac:dyDescent="0.25">
      <c r="A6041" s="21">
        <v>45849</v>
      </c>
      <c r="B6041" s="1">
        <v>615042544</v>
      </c>
      <c r="C6041" t="s">
        <v>10566</v>
      </c>
      <c r="D6041" s="43">
        <v>-9152.7999999999993</v>
      </c>
      <c r="E6041" t="s">
        <v>35</v>
      </c>
      <c r="F6041" s="2">
        <v>212901001</v>
      </c>
      <c r="G6041" s="2" t="s">
        <v>121</v>
      </c>
      <c r="L6041" s="2" t="s">
        <v>10567</v>
      </c>
      <c r="M6041" t="s">
        <v>67</v>
      </c>
      <c r="N6041" t="s">
        <v>68</v>
      </c>
      <c r="P6041" s="23">
        <v>114.41</v>
      </c>
      <c r="Q6041" s="4">
        <f t="shared" si="94"/>
        <v>-80</v>
      </c>
      <c r="R6041" s="23" t="s">
        <v>109</v>
      </c>
    </row>
    <row r="6042" spans="1:18" x14ac:dyDescent="0.25">
      <c r="A6042" s="21">
        <v>45849</v>
      </c>
      <c r="B6042" s="1">
        <v>515042540</v>
      </c>
      <c r="C6042" t="s">
        <v>10568</v>
      </c>
      <c r="D6042" s="43">
        <v>-11441</v>
      </c>
      <c r="E6042" t="s">
        <v>35</v>
      </c>
      <c r="F6042" s="2">
        <v>212901001</v>
      </c>
      <c r="G6042" s="2" t="s">
        <v>121</v>
      </c>
      <c r="L6042" s="2" t="s">
        <v>10569</v>
      </c>
      <c r="M6042" t="s">
        <v>67</v>
      </c>
      <c r="N6042" t="s">
        <v>68</v>
      </c>
      <c r="P6042" s="23">
        <v>114.41</v>
      </c>
      <c r="Q6042" s="4">
        <f t="shared" si="94"/>
        <v>-100</v>
      </c>
      <c r="R6042" s="23" t="s">
        <v>109</v>
      </c>
    </row>
    <row r="6043" spans="1:18" x14ac:dyDescent="0.25">
      <c r="A6043" s="21">
        <v>45849</v>
      </c>
      <c r="B6043" s="1">
        <v>615042545</v>
      </c>
      <c r="C6043" t="s">
        <v>10570</v>
      </c>
      <c r="D6043" s="43">
        <v>-9152.7999999999993</v>
      </c>
      <c r="E6043" t="s">
        <v>35</v>
      </c>
      <c r="F6043" s="2">
        <v>212901001</v>
      </c>
      <c r="G6043" s="2" t="s">
        <v>121</v>
      </c>
      <c r="L6043" s="2" t="s">
        <v>10571</v>
      </c>
      <c r="M6043" t="s">
        <v>67</v>
      </c>
      <c r="N6043" t="s">
        <v>68</v>
      </c>
      <c r="P6043" s="23">
        <v>114.41</v>
      </c>
      <c r="Q6043" s="4">
        <f t="shared" si="94"/>
        <v>-80</v>
      </c>
      <c r="R6043" s="23" t="s">
        <v>109</v>
      </c>
    </row>
    <row r="6044" spans="1:18" x14ac:dyDescent="0.25">
      <c r="A6044" s="21">
        <v>45849</v>
      </c>
      <c r="B6044" s="1">
        <v>615042546</v>
      </c>
      <c r="C6044" t="s">
        <v>10572</v>
      </c>
      <c r="D6044" s="43">
        <v>-9152.7999999999993</v>
      </c>
      <c r="E6044" t="s">
        <v>35</v>
      </c>
      <c r="F6044" s="2">
        <v>212901001</v>
      </c>
      <c r="G6044" s="2" t="s">
        <v>121</v>
      </c>
      <c r="L6044" s="2" t="s">
        <v>10573</v>
      </c>
      <c r="M6044" t="s">
        <v>67</v>
      </c>
      <c r="N6044" t="s">
        <v>68</v>
      </c>
      <c r="P6044" s="23">
        <v>114.41</v>
      </c>
      <c r="Q6044" s="4">
        <f t="shared" si="94"/>
        <v>-80</v>
      </c>
      <c r="R6044" s="23" t="s">
        <v>109</v>
      </c>
    </row>
    <row r="6045" spans="1:18" x14ac:dyDescent="0.25">
      <c r="A6045" s="21">
        <v>45849</v>
      </c>
      <c r="B6045" s="1">
        <v>615042547</v>
      </c>
      <c r="C6045" t="s">
        <v>10574</v>
      </c>
      <c r="D6045" s="43">
        <v>-5720.5</v>
      </c>
      <c r="E6045" t="s">
        <v>35</v>
      </c>
      <c r="F6045" s="2">
        <v>212901001</v>
      </c>
      <c r="G6045" s="2" t="s">
        <v>121</v>
      </c>
      <c r="L6045" s="2" t="s">
        <v>10575</v>
      </c>
      <c r="M6045" t="s">
        <v>67</v>
      </c>
      <c r="N6045" t="s">
        <v>68</v>
      </c>
      <c r="P6045" s="23">
        <v>114.41</v>
      </c>
      <c r="Q6045" s="4">
        <f t="shared" si="94"/>
        <v>-50</v>
      </c>
      <c r="R6045" s="23" t="s">
        <v>109</v>
      </c>
    </row>
    <row r="6046" spans="1:18" x14ac:dyDescent="0.25">
      <c r="A6046" s="21">
        <v>45849</v>
      </c>
      <c r="B6046" s="1">
        <v>715042553</v>
      </c>
      <c r="C6046" t="s">
        <v>10576</v>
      </c>
      <c r="D6046" s="43">
        <v>-5720.5</v>
      </c>
      <c r="E6046" t="s">
        <v>35</v>
      </c>
      <c r="F6046" s="2">
        <v>212901001</v>
      </c>
      <c r="G6046" s="2" t="s">
        <v>121</v>
      </c>
      <c r="L6046" s="2" t="s">
        <v>10577</v>
      </c>
      <c r="M6046" t="s">
        <v>67</v>
      </c>
      <c r="N6046" t="s">
        <v>68</v>
      </c>
      <c r="P6046" s="23">
        <v>114.41</v>
      </c>
      <c r="Q6046" s="4">
        <f t="shared" si="94"/>
        <v>-50</v>
      </c>
      <c r="R6046" s="23" t="s">
        <v>109</v>
      </c>
    </row>
    <row r="6047" spans="1:18" x14ac:dyDescent="0.25">
      <c r="A6047" s="21">
        <v>45849</v>
      </c>
      <c r="B6047" s="1">
        <v>615042548</v>
      </c>
      <c r="C6047" t="s">
        <v>10578</v>
      </c>
      <c r="D6047" s="43">
        <v>-4805.22</v>
      </c>
      <c r="E6047" t="s">
        <v>35</v>
      </c>
      <c r="F6047" s="2">
        <v>212901001</v>
      </c>
      <c r="G6047" s="2" t="s">
        <v>121</v>
      </c>
      <c r="L6047" s="2" t="s">
        <v>10579</v>
      </c>
      <c r="M6047" t="s">
        <v>67</v>
      </c>
      <c r="N6047" t="s">
        <v>68</v>
      </c>
      <c r="P6047" s="23">
        <v>114.41</v>
      </c>
      <c r="Q6047" s="4">
        <f t="shared" si="94"/>
        <v>-42</v>
      </c>
      <c r="R6047" s="23" t="s">
        <v>109</v>
      </c>
    </row>
    <row r="6048" spans="1:18" x14ac:dyDescent="0.25">
      <c r="A6048" s="21">
        <v>45849</v>
      </c>
      <c r="B6048" s="1">
        <v>715042552</v>
      </c>
      <c r="C6048" t="s">
        <v>10580</v>
      </c>
      <c r="D6048" s="43">
        <v>-5720.5</v>
      </c>
      <c r="E6048" t="s">
        <v>35</v>
      </c>
      <c r="F6048" s="2">
        <v>212901001</v>
      </c>
      <c r="G6048" s="2" t="s">
        <v>121</v>
      </c>
      <c r="L6048" s="2" t="s">
        <v>10581</v>
      </c>
      <c r="M6048" t="s">
        <v>67</v>
      </c>
      <c r="N6048" t="s">
        <v>68</v>
      </c>
      <c r="P6048" s="23">
        <v>114.41</v>
      </c>
      <c r="Q6048" s="4">
        <f t="shared" si="94"/>
        <v>-50</v>
      </c>
      <c r="R6048" s="23" t="s">
        <v>109</v>
      </c>
    </row>
    <row r="6049" spans="1:18" x14ac:dyDescent="0.25">
      <c r="A6049" s="21">
        <v>45849</v>
      </c>
      <c r="B6049" s="1">
        <v>715042555</v>
      </c>
      <c r="C6049" t="s">
        <v>10582</v>
      </c>
      <c r="D6049" s="43">
        <v>-4576.3999999999996</v>
      </c>
      <c r="E6049" t="s">
        <v>35</v>
      </c>
      <c r="F6049" s="2">
        <v>212901001</v>
      </c>
      <c r="G6049" s="2" t="s">
        <v>121</v>
      </c>
      <c r="L6049" s="2" t="s">
        <v>10583</v>
      </c>
      <c r="M6049" t="s">
        <v>67</v>
      </c>
      <c r="N6049" t="s">
        <v>68</v>
      </c>
      <c r="P6049" s="23">
        <v>114.41</v>
      </c>
      <c r="Q6049" s="4">
        <f t="shared" si="94"/>
        <v>-40</v>
      </c>
      <c r="R6049" s="23" t="s">
        <v>109</v>
      </c>
    </row>
    <row r="6050" spans="1:18" x14ac:dyDescent="0.25">
      <c r="A6050" s="21">
        <v>45849</v>
      </c>
      <c r="B6050" s="1">
        <v>715042557</v>
      </c>
      <c r="C6050" t="s">
        <v>10584</v>
      </c>
      <c r="D6050" s="43">
        <v>-4576.3999999999996</v>
      </c>
      <c r="E6050" t="s">
        <v>35</v>
      </c>
      <c r="F6050" s="2">
        <v>212901001</v>
      </c>
      <c r="G6050" s="2" t="s">
        <v>121</v>
      </c>
      <c r="L6050" s="2" t="s">
        <v>10585</v>
      </c>
      <c r="M6050" t="s">
        <v>67</v>
      </c>
      <c r="N6050" t="s">
        <v>68</v>
      </c>
      <c r="P6050" s="23">
        <v>114.41</v>
      </c>
      <c r="Q6050" s="4">
        <f t="shared" si="94"/>
        <v>-40</v>
      </c>
      <c r="R6050" s="23" t="s">
        <v>109</v>
      </c>
    </row>
    <row r="6051" spans="1:18" x14ac:dyDescent="0.25">
      <c r="A6051" s="21">
        <v>45849</v>
      </c>
      <c r="B6051" s="1">
        <v>715042556</v>
      </c>
      <c r="C6051" t="s">
        <v>10586</v>
      </c>
      <c r="D6051" s="43">
        <v>-4576.3999999999996</v>
      </c>
      <c r="E6051" t="s">
        <v>35</v>
      </c>
      <c r="F6051" s="2">
        <v>212901001</v>
      </c>
      <c r="G6051" s="2" t="s">
        <v>121</v>
      </c>
      <c r="L6051" s="2" t="s">
        <v>10587</v>
      </c>
      <c r="M6051" t="s">
        <v>67</v>
      </c>
      <c r="N6051" t="s">
        <v>68</v>
      </c>
      <c r="P6051" s="23">
        <v>114.41</v>
      </c>
      <c r="Q6051" s="4">
        <f t="shared" si="94"/>
        <v>-40</v>
      </c>
      <c r="R6051" s="23" t="s">
        <v>109</v>
      </c>
    </row>
    <row r="6052" spans="1:18" x14ac:dyDescent="0.25">
      <c r="A6052" s="21">
        <v>45849</v>
      </c>
      <c r="B6052" s="1">
        <v>415042530</v>
      </c>
      <c r="C6052" t="s">
        <v>10588</v>
      </c>
      <c r="D6052" s="43">
        <v>-6864.6</v>
      </c>
      <c r="E6052" t="s">
        <v>35</v>
      </c>
      <c r="F6052" s="2">
        <v>212901001</v>
      </c>
      <c r="G6052" s="2" t="s">
        <v>121</v>
      </c>
      <c r="L6052" s="2" t="s">
        <v>10589</v>
      </c>
      <c r="M6052" t="s">
        <v>67</v>
      </c>
      <c r="N6052" t="s">
        <v>68</v>
      </c>
      <c r="P6052" s="23">
        <v>114.41</v>
      </c>
      <c r="Q6052" s="4">
        <f t="shared" si="94"/>
        <v>-60.000000000000007</v>
      </c>
      <c r="R6052" s="23" t="s">
        <v>109</v>
      </c>
    </row>
    <row r="6053" spans="1:18" x14ac:dyDescent="0.25">
      <c r="A6053" s="21">
        <v>45849</v>
      </c>
      <c r="B6053" s="1">
        <v>415042531</v>
      </c>
      <c r="C6053" t="s">
        <v>10590</v>
      </c>
      <c r="D6053" s="43">
        <v>-6864.6</v>
      </c>
      <c r="E6053" t="s">
        <v>35</v>
      </c>
      <c r="F6053" s="2">
        <v>212901001</v>
      </c>
      <c r="G6053" s="2" t="s">
        <v>121</v>
      </c>
      <c r="L6053" s="2" t="s">
        <v>10591</v>
      </c>
      <c r="M6053" t="s">
        <v>67</v>
      </c>
      <c r="N6053" t="s">
        <v>68</v>
      </c>
      <c r="P6053" s="23">
        <v>114.41</v>
      </c>
      <c r="Q6053" s="4">
        <f t="shared" si="94"/>
        <v>-60.000000000000007</v>
      </c>
      <c r="R6053" s="23" t="s">
        <v>109</v>
      </c>
    </row>
    <row r="6054" spans="1:18" x14ac:dyDescent="0.25">
      <c r="A6054" s="21">
        <v>45849</v>
      </c>
      <c r="B6054" s="1">
        <v>815042562</v>
      </c>
      <c r="C6054" t="s">
        <v>10592</v>
      </c>
      <c r="D6054" s="43">
        <v>-11441</v>
      </c>
      <c r="E6054" t="s">
        <v>35</v>
      </c>
      <c r="F6054" s="2">
        <v>212901001</v>
      </c>
      <c r="G6054" s="2" t="s">
        <v>121</v>
      </c>
      <c r="L6054" s="2" t="s">
        <v>10593</v>
      </c>
      <c r="M6054" t="s">
        <v>67</v>
      </c>
      <c r="N6054" t="s">
        <v>68</v>
      </c>
      <c r="P6054" s="23">
        <v>114.41</v>
      </c>
      <c r="Q6054" s="4">
        <f t="shared" si="94"/>
        <v>-100</v>
      </c>
      <c r="R6054" s="23" t="s">
        <v>109</v>
      </c>
    </row>
    <row r="6055" spans="1:18" x14ac:dyDescent="0.25">
      <c r="A6055" s="21">
        <v>45849</v>
      </c>
      <c r="B6055" s="1">
        <v>815042563</v>
      </c>
      <c r="C6055" t="s">
        <v>10594</v>
      </c>
      <c r="D6055" s="43">
        <v>-17161.5</v>
      </c>
      <c r="E6055" t="s">
        <v>35</v>
      </c>
      <c r="F6055" s="2">
        <v>212901001</v>
      </c>
      <c r="G6055" s="2" t="s">
        <v>121</v>
      </c>
      <c r="L6055" s="2" t="s">
        <v>10595</v>
      </c>
      <c r="M6055" t="s">
        <v>67</v>
      </c>
      <c r="N6055" t="s">
        <v>68</v>
      </c>
      <c r="P6055" s="23">
        <v>114.41</v>
      </c>
      <c r="Q6055" s="4">
        <f t="shared" si="94"/>
        <v>-150</v>
      </c>
      <c r="R6055" s="23" t="s">
        <v>109</v>
      </c>
    </row>
    <row r="6056" spans="1:18" x14ac:dyDescent="0.25">
      <c r="A6056" s="21">
        <v>45849</v>
      </c>
      <c r="B6056" s="1">
        <v>815042566</v>
      </c>
      <c r="C6056" t="s">
        <v>10596</v>
      </c>
      <c r="D6056" s="43">
        <v>-11441</v>
      </c>
      <c r="E6056" t="s">
        <v>35</v>
      </c>
      <c r="F6056" s="2">
        <v>212901001</v>
      </c>
      <c r="G6056" s="2" t="s">
        <v>121</v>
      </c>
      <c r="L6056" s="2" t="s">
        <v>10597</v>
      </c>
      <c r="M6056" t="s">
        <v>67</v>
      </c>
      <c r="N6056" t="s">
        <v>68</v>
      </c>
      <c r="P6056" s="23">
        <v>114.41</v>
      </c>
      <c r="Q6056" s="4">
        <f t="shared" si="94"/>
        <v>-100</v>
      </c>
      <c r="R6056" s="23" t="s">
        <v>109</v>
      </c>
    </row>
    <row r="6057" spans="1:18" x14ac:dyDescent="0.25">
      <c r="A6057" s="21">
        <v>45849</v>
      </c>
      <c r="B6057" s="1">
        <v>815042569</v>
      </c>
      <c r="C6057" t="s">
        <v>10598</v>
      </c>
      <c r="D6057" s="43">
        <v>-8008.7</v>
      </c>
      <c r="E6057" t="s">
        <v>35</v>
      </c>
      <c r="F6057" s="2">
        <v>212901001</v>
      </c>
      <c r="G6057" s="2" t="s">
        <v>121</v>
      </c>
      <c r="L6057" s="2" t="s">
        <v>10599</v>
      </c>
      <c r="M6057" t="s">
        <v>67</v>
      </c>
      <c r="N6057" t="s">
        <v>68</v>
      </c>
      <c r="P6057" s="23">
        <v>114.41</v>
      </c>
      <c r="Q6057" s="4">
        <f t="shared" si="94"/>
        <v>-70</v>
      </c>
      <c r="R6057" s="23" t="s">
        <v>109</v>
      </c>
    </row>
    <row r="6058" spans="1:18" x14ac:dyDescent="0.25">
      <c r="A6058" s="21">
        <v>45849</v>
      </c>
      <c r="B6058" s="1">
        <v>915042572</v>
      </c>
      <c r="C6058" t="s">
        <v>10600</v>
      </c>
      <c r="D6058" s="43">
        <v>-8008.7</v>
      </c>
      <c r="E6058" t="s">
        <v>35</v>
      </c>
      <c r="F6058" s="2">
        <v>212901001</v>
      </c>
      <c r="G6058" s="2" t="s">
        <v>121</v>
      </c>
      <c r="L6058" s="2" t="s">
        <v>10601</v>
      </c>
      <c r="M6058" t="s">
        <v>67</v>
      </c>
      <c r="N6058" t="s">
        <v>68</v>
      </c>
      <c r="P6058" s="23">
        <v>114.41</v>
      </c>
      <c r="Q6058" s="4">
        <f t="shared" si="94"/>
        <v>-70</v>
      </c>
      <c r="R6058" s="23" t="s">
        <v>109</v>
      </c>
    </row>
    <row r="6059" spans="1:18" x14ac:dyDescent="0.25">
      <c r="A6059" s="21">
        <v>45849</v>
      </c>
      <c r="B6059" s="1">
        <v>915042574</v>
      </c>
      <c r="C6059" t="s">
        <v>10602</v>
      </c>
      <c r="D6059" s="43">
        <v>-5720.5</v>
      </c>
      <c r="E6059" t="s">
        <v>35</v>
      </c>
      <c r="F6059" s="2">
        <v>212901001</v>
      </c>
      <c r="G6059" s="2" t="s">
        <v>121</v>
      </c>
      <c r="L6059" s="2" t="s">
        <v>10603</v>
      </c>
      <c r="M6059" t="s">
        <v>67</v>
      </c>
      <c r="N6059" t="s">
        <v>68</v>
      </c>
      <c r="P6059" s="23">
        <v>114.41</v>
      </c>
      <c r="Q6059" s="4">
        <f t="shared" si="94"/>
        <v>-50</v>
      </c>
      <c r="R6059" s="23" t="s">
        <v>109</v>
      </c>
    </row>
    <row r="6060" spans="1:18" x14ac:dyDescent="0.25">
      <c r="A6060" s="21">
        <v>45849</v>
      </c>
      <c r="B6060" s="1">
        <v>915042575</v>
      </c>
      <c r="C6060" t="s">
        <v>10604</v>
      </c>
      <c r="D6060" s="43">
        <v>-5720.5</v>
      </c>
      <c r="E6060" t="s">
        <v>35</v>
      </c>
      <c r="F6060" s="2">
        <v>212901001</v>
      </c>
      <c r="G6060" s="2" t="s">
        <v>121</v>
      </c>
      <c r="L6060" s="2" t="s">
        <v>10605</v>
      </c>
      <c r="M6060" t="s">
        <v>67</v>
      </c>
      <c r="N6060" t="s">
        <v>68</v>
      </c>
      <c r="P6060" s="23">
        <v>114.41</v>
      </c>
      <c r="Q6060" s="4">
        <f t="shared" si="94"/>
        <v>-50</v>
      </c>
      <c r="R6060" s="23" t="s">
        <v>109</v>
      </c>
    </row>
    <row r="6061" spans="1:18" x14ac:dyDescent="0.25">
      <c r="A6061" s="21">
        <v>45849</v>
      </c>
      <c r="B6061" s="1">
        <v>915042578</v>
      </c>
      <c r="C6061" t="s">
        <v>10606</v>
      </c>
      <c r="D6061" s="43">
        <v>-5720.5</v>
      </c>
      <c r="E6061" t="s">
        <v>35</v>
      </c>
      <c r="F6061" s="2">
        <v>212901001</v>
      </c>
      <c r="G6061" s="2" t="s">
        <v>121</v>
      </c>
      <c r="L6061" s="2" t="s">
        <v>10607</v>
      </c>
      <c r="M6061" t="s">
        <v>67</v>
      </c>
      <c r="N6061" t="s">
        <v>68</v>
      </c>
      <c r="P6061" s="23">
        <v>114.41</v>
      </c>
      <c r="Q6061" s="4">
        <f t="shared" si="94"/>
        <v>-50</v>
      </c>
      <c r="R6061" s="23" t="s">
        <v>109</v>
      </c>
    </row>
    <row r="6062" spans="1:18" x14ac:dyDescent="0.25">
      <c r="A6062" s="21">
        <v>45849</v>
      </c>
      <c r="B6062" s="1">
        <v>915042576</v>
      </c>
      <c r="C6062" t="s">
        <v>10608</v>
      </c>
      <c r="D6062" s="43">
        <v>-5720.5</v>
      </c>
      <c r="E6062" t="s">
        <v>35</v>
      </c>
      <c r="F6062" s="2">
        <v>212901001</v>
      </c>
      <c r="G6062" s="2" t="s">
        <v>121</v>
      </c>
      <c r="L6062" s="2" t="s">
        <v>10609</v>
      </c>
      <c r="M6062" t="s">
        <v>67</v>
      </c>
      <c r="N6062" t="s">
        <v>68</v>
      </c>
      <c r="P6062" s="23">
        <v>114.41</v>
      </c>
      <c r="Q6062" s="4">
        <f t="shared" si="94"/>
        <v>-50</v>
      </c>
      <c r="R6062" s="23" t="s">
        <v>109</v>
      </c>
    </row>
    <row r="6063" spans="1:18" x14ac:dyDescent="0.25">
      <c r="A6063" s="21">
        <v>45849</v>
      </c>
      <c r="B6063" s="1">
        <v>15042582</v>
      </c>
      <c r="C6063" t="s">
        <v>10610</v>
      </c>
      <c r="D6063" s="43">
        <v>-5720.5</v>
      </c>
      <c r="E6063" t="s">
        <v>35</v>
      </c>
      <c r="F6063" s="2">
        <v>212901001</v>
      </c>
      <c r="G6063" s="2" t="s">
        <v>121</v>
      </c>
      <c r="L6063" s="2" t="s">
        <v>10611</v>
      </c>
      <c r="M6063" t="s">
        <v>67</v>
      </c>
      <c r="N6063" t="s">
        <v>68</v>
      </c>
      <c r="P6063" s="23">
        <v>114.41</v>
      </c>
      <c r="Q6063" s="4">
        <f t="shared" si="94"/>
        <v>-50</v>
      </c>
      <c r="R6063" s="23" t="s">
        <v>109</v>
      </c>
    </row>
    <row r="6064" spans="1:18" x14ac:dyDescent="0.25">
      <c r="A6064" s="21">
        <v>45849</v>
      </c>
      <c r="B6064" s="1">
        <v>15042580</v>
      </c>
      <c r="C6064" t="s">
        <v>10612</v>
      </c>
      <c r="D6064" s="43">
        <v>-5720.5</v>
      </c>
      <c r="E6064" t="s">
        <v>35</v>
      </c>
      <c r="F6064" s="2">
        <v>212901001</v>
      </c>
      <c r="G6064" s="2" t="s">
        <v>121</v>
      </c>
      <c r="L6064" s="2" t="s">
        <v>10613</v>
      </c>
      <c r="M6064" t="s">
        <v>67</v>
      </c>
      <c r="N6064" t="s">
        <v>68</v>
      </c>
      <c r="P6064" s="23">
        <v>114.41</v>
      </c>
      <c r="Q6064" s="4">
        <f t="shared" si="94"/>
        <v>-50</v>
      </c>
      <c r="R6064" s="23" t="s">
        <v>109</v>
      </c>
    </row>
    <row r="6065" spans="1:18" x14ac:dyDescent="0.25">
      <c r="A6065" s="21">
        <v>45849</v>
      </c>
      <c r="B6065" s="1">
        <v>15042585</v>
      </c>
      <c r="C6065" t="s">
        <v>10614</v>
      </c>
      <c r="D6065" s="43">
        <v>-5720.5</v>
      </c>
      <c r="E6065" t="s">
        <v>35</v>
      </c>
      <c r="F6065" s="2">
        <v>212901001</v>
      </c>
      <c r="G6065" s="2" t="s">
        <v>121</v>
      </c>
      <c r="L6065" s="2" t="s">
        <v>10615</v>
      </c>
      <c r="M6065" t="s">
        <v>67</v>
      </c>
      <c r="N6065" t="s">
        <v>68</v>
      </c>
      <c r="P6065" s="23">
        <v>114.41</v>
      </c>
      <c r="Q6065" s="4">
        <f t="shared" si="94"/>
        <v>-50</v>
      </c>
      <c r="R6065" s="23" t="s">
        <v>109</v>
      </c>
    </row>
    <row r="6066" spans="1:18" x14ac:dyDescent="0.25">
      <c r="A6066" s="21">
        <v>45849</v>
      </c>
      <c r="B6066" s="1">
        <v>15042584</v>
      </c>
      <c r="C6066" t="s">
        <v>10616</v>
      </c>
      <c r="D6066" s="43">
        <v>-5720.5</v>
      </c>
      <c r="E6066" t="s">
        <v>35</v>
      </c>
      <c r="F6066" s="2">
        <v>212901001</v>
      </c>
      <c r="G6066" s="2" t="s">
        <v>121</v>
      </c>
      <c r="L6066" s="2" t="s">
        <v>10617</v>
      </c>
      <c r="M6066" t="s">
        <v>67</v>
      </c>
      <c r="N6066" t="s">
        <v>68</v>
      </c>
      <c r="P6066" s="23">
        <v>114.41</v>
      </c>
      <c r="Q6066" s="4">
        <f t="shared" si="94"/>
        <v>-50</v>
      </c>
      <c r="R6066" s="23" t="s">
        <v>109</v>
      </c>
    </row>
    <row r="6067" spans="1:18" x14ac:dyDescent="0.25">
      <c r="A6067" s="21">
        <v>45849</v>
      </c>
      <c r="B6067" s="1">
        <v>115042589</v>
      </c>
      <c r="C6067" t="s">
        <v>10618</v>
      </c>
      <c r="D6067" s="43">
        <v>-2288.1999999999998</v>
      </c>
      <c r="E6067" t="s">
        <v>35</v>
      </c>
      <c r="F6067" s="2">
        <v>212901001</v>
      </c>
      <c r="G6067" s="2" t="s">
        <v>121</v>
      </c>
      <c r="L6067" s="2" t="s">
        <v>10619</v>
      </c>
      <c r="M6067" t="s">
        <v>67</v>
      </c>
      <c r="N6067" t="s">
        <v>68</v>
      </c>
      <c r="P6067" s="23">
        <v>114.41</v>
      </c>
      <c r="Q6067" s="4">
        <f t="shared" si="94"/>
        <v>-20</v>
      </c>
      <c r="R6067" s="23" t="s">
        <v>109</v>
      </c>
    </row>
    <row r="6068" spans="1:18" x14ac:dyDescent="0.25">
      <c r="A6068" s="21">
        <v>45849</v>
      </c>
      <c r="B6068" s="1">
        <v>15042586</v>
      </c>
      <c r="C6068" t="s">
        <v>10620</v>
      </c>
      <c r="D6068" s="43">
        <v>-5720.5</v>
      </c>
      <c r="E6068" t="s">
        <v>35</v>
      </c>
      <c r="F6068" s="2">
        <v>212901001</v>
      </c>
      <c r="G6068" s="2" t="s">
        <v>121</v>
      </c>
      <c r="L6068" s="2" t="s">
        <v>10621</v>
      </c>
      <c r="M6068" t="s">
        <v>67</v>
      </c>
      <c r="N6068" t="s">
        <v>68</v>
      </c>
      <c r="P6068" s="23">
        <v>114.41</v>
      </c>
      <c r="Q6068" s="4">
        <f t="shared" si="94"/>
        <v>-50</v>
      </c>
      <c r="R6068" s="23" t="s">
        <v>109</v>
      </c>
    </row>
    <row r="6069" spans="1:18" x14ac:dyDescent="0.25">
      <c r="A6069" s="21">
        <v>45849</v>
      </c>
      <c r="B6069" s="1">
        <v>115042592</v>
      </c>
      <c r="C6069" t="s">
        <v>10622</v>
      </c>
      <c r="D6069" s="43">
        <v>-22882</v>
      </c>
      <c r="E6069" t="s">
        <v>35</v>
      </c>
      <c r="F6069" s="2">
        <v>212901001</v>
      </c>
      <c r="G6069" s="2" t="s">
        <v>121</v>
      </c>
      <c r="L6069" s="2" t="s">
        <v>10623</v>
      </c>
      <c r="M6069" t="s">
        <v>67</v>
      </c>
      <c r="N6069" t="s">
        <v>68</v>
      </c>
      <c r="P6069" s="23">
        <v>114.41</v>
      </c>
      <c r="Q6069" s="4">
        <f t="shared" si="94"/>
        <v>-200</v>
      </c>
      <c r="R6069" s="23" t="s">
        <v>109</v>
      </c>
    </row>
    <row r="6070" spans="1:18" x14ac:dyDescent="0.25">
      <c r="A6070" s="21">
        <v>45849</v>
      </c>
      <c r="B6070" s="1">
        <v>115042590</v>
      </c>
      <c r="C6070" t="s">
        <v>10624</v>
      </c>
      <c r="D6070" s="43">
        <v>-2288.1999999999998</v>
      </c>
      <c r="E6070" t="s">
        <v>35</v>
      </c>
      <c r="F6070" s="2">
        <v>212901001</v>
      </c>
      <c r="G6070" s="2" t="s">
        <v>121</v>
      </c>
      <c r="L6070" s="2" t="s">
        <v>10625</v>
      </c>
      <c r="M6070" t="s">
        <v>67</v>
      </c>
      <c r="N6070" t="s">
        <v>68</v>
      </c>
      <c r="P6070" s="23">
        <v>114.41</v>
      </c>
      <c r="Q6070" s="4">
        <f t="shared" si="94"/>
        <v>-20</v>
      </c>
      <c r="R6070" s="23" t="s">
        <v>109</v>
      </c>
    </row>
    <row r="6071" spans="1:18" x14ac:dyDescent="0.25">
      <c r="A6071" s="21">
        <v>45849</v>
      </c>
      <c r="B6071" s="1">
        <v>115042591</v>
      </c>
      <c r="C6071" t="s">
        <v>10626</v>
      </c>
      <c r="D6071" s="43">
        <v>-11441</v>
      </c>
      <c r="E6071" t="s">
        <v>35</v>
      </c>
      <c r="F6071" s="2">
        <v>212901001</v>
      </c>
      <c r="G6071" s="2" t="s">
        <v>121</v>
      </c>
      <c r="L6071" s="2" t="s">
        <v>10627</v>
      </c>
      <c r="M6071" t="s">
        <v>67</v>
      </c>
      <c r="N6071" t="s">
        <v>68</v>
      </c>
      <c r="P6071" s="23">
        <v>114.41</v>
      </c>
      <c r="Q6071" s="4">
        <f t="shared" si="94"/>
        <v>-100</v>
      </c>
      <c r="R6071" s="23" t="s">
        <v>109</v>
      </c>
    </row>
    <row r="6072" spans="1:18" x14ac:dyDescent="0.25">
      <c r="A6072" s="21">
        <v>45849</v>
      </c>
      <c r="B6072" s="1">
        <v>115042594</v>
      </c>
      <c r="C6072" t="s">
        <v>10628</v>
      </c>
      <c r="D6072" s="43">
        <v>-3432.3</v>
      </c>
      <c r="E6072" t="s">
        <v>35</v>
      </c>
      <c r="F6072" s="2">
        <v>212901001</v>
      </c>
      <c r="G6072" s="2" t="s">
        <v>121</v>
      </c>
      <c r="L6072" s="2" t="s">
        <v>10629</v>
      </c>
      <c r="M6072" t="s">
        <v>67</v>
      </c>
      <c r="N6072" t="s">
        <v>68</v>
      </c>
      <c r="P6072" s="23">
        <v>114.41</v>
      </c>
      <c r="Q6072" s="4">
        <f t="shared" si="94"/>
        <v>-30.000000000000004</v>
      </c>
      <c r="R6072" s="23" t="s">
        <v>109</v>
      </c>
    </row>
    <row r="6073" spans="1:18" x14ac:dyDescent="0.25">
      <c r="A6073" s="21">
        <v>45849</v>
      </c>
      <c r="B6073" s="1">
        <v>115042593</v>
      </c>
      <c r="C6073" t="s">
        <v>10630</v>
      </c>
      <c r="D6073" s="43">
        <v>-13843.61</v>
      </c>
      <c r="E6073" t="s">
        <v>35</v>
      </c>
      <c r="F6073" s="2">
        <v>212901001</v>
      </c>
      <c r="G6073" s="2" t="s">
        <v>121</v>
      </c>
      <c r="L6073" s="2" t="s">
        <v>10631</v>
      </c>
      <c r="M6073" t="s">
        <v>67</v>
      </c>
      <c r="N6073" t="s">
        <v>68</v>
      </c>
      <c r="P6073" s="23">
        <v>114.41</v>
      </c>
      <c r="Q6073" s="4">
        <f t="shared" si="94"/>
        <v>-121.00000000000001</v>
      </c>
      <c r="R6073" s="23" t="s">
        <v>109</v>
      </c>
    </row>
    <row r="6074" spans="1:18" x14ac:dyDescent="0.25">
      <c r="A6074" s="21">
        <v>45849</v>
      </c>
      <c r="B6074" s="1">
        <v>115042595</v>
      </c>
      <c r="C6074" t="s">
        <v>10632</v>
      </c>
      <c r="D6074" s="43">
        <v>-4576.3999999999996</v>
      </c>
      <c r="E6074" t="s">
        <v>35</v>
      </c>
      <c r="F6074" s="2">
        <v>212901001</v>
      </c>
      <c r="G6074" s="2" t="s">
        <v>121</v>
      </c>
      <c r="L6074" s="2" t="s">
        <v>10633</v>
      </c>
      <c r="M6074" t="s">
        <v>67</v>
      </c>
      <c r="N6074" t="s">
        <v>68</v>
      </c>
      <c r="P6074" s="23">
        <v>114.41</v>
      </c>
      <c r="Q6074" s="4">
        <f t="shared" si="94"/>
        <v>-40</v>
      </c>
      <c r="R6074" s="23" t="s">
        <v>109</v>
      </c>
    </row>
    <row r="6075" spans="1:18" x14ac:dyDescent="0.25">
      <c r="A6075" s="21">
        <v>45849</v>
      </c>
      <c r="B6075" s="1">
        <v>815042568</v>
      </c>
      <c r="C6075" t="s">
        <v>10616</v>
      </c>
      <c r="D6075" s="43">
        <v>-8008.7</v>
      </c>
      <c r="E6075" t="s">
        <v>35</v>
      </c>
      <c r="F6075" s="2">
        <v>212901001</v>
      </c>
      <c r="G6075" s="2" t="s">
        <v>121</v>
      </c>
      <c r="L6075" s="2" t="s">
        <v>10634</v>
      </c>
      <c r="M6075" t="s">
        <v>67</v>
      </c>
      <c r="N6075" t="s">
        <v>68</v>
      </c>
      <c r="P6075" s="23">
        <v>114.41</v>
      </c>
      <c r="Q6075" s="4">
        <f t="shared" si="94"/>
        <v>-70</v>
      </c>
      <c r="R6075" s="23" t="s">
        <v>109</v>
      </c>
    </row>
    <row r="6076" spans="1:18" x14ac:dyDescent="0.25">
      <c r="A6076" s="21">
        <v>45849</v>
      </c>
      <c r="B6076" s="1">
        <v>815042565</v>
      </c>
      <c r="C6076" t="s">
        <v>10635</v>
      </c>
      <c r="D6076" s="43">
        <v>-9152.7999999999993</v>
      </c>
      <c r="E6076" t="s">
        <v>35</v>
      </c>
      <c r="F6076" s="2">
        <v>212901001</v>
      </c>
      <c r="G6076" s="2" t="s">
        <v>121</v>
      </c>
      <c r="L6076" s="2" t="s">
        <v>10636</v>
      </c>
      <c r="M6076" t="s">
        <v>67</v>
      </c>
      <c r="N6076" t="s">
        <v>68</v>
      </c>
      <c r="P6076" s="23">
        <v>114.41</v>
      </c>
      <c r="Q6076" s="4">
        <f t="shared" si="94"/>
        <v>-80</v>
      </c>
      <c r="R6076" s="23" t="s">
        <v>109</v>
      </c>
    </row>
    <row r="6077" spans="1:18" x14ac:dyDescent="0.25">
      <c r="A6077" s="21">
        <v>45849</v>
      </c>
      <c r="B6077" s="1">
        <v>715042559</v>
      </c>
      <c r="C6077" t="s">
        <v>10637</v>
      </c>
      <c r="D6077" s="43">
        <v>-4576.3999999999996</v>
      </c>
      <c r="E6077" t="s">
        <v>35</v>
      </c>
      <c r="F6077" s="2">
        <v>212901001</v>
      </c>
      <c r="G6077" s="2" t="s">
        <v>121</v>
      </c>
      <c r="L6077" s="2" t="s">
        <v>10638</v>
      </c>
      <c r="M6077" t="s">
        <v>67</v>
      </c>
      <c r="N6077" t="s">
        <v>68</v>
      </c>
      <c r="P6077" s="23">
        <v>114.41</v>
      </c>
      <c r="Q6077" s="4">
        <f t="shared" si="94"/>
        <v>-40</v>
      </c>
      <c r="R6077" s="23" t="s">
        <v>109</v>
      </c>
    </row>
    <row r="6078" spans="1:18" x14ac:dyDescent="0.25">
      <c r="A6078" s="21">
        <v>45849</v>
      </c>
      <c r="B6078" s="1">
        <v>415042526</v>
      </c>
      <c r="C6078" t="s">
        <v>10639</v>
      </c>
      <c r="D6078" s="43">
        <v>-6864.6</v>
      </c>
      <c r="E6078" t="s">
        <v>35</v>
      </c>
      <c r="F6078" s="2">
        <v>212901001</v>
      </c>
      <c r="G6078" s="2" t="s">
        <v>121</v>
      </c>
      <c r="L6078" s="2" t="s">
        <v>10640</v>
      </c>
      <c r="M6078" t="s">
        <v>67</v>
      </c>
      <c r="N6078" t="s">
        <v>68</v>
      </c>
      <c r="P6078" s="23">
        <v>114.41</v>
      </c>
      <c r="Q6078" s="4">
        <f t="shared" si="94"/>
        <v>-60.000000000000007</v>
      </c>
      <c r="R6078" s="23" t="s">
        <v>109</v>
      </c>
    </row>
    <row r="6079" spans="1:18" x14ac:dyDescent="0.25">
      <c r="A6079" s="21">
        <v>45849</v>
      </c>
      <c r="B6079" s="1">
        <v>15042587</v>
      </c>
      <c r="C6079" t="s">
        <v>10641</v>
      </c>
      <c r="D6079" s="43">
        <v>-2288.1999999999998</v>
      </c>
      <c r="E6079" t="s">
        <v>35</v>
      </c>
      <c r="F6079" s="2">
        <v>212901001</v>
      </c>
      <c r="G6079" s="2" t="s">
        <v>121</v>
      </c>
      <c r="L6079" s="2" t="s">
        <v>10642</v>
      </c>
      <c r="M6079" t="s">
        <v>67</v>
      </c>
      <c r="N6079" t="s">
        <v>68</v>
      </c>
      <c r="P6079" s="23">
        <v>114.41</v>
      </c>
      <c r="Q6079" s="4">
        <f t="shared" si="94"/>
        <v>-20</v>
      </c>
      <c r="R6079" s="23" t="s">
        <v>109</v>
      </c>
    </row>
    <row r="6080" spans="1:18" x14ac:dyDescent="0.25">
      <c r="A6080" s="21">
        <v>45849</v>
      </c>
      <c r="B6080" s="1">
        <v>15042581</v>
      </c>
      <c r="C6080" t="s">
        <v>10643</v>
      </c>
      <c r="D6080" s="43">
        <v>-5720.5</v>
      </c>
      <c r="E6080" t="s">
        <v>35</v>
      </c>
      <c r="F6080" s="2">
        <v>212901001</v>
      </c>
      <c r="G6080" s="2" t="s">
        <v>121</v>
      </c>
      <c r="L6080" s="2" t="s">
        <v>10644</v>
      </c>
      <c r="M6080" t="s">
        <v>67</v>
      </c>
      <c r="N6080" t="s">
        <v>68</v>
      </c>
      <c r="P6080" s="23">
        <v>114.41</v>
      </c>
      <c r="Q6080" s="4">
        <f t="shared" si="94"/>
        <v>-50</v>
      </c>
      <c r="R6080" s="23" t="s">
        <v>109</v>
      </c>
    </row>
    <row r="6081" spans="1:20" x14ac:dyDescent="0.25">
      <c r="A6081" s="21">
        <v>45849</v>
      </c>
      <c r="B6081" s="1">
        <v>815042561</v>
      </c>
      <c r="C6081" t="s">
        <v>10645</v>
      </c>
      <c r="D6081" s="43">
        <v>-11441</v>
      </c>
      <c r="E6081" t="s">
        <v>35</v>
      </c>
      <c r="F6081" s="2">
        <v>212901001</v>
      </c>
      <c r="G6081" s="2" t="s">
        <v>121</v>
      </c>
      <c r="L6081" s="2" t="s">
        <v>10646</v>
      </c>
      <c r="M6081" t="s">
        <v>67</v>
      </c>
      <c r="N6081" t="s">
        <v>68</v>
      </c>
      <c r="P6081" s="23">
        <v>114.41</v>
      </c>
      <c r="Q6081" s="4">
        <f t="shared" si="94"/>
        <v>-100</v>
      </c>
      <c r="R6081" s="23" t="s">
        <v>109</v>
      </c>
    </row>
    <row r="6082" spans="1:20" x14ac:dyDescent="0.25">
      <c r="A6082" s="21">
        <v>45849</v>
      </c>
      <c r="B6082" s="1">
        <v>415042524</v>
      </c>
      <c r="C6082" t="s">
        <v>10647</v>
      </c>
      <c r="D6082" s="43">
        <v>-6864.6</v>
      </c>
      <c r="E6082" t="s">
        <v>35</v>
      </c>
      <c r="F6082" s="2">
        <v>212901001</v>
      </c>
      <c r="G6082" s="2" t="s">
        <v>121</v>
      </c>
      <c r="L6082" s="2" t="s">
        <v>10648</v>
      </c>
      <c r="M6082" t="s">
        <v>67</v>
      </c>
      <c r="N6082" t="s">
        <v>68</v>
      </c>
      <c r="P6082" s="23">
        <v>114.41</v>
      </c>
      <c r="Q6082" s="4">
        <f t="shared" si="94"/>
        <v>-60.000000000000007</v>
      </c>
      <c r="R6082" s="23" t="s">
        <v>109</v>
      </c>
    </row>
    <row r="6083" spans="1:20" x14ac:dyDescent="0.25">
      <c r="A6083" s="21">
        <v>45849</v>
      </c>
      <c r="B6083" s="1">
        <v>915042577</v>
      </c>
      <c r="C6083" t="s">
        <v>10649</v>
      </c>
      <c r="D6083" s="43">
        <v>-5720.5</v>
      </c>
      <c r="E6083" t="s">
        <v>35</v>
      </c>
      <c r="F6083" s="2">
        <v>212901001</v>
      </c>
      <c r="G6083" s="2" t="s">
        <v>121</v>
      </c>
      <c r="L6083" s="2" t="s">
        <v>10650</v>
      </c>
      <c r="M6083" t="s">
        <v>67</v>
      </c>
      <c r="N6083" t="s">
        <v>68</v>
      </c>
      <c r="P6083" s="23">
        <v>114.41</v>
      </c>
      <c r="Q6083" s="4">
        <f t="shared" si="94"/>
        <v>-50</v>
      </c>
      <c r="R6083" s="23" t="s">
        <v>109</v>
      </c>
    </row>
    <row r="6084" spans="1:20" x14ac:dyDescent="0.25">
      <c r="A6084" s="21">
        <v>45849</v>
      </c>
      <c r="B6084" s="1">
        <v>615042543</v>
      </c>
      <c r="C6084" t="s">
        <v>10651</v>
      </c>
      <c r="D6084" s="43">
        <v>-9152.7999999999993</v>
      </c>
      <c r="E6084" t="s">
        <v>35</v>
      </c>
      <c r="F6084" s="2">
        <v>212901001</v>
      </c>
      <c r="G6084" s="2" t="s">
        <v>121</v>
      </c>
      <c r="L6084" s="2" t="s">
        <v>10652</v>
      </c>
      <c r="M6084" t="s">
        <v>67</v>
      </c>
      <c r="N6084" t="s">
        <v>68</v>
      </c>
      <c r="P6084" s="23">
        <v>114.41</v>
      </c>
      <c r="Q6084" s="4">
        <f t="shared" si="94"/>
        <v>-80</v>
      </c>
      <c r="R6084" s="23" t="s">
        <v>109</v>
      </c>
    </row>
    <row r="6085" spans="1:20" x14ac:dyDescent="0.25">
      <c r="A6085" s="21">
        <v>45849</v>
      </c>
      <c r="B6085" s="1">
        <v>50767850</v>
      </c>
      <c r="C6085" t="s">
        <v>10653</v>
      </c>
      <c r="D6085" s="43">
        <v>-16017.4</v>
      </c>
      <c r="E6085" t="s">
        <v>35</v>
      </c>
      <c r="F6085" s="2">
        <v>212901001</v>
      </c>
      <c r="G6085" s="2" t="s">
        <v>121</v>
      </c>
      <c r="L6085" s="2" t="s">
        <v>10654</v>
      </c>
      <c r="M6085" t="s">
        <v>67</v>
      </c>
      <c r="N6085" t="s">
        <v>68</v>
      </c>
      <c r="P6085" s="23">
        <v>114.41</v>
      </c>
      <c r="Q6085" s="4">
        <f t="shared" si="94"/>
        <v>-140</v>
      </c>
      <c r="R6085" s="23" t="s">
        <v>109</v>
      </c>
    </row>
    <row r="6086" spans="1:20" x14ac:dyDescent="0.25">
      <c r="A6086" s="21">
        <v>45849</v>
      </c>
      <c r="B6086" s="1">
        <v>50767850</v>
      </c>
      <c r="C6086" t="s">
        <v>296</v>
      </c>
      <c r="D6086" s="43">
        <v>-24.02</v>
      </c>
      <c r="E6086" t="s">
        <v>35</v>
      </c>
      <c r="F6086" s="2">
        <v>610148001</v>
      </c>
      <c r="G6086" s="2" t="s">
        <v>42</v>
      </c>
      <c r="L6086" s="2" t="s">
        <v>10655</v>
      </c>
      <c r="M6086" t="s">
        <v>43</v>
      </c>
      <c r="N6086" t="s">
        <v>42</v>
      </c>
      <c r="P6086" s="23">
        <v>114.41</v>
      </c>
      <c r="Q6086" s="4">
        <f t="shared" si="94"/>
        <v>-0.2099466829822568</v>
      </c>
      <c r="R6086" s="23" t="s">
        <v>109</v>
      </c>
      <c r="T6086" s="23" t="s">
        <v>10222</v>
      </c>
    </row>
    <row r="6087" spans="1:20" x14ac:dyDescent="0.25">
      <c r="A6087" s="21">
        <v>45849</v>
      </c>
      <c r="B6087" s="1">
        <v>50767850</v>
      </c>
      <c r="C6087" t="s">
        <v>118</v>
      </c>
      <c r="D6087" s="43">
        <v>-1082.03</v>
      </c>
      <c r="E6087" t="s">
        <v>35</v>
      </c>
      <c r="F6087" s="2">
        <v>610148001</v>
      </c>
      <c r="G6087" s="2" t="s">
        <v>42</v>
      </c>
      <c r="L6087" s="2" t="s">
        <v>10656</v>
      </c>
      <c r="M6087" t="s">
        <v>43</v>
      </c>
      <c r="N6087" t="s">
        <v>42</v>
      </c>
      <c r="P6087" s="23">
        <v>114.41</v>
      </c>
      <c r="Q6087" s="4">
        <f t="shared" si="94"/>
        <v>-9.4574774932261167</v>
      </c>
      <c r="R6087" s="23" t="s">
        <v>109</v>
      </c>
      <c r="T6087" s="23" t="s">
        <v>10222</v>
      </c>
    </row>
    <row r="6088" spans="1:20" x14ac:dyDescent="0.25">
      <c r="A6088" s="21">
        <v>45849</v>
      </c>
      <c r="B6088" s="1">
        <v>50767850</v>
      </c>
      <c r="C6088" t="s">
        <v>1565</v>
      </c>
      <c r="D6088" s="43">
        <v>-1.69</v>
      </c>
      <c r="E6088" t="s">
        <v>35</v>
      </c>
      <c r="F6088" s="2">
        <v>610148001</v>
      </c>
      <c r="G6088" s="2" t="s">
        <v>42</v>
      </c>
      <c r="L6088" s="2" t="s">
        <v>10657</v>
      </c>
      <c r="M6088" t="s">
        <v>43</v>
      </c>
      <c r="N6088" t="s">
        <v>42</v>
      </c>
      <c r="P6088" s="23">
        <v>114.41</v>
      </c>
      <c r="Q6088" s="4">
        <f t="shared" si="94"/>
        <v>-1.4771436063281181E-2</v>
      </c>
      <c r="R6088" s="23" t="s">
        <v>109</v>
      </c>
      <c r="T6088" s="23" t="s">
        <v>10222</v>
      </c>
    </row>
    <row r="6089" spans="1:20" x14ac:dyDescent="0.25">
      <c r="A6089" s="21">
        <v>45849</v>
      </c>
      <c r="B6089" s="1">
        <v>615043223</v>
      </c>
      <c r="C6089" t="s">
        <v>6736</v>
      </c>
      <c r="D6089" s="43">
        <v>-80000</v>
      </c>
      <c r="E6089" t="s">
        <v>35</v>
      </c>
      <c r="F6089" s="2">
        <v>110101003</v>
      </c>
      <c r="G6089" s="2" t="s">
        <v>6734</v>
      </c>
      <c r="L6089" s="2" t="s">
        <v>10658</v>
      </c>
      <c r="N6089" t="s">
        <v>6736</v>
      </c>
      <c r="P6089" s="23">
        <v>114.41</v>
      </c>
      <c r="Q6089" s="4">
        <f t="shared" si="94"/>
        <v>-699.23957696005596</v>
      </c>
      <c r="R6089" s="23" t="s">
        <v>109</v>
      </c>
    </row>
    <row r="6090" spans="1:20" x14ac:dyDescent="0.25">
      <c r="A6090" s="21">
        <v>45849</v>
      </c>
      <c r="B6090" s="1">
        <v>615043223</v>
      </c>
      <c r="C6090" t="s">
        <v>306</v>
      </c>
      <c r="D6090" s="43">
        <v>-240</v>
      </c>
      <c r="E6090" t="s">
        <v>35</v>
      </c>
      <c r="F6090" s="2">
        <v>610148001</v>
      </c>
      <c r="G6090" s="2" t="s">
        <v>42</v>
      </c>
      <c r="L6090" s="2" t="s">
        <v>10659</v>
      </c>
      <c r="M6090" t="s">
        <v>43</v>
      </c>
      <c r="N6090" t="s">
        <v>42</v>
      </c>
      <c r="P6090" s="23">
        <v>114.41</v>
      </c>
      <c r="Q6090" s="4">
        <f t="shared" si="94"/>
        <v>-2.0977187308801679</v>
      </c>
      <c r="R6090" s="23" t="s">
        <v>109</v>
      </c>
      <c r="T6090" s="23" t="s">
        <v>10222</v>
      </c>
    </row>
    <row r="6091" spans="1:20" x14ac:dyDescent="0.25">
      <c r="A6091" s="21">
        <v>45849</v>
      </c>
      <c r="B6091" s="1">
        <v>144938494</v>
      </c>
      <c r="C6091" t="s">
        <v>107</v>
      </c>
      <c r="D6091" s="43">
        <v>565000</v>
      </c>
      <c r="E6091" t="s">
        <v>46</v>
      </c>
      <c r="F6091" s="2">
        <v>210115002</v>
      </c>
      <c r="G6091" s="2" t="s">
        <v>47</v>
      </c>
      <c r="L6091" s="2" t="s">
        <v>10660</v>
      </c>
      <c r="N6091" t="s">
        <v>107</v>
      </c>
      <c r="P6091" s="23">
        <v>114.41</v>
      </c>
      <c r="Q6091" s="4">
        <f t="shared" ref="Q6091:Q6154" si="95">D6091/P6091</f>
        <v>4938.3795122803949</v>
      </c>
      <c r="R6091" s="23" t="s">
        <v>109</v>
      </c>
    </row>
    <row r="6092" spans="1:20" x14ac:dyDescent="0.25">
      <c r="A6092" s="21">
        <v>45849</v>
      </c>
      <c r="B6092" s="1">
        <v>815048477</v>
      </c>
      <c r="C6092" t="s">
        <v>10661</v>
      </c>
      <c r="D6092" s="43">
        <v>-3890.25</v>
      </c>
      <c r="E6092" t="s">
        <v>35</v>
      </c>
      <c r="F6092" s="2">
        <v>210101001</v>
      </c>
      <c r="G6092" s="2" t="s">
        <v>36</v>
      </c>
      <c r="L6092" s="2" t="s">
        <v>10662</v>
      </c>
      <c r="M6092" t="s">
        <v>303</v>
      </c>
      <c r="N6092" t="s">
        <v>304</v>
      </c>
      <c r="P6092" s="23">
        <v>114.41</v>
      </c>
      <c r="Q6092" s="4">
        <f t="shared" si="95"/>
        <v>-34.002709553360724</v>
      </c>
      <c r="R6092" s="23" t="s">
        <v>109</v>
      </c>
    </row>
    <row r="6093" spans="1:20" x14ac:dyDescent="0.25">
      <c r="A6093" s="21">
        <v>45849</v>
      </c>
      <c r="B6093" s="1">
        <v>815048480</v>
      </c>
      <c r="C6093" t="s">
        <v>10663</v>
      </c>
      <c r="D6093" s="43">
        <v>-31072</v>
      </c>
      <c r="E6093" t="s">
        <v>35</v>
      </c>
      <c r="F6093" s="2">
        <v>210101001</v>
      </c>
      <c r="G6093" s="2" t="s">
        <v>36</v>
      </c>
      <c r="L6093" s="2" t="s">
        <v>10664</v>
      </c>
      <c r="M6093" t="s">
        <v>38</v>
      </c>
      <c r="N6093" t="s">
        <v>39</v>
      </c>
      <c r="P6093" s="23">
        <v>114.41</v>
      </c>
      <c r="Q6093" s="4">
        <f t="shared" si="95"/>
        <v>-271.58465169128573</v>
      </c>
      <c r="R6093" s="23" t="s">
        <v>109</v>
      </c>
    </row>
    <row r="6094" spans="1:20" x14ac:dyDescent="0.25">
      <c r="A6094" s="21">
        <v>45849</v>
      </c>
      <c r="B6094" s="1">
        <v>815048478</v>
      </c>
      <c r="C6094" t="s">
        <v>10665</v>
      </c>
      <c r="D6094" s="43">
        <v>-31302.99</v>
      </c>
      <c r="E6094" t="s">
        <v>35</v>
      </c>
      <c r="F6094" s="2">
        <v>210101001</v>
      </c>
      <c r="G6094" s="2" t="s">
        <v>36</v>
      </c>
      <c r="L6094" s="2" t="s">
        <v>10666</v>
      </c>
      <c r="M6094" t="s">
        <v>303</v>
      </c>
      <c r="N6094" t="s">
        <v>304</v>
      </c>
      <c r="P6094" s="23">
        <v>114.41</v>
      </c>
      <c r="Q6094" s="4">
        <f t="shared" si="95"/>
        <v>-273.6036185648108</v>
      </c>
      <c r="R6094" s="23" t="s">
        <v>109</v>
      </c>
    </row>
    <row r="6095" spans="1:20" x14ac:dyDescent="0.25">
      <c r="A6095" s="21">
        <v>45849</v>
      </c>
      <c r="B6095" s="1">
        <v>815048481</v>
      </c>
      <c r="C6095" t="s">
        <v>10663</v>
      </c>
      <c r="D6095" s="43">
        <v>-200000</v>
      </c>
      <c r="E6095" t="s">
        <v>35</v>
      </c>
      <c r="F6095" s="2">
        <v>210101001</v>
      </c>
      <c r="G6095" s="2" t="s">
        <v>36</v>
      </c>
      <c r="L6095" s="2" t="s">
        <v>10667</v>
      </c>
      <c r="M6095" t="s">
        <v>38</v>
      </c>
      <c r="N6095" t="s">
        <v>39</v>
      </c>
      <c r="P6095" s="23">
        <v>114.41</v>
      </c>
      <c r="Q6095" s="4">
        <f t="shared" si="95"/>
        <v>-1748.09894240014</v>
      </c>
      <c r="R6095" s="23" t="s">
        <v>109</v>
      </c>
    </row>
    <row r="6096" spans="1:20" x14ac:dyDescent="0.25">
      <c r="A6096" s="21">
        <v>45849</v>
      </c>
      <c r="B6096" s="1">
        <v>815048483</v>
      </c>
      <c r="C6096" t="s">
        <v>10668</v>
      </c>
      <c r="D6096" s="43">
        <v>-174388.29</v>
      </c>
      <c r="E6096" t="s">
        <v>35</v>
      </c>
      <c r="F6096" s="2">
        <v>210101001</v>
      </c>
      <c r="G6096" s="2" t="s">
        <v>36</v>
      </c>
      <c r="L6096" s="2" t="s">
        <v>10669</v>
      </c>
      <c r="M6096" t="s">
        <v>38</v>
      </c>
      <c r="N6096" t="s">
        <v>39</v>
      </c>
      <c r="P6096" s="23">
        <v>114.41</v>
      </c>
      <c r="Q6096" s="4">
        <f t="shared" si="95"/>
        <v>-1524.2399265798445</v>
      </c>
      <c r="R6096" s="23" t="s">
        <v>109</v>
      </c>
    </row>
    <row r="6097" spans="1:20" x14ac:dyDescent="0.25">
      <c r="A6097" s="21">
        <v>45849</v>
      </c>
      <c r="B6097" s="1">
        <v>815048484</v>
      </c>
      <c r="C6097" t="s">
        <v>10670</v>
      </c>
      <c r="D6097" s="43">
        <v>-7047.2</v>
      </c>
      <c r="E6097" t="s">
        <v>35</v>
      </c>
      <c r="F6097" s="2">
        <v>210101001</v>
      </c>
      <c r="G6097" s="2" t="s">
        <v>36</v>
      </c>
      <c r="L6097" s="2" t="s">
        <v>10671</v>
      </c>
      <c r="M6097" t="s">
        <v>788</v>
      </c>
      <c r="N6097" t="s">
        <v>789</v>
      </c>
      <c r="P6097" s="23">
        <v>114.41</v>
      </c>
      <c r="Q6097" s="4">
        <f t="shared" si="95"/>
        <v>-61.596014334411329</v>
      </c>
      <c r="R6097" s="23" t="s">
        <v>109</v>
      </c>
    </row>
    <row r="6098" spans="1:20" x14ac:dyDescent="0.25">
      <c r="A6098" s="21">
        <v>45849</v>
      </c>
      <c r="B6098" s="1">
        <v>815048482</v>
      </c>
      <c r="C6098" t="s">
        <v>10672</v>
      </c>
      <c r="D6098" s="43">
        <v>-112808.26</v>
      </c>
      <c r="E6098" t="s">
        <v>35</v>
      </c>
      <c r="F6098" s="2">
        <v>210101001</v>
      </c>
      <c r="G6098" s="2" t="s">
        <v>36</v>
      </c>
      <c r="L6098" s="2" t="s">
        <v>10673</v>
      </c>
      <c r="M6098" t="s">
        <v>38</v>
      </c>
      <c r="N6098" t="s">
        <v>39</v>
      </c>
      <c r="P6098" s="23">
        <v>114.41</v>
      </c>
      <c r="Q6098" s="4">
        <f t="shared" si="95"/>
        <v>-986</v>
      </c>
      <c r="R6098" s="23" t="s">
        <v>109</v>
      </c>
    </row>
    <row r="6099" spans="1:20" x14ac:dyDescent="0.25">
      <c r="A6099" s="21">
        <v>45849</v>
      </c>
      <c r="B6099" s="1">
        <v>50763377</v>
      </c>
      <c r="C6099" t="s">
        <v>118</v>
      </c>
      <c r="D6099" s="43">
        <v>-1401.27</v>
      </c>
      <c r="E6099" t="s">
        <v>35</v>
      </c>
      <c r="F6099" s="2">
        <v>610148001</v>
      </c>
      <c r="G6099" s="2" t="s">
        <v>42</v>
      </c>
      <c r="L6099" s="2" t="s">
        <v>10674</v>
      </c>
      <c r="M6099" t="s">
        <v>43</v>
      </c>
      <c r="N6099" t="s">
        <v>42</v>
      </c>
      <c r="P6099" s="23">
        <v>114.41</v>
      </c>
      <c r="Q6099" s="4">
        <f t="shared" si="95"/>
        <v>-12.247793025085221</v>
      </c>
      <c r="R6099" s="23" t="s">
        <v>109</v>
      </c>
      <c r="T6099" s="23" t="s">
        <v>10222</v>
      </c>
    </row>
    <row r="6100" spans="1:20" x14ac:dyDescent="0.25">
      <c r="A6100" s="21">
        <v>45852</v>
      </c>
      <c r="B6100" s="1">
        <v>115440735</v>
      </c>
      <c r="C6100" t="s">
        <v>10675</v>
      </c>
      <c r="D6100" s="43">
        <v>81412.42</v>
      </c>
      <c r="E6100" t="s">
        <v>46</v>
      </c>
      <c r="F6100" s="2">
        <v>110106001</v>
      </c>
      <c r="G6100" s="2" t="s">
        <v>2034</v>
      </c>
      <c r="L6100" s="2" t="s">
        <v>10676</v>
      </c>
      <c r="N6100" t="s">
        <v>3849</v>
      </c>
      <c r="P6100" s="23">
        <v>115.33</v>
      </c>
      <c r="Q6100" s="4">
        <f t="shared" si="95"/>
        <v>705.90843666001911</v>
      </c>
      <c r="R6100" s="23" t="s">
        <v>109</v>
      </c>
    </row>
    <row r="6101" spans="1:20" x14ac:dyDescent="0.25">
      <c r="A6101" s="21">
        <v>45852</v>
      </c>
      <c r="B6101" s="1">
        <v>124335874</v>
      </c>
      <c r="C6101" t="s">
        <v>10677</v>
      </c>
      <c r="D6101" s="43">
        <v>-34351.94</v>
      </c>
      <c r="E6101" t="s">
        <v>35</v>
      </c>
      <c r="F6101" s="2">
        <v>210101001</v>
      </c>
      <c r="G6101" s="2" t="s">
        <v>36</v>
      </c>
      <c r="L6101" s="2" t="s">
        <v>10678</v>
      </c>
      <c r="M6101" t="s">
        <v>2635</v>
      </c>
      <c r="N6101" t="s">
        <v>2636</v>
      </c>
      <c r="P6101" s="23">
        <v>115.33</v>
      </c>
      <c r="Q6101" s="4">
        <f t="shared" si="95"/>
        <v>-297.85779935836297</v>
      </c>
      <c r="R6101" s="23" t="s">
        <v>109</v>
      </c>
    </row>
    <row r="6102" spans="1:20" x14ac:dyDescent="0.25">
      <c r="A6102" s="21">
        <v>45852</v>
      </c>
      <c r="B6102" s="1">
        <v>133112737</v>
      </c>
      <c r="C6102" t="s">
        <v>107</v>
      </c>
      <c r="D6102" s="43">
        <v>830000</v>
      </c>
      <c r="E6102" t="s">
        <v>46</v>
      </c>
      <c r="F6102" s="2">
        <v>210115002</v>
      </c>
      <c r="G6102" s="2" t="s">
        <v>47</v>
      </c>
      <c r="L6102" s="2" t="s">
        <v>10679</v>
      </c>
      <c r="N6102" t="s">
        <v>107</v>
      </c>
      <c r="P6102" s="23">
        <v>115.33</v>
      </c>
      <c r="Q6102" s="4">
        <f t="shared" si="95"/>
        <v>7196.7397901673457</v>
      </c>
      <c r="R6102" s="23" t="s">
        <v>109</v>
      </c>
    </row>
    <row r="6103" spans="1:20" x14ac:dyDescent="0.25">
      <c r="A6103" s="21">
        <v>45852</v>
      </c>
      <c r="B6103" s="1">
        <v>915151477</v>
      </c>
      <c r="C6103" t="s">
        <v>10286</v>
      </c>
      <c r="D6103" s="43">
        <v>-200000</v>
      </c>
      <c r="E6103" t="s">
        <v>35</v>
      </c>
      <c r="F6103" s="2">
        <v>210101001</v>
      </c>
      <c r="G6103" s="2" t="s">
        <v>36</v>
      </c>
      <c r="L6103" s="2" t="s">
        <v>10680</v>
      </c>
      <c r="M6103" t="s">
        <v>38</v>
      </c>
      <c r="N6103" t="s">
        <v>39</v>
      </c>
      <c r="P6103" s="23">
        <v>115.33</v>
      </c>
      <c r="Q6103" s="4">
        <f t="shared" si="95"/>
        <v>-1734.1541663053845</v>
      </c>
      <c r="R6103" s="23" t="s">
        <v>109</v>
      </c>
    </row>
    <row r="6104" spans="1:20" x14ac:dyDescent="0.25">
      <c r="A6104" s="21">
        <v>45852</v>
      </c>
      <c r="B6104" s="1">
        <v>15151480</v>
      </c>
      <c r="C6104" t="s">
        <v>10286</v>
      </c>
      <c r="D6104" s="43">
        <v>-200000</v>
      </c>
      <c r="E6104" t="s">
        <v>35</v>
      </c>
      <c r="F6104" s="2">
        <v>210101001</v>
      </c>
      <c r="G6104" s="2" t="s">
        <v>36</v>
      </c>
      <c r="L6104" s="2" t="s">
        <v>10681</v>
      </c>
      <c r="M6104" t="s">
        <v>38</v>
      </c>
      <c r="N6104" t="s">
        <v>39</v>
      </c>
      <c r="P6104" s="23">
        <v>115.33</v>
      </c>
      <c r="Q6104" s="4">
        <f t="shared" si="95"/>
        <v>-1734.1541663053845</v>
      </c>
      <c r="R6104" s="23" t="s">
        <v>109</v>
      </c>
    </row>
    <row r="6105" spans="1:20" x14ac:dyDescent="0.25">
      <c r="A6105" s="21">
        <v>45852</v>
      </c>
      <c r="B6105" s="1">
        <v>915151478</v>
      </c>
      <c r="C6105" t="s">
        <v>10286</v>
      </c>
      <c r="D6105" s="43">
        <v>-200000</v>
      </c>
      <c r="E6105" t="s">
        <v>35</v>
      </c>
      <c r="F6105" s="2">
        <v>210101001</v>
      </c>
      <c r="G6105" s="2" t="s">
        <v>36</v>
      </c>
      <c r="L6105" s="2" t="s">
        <v>10682</v>
      </c>
      <c r="M6105" t="s">
        <v>38</v>
      </c>
      <c r="N6105" t="s">
        <v>39</v>
      </c>
      <c r="P6105" s="23">
        <v>115.33</v>
      </c>
      <c r="Q6105" s="4">
        <f t="shared" si="95"/>
        <v>-1734.1541663053845</v>
      </c>
      <c r="R6105" s="23" t="s">
        <v>109</v>
      </c>
    </row>
    <row r="6106" spans="1:20" x14ac:dyDescent="0.25">
      <c r="A6106" s="21">
        <v>45852</v>
      </c>
      <c r="B6106" s="1">
        <v>15151479</v>
      </c>
      <c r="C6106" t="s">
        <v>10286</v>
      </c>
      <c r="D6106" s="43">
        <v>-200000</v>
      </c>
      <c r="E6106" t="s">
        <v>35</v>
      </c>
      <c r="F6106" s="2">
        <v>210101001</v>
      </c>
      <c r="G6106" s="2" t="s">
        <v>36</v>
      </c>
      <c r="L6106" s="2" t="s">
        <v>10683</v>
      </c>
      <c r="M6106" t="s">
        <v>38</v>
      </c>
      <c r="N6106" t="s">
        <v>39</v>
      </c>
      <c r="P6106" s="23">
        <v>115.33</v>
      </c>
      <c r="Q6106" s="4">
        <f t="shared" si="95"/>
        <v>-1734.1541663053845</v>
      </c>
      <c r="R6106" s="23" t="s">
        <v>109</v>
      </c>
    </row>
    <row r="6107" spans="1:20" x14ac:dyDescent="0.25">
      <c r="A6107" s="21">
        <v>45852</v>
      </c>
      <c r="B6107" s="1">
        <v>15151481</v>
      </c>
      <c r="C6107" t="s">
        <v>10286</v>
      </c>
      <c r="D6107" s="43">
        <v>-19464.28</v>
      </c>
      <c r="E6107" t="s">
        <v>35</v>
      </c>
      <c r="F6107" s="2">
        <v>210101001</v>
      </c>
      <c r="G6107" s="2" t="s">
        <v>36</v>
      </c>
      <c r="L6107" s="2" t="s">
        <v>10684</v>
      </c>
      <c r="M6107" t="s">
        <v>38</v>
      </c>
      <c r="N6107" t="s">
        <v>39</v>
      </c>
      <c r="P6107" s="23">
        <v>115.33</v>
      </c>
      <c r="Q6107" s="4">
        <f t="shared" si="95"/>
        <v>-168.77031128067284</v>
      </c>
      <c r="R6107" s="23" t="s">
        <v>109</v>
      </c>
    </row>
    <row r="6108" spans="1:20" x14ac:dyDescent="0.25">
      <c r="A6108" s="21">
        <v>45852</v>
      </c>
      <c r="B6108" s="1">
        <v>50713823</v>
      </c>
      <c r="C6108" t="s">
        <v>118</v>
      </c>
      <c r="D6108" s="43">
        <v>-2048.66</v>
      </c>
      <c r="E6108" t="s">
        <v>35</v>
      </c>
      <c r="F6108" s="2">
        <v>610148001</v>
      </c>
      <c r="G6108" s="2" t="s">
        <v>42</v>
      </c>
      <c r="L6108" s="2" t="s">
        <v>10685</v>
      </c>
      <c r="M6108" t="s">
        <v>43</v>
      </c>
      <c r="N6108" t="s">
        <v>42</v>
      </c>
      <c r="P6108" s="23">
        <v>115.33</v>
      </c>
      <c r="Q6108" s="4">
        <f t="shared" si="95"/>
        <v>-17.763461371715945</v>
      </c>
      <c r="R6108" s="23" t="s">
        <v>109</v>
      </c>
      <c r="T6108" s="23" t="s">
        <v>10222</v>
      </c>
    </row>
    <row r="6109" spans="1:20" x14ac:dyDescent="0.25">
      <c r="A6109" s="21">
        <v>45852</v>
      </c>
      <c r="B6109" s="1">
        <v>141551213</v>
      </c>
      <c r="C6109" t="s">
        <v>107</v>
      </c>
      <c r="D6109" s="43">
        <v>90000</v>
      </c>
      <c r="E6109" t="s">
        <v>46</v>
      </c>
      <c r="F6109" s="2">
        <v>210115002</v>
      </c>
      <c r="G6109" s="2" t="s">
        <v>47</v>
      </c>
      <c r="L6109" s="2" t="s">
        <v>10686</v>
      </c>
      <c r="N6109" t="s">
        <v>107</v>
      </c>
      <c r="P6109" s="23">
        <v>115.33</v>
      </c>
      <c r="Q6109" s="4">
        <f t="shared" si="95"/>
        <v>780.36937483742304</v>
      </c>
      <c r="R6109" s="23" t="s">
        <v>109</v>
      </c>
    </row>
    <row r="6110" spans="1:20" x14ac:dyDescent="0.25">
      <c r="A6110" s="21">
        <v>45852</v>
      </c>
      <c r="B6110" s="1">
        <v>141851300</v>
      </c>
      <c r="C6110" t="s">
        <v>10687</v>
      </c>
      <c r="D6110" s="43">
        <v>-81412.42</v>
      </c>
      <c r="E6110" t="s">
        <v>35</v>
      </c>
      <c r="F6110" s="2">
        <v>110106001</v>
      </c>
      <c r="G6110" s="2" t="s">
        <v>2034</v>
      </c>
      <c r="L6110" s="2" t="s">
        <v>10688</v>
      </c>
      <c r="N6110" t="s">
        <v>10689</v>
      </c>
      <c r="P6110" s="23">
        <v>115.33</v>
      </c>
      <c r="Q6110" s="4">
        <f t="shared" si="95"/>
        <v>-705.90843666001911</v>
      </c>
      <c r="R6110" s="23" t="s">
        <v>109</v>
      </c>
    </row>
    <row r="6111" spans="1:20" x14ac:dyDescent="0.25">
      <c r="A6111" s="21">
        <v>45852</v>
      </c>
      <c r="B6111" s="1">
        <v>915154738</v>
      </c>
      <c r="C6111" t="s">
        <v>10690</v>
      </c>
      <c r="D6111" s="43">
        <v>-10518.09</v>
      </c>
      <c r="E6111" t="s">
        <v>35</v>
      </c>
      <c r="F6111" s="2">
        <v>210101001</v>
      </c>
      <c r="G6111" s="2" t="s">
        <v>36</v>
      </c>
      <c r="L6111" s="2" t="s">
        <v>10691</v>
      </c>
      <c r="M6111" t="s">
        <v>7497</v>
      </c>
      <c r="N6111" t="s">
        <v>7498</v>
      </c>
      <c r="P6111" s="23">
        <v>115.33</v>
      </c>
      <c r="Q6111" s="4">
        <f t="shared" si="95"/>
        <v>-91.199947975375011</v>
      </c>
      <c r="R6111" s="23" t="s">
        <v>109</v>
      </c>
    </row>
    <row r="6112" spans="1:20" x14ac:dyDescent="0.25">
      <c r="A6112" s="21">
        <v>45852</v>
      </c>
      <c r="B6112" s="1">
        <v>915154738</v>
      </c>
      <c r="C6112" t="s">
        <v>306</v>
      </c>
      <c r="D6112" s="43">
        <v>-31.55</v>
      </c>
      <c r="E6112" t="s">
        <v>35</v>
      </c>
      <c r="F6112" s="2">
        <v>610148001</v>
      </c>
      <c r="G6112" s="2" t="s">
        <v>42</v>
      </c>
      <c r="L6112" s="2" t="s">
        <v>10692</v>
      </c>
      <c r="M6112" t="s">
        <v>43</v>
      </c>
      <c r="N6112" t="s">
        <v>42</v>
      </c>
      <c r="P6112" s="23">
        <v>115.33</v>
      </c>
      <c r="Q6112" s="4">
        <f t="shared" si="95"/>
        <v>-0.27356281973467445</v>
      </c>
      <c r="R6112" s="23" t="s">
        <v>109</v>
      </c>
      <c r="T6112" s="23" t="s">
        <v>10222</v>
      </c>
    </row>
    <row r="6113" spans="1:23" x14ac:dyDescent="0.25">
      <c r="A6113" s="21">
        <v>45852</v>
      </c>
      <c r="B6113" s="1">
        <v>153131473</v>
      </c>
      <c r="C6113" t="s">
        <v>10693</v>
      </c>
      <c r="D6113" s="43">
        <v>-9014.6200000000008</v>
      </c>
      <c r="E6113" t="s">
        <v>35</v>
      </c>
      <c r="F6113" s="2">
        <v>210101001</v>
      </c>
      <c r="G6113" s="2" t="s">
        <v>36</v>
      </c>
      <c r="L6113" s="2" t="s">
        <v>10694</v>
      </c>
      <c r="M6113" t="s">
        <v>2645</v>
      </c>
      <c r="N6113" t="s">
        <v>1187</v>
      </c>
      <c r="P6113" s="23">
        <v>115.33</v>
      </c>
      <c r="Q6113" s="4">
        <f t="shared" si="95"/>
        <v>-78.163704153299236</v>
      </c>
      <c r="R6113" s="23" t="s">
        <v>109</v>
      </c>
    </row>
    <row r="6114" spans="1:23" x14ac:dyDescent="0.25">
      <c r="A6114" s="21">
        <v>45852</v>
      </c>
      <c r="B6114" s="1">
        <v>175511853</v>
      </c>
      <c r="C6114" t="s">
        <v>107</v>
      </c>
      <c r="D6114" s="43">
        <v>400000</v>
      </c>
      <c r="E6114" t="s">
        <v>46</v>
      </c>
      <c r="F6114" s="2">
        <v>210115002</v>
      </c>
      <c r="G6114" s="2" t="s">
        <v>47</v>
      </c>
      <c r="L6114" s="2" t="s">
        <v>10695</v>
      </c>
      <c r="N6114" t="s">
        <v>107</v>
      </c>
      <c r="P6114" s="23">
        <v>115.33</v>
      </c>
      <c r="Q6114" s="4">
        <f t="shared" si="95"/>
        <v>3468.308332610769</v>
      </c>
      <c r="R6114" s="23" t="s">
        <v>109</v>
      </c>
    </row>
    <row r="6115" spans="1:23" x14ac:dyDescent="0.25">
      <c r="A6115" s="21">
        <v>45852</v>
      </c>
      <c r="B6115" s="1">
        <v>715167758</v>
      </c>
      <c r="C6115" t="s">
        <v>10696</v>
      </c>
      <c r="D6115" s="43">
        <v>-8546.43</v>
      </c>
      <c r="E6115" t="s">
        <v>35</v>
      </c>
      <c r="F6115" s="2">
        <v>212901001</v>
      </c>
      <c r="G6115" s="2" t="s">
        <v>121</v>
      </c>
      <c r="L6115" s="2" t="s">
        <v>10697</v>
      </c>
      <c r="M6115" t="s">
        <v>67</v>
      </c>
      <c r="N6115" t="s">
        <v>68</v>
      </c>
      <c r="P6115" s="23">
        <v>115.33</v>
      </c>
      <c r="Q6115" s="4">
        <f t="shared" si="95"/>
        <v>-74.104135957686637</v>
      </c>
      <c r="R6115" s="23" t="s">
        <v>109</v>
      </c>
      <c r="U6115">
        <v>9</v>
      </c>
      <c r="V6115" t="e">
        <f>VLOOKUP(Tabla3[[#This Row],[Nº]],[1]!NOMINA[#Data],4,FALSE)</f>
        <v>#REF!</v>
      </c>
      <c r="W6115" t="e">
        <f>VLOOKUP(U6115,[1]!NOMINA[#Data],5,FALSE)</f>
        <v>#REF!</v>
      </c>
    </row>
    <row r="6116" spans="1:23" x14ac:dyDescent="0.25">
      <c r="A6116" s="21">
        <v>45852</v>
      </c>
      <c r="B6116" s="1">
        <v>715167759</v>
      </c>
      <c r="C6116" t="s">
        <v>10698</v>
      </c>
      <c r="D6116" s="43">
        <v>-14250.91</v>
      </c>
      <c r="E6116" t="s">
        <v>35</v>
      </c>
      <c r="F6116" s="2">
        <v>212901001</v>
      </c>
      <c r="G6116" s="2" t="s">
        <v>121</v>
      </c>
      <c r="L6116" s="2" t="s">
        <v>10699</v>
      </c>
      <c r="M6116" t="s">
        <v>67</v>
      </c>
      <c r="N6116" t="s">
        <v>68</v>
      </c>
      <c r="P6116" s="23">
        <v>115.33</v>
      </c>
      <c r="Q6116" s="4">
        <f t="shared" si="95"/>
        <v>-123.56637475071534</v>
      </c>
      <c r="R6116" s="23" t="s">
        <v>109</v>
      </c>
      <c r="U6116">
        <v>30</v>
      </c>
      <c r="V6116" t="s">
        <v>10700</v>
      </c>
      <c r="W6116" t="e">
        <f>VLOOKUP(U6116,[1]!NOMINA[#Data],5,FALSE)</f>
        <v>#REF!</v>
      </c>
    </row>
    <row r="6117" spans="1:23" x14ac:dyDescent="0.25">
      <c r="A6117" s="21">
        <v>45852</v>
      </c>
      <c r="B6117" s="1">
        <v>715167762</v>
      </c>
      <c r="C6117" t="s">
        <v>10701</v>
      </c>
      <c r="D6117" s="43">
        <v>-8546.43</v>
      </c>
      <c r="E6117" t="s">
        <v>35</v>
      </c>
      <c r="F6117" s="2">
        <v>212901001</v>
      </c>
      <c r="G6117" s="2" t="s">
        <v>121</v>
      </c>
      <c r="L6117" s="2" t="s">
        <v>10702</v>
      </c>
      <c r="M6117" t="s">
        <v>67</v>
      </c>
      <c r="N6117" t="s">
        <v>68</v>
      </c>
      <c r="P6117" s="23">
        <v>115.33</v>
      </c>
      <c r="Q6117" s="4">
        <f t="shared" si="95"/>
        <v>-74.104135957686637</v>
      </c>
      <c r="R6117" s="23" t="s">
        <v>109</v>
      </c>
      <c r="U6117">
        <v>10</v>
      </c>
      <c r="V6117" t="s">
        <v>10700</v>
      </c>
      <c r="W6117" t="e">
        <f>VLOOKUP(U6117,[1]!NOMINA[#Data],5,FALSE)</f>
        <v>#REF!</v>
      </c>
    </row>
    <row r="6118" spans="1:23" x14ac:dyDescent="0.25">
      <c r="A6118" s="21">
        <v>45852</v>
      </c>
      <c r="B6118" s="1">
        <v>715167760</v>
      </c>
      <c r="C6118" t="s">
        <v>10703</v>
      </c>
      <c r="D6118" s="43">
        <v>-3955.15</v>
      </c>
      <c r="E6118" t="s">
        <v>35</v>
      </c>
      <c r="F6118" s="2">
        <v>212901001</v>
      </c>
      <c r="G6118" s="2" t="s">
        <v>121</v>
      </c>
      <c r="L6118" s="2" t="s">
        <v>10704</v>
      </c>
      <c r="M6118" t="s">
        <v>67</v>
      </c>
      <c r="N6118" t="s">
        <v>68</v>
      </c>
      <c r="P6118" s="23">
        <v>115.33</v>
      </c>
      <c r="Q6118" s="4">
        <f t="shared" si="95"/>
        <v>-34.29419925431371</v>
      </c>
      <c r="R6118" s="23" t="s">
        <v>109</v>
      </c>
      <c r="U6118">
        <v>26</v>
      </c>
      <c r="V6118" t="e">
        <f>VLOOKUP(Tabla3[[#This Row],[Nº]],[1]!NOMINA[#Data],4,FALSE)</f>
        <v>#REF!</v>
      </c>
      <c r="W6118" t="e">
        <f>VLOOKUP(Tabla3[[#This Row],[Nº]],[1]!NOMINA[#Data],5,FALSE)</f>
        <v>#REF!</v>
      </c>
    </row>
    <row r="6119" spans="1:23" x14ac:dyDescent="0.25">
      <c r="A6119" s="21">
        <v>45852</v>
      </c>
      <c r="B6119" s="1">
        <v>715167761</v>
      </c>
      <c r="C6119" t="s">
        <v>10705</v>
      </c>
      <c r="D6119" s="43">
        <v>-5140.4399999999996</v>
      </c>
      <c r="E6119" t="s">
        <v>35</v>
      </c>
      <c r="F6119" s="2">
        <v>212901001</v>
      </c>
      <c r="G6119" s="2" t="s">
        <v>121</v>
      </c>
      <c r="L6119" s="2" t="s">
        <v>10706</v>
      </c>
      <c r="M6119" t="s">
        <v>67</v>
      </c>
      <c r="N6119" t="s">
        <v>68</v>
      </c>
      <c r="P6119" s="23">
        <v>115.33</v>
      </c>
      <c r="Q6119" s="4">
        <f t="shared" si="95"/>
        <v>-44.571577213214255</v>
      </c>
      <c r="R6119" s="23" t="s">
        <v>109</v>
      </c>
      <c r="U6119">
        <v>29</v>
      </c>
      <c r="V6119" t="e">
        <f>VLOOKUP(U6119,[1]!NOMINA[#Data],4,FALSE)</f>
        <v>#REF!</v>
      </c>
      <c r="W6119" t="e">
        <f>VLOOKUP(U6119,[1]!NOMINA[#Data],5,FALSE)</f>
        <v>#REF!</v>
      </c>
    </row>
    <row r="6120" spans="1:23" x14ac:dyDescent="0.25">
      <c r="A6120" s="21">
        <v>45852</v>
      </c>
      <c r="B6120" s="1">
        <v>715167764</v>
      </c>
      <c r="C6120" t="s">
        <v>10707</v>
      </c>
      <c r="D6120" s="43">
        <v>-17096.29</v>
      </c>
      <c r="E6120" t="s">
        <v>35</v>
      </c>
      <c r="F6120" s="2">
        <v>212901001</v>
      </c>
      <c r="G6120" s="2" t="s">
        <v>121</v>
      </c>
      <c r="L6120" s="2" t="s">
        <v>10708</v>
      </c>
      <c r="M6120" t="s">
        <v>67</v>
      </c>
      <c r="N6120" t="s">
        <v>68</v>
      </c>
      <c r="P6120" s="23">
        <v>115.33</v>
      </c>
      <c r="Q6120" s="4">
        <f t="shared" si="95"/>
        <v>-148.23801265932542</v>
      </c>
      <c r="R6120" s="23" t="s">
        <v>109</v>
      </c>
      <c r="U6120">
        <v>35</v>
      </c>
      <c r="V6120" t="s">
        <v>10700</v>
      </c>
      <c r="W6120" t="e">
        <f>VLOOKUP(U6120,[1]!NOMINA[#Data],5,FALSE)</f>
        <v>#REF!</v>
      </c>
    </row>
    <row r="6121" spans="1:23" x14ac:dyDescent="0.25">
      <c r="A6121" s="21">
        <v>45852</v>
      </c>
      <c r="B6121" s="1">
        <v>715167763</v>
      </c>
      <c r="C6121" t="s">
        <v>10709</v>
      </c>
      <c r="D6121" s="43">
        <v>-8562.44</v>
      </c>
      <c r="E6121" t="s">
        <v>35</v>
      </c>
      <c r="F6121" s="2">
        <v>212901001</v>
      </c>
      <c r="G6121" s="2" t="s">
        <v>121</v>
      </c>
      <c r="L6121" s="2" t="s">
        <v>10710</v>
      </c>
      <c r="M6121" t="s">
        <v>67</v>
      </c>
      <c r="N6121" t="s">
        <v>68</v>
      </c>
      <c r="P6121" s="23">
        <v>115.33</v>
      </c>
      <c r="Q6121" s="4">
        <f t="shared" si="95"/>
        <v>-74.242954998699389</v>
      </c>
      <c r="R6121" s="23" t="s">
        <v>109</v>
      </c>
      <c r="U6121">
        <v>18</v>
      </c>
      <c r="V6121" t="e">
        <f>VLOOKUP(Tabla3[[#This Row],[Nº]],[1]!NOMINA[#Data],4,FALSE)</f>
        <v>#REF!</v>
      </c>
      <c r="W6121" t="e">
        <f>VLOOKUP(Tabla3[[#This Row],[Nº]],[1]!NOMINA[#Data],5,FALSE)</f>
        <v>#REF!</v>
      </c>
    </row>
    <row r="6122" spans="1:23" x14ac:dyDescent="0.25">
      <c r="A6122" s="21">
        <v>45852</v>
      </c>
      <c r="B6122" s="1">
        <v>815167765</v>
      </c>
      <c r="C6122" t="s">
        <v>10711</v>
      </c>
      <c r="D6122" s="43">
        <v>-8562.44</v>
      </c>
      <c r="E6122" t="s">
        <v>35</v>
      </c>
      <c r="F6122" s="2">
        <v>212901001</v>
      </c>
      <c r="G6122" s="2" t="s">
        <v>121</v>
      </c>
      <c r="L6122" s="2" t="s">
        <v>10712</v>
      </c>
      <c r="M6122" t="s">
        <v>67</v>
      </c>
      <c r="N6122" t="s">
        <v>68</v>
      </c>
      <c r="P6122" s="23">
        <v>115.33</v>
      </c>
      <c r="Q6122" s="4">
        <f t="shared" si="95"/>
        <v>-74.242954998699389</v>
      </c>
      <c r="R6122" s="23" t="s">
        <v>109</v>
      </c>
      <c r="U6122">
        <v>15</v>
      </c>
      <c r="V6122" t="s">
        <v>10700</v>
      </c>
      <c r="W6122" t="e">
        <f>VLOOKUP(U6122,[1]!NOMINA[#Data],5,FALSE)</f>
        <v>#REF!</v>
      </c>
    </row>
    <row r="6123" spans="1:23" x14ac:dyDescent="0.25">
      <c r="A6123" s="21">
        <v>45852</v>
      </c>
      <c r="B6123" s="1">
        <v>815167767</v>
      </c>
      <c r="C6123" t="s">
        <v>10713</v>
      </c>
      <c r="D6123" s="43">
        <v>-9087.59</v>
      </c>
      <c r="E6123" t="s">
        <v>35</v>
      </c>
      <c r="F6123" s="2">
        <v>212901001</v>
      </c>
      <c r="G6123" s="2" t="s">
        <v>121</v>
      </c>
      <c r="L6123" s="2" t="s">
        <v>10714</v>
      </c>
      <c r="M6123" t="s">
        <v>67</v>
      </c>
      <c r="N6123" t="s">
        <v>68</v>
      </c>
      <c r="P6123" s="23">
        <v>115.33</v>
      </c>
      <c r="Q6123" s="4">
        <f t="shared" si="95"/>
        <v>-78.796410300875749</v>
      </c>
      <c r="R6123" s="23" t="s">
        <v>109</v>
      </c>
      <c r="U6123">
        <v>31</v>
      </c>
      <c r="V6123" t="e">
        <f>VLOOKUP(Tabla3[[#This Row],[Nº]],[1]!NOMINA[#Data],4,FALSE)</f>
        <v>#REF!</v>
      </c>
      <c r="W6123" t="e">
        <f>VLOOKUP(U6123,[1]!NOMINA[#Data],5,FALSE)</f>
        <v>#REF!</v>
      </c>
    </row>
    <row r="6124" spans="1:23" x14ac:dyDescent="0.25">
      <c r="A6124" s="21">
        <v>45852</v>
      </c>
      <c r="B6124" s="1">
        <v>815167769</v>
      </c>
      <c r="C6124" t="s">
        <v>10715</v>
      </c>
      <c r="D6124" s="43">
        <v>-8443.4599999999991</v>
      </c>
      <c r="E6124" t="s">
        <v>35</v>
      </c>
      <c r="F6124" s="2">
        <v>212901001</v>
      </c>
      <c r="G6124" s="2" t="s">
        <v>121</v>
      </c>
      <c r="L6124" s="2" t="s">
        <v>10716</v>
      </c>
      <c r="M6124" t="s">
        <v>67</v>
      </c>
      <c r="N6124" t="s">
        <v>68</v>
      </c>
      <c r="P6124" s="23">
        <v>115.33</v>
      </c>
      <c r="Q6124" s="4">
        <f t="shared" si="95"/>
        <v>-73.211306685164303</v>
      </c>
      <c r="R6124" s="23" t="s">
        <v>109</v>
      </c>
      <c r="U6124">
        <v>13</v>
      </c>
      <c r="V6124" t="e">
        <f>VLOOKUP(Tabla3[[#This Row],[Nº]],[1]!NOMINA[#Data],4,FALSE)</f>
        <v>#REF!</v>
      </c>
      <c r="W6124" t="e">
        <f>VLOOKUP(U6124,[1]!NOMINA[#Data],5,FALSE)</f>
        <v>#REF!</v>
      </c>
    </row>
    <row r="6125" spans="1:23" x14ac:dyDescent="0.25">
      <c r="A6125" s="21">
        <v>45852</v>
      </c>
      <c r="B6125" s="1">
        <v>815167768</v>
      </c>
      <c r="C6125" t="s">
        <v>10717</v>
      </c>
      <c r="D6125" s="43">
        <v>-7142.62</v>
      </c>
      <c r="E6125" t="s">
        <v>35</v>
      </c>
      <c r="F6125" s="2">
        <v>212901001</v>
      </c>
      <c r="G6125" s="2" t="s">
        <v>121</v>
      </c>
      <c r="L6125" s="2" t="s">
        <v>10718</v>
      </c>
      <c r="M6125" t="s">
        <v>67</v>
      </c>
      <c r="N6125" t="s">
        <v>68</v>
      </c>
      <c r="P6125" s="23">
        <v>115.33</v>
      </c>
      <c r="Q6125" s="4">
        <f t="shared" si="95"/>
        <v>-61.932021156680825</v>
      </c>
      <c r="R6125" s="23" t="s">
        <v>109</v>
      </c>
      <c r="U6125">
        <v>20</v>
      </c>
      <c r="V6125" t="e">
        <f>VLOOKUP(Tabla3[[#This Row],[Nº]],[1]!NOMINA[#Data],4,FALSE)</f>
        <v>#REF!</v>
      </c>
      <c r="W6125" t="e">
        <f>VLOOKUP(U6125,[1]!NOMINA[#Data],5,FALSE)</f>
        <v>#REF!</v>
      </c>
    </row>
    <row r="6126" spans="1:23" x14ac:dyDescent="0.25">
      <c r="A6126" s="21">
        <v>45852</v>
      </c>
      <c r="B6126" s="1">
        <v>815167770</v>
      </c>
      <c r="C6126" t="s">
        <v>10719</v>
      </c>
      <c r="D6126" s="43">
        <v>-8546.43</v>
      </c>
      <c r="E6126" t="s">
        <v>35</v>
      </c>
      <c r="F6126" s="2">
        <v>212901001</v>
      </c>
      <c r="G6126" s="2" t="s">
        <v>121</v>
      </c>
      <c r="L6126" s="2" t="s">
        <v>10720</v>
      </c>
      <c r="M6126" t="s">
        <v>67</v>
      </c>
      <c r="N6126" t="s">
        <v>68</v>
      </c>
      <c r="P6126" s="23">
        <v>115.33</v>
      </c>
      <c r="Q6126" s="4">
        <f t="shared" si="95"/>
        <v>-74.104135957686637</v>
      </c>
      <c r="R6126" s="23" t="s">
        <v>109</v>
      </c>
      <c r="U6126">
        <v>8</v>
      </c>
      <c r="V6126" t="e">
        <f>VLOOKUP(Tabla3[[#This Row],[Nº]],[1]!NOMINA[#Data],4,FALSE)</f>
        <v>#REF!</v>
      </c>
      <c r="W6126" t="e">
        <f>VLOOKUP(U6126,[1]!NOMINA[#Data],5,FALSE)</f>
        <v>#REF!</v>
      </c>
    </row>
    <row r="6127" spans="1:23" x14ac:dyDescent="0.25">
      <c r="A6127" s="21">
        <v>45852</v>
      </c>
      <c r="B6127" s="1">
        <v>815167772</v>
      </c>
      <c r="C6127" t="s">
        <v>10721</v>
      </c>
      <c r="D6127" s="43">
        <v>-3954.01</v>
      </c>
      <c r="E6127" t="s">
        <v>35</v>
      </c>
      <c r="F6127" s="2">
        <v>212901001</v>
      </c>
      <c r="G6127" s="2" t="s">
        <v>121</v>
      </c>
      <c r="L6127" s="2" t="s">
        <v>10722</v>
      </c>
      <c r="M6127" t="s">
        <v>67</v>
      </c>
      <c r="N6127" t="s">
        <v>68</v>
      </c>
      <c r="P6127" s="23">
        <v>115.33</v>
      </c>
      <c r="Q6127" s="4">
        <f t="shared" si="95"/>
        <v>-34.284314575565773</v>
      </c>
      <c r="R6127" s="23" t="s">
        <v>109</v>
      </c>
      <c r="U6127">
        <v>23</v>
      </c>
      <c r="V6127" t="e">
        <f>VLOOKUP(Tabla3[[#This Row],[Nº]],[1]!NOMINA[#Data],4,FALSE)</f>
        <v>#REF!</v>
      </c>
      <c r="W6127" t="e">
        <f>VLOOKUP(U6127,[1]!NOMINA[#Data],5,FALSE)</f>
        <v>#REF!</v>
      </c>
    </row>
    <row r="6128" spans="1:23" x14ac:dyDescent="0.25">
      <c r="A6128" s="21">
        <v>45852</v>
      </c>
      <c r="B6128" s="1">
        <v>815167771</v>
      </c>
      <c r="C6128" t="s">
        <v>10723</v>
      </c>
      <c r="D6128" s="43">
        <v>-8546.43</v>
      </c>
      <c r="E6128" t="s">
        <v>35</v>
      </c>
      <c r="F6128" s="2">
        <v>212901001</v>
      </c>
      <c r="G6128" s="2" t="s">
        <v>121</v>
      </c>
      <c r="L6128" s="2" t="s">
        <v>10724</v>
      </c>
      <c r="M6128" t="s">
        <v>67</v>
      </c>
      <c r="N6128" t="s">
        <v>68</v>
      </c>
      <c r="P6128" s="23">
        <v>115.33</v>
      </c>
      <c r="Q6128" s="4">
        <f t="shared" si="95"/>
        <v>-74.104135957686637</v>
      </c>
      <c r="R6128" s="23" t="s">
        <v>109</v>
      </c>
      <c r="U6128">
        <v>11</v>
      </c>
      <c r="V6128" t="e">
        <f>VLOOKUP(Tabla3[[#This Row],[Nº]],[1]!NOMINA[#Data],4,FALSE)</f>
        <v>#REF!</v>
      </c>
      <c r="W6128" t="e">
        <f>VLOOKUP(U6128,[1]!NOMINA[#Data],5,FALSE)</f>
        <v>#REF!</v>
      </c>
    </row>
    <row r="6129" spans="1:23" x14ac:dyDescent="0.25">
      <c r="A6129" s="21">
        <v>45852</v>
      </c>
      <c r="B6129" s="1">
        <v>915167775</v>
      </c>
      <c r="C6129" t="s">
        <v>10725</v>
      </c>
      <c r="D6129" s="43">
        <v>-11529.1</v>
      </c>
      <c r="E6129" t="s">
        <v>35</v>
      </c>
      <c r="F6129" s="2">
        <v>212901001</v>
      </c>
      <c r="G6129" s="2" t="s">
        <v>121</v>
      </c>
      <c r="L6129" s="2" t="s">
        <v>10726</v>
      </c>
      <c r="M6129" t="s">
        <v>67</v>
      </c>
      <c r="N6129" t="s">
        <v>68</v>
      </c>
      <c r="P6129" s="23">
        <v>115.33</v>
      </c>
      <c r="Q6129" s="4">
        <f t="shared" si="95"/>
        <v>-99.966183993757056</v>
      </c>
      <c r="R6129" s="23" t="s">
        <v>109</v>
      </c>
      <c r="U6129">
        <v>32</v>
      </c>
      <c r="V6129" t="e">
        <f>VLOOKUP(Tabla3[[#This Row],[Nº]],[1]!NOMINA[#Data],4,FALSE)</f>
        <v>#REF!</v>
      </c>
      <c r="W6129" t="e">
        <f>VLOOKUP(U6129,[1]!NOMINA[#Data],5,FALSE)</f>
        <v>#REF!</v>
      </c>
    </row>
    <row r="6130" spans="1:23" x14ac:dyDescent="0.25">
      <c r="A6130" s="21">
        <v>45852</v>
      </c>
      <c r="B6130" s="1">
        <v>815167773</v>
      </c>
      <c r="C6130" t="s">
        <v>10727</v>
      </c>
      <c r="D6130" s="43">
        <v>-8562.44</v>
      </c>
      <c r="E6130" t="s">
        <v>35</v>
      </c>
      <c r="F6130" s="2">
        <v>212901001</v>
      </c>
      <c r="G6130" s="2" t="s">
        <v>121</v>
      </c>
      <c r="L6130" s="2" t="s">
        <v>10728</v>
      </c>
      <c r="M6130" t="s">
        <v>67</v>
      </c>
      <c r="N6130" t="s">
        <v>68</v>
      </c>
      <c r="P6130" s="23">
        <v>115.33</v>
      </c>
      <c r="Q6130" s="4">
        <f t="shared" si="95"/>
        <v>-74.242954998699389</v>
      </c>
      <c r="R6130" s="23" t="s">
        <v>109</v>
      </c>
      <c r="U6130">
        <v>17</v>
      </c>
      <c r="V6130" t="e">
        <f>VLOOKUP(Tabla3[[#This Row],[Nº]],[1]!NOMINA[#Data],4,FALSE)</f>
        <v>#REF!</v>
      </c>
      <c r="W6130" t="e">
        <f>VLOOKUP(U6130,[1]!NOMINA[#Data],5,FALSE)</f>
        <v>#REF!</v>
      </c>
    </row>
    <row r="6131" spans="1:23" x14ac:dyDescent="0.25">
      <c r="A6131" s="21">
        <v>45852</v>
      </c>
      <c r="B6131" s="1">
        <v>915167776</v>
      </c>
      <c r="C6131" t="s">
        <v>10729</v>
      </c>
      <c r="D6131" s="43">
        <v>-12519.89</v>
      </c>
      <c r="E6131" t="s">
        <v>35</v>
      </c>
      <c r="F6131" s="2">
        <v>212901001</v>
      </c>
      <c r="G6131" s="2" t="s">
        <v>121</v>
      </c>
      <c r="L6131" s="2" t="s">
        <v>10730</v>
      </c>
      <c r="M6131" t="s">
        <v>67</v>
      </c>
      <c r="N6131" t="s">
        <v>68</v>
      </c>
      <c r="P6131" s="23">
        <v>115.33</v>
      </c>
      <c r="Q6131" s="4">
        <f t="shared" si="95"/>
        <v>-108.5570970259256</v>
      </c>
      <c r="R6131" s="23" t="s">
        <v>109</v>
      </c>
      <c r="U6131">
        <v>4</v>
      </c>
      <c r="V6131" t="e">
        <f>VLOOKUP(Tabla3[[#This Row],[Nº]],[1]!NOMINA[#Data],4,FALSE)</f>
        <v>#REF!</v>
      </c>
      <c r="W6131" t="e">
        <f>VLOOKUP(U6131,[1]!NOMINA[#Data],5,FALSE)</f>
        <v>#REF!</v>
      </c>
    </row>
    <row r="6132" spans="1:23" x14ac:dyDescent="0.25">
      <c r="A6132" s="21">
        <v>45852</v>
      </c>
      <c r="B6132" s="1">
        <v>915167778</v>
      </c>
      <c r="C6132" t="s">
        <v>10731</v>
      </c>
      <c r="D6132" s="43">
        <v>-5673.59</v>
      </c>
      <c r="E6132" t="s">
        <v>35</v>
      </c>
      <c r="F6132" s="2">
        <v>212901001</v>
      </c>
      <c r="G6132" s="2" t="s">
        <v>121</v>
      </c>
      <c r="L6132" s="2" t="s">
        <v>10732</v>
      </c>
      <c r="M6132" t="s">
        <v>67</v>
      </c>
      <c r="N6132" t="s">
        <v>68</v>
      </c>
      <c r="P6132" s="23">
        <v>115.33</v>
      </c>
      <c r="Q6132" s="4">
        <f t="shared" si="95"/>
        <v>-49.194398682042838</v>
      </c>
      <c r="R6132" s="23" t="s">
        <v>109</v>
      </c>
      <c r="U6132">
        <v>22</v>
      </c>
      <c r="V6132" t="e">
        <f>VLOOKUP(Tabla3[[#This Row],[Nº]],[1]!NOMINA[#Data],4,FALSE)</f>
        <v>#REF!</v>
      </c>
      <c r="W6132" t="e">
        <f>VLOOKUP(U6132,[1]!NOMINA[#Data],5,FALSE)</f>
        <v>#REF!</v>
      </c>
    </row>
    <row r="6133" spans="1:23" x14ac:dyDescent="0.25">
      <c r="A6133" s="21">
        <v>45852</v>
      </c>
      <c r="B6133" s="1">
        <v>915167779</v>
      </c>
      <c r="C6133" t="s">
        <v>10733</v>
      </c>
      <c r="D6133" s="43">
        <v>-9069.2800000000007</v>
      </c>
      <c r="E6133" t="s">
        <v>35</v>
      </c>
      <c r="F6133" s="2">
        <v>212901001</v>
      </c>
      <c r="G6133" s="2" t="s">
        <v>121</v>
      </c>
      <c r="L6133" s="2" t="s">
        <v>10734</v>
      </c>
      <c r="M6133" t="s">
        <v>67</v>
      </c>
      <c r="N6133" t="s">
        <v>68</v>
      </c>
      <c r="P6133" s="23">
        <v>115.33</v>
      </c>
      <c r="Q6133" s="4">
        <f t="shared" si="95"/>
        <v>-78.637648486950496</v>
      </c>
      <c r="R6133" s="23" t="s">
        <v>109</v>
      </c>
      <c r="U6133">
        <v>14</v>
      </c>
      <c r="V6133" t="e">
        <f>VLOOKUP(Tabla3[[#This Row],[Nº]],[1]!NOMINA[#Data],4,FALSE)</f>
        <v>#REF!</v>
      </c>
      <c r="W6133" t="e">
        <f>VLOOKUP(U6133,[1]!NOMINA[#Data],5,FALSE)</f>
        <v>#REF!</v>
      </c>
    </row>
    <row r="6134" spans="1:23" x14ac:dyDescent="0.25">
      <c r="A6134" s="21">
        <v>45852</v>
      </c>
      <c r="B6134" s="1">
        <v>915167777</v>
      </c>
      <c r="C6134" t="s">
        <v>10735</v>
      </c>
      <c r="D6134" s="43">
        <v>-10308.34</v>
      </c>
      <c r="E6134" t="s">
        <v>35</v>
      </c>
      <c r="F6134" s="2">
        <v>212901001</v>
      </c>
      <c r="G6134" s="2" t="s">
        <v>121</v>
      </c>
      <c r="L6134" s="2" t="s">
        <v>10736</v>
      </c>
      <c r="M6134" t="s">
        <v>67</v>
      </c>
      <c r="N6134" t="s">
        <v>68</v>
      </c>
      <c r="P6134" s="23">
        <v>115.33</v>
      </c>
      <c r="Q6134" s="4">
        <f t="shared" si="95"/>
        <v>-89.381253793462236</v>
      </c>
      <c r="R6134" s="23" t="s">
        <v>109</v>
      </c>
      <c r="U6134">
        <v>34</v>
      </c>
      <c r="V6134" t="e">
        <f>VLOOKUP(U6134,[1]!NOMINA[#Data],4,FALSE)</f>
        <v>#REF!</v>
      </c>
      <c r="W6134" t="e">
        <f>VLOOKUP(U6134,[1]!NOMINA[#Data],5,FALSE)</f>
        <v>#REF!</v>
      </c>
    </row>
    <row r="6135" spans="1:23" x14ac:dyDescent="0.25">
      <c r="A6135" s="21">
        <v>45852</v>
      </c>
      <c r="B6135" s="1">
        <v>915167780</v>
      </c>
      <c r="C6135" t="s">
        <v>10737</v>
      </c>
      <c r="D6135" s="43">
        <v>-6535.1</v>
      </c>
      <c r="E6135" t="s">
        <v>35</v>
      </c>
      <c r="F6135" s="2">
        <v>212901001</v>
      </c>
      <c r="G6135" s="2" t="s">
        <v>121</v>
      </c>
      <c r="L6135" s="2" t="s">
        <v>10738</v>
      </c>
      <c r="M6135" t="s">
        <v>67</v>
      </c>
      <c r="N6135" t="s">
        <v>68</v>
      </c>
      <c r="P6135" s="23">
        <v>115.33</v>
      </c>
      <c r="Q6135" s="4">
        <f t="shared" si="95"/>
        <v>-56.6643544611116</v>
      </c>
      <c r="R6135" s="23" t="s">
        <v>109</v>
      </c>
      <c r="U6135">
        <v>21</v>
      </c>
      <c r="V6135" t="e">
        <f>VLOOKUP(Tabla3[[#This Row],[Nº]],[1]!NOMINA[#Data],4,FALSE)</f>
        <v>#REF!</v>
      </c>
      <c r="W6135" t="e">
        <f>VLOOKUP(U6135,[1]!NOMINA[#Data],5,FALSE)</f>
        <v>#REF!</v>
      </c>
    </row>
    <row r="6136" spans="1:23" x14ac:dyDescent="0.25">
      <c r="A6136" s="21">
        <v>45852</v>
      </c>
      <c r="B6136" s="1">
        <v>915167784</v>
      </c>
      <c r="C6136" t="s">
        <v>10739</v>
      </c>
      <c r="D6136" s="43">
        <v>-57139.79</v>
      </c>
      <c r="E6136" t="s">
        <v>35</v>
      </c>
      <c r="F6136" s="2">
        <v>212901001</v>
      </c>
      <c r="G6136" s="2" t="s">
        <v>121</v>
      </c>
      <c r="L6136" s="2" t="s">
        <v>10740</v>
      </c>
      <c r="M6136" t="s">
        <v>67</v>
      </c>
      <c r="N6136" t="s">
        <v>68</v>
      </c>
      <c r="P6136" s="23">
        <v>115.33</v>
      </c>
      <c r="Q6136" s="4">
        <f t="shared" si="95"/>
        <v>-495.44602445157375</v>
      </c>
      <c r="R6136" s="23" t="s">
        <v>109</v>
      </c>
      <c r="U6136">
        <v>2</v>
      </c>
      <c r="V6136" t="e">
        <f>VLOOKUP(Tabla3[[#This Row],[Nº]],[1]!NOMINA[#Data],4,FALSE)</f>
        <v>#REF!</v>
      </c>
      <c r="W6136" t="e">
        <f>VLOOKUP(Tabla3[[#This Row],[Nº]],[1]!NOMINA[#Data],5,FALSE)</f>
        <v>#REF!</v>
      </c>
    </row>
    <row r="6137" spans="1:23" x14ac:dyDescent="0.25">
      <c r="A6137" s="21">
        <v>45852</v>
      </c>
      <c r="B6137" s="1">
        <v>915167781</v>
      </c>
      <c r="C6137" t="s">
        <v>10741</v>
      </c>
      <c r="D6137" s="43">
        <v>-3955.15</v>
      </c>
      <c r="E6137" t="s">
        <v>35</v>
      </c>
      <c r="F6137" s="2">
        <v>212901001</v>
      </c>
      <c r="G6137" s="2" t="s">
        <v>121</v>
      </c>
      <c r="L6137" s="2" t="s">
        <v>10742</v>
      </c>
      <c r="M6137" t="s">
        <v>67</v>
      </c>
      <c r="N6137" t="s">
        <v>68</v>
      </c>
      <c r="P6137" s="23">
        <v>115.33</v>
      </c>
      <c r="Q6137" s="4">
        <f t="shared" si="95"/>
        <v>-34.29419925431371</v>
      </c>
      <c r="R6137" s="23" t="s">
        <v>109</v>
      </c>
      <c r="U6137">
        <v>25</v>
      </c>
      <c r="V6137" t="e">
        <f>VLOOKUP(Tabla3[[#This Row],[Nº]],[1]!NOMINA[#Data],4,FALSE)</f>
        <v>#REF!</v>
      </c>
      <c r="W6137" t="e">
        <f>VLOOKUP(U6137,[1]!NOMINA[#Data],5,FALSE)</f>
        <v>#REF!</v>
      </c>
    </row>
    <row r="6138" spans="1:23" x14ac:dyDescent="0.25">
      <c r="A6138" s="21">
        <v>45852</v>
      </c>
      <c r="B6138" s="1">
        <v>915167782</v>
      </c>
      <c r="C6138" t="s">
        <v>10743</v>
      </c>
      <c r="D6138" s="43">
        <v>-10803.74</v>
      </c>
      <c r="E6138" t="s">
        <v>35</v>
      </c>
      <c r="F6138" s="2">
        <v>212901001</v>
      </c>
      <c r="G6138" s="2" t="s">
        <v>121</v>
      </c>
      <c r="L6138" s="2" t="s">
        <v>10744</v>
      </c>
      <c r="M6138" t="s">
        <v>67</v>
      </c>
      <c r="N6138" t="s">
        <v>68</v>
      </c>
      <c r="P6138" s="23">
        <v>115.33</v>
      </c>
      <c r="Q6138" s="4">
        <f t="shared" si="95"/>
        <v>-93.676753663400675</v>
      </c>
      <c r="R6138" s="23" t="s">
        <v>109</v>
      </c>
      <c r="U6138">
        <v>12</v>
      </c>
      <c r="V6138" t="e">
        <f>VLOOKUP(Tabla3[[#This Row],[Nº]],[1]!NOMINA[#Data],4,FALSE)</f>
        <v>#REF!</v>
      </c>
      <c r="W6138" t="e">
        <f>VLOOKUP(U6138,[1]!NOMINA[#Data],5,FALSE)</f>
        <v>#REF!</v>
      </c>
    </row>
    <row r="6139" spans="1:23" x14ac:dyDescent="0.25">
      <c r="A6139" s="21">
        <v>45852</v>
      </c>
      <c r="B6139" s="1">
        <v>15167785</v>
      </c>
      <c r="C6139" t="s">
        <v>10745</v>
      </c>
      <c r="D6139" s="43">
        <v>-4528.3500000000004</v>
      </c>
      <c r="E6139" t="s">
        <v>35</v>
      </c>
      <c r="F6139" s="2">
        <v>212901001</v>
      </c>
      <c r="G6139" s="2" t="s">
        <v>121</v>
      </c>
      <c r="L6139" s="2" t="s">
        <v>10746</v>
      </c>
      <c r="M6139" t="s">
        <v>67</v>
      </c>
      <c r="N6139" t="s">
        <v>68</v>
      </c>
      <c r="P6139" s="23">
        <v>115.33</v>
      </c>
      <c r="Q6139" s="4">
        <f t="shared" si="95"/>
        <v>-39.264285094944945</v>
      </c>
      <c r="R6139" s="23" t="s">
        <v>109</v>
      </c>
      <c r="U6139">
        <v>28</v>
      </c>
      <c r="V6139" t="e">
        <f>VLOOKUP(Tabla3[[#This Row],[Nº]],[1]!NOMINA[#Data],4,FALSE)</f>
        <v>#REF!</v>
      </c>
      <c r="W6139" t="e">
        <f>VLOOKUP(U6139,[1]!NOMINA[#Data],5,FALSE)</f>
        <v>#REF!</v>
      </c>
    </row>
    <row r="6140" spans="1:23" x14ac:dyDescent="0.25">
      <c r="A6140" s="21">
        <v>45852</v>
      </c>
      <c r="B6140" s="1">
        <v>15167787</v>
      </c>
      <c r="C6140" t="s">
        <v>10747</v>
      </c>
      <c r="D6140" s="43">
        <v>-5680.46</v>
      </c>
      <c r="E6140" t="s">
        <v>35</v>
      </c>
      <c r="F6140" s="2">
        <v>212901001</v>
      </c>
      <c r="G6140" s="2" t="s">
        <v>121</v>
      </c>
      <c r="L6140" s="2" t="s">
        <v>10748</v>
      </c>
      <c r="M6140" t="s">
        <v>67</v>
      </c>
      <c r="N6140" t="s">
        <v>68</v>
      </c>
      <c r="P6140" s="23">
        <v>115.33</v>
      </c>
      <c r="Q6140" s="4">
        <f t="shared" si="95"/>
        <v>-49.253966877655422</v>
      </c>
      <c r="R6140" s="23" t="s">
        <v>109</v>
      </c>
      <c r="U6140">
        <v>24</v>
      </c>
      <c r="V6140" t="e">
        <f>VLOOKUP(Tabla3[[#This Row],[Nº]],[1]!NOMINA[#Data],4,FALSE)</f>
        <v>#REF!</v>
      </c>
      <c r="W6140" t="e">
        <f>VLOOKUP(U6140,[1]!NOMINA[#Data],5,FALSE)</f>
        <v>#REF!</v>
      </c>
    </row>
    <row r="6141" spans="1:23" x14ac:dyDescent="0.25">
      <c r="A6141" s="21">
        <v>45852</v>
      </c>
      <c r="B6141" s="1">
        <v>15167791</v>
      </c>
      <c r="C6141" t="s">
        <v>10749</v>
      </c>
      <c r="D6141" s="43">
        <v>-3955.15</v>
      </c>
      <c r="E6141" t="s">
        <v>35</v>
      </c>
      <c r="F6141" s="2">
        <v>212901001</v>
      </c>
      <c r="G6141" s="2" t="s">
        <v>121</v>
      </c>
      <c r="L6141" s="2" t="s">
        <v>10750</v>
      </c>
      <c r="M6141" t="s">
        <v>67</v>
      </c>
      <c r="N6141" t="s">
        <v>68</v>
      </c>
      <c r="P6141" s="23">
        <v>115.33</v>
      </c>
      <c r="Q6141" s="4">
        <f t="shared" si="95"/>
        <v>-34.29419925431371</v>
      </c>
      <c r="R6141" s="23" t="s">
        <v>109</v>
      </c>
      <c r="U6141">
        <v>27</v>
      </c>
      <c r="V6141" t="e">
        <f>VLOOKUP(Tabla3[[#This Row],[Nº]],[1]!NOMINA[#Data],4,FALSE)</f>
        <v>#REF!</v>
      </c>
      <c r="W6141" t="e">
        <f>VLOOKUP(U6141,[1]!NOMINA[#Data],5,FALSE)</f>
        <v>#REF!</v>
      </c>
    </row>
    <row r="6142" spans="1:23" x14ac:dyDescent="0.25">
      <c r="A6142" s="21">
        <v>45852</v>
      </c>
      <c r="B6142" s="1">
        <v>15167786</v>
      </c>
      <c r="C6142" t="s">
        <v>10751</v>
      </c>
      <c r="D6142" s="43">
        <v>-13168.59</v>
      </c>
      <c r="E6142" t="s">
        <v>35</v>
      </c>
      <c r="F6142" s="2">
        <v>212901001</v>
      </c>
      <c r="G6142" s="2" t="s">
        <v>121</v>
      </c>
      <c r="L6142" s="2" t="s">
        <v>10752</v>
      </c>
      <c r="M6142" t="s">
        <v>67</v>
      </c>
      <c r="N6142" t="s">
        <v>68</v>
      </c>
      <c r="P6142" s="23">
        <v>115.33</v>
      </c>
      <c r="Q6142" s="4">
        <f t="shared" si="95"/>
        <v>-114.18182606433712</v>
      </c>
      <c r="R6142" s="23" t="s">
        <v>109</v>
      </c>
      <c r="U6142">
        <v>6</v>
      </c>
      <c r="V6142" t="e">
        <f>VLOOKUP(Tabla3[[#This Row],[Nº]],[1]!NOMINA[#Data],4,FALSE)</f>
        <v>#REF!</v>
      </c>
      <c r="W6142" t="e">
        <f>VLOOKUP(U6142,[1]!NOMINA[#Data],5,FALSE)</f>
        <v>#REF!</v>
      </c>
    </row>
    <row r="6143" spans="1:23" x14ac:dyDescent="0.25">
      <c r="A6143" s="21">
        <v>45852</v>
      </c>
      <c r="B6143" s="1">
        <v>15167789</v>
      </c>
      <c r="C6143" t="s">
        <v>10753</v>
      </c>
      <c r="D6143" s="43">
        <v>-37804.5</v>
      </c>
      <c r="E6143" t="s">
        <v>35</v>
      </c>
      <c r="F6143" s="2">
        <v>212901001</v>
      </c>
      <c r="G6143" s="2" t="s">
        <v>121</v>
      </c>
      <c r="L6143" s="2" t="s">
        <v>10754</v>
      </c>
      <c r="M6143" t="s">
        <v>67</v>
      </c>
      <c r="N6143" t="s">
        <v>68</v>
      </c>
      <c r="P6143" s="23">
        <v>115.33</v>
      </c>
      <c r="Q6143" s="4">
        <f t="shared" si="95"/>
        <v>-327.79415590045954</v>
      </c>
      <c r="R6143" s="23" t="s">
        <v>109</v>
      </c>
      <c r="U6143">
        <v>3</v>
      </c>
      <c r="V6143" t="e">
        <f>VLOOKUP(Tabla3[[#This Row],[Nº]],[1]!NOMINA[#Data],4,FALSE)</f>
        <v>#REF!</v>
      </c>
      <c r="W6143" t="e">
        <f>VLOOKUP(U6143,[1]!NOMINA[#Data],5,FALSE)</f>
        <v>#REF!</v>
      </c>
    </row>
    <row r="6144" spans="1:23" x14ac:dyDescent="0.25">
      <c r="A6144" s="21">
        <v>45852</v>
      </c>
      <c r="B6144" s="1">
        <v>15167792</v>
      </c>
      <c r="C6144" t="s">
        <v>10755</v>
      </c>
      <c r="D6144" s="43">
        <v>-6453.87</v>
      </c>
      <c r="E6144" t="s">
        <v>35</v>
      </c>
      <c r="F6144" s="2">
        <v>212901001</v>
      </c>
      <c r="G6144" s="2" t="s">
        <v>121</v>
      </c>
      <c r="L6144" s="2" t="s">
        <v>10756</v>
      </c>
      <c r="M6144" t="s">
        <v>67</v>
      </c>
      <c r="N6144" t="s">
        <v>68</v>
      </c>
      <c r="P6144" s="23">
        <v>115.33</v>
      </c>
      <c r="Q6144" s="4">
        <f t="shared" si="95"/>
        <v>-55.960027746466658</v>
      </c>
      <c r="R6144" s="23" t="s">
        <v>109</v>
      </c>
      <c r="U6144">
        <v>19</v>
      </c>
      <c r="V6144" t="e">
        <f>VLOOKUP(Tabla3[[#This Row],[Nº]],[1]!NOMINA[#Data],4,FALSE)</f>
        <v>#REF!</v>
      </c>
      <c r="W6144" t="e">
        <f>VLOOKUP(U6144,[1]!NOMINA[#Data],5,FALSE)</f>
        <v>#REF!</v>
      </c>
    </row>
    <row r="6145" spans="1:23" x14ac:dyDescent="0.25">
      <c r="A6145" s="21">
        <v>45852</v>
      </c>
      <c r="B6145" s="1">
        <v>15167793</v>
      </c>
      <c r="C6145" t="s">
        <v>10757</v>
      </c>
      <c r="D6145" s="43">
        <v>-9087.59</v>
      </c>
      <c r="E6145" t="s">
        <v>35</v>
      </c>
      <c r="F6145" s="2">
        <v>212901001</v>
      </c>
      <c r="G6145" s="2" t="s">
        <v>121</v>
      </c>
      <c r="L6145" s="2" t="s">
        <v>10758</v>
      </c>
      <c r="M6145" t="s">
        <v>67</v>
      </c>
      <c r="N6145" t="s">
        <v>68</v>
      </c>
      <c r="P6145" s="23">
        <v>115.33</v>
      </c>
      <c r="Q6145" s="4">
        <f t="shared" si="95"/>
        <v>-78.796410300875749</v>
      </c>
      <c r="R6145" s="23" t="s">
        <v>109</v>
      </c>
      <c r="U6145">
        <v>5</v>
      </c>
      <c r="V6145" t="e">
        <f>VLOOKUP(Tabla3[[#This Row],[Nº]],[1]!NOMINA[#Data],4,FALSE)</f>
        <v>#REF!</v>
      </c>
      <c r="W6145" t="e">
        <f>VLOOKUP(U6145,[1]!NOMINA[#Data],5,FALSE)</f>
        <v>#REF!</v>
      </c>
    </row>
    <row r="6146" spans="1:23" x14ac:dyDescent="0.25">
      <c r="A6146" s="21">
        <v>45852</v>
      </c>
      <c r="B6146" s="1">
        <v>15167794</v>
      </c>
      <c r="C6146" t="s">
        <v>10759</v>
      </c>
      <c r="D6146" s="43">
        <v>-8562.44</v>
      </c>
      <c r="E6146" t="s">
        <v>35</v>
      </c>
      <c r="F6146" s="2">
        <v>212901001</v>
      </c>
      <c r="G6146" s="2" t="s">
        <v>121</v>
      </c>
      <c r="L6146" s="2" t="s">
        <v>10760</v>
      </c>
      <c r="M6146" t="s">
        <v>67</v>
      </c>
      <c r="N6146" t="s">
        <v>68</v>
      </c>
      <c r="P6146" s="23">
        <v>115.33</v>
      </c>
      <c r="Q6146" s="4">
        <f t="shared" si="95"/>
        <v>-74.242954998699389</v>
      </c>
      <c r="R6146" s="23" t="s">
        <v>109</v>
      </c>
      <c r="U6146">
        <v>16</v>
      </c>
      <c r="V6146" t="e">
        <f>VLOOKUP(Tabla3[[#This Row],[Nº]],[1]!NOMINA[#Data],4,FALSE)</f>
        <v>#REF!</v>
      </c>
      <c r="W6146" t="e">
        <f>VLOOKUP(Tabla3[[#This Row],[Nº]],[1]!NOMINA[#Data],5,FALSE)</f>
        <v>#REF!</v>
      </c>
    </row>
    <row r="6147" spans="1:23" x14ac:dyDescent="0.25">
      <c r="A6147" s="21">
        <v>45852</v>
      </c>
      <c r="B6147" s="1">
        <v>115167797</v>
      </c>
      <c r="C6147" t="s">
        <v>10761</v>
      </c>
      <c r="D6147" s="43">
        <v>-45698.79</v>
      </c>
      <c r="E6147" t="s">
        <v>35</v>
      </c>
      <c r="F6147" s="2">
        <v>212901001</v>
      </c>
      <c r="G6147" s="2" t="s">
        <v>121</v>
      </c>
      <c r="L6147" s="2" t="s">
        <v>10762</v>
      </c>
      <c r="M6147" t="s">
        <v>67</v>
      </c>
      <c r="N6147" t="s">
        <v>68</v>
      </c>
      <c r="P6147" s="23">
        <v>115.33</v>
      </c>
      <c r="Q6147" s="4">
        <f t="shared" si="95"/>
        <v>-396.24373536807423</v>
      </c>
      <c r="R6147" s="23" t="s">
        <v>109</v>
      </c>
      <c r="U6147">
        <v>1</v>
      </c>
      <c r="V6147" t="e">
        <f>VLOOKUP(U6147,[1]!NOMINA[#Data],4,FALSE)</f>
        <v>#REF!</v>
      </c>
      <c r="W6147" t="e">
        <f>VLOOKUP(U6147,[1]!NOMINA[#Data],5,FALSE)</f>
        <v>#REF!</v>
      </c>
    </row>
    <row r="6148" spans="1:23" x14ac:dyDescent="0.25">
      <c r="A6148" s="21">
        <v>45852</v>
      </c>
      <c r="B6148" s="1">
        <v>115167798</v>
      </c>
      <c r="C6148" t="s">
        <v>10763</v>
      </c>
      <c r="D6148" s="43">
        <v>-61.65</v>
      </c>
      <c r="E6148" t="s">
        <v>35</v>
      </c>
      <c r="F6148" s="2">
        <v>212901001</v>
      </c>
      <c r="G6148" s="2" t="s">
        <v>121</v>
      </c>
      <c r="L6148" s="2" t="s">
        <v>10764</v>
      </c>
      <c r="M6148" t="s">
        <v>67</v>
      </c>
      <c r="N6148" t="s">
        <v>68</v>
      </c>
      <c r="P6148" s="23">
        <v>115.33</v>
      </c>
      <c r="Q6148" s="4">
        <f t="shared" si="95"/>
        <v>-0.53455302176363473</v>
      </c>
      <c r="R6148" s="23" t="s">
        <v>109</v>
      </c>
      <c r="U6148">
        <v>9</v>
      </c>
      <c r="V6148" t="e">
        <f>VLOOKUP(Tabla3[[#This Row],[Nº]],[1]!NOMINA[#Data],4,FALSE)</f>
        <v>#REF!</v>
      </c>
      <c r="W6148" t="e">
        <f>VLOOKUP(U6148,[1]!NOMINA[#Data],5,FALSE)</f>
        <v>#REF!</v>
      </c>
    </row>
    <row r="6149" spans="1:23" x14ac:dyDescent="0.25">
      <c r="A6149" s="21">
        <v>45852</v>
      </c>
      <c r="B6149" s="1">
        <v>15167795</v>
      </c>
      <c r="C6149" t="s">
        <v>10765</v>
      </c>
      <c r="D6149" s="43">
        <v>-4056.98</v>
      </c>
      <c r="E6149" t="s">
        <v>35</v>
      </c>
      <c r="F6149" s="2">
        <v>212901001</v>
      </c>
      <c r="G6149" s="2" t="s">
        <v>121</v>
      </c>
      <c r="L6149" s="2" t="s">
        <v>10766</v>
      </c>
      <c r="M6149" t="s">
        <v>67</v>
      </c>
      <c r="N6149" t="s">
        <v>68</v>
      </c>
      <c r="P6149" s="23">
        <v>115.33</v>
      </c>
      <c r="Q6149" s="4">
        <f t="shared" si="95"/>
        <v>-35.177143848088093</v>
      </c>
      <c r="R6149" s="23" t="s">
        <v>109</v>
      </c>
      <c r="U6149">
        <v>7</v>
      </c>
      <c r="V6149" t="e">
        <f>VLOOKUP(Tabla3[[#This Row],[Nº]],[1]!NOMINA[#Data],4,FALSE)</f>
        <v>#REF!</v>
      </c>
      <c r="W6149" t="e">
        <f>VLOOKUP(U6149,[1]!NOMINA[#Data],5,FALSE)</f>
        <v>#REF!</v>
      </c>
    </row>
    <row r="6150" spans="1:23" x14ac:dyDescent="0.25">
      <c r="A6150" s="21">
        <v>45852</v>
      </c>
      <c r="B6150" s="1">
        <v>115167799</v>
      </c>
      <c r="C6150" t="s">
        <v>10767</v>
      </c>
      <c r="D6150" s="43">
        <v>-61.65</v>
      </c>
      <c r="E6150" t="s">
        <v>35</v>
      </c>
      <c r="F6150" s="2">
        <v>212901001</v>
      </c>
      <c r="G6150" s="2" t="s">
        <v>121</v>
      </c>
      <c r="L6150" s="2" t="s">
        <v>10768</v>
      </c>
      <c r="M6150" t="s">
        <v>67</v>
      </c>
      <c r="N6150" t="s">
        <v>68</v>
      </c>
      <c r="P6150" s="23">
        <v>115.33</v>
      </c>
      <c r="Q6150" s="4">
        <f t="shared" si="95"/>
        <v>-0.53455302176363473</v>
      </c>
      <c r="R6150" s="23" t="s">
        <v>109</v>
      </c>
      <c r="U6150">
        <v>30</v>
      </c>
      <c r="V6150" t="e">
        <f>VLOOKUP(Tabla3[[#This Row],[Nº]],[1]!NOMINA[#Data],4,FALSE)</f>
        <v>#REF!</v>
      </c>
      <c r="W6150" t="e">
        <f>VLOOKUP(U6150,[1]!NOMINA[#Data],5,FALSE)</f>
        <v>#REF!</v>
      </c>
    </row>
    <row r="6151" spans="1:23" x14ac:dyDescent="0.25">
      <c r="A6151" s="21">
        <v>45852</v>
      </c>
      <c r="B6151" s="1">
        <v>115167800</v>
      </c>
      <c r="C6151" t="s">
        <v>10769</v>
      </c>
      <c r="D6151" s="43">
        <v>-61.65</v>
      </c>
      <c r="E6151" t="s">
        <v>35</v>
      </c>
      <c r="F6151" s="2">
        <v>212901001</v>
      </c>
      <c r="G6151" s="2" t="s">
        <v>121</v>
      </c>
      <c r="L6151" s="2" t="s">
        <v>10770</v>
      </c>
      <c r="M6151" t="s">
        <v>67</v>
      </c>
      <c r="N6151" t="s">
        <v>68</v>
      </c>
      <c r="P6151" s="23">
        <v>115.33</v>
      </c>
      <c r="Q6151" s="4">
        <f t="shared" si="95"/>
        <v>-0.53455302176363473</v>
      </c>
      <c r="R6151" s="23" t="s">
        <v>109</v>
      </c>
      <c r="U6151">
        <v>26</v>
      </c>
      <c r="V6151" t="e">
        <f>VLOOKUP(Tabla3[[#This Row],[Nº]],[1]!NOMINA[#Data],4,FALSE)</f>
        <v>#REF!</v>
      </c>
      <c r="W6151" t="e">
        <f>VLOOKUP(Tabla3[[#This Row],[Nº]],[1]!NOMINA[#Data],5,FALSE)</f>
        <v>#REF!</v>
      </c>
    </row>
    <row r="6152" spans="1:23" x14ac:dyDescent="0.25">
      <c r="A6152" s="21">
        <v>45852</v>
      </c>
      <c r="B6152" s="1">
        <v>115167802</v>
      </c>
      <c r="C6152" t="s">
        <v>10771</v>
      </c>
      <c r="D6152" s="43">
        <v>-61.65</v>
      </c>
      <c r="E6152" t="s">
        <v>35</v>
      </c>
      <c r="F6152" s="2">
        <v>212901001</v>
      </c>
      <c r="G6152" s="2" t="s">
        <v>121</v>
      </c>
      <c r="L6152" s="2" t="s">
        <v>10772</v>
      </c>
      <c r="M6152" t="s">
        <v>67</v>
      </c>
      <c r="N6152" t="s">
        <v>68</v>
      </c>
      <c r="P6152" s="23">
        <v>115.33</v>
      </c>
      <c r="Q6152" s="4">
        <f t="shared" si="95"/>
        <v>-0.53455302176363473</v>
      </c>
      <c r="R6152" s="23" t="s">
        <v>109</v>
      </c>
      <c r="U6152">
        <v>29</v>
      </c>
      <c r="V6152" t="e">
        <f>VLOOKUP(U6152,[1]!NOMINA[#Data],4,FALSE)</f>
        <v>#REF!</v>
      </c>
      <c r="W6152" t="e">
        <f>VLOOKUP(U6152,[1]!NOMINA[#Data],5,FALSE)</f>
        <v>#REF!</v>
      </c>
    </row>
    <row r="6153" spans="1:23" x14ac:dyDescent="0.25">
      <c r="A6153" s="21">
        <v>45852</v>
      </c>
      <c r="B6153" s="1">
        <v>115167803</v>
      </c>
      <c r="C6153" t="s">
        <v>10773</v>
      </c>
      <c r="D6153" s="43">
        <v>-61.65</v>
      </c>
      <c r="E6153" t="s">
        <v>35</v>
      </c>
      <c r="F6153" s="2">
        <v>212901001</v>
      </c>
      <c r="G6153" s="2" t="s">
        <v>121</v>
      </c>
      <c r="L6153" s="2" t="s">
        <v>10774</v>
      </c>
      <c r="M6153" t="s">
        <v>67</v>
      </c>
      <c r="N6153" t="s">
        <v>68</v>
      </c>
      <c r="P6153" s="23">
        <v>115.33</v>
      </c>
      <c r="Q6153" s="4">
        <f t="shared" si="95"/>
        <v>-0.53455302176363473</v>
      </c>
      <c r="R6153" s="23" t="s">
        <v>109</v>
      </c>
      <c r="U6153">
        <v>10</v>
      </c>
      <c r="V6153" t="e">
        <f>VLOOKUP(Tabla3[[#This Row],[Nº]],[1]!NOMINA[#Data],4,FALSE)</f>
        <v>#REF!</v>
      </c>
      <c r="W6153" t="e">
        <f>VLOOKUP(U6153,[1]!NOMINA[#Data],5,FALSE)</f>
        <v>#REF!</v>
      </c>
    </row>
    <row r="6154" spans="1:23" x14ac:dyDescent="0.25">
      <c r="A6154" s="21">
        <v>45852</v>
      </c>
      <c r="B6154" s="1">
        <v>115167805</v>
      </c>
      <c r="C6154" t="s">
        <v>10775</v>
      </c>
      <c r="D6154" s="43">
        <v>-61.65</v>
      </c>
      <c r="E6154" t="s">
        <v>35</v>
      </c>
      <c r="F6154" s="2">
        <v>212901001</v>
      </c>
      <c r="G6154" s="2" t="s">
        <v>121</v>
      </c>
      <c r="L6154" s="2" t="s">
        <v>10776</v>
      </c>
      <c r="M6154" t="s">
        <v>67</v>
      </c>
      <c r="N6154" t="s">
        <v>68</v>
      </c>
      <c r="P6154" s="23">
        <v>115.33</v>
      </c>
      <c r="Q6154" s="4">
        <f t="shared" si="95"/>
        <v>-0.53455302176363473</v>
      </c>
      <c r="R6154" s="23" t="s">
        <v>109</v>
      </c>
      <c r="U6154">
        <v>18</v>
      </c>
      <c r="V6154" t="e">
        <f>VLOOKUP(Tabla3[[#This Row],[Nº]],[1]!NOMINA[#Data],4,FALSE)</f>
        <v>#REF!</v>
      </c>
      <c r="W6154" t="e">
        <f>VLOOKUP(Tabla3[[#This Row],[Nº]],[1]!NOMINA[#Data],5,FALSE)</f>
        <v>#REF!</v>
      </c>
    </row>
    <row r="6155" spans="1:23" x14ac:dyDescent="0.25">
      <c r="A6155" s="21">
        <v>45852</v>
      </c>
      <c r="B6155" s="1">
        <v>115167801</v>
      </c>
      <c r="C6155" t="s">
        <v>10777</v>
      </c>
      <c r="D6155" s="43">
        <v>-61.65</v>
      </c>
      <c r="E6155" t="s">
        <v>35</v>
      </c>
      <c r="F6155" s="2">
        <v>212901001</v>
      </c>
      <c r="G6155" s="2" t="s">
        <v>121</v>
      </c>
      <c r="L6155" s="2" t="s">
        <v>10778</v>
      </c>
      <c r="M6155" t="s">
        <v>67</v>
      </c>
      <c r="N6155" t="s">
        <v>68</v>
      </c>
      <c r="P6155" s="23">
        <v>115.33</v>
      </c>
      <c r="Q6155" s="4">
        <f t="shared" ref="Q6155:Q6218" si="96">D6155/P6155</f>
        <v>-0.53455302176363473</v>
      </c>
      <c r="R6155" s="23" t="s">
        <v>109</v>
      </c>
      <c r="U6155">
        <v>35</v>
      </c>
      <c r="V6155" t="e">
        <f>VLOOKUP(Tabla3[[#This Row],[Nº]],[1]!NOMINA[#Data],4,FALSE)</f>
        <v>#REF!</v>
      </c>
      <c r="W6155" t="e">
        <f>VLOOKUP(U6155,[1]!NOMINA[#Data],5,FALSE)</f>
        <v>#REF!</v>
      </c>
    </row>
    <row r="6156" spans="1:23" x14ac:dyDescent="0.25">
      <c r="A6156" s="21">
        <v>45852</v>
      </c>
      <c r="B6156" s="1">
        <v>215167808</v>
      </c>
      <c r="C6156" t="s">
        <v>10779</v>
      </c>
      <c r="D6156" s="43">
        <v>-53.07</v>
      </c>
      <c r="E6156" t="s">
        <v>35</v>
      </c>
      <c r="F6156" s="2">
        <v>212901001</v>
      </c>
      <c r="G6156" s="2" t="s">
        <v>121</v>
      </c>
      <c r="L6156" s="2" t="s">
        <v>10780</v>
      </c>
      <c r="M6156" t="s">
        <v>67</v>
      </c>
      <c r="N6156" t="s">
        <v>68</v>
      </c>
      <c r="P6156" s="23">
        <v>115.33</v>
      </c>
      <c r="Q6156" s="4">
        <f t="shared" si="96"/>
        <v>-0.46015780802913381</v>
      </c>
      <c r="R6156" s="23" t="s">
        <v>109</v>
      </c>
      <c r="U6156">
        <v>20</v>
      </c>
      <c r="V6156" t="e">
        <f>VLOOKUP(Tabla3[[#This Row],[Nº]],[1]!NOMINA[#Data],4,FALSE)</f>
        <v>#REF!</v>
      </c>
      <c r="W6156" t="e">
        <f>VLOOKUP(U6156,[1]!NOMINA[#Data],5,FALSE)</f>
        <v>#REF!</v>
      </c>
    </row>
    <row r="6157" spans="1:23" x14ac:dyDescent="0.25">
      <c r="A6157" s="21">
        <v>45852</v>
      </c>
      <c r="B6157" s="1">
        <v>115167804</v>
      </c>
      <c r="C6157" t="s">
        <v>10781</v>
      </c>
      <c r="D6157" s="43">
        <v>-61.65</v>
      </c>
      <c r="E6157" t="s">
        <v>35</v>
      </c>
      <c r="F6157" s="2">
        <v>212901001</v>
      </c>
      <c r="G6157" s="2" t="s">
        <v>121</v>
      </c>
      <c r="L6157" s="2" t="s">
        <v>10782</v>
      </c>
      <c r="M6157" t="s">
        <v>67</v>
      </c>
      <c r="N6157" t="s">
        <v>68</v>
      </c>
      <c r="P6157" s="23">
        <v>115.33</v>
      </c>
      <c r="Q6157" s="4">
        <f t="shared" si="96"/>
        <v>-0.53455302176363473</v>
      </c>
      <c r="R6157" s="23" t="s">
        <v>109</v>
      </c>
      <c r="U6157">
        <v>15</v>
      </c>
      <c r="V6157" t="e">
        <f>VLOOKUP(Tabla3[[#This Row],[Nº]],[1]!NOMINA[#Data],4,FALSE)</f>
        <v>#REF!</v>
      </c>
      <c r="W6157" t="e">
        <f>VLOOKUP(U6157,[1]!NOMINA[#Data],5,FALSE)</f>
        <v>#REF!</v>
      </c>
    </row>
    <row r="6158" spans="1:23" x14ac:dyDescent="0.25">
      <c r="A6158" s="21">
        <v>45852</v>
      </c>
      <c r="B6158" s="1">
        <v>215167807</v>
      </c>
      <c r="C6158" t="s">
        <v>10783</v>
      </c>
      <c r="D6158" s="43">
        <v>-61.65</v>
      </c>
      <c r="E6158" t="s">
        <v>35</v>
      </c>
      <c r="F6158" s="2">
        <v>212901001</v>
      </c>
      <c r="G6158" s="2" t="s">
        <v>121</v>
      </c>
      <c r="L6158" s="2" t="s">
        <v>10784</v>
      </c>
      <c r="M6158" t="s">
        <v>67</v>
      </c>
      <c r="N6158" t="s">
        <v>68</v>
      </c>
      <c r="P6158" s="23">
        <v>115.33</v>
      </c>
      <c r="Q6158" s="4">
        <f t="shared" si="96"/>
        <v>-0.53455302176363473</v>
      </c>
      <c r="R6158" s="23" t="s">
        <v>109</v>
      </c>
      <c r="U6158">
        <v>33</v>
      </c>
      <c r="V6158" t="e">
        <f>VLOOKUP(U6158,[1]!NOMINA[#Data],4,FALSE)</f>
        <v>#REF!</v>
      </c>
      <c r="W6158" t="e">
        <f>VLOOKUP(U6158,[1]!NOMINA[#Data],5,FALSE)</f>
        <v>#REF!</v>
      </c>
    </row>
    <row r="6159" spans="1:23" x14ac:dyDescent="0.25">
      <c r="A6159" s="21">
        <v>45852</v>
      </c>
      <c r="B6159" s="1">
        <v>215167810</v>
      </c>
      <c r="C6159" t="s">
        <v>10785</v>
      </c>
      <c r="D6159" s="43">
        <v>-61.65</v>
      </c>
      <c r="E6159" t="s">
        <v>35</v>
      </c>
      <c r="F6159" s="2">
        <v>212901001</v>
      </c>
      <c r="G6159" s="2" t="s">
        <v>121</v>
      </c>
      <c r="L6159" s="2" t="s">
        <v>10786</v>
      </c>
      <c r="M6159" t="s">
        <v>67</v>
      </c>
      <c r="N6159" t="s">
        <v>68</v>
      </c>
      <c r="P6159" s="23">
        <v>115.33</v>
      </c>
      <c r="Q6159" s="4">
        <f t="shared" si="96"/>
        <v>-0.53455302176363473</v>
      </c>
      <c r="R6159" s="23" t="s">
        <v>109</v>
      </c>
      <c r="U6159">
        <v>31</v>
      </c>
      <c r="V6159" t="e">
        <f>VLOOKUP(Tabla3[[#This Row],[Nº]],[1]!NOMINA[#Data],4,FALSE)</f>
        <v>#REF!</v>
      </c>
      <c r="W6159" t="e">
        <f>VLOOKUP(U6159,[1]!NOMINA[#Data],5,FALSE)</f>
        <v>#REF!</v>
      </c>
    </row>
    <row r="6160" spans="1:23" x14ac:dyDescent="0.25">
      <c r="A6160" s="21">
        <v>45852</v>
      </c>
      <c r="B6160" s="1">
        <v>215167809</v>
      </c>
      <c r="C6160" t="s">
        <v>10787</v>
      </c>
      <c r="D6160" s="43">
        <v>-61.65</v>
      </c>
      <c r="E6160" t="s">
        <v>35</v>
      </c>
      <c r="F6160" s="2">
        <v>212901001</v>
      </c>
      <c r="G6160" s="2" t="s">
        <v>121</v>
      </c>
      <c r="L6160" s="2" t="s">
        <v>10788</v>
      </c>
      <c r="M6160" t="s">
        <v>67</v>
      </c>
      <c r="N6160" t="s">
        <v>68</v>
      </c>
      <c r="P6160" s="23">
        <v>115.33</v>
      </c>
      <c r="Q6160" s="4">
        <f t="shared" si="96"/>
        <v>-0.53455302176363473</v>
      </c>
      <c r="R6160" s="23" t="s">
        <v>109</v>
      </c>
      <c r="U6160">
        <v>13</v>
      </c>
      <c r="V6160" t="e">
        <f>VLOOKUP(Tabla3[[#This Row],[Nº]],[1]!NOMINA[#Data],4,FALSE)</f>
        <v>#REF!</v>
      </c>
      <c r="W6160" t="e">
        <f>VLOOKUP(U6160,[1]!NOMINA[#Data],5,FALSE)</f>
        <v>#REF!</v>
      </c>
    </row>
    <row r="6161" spans="1:23" x14ac:dyDescent="0.25">
      <c r="A6161" s="21">
        <v>45852</v>
      </c>
      <c r="B6161" s="1">
        <v>215167813</v>
      </c>
      <c r="C6161" t="s">
        <v>10789</v>
      </c>
      <c r="D6161" s="43">
        <v>-61.65</v>
      </c>
      <c r="E6161" t="s">
        <v>35</v>
      </c>
      <c r="F6161" s="2">
        <v>212901001</v>
      </c>
      <c r="G6161" s="2" t="s">
        <v>121</v>
      </c>
      <c r="L6161" s="2" t="s">
        <v>10790</v>
      </c>
      <c r="M6161" t="s">
        <v>67</v>
      </c>
      <c r="N6161" t="s">
        <v>68</v>
      </c>
      <c r="P6161" s="23">
        <v>115.33</v>
      </c>
      <c r="Q6161" s="4">
        <f t="shared" si="96"/>
        <v>-0.53455302176363473</v>
      </c>
      <c r="R6161" s="23" t="s">
        <v>109</v>
      </c>
      <c r="U6161">
        <v>8</v>
      </c>
      <c r="V6161" t="e">
        <f>VLOOKUP(Tabla3[[#This Row],[Nº]],[1]!NOMINA[#Data],4,FALSE)</f>
        <v>#REF!</v>
      </c>
      <c r="W6161" t="e">
        <f>VLOOKUP(U6161,[1]!NOMINA[#Data],5,FALSE)</f>
        <v>#REF!</v>
      </c>
    </row>
    <row r="6162" spans="1:23" x14ac:dyDescent="0.25">
      <c r="A6162" s="21">
        <v>45852</v>
      </c>
      <c r="B6162" s="1">
        <v>215167812</v>
      </c>
      <c r="C6162" t="s">
        <v>10791</v>
      </c>
      <c r="D6162" s="43">
        <v>-61.65</v>
      </c>
      <c r="E6162" t="s">
        <v>35</v>
      </c>
      <c r="F6162" s="2">
        <v>212901001</v>
      </c>
      <c r="G6162" s="2" t="s">
        <v>121</v>
      </c>
      <c r="L6162" s="2" t="s">
        <v>10792</v>
      </c>
      <c r="M6162" t="s">
        <v>67</v>
      </c>
      <c r="N6162" t="s">
        <v>68</v>
      </c>
      <c r="P6162" s="23">
        <v>115.33</v>
      </c>
      <c r="Q6162" s="4">
        <f t="shared" si="96"/>
        <v>-0.53455302176363473</v>
      </c>
      <c r="R6162" s="23" t="s">
        <v>109</v>
      </c>
      <c r="U6162">
        <v>11</v>
      </c>
      <c r="V6162" t="e">
        <f>VLOOKUP(Tabla3[[#This Row],[Nº]],[1]!NOMINA[#Data],4,FALSE)</f>
        <v>#REF!</v>
      </c>
      <c r="W6162" t="e">
        <f>VLOOKUP(U6162,[1]!NOMINA[#Data],5,FALSE)</f>
        <v>#REF!</v>
      </c>
    </row>
    <row r="6163" spans="1:23" x14ac:dyDescent="0.25">
      <c r="A6163" s="21">
        <v>45852</v>
      </c>
      <c r="B6163" s="1">
        <v>215167814</v>
      </c>
      <c r="C6163" t="s">
        <v>10793</v>
      </c>
      <c r="D6163" s="43">
        <v>-61.65</v>
      </c>
      <c r="E6163" t="s">
        <v>35</v>
      </c>
      <c r="F6163" s="2">
        <v>212901001</v>
      </c>
      <c r="G6163" s="2" t="s">
        <v>121</v>
      </c>
      <c r="L6163" s="2" t="s">
        <v>10794</v>
      </c>
      <c r="M6163" t="s">
        <v>67</v>
      </c>
      <c r="N6163" t="s">
        <v>68</v>
      </c>
      <c r="P6163" s="23">
        <v>115.33</v>
      </c>
      <c r="Q6163" s="4">
        <f t="shared" si="96"/>
        <v>-0.53455302176363473</v>
      </c>
      <c r="R6163" s="23" t="s">
        <v>109</v>
      </c>
      <c r="U6163">
        <v>23</v>
      </c>
      <c r="V6163" t="e">
        <f>VLOOKUP(Tabla3[[#This Row],[Nº]],[1]!NOMINA[#Data],4,FALSE)</f>
        <v>#REF!</v>
      </c>
      <c r="W6163" t="e">
        <f>VLOOKUP(U6163,[1]!NOMINA[#Data],5,FALSE)</f>
        <v>#REF!</v>
      </c>
    </row>
    <row r="6164" spans="1:23" x14ac:dyDescent="0.25">
      <c r="A6164" s="21">
        <v>45852</v>
      </c>
      <c r="B6164" s="1">
        <v>215167815</v>
      </c>
      <c r="C6164" t="s">
        <v>10795</v>
      </c>
      <c r="D6164" s="43">
        <v>-61.65</v>
      </c>
      <c r="E6164" t="s">
        <v>35</v>
      </c>
      <c r="F6164" s="2">
        <v>212901001</v>
      </c>
      <c r="G6164" s="2" t="s">
        <v>121</v>
      </c>
      <c r="L6164" s="2" t="s">
        <v>10796</v>
      </c>
      <c r="M6164" t="s">
        <v>67</v>
      </c>
      <c r="N6164" t="s">
        <v>68</v>
      </c>
      <c r="P6164" s="23">
        <v>115.33</v>
      </c>
      <c r="Q6164" s="4">
        <f t="shared" si="96"/>
        <v>-0.53455302176363473</v>
      </c>
      <c r="R6164" s="23" t="s">
        <v>109</v>
      </c>
      <c r="U6164">
        <v>17</v>
      </c>
      <c r="V6164" t="e">
        <f>VLOOKUP(Tabla3[[#This Row],[Nº]],[1]!NOMINA[#Data],4,FALSE)</f>
        <v>#REF!</v>
      </c>
      <c r="W6164" t="e">
        <f>VLOOKUP(U6164,[1]!NOMINA[#Data],5,FALSE)</f>
        <v>#REF!</v>
      </c>
    </row>
    <row r="6165" spans="1:23" x14ac:dyDescent="0.25">
      <c r="A6165" s="21">
        <v>45852</v>
      </c>
      <c r="B6165" s="1">
        <v>315167816</v>
      </c>
      <c r="C6165" t="s">
        <v>10797</v>
      </c>
      <c r="D6165" s="43">
        <v>-61.65</v>
      </c>
      <c r="E6165" t="s">
        <v>35</v>
      </c>
      <c r="F6165" s="2">
        <v>212901001</v>
      </c>
      <c r="G6165" s="2" t="s">
        <v>121</v>
      </c>
      <c r="L6165" s="2" t="s">
        <v>10798</v>
      </c>
      <c r="M6165" t="s">
        <v>67</v>
      </c>
      <c r="N6165" t="s">
        <v>68</v>
      </c>
      <c r="P6165" s="23">
        <v>115.33</v>
      </c>
      <c r="Q6165" s="4">
        <f t="shared" si="96"/>
        <v>-0.53455302176363473</v>
      </c>
      <c r="R6165" s="23" t="s">
        <v>109</v>
      </c>
      <c r="U6165">
        <v>32</v>
      </c>
      <c r="V6165" t="e">
        <f>VLOOKUP(Tabla3[[#This Row],[Nº]],[1]!NOMINA[#Data],4,FALSE)</f>
        <v>#REF!</v>
      </c>
      <c r="W6165" t="e">
        <f>VLOOKUP(U6165,[1]!NOMINA[#Data],5,FALSE)</f>
        <v>#REF!</v>
      </c>
    </row>
    <row r="6166" spans="1:23" x14ac:dyDescent="0.25">
      <c r="A6166" s="21">
        <v>45852</v>
      </c>
      <c r="B6166" s="1">
        <v>315167819</v>
      </c>
      <c r="C6166" t="s">
        <v>10799</v>
      </c>
      <c r="D6166" s="43">
        <v>-57.36</v>
      </c>
      <c r="E6166" t="s">
        <v>35</v>
      </c>
      <c r="F6166" s="2">
        <v>212901001</v>
      </c>
      <c r="G6166" s="2" t="s">
        <v>121</v>
      </c>
      <c r="L6166" s="2" t="s">
        <v>10800</v>
      </c>
      <c r="M6166" t="s">
        <v>67</v>
      </c>
      <c r="N6166" t="s">
        <v>68</v>
      </c>
      <c r="P6166" s="23">
        <v>115.33</v>
      </c>
      <c r="Q6166" s="4">
        <f t="shared" si="96"/>
        <v>-0.4973554148963843</v>
      </c>
      <c r="R6166" s="23" t="s">
        <v>109</v>
      </c>
      <c r="U6166">
        <v>14</v>
      </c>
      <c r="V6166" t="e">
        <f>VLOOKUP(Tabla3[[#This Row],[Nº]],[1]!NOMINA[#Data],4,FALSE)</f>
        <v>#REF!</v>
      </c>
      <c r="W6166" t="e">
        <f>VLOOKUP(U6166,[1]!NOMINA[#Data],5,FALSE)</f>
        <v>#REF!</v>
      </c>
    </row>
    <row r="6167" spans="1:23" x14ac:dyDescent="0.25">
      <c r="A6167" s="21">
        <v>45852</v>
      </c>
      <c r="B6167" s="1">
        <v>315167818</v>
      </c>
      <c r="C6167" t="s">
        <v>10801</v>
      </c>
      <c r="D6167" s="43">
        <v>-61.65</v>
      </c>
      <c r="E6167" t="s">
        <v>35</v>
      </c>
      <c r="F6167" s="2">
        <v>212901001</v>
      </c>
      <c r="G6167" s="2" t="s">
        <v>121</v>
      </c>
      <c r="L6167" s="2" t="s">
        <v>10802</v>
      </c>
      <c r="M6167" t="s">
        <v>67</v>
      </c>
      <c r="N6167" t="s">
        <v>68</v>
      </c>
      <c r="P6167" s="23">
        <v>115.33</v>
      </c>
      <c r="Q6167" s="4">
        <f t="shared" si="96"/>
        <v>-0.53455302176363473</v>
      </c>
      <c r="R6167" s="23" t="s">
        <v>109</v>
      </c>
      <c r="U6167">
        <v>4</v>
      </c>
      <c r="V6167" t="e">
        <f>VLOOKUP(Tabla3[[#This Row],[Nº]],[1]!NOMINA[#Data],4,FALSE)</f>
        <v>#REF!</v>
      </c>
      <c r="W6167" t="e">
        <f>VLOOKUP(U6167,[1]!NOMINA[#Data],5,FALSE)</f>
        <v>#REF!</v>
      </c>
    </row>
    <row r="6168" spans="1:23" x14ac:dyDescent="0.25">
      <c r="A6168" s="21">
        <v>45852</v>
      </c>
      <c r="B6168" s="1">
        <v>315167817</v>
      </c>
      <c r="C6168" t="s">
        <v>10803</v>
      </c>
      <c r="D6168" s="43">
        <v>-61.65</v>
      </c>
      <c r="E6168" t="s">
        <v>35</v>
      </c>
      <c r="F6168" s="2">
        <v>212901001</v>
      </c>
      <c r="G6168" s="2" t="s">
        <v>121</v>
      </c>
      <c r="L6168" s="2" t="s">
        <v>10804</v>
      </c>
      <c r="M6168" t="s">
        <v>67</v>
      </c>
      <c r="N6168" t="s">
        <v>68</v>
      </c>
      <c r="P6168" s="23">
        <v>115.33</v>
      </c>
      <c r="Q6168" s="4">
        <f t="shared" si="96"/>
        <v>-0.53455302176363473</v>
      </c>
      <c r="R6168" s="23" t="s">
        <v>109</v>
      </c>
      <c r="U6168">
        <v>34</v>
      </c>
      <c r="V6168" t="e">
        <f>VLOOKUP(U6168,[1]!NOMINA[#Data],4,FALSE)</f>
        <v>#REF!</v>
      </c>
      <c r="W6168" t="e">
        <f>VLOOKUP(U6168,[1]!NOMINA[#Data],5,FALSE)</f>
        <v>#REF!</v>
      </c>
    </row>
    <row r="6169" spans="1:23" x14ac:dyDescent="0.25">
      <c r="A6169" s="21">
        <v>45852</v>
      </c>
      <c r="B6169" s="1">
        <v>315167822</v>
      </c>
      <c r="C6169" t="s">
        <v>10805</v>
      </c>
      <c r="D6169" s="43">
        <v>-61.65</v>
      </c>
      <c r="E6169" t="s">
        <v>35</v>
      </c>
      <c r="F6169" s="2">
        <v>212901001</v>
      </c>
      <c r="G6169" s="2" t="s">
        <v>121</v>
      </c>
      <c r="L6169" s="2" t="s">
        <v>10806</v>
      </c>
      <c r="M6169" t="s">
        <v>67</v>
      </c>
      <c r="N6169" t="s">
        <v>68</v>
      </c>
      <c r="P6169" s="23">
        <v>115.33</v>
      </c>
      <c r="Q6169" s="4">
        <f t="shared" si="96"/>
        <v>-0.53455302176363473</v>
      </c>
      <c r="R6169" s="23" t="s">
        <v>109</v>
      </c>
      <c r="U6169">
        <v>22</v>
      </c>
      <c r="V6169" t="e">
        <f>VLOOKUP(Tabla3[[#This Row],[Nº]],[1]!NOMINA[#Data],4,FALSE)</f>
        <v>#REF!</v>
      </c>
      <c r="W6169" t="e">
        <f>VLOOKUP(U6169,[1]!NOMINA[#Data],5,FALSE)</f>
        <v>#REF!</v>
      </c>
    </row>
    <row r="6170" spans="1:23" x14ac:dyDescent="0.25">
      <c r="A6170" s="21">
        <v>45852</v>
      </c>
      <c r="B6170" s="1">
        <v>315167820</v>
      </c>
      <c r="C6170" t="s">
        <v>10807</v>
      </c>
      <c r="D6170" s="43">
        <v>-61.65</v>
      </c>
      <c r="E6170" t="s">
        <v>35</v>
      </c>
      <c r="F6170" s="2">
        <v>212901001</v>
      </c>
      <c r="G6170" s="2" t="s">
        <v>121</v>
      </c>
      <c r="L6170" s="2" t="s">
        <v>10808</v>
      </c>
      <c r="M6170" t="s">
        <v>67</v>
      </c>
      <c r="N6170" t="s">
        <v>68</v>
      </c>
      <c r="P6170" s="23">
        <v>115.33</v>
      </c>
      <c r="Q6170" s="4">
        <f t="shared" si="96"/>
        <v>-0.53455302176363473</v>
      </c>
      <c r="R6170" s="23" t="s">
        <v>109</v>
      </c>
      <c r="U6170">
        <v>21</v>
      </c>
      <c r="V6170" t="e">
        <f>VLOOKUP(Tabla3[[#This Row],[Nº]],[1]!NOMINA[#Data],4,FALSE)</f>
        <v>#REF!</v>
      </c>
      <c r="W6170" t="e">
        <f>VLOOKUP(U6170,[1]!NOMINA[#Data],5,FALSE)</f>
        <v>#REF!</v>
      </c>
    </row>
    <row r="6171" spans="1:23" x14ac:dyDescent="0.25">
      <c r="A6171" s="21">
        <v>45852</v>
      </c>
      <c r="B6171" s="1">
        <v>315167824</v>
      </c>
      <c r="C6171" t="s">
        <v>10809</v>
      </c>
      <c r="D6171" s="43">
        <v>-61.65</v>
      </c>
      <c r="E6171" t="s">
        <v>35</v>
      </c>
      <c r="F6171" s="2">
        <v>212901001</v>
      </c>
      <c r="G6171" s="2" t="s">
        <v>121</v>
      </c>
      <c r="L6171" s="2" t="s">
        <v>10810</v>
      </c>
      <c r="M6171" t="s">
        <v>67</v>
      </c>
      <c r="N6171" t="s">
        <v>68</v>
      </c>
      <c r="P6171" s="23">
        <v>115.33</v>
      </c>
      <c r="Q6171" s="4">
        <f t="shared" si="96"/>
        <v>-0.53455302176363473</v>
      </c>
      <c r="R6171" s="23" t="s">
        <v>109</v>
      </c>
      <c r="U6171">
        <v>25</v>
      </c>
      <c r="V6171" t="e">
        <f>VLOOKUP(Tabla3[[#This Row],[Nº]],[1]!NOMINA[#Data],4,FALSE)</f>
        <v>#REF!</v>
      </c>
      <c r="W6171" t="e">
        <f>VLOOKUP(U6171,[1]!NOMINA[#Data],5,FALSE)</f>
        <v>#REF!</v>
      </c>
    </row>
    <row r="6172" spans="1:23" x14ac:dyDescent="0.25">
      <c r="A6172" s="21">
        <v>45852</v>
      </c>
      <c r="B6172" s="1">
        <v>315167823</v>
      </c>
      <c r="C6172" t="s">
        <v>10811</v>
      </c>
      <c r="D6172" s="43">
        <v>-61.65</v>
      </c>
      <c r="E6172" t="s">
        <v>35</v>
      </c>
      <c r="F6172" s="2">
        <v>212901001</v>
      </c>
      <c r="G6172" s="2" t="s">
        <v>121</v>
      </c>
      <c r="L6172" s="2" t="s">
        <v>10812</v>
      </c>
      <c r="M6172" t="s">
        <v>67</v>
      </c>
      <c r="N6172" t="s">
        <v>68</v>
      </c>
      <c r="P6172" s="23">
        <v>115.33</v>
      </c>
      <c r="Q6172" s="4">
        <f t="shared" si="96"/>
        <v>-0.53455302176363473</v>
      </c>
      <c r="R6172" s="23" t="s">
        <v>109</v>
      </c>
      <c r="U6172">
        <v>12</v>
      </c>
      <c r="V6172" t="e">
        <f>VLOOKUP(Tabla3[[#This Row],[Nº]],[1]!NOMINA[#Data],4,FALSE)</f>
        <v>#REF!</v>
      </c>
      <c r="W6172" t="e">
        <f>VLOOKUP(U6172,[1]!NOMINA[#Data],5,FALSE)</f>
        <v>#REF!</v>
      </c>
    </row>
    <row r="6173" spans="1:23" x14ac:dyDescent="0.25">
      <c r="A6173" s="21">
        <v>45852</v>
      </c>
      <c r="B6173" s="1">
        <v>415167825</v>
      </c>
      <c r="C6173" t="s">
        <v>10813</v>
      </c>
      <c r="D6173" s="43">
        <v>-57.36</v>
      </c>
      <c r="E6173" t="s">
        <v>35</v>
      </c>
      <c r="F6173" s="2">
        <v>212901001</v>
      </c>
      <c r="G6173" s="2" t="s">
        <v>121</v>
      </c>
      <c r="L6173" s="2" t="s">
        <v>10814</v>
      </c>
      <c r="M6173" t="s">
        <v>67</v>
      </c>
      <c r="N6173" t="s">
        <v>68</v>
      </c>
      <c r="P6173" s="23">
        <v>115.33</v>
      </c>
      <c r="Q6173" s="4">
        <f t="shared" si="96"/>
        <v>-0.4973554148963843</v>
      </c>
      <c r="R6173" s="23" t="s">
        <v>109</v>
      </c>
      <c r="U6173">
        <v>6</v>
      </c>
      <c r="V6173" t="e">
        <f>VLOOKUP(Tabla3[[#This Row],[Nº]],[1]!NOMINA[#Data],4,FALSE)</f>
        <v>#REF!</v>
      </c>
      <c r="W6173" t="e">
        <f>VLOOKUP(U6173,[1]!NOMINA[#Data],5,FALSE)</f>
        <v>#REF!</v>
      </c>
    </row>
    <row r="6174" spans="1:23" x14ac:dyDescent="0.25">
      <c r="A6174" s="21">
        <v>45852</v>
      </c>
      <c r="B6174" s="1">
        <v>415167827</v>
      </c>
      <c r="C6174" t="s">
        <v>10815</v>
      </c>
      <c r="D6174" s="43">
        <v>-61.65</v>
      </c>
      <c r="E6174" t="s">
        <v>35</v>
      </c>
      <c r="F6174" s="2">
        <v>212901001</v>
      </c>
      <c r="G6174" s="2" t="s">
        <v>121</v>
      </c>
      <c r="L6174" s="2" t="s">
        <v>10816</v>
      </c>
      <c r="M6174" t="s">
        <v>67</v>
      </c>
      <c r="N6174" t="s">
        <v>68</v>
      </c>
      <c r="P6174" s="23">
        <v>115.33</v>
      </c>
      <c r="Q6174" s="4">
        <f t="shared" si="96"/>
        <v>-0.53455302176363473</v>
      </c>
      <c r="R6174" s="23" t="s">
        <v>109</v>
      </c>
      <c r="U6174">
        <v>2</v>
      </c>
      <c r="V6174" t="e">
        <f>VLOOKUP(Tabla3[[#This Row],[Nº]],[1]!NOMINA[#Data],4,FALSE)</f>
        <v>#REF!</v>
      </c>
      <c r="W6174" t="e">
        <f>VLOOKUP(Tabla3[[#This Row],[Nº]],[1]!NOMINA[#Data],5,FALSE)</f>
        <v>#REF!</v>
      </c>
    </row>
    <row r="6175" spans="1:23" x14ac:dyDescent="0.25">
      <c r="A6175" s="21">
        <v>45852</v>
      </c>
      <c r="B6175" s="1">
        <v>415167826</v>
      </c>
      <c r="C6175" t="s">
        <v>10817</v>
      </c>
      <c r="D6175" s="43">
        <v>-61.65</v>
      </c>
      <c r="E6175" t="s">
        <v>35</v>
      </c>
      <c r="F6175" s="2">
        <v>212901001</v>
      </c>
      <c r="G6175" s="2" t="s">
        <v>121</v>
      </c>
      <c r="L6175" s="2" t="s">
        <v>10818</v>
      </c>
      <c r="M6175" t="s">
        <v>67</v>
      </c>
      <c r="N6175" t="s">
        <v>68</v>
      </c>
      <c r="P6175" s="23">
        <v>115.33</v>
      </c>
      <c r="Q6175" s="4">
        <f t="shared" si="96"/>
        <v>-0.53455302176363473</v>
      </c>
      <c r="R6175" s="23" t="s">
        <v>109</v>
      </c>
      <c r="U6175">
        <v>28</v>
      </c>
      <c r="V6175" t="e">
        <f>VLOOKUP(Tabla3[[#This Row],[Nº]],[1]!NOMINA[#Data],4,FALSE)</f>
        <v>#REF!</v>
      </c>
      <c r="W6175" t="e">
        <f>VLOOKUP(U6175,[1]!NOMINA[#Data],5,FALSE)</f>
        <v>#REF!</v>
      </c>
    </row>
    <row r="6176" spans="1:23" x14ac:dyDescent="0.25">
      <c r="A6176" s="21">
        <v>45852</v>
      </c>
      <c r="B6176" s="1">
        <v>315167821</v>
      </c>
      <c r="C6176" t="s">
        <v>10819</v>
      </c>
      <c r="D6176" s="43">
        <v>-61.65</v>
      </c>
      <c r="E6176" t="s">
        <v>35</v>
      </c>
      <c r="F6176" s="2">
        <v>212901001</v>
      </c>
      <c r="G6176" s="2" t="s">
        <v>121</v>
      </c>
      <c r="L6176" s="2" t="s">
        <v>10820</v>
      </c>
      <c r="M6176" t="s">
        <v>67</v>
      </c>
      <c r="N6176" t="s">
        <v>68</v>
      </c>
      <c r="P6176" s="23">
        <v>115.33</v>
      </c>
      <c r="Q6176" s="4">
        <f t="shared" si="96"/>
        <v>-0.53455302176363473</v>
      </c>
      <c r="R6176" s="23" t="s">
        <v>109</v>
      </c>
      <c r="U6176">
        <v>24</v>
      </c>
      <c r="V6176" t="e">
        <f>VLOOKUP(Tabla3[[#This Row],[Nº]],[1]!NOMINA[#Data],4,FALSE)</f>
        <v>#REF!</v>
      </c>
      <c r="W6176" t="e">
        <f>VLOOKUP(U6176,[1]!NOMINA[#Data],5,FALSE)</f>
        <v>#REF!</v>
      </c>
    </row>
    <row r="6177" spans="1:23" x14ac:dyDescent="0.25">
      <c r="A6177" s="21">
        <v>45852</v>
      </c>
      <c r="B6177" s="1">
        <v>415167828</v>
      </c>
      <c r="C6177" t="s">
        <v>10821</v>
      </c>
      <c r="D6177" s="43">
        <v>-61.65</v>
      </c>
      <c r="E6177" t="s">
        <v>35</v>
      </c>
      <c r="F6177" s="2">
        <v>212901001</v>
      </c>
      <c r="G6177" s="2" t="s">
        <v>121</v>
      </c>
      <c r="L6177" s="2" t="s">
        <v>10822</v>
      </c>
      <c r="M6177" t="s">
        <v>67</v>
      </c>
      <c r="N6177" t="s">
        <v>68</v>
      </c>
      <c r="P6177" s="23">
        <v>115.33</v>
      </c>
      <c r="Q6177" s="4">
        <f t="shared" si="96"/>
        <v>-0.53455302176363473</v>
      </c>
      <c r="R6177" s="23" t="s">
        <v>109</v>
      </c>
      <c r="U6177">
        <v>3</v>
      </c>
      <c r="V6177" t="e">
        <f>VLOOKUP(Tabla3[[#This Row],[Nº]],[1]!NOMINA[#Data],4,FALSE)</f>
        <v>#REF!</v>
      </c>
      <c r="W6177" t="e">
        <f>VLOOKUP(U6177,[1]!NOMINA[#Data],5,FALSE)</f>
        <v>#REF!</v>
      </c>
    </row>
    <row r="6178" spans="1:23" x14ac:dyDescent="0.25">
      <c r="A6178" s="21">
        <v>45852</v>
      </c>
      <c r="B6178" s="1">
        <v>415167829</v>
      </c>
      <c r="C6178" t="s">
        <v>10823</v>
      </c>
      <c r="D6178" s="43">
        <v>-61.65</v>
      </c>
      <c r="E6178" t="s">
        <v>35</v>
      </c>
      <c r="F6178" s="2">
        <v>212901001</v>
      </c>
      <c r="G6178" s="2" t="s">
        <v>121</v>
      </c>
      <c r="L6178" s="2" t="s">
        <v>10824</v>
      </c>
      <c r="M6178" t="s">
        <v>67</v>
      </c>
      <c r="N6178" t="s">
        <v>68</v>
      </c>
      <c r="P6178" s="23">
        <v>115.33</v>
      </c>
      <c r="Q6178" s="4">
        <f t="shared" si="96"/>
        <v>-0.53455302176363473</v>
      </c>
      <c r="R6178" s="23" t="s">
        <v>109</v>
      </c>
      <c r="U6178">
        <v>27</v>
      </c>
      <c r="V6178" t="e">
        <f>VLOOKUP(Tabla3[[#This Row],[Nº]],[1]!NOMINA[#Data],4,FALSE)</f>
        <v>#REF!</v>
      </c>
      <c r="W6178" t="e">
        <f>VLOOKUP(U6178,[1]!NOMINA[#Data],5,FALSE)</f>
        <v>#REF!</v>
      </c>
    </row>
    <row r="6179" spans="1:23" x14ac:dyDescent="0.25">
      <c r="A6179" s="21">
        <v>45852</v>
      </c>
      <c r="B6179" s="1">
        <v>415167830</v>
      </c>
      <c r="C6179" t="s">
        <v>10825</v>
      </c>
      <c r="D6179" s="43">
        <v>-61.65</v>
      </c>
      <c r="E6179" t="s">
        <v>35</v>
      </c>
      <c r="F6179" s="2">
        <v>212901001</v>
      </c>
      <c r="G6179" s="2" t="s">
        <v>121</v>
      </c>
      <c r="L6179" s="2" t="s">
        <v>10826</v>
      </c>
      <c r="M6179" t="s">
        <v>67</v>
      </c>
      <c r="N6179" t="s">
        <v>68</v>
      </c>
      <c r="P6179" s="23">
        <v>115.33</v>
      </c>
      <c r="Q6179" s="4">
        <f t="shared" si="96"/>
        <v>-0.53455302176363473</v>
      </c>
      <c r="R6179" s="23" t="s">
        <v>109</v>
      </c>
      <c r="U6179">
        <v>19</v>
      </c>
      <c r="V6179" t="e">
        <f>VLOOKUP(Tabla3[[#This Row],[Nº]],[1]!NOMINA[#Data],4,FALSE)</f>
        <v>#REF!</v>
      </c>
      <c r="W6179" t="e">
        <f>VLOOKUP(U6179,[1]!NOMINA[#Data],5,FALSE)</f>
        <v>#REF!</v>
      </c>
    </row>
    <row r="6180" spans="1:23" x14ac:dyDescent="0.25">
      <c r="A6180" s="21">
        <v>45852</v>
      </c>
      <c r="B6180" s="1">
        <v>415167833</v>
      </c>
      <c r="C6180" t="s">
        <v>10827</v>
      </c>
      <c r="D6180" s="43">
        <v>-61.65</v>
      </c>
      <c r="E6180" t="s">
        <v>35</v>
      </c>
      <c r="F6180" s="2">
        <v>212901001</v>
      </c>
      <c r="G6180" s="2" t="s">
        <v>121</v>
      </c>
      <c r="L6180" s="2" t="s">
        <v>10828</v>
      </c>
      <c r="M6180" t="s">
        <v>67</v>
      </c>
      <c r="N6180" t="s">
        <v>68</v>
      </c>
      <c r="P6180" s="23">
        <v>115.33</v>
      </c>
      <c r="Q6180" s="4">
        <f t="shared" si="96"/>
        <v>-0.53455302176363473</v>
      </c>
      <c r="R6180" s="23" t="s">
        <v>109</v>
      </c>
      <c r="U6180">
        <v>5</v>
      </c>
      <c r="V6180" t="e">
        <f>VLOOKUP(Tabla3[[#This Row],[Nº]],[1]!NOMINA[#Data],4,FALSE)</f>
        <v>#REF!</v>
      </c>
      <c r="W6180" t="e">
        <f>VLOOKUP(U6180,[1]!NOMINA[#Data],5,FALSE)</f>
        <v>#REF!</v>
      </c>
    </row>
    <row r="6181" spans="1:23" x14ac:dyDescent="0.25">
      <c r="A6181" s="21">
        <v>45852</v>
      </c>
      <c r="B6181" s="1">
        <v>415167832</v>
      </c>
      <c r="C6181" t="s">
        <v>10829</v>
      </c>
      <c r="D6181" s="43">
        <v>-61.65</v>
      </c>
      <c r="E6181" t="s">
        <v>35</v>
      </c>
      <c r="F6181" s="2">
        <v>212901001</v>
      </c>
      <c r="G6181" s="2" t="s">
        <v>121</v>
      </c>
      <c r="L6181" s="2" t="s">
        <v>10830</v>
      </c>
      <c r="M6181" t="s">
        <v>67</v>
      </c>
      <c r="N6181" t="s">
        <v>68</v>
      </c>
      <c r="P6181" s="23">
        <v>115.33</v>
      </c>
      <c r="Q6181" s="4">
        <f t="shared" si="96"/>
        <v>-0.53455302176363473</v>
      </c>
      <c r="R6181" s="23" t="s">
        <v>109</v>
      </c>
      <c r="U6181">
        <v>16</v>
      </c>
      <c r="V6181" t="e">
        <f>VLOOKUP(Tabla3[[#This Row],[Nº]],[1]!NOMINA[#Data],4,FALSE)</f>
        <v>#REF!</v>
      </c>
      <c r="W6181" t="e">
        <f>VLOOKUP(Tabla3[[#This Row],[Nº]],[1]!NOMINA[#Data],5,FALSE)</f>
        <v>#REF!</v>
      </c>
    </row>
    <row r="6182" spans="1:23" x14ac:dyDescent="0.25">
      <c r="A6182" s="21">
        <v>45852</v>
      </c>
      <c r="B6182" s="1">
        <v>415167831</v>
      </c>
      <c r="C6182" t="s">
        <v>10831</v>
      </c>
      <c r="D6182" s="43">
        <v>-61.65</v>
      </c>
      <c r="E6182" t="s">
        <v>35</v>
      </c>
      <c r="F6182" s="2">
        <v>212901001</v>
      </c>
      <c r="G6182" s="2" t="s">
        <v>121</v>
      </c>
      <c r="L6182" s="2" t="s">
        <v>10832</v>
      </c>
      <c r="M6182" t="s">
        <v>67</v>
      </c>
      <c r="N6182" t="s">
        <v>68</v>
      </c>
      <c r="P6182" s="23">
        <v>115.33</v>
      </c>
      <c r="Q6182" s="4">
        <f t="shared" si="96"/>
        <v>-0.53455302176363473</v>
      </c>
      <c r="R6182" s="23" t="s">
        <v>109</v>
      </c>
      <c r="U6182">
        <v>7</v>
      </c>
      <c r="V6182" t="e">
        <f>VLOOKUP(Tabla3[[#This Row],[Nº]],[1]!NOMINA[#Data],4,FALSE)</f>
        <v>#REF!</v>
      </c>
      <c r="W6182" t="e">
        <f>VLOOKUP(U6182,[1]!NOMINA[#Data],5,FALSE)</f>
        <v>#REF!</v>
      </c>
    </row>
    <row r="6183" spans="1:23" x14ac:dyDescent="0.25">
      <c r="A6183" s="21">
        <v>45852</v>
      </c>
      <c r="B6183" s="1">
        <v>50744066</v>
      </c>
      <c r="C6183" t="s">
        <v>118</v>
      </c>
      <c r="D6183" s="43">
        <v>-993.88</v>
      </c>
      <c r="E6183" t="s">
        <v>35</v>
      </c>
      <c r="F6183" s="2">
        <v>610148001</v>
      </c>
      <c r="G6183" s="2" t="s">
        <v>42</v>
      </c>
      <c r="L6183" s="2" t="s">
        <v>10833</v>
      </c>
      <c r="M6183" t="s">
        <v>43</v>
      </c>
      <c r="N6183" t="s">
        <v>42</v>
      </c>
      <c r="P6183" s="23">
        <v>115.33</v>
      </c>
      <c r="Q6183" s="4">
        <f t="shared" si="96"/>
        <v>-8.617705714037978</v>
      </c>
      <c r="R6183" s="23" t="s">
        <v>109</v>
      </c>
      <c r="T6183" s="23" t="s">
        <v>10222</v>
      </c>
    </row>
    <row r="6184" spans="1:23" x14ac:dyDescent="0.25">
      <c r="A6184" s="21">
        <v>45852</v>
      </c>
      <c r="B6184" s="1">
        <v>50744066</v>
      </c>
      <c r="C6184" t="s">
        <v>1565</v>
      </c>
      <c r="D6184" s="43">
        <v>-0.26</v>
      </c>
      <c r="E6184" t="s">
        <v>35</v>
      </c>
      <c r="F6184" s="2">
        <v>610148001</v>
      </c>
      <c r="G6184" s="2" t="s">
        <v>42</v>
      </c>
      <c r="L6184" s="2" t="s">
        <v>10834</v>
      </c>
      <c r="M6184" t="s">
        <v>43</v>
      </c>
      <c r="N6184" t="s">
        <v>42</v>
      </c>
      <c r="P6184" s="23">
        <v>115.33</v>
      </c>
      <c r="Q6184" s="4">
        <f t="shared" si="96"/>
        <v>-2.2544004161970002E-3</v>
      </c>
      <c r="R6184" s="23" t="s">
        <v>109</v>
      </c>
      <c r="T6184" s="23" t="s">
        <v>10222</v>
      </c>
    </row>
    <row r="6185" spans="1:23" x14ac:dyDescent="0.25">
      <c r="A6185" s="21">
        <v>45852</v>
      </c>
      <c r="B6185" s="1">
        <v>15168101</v>
      </c>
      <c r="C6185" t="s">
        <v>10835</v>
      </c>
      <c r="D6185" s="43">
        <v>-61.65</v>
      </c>
      <c r="E6185" t="s">
        <v>35</v>
      </c>
      <c r="F6185" s="2">
        <v>212901001</v>
      </c>
      <c r="G6185" s="2" t="s">
        <v>121</v>
      </c>
      <c r="L6185" s="2" t="s">
        <v>10836</v>
      </c>
      <c r="M6185" t="s">
        <v>67</v>
      </c>
      <c r="N6185" t="s">
        <v>68</v>
      </c>
      <c r="P6185" s="23">
        <v>115.33</v>
      </c>
      <c r="Q6185" s="4">
        <f t="shared" si="96"/>
        <v>-0.53455302176363473</v>
      </c>
      <c r="R6185" s="23" t="s">
        <v>109</v>
      </c>
      <c r="U6185">
        <v>1</v>
      </c>
      <c r="V6185" t="e">
        <f>VLOOKUP(U6185,[1]!NOMINA[#Data],4,FALSE)</f>
        <v>#REF!</v>
      </c>
      <c r="W6185" t="e">
        <f>VLOOKUP(U6185,[1]!NOMINA[#Data],5,FALSE)</f>
        <v>#REF!</v>
      </c>
    </row>
    <row r="6186" spans="1:23" x14ac:dyDescent="0.25">
      <c r="A6186" s="21">
        <v>45852</v>
      </c>
      <c r="B6186" s="1">
        <v>15168100</v>
      </c>
      <c r="C6186" t="s">
        <v>10837</v>
      </c>
      <c r="D6186" s="43">
        <v>-11452.44</v>
      </c>
      <c r="E6186" t="s">
        <v>35</v>
      </c>
      <c r="F6186" s="2">
        <v>212901001</v>
      </c>
      <c r="G6186" s="2" t="s">
        <v>121</v>
      </c>
      <c r="L6186" s="2" t="s">
        <v>10838</v>
      </c>
      <c r="M6186" t="s">
        <v>67</v>
      </c>
      <c r="N6186" t="s">
        <v>68</v>
      </c>
      <c r="P6186" s="23">
        <v>115.33</v>
      </c>
      <c r="Q6186" s="4">
        <f t="shared" si="96"/>
        <v>-99.301482701812191</v>
      </c>
      <c r="R6186" s="23" t="s">
        <v>109</v>
      </c>
      <c r="U6186">
        <v>33</v>
      </c>
      <c r="V6186" t="e">
        <f>VLOOKUP(U6186,[1]!NOMINA[#Data],4,FALSE)</f>
        <v>#REF!</v>
      </c>
      <c r="W6186" t="e">
        <f>VLOOKUP(U6186,[1]!NOMINA[#Data],5,FALSE)</f>
        <v>#REF!</v>
      </c>
    </row>
    <row r="6187" spans="1:23" x14ac:dyDescent="0.25">
      <c r="A6187" s="21">
        <v>45852</v>
      </c>
      <c r="B6187" s="1">
        <v>50737529</v>
      </c>
      <c r="C6187" t="s">
        <v>118</v>
      </c>
      <c r="D6187" s="43">
        <v>-28.78</v>
      </c>
      <c r="E6187" t="s">
        <v>35</v>
      </c>
      <c r="F6187" s="2">
        <v>610148001</v>
      </c>
      <c r="G6187" s="2" t="s">
        <v>42</v>
      </c>
      <c r="L6187" s="2" t="s">
        <v>10839</v>
      </c>
      <c r="M6187" t="s">
        <v>43</v>
      </c>
      <c r="N6187" t="s">
        <v>42</v>
      </c>
      <c r="P6187" s="23">
        <v>115.33</v>
      </c>
      <c r="Q6187" s="4">
        <f t="shared" si="96"/>
        <v>-0.24954478453134485</v>
      </c>
      <c r="R6187" s="23" t="s">
        <v>109</v>
      </c>
      <c r="T6187" s="23" t="s">
        <v>10222</v>
      </c>
    </row>
    <row r="6188" spans="1:23" x14ac:dyDescent="0.25">
      <c r="A6188" s="21">
        <v>45853</v>
      </c>
      <c r="B6188" s="1">
        <v>182547559</v>
      </c>
      <c r="C6188" t="s">
        <v>693</v>
      </c>
      <c r="D6188" s="43">
        <v>200000</v>
      </c>
      <c r="E6188" t="s">
        <v>46</v>
      </c>
      <c r="F6188" s="2">
        <v>210115002</v>
      </c>
      <c r="G6188" s="2" t="s">
        <v>47</v>
      </c>
      <c r="L6188" s="2" t="s">
        <v>10840</v>
      </c>
      <c r="N6188" t="s">
        <v>693</v>
      </c>
      <c r="P6188" s="23">
        <v>115.84</v>
      </c>
      <c r="Q6188" s="4">
        <f t="shared" si="96"/>
        <v>1726.5193370165746</v>
      </c>
      <c r="R6188" s="23" t="s">
        <v>109</v>
      </c>
    </row>
    <row r="6189" spans="1:23" x14ac:dyDescent="0.25">
      <c r="A6189" s="21">
        <v>45853</v>
      </c>
      <c r="B6189" s="1">
        <v>82547754</v>
      </c>
      <c r="C6189" t="s">
        <v>693</v>
      </c>
      <c r="D6189" s="43">
        <v>200000</v>
      </c>
      <c r="E6189" t="s">
        <v>46</v>
      </c>
      <c r="F6189" s="2">
        <v>210115002</v>
      </c>
      <c r="G6189" s="2" t="s">
        <v>47</v>
      </c>
      <c r="L6189" s="2" t="s">
        <v>10841</v>
      </c>
      <c r="N6189" t="s">
        <v>693</v>
      </c>
      <c r="P6189" s="23">
        <v>115.84</v>
      </c>
      <c r="Q6189" s="4">
        <f t="shared" si="96"/>
        <v>1726.5193370165746</v>
      </c>
      <c r="R6189" s="23" t="s">
        <v>109</v>
      </c>
    </row>
    <row r="6190" spans="1:23" x14ac:dyDescent="0.25">
      <c r="A6190" s="21">
        <v>45853</v>
      </c>
      <c r="B6190" s="1">
        <v>82547874</v>
      </c>
      <c r="C6190" t="s">
        <v>693</v>
      </c>
      <c r="D6190" s="43">
        <v>200000</v>
      </c>
      <c r="E6190" t="s">
        <v>46</v>
      </c>
      <c r="F6190" s="2">
        <v>210115002</v>
      </c>
      <c r="G6190" s="2" t="s">
        <v>47</v>
      </c>
      <c r="L6190" s="2" t="s">
        <v>10842</v>
      </c>
      <c r="N6190" t="s">
        <v>693</v>
      </c>
      <c r="P6190" s="23">
        <v>115.84</v>
      </c>
      <c r="Q6190" s="4">
        <f t="shared" si="96"/>
        <v>1726.5193370165746</v>
      </c>
      <c r="R6190" s="23" t="s">
        <v>109</v>
      </c>
    </row>
    <row r="6191" spans="1:23" x14ac:dyDescent="0.25">
      <c r="A6191" s="21">
        <v>45853</v>
      </c>
      <c r="B6191" s="1">
        <v>215202267</v>
      </c>
      <c r="C6191" t="s">
        <v>10843</v>
      </c>
      <c r="D6191" s="43">
        <v>-3286.91</v>
      </c>
      <c r="E6191" t="s">
        <v>35</v>
      </c>
      <c r="F6191" s="2">
        <v>210101001</v>
      </c>
      <c r="G6191" s="2" t="s">
        <v>36</v>
      </c>
      <c r="L6191" s="2" t="s">
        <v>10844</v>
      </c>
      <c r="M6191" t="s">
        <v>729</v>
      </c>
      <c r="N6191" t="s">
        <v>730</v>
      </c>
      <c r="P6191" s="23">
        <v>115.84</v>
      </c>
      <c r="Q6191" s="4">
        <f t="shared" si="96"/>
        <v>-28.374568370165743</v>
      </c>
      <c r="R6191" s="23" t="s">
        <v>109</v>
      </c>
    </row>
    <row r="6192" spans="1:23" x14ac:dyDescent="0.25">
      <c r="A6192" s="21">
        <v>45853</v>
      </c>
      <c r="B6192" s="1">
        <v>215202268</v>
      </c>
      <c r="C6192" t="s">
        <v>10845</v>
      </c>
      <c r="D6192" s="43">
        <v>-69534.570000000007</v>
      </c>
      <c r="E6192" t="s">
        <v>35</v>
      </c>
      <c r="F6192" s="2">
        <v>210101001</v>
      </c>
      <c r="G6192" s="2" t="s">
        <v>36</v>
      </c>
      <c r="L6192" s="2" t="s">
        <v>10846</v>
      </c>
      <c r="M6192" t="s">
        <v>2912</v>
      </c>
      <c r="N6192" t="s">
        <v>2913</v>
      </c>
      <c r="P6192" s="23">
        <v>115.84</v>
      </c>
      <c r="Q6192" s="4">
        <f t="shared" si="96"/>
        <v>-600.26389848066299</v>
      </c>
      <c r="R6192" s="23" t="s">
        <v>109</v>
      </c>
    </row>
    <row r="6193" spans="1:20" x14ac:dyDescent="0.25">
      <c r="A6193" s="21">
        <v>45853</v>
      </c>
      <c r="B6193" s="1">
        <v>215202269</v>
      </c>
      <c r="C6193" t="s">
        <v>10845</v>
      </c>
      <c r="D6193" s="43">
        <v>-200000</v>
      </c>
      <c r="E6193" t="s">
        <v>35</v>
      </c>
      <c r="F6193" s="2">
        <v>210101001</v>
      </c>
      <c r="G6193" s="2" t="s">
        <v>36</v>
      </c>
      <c r="L6193" s="2" t="s">
        <v>10847</v>
      </c>
      <c r="M6193" t="s">
        <v>2912</v>
      </c>
      <c r="N6193" t="s">
        <v>2913</v>
      </c>
      <c r="P6193" s="23">
        <v>115.84</v>
      </c>
      <c r="Q6193" s="4">
        <f t="shared" si="96"/>
        <v>-1726.5193370165746</v>
      </c>
      <c r="R6193" s="23" t="s">
        <v>109</v>
      </c>
    </row>
    <row r="6194" spans="1:20" x14ac:dyDescent="0.25">
      <c r="A6194" s="21">
        <v>45853</v>
      </c>
      <c r="B6194" s="1">
        <v>215202270</v>
      </c>
      <c r="C6194" t="s">
        <v>10848</v>
      </c>
      <c r="D6194" s="43">
        <v>-6689.14</v>
      </c>
      <c r="E6194" t="s">
        <v>35</v>
      </c>
      <c r="F6194" s="2">
        <v>210101001</v>
      </c>
      <c r="G6194" s="2" t="s">
        <v>36</v>
      </c>
      <c r="L6194" s="2" t="s">
        <v>10849</v>
      </c>
      <c r="M6194" t="s">
        <v>534</v>
      </c>
      <c r="N6194" t="s">
        <v>535</v>
      </c>
      <c r="P6194" s="23">
        <v>115.84</v>
      </c>
      <c r="Q6194" s="4">
        <f t="shared" si="96"/>
        <v>-57.744647790055247</v>
      </c>
      <c r="R6194" s="23" t="s">
        <v>109</v>
      </c>
    </row>
    <row r="6195" spans="1:20" x14ac:dyDescent="0.25">
      <c r="A6195" s="21">
        <v>45853</v>
      </c>
      <c r="B6195" s="1">
        <v>215202273</v>
      </c>
      <c r="C6195" t="s">
        <v>10850</v>
      </c>
      <c r="D6195" s="43">
        <v>-133836.9</v>
      </c>
      <c r="E6195" t="s">
        <v>35</v>
      </c>
      <c r="F6195" s="2">
        <v>210101001</v>
      </c>
      <c r="G6195" s="2" t="s">
        <v>36</v>
      </c>
      <c r="L6195" s="2" t="s">
        <v>10851</v>
      </c>
      <c r="M6195" t="s">
        <v>38</v>
      </c>
      <c r="N6195" t="s">
        <v>39</v>
      </c>
      <c r="P6195" s="23">
        <v>115.84</v>
      </c>
      <c r="Q6195" s="4">
        <f t="shared" si="96"/>
        <v>-1155.3599792817679</v>
      </c>
      <c r="R6195" s="23" t="s">
        <v>109</v>
      </c>
    </row>
    <row r="6196" spans="1:20" x14ac:dyDescent="0.25">
      <c r="A6196" s="21">
        <v>45853</v>
      </c>
      <c r="B6196" s="1">
        <v>215202272</v>
      </c>
      <c r="C6196" t="s">
        <v>10852</v>
      </c>
      <c r="D6196" s="43">
        <v>-42462.31</v>
      </c>
      <c r="E6196" t="s">
        <v>35</v>
      </c>
      <c r="F6196" s="2">
        <v>210101001</v>
      </c>
      <c r="G6196" s="2" t="s">
        <v>36</v>
      </c>
      <c r="L6196" s="2" t="s">
        <v>10853</v>
      </c>
      <c r="M6196" t="s">
        <v>1866</v>
      </c>
      <c r="N6196" t="s">
        <v>1867</v>
      </c>
      <c r="P6196" s="23">
        <v>115.84</v>
      </c>
      <c r="Q6196" s="4">
        <f t="shared" si="96"/>
        <v>-366.55999654696132</v>
      </c>
      <c r="R6196" s="23" t="s">
        <v>109</v>
      </c>
    </row>
    <row r="6197" spans="1:20" x14ac:dyDescent="0.25">
      <c r="A6197" s="21">
        <v>45853</v>
      </c>
      <c r="B6197" s="1">
        <v>215202271</v>
      </c>
      <c r="C6197" t="s">
        <v>10854</v>
      </c>
      <c r="D6197" s="43">
        <v>-374.33</v>
      </c>
      <c r="E6197" t="s">
        <v>35</v>
      </c>
      <c r="F6197" s="2">
        <v>210101001</v>
      </c>
      <c r="G6197" s="2" t="s">
        <v>36</v>
      </c>
      <c r="L6197" s="2" t="s">
        <v>10855</v>
      </c>
      <c r="M6197" t="s">
        <v>1186</v>
      </c>
      <c r="N6197" t="s">
        <v>1187</v>
      </c>
      <c r="P6197" s="23">
        <v>115.84</v>
      </c>
      <c r="Q6197" s="4">
        <f t="shared" si="96"/>
        <v>-3.2314399171270716</v>
      </c>
      <c r="R6197" s="23" t="s">
        <v>109</v>
      </c>
    </row>
    <row r="6198" spans="1:20" x14ac:dyDescent="0.25">
      <c r="A6198" s="21">
        <v>45853</v>
      </c>
      <c r="B6198" s="1">
        <v>215202274</v>
      </c>
      <c r="C6198" t="s">
        <v>10856</v>
      </c>
      <c r="D6198" s="43">
        <v>-73363.490000000005</v>
      </c>
      <c r="E6198" t="s">
        <v>35</v>
      </c>
      <c r="F6198" s="2">
        <v>210101001</v>
      </c>
      <c r="G6198" s="2" t="s">
        <v>36</v>
      </c>
      <c r="L6198" s="2" t="s">
        <v>10857</v>
      </c>
      <c r="M6198" t="s">
        <v>714</v>
      </c>
      <c r="N6198" t="s">
        <v>715</v>
      </c>
      <c r="P6198" s="23">
        <v>115.84</v>
      </c>
      <c r="Q6198" s="4">
        <f t="shared" si="96"/>
        <v>-633.31742058011048</v>
      </c>
      <c r="R6198" s="23" t="s">
        <v>109</v>
      </c>
    </row>
    <row r="6199" spans="1:20" x14ac:dyDescent="0.25">
      <c r="A6199" s="21">
        <v>45853</v>
      </c>
      <c r="B6199" s="1">
        <v>50750479</v>
      </c>
      <c r="C6199" t="s">
        <v>118</v>
      </c>
      <c r="D6199" s="43">
        <v>-1323.86</v>
      </c>
      <c r="E6199" t="s">
        <v>35</v>
      </c>
      <c r="F6199" s="2">
        <v>610148001</v>
      </c>
      <c r="G6199" s="2" t="s">
        <v>42</v>
      </c>
      <c r="L6199" s="2" t="s">
        <v>10858</v>
      </c>
      <c r="M6199" t="s">
        <v>43</v>
      </c>
      <c r="N6199" t="s">
        <v>42</v>
      </c>
      <c r="P6199" s="23">
        <v>115.84</v>
      </c>
      <c r="Q6199" s="4">
        <f t="shared" si="96"/>
        <v>-11.428349447513812</v>
      </c>
      <c r="R6199" s="23" t="s">
        <v>109</v>
      </c>
      <c r="T6199" s="23" t="s">
        <v>10222</v>
      </c>
    </row>
    <row r="6200" spans="1:20" x14ac:dyDescent="0.25">
      <c r="A6200" s="21">
        <v>45853</v>
      </c>
      <c r="B6200" s="1">
        <v>145724640</v>
      </c>
      <c r="C6200" t="s">
        <v>10859</v>
      </c>
      <c r="D6200" s="43">
        <v>-24777.69</v>
      </c>
      <c r="E6200" t="s">
        <v>35</v>
      </c>
      <c r="F6200" s="2">
        <v>210101001</v>
      </c>
      <c r="G6200" s="2" t="s">
        <v>36</v>
      </c>
      <c r="L6200" s="2" t="s">
        <v>10860</v>
      </c>
      <c r="M6200" t="s">
        <v>38</v>
      </c>
      <c r="N6200" t="s">
        <v>39</v>
      </c>
      <c r="P6200" s="23">
        <v>115.84</v>
      </c>
      <c r="Q6200" s="4">
        <f t="shared" si="96"/>
        <v>-213.89580455801104</v>
      </c>
      <c r="R6200" s="23" t="s">
        <v>109</v>
      </c>
    </row>
    <row r="6201" spans="1:20" x14ac:dyDescent="0.25">
      <c r="A6201" s="21">
        <v>45855</v>
      </c>
      <c r="B6201" s="1">
        <v>384835835</v>
      </c>
      <c r="C6201" t="s">
        <v>544</v>
      </c>
      <c r="D6201" s="43">
        <v>150000</v>
      </c>
      <c r="E6201" t="s">
        <v>46</v>
      </c>
      <c r="F6201" s="2">
        <v>210115002</v>
      </c>
      <c r="G6201" s="2" t="s">
        <v>47</v>
      </c>
      <c r="L6201" s="2" t="s">
        <v>10861</v>
      </c>
      <c r="N6201" t="s">
        <v>544</v>
      </c>
      <c r="P6201" s="23">
        <v>117.4</v>
      </c>
      <c r="Q6201" s="4">
        <f t="shared" si="96"/>
        <v>1277.6831345826236</v>
      </c>
      <c r="R6201" s="23" t="s">
        <v>109</v>
      </c>
    </row>
    <row r="6202" spans="1:20" x14ac:dyDescent="0.25">
      <c r="A6202" s="21">
        <v>45855</v>
      </c>
      <c r="B6202" s="1">
        <v>715261366</v>
      </c>
      <c r="C6202" t="s">
        <v>10862</v>
      </c>
      <c r="D6202" s="43">
        <v>-105237.96</v>
      </c>
      <c r="E6202" t="s">
        <v>35</v>
      </c>
      <c r="F6202" s="2">
        <v>210101001</v>
      </c>
      <c r="G6202" s="2" t="s">
        <v>36</v>
      </c>
      <c r="L6202" s="2" t="s">
        <v>10863</v>
      </c>
      <c r="M6202" t="s">
        <v>534</v>
      </c>
      <c r="N6202" t="s">
        <v>535</v>
      </c>
      <c r="P6202" s="23">
        <v>117.4</v>
      </c>
      <c r="Q6202" s="4">
        <f t="shared" si="96"/>
        <v>-896.40511073253833</v>
      </c>
      <c r="R6202" s="23" t="s">
        <v>109</v>
      </c>
    </row>
    <row r="6203" spans="1:20" x14ac:dyDescent="0.25">
      <c r="A6203" s="21">
        <v>45855</v>
      </c>
      <c r="B6203" s="1">
        <v>715261367</v>
      </c>
      <c r="C6203" t="s">
        <v>10864</v>
      </c>
      <c r="D6203" s="43">
        <v>-4095</v>
      </c>
      <c r="E6203" t="s">
        <v>35</v>
      </c>
      <c r="F6203" s="2">
        <v>210101001</v>
      </c>
      <c r="G6203" s="2" t="s">
        <v>36</v>
      </c>
      <c r="L6203" s="2" t="s">
        <v>10865</v>
      </c>
      <c r="M6203" t="s">
        <v>788</v>
      </c>
      <c r="N6203" t="s">
        <v>789</v>
      </c>
      <c r="P6203" s="23">
        <v>117.4</v>
      </c>
      <c r="Q6203" s="4">
        <f t="shared" si="96"/>
        <v>-34.880749574105621</v>
      </c>
      <c r="R6203" s="23" t="s">
        <v>109</v>
      </c>
    </row>
    <row r="6204" spans="1:20" x14ac:dyDescent="0.25">
      <c r="A6204" s="21">
        <v>45855</v>
      </c>
      <c r="B6204" s="1">
        <v>50753419</v>
      </c>
      <c r="C6204" t="s">
        <v>118</v>
      </c>
      <c r="D6204" s="43">
        <v>-273.33</v>
      </c>
      <c r="E6204" t="s">
        <v>35</v>
      </c>
      <c r="F6204" s="2">
        <v>610148001</v>
      </c>
      <c r="G6204" s="2" t="s">
        <v>42</v>
      </c>
      <c r="L6204" s="2" t="s">
        <v>10866</v>
      </c>
      <c r="M6204" t="s">
        <v>43</v>
      </c>
      <c r="N6204" t="s">
        <v>42</v>
      </c>
      <c r="P6204" s="23">
        <v>117.4</v>
      </c>
      <c r="Q6204" s="4">
        <f t="shared" si="96"/>
        <v>-2.3281942078364564</v>
      </c>
      <c r="R6204" s="23" t="s">
        <v>109</v>
      </c>
      <c r="T6204" s="23" t="s">
        <v>10222</v>
      </c>
    </row>
    <row r="6205" spans="1:20" x14ac:dyDescent="0.25">
      <c r="A6205" s="21">
        <v>45856</v>
      </c>
      <c r="B6205" s="1">
        <v>215284376</v>
      </c>
      <c r="C6205" t="s">
        <v>10867</v>
      </c>
      <c r="D6205" s="43">
        <v>-41272.800000000003</v>
      </c>
      <c r="E6205" t="s">
        <v>35</v>
      </c>
      <c r="F6205" s="2">
        <v>210101001</v>
      </c>
      <c r="G6205" s="2" t="s">
        <v>36</v>
      </c>
      <c r="L6205" s="2" t="s">
        <v>10868</v>
      </c>
      <c r="M6205" t="s">
        <v>38</v>
      </c>
      <c r="N6205" t="s">
        <v>39</v>
      </c>
      <c r="P6205" s="23">
        <v>118.29</v>
      </c>
      <c r="Q6205" s="4">
        <f t="shared" si="96"/>
        <v>-348.91199594217602</v>
      </c>
      <c r="R6205" s="23" t="s">
        <v>109</v>
      </c>
    </row>
    <row r="6206" spans="1:20" x14ac:dyDescent="0.25">
      <c r="A6206" s="21">
        <v>45856</v>
      </c>
      <c r="B6206" s="1">
        <v>215284376</v>
      </c>
      <c r="C6206" t="s">
        <v>306</v>
      </c>
      <c r="D6206" s="43">
        <v>-123.82</v>
      </c>
      <c r="E6206" t="s">
        <v>35</v>
      </c>
      <c r="F6206" s="2">
        <v>610148001</v>
      </c>
      <c r="G6206" s="2" t="s">
        <v>42</v>
      </c>
      <c r="L6206" s="2" t="s">
        <v>10869</v>
      </c>
      <c r="M6206" t="s">
        <v>43</v>
      </c>
      <c r="N6206" t="s">
        <v>42</v>
      </c>
      <c r="P6206" s="23">
        <v>118.29</v>
      </c>
      <c r="Q6206" s="4">
        <f t="shared" si="96"/>
        <v>-1.0467495139065008</v>
      </c>
      <c r="R6206" s="23" t="s">
        <v>109</v>
      </c>
      <c r="T6206" s="23" t="s">
        <v>10222</v>
      </c>
    </row>
    <row r="6207" spans="1:20" x14ac:dyDescent="0.25">
      <c r="A6207" s="21">
        <v>45856</v>
      </c>
      <c r="B6207" s="1">
        <v>15285340</v>
      </c>
      <c r="C6207" t="s">
        <v>10870</v>
      </c>
      <c r="D6207" s="43">
        <v>-24698.95</v>
      </c>
      <c r="E6207" t="s">
        <v>35</v>
      </c>
      <c r="F6207" s="2">
        <v>210101001</v>
      </c>
      <c r="G6207" s="2" t="s">
        <v>36</v>
      </c>
      <c r="L6207" s="2" t="s">
        <v>10871</v>
      </c>
      <c r="M6207" t="s">
        <v>714</v>
      </c>
      <c r="N6207" t="s">
        <v>715</v>
      </c>
      <c r="P6207" s="23">
        <v>118.29</v>
      </c>
      <c r="Q6207" s="4">
        <f t="shared" si="96"/>
        <v>-208.79998309240003</v>
      </c>
      <c r="R6207" s="23" t="s">
        <v>109</v>
      </c>
    </row>
    <row r="6208" spans="1:20" x14ac:dyDescent="0.25">
      <c r="A6208" s="21">
        <v>45856</v>
      </c>
      <c r="B6208" s="1">
        <v>15285340</v>
      </c>
      <c r="C6208" t="s">
        <v>306</v>
      </c>
      <c r="D6208" s="43">
        <v>-74.099999999999994</v>
      </c>
      <c r="E6208" t="s">
        <v>35</v>
      </c>
      <c r="F6208" s="2">
        <v>610148001</v>
      </c>
      <c r="G6208" s="2" t="s">
        <v>42</v>
      </c>
      <c r="L6208" s="2" t="s">
        <v>10872</v>
      </c>
      <c r="M6208" t="s">
        <v>43</v>
      </c>
      <c r="N6208" t="s">
        <v>42</v>
      </c>
      <c r="P6208" s="23">
        <v>118.29</v>
      </c>
      <c r="Q6208" s="4">
        <f t="shared" si="96"/>
        <v>-0.6264265787471468</v>
      </c>
      <c r="R6208" s="23" t="s">
        <v>109</v>
      </c>
      <c r="T6208" s="23" t="s">
        <v>10222</v>
      </c>
    </row>
    <row r="6209" spans="1:18" x14ac:dyDescent="0.25">
      <c r="A6209" s="21">
        <v>45856</v>
      </c>
      <c r="B6209" s="1">
        <v>155023653</v>
      </c>
      <c r="C6209" t="s">
        <v>107</v>
      </c>
      <c r="D6209" s="43">
        <v>540000</v>
      </c>
      <c r="E6209" t="s">
        <v>46</v>
      </c>
      <c r="F6209" s="2">
        <v>210115002</v>
      </c>
      <c r="G6209" s="2" t="s">
        <v>47</v>
      </c>
      <c r="L6209" s="2" t="s">
        <v>10873</v>
      </c>
      <c r="N6209" t="s">
        <v>107</v>
      </c>
      <c r="P6209" s="23">
        <v>118.29</v>
      </c>
      <c r="Q6209" s="4">
        <f t="shared" si="96"/>
        <v>4565.0519908698961</v>
      </c>
      <c r="R6209" s="23" t="s">
        <v>109</v>
      </c>
    </row>
    <row r="6210" spans="1:18" x14ac:dyDescent="0.25">
      <c r="A6210" s="21">
        <v>45856</v>
      </c>
      <c r="B6210" s="1">
        <v>15286924</v>
      </c>
      <c r="C6210" t="s">
        <v>10540</v>
      </c>
      <c r="D6210" s="43">
        <v>-9392</v>
      </c>
      <c r="E6210" t="s">
        <v>35</v>
      </c>
      <c r="F6210" s="2">
        <v>212901001</v>
      </c>
      <c r="G6210" s="2" t="s">
        <v>121</v>
      </c>
      <c r="L6210" s="2" t="s">
        <v>10874</v>
      </c>
      <c r="M6210" t="s">
        <v>67</v>
      </c>
      <c r="N6210" t="s">
        <v>68</v>
      </c>
      <c r="P6210" s="23">
        <v>118.29</v>
      </c>
      <c r="Q6210" s="4">
        <f t="shared" si="96"/>
        <v>-79.398089441203823</v>
      </c>
      <c r="R6210" s="23" t="s">
        <v>109</v>
      </c>
    </row>
    <row r="6211" spans="1:18" x14ac:dyDescent="0.25">
      <c r="A6211" s="21">
        <v>45856</v>
      </c>
      <c r="B6211" s="1">
        <v>15286926</v>
      </c>
      <c r="C6211" t="s">
        <v>10542</v>
      </c>
      <c r="D6211" s="43">
        <v>-7044</v>
      </c>
      <c r="E6211" t="s">
        <v>35</v>
      </c>
      <c r="F6211" s="2">
        <v>212901001</v>
      </c>
      <c r="G6211" s="2" t="s">
        <v>121</v>
      </c>
      <c r="L6211" s="2" t="s">
        <v>10875</v>
      </c>
      <c r="M6211" t="s">
        <v>67</v>
      </c>
      <c r="N6211" t="s">
        <v>68</v>
      </c>
      <c r="P6211" s="23">
        <v>118.29</v>
      </c>
      <c r="Q6211" s="4">
        <f t="shared" si="96"/>
        <v>-59.548567080902863</v>
      </c>
      <c r="R6211" s="23" t="s">
        <v>109</v>
      </c>
    </row>
    <row r="6212" spans="1:18" x14ac:dyDescent="0.25">
      <c r="A6212" s="21">
        <v>45856</v>
      </c>
      <c r="B6212" s="1">
        <v>15286925</v>
      </c>
      <c r="C6212" t="s">
        <v>10544</v>
      </c>
      <c r="D6212" s="43">
        <v>-7044</v>
      </c>
      <c r="E6212" t="s">
        <v>35</v>
      </c>
      <c r="F6212" s="2">
        <v>212901001</v>
      </c>
      <c r="G6212" s="2" t="s">
        <v>121</v>
      </c>
      <c r="L6212" s="2" t="s">
        <v>10876</v>
      </c>
      <c r="M6212" t="s">
        <v>67</v>
      </c>
      <c r="N6212" t="s">
        <v>68</v>
      </c>
      <c r="P6212" s="23">
        <v>118.29</v>
      </c>
      <c r="Q6212" s="4">
        <f t="shared" si="96"/>
        <v>-59.548567080902863</v>
      </c>
      <c r="R6212" s="23" t="s">
        <v>109</v>
      </c>
    </row>
    <row r="6213" spans="1:18" x14ac:dyDescent="0.25">
      <c r="A6213" s="21">
        <v>45856</v>
      </c>
      <c r="B6213" s="1">
        <v>15286927</v>
      </c>
      <c r="C6213" t="s">
        <v>10546</v>
      </c>
      <c r="D6213" s="43">
        <v>-7044</v>
      </c>
      <c r="E6213" t="s">
        <v>35</v>
      </c>
      <c r="F6213" s="2">
        <v>212901001</v>
      </c>
      <c r="G6213" s="2" t="s">
        <v>121</v>
      </c>
      <c r="L6213" s="2" t="s">
        <v>10877</v>
      </c>
      <c r="M6213" t="s">
        <v>67</v>
      </c>
      <c r="N6213" t="s">
        <v>68</v>
      </c>
      <c r="P6213" s="23">
        <v>118.29</v>
      </c>
      <c r="Q6213" s="4">
        <f t="shared" si="96"/>
        <v>-59.548567080902863</v>
      </c>
      <c r="R6213" s="23" t="s">
        <v>109</v>
      </c>
    </row>
    <row r="6214" spans="1:18" x14ac:dyDescent="0.25">
      <c r="A6214" s="21">
        <v>45856</v>
      </c>
      <c r="B6214" s="1">
        <v>15286928</v>
      </c>
      <c r="C6214" t="s">
        <v>10548</v>
      </c>
      <c r="D6214" s="43">
        <v>-7044</v>
      </c>
      <c r="E6214" t="s">
        <v>35</v>
      </c>
      <c r="F6214" s="2">
        <v>212901001</v>
      </c>
      <c r="G6214" s="2" t="s">
        <v>121</v>
      </c>
      <c r="L6214" s="2" t="s">
        <v>10878</v>
      </c>
      <c r="M6214" t="s">
        <v>67</v>
      </c>
      <c r="N6214" t="s">
        <v>68</v>
      </c>
      <c r="P6214" s="23">
        <v>118.29</v>
      </c>
      <c r="Q6214" s="4">
        <f t="shared" si="96"/>
        <v>-59.548567080902863</v>
      </c>
      <c r="R6214" s="23" t="s">
        <v>109</v>
      </c>
    </row>
    <row r="6215" spans="1:18" x14ac:dyDescent="0.25">
      <c r="A6215" s="21">
        <v>45856</v>
      </c>
      <c r="B6215" s="1">
        <v>15286931</v>
      </c>
      <c r="C6215" t="s">
        <v>10879</v>
      </c>
      <c r="D6215" s="43">
        <v>-7044</v>
      </c>
      <c r="E6215" t="s">
        <v>35</v>
      </c>
      <c r="F6215" s="2">
        <v>212901001</v>
      </c>
      <c r="G6215" s="2" t="s">
        <v>121</v>
      </c>
      <c r="L6215" s="2" t="s">
        <v>10880</v>
      </c>
      <c r="M6215" t="s">
        <v>67</v>
      </c>
      <c r="N6215" t="s">
        <v>68</v>
      </c>
      <c r="P6215" s="23">
        <v>118.29</v>
      </c>
      <c r="Q6215" s="4">
        <f t="shared" si="96"/>
        <v>-59.548567080902863</v>
      </c>
      <c r="R6215" s="23" t="s">
        <v>109</v>
      </c>
    </row>
    <row r="6216" spans="1:18" x14ac:dyDescent="0.25">
      <c r="A6216" s="21">
        <v>45856</v>
      </c>
      <c r="B6216" s="1">
        <v>15286930</v>
      </c>
      <c r="C6216" t="s">
        <v>10552</v>
      </c>
      <c r="D6216" s="43">
        <v>-7044</v>
      </c>
      <c r="E6216" t="s">
        <v>35</v>
      </c>
      <c r="F6216" s="2">
        <v>212901001</v>
      </c>
      <c r="G6216" s="2" t="s">
        <v>121</v>
      </c>
      <c r="L6216" s="2" t="s">
        <v>10881</v>
      </c>
      <c r="M6216" t="s">
        <v>67</v>
      </c>
      <c r="N6216" t="s">
        <v>68</v>
      </c>
      <c r="P6216" s="23">
        <v>118.29</v>
      </c>
      <c r="Q6216" s="4">
        <f t="shared" si="96"/>
        <v>-59.548567080902863</v>
      </c>
      <c r="R6216" s="23" t="s">
        <v>109</v>
      </c>
    </row>
    <row r="6217" spans="1:18" x14ac:dyDescent="0.25">
      <c r="A6217" s="21">
        <v>45856</v>
      </c>
      <c r="B6217" s="1">
        <v>15286929</v>
      </c>
      <c r="C6217" t="s">
        <v>10554</v>
      </c>
      <c r="D6217" s="43">
        <v>-7044</v>
      </c>
      <c r="E6217" t="s">
        <v>35</v>
      </c>
      <c r="F6217" s="2">
        <v>212901001</v>
      </c>
      <c r="G6217" s="2" t="s">
        <v>121</v>
      </c>
      <c r="L6217" s="2" t="s">
        <v>10882</v>
      </c>
      <c r="M6217" t="s">
        <v>67</v>
      </c>
      <c r="N6217" t="s">
        <v>68</v>
      </c>
      <c r="P6217" s="23">
        <v>118.29</v>
      </c>
      <c r="Q6217" s="4">
        <f t="shared" si="96"/>
        <v>-59.548567080902863</v>
      </c>
      <c r="R6217" s="23" t="s">
        <v>109</v>
      </c>
    </row>
    <row r="6218" spans="1:18" x14ac:dyDescent="0.25">
      <c r="A6218" s="21">
        <v>45856</v>
      </c>
      <c r="B6218" s="1">
        <v>115286936</v>
      </c>
      <c r="C6218" t="s">
        <v>10883</v>
      </c>
      <c r="D6218" s="43">
        <v>-7044</v>
      </c>
      <c r="E6218" t="s">
        <v>35</v>
      </c>
      <c r="F6218" s="2">
        <v>212901001</v>
      </c>
      <c r="G6218" s="2" t="s">
        <v>121</v>
      </c>
      <c r="L6218" s="2" t="s">
        <v>10884</v>
      </c>
      <c r="M6218" t="s">
        <v>67</v>
      </c>
      <c r="N6218" t="s">
        <v>68</v>
      </c>
      <c r="P6218" s="23">
        <v>118.29</v>
      </c>
      <c r="Q6218" s="4">
        <f t="shared" si="96"/>
        <v>-59.548567080902863</v>
      </c>
      <c r="R6218" s="23" t="s">
        <v>109</v>
      </c>
    </row>
    <row r="6219" spans="1:18" x14ac:dyDescent="0.25">
      <c r="A6219" s="21">
        <v>45856</v>
      </c>
      <c r="B6219" s="1">
        <v>115286934</v>
      </c>
      <c r="C6219" t="s">
        <v>10558</v>
      </c>
      <c r="D6219" s="43">
        <v>-7044</v>
      </c>
      <c r="E6219" t="s">
        <v>35</v>
      </c>
      <c r="F6219" s="2">
        <v>212901001</v>
      </c>
      <c r="G6219" s="2" t="s">
        <v>121</v>
      </c>
      <c r="L6219" s="2" t="s">
        <v>10885</v>
      </c>
      <c r="M6219" t="s">
        <v>67</v>
      </c>
      <c r="N6219" t="s">
        <v>68</v>
      </c>
      <c r="P6219" s="23">
        <v>118.29</v>
      </c>
      <c r="Q6219" s="4">
        <f t="shared" ref="Q6219:Q6282" si="97">D6219/P6219</f>
        <v>-59.548567080902863</v>
      </c>
      <c r="R6219" s="23" t="s">
        <v>109</v>
      </c>
    </row>
    <row r="6220" spans="1:18" x14ac:dyDescent="0.25">
      <c r="A6220" s="21">
        <v>45856</v>
      </c>
      <c r="B6220" s="1">
        <v>115286938</v>
      </c>
      <c r="C6220" t="s">
        <v>10588</v>
      </c>
      <c r="D6220" s="43">
        <v>-7044</v>
      </c>
      <c r="E6220" t="s">
        <v>35</v>
      </c>
      <c r="F6220" s="2">
        <v>212901001</v>
      </c>
      <c r="G6220" s="2" t="s">
        <v>121</v>
      </c>
      <c r="L6220" s="2" t="s">
        <v>10886</v>
      </c>
      <c r="M6220" t="s">
        <v>67</v>
      </c>
      <c r="N6220" t="s">
        <v>68</v>
      </c>
      <c r="P6220" s="23">
        <v>118.29</v>
      </c>
      <c r="Q6220" s="4">
        <f t="shared" si="97"/>
        <v>-59.548567080902863</v>
      </c>
      <c r="R6220" s="23" t="s">
        <v>109</v>
      </c>
    </row>
    <row r="6221" spans="1:18" x14ac:dyDescent="0.25">
      <c r="A6221" s="21">
        <v>45856</v>
      </c>
      <c r="B6221" s="1">
        <v>115286933</v>
      </c>
      <c r="C6221" t="s">
        <v>10590</v>
      </c>
      <c r="D6221" s="43">
        <v>-7044</v>
      </c>
      <c r="E6221" t="s">
        <v>35</v>
      </c>
      <c r="F6221" s="2">
        <v>212901001</v>
      </c>
      <c r="G6221" s="2" t="s">
        <v>121</v>
      </c>
      <c r="L6221" s="2" t="s">
        <v>10887</v>
      </c>
      <c r="M6221" t="s">
        <v>67</v>
      </c>
      <c r="N6221" t="s">
        <v>68</v>
      </c>
      <c r="P6221" s="23">
        <v>118.29</v>
      </c>
      <c r="Q6221" s="4">
        <f t="shared" si="97"/>
        <v>-59.548567080902863</v>
      </c>
      <c r="R6221" s="23" t="s">
        <v>109</v>
      </c>
    </row>
    <row r="6222" spans="1:18" x14ac:dyDescent="0.25">
      <c r="A6222" s="21">
        <v>45856</v>
      </c>
      <c r="B6222" s="1">
        <v>115286935</v>
      </c>
      <c r="C6222" t="s">
        <v>10639</v>
      </c>
      <c r="D6222" s="43">
        <v>-7044</v>
      </c>
      <c r="E6222" t="s">
        <v>35</v>
      </c>
      <c r="F6222" s="2">
        <v>212901001</v>
      </c>
      <c r="G6222" s="2" t="s">
        <v>121</v>
      </c>
      <c r="L6222" s="2" t="s">
        <v>10888</v>
      </c>
      <c r="M6222" t="s">
        <v>67</v>
      </c>
      <c r="N6222" t="s">
        <v>68</v>
      </c>
      <c r="P6222" s="23">
        <v>118.29</v>
      </c>
      <c r="Q6222" s="4">
        <f t="shared" si="97"/>
        <v>-59.548567080902863</v>
      </c>
      <c r="R6222" s="23" t="s">
        <v>109</v>
      </c>
    </row>
    <row r="6223" spans="1:18" x14ac:dyDescent="0.25">
      <c r="A6223" s="21">
        <v>45856</v>
      </c>
      <c r="B6223" s="1">
        <v>115286940</v>
      </c>
      <c r="C6223" t="s">
        <v>10647</v>
      </c>
      <c r="D6223" s="43">
        <v>-7044</v>
      </c>
      <c r="E6223" t="s">
        <v>35</v>
      </c>
      <c r="F6223" s="2">
        <v>212901001</v>
      </c>
      <c r="G6223" s="2" t="s">
        <v>121</v>
      </c>
      <c r="L6223" s="2" t="s">
        <v>10889</v>
      </c>
      <c r="M6223" t="s">
        <v>67</v>
      </c>
      <c r="N6223" t="s">
        <v>68</v>
      </c>
      <c r="P6223" s="23">
        <v>118.29</v>
      </c>
      <c r="Q6223" s="4">
        <f t="shared" si="97"/>
        <v>-59.548567080902863</v>
      </c>
      <c r="R6223" s="23" t="s">
        <v>109</v>
      </c>
    </row>
    <row r="6224" spans="1:18" x14ac:dyDescent="0.25">
      <c r="A6224" s="21">
        <v>45856</v>
      </c>
      <c r="B6224" s="1">
        <v>115286937</v>
      </c>
      <c r="C6224" t="s">
        <v>10550</v>
      </c>
      <c r="D6224" s="43">
        <v>-7044</v>
      </c>
      <c r="E6224" t="s">
        <v>35</v>
      </c>
      <c r="F6224" s="2">
        <v>212901001</v>
      </c>
      <c r="G6224" s="2" t="s">
        <v>121</v>
      </c>
      <c r="L6224" s="2" t="s">
        <v>10890</v>
      </c>
      <c r="M6224" t="s">
        <v>67</v>
      </c>
      <c r="N6224" t="s">
        <v>68</v>
      </c>
      <c r="P6224" s="23">
        <v>118.29</v>
      </c>
      <c r="Q6224" s="4">
        <f t="shared" si="97"/>
        <v>-59.548567080902863</v>
      </c>
      <c r="R6224" s="23" t="s">
        <v>109</v>
      </c>
    </row>
    <row r="6225" spans="1:18" x14ac:dyDescent="0.25">
      <c r="A6225" s="21">
        <v>45856</v>
      </c>
      <c r="B6225" s="1">
        <v>115286939</v>
      </c>
      <c r="C6225" t="s">
        <v>10556</v>
      </c>
      <c r="D6225" s="43">
        <v>-7044</v>
      </c>
      <c r="E6225" t="s">
        <v>35</v>
      </c>
      <c r="F6225" s="2">
        <v>212901001</v>
      </c>
      <c r="G6225" s="2" t="s">
        <v>121</v>
      </c>
      <c r="L6225" s="2" t="s">
        <v>10891</v>
      </c>
      <c r="M6225" t="s">
        <v>67</v>
      </c>
      <c r="N6225" t="s">
        <v>68</v>
      </c>
      <c r="P6225" s="23">
        <v>118.29</v>
      </c>
      <c r="Q6225" s="4">
        <f t="shared" si="97"/>
        <v>-59.548567080902863</v>
      </c>
      <c r="R6225" s="23" t="s">
        <v>109</v>
      </c>
    </row>
    <row r="6226" spans="1:18" x14ac:dyDescent="0.25">
      <c r="A6226" s="21">
        <v>45856</v>
      </c>
      <c r="B6226" s="1">
        <v>215286942</v>
      </c>
      <c r="C6226" t="s">
        <v>10568</v>
      </c>
      <c r="D6226" s="43">
        <v>-11740</v>
      </c>
      <c r="E6226" t="s">
        <v>35</v>
      </c>
      <c r="F6226" s="2">
        <v>212901001</v>
      </c>
      <c r="G6226" s="2" t="s">
        <v>121</v>
      </c>
      <c r="L6226" s="2" t="s">
        <v>10892</v>
      </c>
      <c r="M6226" t="s">
        <v>67</v>
      </c>
      <c r="N6226" t="s">
        <v>68</v>
      </c>
      <c r="P6226" s="23">
        <v>118.29</v>
      </c>
      <c r="Q6226" s="4">
        <f t="shared" si="97"/>
        <v>-99.247611801504775</v>
      </c>
      <c r="R6226" s="23" t="s">
        <v>109</v>
      </c>
    </row>
    <row r="6227" spans="1:18" x14ac:dyDescent="0.25">
      <c r="A6227" s="21">
        <v>45856</v>
      </c>
      <c r="B6227" s="1">
        <v>215286945</v>
      </c>
      <c r="C6227" t="s">
        <v>10560</v>
      </c>
      <c r="D6227" s="43">
        <v>-9392</v>
      </c>
      <c r="E6227" t="s">
        <v>35</v>
      </c>
      <c r="F6227" s="2">
        <v>212901001</v>
      </c>
      <c r="G6227" s="2" t="s">
        <v>121</v>
      </c>
      <c r="L6227" s="2" t="s">
        <v>10893</v>
      </c>
      <c r="M6227" t="s">
        <v>67</v>
      </c>
      <c r="N6227" t="s">
        <v>68</v>
      </c>
      <c r="P6227" s="23">
        <v>118.29</v>
      </c>
      <c r="Q6227" s="4">
        <f t="shared" si="97"/>
        <v>-79.398089441203823</v>
      </c>
      <c r="R6227" s="23" t="s">
        <v>109</v>
      </c>
    </row>
    <row r="6228" spans="1:18" x14ac:dyDescent="0.25">
      <c r="A6228" s="21">
        <v>45856</v>
      </c>
      <c r="B6228" s="1">
        <v>215286944</v>
      </c>
      <c r="C6228" t="s">
        <v>10564</v>
      </c>
      <c r="D6228" s="43">
        <v>-9392</v>
      </c>
      <c r="E6228" t="s">
        <v>35</v>
      </c>
      <c r="F6228" s="2">
        <v>212901001</v>
      </c>
      <c r="G6228" s="2" t="s">
        <v>121</v>
      </c>
      <c r="L6228" s="2" t="s">
        <v>10894</v>
      </c>
      <c r="M6228" t="s">
        <v>67</v>
      </c>
      <c r="N6228" t="s">
        <v>68</v>
      </c>
      <c r="P6228" s="23">
        <v>118.29</v>
      </c>
      <c r="Q6228" s="4">
        <f t="shared" si="97"/>
        <v>-79.398089441203823</v>
      </c>
      <c r="R6228" s="23" t="s">
        <v>109</v>
      </c>
    </row>
    <row r="6229" spans="1:18" x14ac:dyDescent="0.25">
      <c r="A6229" s="21">
        <v>45856</v>
      </c>
      <c r="B6229" s="1">
        <v>215286949</v>
      </c>
      <c r="C6229" t="s">
        <v>10566</v>
      </c>
      <c r="D6229" s="43">
        <v>-9392</v>
      </c>
      <c r="E6229" t="s">
        <v>35</v>
      </c>
      <c r="F6229" s="2">
        <v>212901001</v>
      </c>
      <c r="G6229" s="2" t="s">
        <v>121</v>
      </c>
      <c r="L6229" s="2" t="s">
        <v>10895</v>
      </c>
      <c r="M6229" t="s">
        <v>67</v>
      </c>
      <c r="N6229" t="s">
        <v>68</v>
      </c>
      <c r="P6229" s="23">
        <v>118.29</v>
      </c>
      <c r="Q6229" s="4">
        <f t="shared" si="97"/>
        <v>-79.398089441203823</v>
      </c>
      <c r="R6229" s="23" t="s">
        <v>109</v>
      </c>
    </row>
    <row r="6230" spans="1:18" x14ac:dyDescent="0.25">
      <c r="A6230" s="21">
        <v>45856</v>
      </c>
      <c r="B6230" s="1">
        <v>215286948</v>
      </c>
      <c r="C6230" t="s">
        <v>10570</v>
      </c>
      <c r="D6230" s="43">
        <v>-9392</v>
      </c>
      <c r="E6230" t="s">
        <v>35</v>
      </c>
      <c r="F6230" s="2">
        <v>212901001</v>
      </c>
      <c r="G6230" s="2" t="s">
        <v>121</v>
      </c>
      <c r="L6230" s="2" t="s">
        <v>10896</v>
      </c>
      <c r="M6230" t="s">
        <v>67</v>
      </c>
      <c r="N6230" t="s">
        <v>68</v>
      </c>
      <c r="P6230" s="23">
        <v>118.29</v>
      </c>
      <c r="Q6230" s="4">
        <f t="shared" si="97"/>
        <v>-79.398089441203823</v>
      </c>
      <c r="R6230" s="23" t="s">
        <v>109</v>
      </c>
    </row>
    <row r="6231" spans="1:18" x14ac:dyDescent="0.25">
      <c r="A6231" s="21">
        <v>45856</v>
      </c>
      <c r="B6231" s="1">
        <v>215286950</v>
      </c>
      <c r="C6231" t="s">
        <v>10572</v>
      </c>
      <c r="D6231" s="43">
        <v>-9392</v>
      </c>
      <c r="E6231" t="s">
        <v>35</v>
      </c>
      <c r="F6231" s="2">
        <v>212901001</v>
      </c>
      <c r="G6231" s="2" t="s">
        <v>121</v>
      </c>
      <c r="L6231" s="2" t="s">
        <v>10897</v>
      </c>
      <c r="M6231" t="s">
        <v>67</v>
      </c>
      <c r="N6231" t="s">
        <v>68</v>
      </c>
      <c r="P6231" s="23">
        <v>118.29</v>
      </c>
      <c r="Q6231" s="4">
        <f t="shared" si="97"/>
        <v>-79.398089441203823</v>
      </c>
      <c r="R6231" s="23" t="s">
        <v>109</v>
      </c>
    </row>
    <row r="6232" spans="1:18" x14ac:dyDescent="0.25">
      <c r="A6232" s="21">
        <v>45856</v>
      </c>
      <c r="B6232" s="1">
        <v>215286947</v>
      </c>
      <c r="C6232" t="s">
        <v>10635</v>
      </c>
      <c r="D6232" s="43">
        <v>-9392</v>
      </c>
      <c r="E6232" t="s">
        <v>35</v>
      </c>
      <c r="F6232" s="2">
        <v>212901001</v>
      </c>
      <c r="G6232" s="2" t="s">
        <v>121</v>
      </c>
      <c r="L6232" s="2" t="s">
        <v>10898</v>
      </c>
      <c r="M6232" t="s">
        <v>67</v>
      </c>
      <c r="N6232" t="s">
        <v>68</v>
      </c>
      <c r="P6232" s="23">
        <v>118.29</v>
      </c>
      <c r="Q6232" s="4">
        <f t="shared" si="97"/>
        <v>-79.398089441203823</v>
      </c>
      <c r="R6232" s="23" t="s">
        <v>109</v>
      </c>
    </row>
    <row r="6233" spans="1:18" x14ac:dyDescent="0.25">
      <c r="A6233" s="21">
        <v>45856</v>
      </c>
      <c r="B6233" s="1">
        <v>215286952</v>
      </c>
      <c r="C6233" t="s">
        <v>10574</v>
      </c>
      <c r="D6233" s="43">
        <v>-5870</v>
      </c>
      <c r="E6233" t="s">
        <v>35</v>
      </c>
      <c r="F6233" s="2">
        <v>212901001</v>
      </c>
      <c r="G6233" s="2" t="s">
        <v>121</v>
      </c>
      <c r="L6233" s="2" t="s">
        <v>10899</v>
      </c>
      <c r="M6233" t="s">
        <v>67</v>
      </c>
      <c r="N6233" t="s">
        <v>68</v>
      </c>
      <c r="P6233" s="23">
        <v>118.29</v>
      </c>
      <c r="Q6233" s="4">
        <f t="shared" si="97"/>
        <v>-49.623805900752387</v>
      </c>
      <c r="R6233" s="23" t="s">
        <v>109</v>
      </c>
    </row>
    <row r="6234" spans="1:18" x14ac:dyDescent="0.25">
      <c r="A6234" s="21">
        <v>45856</v>
      </c>
      <c r="B6234" s="1">
        <v>215286951</v>
      </c>
      <c r="C6234" t="s">
        <v>10578</v>
      </c>
      <c r="D6234" s="43">
        <v>-5870</v>
      </c>
      <c r="E6234" t="s">
        <v>35</v>
      </c>
      <c r="F6234" s="2">
        <v>212901001</v>
      </c>
      <c r="G6234" s="2" t="s">
        <v>121</v>
      </c>
      <c r="L6234" s="2" t="s">
        <v>10900</v>
      </c>
      <c r="M6234" t="s">
        <v>67</v>
      </c>
      <c r="N6234" t="s">
        <v>68</v>
      </c>
      <c r="P6234" s="23">
        <v>118.29</v>
      </c>
      <c r="Q6234" s="4">
        <f t="shared" si="97"/>
        <v>-49.623805900752387</v>
      </c>
      <c r="R6234" s="23" t="s">
        <v>109</v>
      </c>
    </row>
    <row r="6235" spans="1:18" x14ac:dyDescent="0.25">
      <c r="A6235" s="21">
        <v>45856</v>
      </c>
      <c r="B6235" s="1">
        <v>315286955</v>
      </c>
      <c r="C6235" t="s">
        <v>10901</v>
      </c>
      <c r="D6235" s="43">
        <v>-5870</v>
      </c>
      <c r="E6235" t="s">
        <v>35</v>
      </c>
      <c r="F6235" s="2">
        <v>212901001</v>
      </c>
      <c r="G6235" s="2" t="s">
        <v>121</v>
      </c>
      <c r="L6235" s="2" t="s">
        <v>10902</v>
      </c>
      <c r="M6235" t="s">
        <v>67</v>
      </c>
      <c r="N6235" t="s">
        <v>68</v>
      </c>
      <c r="P6235" s="23">
        <v>118.29</v>
      </c>
      <c r="Q6235" s="4">
        <f t="shared" si="97"/>
        <v>-49.623805900752387</v>
      </c>
      <c r="R6235" s="23" t="s">
        <v>109</v>
      </c>
    </row>
    <row r="6236" spans="1:18" x14ac:dyDescent="0.25">
      <c r="A6236" s="21">
        <v>45856</v>
      </c>
      <c r="B6236" s="1">
        <v>315286956</v>
      </c>
      <c r="C6236" t="s">
        <v>10903</v>
      </c>
      <c r="D6236" s="43">
        <v>-5870</v>
      </c>
      <c r="E6236" t="s">
        <v>35</v>
      </c>
      <c r="F6236" s="2">
        <v>212901001</v>
      </c>
      <c r="G6236" s="2" t="s">
        <v>121</v>
      </c>
      <c r="L6236" s="2" t="s">
        <v>10904</v>
      </c>
      <c r="M6236" t="s">
        <v>67</v>
      </c>
      <c r="N6236" t="s">
        <v>68</v>
      </c>
      <c r="P6236" s="23">
        <v>118.29</v>
      </c>
      <c r="Q6236" s="4">
        <f t="shared" si="97"/>
        <v>-49.623805900752387</v>
      </c>
      <c r="R6236" s="23" t="s">
        <v>109</v>
      </c>
    </row>
    <row r="6237" spans="1:18" x14ac:dyDescent="0.25">
      <c r="A6237" s="21">
        <v>45856</v>
      </c>
      <c r="B6237" s="1">
        <v>215286953</v>
      </c>
      <c r="C6237" t="s">
        <v>10602</v>
      </c>
      <c r="D6237" s="43">
        <v>-5870</v>
      </c>
      <c r="E6237" t="s">
        <v>35</v>
      </c>
      <c r="F6237" s="2">
        <v>212901001</v>
      </c>
      <c r="G6237" s="2" t="s">
        <v>121</v>
      </c>
      <c r="L6237" s="2" t="s">
        <v>10905</v>
      </c>
      <c r="M6237" t="s">
        <v>67</v>
      </c>
      <c r="N6237" t="s">
        <v>68</v>
      </c>
      <c r="P6237" s="23">
        <v>118.29</v>
      </c>
      <c r="Q6237" s="4">
        <f t="shared" si="97"/>
        <v>-49.623805900752387</v>
      </c>
      <c r="R6237" s="23" t="s">
        <v>109</v>
      </c>
    </row>
    <row r="6238" spans="1:18" x14ac:dyDescent="0.25">
      <c r="A6238" s="21">
        <v>45856</v>
      </c>
      <c r="B6238" s="1">
        <v>315286954</v>
      </c>
      <c r="C6238" t="s">
        <v>10604</v>
      </c>
      <c r="D6238" s="43">
        <v>-5870</v>
      </c>
      <c r="E6238" t="s">
        <v>35</v>
      </c>
      <c r="F6238" s="2">
        <v>212901001</v>
      </c>
      <c r="G6238" s="2" t="s">
        <v>121</v>
      </c>
      <c r="L6238" s="2" t="s">
        <v>10906</v>
      </c>
      <c r="M6238" t="s">
        <v>67</v>
      </c>
      <c r="N6238" t="s">
        <v>68</v>
      </c>
      <c r="P6238" s="23">
        <v>118.29</v>
      </c>
      <c r="Q6238" s="4">
        <f t="shared" si="97"/>
        <v>-49.623805900752387</v>
      </c>
      <c r="R6238" s="23" t="s">
        <v>109</v>
      </c>
    </row>
    <row r="6239" spans="1:18" x14ac:dyDescent="0.25">
      <c r="A6239" s="21">
        <v>45856</v>
      </c>
      <c r="B6239" s="1">
        <v>315286957</v>
      </c>
      <c r="C6239" t="s">
        <v>10907</v>
      </c>
      <c r="D6239" s="43">
        <v>-4696</v>
      </c>
      <c r="E6239" t="s">
        <v>35</v>
      </c>
      <c r="F6239" s="2">
        <v>212901001</v>
      </c>
      <c r="G6239" s="2" t="s">
        <v>121</v>
      </c>
      <c r="L6239" s="2" t="s">
        <v>10908</v>
      </c>
      <c r="M6239" t="s">
        <v>67</v>
      </c>
      <c r="N6239" t="s">
        <v>68</v>
      </c>
      <c r="P6239" s="23">
        <v>118.29</v>
      </c>
      <c r="Q6239" s="4">
        <f t="shared" si="97"/>
        <v>-39.699044720601911</v>
      </c>
      <c r="R6239" s="23" t="s">
        <v>109</v>
      </c>
    </row>
    <row r="6240" spans="1:18" x14ac:dyDescent="0.25">
      <c r="A6240" s="21">
        <v>45856</v>
      </c>
      <c r="B6240" s="1">
        <v>315286959</v>
      </c>
      <c r="C6240" t="s">
        <v>10584</v>
      </c>
      <c r="D6240" s="43">
        <v>-4696</v>
      </c>
      <c r="E6240" t="s">
        <v>35</v>
      </c>
      <c r="F6240" s="2">
        <v>212901001</v>
      </c>
      <c r="G6240" s="2" t="s">
        <v>121</v>
      </c>
      <c r="L6240" s="2" t="s">
        <v>10909</v>
      </c>
      <c r="M6240" t="s">
        <v>67</v>
      </c>
      <c r="N6240" t="s">
        <v>68</v>
      </c>
      <c r="P6240" s="23">
        <v>118.29</v>
      </c>
      <c r="Q6240" s="4">
        <f t="shared" si="97"/>
        <v>-39.699044720601911</v>
      </c>
      <c r="R6240" s="23" t="s">
        <v>109</v>
      </c>
    </row>
    <row r="6241" spans="1:18" x14ac:dyDescent="0.25">
      <c r="A6241" s="21">
        <v>45856</v>
      </c>
      <c r="B6241" s="1">
        <v>315286960</v>
      </c>
      <c r="C6241" t="s">
        <v>10586</v>
      </c>
      <c r="D6241" s="43">
        <v>-4696</v>
      </c>
      <c r="E6241" t="s">
        <v>35</v>
      </c>
      <c r="F6241" s="2">
        <v>212901001</v>
      </c>
      <c r="G6241" s="2" t="s">
        <v>121</v>
      </c>
      <c r="L6241" s="2" t="s">
        <v>10910</v>
      </c>
      <c r="M6241" t="s">
        <v>67</v>
      </c>
      <c r="N6241" t="s">
        <v>68</v>
      </c>
      <c r="P6241" s="23">
        <v>118.29</v>
      </c>
      <c r="Q6241" s="4">
        <f t="shared" si="97"/>
        <v>-39.699044720601911</v>
      </c>
      <c r="R6241" s="23" t="s">
        <v>109</v>
      </c>
    </row>
    <row r="6242" spans="1:18" x14ac:dyDescent="0.25">
      <c r="A6242" s="21">
        <v>45856</v>
      </c>
      <c r="B6242" s="1">
        <v>315286958</v>
      </c>
      <c r="C6242" t="s">
        <v>10632</v>
      </c>
      <c r="D6242" s="43">
        <v>-4696</v>
      </c>
      <c r="E6242" t="s">
        <v>35</v>
      </c>
      <c r="F6242" s="2">
        <v>212901001</v>
      </c>
      <c r="G6242" s="2" t="s">
        <v>121</v>
      </c>
      <c r="L6242" s="2" t="s">
        <v>10911</v>
      </c>
      <c r="M6242" t="s">
        <v>67</v>
      </c>
      <c r="N6242" t="s">
        <v>68</v>
      </c>
      <c r="P6242" s="23">
        <v>118.29</v>
      </c>
      <c r="Q6242" s="4">
        <f t="shared" si="97"/>
        <v>-39.699044720601911</v>
      </c>
      <c r="R6242" s="23" t="s">
        <v>109</v>
      </c>
    </row>
    <row r="6243" spans="1:18" x14ac:dyDescent="0.25">
      <c r="A6243" s="21">
        <v>45856</v>
      </c>
      <c r="B6243" s="1">
        <v>315286962</v>
      </c>
      <c r="C6243" t="s">
        <v>10912</v>
      </c>
      <c r="D6243" s="43">
        <v>-4696</v>
      </c>
      <c r="E6243" t="s">
        <v>35</v>
      </c>
      <c r="F6243" s="2">
        <v>212901001</v>
      </c>
      <c r="G6243" s="2" t="s">
        <v>121</v>
      </c>
      <c r="L6243" s="2" t="s">
        <v>10913</v>
      </c>
      <c r="M6243" t="s">
        <v>67</v>
      </c>
      <c r="N6243" t="s">
        <v>68</v>
      </c>
      <c r="P6243" s="23">
        <v>118.29</v>
      </c>
      <c r="Q6243" s="4">
        <f t="shared" si="97"/>
        <v>-39.699044720601911</v>
      </c>
      <c r="R6243" s="23" t="s">
        <v>109</v>
      </c>
    </row>
    <row r="6244" spans="1:18" x14ac:dyDescent="0.25">
      <c r="A6244" s="21">
        <v>45856</v>
      </c>
      <c r="B6244" s="1">
        <v>115286941</v>
      </c>
      <c r="C6244" t="s">
        <v>10562</v>
      </c>
      <c r="D6244" s="43">
        <v>-17610</v>
      </c>
      <c r="E6244" t="s">
        <v>35</v>
      </c>
      <c r="F6244" s="2">
        <v>212901001</v>
      </c>
      <c r="G6244" s="2" t="s">
        <v>121</v>
      </c>
      <c r="L6244" s="2" t="s">
        <v>10914</v>
      </c>
      <c r="M6244" t="s">
        <v>67</v>
      </c>
      <c r="N6244" t="s">
        <v>68</v>
      </c>
      <c r="P6244" s="23">
        <v>118.29</v>
      </c>
      <c r="Q6244" s="4">
        <f t="shared" si="97"/>
        <v>-148.87141770225716</v>
      </c>
      <c r="R6244" s="23" t="s">
        <v>109</v>
      </c>
    </row>
    <row r="6245" spans="1:18" x14ac:dyDescent="0.25">
      <c r="A6245" s="21">
        <v>45856</v>
      </c>
      <c r="B6245" s="1">
        <v>315286961</v>
      </c>
      <c r="C6245" t="s">
        <v>10582</v>
      </c>
      <c r="D6245" s="43">
        <v>-4696</v>
      </c>
      <c r="E6245" t="s">
        <v>35</v>
      </c>
      <c r="F6245" s="2">
        <v>212901001</v>
      </c>
      <c r="G6245" s="2" t="s">
        <v>121</v>
      </c>
      <c r="L6245" s="2" t="s">
        <v>10915</v>
      </c>
      <c r="M6245" t="s">
        <v>67</v>
      </c>
      <c r="N6245" t="s">
        <v>68</v>
      </c>
      <c r="P6245" s="23">
        <v>118.29</v>
      </c>
      <c r="Q6245" s="4">
        <f t="shared" si="97"/>
        <v>-39.699044720601911</v>
      </c>
      <c r="R6245" s="23" t="s">
        <v>109</v>
      </c>
    </row>
    <row r="6246" spans="1:18" x14ac:dyDescent="0.25">
      <c r="A6246" s="21">
        <v>45856</v>
      </c>
      <c r="B6246" s="1">
        <v>315286963</v>
      </c>
      <c r="C6246" t="s">
        <v>10916</v>
      </c>
      <c r="D6246" s="43">
        <v>-4696</v>
      </c>
      <c r="E6246" t="s">
        <v>35</v>
      </c>
      <c r="F6246" s="2">
        <v>212901001</v>
      </c>
      <c r="G6246" s="2" t="s">
        <v>121</v>
      </c>
      <c r="L6246" s="2" t="s">
        <v>10917</v>
      </c>
      <c r="M6246" t="s">
        <v>67</v>
      </c>
      <c r="N6246" t="s">
        <v>68</v>
      </c>
      <c r="P6246" s="23">
        <v>118.29</v>
      </c>
      <c r="Q6246" s="4">
        <f t="shared" si="97"/>
        <v>-39.699044720601911</v>
      </c>
      <c r="R6246" s="23" t="s">
        <v>109</v>
      </c>
    </row>
    <row r="6247" spans="1:18" x14ac:dyDescent="0.25">
      <c r="A6247" s="21">
        <v>45856</v>
      </c>
      <c r="B6247" s="1">
        <v>415286966</v>
      </c>
      <c r="C6247" t="s">
        <v>10594</v>
      </c>
      <c r="D6247" s="43">
        <v>-17610</v>
      </c>
      <c r="E6247" t="s">
        <v>35</v>
      </c>
      <c r="F6247" s="2">
        <v>212901001</v>
      </c>
      <c r="G6247" s="2" t="s">
        <v>121</v>
      </c>
      <c r="L6247" s="2" t="s">
        <v>10918</v>
      </c>
      <c r="M6247" t="s">
        <v>67</v>
      </c>
      <c r="N6247" t="s">
        <v>68</v>
      </c>
      <c r="P6247" s="23">
        <v>118.29</v>
      </c>
      <c r="Q6247" s="4">
        <f t="shared" si="97"/>
        <v>-148.87141770225716</v>
      </c>
      <c r="R6247" s="23" t="s">
        <v>109</v>
      </c>
    </row>
    <row r="6248" spans="1:18" x14ac:dyDescent="0.25">
      <c r="A6248" s="21">
        <v>45856</v>
      </c>
      <c r="B6248" s="1">
        <v>415286965</v>
      </c>
      <c r="C6248" t="s">
        <v>10592</v>
      </c>
      <c r="D6248" s="43">
        <v>-11740</v>
      </c>
      <c r="E6248" t="s">
        <v>35</v>
      </c>
      <c r="F6248" s="2">
        <v>212901001</v>
      </c>
      <c r="G6248" s="2" t="s">
        <v>121</v>
      </c>
      <c r="L6248" s="2" t="s">
        <v>10919</v>
      </c>
      <c r="M6248" t="s">
        <v>67</v>
      </c>
      <c r="N6248" t="s">
        <v>68</v>
      </c>
      <c r="P6248" s="23">
        <v>118.29</v>
      </c>
      <c r="Q6248" s="4">
        <f t="shared" si="97"/>
        <v>-99.247611801504775</v>
      </c>
      <c r="R6248" s="23" t="s">
        <v>109</v>
      </c>
    </row>
    <row r="6249" spans="1:18" x14ac:dyDescent="0.25">
      <c r="A6249" s="21">
        <v>45856</v>
      </c>
      <c r="B6249" s="1">
        <v>415286967</v>
      </c>
      <c r="C6249" t="s">
        <v>10920</v>
      </c>
      <c r="D6249" s="43">
        <v>-12914</v>
      </c>
      <c r="E6249" t="s">
        <v>35</v>
      </c>
      <c r="F6249" s="2">
        <v>212901001</v>
      </c>
      <c r="G6249" s="2" t="s">
        <v>121</v>
      </c>
      <c r="L6249" s="2" t="s">
        <v>10921</v>
      </c>
      <c r="M6249" t="s">
        <v>67</v>
      </c>
      <c r="N6249" t="s">
        <v>68</v>
      </c>
      <c r="P6249" s="23">
        <v>118.29</v>
      </c>
      <c r="Q6249" s="4">
        <f t="shared" si="97"/>
        <v>-109.17237298165524</v>
      </c>
      <c r="R6249" s="23" t="s">
        <v>109</v>
      </c>
    </row>
    <row r="6250" spans="1:18" x14ac:dyDescent="0.25">
      <c r="A6250" s="21">
        <v>45856</v>
      </c>
      <c r="B6250" s="1">
        <v>415286969</v>
      </c>
      <c r="C6250" t="s">
        <v>10596</v>
      </c>
      <c r="D6250" s="43">
        <v>-11740</v>
      </c>
      <c r="E6250" t="s">
        <v>35</v>
      </c>
      <c r="F6250" s="2">
        <v>212901001</v>
      </c>
      <c r="G6250" s="2" t="s">
        <v>121</v>
      </c>
      <c r="L6250" s="2" t="s">
        <v>10922</v>
      </c>
      <c r="M6250" t="s">
        <v>67</v>
      </c>
      <c r="N6250" t="s">
        <v>68</v>
      </c>
      <c r="P6250" s="23">
        <v>118.29</v>
      </c>
      <c r="Q6250" s="4">
        <f t="shared" si="97"/>
        <v>-99.247611801504775</v>
      </c>
      <c r="R6250" s="23" t="s">
        <v>109</v>
      </c>
    </row>
    <row r="6251" spans="1:18" x14ac:dyDescent="0.25">
      <c r="A6251" s="21">
        <v>45856</v>
      </c>
      <c r="B6251" s="1">
        <v>415286971</v>
      </c>
      <c r="C6251" t="s">
        <v>10598</v>
      </c>
      <c r="D6251" s="43">
        <v>-8218</v>
      </c>
      <c r="E6251" t="s">
        <v>35</v>
      </c>
      <c r="F6251" s="2">
        <v>212901001</v>
      </c>
      <c r="G6251" s="2" t="s">
        <v>121</v>
      </c>
      <c r="L6251" s="2" t="s">
        <v>10923</v>
      </c>
      <c r="M6251" t="s">
        <v>67</v>
      </c>
      <c r="N6251" t="s">
        <v>68</v>
      </c>
      <c r="P6251" s="23">
        <v>118.29</v>
      </c>
      <c r="Q6251" s="4">
        <f t="shared" si="97"/>
        <v>-69.473328261053339</v>
      </c>
      <c r="R6251" s="23" t="s">
        <v>109</v>
      </c>
    </row>
    <row r="6252" spans="1:18" x14ac:dyDescent="0.25">
      <c r="A6252" s="21">
        <v>45856</v>
      </c>
      <c r="B6252" s="1">
        <v>415286968</v>
      </c>
      <c r="C6252" t="s">
        <v>10651</v>
      </c>
      <c r="D6252" s="43">
        <v>-9392</v>
      </c>
      <c r="E6252" t="s">
        <v>35</v>
      </c>
      <c r="F6252" s="2">
        <v>212901001</v>
      </c>
      <c r="G6252" s="2" t="s">
        <v>121</v>
      </c>
      <c r="L6252" s="2" t="s">
        <v>10924</v>
      </c>
      <c r="M6252" t="s">
        <v>67</v>
      </c>
      <c r="N6252" t="s">
        <v>68</v>
      </c>
      <c r="P6252" s="23">
        <v>118.29</v>
      </c>
      <c r="Q6252" s="4">
        <f t="shared" si="97"/>
        <v>-79.398089441203823</v>
      </c>
      <c r="R6252" s="23" t="s">
        <v>109</v>
      </c>
    </row>
    <row r="6253" spans="1:18" x14ac:dyDescent="0.25">
      <c r="A6253" s="21">
        <v>45856</v>
      </c>
      <c r="B6253" s="1">
        <v>415286972</v>
      </c>
      <c r="C6253" t="s">
        <v>10600</v>
      </c>
      <c r="D6253" s="43">
        <v>-8218</v>
      </c>
      <c r="E6253" t="s">
        <v>35</v>
      </c>
      <c r="F6253" s="2">
        <v>212901001</v>
      </c>
      <c r="G6253" s="2" t="s">
        <v>121</v>
      </c>
      <c r="L6253" s="2" t="s">
        <v>10925</v>
      </c>
      <c r="M6253" t="s">
        <v>67</v>
      </c>
      <c r="N6253" t="s">
        <v>68</v>
      </c>
      <c r="P6253" s="23">
        <v>118.29</v>
      </c>
      <c r="Q6253" s="4">
        <f t="shared" si="97"/>
        <v>-69.473328261053339</v>
      </c>
      <c r="R6253" s="23" t="s">
        <v>109</v>
      </c>
    </row>
    <row r="6254" spans="1:18" x14ac:dyDescent="0.25">
      <c r="A6254" s="21">
        <v>45856</v>
      </c>
      <c r="B6254" s="1">
        <v>415286970</v>
      </c>
      <c r="C6254" t="s">
        <v>10926</v>
      </c>
      <c r="D6254" s="43">
        <v>-8218</v>
      </c>
      <c r="E6254" t="s">
        <v>35</v>
      </c>
      <c r="F6254" s="2">
        <v>212901001</v>
      </c>
      <c r="G6254" s="2" t="s">
        <v>121</v>
      </c>
      <c r="L6254" s="2" t="s">
        <v>10927</v>
      </c>
      <c r="M6254" t="s">
        <v>67</v>
      </c>
      <c r="N6254" t="s">
        <v>68</v>
      </c>
      <c r="P6254" s="23">
        <v>118.29</v>
      </c>
      <c r="Q6254" s="4">
        <f t="shared" si="97"/>
        <v>-69.473328261053339</v>
      </c>
      <c r="R6254" s="23" t="s">
        <v>109</v>
      </c>
    </row>
    <row r="6255" spans="1:18" x14ac:dyDescent="0.25">
      <c r="A6255" s="21">
        <v>45856</v>
      </c>
      <c r="B6255" s="1">
        <v>415286964</v>
      </c>
      <c r="C6255" t="s">
        <v>10626</v>
      </c>
      <c r="D6255" s="43">
        <v>-11740</v>
      </c>
      <c r="E6255" t="s">
        <v>35</v>
      </c>
      <c r="F6255" s="2">
        <v>212901001</v>
      </c>
      <c r="G6255" s="2" t="s">
        <v>121</v>
      </c>
      <c r="L6255" s="2" t="s">
        <v>10928</v>
      </c>
      <c r="M6255" t="s">
        <v>67</v>
      </c>
      <c r="N6255" t="s">
        <v>68</v>
      </c>
      <c r="P6255" s="23">
        <v>118.29</v>
      </c>
      <c r="Q6255" s="4">
        <f t="shared" si="97"/>
        <v>-99.247611801504775</v>
      </c>
      <c r="R6255" s="23" t="s">
        <v>109</v>
      </c>
    </row>
    <row r="6256" spans="1:18" x14ac:dyDescent="0.25">
      <c r="A6256" s="21">
        <v>45856</v>
      </c>
      <c r="B6256" s="1">
        <v>415286973</v>
      </c>
      <c r="C6256" t="s">
        <v>10929</v>
      </c>
      <c r="D6256" s="43">
        <v>-5870</v>
      </c>
      <c r="E6256" t="s">
        <v>35</v>
      </c>
      <c r="F6256" s="2">
        <v>212901001</v>
      </c>
      <c r="G6256" s="2" t="s">
        <v>121</v>
      </c>
      <c r="L6256" s="2" t="s">
        <v>10930</v>
      </c>
      <c r="M6256" t="s">
        <v>67</v>
      </c>
      <c r="N6256" t="s">
        <v>68</v>
      </c>
      <c r="P6256" s="23">
        <v>118.29</v>
      </c>
      <c r="Q6256" s="4">
        <f t="shared" si="97"/>
        <v>-49.623805900752387</v>
      </c>
      <c r="R6256" s="23" t="s">
        <v>109</v>
      </c>
    </row>
    <row r="6257" spans="1:18" x14ac:dyDescent="0.25">
      <c r="A6257" s="21">
        <v>45856</v>
      </c>
      <c r="B6257" s="1">
        <v>515286975</v>
      </c>
      <c r="C6257" t="s">
        <v>10931</v>
      </c>
      <c r="D6257" s="43">
        <v>-5870</v>
      </c>
      <c r="E6257" t="s">
        <v>35</v>
      </c>
      <c r="F6257" s="2">
        <v>212901001</v>
      </c>
      <c r="G6257" s="2" t="s">
        <v>121</v>
      </c>
      <c r="L6257" s="2" t="s">
        <v>10932</v>
      </c>
      <c r="M6257" t="s">
        <v>67</v>
      </c>
      <c r="N6257" t="s">
        <v>68</v>
      </c>
      <c r="P6257" s="23">
        <v>118.29</v>
      </c>
      <c r="Q6257" s="4">
        <f t="shared" si="97"/>
        <v>-49.623805900752387</v>
      </c>
      <c r="R6257" s="23" t="s">
        <v>109</v>
      </c>
    </row>
    <row r="6258" spans="1:18" x14ac:dyDescent="0.25">
      <c r="A6258" s="21">
        <v>45856</v>
      </c>
      <c r="B6258" s="1">
        <v>515286978</v>
      </c>
      <c r="C6258" t="s">
        <v>10610</v>
      </c>
      <c r="D6258" s="43">
        <v>-5870</v>
      </c>
      <c r="E6258" t="s">
        <v>35</v>
      </c>
      <c r="F6258" s="2">
        <v>212901001</v>
      </c>
      <c r="G6258" s="2" t="s">
        <v>121</v>
      </c>
      <c r="L6258" s="2" t="s">
        <v>10933</v>
      </c>
      <c r="M6258" t="s">
        <v>67</v>
      </c>
      <c r="N6258" t="s">
        <v>68</v>
      </c>
      <c r="P6258" s="23">
        <v>118.29</v>
      </c>
      <c r="Q6258" s="4">
        <f t="shared" si="97"/>
        <v>-49.623805900752387</v>
      </c>
      <c r="R6258" s="23" t="s">
        <v>109</v>
      </c>
    </row>
    <row r="6259" spans="1:18" x14ac:dyDescent="0.25">
      <c r="A6259" s="21">
        <v>45856</v>
      </c>
      <c r="B6259" s="1">
        <v>515286980</v>
      </c>
      <c r="C6259" t="s">
        <v>10612</v>
      </c>
      <c r="D6259" s="43">
        <v>-5870</v>
      </c>
      <c r="E6259" t="s">
        <v>35</v>
      </c>
      <c r="F6259" s="2">
        <v>212901001</v>
      </c>
      <c r="G6259" s="2" t="s">
        <v>121</v>
      </c>
      <c r="L6259" s="2" t="s">
        <v>10934</v>
      </c>
      <c r="M6259" t="s">
        <v>67</v>
      </c>
      <c r="N6259" t="s">
        <v>68</v>
      </c>
      <c r="P6259" s="23">
        <v>118.29</v>
      </c>
      <c r="Q6259" s="4">
        <f t="shared" si="97"/>
        <v>-49.623805900752387</v>
      </c>
      <c r="R6259" s="23" t="s">
        <v>109</v>
      </c>
    </row>
    <row r="6260" spans="1:18" x14ac:dyDescent="0.25">
      <c r="A6260" s="21">
        <v>45856</v>
      </c>
      <c r="B6260" s="1">
        <v>515286976</v>
      </c>
      <c r="C6260" t="s">
        <v>10614</v>
      </c>
      <c r="D6260" s="43">
        <v>-5870</v>
      </c>
      <c r="E6260" t="s">
        <v>35</v>
      </c>
      <c r="F6260" s="2">
        <v>212901001</v>
      </c>
      <c r="G6260" s="2" t="s">
        <v>121</v>
      </c>
      <c r="L6260" s="2" t="s">
        <v>10935</v>
      </c>
      <c r="M6260" t="s">
        <v>67</v>
      </c>
      <c r="N6260" t="s">
        <v>68</v>
      </c>
      <c r="P6260" s="23">
        <v>118.29</v>
      </c>
      <c r="Q6260" s="4">
        <f t="shared" si="97"/>
        <v>-49.623805900752387</v>
      </c>
      <c r="R6260" s="23" t="s">
        <v>109</v>
      </c>
    </row>
    <row r="6261" spans="1:18" x14ac:dyDescent="0.25">
      <c r="A6261" s="21">
        <v>45856</v>
      </c>
      <c r="B6261" s="1">
        <v>515286981</v>
      </c>
      <c r="C6261" t="s">
        <v>10936</v>
      </c>
      <c r="D6261" s="43">
        <v>-4930.8</v>
      </c>
      <c r="E6261" t="s">
        <v>35</v>
      </c>
      <c r="F6261" s="2">
        <v>212901001</v>
      </c>
      <c r="G6261" s="2" t="s">
        <v>121</v>
      </c>
      <c r="L6261" s="2" t="s">
        <v>10937</v>
      </c>
      <c r="M6261" t="s">
        <v>67</v>
      </c>
      <c r="N6261" t="s">
        <v>68</v>
      </c>
      <c r="P6261" s="23">
        <v>118.29</v>
      </c>
      <c r="Q6261" s="4">
        <f t="shared" si="97"/>
        <v>-41.683996956632008</v>
      </c>
      <c r="R6261" s="23" t="s">
        <v>109</v>
      </c>
    </row>
    <row r="6262" spans="1:18" x14ac:dyDescent="0.25">
      <c r="A6262" s="21">
        <v>45856</v>
      </c>
      <c r="B6262" s="1">
        <v>515286982</v>
      </c>
      <c r="C6262" t="s">
        <v>10649</v>
      </c>
      <c r="D6262" s="43">
        <v>-4930.8</v>
      </c>
      <c r="E6262" t="s">
        <v>35</v>
      </c>
      <c r="F6262" s="2">
        <v>212901001</v>
      </c>
      <c r="G6262" s="2" t="s">
        <v>121</v>
      </c>
      <c r="L6262" s="2" t="s">
        <v>10938</v>
      </c>
      <c r="M6262" t="s">
        <v>67</v>
      </c>
      <c r="N6262" t="s">
        <v>68</v>
      </c>
      <c r="P6262" s="23">
        <v>118.29</v>
      </c>
      <c r="Q6262" s="4">
        <f t="shared" si="97"/>
        <v>-41.683996956632008</v>
      </c>
      <c r="R6262" s="23" t="s">
        <v>109</v>
      </c>
    </row>
    <row r="6263" spans="1:18" x14ac:dyDescent="0.25">
      <c r="A6263" s="21">
        <v>45856</v>
      </c>
      <c r="B6263" s="1">
        <v>515286979</v>
      </c>
      <c r="C6263" t="s">
        <v>10616</v>
      </c>
      <c r="D6263" s="43">
        <v>-5870</v>
      </c>
      <c r="E6263" t="s">
        <v>35</v>
      </c>
      <c r="F6263" s="2">
        <v>212901001</v>
      </c>
      <c r="G6263" s="2" t="s">
        <v>121</v>
      </c>
      <c r="L6263" s="2" t="s">
        <v>10939</v>
      </c>
      <c r="M6263" t="s">
        <v>67</v>
      </c>
      <c r="N6263" t="s">
        <v>68</v>
      </c>
      <c r="P6263" s="23">
        <v>118.29</v>
      </c>
      <c r="Q6263" s="4">
        <f t="shared" si="97"/>
        <v>-49.623805900752387</v>
      </c>
      <c r="R6263" s="23" t="s">
        <v>109</v>
      </c>
    </row>
    <row r="6264" spans="1:18" x14ac:dyDescent="0.25">
      <c r="A6264" s="21">
        <v>45856</v>
      </c>
      <c r="B6264" s="1">
        <v>615286984</v>
      </c>
      <c r="C6264" t="s">
        <v>10620</v>
      </c>
      <c r="D6264" s="43">
        <v>-5870</v>
      </c>
      <c r="E6264" t="s">
        <v>35</v>
      </c>
      <c r="F6264" s="2">
        <v>212901001</v>
      </c>
      <c r="G6264" s="2" t="s">
        <v>121</v>
      </c>
      <c r="L6264" s="2" t="s">
        <v>10940</v>
      </c>
      <c r="M6264" t="s">
        <v>67</v>
      </c>
      <c r="N6264" t="s">
        <v>68</v>
      </c>
      <c r="P6264" s="23">
        <v>118.29</v>
      </c>
      <c r="Q6264" s="4">
        <f t="shared" si="97"/>
        <v>-49.623805900752387</v>
      </c>
      <c r="R6264" s="23" t="s">
        <v>109</v>
      </c>
    </row>
    <row r="6265" spans="1:18" x14ac:dyDescent="0.25">
      <c r="A6265" s="21">
        <v>45856</v>
      </c>
      <c r="B6265" s="1">
        <v>615286986</v>
      </c>
      <c r="C6265" t="s">
        <v>10606</v>
      </c>
      <c r="D6265" s="43">
        <v>-5870</v>
      </c>
      <c r="E6265" t="s">
        <v>35</v>
      </c>
      <c r="F6265" s="2">
        <v>212901001</v>
      </c>
      <c r="G6265" s="2" t="s">
        <v>121</v>
      </c>
      <c r="L6265" s="2" t="s">
        <v>10941</v>
      </c>
      <c r="M6265" t="s">
        <v>67</v>
      </c>
      <c r="N6265" t="s">
        <v>68</v>
      </c>
      <c r="P6265" s="23">
        <v>118.29</v>
      </c>
      <c r="Q6265" s="4">
        <f t="shared" si="97"/>
        <v>-49.623805900752387</v>
      </c>
      <c r="R6265" s="23" t="s">
        <v>109</v>
      </c>
    </row>
    <row r="6266" spans="1:18" x14ac:dyDescent="0.25">
      <c r="A6266" s="21">
        <v>45856</v>
      </c>
      <c r="B6266" s="1">
        <v>615286983</v>
      </c>
      <c r="C6266" t="s">
        <v>10608</v>
      </c>
      <c r="D6266" s="43">
        <v>-5870</v>
      </c>
      <c r="E6266" t="s">
        <v>35</v>
      </c>
      <c r="F6266" s="2">
        <v>212901001</v>
      </c>
      <c r="G6266" s="2" t="s">
        <v>121</v>
      </c>
      <c r="L6266" s="2" t="s">
        <v>10942</v>
      </c>
      <c r="M6266" t="s">
        <v>67</v>
      </c>
      <c r="N6266" t="s">
        <v>68</v>
      </c>
      <c r="P6266" s="23">
        <v>118.29</v>
      </c>
      <c r="Q6266" s="4">
        <f t="shared" si="97"/>
        <v>-49.623805900752387</v>
      </c>
      <c r="R6266" s="23" t="s">
        <v>109</v>
      </c>
    </row>
    <row r="6267" spans="1:18" x14ac:dyDescent="0.25">
      <c r="A6267" s="21">
        <v>45856</v>
      </c>
      <c r="B6267" s="1">
        <v>515286977</v>
      </c>
      <c r="C6267" t="s">
        <v>10643</v>
      </c>
      <c r="D6267" s="43">
        <v>-5870</v>
      </c>
      <c r="E6267" t="s">
        <v>35</v>
      </c>
      <c r="F6267" s="2">
        <v>212901001</v>
      </c>
      <c r="G6267" s="2" t="s">
        <v>121</v>
      </c>
      <c r="L6267" s="2" t="s">
        <v>10943</v>
      </c>
      <c r="M6267" t="s">
        <v>67</v>
      </c>
      <c r="N6267" t="s">
        <v>68</v>
      </c>
      <c r="P6267" s="23">
        <v>118.29</v>
      </c>
      <c r="Q6267" s="4">
        <f t="shared" si="97"/>
        <v>-49.623805900752387</v>
      </c>
      <c r="R6267" s="23" t="s">
        <v>109</v>
      </c>
    </row>
    <row r="6268" spans="1:18" x14ac:dyDescent="0.25">
      <c r="A6268" s="21">
        <v>45856</v>
      </c>
      <c r="B6268" s="1">
        <v>515286974</v>
      </c>
      <c r="C6268" t="s">
        <v>10616</v>
      </c>
      <c r="D6268" s="43">
        <v>-8218</v>
      </c>
      <c r="E6268" t="s">
        <v>35</v>
      </c>
      <c r="F6268" s="2">
        <v>212901001</v>
      </c>
      <c r="G6268" s="2" t="s">
        <v>121</v>
      </c>
      <c r="L6268" s="2" t="s">
        <v>10944</v>
      </c>
      <c r="M6268" t="s">
        <v>67</v>
      </c>
      <c r="N6268" t="s">
        <v>68</v>
      </c>
      <c r="P6268" s="23">
        <v>118.29</v>
      </c>
      <c r="Q6268" s="4">
        <f t="shared" si="97"/>
        <v>-69.473328261053339</v>
      </c>
      <c r="R6268" s="23" t="s">
        <v>109</v>
      </c>
    </row>
    <row r="6269" spans="1:18" x14ac:dyDescent="0.25">
      <c r="A6269" s="21">
        <v>45856</v>
      </c>
      <c r="B6269" s="1">
        <v>615286985</v>
      </c>
      <c r="C6269" t="s">
        <v>10576</v>
      </c>
      <c r="D6269" s="43">
        <v>-5870</v>
      </c>
      <c r="E6269" t="s">
        <v>35</v>
      </c>
      <c r="F6269" s="2">
        <v>212901001</v>
      </c>
      <c r="G6269" s="2" t="s">
        <v>121</v>
      </c>
      <c r="L6269" s="2" t="s">
        <v>10945</v>
      </c>
      <c r="M6269" t="s">
        <v>67</v>
      </c>
      <c r="N6269" t="s">
        <v>68</v>
      </c>
      <c r="P6269" s="23">
        <v>118.29</v>
      </c>
      <c r="Q6269" s="4">
        <f t="shared" si="97"/>
        <v>-49.623805900752387</v>
      </c>
      <c r="R6269" s="23" t="s">
        <v>109</v>
      </c>
    </row>
    <row r="6270" spans="1:18" x14ac:dyDescent="0.25">
      <c r="A6270" s="21">
        <v>45856</v>
      </c>
      <c r="B6270" s="1">
        <v>615286988</v>
      </c>
      <c r="C6270" t="s">
        <v>10618</v>
      </c>
      <c r="D6270" s="43">
        <v>-2348</v>
      </c>
      <c r="E6270" t="s">
        <v>35</v>
      </c>
      <c r="F6270" s="2">
        <v>212901001</v>
      </c>
      <c r="G6270" s="2" t="s">
        <v>121</v>
      </c>
      <c r="L6270" s="2" t="s">
        <v>10946</v>
      </c>
      <c r="M6270" t="s">
        <v>67</v>
      </c>
      <c r="N6270" t="s">
        <v>68</v>
      </c>
      <c r="P6270" s="23">
        <v>118.29</v>
      </c>
      <c r="Q6270" s="4">
        <f t="shared" si="97"/>
        <v>-19.849522360300956</v>
      </c>
      <c r="R6270" s="23" t="s">
        <v>109</v>
      </c>
    </row>
    <row r="6271" spans="1:18" x14ac:dyDescent="0.25">
      <c r="A6271" s="21">
        <v>45856</v>
      </c>
      <c r="B6271" s="1">
        <v>715286994</v>
      </c>
      <c r="C6271" t="s">
        <v>10622</v>
      </c>
      <c r="D6271" s="43">
        <v>-23480</v>
      </c>
      <c r="E6271" t="s">
        <v>35</v>
      </c>
      <c r="F6271" s="2">
        <v>212901001</v>
      </c>
      <c r="G6271" s="2" t="s">
        <v>121</v>
      </c>
      <c r="L6271" s="2" t="s">
        <v>10947</v>
      </c>
      <c r="M6271" t="s">
        <v>67</v>
      </c>
      <c r="N6271" t="s">
        <v>68</v>
      </c>
      <c r="P6271" s="23">
        <v>118.29</v>
      </c>
      <c r="Q6271" s="4">
        <f t="shared" si="97"/>
        <v>-198.49522360300955</v>
      </c>
      <c r="R6271" s="23" t="s">
        <v>109</v>
      </c>
    </row>
    <row r="6272" spans="1:18" x14ac:dyDescent="0.25">
      <c r="A6272" s="21">
        <v>45856</v>
      </c>
      <c r="B6272" s="1">
        <v>615286991</v>
      </c>
      <c r="C6272" t="s">
        <v>10948</v>
      </c>
      <c r="D6272" s="43">
        <v>-2348</v>
      </c>
      <c r="E6272" t="s">
        <v>35</v>
      </c>
      <c r="F6272" s="2">
        <v>212901001</v>
      </c>
      <c r="G6272" s="2" t="s">
        <v>121</v>
      </c>
      <c r="L6272" s="2" t="s">
        <v>10949</v>
      </c>
      <c r="M6272" t="s">
        <v>67</v>
      </c>
      <c r="N6272" t="s">
        <v>68</v>
      </c>
      <c r="P6272" s="23">
        <v>118.29</v>
      </c>
      <c r="Q6272" s="4">
        <f t="shared" si="97"/>
        <v>-19.849522360300956</v>
      </c>
      <c r="R6272" s="23" t="s">
        <v>109</v>
      </c>
    </row>
    <row r="6273" spans="1:20" x14ac:dyDescent="0.25">
      <c r="A6273" s="21">
        <v>45856</v>
      </c>
      <c r="B6273" s="1">
        <v>715286995</v>
      </c>
      <c r="C6273" t="s">
        <v>10630</v>
      </c>
      <c r="D6273" s="43">
        <v>-14322.8</v>
      </c>
      <c r="E6273" t="s">
        <v>35</v>
      </c>
      <c r="F6273" s="2">
        <v>212901001</v>
      </c>
      <c r="G6273" s="2" t="s">
        <v>121</v>
      </c>
      <c r="L6273" s="2" t="s">
        <v>10950</v>
      </c>
      <c r="M6273" t="s">
        <v>67</v>
      </c>
      <c r="N6273" t="s">
        <v>68</v>
      </c>
      <c r="P6273" s="23">
        <v>118.29</v>
      </c>
      <c r="Q6273" s="4">
        <f t="shared" si="97"/>
        <v>-121.08208639783581</v>
      </c>
      <c r="R6273" s="23" t="s">
        <v>109</v>
      </c>
    </row>
    <row r="6274" spans="1:20" x14ac:dyDescent="0.25">
      <c r="A6274" s="21">
        <v>45856</v>
      </c>
      <c r="B6274" s="1">
        <v>615286993</v>
      </c>
      <c r="C6274" t="s">
        <v>10645</v>
      </c>
      <c r="D6274" s="43">
        <v>-11740</v>
      </c>
      <c r="E6274" t="s">
        <v>35</v>
      </c>
      <c r="F6274" s="2">
        <v>212901001</v>
      </c>
      <c r="G6274" s="2" t="s">
        <v>121</v>
      </c>
      <c r="L6274" s="2" t="s">
        <v>10951</v>
      </c>
      <c r="M6274" t="s">
        <v>67</v>
      </c>
      <c r="N6274" t="s">
        <v>68</v>
      </c>
      <c r="P6274" s="23">
        <v>118.29</v>
      </c>
      <c r="Q6274" s="4">
        <f t="shared" si="97"/>
        <v>-99.247611801504775</v>
      </c>
      <c r="R6274" s="23" t="s">
        <v>109</v>
      </c>
    </row>
    <row r="6275" spans="1:20" x14ac:dyDescent="0.25">
      <c r="A6275" s="21">
        <v>45856</v>
      </c>
      <c r="B6275" s="1">
        <v>615286992</v>
      </c>
      <c r="C6275" t="s">
        <v>10641</v>
      </c>
      <c r="D6275" s="43">
        <v>-2348</v>
      </c>
      <c r="E6275" t="s">
        <v>35</v>
      </c>
      <c r="F6275" s="2">
        <v>212901001</v>
      </c>
      <c r="G6275" s="2" t="s">
        <v>121</v>
      </c>
      <c r="L6275" s="2" t="s">
        <v>10952</v>
      </c>
      <c r="M6275" t="s">
        <v>67</v>
      </c>
      <c r="N6275" t="s">
        <v>68</v>
      </c>
      <c r="P6275" s="23">
        <v>118.29</v>
      </c>
      <c r="Q6275" s="4">
        <f t="shared" si="97"/>
        <v>-19.849522360300956</v>
      </c>
      <c r="R6275" s="23" t="s">
        <v>109</v>
      </c>
    </row>
    <row r="6276" spans="1:20" x14ac:dyDescent="0.25">
      <c r="A6276" s="21">
        <v>45856</v>
      </c>
      <c r="B6276" s="1">
        <v>715286996</v>
      </c>
      <c r="C6276" t="s">
        <v>10628</v>
      </c>
      <c r="D6276" s="43">
        <v>-3522</v>
      </c>
      <c r="E6276" t="s">
        <v>35</v>
      </c>
      <c r="F6276" s="2">
        <v>212901001</v>
      </c>
      <c r="G6276" s="2" t="s">
        <v>121</v>
      </c>
      <c r="L6276" s="2" t="s">
        <v>10953</v>
      </c>
      <c r="M6276" t="s">
        <v>67</v>
      </c>
      <c r="N6276" t="s">
        <v>68</v>
      </c>
      <c r="P6276" s="23">
        <v>118.29</v>
      </c>
      <c r="Q6276" s="4">
        <f t="shared" si="97"/>
        <v>-29.774283540451432</v>
      </c>
      <c r="R6276" s="23" t="s">
        <v>109</v>
      </c>
    </row>
    <row r="6277" spans="1:20" x14ac:dyDescent="0.25">
      <c r="A6277" s="21">
        <v>45856</v>
      </c>
      <c r="B6277" s="1">
        <v>615286987</v>
      </c>
      <c r="C6277" t="s">
        <v>10580</v>
      </c>
      <c r="D6277" s="43">
        <v>-5870</v>
      </c>
      <c r="E6277" t="s">
        <v>35</v>
      </c>
      <c r="F6277" s="2">
        <v>212901001</v>
      </c>
      <c r="G6277" s="2" t="s">
        <v>121</v>
      </c>
      <c r="L6277" s="2" t="s">
        <v>10954</v>
      </c>
      <c r="M6277" t="s">
        <v>67</v>
      </c>
      <c r="N6277" t="s">
        <v>68</v>
      </c>
      <c r="P6277" s="23">
        <v>118.29</v>
      </c>
      <c r="Q6277" s="4">
        <f t="shared" si="97"/>
        <v>-49.623805900752387</v>
      </c>
      <c r="R6277" s="23" t="s">
        <v>109</v>
      </c>
    </row>
    <row r="6278" spans="1:20" x14ac:dyDescent="0.25">
      <c r="A6278" s="21">
        <v>45856</v>
      </c>
      <c r="B6278" s="1">
        <v>615286989</v>
      </c>
      <c r="C6278" t="s">
        <v>10624</v>
      </c>
      <c r="D6278" s="43">
        <v>-2348</v>
      </c>
      <c r="E6278" t="s">
        <v>35</v>
      </c>
      <c r="F6278" s="2">
        <v>212901001</v>
      </c>
      <c r="G6278" s="2" t="s">
        <v>121</v>
      </c>
      <c r="L6278" s="2" t="s">
        <v>10955</v>
      </c>
      <c r="M6278" t="s">
        <v>67</v>
      </c>
      <c r="N6278" t="s">
        <v>68</v>
      </c>
      <c r="P6278" s="23">
        <v>118.29</v>
      </c>
      <c r="Q6278" s="4">
        <f t="shared" si="97"/>
        <v>-19.849522360300956</v>
      </c>
      <c r="R6278" s="23" t="s">
        <v>109</v>
      </c>
    </row>
    <row r="6279" spans="1:20" x14ac:dyDescent="0.25">
      <c r="A6279" s="21">
        <v>45856</v>
      </c>
      <c r="B6279" s="1">
        <v>715286997</v>
      </c>
      <c r="C6279" t="s">
        <v>10637</v>
      </c>
      <c r="D6279" s="43">
        <v>-4696</v>
      </c>
      <c r="E6279" t="s">
        <v>35</v>
      </c>
      <c r="F6279" s="2">
        <v>212901001</v>
      </c>
      <c r="G6279" s="2" t="s">
        <v>121</v>
      </c>
      <c r="L6279" s="2" t="s">
        <v>10956</v>
      </c>
      <c r="M6279" t="s">
        <v>67</v>
      </c>
      <c r="N6279" t="s">
        <v>68</v>
      </c>
      <c r="P6279" s="23">
        <v>118.29</v>
      </c>
      <c r="Q6279" s="4">
        <f t="shared" si="97"/>
        <v>-39.699044720601911</v>
      </c>
      <c r="R6279" s="23" t="s">
        <v>109</v>
      </c>
    </row>
    <row r="6280" spans="1:20" x14ac:dyDescent="0.25">
      <c r="A6280" s="21">
        <v>45856</v>
      </c>
      <c r="B6280" s="1">
        <v>50796499</v>
      </c>
      <c r="C6280" t="s">
        <v>10653</v>
      </c>
      <c r="D6280" s="43">
        <v>-16436</v>
      </c>
      <c r="E6280" t="s">
        <v>35</v>
      </c>
      <c r="F6280" s="2">
        <v>212901001</v>
      </c>
      <c r="G6280" s="2" t="s">
        <v>121</v>
      </c>
      <c r="L6280" s="2" t="s">
        <v>10957</v>
      </c>
      <c r="M6280" t="s">
        <v>67</v>
      </c>
      <c r="N6280" t="s">
        <v>68</v>
      </c>
      <c r="P6280" s="23">
        <v>118.29</v>
      </c>
      <c r="Q6280" s="4">
        <f t="shared" si="97"/>
        <v>-138.94665652210668</v>
      </c>
      <c r="R6280" s="23" t="s">
        <v>109</v>
      </c>
    </row>
    <row r="6281" spans="1:20" x14ac:dyDescent="0.25">
      <c r="A6281" s="21">
        <v>45856</v>
      </c>
      <c r="B6281" s="1">
        <v>50796499</v>
      </c>
      <c r="C6281" t="s">
        <v>296</v>
      </c>
      <c r="D6281" s="43">
        <v>-24.65</v>
      </c>
      <c r="E6281" t="s">
        <v>35</v>
      </c>
      <c r="F6281" s="2">
        <v>610148001</v>
      </c>
      <c r="G6281" s="2" t="s">
        <v>42</v>
      </c>
      <c r="L6281" s="2" t="s">
        <v>10958</v>
      </c>
      <c r="M6281" t="s">
        <v>43</v>
      </c>
      <c r="N6281" t="s">
        <v>42</v>
      </c>
      <c r="P6281" s="23">
        <v>118.29</v>
      </c>
      <c r="Q6281" s="4">
        <f t="shared" si="97"/>
        <v>-0.20838616958322764</v>
      </c>
      <c r="R6281" s="23" t="s">
        <v>109</v>
      </c>
      <c r="T6281" s="23" t="s">
        <v>10222</v>
      </c>
    </row>
    <row r="6282" spans="1:20" x14ac:dyDescent="0.25">
      <c r="A6282" s="21">
        <v>45856</v>
      </c>
      <c r="B6282" s="1">
        <v>50796499</v>
      </c>
      <c r="C6282" t="s">
        <v>118</v>
      </c>
      <c r="D6282" s="43">
        <v>-1310.77</v>
      </c>
      <c r="E6282" t="s">
        <v>35</v>
      </c>
      <c r="F6282" s="2">
        <v>610148001</v>
      </c>
      <c r="G6282" s="2" t="s">
        <v>42</v>
      </c>
      <c r="L6282" s="2" t="s">
        <v>10959</v>
      </c>
      <c r="M6282" t="s">
        <v>43</v>
      </c>
      <c r="N6282" t="s">
        <v>42</v>
      </c>
      <c r="P6282" s="23">
        <v>118.29</v>
      </c>
      <c r="Q6282" s="4">
        <f t="shared" si="97"/>
        <v>-11.080987403838025</v>
      </c>
      <c r="R6282" s="23" t="s">
        <v>109</v>
      </c>
      <c r="T6282" s="23" t="s">
        <v>10222</v>
      </c>
    </row>
    <row r="6283" spans="1:20" x14ac:dyDescent="0.25">
      <c r="A6283" s="21">
        <v>45859</v>
      </c>
      <c r="B6283" s="1">
        <v>283030842</v>
      </c>
      <c r="C6283" t="s">
        <v>693</v>
      </c>
      <c r="D6283" s="43">
        <v>760000</v>
      </c>
      <c r="E6283" t="s">
        <v>46</v>
      </c>
      <c r="F6283" s="2">
        <v>210115002</v>
      </c>
      <c r="G6283" s="2" t="s">
        <v>47</v>
      </c>
      <c r="L6283" s="2" t="s">
        <v>10960</v>
      </c>
      <c r="N6283" t="s">
        <v>693</v>
      </c>
      <c r="P6283" s="23">
        <v>119.14</v>
      </c>
      <c r="Q6283" s="4">
        <f t="shared" ref="Q6283:Q6346" si="98">D6283/P6283</f>
        <v>6379.049857310727</v>
      </c>
      <c r="R6283" s="23" t="s">
        <v>109</v>
      </c>
    </row>
    <row r="6284" spans="1:20" x14ac:dyDescent="0.25">
      <c r="A6284" s="21">
        <v>45859</v>
      </c>
      <c r="B6284" s="1">
        <v>145121187</v>
      </c>
      <c r="C6284" t="s">
        <v>107</v>
      </c>
      <c r="D6284" s="43">
        <v>200000</v>
      </c>
      <c r="E6284" t="s">
        <v>46</v>
      </c>
      <c r="F6284" s="2">
        <v>210115002</v>
      </c>
      <c r="G6284" s="2" t="s">
        <v>47</v>
      </c>
      <c r="L6284" s="2" t="s">
        <v>10961</v>
      </c>
      <c r="N6284" t="s">
        <v>107</v>
      </c>
      <c r="P6284" s="23">
        <v>119.14</v>
      </c>
      <c r="Q6284" s="4">
        <f t="shared" si="98"/>
        <v>1678.6973308712438</v>
      </c>
      <c r="R6284" s="23" t="s">
        <v>109</v>
      </c>
    </row>
    <row r="6285" spans="1:20" x14ac:dyDescent="0.25">
      <c r="A6285" s="21">
        <v>45859</v>
      </c>
      <c r="B6285" s="1">
        <v>815408629</v>
      </c>
      <c r="C6285" t="s">
        <v>10962</v>
      </c>
      <c r="D6285" s="43">
        <v>-31511.34</v>
      </c>
      <c r="E6285" t="s">
        <v>35</v>
      </c>
      <c r="F6285" s="2">
        <v>210101001</v>
      </c>
      <c r="G6285" s="2" t="s">
        <v>36</v>
      </c>
      <c r="L6285" s="2" t="s">
        <v>10963</v>
      </c>
      <c r="M6285" t="s">
        <v>38</v>
      </c>
      <c r="N6285" t="s">
        <v>39</v>
      </c>
      <c r="P6285" s="23">
        <v>119.14</v>
      </c>
      <c r="Q6285" s="4">
        <f t="shared" si="98"/>
        <v>-264.49001175088131</v>
      </c>
      <c r="R6285" s="23" t="s">
        <v>109</v>
      </c>
    </row>
    <row r="6286" spans="1:20" x14ac:dyDescent="0.25">
      <c r="A6286" s="21">
        <v>45859</v>
      </c>
      <c r="B6286" s="1">
        <v>915408631</v>
      </c>
      <c r="C6286" t="s">
        <v>10964</v>
      </c>
      <c r="D6286" s="43">
        <v>-757730.4</v>
      </c>
      <c r="E6286" t="s">
        <v>35</v>
      </c>
      <c r="F6286" s="2">
        <v>110114001</v>
      </c>
      <c r="G6286" s="2" t="s">
        <v>301</v>
      </c>
      <c r="L6286" s="2" t="s">
        <v>10965</v>
      </c>
      <c r="M6286" t="s">
        <v>10966</v>
      </c>
      <c r="N6286" t="s">
        <v>10967</v>
      </c>
      <c r="P6286" s="23">
        <v>119.14</v>
      </c>
      <c r="Q6286" s="4">
        <f t="shared" si="98"/>
        <v>-6360</v>
      </c>
      <c r="R6286" s="23" t="s">
        <v>109</v>
      </c>
      <c r="S6286" s="33" t="s">
        <v>9005</v>
      </c>
    </row>
    <row r="6287" spans="1:20" x14ac:dyDescent="0.25">
      <c r="A6287" s="21">
        <v>45859</v>
      </c>
      <c r="B6287" s="1">
        <v>915408632</v>
      </c>
      <c r="C6287" t="s">
        <v>10968</v>
      </c>
      <c r="D6287" s="43">
        <v>-42890.400000000001</v>
      </c>
      <c r="E6287" t="s">
        <v>35</v>
      </c>
      <c r="F6287" s="2">
        <v>210101001</v>
      </c>
      <c r="G6287" s="2" t="s">
        <v>36</v>
      </c>
      <c r="L6287" s="2" t="s">
        <v>10969</v>
      </c>
      <c r="M6287" t="s">
        <v>303</v>
      </c>
      <c r="N6287" t="s">
        <v>304</v>
      </c>
      <c r="P6287" s="23">
        <v>119.14</v>
      </c>
      <c r="Q6287" s="4">
        <f t="shared" si="98"/>
        <v>-360</v>
      </c>
      <c r="R6287" s="23" t="s">
        <v>109</v>
      </c>
    </row>
    <row r="6288" spans="1:20" x14ac:dyDescent="0.25">
      <c r="A6288" s="21">
        <v>45859</v>
      </c>
      <c r="B6288" s="1">
        <v>815408630</v>
      </c>
      <c r="C6288" t="s">
        <v>10970</v>
      </c>
      <c r="D6288" s="43">
        <v>-165554.04</v>
      </c>
      <c r="E6288" t="s">
        <v>35</v>
      </c>
      <c r="F6288" s="2">
        <v>110114001</v>
      </c>
      <c r="G6288" s="2" t="s">
        <v>301</v>
      </c>
      <c r="L6288" s="2" t="s">
        <v>10971</v>
      </c>
      <c r="M6288" t="s">
        <v>38</v>
      </c>
      <c r="N6288" t="s">
        <v>39</v>
      </c>
      <c r="P6288" s="23">
        <v>119.14</v>
      </c>
      <c r="Q6288" s="4">
        <f t="shared" si="98"/>
        <v>-1389.5756253147558</v>
      </c>
      <c r="R6288" s="23" t="s">
        <v>109</v>
      </c>
      <c r="S6288" s="33" t="s">
        <v>9005</v>
      </c>
    </row>
    <row r="6289" spans="1:20" x14ac:dyDescent="0.25">
      <c r="A6289" s="21">
        <v>45859</v>
      </c>
      <c r="B6289" s="1">
        <v>50754357</v>
      </c>
      <c r="C6289" t="s">
        <v>118</v>
      </c>
      <c r="D6289" s="43">
        <v>-2494.21</v>
      </c>
      <c r="E6289" t="s">
        <v>35</v>
      </c>
      <c r="F6289" s="2">
        <v>610148001</v>
      </c>
      <c r="G6289" s="2" t="s">
        <v>42</v>
      </c>
      <c r="L6289" s="2" t="s">
        <v>10972</v>
      </c>
      <c r="M6289" t="s">
        <v>43</v>
      </c>
      <c r="N6289" t="s">
        <v>42</v>
      </c>
      <c r="P6289" s="23">
        <v>119.14</v>
      </c>
      <c r="Q6289" s="4">
        <f t="shared" si="98"/>
        <v>-20.935118348161826</v>
      </c>
      <c r="R6289" s="23" t="s">
        <v>109</v>
      </c>
      <c r="T6289" s="23" t="s">
        <v>10222</v>
      </c>
    </row>
    <row r="6290" spans="1:20" x14ac:dyDescent="0.25">
      <c r="A6290" s="21">
        <v>45860</v>
      </c>
      <c r="B6290" s="1">
        <v>615434452</v>
      </c>
      <c r="C6290" t="s">
        <v>10973</v>
      </c>
      <c r="D6290" s="43">
        <v>-10770.3</v>
      </c>
      <c r="E6290" t="s">
        <v>35</v>
      </c>
      <c r="F6290" s="2">
        <v>110114001</v>
      </c>
      <c r="G6290" s="2" t="s">
        <v>301</v>
      </c>
      <c r="L6290" s="2" t="s">
        <v>10974</v>
      </c>
      <c r="M6290" t="s">
        <v>1186</v>
      </c>
      <c r="N6290" t="s">
        <v>1187</v>
      </c>
      <c r="P6290" s="23">
        <v>119.67</v>
      </c>
      <c r="Q6290" s="4">
        <f t="shared" si="98"/>
        <v>-89.999999999999986</v>
      </c>
      <c r="R6290" s="23" t="s">
        <v>109</v>
      </c>
    </row>
    <row r="6291" spans="1:20" x14ac:dyDescent="0.25">
      <c r="A6291" s="21">
        <v>45860</v>
      </c>
      <c r="B6291" s="1">
        <v>615434452</v>
      </c>
      <c r="C6291" t="s">
        <v>306</v>
      </c>
      <c r="D6291" s="43">
        <v>-32.31</v>
      </c>
      <c r="E6291" t="s">
        <v>35</v>
      </c>
      <c r="F6291" s="2">
        <v>610148001</v>
      </c>
      <c r="G6291" s="2" t="s">
        <v>42</v>
      </c>
      <c r="L6291" s="2" t="s">
        <v>10975</v>
      </c>
      <c r="M6291" t="s">
        <v>43</v>
      </c>
      <c r="N6291" t="s">
        <v>42</v>
      </c>
      <c r="P6291" s="23">
        <v>119.67</v>
      </c>
      <c r="Q6291" s="4">
        <f t="shared" si="98"/>
        <v>-0.26999247931812487</v>
      </c>
      <c r="R6291" s="23" t="s">
        <v>109</v>
      </c>
      <c r="T6291" s="23" t="s">
        <v>10222</v>
      </c>
    </row>
    <row r="6292" spans="1:20" x14ac:dyDescent="0.25">
      <c r="A6292" s="21">
        <v>45861</v>
      </c>
      <c r="B6292" s="1">
        <v>583229571</v>
      </c>
      <c r="C6292" t="s">
        <v>10976</v>
      </c>
      <c r="D6292" s="43">
        <v>425.84</v>
      </c>
      <c r="E6292" t="s">
        <v>46</v>
      </c>
      <c r="F6292" s="2">
        <v>210101001</v>
      </c>
      <c r="G6292" s="2" t="s">
        <v>36</v>
      </c>
      <c r="L6292" s="2" t="s">
        <v>10977</v>
      </c>
      <c r="N6292" t="s">
        <v>10978</v>
      </c>
      <c r="P6292" s="23">
        <v>120.42</v>
      </c>
      <c r="Q6292" s="4">
        <f t="shared" si="98"/>
        <v>3.5362896528815808</v>
      </c>
      <c r="R6292" s="23" t="s">
        <v>109</v>
      </c>
    </row>
    <row r="6293" spans="1:20" x14ac:dyDescent="0.25">
      <c r="A6293" s="21">
        <v>45863</v>
      </c>
      <c r="B6293" s="1">
        <v>472727917</v>
      </c>
      <c r="C6293" t="s">
        <v>131</v>
      </c>
      <c r="D6293" s="43">
        <v>1000000</v>
      </c>
      <c r="E6293" t="s">
        <v>46</v>
      </c>
      <c r="F6293" s="2">
        <v>210115002</v>
      </c>
      <c r="G6293" s="2" t="s">
        <v>47</v>
      </c>
      <c r="L6293" s="2" t="s">
        <v>10979</v>
      </c>
      <c r="N6293" t="s">
        <v>131</v>
      </c>
      <c r="P6293" s="23">
        <v>121.35</v>
      </c>
      <c r="Q6293" s="4">
        <f t="shared" si="98"/>
        <v>8240.6262875978573</v>
      </c>
      <c r="R6293" s="23" t="s">
        <v>109</v>
      </c>
    </row>
    <row r="6294" spans="1:20" x14ac:dyDescent="0.25">
      <c r="A6294" s="21">
        <v>45863</v>
      </c>
      <c r="B6294" s="1">
        <v>672728537</v>
      </c>
      <c r="C6294" t="s">
        <v>131</v>
      </c>
      <c r="D6294" s="43">
        <v>1000000</v>
      </c>
      <c r="E6294" t="s">
        <v>46</v>
      </c>
      <c r="F6294" s="2">
        <v>210115002</v>
      </c>
      <c r="G6294" s="2" t="s">
        <v>47</v>
      </c>
      <c r="L6294" s="2" t="s">
        <v>10980</v>
      </c>
      <c r="N6294" t="s">
        <v>131</v>
      </c>
      <c r="P6294" s="23">
        <v>121.35</v>
      </c>
      <c r="Q6294" s="4">
        <f t="shared" si="98"/>
        <v>8240.6262875978573</v>
      </c>
      <c r="R6294" s="23" t="s">
        <v>109</v>
      </c>
    </row>
    <row r="6295" spans="1:20" x14ac:dyDescent="0.25">
      <c r="A6295" s="21">
        <v>45863</v>
      </c>
      <c r="B6295" s="1">
        <v>672728981</v>
      </c>
      <c r="C6295" t="s">
        <v>131</v>
      </c>
      <c r="D6295" s="43">
        <v>1000000</v>
      </c>
      <c r="E6295" t="s">
        <v>46</v>
      </c>
      <c r="F6295" s="2">
        <v>210115002</v>
      </c>
      <c r="G6295" s="2" t="s">
        <v>47</v>
      </c>
      <c r="L6295" s="2" t="s">
        <v>10981</v>
      </c>
      <c r="N6295" t="s">
        <v>131</v>
      </c>
      <c r="P6295" s="23">
        <v>121.35</v>
      </c>
      <c r="Q6295" s="4">
        <f t="shared" si="98"/>
        <v>8240.6262875978573</v>
      </c>
      <c r="R6295" s="23" t="s">
        <v>109</v>
      </c>
    </row>
    <row r="6296" spans="1:20" x14ac:dyDescent="0.25">
      <c r="A6296" s="21">
        <v>45863</v>
      </c>
      <c r="B6296" s="1">
        <v>672729385</v>
      </c>
      <c r="C6296" t="s">
        <v>131</v>
      </c>
      <c r="D6296" s="43">
        <v>600000</v>
      </c>
      <c r="E6296" t="s">
        <v>46</v>
      </c>
      <c r="F6296" s="2">
        <v>210115002</v>
      </c>
      <c r="G6296" s="2" t="s">
        <v>47</v>
      </c>
      <c r="L6296" s="2" t="s">
        <v>10982</v>
      </c>
      <c r="N6296" t="s">
        <v>131</v>
      </c>
      <c r="P6296" s="23">
        <v>121.35</v>
      </c>
      <c r="Q6296" s="4">
        <f t="shared" si="98"/>
        <v>4944.3757725587147</v>
      </c>
      <c r="R6296" s="23" t="s">
        <v>109</v>
      </c>
    </row>
    <row r="6297" spans="1:20" x14ac:dyDescent="0.25">
      <c r="A6297" s="21">
        <v>45863</v>
      </c>
      <c r="B6297" s="1">
        <v>515606507</v>
      </c>
      <c r="C6297" t="s">
        <v>10983</v>
      </c>
      <c r="D6297" s="43">
        <v>-14031.81</v>
      </c>
      <c r="E6297" t="s">
        <v>35</v>
      </c>
      <c r="F6297" s="2">
        <v>110101002</v>
      </c>
      <c r="G6297" s="2" t="s">
        <v>6359</v>
      </c>
      <c r="L6297" s="2" t="s">
        <v>10984</v>
      </c>
      <c r="N6297" t="s">
        <v>7557</v>
      </c>
      <c r="P6297" s="23">
        <v>121.35</v>
      </c>
      <c r="Q6297" s="4">
        <f t="shared" si="98"/>
        <v>-115.63090234857849</v>
      </c>
      <c r="R6297" s="23" t="s">
        <v>109</v>
      </c>
    </row>
    <row r="6298" spans="1:20" x14ac:dyDescent="0.25">
      <c r="A6298" s="21">
        <v>45863</v>
      </c>
      <c r="B6298" s="1">
        <v>515606504</v>
      </c>
      <c r="C6298" t="s">
        <v>10985</v>
      </c>
      <c r="D6298" s="43">
        <v>-557258.88</v>
      </c>
      <c r="E6298" t="s">
        <v>35</v>
      </c>
      <c r="F6298" s="2">
        <v>110114001</v>
      </c>
      <c r="G6298" s="2" t="s">
        <v>301</v>
      </c>
      <c r="L6298" s="2" t="s">
        <v>10986</v>
      </c>
      <c r="M6298" t="s">
        <v>38</v>
      </c>
      <c r="N6298" t="e">
        <f>VLOOKUP(M6298,[1]!SERVICIOS[#Data],2,FALSE)</f>
        <v>#REF!</v>
      </c>
      <c r="P6298" s="23">
        <v>121.35</v>
      </c>
      <c r="Q6298" s="4">
        <f t="shared" si="98"/>
        <v>-4592.16217552534</v>
      </c>
      <c r="R6298" s="23" t="s">
        <v>109</v>
      </c>
      <c r="S6298" s="33" t="s">
        <v>9005</v>
      </c>
    </row>
    <row r="6299" spans="1:20" x14ac:dyDescent="0.25">
      <c r="A6299" s="32">
        <v>45863</v>
      </c>
      <c r="B6299" s="26">
        <v>515606505</v>
      </c>
      <c r="C6299" s="27" t="s">
        <v>54</v>
      </c>
      <c r="D6299" s="46">
        <v>-14562</v>
      </c>
      <c r="E6299" s="27" t="s">
        <v>35</v>
      </c>
      <c r="F6299" s="29">
        <v>610129001</v>
      </c>
      <c r="G6299" s="29" t="s">
        <v>55</v>
      </c>
      <c r="H6299" s="107"/>
      <c r="I6299" s="101"/>
      <c r="J6299" s="101"/>
      <c r="K6299" s="29"/>
      <c r="L6299" s="2" t="s">
        <v>10987</v>
      </c>
      <c r="M6299" s="27" t="s">
        <v>57</v>
      </c>
      <c r="N6299" s="27" t="s">
        <v>58</v>
      </c>
      <c r="O6299" s="27" t="s">
        <v>59</v>
      </c>
      <c r="P6299" s="31">
        <v>121.35</v>
      </c>
      <c r="Q6299" s="4">
        <f t="shared" si="98"/>
        <v>-120</v>
      </c>
      <c r="R6299" s="23" t="s">
        <v>109</v>
      </c>
      <c r="T6299" s="23" t="s">
        <v>10988</v>
      </c>
    </row>
    <row r="6300" spans="1:20" x14ac:dyDescent="0.25">
      <c r="A6300" s="21">
        <v>45863</v>
      </c>
      <c r="B6300" s="1">
        <v>615606509</v>
      </c>
      <c r="C6300" t="s">
        <v>10989</v>
      </c>
      <c r="D6300" s="43">
        <v>-133.22</v>
      </c>
      <c r="E6300" t="s">
        <v>35</v>
      </c>
      <c r="F6300" s="2">
        <v>210101001</v>
      </c>
      <c r="G6300" s="2" t="s">
        <v>36</v>
      </c>
      <c r="L6300" s="2" t="s">
        <v>10990</v>
      </c>
      <c r="M6300" t="s">
        <v>114</v>
      </c>
      <c r="N6300" t="s">
        <v>115</v>
      </c>
      <c r="P6300" s="23">
        <v>121.35</v>
      </c>
      <c r="Q6300" s="4">
        <f t="shared" si="98"/>
        <v>-1.0978162340337867</v>
      </c>
      <c r="R6300" s="23" t="s">
        <v>109</v>
      </c>
    </row>
    <row r="6301" spans="1:20" x14ac:dyDescent="0.25">
      <c r="A6301" s="21">
        <v>45863</v>
      </c>
      <c r="B6301" s="1">
        <v>615606508</v>
      </c>
      <c r="C6301" t="s">
        <v>10991</v>
      </c>
      <c r="D6301" s="43">
        <v>-12135</v>
      </c>
      <c r="E6301" t="s">
        <v>35</v>
      </c>
      <c r="F6301" s="2">
        <v>212901001</v>
      </c>
      <c r="G6301" s="2" t="s">
        <v>121</v>
      </c>
      <c r="L6301" s="2" t="s">
        <v>10992</v>
      </c>
      <c r="M6301" t="s">
        <v>67</v>
      </c>
      <c r="N6301" t="s">
        <v>68</v>
      </c>
      <c r="P6301" s="23">
        <v>121.35</v>
      </c>
      <c r="Q6301" s="4">
        <f t="shared" si="98"/>
        <v>-100</v>
      </c>
      <c r="R6301" s="23" t="s">
        <v>109</v>
      </c>
    </row>
    <row r="6302" spans="1:20" x14ac:dyDescent="0.25">
      <c r="A6302" s="21">
        <v>45863</v>
      </c>
      <c r="B6302" s="1">
        <v>615606511</v>
      </c>
      <c r="C6302" t="s">
        <v>10993</v>
      </c>
      <c r="D6302" s="43">
        <v>-9708</v>
      </c>
      <c r="E6302" t="s">
        <v>35</v>
      </c>
      <c r="F6302" s="2">
        <v>212901001</v>
      </c>
      <c r="G6302" s="2" t="s">
        <v>121</v>
      </c>
      <c r="L6302" s="2" t="s">
        <v>10994</v>
      </c>
      <c r="M6302" t="s">
        <v>67</v>
      </c>
      <c r="N6302" t="s">
        <v>68</v>
      </c>
      <c r="P6302" s="23">
        <v>121.35</v>
      </c>
      <c r="Q6302" s="4">
        <f t="shared" si="98"/>
        <v>-80</v>
      </c>
      <c r="R6302" s="23" t="s">
        <v>109</v>
      </c>
    </row>
    <row r="6303" spans="1:20" x14ac:dyDescent="0.25">
      <c r="A6303" s="21">
        <v>45863</v>
      </c>
      <c r="B6303" s="1">
        <v>615606512</v>
      </c>
      <c r="C6303" t="s">
        <v>10995</v>
      </c>
      <c r="D6303" s="43">
        <v>-9708</v>
      </c>
      <c r="E6303" t="s">
        <v>35</v>
      </c>
      <c r="F6303" s="2">
        <v>212901001</v>
      </c>
      <c r="G6303" s="2" t="s">
        <v>121</v>
      </c>
      <c r="L6303" s="2" t="s">
        <v>10996</v>
      </c>
      <c r="M6303" t="s">
        <v>67</v>
      </c>
      <c r="N6303" t="s">
        <v>68</v>
      </c>
      <c r="P6303" s="23">
        <v>121.35</v>
      </c>
      <c r="Q6303" s="4">
        <f t="shared" si="98"/>
        <v>-80</v>
      </c>
      <c r="R6303" s="23" t="s">
        <v>109</v>
      </c>
    </row>
    <row r="6304" spans="1:20" x14ac:dyDescent="0.25">
      <c r="A6304" s="21">
        <v>45863</v>
      </c>
      <c r="B6304" s="1">
        <v>615606513</v>
      </c>
      <c r="C6304" t="s">
        <v>10997</v>
      </c>
      <c r="D6304" s="43">
        <v>-1213.5</v>
      </c>
      <c r="E6304" t="s">
        <v>35</v>
      </c>
      <c r="F6304" s="2">
        <v>212901001</v>
      </c>
      <c r="G6304" s="2" t="s">
        <v>121</v>
      </c>
      <c r="L6304" s="2" t="s">
        <v>10998</v>
      </c>
      <c r="M6304" t="s">
        <v>67</v>
      </c>
      <c r="N6304" t="s">
        <v>68</v>
      </c>
      <c r="P6304" s="23">
        <v>121.35</v>
      </c>
      <c r="Q6304" s="4">
        <f t="shared" si="98"/>
        <v>-10</v>
      </c>
      <c r="R6304" s="23" t="s">
        <v>109</v>
      </c>
    </row>
    <row r="6305" spans="1:20" x14ac:dyDescent="0.25">
      <c r="A6305" s="21">
        <v>45863</v>
      </c>
      <c r="B6305" s="1">
        <v>615606516</v>
      </c>
      <c r="C6305" t="s">
        <v>10999</v>
      </c>
      <c r="D6305" s="43">
        <v>-2427</v>
      </c>
      <c r="E6305" t="s">
        <v>35</v>
      </c>
      <c r="F6305" s="2">
        <v>212901001</v>
      </c>
      <c r="G6305" s="2" t="s">
        <v>121</v>
      </c>
      <c r="L6305" s="2" t="s">
        <v>11000</v>
      </c>
      <c r="M6305" t="s">
        <v>67</v>
      </c>
      <c r="N6305" t="s">
        <v>68</v>
      </c>
      <c r="P6305" s="23">
        <v>121.35</v>
      </c>
      <c r="Q6305" s="4">
        <f t="shared" si="98"/>
        <v>-20</v>
      </c>
      <c r="R6305" s="23" t="s">
        <v>109</v>
      </c>
    </row>
    <row r="6306" spans="1:20" x14ac:dyDescent="0.25">
      <c r="A6306" s="21">
        <v>45863</v>
      </c>
      <c r="B6306" s="1">
        <v>615606515</v>
      </c>
      <c r="C6306" t="s">
        <v>11001</v>
      </c>
      <c r="D6306" s="43">
        <v>-1213.5</v>
      </c>
      <c r="E6306" t="s">
        <v>35</v>
      </c>
      <c r="F6306" s="2">
        <v>212901001</v>
      </c>
      <c r="G6306" s="2" t="s">
        <v>121</v>
      </c>
      <c r="L6306" s="2" t="s">
        <v>11002</v>
      </c>
      <c r="M6306" t="s">
        <v>67</v>
      </c>
      <c r="N6306" t="s">
        <v>68</v>
      </c>
      <c r="P6306" s="23">
        <v>121.35</v>
      </c>
      <c r="Q6306" s="4">
        <f t="shared" si="98"/>
        <v>-10</v>
      </c>
      <c r="R6306" s="23" t="s">
        <v>109</v>
      </c>
    </row>
    <row r="6307" spans="1:20" x14ac:dyDescent="0.25">
      <c r="A6307" s="21">
        <v>45863</v>
      </c>
      <c r="B6307" s="1">
        <v>615606519</v>
      </c>
      <c r="C6307" t="s">
        <v>11003</v>
      </c>
      <c r="D6307" s="43">
        <v>-2427</v>
      </c>
      <c r="E6307" t="s">
        <v>35</v>
      </c>
      <c r="F6307" s="2">
        <v>212901001</v>
      </c>
      <c r="G6307" s="2" t="s">
        <v>121</v>
      </c>
      <c r="L6307" s="2" t="s">
        <v>11004</v>
      </c>
      <c r="M6307" t="s">
        <v>67</v>
      </c>
      <c r="N6307" t="s">
        <v>68</v>
      </c>
      <c r="P6307" s="23">
        <v>121.35</v>
      </c>
      <c r="Q6307" s="4">
        <f t="shared" si="98"/>
        <v>-20</v>
      </c>
      <c r="R6307" s="23" t="s">
        <v>109</v>
      </c>
    </row>
    <row r="6308" spans="1:20" x14ac:dyDescent="0.25">
      <c r="A6308" s="32">
        <v>45863</v>
      </c>
      <c r="B6308" s="26">
        <v>715606525</v>
      </c>
      <c r="C6308" s="27" t="s">
        <v>11005</v>
      </c>
      <c r="D6308" s="46">
        <v>-14562</v>
      </c>
      <c r="E6308" s="27" t="s">
        <v>35</v>
      </c>
      <c r="F6308" s="29">
        <v>610156001</v>
      </c>
      <c r="G6308" s="29" t="s">
        <v>91</v>
      </c>
      <c r="H6308" s="107"/>
      <c r="I6308" s="101"/>
      <c r="J6308" s="101"/>
      <c r="K6308" s="29"/>
      <c r="L6308" s="2" t="s">
        <v>11006</v>
      </c>
      <c r="M6308" s="27" t="s">
        <v>93</v>
      </c>
      <c r="N6308" s="27" t="s">
        <v>94</v>
      </c>
      <c r="O6308" s="27" t="s">
        <v>59</v>
      </c>
      <c r="P6308" s="31">
        <v>121.35</v>
      </c>
      <c r="Q6308" s="4">
        <f t="shared" si="98"/>
        <v>-120</v>
      </c>
      <c r="R6308" s="23" t="s">
        <v>109</v>
      </c>
      <c r="T6308" s="23" t="s">
        <v>11007</v>
      </c>
    </row>
    <row r="6309" spans="1:20" x14ac:dyDescent="0.25">
      <c r="A6309" s="21">
        <v>45863</v>
      </c>
      <c r="B6309" s="1">
        <v>615606517</v>
      </c>
      <c r="C6309" t="s">
        <v>11008</v>
      </c>
      <c r="D6309" s="43">
        <v>-2427</v>
      </c>
      <c r="E6309" t="s">
        <v>35</v>
      </c>
      <c r="F6309" s="2">
        <v>212901001</v>
      </c>
      <c r="G6309" s="2" t="s">
        <v>121</v>
      </c>
      <c r="L6309" s="2" t="s">
        <v>11009</v>
      </c>
      <c r="M6309" t="s">
        <v>67</v>
      </c>
      <c r="N6309" t="s">
        <v>68</v>
      </c>
      <c r="P6309" s="23">
        <v>121.35</v>
      </c>
      <c r="Q6309" s="4">
        <f t="shared" si="98"/>
        <v>-20</v>
      </c>
      <c r="R6309" s="23" t="s">
        <v>109</v>
      </c>
    </row>
    <row r="6310" spans="1:20" x14ac:dyDescent="0.25">
      <c r="A6310" s="21">
        <v>45863</v>
      </c>
      <c r="B6310" s="1">
        <v>715606529</v>
      </c>
      <c r="C6310" t="s">
        <v>11010</v>
      </c>
      <c r="D6310" s="43">
        <v>-690838</v>
      </c>
      <c r="E6310" t="s">
        <v>35</v>
      </c>
      <c r="F6310" s="2">
        <v>110114001</v>
      </c>
      <c r="G6310" s="2" t="s">
        <v>301</v>
      </c>
      <c r="L6310" s="2" t="s">
        <v>11011</v>
      </c>
      <c r="M6310" t="s">
        <v>38</v>
      </c>
      <c r="N6310" t="s">
        <v>39</v>
      </c>
      <c r="P6310" s="23">
        <v>121.35</v>
      </c>
      <c r="Q6310" s="4">
        <f t="shared" si="98"/>
        <v>-5692.937783271529</v>
      </c>
      <c r="R6310" s="23" t="s">
        <v>109</v>
      </c>
      <c r="S6310" s="33" t="s">
        <v>9005</v>
      </c>
    </row>
    <row r="6311" spans="1:20" x14ac:dyDescent="0.25">
      <c r="A6311" s="32">
        <v>45863</v>
      </c>
      <c r="B6311" s="26">
        <v>715606522</v>
      </c>
      <c r="C6311" s="27" t="s">
        <v>11012</v>
      </c>
      <c r="D6311" s="46">
        <v>-33371.25</v>
      </c>
      <c r="E6311" s="27" t="s">
        <v>35</v>
      </c>
      <c r="F6311" s="29">
        <v>610156001</v>
      </c>
      <c r="G6311" s="29" t="s">
        <v>91</v>
      </c>
      <c r="H6311" s="107"/>
      <c r="I6311" s="101"/>
      <c r="J6311" s="101"/>
      <c r="K6311" s="29"/>
      <c r="L6311" s="2" t="s">
        <v>11013</v>
      </c>
      <c r="M6311" s="27" t="s">
        <v>5015</v>
      </c>
      <c r="N6311" s="27" t="s">
        <v>1240</v>
      </c>
      <c r="O6311" s="27" t="s">
        <v>59</v>
      </c>
      <c r="P6311" s="31">
        <v>121.35</v>
      </c>
      <c r="Q6311" s="4">
        <f t="shared" si="98"/>
        <v>-275</v>
      </c>
      <c r="R6311" s="23" t="s">
        <v>109</v>
      </c>
      <c r="T6311" s="23" t="s">
        <v>11014</v>
      </c>
    </row>
    <row r="6312" spans="1:20" x14ac:dyDescent="0.25">
      <c r="A6312" s="21">
        <v>45863</v>
      </c>
      <c r="B6312" s="1">
        <v>715606531</v>
      </c>
      <c r="C6312" t="s">
        <v>11015</v>
      </c>
      <c r="D6312" s="43">
        <v>-245430.14</v>
      </c>
      <c r="E6312" t="s">
        <v>35</v>
      </c>
      <c r="F6312" s="2">
        <v>210101001</v>
      </c>
      <c r="G6312" s="2" t="s">
        <v>36</v>
      </c>
      <c r="L6312" s="2" t="s">
        <v>11016</v>
      </c>
      <c r="M6312" t="s">
        <v>2912</v>
      </c>
      <c r="N6312" t="s">
        <v>2913</v>
      </c>
      <c r="P6312" s="23">
        <v>121.35</v>
      </c>
      <c r="Q6312" s="4">
        <f t="shared" si="98"/>
        <v>-2022.4980634528226</v>
      </c>
      <c r="R6312" s="23" t="s">
        <v>109</v>
      </c>
    </row>
    <row r="6313" spans="1:20" x14ac:dyDescent="0.25">
      <c r="A6313" s="21">
        <v>45863</v>
      </c>
      <c r="B6313" s="1">
        <v>715606527</v>
      </c>
      <c r="C6313" t="s">
        <v>11017</v>
      </c>
      <c r="D6313" s="43">
        <v>-91495.56</v>
      </c>
      <c r="E6313" t="s">
        <v>35</v>
      </c>
      <c r="F6313" s="2">
        <v>210101001</v>
      </c>
      <c r="G6313" s="2" t="s">
        <v>36</v>
      </c>
      <c r="L6313" s="2" t="s">
        <v>11018</v>
      </c>
      <c r="M6313" t="s">
        <v>38</v>
      </c>
      <c r="N6313" t="s">
        <v>39</v>
      </c>
      <c r="P6313" s="23">
        <v>121.35</v>
      </c>
      <c r="Q6313" s="4">
        <f t="shared" si="98"/>
        <v>-753.98071693448708</v>
      </c>
      <c r="R6313" s="23" t="s">
        <v>109</v>
      </c>
    </row>
    <row r="6314" spans="1:20" x14ac:dyDescent="0.25">
      <c r="A6314" s="21">
        <v>45863</v>
      </c>
      <c r="B6314" s="1">
        <v>715606526</v>
      </c>
      <c r="C6314" t="s">
        <v>11019</v>
      </c>
      <c r="D6314" s="43">
        <v>-180180.48000000001</v>
      </c>
      <c r="E6314" t="s">
        <v>35</v>
      </c>
      <c r="F6314" s="2">
        <v>210101001</v>
      </c>
      <c r="G6314" s="2" t="s">
        <v>36</v>
      </c>
      <c r="L6314" s="2" t="s">
        <v>11020</v>
      </c>
      <c r="M6314" t="s">
        <v>38</v>
      </c>
      <c r="N6314" t="s">
        <v>39</v>
      </c>
      <c r="P6314" s="23">
        <v>121.35</v>
      </c>
      <c r="Q6314" s="4">
        <f t="shared" si="98"/>
        <v>-1484.8000000000002</v>
      </c>
      <c r="R6314" s="23" t="s">
        <v>109</v>
      </c>
    </row>
    <row r="6315" spans="1:20" x14ac:dyDescent="0.25">
      <c r="A6315" s="21">
        <v>45863</v>
      </c>
      <c r="B6315" s="1">
        <v>715606521</v>
      </c>
      <c r="C6315" t="s">
        <v>11021</v>
      </c>
      <c r="D6315" s="43">
        <v>-2427</v>
      </c>
      <c r="E6315" t="s">
        <v>35</v>
      </c>
      <c r="F6315" s="2">
        <v>212901001</v>
      </c>
      <c r="G6315" s="2" t="s">
        <v>121</v>
      </c>
      <c r="L6315" s="2" t="s">
        <v>11022</v>
      </c>
      <c r="M6315" t="s">
        <v>67</v>
      </c>
      <c r="N6315" t="s">
        <v>68</v>
      </c>
      <c r="P6315" s="23">
        <v>121.35</v>
      </c>
      <c r="Q6315" s="4">
        <f t="shared" si="98"/>
        <v>-20</v>
      </c>
      <c r="R6315" s="23" t="s">
        <v>109</v>
      </c>
    </row>
    <row r="6316" spans="1:20" x14ac:dyDescent="0.25">
      <c r="A6316" s="21">
        <v>45863</v>
      </c>
      <c r="B6316" s="1">
        <v>50732822</v>
      </c>
      <c r="C6316" t="s">
        <v>118</v>
      </c>
      <c r="D6316" s="43">
        <v>-4713.87</v>
      </c>
      <c r="E6316" t="s">
        <v>35</v>
      </c>
      <c r="F6316" s="2">
        <v>610148001</v>
      </c>
      <c r="G6316" s="2" t="s">
        <v>42</v>
      </c>
      <c r="L6316" s="2" t="s">
        <v>11023</v>
      </c>
      <c r="M6316" t="s">
        <v>43</v>
      </c>
      <c r="N6316" t="s">
        <v>42</v>
      </c>
      <c r="P6316" s="23">
        <v>121.35</v>
      </c>
      <c r="Q6316" s="4">
        <f t="shared" si="98"/>
        <v>-38.84524103831891</v>
      </c>
      <c r="R6316" s="23" t="s">
        <v>109</v>
      </c>
      <c r="T6316" s="23" t="s">
        <v>10222</v>
      </c>
    </row>
    <row r="6317" spans="1:20" x14ac:dyDescent="0.25">
      <c r="A6317" s="21">
        <v>45863</v>
      </c>
      <c r="B6317" s="1">
        <v>115606705</v>
      </c>
      <c r="C6317" t="s">
        <v>8982</v>
      </c>
      <c r="D6317" s="43">
        <v>-1000000</v>
      </c>
      <c r="E6317" t="s">
        <v>35</v>
      </c>
      <c r="F6317" s="2">
        <v>110114001</v>
      </c>
      <c r="G6317" s="2" t="s">
        <v>301</v>
      </c>
      <c r="L6317" s="2" t="s">
        <v>11024</v>
      </c>
      <c r="M6317" t="s">
        <v>2028</v>
      </c>
      <c r="N6317" t="s">
        <v>2029</v>
      </c>
      <c r="P6317" s="23">
        <v>121.35</v>
      </c>
      <c r="Q6317" s="4">
        <f t="shared" si="98"/>
        <v>-8240.6262875978573</v>
      </c>
      <c r="R6317" s="23" t="s">
        <v>109</v>
      </c>
    </row>
    <row r="6318" spans="1:20" x14ac:dyDescent="0.25">
      <c r="A6318" s="21">
        <v>45863</v>
      </c>
      <c r="B6318" s="1">
        <v>115606705</v>
      </c>
      <c r="C6318" t="s">
        <v>306</v>
      </c>
      <c r="D6318" s="43">
        <v>-3000</v>
      </c>
      <c r="E6318" t="s">
        <v>35</v>
      </c>
      <c r="F6318" s="2">
        <v>610148001</v>
      </c>
      <c r="G6318" s="2" t="s">
        <v>42</v>
      </c>
      <c r="L6318" s="2" t="s">
        <v>11025</v>
      </c>
      <c r="M6318" t="s">
        <v>43</v>
      </c>
      <c r="N6318" t="s">
        <v>42</v>
      </c>
      <c r="P6318" s="23">
        <v>121.35</v>
      </c>
      <c r="Q6318" s="4">
        <f t="shared" si="98"/>
        <v>-24.721878862793574</v>
      </c>
      <c r="R6318" s="23" t="s">
        <v>109</v>
      </c>
      <c r="T6318" s="23" t="s">
        <v>10222</v>
      </c>
    </row>
    <row r="6319" spans="1:20" x14ac:dyDescent="0.25">
      <c r="A6319" s="21">
        <v>45863</v>
      </c>
      <c r="B6319" s="1">
        <v>715606962</v>
      </c>
      <c r="C6319" t="s">
        <v>8982</v>
      </c>
      <c r="D6319" s="43">
        <v>-659509.4</v>
      </c>
      <c r="E6319" t="s">
        <v>35</v>
      </c>
      <c r="F6319" s="2">
        <v>110114001</v>
      </c>
      <c r="G6319" s="2" t="s">
        <v>301</v>
      </c>
      <c r="L6319" s="2" t="s">
        <v>11026</v>
      </c>
      <c r="M6319" t="s">
        <v>2028</v>
      </c>
      <c r="N6319" t="s">
        <v>2029</v>
      </c>
      <c r="P6319" s="23">
        <v>121.35</v>
      </c>
      <c r="Q6319" s="4">
        <f t="shared" si="98"/>
        <v>-5434.7704985578912</v>
      </c>
      <c r="R6319" s="23" t="s">
        <v>109</v>
      </c>
    </row>
    <row r="6320" spans="1:20" x14ac:dyDescent="0.25">
      <c r="A6320" s="21">
        <v>45863</v>
      </c>
      <c r="B6320" s="1">
        <v>715606962</v>
      </c>
      <c r="C6320" t="s">
        <v>306</v>
      </c>
      <c r="D6320" s="43">
        <v>-1978.53</v>
      </c>
      <c r="E6320" t="s">
        <v>35</v>
      </c>
      <c r="F6320" s="2">
        <v>610148001</v>
      </c>
      <c r="G6320" s="2" t="s">
        <v>42</v>
      </c>
      <c r="L6320" s="2" t="s">
        <v>11027</v>
      </c>
      <c r="M6320" t="s">
        <v>43</v>
      </c>
      <c r="N6320" t="s">
        <v>42</v>
      </c>
      <c r="P6320" s="23">
        <v>121.35</v>
      </c>
      <c r="Q6320" s="4">
        <f t="shared" si="98"/>
        <v>-16.30432632880099</v>
      </c>
      <c r="R6320" s="23" t="s">
        <v>109</v>
      </c>
      <c r="T6320" s="23" t="s">
        <v>10222</v>
      </c>
    </row>
    <row r="6321" spans="1:18" x14ac:dyDescent="0.25">
      <c r="A6321" s="21">
        <v>45863</v>
      </c>
      <c r="B6321" s="1">
        <v>171213232</v>
      </c>
      <c r="C6321" t="s">
        <v>107</v>
      </c>
      <c r="D6321" s="43">
        <v>610000</v>
      </c>
      <c r="E6321" t="s">
        <v>46</v>
      </c>
      <c r="F6321" s="2">
        <v>210115002</v>
      </c>
      <c r="G6321" s="2" t="s">
        <v>47</v>
      </c>
      <c r="L6321" s="2" t="s">
        <v>11028</v>
      </c>
      <c r="N6321" t="s">
        <v>107</v>
      </c>
      <c r="P6321" s="23">
        <v>121.35</v>
      </c>
      <c r="Q6321" s="4">
        <f t="shared" si="98"/>
        <v>5026.7820354346932</v>
      </c>
      <c r="R6321" s="23" t="s">
        <v>109</v>
      </c>
    </row>
    <row r="6322" spans="1:18" x14ac:dyDescent="0.25">
      <c r="A6322" s="21">
        <v>45863</v>
      </c>
      <c r="B6322" s="1">
        <v>615613260</v>
      </c>
      <c r="C6322" t="s">
        <v>11029</v>
      </c>
      <c r="D6322" s="43">
        <v>-9708</v>
      </c>
      <c r="E6322" t="s">
        <v>35</v>
      </c>
      <c r="F6322" s="2">
        <v>212901001</v>
      </c>
      <c r="G6322" s="2" t="s">
        <v>121</v>
      </c>
      <c r="L6322" s="2" t="s">
        <v>11030</v>
      </c>
      <c r="M6322" t="s">
        <v>67</v>
      </c>
      <c r="N6322" t="s">
        <v>68</v>
      </c>
      <c r="P6322" s="23">
        <v>121.35</v>
      </c>
      <c r="Q6322" s="4">
        <f t="shared" si="98"/>
        <v>-80</v>
      </c>
      <c r="R6322" s="23" t="s">
        <v>109</v>
      </c>
    </row>
    <row r="6323" spans="1:18" x14ac:dyDescent="0.25">
      <c r="A6323" s="21">
        <v>45863</v>
      </c>
      <c r="B6323" s="1">
        <v>615613263</v>
      </c>
      <c r="C6323" t="s">
        <v>11031</v>
      </c>
      <c r="D6323" s="43">
        <v>-7281</v>
      </c>
      <c r="E6323" t="s">
        <v>35</v>
      </c>
      <c r="F6323" s="2">
        <v>212901001</v>
      </c>
      <c r="G6323" s="2" t="s">
        <v>121</v>
      </c>
      <c r="L6323" s="2" t="s">
        <v>11032</v>
      </c>
      <c r="M6323" t="s">
        <v>67</v>
      </c>
      <c r="N6323" t="s">
        <v>68</v>
      </c>
      <c r="P6323" s="23">
        <v>121.35</v>
      </c>
      <c r="Q6323" s="4">
        <f t="shared" si="98"/>
        <v>-60</v>
      </c>
      <c r="R6323" s="23" t="s">
        <v>109</v>
      </c>
    </row>
    <row r="6324" spans="1:18" x14ac:dyDescent="0.25">
      <c r="A6324" s="21">
        <v>45863</v>
      </c>
      <c r="B6324" s="1">
        <v>615613261</v>
      </c>
      <c r="C6324" t="s">
        <v>11033</v>
      </c>
      <c r="D6324" s="43">
        <v>-7281</v>
      </c>
      <c r="E6324" t="s">
        <v>35</v>
      </c>
      <c r="F6324" s="2">
        <v>212901001</v>
      </c>
      <c r="G6324" s="2" t="s">
        <v>121</v>
      </c>
      <c r="L6324" s="2" t="s">
        <v>11034</v>
      </c>
      <c r="M6324" t="s">
        <v>67</v>
      </c>
      <c r="N6324" t="s">
        <v>68</v>
      </c>
      <c r="P6324" s="23">
        <v>121.35</v>
      </c>
      <c r="Q6324" s="4">
        <f t="shared" si="98"/>
        <v>-60</v>
      </c>
      <c r="R6324" s="23" t="s">
        <v>109</v>
      </c>
    </row>
    <row r="6325" spans="1:18" x14ac:dyDescent="0.25">
      <c r="A6325" s="21">
        <v>45863</v>
      </c>
      <c r="B6325" s="1">
        <v>615613262</v>
      </c>
      <c r="C6325" t="s">
        <v>11035</v>
      </c>
      <c r="D6325" s="43">
        <v>-7281</v>
      </c>
      <c r="E6325" t="s">
        <v>35</v>
      </c>
      <c r="F6325" s="2">
        <v>212901001</v>
      </c>
      <c r="G6325" s="2" t="s">
        <v>121</v>
      </c>
      <c r="L6325" s="2" t="s">
        <v>11036</v>
      </c>
      <c r="M6325" t="s">
        <v>67</v>
      </c>
      <c r="N6325" t="s">
        <v>68</v>
      </c>
      <c r="P6325" s="23">
        <v>121.35</v>
      </c>
      <c r="Q6325" s="4">
        <f t="shared" si="98"/>
        <v>-60</v>
      </c>
      <c r="R6325" s="23" t="s">
        <v>109</v>
      </c>
    </row>
    <row r="6326" spans="1:18" x14ac:dyDescent="0.25">
      <c r="A6326" s="21">
        <v>45863</v>
      </c>
      <c r="B6326" s="1">
        <v>715613269</v>
      </c>
      <c r="C6326" t="s">
        <v>11037</v>
      </c>
      <c r="D6326" s="43">
        <v>-7281</v>
      </c>
      <c r="E6326" t="s">
        <v>35</v>
      </c>
      <c r="F6326" s="2">
        <v>212901001</v>
      </c>
      <c r="G6326" s="2" t="s">
        <v>121</v>
      </c>
      <c r="L6326" s="2" t="s">
        <v>11038</v>
      </c>
      <c r="M6326" t="s">
        <v>67</v>
      </c>
      <c r="N6326" t="s">
        <v>68</v>
      </c>
      <c r="P6326" s="23">
        <v>121.35</v>
      </c>
      <c r="Q6326" s="4">
        <f t="shared" si="98"/>
        <v>-60</v>
      </c>
      <c r="R6326" s="23" t="s">
        <v>109</v>
      </c>
    </row>
    <row r="6327" spans="1:18" x14ac:dyDescent="0.25">
      <c r="A6327" s="21">
        <v>45863</v>
      </c>
      <c r="B6327" s="1">
        <v>715613266</v>
      </c>
      <c r="C6327" t="s">
        <v>11039</v>
      </c>
      <c r="D6327" s="43">
        <v>-7281</v>
      </c>
      <c r="E6327" t="s">
        <v>35</v>
      </c>
      <c r="F6327" s="2">
        <v>212901001</v>
      </c>
      <c r="G6327" s="2" t="s">
        <v>121</v>
      </c>
      <c r="L6327" s="2" t="s">
        <v>11040</v>
      </c>
      <c r="M6327" t="s">
        <v>67</v>
      </c>
      <c r="N6327" t="s">
        <v>68</v>
      </c>
      <c r="P6327" s="23">
        <v>121.35</v>
      </c>
      <c r="Q6327" s="4">
        <f t="shared" si="98"/>
        <v>-60</v>
      </c>
      <c r="R6327" s="23" t="s">
        <v>109</v>
      </c>
    </row>
    <row r="6328" spans="1:18" x14ac:dyDescent="0.25">
      <c r="A6328" s="21">
        <v>45863</v>
      </c>
      <c r="B6328" s="1">
        <v>715613271</v>
      </c>
      <c r="C6328" t="s">
        <v>11041</v>
      </c>
      <c r="D6328" s="43">
        <v>-7281</v>
      </c>
      <c r="E6328" t="s">
        <v>35</v>
      </c>
      <c r="F6328" s="2">
        <v>212901001</v>
      </c>
      <c r="G6328" s="2" t="s">
        <v>121</v>
      </c>
      <c r="L6328" s="2" t="s">
        <v>11042</v>
      </c>
      <c r="M6328" t="s">
        <v>67</v>
      </c>
      <c r="N6328" t="s">
        <v>68</v>
      </c>
      <c r="P6328" s="23">
        <v>121.35</v>
      </c>
      <c r="Q6328" s="4">
        <f t="shared" si="98"/>
        <v>-60</v>
      </c>
      <c r="R6328" s="23" t="s">
        <v>109</v>
      </c>
    </row>
    <row r="6329" spans="1:18" x14ac:dyDescent="0.25">
      <c r="A6329" s="21">
        <v>45863</v>
      </c>
      <c r="B6329" s="1">
        <v>715613267</v>
      </c>
      <c r="C6329" t="s">
        <v>11043</v>
      </c>
      <c r="D6329" s="43">
        <v>-7281</v>
      </c>
      <c r="E6329" t="s">
        <v>35</v>
      </c>
      <c r="F6329" s="2">
        <v>212901001</v>
      </c>
      <c r="G6329" s="2" t="s">
        <v>121</v>
      </c>
      <c r="L6329" s="2" t="s">
        <v>11044</v>
      </c>
      <c r="M6329" t="s">
        <v>67</v>
      </c>
      <c r="N6329" t="s">
        <v>68</v>
      </c>
      <c r="P6329" s="23">
        <v>121.35</v>
      </c>
      <c r="Q6329" s="4">
        <f t="shared" si="98"/>
        <v>-60</v>
      </c>
      <c r="R6329" s="23" t="s">
        <v>109</v>
      </c>
    </row>
    <row r="6330" spans="1:18" x14ac:dyDescent="0.25">
      <c r="A6330" s="21">
        <v>45863</v>
      </c>
      <c r="B6330" s="1">
        <v>715613268</v>
      </c>
      <c r="C6330" t="s">
        <v>11045</v>
      </c>
      <c r="D6330" s="43">
        <v>-7281</v>
      </c>
      <c r="E6330" t="s">
        <v>35</v>
      </c>
      <c r="F6330" s="2">
        <v>212901001</v>
      </c>
      <c r="G6330" s="2" t="s">
        <v>121</v>
      </c>
      <c r="L6330" s="2" t="s">
        <v>11046</v>
      </c>
      <c r="M6330" t="s">
        <v>67</v>
      </c>
      <c r="N6330" t="s">
        <v>68</v>
      </c>
      <c r="P6330" s="23">
        <v>121.35</v>
      </c>
      <c r="Q6330" s="4">
        <f t="shared" si="98"/>
        <v>-60</v>
      </c>
      <c r="R6330" s="23" t="s">
        <v>109</v>
      </c>
    </row>
    <row r="6331" spans="1:18" x14ac:dyDescent="0.25">
      <c r="A6331" s="21">
        <v>45863</v>
      </c>
      <c r="B6331" s="1">
        <v>715613270</v>
      </c>
      <c r="C6331" t="s">
        <v>11047</v>
      </c>
      <c r="D6331" s="43">
        <v>-7281</v>
      </c>
      <c r="E6331" t="s">
        <v>35</v>
      </c>
      <c r="F6331" s="2">
        <v>212901001</v>
      </c>
      <c r="G6331" s="2" t="s">
        <v>121</v>
      </c>
      <c r="L6331" s="2" t="s">
        <v>11048</v>
      </c>
      <c r="M6331" t="s">
        <v>67</v>
      </c>
      <c r="N6331" t="s">
        <v>68</v>
      </c>
      <c r="P6331" s="23">
        <v>121.35</v>
      </c>
      <c r="Q6331" s="4">
        <f t="shared" si="98"/>
        <v>-60</v>
      </c>
      <c r="R6331" s="23" t="s">
        <v>109</v>
      </c>
    </row>
    <row r="6332" spans="1:18" x14ac:dyDescent="0.25">
      <c r="A6332" s="21">
        <v>45863</v>
      </c>
      <c r="B6332" s="1">
        <v>815613275</v>
      </c>
      <c r="C6332" t="s">
        <v>11049</v>
      </c>
      <c r="D6332" s="43">
        <v>-7281</v>
      </c>
      <c r="E6332" t="s">
        <v>35</v>
      </c>
      <c r="F6332" s="2">
        <v>212901001</v>
      </c>
      <c r="G6332" s="2" t="s">
        <v>121</v>
      </c>
      <c r="L6332" s="2" t="s">
        <v>11050</v>
      </c>
      <c r="M6332" t="s">
        <v>67</v>
      </c>
      <c r="N6332" t="s">
        <v>68</v>
      </c>
      <c r="P6332" s="23">
        <v>121.35</v>
      </c>
      <c r="Q6332" s="4">
        <f t="shared" si="98"/>
        <v>-60</v>
      </c>
      <c r="R6332" s="23" t="s">
        <v>109</v>
      </c>
    </row>
    <row r="6333" spans="1:18" x14ac:dyDescent="0.25">
      <c r="A6333" s="21">
        <v>45863</v>
      </c>
      <c r="B6333" s="1">
        <v>715613273</v>
      </c>
      <c r="C6333" t="s">
        <v>11051</v>
      </c>
      <c r="D6333" s="43">
        <v>-7281</v>
      </c>
      <c r="E6333" t="s">
        <v>35</v>
      </c>
      <c r="F6333" s="2">
        <v>212901001</v>
      </c>
      <c r="G6333" s="2" t="s">
        <v>121</v>
      </c>
      <c r="L6333" s="2" t="s">
        <v>11052</v>
      </c>
      <c r="M6333" t="s">
        <v>67</v>
      </c>
      <c r="N6333" t="s">
        <v>68</v>
      </c>
      <c r="P6333" s="23">
        <v>121.35</v>
      </c>
      <c r="Q6333" s="4">
        <f t="shared" si="98"/>
        <v>-60</v>
      </c>
      <c r="R6333" s="23" t="s">
        <v>109</v>
      </c>
    </row>
    <row r="6334" spans="1:18" x14ac:dyDescent="0.25">
      <c r="A6334" s="21">
        <v>45863</v>
      </c>
      <c r="B6334" s="1">
        <v>715613272</v>
      </c>
      <c r="C6334" t="s">
        <v>11053</v>
      </c>
      <c r="D6334" s="43">
        <v>-7281</v>
      </c>
      <c r="E6334" t="s">
        <v>35</v>
      </c>
      <c r="F6334" s="2">
        <v>212901001</v>
      </c>
      <c r="G6334" s="2" t="s">
        <v>121</v>
      </c>
      <c r="L6334" s="2" t="s">
        <v>11054</v>
      </c>
      <c r="M6334" t="s">
        <v>67</v>
      </c>
      <c r="N6334" t="s">
        <v>68</v>
      </c>
      <c r="P6334" s="23">
        <v>121.35</v>
      </c>
      <c r="Q6334" s="4">
        <f t="shared" si="98"/>
        <v>-60</v>
      </c>
      <c r="R6334" s="23" t="s">
        <v>109</v>
      </c>
    </row>
    <row r="6335" spans="1:18" x14ac:dyDescent="0.25">
      <c r="A6335" s="21">
        <v>45863</v>
      </c>
      <c r="B6335" s="1">
        <v>815613277</v>
      </c>
      <c r="C6335" t="s">
        <v>11055</v>
      </c>
      <c r="D6335" s="43">
        <v>-7281</v>
      </c>
      <c r="E6335" t="s">
        <v>35</v>
      </c>
      <c r="F6335" s="2">
        <v>212901001</v>
      </c>
      <c r="G6335" s="2" t="s">
        <v>121</v>
      </c>
      <c r="L6335" s="2" t="s">
        <v>11056</v>
      </c>
      <c r="M6335" t="s">
        <v>67</v>
      </c>
      <c r="N6335" t="s">
        <v>68</v>
      </c>
      <c r="P6335" s="23">
        <v>121.35</v>
      </c>
      <c r="Q6335" s="4">
        <f t="shared" si="98"/>
        <v>-60</v>
      </c>
      <c r="R6335" s="23" t="s">
        <v>109</v>
      </c>
    </row>
    <row r="6336" spans="1:18" x14ac:dyDescent="0.25">
      <c r="A6336" s="21">
        <v>45863</v>
      </c>
      <c r="B6336" s="1">
        <v>815613276</v>
      </c>
      <c r="C6336" t="s">
        <v>11057</v>
      </c>
      <c r="D6336" s="43">
        <v>-7281</v>
      </c>
      <c r="E6336" t="s">
        <v>35</v>
      </c>
      <c r="F6336" s="2">
        <v>212901001</v>
      </c>
      <c r="G6336" s="2" t="s">
        <v>121</v>
      </c>
      <c r="L6336" s="2" t="s">
        <v>11058</v>
      </c>
      <c r="M6336" t="s">
        <v>67</v>
      </c>
      <c r="N6336" t="s">
        <v>68</v>
      </c>
      <c r="P6336" s="23">
        <v>121.35</v>
      </c>
      <c r="Q6336" s="4">
        <f t="shared" si="98"/>
        <v>-60</v>
      </c>
      <c r="R6336" s="23" t="s">
        <v>109</v>
      </c>
    </row>
    <row r="6337" spans="1:18" x14ac:dyDescent="0.25">
      <c r="A6337" s="21">
        <v>45863</v>
      </c>
      <c r="B6337" s="1">
        <v>715613274</v>
      </c>
      <c r="C6337" t="s">
        <v>11059</v>
      </c>
      <c r="D6337" s="43">
        <v>-7281</v>
      </c>
      <c r="E6337" t="s">
        <v>35</v>
      </c>
      <c r="F6337" s="2">
        <v>212901001</v>
      </c>
      <c r="G6337" s="2" t="s">
        <v>121</v>
      </c>
      <c r="L6337" s="2" t="s">
        <v>11060</v>
      </c>
      <c r="M6337" t="s">
        <v>67</v>
      </c>
      <c r="N6337" t="s">
        <v>68</v>
      </c>
      <c r="P6337" s="23">
        <v>121.35</v>
      </c>
      <c r="Q6337" s="4">
        <f t="shared" si="98"/>
        <v>-60</v>
      </c>
      <c r="R6337" s="23" t="s">
        <v>109</v>
      </c>
    </row>
    <row r="6338" spans="1:18" x14ac:dyDescent="0.25">
      <c r="A6338" s="21">
        <v>45863</v>
      </c>
      <c r="B6338" s="1">
        <v>815613278</v>
      </c>
      <c r="C6338" t="s">
        <v>11061</v>
      </c>
      <c r="D6338" s="43">
        <v>-18202.5</v>
      </c>
      <c r="E6338" t="s">
        <v>35</v>
      </c>
      <c r="F6338" s="2">
        <v>212901001</v>
      </c>
      <c r="G6338" s="2" t="s">
        <v>121</v>
      </c>
      <c r="L6338" s="2" t="s">
        <v>11062</v>
      </c>
      <c r="M6338" t="s">
        <v>67</v>
      </c>
      <c r="N6338" t="s">
        <v>68</v>
      </c>
      <c r="P6338" s="23">
        <v>121.35</v>
      </c>
      <c r="Q6338" s="4">
        <f t="shared" si="98"/>
        <v>-150</v>
      </c>
      <c r="R6338" s="23" t="s">
        <v>109</v>
      </c>
    </row>
    <row r="6339" spans="1:18" x14ac:dyDescent="0.25">
      <c r="A6339" s="21">
        <v>45863</v>
      </c>
      <c r="B6339" s="1">
        <v>815613279</v>
      </c>
      <c r="C6339" t="s">
        <v>10452</v>
      </c>
      <c r="D6339" s="43">
        <v>-12135</v>
      </c>
      <c r="E6339" t="s">
        <v>35</v>
      </c>
      <c r="F6339" s="2">
        <v>212901001</v>
      </c>
      <c r="G6339" s="2" t="s">
        <v>121</v>
      </c>
      <c r="L6339" s="2" t="s">
        <v>11063</v>
      </c>
      <c r="M6339" t="s">
        <v>67</v>
      </c>
      <c r="N6339" t="s">
        <v>68</v>
      </c>
      <c r="P6339" s="23">
        <v>121.35</v>
      </c>
      <c r="Q6339" s="4">
        <f t="shared" si="98"/>
        <v>-100</v>
      </c>
      <c r="R6339" s="23" t="s">
        <v>109</v>
      </c>
    </row>
    <row r="6340" spans="1:18" x14ac:dyDescent="0.25">
      <c r="A6340" s="21">
        <v>45863</v>
      </c>
      <c r="B6340" s="1">
        <v>815613281</v>
      </c>
      <c r="C6340" t="s">
        <v>11064</v>
      </c>
      <c r="D6340" s="43">
        <v>-9708</v>
      </c>
      <c r="E6340" t="s">
        <v>35</v>
      </c>
      <c r="F6340" s="2">
        <v>212901001</v>
      </c>
      <c r="G6340" s="2" t="s">
        <v>121</v>
      </c>
      <c r="L6340" s="2" t="s">
        <v>11065</v>
      </c>
      <c r="M6340" t="s">
        <v>67</v>
      </c>
      <c r="N6340" t="s">
        <v>68</v>
      </c>
      <c r="P6340" s="23">
        <v>121.35</v>
      </c>
      <c r="Q6340" s="4">
        <f t="shared" si="98"/>
        <v>-80</v>
      </c>
      <c r="R6340" s="23" t="s">
        <v>109</v>
      </c>
    </row>
    <row r="6341" spans="1:18" x14ac:dyDescent="0.25">
      <c r="A6341" s="21">
        <v>45863</v>
      </c>
      <c r="B6341" s="1">
        <v>915613284</v>
      </c>
      <c r="C6341" t="s">
        <v>11066</v>
      </c>
      <c r="D6341" s="43">
        <v>-9708</v>
      </c>
      <c r="E6341" t="s">
        <v>35</v>
      </c>
      <c r="F6341" s="2">
        <v>212901001</v>
      </c>
      <c r="G6341" s="2" t="s">
        <v>121</v>
      </c>
      <c r="L6341" s="2" t="s">
        <v>11067</v>
      </c>
      <c r="M6341" t="s">
        <v>67</v>
      </c>
      <c r="N6341" t="s">
        <v>68</v>
      </c>
      <c r="P6341" s="23">
        <v>121.35</v>
      </c>
      <c r="Q6341" s="4">
        <f t="shared" si="98"/>
        <v>-80</v>
      </c>
      <c r="R6341" s="23" t="s">
        <v>109</v>
      </c>
    </row>
    <row r="6342" spans="1:18" x14ac:dyDescent="0.25">
      <c r="A6342" s="21">
        <v>45863</v>
      </c>
      <c r="B6342" s="1">
        <v>915613283</v>
      </c>
      <c r="C6342" t="s">
        <v>11068</v>
      </c>
      <c r="D6342" s="43">
        <v>-9708</v>
      </c>
      <c r="E6342" t="s">
        <v>35</v>
      </c>
      <c r="F6342" s="2">
        <v>212901001</v>
      </c>
      <c r="G6342" s="2" t="s">
        <v>121</v>
      </c>
      <c r="L6342" s="2" t="s">
        <v>11069</v>
      </c>
      <c r="M6342" t="s">
        <v>67</v>
      </c>
      <c r="N6342" t="s">
        <v>68</v>
      </c>
      <c r="P6342" s="23">
        <v>121.35</v>
      </c>
      <c r="Q6342" s="4">
        <f t="shared" si="98"/>
        <v>-80</v>
      </c>
      <c r="R6342" s="23" t="s">
        <v>109</v>
      </c>
    </row>
    <row r="6343" spans="1:18" x14ac:dyDescent="0.25">
      <c r="A6343" s="21">
        <v>45863</v>
      </c>
      <c r="B6343" s="1">
        <v>915613282</v>
      </c>
      <c r="C6343" t="s">
        <v>11070</v>
      </c>
      <c r="D6343" s="43">
        <v>-9708</v>
      </c>
      <c r="E6343" t="s">
        <v>35</v>
      </c>
      <c r="F6343" s="2">
        <v>212901001</v>
      </c>
      <c r="G6343" s="2" t="s">
        <v>121</v>
      </c>
      <c r="L6343" s="2" t="s">
        <v>11071</v>
      </c>
      <c r="M6343" t="s">
        <v>67</v>
      </c>
      <c r="N6343" t="s">
        <v>68</v>
      </c>
      <c r="P6343" s="23">
        <v>121.35</v>
      </c>
      <c r="Q6343" s="4">
        <f t="shared" si="98"/>
        <v>-80</v>
      </c>
      <c r="R6343" s="23" t="s">
        <v>109</v>
      </c>
    </row>
    <row r="6344" spans="1:18" x14ac:dyDescent="0.25">
      <c r="A6344" s="21">
        <v>45863</v>
      </c>
      <c r="B6344" s="1">
        <v>815613280</v>
      </c>
      <c r="C6344" t="s">
        <v>11072</v>
      </c>
      <c r="D6344" s="43">
        <v>-9708</v>
      </c>
      <c r="E6344" t="s">
        <v>35</v>
      </c>
      <c r="F6344" s="2">
        <v>212901001</v>
      </c>
      <c r="G6344" s="2" t="s">
        <v>121</v>
      </c>
      <c r="L6344" s="2" t="s">
        <v>11073</v>
      </c>
      <c r="M6344" t="s">
        <v>67</v>
      </c>
      <c r="N6344" t="s">
        <v>68</v>
      </c>
      <c r="P6344" s="23">
        <v>121.35</v>
      </c>
      <c r="Q6344" s="4">
        <f t="shared" si="98"/>
        <v>-80</v>
      </c>
      <c r="R6344" s="23" t="s">
        <v>109</v>
      </c>
    </row>
    <row r="6345" spans="1:18" x14ac:dyDescent="0.25">
      <c r="A6345" s="21">
        <v>45863</v>
      </c>
      <c r="B6345" s="1">
        <v>915613285</v>
      </c>
      <c r="C6345" t="s">
        <v>11074</v>
      </c>
      <c r="D6345" s="43">
        <v>-9708</v>
      </c>
      <c r="E6345" t="s">
        <v>35</v>
      </c>
      <c r="F6345" s="2">
        <v>212901001</v>
      </c>
      <c r="G6345" s="2" t="s">
        <v>121</v>
      </c>
      <c r="L6345" s="2" t="s">
        <v>11075</v>
      </c>
      <c r="M6345" t="s">
        <v>67</v>
      </c>
      <c r="N6345" t="s">
        <v>68</v>
      </c>
      <c r="P6345" s="23">
        <v>121.35</v>
      </c>
      <c r="Q6345" s="4">
        <f t="shared" si="98"/>
        <v>-80</v>
      </c>
      <c r="R6345" s="23" t="s">
        <v>109</v>
      </c>
    </row>
    <row r="6346" spans="1:18" x14ac:dyDescent="0.25">
      <c r="A6346" s="21">
        <v>45863</v>
      </c>
      <c r="B6346" s="1">
        <v>915613286</v>
      </c>
      <c r="C6346" t="s">
        <v>11076</v>
      </c>
      <c r="D6346" s="43">
        <v>-5096.7</v>
      </c>
      <c r="E6346" t="s">
        <v>35</v>
      </c>
      <c r="F6346" s="2">
        <v>212901001</v>
      </c>
      <c r="G6346" s="2" t="s">
        <v>121</v>
      </c>
      <c r="L6346" s="2" t="s">
        <v>11077</v>
      </c>
      <c r="M6346" t="s">
        <v>67</v>
      </c>
      <c r="N6346" t="s">
        <v>68</v>
      </c>
      <c r="P6346" s="23">
        <v>121.35</v>
      </c>
      <c r="Q6346" s="4">
        <f t="shared" si="98"/>
        <v>-42</v>
      </c>
      <c r="R6346" s="23" t="s">
        <v>109</v>
      </c>
    </row>
    <row r="6347" spans="1:18" x14ac:dyDescent="0.25">
      <c r="A6347" s="21">
        <v>45863</v>
      </c>
      <c r="B6347" s="1">
        <v>15613291</v>
      </c>
      <c r="C6347" t="s">
        <v>11078</v>
      </c>
      <c r="D6347" s="43">
        <v>-6067.5</v>
      </c>
      <c r="E6347" t="s">
        <v>35</v>
      </c>
      <c r="F6347" s="2">
        <v>212901001</v>
      </c>
      <c r="G6347" s="2" t="s">
        <v>121</v>
      </c>
      <c r="L6347" s="2" t="s">
        <v>11079</v>
      </c>
      <c r="M6347" t="s">
        <v>67</v>
      </c>
      <c r="N6347" t="s">
        <v>68</v>
      </c>
      <c r="P6347" s="23">
        <v>121.35</v>
      </c>
      <c r="Q6347" s="4">
        <f t="shared" ref="Q6347:Q6410" si="99">D6347/P6347</f>
        <v>-50</v>
      </c>
      <c r="R6347" s="23" t="s">
        <v>109</v>
      </c>
    </row>
    <row r="6348" spans="1:18" x14ac:dyDescent="0.25">
      <c r="A6348" s="21">
        <v>45863</v>
      </c>
      <c r="B6348" s="1">
        <v>915613287</v>
      </c>
      <c r="C6348" t="s">
        <v>11080</v>
      </c>
      <c r="D6348" s="43">
        <v>-6067.5</v>
      </c>
      <c r="E6348" t="s">
        <v>35</v>
      </c>
      <c r="F6348" s="2">
        <v>212901001</v>
      </c>
      <c r="G6348" s="2" t="s">
        <v>121</v>
      </c>
      <c r="L6348" s="2" t="s">
        <v>11081</v>
      </c>
      <c r="M6348" t="s">
        <v>67</v>
      </c>
      <c r="N6348" t="s">
        <v>68</v>
      </c>
      <c r="P6348" s="23">
        <v>121.35</v>
      </c>
      <c r="Q6348" s="4">
        <f t="shared" si="99"/>
        <v>-50</v>
      </c>
      <c r="R6348" s="23" t="s">
        <v>109</v>
      </c>
    </row>
    <row r="6349" spans="1:18" x14ac:dyDescent="0.25">
      <c r="A6349" s="21">
        <v>45863</v>
      </c>
      <c r="B6349" s="1">
        <v>915613289</v>
      </c>
      <c r="C6349" t="s">
        <v>11082</v>
      </c>
      <c r="D6349" s="43">
        <v>-6067.5</v>
      </c>
      <c r="E6349" t="s">
        <v>35</v>
      </c>
      <c r="F6349" s="2">
        <v>212901001</v>
      </c>
      <c r="G6349" s="2" t="s">
        <v>121</v>
      </c>
      <c r="L6349" s="2" t="s">
        <v>11083</v>
      </c>
      <c r="M6349" t="s">
        <v>67</v>
      </c>
      <c r="N6349" t="s">
        <v>68</v>
      </c>
      <c r="P6349" s="23">
        <v>121.35</v>
      </c>
      <c r="Q6349" s="4">
        <f t="shared" si="99"/>
        <v>-50</v>
      </c>
      <c r="R6349" s="23" t="s">
        <v>109</v>
      </c>
    </row>
    <row r="6350" spans="1:18" x14ac:dyDescent="0.25">
      <c r="A6350" s="21">
        <v>45863</v>
      </c>
      <c r="B6350" s="1">
        <v>15613292</v>
      </c>
      <c r="C6350" t="s">
        <v>11084</v>
      </c>
      <c r="D6350" s="43">
        <v>-6067.5</v>
      </c>
      <c r="E6350" t="s">
        <v>35</v>
      </c>
      <c r="F6350" s="2">
        <v>212901001</v>
      </c>
      <c r="G6350" s="2" t="s">
        <v>121</v>
      </c>
      <c r="L6350" s="2" t="s">
        <v>11085</v>
      </c>
      <c r="M6350" t="s">
        <v>67</v>
      </c>
      <c r="N6350" t="s">
        <v>68</v>
      </c>
      <c r="P6350" s="23">
        <v>121.35</v>
      </c>
      <c r="Q6350" s="4">
        <f t="shared" si="99"/>
        <v>-50</v>
      </c>
      <c r="R6350" s="23" t="s">
        <v>109</v>
      </c>
    </row>
    <row r="6351" spans="1:18" x14ac:dyDescent="0.25">
      <c r="A6351" s="21">
        <v>45863</v>
      </c>
      <c r="B6351" s="1">
        <v>915613290</v>
      </c>
      <c r="C6351" t="s">
        <v>11086</v>
      </c>
      <c r="D6351" s="43">
        <v>-6067.5</v>
      </c>
      <c r="E6351" t="s">
        <v>35</v>
      </c>
      <c r="F6351" s="2">
        <v>212901001</v>
      </c>
      <c r="G6351" s="2" t="s">
        <v>121</v>
      </c>
      <c r="L6351" s="2" t="s">
        <v>11087</v>
      </c>
      <c r="M6351" t="s">
        <v>67</v>
      </c>
      <c r="N6351" t="s">
        <v>68</v>
      </c>
      <c r="P6351" s="23">
        <v>121.35</v>
      </c>
      <c r="Q6351" s="4">
        <f t="shared" si="99"/>
        <v>-50</v>
      </c>
      <c r="R6351" s="23" t="s">
        <v>109</v>
      </c>
    </row>
    <row r="6352" spans="1:18" x14ac:dyDescent="0.25">
      <c r="A6352" s="21">
        <v>45863</v>
      </c>
      <c r="B6352" s="1">
        <v>15613293</v>
      </c>
      <c r="C6352" t="s">
        <v>11088</v>
      </c>
      <c r="D6352" s="43">
        <v>-4854</v>
      </c>
      <c r="E6352" t="s">
        <v>35</v>
      </c>
      <c r="F6352" s="2">
        <v>212901001</v>
      </c>
      <c r="G6352" s="2" t="s">
        <v>121</v>
      </c>
      <c r="L6352" s="2" t="s">
        <v>11089</v>
      </c>
      <c r="M6352" t="s">
        <v>67</v>
      </c>
      <c r="N6352" t="s">
        <v>68</v>
      </c>
      <c r="P6352" s="23">
        <v>121.35</v>
      </c>
      <c r="Q6352" s="4">
        <f t="shared" si="99"/>
        <v>-40</v>
      </c>
      <c r="R6352" s="23" t="s">
        <v>109</v>
      </c>
    </row>
    <row r="6353" spans="1:18" x14ac:dyDescent="0.25">
      <c r="A6353" s="21">
        <v>45863</v>
      </c>
      <c r="B6353" s="1">
        <v>15613294</v>
      </c>
      <c r="C6353" t="s">
        <v>11090</v>
      </c>
      <c r="D6353" s="43">
        <v>-4854</v>
      </c>
      <c r="E6353" t="s">
        <v>35</v>
      </c>
      <c r="F6353" s="2">
        <v>212901001</v>
      </c>
      <c r="G6353" s="2" t="s">
        <v>121</v>
      </c>
      <c r="L6353" s="2" t="s">
        <v>11091</v>
      </c>
      <c r="M6353" t="s">
        <v>67</v>
      </c>
      <c r="N6353" t="s">
        <v>68</v>
      </c>
      <c r="P6353" s="23">
        <v>121.35</v>
      </c>
      <c r="Q6353" s="4">
        <f t="shared" si="99"/>
        <v>-40</v>
      </c>
      <c r="R6353" s="23" t="s">
        <v>109</v>
      </c>
    </row>
    <row r="6354" spans="1:18" x14ac:dyDescent="0.25">
      <c r="A6354" s="21">
        <v>45863</v>
      </c>
      <c r="B6354" s="1">
        <v>15613298</v>
      </c>
      <c r="C6354" t="s">
        <v>11092</v>
      </c>
      <c r="D6354" s="43">
        <v>-4854</v>
      </c>
      <c r="E6354" t="s">
        <v>35</v>
      </c>
      <c r="F6354" s="2">
        <v>212901001</v>
      </c>
      <c r="G6354" s="2" t="s">
        <v>121</v>
      </c>
      <c r="L6354" s="2" t="s">
        <v>11093</v>
      </c>
      <c r="M6354" t="s">
        <v>67</v>
      </c>
      <c r="N6354" t="s">
        <v>68</v>
      </c>
      <c r="P6354" s="23">
        <v>121.35</v>
      </c>
      <c r="Q6354" s="4">
        <f t="shared" si="99"/>
        <v>-40</v>
      </c>
      <c r="R6354" s="23" t="s">
        <v>109</v>
      </c>
    </row>
    <row r="6355" spans="1:18" x14ac:dyDescent="0.25">
      <c r="A6355" s="21">
        <v>45863</v>
      </c>
      <c r="B6355" s="1">
        <v>15613297</v>
      </c>
      <c r="C6355" t="s">
        <v>11094</v>
      </c>
      <c r="D6355" s="43">
        <v>-4854</v>
      </c>
      <c r="E6355" t="s">
        <v>35</v>
      </c>
      <c r="F6355" s="2">
        <v>212901001</v>
      </c>
      <c r="G6355" s="2" t="s">
        <v>121</v>
      </c>
      <c r="L6355" s="2" t="s">
        <v>11095</v>
      </c>
      <c r="M6355" t="s">
        <v>67</v>
      </c>
      <c r="N6355" t="s">
        <v>68</v>
      </c>
      <c r="P6355" s="23">
        <v>121.35</v>
      </c>
      <c r="Q6355" s="4">
        <f t="shared" si="99"/>
        <v>-40</v>
      </c>
      <c r="R6355" s="23" t="s">
        <v>109</v>
      </c>
    </row>
    <row r="6356" spans="1:18" x14ac:dyDescent="0.25">
      <c r="A6356" s="21">
        <v>45863</v>
      </c>
      <c r="B6356" s="1">
        <v>115613304</v>
      </c>
      <c r="C6356" t="s">
        <v>11096</v>
      </c>
      <c r="D6356" s="43">
        <v>-12135</v>
      </c>
      <c r="E6356" t="s">
        <v>35</v>
      </c>
      <c r="F6356" s="2">
        <v>212901001</v>
      </c>
      <c r="G6356" s="2" t="s">
        <v>121</v>
      </c>
      <c r="L6356" s="2" t="s">
        <v>11097</v>
      </c>
      <c r="M6356" t="s">
        <v>67</v>
      </c>
      <c r="N6356" t="s">
        <v>68</v>
      </c>
      <c r="P6356" s="23">
        <v>121.35</v>
      </c>
      <c r="Q6356" s="4">
        <f t="shared" si="99"/>
        <v>-100</v>
      </c>
      <c r="R6356" s="23" t="s">
        <v>109</v>
      </c>
    </row>
    <row r="6357" spans="1:18" x14ac:dyDescent="0.25">
      <c r="A6357" s="21">
        <v>45863</v>
      </c>
      <c r="B6357" s="1">
        <v>15613299</v>
      </c>
      <c r="C6357" t="s">
        <v>11098</v>
      </c>
      <c r="D6357" s="43">
        <v>-4854</v>
      </c>
      <c r="E6357" t="s">
        <v>35</v>
      </c>
      <c r="F6357" s="2">
        <v>212901001</v>
      </c>
      <c r="G6357" s="2" t="s">
        <v>121</v>
      </c>
      <c r="L6357" s="2" t="s">
        <v>11099</v>
      </c>
      <c r="M6357" t="s">
        <v>67</v>
      </c>
      <c r="N6357" t="s">
        <v>68</v>
      </c>
      <c r="P6357" s="23">
        <v>121.35</v>
      </c>
      <c r="Q6357" s="4">
        <f t="shared" si="99"/>
        <v>-40</v>
      </c>
      <c r="R6357" s="23" t="s">
        <v>109</v>
      </c>
    </row>
    <row r="6358" spans="1:18" x14ac:dyDescent="0.25">
      <c r="A6358" s="21">
        <v>45863</v>
      </c>
      <c r="B6358" s="1">
        <v>115613300</v>
      </c>
      <c r="C6358" t="s">
        <v>11100</v>
      </c>
      <c r="D6358" s="43">
        <v>-4854</v>
      </c>
      <c r="E6358" t="s">
        <v>35</v>
      </c>
      <c r="F6358" s="2">
        <v>212901001</v>
      </c>
      <c r="G6358" s="2" t="s">
        <v>121</v>
      </c>
      <c r="L6358" s="2" t="s">
        <v>11101</v>
      </c>
      <c r="M6358" t="s">
        <v>67</v>
      </c>
      <c r="N6358" t="s">
        <v>68</v>
      </c>
      <c r="P6358" s="23">
        <v>121.35</v>
      </c>
      <c r="Q6358" s="4">
        <f t="shared" si="99"/>
        <v>-40</v>
      </c>
      <c r="R6358" s="23" t="s">
        <v>109</v>
      </c>
    </row>
    <row r="6359" spans="1:18" x14ac:dyDescent="0.25">
      <c r="A6359" s="21">
        <v>45863</v>
      </c>
      <c r="B6359" s="1">
        <v>115613301</v>
      </c>
      <c r="C6359" t="s">
        <v>11102</v>
      </c>
      <c r="D6359" s="43">
        <v>-4854</v>
      </c>
      <c r="E6359" t="s">
        <v>35</v>
      </c>
      <c r="F6359" s="2">
        <v>212901001</v>
      </c>
      <c r="G6359" s="2" t="s">
        <v>121</v>
      </c>
      <c r="L6359" s="2" t="s">
        <v>11103</v>
      </c>
      <c r="M6359" t="s">
        <v>67</v>
      </c>
      <c r="N6359" t="s">
        <v>68</v>
      </c>
      <c r="P6359" s="23">
        <v>121.35</v>
      </c>
      <c r="Q6359" s="4">
        <f t="shared" si="99"/>
        <v>-40</v>
      </c>
      <c r="R6359" s="23" t="s">
        <v>109</v>
      </c>
    </row>
    <row r="6360" spans="1:18" x14ac:dyDescent="0.25">
      <c r="A6360" s="21">
        <v>45863</v>
      </c>
      <c r="B6360" s="1">
        <v>115613302</v>
      </c>
      <c r="C6360" t="s">
        <v>11104</v>
      </c>
      <c r="D6360" s="43">
        <v>-12135</v>
      </c>
      <c r="E6360" t="s">
        <v>35</v>
      </c>
      <c r="F6360" s="2">
        <v>212901001</v>
      </c>
      <c r="G6360" s="2" t="s">
        <v>121</v>
      </c>
      <c r="L6360" s="2" t="s">
        <v>11105</v>
      </c>
      <c r="M6360" t="s">
        <v>67</v>
      </c>
      <c r="N6360" t="s">
        <v>68</v>
      </c>
      <c r="P6360" s="23">
        <v>121.35</v>
      </c>
      <c r="Q6360" s="4">
        <f t="shared" si="99"/>
        <v>-100</v>
      </c>
      <c r="R6360" s="23" t="s">
        <v>109</v>
      </c>
    </row>
    <row r="6361" spans="1:18" x14ac:dyDescent="0.25">
      <c r="A6361" s="21">
        <v>45863</v>
      </c>
      <c r="B6361" s="1">
        <v>115613305</v>
      </c>
      <c r="C6361" t="s">
        <v>11106</v>
      </c>
      <c r="D6361" s="43">
        <v>-18202.5</v>
      </c>
      <c r="E6361" t="s">
        <v>35</v>
      </c>
      <c r="F6361" s="2">
        <v>212901001</v>
      </c>
      <c r="G6361" s="2" t="s">
        <v>121</v>
      </c>
      <c r="L6361" s="2" t="s">
        <v>11107</v>
      </c>
      <c r="M6361" t="s">
        <v>67</v>
      </c>
      <c r="N6361" t="s">
        <v>68</v>
      </c>
      <c r="P6361" s="23">
        <v>121.35</v>
      </c>
      <c r="Q6361" s="4">
        <f t="shared" si="99"/>
        <v>-150</v>
      </c>
      <c r="R6361" s="23" t="s">
        <v>109</v>
      </c>
    </row>
    <row r="6362" spans="1:18" x14ac:dyDescent="0.25">
      <c r="A6362" s="21">
        <v>45863</v>
      </c>
      <c r="B6362" s="1">
        <v>115613306</v>
      </c>
      <c r="C6362" t="s">
        <v>11108</v>
      </c>
      <c r="D6362" s="43">
        <v>-13348.5</v>
      </c>
      <c r="E6362" t="s">
        <v>35</v>
      </c>
      <c r="F6362" s="2">
        <v>212901001</v>
      </c>
      <c r="G6362" s="2" t="s">
        <v>121</v>
      </c>
      <c r="L6362" s="2" t="s">
        <v>11109</v>
      </c>
      <c r="M6362" t="s">
        <v>67</v>
      </c>
      <c r="N6362" t="s">
        <v>68</v>
      </c>
      <c r="P6362" s="23">
        <v>121.35</v>
      </c>
      <c r="Q6362" s="4">
        <f t="shared" si="99"/>
        <v>-110</v>
      </c>
      <c r="R6362" s="23" t="s">
        <v>109</v>
      </c>
    </row>
    <row r="6363" spans="1:18" x14ac:dyDescent="0.25">
      <c r="A6363" s="21">
        <v>45863</v>
      </c>
      <c r="B6363" s="1">
        <v>115613309</v>
      </c>
      <c r="C6363" t="s">
        <v>11110</v>
      </c>
      <c r="D6363" s="43">
        <v>-12135</v>
      </c>
      <c r="E6363" t="s">
        <v>35</v>
      </c>
      <c r="F6363" s="2">
        <v>212901001</v>
      </c>
      <c r="G6363" s="2" t="s">
        <v>121</v>
      </c>
      <c r="L6363" s="2" t="s">
        <v>11111</v>
      </c>
      <c r="M6363" t="s">
        <v>67</v>
      </c>
      <c r="N6363" t="s">
        <v>68</v>
      </c>
      <c r="P6363" s="23">
        <v>121.35</v>
      </c>
      <c r="Q6363" s="4">
        <f t="shared" si="99"/>
        <v>-100</v>
      </c>
      <c r="R6363" s="23" t="s">
        <v>109</v>
      </c>
    </row>
    <row r="6364" spans="1:18" x14ac:dyDescent="0.25">
      <c r="A6364" s="21">
        <v>45863</v>
      </c>
      <c r="B6364" s="1">
        <v>215613312</v>
      </c>
      <c r="C6364" t="s">
        <v>11112</v>
      </c>
      <c r="D6364" s="43">
        <v>-54607.5</v>
      </c>
      <c r="E6364" t="s">
        <v>35</v>
      </c>
      <c r="F6364" s="2">
        <v>212901001</v>
      </c>
      <c r="G6364" s="2" t="s">
        <v>121</v>
      </c>
      <c r="L6364" s="2" t="s">
        <v>11113</v>
      </c>
      <c r="M6364" t="s">
        <v>67</v>
      </c>
      <c r="N6364" t="s">
        <v>68</v>
      </c>
      <c r="P6364" s="23">
        <v>121.35</v>
      </c>
      <c r="Q6364" s="4">
        <f t="shared" si="99"/>
        <v>-450</v>
      </c>
      <c r="R6364" s="23" t="s">
        <v>109</v>
      </c>
    </row>
    <row r="6365" spans="1:18" x14ac:dyDescent="0.25">
      <c r="A6365" s="21">
        <v>45863</v>
      </c>
      <c r="B6365" s="1">
        <v>115613307</v>
      </c>
      <c r="C6365" t="s">
        <v>11114</v>
      </c>
      <c r="D6365" s="43">
        <v>-9708</v>
      </c>
      <c r="E6365" t="s">
        <v>35</v>
      </c>
      <c r="F6365" s="2">
        <v>212901001</v>
      </c>
      <c r="G6365" s="2" t="s">
        <v>121</v>
      </c>
      <c r="L6365" s="2" t="s">
        <v>11115</v>
      </c>
      <c r="M6365" t="s">
        <v>67</v>
      </c>
      <c r="N6365" t="s">
        <v>68</v>
      </c>
      <c r="P6365" s="23">
        <v>121.35</v>
      </c>
      <c r="Q6365" s="4">
        <f t="shared" si="99"/>
        <v>-80</v>
      </c>
      <c r="R6365" s="23" t="s">
        <v>109</v>
      </c>
    </row>
    <row r="6366" spans="1:18" x14ac:dyDescent="0.25">
      <c r="A6366" s="21">
        <v>45863</v>
      </c>
      <c r="B6366" s="1">
        <v>115613310</v>
      </c>
      <c r="C6366" t="s">
        <v>11116</v>
      </c>
      <c r="D6366" s="43">
        <v>-8494.5</v>
      </c>
      <c r="E6366" t="s">
        <v>35</v>
      </c>
      <c r="F6366" s="2">
        <v>212901001</v>
      </c>
      <c r="G6366" s="2" t="s">
        <v>121</v>
      </c>
      <c r="L6366" s="2" t="s">
        <v>11117</v>
      </c>
      <c r="M6366" t="s">
        <v>67</v>
      </c>
      <c r="N6366" t="s">
        <v>68</v>
      </c>
      <c r="P6366" s="23">
        <v>121.35</v>
      </c>
      <c r="Q6366" s="4">
        <f t="shared" si="99"/>
        <v>-70</v>
      </c>
      <c r="R6366" s="23" t="s">
        <v>109</v>
      </c>
    </row>
    <row r="6367" spans="1:18" x14ac:dyDescent="0.25">
      <c r="A6367" s="21">
        <v>45863</v>
      </c>
      <c r="B6367" s="1">
        <v>215613314</v>
      </c>
      <c r="C6367" t="s">
        <v>11118</v>
      </c>
      <c r="D6367" s="43">
        <v>-6067.5</v>
      </c>
      <c r="E6367" t="s">
        <v>35</v>
      </c>
      <c r="F6367" s="2">
        <v>212901001</v>
      </c>
      <c r="G6367" s="2" t="s">
        <v>121</v>
      </c>
      <c r="L6367" s="2" t="s">
        <v>11119</v>
      </c>
      <c r="M6367" t="s">
        <v>67</v>
      </c>
      <c r="N6367" t="s">
        <v>68</v>
      </c>
      <c r="P6367" s="23">
        <v>121.35</v>
      </c>
      <c r="Q6367" s="4">
        <f t="shared" si="99"/>
        <v>-50</v>
      </c>
      <c r="R6367" s="23" t="s">
        <v>109</v>
      </c>
    </row>
    <row r="6368" spans="1:18" x14ac:dyDescent="0.25">
      <c r="A6368" s="21">
        <v>45863</v>
      </c>
      <c r="B6368" s="1">
        <v>215613313</v>
      </c>
      <c r="C6368" t="s">
        <v>11120</v>
      </c>
      <c r="D6368" s="43">
        <v>-8494.5</v>
      </c>
      <c r="E6368" t="s">
        <v>35</v>
      </c>
      <c r="F6368" s="2">
        <v>212901001</v>
      </c>
      <c r="G6368" s="2" t="s">
        <v>121</v>
      </c>
      <c r="L6368" s="2" t="s">
        <v>11121</v>
      </c>
      <c r="M6368" t="s">
        <v>67</v>
      </c>
      <c r="N6368" t="s">
        <v>68</v>
      </c>
      <c r="P6368" s="23">
        <v>121.35</v>
      </c>
      <c r="Q6368" s="4">
        <f t="shared" si="99"/>
        <v>-70</v>
      </c>
      <c r="R6368" s="23" t="s">
        <v>109</v>
      </c>
    </row>
    <row r="6369" spans="1:18" x14ac:dyDescent="0.25">
      <c r="A6369" s="21">
        <v>45863</v>
      </c>
      <c r="B6369" s="1">
        <v>215613315</v>
      </c>
      <c r="C6369" t="s">
        <v>11122</v>
      </c>
      <c r="D6369" s="43">
        <v>-8494.5</v>
      </c>
      <c r="E6369" t="s">
        <v>35</v>
      </c>
      <c r="F6369" s="2">
        <v>212901001</v>
      </c>
      <c r="G6369" s="2" t="s">
        <v>121</v>
      </c>
      <c r="L6369" s="2" t="s">
        <v>11123</v>
      </c>
      <c r="M6369" t="s">
        <v>67</v>
      </c>
      <c r="N6369" t="s">
        <v>68</v>
      </c>
      <c r="P6369" s="23">
        <v>121.35</v>
      </c>
      <c r="Q6369" s="4">
        <f t="shared" si="99"/>
        <v>-70</v>
      </c>
      <c r="R6369" s="23" t="s">
        <v>109</v>
      </c>
    </row>
    <row r="6370" spans="1:18" x14ac:dyDescent="0.25">
      <c r="A6370" s="21">
        <v>45863</v>
      </c>
      <c r="B6370" s="1">
        <v>215613317</v>
      </c>
      <c r="C6370" t="s">
        <v>11124</v>
      </c>
      <c r="D6370" s="43">
        <v>-6067.5</v>
      </c>
      <c r="E6370" t="s">
        <v>35</v>
      </c>
      <c r="F6370" s="2">
        <v>212901001</v>
      </c>
      <c r="G6370" s="2" t="s">
        <v>121</v>
      </c>
      <c r="L6370" s="2" t="s">
        <v>11125</v>
      </c>
      <c r="M6370" t="s">
        <v>67</v>
      </c>
      <c r="N6370" t="s">
        <v>68</v>
      </c>
      <c r="P6370" s="23">
        <v>121.35</v>
      </c>
      <c r="Q6370" s="4">
        <f t="shared" si="99"/>
        <v>-50</v>
      </c>
      <c r="R6370" s="23" t="s">
        <v>109</v>
      </c>
    </row>
    <row r="6371" spans="1:18" x14ac:dyDescent="0.25">
      <c r="A6371" s="21">
        <v>45863</v>
      </c>
      <c r="B6371" s="1">
        <v>215613320</v>
      </c>
      <c r="C6371" t="s">
        <v>11126</v>
      </c>
      <c r="D6371" s="43">
        <v>-6067.5</v>
      </c>
      <c r="E6371" t="s">
        <v>35</v>
      </c>
      <c r="F6371" s="2">
        <v>212901001</v>
      </c>
      <c r="G6371" s="2" t="s">
        <v>121</v>
      </c>
      <c r="L6371" s="2" t="s">
        <v>11127</v>
      </c>
      <c r="M6371" t="s">
        <v>67</v>
      </c>
      <c r="N6371" t="s">
        <v>68</v>
      </c>
      <c r="P6371" s="23">
        <v>121.35</v>
      </c>
      <c r="Q6371" s="4">
        <f t="shared" si="99"/>
        <v>-50</v>
      </c>
      <c r="R6371" s="23" t="s">
        <v>109</v>
      </c>
    </row>
    <row r="6372" spans="1:18" x14ac:dyDescent="0.25">
      <c r="A6372" s="21">
        <v>45863</v>
      </c>
      <c r="B6372" s="1">
        <v>315613322</v>
      </c>
      <c r="C6372" t="s">
        <v>11128</v>
      </c>
      <c r="D6372" s="43">
        <v>-6067.5</v>
      </c>
      <c r="E6372" t="s">
        <v>35</v>
      </c>
      <c r="F6372" s="2">
        <v>212901001</v>
      </c>
      <c r="G6372" s="2" t="s">
        <v>121</v>
      </c>
      <c r="L6372" s="2" t="s">
        <v>11129</v>
      </c>
      <c r="M6372" t="s">
        <v>67</v>
      </c>
      <c r="N6372" t="s">
        <v>68</v>
      </c>
      <c r="P6372" s="23">
        <v>121.35</v>
      </c>
      <c r="Q6372" s="4">
        <f t="shared" si="99"/>
        <v>-50</v>
      </c>
      <c r="R6372" s="23" t="s">
        <v>109</v>
      </c>
    </row>
    <row r="6373" spans="1:18" x14ac:dyDescent="0.25">
      <c r="A6373" s="21">
        <v>45863</v>
      </c>
      <c r="B6373" s="1">
        <v>315613323</v>
      </c>
      <c r="C6373" t="s">
        <v>11130</v>
      </c>
      <c r="D6373" s="43">
        <v>-6067.5</v>
      </c>
      <c r="E6373" t="s">
        <v>35</v>
      </c>
      <c r="F6373" s="2">
        <v>212901001</v>
      </c>
      <c r="G6373" s="2" t="s">
        <v>121</v>
      </c>
      <c r="L6373" s="2" t="s">
        <v>11131</v>
      </c>
      <c r="M6373" t="s">
        <v>67</v>
      </c>
      <c r="N6373" t="s">
        <v>68</v>
      </c>
      <c r="P6373" s="23">
        <v>121.35</v>
      </c>
      <c r="Q6373" s="4">
        <f t="shared" si="99"/>
        <v>-50</v>
      </c>
      <c r="R6373" s="23" t="s">
        <v>109</v>
      </c>
    </row>
    <row r="6374" spans="1:18" x14ac:dyDescent="0.25">
      <c r="A6374" s="21">
        <v>45863</v>
      </c>
      <c r="B6374" s="1">
        <v>215613319</v>
      </c>
      <c r="C6374" t="s">
        <v>11122</v>
      </c>
      <c r="D6374" s="43">
        <v>-6067.5</v>
      </c>
      <c r="E6374" t="s">
        <v>35</v>
      </c>
      <c r="F6374" s="2">
        <v>212901001</v>
      </c>
      <c r="G6374" s="2" t="s">
        <v>121</v>
      </c>
      <c r="L6374" s="2" t="s">
        <v>11132</v>
      </c>
      <c r="M6374" t="s">
        <v>67</v>
      </c>
      <c r="N6374" t="s">
        <v>68</v>
      </c>
      <c r="P6374" s="23">
        <v>121.35</v>
      </c>
      <c r="Q6374" s="4">
        <f t="shared" si="99"/>
        <v>-50</v>
      </c>
      <c r="R6374" s="23" t="s">
        <v>109</v>
      </c>
    </row>
    <row r="6375" spans="1:18" x14ac:dyDescent="0.25">
      <c r="A6375" s="21">
        <v>45863</v>
      </c>
      <c r="B6375" s="1">
        <v>315613321</v>
      </c>
      <c r="C6375" t="s">
        <v>11133</v>
      </c>
      <c r="D6375" s="43">
        <v>-6067.5</v>
      </c>
      <c r="E6375" t="s">
        <v>35</v>
      </c>
      <c r="F6375" s="2">
        <v>212901001</v>
      </c>
      <c r="G6375" s="2" t="s">
        <v>121</v>
      </c>
      <c r="L6375" s="2" t="s">
        <v>11134</v>
      </c>
      <c r="M6375" t="s">
        <v>67</v>
      </c>
      <c r="N6375" t="s">
        <v>68</v>
      </c>
      <c r="P6375" s="23">
        <v>121.35</v>
      </c>
      <c r="Q6375" s="4">
        <f t="shared" si="99"/>
        <v>-50</v>
      </c>
      <c r="R6375" s="23" t="s">
        <v>109</v>
      </c>
    </row>
    <row r="6376" spans="1:18" x14ac:dyDescent="0.25">
      <c r="A6376" s="21">
        <v>45863</v>
      </c>
      <c r="B6376" s="1">
        <v>315613324</v>
      </c>
      <c r="C6376" t="s">
        <v>11135</v>
      </c>
      <c r="D6376" s="43">
        <v>-5096.7</v>
      </c>
      <c r="E6376" t="s">
        <v>35</v>
      </c>
      <c r="F6376" s="2">
        <v>212901001</v>
      </c>
      <c r="G6376" s="2" t="s">
        <v>121</v>
      </c>
      <c r="L6376" s="2" t="s">
        <v>11136</v>
      </c>
      <c r="M6376" t="s">
        <v>67</v>
      </c>
      <c r="N6376" t="s">
        <v>68</v>
      </c>
      <c r="P6376" s="23">
        <v>121.35</v>
      </c>
      <c r="Q6376" s="4">
        <f t="shared" si="99"/>
        <v>-42</v>
      </c>
      <c r="R6376" s="23" t="s">
        <v>109</v>
      </c>
    </row>
    <row r="6377" spans="1:18" x14ac:dyDescent="0.25">
      <c r="A6377" s="21">
        <v>45863</v>
      </c>
      <c r="B6377" s="1">
        <v>315613325</v>
      </c>
      <c r="C6377" t="s">
        <v>11137</v>
      </c>
      <c r="D6377" s="43">
        <v>-5096.7</v>
      </c>
      <c r="E6377" t="s">
        <v>35</v>
      </c>
      <c r="F6377" s="2">
        <v>212901001</v>
      </c>
      <c r="G6377" s="2" t="s">
        <v>121</v>
      </c>
      <c r="L6377" s="2" t="s">
        <v>11138</v>
      </c>
      <c r="M6377" t="s">
        <v>67</v>
      </c>
      <c r="N6377" t="s">
        <v>68</v>
      </c>
      <c r="P6377" s="23">
        <v>121.35</v>
      </c>
      <c r="Q6377" s="4">
        <f t="shared" si="99"/>
        <v>-42</v>
      </c>
      <c r="R6377" s="23" t="s">
        <v>109</v>
      </c>
    </row>
    <row r="6378" spans="1:18" x14ac:dyDescent="0.25">
      <c r="A6378" s="21">
        <v>45863</v>
      </c>
      <c r="B6378" s="1">
        <v>315613327</v>
      </c>
      <c r="C6378" t="s">
        <v>11139</v>
      </c>
      <c r="D6378" s="43">
        <v>-6067.5</v>
      </c>
      <c r="E6378" t="s">
        <v>35</v>
      </c>
      <c r="F6378" s="2">
        <v>212901001</v>
      </c>
      <c r="G6378" s="2" t="s">
        <v>121</v>
      </c>
      <c r="L6378" s="2" t="s">
        <v>11140</v>
      </c>
      <c r="M6378" t="s">
        <v>67</v>
      </c>
      <c r="N6378" t="s">
        <v>68</v>
      </c>
      <c r="P6378" s="23">
        <v>121.35</v>
      </c>
      <c r="Q6378" s="4">
        <f t="shared" si="99"/>
        <v>-50</v>
      </c>
      <c r="R6378" s="23" t="s">
        <v>109</v>
      </c>
    </row>
    <row r="6379" spans="1:18" x14ac:dyDescent="0.25">
      <c r="A6379" s="21">
        <v>45863</v>
      </c>
      <c r="B6379" s="1">
        <v>315613329</v>
      </c>
      <c r="C6379" t="s">
        <v>11141</v>
      </c>
      <c r="D6379" s="43">
        <v>-6067.5</v>
      </c>
      <c r="E6379" t="s">
        <v>35</v>
      </c>
      <c r="F6379" s="2">
        <v>212901001</v>
      </c>
      <c r="G6379" s="2" t="s">
        <v>121</v>
      </c>
      <c r="L6379" s="2" t="s">
        <v>11142</v>
      </c>
      <c r="M6379" t="s">
        <v>67</v>
      </c>
      <c r="N6379" t="s">
        <v>68</v>
      </c>
      <c r="P6379" s="23">
        <v>121.35</v>
      </c>
      <c r="Q6379" s="4">
        <f t="shared" si="99"/>
        <v>-50</v>
      </c>
      <c r="R6379" s="23" t="s">
        <v>109</v>
      </c>
    </row>
    <row r="6380" spans="1:18" x14ac:dyDescent="0.25">
      <c r="A6380" s="21">
        <v>45863</v>
      </c>
      <c r="B6380" s="1">
        <v>315613328</v>
      </c>
      <c r="C6380" t="s">
        <v>11143</v>
      </c>
      <c r="D6380" s="43">
        <v>-6067.5</v>
      </c>
      <c r="E6380" t="s">
        <v>35</v>
      </c>
      <c r="F6380" s="2">
        <v>212901001</v>
      </c>
      <c r="G6380" s="2" t="s">
        <v>121</v>
      </c>
      <c r="L6380" s="2" t="s">
        <v>11144</v>
      </c>
      <c r="M6380" t="s">
        <v>67</v>
      </c>
      <c r="N6380" t="s">
        <v>68</v>
      </c>
      <c r="P6380" s="23">
        <v>121.35</v>
      </c>
      <c r="Q6380" s="4">
        <f t="shared" si="99"/>
        <v>-50</v>
      </c>
      <c r="R6380" s="23" t="s">
        <v>109</v>
      </c>
    </row>
    <row r="6381" spans="1:18" x14ac:dyDescent="0.25">
      <c r="A6381" s="21">
        <v>45863</v>
      </c>
      <c r="B6381" s="1">
        <v>315613326</v>
      </c>
      <c r="C6381" t="s">
        <v>11145</v>
      </c>
      <c r="D6381" s="43">
        <v>-6067.5</v>
      </c>
      <c r="E6381" t="s">
        <v>35</v>
      </c>
      <c r="F6381" s="2">
        <v>212901001</v>
      </c>
      <c r="G6381" s="2" t="s">
        <v>121</v>
      </c>
      <c r="L6381" s="2" t="s">
        <v>11146</v>
      </c>
      <c r="M6381" t="s">
        <v>67</v>
      </c>
      <c r="N6381" t="s">
        <v>68</v>
      </c>
      <c r="P6381" s="23">
        <v>121.35</v>
      </c>
      <c r="Q6381" s="4">
        <f t="shared" si="99"/>
        <v>-50</v>
      </c>
      <c r="R6381" s="23" t="s">
        <v>109</v>
      </c>
    </row>
    <row r="6382" spans="1:18" x14ac:dyDescent="0.25">
      <c r="A6382" s="21">
        <v>45863</v>
      </c>
      <c r="B6382" s="1">
        <v>415613330</v>
      </c>
      <c r="C6382" t="s">
        <v>11147</v>
      </c>
      <c r="D6382" s="43">
        <v>-5096.7</v>
      </c>
      <c r="E6382" t="s">
        <v>35</v>
      </c>
      <c r="F6382" s="2">
        <v>212901001</v>
      </c>
      <c r="G6382" s="2" t="s">
        <v>121</v>
      </c>
      <c r="L6382" s="2" t="s">
        <v>11148</v>
      </c>
      <c r="M6382" t="s">
        <v>67</v>
      </c>
      <c r="N6382" t="s">
        <v>68</v>
      </c>
      <c r="P6382" s="23">
        <v>121.35</v>
      </c>
      <c r="Q6382" s="4">
        <f t="shared" si="99"/>
        <v>-42</v>
      </c>
      <c r="R6382" s="23" t="s">
        <v>109</v>
      </c>
    </row>
    <row r="6383" spans="1:18" x14ac:dyDescent="0.25">
      <c r="A6383" s="21">
        <v>45863</v>
      </c>
      <c r="B6383" s="1">
        <v>415613332</v>
      </c>
      <c r="C6383" t="s">
        <v>11149</v>
      </c>
      <c r="D6383" s="43">
        <v>-2427</v>
      </c>
      <c r="E6383" t="s">
        <v>35</v>
      </c>
      <c r="F6383" s="2">
        <v>212901001</v>
      </c>
      <c r="G6383" s="2" t="s">
        <v>121</v>
      </c>
      <c r="L6383" s="2" t="s">
        <v>11150</v>
      </c>
      <c r="M6383" t="s">
        <v>67</v>
      </c>
      <c r="N6383" t="s">
        <v>68</v>
      </c>
      <c r="P6383" s="23">
        <v>121.35</v>
      </c>
      <c r="Q6383" s="4">
        <f t="shared" si="99"/>
        <v>-20</v>
      </c>
      <c r="R6383" s="23" t="s">
        <v>109</v>
      </c>
    </row>
    <row r="6384" spans="1:18" x14ac:dyDescent="0.25">
      <c r="A6384" s="21">
        <v>45863</v>
      </c>
      <c r="B6384" s="1">
        <v>415613335</v>
      </c>
      <c r="C6384" t="s">
        <v>11151</v>
      </c>
      <c r="D6384" s="43">
        <v>-2427</v>
      </c>
      <c r="E6384" t="s">
        <v>35</v>
      </c>
      <c r="F6384" s="2">
        <v>212901001</v>
      </c>
      <c r="G6384" s="2" t="s">
        <v>121</v>
      </c>
      <c r="L6384" s="2" t="s">
        <v>11152</v>
      </c>
      <c r="M6384" t="s">
        <v>67</v>
      </c>
      <c r="N6384" t="s">
        <v>68</v>
      </c>
      <c r="P6384" s="23">
        <v>121.35</v>
      </c>
      <c r="Q6384" s="4">
        <f t="shared" si="99"/>
        <v>-20</v>
      </c>
      <c r="R6384" s="23" t="s">
        <v>109</v>
      </c>
    </row>
    <row r="6385" spans="1:23" x14ac:dyDescent="0.25">
      <c r="A6385" s="21">
        <v>45863</v>
      </c>
      <c r="B6385" s="1">
        <v>415613333</v>
      </c>
      <c r="C6385" t="s">
        <v>11153</v>
      </c>
      <c r="D6385" s="43">
        <v>-2427</v>
      </c>
      <c r="E6385" t="s">
        <v>35</v>
      </c>
      <c r="F6385" s="2">
        <v>212901001</v>
      </c>
      <c r="G6385" s="2" t="s">
        <v>121</v>
      </c>
      <c r="L6385" s="2" t="s">
        <v>11154</v>
      </c>
      <c r="M6385" t="s">
        <v>67</v>
      </c>
      <c r="N6385" t="s">
        <v>68</v>
      </c>
      <c r="P6385" s="23">
        <v>121.35</v>
      </c>
      <c r="Q6385" s="4">
        <f t="shared" si="99"/>
        <v>-20</v>
      </c>
      <c r="R6385" s="23" t="s">
        <v>109</v>
      </c>
    </row>
    <row r="6386" spans="1:23" x14ac:dyDescent="0.25">
      <c r="A6386" s="21">
        <v>45863</v>
      </c>
      <c r="B6386" s="1">
        <v>415613336</v>
      </c>
      <c r="C6386" t="s">
        <v>11155</v>
      </c>
      <c r="D6386" s="43">
        <v>-12135</v>
      </c>
      <c r="E6386" t="s">
        <v>35</v>
      </c>
      <c r="F6386" s="2">
        <v>110114001</v>
      </c>
      <c r="G6386" s="2" t="s">
        <v>301</v>
      </c>
      <c r="L6386" s="2" t="s">
        <v>11156</v>
      </c>
      <c r="N6386" t="s">
        <v>2551</v>
      </c>
      <c r="P6386" s="23">
        <v>121.35</v>
      </c>
      <c r="Q6386" s="4">
        <f t="shared" si="99"/>
        <v>-100</v>
      </c>
      <c r="R6386" s="23" t="s">
        <v>109</v>
      </c>
    </row>
    <row r="6387" spans="1:23" x14ac:dyDescent="0.25">
      <c r="A6387" s="21">
        <v>45863</v>
      </c>
      <c r="B6387" s="1">
        <v>415613337</v>
      </c>
      <c r="C6387" t="s">
        <v>11157</v>
      </c>
      <c r="D6387" s="43">
        <v>-24270</v>
      </c>
      <c r="E6387" t="s">
        <v>35</v>
      </c>
      <c r="F6387" s="2">
        <v>212901001</v>
      </c>
      <c r="G6387" s="2" t="s">
        <v>121</v>
      </c>
      <c r="L6387" s="2" t="s">
        <v>11158</v>
      </c>
      <c r="M6387" t="s">
        <v>67</v>
      </c>
      <c r="N6387" t="s">
        <v>68</v>
      </c>
      <c r="P6387" s="23">
        <v>121.35</v>
      </c>
      <c r="Q6387" s="4">
        <f t="shared" si="99"/>
        <v>-200</v>
      </c>
      <c r="R6387" s="23" t="s">
        <v>109</v>
      </c>
    </row>
    <row r="6388" spans="1:23" x14ac:dyDescent="0.25">
      <c r="A6388" s="21">
        <v>45863</v>
      </c>
      <c r="B6388" s="1">
        <v>415613334</v>
      </c>
      <c r="C6388" t="s">
        <v>11159</v>
      </c>
      <c r="D6388" s="43">
        <v>-2427</v>
      </c>
      <c r="E6388" t="s">
        <v>35</v>
      </c>
      <c r="F6388" s="2">
        <v>212901001</v>
      </c>
      <c r="G6388" s="2" t="s">
        <v>121</v>
      </c>
      <c r="L6388" s="2" t="s">
        <v>11160</v>
      </c>
      <c r="M6388" t="s">
        <v>67</v>
      </c>
      <c r="N6388" t="s">
        <v>68</v>
      </c>
      <c r="P6388" s="23">
        <v>121.35</v>
      </c>
      <c r="Q6388" s="4">
        <f t="shared" si="99"/>
        <v>-20</v>
      </c>
      <c r="R6388" s="23" t="s">
        <v>109</v>
      </c>
    </row>
    <row r="6389" spans="1:23" x14ac:dyDescent="0.25">
      <c r="A6389" s="21">
        <v>45863</v>
      </c>
      <c r="B6389" s="1">
        <v>415613338</v>
      </c>
      <c r="C6389" t="s">
        <v>11161</v>
      </c>
      <c r="D6389" s="43">
        <v>-16624.95</v>
      </c>
      <c r="E6389" t="s">
        <v>35</v>
      </c>
      <c r="F6389" s="2">
        <v>212901001</v>
      </c>
      <c r="G6389" s="2" t="s">
        <v>121</v>
      </c>
      <c r="L6389" s="2" t="s">
        <v>11162</v>
      </c>
      <c r="M6389" t="s">
        <v>67</v>
      </c>
      <c r="N6389" t="s">
        <v>68</v>
      </c>
      <c r="P6389" s="23">
        <v>121.35</v>
      </c>
      <c r="Q6389" s="4">
        <f t="shared" si="99"/>
        <v>-137</v>
      </c>
      <c r="R6389" s="23" t="s">
        <v>109</v>
      </c>
    </row>
    <row r="6390" spans="1:23" x14ac:dyDescent="0.25">
      <c r="A6390" s="21">
        <v>45863</v>
      </c>
      <c r="B6390" s="1">
        <v>515613340</v>
      </c>
      <c r="C6390" t="s">
        <v>11163</v>
      </c>
      <c r="D6390" s="43">
        <v>-4854</v>
      </c>
      <c r="E6390" t="s">
        <v>35</v>
      </c>
      <c r="F6390" s="2">
        <v>212901001</v>
      </c>
      <c r="G6390" s="2" t="s">
        <v>121</v>
      </c>
      <c r="L6390" s="2" t="s">
        <v>11164</v>
      </c>
      <c r="M6390" t="s">
        <v>67</v>
      </c>
      <c r="N6390" t="s">
        <v>68</v>
      </c>
      <c r="P6390" s="23">
        <v>121.35</v>
      </c>
      <c r="Q6390" s="4">
        <f t="shared" si="99"/>
        <v>-40</v>
      </c>
      <c r="R6390" s="23" t="s">
        <v>109</v>
      </c>
    </row>
    <row r="6391" spans="1:23" x14ac:dyDescent="0.25">
      <c r="A6391" s="21">
        <v>45863</v>
      </c>
      <c r="B6391" s="1">
        <v>515613339</v>
      </c>
      <c r="C6391" t="s">
        <v>11165</v>
      </c>
      <c r="D6391" s="43">
        <v>-3640.5</v>
      </c>
      <c r="E6391" t="s">
        <v>35</v>
      </c>
      <c r="F6391" s="2">
        <v>212901001</v>
      </c>
      <c r="G6391" s="2" t="s">
        <v>121</v>
      </c>
      <c r="L6391" s="2" t="s">
        <v>11166</v>
      </c>
      <c r="M6391" t="s">
        <v>67</v>
      </c>
      <c r="N6391" t="s">
        <v>68</v>
      </c>
      <c r="P6391" s="23">
        <v>121.35</v>
      </c>
      <c r="Q6391" s="4">
        <f t="shared" si="99"/>
        <v>-30</v>
      </c>
      <c r="R6391" s="23" t="s">
        <v>109</v>
      </c>
    </row>
    <row r="6392" spans="1:23" x14ac:dyDescent="0.25">
      <c r="A6392" s="21">
        <v>45863</v>
      </c>
      <c r="B6392" s="1">
        <v>50776941</v>
      </c>
      <c r="C6392" t="s">
        <v>11167</v>
      </c>
      <c r="D6392" s="43">
        <v>-16989</v>
      </c>
      <c r="E6392" t="s">
        <v>35</v>
      </c>
      <c r="F6392" s="2">
        <v>212901001</v>
      </c>
      <c r="G6392" s="2" t="s">
        <v>121</v>
      </c>
      <c r="L6392" s="2" t="s">
        <v>11168</v>
      </c>
      <c r="M6392" t="s">
        <v>67</v>
      </c>
      <c r="N6392" t="s">
        <v>68</v>
      </c>
      <c r="P6392" s="23">
        <v>121.35</v>
      </c>
      <c r="Q6392" s="4">
        <f t="shared" si="99"/>
        <v>-140</v>
      </c>
      <c r="R6392" s="23" t="s">
        <v>109</v>
      </c>
    </row>
    <row r="6393" spans="1:23" x14ac:dyDescent="0.25">
      <c r="A6393" s="21">
        <v>45863</v>
      </c>
      <c r="B6393" s="1">
        <v>50776941</v>
      </c>
      <c r="C6393" t="s">
        <v>296</v>
      </c>
      <c r="D6393" s="43">
        <v>-25.48</v>
      </c>
      <c r="E6393" t="s">
        <v>35</v>
      </c>
      <c r="F6393" s="2">
        <v>610148001</v>
      </c>
      <c r="G6393" s="2" t="s">
        <v>42</v>
      </c>
      <c r="L6393" s="2" t="s">
        <v>11169</v>
      </c>
      <c r="M6393" t="s">
        <v>43</v>
      </c>
      <c r="N6393" t="s">
        <v>42</v>
      </c>
      <c r="P6393" s="23">
        <v>121.35</v>
      </c>
      <c r="Q6393" s="4">
        <f t="shared" si="99"/>
        <v>-0.20997115780799341</v>
      </c>
      <c r="R6393" s="23" t="s">
        <v>109</v>
      </c>
      <c r="T6393" s="23" t="s">
        <v>10222</v>
      </c>
    </row>
    <row r="6394" spans="1:23" x14ac:dyDescent="0.25">
      <c r="A6394" s="21">
        <v>45863</v>
      </c>
      <c r="B6394" s="1">
        <v>50776941</v>
      </c>
      <c r="C6394" t="s">
        <v>118</v>
      </c>
      <c r="D6394" s="43">
        <v>-1469.85</v>
      </c>
      <c r="E6394" t="s">
        <v>35</v>
      </c>
      <c r="F6394" s="2">
        <v>610148001</v>
      </c>
      <c r="G6394" s="2" t="s">
        <v>42</v>
      </c>
      <c r="L6394" s="2" t="s">
        <v>11170</v>
      </c>
      <c r="M6394" t="s">
        <v>43</v>
      </c>
      <c r="N6394" t="s">
        <v>42</v>
      </c>
      <c r="P6394" s="23">
        <v>121.35</v>
      </c>
      <c r="Q6394" s="4">
        <f t="shared" si="99"/>
        <v>-12.11248454882571</v>
      </c>
      <c r="R6394" s="23" t="s">
        <v>109</v>
      </c>
      <c r="T6394" s="23" t="s">
        <v>10222</v>
      </c>
    </row>
    <row r="6395" spans="1:23" x14ac:dyDescent="0.25">
      <c r="A6395" s="21">
        <v>45866</v>
      </c>
      <c r="B6395" s="1">
        <v>60908820</v>
      </c>
      <c r="C6395" t="s">
        <v>967</v>
      </c>
      <c r="D6395" s="43">
        <v>-183.26</v>
      </c>
      <c r="E6395" t="s">
        <v>35</v>
      </c>
      <c r="F6395" s="2">
        <v>610148001</v>
      </c>
      <c r="G6395" s="2" t="s">
        <v>42</v>
      </c>
      <c r="L6395" s="2" t="s">
        <v>11171</v>
      </c>
      <c r="M6395" t="s">
        <v>43</v>
      </c>
      <c r="N6395" t="s">
        <v>42</v>
      </c>
      <c r="P6395" s="23">
        <v>122.17</v>
      </c>
      <c r="Q6395" s="4">
        <f t="shared" si="99"/>
        <v>-1.5000409265777195</v>
      </c>
      <c r="R6395" s="23" t="s">
        <v>109</v>
      </c>
      <c r="T6395" s="23" t="s">
        <v>10222</v>
      </c>
    </row>
    <row r="6396" spans="1:23" x14ac:dyDescent="0.25">
      <c r="A6396" s="21">
        <v>45866</v>
      </c>
      <c r="B6396" s="1">
        <v>154350021</v>
      </c>
      <c r="C6396" t="s">
        <v>107</v>
      </c>
      <c r="D6396" s="43">
        <v>240000</v>
      </c>
      <c r="E6396" t="s">
        <v>46</v>
      </c>
      <c r="F6396" s="2">
        <v>210115002</v>
      </c>
      <c r="G6396" s="2" t="s">
        <v>47</v>
      </c>
      <c r="L6396" s="2" t="s">
        <v>11172</v>
      </c>
      <c r="N6396" t="s">
        <v>107</v>
      </c>
      <c r="P6396" s="23">
        <v>122.17</v>
      </c>
      <c r="Q6396" s="4">
        <f t="shared" si="99"/>
        <v>1964.4757305394123</v>
      </c>
      <c r="R6396" s="23" t="s">
        <v>109</v>
      </c>
    </row>
    <row r="6397" spans="1:23" x14ac:dyDescent="0.25">
      <c r="A6397" s="21">
        <v>45866</v>
      </c>
      <c r="B6397" s="1">
        <v>915721576</v>
      </c>
      <c r="C6397" t="s">
        <v>11173</v>
      </c>
      <c r="D6397" s="43">
        <v>-236951.16</v>
      </c>
      <c r="E6397" t="s">
        <v>35</v>
      </c>
      <c r="F6397" s="2">
        <v>110114001</v>
      </c>
      <c r="G6397" s="2" t="s">
        <v>301</v>
      </c>
      <c r="L6397" s="2" t="s">
        <v>11174</v>
      </c>
      <c r="M6397" t="s">
        <v>38</v>
      </c>
      <c r="N6397" t="e">
        <f>VLOOKUP(M6397,[1]!SERVICIOS[#Data],2,FALSE)</f>
        <v>#REF!</v>
      </c>
      <c r="P6397" s="23">
        <v>122.17</v>
      </c>
      <c r="Q6397" s="4">
        <f t="shared" si="99"/>
        <v>-1939.520013096505</v>
      </c>
      <c r="R6397" s="23" t="s">
        <v>109</v>
      </c>
      <c r="S6397" s="33" t="s">
        <v>11175</v>
      </c>
    </row>
    <row r="6398" spans="1:23" x14ac:dyDescent="0.25">
      <c r="A6398" s="21">
        <v>45866</v>
      </c>
      <c r="B6398" s="1">
        <v>915721576</v>
      </c>
      <c r="C6398" t="s">
        <v>306</v>
      </c>
      <c r="D6398" s="43">
        <v>-710.85</v>
      </c>
      <c r="E6398" t="s">
        <v>35</v>
      </c>
      <c r="F6398" s="2">
        <v>610148001</v>
      </c>
      <c r="G6398" s="2" t="s">
        <v>42</v>
      </c>
      <c r="L6398" s="2" t="s">
        <v>11176</v>
      </c>
      <c r="M6398" t="s">
        <v>43</v>
      </c>
      <c r="N6398" t="s">
        <v>42</v>
      </c>
      <c r="P6398" s="23">
        <v>122.17</v>
      </c>
      <c r="Q6398" s="4">
        <f t="shared" si="99"/>
        <v>-5.8185315543914218</v>
      </c>
      <c r="R6398" s="23" t="s">
        <v>109</v>
      </c>
      <c r="T6398" s="23" t="s">
        <v>10222</v>
      </c>
    </row>
    <row r="6399" spans="1:23" x14ac:dyDescent="0.25">
      <c r="A6399" s="21">
        <v>45867</v>
      </c>
      <c r="B6399" s="1">
        <v>611274514</v>
      </c>
      <c r="C6399" t="s">
        <v>6736</v>
      </c>
      <c r="D6399" s="43">
        <v>750000</v>
      </c>
      <c r="E6399" t="s">
        <v>46</v>
      </c>
      <c r="F6399" s="2">
        <v>110101003</v>
      </c>
      <c r="G6399" s="2" t="s">
        <v>6734</v>
      </c>
      <c r="L6399" s="2" t="s">
        <v>11177</v>
      </c>
      <c r="N6399" t="s">
        <v>6736</v>
      </c>
      <c r="P6399" s="23">
        <v>122.84</v>
      </c>
      <c r="Q6399" s="4">
        <f t="shared" si="99"/>
        <v>6105.5030934549004</v>
      </c>
      <c r="R6399" s="23" t="s">
        <v>109</v>
      </c>
    </row>
    <row r="6400" spans="1:23" x14ac:dyDescent="0.25">
      <c r="A6400" s="21">
        <v>45867</v>
      </c>
      <c r="B6400" s="1">
        <v>615778732</v>
      </c>
      <c r="C6400" t="s">
        <v>11178</v>
      </c>
      <c r="D6400" s="43">
        <v>-7330.2</v>
      </c>
      <c r="E6400" t="s">
        <v>35</v>
      </c>
      <c r="F6400" s="2">
        <v>212901001</v>
      </c>
      <c r="G6400" s="2" t="s">
        <v>121</v>
      </c>
      <c r="L6400" s="2" t="s">
        <v>11179</v>
      </c>
      <c r="M6400" t="s">
        <v>67</v>
      </c>
      <c r="N6400" t="s">
        <v>68</v>
      </c>
      <c r="P6400" s="23">
        <v>122.84</v>
      </c>
      <c r="Q6400" s="4">
        <f t="shared" si="99"/>
        <v>-59.672745034190811</v>
      </c>
      <c r="R6400" s="23" t="s">
        <v>109</v>
      </c>
      <c r="U6400">
        <v>19</v>
      </c>
      <c r="V6400" t="e">
        <f>VLOOKUP(Tabla3[[#This Row],[Nº]],[1]!NOMINA[#Data],4,FALSE)</f>
        <v>#REF!</v>
      </c>
      <c r="W6400" t="e">
        <f>VLOOKUP(U6400,[1]!NOMINA[#Data],5,FALSE)</f>
        <v>#REF!</v>
      </c>
    </row>
    <row r="6401" spans="1:23" x14ac:dyDescent="0.25">
      <c r="A6401" s="21">
        <v>45867</v>
      </c>
      <c r="B6401" s="1">
        <v>515778730</v>
      </c>
      <c r="C6401" t="s">
        <v>11180</v>
      </c>
      <c r="D6401" s="43">
        <v>-36651</v>
      </c>
      <c r="E6401" t="s">
        <v>35</v>
      </c>
      <c r="F6401" s="2">
        <v>212901001</v>
      </c>
      <c r="G6401" s="2" t="s">
        <v>121</v>
      </c>
      <c r="L6401" s="2" t="s">
        <v>11181</v>
      </c>
      <c r="M6401" t="s">
        <v>67</v>
      </c>
      <c r="N6401" t="s">
        <v>68</v>
      </c>
      <c r="P6401" s="23">
        <v>122.84</v>
      </c>
      <c r="Q6401" s="4">
        <f t="shared" si="99"/>
        <v>-298.36372517095407</v>
      </c>
      <c r="R6401" s="23" t="s">
        <v>109</v>
      </c>
      <c r="U6401">
        <v>2</v>
      </c>
      <c r="V6401" t="e">
        <f>VLOOKUP(Tabla3[[#This Row],[Nº]],[1]!NOMINA[#Data],4,FALSE)</f>
        <v>#REF!</v>
      </c>
      <c r="W6401" t="e">
        <f>VLOOKUP(Tabla3[[#This Row],[Nº]],[1]!NOMINA[#Data],5,FALSE)</f>
        <v>#REF!</v>
      </c>
    </row>
    <row r="6402" spans="1:23" x14ac:dyDescent="0.25">
      <c r="A6402" s="21">
        <v>45867</v>
      </c>
      <c r="B6402" s="1">
        <v>615778731</v>
      </c>
      <c r="C6402" t="s">
        <v>11182</v>
      </c>
      <c r="D6402" s="43">
        <v>-1221.7</v>
      </c>
      <c r="E6402" t="s">
        <v>35</v>
      </c>
      <c r="F6402" s="2">
        <v>212901001</v>
      </c>
      <c r="G6402" s="2" t="s">
        <v>121</v>
      </c>
      <c r="L6402" s="2" t="s">
        <v>11183</v>
      </c>
      <c r="M6402" t="s">
        <v>67</v>
      </c>
      <c r="N6402" t="s">
        <v>68</v>
      </c>
      <c r="P6402" s="23">
        <v>122.84</v>
      </c>
      <c r="Q6402" s="4">
        <f t="shared" si="99"/>
        <v>-9.9454575056984691</v>
      </c>
      <c r="R6402" s="23" t="s">
        <v>109</v>
      </c>
      <c r="U6402">
        <v>28</v>
      </c>
      <c r="V6402" t="e">
        <f>VLOOKUP(Tabla3[[#This Row],[Nº]],[1]!NOMINA[#Data],4,FALSE)</f>
        <v>#REF!</v>
      </c>
      <c r="W6402" t="e">
        <f>VLOOKUP(U6402,[1]!NOMINA[#Data],5,FALSE)</f>
        <v>#REF!</v>
      </c>
    </row>
    <row r="6403" spans="1:23" x14ac:dyDescent="0.25">
      <c r="A6403" s="21">
        <v>45867</v>
      </c>
      <c r="B6403" s="1">
        <v>615778733</v>
      </c>
      <c r="C6403" t="s">
        <v>11184</v>
      </c>
      <c r="D6403" s="43">
        <v>-1221.7</v>
      </c>
      <c r="E6403" t="s">
        <v>35</v>
      </c>
      <c r="F6403" s="2">
        <v>212901001</v>
      </c>
      <c r="G6403" s="2" t="s">
        <v>121</v>
      </c>
      <c r="L6403" s="2" t="s">
        <v>11185</v>
      </c>
      <c r="M6403" t="s">
        <v>67</v>
      </c>
      <c r="N6403" t="s">
        <v>68</v>
      </c>
      <c r="P6403" s="23">
        <v>122.84</v>
      </c>
      <c r="Q6403" s="4">
        <f t="shared" si="99"/>
        <v>-9.9454575056984691</v>
      </c>
      <c r="R6403" s="23" t="s">
        <v>109</v>
      </c>
      <c r="U6403">
        <v>17</v>
      </c>
      <c r="V6403" t="e">
        <f>VLOOKUP(Tabla3[[#This Row],[Nº]],[1]!NOMINA[#Data],4,FALSE)</f>
        <v>#REF!</v>
      </c>
      <c r="W6403" t="e">
        <f>VLOOKUP(U6403,[1]!NOMINA[#Data],5,FALSE)</f>
        <v>#REF!</v>
      </c>
    </row>
    <row r="6404" spans="1:23" x14ac:dyDescent="0.25">
      <c r="A6404" s="21">
        <v>45867</v>
      </c>
      <c r="B6404" s="1">
        <v>615778735</v>
      </c>
      <c r="C6404" t="s">
        <v>11186</v>
      </c>
      <c r="D6404" s="43">
        <v>-1221.7</v>
      </c>
      <c r="E6404" t="s">
        <v>35</v>
      </c>
      <c r="F6404" s="2">
        <v>212901001</v>
      </c>
      <c r="G6404" s="2" t="s">
        <v>121</v>
      </c>
      <c r="L6404" s="2" t="s">
        <v>11187</v>
      </c>
      <c r="M6404" t="s">
        <v>67</v>
      </c>
      <c r="N6404" t="s">
        <v>68</v>
      </c>
      <c r="P6404" s="23">
        <v>122.84</v>
      </c>
      <c r="Q6404" s="4">
        <f t="shared" si="99"/>
        <v>-9.9454575056984691</v>
      </c>
      <c r="R6404" s="23" t="s">
        <v>109</v>
      </c>
      <c r="U6404">
        <v>15</v>
      </c>
      <c r="V6404" t="e">
        <f>VLOOKUP(Tabla3[[#This Row],[Nº]],[1]!NOMINA[#Data],4,FALSE)</f>
        <v>#REF!</v>
      </c>
      <c r="W6404" t="e">
        <f>VLOOKUP(U6404,[1]!NOMINA[#Data],5,FALSE)</f>
        <v>#REF!</v>
      </c>
    </row>
    <row r="6405" spans="1:23" x14ac:dyDescent="0.25">
      <c r="A6405" s="21">
        <v>45867</v>
      </c>
      <c r="B6405" s="1">
        <v>615778734</v>
      </c>
      <c r="C6405" t="s">
        <v>11188</v>
      </c>
      <c r="D6405" s="43">
        <v>-1221.7</v>
      </c>
      <c r="E6405" t="s">
        <v>35</v>
      </c>
      <c r="F6405" s="2">
        <v>212901001</v>
      </c>
      <c r="G6405" s="2" t="s">
        <v>121</v>
      </c>
      <c r="L6405" s="2" t="s">
        <v>11189</v>
      </c>
      <c r="M6405" t="s">
        <v>67</v>
      </c>
      <c r="N6405" t="s">
        <v>68</v>
      </c>
      <c r="P6405" s="23">
        <v>122.84</v>
      </c>
      <c r="Q6405" s="4">
        <f t="shared" si="99"/>
        <v>-9.9454575056984691</v>
      </c>
      <c r="R6405" s="23" t="s">
        <v>109</v>
      </c>
      <c r="U6405">
        <v>14</v>
      </c>
      <c r="V6405" t="e">
        <f>VLOOKUP(Tabla3[[#This Row],[Nº]],[1]!NOMINA[#Data],4,FALSE)</f>
        <v>#REF!</v>
      </c>
      <c r="W6405" t="e">
        <f>VLOOKUP(U6405,[1]!NOMINA[#Data],5,FALSE)</f>
        <v>#REF!</v>
      </c>
    </row>
    <row r="6406" spans="1:23" x14ac:dyDescent="0.25">
      <c r="A6406" s="21">
        <v>45867</v>
      </c>
      <c r="B6406" s="1">
        <v>615778736</v>
      </c>
      <c r="C6406" t="s">
        <v>11190</v>
      </c>
      <c r="D6406" s="43">
        <v>-1221.7</v>
      </c>
      <c r="E6406" t="s">
        <v>35</v>
      </c>
      <c r="F6406" s="2">
        <v>212901001</v>
      </c>
      <c r="G6406" s="2" t="s">
        <v>121</v>
      </c>
      <c r="L6406" s="2" t="s">
        <v>11191</v>
      </c>
      <c r="M6406" t="s">
        <v>67</v>
      </c>
      <c r="N6406" t="s">
        <v>68</v>
      </c>
      <c r="P6406" s="23">
        <v>122.84</v>
      </c>
      <c r="Q6406" s="4">
        <f t="shared" si="99"/>
        <v>-9.9454575056984691</v>
      </c>
      <c r="R6406" s="23" t="s">
        <v>109</v>
      </c>
      <c r="U6406">
        <v>8</v>
      </c>
      <c r="V6406" t="e">
        <f>VLOOKUP(Tabla3[[#This Row],[Nº]],[1]!NOMINA[#Data],4,FALSE)</f>
        <v>#REF!</v>
      </c>
      <c r="W6406" t="e">
        <f>VLOOKUP(U6406,[1]!NOMINA[#Data],5,FALSE)</f>
        <v>#REF!</v>
      </c>
    </row>
    <row r="6407" spans="1:23" x14ac:dyDescent="0.25">
      <c r="A6407" s="21">
        <v>45867</v>
      </c>
      <c r="B6407" s="1">
        <v>715778739</v>
      </c>
      <c r="C6407" t="s">
        <v>11192</v>
      </c>
      <c r="D6407" s="43">
        <v>-1221.7</v>
      </c>
      <c r="E6407" t="s">
        <v>35</v>
      </c>
      <c r="F6407" s="2">
        <v>212901001</v>
      </c>
      <c r="G6407" s="2" t="s">
        <v>121</v>
      </c>
      <c r="L6407" s="2" t="s">
        <v>11193</v>
      </c>
      <c r="M6407" t="s">
        <v>67</v>
      </c>
      <c r="N6407" t="s">
        <v>68</v>
      </c>
      <c r="P6407" s="23">
        <v>122.84</v>
      </c>
      <c r="Q6407" s="4">
        <f t="shared" si="99"/>
        <v>-9.9454575056984691</v>
      </c>
      <c r="R6407" s="23" t="s">
        <v>109</v>
      </c>
      <c r="U6407">
        <v>13</v>
      </c>
      <c r="V6407" t="e">
        <f>VLOOKUP(Tabla3[[#This Row],[Nº]],[1]!NOMINA[#Data],4,FALSE)</f>
        <v>#REF!</v>
      </c>
      <c r="W6407" t="e">
        <f>VLOOKUP(U6407,[1]!NOMINA[#Data],5,FALSE)</f>
        <v>#REF!</v>
      </c>
    </row>
    <row r="6408" spans="1:23" x14ac:dyDescent="0.25">
      <c r="A6408" s="21">
        <v>45867</v>
      </c>
      <c r="B6408" s="1">
        <v>615778738</v>
      </c>
      <c r="C6408" t="s">
        <v>11194</v>
      </c>
      <c r="D6408" s="43">
        <v>-24434</v>
      </c>
      <c r="E6408" t="s">
        <v>35</v>
      </c>
      <c r="F6408" s="2">
        <v>212901001</v>
      </c>
      <c r="G6408" s="2" t="s">
        <v>121</v>
      </c>
      <c r="L6408" s="2" t="s">
        <v>11195</v>
      </c>
      <c r="M6408" t="s">
        <v>67</v>
      </c>
      <c r="N6408" t="s">
        <v>68</v>
      </c>
      <c r="P6408" s="23">
        <v>122.84</v>
      </c>
      <c r="Q6408" s="4">
        <f t="shared" si="99"/>
        <v>-198.90915011396939</v>
      </c>
      <c r="R6408" s="23" t="s">
        <v>109</v>
      </c>
      <c r="U6408">
        <v>1</v>
      </c>
      <c r="V6408" t="e">
        <f>VLOOKUP(U6408,[1]!NOMINA[#Data],4,FALSE)</f>
        <v>#REF!</v>
      </c>
      <c r="W6408" t="e">
        <f>VLOOKUP(U6408,[1]!NOMINA[#Data],5,FALSE)</f>
        <v>#REF!</v>
      </c>
    </row>
    <row r="6409" spans="1:23" x14ac:dyDescent="0.25">
      <c r="A6409" s="21">
        <v>45867</v>
      </c>
      <c r="B6409" s="1">
        <v>715778741</v>
      </c>
      <c r="C6409" t="s">
        <v>11196</v>
      </c>
      <c r="D6409" s="43">
        <v>-1221.7</v>
      </c>
      <c r="E6409" t="s">
        <v>35</v>
      </c>
      <c r="F6409" s="2">
        <v>212901001</v>
      </c>
      <c r="G6409" s="2" t="s">
        <v>121</v>
      </c>
      <c r="L6409" s="2" t="s">
        <v>11197</v>
      </c>
      <c r="M6409" t="s">
        <v>67</v>
      </c>
      <c r="N6409" t="s">
        <v>68</v>
      </c>
      <c r="P6409" s="23">
        <v>122.84</v>
      </c>
      <c r="Q6409" s="4">
        <f t="shared" si="99"/>
        <v>-9.9454575056984691</v>
      </c>
      <c r="R6409" s="23" t="s">
        <v>109</v>
      </c>
      <c r="U6409">
        <v>12</v>
      </c>
      <c r="V6409" t="e">
        <f>VLOOKUP(Tabla3[[#This Row],[Nº]],[1]!NOMINA[#Data],4,FALSE)</f>
        <v>#REF!</v>
      </c>
      <c r="W6409" t="e">
        <f>VLOOKUP(U6409,[1]!NOMINA[#Data],5,FALSE)</f>
        <v>#REF!</v>
      </c>
    </row>
    <row r="6410" spans="1:23" x14ac:dyDescent="0.25">
      <c r="A6410" s="21">
        <v>45867</v>
      </c>
      <c r="B6410" s="1">
        <v>615778737</v>
      </c>
      <c r="C6410" t="s">
        <v>11198</v>
      </c>
      <c r="D6410" s="43">
        <v>-1221.7</v>
      </c>
      <c r="E6410" t="s">
        <v>35</v>
      </c>
      <c r="F6410" s="2">
        <v>212901001</v>
      </c>
      <c r="G6410" s="2" t="s">
        <v>121</v>
      </c>
      <c r="L6410" s="2" t="s">
        <v>11199</v>
      </c>
      <c r="M6410" t="s">
        <v>67</v>
      </c>
      <c r="N6410" t="s">
        <v>68</v>
      </c>
      <c r="P6410" s="23">
        <v>122.84</v>
      </c>
      <c r="Q6410" s="4">
        <f t="shared" si="99"/>
        <v>-9.9454575056984691</v>
      </c>
      <c r="R6410" s="23" t="s">
        <v>109</v>
      </c>
      <c r="U6410">
        <v>16</v>
      </c>
      <c r="V6410" t="e">
        <f>VLOOKUP(Tabla3[[#This Row],[Nº]],[1]!NOMINA[#Data],4,FALSE)</f>
        <v>#REF!</v>
      </c>
      <c r="W6410" t="e">
        <f>VLOOKUP(Tabla3[[#This Row],[Nº]],[1]!NOMINA[#Data],5,FALSE)</f>
        <v>#REF!</v>
      </c>
    </row>
    <row r="6411" spans="1:23" x14ac:dyDescent="0.25">
      <c r="A6411" s="21">
        <v>45867</v>
      </c>
      <c r="B6411" s="1">
        <v>715778740</v>
      </c>
      <c r="C6411" t="s">
        <v>11200</v>
      </c>
      <c r="D6411" s="43">
        <v>-1221.7</v>
      </c>
      <c r="E6411" t="s">
        <v>35</v>
      </c>
      <c r="F6411" s="2">
        <v>212901001</v>
      </c>
      <c r="G6411" s="2" t="s">
        <v>121</v>
      </c>
      <c r="L6411" s="2" t="s">
        <v>11201</v>
      </c>
      <c r="M6411" t="s">
        <v>67</v>
      </c>
      <c r="N6411" t="s">
        <v>68</v>
      </c>
      <c r="P6411" s="23">
        <v>122.84</v>
      </c>
      <c r="Q6411" s="4">
        <f t="shared" ref="Q6411:Q6474" si="100">D6411/P6411</f>
        <v>-9.9454575056984691</v>
      </c>
      <c r="R6411" s="23" t="s">
        <v>109</v>
      </c>
      <c r="U6411">
        <v>6</v>
      </c>
      <c r="V6411" t="e">
        <f>VLOOKUP(Tabla3[[#This Row],[Nº]],[1]!NOMINA[#Data],4,FALSE)</f>
        <v>#REF!</v>
      </c>
      <c r="W6411" t="e">
        <f>VLOOKUP(U6411,[1]!NOMINA[#Data],5,FALSE)</f>
        <v>#REF!</v>
      </c>
    </row>
    <row r="6412" spans="1:23" x14ac:dyDescent="0.25">
      <c r="A6412" s="21">
        <v>45867</v>
      </c>
      <c r="B6412" s="1">
        <v>715778742</v>
      </c>
      <c r="C6412" t="s">
        <v>11202</v>
      </c>
      <c r="D6412" s="43">
        <v>-7330.2</v>
      </c>
      <c r="E6412" t="s">
        <v>35</v>
      </c>
      <c r="F6412" s="2">
        <v>212901001</v>
      </c>
      <c r="G6412" s="2" t="s">
        <v>121</v>
      </c>
      <c r="L6412" s="2" t="s">
        <v>11203</v>
      </c>
      <c r="M6412" t="s">
        <v>67</v>
      </c>
      <c r="N6412" t="s">
        <v>68</v>
      </c>
      <c r="P6412" s="23">
        <v>122.84</v>
      </c>
      <c r="Q6412" s="4">
        <f t="shared" si="100"/>
        <v>-59.672745034190811</v>
      </c>
      <c r="R6412" s="23" t="s">
        <v>109</v>
      </c>
      <c r="U6412">
        <v>3</v>
      </c>
      <c r="V6412" t="e">
        <f>VLOOKUP(Tabla3[[#This Row],[Nº]],[1]!NOMINA[#Data],4,FALSE)</f>
        <v>#REF!</v>
      </c>
      <c r="W6412" t="e">
        <f>VLOOKUP(U6412,[1]!NOMINA[#Data],5,FALSE)</f>
        <v>#REF!</v>
      </c>
    </row>
    <row r="6413" spans="1:23" x14ac:dyDescent="0.25">
      <c r="A6413" s="21">
        <v>45867</v>
      </c>
      <c r="B6413" s="1">
        <v>715778743</v>
      </c>
      <c r="C6413" t="s">
        <v>11204</v>
      </c>
      <c r="D6413" s="43">
        <v>-1221.7</v>
      </c>
      <c r="E6413" t="s">
        <v>35</v>
      </c>
      <c r="F6413" s="2">
        <v>212901001</v>
      </c>
      <c r="G6413" s="2" t="s">
        <v>121</v>
      </c>
      <c r="L6413" s="2" t="s">
        <v>11205</v>
      </c>
      <c r="M6413" t="s">
        <v>67</v>
      </c>
      <c r="N6413" t="s">
        <v>68</v>
      </c>
      <c r="P6413" s="23">
        <v>122.84</v>
      </c>
      <c r="Q6413" s="4">
        <f t="shared" si="100"/>
        <v>-9.9454575056984691</v>
      </c>
      <c r="R6413" s="23" t="s">
        <v>109</v>
      </c>
      <c r="U6413">
        <v>7</v>
      </c>
      <c r="V6413" t="e">
        <f>VLOOKUP(Tabla3[[#This Row],[Nº]],[1]!NOMINA[#Data],4,FALSE)</f>
        <v>#REF!</v>
      </c>
      <c r="W6413" t="e">
        <f>VLOOKUP(U6413,[1]!NOMINA[#Data],5,FALSE)</f>
        <v>#REF!</v>
      </c>
    </row>
    <row r="6414" spans="1:23" x14ac:dyDescent="0.25">
      <c r="A6414" s="21">
        <v>45867</v>
      </c>
      <c r="B6414" s="1">
        <v>715778745</v>
      </c>
      <c r="C6414" t="s">
        <v>11206</v>
      </c>
      <c r="D6414" s="43">
        <v>-1221.7</v>
      </c>
      <c r="E6414" t="s">
        <v>35</v>
      </c>
      <c r="F6414" s="2">
        <v>212901001</v>
      </c>
      <c r="G6414" s="2" t="s">
        <v>121</v>
      </c>
      <c r="L6414" s="2" t="s">
        <v>11207</v>
      </c>
      <c r="M6414" t="s">
        <v>67</v>
      </c>
      <c r="N6414" t="s">
        <v>68</v>
      </c>
      <c r="P6414" s="23">
        <v>122.84</v>
      </c>
      <c r="Q6414" s="4">
        <f t="shared" si="100"/>
        <v>-9.9454575056984691</v>
      </c>
      <c r="R6414" s="23" t="s">
        <v>109</v>
      </c>
      <c r="U6414">
        <v>11</v>
      </c>
      <c r="V6414" t="e">
        <f>VLOOKUP(Tabla3[[#This Row],[Nº]],[1]!NOMINA[#Data],4,FALSE)</f>
        <v>#REF!</v>
      </c>
      <c r="W6414" t="e">
        <f>VLOOKUP(U6414,[1]!NOMINA[#Data],5,FALSE)</f>
        <v>#REF!</v>
      </c>
    </row>
    <row r="6415" spans="1:23" x14ac:dyDescent="0.25">
      <c r="A6415" s="21">
        <v>45867</v>
      </c>
      <c r="B6415" s="1">
        <v>715778744</v>
      </c>
      <c r="C6415" t="s">
        <v>11208</v>
      </c>
      <c r="D6415" s="43">
        <v>-1221.7</v>
      </c>
      <c r="E6415" t="s">
        <v>35</v>
      </c>
      <c r="F6415" s="2">
        <v>212901001</v>
      </c>
      <c r="G6415" s="2" t="s">
        <v>121</v>
      </c>
      <c r="L6415" s="2" t="s">
        <v>11209</v>
      </c>
      <c r="M6415" t="s">
        <v>67</v>
      </c>
      <c r="N6415" t="s">
        <v>68</v>
      </c>
      <c r="P6415" s="23">
        <v>122.84</v>
      </c>
      <c r="Q6415" s="4">
        <f t="shared" si="100"/>
        <v>-9.9454575056984691</v>
      </c>
      <c r="R6415" s="23" t="s">
        <v>109</v>
      </c>
      <c r="U6415">
        <v>29</v>
      </c>
      <c r="V6415" t="e">
        <f>VLOOKUP(U6415,[1]!NOMINA[#Data],4,FALSE)</f>
        <v>#REF!</v>
      </c>
      <c r="W6415" t="e">
        <f>VLOOKUP(U6415,[1]!NOMINA[#Data],5,FALSE)</f>
        <v>#REF!</v>
      </c>
    </row>
    <row r="6416" spans="1:23" x14ac:dyDescent="0.25">
      <c r="A6416" s="21">
        <v>45867</v>
      </c>
      <c r="B6416" s="1">
        <v>715778747</v>
      </c>
      <c r="C6416" t="s">
        <v>11210</v>
      </c>
      <c r="D6416" s="43">
        <v>-1221.7</v>
      </c>
      <c r="E6416" t="s">
        <v>35</v>
      </c>
      <c r="F6416" s="2">
        <v>212901001</v>
      </c>
      <c r="G6416" s="2" t="s">
        <v>121</v>
      </c>
      <c r="L6416" s="2" t="s">
        <v>11211</v>
      </c>
      <c r="M6416" t="s">
        <v>67</v>
      </c>
      <c r="N6416" t="s">
        <v>68</v>
      </c>
      <c r="P6416" s="23">
        <v>122.84</v>
      </c>
      <c r="Q6416" s="4">
        <f t="shared" si="100"/>
        <v>-9.9454575056984691</v>
      </c>
      <c r="R6416" s="23" t="s">
        <v>109</v>
      </c>
      <c r="U6416">
        <v>10</v>
      </c>
      <c r="V6416" t="e">
        <f>VLOOKUP(Tabla3[[#This Row],[Nº]],[1]!NOMINA[#Data],4,FALSE)</f>
        <v>#REF!</v>
      </c>
      <c r="W6416" t="e">
        <f>VLOOKUP(U6416,[1]!NOMINA[#Data],5,FALSE)</f>
        <v>#REF!</v>
      </c>
    </row>
    <row r="6417" spans="1:23" x14ac:dyDescent="0.25">
      <c r="A6417" s="21">
        <v>45867</v>
      </c>
      <c r="B6417" s="1">
        <v>715778746</v>
      </c>
      <c r="C6417" t="s">
        <v>11212</v>
      </c>
      <c r="D6417" s="43">
        <v>-1221.7</v>
      </c>
      <c r="E6417" t="s">
        <v>35</v>
      </c>
      <c r="F6417" s="2">
        <v>212901001</v>
      </c>
      <c r="G6417" s="2" t="s">
        <v>121</v>
      </c>
      <c r="L6417" s="2" t="s">
        <v>11213</v>
      </c>
      <c r="M6417" t="s">
        <v>67</v>
      </c>
      <c r="N6417" t="s">
        <v>68</v>
      </c>
      <c r="P6417" s="23">
        <v>122.84</v>
      </c>
      <c r="Q6417" s="4">
        <f t="shared" si="100"/>
        <v>-9.9454575056984691</v>
      </c>
      <c r="R6417" s="23" t="s">
        <v>109</v>
      </c>
      <c r="U6417">
        <v>9</v>
      </c>
      <c r="V6417" t="e">
        <f>VLOOKUP(Tabla3[[#This Row],[Nº]],[1]!NOMINA[#Data],4,FALSE)</f>
        <v>#REF!</v>
      </c>
      <c r="W6417" t="e">
        <f>VLOOKUP(U6417,[1]!NOMINA[#Data],5,FALSE)</f>
        <v>#REF!</v>
      </c>
    </row>
    <row r="6418" spans="1:23" x14ac:dyDescent="0.25">
      <c r="A6418" s="21">
        <v>45867</v>
      </c>
      <c r="B6418" s="1">
        <v>815778749</v>
      </c>
      <c r="C6418" t="s">
        <v>11214</v>
      </c>
      <c r="D6418" s="43">
        <v>-61020.25</v>
      </c>
      <c r="E6418" t="s">
        <v>35</v>
      </c>
      <c r="F6418" s="2">
        <v>212901001</v>
      </c>
      <c r="G6418" s="2" t="s">
        <v>121</v>
      </c>
      <c r="L6418" s="2" t="s">
        <v>11215</v>
      </c>
      <c r="M6418" t="s">
        <v>67</v>
      </c>
      <c r="N6418" t="s">
        <v>68</v>
      </c>
      <c r="P6418" s="23">
        <v>122.84</v>
      </c>
      <c r="Q6418" s="4">
        <f t="shared" si="100"/>
        <v>-496.74576685118853</v>
      </c>
      <c r="R6418" s="23" t="s">
        <v>109</v>
      </c>
      <c r="U6418">
        <v>2</v>
      </c>
      <c r="V6418" t="e">
        <f>VLOOKUP(Tabla3[[#This Row],[Nº]],[1]!NOMINA[#Data],4,FALSE)</f>
        <v>#REF!</v>
      </c>
      <c r="W6418" t="e">
        <f>VLOOKUP(Tabla3[[#This Row],[Nº]],[1]!NOMINA[#Data],5,FALSE)</f>
        <v>#REF!</v>
      </c>
    </row>
    <row r="6419" spans="1:23" x14ac:dyDescent="0.25">
      <c r="A6419" s="21">
        <v>45867</v>
      </c>
      <c r="B6419" s="1">
        <v>815778748</v>
      </c>
      <c r="C6419" t="s">
        <v>11216</v>
      </c>
      <c r="D6419" s="43">
        <v>-1221.7</v>
      </c>
      <c r="E6419" t="s">
        <v>35</v>
      </c>
      <c r="F6419" s="2">
        <v>212901001</v>
      </c>
      <c r="G6419" s="2" t="s">
        <v>121</v>
      </c>
      <c r="L6419" s="2" t="s">
        <v>11217</v>
      </c>
      <c r="M6419" t="s">
        <v>67</v>
      </c>
      <c r="N6419" t="s">
        <v>68</v>
      </c>
      <c r="P6419" s="23">
        <v>122.84</v>
      </c>
      <c r="Q6419" s="4">
        <f t="shared" si="100"/>
        <v>-9.9454575056984691</v>
      </c>
      <c r="R6419" s="23" t="s">
        <v>109</v>
      </c>
      <c r="U6419">
        <v>18</v>
      </c>
      <c r="V6419" t="e">
        <f>VLOOKUP(Tabla3[[#This Row],[Nº]],[1]!NOMINA[#Data],4,FALSE)</f>
        <v>#REF!</v>
      </c>
      <c r="W6419" t="e">
        <f>VLOOKUP(Tabla3[[#This Row],[Nº]],[1]!NOMINA[#Data],5,FALSE)</f>
        <v>#REF!</v>
      </c>
    </row>
    <row r="6420" spans="1:23" x14ac:dyDescent="0.25">
      <c r="A6420" s="21">
        <v>45867</v>
      </c>
      <c r="B6420" s="1">
        <v>815778751</v>
      </c>
      <c r="C6420" t="s">
        <v>11218</v>
      </c>
      <c r="D6420" s="43">
        <v>-4840.38</v>
      </c>
      <c r="E6420" t="s">
        <v>35</v>
      </c>
      <c r="F6420" s="2">
        <v>212901001</v>
      </c>
      <c r="G6420" s="2" t="s">
        <v>121</v>
      </c>
      <c r="L6420" s="2" t="s">
        <v>11219</v>
      </c>
      <c r="M6420" t="s">
        <v>67</v>
      </c>
      <c r="N6420" t="s">
        <v>68</v>
      </c>
      <c r="P6420" s="23">
        <v>122.84</v>
      </c>
      <c r="Q6420" s="4">
        <f t="shared" si="100"/>
        <v>-39.403940084662977</v>
      </c>
      <c r="R6420" s="23" t="s">
        <v>109</v>
      </c>
      <c r="U6420">
        <v>28</v>
      </c>
      <c r="V6420" t="e">
        <f>VLOOKUP(Tabla3[[#This Row],[Nº]],[1]!NOMINA[#Data],4,FALSE)</f>
        <v>#REF!</v>
      </c>
      <c r="W6420" t="e">
        <f>VLOOKUP(U6420,[1]!NOMINA[#Data],5,FALSE)</f>
        <v>#REF!</v>
      </c>
    </row>
    <row r="6421" spans="1:23" x14ac:dyDescent="0.25">
      <c r="A6421" s="21">
        <v>45867</v>
      </c>
      <c r="B6421" s="1">
        <v>815778750</v>
      </c>
      <c r="C6421" t="s">
        <v>11220</v>
      </c>
      <c r="D6421" s="43">
        <v>-9708.85</v>
      </c>
      <c r="E6421" t="s">
        <v>35</v>
      </c>
      <c r="F6421" s="2">
        <v>212901001</v>
      </c>
      <c r="G6421" s="2" t="s">
        <v>121</v>
      </c>
      <c r="L6421" s="2" t="s">
        <v>11221</v>
      </c>
      <c r="M6421" t="s">
        <v>67</v>
      </c>
      <c r="N6421" t="s">
        <v>68</v>
      </c>
      <c r="P6421" s="23">
        <v>122.84</v>
      </c>
      <c r="Q6421" s="4">
        <f t="shared" si="100"/>
        <v>-79.036551611852815</v>
      </c>
      <c r="R6421" s="23" t="s">
        <v>109</v>
      </c>
      <c r="U6421">
        <v>31</v>
      </c>
      <c r="V6421" t="e">
        <f>VLOOKUP(Tabla3[[#This Row],[Nº]],[1]!NOMINA[#Data],4,FALSE)</f>
        <v>#REF!</v>
      </c>
      <c r="W6421" t="e">
        <f>VLOOKUP(U6421,[1]!NOMINA[#Data],5,FALSE)</f>
        <v>#REF!</v>
      </c>
    </row>
    <row r="6422" spans="1:23" x14ac:dyDescent="0.25">
      <c r="A6422" s="21">
        <v>45867</v>
      </c>
      <c r="B6422" s="1">
        <v>815778752</v>
      </c>
      <c r="C6422" t="s">
        <v>11222</v>
      </c>
      <c r="D6422" s="43">
        <v>-6063.3</v>
      </c>
      <c r="E6422" t="s">
        <v>35</v>
      </c>
      <c r="F6422" s="2">
        <v>212901001</v>
      </c>
      <c r="G6422" s="2" t="s">
        <v>121</v>
      </c>
      <c r="L6422" s="2" t="s">
        <v>11223</v>
      </c>
      <c r="M6422" t="s">
        <v>67</v>
      </c>
      <c r="N6422" t="s">
        <v>68</v>
      </c>
      <c r="P6422" s="23">
        <v>122.84</v>
      </c>
      <c r="Q6422" s="4">
        <f t="shared" si="100"/>
        <v>-49.359329208726798</v>
      </c>
      <c r="R6422" s="23" t="s">
        <v>109</v>
      </c>
      <c r="U6422">
        <v>22</v>
      </c>
      <c r="V6422" t="e">
        <f>VLOOKUP(Tabla3[[#This Row],[Nº]],[1]!NOMINA[#Data],4,FALSE)</f>
        <v>#REF!</v>
      </c>
      <c r="W6422" t="e">
        <f>VLOOKUP(U6422,[1]!NOMINA[#Data],5,FALSE)</f>
        <v>#REF!</v>
      </c>
    </row>
    <row r="6423" spans="1:23" x14ac:dyDescent="0.25">
      <c r="A6423" s="21">
        <v>45867</v>
      </c>
      <c r="B6423" s="1">
        <v>815778753</v>
      </c>
      <c r="C6423" t="s">
        <v>11224</v>
      </c>
      <c r="D6423" s="43">
        <v>-4227.08</v>
      </c>
      <c r="E6423" t="s">
        <v>35</v>
      </c>
      <c r="F6423" s="2">
        <v>212901001</v>
      </c>
      <c r="G6423" s="2" t="s">
        <v>121</v>
      </c>
      <c r="L6423" s="2" t="s">
        <v>11225</v>
      </c>
      <c r="M6423" t="s">
        <v>67</v>
      </c>
      <c r="N6423" t="s">
        <v>68</v>
      </c>
      <c r="P6423" s="23">
        <v>122.84</v>
      </c>
      <c r="Q6423" s="4">
        <f t="shared" si="100"/>
        <v>-34.411266688375122</v>
      </c>
      <c r="R6423" s="23" t="s">
        <v>109</v>
      </c>
      <c r="U6423">
        <v>23</v>
      </c>
      <c r="V6423" t="e">
        <f>VLOOKUP(Tabla3[[#This Row],[Nº]],[1]!NOMINA[#Data],4,FALSE)</f>
        <v>#REF!</v>
      </c>
      <c r="W6423" t="e">
        <f>VLOOKUP(U6423,[1]!NOMINA[#Data],5,FALSE)</f>
        <v>#REF!</v>
      </c>
    </row>
    <row r="6424" spans="1:23" x14ac:dyDescent="0.25">
      <c r="A6424" s="21">
        <v>45867</v>
      </c>
      <c r="B6424" s="1">
        <v>815778754</v>
      </c>
      <c r="C6424" t="s">
        <v>11226</v>
      </c>
      <c r="D6424" s="43">
        <v>-6077.96</v>
      </c>
      <c r="E6424" t="s">
        <v>35</v>
      </c>
      <c r="F6424" s="2">
        <v>212901001</v>
      </c>
      <c r="G6424" s="2" t="s">
        <v>121</v>
      </c>
      <c r="L6424" s="2" t="s">
        <v>11227</v>
      </c>
      <c r="M6424" t="s">
        <v>67</v>
      </c>
      <c r="N6424" t="s">
        <v>68</v>
      </c>
      <c r="P6424" s="23">
        <v>122.84</v>
      </c>
      <c r="Q6424" s="4">
        <f t="shared" si="100"/>
        <v>-49.47867144252686</v>
      </c>
      <c r="R6424" s="23" t="s">
        <v>109</v>
      </c>
      <c r="U6424">
        <v>19</v>
      </c>
      <c r="V6424" t="e">
        <f>VLOOKUP(Tabla3[[#This Row],[Nº]],[1]!NOMINA[#Data],4,FALSE)</f>
        <v>#REF!</v>
      </c>
      <c r="W6424" t="e">
        <f>VLOOKUP(U6424,[1]!NOMINA[#Data],5,FALSE)</f>
        <v>#REF!</v>
      </c>
    </row>
    <row r="6425" spans="1:23" x14ac:dyDescent="0.25">
      <c r="A6425" s="21">
        <v>45867</v>
      </c>
      <c r="B6425" s="1">
        <v>815778755</v>
      </c>
      <c r="C6425" t="s">
        <v>11228</v>
      </c>
      <c r="D6425" s="43">
        <v>-9148.09</v>
      </c>
      <c r="E6425" t="s">
        <v>35</v>
      </c>
      <c r="F6425" s="2">
        <v>212901001</v>
      </c>
      <c r="G6425" s="2" t="s">
        <v>121</v>
      </c>
      <c r="L6425" s="2" t="s">
        <v>11229</v>
      </c>
      <c r="M6425" t="s">
        <v>67</v>
      </c>
      <c r="N6425" t="s">
        <v>68</v>
      </c>
      <c r="P6425" s="23">
        <v>122.84</v>
      </c>
      <c r="Q6425" s="4">
        <f t="shared" si="100"/>
        <v>-74.471589058938449</v>
      </c>
      <c r="R6425" s="23" t="s">
        <v>109</v>
      </c>
      <c r="U6425">
        <v>17</v>
      </c>
      <c r="V6425" t="e">
        <f>VLOOKUP(Tabla3[[#This Row],[Nº]],[1]!NOMINA[#Data],4,FALSE)</f>
        <v>#REF!</v>
      </c>
      <c r="W6425" t="e">
        <f>VLOOKUP(U6425,[1]!NOMINA[#Data],5,FALSE)</f>
        <v>#REF!</v>
      </c>
    </row>
    <row r="6426" spans="1:23" x14ac:dyDescent="0.25">
      <c r="A6426" s="21">
        <v>45867</v>
      </c>
      <c r="B6426" s="1">
        <v>915778756</v>
      </c>
      <c r="C6426" t="s">
        <v>11230</v>
      </c>
      <c r="D6426" s="43">
        <v>-9148.09</v>
      </c>
      <c r="E6426" t="s">
        <v>35</v>
      </c>
      <c r="F6426" s="2">
        <v>212901001</v>
      </c>
      <c r="G6426" s="2" t="s">
        <v>121</v>
      </c>
      <c r="L6426" s="2" t="s">
        <v>11231</v>
      </c>
      <c r="M6426" t="s">
        <v>67</v>
      </c>
      <c r="N6426" t="s">
        <v>68</v>
      </c>
      <c r="P6426" s="23">
        <v>122.84</v>
      </c>
      <c r="Q6426" s="4">
        <f t="shared" si="100"/>
        <v>-74.471589058938449</v>
      </c>
      <c r="R6426" s="23" t="s">
        <v>109</v>
      </c>
      <c r="U6426">
        <v>15</v>
      </c>
      <c r="V6426" t="e">
        <f>VLOOKUP(Tabla3[[#This Row],[Nº]],[1]!NOMINA[#Data],4,FALSE)</f>
        <v>#REF!</v>
      </c>
      <c r="W6426" t="e">
        <f>VLOOKUP(U6426,[1]!NOMINA[#Data],5,FALSE)</f>
        <v>#REF!</v>
      </c>
    </row>
    <row r="6427" spans="1:23" x14ac:dyDescent="0.25">
      <c r="A6427" s="21">
        <v>45867</v>
      </c>
      <c r="B6427" s="1">
        <v>915778757</v>
      </c>
      <c r="C6427" t="s">
        <v>11232</v>
      </c>
      <c r="D6427" s="43">
        <v>-8994.16</v>
      </c>
      <c r="E6427" t="s">
        <v>35</v>
      </c>
      <c r="F6427" s="2">
        <v>212901001</v>
      </c>
      <c r="G6427" s="2" t="s">
        <v>121</v>
      </c>
      <c r="L6427" s="2" t="s">
        <v>11233</v>
      </c>
      <c r="M6427" t="s">
        <v>67</v>
      </c>
      <c r="N6427" t="s">
        <v>68</v>
      </c>
      <c r="P6427" s="23">
        <v>122.84</v>
      </c>
      <c r="Q6427" s="4">
        <f t="shared" si="100"/>
        <v>-73.21849560403777</v>
      </c>
      <c r="R6427" s="23" t="s">
        <v>109</v>
      </c>
      <c r="U6427">
        <v>14</v>
      </c>
      <c r="V6427" t="e">
        <f>VLOOKUP(Tabla3[[#This Row],[Nº]],[1]!NOMINA[#Data],4,FALSE)</f>
        <v>#REF!</v>
      </c>
      <c r="W6427" t="e">
        <f>VLOOKUP(U6427,[1]!NOMINA[#Data],5,FALSE)</f>
        <v>#REF!</v>
      </c>
    </row>
    <row r="6428" spans="1:23" x14ac:dyDescent="0.25">
      <c r="A6428" s="21">
        <v>45867</v>
      </c>
      <c r="B6428" s="1">
        <v>915778758</v>
      </c>
      <c r="C6428" t="s">
        <v>11234</v>
      </c>
      <c r="D6428" s="43">
        <v>-4228.3</v>
      </c>
      <c r="E6428" t="s">
        <v>35</v>
      </c>
      <c r="F6428" s="2">
        <v>212901001</v>
      </c>
      <c r="G6428" s="2" t="s">
        <v>121</v>
      </c>
      <c r="L6428" s="2" t="s">
        <v>11235</v>
      </c>
      <c r="M6428" t="s">
        <v>67</v>
      </c>
      <c r="N6428" t="s">
        <v>68</v>
      </c>
      <c r="P6428" s="23">
        <v>122.84</v>
      </c>
      <c r="Q6428" s="4">
        <f t="shared" si="100"/>
        <v>-34.421198306740479</v>
      </c>
      <c r="R6428" s="23" t="s">
        <v>109</v>
      </c>
      <c r="U6428">
        <v>26</v>
      </c>
      <c r="V6428" t="e">
        <f>VLOOKUP(Tabla3[[#This Row],[Nº]],[1]!NOMINA[#Data],4,FALSE)</f>
        <v>#REF!</v>
      </c>
      <c r="W6428" t="e">
        <f>VLOOKUP(Tabla3[[#This Row],[Nº]],[1]!NOMINA[#Data],5,FALSE)</f>
        <v>#REF!</v>
      </c>
    </row>
    <row r="6429" spans="1:23" x14ac:dyDescent="0.25">
      <c r="A6429" s="21">
        <v>45867</v>
      </c>
      <c r="B6429" s="1">
        <v>915778759</v>
      </c>
      <c r="C6429" t="s">
        <v>11236</v>
      </c>
      <c r="D6429" s="43">
        <v>-9130.99</v>
      </c>
      <c r="E6429" t="s">
        <v>35</v>
      </c>
      <c r="F6429" s="2">
        <v>212901001</v>
      </c>
      <c r="G6429" s="2" t="s">
        <v>121</v>
      </c>
      <c r="L6429" s="2" t="s">
        <v>11237</v>
      </c>
      <c r="M6429" t="s">
        <v>67</v>
      </c>
      <c r="N6429" t="s">
        <v>68</v>
      </c>
      <c r="P6429" s="23">
        <v>122.84</v>
      </c>
      <c r="Q6429" s="4">
        <f t="shared" si="100"/>
        <v>-74.33238358840768</v>
      </c>
      <c r="R6429" s="23" t="s">
        <v>109</v>
      </c>
      <c r="U6429">
        <v>8</v>
      </c>
      <c r="V6429" t="e">
        <f>VLOOKUP(Tabla3[[#This Row],[Nº]],[1]!NOMINA[#Data],4,FALSE)</f>
        <v>#REF!</v>
      </c>
      <c r="W6429" t="e">
        <f>VLOOKUP(U6429,[1]!NOMINA[#Data],5,FALSE)</f>
        <v>#REF!</v>
      </c>
    </row>
    <row r="6430" spans="1:23" x14ac:dyDescent="0.25">
      <c r="A6430" s="21">
        <v>45867</v>
      </c>
      <c r="B6430" s="1">
        <v>915778760</v>
      </c>
      <c r="C6430" t="s">
        <v>11238</v>
      </c>
      <c r="D6430" s="43">
        <v>-9098</v>
      </c>
      <c r="E6430" t="s">
        <v>35</v>
      </c>
      <c r="F6430" s="2">
        <v>212901001</v>
      </c>
      <c r="G6430" s="2" t="s">
        <v>121</v>
      </c>
      <c r="L6430" s="2" t="s">
        <v>11239</v>
      </c>
      <c r="M6430" t="s">
        <v>67</v>
      </c>
      <c r="N6430" t="s">
        <v>68</v>
      </c>
      <c r="P6430" s="23">
        <v>122.84</v>
      </c>
      <c r="Q6430" s="4">
        <f t="shared" si="100"/>
        <v>-74.063822859003579</v>
      </c>
      <c r="R6430" s="23" t="s">
        <v>109</v>
      </c>
      <c r="U6430">
        <v>13</v>
      </c>
      <c r="V6430" t="e">
        <f>VLOOKUP(Tabla3[[#This Row],[Nº]],[1]!NOMINA[#Data],4,FALSE)</f>
        <v>#REF!</v>
      </c>
      <c r="W6430" t="e">
        <f>VLOOKUP(U6430,[1]!NOMINA[#Data],5,FALSE)</f>
        <v>#REF!</v>
      </c>
    </row>
    <row r="6431" spans="1:23" x14ac:dyDescent="0.25">
      <c r="A6431" s="21">
        <v>45867</v>
      </c>
      <c r="B6431" s="1">
        <v>915778761</v>
      </c>
      <c r="C6431" t="s">
        <v>11240</v>
      </c>
      <c r="D6431" s="43">
        <v>-48803.25</v>
      </c>
      <c r="E6431" t="s">
        <v>35</v>
      </c>
      <c r="F6431" s="2">
        <v>212901001</v>
      </c>
      <c r="G6431" s="2" t="s">
        <v>121</v>
      </c>
      <c r="L6431" s="2" t="s">
        <v>11241</v>
      </c>
      <c r="M6431" t="s">
        <v>67</v>
      </c>
      <c r="N6431" t="s">
        <v>68</v>
      </c>
      <c r="P6431" s="23">
        <v>122.84</v>
      </c>
      <c r="Q6431" s="4">
        <f t="shared" si="100"/>
        <v>-397.29119179420383</v>
      </c>
      <c r="R6431" s="23" t="s">
        <v>109</v>
      </c>
      <c r="U6431">
        <v>1</v>
      </c>
      <c r="V6431" t="e">
        <f>VLOOKUP(U6431,[1]!NOMINA[#Data],4,FALSE)</f>
        <v>#REF!</v>
      </c>
      <c r="W6431" t="e">
        <f>VLOOKUP(U6431,[1]!NOMINA[#Data],5,FALSE)</f>
        <v>#REF!</v>
      </c>
    </row>
    <row r="6432" spans="1:23" x14ac:dyDescent="0.25">
      <c r="A6432" s="21">
        <v>45867</v>
      </c>
      <c r="B6432" s="1">
        <v>915778762</v>
      </c>
      <c r="C6432" t="s">
        <v>11242</v>
      </c>
      <c r="D6432" s="43">
        <v>-8804.7900000000009</v>
      </c>
      <c r="E6432" t="s">
        <v>35</v>
      </c>
      <c r="F6432" s="2">
        <v>212901001</v>
      </c>
      <c r="G6432" s="2" t="s">
        <v>121</v>
      </c>
      <c r="L6432" s="2" t="s">
        <v>11243</v>
      </c>
      <c r="M6432" t="s">
        <v>67</v>
      </c>
      <c r="N6432" t="s">
        <v>68</v>
      </c>
      <c r="P6432" s="23">
        <v>122.84</v>
      </c>
      <c r="Q6432" s="4">
        <f t="shared" si="100"/>
        <v>-71.67689677629437</v>
      </c>
      <c r="R6432" s="23" t="s">
        <v>109</v>
      </c>
      <c r="U6432">
        <v>20</v>
      </c>
      <c r="V6432" t="e">
        <f>VLOOKUP(Tabla3[[#This Row],[Nº]],[1]!NOMINA[#Data],4,FALSE)</f>
        <v>#REF!</v>
      </c>
      <c r="W6432" t="e">
        <f>VLOOKUP(U6432,[1]!NOMINA[#Data],5,FALSE)</f>
        <v>#REF!</v>
      </c>
    </row>
    <row r="6433" spans="1:23" x14ac:dyDescent="0.25">
      <c r="A6433" s="21">
        <v>45867</v>
      </c>
      <c r="B6433" s="1">
        <v>915778764</v>
      </c>
      <c r="C6433" t="s">
        <v>11244</v>
      </c>
      <c r="D6433" s="43">
        <v>-13373.95</v>
      </c>
      <c r="E6433" t="s">
        <v>35</v>
      </c>
      <c r="F6433" s="2">
        <v>212901001</v>
      </c>
      <c r="G6433" s="2" t="s">
        <v>121</v>
      </c>
      <c r="L6433" s="2" t="s">
        <v>11245</v>
      </c>
      <c r="M6433" t="s">
        <v>67</v>
      </c>
      <c r="N6433" t="s">
        <v>68</v>
      </c>
      <c r="P6433" s="23">
        <v>122.84</v>
      </c>
      <c r="Q6433" s="4">
        <f t="shared" si="100"/>
        <v>-108.87292412894823</v>
      </c>
      <c r="R6433" s="23" t="s">
        <v>109</v>
      </c>
      <c r="U6433">
        <v>4</v>
      </c>
      <c r="V6433" t="e">
        <f>VLOOKUP(Tabla3[[#This Row],[Nº]],[1]!NOMINA[#Data],4,FALSE)</f>
        <v>#REF!</v>
      </c>
      <c r="W6433" t="e">
        <f>VLOOKUP(U6433,[1]!NOMINA[#Data],5,FALSE)</f>
        <v>#REF!</v>
      </c>
    </row>
    <row r="6434" spans="1:23" x14ac:dyDescent="0.25">
      <c r="A6434" s="21">
        <v>45867</v>
      </c>
      <c r="B6434" s="1">
        <v>915778763</v>
      </c>
      <c r="C6434" t="s">
        <v>11246</v>
      </c>
      <c r="D6434" s="43">
        <v>-9098</v>
      </c>
      <c r="E6434" t="s">
        <v>35</v>
      </c>
      <c r="F6434" s="2">
        <v>212901001</v>
      </c>
      <c r="G6434" s="2" t="s">
        <v>121</v>
      </c>
      <c r="L6434" s="2" t="s">
        <v>11247</v>
      </c>
      <c r="M6434" t="s">
        <v>67</v>
      </c>
      <c r="N6434" t="s">
        <v>68</v>
      </c>
      <c r="P6434" s="23">
        <v>122.84</v>
      </c>
      <c r="Q6434" s="4">
        <f t="shared" si="100"/>
        <v>-74.063822859003579</v>
      </c>
      <c r="R6434" s="23" t="s">
        <v>109</v>
      </c>
      <c r="U6434">
        <v>12</v>
      </c>
      <c r="V6434" t="e">
        <f>VLOOKUP(Tabla3[[#This Row],[Nº]],[1]!NOMINA[#Data],4,FALSE)</f>
        <v>#REF!</v>
      </c>
      <c r="W6434" t="e">
        <f>VLOOKUP(U6434,[1]!NOMINA[#Data],5,FALSE)</f>
        <v>#REF!</v>
      </c>
    </row>
    <row r="6435" spans="1:23" x14ac:dyDescent="0.25">
      <c r="A6435" s="21">
        <v>45867</v>
      </c>
      <c r="B6435" s="1">
        <v>15778765</v>
      </c>
      <c r="C6435" t="s">
        <v>11248</v>
      </c>
      <c r="D6435" s="43">
        <v>-9708.85</v>
      </c>
      <c r="E6435" t="s">
        <v>35</v>
      </c>
      <c r="F6435" s="2">
        <v>212901001</v>
      </c>
      <c r="G6435" s="2" t="s">
        <v>121</v>
      </c>
      <c r="L6435" s="2" t="s">
        <v>11249</v>
      </c>
      <c r="M6435" t="s">
        <v>67</v>
      </c>
      <c r="N6435" t="s">
        <v>68</v>
      </c>
      <c r="P6435" s="23">
        <v>122.84</v>
      </c>
      <c r="Q6435" s="4">
        <f t="shared" si="100"/>
        <v>-79.036551611852815</v>
      </c>
      <c r="R6435" s="23" t="s">
        <v>109</v>
      </c>
      <c r="U6435">
        <v>33</v>
      </c>
      <c r="V6435" t="e">
        <f>VLOOKUP(U6435,[1]!NOMINA[#Data],4,FALSE)</f>
        <v>#REF!</v>
      </c>
      <c r="W6435" t="e">
        <f>VLOOKUP(U6435,[1]!NOMINA[#Data],5,FALSE)</f>
        <v>#REF!</v>
      </c>
    </row>
    <row r="6436" spans="1:23" x14ac:dyDescent="0.25">
      <c r="A6436" s="21">
        <v>45867</v>
      </c>
      <c r="B6436" s="1">
        <v>15778768</v>
      </c>
      <c r="C6436" t="s">
        <v>11250</v>
      </c>
      <c r="D6436" s="43">
        <v>-9148.09</v>
      </c>
      <c r="E6436" t="s">
        <v>35</v>
      </c>
      <c r="F6436" s="2">
        <v>212901001</v>
      </c>
      <c r="G6436" s="2" t="s">
        <v>121</v>
      </c>
      <c r="L6436" s="2" t="s">
        <v>11251</v>
      </c>
      <c r="M6436" t="s">
        <v>67</v>
      </c>
      <c r="N6436" t="s">
        <v>68</v>
      </c>
      <c r="P6436" s="23">
        <v>122.84</v>
      </c>
      <c r="Q6436" s="4">
        <f t="shared" si="100"/>
        <v>-74.471589058938449</v>
      </c>
      <c r="R6436" s="23" t="s">
        <v>109</v>
      </c>
      <c r="U6436">
        <v>16</v>
      </c>
      <c r="V6436" t="e">
        <f>VLOOKUP(Tabla3[[#This Row],[Nº]],[1]!NOMINA[#Data],4,FALSE)</f>
        <v>#REF!</v>
      </c>
      <c r="W6436" t="e">
        <f>VLOOKUP(Tabla3[[#This Row],[Nº]],[1]!NOMINA[#Data],5,FALSE)</f>
        <v>#REF!</v>
      </c>
    </row>
    <row r="6437" spans="1:23" x14ac:dyDescent="0.25">
      <c r="A6437" s="21">
        <v>45867</v>
      </c>
      <c r="B6437" s="1">
        <v>15778769</v>
      </c>
      <c r="C6437" t="s">
        <v>11252</v>
      </c>
      <c r="D6437" s="43">
        <v>-15206.5</v>
      </c>
      <c r="E6437" t="s">
        <v>35</v>
      </c>
      <c r="F6437" s="2">
        <v>212901001</v>
      </c>
      <c r="G6437" s="2" t="s">
        <v>121</v>
      </c>
      <c r="L6437" s="2" t="s">
        <v>11253</v>
      </c>
      <c r="M6437" t="s">
        <v>67</v>
      </c>
      <c r="N6437" t="s">
        <v>68</v>
      </c>
      <c r="P6437" s="23">
        <v>122.84</v>
      </c>
      <c r="Q6437" s="4">
        <f t="shared" si="100"/>
        <v>-123.79111038749592</v>
      </c>
      <c r="R6437" s="23" t="s">
        <v>109</v>
      </c>
      <c r="U6437">
        <v>6</v>
      </c>
      <c r="V6437" t="e">
        <f>VLOOKUP(Tabla3[[#This Row],[Nº]],[1]!NOMINA[#Data],4,FALSE)</f>
        <v>#REF!</v>
      </c>
      <c r="W6437" t="e">
        <f>VLOOKUP(U6437,[1]!NOMINA[#Data],5,FALSE)</f>
        <v>#REF!</v>
      </c>
    </row>
    <row r="6438" spans="1:23" x14ac:dyDescent="0.25">
      <c r="A6438" s="21">
        <v>45867</v>
      </c>
      <c r="B6438" s="1">
        <v>15778766</v>
      </c>
      <c r="C6438" t="s">
        <v>11254</v>
      </c>
      <c r="D6438" s="43">
        <v>-11835.83</v>
      </c>
      <c r="E6438" t="s">
        <v>35</v>
      </c>
      <c r="F6438" s="2">
        <v>212901001</v>
      </c>
      <c r="G6438" s="2" t="s">
        <v>121</v>
      </c>
      <c r="L6438" s="2" t="s">
        <v>11255</v>
      </c>
      <c r="M6438" t="s">
        <v>67</v>
      </c>
      <c r="N6438" t="s">
        <v>68</v>
      </c>
      <c r="P6438" s="23">
        <v>122.84</v>
      </c>
      <c r="Q6438" s="4">
        <f t="shared" si="100"/>
        <v>-96.351595571475087</v>
      </c>
      <c r="R6438" s="23" t="s">
        <v>109</v>
      </c>
      <c r="U6438">
        <v>34</v>
      </c>
      <c r="V6438" t="e">
        <f>VLOOKUP(U6438,[1]!NOMINA[#Data],4,FALSE)</f>
        <v>#REF!</v>
      </c>
      <c r="W6438" t="e">
        <f>VLOOKUP(U6438,[1]!NOMINA[#Data],5,FALSE)</f>
        <v>#REF!</v>
      </c>
    </row>
    <row r="6439" spans="1:23" x14ac:dyDescent="0.25">
      <c r="A6439" s="21">
        <v>45867</v>
      </c>
      <c r="B6439" s="1">
        <v>15778771</v>
      </c>
      <c r="C6439" t="s">
        <v>11256</v>
      </c>
      <c r="D6439" s="43">
        <v>-6019.32</v>
      </c>
      <c r="E6439" t="s">
        <v>35</v>
      </c>
      <c r="F6439" s="2">
        <v>212901001</v>
      </c>
      <c r="G6439" s="2" t="s">
        <v>121</v>
      </c>
      <c r="L6439" s="2" t="s">
        <v>11257</v>
      </c>
      <c r="M6439" t="s">
        <v>67</v>
      </c>
      <c r="N6439" t="s">
        <v>68</v>
      </c>
      <c r="P6439" s="23">
        <v>122.84</v>
      </c>
      <c r="Q6439" s="4">
        <f t="shared" si="100"/>
        <v>-49.001302507326599</v>
      </c>
      <c r="R6439" s="23" t="s">
        <v>109</v>
      </c>
      <c r="U6439">
        <v>24</v>
      </c>
      <c r="V6439" t="e">
        <f>VLOOKUP(Tabla3[[#This Row],[Nº]],[1]!NOMINA[#Data],4,FALSE)</f>
        <v>#REF!</v>
      </c>
      <c r="W6439" t="e">
        <f>VLOOKUP(U6439,[1]!NOMINA[#Data],5,FALSE)</f>
        <v>#REF!</v>
      </c>
    </row>
    <row r="6440" spans="1:23" x14ac:dyDescent="0.25">
      <c r="A6440" s="21">
        <v>45867</v>
      </c>
      <c r="B6440" s="1">
        <v>15778770</v>
      </c>
      <c r="C6440" t="s">
        <v>11258</v>
      </c>
      <c r="D6440" s="43">
        <v>-30477.75</v>
      </c>
      <c r="E6440" t="s">
        <v>35</v>
      </c>
      <c r="F6440" s="2">
        <v>212901001</v>
      </c>
      <c r="G6440" s="2" t="s">
        <v>121</v>
      </c>
      <c r="L6440" s="2" t="s">
        <v>11259</v>
      </c>
      <c r="M6440" t="s">
        <v>67</v>
      </c>
      <c r="N6440" t="s">
        <v>68</v>
      </c>
      <c r="P6440" s="23">
        <v>122.84</v>
      </c>
      <c r="Q6440" s="4">
        <f t="shared" si="100"/>
        <v>-248.10932920872679</v>
      </c>
      <c r="R6440" s="23" t="s">
        <v>109</v>
      </c>
      <c r="U6440">
        <v>3</v>
      </c>
      <c r="V6440" t="e">
        <f>VLOOKUP(Tabla3[[#This Row],[Nº]],[1]!NOMINA[#Data],4,FALSE)</f>
        <v>#REF!</v>
      </c>
      <c r="W6440" t="e">
        <f>VLOOKUP(U6440,[1]!NOMINA[#Data],5,FALSE)</f>
        <v>#REF!</v>
      </c>
    </row>
    <row r="6441" spans="1:23" x14ac:dyDescent="0.25">
      <c r="A6441" s="21">
        <v>45867</v>
      </c>
      <c r="B6441" s="1">
        <v>15778772</v>
      </c>
      <c r="C6441" t="s">
        <v>11260</v>
      </c>
      <c r="D6441" s="43">
        <v>-9708.85</v>
      </c>
      <c r="E6441" t="s">
        <v>35</v>
      </c>
      <c r="F6441" s="2">
        <v>212901001</v>
      </c>
      <c r="G6441" s="2" t="s">
        <v>121</v>
      </c>
      <c r="L6441" s="2" t="s">
        <v>11261</v>
      </c>
      <c r="M6441" t="s">
        <v>67</v>
      </c>
      <c r="N6441" t="s">
        <v>68</v>
      </c>
      <c r="P6441" s="23">
        <v>122.84</v>
      </c>
      <c r="Q6441" s="4">
        <f t="shared" si="100"/>
        <v>-79.036551611852815</v>
      </c>
      <c r="R6441" s="23" t="s">
        <v>109</v>
      </c>
      <c r="U6441">
        <v>5</v>
      </c>
      <c r="V6441" t="e">
        <f>VLOOKUP(Tabla3[[#This Row],[Nº]],[1]!NOMINA[#Data],4,FALSE)</f>
        <v>#REF!</v>
      </c>
      <c r="W6441" t="e">
        <f>VLOOKUP(U6441,[1]!NOMINA[#Data],5,FALSE)</f>
        <v>#REF!</v>
      </c>
    </row>
    <row r="6442" spans="1:23" x14ac:dyDescent="0.25">
      <c r="A6442" s="21">
        <v>45867</v>
      </c>
      <c r="B6442" s="1">
        <v>15778773</v>
      </c>
      <c r="C6442" t="s">
        <v>11262</v>
      </c>
      <c r="D6442" s="43">
        <v>-9708.85</v>
      </c>
      <c r="E6442" t="s">
        <v>35</v>
      </c>
      <c r="F6442" s="2">
        <v>212901001</v>
      </c>
      <c r="G6442" s="2" t="s">
        <v>121</v>
      </c>
      <c r="L6442" s="2" t="s">
        <v>11263</v>
      </c>
      <c r="M6442" t="s">
        <v>67</v>
      </c>
      <c r="N6442" t="s">
        <v>68</v>
      </c>
      <c r="P6442" s="23">
        <v>122.84</v>
      </c>
      <c r="Q6442" s="4">
        <f t="shared" si="100"/>
        <v>-79.036551611852815</v>
      </c>
      <c r="R6442" s="23" t="s">
        <v>109</v>
      </c>
      <c r="U6442">
        <v>32</v>
      </c>
      <c r="V6442" t="e">
        <f>VLOOKUP(Tabla3[[#This Row],[Nº]],[1]!NOMINA[#Data],4,FALSE)</f>
        <v>#REF!</v>
      </c>
      <c r="W6442" t="e">
        <f>VLOOKUP(U6442,[1]!NOMINA[#Data],5,FALSE)</f>
        <v>#REF!</v>
      </c>
    </row>
    <row r="6443" spans="1:23" x14ac:dyDescent="0.25">
      <c r="A6443" s="21">
        <v>45867</v>
      </c>
      <c r="B6443" s="1">
        <v>115778774</v>
      </c>
      <c r="C6443" t="s">
        <v>11264</v>
      </c>
      <c r="D6443" s="43">
        <v>-13373.95</v>
      </c>
      <c r="E6443" t="s">
        <v>35</v>
      </c>
      <c r="F6443" s="2">
        <v>212901001</v>
      </c>
      <c r="G6443" s="2" t="s">
        <v>121</v>
      </c>
      <c r="L6443" s="2" t="s">
        <v>11265</v>
      </c>
      <c r="M6443" t="s">
        <v>67</v>
      </c>
      <c r="N6443" t="s">
        <v>68</v>
      </c>
      <c r="P6443" s="23">
        <v>122.84</v>
      </c>
      <c r="Q6443" s="4">
        <f t="shared" si="100"/>
        <v>-108.87292412894823</v>
      </c>
      <c r="R6443" s="23" t="s">
        <v>109</v>
      </c>
      <c r="U6443">
        <v>30</v>
      </c>
      <c r="V6443" t="e">
        <f>VLOOKUP(Tabla3[[#This Row],[Nº]],[1]!NOMINA[#Data],4,FALSE)</f>
        <v>#REF!</v>
      </c>
      <c r="W6443" t="e">
        <f>VLOOKUP(U6443,[1]!NOMINA[#Data],5,FALSE)</f>
        <v>#REF!</v>
      </c>
    </row>
    <row r="6444" spans="1:23" x14ac:dyDescent="0.25">
      <c r="A6444" s="21">
        <v>45867</v>
      </c>
      <c r="B6444" s="1">
        <v>115778776</v>
      </c>
      <c r="C6444" t="s">
        <v>11266</v>
      </c>
      <c r="D6444" s="43">
        <v>-6063.3</v>
      </c>
      <c r="E6444" t="s">
        <v>35</v>
      </c>
      <c r="F6444" s="2">
        <v>212901001</v>
      </c>
      <c r="G6444" s="2" t="s">
        <v>121</v>
      </c>
      <c r="L6444" s="2" t="s">
        <v>11267</v>
      </c>
      <c r="M6444" t="s">
        <v>67</v>
      </c>
      <c r="N6444" t="s">
        <v>68</v>
      </c>
      <c r="P6444" s="23">
        <v>122.84</v>
      </c>
      <c r="Q6444" s="4">
        <f t="shared" si="100"/>
        <v>-49.359329208726798</v>
      </c>
      <c r="R6444" s="23" t="s">
        <v>109</v>
      </c>
      <c r="U6444">
        <v>21</v>
      </c>
      <c r="V6444" t="e">
        <f>VLOOKUP(Tabla3[[#This Row],[Nº]],[1]!NOMINA[#Data],4,FALSE)</f>
        <v>#REF!</v>
      </c>
      <c r="W6444" t="e">
        <f>VLOOKUP(U6444,[1]!NOMINA[#Data],5,FALSE)</f>
        <v>#REF!</v>
      </c>
    </row>
    <row r="6445" spans="1:23" x14ac:dyDescent="0.25">
      <c r="A6445" s="21">
        <v>45867</v>
      </c>
      <c r="B6445" s="1">
        <v>115778775</v>
      </c>
      <c r="C6445" t="s">
        <v>11268</v>
      </c>
      <c r="D6445" s="43">
        <v>-4228.3</v>
      </c>
      <c r="E6445" t="s">
        <v>35</v>
      </c>
      <c r="F6445" s="2">
        <v>212901001</v>
      </c>
      <c r="G6445" s="2" t="s">
        <v>121</v>
      </c>
      <c r="L6445" s="2" t="s">
        <v>11269</v>
      </c>
      <c r="M6445" t="s">
        <v>67</v>
      </c>
      <c r="N6445" t="s">
        <v>68</v>
      </c>
      <c r="P6445" s="23">
        <v>122.84</v>
      </c>
      <c r="Q6445" s="4">
        <f t="shared" si="100"/>
        <v>-34.421198306740479</v>
      </c>
      <c r="R6445" s="23" t="s">
        <v>109</v>
      </c>
      <c r="U6445">
        <v>27</v>
      </c>
      <c r="V6445" t="e">
        <f>VLOOKUP(Tabla3[[#This Row],[Nº]],[1]!NOMINA[#Data],4,FALSE)</f>
        <v>#REF!</v>
      </c>
      <c r="W6445" t="e">
        <f>VLOOKUP(U6445,[1]!NOMINA[#Data],5,FALSE)</f>
        <v>#REF!</v>
      </c>
    </row>
    <row r="6446" spans="1:23" x14ac:dyDescent="0.25">
      <c r="A6446" s="21">
        <v>45867</v>
      </c>
      <c r="B6446" s="1">
        <v>115778777</v>
      </c>
      <c r="C6446" t="s">
        <v>11270</v>
      </c>
      <c r="D6446" s="43">
        <v>-4229.53</v>
      </c>
      <c r="E6446" t="s">
        <v>35</v>
      </c>
      <c r="F6446" s="2">
        <v>212901001</v>
      </c>
      <c r="G6446" s="2" t="s">
        <v>121</v>
      </c>
      <c r="L6446" s="2" t="s">
        <v>11271</v>
      </c>
      <c r="M6446" t="s">
        <v>67</v>
      </c>
      <c r="N6446" t="s">
        <v>68</v>
      </c>
      <c r="P6446" s="23">
        <v>122.84</v>
      </c>
      <c r="Q6446" s="4">
        <f t="shared" si="100"/>
        <v>-34.431211331813735</v>
      </c>
      <c r="R6446" s="23" t="s">
        <v>109</v>
      </c>
      <c r="U6446">
        <v>7</v>
      </c>
      <c r="V6446" t="e">
        <f>VLOOKUP(Tabla3[[#This Row],[Nº]],[1]!NOMINA[#Data],4,FALSE)</f>
        <v>#REF!</v>
      </c>
      <c r="W6446" t="e">
        <f>VLOOKUP(U6446,[1]!NOMINA[#Data],5,FALSE)</f>
        <v>#REF!</v>
      </c>
    </row>
    <row r="6447" spans="1:23" x14ac:dyDescent="0.25">
      <c r="A6447" s="21">
        <v>45867</v>
      </c>
      <c r="B6447" s="1">
        <v>115778780</v>
      </c>
      <c r="C6447" t="s">
        <v>11272</v>
      </c>
      <c r="D6447" s="43">
        <v>-9130.99</v>
      </c>
      <c r="E6447" t="s">
        <v>35</v>
      </c>
      <c r="F6447" s="2">
        <v>212901001</v>
      </c>
      <c r="G6447" s="2" t="s">
        <v>121</v>
      </c>
      <c r="L6447" s="2" t="s">
        <v>11273</v>
      </c>
      <c r="M6447" t="s">
        <v>67</v>
      </c>
      <c r="N6447" t="s">
        <v>68</v>
      </c>
      <c r="P6447" s="23">
        <v>122.84</v>
      </c>
      <c r="Q6447" s="4">
        <f t="shared" si="100"/>
        <v>-74.33238358840768</v>
      </c>
      <c r="R6447" s="23" t="s">
        <v>109</v>
      </c>
      <c r="U6447">
        <v>9</v>
      </c>
      <c r="V6447" t="e">
        <f>VLOOKUP(Tabla3[[#This Row],[Nº]],[1]!NOMINA[#Data],4,FALSE)</f>
        <v>#REF!</v>
      </c>
      <c r="W6447" t="e">
        <f>VLOOKUP(U6447,[1]!NOMINA[#Data],5,FALSE)</f>
        <v>#REF!</v>
      </c>
    </row>
    <row r="6448" spans="1:23" x14ac:dyDescent="0.25">
      <c r="A6448" s="21">
        <v>45867</v>
      </c>
      <c r="B6448" s="1">
        <v>115778779</v>
      </c>
      <c r="C6448" t="s">
        <v>11274</v>
      </c>
      <c r="D6448" s="43">
        <v>-4228.3</v>
      </c>
      <c r="E6448" t="s">
        <v>35</v>
      </c>
      <c r="F6448" s="2">
        <v>212901001</v>
      </c>
      <c r="G6448" s="2" t="s">
        <v>121</v>
      </c>
      <c r="L6448" s="2" t="s">
        <v>11275</v>
      </c>
      <c r="M6448" t="s">
        <v>67</v>
      </c>
      <c r="N6448" t="s">
        <v>68</v>
      </c>
      <c r="P6448" s="23">
        <v>122.84</v>
      </c>
      <c r="Q6448" s="4">
        <f t="shared" si="100"/>
        <v>-34.421198306740479</v>
      </c>
      <c r="R6448" s="23" t="s">
        <v>109</v>
      </c>
      <c r="U6448">
        <v>25</v>
      </c>
      <c r="V6448" t="e">
        <f>VLOOKUP(Tabla3[[#This Row],[Nº]],[1]!NOMINA[#Data],4,FALSE)</f>
        <v>#REF!</v>
      </c>
      <c r="W6448" t="e">
        <f>VLOOKUP(U6448,[1]!NOMINA[#Data],5,FALSE)</f>
        <v>#REF!</v>
      </c>
    </row>
    <row r="6449" spans="1:23" x14ac:dyDescent="0.25">
      <c r="A6449" s="21">
        <v>45867</v>
      </c>
      <c r="B6449" s="1">
        <v>115778778</v>
      </c>
      <c r="C6449" t="s">
        <v>11276</v>
      </c>
      <c r="D6449" s="43">
        <v>-18260.75</v>
      </c>
      <c r="E6449" t="s">
        <v>35</v>
      </c>
      <c r="F6449" s="2">
        <v>212901001</v>
      </c>
      <c r="G6449" s="2" t="s">
        <v>121</v>
      </c>
      <c r="L6449" s="2" t="s">
        <v>11277</v>
      </c>
      <c r="M6449" t="s">
        <v>67</v>
      </c>
      <c r="N6449" t="s">
        <v>68</v>
      </c>
      <c r="P6449" s="23">
        <v>122.84</v>
      </c>
      <c r="Q6449" s="4">
        <f t="shared" si="100"/>
        <v>-148.65475415174211</v>
      </c>
      <c r="R6449" s="23" t="s">
        <v>109</v>
      </c>
      <c r="U6449">
        <v>35</v>
      </c>
      <c r="V6449" t="e">
        <f>VLOOKUP(Tabla3[[#This Row],[Nº]],[1]!NOMINA[#Data],4,FALSE)</f>
        <v>#REF!</v>
      </c>
      <c r="W6449" t="e">
        <f>VLOOKUP(U6449,[1]!NOMINA[#Data],5,FALSE)</f>
        <v>#REF!</v>
      </c>
    </row>
    <row r="6450" spans="1:23" x14ac:dyDescent="0.25">
      <c r="A6450" s="21">
        <v>45867</v>
      </c>
      <c r="B6450" s="1">
        <v>215778783</v>
      </c>
      <c r="C6450" t="s">
        <v>11278</v>
      </c>
      <c r="D6450" s="43">
        <v>-6086.51</v>
      </c>
      <c r="E6450" t="s">
        <v>35</v>
      </c>
      <c r="F6450" s="2">
        <v>212901001</v>
      </c>
      <c r="G6450" s="2" t="s">
        <v>121</v>
      </c>
      <c r="L6450" s="2" t="s">
        <v>11279</v>
      </c>
      <c r="M6450" t="s">
        <v>67</v>
      </c>
      <c r="N6450" t="s">
        <v>68</v>
      </c>
      <c r="P6450" s="23">
        <v>122.84</v>
      </c>
      <c r="Q6450" s="4">
        <f t="shared" si="100"/>
        <v>-49.548274177792251</v>
      </c>
      <c r="R6450" s="23" t="s">
        <v>109</v>
      </c>
      <c r="U6450">
        <v>10</v>
      </c>
      <c r="V6450" t="e">
        <f>VLOOKUP(Tabla3[[#This Row],[Nº]],[1]!NOMINA[#Data],4,FALSE)</f>
        <v>#REF!</v>
      </c>
      <c r="W6450" t="e">
        <f>VLOOKUP(U6450,[1]!NOMINA[#Data],5,FALSE)</f>
        <v>#REF!</v>
      </c>
    </row>
    <row r="6451" spans="1:23" x14ac:dyDescent="0.25">
      <c r="A6451" s="21">
        <v>45867</v>
      </c>
      <c r="B6451" s="1">
        <v>115778781</v>
      </c>
      <c r="C6451" t="s">
        <v>11280</v>
      </c>
      <c r="D6451" s="43">
        <v>-4840.38</v>
      </c>
      <c r="E6451" t="s">
        <v>35</v>
      </c>
      <c r="F6451" s="2">
        <v>212901001</v>
      </c>
      <c r="G6451" s="2" t="s">
        <v>121</v>
      </c>
      <c r="L6451" s="2" t="s">
        <v>11281</v>
      </c>
      <c r="M6451" t="s">
        <v>67</v>
      </c>
      <c r="N6451" t="s">
        <v>68</v>
      </c>
      <c r="P6451" s="23">
        <v>122.84</v>
      </c>
      <c r="Q6451" s="4">
        <f t="shared" si="100"/>
        <v>-39.403940084662977</v>
      </c>
      <c r="R6451" s="23" t="s">
        <v>109</v>
      </c>
      <c r="U6451">
        <v>29</v>
      </c>
      <c r="V6451" t="e">
        <f>VLOOKUP(U6451,[1]!NOMINA[#Data],4,FALSE)</f>
        <v>#REF!</v>
      </c>
      <c r="W6451" t="e">
        <f>VLOOKUP(U6451,[1]!NOMINA[#Data],5,FALSE)</f>
        <v>#REF!</v>
      </c>
    </row>
    <row r="6452" spans="1:23" x14ac:dyDescent="0.25">
      <c r="A6452" s="21">
        <v>45867</v>
      </c>
      <c r="B6452" s="1">
        <v>215778785</v>
      </c>
      <c r="C6452" t="s">
        <v>11282</v>
      </c>
      <c r="D6452" s="43">
        <v>-9148.09</v>
      </c>
      <c r="E6452" t="s">
        <v>35</v>
      </c>
      <c r="F6452" s="2">
        <v>212901001</v>
      </c>
      <c r="G6452" s="2" t="s">
        <v>121</v>
      </c>
      <c r="L6452" s="2" t="s">
        <v>11283</v>
      </c>
      <c r="M6452" t="s">
        <v>67</v>
      </c>
      <c r="N6452" t="s">
        <v>68</v>
      </c>
      <c r="P6452" s="23">
        <v>122.84</v>
      </c>
      <c r="Q6452" s="4">
        <f t="shared" si="100"/>
        <v>-74.471589058938449</v>
      </c>
      <c r="R6452" s="23" t="s">
        <v>109</v>
      </c>
      <c r="U6452">
        <v>18</v>
      </c>
      <c r="V6452" t="e">
        <f>VLOOKUP(Tabla3[[#This Row],[Nº]],[1]!NOMINA[#Data],4,FALSE)</f>
        <v>#REF!</v>
      </c>
      <c r="W6452" t="e">
        <f>VLOOKUP(Tabla3[[#This Row],[Nº]],[1]!NOMINA[#Data],5,FALSE)</f>
        <v>#REF!</v>
      </c>
    </row>
    <row r="6453" spans="1:23" x14ac:dyDescent="0.25">
      <c r="A6453" s="21">
        <v>45867</v>
      </c>
      <c r="B6453" s="1">
        <v>215778784</v>
      </c>
      <c r="C6453" t="s">
        <v>11284</v>
      </c>
      <c r="D6453" s="43">
        <v>-9130.99</v>
      </c>
      <c r="E6453" t="s">
        <v>35</v>
      </c>
      <c r="F6453" s="2">
        <v>212901001</v>
      </c>
      <c r="G6453" s="2" t="s">
        <v>121</v>
      </c>
      <c r="L6453" s="2" t="s">
        <v>11285</v>
      </c>
      <c r="M6453" t="s">
        <v>67</v>
      </c>
      <c r="N6453" t="s">
        <v>68</v>
      </c>
      <c r="P6453" s="23">
        <v>122.84</v>
      </c>
      <c r="Q6453" s="4">
        <f t="shared" si="100"/>
        <v>-74.33238358840768</v>
      </c>
      <c r="R6453" s="23" t="s">
        <v>109</v>
      </c>
      <c r="U6453">
        <v>11</v>
      </c>
      <c r="V6453" t="e">
        <f>VLOOKUP(Tabla3[[#This Row],[Nº]],[1]!NOMINA[#Data],4,FALSE)</f>
        <v>#REF!</v>
      </c>
      <c r="W6453" t="e">
        <f>VLOOKUP(U6453,[1]!NOMINA[#Data],5,FALSE)</f>
        <v>#REF!</v>
      </c>
    </row>
    <row r="6454" spans="1:23" x14ac:dyDescent="0.25">
      <c r="A6454" s="21">
        <v>45867</v>
      </c>
      <c r="B6454" s="1">
        <v>215778787</v>
      </c>
      <c r="C6454" t="s">
        <v>11286</v>
      </c>
      <c r="D6454" s="43">
        <v>-4886.8</v>
      </c>
      <c r="E6454" t="s">
        <v>35</v>
      </c>
      <c r="F6454" s="2">
        <v>212901001</v>
      </c>
      <c r="G6454" s="2" t="s">
        <v>121</v>
      </c>
      <c r="L6454" s="2" t="s">
        <v>11287</v>
      </c>
      <c r="M6454" t="s">
        <v>67</v>
      </c>
      <c r="N6454" t="s">
        <v>68</v>
      </c>
      <c r="P6454" s="23">
        <v>122.84</v>
      </c>
      <c r="Q6454" s="4">
        <f t="shared" si="100"/>
        <v>-39.781830022793876</v>
      </c>
      <c r="R6454" s="23" t="s">
        <v>109</v>
      </c>
      <c r="U6454">
        <v>2</v>
      </c>
      <c r="V6454" t="e">
        <f>VLOOKUP(Tabla3[[#This Row],[Nº]],[1]!NOMINA[#Data],4,FALSE)</f>
        <v>#REF!</v>
      </c>
      <c r="W6454" t="e">
        <f>VLOOKUP(Tabla3[[#This Row],[Nº]],[1]!NOMINA[#Data],5,FALSE)</f>
        <v>#REF!</v>
      </c>
    </row>
    <row r="6455" spans="1:23" x14ac:dyDescent="0.25">
      <c r="A6455" s="21">
        <v>45867</v>
      </c>
      <c r="B6455" s="1">
        <v>215778786</v>
      </c>
      <c r="C6455" t="s">
        <v>11288</v>
      </c>
      <c r="D6455" s="43">
        <v>-4886.8</v>
      </c>
      <c r="E6455" t="s">
        <v>35</v>
      </c>
      <c r="F6455" s="2">
        <v>212901001</v>
      </c>
      <c r="G6455" s="2" t="s">
        <v>121</v>
      </c>
      <c r="L6455" s="2" t="s">
        <v>11289</v>
      </c>
      <c r="M6455" t="s">
        <v>67</v>
      </c>
      <c r="N6455" t="s">
        <v>68</v>
      </c>
      <c r="P6455" s="23">
        <v>122.84</v>
      </c>
      <c r="Q6455" s="4">
        <f t="shared" si="100"/>
        <v>-39.781830022793876</v>
      </c>
      <c r="R6455" s="23" t="s">
        <v>109</v>
      </c>
      <c r="U6455">
        <v>1</v>
      </c>
      <c r="V6455" t="e">
        <f>VLOOKUP(U6455,[1]!NOMINA[#Data],4,FALSE)</f>
        <v>#REF!</v>
      </c>
      <c r="W6455" t="e">
        <f>VLOOKUP(U6455,[1]!NOMINA[#Data],5,FALSE)</f>
        <v>#REF!</v>
      </c>
    </row>
    <row r="6456" spans="1:23" x14ac:dyDescent="0.25">
      <c r="A6456" s="21">
        <v>45867</v>
      </c>
      <c r="B6456" s="1">
        <v>215778789</v>
      </c>
      <c r="C6456" t="s">
        <v>11290</v>
      </c>
      <c r="D6456" s="43">
        <v>-4886.8</v>
      </c>
      <c r="E6456" t="s">
        <v>35</v>
      </c>
      <c r="F6456" s="2">
        <v>212901001</v>
      </c>
      <c r="G6456" s="2" t="s">
        <v>121</v>
      </c>
      <c r="L6456" s="2" t="s">
        <v>11291</v>
      </c>
      <c r="M6456" t="s">
        <v>67</v>
      </c>
      <c r="N6456" t="s">
        <v>68</v>
      </c>
      <c r="P6456" s="23">
        <v>122.84</v>
      </c>
      <c r="Q6456" s="4">
        <f t="shared" si="100"/>
        <v>-39.781830022793876</v>
      </c>
      <c r="R6456" s="23" t="s">
        <v>109</v>
      </c>
      <c r="U6456">
        <v>4</v>
      </c>
      <c r="V6456" t="e">
        <f>VLOOKUP(Tabla3[[#This Row],[Nº]],[1]!NOMINA[#Data],4,FALSE)</f>
        <v>#REF!</v>
      </c>
      <c r="W6456" t="e">
        <f>VLOOKUP(U6456,[1]!NOMINA[#Data],5,FALSE)</f>
        <v>#REF!</v>
      </c>
    </row>
    <row r="6457" spans="1:23" x14ac:dyDescent="0.25">
      <c r="A6457" s="21">
        <v>45867</v>
      </c>
      <c r="B6457" s="1">
        <v>215778788</v>
      </c>
      <c r="C6457" t="s">
        <v>11292</v>
      </c>
      <c r="D6457" s="43">
        <v>-4886.8</v>
      </c>
      <c r="E6457" t="s">
        <v>35</v>
      </c>
      <c r="F6457" s="2">
        <v>212901001</v>
      </c>
      <c r="G6457" s="2" t="s">
        <v>121</v>
      </c>
      <c r="L6457" s="2" t="s">
        <v>11293</v>
      </c>
      <c r="M6457" t="s">
        <v>67</v>
      </c>
      <c r="N6457" t="s">
        <v>68</v>
      </c>
      <c r="P6457" s="23">
        <v>122.84</v>
      </c>
      <c r="Q6457" s="4">
        <f t="shared" si="100"/>
        <v>-39.781830022793876</v>
      </c>
      <c r="R6457" s="23" t="s">
        <v>109</v>
      </c>
      <c r="U6457">
        <v>3</v>
      </c>
      <c r="V6457" t="e">
        <f>VLOOKUP(Tabla3[[#This Row],[Nº]],[1]!NOMINA[#Data],4,FALSE)</f>
        <v>#REF!</v>
      </c>
      <c r="W6457" t="e">
        <f>VLOOKUP(U6457,[1]!NOMINA[#Data],5,FALSE)</f>
        <v>#REF!</v>
      </c>
    </row>
    <row r="6458" spans="1:23" x14ac:dyDescent="0.25">
      <c r="A6458" s="21">
        <v>45867</v>
      </c>
      <c r="B6458" s="1">
        <v>215778790</v>
      </c>
      <c r="C6458" t="s">
        <v>11180</v>
      </c>
      <c r="D6458" s="43">
        <v>-4886.8</v>
      </c>
      <c r="E6458" t="s">
        <v>35</v>
      </c>
      <c r="F6458" s="2">
        <v>212901001</v>
      </c>
      <c r="G6458" s="2" t="s">
        <v>121</v>
      </c>
      <c r="L6458" s="2" t="s">
        <v>11294</v>
      </c>
      <c r="M6458" t="s">
        <v>67</v>
      </c>
      <c r="N6458" t="s">
        <v>68</v>
      </c>
      <c r="P6458" s="23">
        <v>122.84</v>
      </c>
      <c r="Q6458" s="4">
        <f t="shared" si="100"/>
        <v>-39.781830022793876</v>
      </c>
      <c r="R6458" s="23" t="s">
        <v>109</v>
      </c>
      <c r="U6458">
        <v>2</v>
      </c>
      <c r="V6458" t="e">
        <f>VLOOKUP(Tabla3[[#This Row],[Nº]],[1]!NOMINA[#Data],4,FALSE)</f>
        <v>#REF!</v>
      </c>
      <c r="W6458" t="e">
        <f>VLOOKUP(Tabla3[[#This Row],[Nº]],[1]!NOMINA[#Data],5,FALSE)</f>
        <v>#REF!</v>
      </c>
    </row>
    <row r="6459" spans="1:23" x14ac:dyDescent="0.25">
      <c r="A6459" s="21">
        <v>45867</v>
      </c>
      <c r="B6459" s="1">
        <v>215778791</v>
      </c>
      <c r="C6459" t="s">
        <v>11295</v>
      </c>
      <c r="D6459" s="43">
        <v>-4886.8</v>
      </c>
      <c r="E6459" t="s">
        <v>35</v>
      </c>
      <c r="F6459" s="2">
        <v>212901001</v>
      </c>
      <c r="G6459" s="2" t="s">
        <v>121</v>
      </c>
      <c r="L6459" s="2" t="s">
        <v>11296</v>
      </c>
      <c r="M6459" t="s">
        <v>67</v>
      </c>
      <c r="N6459" t="s">
        <v>68</v>
      </c>
      <c r="P6459" s="23">
        <v>122.84</v>
      </c>
      <c r="Q6459" s="4">
        <f t="shared" si="100"/>
        <v>-39.781830022793876</v>
      </c>
      <c r="R6459" s="23" t="s">
        <v>109</v>
      </c>
      <c r="U6459">
        <v>31</v>
      </c>
      <c r="V6459" t="e">
        <f>VLOOKUP(Tabla3[[#This Row],[Nº]],[1]!NOMINA[#Data],4,FALSE)</f>
        <v>#REF!</v>
      </c>
      <c r="W6459" t="e">
        <f>VLOOKUP(U6459,[1]!NOMINA[#Data],5,FALSE)</f>
        <v>#REF!</v>
      </c>
    </row>
    <row r="6460" spans="1:23" x14ac:dyDescent="0.25">
      <c r="A6460" s="21">
        <v>45867</v>
      </c>
      <c r="B6460" s="1">
        <v>315778792</v>
      </c>
      <c r="C6460" t="s">
        <v>11297</v>
      </c>
      <c r="D6460" s="43">
        <v>-4886.8</v>
      </c>
      <c r="E6460" t="s">
        <v>35</v>
      </c>
      <c r="F6460" s="2">
        <v>212901001</v>
      </c>
      <c r="G6460" s="2" t="s">
        <v>121</v>
      </c>
      <c r="L6460" s="2" t="s">
        <v>11298</v>
      </c>
      <c r="M6460" t="s">
        <v>67</v>
      </c>
      <c r="N6460" t="s">
        <v>68</v>
      </c>
      <c r="P6460" s="23">
        <v>122.84</v>
      </c>
      <c r="Q6460" s="4">
        <f t="shared" si="100"/>
        <v>-39.781830022793876</v>
      </c>
      <c r="R6460" s="23" t="s">
        <v>109</v>
      </c>
      <c r="U6460">
        <v>28</v>
      </c>
      <c r="V6460" t="e">
        <f>VLOOKUP(Tabla3[[#This Row],[Nº]],[1]!NOMINA[#Data],4,FALSE)</f>
        <v>#REF!</v>
      </c>
      <c r="W6460" t="e">
        <f>VLOOKUP(U6460,[1]!NOMINA[#Data],5,FALSE)</f>
        <v>#REF!</v>
      </c>
    </row>
    <row r="6461" spans="1:23" x14ac:dyDescent="0.25">
      <c r="A6461" s="21">
        <v>45867</v>
      </c>
      <c r="B6461" s="1">
        <v>315778794</v>
      </c>
      <c r="C6461" t="s">
        <v>11299</v>
      </c>
      <c r="D6461" s="43">
        <v>-4886.8</v>
      </c>
      <c r="E6461" t="s">
        <v>35</v>
      </c>
      <c r="F6461" s="2">
        <v>212901001</v>
      </c>
      <c r="G6461" s="2" t="s">
        <v>121</v>
      </c>
      <c r="L6461" s="2" t="s">
        <v>11300</v>
      </c>
      <c r="M6461" t="s">
        <v>67</v>
      </c>
      <c r="N6461" t="s">
        <v>68</v>
      </c>
      <c r="P6461" s="23">
        <v>122.84</v>
      </c>
      <c r="Q6461" s="4">
        <f t="shared" si="100"/>
        <v>-39.781830022793876</v>
      </c>
      <c r="R6461" s="23" t="s">
        <v>109</v>
      </c>
      <c r="U6461">
        <v>22</v>
      </c>
      <c r="V6461" t="e">
        <f>VLOOKUP(Tabla3[[#This Row],[Nº]],[1]!NOMINA[#Data],4,FALSE)</f>
        <v>#REF!</v>
      </c>
      <c r="W6461" t="e">
        <f>VLOOKUP(U6461,[1]!NOMINA[#Data],5,FALSE)</f>
        <v>#REF!</v>
      </c>
    </row>
    <row r="6462" spans="1:23" x14ac:dyDescent="0.25">
      <c r="A6462" s="21">
        <v>45867</v>
      </c>
      <c r="B6462" s="1">
        <v>315778795</v>
      </c>
      <c r="C6462" t="s">
        <v>11301</v>
      </c>
      <c r="D6462" s="43">
        <v>-4886.8</v>
      </c>
      <c r="E6462" t="s">
        <v>35</v>
      </c>
      <c r="F6462" s="2">
        <v>212901001</v>
      </c>
      <c r="G6462" s="2" t="s">
        <v>121</v>
      </c>
      <c r="L6462" s="2" t="s">
        <v>11302</v>
      </c>
      <c r="M6462" t="s">
        <v>67</v>
      </c>
      <c r="N6462" t="s">
        <v>68</v>
      </c>
      <c r="P6462" s="23">
        <v>122.84</v>
      </c>
      <c r="Q6462" s="4">
        <f t="shared" si="100"/>
        <v>-39.781830022793876</v>
      </c>
      <c r="R6462" s="23" t="s">
        <v>109</v>
      </c>
      <c r="U6462">
        <v>23</v>
      </c>
      <c r="V6462" t="e">
        <f>VLOOKUP(Tabla3[[#This Row],[Nº]],[1]!NOMINA[#Data],4,FALSE)</f>
        <v>#REF!</v>
      </c>
      <c r="W6462" t="e">
        <f>VLOOKUP(U6462,[1]!NOMINA[#Data],5,FALSE)</f>
        <v>#REF!</v>
      </c>
    </row>
    <row r="6463" spans="1:23" x14ac:dyDescent="0.25">
      <c r="A6463" s="21">
        <v>45867</v>
      </c>
      <c r="B6463" s="1">
        <v>315778796</v>
      </c>
      <c r="C6463" t="s">
        <v>11303</v>
      </c>
      <c r="D6463" s="43">
        <v>-4886.8</v>
      </c>
      <c r="E6463" t="s">
        <v>35</v>
      </c>
      <c r="F6463" s="2">
        <v>212901001</v>
      </c>
      <c r="G6463" s="2" t="s">
        <v>121</v>
      </c>
      <c r="L6463" s="2" t="s">
        <v>11304</v>
      </c>
      <c r="M6463" t="s">
        <v>67</v>
      </c>
      <c r="N6463" t="s">
        <v>68</v>
      </c>
      <c r="P6463" s="23">
        <v>122.84</v>
      </c>
      <c r="Q6463" s="4">
        <f t="shared" si="100"/>
        <v>-39.781830022793876</v>
      </c>
      <c r="R6463" s="23" t="s">
        <v>109</v>
      </c>
      <c r="U6463">
        <v>19</v>
      </c>
      <c r="V6463" t="e">
        <f>VLOOKUP(Tabla3[[#This Row],[Nº]],[1]!NOMINA[#Data],4,FALSE)</f>
        <v>#REF!</v>
      </c>
      <c r="W6463" t="e">
        <f>VLOOKUP(U6463,[1]!NOMINA[#Data],5,FALSE)</f>
        <v>#REF!</v>
      </c>
    </row>
    <row r="6464" spans="1:23" x14ac:dyDescent="0.25">
      <c r="A6464" s="21">
        <v>45867</v>
      </c>
      <c r="B6464" s="1">
        <v>315778797</v>
      </c>
      <c r="C6464" t="s">
        <v>11305</v>
      </c>
      <c r="D6464" s="43">
        <v>-4886.8</v>
      </c>
      <c r="E6464" t="s">
        <v>35</v>
      </c>
      <c r="F6464" s="2">
        <v>212901001</v>
      </c>
      <c r="G6464" s="2" t="s">
        <v>121</v>
      </c>
      <c r="L6464" s="2" t="s">
        <v>11306</v>
      </c>
      <c r="M6464" t="s">
        <v>67</v>
      </c>
      <c r="N6464" t="s">
        <v>68</v>
      </c>
      <c r="P6464" s="23">
        <v>122.84</v>
      </c>
      <c r="Q6464" s="4">
        <f t="shared" si="100"/>
        <v>-39.781830022793876</v>
      </c>
      <c r="R6464" s="23" t="s">
        <v>109</v>
      </c>
      <c r="U6464">
        <v>17</v>
      </c>
      <c r="V6464" t="e">
        <f>VLOOKUP(Tabla3[[#This Row],[Nº]],[1]!NOMINA[#Data],4,FALSE)</f>
        <v>#REF!</v>
      </c>
      <c r="W6464" t="e">
        <f>VLOOKUP(U6464,[1]!NOMINA[#Data],5,FALSE)</f>
        <v>#REF!</v>
      </c>
    </row>
    <row r="6465" spans="1:23" x14ac:dyDescent="0.25">
      <c r="A6465" s="21">
        <v>45867</v>
      </c>
      <c r="B6465" s="1">
        <v>315778800</v>
      </c>
      <c r="C6465" t="s">
        <v>11307</v>
      </c>
      <c r="D6465" s="43">
        <v>-4886.8</v>
      </c>
      <c r="E6465" t="s">
        <v>35</v>
      </c>
      <c r="F6465" s="2">
        <v>212901001</v>
      </c>
      <c r="G6465" s="2" t="s">
        <v>121</v>
      </c>
      <c r="L6465" s="2" t="s">
        <v>11308</v>
      </c>
      <c r="M6465" t="s">
        <v>67</v>
      </c>
      <c r="N6465" t="s">
        <v>68</v>
      </c>
      <c r="P6465" s="23">
        <v>122.84</v>
      </c>
      <c r="Q6465" s="4">
        <f t="shared" si="100"/>
        <v>-39.781830022793876</v>
      </c>
      <c r="R6465" s="23" t="s">
        <v>109</v>
      </c>
      <c r="U6465">
        <v>15</v>
      </c>
      <c r="V6465" t="e">
        <f>VLOOKUP(Tabla3[[#This Row],[Nº]],[1]!NOMINA[#Data],4,FALSE)</f>
        <v>#REF!</v>
      </c>
      <c r="W6465" t="e">
        <f>VLOOKUP(U6465,[1]!NOMINA[#Data],5,FALSE)</f>
        <v>#REF!</v>
      </c>
    </row>
    <row r="6466" spans="1:23" x14ac:dyDescent="0.25">
      <c r="A6466" s="21">
        <v>45867</v>
      </c>
      <c r="B6466" s="1">
        <v>315778801</v>
      </c>
      <c r="C6466" t="s">
        <v>11309</v>
      </c>
      <c r="D6466" s="43">
        <v>-4886.8</v>
      </c>
      <c r="E6466" t="s">
        <v>35</v>
      </c>
      <c r="F6466" s="2">
        <v>212901001</v>
      </c>
      <c r="G6466" s="2" t="s">
        <v>121</v>
      </c>
      <c r="L6466" s="2" t="s">
        <v>11310</v>
      </c>
      <c r="M6466" t="s">
        <v>67</v>
      </c>
      <c r="N6466" t="s">
        <v>68</v>
      </c>
      <c r="P6466" s="23">
        <v>122.84</v>
      </c>
      <c r="Q6466" s="4">
        <f t="shared" si="100"/>
        <v>-39.781830022793876</v>
      </c>
      <c r="R6466" s="23" t="s">
        <v>109</v>
      </c>
      <c r="U6466">
        <v>14</v>
      </c>
      <c r="V6466" t="e">
        <f>VLOOKUP(Tabla3[[#This Row],[Nº]],[1]!NOMINA[#Data],4,FALSE)</f>
        <v>#REF!</v>
      </c>
      <c r="W6466" t="e">
        <f>VLOOKUP(U6466,[1]!NOMINA[#Data],5,FALSE)</f>
        <v>#REF!</v>
      </c>
    </row>
    <row r="6467" spans="1:23" x14ac:dyDescent="0.25">
      <c r="A6467" s="21">
        <v>45867</v>
      </c>
      <c r="B6467" s="1">
        <v>415778802</v>
      </c>
      <c r="C6467" t="s">
        <v>11311</v>
      </c>
      <c r="D6467" s="43">
        <v>-4886.8</v>
      </c>
      <c r="E6467" t="s">
        <v>35</v>
      </c>
      <c r="F6467" s="2">
        <v>212901001</v>
      </c>
      <c r="G6467" s="2" t="s">
        <v>121</v>
      </c>
      <c r="L6467" s="2" t="s">
        <v>11312</v>
      </c>
      <c r="M6467" t="s">
        <v>67</v>
      </c>
      <c r="N6467" t="s">
        <v>68</v>
      </c>
      <c r="P6467" s="23">
        <v>122.84</v>
      </c>
      <c r="Q6467" s="4">
        <f t="shared" si="100"/>
        <v>-39.781830022793876</v>
      </c>
      <c r="R6467" s="23" t="s">
        <v>109</v>
      </c>
      <c r="U6467">
        <v>26</v>
      </c>
      <c r="V6467" t="e">
        <f>VLOOKUP(Tabla3[[#This Row],[Nº]],[1]!NOMINA[#Data],4,FALSE)</f>
        <v>#REF!</v>
      </c>
      <c r="W6467" t="e">
        <f>VLOOKUP(Tabla3[[#This Row],[Nº]],[1]!NOMINA[#Data],5,FALSE)</f>
        <v>#REF!</v>
      </c>
    </row>
    <row r="6468" spans="1:23" x14ac:dyDescent="0.25">
      <c r="A6468" s="21">
        <v>45867</v>
      </c>
      <c r="B6468" s="1">
        <v>315778798</v>
      </c>
      <c r="C6468" t="s">
        <v>11313</v>
      </c>
      <c r="D6468" s="43">
        <v>-4886.8</v>
      </c>
      <c r="E6468" t="s">
        <v>35</v>
      </c>
      <c r="F6468" s="2">
        <v>212901001</v>
      </c>
      <c r="G6468" s="2" t="s">
        <v>121</v>
      </c>
      <c r="L6468" s="2" t="s">
        <v>11314</v>
      </c>
      <c r="M6468" t="s">
        <v>67</v>
      </c>
      <c r="N6468" t="s">
        <v>68</v>
      </c>
      <c r="P6468" s="23">
        <v>122.84</v>
      </c>
      <c r="Q6468" s="4">
        <f t="shared" si="100"/>
        <v>-39.781830022793876</v>
      </c>
      <c r="R6468" s="23" t="s">
        <v>109</v>
      </c>
      <c r="U6468">
        <v>8</v>
      </c>
      <c r="V6468" t="e">
        <f>VLOOKUP(Tabla3[[#This Row],[Nº]],[1]!NOMINA[#Data],4,FALSE)</f>
        <v>#REF!</v>
      </c>
      <c r="W6468" t="e">
        <f>VLOOKUP(U6468,[1]!NOMINA[#Data],5,FALSE)</f>
        <v>#REF!</v>
      </c>
    </row>
    <row r="6469" spans="1:23" x14ac:dyDescent="0.25">
      <c r="A6469" s="21">
        <v>45867</v>
      </c>
      <c r="B6469" s="1">
        <v>315778799</v>
      </c>
      <c r="C6469" t="s">
        <v>11315</v>
      </c>
      <c r="D6469" s="43">
        <v>-4886.8</v>
      </c>
      <c r="E6469" t="s">
        <v>35</v>
      </c>
      <c r="F6469" s="2">
        <v>212901001</v>
      </c>
      <c r="G6469" s="2" t="s">
        <v>121</v>
      </c>
      <c r="L6469" s="2" t="s">
        <v>11316</v>
      </c>
      <c r="M6469" t="s">
        <v>67</v>
      </c>
      <c r="N6469" t="s">
        <v>68</v>
      </c>
      <c r="P6469" s="23">
        <v>122.84</v>
      </c>
      <c r="Q6469" s="4">
        <f t="shared" si="100"/>
        <v>-39.781830022793876</v>
      </c>
      <c r="R6469" s="23" t="s">
        <v>109</v>
      </c>
      <c r="U6469">
        <v>13</v>
      </c>
      <c r="V6469" t="e">
        <f>VLOOKUP(Tabla3[[#This Row],[Nº]],[1]!NOMINA[#Data],4,FALSE)</f>
        <v>#REF!</v>
      </c>
      <c r="W6469" t="e">
        <f>VLOOKUP(U6469,[1]!NOMINA[#Data],5,FALSE)</f>
        <v>#REF!</v>
      </c>
    </row>
    <row r="6470" spans="1:23" x14ac:dyDescent="0.25">
      <c r="A6470" s="21">
        <v>45867</v>
      </c>
      <c r="B6470" s="1">
        <v>415778803</v>
      </c>
      <c r="C6470" t="s">
        <v>11194</v>
      </c>
      <c r="D6470" s="43">
        <v>-4886.8</v>
      </c>
      <c r="E6470" t="s">
        <v>35</v>
      </c>
      <c r="F6470" s="2">
        <v>212901001</v>
      </c>
      <c r="G6470" s="2" t="s">
        <v>121</v>
      </c>
      <c r="L6470" s="2" t="s">
        <v>11317</v>
      </c>
      <c r="M6470" t="s">
        <v>67</v>
      </c>
      <c r="N6470" t="s">
        <v>68</v>
      </c>
      <c r="P6470" s="23">
        <v>122.84</v>
      </c>
      <c r="Q6470" s="4">
        <f t="shared" si="100"/>
        <v>-39.781830022793876</v>
      </c>
      <c r="R6470" s="23" t="s">
        <v>109</v>
      </c>
      <c r="U6470">
        <v>1</v>
      </c>
      <c r="V6470" t="e">
        <f>VLOOKUP(U6470,[1]!NOMINA[#Data],4,FALSE)</f>
        <v>#REF!</v>
      </c>
      <c r="W6470" t="e">
        <f>VLOOKUP(U6470,[1]!NOMINA[#Data],5,FALSE)</f>
        <v>#REF!</v>
      </c>
    </row>
    <row r="6471" spans="1:23" x14ac:dyDescent="0.25">
      <c r="A6471" s="21">
        <v>45867</v>
      </c>
      <c r="B6471" s="1">
        <v>415778804</v>
      </c>
      <c r="C6471" t="s">
        <v>11318</v>
      </c>
      <c r="D6471" s="43">
        <v>-4886.8</v>
      </c>
      <c r="E6471" t="s">
        <v>35</v>
      </c>
      <c r="F6471" s="2">
        <v>212901001</v>
      </c>
      <c r="G6471" s="2" t="s">
        <v>121</v>
      </c>
      <c r="L6471" s="2" t="s">
        <v>11319</v>
      </c>
      <c r="M6471" t="s">
        <v>67</v>
      </c>
      <c r="N6471" t="s">
        <v>68</v>
      </c>
      <c r="P6471" s="23">
        <v>122.84</v>
      </c>
      <c r="Q6471" s="4">
        <f t="shared" si="100"/>
        <v>-39.781830022793876</v>
      </c>
      <c r="R6471" s="23" t="s">
        <v>109</v>
      </c>
      <c r="U6471">
        <v>20</v>
      </c>
      <c r="V6471" t="e">
        <f>VLOOKUP(Tabla3[[#This Row],[Nº]],[1]!NOMINA[#Data],4,FALSE)</f>
        <v>#REF!</v>
      </c>
      <c r="W6471" t="e">
        <f>VLOOKUP(U6471,[1]!NOMINA[#Data],5,FALSE)</f>
        <v>#REF!</v>
      </c>
    </row>
    <row r="6472" spans="1:23" x14ac:dyDescent="0.25">
      <c r="A6472" s="21">
        <v>45867</v>
      </c>
      <c r="B6472" s="1">
        <v>415778806</v>
      </c>
      <c r="C6472" t="s">
        <v>11320</v>
      </c>
      <c r="D6472" s="43">
        <v>-4886.8</v>
      </c>
      <c r="E6472" t="s">
        <v>35</v>
      </c>
      <c r="F6472" s="2">
        <v>212901001</v>
      </c>
      <c r="G6472" s="2" t="s">
        <v>121</v>
      </c>
      <c r="L6472" s="2" t="s">
        <v>11321</v>
      </c>
      <c r="M6472" t="s">
        <v>67</v>
      </c>
      <c r="N6472" t="s">
        <v>68</v>
      </c>
      <c r="P6472" s="23">
        <v>122.84</v>
      </c>
      <c r="Q6472" s="4">
        <f t="shared" si="100"/>
        <v>-39.781830022793876</v>
      </c>
      <c r="R6472" s="23" t="s">
        <v>109</v>
      </c>
      <c r="U6472">
        <v>12</v>
      </c>
      <c r="V6472" t="e">
        <f>VLOOKUP(Tabla3[[#This Row],[Nº]],[1]!NOMINA[#Data],4,FALSE)</f>
        <v>#REF!</v>
      </c>
      <c r="W6472" t="e">
        <f>VLOOKUP(U6472,[1]!NOMINA[#Data],5,FALSE)</f>
        <v>#REF!</v>
      </c>
    </row>
    <row r="6473" spans="1:23" x14ac:dyDescent="0.25">
      <c r="A6473" s="21">
        <v>45867</v>
      </c>
      <c r="B6473" s="1">
        <v>415778805</v>
      </c>
      <c r="C6473" t="s">
        <v>11322</v>
      </c>
      <c r="D6473" s="43">
        <v>-4886.8</v>
      </c>
      <c r="E6473" t="s">
        <v>35</v>
      </c>
      <c r="F6473" s="2">
        <v>212901001</v>
      </c>
      <c r="G6473" s="2" t="s">
        <v>121</v>
      </c>
      <c r="L6473" s="2" t="s">
        <v>11323</v>
      </c>
      <c r="M6473" t="s">
        <v>67</v>
      </c>
      <c r="N6473" t="s">
        <v>68</v>
      </c>
      <c r="P6473" s="23">
        <v>122.84</v>
      </c>
      <c r="Q6473" s="4">
        <f t="shared" si="100"/>
        <v>-39.781830022793876</v>
      </c>
      <c r="R6473" s="23" t="s">
        <v>109</v>
      </c>
      <c r="U6473">
        <v>4</v>
      </c>
      <c r="V6473" t="e">
        <f>VLOOKUP(Tabla3[[#This Row],[Nº]],[1]!NOMINA[#Data],4,FALSE)</f>
        <v>#REF!</v>
      </c>
      <c r="W6473" t="e">
        <f>VLOOKUP(U6473,[1]!NOMINA[#Data],5,FALSE)</f>
        <v>#REF!</v>
      </c>
    </row>
    <row r="6474" spans="1:23" x14ac:dyDescent="0.25">
      <c r="A6474" s="21">
        <v>45867</v>
      </c>
      <c r="B6474" s="1">
        <v>415778807</v>
      </c>
      <c r="C6474" t="s">
        <v>11324</v>
      </c>
      <c r="D6474" s="43">
        <v>-4886.8</v>
      </c>
      <c r="E6474" t="s">
        <v>35</v>
      </c>
      <c r="F6474" s="2">
        <v>212901001</v>
      </c>
      <c r="G6474" s="2" t="s">
        <v>121</v>
      </c>
      <c r="L6474" s="2" t="s">
        <v>11325</v>
      </c>
      <c r="M6474" t="s">
        <v>67</v>
      </c>
      <c r="N6474" t="s">
        <v>68</v>
      </c>
      <c r="P6474" s="23">
        <v>122.84</v>
      </c>
      <c r="Q6474" s="4">
        <f t="shared" si="100"/>
        <v>-39.781830022793876</v>
      </c>
      <c r="R6474" s="23" t="s">
        <v>109</v>
      </c>
      <c r="U6474">
        <v>33</v>
      </c>
      <c r="V6474" t="e">
        <f>VLOOKUP(U6474,[1]!NOMINA[#Data],4,FALSE)</f>
        <v>#REF!</v>
      </c>
      <c r="W6474" t="e">
        <f>VLOOKUP(U6474,[1]!NOMINA[#Data],5,FALSE)</f>
        <v>#REF!</v>
      </c>
    </row>
    <row r="6475" spans="1:23" x14ac:dyDescent="0.25">
      <c r="A6475" s="21">
        <v>45867</v>
      </c>
      <c r="B6475" s="1">
        <v>415778809</v>
      </c>
      <c r="C6475" t="s">
        <v>11326</v>
      </c>
      <c r="D6475" s="43">
        <v>-4886.8</v>
      </c>
      <c r="E6475" t="s">
        <v>35</v>
      </c>
      <c r="F6475" s="2">
        <v>212901001</v>
      </c>
      <c r="G6475" s="2" t="s">
        <v>121</v>
      </c>
      <c r="L6475" s="2" t="s">
        <v>11327</v>
      </c>
      <c r="M6475" t="s">
        <v>67</v>
      </c>
      <c r="N6475" t="s">
        <v>68</v>
      </c>
      <c r="P6475" s="23">
        <v>122.84</v>
      </c>
      <c r="Q6475" s="4">
        <f t="shared" ref="Q6475:Q6538" si="101">D6475/P6475</f>
        <v>-39.781830022793876</v>
      </c>
      <c r="R6475" s="23" t="s">
        <v>109</v>
      </c>
      <c r="U6475">
        <v>34</v>
      </c>
      <c r="V6475" t="e">
        <f>VLOOKUP(U6475,[1]!NOMINA[#Data],4,FALSE)</f>
        <v>#REF!</v>
      </c>
      <c r="W6475" t="e">
        <f>VLOOKUP(U6475,[1]!NOMINA[#Data],5,FALSE)</f>
        <v>#REF!</v>
      </c>
    </row>
    <row r="6476" spans="1:23" x14ac:dyDescent="0.25">
      <c r="A6476" s="21">
        <v>45867</v>
      </c>
      <c r="B6476" s="1">
        <v>415778808</v>
      </c>
      <c r="C6476" t="s">
        <v>11328</v>
      </c>
      <c r="D6476" s="43">
        <v>-4886.8</v>
      </c>
      <c r="E6476" t="s">
        <v>35</v>
      </c>
      <c r="F6476" s="2">
        <v>212901001</v>
      </c>
      <c r="G6476" s="2" t="s">
        <v>121</v>
      </c>
      <c r="L6476" s="2" t="s">
        <v>11329</v>
      </c>
      <c r="M6476" t="s">
        <v>67</v>
      </c>
      <c r="N6476" t="s">
        <v>68</v>
      </c>
      <c r="P6476" s="23">
        <v>122.84</v>
      </c>
      <c r="Q6476" s="4">
        <f t="shared" si="101"/>
        <v>-39.781830022793876</v>
      </c>
      <c r="R6476" s="23" t="s">
        <v>109</v>
      </c>
      <c r="U6476">
        <v>16</v>
      </c>
      <c r="V6476" t="e">
        <f>VLOOKUP(Tabla3[[#This Row],[Nº]],[1]!NOMINA[#Data],4,FALSE)</f>
        <v>#REF!</v>
      </c>
      <c r="W6476" t="e">
        <f>VLOOKUP(Tabla3[[#This Row],[Nº]],[1]!NOMINA[#Data],5,FALSE)</f>
        <v>#REF!</v>
      </c>
    </row>
    <row r="6477" spans="1:23" x14ac:dyDescent="0.25">
      <c r="A6477" s="21">
        <v>45867</v>
      </c>
      <c r="B6477" s="1">
        <v>515778810</v>
      </c>
      <c r="C6477" t="s">
        <v>11330</v>
      </c>
      <c r="D6477" s="43">
        <v>-4886.8</v>
      </c>
      <c r="E6477" t="s">
        <v>35</v>
      </c>
      <c r="F6477" s="2">
        <v>212901001</v>
      </c>
      <c r="G6477" s="2" t="s">
        <v>121</v>
      </c>
      <c r="L6477" s="2" t="s">
        <v>11331</v>
      </c>
      <c r="M6477" t="s">
        <v>67</v>
      </c>
      <c r="N6477" t="s">
        <v>68</v>
      </c>
      <c r="P6477" s="23">
        <v>122.84</v>
      </c>
      <c r="Q6477" s="4">
        <f t="shared" si="101"/>
        <v>-39.781830022793876</v>
      </c>
      <c r="R6477" s="23" t="s">
        <v>109</v>
      </c>
      <c r="U6477">
        <v>6</v>
      </c>
      <c r="V6477" t="e">
        <f>VLOOKUP(Tabla3[[#This Row],[Nº]],[1]!NOMINA[#Data],4,FALSE)</f>
        <v>#REF!</v>
      </c>
      <c r="W6477" t="e">
        <f>VLOOKUP(U6477,[1]!NOMINA[#Data],5,FALSE)</f>
        <v>#REF!</v>
      </c>
    </row>
    <row r="6478" spans="1:23" x14ac:dyDescent="0.25">
      <c r="A6478" s="21">
        <v>45867</v>
      </c>
      <c r="B6478" s="1">
        <v>515778811</v>
      </c>
      <c r="C6478" t="s">
        <v>11332</v>
      </c>
      <c r="D6478" s="43">
        <v>-4886.8</v>
      </c>
      <c r="E6478" t="s">
        <v>35</v>
      </c>
      <c r="F6478" s="2">
        <v>212901001</v>
      </c>
      <c r="G6478" s="2" t="s">
        <v>121</v>
      </c>
      <c r="L6478" s="2" t="s">
        <v>11333</v>
      </c>
      <c r="M6478" t="s">
        <v>67</v>
      </c>
      <c r="N6478" t="s">
        <v>68</v>
      </c>
      <c r="P6478" s="23">
        <v>122.84</v>
      </c>
      <c r="Q6478" s="4">
        <f t="shared" si="101"/>
        <v>-39.781830022793876</v>
      </c>
      <c r="R6478" s="23" t="s">
        <v>109</v>
      </c>
      <c r="U6478">
        <v>3</v>
      </c>
      <c r="V6478" t="e">
        <f>VLOOKUP(Tabla3[[#This Row],[Nº]],[1]!NOMINA[#Data],4,FALSE)</f>
        <v>#REF!</v>
      </c>
      <c r="W6478" t="e">
        <f>VLOOKUP(U6478,[1]!NOMINA[#Data],5,FALSE)</f>
        <v>#REF!</v>
      </c>
    </row>
    <row r="6479" spans="1:23" x14ac:dyDescent="0.25">
      <c r="A6479" s="21">
        <v>45867</v>
      </c>
      <c r="B6479" s="1">
        <v>515778812</v>
      </c>
      <c r="C6479" t="s">
        <v>11334</v>
      </c>
      <c r="D6479" s="43">
        <v>-4886.8</v>
      </c>
      <c r="E6479" t="s">
        <v>35</v>
      </c>
      <c r="F6479" s="2">
        <v>212901001</v>
      </c>
      <c r="G6479" s="2" t="s">
        <v>121</v>
      </c>
      <c r="L6479" s="2" t="s">
        <v>11335</v>
      </c>
      <c r="M6479" t="s">
        <v>67</v>
      </c>
      <c r="N6479" t="s">
        <v>68</v>
      </c>
      <c r="P6479" s="23">
        <v>122.84</v>
      </c>
      <c r="Q6479" s="4">
        <f t="shared" si="101"/>
        <v>-39.781830022793876</v>
      </c>
      <c r="R6479" s="23" t="s">
        <v>109</v>
      </c>
      <c r="U6479">
        <v>24</v>
      </c>
      <c r="V6479" t="e">
        <f>VLOOKUP(Tabla3[[#This Row],[Nº]],[1]!NOMINA[#Data],4,FALSE)</f>
        <v>#REF!</v>
      </c>
      <c r="W6479" t="e">
        <f>VLOOKUP(U6479,[1]!NOMINA[#Data],5,FALSE)</f>
        <v>#REF!</v>
      </c>
    </row>
    <row r="6480" spans="1:23" x14ac:dyDescent="0.25">
      <c r="A6480" s="21">
        <v>45867</v>
      </c>
      <c r="B6480" s="1">
        <v>515778813</v>
      </c>
      <c r="C6480" t="s">
        <v>11336</v>
      </c>
      <c r="D6480" s="43">
        <v>-4886.8</v>
      </c>
      <c r="E6480" t="s">
        <v>35</v>
      </c>
      <c r="F6480" s="2">
        <v>212901001</v>
      </c>
      <c r="G6480" s="2" t="s">
        <v>121</v>
      </c>
      <c r="L6480" s="2" t="s">
        <v>11337</v>
      </c>
      <c r="M6480" t="s">
        <v>67</v>
      </c>
      <c r="N6480" t="s">
        <v>68</v>
      </c>
      <c r="P6480" s="23">
        <v>122.84</v>
      </c>
      <c r="Q6480" s="4">
        <f t="shared" si="101"/>
        <v>-39.781830022793876</v>
      </c>
      <c r="R6480" s="23" t="s">
        <v>109</v>
      </c>
      <c r="U6480">
        <v>5</v>
      </c>
      <c r="V6480" t="e">
        <f>VLOOKUP(Tabla3[[#This Row],[Nº]],[1]!NOMINA[#Data],4,FALSE)</f>
        <v>#REF!</v>
      </c>
      <c r="W6480" t="e">
        <f>VLOOKUP(U6480,[1]!NOMINA[#Data],5,FALSE)</f>
        <v>#REF!</v>
      </c>
    </row>
    <row r="6481" spans="1:23" x14ac:dyDescent="0.25">
      <c r="A6481" s="21">
        <v>45867</v>
      </c>
      <c r="B6481" s="1">
        <v>515778814</v>
      </c>
      <c r="C6481" t="s">
        <v>11338</v>
      </c>
      <c r="D6481" s="43">
        <v>-4886.8</v>
      </c>
      <c r="E6481" t="s">
        <v>35</v>
      </c>
      <c r="F6481" s="2">
        <v>212901001</v>
      </c>
      <c r="G6481" s="2" t="s">
        <v>121</v>
      </c>
      <c r="L6481" s="2" t="s">
        <v>11339</v>
      </c>
      <c r="M6481" t="s">
        <v>67</v>
      </c>
      <c r="N6481" t="s">
        <v>68</v>
      </c>
      <c r="P6481" s="23">
        <v>122.84</v>
      </c>
      <c r="Q6481" s="4">
        <f t="shared" si="101"/>
        <v>-39.781830022793876</v>
      </c>
      <c r="R6481" s="23" t="s">
        <v>109</v>
      </c>
      <c r="U6481">
        <v>32</v>
      </c>
      <c r="V6481" t="e">
        <f>VLOOKUP(Tabla3[[#This Row],[Nº]],[1]!NOMINA[#Data],4,FALSE)</f>
        <v>#REF!</v>
      </c>
      <c r="W6481" t="e">
        <f>VLOOKUP(U6481,[1]!NOMINA[#Data],5,FALSE)</f>
        <v>#REF!</v>
      </c>
    </row>
    <row r="6482" spans="1:23" x14ac:dyDescent="0.25">
      <c r="A6482" s="21">
        <v>45867</v>
      </c>
      <c r="B6482" s="1">
        <v>515778815</v>
      </c>
      <c r="C6482" t="s">
        <v>11340</v>
      </c>
      <c r="D6482" s="43">
        <v>-4886.8</v>
      </c>
      <c r="E6482" t="s">
        <v>35</v>
      </c>
      <c r="F6482" s="2">
        <v>212901001</v>
      </c>
      <c r="G6482" s="2" t="s">
        <v>121</v>
      </c>
      <c r="L6482" s="2" t="s">
        <v>11341</v>
      </c>
      <c r="M6482" t="s">
        <v>67</v>
      </c>
      <c r="N6482" t="s">
        <v>68</v>
      </c>
      <c r="P6482" s="23">
        <v>122.84</v>
      </c>
      <c r="Q6482" s="4">
        <f t="shared" si="101"/>
        <v>-39.781830022793876</v>
      </c>
      <c r="R6482" s="23" t="s">
        <v>109</v>
      </c>
      <c r="U6482">
        <v>30</v>
      </c>
      <c r="V6482" t="e">
        <f>VLOOKUP(Tabla3[[#This Row],[Nº]],[1]!NOMINA[#Data],4,FALSE)</f>
        <v>#REF!</v>
      </c>
      <c r="W6482" t="e">
        <f>VLOOKUP(U6482,[1]!NOMINA[#Data],5,FALSE)</f>
        <v>#REF!</v>
      </c>
    </row>
    <row r="6483" spans="1:23" x14ac:dyDescent="0.25">
      <c r="A6483" s="21">
        <v>45867</v>
      </c>
      <c r="B6483" s="1">
        <v>515778816</v>
      </c>
      <c r="C6483" t="s">
        <v>11342</v>
      </c>
      <c r="D6483" s="43">
        <v>-4886.8</v>
      </c>
      <c r="E6483" t="s">
        <v>35</v>
      </c>
      <c r="F6483" s="2">
        <v>212901001</v>
      </c>
      <c r="G6483" s="2" t="s">
        <v>121</v>
      </c>
      <c r="L6483" s="2" t="s">
        <v>11343</v>
      </c>
      <c r="M6483" t="s">
        <v>67</v>
      </c>
      <c r="N6483" t="s">
        <v>68</v>
      </c>
      <c r="P6483" s="23">
        <v>122.84</v>
      </c>
      <c r="Q6483" s="4">
        <f t="shared" si="101"/>
        <v>-39.781830022793876</v>
      </c>
      <c r="R6483" s="23" t="s">
        <v>109</v>
      </c>
      <c r="U6483">
        <v>27</v>
      </c>
      <c r="V6483" t="e">
        <f>VLOOKUP(Tabla3[[#This Row],[Nº]],[1]!NOMINA[#Data],4,FALSE)</f>
        <v>#REF!</v>
      </c>
      <c r="W6483" t="e">
        <f>VLOOKUP(U6483,[1]!NOMINA[#Data],5,FALSE)</f>
        <v>#REF!</v>
      </c>
    </row>
    <row r="6484" spans="1:23" x14ac:dyDescent="0.25">
      <c r="A6484" s="21">
        <v>45867</v>
      </c>
      <c r="B6484" s="1">
        <v>515778818</v>
      </c>
      <c r="C6484" t="s">
        <v>11344</v>
      </c>
      <c r="D6484" s="43">
        <v>-4886.8</v>
      </c>
      <c r="E6484" t="s">
        <v>35</v>
      </c>
      <c r="F6484" s="2">
        <v>212901001</v>
      </c>
      <c r="G6484" s="2" t="s">
        <v>121</v>
      </c>
      <c r="L6484" s="2" t="s">
        <v>11345</v>
      </c>
      <c r="M6484" t="s">
        <v>67</v>
      </c>
      <c r="N6484" t="s">
        <v>68</v>
      </c>
      <c r="P6484" s="23">
        <v>122.84</v>
      </c>
      <c r="Q6484" s="4">
        <f t="shared" si="101"/>
        <v>-39.781830022793876</v>
      </c>
      <c r="R6484" s="23" t="s">
        <v>109</v>
      </c>
      <c r="U6484">
        <v>21</v>
      </c>
      <c r="V6484" t="e">
        <f>VLOOKUP(Tabla3[[#This Row],[Nº]],[1]!NOMINA[#Data],4,FALSE)</f>
        <v>#REF!</v>
      </c>
      <c r="W6484" t="e">
        <f>VLOOKUP(U6484,[1]!NOMINA[#Data],5,FALSE)</f>
        <v>#REF!</v>
      </c>
    </row>
    <row r="6485" spans="1:23" x14ac:dyDescent="0.25">
      <c r="A6485" s="21">
        <v>45867</v>
      </c>
      <c r="B6485" s="1">
        <v>615778823</v>
      </c>
      <c r="C6485" t="s">
        <v>11346</v>
      </c>
      <c r="D6485" s="43">
        <v>-4886.8</v>
      </c>
      <c r="E6485" t="s">
        <v>35</v>
      </c>
      <c r="F6485" s="2">
        <v>212901001</v>
      </c>
      <c r="G6485" s="2" t="s">
        <v>121</v>
      </c>
      <c r="L6485" s="2" t="s">
        <v>11347</v>
      </c>
      <c r="M6485" t="s">
        <v>67</v>
      </c>
      <c r="N6485" t="s">
        <v>68</v>
      </c>
      <c r="P6485" s="23">
        <v>122.84</v>
      </c>
      <c r="Q6485" s="4">
        <f t="shared" si="101"/>
        <v>-39.781830022793876</v>
      </c>
      <c r="R6485" s="23" t="s">
        <v>109</v>
      </c>
      <c r="U6485">
        <v>7</v>
      </c>
      <c r="V6485" t="e">
        <f>VLOOKUP(Tabla3[[#This Row],[Nº]],[1]!NOMINA[#Data],4,FALSE)</f>
        <v>#REF!</v>
      </c>
      <c r="W6485" t="e">
        <f>VLOOKUP(U6485,[1]!NOMINA[#Data],5,FALSE)</f>
        <v>#REF!</v>
      </c>
    </row>
    <row r="6486" spans="1:23" x14ac:dyDescent="0.25">
      <c r="A6486" s="21">
        <v>45867</v>
      </c>
      <c r="B6486" s="1">
        <v>615778822</v>
      </c>
      <c r="C6486" t="s">
        <v>11348</v>
      </c>
      <c r="D6486" s="43">
        <v>-4886.8</v>
      </c>
      <c r="E6486" t="s">
        <v>35</v>
      </c>
      <c r="F6486" s="2">
        <v>212901001</v>
      </c>
      <c r="G6486" s="2" t="s">
        <v>121</v>
      </c>
      <c r="L6486" s="2" t="s">
        <v>11349</v>
      </c>
      <c r="M6486" t="s">
        <v>67</v>
      </c>
      <c r="N6486" t="s">
        <v>68</v>
      </c>
      <c r="P6486" s="23">
        <v>122.84</v>
      </c>
      <c r="Q6486" s="4">
        <f t="shared" si="101"/>
        <v>-39.781830022793876</v>
      </c>
      <c r="R6486" s="23" t="s">
        <v>109</v>
      </c>
      <c r="U6486">
        <v>35</v>
      </c>
      <c r="V6486" t="e">
        <f>VLOOKUP(Tabla3[[#This Row],[Nº]],[1]!NOMINA[#Data],4,FALSE)</f>
        <v>#REF!</v>
      </c>
      <c r="W6486" t="e">
        <f>VLOOKUP(U6486,[1]!NOMINA[#Data],5,FALSE)</f>
        <v>#REF!</v>
      </c>
    </row>
    <row r="6487" spans="1:23" x14ac:dyDescent="0.25">
      <c r="A6487" s="21">
        <v>45867</v>
      </c>
      <c r="B6487" s="1">
        <v>515778817</v>
      </c>
      <c r="C6487" t="s">
        <v>11350</v>
      </c>
      <c r="D6487" s="43">
        <v>-4886.8</v>
      </c>
      <c r="E6487" t="s">
        <v>35</v>
      </c>
      <c r="F6487" s="2">
        <v>212901001</v>
      </c>
      <c r="G6487" s="2" t="s">
        <v>121</v>
      </c>
      <c r="L6487" s="2" t="s">
        <v>11351</v>
      </c>
      <c r="M6487" t="s">
        <v>67</v>
      </c>
      <c r="N6487" t="s">
        <v>68</v>
      </c>
      <c r="P6487" s="23">
        <v>122.84</v>
      </c>
      <c r="Q6487" s="4">
        <f t="shared" si="101"/>
        <v>-39.781830022793876</v>
      </c>
      <c r="R6487" s="23" t="s">
        <v>109</v>
      </c>
      <c r="U6487">
        <v>25</v>
      </c>
      <c r="V6487" t="e">
        <f>VLOOKUP(Tabla3[[#This Row],[Nº]],[1]!NOMINA[#Data],4,FALSE)</f>
        <v>#REF!</v>
      </c>
      <c r="W6487" t="e">
        <f>VLOOKUP(U6487,[1]!NOMINA[#Data],5,FALSE)</f>
        <v>#REF!</v>
      </c>
    </row>
    <row r="6488" spans="1:23" x14ac:dyDescent="0.25">
      <c r="A6488" s="21">
        <v>45867</v>
      </c>
      <c r="B6488" s="1">
        <v>615778825</v>
      </c>
      <c r="C6488" t="s">
        <v>11352</v>
      </c>
      <c r="D6488" s="43">
        <v>-4886.8</v>
      </c>
      <c r="E6488" t="s">
        <v>35</v>
      </c>
      <c r="F6488" s="2">
        <v>212901001</v>
      </c>
      <c r="G6488" s="2" t="s">
        <v>121</v>
      </c>
      <c r="L6488" s="2" t="s">
        <v>11353</v>
      </c>
      <c r="M6488" t="s">
        <v>67</v>
      </c>
      <c r="N6488" t="s">
        <v>68</v>
      </c>
      <c r="P6488" s="23">
        <v>122.84</v>
      </c>
      <c r="Q6488" s="4">
        <f t="shared" si="101"/>
        <v>-39.781830022793876</v>
      </c>
      <c r="R6488" s="23" t="s">
        <v>109</v>
      </c>
      <c r="U6488">
        <v>11</v>
      </c>
      <c r="V6488" t="e">
        <f>VLOOKUP(Tabla3[[#This Row],[Nº]],[1]!NOMINA[#Data],4,FALSE)</f>
        <v>#REF!</v>
      </c>
      <c r="W6488" t="e">
        <f>VLOOKUP(U6488,[1]!NOMINA[#Data],5,FALSE)</f>
        <v>#REF!</v>
      </c>
    </row>
    <row r="6489" spans="1:23" x14ac:dyDescent="0.25">
      <c r="A6489" s="21">
        <v>45867</v>
      </c>
      <c r="B6489" s="1">
        <v>615778824</v>
      </c>
      <c r="C6489" t="s">
        <v>11354</v>
      </c>
      <c r="D6489" s="43">
        <v>-4886.8</v>
      </c>
      <c r="E6489" t="s">
        <v>35</v>
      </c>
      <c r="F6489" s="2">
        <v>212901001</v>
      </c>
      <c r="G6489" s="2" t="s">
        <v>121</v>
      </c>
      <c r="L6489" s="2" t="s">
        <v>11355</v>
      </c>
      <c r="M6489" t="s">
        <v>67</v>
      </c>
      <c r="N6489" t="s">
        <v>68</v>
      </c>
      <c r="P6489" s="23">
        <v>122.84</v>
      </c>
      <c r="Q6489" s="4">
        <f t="shared" si="101"/>
        <v>-39.781830022793876</v>
      </c>
      <c r="R6489" s="23" t="s">
        <v>109</v>
      </c>
      <c r="U6489">
        <v>29</v>
      </c>
      <c r="V6489" t="e">
        <f>VLOOKUP(U6489,[1]!NOMINA[#Data],4,FALSE)</f>
        <v>#REF!</v>
      </c>
      <c r="W6489" t="e">
        <f>VLOOKUP(U6489,[1]!NOMINA[#Data],5,FALSE)</f>
        <v>#REF!</v>
      </c>
    </row>
    <row r="6490" spans="1:23" x14ac:dyDescent="0.25">
      <c r="A6490" s="21">
        <v>45867</v>
      </c>
      <c r="B6490" s="1">
        <v>615778820</v>
      </c>
      <c r="C6490" t="s">
        <v>11356</v>
      </c>
      <c r="D6490" s="43">
        <v>-4886.8</v>
      </c>
      <c r="E6490" t="s">
        <v>35</v>
      </c>
      <c r="F6490" s="2">
        <v>212901001</v>
      </c>
      <c r="G6490" s="2" t="s">
        <v>121</v>
      </c>
      <c r="L6490" s="2" t="s">
        <v>11357</v>
      </c>
      <c r="M6490" t="s">
        <v>67</v>
      </c>
      <c r="N6490" t="s">
        <v>68</v>
      </c>
      <c r="P6490" s="23">
        <v>122.84</v>
      </c>
      <c r="Q6490" s="4">
        <f t="shared" si="101"/>
        <v>-39.781830022793876</v>
      </c>
      <c r="R6490" s="23" t="s">
        <v>109</v>
      </c>
      <c r="U6490">
        <v>10</v>
      </c>
      <c r="V6490" t="e">
        <f>VLOOKUP(Tabla3[[#This Row],[Nº]],[1]!NOMINA[#Data],4,FALSE)</f>
        <v>#REF!</v>
      </c>
      <c r="W6490" t="e">
        <f>VLOOKUP(U6490,[1]!NOMINA[#Data],5,FALSE)</f>
        <v>#REF!</v>
      </c>
    </row>
    <row r="6491" spans="1:23" x14ac:dyDescent="0.25">
      <c r="A6491" s="21">
        <v>45867</v>
      </c>
      <c r="B6491" s="1">
        <v>615778826</v>
      </c>
      <c r="C6491" t="s">
        <v>11358</v>
      </c>
      <c r="D6491" s="43">
        <v>-4886.8</v>
      </c>
      <c r="E6491" t="s">
        <v>35</v>
      </c>
      <c r="F6491" s="2">
        <v>212901001</v>
      </c>
      <c r="G6491" s="2" t="s">
        <v>121</v>
      </c>
      <c r="L6491" s="2" t="s">
        <v>11359</v>
      </c>
      <c r="M6491" t="s">
        <v>67</v>
      </c>
      <c r="N6491" t="s">
        <v>68</v>
      </c>
      <c r="P6491" s="23">
        <v>122.84</v>
      </c>
      <c r="Q6491" s="4">
        <f t="shared" si="101"/>
        <v>-39.781830022793876</v>
      </c>
      <c r="R6491" s="23" t="s">
        <v>109</v>
      </c>
      <c r="U6491">
        <v>9</v>
      </c>
      <c r="V6491" t="e">
        <f>VLOOKUP(Tabla3[[#This Row],[Nº]],[1]!NOMINA[#Data],4,FALSE)</f>
        <v>#REF!</v>
      </c>
      <c r="W6491" t="e">
        <f>VLOOKUP(U6491,[1]!NOMINA[#Data],5,FALSE)</f>
        <v>#REF!</v>
      </c>
    </row>
    <row r="6492" spans="1:23" x14ac:dyDescent="0.25">
      <c r="A6492" s="21">
        <v>45867</v>
      </c>
      <c r="B6492" s="1">
        <v>615778827</v>
      </c>
      <c r="C6492" t="s">
        <v>11360</v>
      </c>
      <c r="D6492" s="43">
        <v>-4886.8</v>
      </c>
      <c r="E6492" t="s">
        <v>35</v>
      </c>
      <c r="F6492" s="2">
        <v>212901001</v>
      </c>
      <c r="G6492" s="2" t="s">
        <v>121</v>
      </c>
      <c r="L6492" s="2" t="s">
        <v>11361</v>
      </c>
      <c r="M6492" t="s">
        <v>67</v>
      </c>
      <c r="N6492" t="s">
        <v>68</v>
      </c>
      <c r="P6492" s="23">
        <v>122.84</v>
      </c>
      <c r="Q6492" s="4">
        <f t="shared" si="101"/>
        <v>-39.781830022793876</v>
      </c>
      <c r="R6492" s="23" t="s">
        <v>109</v>
      </c>
      <c r="U6492">
        <v>18</v>
      </c>
      <c r="V6492" t="e">
        <f>VLOOKUP(Tabla3[[#This Row],[Nº]],[1]!NOMINA[#Data],4,FALSE)</f>
        <v>#REF!</v>
      </c>
      <c r="W6492" t="e">
        <f>VLOOKUP(Tabla3[[#This Row],[Nº]],[1]!NOMINA[#Data],5,FALSE)</f>
        <v>#REF!</v>
      </c>
    </row>
    <row r="6493" spans="1:23" x14ac:dyDescent="0.25">
      <c r="A6493" s="21">
        <v>45867</v>
      </c>
      <c r="B6493" s="1">
        <v>615778828</v>
      </c>
      <c r="C6493" t="s">
        <v>11362</v>
      </c>
      <c r="D6493" s="43">
        <v>-4886.8</v>
      </c>
      <c r="E6493" t="s">
        <v>35</v>
      </c>
      <c r="F6493" s="2">
        <v>212901001</v>
      </c>
      <c r="G6493" s="2" t="s">
        <v>121</v>
      </c>
      <c r="L6493" s="2" t="s">
        <v>11363</v>
      </c>
      <c r="M6493" t="s">
        <v>67</v>
      </c>
      <c r="N6493" t="s">
        <v>68</v>
      </c>
      <c r="P6493" s="23">
        <v>122.84</v>
      </c>
      <c r="Q6493" s="4">
        <f t="shared" si="101"/>
        <v>-39.781830022793876</v>
      </c>
      <c r="R6493" s="23" t="s">
        <v>109</v>
      </c>
      <c r="U6493">
        <v>38</v>
      </c>
      <c r="V6493" t="e">
        <f>VLOOKUP(U6493,[1]!NOMINA[#Data],4,FALSE)</f>
        <v>#REF!</v>
      </c>
      <c r="W6493" t="e">
        <f>VLOOKUP(U6493,[1]!NOMINA[#Data],5,FALSE)</f>
        <v>#REF!</v>
      </c>
    </row>
    <row r="6494" spans="1:23" x14ac:dyDescent="0.25">
      <c r="A6494" s="21">
        <v>45867</v>
      </c>
      <c r="B6494" s="1">
        <v>615778829</v>
      </c>
      <c r="C6494" t="s">
        <v>11364</v>
      </c>
      <c r="D6494" s="43">
        <v>-61.65</v>
      </c>
      <c r="E6494" t="s">
        <v>35</v>
      </c>
      <c r="F6494" s="2">
        <v>212901001</v>
      </c>
      <c r="G6494" s="2" t="s">
        <v>121</v>
      </c>
      <c r="L6494" s="2" t="s">
        <v>11365</v>
      </c>
      <c r="M6494" t="s">
        <v>67</v>
      </c>
      <c r="N6494" t="s">
        <v>68</v>
      </c>
      <c r="P6494" s="23">
        <v>122.84</v>
      </c>
      <c r="Q6494" s="4">
        <f t="shared" si="101"/>
        <v>-0.50187235428199284</v>
      </c>
      <c r="R6494" s="23" t="s">
        <v>109</v>
      </c>
      <c r="U6494">
        <v>2</v>
      </c>
      <c r="V6494" t="e">
        <f>VLOOKUP(Tabla3[[#This Row],[Nº]],[1]!NOMINA[#Data],4,FALSE)</f>
        <v>#REF!</v>
      </c>
      <c r="W6494" t="e">
        <f>VLOOKUP(Tabla3[[#This Row],[Nº]],[1]!NOMINA[#Data],5,FALSE)</f>
        <v>#REF!</v>
      </c>
    </row>
    <row r="6495" spans="1:23" x14ac:dyDescent="0.25">
      <c r="A6495" s="21">
        <v>45867</v>
      </c>
      <c r="B6495" s="1">
        <v>715778830</v>
      </c>
      <c r="C6495" t="s">
        <v>11366</v>
      </c>
      <c r="D6495" s="43">
        <v>-61.65</v>
      </c>
      <c r="E6495" t="s">
        <v>35</v>
      </c>
      <c r="F6495" s="2">
        <v>212901001</v>
      </c>
      <c r="G6495" s="2" t="s">
        <v>121</v>
      </c>
      <c r="L6495" s="2" t="s">
        <v>11367</v>
      </c>
      <c r="M6495" t="s">
        <v>67</v>
      </c>
      <c r="N6495" t="s">
        <v>68</v>
      </c>
      <c r="P6495" s="23">
        <v>122.84</v>
      </c>
      <c r="Q6495" s="4">
        <f t="shared" si="101"/>
        <v>-0.50187235428199284</v>
      </c>
      <c r="R6495" s="23" t="s">
        <v>109</v>
      </c>
      <c r="U6495">
        <v>31</v>
      </c>
      <c r="V6495" t="e">
        <f>VLOOKUP(Tabla3[[#This Row],[Nº]],[1]!NOMINA[#Data],4,FALSE)</f>
        <v>#REF!</v>
      </c>
      <c r="W6495" t="e">
        <f>VLOOKUP(U6495,[1]!NOMINA[#Data],5,FALSE)</f>
        <v>#REF!</v>
      </c>
    </row>
    <row r="6496" spans="1:23" x14ac:dyDescent="0.25">
      <c r="A6496" s="21">
        <v>45867</v>
      </c>
      <c r="B6496" s="1">
        <v>715778832</v>
      </c>
      <c r="C6496" t="s">
        <v>11368</v>
      </c>
      <c r="D6496" s="43">
        <v>-61.65</v>
      </c>
      <c r="E6496" t="s">
        <v>35</v>
      </c>
      <c r="F6496" s="2">
        <v>212901001</v>
      </c>
      <c r="G6496" s="2" t="s">
        <v>121</v>
      </c>
      <c r="L6496" s="2" t="s">
        <v>11369</v>
      </c>
      <c r="M6496" t="s">
        <v>67</v>
      </c>
      <c r="N6496" t="s">
        <v>68</v>
      </c>
      <c r="P6496" s="23">
        <v>122.84</v>
      </c>
      <c r="Q6496" s="4">
        <f t="shared" si="101"/>
        <v>-0.50187235428199284</v>
      </c>
      <c r="R6496" s="23" t="s">
        <v>109</v>
      </c>
      <c r="U6496">
        <v>28</v>
      </c>
      <c r="V6496" t="e">
        <f>VLOOKUP(Tabla3[[#This Row],[Nº]],[1]!NOMINA[#Data],4,FALSE)</f>
        <v>#REF!</v>
      </c>
      <c r="W6496" t="e">
        <f>VLOOKUP(U6496,[1]!NOMINA[#Data],5,FALSE)</f>
        <v>#REF!</v>
      </c>
    </row>
    <row r="6497" spans="1:23" x14ac:dyDescent="0.25">
      <c r="A6497" s="21">
        <v>45867</v>
      </c>
      <c r="B6497" s="1">
        <v>715778831</v>
      </c>
      <c r="C6497" t="s">
        <v>11370</v>
      </c>
      <c r="D6497" s="43">
        <v>-61.65</v>
      </c>
      <c r="E6497" t="s">
        <v>35</v>
      </c>
      <c r="F6497" s="2">
        <v>212901001</v>
      </c>
      <c r="G6497" s="2" t="s">
        <v>121</v>
      </c>
      <c r="L6497" s="2" t="s">
        <v>11371</v>
      </c>
      <c r="M6497" t="s">
        <v>67</v>
      </c>
      <c r="N6497" t="s">
        <v>68</v>
      </c>
      <c r="P6497" s="23">
        <v>122.84</v>
      </c>
      <c r="Q6497" s="4">
        <f t="shared" si="101"/>
        <v>-0.50187235428199284</v>
      </c>
      <c r="R6497" s="23" t="s">
        <v>109</v>
      </c>
      <c r="U6497">
        <v>22</v>
      </c>
      <c r="V6497" t="e">
        <f>VLOOKUP(Tabla3[[#This Row],[Nº]],[1]!NOMINA[#Data],4,FALSE)</f>
        <v>#REF!</v>
      </c>
      <c r="W6497" t="e">
        <f>VLOOKUP(U6497,[1]!NOMINA[#Data],5,FALSE)</f>
        <v>#REF!</v>
      </c>
    </row>
    <row r="6498" spans="1:23" x14ac:dyDescent="0.25">
      <c r="A6498" s="21">
        <v>45867</v>
      </c>
      <c r="B6498" s="1">
        <v>715778833</v>
      </c>
      <c r="C6498" t="s">
        <v>11372</v>
      </c>
      <c r="D6498" s="43">
        <v>-61.65</v>
      </c>
      <c r="E6498" t="s">
        <v>35</v>
      </c>
      <c r="F6498" s="2">
        <v>212901001</v>
      </c>
      <c r="G6498" s="2" t="s">
        <v>121</v>
      </c>
      <c r="L6498" s="2" t="s">
        <v>11373</v>
      </c>
      <c r="M6498" t="s">
        <v>67</v>
      </c>
      <c r="N6498" t="s">
        <v>68</v>
      </c>
      <c r="P6498" s="23">
        <v>122.84</v>
      </c>
      <c r="Q6498" s="4">
        <f t="shared" si="101"/>
        <v>-0.50187235428199284</v>
      </c>
      <c r="R6498" s="23" t="s">
        <v>109</v>
      </c>
      <c r="U6498">
        <v>23</v>
      </c>
      <c r="V6498" t="e">
        <f>VLOOKUP(Tabla3[[#This Row],[Nº]],[1]!NOMINA[#Data],4,FALSE)</f>
        <v>#REF!</v>
      </c>
      <c r="W6498" t="e">
        <f>VLOOKUP(U6498,[1]!NOMINA[#Data],5,FALSE)</f>
        <v>#REF!</v>
      </c>
    </row>
    <row r="6499" spans="1:23" x14ac:dyDescent="0.25">
      <c r="A6499" s="21">
        <v>45867</v>
      </c>
      <c r="B6499" s="1">
        <v>715778830</v>
      </c>
      <c r="C6499" t="s">
        <v>11374</v>
      </c>
      <c r="D6499" s="43">
        <v>-61.65</v>
      </c>
      <c r="E6499" t="s">
        <v>35</v>
      </c>
      <c r="F6499" s="2">
        <v>212901001</v>
      </c>
      <c r="G6499" s="2" t="s">
        <v>121</v>
      </c>
      <c r="L6499" s="2" t="s">
        <v>11375</v>
      </c>
      <c r="M6499" t="s">
        <v>67</v>
      </c>
      <c r="N6499" t="s">
        <v>68</v>
      </c>
      <c r="P6499" s="23">
        <v>122.84</v>
      </c>
      <c r="Q6499" s="4">
        <f t="shared" si="101"/>
        <v>-0.50187235428199284</v>
      </c>
      <c r="R6499" s="23" t="s">
        <v>109</v>
      </c>
      <c r="U6499">
        <v>19</v>
      </c>
      <c r="V6499" t="e">
        <f>VLOOKUP(Tabla3[[#This Row],[Nº]],[1]!NOMINA[#Data],4,FALSE)</f>
        <v>#REF!</v>
      </c>
      <c r="W6499" t="e">
        <f>VLOOKUP(U6499,[1]!NOMINA[#Data],5,FALSE)</f>
        <v>#REF!</v>
      </c>
    </row>
    <row r="6500" spans="1:23" x14ac:dyDescent="0.25">
      <c r="A6500" s="21">
        <v>45867</v>
      </c>
      <c r="B6500" s="1">
        <v>715778832</v>
      </c>
      <c r="C6500" t="s">
        <v>11376</v>
      </c>
      <c r="D6500" s="43">
        <v>-61.65</v>
      </c>
      <c r="E6500" t="s">
        <v>35</v>
      </c>
      <c r="F6500" s="2">
        <v>212901001</v>
      </c>
      <c r="G6500" s="2" t="s">
        <v>121</v>
      </c>
      <c r="L6500" s="2" t="s">
        <v>11377</v>
      </c>
      <c r="M6500" t="s">
        <v>67</v>
      </c>
      <c r="N6500" t="s">
        <v>68</v>
      </c>
      <c r="P6500" s="23">
        <v>122.84</v>
      </c>
      <c r="Q6500" s="4">
        <f t="shared" si="101"/>
        <v>-0.50187235428199284</v>
      </c>
      <c r="R6500" s="23" t="s">
        <v>109</v>
      </c>
      <c r="U6500">
        <v>17</v>
      </c>
      <c r="V6500" t="e">
        <f>VLOOKUP(Tabla3[[#This Row],[Nº]],[1]!NOMINA[#Data],4,FALSE)</f>
        <v>#REF!</v>
      </c>
      <c r="W6500" t="e">
        <f>VLOOKUP(U6500,[1]!NOMINA[#Data],5,FALSE)</f>
        <v>#REF!</v>
      </c>
    </row>
    <row r="6501" spans="1:23" x14ac:dyDescent="0.25">
      <c r="A6501" s="21">
        <v>45867</v>
      </c>
      <c r="B6501" s="1">
        <v>715778831</v>
      </c>
      <c r="C6501" t="s">
        <v>11378</v>
      </c>
      <c r="D6501" s="43">
        <v>-61.65</v>
      </c>
      <c r="E6501" t="s">
        <v>35</v>
      </c>
      <c r="F6501" s="2">
        <v>212901001</v>
      </c>
      <c r="G6501" s="2" t="s">
        <v>121</v>
      </c>
      <c r="L6501" s="2" t="s">
        <v>11379</v>
      </c>
      <c r="M6501" t="s">
        <v>67</v>
      </c>
      <c r="N6501" t="s">
        <v>68</v>
      </c>
      <c r="P6501" s="23">
        <v>122.84</v>
      </c>
      <c r="Q6501" s="4">
        <f t="shared" si="101"/>
        <v>-0.50187235428199284</v>
      </c>
      <c r="R6501" s="23" t="s">
        <v>109</v>
      </c>
      <c r="U6501">
        <v>15</v>
      </c>
      <c r="V6501" t="e">
        <f>VLOOKUP(Tabla3[[#This Row],[Nº]],[1]!NOMINA[#Data],4,FALSE)</f>
        <v>#REF!</v>
      </c>
      <c r="W6501" t="e">
        <f>VLOOKUP(U6501,[1]!NOMINA[#Data],5,FALSE)</f>
        <v>#REF!</v>
      </c>
    </row>
    <row r="6502" spans="1:23" x14ac:dyDescent="0.25">
      <c r="A6502" s="21">
        <v>45867</v>
      </c>
      <c r="B6502" s="1">
        <v>715778833</v>
      </c>
      <c r="C6502" t="s">
        <v>11380</v>
      </c>
      <c r="D6502" s="43">
        <v>-61.65</v>
      </c>
      <c r="E6502" t="s">
        <v>35</v>
      </c>
      <c r="F6502" s="2">
        <v>212901001</v>
      </c>
      <c r="G6502" s="2" t="s">
        <v>121</v>
      </c>
      <c r="L6502" s="2" t="s">
        <v>11381</v>
      </c>
      <c r="M6502" t="s">
        <v>67</v>
      </c>
      <c r="N6502" t="s">
        <v>68</v>
      </c>
      <c r="P6502" s="23">
        <v>122.84</v>
      </c>
      <c r="Q6502" s="4">
        <f t="shared" si="101"/>
        <v>-0.50187235428199284</v>
      </c>
      <c r="R6502" s="23" t="s">
        <v>109</v>
      </c>
      <c r="U6502">
        <v>14</v>
      </c>
      <c r="V6502" t="e">
        <f>VLOOKUP(Tabla3[[#This Row],[Nº]],[1]!NOMINA[#Data],4,FALSE)</f>
        <v>#REF!</v>
      </c>
      <c r="W6502" t="e">
        <f>VLOOKUP(U6502,[1]!NOMINA[#Data],5,FALSE)</f>
        <v>#REF!</v>
      </c>
    </row>
    <row r="6503" spans="1:23" x14ac:dyDescent="0.25">
      <c r="A6503" s="21">
        <v>45867</v>
      </c>
      <c r="B6503" s="1">
        <v>715778835</v>
      </c>
      <c r="C6503" t="s">
        <v>11382</v>
      </c>
      <c r="D6503" s="43">
        <v>-61.65</v>
      </c>
      <c r="E6503" t="s">
        <v>35</v>
      </c>
      <c r="F6503" s="2">
        <v>212901001</v>
      </c>
      <c r="G6503" s="2" t="s">
        <v>121</v>
      </c>
      <c r="L6503" s="2" t="s">
        <v>11383</v>
      </c>
      <c r="M6503" t="s">
        <v>67</v>
      </c>
      <c r="N6503" t="s">
        <v>68</v>
      </c>
      <c r="P6503" s="23">
        <v>122.84</v>
      </c>
      <c r="Q6503" s="4">
        <f t="shared" si="101"/>
        <v>-0.50187235428199284</v>
      </c>
      <c r="R6503" s="23" t="s">
        <v>109</v>
      </c>
      <c r="U6503">
        <v>26</v>
      </c>
      <c r="V6503" t="e">
        <f>VLOOKUP(Tabla3[[#This Row],[Nº]],[1]!NOMINA[#Data],4,FALSE)</f>
        <v>#REF!</v>
      </c>
      <c r="W6503" t="e">
        <f>VLOOKUP(Tabla3[[#This Row],[Nº]],[1]!NOMINA[#Data],5,FALSE)</f>
        <v>#REF!</v>
      </c>
    </row>
    <row r="6504" spans="1:23" x14ac:dyDescent="0.25">
      <c r="A6504" s="21">
        <v>45867</v>
      </c>
      <c r="B6504" s="1">
        <v>715778834</v>
      </c>
      <c r="C6504" t="s">
        <v>11384</v>
      </c>
      <c r="D6504" s="43">
        <v>-61.65</v>
      </c>
      <c r="E6504" t="s">
        <v>35</v>
      </c>
      <c r="F6504" s="2">
        <v>212901001</v>
      </c>
      <c r="G6504" s="2" t="s">
        <v>121</v>
      </c>
      <c r="L6504" s="2" t="s">
        <v>11385</v>
      </c>
      <c r="M6504" t="s">
        <v>67</v>
      </c>
      <c r="N6504" t="s">
        <v>68</v>
      </c>
      <c r="P6504" s="23">
        <v>122.84</v>
      </c>
      <c r="Q6504" s="4">
        <f t="shared" si="101"/>
        <v>-0.50187235428199284</v>
      </c>
      <c r="R6504" s="23" t="s">
        <v>109</v>
      </c>
      <c r="U6504">
        <v>8</v>
      </c>
      <c r="V6504" t="e">
        <f>VLOOKUP(Tabla3[[#This Row],[Nº]],[1]!NOMINA[#Data],4,FALSE)</f>
        <v>#REF!</v>
      </c>
      <c r="W6504" t="e">
        <f>VLOOKUP(U6504,[1]!NOMINA[#Data],5,FALSE)</f>
        <v>#REF!</v>
      </c>
    </row>
    <row r="6505" spans="1:23" x14ac:dyDescent="0.25">
      <c r="A6505" s="21">
        <v>45867</v>
      </c>
      <c r="B6505" s="1">
        <v>715778840</v>
      </c>
      <c r="C6505" t="s">
        <v>11386</v>
      </c>
      <c r="D6505" s="43">
        <v>-61.65</v>
      </c>
      <c r="E6505" t="s">
        <v>35</v>
      </c>
      <c r="F6505" s="2">
        <v>212901001</v>
      </c>
      <c r="G6505" s="2" t="s">
        <v>121</v>
      </c>
      <c r="L6505" s="2" t="s">
        <v>11387</v>
      </c>
      <c r="M6505" t="s">
        <v>67</v>
      </c>
      <c r="N6505" t="s">
        <v>68</v>
      </c>
      <c r="P6505" s="23">
        <v>122.84</v>
      </c>
      <c r="Q6505" s="4">
        <f t="shared" si="101"/>
        <v>-0.50187235428199284</v>
      </c>
      <c r="R6505" s="23" t="s">
        <v>109</v>
      </c>
      <c r="U6505">
        <v>13</v>
      </c>
      <c r="V6505" t="e">
        <f>VLOOKUP(Tabla3[[#This Row],[Nº]],[1]!NOMINA[#Data],4,FALSE)</f>
        <v>#REF!</v>
      </c>
      <c r="W6505" t="e">
        <f>VLOOKUP(U6505,[1]!NOMINA[#Data],5,FALSE)</f>
        <v>#REF!</v>
      </c>
    </row>
    <row r="6506" spans="1:23" x14ac:dyDescent="0.25">
      <c r="A6506" s="21">
        <v>45867</v>
      </c>
      <c r="B6506" s="1">
        <v>715778837</v>
      </c>
      <c r="C6506" t="s">
        <v>11388</v>
      </c>
      <c r="D6506" s="43">
        <v>-61.65</v>
      </c>
      <c r="E6506" t="s">
        <v>35</v>
      </c>
      <c r="F6506" s="2">
        <v>212901001</v>
      </c>
      <c r="G6506" s="2" t="s">
        <v>121</v>
      </c>
      <c r="L6506" s="2" t="s">
        <v>11389</v>
      </c>
      <c r="M6506" t="s">
        <v>67</v>
      </c>
      <c r="N6506" t="s">
        <v>68</v>
      </c>
      <c r="P6506" s="23">
        <v>122.84</v>
      </c>
      <c r="Q6506" s="4">
        <f t="shared" si="101"/>
        <v>-0.50187235428199284</v>
      </c>
      <c r="R6506" s="23" t="s">
        <v>109</v>
      </c>
      <c r="U6506">
        <v>1</v>
      </c>
      <c r="V6506" t="e">
        <f>VLOOKUP(U6506,[1]!NOMINA[#Data],4,FALSE)</f>
        <v>#REF!</v>
      </c>
      <c r="W6506" t="e">
        <f>VLOOKUP(U6506,[1]!NOMINA[#Data],5,FALSE)</f>
        <v>#REF!</v>
      </c>
    </row>
    <row r="6507" spans="1:23" x14ac:dyDescent="0.25">
      <c r="A6507" s="21">
        <v>45867</v>
      </c>
      <c r="B6507" s="1">
        <v>715778836</v>
      </c>
      <c r="C6507" t="s">
        <v>11390</v>
      </c>
      <c r="D6507" s="43">
        <v>-61.65</v>
      </c>
      <c r="E6507" t="s">
        <v>35</v>
      </c>
      <c r="F6507" s="2">
        <v>212901001</v>
      </c>
      <c r="G6507" s="2" t="s">
        <v>121</v>
      </c>
      <c r="L6507" s="2" t="s">
        <v>11391</v>
      </c>
      <c r="M6507" t="s">
        <v>67</v>
      </c>
      <c r="N6507" t="s">
        <v>68</v>
      </c>
      <c r="P6507" s="23">
        <v>122.84</v>
      </c>
      <c r="Q6507" s="4">
        <f t="shared" si="101"/>
        <v>-0.50187235428199284</v>
      </c>
      <c r="R6507" s="23" t="s">
        <v>109</v>
      </c>
      <c r="U6507">
        <v>20</v>
      </c>
      <c r="V6507" t="e">
        <f>VLOOKUP(Tabla3[[#This Row],[Nº]],[1]!NOMINA[#Data],4,FALSE)</f>
        <v>#REF!</v>
      </c>
      <c r="W6507" t="e">
        <f>VLOOKUP(U6507,[1]!NOMINA[#Data],5,FALSE)</f>
        <v>#REF!</v>
      </c>
    </row>
    <row r="6508" spans="1:23" x14ac:dyDescent="0.25">
      <c r="A6508" s="21">
        <v>45867</v>
      </c>
      <c r="B6508" s="1">
        <v>715778838</v>
      </c>
      <c r="C6508" t="s">
        <v>11392</v>
      </c>
      <c r="D6508" s="43">
        <v>-61.65</v>
      </c>
      <c r="E6508" t="s">
        <v>35</v>
      </c>
      <c r="F6508" s="2">
        <v>212901001</v>
      </c>
      <c r="G6508" s="2" t="s">
        <v>121</v>
      </c>
      <c r="L6508" s="2" t="s">
        <v>11393</v>
      </c>
      <c r="M6508" t="s">
        <v>67</v>
      </c>
      <c r="N6508" t="s">
        <v>68</v>
      </c>
      <c r="P6508" s="23">
        <v>122.84</v>
      </c>
      <c r="Q6508" s="4">
        <f t="shared" si="101"/>
        <v>-0.50187235428199284</v>
      </c>
      <c r="R6508" s="23" t="s">
        <v>109</v>
      </c>
      <c r="U6508">
        <v>12</v>
      </c>
      <c r="V6508" t="e">
        <f>VLOOKUP(Tabla3[[#This Row],[Nº]],[1]!NOMINA[#Data],4,FALSE)</f>
        <v>#REF!</v>
      </c>
      <c r="W6508" t="e">
        <f>VLOOKUP(U6508,[1]!NOMINA[#Data],5,FALSE)</f>
        <v>#REF!</v>
      </c>
    </row>
    <row r="6509" spans="1:23" x14ac:dyDescent="0.25">
      <c r="A6509" s="21">
        <v>45867</v>
      </c>
      <c r="B6509" s="1">
        <v>815778842</v>
      </c>
      <c r="C6509" t="s">
        <v>11394</v>
      </c>
      <c r="D6509" s="43">
        <v>-61.65</v>
      </c>
      <c r="E6509" t="s">
        <v>35</v>
      </c>
      <c r="F6509" s="2">
        <v>212901001</v>
      </c>
      <c r="G6509" s="2" t="s">
        <v>121</v>
      </c>
      <c r="L6509" s="2" t="s">
        <v>11395</v>
      </c>
      <c r="M6509" t="s">
        <v>67</v>
      </c>
      <c r="N6509" t="s">
        <v>68</v>
      </c>
      <c r="P6509" s="23">
        <v>122.84</v>
      </c>
      <c r="Q6509" s="4">
        <f t="shared" si="101"/>
        <v>-0.50187235428199284</v>
      </c>
      <c r="R6509" s="23" t="s">
        <v>109</v>
      </c>
      <c r="U6509">
        <v>4</v>
      </c>
      <c r="V6509" t="e">
        <f>VLOOKUP(Tabla3[[#This Row],[Nº]],[1]!NOMINA[#Data],4,FALSE)</f>
        <v>#REF!</v>
      </c>
      <c r="W6509" t="e">
        <f>VLOOKUP(U6509,[1]!NOMINA[#Data],5,FALSE)</f>
        <v>#REF!</v>
      </c>
    </row>
    <row r="6510" spans="1:23" x14ac:dyDescent="0.25">
      <c r="A6510" s="21">
        <v>45867</v>
      </c>
      <c r="B6510" s="1">
        <v>815778841</v>
      </c>
      <c r="C6510" t="s">
        <v>11396</v>
      </c>
      <c r="D6510" s="43">
        <v>-61.65</v>
      </c>
      <c r="E6510" t="s">
        <v>35</v>
      </c>
      <c r="F6510" s="2">
        <v>212901001</v>
      </c>
      <c r="G6510" s="2" t="s">
        <v>121</v>
      </c>
      <c r="L6510" s="2" t="s">
        <v>11397</v>
      </c>
      <c r="M6510" t="s">
        <v>67</v>
      </c>
      <c r="N6510" t="s">
        <v>68</v>
      </c>
      <c r="P6510" s="23">
        <v>122.84</v>
      </c>
      <c r="Q6510" s="4">
        <f t="shared" si="101"/>
        <v>-0.50187235428199284</v>
      </c>
      <c r="R6510" s="23" t="s">
        <v>109</v>
      </c>
      <c r="U6510">
        <v>33</v>
      </c>
      <c r="V6510" t="e">
        <f>VLOOKUP(U6510,[1]!NOMINA[#Data],4,FALSE)</f>
        <v>#REF!</v>
      </c>
      <c r="W6510" t="e">
        <f>VLOOKUP(U6510,[1]!NOMINA[#Data],5,FALSE)</f>
        <v>#REF!</v>
      </c>
    </row>
    <row r="6511" spans="1:23" x14ac:dyDescent="0.25">
      <c r="A6511" s="21">
        <v>45867</v>
      </c>
      <c r="B6511" s="1">
        <v>815778847</v>
      </c>
      <c r="C6511" t="s">
        <v>11398</v>
      </c>
      <c r="D6511" s="43">
        <v>-61.65</v>
      </c>
      <c r="E6511" t="s">
        <v>35</v>
      </c>
      <c r="F6511" s="2">
        <v>212901001</v>
      </c>
      <c r="G6511" s="2" t="s">
        <v>121</v>
      </c>
      <c r="L6511" s="2" t="s">
        <v>11399</v>
      </c>
      <c r="M6511" t="s">
        <v>67</v>
      </c>
      <c r="N6511" t="s">
        <v>68</v>
      </c>
      <c r="P6511" s="23">
        <v>122.84</v>
      </c>
      <c r="Q6511" s="4">
        <f t="shared" si="101"/>
        <v>-0.50187235428199284</v>
      </c>
      <c r="R6511" s="23" t="s">
        <v>109</v>
      </c>
      <c r="U6511">
        <v>34</v>
      </c>
      <c r="V6511" t="e">
        <f>VLOOKUP(U6511,[1]!NOMINA[#Data],4,FALSE)</f>
        <v>#REF!</v>
      </c>
      <c r="W6511" t="e">
        <f>VLOOKUP(U6511,[1]!NOMINA[#Data],5,FALSE)</f>
        <v>#REF!</v>
      </c>
    </row>
    <row r="6512" spans="1:23" x14ac:dyDescent="0.25">
      <c r="A6512" s="21">
        <v>45867</v>
      </c>
      <c r="B6512" s="1">
        <v>815778846</v>
      </c>
      <c r="C6512" t="s">
        <v>11400</v>
      </c>
      <c r="D6512" s="43">
        <v>-61.65</v>
      </c>
      <c r="E6512" t="s">
        <v>35</v>
      </c>
      <c r="F6512" s="2">
        <v>212901001</v>
      </c>
      <c r="G6512" s="2" t="s">
        <v>121</v>
      </c>
      <c r="L6512" s="2" t="s">
        <v>11401</v>
      </c>
      <c r="M6512" t="s">
        <v>67</v>
      </c>
      <c r="N6512" t="s">
        <v>68</v>
      </c>
      <c r="P6512" s="23">
        <v>122.84</v>
      </c>
      <c r="Q6512" s="4">
        <f t="shared" si="101"/>
        <v>-0.50187235428199284</v>
      </c>
      <c r="R6512" s="23" t="s">
        <v>109</v>
      </c>
      <c r="U6512">
        <v>16</v>
      </c>
      <c r="V6512" t="e">
        <f>VLOOKUP(Tabla3[[#This Row],[Nº]],[1]!NOMINA[#Data],4,FALSE)</f>
        <v>#REF!</v>
      </c>
      <c r="W6512" t="e">
        <f>VLOOKUP(Tabla3[[#This Row],[Nº]],[1]!NOMINA[#Data],5,FALSE)</f>
        <v>#REF!</v>
      </c>
    </row>
    <row r="6513" spans="1:23" x14ac:dyDescent="0.25">
      <c r="A6513" s="21">
        <v>45867</v>
      </c>
      <c r="B6513" s="1">
        <v>815778844</v>
      </c>
      <c r="C6513" t="s">
        <v>11402</v>
      </c>
      <c r="D6513" s="43">
        <v>-61.65</v>
      </c>
      <c r="E6513" t="s">
        <v>35</v>
      </c>
      <c r="F6513" s="2">
        <v>212901001</v>
      </c>
      <c r="G6513" s="2" t="s">
        <v>121</v>
      </c>
      <c r="L6513" s="2" t="s">
        <v>11403</v>
      </c>
      <c r="M6513" t="s">
        <v>67</v>
      </c>
      <c r="N6513" t="s">
        <v>68</v>
      </c>
      <c r="P6513" s="23">
        <v>122.84</v>
      </c>
      <c r="Q6513" s="4">
        <f t="shared" si="101"/>
        <v>-0.50187235428199284</v>
      </c>
      <c r="R6513" s="23" t="s">
        <v>109</v>
      </c>
      <c r="U6513">
        <v>6</v>
      </c>
      <c r="V6513" t="e">
        <f>VLOOKUP(Tabla3[[#This Row],[Nº]],[1]!NOMINA[#Data],4,FALSE)</f>
        <v>#REF!</v>
      </c>
      <c r="W6513" t="e">
        <f>VLOOKUP(U6513,[1]!NOMINA[#Data],5,FALSE)</f>
        <v>#REF!</v>
      </c>
    </row>
    <row r="6514" spans="1:23" x14ac:dyDescent="0.25">
      <c r="A6514" s="21">
        <v>45867</v>
      </c>
      <c r="B6514" s="1">
        <v>815778845</v>
      </c>
      <c r="C6514" t="s">
        <v>11404</v>
      </c>
      <c r="D6514" s="43">
        <v>-61.65</v>
      </c>
      <c r="E6514" t="s">
        <v>35</v>
      </c>
      <c r="F6514" s="2">
        <v>212901001</v>
      </c>
      <c r="G6514" s="2" t="s">
        <v>121</v>
      </c>
      <c r="L6514" s="2" t="s">
        <v>11405</v>
      </c>
      <c r="M6514" t="s">
        <v>67</v>
      </c>
      <c r="N6514" t="s">
        <v>68</v>
      </c>
      <c r="P6514" s="23">
        <v>122.84</v>
      </c>
      <c r="Q6514" s="4">
        <f t="shared" si="101"/>
        <v>-0.50187235428199284</v>
      </c>
      <c r="R6514" s="23" t="s">
        <v>109</v>
      </c>
      <c r="U6514">
        <v>3</v>
      </c>
      <c r="V6514" t="e">
        <f>VLOOKUP(Tabla3[[#This Row],[Nº]],[1]!NOMINA[#Data],4,FALSE)</f>
        <v>#REF!</v>
      </c>
      <c r="W6514" t="e">
        <f>VLOOKUP(U6514,[1]!NOMINA[#Data],5,FALSE)</f>
        <v>#REF!</v>
      </c>
    </row>
    <row r="6515" spans="1:23" x14ac:dyDescent="0.25">
      <c r="A6515" s="21">
        <v>45867</v>
      </c>
      <c r="B6515" s="1">
        <v>915778851</v>
      </c>
      <c r="C6515" t="s">
        <v>11406</v>
      </c>
      <c r="D6515" s="43">
        <v>-61.65</v>
      </c>
      <c r="E6515" t="s">
        <v>35</v>
      </c>
      <c r="F6515" s="2">
        <v>212901001</v>
      </c>
      <c r="G6515" s="2" t="s">
        <v>121</v>
      </c>
      <c r="L6515" s="2" t="s">
        <v>11407</v>
      </c>
      <c r="M6515" t="s">
        <v>67</v>
      </c>
      <c r="N6515" t="s">
        <v>68</v>
      </c>
      <c r="P6515" s="23">
        <v>122.84</v>
      </c>
      <c r="Q6515" s="4">
        <f t="shared" si="101"/>
        <v>-0.50187235428199284</v>
      </c>
      <c r="R6515" s="23" t="s">
        <v>109</v>
      </c>
      <c r="U6515">
        <v>24</v>
      </c>
      <c r="V6515" t="e">
        <f>VLOOKUP(Tabla3[[#This Row],[Nº]],[1]!NOMINA[#Data],4,FALSE)</f>
        <v>#REF!</v>
      </c>
      <c r="W6515" t="e">
        <f>VLOOKUP(U6515,[1]!NOMINA[#Data],5,FALSE)</f>
        <v>#REF!</v>
      </c>
    </row>
    <row r="6516" spans="1:23" x14ac:dyDescent="0.25">
      <c r="A6516" s="21">
        <v>45867</v>
      </c>
      <c r="B6516" s="1">
        <v>815778850</v>
      </c>
      <c r="C6516" t="s">
        <v>11408</v>
      </c>
      <c r="D6516" s="43">
        <v>-61.65</v>
      </c>
      <c r="E6516" t="s">
        <v>35</v>
      </c>
      <c r="F6516" s="2">
        <v>212901001</v>
      </c>
      <c r="G6516" s="2" t="s">
        <v>121</v>
      </c>
      <c r="L6516" s="2" t="s">
        <v>11409</v>
      </c>
      <c r="M6516" t="s">
        <v>67</v>
      </c>
      <c r="N6516" t="s">
        <v>68</v>
      </c>
      <c r="P6516" s="23">
        <v>122.84</v>
      </c>
      <c r="Q6516" s="4">
        <f t="shared" si="101"/>
        <v>-0.50187235428199284</v>
      </c>
      <c r="R6516" s="23" t="s">
        <v>109</v>
      </c>
      <c r="U6516">
        <v>5</v>
      </c>
      <c r="V6516" t="e">
        <f>VLOOKUP(Tabla3[[#This Row],[Nº]],[1]!NOMINA[#Data],4,FALSE)</f>
        <v>#REF!</v>
      </c>
      <c r="W6516" t="e">
        <f>VLOOKUP(U6516,[1]!NOMINA[#Data],5,FALSE)</f>
        <v>#REF!</v>
      </c>
    </row>
    <row r="6517" spans="1:23" x14ac:dyDescent="0.25">
      <c r="A6517" s="21">
        <v>45867</v>
      </c>
      <c r="B6517" s="1">
        <v>815778848</v>
      </c>
      <c r="C6517" t="s">
        <v>11410</v>
      </c>
      <c r="D6517" s="43">
        <v>-61.65</v>
      </c>
      <c r="E6517" t="s">
        <v>35</v>
      </c>
      <c r="F6517" s="2">
        <v>212901001</v>
      </c>
      <c r="G6517" s="2" t="s">
        <v>121</v>
      </c>
      <c r="L6517" s="2" t="s">
        <v>11411</v>
      </c>
      <c r="M6517" t="s">
        <v>67</v>
      </c>
      <c r="N6517" t="s">
        <v>68</v>
      </c>
      <c r="P6517" s="23">
        <v>122.84</v>
      </c>
      <c r="Q6517" s="4">
        <f t="shared" si="101"/>
        <v>-0.50187235428199284</v>
      </c>
      <c r="R6517" s="23" t="s">
        <v>109</v>
      </c>
      <c r="U6517">
        <v>32</v>
      </c>
      <c r="V6517" t="e">
        <f>VLOOKUP(Tabla3[[#This Row],[Nº]],[1]!NOMINA[#Data],4,FALSE)</f>
        <v>#REF!</v>
      </c>
      <c r="W6517" t="e">
        <f>VLOOKUP(U6517,[1]!NOMINA[#Data],5,FALSE)</f>
        <v>#REF!</v>
      </c>
    </row>
    <row r="6518" spans="1:23" x14ac:dyDescent="0.25">
      <c r="A6518" s="21">
        <v>45867</v>
      </c>
      <c r="B6518" s="1">
        <v>815778849</v>
      </c>
      <c r="C6518" t="s">
        <v>11412</v>
      </c>
      <c r="D6518" s="43">
        <v>-61.65</v>
      </c>
      <c r="E6518" t="s">
        <v>35</v>
      </c>
      <c r="F6518" s="2">
        <v>212901001</v>
      </c>
      <c r="G6518" s="2" t="s">
        <v>121</v>
      </c>
      <c r="L6518" s="2" t="s">
        <v>11413</v>
      </c>
      <c r="M6518" t="s">
        <v>67</v>
      </c>
      <c r="N6518" t="s">
        <v>68</v>
      </c>
      <c r="P6518" s="23">
        <v>122.84</v>
      </c>
      <c r="Q6518" s="4">
        <f t="shared" si="101"/>
        <v>-0.50187235428199284</v>
      </c>
      <c r="R6518" s="23" t="s">
        <v>109</v>
      </c>
      <c r="U6518">
        <v>30</v>
      </c>
      <c r="V6518" t="e">
        <f>VLOOKUP(Tabla3[[#This Row],[Nº]],[1]!NOMINA[#Data],4,FALSE)</f>
        <v>#REF!</v>
      </c>
      <c r="W6518" t="e">
        <f>VLOOKUP(U6518,[1]!NOMINA[#Data],5,FALSE)</f>
        <v>#REF!</v>
      </c>
    </row>
    <row r="6519" spans="1:23" x14ac:dyDescent="0.25">
      <c r="A6519" s="21">
        <v>45867</v>
      </c>
      <c r="B6519" s="1">
        <v>915778853</v>
      </c>
      <c r="C6519" t="s">
        <v>11414</v>
      </c>
      <c r="D6519" s="43">
        <v>-61.65</v>
      </c>
      <c r="E6519" t="s">
        <v>35</v>
      </c>
      <c r="F6519" s="2">
        <v>212901001</v>
      </c>
      <c r="G6519" s="2" t="s">
        <v>121</v>
      </c>
      <c r="L6519" s="2" t="s">
        <v>11415</v>
      </c>
      <c r="M6519" t="s">
        <v>67</v>
      </c>
      <c r="N6519" t="s">
        <v>68</v>
      </c>
      <c r="P6519" s="23">
        <v>122.84</v>
      </c>
      <c r="Q6519" s="4">
        <f t="shared" si="101"/>
        <v>-0.50187235428199284</v>
      </c>
      <c r="R6519" s="23" t="s">
        <v>109</v>
      </c>
      <c r="U6519">
        <v>27</v>
      </c>
      <c r="V6519" t="e">
        <f>VLOOKUP(Tabla3[[#This Row],[Nº]],[1]!NOMINA[#Data],4,FALSE)</f>
        <v>#REF!</v>
      </c>
      <c r="W6519" t="e">
        <f>VLOOKUP(U6519,[1]!NOMINA[#Data],5,FALSE)</f>
        <v>#REF!</v>
      </c>
    </row>
    <row r="6520" spans="1:23" x14ac:dyDescent="0.25">
      <c r="A6520" s="21">
        <v>45867</v>
      </c>
      <c r="B6520" s="1">
        <v>915778852</v>
      </c>
      <c r="C6520" t="s">
        <v>11416</v>
      </c>
      <c r="D6520" s="43">
        <v>-61.65</v>
      </c>
      <c r="E6520" t="s">
        <v>35</v>
      </c>
      <c r="F6520" s="2">
        <v>212901001</v>
      </c>
      <c r="G6520" s="2" t="s">
        <v>121</v>
      </c>
      <c r="L6520" s="2" t="s">
        <v>11417</v>
      </c>
      <c r="M6520" t="s">
        <v>67</v>
      </c>
      <c r="N6520" t="s">
        <v>68</v>
      </c>
      <c r="P6520" s="23">
        <v>122.84</v>
      </c>
      <c r="Q6520" s="4">
        <f t="shared" si="101"/>
        <v>-0.50187235428199284</v>
      </c>
      <c r="R6520" s="23" t="s">
        <v>109</v>
      </c>
      <c r="U6520">
        <v>21</v>
      </c>
      <c r="V6520" t="e">
        <f>VLOOKUP(Tabla3[[#This Row],[Nº]],[1]!NOMINA[#Data],4,FALSE)</f>
        <v>#REF!</v>
      </c>
      <c r="W6520" t="e">
        <f>VLOOKUP(U6520,[1]!NOMINA[#Data],5,FALSE)</f>
        <v>#REF!</v>
      </c>
    </row>
    <row r="6521" spans="1:23" x14ac:dyDescent="0.25">
      <c r="A6521" s="21">
        <v>45867</v>
      </c>
      <c r="B6521" s="1">
        <v>915778856</v>
      </c>
      <c r="C6521" t="s">
        <v>11418</v>
      </c>
      <c r="D6521" s="43">
        <v>-61.65</v>
      </c>
      <c r="E6521" t="s">
        <v>35</v>
      </c>
      <c r="F6521" s="2">
        <v>212901001</v>
      </c>
      <c r="G6521" s="2" t="s">
        <v>121</v>
      </c>
      <c r="L6521" s="2" t="s">
        <v>11419</v>
      </c>
      <c r="M6521" t="s">
        <v>67</v>
      </c>
      <c r="N6521" t="s">
        <v>68</v>
      </c>
      <c r="P6521" s="23">
        <v>122.84</v>
      </c>
      <c r="Q6521" s="4">
        <f t="shared" si="101"/>
        <v>-0.50187235428199284</v>
      </c>
      <c r="R6521" s="23" t="s">
        <v>109</v>
      </c>
      <c r="U6521">
        <v>7</v>
      </c>
      <c r="V6521" t="e">
        <f>VLOOKUP(Tabla3[[#This Row],[Nº]],[1]!NOMINA[#Data],4,FALSE)</f>
        <v>#REF!</v>
      </c>
      <c r="W6521" t="e">
        <f>VLOOKUP(U6521,[1]!NOMINA[#Data],5,FALSE)</f>
        <v>#REF!</v>
      </c>
    </row>
    <row r="6522" spans="1:23" x14ac:dyDescent="0.25">
      <c r="A6522" s="21">
        <v>45867</v>
      </c>
      <c r="B6522" s="1">
        <v>915778855</v>
      </c>
      <c r="C6522" t="s">
        <v>11420</v>
      </c>
      <c r="D6522" s="43">
        <v>-61.65</v>
      </c>
      <c r="E6522" t="s">
        <v>35</v>
      </c>
      <c r="F6522" s="2">
        <v>212901001</v>
      </c>
      <c r="G6522" s="2" t="s">
        <v>121</v>
      </c>
      <c r="L6522" s="2" t="s">
        <v>11421</v>
      </c>
      <c r="M6522" t="s">
        <v>67</v>
      </c>
      <c r="N6522" t="s">
        <v>68</v>
      </c>
      <c r="P6522" s="23">
        <v>122.84</v>
      </c>
      <c r="Q6522" s="4">
        <f t="shared" si="101"/>
        <v>-0.50187235428199284</v>
      </c>
      <c r="R6522" s="23" t="s">
        <v>109</v>
      </c>
      <c r="U6522">
        <v>35</v>
      </c>
      <c r="V6522" t="e">
        <f>VLOOKUP(Tabla3[[#This Row],[Nº]],[1]!NOMINA[#Data],4,FALSE)</f>
        <v>#REF!</v>
      </c>
      <c r="W6522" t="e">
        <f>VLOOKUP(U6522,[1]!NOMINA[#Data],5,FALSE)</f>
        <v>#REF!</v>
      </c>
    </row>
    <row r="6523" spans="1:23" x14ac:dyDescent="0.25">
      <c r="A6523" s="21">
        <v>45867</v>
      </c>
      <c r="B6523" s="1">
        <v>915778854</v>
      </c>
      <c r="C6523" t="s">
        <v>11422</v>
      </c>
      <c r="D6523" s="43">
        <v>-61.65</v>
      </c>
      <c r="E6523" t="s">
        <v>35</v>
      </c>
      <c r="F6523" s="2">
        <v>212901001</v>
      </c>
      <c r="G6523" s="2" t="s">
        <v>121</v>
      </c>
      <c r="L6523" s="2" t="s">
        <v>11423</v>
      </c>
      <c r="M6523" t="s">
        <v>67</v>
      </c>
      <c r="N6523" t="s">
        <v>68</v>
      </c>
      <c r="P6523" s="23">
        <v>122.84</v>
      </c>
      <c r="Q6523" s="4">
        <f t="shared" si="101"/>
        <v>-0.50187235428199284</v>
      </c>
      <c r="R6523" s="23" t="s">
        <v>109</v>
      </c>
      <c r="U6523">
        <v>25</v>
      </c>
      <c r="V6523" t="e">
        <f>VLOOKUP(Tabla3[[#This Row],[Nº]],[1]!NOMINA[#Data],4,FALSE)</f>
        <v>#REF!</v>
      </c>
      <c r="W6523" t="e">
        <f>VLOOKUP(U6523,[1]!NOMINA[#Data],5,FALSE)</f>
        <v>#REF!</v>
      </c>
    </row>
    <row r="6524" spans="1:23" x14ac:dyDescent="0.25">
      <c r="A6524" s="21">
        <v>45867</v>
      </c>
      <c r="B6524" s="1">
        <v>915778857</v>
      </c>
      <c r="C6524" t="s">
        <v>11424</v>
      </c>
      <c r="D6524" s="43">
        <v>-61.65</v>
      </c>
      <c r="E6524" t="s">
        <v>35</v>
      </c>
      <c r="F6524" s="2">
        <v>212901001</v>
      </c>
      <c r="G6524" s="2" t="s">
        <v>121</v>
      </c>
      <c r="L6524" s="2" t="s">
        <v>11425</v>
      </c>
      <c r="M6524" t="s">
        <v>67</v>
      </c>
      <c r="N6524" t="s">
        <v>68</v>
      </c>
      <c r="P6524" s="23">
        <v>122.84</v>
      </c>
      <c r="Q6524" s="4">
        <f t="shared" si="101"/>
        <v>-0.50187235428199284</v>
      </c>
      <c r="R6524" s="23" t="s">
        <v>109</v>
      </c>
      <c r="U6524">
        <v>11</v>
      </c>
      <c r="V6524" t="e">
        <f>VLOOKUP(Tabla3[[#This Row],[Nº]],[1]!NOMINA[#Data],4,FALSE)</f>
        <v>#REF!</v>
      </c>
      <c r="W6524" t="e">
        <f>VLOOKUP(U6524,[1]!NOMINA[#Data],5,FALSE)</f>
        <v>#REF!</v>
      </c>
    </row>
    <row r="6525" spans="1:23" x14ac:dyDescent="0.25">
      <c r="A6525" s="21">
        <v>45867</v>
      </c>
      <c r="B6525" s="1">
        <v>915778859</v>
      </c>
      <c r="C6525" t="s">
        <v>11426</v>
      </c>
      <c r="D6525" s="43">
        <v>-61.65</v>
      </c>
      <c r="E6525" t="s">
        <v>35</v>
      </c>
      <c r="F6525" s="2">
        <v>212901001</v>
      </c>
      <c r="G6525" s="2" t="s">
        <v>121</v>
      </c>
      <c r="L6525" s="2" t="s">
        <v>11427</v>
      </c>
      <c r="M6525" t="s">
        <v>67</v>
      </c>
      <c r="N6525" t="s">
        <v>68</v>
      </c>
      <c r="P6525" s="23">
        <v>122.84</v>
      </c>
      <c r="Q6525" s="4">
        <f t="shared" si="101"/>
        <v>-0.50187235428199284</v>
      </c>
      <c r="R6525" s="23" t="s">
        <v>109</v>
      </c>
      <c r="U6525">
        <v>29</v>
      </c>
      <c r="V6525" t="e">
        <f>VLOOKUP(U6525,[1]!NOMINA[#Data],4,FALSE)</f>
        <v>#REF!</v>
      </c>
      <c r="W6525" t="e">
        <f>VLOOKUP(U6525,[1]!NOMINA[#Data],5,FALSE)</f>
        <v>#REF!</v>
      </c>
    </row>
    <row r="6526" spans="1:23" x14ac:dyDescent="0.25">
      <c r="A6526" s="21">
        <v>45867</v>
      </c>
      <c r="B6526" s="1">
        <v>15778860</v>
      </c>
      <c r="C6526" t="s">
        <v>11428</v>
      </c>
      <c r="D6526" s="43">
        <v>-61.65</v>
      </c>
      <c r="E6526" t="s">
        <v>35</v>
      </c>
      <c r="F6526" s="2">
        <v>212901001</v>
      </c>
      <c r="G6526" s="2" t="s">
        <v>121</v>
      </c>
      <c r="L6526" s="2" t="s">
        <v>11429</v>
      </c>
      <c r="M6526" t="s">
        <v>67</v>
      </c>
      <c r="N6526" t="s">
        <v>68</v>
      </c>
      <c r="P6526" s="23">
        <v>122.84</v>
      </c>
      <c r="Q6526" s="4">
        <f t="shared" si="101"/>
        <v>-0.50187235428199284</v>
      </c>
      <c r="R6526" s="23" t="s">
        <v>109</v>
      </c>
      <c r="U6526">
        <v>9</v>
      </c>
      <c r="V6526" t="e">
        <f>VLOOKUP(Tabla3[[#This Row],[Nº]],[1]!NOMINA[#Data],4,FALSE)</f>
        <v>#REF!</v>
      </c>
      <c r="W6526" t="e">
        <f>VLOOKUP(U6526,[1]!NOMINA[#Data],5,FALSE)</f>
        <v>#REF!</v>
      </c>
    </row>
    <row r="6527" spans="1:23" x14ac:dyDescent="0.25">
      <c r="A6527" s="21">
        <v>45867</v>
      </c>
      <c r="B6527" s="1">
        <v>15778861</v>
      </c>
      <c r="C6527" t="s">
        <v>11430</v>
      </c>
      <c r="D6527" s="43">
        <v>-61.65</v>
      </c>
      <c r="E6527" t="s">
        <v>35</v>
      </c>
      <c r="F6527" s="2">
        <v>212901001</v>
      </c>
      <c r="G6527" s="2" t="s">
        <v>121</v>
      </c>
      <c r="L6527" s="2" t="s">
        <v>11431</v>
      </c>
      <c r="M6527" t="s">
        <v>67</v>
      </c>
      <c r="N6527" t="s">
        <v>68</v>
      </c>
      <c r="P6527" s="23">
        <v>122.84</v>
      </c>
      <c r="Q6527" s="4">
        <f t="shared" si="101"/>
        <v>-0.50187235428199284</v>
      </c>
      <c r="R6527" s="23" t="s">
        <v>109</v>
      </c>
      <c r="U6527">
        <v>18</v>
      </c>
      <c r="V6527" t="e">
        <f>VLOOKUP(Tabla3[[#This Row],[Nº]],[1]!NOMINA[#Data],4,FALSE)</f>
        <v>#REF!</v>
      </c>
      <c r="W6527" t="e">
        <f>VLOOKUP(Tabla3[[#This Row],[Nº]],[1]!NOMINA[#Data],5,FALSE)</f>
        <v>#REF!</v>
      </c>
    </row>
    <row r="6528" spans="1:23" x14ac:dyDescent="0.25">
      <c r="A6528" s="21">
        <v>45867</v>
      </c>
      <c r="B6528" s="1">
        <v>15778863</v>
      </c>
      <c r="C6528" t="s">
        <v>11432</v>
      </c>
      <c r="D6528" s="43">
        <v>-40.200000000000003</v>
      </c>
      <c r="E6528" t="s">
        <v>35</v>
      </c>
      <c r="F6528" s="2">
        <v>212901001</v>
      </c>
      <c r="G6528" s="2" t="s">
        <v>121</v>
      </c>
      <c r="L6528" s="2" t="s">
        <v>11433</v>
      </c>
      <c r="M6528" t="s">
        <v>67</v>
      </c>
      <c r="N6528" t="s">
        <v>68</v>
      </c>
      <c r="P6528" s="23">
        <v>122.84</v>
      </c>
      <c r="Q6528" s="4">
        <f t="shared" si="101"/>
        <v>-0.32725496580918267</v>
      </c>
      <c r="R6528" s="23" t="s">
        <v>109</v>
      </c>
      <c r="U6528">
        <v>10</v>
      </c>
      <c r="V6528" t="e">
        <f>VLOOKUP(Tabla3[[#This Row],[Nº]],[1]!NOMINA[#Data],4,FALSE)</f>
        <v>#REF!</v>
      </c>
      <c r="W6528" t="e">
        <f>VLOOKUP(U6528,[1]!NOMINA[#Data],5,FALSE)</f>
        <v>#REF!</v>
      </c>
    </row>
    <row r="6529" spans="1:20" x14ac:dyDescent="0.25">
      <c r="A6529" s="21">
        <v>45867</v>
      </c>
      <c r="B6529" s="1">
        <v>15778866</v>
      </c>
      <c r="C6529" t="s">
        <v>11434</v>
      </c>
      <c r="D6529" s="43">
        <v>-10995.3</v>
      </c>
      <c r="E6529" t="s">
        <v>35</v>
      </c>
      <c r="F6529" s="2">
        <v>212901001</v>
      </c>
      <c r="G6529" s="2" t="s">
        <v>121</v>
      </c>
      <c r="L6529" s="2" t="s">
        <v>11435</v>
      </c>
      <c r="M6529" t="s">
        <v>67</v>
      </c>
      <c r="N6529" t="s">
        <v>68</v>
      </c>
      <c r="P6529" s="23">
        <v>122.84</v>
      </c>
      <c r="Q6529" s="4">
        <f t="shared" si="101"/>
        <v>-89.509117551286224</v>
      </c>
      <c r="R6529" s="23" t="s">
        <v>109</v>
      </c>
    </row>
    <row r="6530" spans="1:20" x14ac:dyDescent="0.25">
      <c r="A6530" s="21">
        <v>45867</v>
      </c>
      <c r="B6530" s="1">
        <v>15778869</v>
      </c>
      <c r="C6530" t="s">
        <v>11436</v>
      </c>
      <c r="D6530" s="43">
        <v>-10995.3</v>
      </c>
      <c r="E6530" t="s">
        <v>35</v>
      </c>
      <c r="F6530" s="2">
        <v>212901001</v>
      </c>
      <c r="G6530" s="2" t="s">
        <v>121</v>
      </c>
      <c r="L6530" s="2" t="s">
        <v>11437</v>
      </c>
      <c r="M6530" t="s">
        <v>67</v>
      </c>
      <c r="N6530" t="s">
        <v>68</v>
      </c>
      <c r="P6530" s="23">
        <v>122.84</v>
      </c>
      <c r="Q6530" s="4">
        <f t="shared" si="101"/>
        <v>-89.509117551286224</v>
      </c>
      <c r="R6530" s="23" t="s">
        <v>109</v>
      </c>
    </row>
    <row r="6531" spans="1:20" x14ac:dyDescent="0.25">
      <c r="A6531" s="21">
        <v>45867</v>
      </c>
      <c r="B6531" s="1">
        <v>15778867</v>
      </c>
      <c r="C6531" t="s">
        <v>11438</v>
      </c>
      <c r="D6531" s="43">
        <v>-10995.3</v>
      </c>
      <c r="E6531" t="s">
        <v>35</v>
      </c>
      <c r="F6531" s="2">
        <v>212901001</v>
      </c>
      <c r="G6531" s="2" t="s">
        <v>121</v>
      </c>
      <c r="L6531" s="2" t="s">
        <v>11439</v>
      </c>
      <c r="M6531" t="s">
        <v>67</v>
      </c>
      <c r="N6531" t="s">
        <v>68</v>
      </c>
      <c r="P6531" s="23">
        <v>122.84</v>
      </c>
      <c r="Q6531" s="4">
        <f t="shared" si="101"/>
        <v>-89.509117551286224</v>
      </c>
      <c r="R6531" s="23" t="s">
        <v>109</v>
      </c>
    </row>
    <row r="6532" spans="1:20" x14ac:dyDescent="0.25">
      <c r="A6532" s="21">
        <v>45867</v>
      </c>
      <c r="B6532" s="1">
        <v>50754876</v>
      </c>
      <c r="C6532" t="s">
        <v>118</v>
      </c>
      <c r="D6532" s="43">
        <v>-1842.41</v>
      </c>
      <c r="E6532" t="s">
        <v>35</v>
      </c>
      <c r="F6532" s="2">
        <v>610148001</v>
      </c>
      <c r="G6532" s="2" t="s">
        <v>42</v>
      </c>
      <c r="L6532" s="2" t="s">
        <v>11440</v>
      </c>
      <c r="M6532" t="s">
        <v>43</v>
      </c>
      <c r="N6532" t="s">
        <v>42</v>
      </c>
      <c r="P6532" s="23">
        <v>122.84</v>
      </c>
      <c r="Q6532" s="4">
        <f t="shared" si="101"/>
        <v>-14.998453272549659</v>
      </c>
      <c r="R6532" s="23" t="s">
        <v>109</v>
      </c>
      <c r="T6532" s="23" t="s">
        <v>10222</v>
      </c>
    </row>
    <row r="6533" spans="1:20" x14ac:dyDescent="0.25">
      <c r="A6533" s="21">
        <v>45868</v>
      </c>
      <c r="B6533" s="1">
        <v>415815765</v>
      </c>
      <c r="C6533" t="s">
        <v>11441</v>
      </c>
      <c r="D6533" s="84">
        <v>-12387</v>
      </c>
      <c r="E6533" t="s">
        <v>35</v>
      </c>
      <c r="F6533">
        <v>610124003</v>
      </c>
      <c r="G6533" t="str">
        <f>VLOOKUP(F6533,[2]Hoja1!$A$3:$B$272,2,FALSE)</f>
        <v>MANTENIMIENTO VEHICULOS PERS. M/O</v>
      </c>
      <c r="H6533" s="64"/>
      <c r="I6533" s="23"/>
      <c r="J6533" s="23"/>
      <c r="K6533"/>
      <c r="L6533" s="2" t="s">
        <v>11442</v>
      </c>
      <c r="M6533" t="s">
        <v>103</v>
      </c>
      <c r="N6533" t="str">
        <f>VLOOKUP(M6533,[2]Hoja1!$D$3:$E$122,2,FALSE)</f>
        <v>GASTOS MANTENIMIENTO VEHICULOS</v>
      </c>
      <c r="O6533" s="27" t="s">
        <v>59</v>
      </c>
      <c r="P6533" s="23">
        <v>123.87</v>
      </c>
      <c r="Q6533" s="4">
        <f t="shared" si="101"/>
        <v>-100</v>
      </c>
      <c r="R6533" s="23" t="s">
        <v>109</v>
      </c>
      <c r="T6533" s="23" t="s">
        <v>11443</v>
      </c>
    </row>
    <row r="6534" spans="1:20" x14ac:dyDescent="0.25">
      <c r="A6534" s="21">
        <v>45868</v>
      </c>
      <c r="B6534" s="1">
        <v>415815767</v>
      </c>
      <c r="C6534" t="s">
        <v>11444</v>
      </c>
      <c r="D6534" s="43">
        <v>-28.88</v>
      </c>
      <c r="E6534" t="s">
        <v>35</v>
      </c>
      <c r="F6534" s="2">
        <v>210101001</v>
      </c>
      <c r="G6534" s="2" t="s">
        <v>36</v>
      </c>
      <c r="L6534" s="2" t="s">
        <v>11445</v>
      </c>
      <c r="M6534" t="s">
        <v>38</v>
      </c>
      <c r="N6534" t="s">
        <v>39</v>
      </c>
      <c r="P6534" s="23">
        <v>123.87</v>
      </c>
      <c r="Q6534" s="4">
        <f t="shared" si="101"/>
        <v>-0.23314765479938643</v>
      </c>
      <c r="R6534" s="23" t="s">
        <v>109</v>
      </c>
    </row>
    <row r="6535" spans="1:20" x14ac:dyDescent="0.25">
      <c r="A6535" s="32">
        <v>45868</v>
      </c>
      <c r="B6535" s="26">
        <v>415815766</v>
      </c>
      <c r="C6535" s="27" t="s">
        <v>90</v>
      </c>
      <c r="D6535" s="46">
        <v>-18580.5</v>
      </c>
      <c r="E6535" s="27" t="s">
        <v>35</v>
      </c>
      <c r="F6535" s="29">
        <v>610156001</v>
      </c>
      <c r="G6535" s="29" t="s">
        <v>91</v>
      </c>
      <c r="H6535" s="107"/>
      <c r="I6535" s="101"/>
      <c r="J6535" s="101"/>
      <c r="K6535" s="29"/>
      <c r="L6535" s="2" t="s">
        <v>11446</v>
      </c>
      <c r="M6535" s="27" t="s">
        <v>93</v>
      </c>
      <c r="N6535" s="27" t="s">
        <v>94</v>
      </c>
      <c r="O6535" s="27" t="s">
        <v>59</v>
      </c>
      <c r="P6535" s="31">
        <v>123.87</v>
      </c>
      <c r="Q6535" s="4">
        <f t="shared" si="101"/>
        <v>-150</v>
      </c>
      <c r="R6535" s="23" t="s">
        <v>109</v>
      </c>
      <c r="T6535" s="23" t="s">
        <v>11007</v>
      </c>
    </row>
    <row r="6536" spans="1:20" x14ac:dyDescent="0.25">
      <c r="A6536" s="21">
        <v>45868</v>
      </c>
      <c r="B6536" s="1">
        <v>50795856</v>
      </c>
      <c r="C6536" t="s">
        <v>118</v>
      </c>
      <c r="D6536" s="43">
        <v>-77.489999999999995</v>
      </c>
      <c r="E6536" t="s">
        <v>35</v>
      </c>
      <c r="F6536" s="2">
        <v>610148001</v>
      </c>
      <c r="G6536" s="2" t="s">
        <v>42</v>
      </c>
      <c r="L6536" s="2" t="s">
        <v>11447</v>
      </c>
      <c r="M6536" t="s">
        <v>43</v>
      </c>
      <c r="N6536" t="s">
        <v>42</v>
      </c>
      <c r="P6536" s="23">
        <v>123.87</v>
      </c>
      <c r="Q6536" s="4">
        <f t="shared" si="101"/>
        <v>-0.62557519980624843</v>
      </c>
      <c r="R6536" s="23" t="s">
        <v>109</v>
      </c>
      <c r="T6536" s="23" t="s">
        <v>10222</v>
      </c>
    </row>
    <row r="6537" spans="1:20" x14ac:dyDescent="0.25">
      <c r="A6537" s="21">
        <v>45869</v>
      </c>
      <c r="B6537" s="1">
        <v>230123367</v>
      </c>
      <c r="C6537" t="s">
        <v>6733</v>
      </c>
      <c r="D6537" s="43">
        <v>100000</v>
      </c>
      <c r="E6537" t="s">
        <v>46</v>
      </c>
      <c r="F6537" s="2">
        <v>110101003</v>
      </c>
      <c r="G6537" s="2" t="s">
        <v>6734</v>
      </c>
      <c r="L6537" s="2" t="s">
        <v>11448</v>
      </c>
      <c r="N6537" t="s">
        <v>6733</v>
      </c>
      <c r="P6537" s="23">
        <v>124.51</v>
      </c>
      <c r="Q6537" s="4">
        <f t="shared" si="101"/>
        <v>803.14834149867477</v>
      </c>
      <c r="R6537" s="23" t="s">
        <v>109</v>
      </c>
    </row>
    <row r="6538" spans="1:20" x14ac:dyDescent="0.25">
      <c r="A6538" s="21">
        <v>45869</v>
      </c>
      <c r="B6538" s="1">
        <v>715879722</v>
      </c>
      <c r="C6538" t="s">
        <v>11449</v>
      </c>
      <c r="D6538" s="43">
        <v>-4954.79</v>
      </c>
      <c r="E6538" t="s">
        <v>35</v>
      </c>
      <c r="F6538" s="2">
        <v>110114001</v>
      </c>
      <c r="G6538" s="2" t="s">
        <v>301</v>
      </c>
      <c r="L6538" s="2" t="s">
        <v>11450</v>
      </c>
      <c r="M6538" t="s">
        <v>788</v>
      </c>
      <c r="N6538" t="s">
        <v>789</v>
      </c>
      <c r="P6538" s="23">
        <v>124.51</v>
      </c>
      <c r="Q6538" s="4">
        <f t="shared" si="101"/>
        <v>-39.794313709742184</v>
      </c>
      <c r="R6538" s="23" t="s">
        <v>109</v>
      </c>
      <c r="S6538" s="33" t="s">
        <v>9005</v>
      </c>
    </row>
    <row r="6539" spans="1:20" x14ac:dyDescent="0.25">
      <c r="A6539" s="21">
        <v>45869</v>
      </c>
      <c r="B6539" s="1">
        <v>715879720</v>
      </c>
      <c r="C6539" t="s">
        <v>11451</v>
      </c>
      <c r="D6539" s="43">
        <v>-44898.89</v>
      </c>
      <c r="E6539" t="s">
        <v>35</v>
      </c>
      <c r="F6539" s="2">
        <v>110114001</v>
      </c>
      <c r="G6539" s="2" t="s">
        <v>301</v>
      </c>
      <c r="L6539" s="2" t="s">
        <v>11452</v>
      </c>
      <c r="M6539" t="s">
        <v>10253</v>
      </c>
      <c r="N6539" t="s">
        <v>10254</v>
      </c>
      <c r="P6539" s="23">
        <v>124.51</v>
      </c>
      <c r="Q6539" s="4">
        <f t="shared" ref="Q6539:Q6602" si="102">D6539/P6539</f>
        <v>-360.60469038631436</v>
      </c>
      <c r="R6539" s="23" t="s">
        <v>109</v>
      </c>
      <c r="S6539" s="33" t="s">
        <v>9005</v>
      </c>
    </row>
    <row r="6540" spans="1:20" x14ac:dyDescent="0.25">
      <c r="A6540" s="21">
        <v>45869</v>
      </c>
      <c r="B6540" s="1">
        <v>715879723</v>
      </c>
      <c r="C6540" t="s">
        <v>11453</v>
      </c>
      <c r="D6540" s="43">
        <v>-1858.08</v>
      </c>
      <c r="E6540" t="s">
        <v>35</v>
      </c>
      <c r="F6540" s="2">
        <v>110114001</v>
      </c>
      <c r="G6540" s="2" t="s">
        <v>301</v>
      </c>
      <c r="L6540" s="2" t="s">
        <v>11454</v>
      </c>
      <c r="M6540" t="s">
        <v>788</v>
      </c>
      <c r="N6540" t="s">
        <v>789</v>
      </c>
      <c r="P6540" s="23">
        <v>124.51</v>
      </c>
      <c r="Q6540" s="4">
        <f t="shared" si="102"/>
        <v>-14.923138703718575</v>
      </c>
      <c r="R6540" s="23" t="s">
        <v>109</v>
      </c>
      <c r="S6540" s="33" t="s">
        <v>9005</v>
      </c>
    </row>
    <row r="6541" spans="1:20" ht="15.75" thickBot="1" x14ac:dyDescent="0.3">
      <c r="A6541" s="32">
        <v>45869</v>
      </c>
      <c r="B6541" s="26">
        <v>715879726</v>
      </c>
      <c r="C6541" s="27" t="s">
        <v>11455</v>
      </c>
      <c r="D6541" s="46">
        <v>-2490.1999999999998</v>
      </c>
      <c r="E6541" s="27" t="s">
        <v>35</v>
      </c>
      <c r="F6541" s="29">
        <v>610125001</v>
      </c>
      <c r="G6541" s="29" t="s">
        <v>5746</v>
      </c>
      <c r="H6541" s="107"/>
      <c r="I6541" s="101"/>
      <c r="J6541" s="101"/>
      <c r="K6541" s="29"/>
      <c r="L6541" s="2" t="s">
        <v>11456</v>
      </c>
      <c r="M6541" s="27" t="s">
        <v>772</v>
      </c>
      <c r="N6541" s="27" t="s">
        <v>773</v>
      </c>
      <c r="O6541" s="27" t="s">
        <v>59</v>
      </c>
      <c r="P6541" s="31">
        <v>124.51</v>
      </c>
      <c r="Q6541" s="4">
        <f t="shared" si="102"/>
        <v>-19.999999999999996</v>
      </c>
      <c r="R6541" s="23" t="s">
        <v>109</v>
      </c>
      <c r="T6541" s="23" t="s">
        <v>11457</v>
      </c>
    </row>
    <row r="6542" spans="1:20" ht="15.75" thickBot="1" x14ac:dyDescent="0.3">
      <c r="A6542" s="21">
        <v>45869</v>
      </c>
      <c r="B6542" s="1">
        <v>715879725</v>
      </c>
      <c r="C6542" t="s">
        <v>11458</v>
      </c>
      <c r="D6542" s="43">
        <v>-5046.32</v>
      </c>
      <c r="E6542" t="s">
        <v>35</v>
      </c>
      <c r="F6542" s="2">
        <v>610156001</v>
      </c>
      <c r="G6542" s="2" t="s">
        <v>91</v>
      </c>
      <c r="L6542" s="2" t="s">
        <v>11459</v>
      </c>
      <c r="M6542" s="85" t="s">
        <v>976</v>
      </c>
      <c r="N6542" s="85" t="s">
        <v>977</v>
      </c>
      <c r="P6542" s="23">
        <v>124.51</v>
      </c>
      <c r="Q6542" s="4">
        <f t="shared" si="102"/>
        <v>-40.529435386715924</v>
      </c>
      <c r="R6542" s="23" t="s">
        <v>109</v>
      </c>
    </row>
    <row r="6543" spans="1:20" x14ac:dyDescent="0.25">
      <c r="A6543" s="21">
        <v>45869</v>
      </c>
      <c r="B6543" s="1">
        <v>50747576</v>
      </c>
      <c r="C6543" t="s">
        <v>118</v>
      </c>
      <c r="D6543" s="43">
        <v>-148.12</v>
      </c>
      <c r="E6543" t="s">
        <v>35</v>
      </c>
      <c r="F6543" s="2">
        <v>610148001</v>
      </c>
      <c r="G6543" s="2" t="s">
        <v>42</v>
      </c>
      <c r="L6543" s="2" t="s">
        <v>11460</v>
      </c>
      <c r="M6543" t="s">
        <v>43</v>
      </c>
      <c r="N6543" t="s">
        <v>42</v>
      </c>
      <c r="P6543" s="23">
        <v>124.51</v>
      </c>
      <c r="Q6543" s="4">
        <f t="shared" si="102"/>
        <v>-1.1896233234278371</v>
      </c>
      <c r="R6543" s="23" t="s">
        <v>109</v>
      </c>
      <c r="T6543" s="23" t="s">
        <v>10222</v>
      </c>
    </row>
    <row r="6544" spans="1:20" x14ac:dyDescent="0.25">
      <c r="A6544" s="21">
        <v>45869</v>
      </c>
      <c r="C6544" t="s">
        <v>1192</v>
      </c>
      <c r="D6544" s="43">
        <v>-0.5</v>
      </c>
      <c r="E6544" t="s">
        <v>35</v>
      </c>
      <c r="F6544" s="2">
        <v>610148001</v>
      </c>
      <c r="G6544" s="2" t="s">
        <v>42</v>
      </c>
      <c r="L6544" s="2" t="s">
        <v>11461</v>
      </c>
      <c r="M6544" t="s">
        <v>43</v>
      </c>
      <c r="N6544" t="s">
        <v>42</v>
      </c>
      <c r="P6544" s="23">
        <v>124.51</v>
      </c>
      <c r="Q6544" s="4">
        <f t="shared" si="102"/>
        <v>-4.0157417074933735E-3</v>
      </c>
      <c r="R6544" s="23" t="s">
        <v>109</v>
      </c>
      <c r="T6544" s="23" t="s">
        <v>10222</v>
      </c>
    </row>
    <row r="6545" spans="1:20" x14ac:dyDescent="0.25">
      <c r="A6545" s="21">
        <v>45869</v>
      </c>
      <c r="C6545" t="s">
        <v>1194</v>
      </c>
      <c r="D6545" s="43">
        <v>-0.5</v>
      </c>
      <c r="E6545" t="s">
        <v>35</v>
      </c>
      <c r="F6545" s="2">
        <v>610148001</v>
      </c>
      <c r="G6545" s="2" t="s">
        <v>42</v>
      </c>
      <c r="L6545" s="2" t="s">
        <v>11462</v>
      </c>
      <c r="M6545" t="s">
        <v>43</v>
      </c>
      <c r="N6545" t="s">
        <v>42</v>
      </c>
      <c r="P6545" s="23">
        <v>124.51</v>
      </c>
      <c r="Q6545" s="4">
        <f t="shared" si="102"/>
        <v>-4.0157417074933735E-3</v>
      </c>
      <c r="R6545" s="23" t="s">
        <v>109</v>
      </c>
      <c r="T6545" s="23" t="s">
        <v>10222</v>
      </c>
    </row>
    <row r="6546" spans="1:20" x14ac:dyDescent="0.25">
      <c r="A6546" s="21">
        <v>45840</v>
      </c>
      <c r="B6546" s="1" t="s">
        <v>11463</v>
      </c>
      <c r="C6546" t="s">
        <v>544</v>
      </c>
      <c r="D6546" s="43" t="s">
        <v>11464</v>
      </c>
      <c r="E6546" t="s">
        <v>46</v>
      </c>
      <c r="F6546" s="2">
        <v>210115002</v>
      </c>
      <c r="G6546" s="2" t="s">
        <v>47</v>
      </c>
      <c r="L6546" s="2" t="s">
        <v>11465</v>
      </c>
      <c r="N6546" t="s">
        <v>544</v>
      </c>
      <c r="P6546" s="23">
        <v>108.98</v>
      </c>
      <c r="Q6546" s="4">
        <f t="shared" si="102"/>
        <v>24866.948063864929</v>
      </c>
      <c r="R6546" s="23" t="s">
        <v>11466</v>
      </c>
    </row>
    <row r="6547" spans="1:20" x14ac:dyDescent="0.25">
      <c r="A6547" s="21">
        <v>45840</v>
      </c>
      <c r="B6547" s="1" t="s">
        <v>1208</v>
      </c>
      <c r="C6547" t="s">
        <v>8982</v>
      </c>
      <c r="D6547" s="43" t="s">
        <v>9845</v>
      </c>
      <c r="E6547" t="s">
        <v>35</v>
      </c>
      <c r="F6547" s="2">
        <v>110114001</v>
      </c>
      <c r="G6547" s="2" t="s">
        <v>301</v>
      </c>
      <c r="L6547" s="2" t="s">
        <v>11467</v>
      </c>
      <c r="M6547" t="s">
        <v>2028</v>
      </c>
      <c r="N6547" t="s">
        <v>2029</v>
      </c>
      <c r="P6547" s="23">
        <v>108.98</v>
      </c>
      <c r="Q6547" s="4">
        <f t="shared" si="102"/>
        <v>-1835.1991191044228</v>
      </c>
      <c r="R6547" s="23" t="s">
        <v>11466</v>
      </c>
    </row>
    <row r="6548" spans="1:20" x14ac:dyDescent="0.25">
      <c r="A6548" s="21">
        <v>45840</v>
      </c>
      <c r="B6548" s="1" t="s">
        <v>1208</v>
      </c>
      <c r="C6548" t="s">
        <v>8982</v>
      </c>
      <c r="D6548" s="43" t="s">
        <v>9845</v>
      </c>
      <c r="E6548" t="s">
        <v>35</v>
      </c>
      <c r="F6548" s="2">
        <v>110114001</v>
      </c>
      <c r="G6548" s="2" t="s">
        <v>301</v>
      </c>
      <c r="L6548" s="2" t="s">
        <v>11468</v>
      </c>
      <c r="M6548" t="s">
        <v>2028</v>
      </c>
      <c r="N6548" t="s">
        <v>2029</v>
      </c>
      <c r="P6548" s="23">
        <v>108.98</v>
      </c>
      <c r="Q6548" s="4">
        <f t="shared" si="102"/>
        <v>-1835.1991191044228</v>
      </c>
      <c r="R6548" s="23" t="s">
        <v>11466</v>
      </c>
    </row>
    <row r="6549" spans="1:20" x14ac:dyDescent="0.25">
      <c r="A6549" s="21">
        <v>45840</v>
      </c>
      <c r="B6549" s="1" t="s">
        <v>1208</v>
      </c>
      <c r="C6549" t="s">
        <v>8982</v>
      </c>
      <c r="D6549" s="43" t="s">
        <v>9845</v>
      </c>
      <c r="E6549" t="s">
        <v>35</v>
      </c>
      <c r="F6549" s="2">
        <v>110114001</v>
      </c>
      <c r="G6549" s="2" t="s">
        <v>301</v>
      </c>
      <c r="L6549" s="2" t="s">
        <v>11469</v>
      </c>
      <c r="M6549" t="s">
        <v>2028</v>
      </c>
      <c r="N6549" t="s">
        <v>2029</v>
      </c>
      <c r="P6549" s="23">
        <v>108.98</v>
      </c>
      <c r="Q6549" s="4">
        <f t="shared" si="102"/>
        <v>-1835.1991191044228</v>
      </c>
      <c r="R6549" s="23" t="s">
        <v>11466</v>
      </c>
    </row>
    <row r="6550" spans="1:20" ht="15.75" x14ac:dyDescent="0.25">
      <c r="A6550" s="21">
        <v>45840</v>
      </c>
      <c r="B6550" s="1" t="s">
        <v>1208</v>
      </c>
      <c r="C6550" t="s">
        <v>11470</v>
      </c>
      <c r="D6550" s="43" t="s">
        <v>11471</v>
      </c>
      <c r="E6550" t="s">
        <v>35</v>
      </c>
      <c r="F6550" s="2">
        <v>110114001</v>
      </c>
      <c r="G6550" s="2" t="s">
        <v>301</v>
      </c>
      <c r="L6550" s="2" t="s">
        <v>11472</v>
      </c>
      <c r="M6550" t="s">
        <v>38</v>
      </c>
      <c r="N6550" t="s">
        <v>39</v>
      </c>
      <c r="P6550" s="23">
        <v>108.98</v>
      </c>
      <c r="Q6550" s="4">
        <f t="shared" si="102"/>
        <v>-1640.3170306478253</v>
      </c>
      <c r="R6550" s="23" t="s">
        <v>11466</v>
      </c>
      <c r="S6550" s="36" t="s">
        <v>9005</v>
      </c>
    </row>
    <row r="6551" spans="1:20" x14ac:dyDescent="0.25">
      <c r="A6551" s="21">
        <v>45840</v>
      </c>
      <c r="B6551" s="1" t="s">
        <v>1208</v>
      </c>
      <c r="C6551" t="s">
        <v>8982</v>
      </c>
      <c r="D6551" s="43" t="s">
        <v>9845</v>
      </c>
      <c r="E6551" t="s">
        <v>35</v>
      </c>
      <c r="F6551" s="2">
        <v>110114001</v>
      </c>
      <c r="G6551" s="2" t="s">
        <v>301</v>
      </c>
      <c r="L6551" s="2" t="s">
        <v>11473</v>
      </c>
      <c r="M6551" t="s">
        <v>2028</v>
      </c>
      <c r="N6551" t="s">
        <v>2029</v>
      </c>
      <c r="P6551" s="23">
        <v>108.98</v>
      </c>
      <c r="Q6551" s="4">
        <f t="shared" si="102"/>
        <v>-1835.1991191044228</v>
      </c>
      <c r="R6551" s="23" t="s">
        <v>11466</v>
      </c>
    </row>
    <row r="6552" spans="1:20" ht="15.75" x14ac:dyDescent="0.25">
      <c r="A6552" s="21">
        <v>45840</v>
      </c>
      <c r="B6552" s="1" t="s">
        <v>1208</v>
      </c>
      <c r="C6552" t="s">
        <v>11470</v>
      </c>
      <c r="D6552" s="43" t="s">
        <v>9845</v>
      </c>
      <c r="E6552" t="s">
        <v>35</v>
      </c>
      <c r="F6552" s="2">
        <v>110114001</v>
      </c>
      <c r="G6552" s="2" t="s">
        <v>301</v>
      </c>
      <c r="L6552" s="2" t="s">
        <v>11474</v>
      </c>
      <c r="M6552" t="s">
        <v>38</v>
      </c>
      <c r="N6552" t="s">
        <v>39</v>
      </c>
      <c r="P6552" s="23">
        <v>108.98</v>
      </c>
      <c r="Q6552" s="4">
        <f t="shared" si="102"/>
        <v>-1835.1991191044228</v>
      </c>
      <c r="R6552" s="23" t="s">
        <v>11466</v>
      </c>
      <c r="S6552" s="36" t="s">
        <v>9005</v>
      </c>
    </row>
    <row r="6553" spans="1:20" ht="15.75" x14ac:dyDescent="0.25">
      <c r="A6553" s="21">
        <v>45840</v>
      </c>
      <c r="B6553" s="1" t="s">
        <v>3933</v>
      </c>
      <c r="C6553" t="s">
        <v>11470</v>
      </c>
      <c r="D6553" s="43" t="s">
        <v>9845</v>
      </c>
      <c r="E6553" t="s">
        <v>35</v>
      </c>
      <c r="F6553" s="2">
        <v>110114001</v>
      </c>
      <c r="G6553" s="2" t="s">
        <v>301</v>
      </c>
      <c r="L6553" s="2" t="s">
        <v>11475</v>
      </c>
      <c r="M6553" t="s">
        <v>38</v>
      </c>
      <c r="N6553" t="s">
        <v>39</v>
      </c>
      <c r="P6553" s="23">
        <v>108.98</v>
      </c>
      <c r="Q6553" s="4">
        <f t="shared" si="102"/>
        <v>-1835.1991191044228</v>
      </c>
      <c r="R6553" s="23" t="s">
        <v>11466</v>
      </c>
      <c r="S6553" s="36" t="s">
        <v>9005</v>
      </c>
    </row>
    <row r="6554" spans="1:20" ht="15.75" x14ac:dyDescent="0.25">
      <c r="A6554" s="21">
        <v>45840</v>
      </c>
      <c r="B6554" s="1" t="s">
        <v>3933</v>
      </c>
      <c r="C6554" t="s">
        <v>11470</v>
      </c>
      <c r="D6554" s="43" t="s">
        <v>9845</v>
      </c>
      <c r="E6554" t="s">
        <v>35</v>
      </c>
      <c r="F6554" s="2">
        <v>110114001</v>
      </c>
      <c r="G6554" s="2" t="s">
        <v>301</v>
      </c>
      <c r="L6554" s="2" t="s">
        <v>11476</v>
      </c>
      <c r="M6554" t="s">
        <v>38</v>
      </c>
      <c r="N6554" t="s">
        <v>39</v>
      </c>
      <c r="P6554" s="23">
        <v>108.98</v>
      </c>
      <c r="Q6554" s="4">
        <f t="shared" si="102"/>
        <v>-1835.1991191044228</v>
      </c>
      <c r="R6554" s="23" t="s">
        <v>11466</v>
      </c>
      <c r="S6554" s="36" t="s">
        <v>9005</v>
      </c>
    </row>
    <row r="6555" spans="1:20" ht="15.75" x14ac:dyDescent="0.25">
      <c r="A6555" s="21">
        <v>45840</v>
      </c>
      <c r="B6555" s="1" t="s">
        <v>1208</v>
      </c>
      <c r="C6555" t="s">
        <v>11470</v>
      </c>
      <c r="D6555" s="43" t="s">
        <v>9845</v>
      </c>
      <c r="E6555" t="s">
        <v>35</v>
      </c>
      <c r="F6555" s="2">
        <v>110114001</v>
      </c>
      <c r="G6555" s="2" t="s">
        <v>301</v>
      </c>
      <c r="L6555" s="2" t="s">
        <v>11477</v>
      </c>
      <c r="M6555" t="s">
        <v>38</v>
      </c>
      <c r="N6555" t="s">
        <v>39</v>
      </c>
      <c r="P6555" s="23">
        <v>108.98</v>
      </c>
      <c r="Q6555" s="4">
        <f t="shared" si="102"/>
        <v>-1835.1991191044228</v>
      </c>
      <c r="R6555" s="23" t="s">
        <v>11466</v>
      </c>
      <c r="S6555" s="36" t="s">
        <v>9005</v>
      </c>
    </row>
    <row r="6556" spans="1:20" ht="15.75" x14ac:dyDescent="0.25">
      <c r="A6556" s="21">
        <v>45840</v>
      </c>
      <c r="B6556" s="1" t="s">
        <v>1208</v>
      </c>
      <c r="C6556" t="s">
        <v>11470</v>
      </c>
      <c r="D6556" s="43" t="s">
        <v>9845</v>
      </c>
      <c r="E6556" t="s">
        <v>35</v>
      </c>
      <c r="F6556" s="2">
        <v>110114001</v>
      </c>
      <c r="G6556" s="2" t="s">
        <v>301</v>
      </c>
      <c r="L6556" s="2" t="s">
        <v>11478</v>
      </c>
      <c r="M6556" t="s">
        <v>38</v>
      </c>
      <c r="N6556" t="s">
        <v>39</v>
      </c>
      <c r="P6556" s="23">
        <v>108.98</v>
      </c>
      <c r="Q6556" s="4">
        <f t="shared" si="102"/>
        <v>-1835.1991191044228</v>
      </c>
      <c r="R6556" s="23" t="s">
        <v>11466</v>
      </c>
      <c r="S6556" s="36" t="s">
        <v>9005</v>
      </c>
    </row>
    <row r="6557" spans="1:20" ht="15.75" x14ac:dyDescent="0.25">
      <c r="A6557" s="21">
        <v>45840</v>
      </c>
      <c r="B6557" s="1" t="s">
        <v>1208</v>
      </c>
      <c r="C6557" t="s">
        <v>11470</v>
      </c>
      <c r="D6557" s="43" t="s">
        <v>9845</v>
      </c>
      <c r="E6557" t="s">
        <v>35</v>
      </c>
      <c r="F6557" s="2">
        <v>110114001</v>
      </c>
      <c r="G6557" s="2" t="s">
        <v>301</v>
      </c>
      <c r="L6557" s="2" t="s">
        <v>11479</v>
      </c>
      <c r="M6557" t="s">
        <v>38</v>
      </c>
      <c r="N6557" t="s">
        <v>39</v>
      </c>
      <c r="P6557" s="23">
        <v>108.98</v>
      </c>
      <c r="Q6557" s="4">
        <f t="shared" si="102"/>
        <v>-1835.1991191044228</v>
      </c>
      <c r="R6557" s="23" t="s">
        <v>11466</v>
      </c>
      <c r="S6557" s="36" t="s">
        <v>9005</v>
      </c>
    </row>
    <row r="6558" spans="1:20" ht="15.75" x14ac:dyDescent="0.25">
      <c r="A6558" s="21">
        <v>45840</v>
      </c>
      <c r="B6558" s="1" t="s">
        <v>3933</v>
      </c>
      <c r="C6558" t="s">
        <v>11470</v>
      </c>
      <c r="D6558" s="43" t="s">
        <v>9845</v>
      </c>
      <c r="E6558" t="s">
        <v>35</v>
      </c>
      <c r="F6558" s="2">
        <v>110114001</v>
      </c>
      <c r="G6558" s="2" t="s">
        <v>301</v>
      </c>
      <c r="L6558" s="2" t="s">
        <v>11480</v>
      </c>
      <c r="M6558" t="s">
        <v>38</v>
      </c>
      <c r="N6558" t="s">
        <v>39</v>
      </c>
      <c r="P6558" s="23">
        <v>108.98</v>
      </c>
      <c r="Q6558" s="4">
        <f t="shared" si="102"/>
        <v>-1835.1991191044228</v>
      </c>
      <c r="R6558" s="23" t="s">
        <v>11466</v>
      </c>
      <c r="S6558" s="36" t="s">
        <v>9005</v>
      </c>
    </row>
    <row r="6559" spans="1:20" ht="15.75" x14ac:dyDescent="0.25">
      <c r="A6559" s="21">
        <v>45840</v>
      </c>
      <c r="B6559" s="1" t="s">
        <v>3933</v>
      </c>
      <c r="C6559" t="s">
        <v>11470</v>
      </c>
      <c r="D6559" s="43" t="s">
        <v>9845</v>
      </c>
      <c r="E6559" t="s">
        <v>35</v>
      </c>
      <c r="F6559" s="2">
        <v>110114001</v>
      </c>
      <c r="G6559" s="2" t="s">
        <v>301</v>
      </c>
      <c r="L6559" s="2" t="s">
        <v>11481</v>
      </c>
      <c r="M6559" t="s">
        <v>38</v>
      </c>
      <c r="N6559" t="s">
        <v>39</v>
      </c>
      <c r="P6559" s="23">
        <v>108.98</v>
      </c>
      <c r="Q6559" s="4">
        <f t="shared" si="102"/>
        <v>-1835.1991191044228</v>
      </c>
      <c r="R6559" s="23" t="s">
        <v>11466</v>
      </c>
      <c r="S6559" s="36" t="s">
        <v>9005</v>
      </c>
    </row>
    <row r="6560" spans="1:20" x14ac:dyDescent="0.25">
      <c r="A6560" s="21">
        <v>45840</v>
      </c>
      <c r="B6560" s="1" t="s">
        <v>3933</v>
      </c>
      <c r="C6560" t="s">
        <v>8982</v>
      </c>
      <c r="D6560" s="43" t="s">
        <v>11482</v>
      </c>
      <c r="E6560" t="s">
        <v>35</v>
      </c>
      <c r="F6560" s="2">
        <v>110114001</v>
      </c>
      <c r="G6560" s="2" t="s">
        <v>301</v>
      </c>
      <c r="L6560" s="2" t="s">
        <v>11483</v>
      </c>
      <c r="M6560" t="s">
        <v>2028</v>
      </c>
      <c r="N6560" t="s">
        <v>2029</v>
      </c>
      <c r="P6560" s="23">
        <v>108.98</v>
      </c>
      <c r="Q6560" s="4">
        <f t="shared" si="102"/>
        <v>-1159.2035235823087</v>
      </c>
      <c r="R6560" s="23" t="s">
        <v>11466</v>
      </c>
    </row>
    <row r="6561" spans="1:20" x14ac:dyDescent="0.25">
      <c r="A6561" s="21">
        <v>45840</v>
      </c>
      <c r="B6561" s="1" t="s">
        <v>1223</v>
      </c>
      <c r="C6561" t="s">
        <v>1221</v>
      </c>
      <c r="D6561" s="43" t="s">
        <v>11484</v>
      </c>
      <c r="E6561" t="s">
        <v>35</v>
      </c>
      <c r="F6561" s="2">
        <v>610148001</v>
      </c>
      <c r="G6561" s="2" t="s">
        <v>42</v>
      </c>
      <c r="L6561" s="2" t="s">
        <v>11485</v>
      </c>
      <c r="M6561" t="s">
        <v>43</v>
      </c>
      <c r="N6561" t="s">
        <v>42</v>
      </c>
      <c r="P6561" s="23">
        <v>108.98</v>
      </c>
      <c r="Q6561" s="4">
        <f t="shared" si="102"/>
        <v>-4.1007524316388322</v>
      </c>
      <c r="R6561" s="23" t="s">
        <v>11466</v>
      </c>
    </row>
    <row r="6562" spans="1:20" x14ac:dyDescent="0.25">
      <c r="A6562" s="21">
        <v>45840</v>
      </c>
      <c r="B6562" s="1" t="s">
        <v>1223</v>
      </c>
      <c r="C6562" t="s">
        <v>1221</v>
      </c>
      <c r="D6562" s="43" t="s">
        <v>9774</v>
      </c>
      <c r="E6562" t="s">
        <v>35</v>
      </c>
      <c r="F6562" s="2">
        <v>610148001</v>
      </c>
      <c r="G6562" s="2" t="s">
        <v>42</v>
      </c>
      <c r="L6562" s="2" t="s">
        <v>11486</v>
      </c>
      <c r="M6562" t="s">
        <v>43</v>
      </c>
      <c r="N6562" t="s">
        <v>42</v>
      </c>
      <c r="P6562" s="23">
        <v>108.98</v>
      </c>
      <c r="Q6562" s="4">
        <f t="shared" si="102"/>
        <v>-4.5879977977610569</v>
      </c>
      <c r="R6562" s="23" t="s">
        <v>11466</v>
      </c>
    </row>
    <row r="6563" spans="1:20" x14ac:dyDescent="0.25">
      <c r="A6563" s="21">
        <v>45840</v>
      </c>
      <c r="B6563" s="1" t="s">
        <v>3967</v>
      </c>
      <c r="C6563" t="s">
        <v>1221</v>
      </c>
      <c r="D6563" s="43" t="s">
        <v>9774</v>
      </c>
      <c r="E6563" t="s">
        <v>35</v>
      </c>
      <c r="F6563" s="2">
        <v>610148001</v>
      </c>
      <c r="G6563" s="2" t="s">
        <v>42</v>
      </c>
      <c r="L6563" s="2" t="s">
        <v>11487</v>
      </c>
      <c r="M6563" t="s">
        <v>43</v>
      </c>
      <c r="N6563" t="s">
        <v>42</v>
      </c>
      <c r="P6563" s="23">
        <v>108.98</v>
      </c>
      <c r="Q6563" s="4">
        <f t="shared" si="102"/>
        <v>-4.5879977977610569</v>
      </c>
      <c r="R6563" s="23" t="s">
        <v>11466</v>
      </c>
    </row>
    <row r="6564" spans="1:20" x14ac:dyDescent="0.25">
      <c r="A6564" s="21">
        <v>45840</v>
      </c>
      <c r="B6564" s="1" t="s">
        <v>1223</v>
      </c>
      <c r="C6564" t="s">
        <v>1221</v>
      </c>
      <c r="D6564" s="43" t="s">
        <v>9774</v>
      </c>
      <c r="E6564" t="s">
        <v>35</v>
      </c>
      <c r="F6564" s="2">
        <v>610148001</v>
      </c>
      <c r="G6564" s="2" t="s">
        <v>42</v>
      </c>
      <c r="L6564" s="2" t="s">
        <v>11488</v>
      </c>
      <c r="M6564" t="s">
        <v>43</v>
      </c>
      <c r="N6564" t="s">
        <v>42</v>
      </c>
      <c r="P6564" s="23">
        <v>108.98</v>
      </c>
      <c r="Q6564" s="4">
        <f t="shared" si="102"/>
        <v>-4.5879977977610569</v>
      </c>
      <c r="R6564" s="23" t="s">
        <v>11466</v>
      </c>
    </row>
    <row r="6565" spans="1:20" x14ac:dyDescent="0.25">
      <c r="A6565" s="21">
        <v>45840</v>
      </c>
      <c r="B6565" s="1" t="s">
        <v>3967</v>
      </c>
      <c r="C6565" t="s">
        <v>1221</v>
      </c>
      <c r="D6565" s="43" t="s">
        <v>9774</v>
      </c>
      <c r="E6565" t="s">
        <v>35</v>
      </c>
      <c r="F6565" s="2">
        <v>610148001</v>
      </c>
      <c r="G6565" s="2" t="s">
        <v>42</v>
      </c>
      <c r="L6565" s="2" t="s">
        <v>11489</v>
      </c>
      <c r="M6565" t="s">
        <v>43</v>
      </c>
      <c r="N6565" t="s">
        <v>42</v>
      </c>
      <c r="P6565" s="23">
        <v>108.98</v>
      </c>
      <c r="Q6565" s="4">
        <f t="shared" si="102"/>
        <v>-4.5879977977610569</v>
      </c>
      <c r="R6565" s="23" t="s">
        <v>11466</v>
      </c>
    </row>
    <row r="6566" spans="1:20" x14ac:dyDescent="0.25">
      <c r="A6566" s="21">
        <v>45840</v>
      </c>
      <c r="B6566" s="1" t="s">
        <v>1223</v>
      </c>
      <c r="C6566" t="s">
        <v>1221</v>
      </c>
      <c r="D6566" s="43" t="s">
        <v>9774</v>
      </c>
      <c r="E6566" t="s">
        <v>35</v>
      </c>
      <c r="F6566" s="2">
        <v>610148001</v>
      </c>
      <c r="G6566" s="2" t="s">
        <v>42</v>
      </c>
      <c r="L6566" s="2" t="s">
        <v>11490</v>
      </c>
      <c r="M6566" t="s">
        <v>43</v>
      </c>
      <c r="N6566" t="s">
        <v>42</v>
      </c>
      <c r="P6566" s="23">
        <v>108.98</v>
      </c>
      <c r="Q6566" s="4">
        <f t="shared" si="102"/>
        <v>-4.5879977977610569</v>
      </c>
      <c r="R6566" s="23" t="s">
        <v>11466</v>
      </c>
    </row>
    <row r="6567" spans="1:20" x14ac:dyDescent="0.25">
      <c r="A6567" s="21">
        <v>45840</v>
      </c>
      <c r="B6567" s="1" t="s">
        <v>1223</v>
      </c>
      <c r="C6567" t="s">
        <v>1221</v>
      </c>
      <c r="D6567" s="43" t="s">
        <v>9774</v>
      </c>
      <c r="E6567" t="s">
        <v>35</v>
      </c>
      <c r="F6567" s="2">
        <v>610148001</v>
      </c>
      <c r="G6567" s="2" t="s">
        <v>42</v>
      </c>
      <c r="L6567" s="2" t="s">
        <v>11491</v>
      </c>
      <c r="M6567" t="s">
        <v>43</v>
      </c>
      <c r="N6567" t="s">
        <v>42</v>
      </c>
      <c r="P6567" s="23">
        <v>108.98</v>
      </c>
      <c r="Q6567" s="4">
        <f t="shared" si="102"/>
        <v>-4.5879977977610569</v>
      </c>
      <c r="R6567" s="23" t="s">
        <v>11466</v>
      </c>
    </row>
    <row r="6568" spans="1:20" x14ac:dyDescent="0.25">
      <c r="A6568" s="21">
        <v>45840</v>
      </c>
      <c r="B6568" s="1" t="s">
        <v>1223</v>
      </c>
      <c r="C6568" t="s">
        <v>1221</v>
      </c>
      <c r="D6568" s="43" t="s">
        <v>9774</v>
      </c>
      <c r="E6568" t="s">
        <v>35</v>
      </c>
      <c r="F6568" s="2">
        <v>610148001</v>
      </c>
      <c r="G6568" s="2" t="s">
        <v>42</v>
      </c>
      <c r="L6568" s="2" t="s">
        <v>11492</v>
      </c>
      <c r="M6568" t="s">
        <v>43</v>
      </c>
      <c r="N6568" t="s">
        <v>42</v>
      </c>
      <c r="P6568" s="23">
        <v>108.98</v>
      </c>
      <c r="Q6568" s="4">
        <f t="shared" si="102"/>
        <v>-4.5879977977610569</v>
      </c>
      <c r="R6568" s="23" t="s">
        <v>11466</v>
      </c>
    </row>
    <row r="6569" spans="1:20" x14ac:dyDescent="0.25">
      <c r="A6569" s="21">
        <v>45840</v>
      </c>
      <c r="B6569" s="1" t="s">
        <v>1223</v>
      </c>
      <c r="C6569" t="s">
        <v>1221</v>
      </c>
      <c r="D6569" s="43" t="s">
        <v>9774</v>
      </c>
      <c r="E6569" t="s">
        <v>35</v>
      </c>
      <c r="F6569" s="2">
        <v>610148001</v>
      </c>
      <c r="G6569" s="2" t="s">
        <v>42</v>
      </c>
      <c r="L6569" s="2" t="s">
        <v>11493</v>
      </c>
      <c r="M6569" t="s">
        <v>43</v>
      </c>
      <c r="N6569" t="s">
        <v>42</v>
      </c>
      <c r="P6569" s="23">
        <v>108.98</v>
      </c>
      <c r="Q6569" s="4">
        <f t="shared" si="102"/>
        <v>-4.5879977977610569</v>
      </c>
      <c r="R6569" s="23" t="s">
        <v>11466</v>
      </c>
    </row>
    <row r="6570" spans="1:20" x14ac:dyDescent="0.25">
      <c r="A6570" s="21">
        <v>45840</v>
      </c>
      <c r="B6570" s="1" t="s">
        <v>1223</v>
      </c>
      <c r="C6570" t="s">
        <v>1221</v>
      </c>
      <c r="D6570" s="43" t="s">
        <v>9774</v>
      </c>
      <c r="E6570" t="s">
        <v>35</v>
      </c>
      <c r="F6570" s="2">
        <v>610148001</v>
      </c>
      <c r="G6570" s="2" t="s">
        <v>42</v>
      </c>
      <c r="L6570" s="2" t="s">
        <v>11494</v>
      </c>
      <c r="M6570" t="s">
        <v>43</v>
      </c>
      <c r="N6570" t="s">
        <v>42</v>
      </c>
      <c r="P6570" s="23">
        <v>108.98</v>
      </c>
      <c r="Q6570" s="4">
        <f t="shared" si="102"/>
        <v>-4.5879977977610569</v>
      </c>
      <c r="R6570" s="23" t="s">
        <v>11466</v>
      </c>
    </row>
    <row r="6571" spans="1:20" x14ac:dyDescent="0.25">
      <c r="A6571" s="21">
        <v>45840</v>
      </c>
      <c r="B6571" s="1" t="s">
        <v>3967</v>
      </c>
      <c r="C6571" t="s">
        <v>1221</v>
      </c>
      <c r="D6571" s="43" t="s">
        <v>11495</v>
      </c>
      <c r="E6571" t="s">
        <v>35</v>
      </c>
      <c r="F6571" s="2">
        <v>610148001</v>
      </c>
      <c r="G6571" s="2" t="s">
        <v>42</v>
      </c>
      <c r="L6571" s="2" t="s">
        <v>11496</v>
      </c>
      <c r="M6571" t="s">
        <v>43</v>
      </c>
      <c r="N6571" t="s">
        <v>42</v>
      </c>
      <c r="P6571" s="23">
        <v>108.98</v>
      </c>
      <c r="Q6571" s="4">
        <f t="shared" si="102"/>
        <v>-2.897962928977794</v>
      </c>
      <c r="R6571" s="23" t="s">
        <v>11466</v>
      </c>
    </row>
    <row r="6572" spans="1:20" x14ac:dyDescent="0.25">
      <c r="A6572" s="21">
        <v>45840</v>
      </c>
      <c r="B6572" s="1" t="s">
        <v>1223</v>
      </c>
      <c r="C6572" t="s">
        <v>1221</v>
      </c>
      <c r="D6572" s="43" t="s">
        <v>9774</v>
      </c>
      <c r="E6572" t="s">
        <v>35</v>
      </c>
      <c r="F6572" s="2">
        <v>610148001</v>
      </c>
      <c r="G6572" s="2" t="s">
        <v>42</v>
      </c>
      <c r="L6572" s="2" t="s">
        <v>11497</v>
      </c>
      <c r="M6572" t="s">
        <v>43</v>
      </c>
      <c r="N6572" t="s">
        <v>42</v>
      </c>
      <c r="P6572" s="23">
        <v>108.98</v>
      </c>
      <c r="Q6572" s="4">
        <f t="shared" si="102"/>
        <v>-4.5879977977610569</v>
      </c>
      <c r="R6572" s="23" t="s">
        <v>11466</v>
      </c>
    </row>
    <row r="6573" spans="1:20" x14ac:dyDescent="0.25">
      <c r="A6573" s="21">
        <v>45840</v>
      </c>
      <c r="B6573" s="1" t="s">
        <v>3967</v>
      </c>
      <c r="C6573" t="s">
        <v>1221</v>
      </c>
      <c r="D6573" s="43" t="s">
        <v>9774</v>
      </c>
      <c r="E6573" t="s">
        <v>35</v>
      </c>
      <c r="F6573" s="2">
        <v>610148001</v>
      </c>
      <c r="G6573" s="2" t="s">
        <v>42</v>
      </c>
      <c r="L6573" s="2" t="s">
        <v>11498</v>
      </c>
      <c r="M6573" t="s">
        <v>43</v>
      </c>
      <c r="N6573" t="s">
        <v>42</v>
      </c>
      <c r="P6573" s="23">
        <v>108.98</v>
      </c>
      <c r="Q6573" s="4">
        <f t="shared" si="102"/>
        <v>-4.5879977977610569</v>
      </c>
      <c r="R6573" s="23" t="s">
        <v>11466</v>
      </c>
    </row>
    <row r="6574" spans="1:20" x14ac:dyDescent="0.25">
      <c r="A6574" s="21">
        <v>45840</v>
      </c>
      <c r="B6574" s="1" t="s">
        <v>3967</v>
      </c>
      <c r="C6574" t="s">
        <v>1221</v>
      </c>
      <c r="D6574" s="43" t="s">
        <v>9774</v>
      </c>
      <c r="E6574" t="s">
        <v>35</v>
      </c>
      <c r="F6574" s="2">
        <v>610148001</v>
      </c>
      <c r="G6574" s="2" t="s">
        <v>42</v>
      </c>
      <c r="L6574" s="2" t="s">
        <v>11499</v>
      </c>
      <c r="M6574" t="s">
        <v>43</v>
      </c>
      <c r="N6574" t="s">
        <v>42</v>
      </c>
      <c r="P6574" s="23">
        <v>108.98</v>
      </c>
      <c r="Q6574" s="4">
        <f t="shared" si="102"/>
        <v>-4.5879977977610569</v>
      </c>
      <c r="R6574" s="23" t="s">
        <v>11466</v>
      </c>
    </row>
    <row r="6575" spans="1:20" x14ac:dyDescent="0.25">
      <c r="A6575" s="21">
        <v>45842</v>
      </c>
      <c r="B6575" s="1" t="s">
        <v>11500</v>
      </c>
      <c r="C6575" t="s">
        <v>11501</v>
      </c>
      <c r="D6575" s="43">
        <v>-284.61</v>
      </c>
      <c r="E6575" t="s">
        <v>35</v>
      </c>
      <c r="F6575" s="2">
        <v>211001001</v>
      </c>
      <c r="G6575" s="2" t="s">
        <v>5573</v>
      </c>
      <c r="L6575" s="2" t="s">
        <v>11502</v>
      </c>
      <c r="M6575" t="s">
        <v>5575</v>
      </c>
      <c r="N6575" t="s">
        <v>5576</v>
      </c>
      <c r="P6575" s="23">
        <v>110.56</v>
      </c>
      <c r="Q6575" s="4">
        <f t="shared" si="102"/>
        <v>-2.5742583212735166</v>
      </c>
      <c r="R6575" s="23" t="s">
        <v>11466</v>
      </c>
      <c r="T6575" s="23" t="s">
        <v>11503</v>
      </c>
    </row>
    <row r="6576" spans="1:20" x14ac:dyDescent="0.25">
      <c r="A6576" s="21">
        <v>45842</v>
      </c>
      <c r="B6576" s="1" t="s">
        <v>11504</v>
      </c>
      <c r="C6576" t="s">
        <v>1206</v>
      </c>
      <c r="D6576" s="43">
        <v>-0.28000000000000003</v>
      </c>
      <c r="E6576" t="s">
        <v>35</v>
      </c>
      <c r="F6576" s="2">
        <v>610148001</v>
      </c>
      <c r="G6576" s="2" t="s">
        <v>42</v>
      </c>
      <c r="L6576" s="2" t="s">
        <v>11505</v>
      </c>
      <c r="M6576" t="s">
        <v>43</v>
      </c>
      <c r="N6576" t="s">
        <v>42</v>
      </c>
      <c r="P6576" s="23">
        <v>110.56</v>
      </c>
      <c r="Q6576" s="4">
        <f t="shared" si="102"/>
        <v>-2.532561505065123E-3</v>
      </c>
      <c r="R6576" s="23" t="s">
        <v>11466</v>
      </c>
    </row>
    <row r="6577" spans="1:20" x14ac:dyDescent="0.25">
      <c r="A6577" s="21">
        <v>45842</v>
      </c>
      <c r="B6577" s="1" t="s">
        <v>11506</v>
      </c>
      <c r="C6577" t="s">
        <v>11507</v>
      </c>
      <c r="D6577" s="43">
        <v>-876.15</v>
      </c>
      <c r="E6577" t="s">
        <v>35</v>
      </c>
      <c r="F6577" s="2">
        <v>213101001</v>
      </c>
      <c r="G6577" s="2" t="s">
        <v>1252</v>
      </c>
      <c r="L6577" s="2" t="s">
        <v>11508</v>
      </c>
      <c r="M6577" t="s">
        <v>1254</v>
      </c>
      <c r="N6577" t="s">
        <v>1255</v>
      </c>
      <c r="P6577" s="23">
        <v>110.56</v>
      </c>
      <c r="Q6577" s="4">
        <f t="shared" si="102"/>
        <v>-7.9246562952243123</v>
      </c>
      <c r="R6577" s="23" t="s">
        <v>11466</v>
      </c>
      <c r="T6577" s="23" t="s">
        <v>11503</v>
      </c>
    </row>
    <row r="6578" spans="1:20" x14ac:dyDescent="0.25">
      <c r="A6578" s="21">
        <v>45842</v>
      </c>
      <c r="B6578" s="1" t="s">
        <v>11509</v>
      </c>
      <c r="C6578" t="s">
        <v>11510</v>
      </c>
      <c r="D6578" s="43">
        <v>-201.95</v>
      </c>
      <c r="E6578" t="s">
        <v>35</v>
      </c>
      <c r="F6578" s="2">
        <v>213201001</v>
      </c>
      <c r="G6578" s="2" t="s">
        <v>1245</v>
      </c>
      <c r="L6578" s="2" t="s">
        <v>11511</v>
      </c>
      <c r="M6578" t="s">
        <v>1247</v>
      </c>
      <c r="N6578" t="s">
        <v>1248</v>
      </c>
      <c r="P6578" s="23">
        <v>110.56</v>
      </c>
      <c r="Q6578" s="4">
        <f t="shared" si="102"/>
        <v>-1.8266099855282198</v>
      </c>
      <c r="R6578" s="23" t="s">
        <v>11466</v>
      </c>
      <c r="T6578" s="23" t="s">
        <v>11503</v>
      </c>
    </row>
    <row r="6579" spans="1:20" x14ac:dyDescent="0.25">
      <c r="A6579" s="21">
        <v>45845</v>
      </c>
      <c r="B6579" s="1" t="s">
        <v>11512</v>
      </c>
      <c r="C6579" t="s">
        <v>544</v>
      </c>
      <c r="D6579" s="43" t="s">
        <v>11513</v>
      </c>
      <c r="E6579" t="s">
        <v>46</v>
      </c>
      <c r="F6579" s="2">
        <v>210115002</v>
      </c>
      <c r="G6579" s="2" t="s">
        <v>47</v>
      </c>
      <c r="L6579" s="2" t="s">
        <v>11514</v>
      </c>
      <c r="N6579" t="s">
        <v>544</v>
      </c>
      <c r="P6579" s="23">
        <v>111.42</v>
      </c>
      <c r="Q6579" s="4">
        <f t="shared" si="102"/>
        <v>18039.849219170705</v>
      </c>
      <c r="R6579" s="23" t="s">
        <v>11466</v>
      </c>
    </row>
    <row r="6580" spans="1:20" x14ac:dyDescent="0.25">
      <c r="A6580" s="21">
        <v>45845</v>
      </c>
      <c r="B6580" s="1" t="s">
        <v>1211</v>
      </c>
      <c r="C6580" t="s">
        <v>11515</v>
      </c>
      <c r="D6580" s="43">
        <v>-8148.24</v>
      </c>
      <c r="E6580" t="s">
        <v>35</v>
      </c>
      <c r="F6580" s="2">
        <v>210101001</v>
      </c>
      <c r="G6580" s="2" t="s">
        <v>36</v>
      </c>
      <c r="L6580" s="2" t="s">
        <v>11516</v>
      </c>
      <c r="M6580" t="s">
        <v>38</v>
      </c>
      <c r="N6580" t="s">
        <v>39</v>
      </c>
      <c r="P6580" s="23">
        <v>111.42</v>
      </c>
      <c r="Q6580" s="4">
        <f t="shared" si="102"/>
        <v>-73.130856219709202</v>
      </c>
      <c r="R6580" s="23" t="s">
        <v>11466</v>
      </c>
    </row>
    <row r="6581" spans="1:20" x14ac:dyDescent="0.25">
      <c r="A6581" s="21">
        <v>45845</v>
      </c>
      <c r="B6581" s="1" t="s">
        <v>2573</v>
      </c>
      <c r="C6581" t="s">
        <v>11517</v>
      </c>
      <c r="D6581" s="43">
        <v>-663.3</v>
      </c>
      <c r="E6581" t="s">
        <v>35</v>
      </c>
      <c r="F6581" s="2">
        <v>210101001</v>
      </c>
      <c r="G6581" s="2" t="s">
        <v>36</v>
      </c>
      <c r="L6581" s="2" t="s">
        <v>11518</v>
      </c>
      <c r="M6581" t="s">
        <v>1239</v>
      </c>
      <c r="N6581" t="s">
        <v>1240</v>
      </c>
      <c r="P6581" s="23">
        <v>111.42</v>
      </c>
      <c r="Q6581" s="4">
        <f t="shared" si="102"/>
        <v>-5.9531502423263323</v>
      </c>
      <c r="R6581" s="23" t="s">
        <v>11466</v>
      </c>
    </row>
    <row r="6582" spans="1:20" x14ac:dyDescent="0.25">
      <c r="A6582" s="21">
        <v>45845</v>
      </c>
      <c r="B6582" s="1" t="s">
        <v>3914</v>
      </c>
      <c r="C6582" t="s">
        <v>11519</v>
      </c>
      <c r="D6582" s="43">
        <v>-200000</v>
      </c>
      <c r="E6582" t="s">
        <v>35</v>
      </c>
      <c r="F6582" s="2">
        <v>210101001</v>
      </c>
      <c r="G6582" s="2" t="s">
        <v>36</v>
      </c>
      <c r="L6582" s="2" t="s">
        <v>11520</v>
      </c>
      <c r="M6582" t="s">
        <v>714</v>
      </c>
      <c r="N6582" t="s">
        <v>715</v>
      </c>
      <c r="P6582" s="23">
        <v>111.42</v>
      </c>
      <c r="Q6582" s="4">
        <f t="shared" si="102"/>
        <v>-1795.0098725542989</v>
      </c>
      <c r="R6582" s="23" t="s">
        <v>11466</v>
      </c>
    </row>
    <row r="6583" spans="1:20" x14ac:dyDescent="0.25">
      <c r="A6583" s="21">
        <v>45845</v>
      </c>
      <c r="B6583" s="1" t="s">
        <v>3917</v>
      </c>
      <c r="C6583" t="s">
        <v>11515</v>
      </c>
      <c r="D6583" s="43">
        <v>-200000</v>
      </c>
      <c r="E6583" t="s">
        <v>35</v>
      </c>
      <c r="F6583" s="2">
        <v>210101001</v>
      </c>
      <c r="G6583" s="2" t="s">
        <v>36</v>
      </c>
      <c r="L6583" s="2" t="s">
        <v>11521</v>
      </c>
      <c r="M6583" t="s">
        <v>38</v>
      </c>
      <c r="N6583" t="s">
        <v>39</v>
      </c>
      <c r="P6583" s="23">
        <v>111.42</v>
      </c>
      <c r="Q6583" s="4">
        <f t="shared" si="102"/>
        <v>-1795.0098725542989</v>
      </c>
      <c r="R6583" s="23" t="s">
        <v>11466</v>
      </c>
    </row>
    <row r="6584" spans="1:20" x14ac:dyDescent="0.25">
      <c r="A6584" s="21">
        <v>45845</v>
      </c>
      <c r="B6584" s="1" t="s">
        <v>1217</v>
      </c>
      <c r="C6584" t="s">
        <v>11522</v>
      </c>
      <c r="D6584" s="43">
        <v>-977.79</v>
      </c>
      <c r="E6584" t="s">
        <v>35</v>
      </c>
      <c r="F6584" s="2">
        <v>210101001</v>
      </c>
      <c r="G6584" s="2" t="s">
        <v>36</v>
      </c>
      <c r="L6584" s="2" t="s">
        <v>11523</v>
      </c>
      <c r="M6584" t="s">
        <v>1239</v>
      </c>
      <c r="N6584" t="s">
        <v>1240</v>
      </c>
      <c r="P6584" s="23">
        <v>111.42</v>
      </c>
      <c r="Q6584" s="4">
        <f t="shared" si="102"/>
        <v>-8.7757135164243394</v>
      </c>
      <c r="R6584" s="23" t="s">
        <v>11466</v>
      </c>
    </row>
    <row r="6585" spans="1:20" x14ac:dyDescent="0.25">
      <c r="A6585" s="21">
        <v>45845</v>
      </c>
      <c r="B6585" s="1" t="s">
        <v>2571</v>
      </c>
      <c r="C6585" t="s">
        <v>11524</v>
      </c>
      <c r="D6585" s="43">
        <v>-3832.76</v>
      </c>
      <c r="E6585" t="s">
        <v>35</v>
      </c>
      <c r="F6585" s="2">
        <v>210101001</v>
      </c>
      <c r="G6585" s="2" t="s">
        <v>36</v>
      </c>
      <c r="L6585" s="2" t="s">
        <v>11525</v>
      </c>
      <c r="M6585" t="s">
        <v>1186</v>
      </c>
      <c r="N6585" t="s">
        <v>1187</v>
      </c>
      <c r="P6585" s="23">
        <v>111.42</v>
      </c>
      <c r="Q6585" s="4">
        <f t="shared" si="102"/>
        <v>-34.399210195656075</v>
      </c>
      <c r="R6585" s="23" t="s">
        <v>11466</v>
      </c>
    </row>
    <row r="6586" spans="1:20" x14ac:dyDescent="0.25">
      <c r="A6586" s="21">
        <v>45845</v>
      </c>
      <c r="B6586" s="1" t="s">
        <v>3924</v>
      </c>
      <c r="C6586" t="s">
        <v>11526</v>
      </c>
      <c r="D6586" s="43">
        <v>-6654.18</v>
      </c>
      <c r="E6586" t="s">
        <v>35</v>
      </c>
      <c r="F6586" s="2">
        <v>210101001</v>
      </c>
      <c r="G6586" s="2" t="s">
        <v>36</v>
      </c>
      <c r="L6586" s="2" t="s">
        <v>11527</v>
      </c>
      <c r="M6586" t="s">
        <v>2645</v>
      </c>
      <c r="N6586" t="s">
        <v>1187</v>
      </c>
      <c r="P6586" s="23">
        <v>111.42</v>
      </c>
      <c r="Q6586" s="4">
        <f t="shared" si="102"/>
        <v>-59.721593968766832</v>
      </c>
      <c r="R6586" s="23" t="s">
        <v>11466</v>
      </c>
    </row>
    <row r="6587" spans="1:20" x14ac:dyDescent="0.25">
      <c r="A6587" s="21">
        <v>45845</v>
      </c>
      <c r="B6587" s="1" t="s">
        <v>1214</v>
      </c>
      <c r="C6587" t="s">
        <v>11528</v>
      </c>
      <c r="D6587" s="43">
        <v>-663.3</v>
      </c>
      <c r="E6587" t="s">
        <v>35</v>
      </c>
      <c r="F6587" s="2">
        <v>210101001</v>
      </c>
      <c r="G6587" s="2" t="s">
        <v>36</v>
      </c>
      <c r="L6587" s="2" t="s">
        <v>11529</v>
      </c>
      <c r="M6587" t="s">
        <v>1239</v>
      </c>
      <c r="N6587" t="s">
        <v>1240</v>
      </c>
      <c r="P6587" s="23">
        <v>111.42</v>
      </c>
      <c r="Q6587" s="4">
        <f t="shared" si="102"/>
        <v>-5.9531502423263323</v>
      </c>
      <c r="R6587" s="23" t="s">
        <v>11466</v>
      </c>
    </row>
    <row r="6588" spans="1:20" x14ac:dyDescent="0.25">
      <c r="A6588" s="21">
        <v>45845</v>
      </c>
      <c r="B6588" s="1" t="s">
        <v>3952</v>
      </c>
      <c r="C6588" t="s">
        <v>11530</v>
      </c>
      <c r="D6588" s="43">
        <v>-135709.56</v>
      </c>
      <c r="E6588" t="s">
        <v>35</v>
      </c>
      <c r="F6588" s="2">
        <v>210101001</v>
      </c>
      <c r="G6588" s="2" t="s">
        <v>36</v>
      </c>
      <c r="L6588" s="2" t="s">
        <v>11531</v>
      </c>
      <c r="M6588" t="s">
        <v>38</v>
      </c>
      <c r="N6588" t="s">
        <v>39</v>
      </c>
      <c r="P6588" s="23">
        <v>111.42</v>
      </c>
      <c r="Q6588" s="4">
        <f t="shared" si="102"/>
        <v>-1218</v>
      </c>
      <c r="R6588" s="23" t="s">
        <v>11466</v>
      </c>
    </row>
    <row r="6589" spans="1:20" x14ac:dyDescent="0.25">
      <c r="A6589" s="21">
        <v>45845</v>
      </c>
      <c r="B6589" s="1" t="s">
        <v>3927</v>
      </c>
      <c r="C6589" t="s">
        <v>11515</v>
      </c>
      <c r="D6589" s="43">
        <v>-200000</v>
      </c>
      <c r="E6589" t="s">
        <v>35</v>
      </c>
      <c r="F6589" s="2">
        <v>210101001</v>
      </c>
      <c r="G6589" s="2" t="s">
        <v>36</v>
      </c>
      <c r="L6589" s="2" t="s">
        <v>11532</v>
      </c>
      <c r="M6589" t="s">
        <v>38</v>
      </c>
      <c r="N6589" t="s">
        <v>39</v>
      </c>
      <c r="P6589" s="23">
        <v>111.42</v>
      </c>
      <c r="Q6589" s="4">
        <f t="shared" si="102"/>
        <v>-1795.0098725542989</v>
      </c>
      <c r="R6589" s="23" t="s">
        <v>11466</v>
      </c>
    </row>
    <row r="6590" spans="1:20" x14ac:dyDescent="0.25">
      <c r="A6590" s="21">
        <v>45845</v>
      </c>
      <c r="B6590" s="1" t="s">
        <v>3949</v>
      </c>
      <c r="C6590" t="s">
        <v>11515</v>
      </c>
      <c r="D6590" s="43">
        <v>-200000</v>
      </c>
      <c r="E6590" t="s">
        <v>35</v>
      </c>
      <c r="F6590" s="2">
        <v>210101001</v>
      </c>
      <c r="G6590" s="2" t="s">
        <v>36</v>
      </c>
      <c r="L6590" s="2" t="s">
        <v>11533</v>
      </c>
      <c r="M6590" t="s">
        <v>38</v>
      </c>
      <c r="N6590" t="s">
        <v>39</v>
      </c>
      <c r="P6590" s="23">
        <v>111.42</v>
      </c>
      <c r="Q6590" s="4">
        <f t="shared" si="102"/>
        <v>-1795.0098725542989</v>
      </c>
      <c r="R6590" s="23" t="s">
        <v>11466</v>
      </c>
    </row>
    <row r="6591" spans="1:20" x14ac:dyDescent="0.25">
      <c r="A6591" s="21">
        <v>45845</v>
      </c>
      <c r="B6591" s="1" t="s">
        <v>4108</v>
      </c>
      <c r="C6591" t="s">
        <v>11515</v>
      </c>
      <c r="D6591" s="43">
        <v>-200000</v>
      </c>
      <c r="E6591" t="s">
        <v>35</v>
      </c>
      <c r="F6591" s="2">
        <v>210101001</v>
      </c>
      <c r="G6591" s="2" t="s">
        <v>36</v>
      </c>
      <c r="L6591" s="2" t="s">
        <v>11534</v>
      </c>
      <c r="M6591" t="s">
        <v>38</v>
      </c>
      <c r="N6591" t="s">
        <v>39</v>
      </c>
      <c r="P6591" s="23">
        <v>111.42</v>
      </c>
      <c r="Q6591" s="4">
        <f t="shared" si="102"/>
        <v>-1795.0098725542989</v>
      </c>
      <c r="R6591" s="23" t="s">
        <v>11466</v>
      </c>
    </row>
    <row r="6592" spans="1:20" x14ac:dyDescent="0.25">
      <c r="A6592" s="21">
        <v>45845</v>
      </c>
      <c r="B6592" s="1" t="s">
        <v>3933</v>
      </c>
      <c r="C6592" t="s">
        <v>11519</v>
      </c>
      <c r="D6592" s="43">
        <v>-28633.84</v>
      </c>
      <c r="E6592" t="s">
        <v>35</v>
      </c>
      <c r="F6592" s="2">
        <v>210101001</v>
      </c>
      <c r="G6592" s="2" t="s">
        <v>36</v>
      </c>
      <c r="L6592" s="2" t="s">
        <v>11535</v>
      </c>
      <c r="M6592" t="s">
        <v>714</v>
      </c>
      <c r="N6592" t="s">
        <v>715</v>
      </c>
      <c r="P6592" s="23">
        <v>111.42</v>
      </c>
      <c r="Q6592" s="4">
        <f t="shared" si="102"/>
        <v>-256.99012744570092</v>
      </c>
      <c r="R6592" s="23" t="s">
        <v>11466</v>
      </c>
    </row>
    <row r="6593" spans="1:18" x14ac:dyDescent="0.25">
      <c r="A6593" s="21">
        <v>45845</v>
      </c>
      <c r="B6593" s="1" t="s">
        <v>3943</v>
      </c>
      <c r="C6593" t="s">
        <v>11515</v>
      </c>
      <c r="D6593" s="43">
        <v>-200000</v>
      </c>
      <c r="E6593" t="s">
        <v>35</v>
      </c>
      <c r="F6593" s="2">
        <v>210101001</v>
      </c>
      <c r="G6593" s="2" t="s">
        <v>36</v>
      </c>
      <c r="L6593" s="2" t="s">
        <v>11536</v>
      </c>
      <c r="M6593" t="s">
        <v>38</v>
      </c>
      <c r="N6593" t="s">
        <v>39</v>
      </c>
      <c r="P6593" s="23">
        <v>111.42</v>
      </c>
      <c r="Q6593" s="4">
        <f t="shared" si="102"/>
        <v>-1795.0098725542989</v>
      </c>
      <c r="R6593" s="23" t="s">
        <v>11466</v>
      </c>
    </row>
    <row r="6594" spans="1:18" x14ac:dyDescent="0.25">
      <c r="A6594" s="21">
        <v>45845</v>
      </c>
      <c r="B6594" s="1" t="s">
        <v>3936</v>
      </c>
      <c r="C6594" t="s">
        <v>11515</v>
      </c>
      <c r="D6594" s="43">
        <v>-200000</v>
      </c>
      <c r="E6594" t="s">
        <v>35</v>
      </c>
      <c r="F6594" s="2">
        <v>210101001</v>
      </c>
      <c r="G6594" s="2" t="s">
        <v>36</v>
      </c>
      <c r="L6594" s="2" t="s">
        <v>11537</v>
      </c>
      <c r="M6594" t="s">
        <v>38</v>
      </c>
      <c r="N6594" t="s">
        <v>39</v>
      </c>
      <c r="P6594" s="23">
        <v>111.42</v>
      </c>
      <c r="Q6594" s="4">
        <f t="shared" si="102"/>
        <v>-1795.0098725542989</v>
      </c>
      <c r="R6594" s="23" t="s">
        <v>11466</v>
      </c>
    </row>
    <row r="6595" spans="1:18" x14ac:dyDescent="0.25">
      <c r="A6595" s="21">
        <v>45845</v>
      </c>
      <c r="B6595" s="1" t="s">
        <v>4088</v>
      </c>
      <c r="C6595" t="s">
        <v>11515</v>
      </c>
      <c r="D6595" s="43">
        <v>-200000</v>
      </c>
      <c r="E6595" t="s">
        <v>35</v>
      </c>
      <c r="F6595" s="2">
        <v>210101001</v>
      </c>
      <c r="G6595" s="2" t="s">
        <v>36</v>
      </c>
      <c r="L6595" s="2" t="s">
        <v>11538</v>
      </c>
      <c r="M6595" t="s">
        <v>38</v>
      </c>
      <c r="N6595" t="s">
        <v>39</v>
      </c>
      <c r="P6595" s="23">
        <v>111.42</v>
      </c>
      <c r="Q6595" s="4">
        <f t="shared" si="102"/>
        <v>-1795.0098725542989</v>
      </c>
      <c r="R6595" s="23" t="s">
        <v>11466</v>
      </c>
    </row>
    <row r="6596" spans="1:18" x14ac:dyDescent="0.25">
      <c r="A6596" s="21">
        <v>45845</v>
      </c>
      <c r="B6596" s="1" t="s">
        <v>3930</v>
      </c>
      <c r="C6596" t="s">
        <v>11539</v>
      </c>
      <c r="D6596" s="43" t="s">
        <v>11540</v>
      </c>
      <c r="E6596" t="s">
        <v>35</v>
      </c>
      <c r="F6596" s="2">
        <v>210101001</v>
      </c>
      <c r="G6596" s="2" t="s">
        <v>36</v>
      </c>
      <c r="L6596" s="2" t="s">
        <v>11541</v>
      </c>
      <c r="M6596" t="s">
        <v>38</v>
      </c>
      <c r="N6596" t="s">
        <v>39</v>
      </c>
      <c r="P6596" s="23">
        <v>111.42</v>
      </c>
      <c r="Q6596" s="4">
        <f t="shared" si="102"/>
        <v>-1301.5903787470832</v>
      </c>
      <c r="R6596" s="23" t="s">
        <v>11466</v>
      </c>
    </row>
    <row r="6597" spans="1:18" x14ac:dyDescent="0.25">
      <c r="A6597" s="21">
        <v>45845</v>
      </c>
      <c r="B6597" s="1" t="s">
        <v>2582</v>
      </c>
      <c r="C6597" t="s">
        <v>1221</v>
      </c>
      <c r="D6597" s="43" t="s">
        <v>11542</v>
      </c>
      <c r="E6597" t="s">
        <v>35</v>
      </c>
      <c r="F6597" s="2">
        <v>610148001</v>
      </c>
      <c r="G6597" s="2" t="s">
        <v>42</v>
      </c>
      <c r="L6597" s="2" t="s">
        <v>11543</v>
      </c>
      <c r="M6597" t="s">
        <v>43</v>
      </c>
      <c r="N6597" t="s">
        <v>42</v>
      </c>
      <c r="P6597" s="23">
        <v>111.42</v>
      </c>
      <c r="Q6597" s="4">
        <f t="shared" si="102"/>
        <v>-1.4808831448572967E-2</v>
      </c>
      <c r="R6597" s="23" t="s">
        <v>11466</v>
      </c>
    </row>
    <row r="6598" spans="1:18" x14ac:dyDescent="0.25">
      <c r="A6598" s="21">
        <v>45845</v>
      </c>
      <c r="B6598" s="1" t="s">
        <v>1225</v>
      </c>
      <c r="C6598" t="s">
        <v>1221</v>
      </c>
      <c r="D6598" s="43" t="s">
        <v>11542</v>
      </c>
      <c r="E6598" t="s">
        <v>35</v>
      </c>
      <c r="F6598" s="2">
        <v>610148001</v>
      </c>
      <c r="G6598" s="2" t="s">
        <v>42</v>
      </c>
      <c r="L6598" s="2" t="s">
        <v>11544</v>
      </c>
      <c r="M6598" t="s">
        <v>43</v>
      </c>
      <c r="N6598" t="s">
        <v>42</v>
      </c>
      <c r="P6598" s="23">
        <v>111.42</v>
      </c>
      <c r="Q6598" s="4">
        <f t="shared" si="102"/>
        <v>-1.4808831448572967E-2</v>
      </c>
      <c r="R6598" s="23" t="s">
        <v>11466</v>
      </c>
    </row>
    <row r="6599" spans="1:18" x14ac:dyDescent="0.25">
      <c r="A6599" s="21">
        <v>45845</v>
      </c>
      <c r="B6599" s="1" t="s">
        <v>3969</v>
      </c>
      <c r="C6599" t="s">
        <v>1221</v>
      </c>
      <c r="D6599" s="43" t="s">
        <v>11545</v>
      </c>
      <c r="E6599" t="s">
        <v>35</v>
      </c>
      <c r="F6599" s="2">
        <v>610148001</v>
      </c>
      <c r="G6599" s="2" t="s">
        <v>42</v>
      </c>
      <c r="L6599" s="2" t="s">
        <v>11546</v>
      </c>
      <c r="M6599" t="s">
        <v>43</v>
      </c>
      <c r="N6599" t="s">
        <v>42</v>
      </c>
      <c r="P6599" s="23">
        <v>111.42</v>
      </c>
      <c r="Q6599" s="4">
        <f t="shared" si="102"/>
        <v>-3.2539041464728058</v>
      </c>
      <c r="R6599" s="23" t="s">
        <v>11466</v>
      </c>
    </row>
    <row r="6600" spans="1:18" x14ac:dyDescent="0.25">
      <c r="A6600" s="21">
        <v>45845</v>
      </c>
      <c r="B6600" s="1" t="s">
        <v>3967</v>
      </c>
      <c r="C6600" t="s">
        <v>1221</v>
      </c>
      <c r="D6600" s="43" t="s">
        <v>11547</v>
      </c>
      <c r="E6600" t="s">
        <v>35</v>
      </c>
      <c r="F6600" s="2">
        <v>610148001</v>
      </c>
      <c r="G6600" s="2" t="s">
        <v>42</v>
      </c>
      <c r="L6600" s="2" t="s">
        <v>11548</v>
      </c>
      <c r="M6600" t="s">
        <v>43</v>
      </c>
      <c r="N6600" t="s">
        <v>42</v>
      </c>
      <c r="P6600" s="23">
        <v>111.42</v>
      </c>
      <c r="Q6600" s="4">
        <f t="shared" si="102"/>
        <v>-0.64243403338718363</v>
      </c>
      <c r="R6600" s="23" t="s">
        <v>11466</v>
      </c>
    </row>
    <row r="6601" spans="1:18" x14ac:dyDescent="0.25">
      <c r="A6601" s="21">
        <v>45845</v>
      </c>
      <c r="B6601" s="1" t="s">
        <v>3955</v>
      </c>
      <c r="C6601" t="s">
        <v>1221</v>
      </c>
      <c r="D6601" s="43" t="s">
        <v>9774</v>
      </c>
      <c r="E6601" t="s">
        <v>35</v>
      </c>
      <c r="F6601" s="2">
        <v>610148001</v>
      </c>
      <c r="G6601" s="2" t="s">
        <v>42</v>
      </c>
      <c r="L6601" s="2" t="s">
        <v>11549</v>
      </c>
      <c r="M6601" t="s">
        <v>43</v>
      </c>
      <c r="N6601" t="s">
        <v>42</v>
      </c>
      <c r="P6601" s="23">
        <v>111.42</v>
      </c>
      <c r="Q6601" s="4">
        <f t="shared" si="102"/>
        <v>-4.4875246813857474</v>
      </c>
      <c r="R6601" s="23" t="s">
        <v>11466</v>
      </c>
    </row>
    <row r="6602" spans="1:18" x14ac:dyDescent="0.25">
      <c r="A6602" s="21">
        <v>45845</v>
      </c>
      <c r="B6602" s="1" t="s">
        <v>4240</v>
      </c>
      <c r="C6602" t="s">
        <v>1221</v>
      </c>
      <c r="D6602" s="43" t="s">
        <v>9774</v>
      </c>
      <c r="E6602" t="s">
        <v>35</v>
      </c>
      <c r="F6602" s="2">
        <v>610148001</v>
      </c>
      <c r="G6602" s="2" t="s">
        <v>42</v>
      </c>
      <c r="L6602" s="2" t="s">
        <v>11550</v>
      </c>
      <c r="M6602" t="s">
        <v>43</v>
      </c>
      <c r="N6602" t="s">
        <v>42</v>
      </c>
      <c r="P6602" s="23">
        <v>111.42</v>
      </c>
      <c r="Q6602" s="4">
        <f t="shared" si="102"/>
        <v>-4.4875246813857474</v>
      </c>
      <c r="R6602" s="23" t="s">
        <v>11466</v>
      </c>
    </row>
    <row r="6603" spans="1:18" x14ac:dyDescent="0.25">
      <c r="A6603" s="21">
        <v>45845</v>
      </c>
      <c r="B6603" s="1" t="s">
        <v>3965</v>
      </c>
      <c r="C6603" t="s">
        <v>1221</v>
      </c>
      <c r="D6603" s="43" t="s">
        <v>11551</v>
      </c>
      <c r="E6603" t="s">
        <v>35</v>
      </c>
      <c r="F6603" s="2">
        <v>610148001</v>
      </c>
      <c r="G6603" s="2" t="s">
        <v>42</v>
      </c>
      <c r="L6603" s="2" t="s">
        <v>11552</v>
      </c>
      <c r="M6603" t="s">
        <v>43</v>
      </c>
      <c r="N6603" t="s">
        <v>42</v>
      </c>
      <c r="P6603" s="23">
        <v>111.42</v>
      </c>
      <c r="Q6603" s="4">
        <f t="shared" ref="Q6603:Q6666" si="103">D6603/P6603</f>
        <v>-0.14925507090288995</v>
      </c>
      <c r="R6603" s="23" t="s">
        <v>11466</v>
      </c>
    </row>
    <row r="6604" spans="1:18" x14ac:dyDescent="0.25">
      <c r="A6604" s="21">
        <v>45845</v>
      </c>
      <c r="B6604" s="1" t="s">
        <v>1220</v>
      </c>
      <c r="C6604" t="s">
        <v>1221</v>
      </c>
      <c r="D6604" s="43" t="s">
        <v>11553</v>
      </c>
      <c r="E6604" t="s">
        <v>35</v>
      </c>
      <c r="F6604" s="2">
        <v>610148001</v>
      </c>
      <c r="G6604" s="2" t="s">
        <v>42</v>
      </c>
      <c r="L6604" s="2" t="s">
        <v>11554</v>
      </c>
      <c r="M6604" t="s">
        <v>43</v>
      </c>
      <c r="N6604" t="s">
        <v>42</v>
      </c>
      <c r="P6604" s="23">
        <v>111.42</v>
      </c>
      <c r="Q6604" s="4">
        <f t="shared" si="103"/>
        <v>-2.1899120445162446E-2</v>
      </c>
      <c r="R6604" s="23" t="s">
        <v>11466</v>
      </c>
    </row>
    <row r="6605" spans="1:18" x14ac:dyDescent="0.25">
      <c r="A6605" s="21">
        <v>45845</v>
      </c>
      <c r="B6605" s="1" t="s">
        <v>3960</v>
      </c>
      <c r="C6605" t="s">
        <v>1221</v>
      </c>
      <c r="D6605" s="43" t="s">
        <v>9774</v>
      </c>
      <c r="E6605" t="s">
        <v>35</v>
      </c>
      <c r="F6605" s="2">
        <v>610148001</v>
      </c>
      <c r="G6605" s="2" t="s">
        <v>42</v>
      </c>
      <c r="L6605" s="2" t="s">
        <v>11555</v>
      </c>
      <c r="M6605" t="s">
        <v>43</v>
      </c>
      <c r="N6605" t="s">
        <v>42</v>
      </c>
      <c r="P6605" s="23">
        <v>111.42</v>
      </c>
      <c r="Q6605" s="4">
        <f t="shared" si="103"/>
        <v>-4.4875246813857474</v>
      </c>
      <c r="R6605" s="23" t="s">
        <v>11466</v>
      </c>
    </row>
    <row r="6606" spans="1:18" x14ac:dyDescent="0.25">
      <c r="A6606" s="21">
        <v>45845</v>
      </c>
      <c r="B6606" s="1" t="s">
        <v>3973</v>
      </c>
      <c r="C6606" t="s">
        <v>1221</v>
      </c>
      <c r="D6606" s="43" t="s">
        <v>9774</v>
      </c>
      <c r="E6606" t="s">
        <v>35</v>
      </c>
      <c r="F6606" s="2">
        <v>610148001</v>
      </c>
      <c r="G6606" s="2" t="s">
        <v>42</v>
      </c>
      <c r="L6606" s="2" t="s">
        <v>11556</v>
      </c>
      <c r="M6606" t="s">
        <v>43</v>
      </c>
      <c r="N6606" t="s">
        <v>42</v>
      </c>
      <c r="P6606" s="23">
        <v>111.42</v>
      </c>
      <c r="Q6606" s="4">
        <f t="shared" si="103"/>
        <v>-4.4875246813857474</v>
      </c>
      <c r="R6606" s="23" t="s">
        <v>11466</v>
      </c>
    </row>
    <row r="6607" spans="1:18" x14ac:dyDescent="0.25">
      <c r="A6607" s="21">
        <v>45845</v>
      </c>
      <c r="B6607" s="1" t="s">
        <v>4249</v>
      </c>
      <c r="C6607" t="s">
        <v>1221</v>
      </c>
      <c r="D6607" s="43" t="s">
        <v>9774</v>
      </c>
      <c r="E6607" t="s">
        <v>35</v>
      </c>
      <c r="F6607" s="2">
        <v>610148001</v>
      </c>
      <c r="G6607" s="2" t="s">
        <v>42</v>
      </c>
      <c r="L6607" s="2" t="s">
        <v>11557</v>
      </c>
      <c r="M6607" t="s">
        <v>43</v>
      </c>
      <c r="N6607" t="s">
        <v>42</v>
      </c>
      <c r="P6607" s="23">
        <v>111.42</v>
      </c>
      <c r="Q6607" s="4">
        <f t="shared" si="103"/>
        <v>-4.4875246813857474</v>
      </c>
      <c r="R6607" s="23" t="s">
        <v>11466</v>
      </c>
    </row>
    <row r="6608" spans="1:18" x14ac:dyDescent="0.25">
      <c r="A6608" s="21">
        <v>45845</v>
      </c>
      <c r="B6608" s="1" t="s">
        <v>2585</v>
      </c>
      <c r="C6608" t="s">
        <v>1221</v>
      </c>
      <c r="D6608" s="43" t="s">
        <v>11558</v>
      </c>
      <c r="E6608" t="s">
        <v>35</v>
      </c>
      <c r="F6608" s="2">
        <v>610148001</v>
      </c>
      <c r="G6608" s="2" t="s">
        <v>42</v>
      </c>
      <c r="L6608" s="2" t="s">
        <v>11559</v>
      </c>
      <c r="M6608" t="s">
        <v>43</v>
      </c>
      <c r="N6608" t="s">
        <v>42</v>
      </c>
      <c r="P6608" s="23">
        <v>111.42</v>
      </c>
      <c r="Q6608" s="4">
        <f t="shared" si="103"/>
        <v>-8.5980972895350921E-2</v>
      </c>
      <c r="R6608" s="23" t="s">
        <v>11466</v>
      </c>
    </row>
    <row r="6609" spans="1:19" x14ac:dyDescent="0.25">
      <c r="A6609" s="21">
        <v>45845</v>
      </c>
      <c r="B6609" s="1" t="s">
        <v>3962</v>
      </c>
      <c r="C6609" t="s">
        <v>1221</v>
      </c>
      <c r="D6609" s="43" t="s">
        <v>9774</v>
      </c>
      <c r="E6609" t="s">
        <v>35</v>
      </c>
      <c r="F6609" s="2">
        <v>610148001</v>
      </c>
      <c r="G6609" s="2" t="s">
        <v>42</v>
      </c>
      <c r="L6609" s="2" t="s">
        <v>11560</v>
      </c>
      <c r="M6609" t="s">
        <v>43</v>
      </c>
      <c r="N6609" t="s">
        <v>42</v>
      </c>
      <c r="P6609" s="23">
        <v>111.42</v>
      </c>
      <c r="Q6609" s="4">
        <f t="shared" si="103"/>
        <v>-4.4875246813857474</v>
      </c>
      <c r="R6609" s="23" t="s">
        <v>11466</v>
      </c>
    </row>
    <row r="6610" spans="1:19" x14ac:dyDescent="0.25">
      <c r="A6610" s="21">
        <v>45845</v>
      </c>
      <c r="B6610" s="1" t="s">
        <v>3977</v>
      </c>
      <c r="C6610" t="s">
        <v>1221</v>
      </c>
      <c r="D6610" s="43" t="s">
        <v>9774</v>
      </c>
      <c r="E6610" t="s">
        <v>35</v>
      </c>
      <c r="F6610" s="2">
        <v>610148001</v>
      </c>
      <c r="G6610" s="2" t="s">
        <v>42</v>
      </c>
      <c r="L6610" s="2" t="s">
        <v>11561</v>
      </c>
      <c r="M6610" t="s">
        <v>43</v>
      </c>
      <c r="N6610" t="s">
        <v>42</v>
      </c>
      <c r="P6610" s="23">
        <v>111.42</v>
      </c>
      <c r="Q6610" s="4">
        <f t="shared" si="103"/>
        <v>-4.4875246813857474</v>
      </c>
      <c r="R6610" s="23" t="s">
        <v>11466</v>
      </c>
    </row>
    <row r="6611" spans="1:19" x14ac:dyDescent="0.25">
      <c r="A6611" s="21">
        <v>45845</v>
      </c>
      <c r="B6611" s="1" t="s">
        <v>3958</v>
      </c>
      <c r="C6611" t="s">
        <v>1221</v>
      </c>
      <c r="D6611" s="43" t="s">
        <v>11562</v>
      </c>
      <c r="E6611" t="s">
        <v>35</v>
      </c>
      <c r="F6611" s="2">
        <v>610148001</v>
      </c>
      <c r="G6611" s="2" t="s">
        <v>42</v>
      </c>
      <c r="L6611" s="2" t="s">
        <v>11563</v>
      </c>
      <c r="M6611" t="s">
        <v>43</v>
      </c>
      <c r="N6611" t="s">
        <v>42</v>
      </c>
      <c r="P6611" s="23">
        <v>111.42</v>
      </c>
      <c r="Q6611" s="4">
        <f t="shared" si="103"/>
        <v>-3.0449649973074848</v>
      </c>
      <c r="R6611" s="23" t="s">
        <v>11466</v>
      </c>
    </row>
    <row r="6612" spans="1:19" x14ac:dyDescent="0.25">
      <c r="A6612" s="21">
        <v>45845</v>
      </c>
      <c r="B6612" s="1" t="s">
        <v>1227</v>
      </c>
      <c r="C6612" t="s">
        <v>1221</v>
      </c>
      <c r="D6612" s="43" t="s">
        <v>11564</v>
      </c>
      <c r="E6612" t="s">
        <v>35</v>
      </c>
      <c r="F6612" s="2">
        <v>610148001</v>
      </c>
      <c r="G6612" s="2" t="s">
        <v>42</v>
      </c>
      <c r="L6612" s="2" t="s">
        <v>11565</v>
      </c>
      <c r="M6612" t="s">
        <v>43</v>
      </c>
      <c r="N6612" t="s">
        <v>42</v>
      </c>
      <c r="P6612" s="23">
        <v>111.42</v>
      </c>
      <c r="Q6612" s="4">
        <f t="shared" si="103"/>
        <v>-0.18282175551965538</v>
      </c>
      <c r="R6612" s="23" t="s">
        <v>11466</v>
      </c>
    </row>
    <row r="6613" spans="1:19" x14ac:dyDescent="0.25">
      <c r="A6613" s="21">
        <v>45845</v>
      </c>
      <c r="B6613" s="1" t="s">
        <v>3979</v>
      </c>
      <c r="C6613" t="s">
        <v>1221</v>
      </c>
      <c r="D6613" s="43" t="s">
        <v>9774</v>
      </c>
      <c r="E6613" t="s">
        <v>35</v>
      </c>
      <c r="F6613" s="2">
        <v>610148001</v>
      </c>
      <c r="G6613" s="2" t="s">
        <v>42</v>
      </c>
      <c r="L6613" s="2" t="s">
        <v>11566</v>
      </c>
      <c r="M6613" t="s">
        <v>43</v>
      </c>
      <c r="N6613" t="s">
        <v>42</v>
      </c>
      <c r="P6613" s="23">
        <v>111.42</v>
      </c>
      <c r="Q6613" s="4">
        <f t="shared" si="103"/>
        <v>-4.4875246813857474</v>
      </c>
      <c r="R6613" s="23" t="s">
        <v>11466</v>
      </c>
    </row>
    <row r="6614" spans="1:19" x14ac:dyDescent="0.25">
      <c r="A6614" s="21">
        <v>45845</v>
      </c>
      <c r="B6614" s="1" t="s">
        <v>11567</v>
      </c>
      <c r="C6614" t="s">
        <v>11568</v>
      </c>
      <c r="D6614" s="43" t="s">
        <v>11569</v>
      </c>
      <c r="E6614" t="s">
        <v>35</v>
      </c>
      <c r="F6614" s="2">
        <v>210101001</v>
      </c>
      <c r="G6614" s="2" t="s">
        <v>36</v>
      </c>
      <c r="L6614" s="2" t="s">
        <v>11570</v>
      </c>
      <c r="M6614" t="s">
        <v>521</v>
      </c>
      <c r="N6614" t="s">
        <v>3364</v>
      </c>
      <c r="P6614" s="23">
        <v>111.42</v>
      </c>
      <c r="Q6614" s="4">
        <f t="shared" si="103"/>
        <v>-646.19754083647456</v>
      </c>
      <c r="R6614" s="23" t="s">
        <v>11466</v>
      </c>
    </row>
    <row r="6615" spans="1:19" x14ac:dyDescent="0.25">
      <c r="A6615" s="21">
        <v>45845</v>
      </c>
      <c r="B6615" s="1" t="s">
        <v>11571</v>
      </c>
      <c r="C6615" t="s">
        <v>11572</v>
      </c>
      <c r="D6615" s="43" t="s">
        <v>11573</v>
      </c>
      <c r="E6615" t="s">
        <v>35</v>
      </c>
      <c r="F6615" s="2">
        <v>610148001</v>
      </c>
      <c r="G6615" s="2" t="s">
        <v>42</v>
      </c>
      <c r="L6615" s="2" t="s">
        <v>11574</v>
      </c>
      <c r="M6615" t="s">
        <v>43</v>
      </c>
      <c r="N6615" t="s">
        <v>42</v>
      </c>
      <c r="P6615" s="23">
        <v>111.42</v>
      </c>
      <c r="Q6615" s="4">
        <f t="shared" si="103"/>
        <v>-0.64611380362591986</v>
      </c>
      <c r="R6615" s="23" t="s">
        <v>11466</v>
      </c>
    </row>
    <row r="6616" spans="1:19" x14ac:dyDescent="0.25">
      <c r="A6616" s="21">
        <v>45846</v>
      </c>
      <c r="B6616" s="1" t="s">
        <v>11575</v>
      </c>
      <c r="C6616" t="s">
        <v>544</v>
      </c>
      <c r="D6616" s="43" t="s">
        <v>11576</v>
      </c>
      <c r="E6616" t="s">
        <v>46</v>
      </c>
      <c r="F6616" s="2">
        <v>210115002</v>
      </c>
      <c r="G6616" s="2" t="s">
        <v>47</v>
      </c>
      <c r="L6616" s="2" t="s">
        <v>11577</v>
      </c>
      <c r="N6616" t="s">
        <v>544</v>
      </c>
      <c r="P6616" s="23">
        <v>112.13</v>
      </c>
      <c r="Q6616" s="4">
        <f t="shared" si="103"/>
        <v>8204.7623294390451</v>
      </c>
      <c r="R6616" s="23" t="s">
        <v>11466</v>
      </c>
    </row>
    <row r="6617" spans="1:19" x14ac:dyDescent="0.25">
      <c r="A6617" s="21">
        <v>45846</v>
      </c>
      <c r="B6617" s="1" t="s">
        <v>11578</v>
      </c>
      <c r="C6617" t="s">
        <v>544</v>
      </c>
      <c r="D6617" s="43" t="s">
        <v>11579</v>
      </c>
      <c r="E6617" t="s">
        <v>46</v>
      </c>
      <c r="F6617" s="2">
        <v>210115002</v>
      </c>
      <c r="G6617" s="2" t="s">
        <v>47</v>
      </c>
      <c r="L6617" s="2" t="s">
        <v>11580</v>
      </c>
      <c r="N6617" t="s">
        <v>544</v>
      </c>
      <c r="P6617" s="23">
        <v>112.13</v>
      </c>
      <c r="Q6617" s="4">
        <f t="shared" si="103"/>
        <v>686.70293409435476</v>
      </c>
      <c r="R6617" s="23" t="s">
        <v>11466</v>
      </c>
    </row>
    <row r="6618" spans="1:19" x14ac:dyDescent="0.25">
      <c r="A6618" s="21">
        <v>45846</v>
      </c>
      <c r="B6618" s="1" t="s">
        <v>3927</v>
      </c>
      <c r="C6618" t="s">
        <v>11581</v>
      </c>
      <c r="D6618" s="43" t="s">
        <v>11582</v>
      </c>
      <c r="E6618" t="s">
        <v>35</v>
      </c>
      <c r="F6618" s="2">
        <v>110114001</v>
      </c>
      <c r="G6618" s="2" t="s">
        <v>301</v>
      </c>
      <c r="L6618" s="2" t="s">
        <v>11583</v>
      </c>
      <c r="M6618" t="s">
        <v>303</v>
      </c>
      <c r="N6618" t="s">
        <v>5305</v>
      </c>
      <c r="P6618" s="23">
        <v>112.13</v>
      </c>
      <c r="Q6618" s="4">
        <f t="shared" si="103"/>
        <v>-6.9019887630428967</v>
      </c>
      <c r="R6618" s="23" t="s">
        <v>11466</v>
      </c>
      <c r="S6618" s="33" t="s">
        <v>6924</v>
      </c>
    </row>
    <row r="6619" spans="1:19" x14ac:dyDescent="0.25">
      <c r="A6619" s="21">
        <v>45846</v>
      </c>
      <c r="B6619" s="1" t="s">
        <v>1214</v>
      </c>
      <c r="C6619" t="s">
        <v>11584</v>
      </c>
      <c r="D6619" s="43" t="s">
        <v>9845</v>
      </c>
      <c r="E6619" t="s">
        <v>35</v>
      </c>
      <c r="F6619" s="2">
        <v>210101001</v>
      </c>
      <c r="G6619" s="2" t="s">
        <v>36</v>
      </c>
      <c r="L6619" s="2" t="s">
        <v>11585</v>
      </c>
      <c r="M6619" t="s">
        <v>521</v>
      </c>
      <c r="N6619" t="s">
        <v>3364</v>
      </c>
      <c r="P6619" s="23">
        <v>112.13</v>
      </c>
      <c r="Q6619" s="4">
        <f t="shared" si="103"/>
        <v>-1783.6439846606618</v>
      </c>
      <c r="R6619" s="23" t="s">
        <v>11466</v>
      </c>
    </row>
    <row r="6620" spans="1:19" x14ac:dyDescent="0.25">
      <c r="A6620" s="21">
        <v>45846</v>
      </c>
      <c r="B6620" s="1" t="s">
        <v>1208</v>
      </c>
      <c r="C6620" t="s">
        <v>11584</v>
      </c>
      <c r="D6620" s="43" t="s">
        <v>11586</v>
      </c>
      <c r="E6620" t="s">
        <v>35</v>
      </c>
      <c r="F6620" s="2">
        <v>210101001</v>
      </c>
      <c r="G6620" s="2" t="s">
        <v>36</v>
      </c>
      <c r="L6620" s="2" t="s">
        <v>11587</v>
      </c>
      <c r="M6620" t="s">
        <v>521</v>
      </c>
      <c r="N6620" t="s">
        <v>3364</v>
      </c>
      <c r="P6620" s="23">
        <v>112.13</v>
      </c>
      <c r="Q6620" s="4">
        <f t="shared" si="103"/>
        <v>-80.640417372692411</v>
      </c>
      <c r="R6620" s="23" t="s">
        <v>11466</v>
      </c>
    </row>
    <row r="6621" spans="1:19" x14ac:dyDescent="0.25">
      <c r="A6621" s="21">
        <v>45846</v>
      </c>
      <c r="B6621" s="1" t="s">
        <v>3924</v>
      </c>
      <c r="C6621" t="s">
        <v>11588</v>
      </c>
      <c r="D6621" s="43" t="s">
        <v>11589</v>
      </c>
      <c r="E6621" t="s">
        <v>35</v>
      </c>
      <c r="F6621" s="2">
        <v>210101001</v>
      </c>
      <c r="G6621" s="2" t="s">
        <v>36</v>
      </c>
      <c r="L6621" s="2" t="s">
        <v>11590</v>
      </c>
      <c r="M6621" t="s">
        <v>38</v>
      </c>
      <c r="N6621" t="s">
        <v>39</v>
      </c>
      <c r="P6621" s="23">
        <v>112.13</v>
      </c>
      <c r="Q6621" s="4">
        <f t="shared" si="103"/>
        <v>-1300.8179791313655</v>
      </c>
      <c r="R6621" s="23" t="s">
        <v>11466</v>
      </c>
    </row>
    <row r="6622" spans="1:19" x14ac:dyDescent="0.25">
      <c r="A6622" s="21">
        <v>45846</v>
      </c>
      <c r="B6622" s="1" t="s">
        <v>3952</v>
      </c>
      <c r="C6622" t="s">
        <v>11591</v>
      </c>
      <c r="D6622" s="43" t="s">
        <v>11592</v>
      </c>
      <c r="E6622" t="s">
        <v>35</v>
      </c>
      <c r="F6622" s="2">
        <v>210101001</v>
      </c>
      <c r="G6622" s="2" t="s">
        <v>36</v>
      </c>
      <c r="L6622" s="2" t="s">
        <v>11593</v>
      </c>
      <c r="M6622" t="s">
        <v>788</v>
      </c>
      <c r="N6622" t="s">
        <v>789</v>
      </c>
      <c r="P6622" s="23">
        <v>112.13</v>
      </c>
      <c r="Q6622" s="4">
        <f t="shared" si="103"/>
        <v>-419.8732720948899</v>
      </c>
      <c r="R6622" s="23" t="s">
        <v>11466</v>
      </c>
    </row>
    <row r="6623" spans="1:19" x14ac:dyDescent="0.25">
      <c r="A6623" s="21">
        <v>45846</v>
      </c>
      <c r="B6623" s="1" t="s">
        <v>3933</v>
      </c>
      <c r="C6623" t="s">
        <v>11594</v>
      </c>
      <c r="D6623" s="43" t="s">
        <v>11595</v>
      </c>
      <c r="E6623" t="s">
        <v>35</v>
      </c>
      <c r="F6623" s="2">
        <v>210101001</v>
      </c>
      <c r="G6623" s="2" t="s">
        <v>36</v>
      </c>
      <c r="L6623" s="2" t="s">
        <v>11596</v>
      </c>
      <c r="M6623" t="s">
        <v>788</v>
      </c>
      <c r="N6623" t="s">
        <v>789</v>
      </c>
      <c r="P6623" s="23">
        <v>112.13</v>
      </c>
      <c r="Q6623" s="4">
        <f t="shared" si="103"/>
        <v>-139.20003567287969</v>
      </c>
      <c r="R6623" s="23" t="s">
        <v>11466</v>
      </c>
    </row>
    <row r="6624" spans="1:19" x14ac:dyDescent="0.25">
      <c r="A6624" s="21">
        <v>45846</v>
      </c>
      <c r="B6624" s="1" t="s">
        <v>3930</v>
      </c>
      <c r="C6624" t="s">
        <v>11597</v>
      </c>
      <c r="D6624" s="43" t="s">
        <v>11598</v>
      </c>
      <c r="E6624" t="s">
        <v>35</v>
      </c>
      <c r="F6624" s="2">
        <v>210101001</v>
      </c>
      <c r="G6624" s="2" t="s">
        <v>36</v>
      </c>
      <c r="L6624" s="2" t="s">
        <v>11599</v>
      </c>
      <c r="M6624" t="s">
        <v>38</v>
      </c>
      <c r="N6624" t="s">
        <v>39</v>
      </c>
      <c r="P6624" s="23">
        <v>112.13</v>
      </c>
      <c r="Q6624" s="4">
        <f t="shared" si="103"/>
        <v>-1217.8913760813343</v>
      </c>
      <c r="R6624" s="23" t="s">
        <v>11466</v>
      </c>
    </row>
    <row r="6625" spans="1:18" x14ac:dyDescent="0.25">
      <c r="A6625" s="21">
        <v>45846</v>
      </c>
      <c r="B6625" s="1" t="s">
        <v>2571</v>
      </c>
      <c r="C6625" t="s">
        <v>11600</v>
      </c>
      <c r="D6625" s="43" t="s">
        <v>11601</v>
      </c>
      <c r="E6625" t="s">
        <v>35</v>
      </c>
      <c r="F6625" s="2">
        <v>210101001</v>
      </c>
      <c r="G6625" s="2" t="s">
        <v>36</v>
      </c>
      <c r="L6625" s="2" t="s">
        <v>11602</v>
      </c>
      <c r="M6625" t="s">
        <v>788</v>
      </c>
      <c r="N6625" t="s">
        <v>789</v>
      </c>
      <c r="P6625" s="23">
        <v>112.13</v>
      </c>
      <c r="Q6625" s="4">
        <f t="shared" si="103"/>
        <v>-125.28003210559173</v>
      </c>
      <c r="R6625" s="23" t="s">
        <v>11466</v>
      </c>
    </row>
    <row r="6626" spans="1:18" x14ac:dyDescent="0.25">
      <c r="A6626" s="21">
        <v>45846</v>
      </c>
      <c r="B6626" s="1" t="s">
        <v>1211</v>
      </c>
      <c r="C6626" t="s">
        <v>11603</v>
      </c>
      <c r="D6626" s="43" t="s">
        <v>9845</v>
      </c>
      <c r="E6626" t="s">
        <v>35</v>
      </c>
      <c r="F6626" s="2">
        <v>210101001</v>
      </c>
      <c r="G6626" s="2" t="s">
        <v>36</v>
      </c>
      <c r="L6626" s="2" t="s">
        <v>11604</v>
      </c>
      <c r="M6626" t="s">
        <v>2645</v>
      </c>
      <c r="N6626" t="s">
        <v>1187</v>
      </c>
      <c r="P6626" s="23">
        <v>112.13</v>
      </c>
      <c r="Q6626" s="4">
        <f t="shared" si="103"/>
        <v>-1783.6439846606618</v>
      </c>
      <c r="R6626" s="23" t="s">
        <v>11466</v>
      </c>
    </row>
    <row r="6627" spans="1:18" x14ac:dyDescent="0.25">
      <c r="A6627" s="21">
        <v>45846</v>
      </c>
      <c r="B6627" s="1" t="s">
        <v>1217</v>
      </c>
      <c r="C6627" t="s">
        <v>11603</v>
      </c>
      <c r="D6627" s="43" t="s">
        <v>11605</v>
      </c>
      <c r="E6627" t="s">
        <v>35</v>
      </c>
      <c r="F6627" s="2">
        <v>210101001</v>
      </c>
      <c r="G6627" s="2" t="s">
        <v>36</v>
      </c>
      <c r="L6627" s="2" t="s">
        <v>11606</v>
      </c>
      <c r="M6627" t="s">
        <v>2645</v>
      </c>
      <c r="N6627" t="s">
        <v>1187</v>
      </c>
      <c r="P6627" s="23">
        <v>112.13</v>
      </c>
      <c r="Q6627" s="4">
        <f t="shared" si="103"/>
        <v>-124.99366806385447</v>
      </c>
      <c r="R6627" s="23" t="s">
        <v>11466</v>
      </c>
    </row>
    <row r="6628" spans="1:18" x14ac:dyDescent="0.25">
      <c r="A6628" s="21">
        <v>45846</v>
      </c>
      <c r="B6628" s="1" t="s">
        <v>2573</v>
      </c>
      <c r="C6628" t="s">
        <v>11584</v>
      </c>
      <c r="D6628" s="43" t="s">
        <v>9845</v>
      </c>
      <c r="E6628" t="s">
        <v>35</v>
      </c>
      <c r="F6628" s="2">
        <v>210101001</v>
      </c>
      <c r="G6628" s="2" t="s">
        <v>36</v>
      </c>
      <c r="L6628" s="2" t="s">
        <v>11607</v>
      </c>
      <c r="M6628" t="s">
        <v>521</v>
      </c>
      <c r="N6628" t="s">
        <v>3364</v>
      </c>
      <c r="P6628" s="23">
        <v>112.13</v>
      </c>
      <c r="Q6628" s="4">
        <f t="shared" si="103"/>
        <v>-1783.6439846606618</v>
      </c>
      <c r="R6628" s="23" t="s">
        <v>11466</v>
      </c>
    </row>
    <row r="6629" spans="1:18" x14ac:dyDescent="0.25">
      <c r="A6629" s="21">
        <v>45846</v>
      </c>
      <c r="B6629" s="1" t="s">
        <v>3943</v>
      </c>
      <c r="C6629" t="s">
        <v>11608</v>
      </c>
      <c r="D6629" s="43" t="s">
        <v>11609</v>
      </c>
      <c r="E6629" t="s">
        <v>35</v>
      </c>
      <c r="F6629" s="2">
        <v>210101001</v>
      </c>
      <c r="G6629" s="2" t="s">
        <v>36</v>
      </c>
      <c r="L6629" s="2" t="s">
        <v>11610</v>
      </c>
      <c r="M6629" t="s">
        <v>1600</v>
      </c>
      <c r="N6629" t="s">
        <v>1601</v>
      </c>
      <c r="P6629" s="23">
        <v>112.13</v>
      </c>
      <c r="Q6629" s="4">
        <f t="shared" si="103"/>
        <v>-43.584054222777134</v>
      </c>
      <c r="R6629" s="23" t="s">
        <v>11466</v>
      </c>
    </row>
    <row r="6630" spans="1:18" x14ac:dyDescent="0.25">
      <c r="A6630" s="21">
        <v>45846</v>
      </c>
      <c r="B6630" s="1" t="s">
        <v>3960</v>
      </c>
      <c r="C6630" t="s">
        <v>1221</v>
      </c>
      <c r="D6630" s="43" t="s">
        <v>11611</v>
      </c>
      <c r="E6630" t="s">
        <v>35</v>
      </c>
      <c r="F6630" s="2">
        <v>610148001</v>
      </c>
      <c r="G6630" s="2" t="s">
        <v>42</v>
      </c>
      <c r="L6630" s="2" t="s">
        <v>11612</v>
      </c>
      <c r="M6630" t="s">
        <v>43</v>
      </c>
      <c r="N6630" t="s">
        <v>42</v>
      </c>
      <c r="P6630" s="23">
        <v>112.13</v>
      </c>
      <c r="Q6630" s="4">
        <f t="shared" si="103"/>
        <v>-1.7212164451975386E-2</v>
      </c>
      <c r="R6630" s="23" t="s">
        <v>11466</v>
      </c>
    </row>
    <row r="6631" spans="1:18" x14ac:dyDescent="0.25">
      <c r="A6631" s="21">
        <v>45846</v>
      </c>
      <c r="B6631" s="1" t="s">
        <v>3977</v>
      </c>
      <c r="C6631" t="s">
        <v>1221</v>
      </c>
      <c r="D6631" s="43" t="s">
        <v>11613</v>
      </c>
      <c r="E6631" t="s">
        <v>35</v>
      </c>
      <c r="F6631" s="2">
        <v>610148001</v>
      </c>
      <c r="G6631" s="2" t="s">
        <v>42</v>
      </c>
      <c r="L6631" s="2" t="s">
        <v>11614</v>
      </c>
      <c r="M6631" t="s">
        <v>43</v>
      </c>
      <c r="N6631" t="s">
        <v>42</v>
      </c>
      <c r="P6631" s="23">
        <v>112.13</v>
      </c>
      <c r="Q6631" s="4">
        <f t="shared" si="103"/>
        <v>-0.10889146526353341</v>
      </c>
      <c r="R6631" s="23" t="s">
        <v>11466</v>
      </c>
    </row>
    <row r="6632" spans="1:18" x14ac:dyDescent="0.25">
      <c r="A6632" s="21">
        <v>45846</v>
      </c>
      <c r="B6632" s="1" t="s">
        <v>1227</v>
      </c>
      <c r="C6632" t="s">
        <v>1221</v>
      </c>
      <c r="D6632" s="43" t="s">
        <v>9774</v>
      </c>
      <c r="E6632" t="s">
        <v>35</v>
      </c>
      <c r="F6632" s="2">
        <v>610148001</v>
      </c>
      <c r="G6632" s="2" t="s">
        <v>42</v>
      </c>
      <c r="L6632" s="2" t="s">
        <v>11615</v>
      </c>
      <c r="M6632" t="s">
        <v>43</v>
      </c>
      <c r="N6632" t="s">
        <v>42</v>
      </c>
      <c r="P6632" s="23">
        <v>112.13</v>
      </c>
      <c r="Q6632" s="4">
        <f t="shared" si="103"/>
        <v>-4.4591099616516541</v>
      </c>
      <c r="R6632" s="23" t="s">
        <v>11466</v>
      </c>
    </row>
    <row r="6633" spans="1:18" x14ac:dyDescent="0.25">
      <c r="A6633" s="21">
        <v>45846</v>
      </c>
      <c r="B6633" s="1" t="s">
        <v>3958</v>
      </c>
      <c r="C6633" t="s">
        <v>1221</v>
      </c>
      <c r="D6633" s="43" t="s">
        <v>11616</v>
      </c>
      <c r="E6633" t="s">
        <v>35</v>
      </c>
      <c r="F6633" s="2">
        <v>610148001</v>
      </c>
      <c r="G6633" s="2" t="s">
        <v>42</v>
      </c>
      <c r="L6633" s="2" t="s">
        <v>11617</v>
      </c>
      <c r="M6633" t="s">
        <v>43</v>
      </c>
      <c r="N6633" t="s">
        <v>42</v>
      </c>
      <c r="P6633" s="23">
        <v>112.13</v>
      </c>
      <c r="Q6633" s="4">
        <f t="shared" si="103"/>
        <v>-1.0496744849727995</v>
      </c>
      <c r="R6633" s="23" t="s">
        <v>11466</v>
      </c>
    </row>
    <row r="6634" spans="1:18" x14ac:dyDescent="0.25">
      <c r="A6634" s="21">
        <v>45846</v>
      </c>
      <c r="B6634" s="1" t="s">
        <v>1225</v>
      </c>
      <c r="C6634" t="s">
        <v>1221</v>
      </c>
      <c r="D6634" s="43" t="s">
        <v>9774</v>
      </c>
      <c r="E6634" t="s">
        <v>35</v>
      </c>
      <c r="F6634" s="2">
        <v>610148001</v>
      </c>
      <c r="G6634" s="2" t="s">
        <v>42</v>
      </c>
      <c r="L6634" s="2" t="s">
        <v>11618</v>
      </c>
      <c r="M6634" t="s">
        <v>43</v>
      </c>
      <c r="N6634" t="s">
        <v>42</v>
      </c>
      <c r="P6634" s="23">
        <v>112.13</v>
      </c>
      <c r="Q6634" s="4">
        <f t="shared" si="103"/>
        <v>-4.4591099616516541</v>
      </c>
      <c r="R6634" s="23" t="s">
        <v>11466</v>
      </c>
    </row>
    <row r="6635" spans="1:18" x14ac:dyDescent="0.25">
      <c r="A6635" s="21">
        <v>45846</v>
      </c>
      <c r="B6635" s="1" t="s">
        <v>1220</v>
      </c>
      <c r="C6635" t="s">
        <v>1221</v>
      </c>
      <c r="D6635" s="43" t="s">
        <v>11619</v>
      </c>
      <c r="E6635" t="s">
        <v>35</v>
      </c>
      <c r="F6635" s="2">
        <v>610148001</v>
      </c>
      <c r="G6635" s="2" t="s">
        <v>42</v>
      </c>
      <c r="L6635" s="2" t="s">
        <v>11620</v>
      </c>
      <c r="M6635" t="s">
        <v>43</v>
      </c>
      <c r="N6635" t="s">
        <v>42</v>
      </c>
      <c r="P6635" s="23">
        <v>112.13</v>
      </c>
      <c r="Q6635" s="4">
        <f t="shared" si="103"/>
        <v>-0.31240524391331492</v>
      </c>
      <c r="R6635" s="23" t="s">
        <v>11466</v>
      </c>
    </row>
    <row r="6636" spans="1:18" x14ac:dyDescent="0.25">
      <c r="A6636" s="21">
        <v>45846</v>
      </c>
      <c r="B6636" s="1" t="s">
        <v>2585</v>
      </c>
      <c r="C6636" t="s">
        <v>1221</v>
      </c>
      <c r="D6636" s="43" t="s">
        <v>11621</v>
      </c>
      <c r="E6636" t="s">
        <v>35</v>
      </c>
      <c r="F6636" s="2">
        <v>610148001</v>
      </c>
      <c r="G6636" s="2" t="s">
        <v>42</v>
      </c>
      <c r="L6636" s="2" t="s">
        <v>11622</v>
      </c>
      <c r="M6636" t="s">
        <v>43</v>
      </c>
      <c r="N6636" t="s">
        <v>42</v>
      </c>
      <c r="P6636" s="23">
        <v>112.13</v>
      </c>
      <c r="Q6636" s="4">
        <f t="shared" si="103"/>
        <v>-0.31311870150717919</v>
      </c>
      <c r="R6636" s="23" t="s">
        <v>11466</v>
      </c>
    </row>
    <row r="6637" spans="1:18" x14ac:dyDescent="0.25">
      <c r="A6637" s="21">
        <v>45846</v>
      </c>
      <c r="B6637" s="1" t="s">
        <v>3969</v>
      </c>
      <c r="C6637" t="s">
        <v>1221</v>
      </c>
      <c r="D6637" s="43" t="s">
        <v>11623</v>
      </c>
      <c r="E6637" t="s">
        <v>35</v>
      </c>
      <c r="F6637" s="2">
        <v>610148001</v>
      </c>
      <c r="G6637" s="2" t="s">
        <v>42</v>
      </c>
      <c r="L6637" s="2" t="s">
        <v>11624</v>
      </c>
      <c r="M6637" t="s">
        <v>43</v>
      </c>
      <c r="N6637" t="s">
        <v>42</v>
      </c>
      <c r="P6637" s="23">
        <v>112.13</v>
      </c>
      <c r="Q6637" s="4">
        <f t="shared" si="103"/>
        <v>-3.0446802818157495</v>
      </c>
      <c r="R6637" s="23" t="s">
        <v>11466</v>
      </c>
    </row>
    <row r="6638" spans="1:18" x14ac:dyDescent="0.25">
      <c r="A6638" s="21">
        <v>45846</v>
      </c>
      <c r="B6638" s="1" t="s">
        <v>3967</v>
      </c>
      <c r="C6638" t="s">
        <v>1221</v>
      </c>
      <c r="D6638" s="43" t="s">
        <v>11625</v>
      </c>
      <c r="E6638" t="s">
        <v>35</v>
      </c>
      <c r="F6638" s="2">
        <v>610148001</v>
      </c>
      <c r="G6638" s="2" t="s">
        <v>42</v>
      </c>
      <c r="L6638" s="2" t="s">
        <v>11626</v>
      </c>
      <c r="M6638" t="s">
        <v>43</v>
      </c>
      <c r="N6638" t="s">
        <v>42</v>
      </c>
      <c r="P6638" s="23">
        <v>112.13</v>
      </c>
      <c r="Q6638" s="4">
        <f t="shared" si="103"/>
        <v>-0.34798894140729514</v>
      </c>
      <c r="R6638" s="23" t="s">
        <v>11466</v>
      </c>
    </row>
    <row r="6639" spans="1:18" x14ac:dyDescent="0.25">
      <c r="A6639" s="21">
        <v>45846</v>
      </c>
      <c r="B6639" s="1" t="s">
        <v>3965</v>
      </c>
      <c r="C6639" t="s">
        <v>1221</v>
      </c>
      <c r="D6639" s="43" t="s">
        <v>11627</v>
      </c>
      <c r="E6639" t="s">
        <v>35</v>
      </c>
      <c r="F6639" s="2">
        <v>610148001</v>
      </c>
      <c r="G6639" s="2" t="s">
        <v>42</v>
      </c>
      <c r="L6639" s="2" t="s">
        <v>11628</v>
      </c>
      <c r="M6639" t="s">
        <v>43</v>
      </c>
      <c r="N6639" t="s">
        <v>42</v>
      </c>
      <c r="P6639" s="23">
        <v>112.13</v>
      </c>
      <c r="Q6639" s="4">
        <f t="shared" si="103"/>
        <v>-3.2520288950325513</v>
      </c>
      <c r="R6639" s="23" t="s">
        <v>11466</v>
      </c>
    </row>
    <row r="6640" spans="1:18" x14ac:dyDescent="0.25">
      <c r="A6640" s="21">
        <v>45846</v>
      </c>
      <c r="B6640" s="1" t="s">
        <v>1223</v>
      </c>
      <c r="C6640" t="s">
        <v>1221</v>
      </c>
      <c r="D6640" s="43" t="s">
        <v>11629</v>
      </c>
      <c r="E6640" t="s">
        <v>35</v>
      </c>
      <c r="F6640" s="2">
        <v>610148001</v>
      </c>
      <c r="G6640" s="2" t="s">
        <v>42</v>
      </c>
      <c r="L6640" s="2" t="s">
        <v>11630</v>
      </c>
      <c r="M6640" t="s">
        <v>43</v>
      </c>
      <c r="N6640" t="s">
        <v>42</v>
      </c>
      <c r="P6640" s="23">
        <v>112.13</v>
      </c>
      <c r="Q6640" s="4">
        <f t="shared" si="103"/>
        <v>-0.2015517702666548</v>
      </c>
      <c r="R6640" s="23" t="s">
        <v>11466</v>
      </c>
    </row>
    <row r="6641" spans="1:18" x14ac:dyDescent="0.25">
      <c r="A6641" s="21">
        <v>45846</v>
      </c>
      <c r="B6641" s="1" t="s">
        <v>2582</v>
      </c>
      <c r="C6641" t="s">
        <v>1221</v>
      </c>
      <c r="D6641" s="43" t="s">
        <v>9774</v>
      </c>
      <c r="E6641" t="s">
        <v>35</v>
      </c>
      <c r="F6641" s="2">
        <v>610148001</v>
      </c>
      <c r="G6641" s="2" t="s">
        <v>42</v>
      </c>
      <c r="L6641" s="2" t="s">
        <v>11631</v>
      </c>
      <c r="M6641" t="s">
        <v>43</v>
      </c>
      <c r="N6641" t="s">
        <v>42</v>
      </c>
      <c r="P6641" s="23">
        <v>112.13</v>
      </c>
      <c r="Q6641" s="4">
        <f t="shared" si="103"/>
        <v>-4.4591099616516541</v>
      </c>
      <c r="R6641" s="23" t="s">
        <v>11466</v>
      </c>
    </row>
    <row r="6642" spans="1:18" x14ac:dyDescent="0.25">
      <c r="A6642" s="21">
        <v>45847</v>
      </c>
      <c r="B6642" s="1" t="s">
        <v>11632</v>
      </c>
      <c r="C6642" t="s">
        <v>544</v>
      </c>
      <c r="D6642" s="43" t="s">
        <v>11633</v>
      </c>
      <c r="E6642" t="s">
        <v>46</v>
      </c>
      <c r="F6642" s="2">
        <v>210115002</v>
      </c>
      <c r="G6642" s="2" t="s">
        <v>47</v>
      </c>
      <c r="L6642" s="2" t="s">
        <v>11634</v>
      </c>
      <c r="N6642" t="s">
        <v>544</v>
      </c>
      <c r="P6642" s="23">
        <v>112.83</v>
      </c>
      <c r="Q6642" s="4">
        <f t="shared" si="103"/>
        <v>6425.5960294247989</v>
      </c>
      <c r="R6642" s="23" t="s">
        <v>11466</v>
      </c>
    </row>
    <row r="6643" spans="1:18" x14ac:dyDescent="0.25">
      <c r="A6643" s="21">
        <v>45847</v>
      </c>
      <c r="B6643" s="1" t="s">
        <v>1208</v>
      </c>
      <c r="C6643" t="s">
        <v>11635</v>
      </c>
      <c r="D6643" s="43" t="s">
        <v>9845</v>
      </c>
      <c r="E6643" t="s">
        <v>35</v>
      </c>
      <c r="F6643" s="2">
        <v>210101001</v>
      </c>
      <c r="G6643" s="2" t="s">
        <v>36</v>
      </c>
      <c r="L6643" s="2" t="s">
        <v>11636</v>
      </c>
      <c r="M6643" t="s">
        <v>788</v>
      </c>
      <c r="N6643" t="s">
        <v>789</v>
      </c>
      <c r="P6643" s="23">
        <v>112.83</v>
      </c>
      <c r="Q6643" s="4">
        <f t="shared" si="103"/>
        <v>-1772.5782150137375</v>
      </c>
      <c r="R6643" s="23" t="s">
        <v>11466</v>
      </c>
    </row>
    <row r="6644" spans="1:18" x14ac:dyDescent="0.25">
      <c r="A6644" s="21">
        <v>45847</v>
      </c>
      <c r="B6644" s="1" t="s">
        <v>1217</v>
      </c>
      <c r="C6644" t="s">
        <v>11637</v>
      </c>
      <c r="D6644" s="43" t="s">
        <v>11638</v>
      </c>
      <c r="E6644" t="s">
        <v>35</v>
      </c>
      <c r="F6644" s="2">
        <v>210101001</v>
      </c>
      <c r="G6644" s="2" t="s">
        <v>36</v>
      </c>
      <c r="L6644" s="2" t="s">
        <v>11639</v>
      </c>
      <c r="M6644" t="s">
        <v>788</v>
      </c>
      <c r="N6644" t="s">
        <v>789</v>
      </c>
      <c r="P6644" s="23">
        <v>112.83</v>
      </c>
      <c r="Q6644" s="4">
        <f t="shared" si="103"/>
        <v>-149.69866170344767</v>
      </c>
      <c r="R6644" s="23" t="s">
        <v>11466</v>
      </c>
    </row>
    <row r="6645" spans="1:18" x14ac:dyDescent="0.25">
      <c r="A6645" s="21">
        <v>45847</v>
      </c>
      <c r="B6645" s="1" t="s">
        <v>2573</v>
      </c>
      <c r="C6645" t="s">
        <v>11640</v>
      </c>
      <c r="D6645" s="43" t="s">
        <v>11641</v>
      </c>
      <c r="E6645" t="s">
        <v>35</v>
      </c>
      <c r="F6645" s="2">
        <v>210101001</v>
      </c>
      <c r="G6645" s="2" t="s">
        <v>36</v>
      </c>
      <c r="L6645" s="2" t="s">
        <v>11642</v>
      </c>
      <c r="M6645" t="s">
        <v>788</v>
      </c>
      <c r="N6645" t="s">
        <v>789</v>
      </c>
      <c r="P6645" s="23">
        <v>112.83</v>
      </c>
      <c r="Q6645" s="4">
        <f t="shared" si="103"/>
        <v>-180.71452627847205</v>
      </c>
      <c r="R6645" s="23" t="s">
        <v>11466</v>
      </c>
    </row>
    <row r="6646" spans="1:18" x14ac:dyDescent="0.25">
      <c r="A6646" s="21">
        <v>45847</v>
      </c>
      <c r="B6646" s="1" t="s">
        <v>1208</v>
      </c>
      <c r="C6646" t="s">
        <v>11635</v>
      </c>
      <c r="D6646" s="43" t="s">
        <v>9845</v>
      </c>
      <c r="E6646" t="s">
        <v>35</v>
      </c>
      <c r="F6646" s="2">
        <v>210101001</v>
      </c>
      <c r="G6646" s="2" t="s">
        <v>36</v>
      </c>
      <c r="L6646" s="2" t="s">
        <v>11643</v>
      </c>
      <c r="M6646" t="s">
        <v>788</v>
      </c>
      <c r="N6646" t="s">
        <v>789</v>
      </c>
      <c r="P6646" s="23">
        <v>112.83</v>
      </c>
      <c r="Q6646" s="4">
        <f t="shared" si="103"/>
        <v>-1772.5782150137375</v>
      </c>
      <c r="R6646" s="23" t="s">
        <v>11466</v>
      </c>
    </row>
    <row r="6647" spans="1:18" x14ac:dyDescent="0.25">
      <c r="A6647" s="21">
        <v>45847</v>
      </c>
      <c r="B6647" s="1" t="s">
        <v>1208</v>
      </c>
      <c r="C6647" t="s">
        <v>11644</v>
      </c>
      <c r="D6647" s="43">
        <v>-67502.28</v>
      </c>
      <c r="E6647" t="s">
        <v>35</v>
      </c>
      <c r="F6647" s="2">
        <v>110114001</v>
      </c>
      <c r="G6647" s="2" t="s">
        <v>301</v>
      </c>
      <c r="L6647" s="2" t="s">
        <v>11645</v>
      </c>
      <c r="N6647" t="s">
        <v>2551</v>
      </c>
      <c r="P6647" s="23">
        <v>112.83</v>
      </c>
      <c r="Q6647" s="4">
        <f t="shared" si="103"/>
        <v>-598.26535495878761</v>
      </c>
      <c r="R6647" s="23" t="s">
        <v>11466</v>
      </c>
    </row>
    <row r="6648" spans="1:18" x14ac:dyDescent="0.25">
      <c r="A6648" s="21">
        <v>45847</v>
      </c>
      <c r="B6648" s="1" t="s">
        <v>1211</v>
      </c>
      <c r="C6648" t="s">
        <v>11646</v>
      </c>
      <c r="D6648" s="43">
        <v>-12558.39</v>
      </c>
      <c r="E6648" t="s">
        <v>35</v>
      </c>
      <c r="F6648" s="2">
        <v>210101001</v>
      </c>
      <c r="G6648" s="2" t="s">
        <v>36</v>
      </c>
      <c r="L6648" s="2" t="s">
        <v>11647</v>
      </c>
      <c r="M6648" t="s">
        <v>303</v>
      </c>
      <c r="N6648" t="s">
        <v>304</v>
      </c>
      <c r="P6648" s="23">
        <v>112.83</v>
      </c>
      <c r="Q6648" s="4">
        <f t="shared" si="103"/>
        <v>-111.30364264823184</v>
      </c>
      <c r="R6648" s="23" t="s">
        <v>11466</v>
      </c>
    </row>
    <row r="6649" spans="1:18" x14ac:dyDescent="0.25">
      <c r="A6649" s="21">
        <v>45847</v>
      </c>
      <c r="B6649" s="1" t="s">
        <v>1214</v>
      </c>
      <c r="C6649" t="s">
        <v>11648</v>
      </c>
      <c r="D6649" s="43">
        <v>-5722.99</v>
      </c>
      <c r="E6649" t="s">
        <v>35</v>
      </c>
      <c r="F6649" s="2">
        <v>210101001</v>
      </c>
      <c r="G6649" s="2" t="s">
        <v>36</v>
      </c>
      <c r="L6649" s="2" t="s">
        <v>11649</v>
      </c>
      <c r="M6649" t="s">
        <v>303</v>
      </c>
      <c r="N6649" t="s">
        <v>304</v>
      </c>
      <c r="P6649" s="23">
        <v>112.83</v>
      </c>
      <c r="Q6649" s="4">
        <f t="shared" si="103"/>
        <v>-50.722236993707348</v>
      </c>
      <c r="R6649" s="23" t="s">
        <v>11466</v>
      </c>
    </row>
    <row r="6650" spans="1:18" x14ac:dyDescent="0.25">
      <c r="A6650" s="21">
        <v>45847</v>
      </c>
      <c r="B6650" s="1" t="s">
        <v>1208</v>
      </c>
      <c r="C6650" t="s">
        <v>11644</v>
      </c>
      <c r="D6650" s="43">
        <v>-200000</v>
      </c>
      <c r="E6650" t="s">
        <v>35</v>
      </c>
      <c r="F6650" s="2">
        <v>110114001</v>
      </c>
      <c r="G6650" s="2" t="s">
        <v>301</v>
      </c>
      <c r="L6650" s="2" t="s">
        <v>11650</v>
      </c>
      <c r="N6650" t="s">
        <v>2551</v>
      </c>
      <c r="P6650" s="23">
        <v>112.83</v>
      </c>
      <c r="Q6650" s="4">
        <f t="shared" si="103"/>
        <v>-1772.5782150137375</v>
      </c>
      <c r="R6650" s="23" t="s">
        <v>11466</v>
      </c>
    </row>
    <row r="6651" spans="1:18" x14ac:dyDescent="0.25">
      <c r="A6651" s="21">
        <v>45847</v>
      </c>
      <c r="B6651" s="1" t="s">
        <v>1223</v>
      </c>
      <c r="C6651" t="s">
        <v>1221</v>
      </c>
      <c r="D6651" s="43">
        <v>-500</v>
      </c>
      <c r="E6651" t="s">
        <v>35</v>
      </c>
      <c r="F6651" s="2">
        <v>610148001</v>
      </c>
      <c r="G6651" s="2" t="s">
        <v>42</v>
      </c>
      <c r="L6651" s="2" t="s">
        <v>11651</v>
      </c>
      <c r="M6651" t="s">
        <v>43</v>
      </c>
      <c r="N6651" t="s">
        <v>42</v>
      </c>
      <c r="P6651" s="23">
        <v>112.83</v>
      </c>
      <c r="Q6651" s="4">
        <f t="shared" si="103"/>
        <v>-4.4314455375343433</v>
      </c>
      <c r="R6651" s="23" t="s">
        <v>11466</v>
      </c>
    </row>
    <row r="6652" spans="1:18" x14ac:dyDescent="0.25">
      <c r="A6652" s="21">
        <v>45847</v>
      </c>
      <c r="B6652" s="1" t="s">
        <v>1227</v>
      </c>
      <c r="C6652" t="s">
        <v>1221</v>
      </c>
      <c r="D6652" s="43">
        <v>-31.39</v>
      </c>
      <c r="E6652" t="s">
        <v>35</v>
      </c>
      <c r="F6652" s="2">
        <v>610148001</v>
      </c>
      <c r="G6652" s="2" t="s">
        <v>42</v>
      </c>
      <c r="L6652" s="2" t="s">
        <v>11652</v>
      </c>
      <c r="M6652" t="s">
        <v>43</v>
      </c>
      <c r="N6652" t="s">
        <v>42</v>
      </c>
      <c r="P6652" s="23">
        <v>112.83</v>
      </c>
      <c r="Q6652" s="4">
        <f t="shared" si="103"/>
        <v>-0.2782061508464061</v>
      </c>
      <c r="R6652" s="23" t="s">
        <v>11466</v>
      </c>
    </row>
    <row r="6653" spans="1:18" x14ac:dyDescent="0.25">
      <c r="A6653" s="21">
        <v>45847</v>
      </c>
      <c r="B6653" s="1" t="s">
        <v>1220</v>
      </c>
      <c r="C6653" t="s">
        <v>1221</v>
      </c>
      <c r="D6653" s="43">
        <v>-42.22</v>
      </c>
      <c r="E6653" t="s">
        <v>35</v>
      </c>
      <c r="F6653" s="2">
        <v>610148001</v>
      </c>
      <c r="G6653" s="2" t="s">
        <v>42</v>
      </c>
      <c r="L6653" s="2" t="s">
        <v>11653</v>
      </c>
      <c r="M6653" t="s">
        <v>43</v>
      </c>
      <c r="N6653" t="s">
        <v>42</v>
      </c>
      <c r="P6653" s="23">
        <v>112.83</v>
      </c>
      <c r="Q6653" s="4">
        <f t="shared" si="103"/>
        <v>-0.37419126118939999</v>
      </c>
      <c r="R6653" s="23" t="s">
        <v>11466</v>
      </c>
    </row>
    <row r="6654" spans="1:18" x14ac:dyDescent="0.25">
      <c r="A6654" s="21">
        <v>45847</v>
      </c>
      <c r="B6654" s="1" t="s">
        <v>1223</v>
      </c>
      <c r="C6654" t="s">
        <v>1221</v>
      </c>
      <c r="D6654" s="43">
        <v>-500</v>
      </c>
      <c r="E6654" t="s">
        <v>35</v>
      </c>
      <c r="F6654" s="2">
        <v>610148001</v>
      </c>
      <c r="G6654" s="2" t="s">
        <v>42</v>
      </c>
      <c r="L6654" s="2" t="s">
        <v>11654</v>
      </c>
      <c r="M6654" t="s">
        <v>43</v>
      </c>
      <c r="N6654" t="s">
        <v>42</v>
      </c>
      <c r="P6654" s="23">
        <v>112.83</v>
      </c>
      <c r="Q6654" s="4">
        <f t="shared" si="103"/>
        <v>-4.4314455375343433</v>
      </c>
      <c r="R6654" s="23" t="s">
        <v>11466</v>
      </c>
    </row>
    <row r="6655" spans="1:18" x14ac:dyDescent="0.25">
      <c r="A6655" s="21">
        <v>45847</v>
      </c>
      <c r="B6655" s="1" t="s">
        <v>1223</v>
      </c>
      <c r="C6655" t="s">
        <v>1221</v>
      </c>
      <c r="D6655" s="43">
        <v>-500</v>
      </c>
      <c r="E6655" t="s">
        <v>35</v>
      </c>
      <c r="F6655" s="2">
        <v>610148001</v>
      </c>
      <c r="G6655" s="2" t="s">
        <v>42</v>
      </c>
      <c r="L6655" s="2" t="s">
        <v>11655</v>
      </c>
      <c r="M6655" t="s">
        <v>43</v>
      </c>
      <c r="N6655" t="s">
        <v>42</v>
      </c>
      <c r="P6655" s="23">
        <v>112.83</v>
      </c>
      <c r="Q6655" s="4">
        <f t="shared" si="103"/>
        <v>-4.4314455375343433</v>
      </c>
      <c r="R6655" s="23" t="s">
        <v>11466</v>
      </c>
    </row>
    <row r="6656" spans="1:18" x14ac:dyDescent="0.25">
      <c r="A6656" s="21">
        <v>45847</v>
      </c>
      <c r="B6656" s="1" t="s">
        <v>2582</v>
      </c>
      <c r="C6656" t="s">
        <v>1221</v>
      </c>
      <c r="D6656" s="43">
        <v>-50.97</v>
      </c>
      <c r="E6656" t="s">
        <v>35</v>
      </c>
      <c r="F6656" s="2">
        <v>610148001</v>
      </c>
      <c r="G6656" s="2" t="s">
        <v>42</v>
      </c>
      <c r="L6656" s="2" t="s">
        <v>11656</v>
      </c>
      <c r="M6656" t="s">
        <v>43</v>
      </c>
      <c r="N6656" t="s">
        <v>42</v>
      </c>
      <c r="P6656" s="23">
        <v>112.83</v>
      </c>
      <c r="Q6656" s="4">
        <f t="shared" si="103"/>
        <v>-0.45174155809625099</v>
      </c>
      <c r="R6656" s="23" t="s">
        <v>11466</v>
      </c>
    </row>
    <row r="6657" spans="1:19" x14ac:dyDescent="0.25">
      <c r="A6657" s="21">
        <v>45847</v>
      </c>
      <c r="B6657" s="1" t="s">
        <v>1223</v>
      </c>
      <c r="C6657" t="s">
        <v>1221</v>
      </c>
      <c r="D6657" s="43">
        <v>-168.75</v>
      </c>
      <c r="E6657" t="s">
        <v>35</v>
      </c>
      <c r="F6657" s="2">
        <v>610148001</v>
      </c>
      <c r="G6657" s="2" t="s">
        <v>42</v>
      </c>
      <c r="L6657" s="2" t="s">
        <v>11657</v>
      </c>
      <c r="M6657" t="s">
        <v>43</v>
      </c>
      <c r="N6657" t="s">
        <v>42</v>
      </c>
      <c r="P6657" s="23">
        <v>112.83</v>
      </c>
      <c r="Q6657" s="4">
        <f t="shared" si="103"/>
        <v>-1.495612868917841</v>
      </c>
      <c r="R6657" s="23" t="s">
        <v>11466</v>
      </c>
    </row>
    <row r="6658" spans="1:19" x14ac:dyDescent="0.25">
      <c r="A6658" s="21">
        <v>45847</v>
      </c>
      <c r="B6658" s="1" t="s">
        <v>1225</v>
      </c>
      <c r="C6658" t="s">
        <v>1221</v>
      </c>
      <c r="D6658" s="43">
        <v>-14.3</v>
      </c>
      <c r="E6658" t="s">
        <v>35</v>
      </c>
      <c r="F6658" s="2">
        <v>610148001</v>
      </c>
      <c r="G6658" s="2" t="s">
        <v>42</v>
      </c>
      <c r="L6658" s="2" t="s">
        <v>11658</v>
      </c>
      <c r="M6658" t="s">
        <v>43</v>
      </c>
      <c r="N6658" t="s">
        <v>42</v>
      </c>
      <c r="P6658" s="23">
        <v>112.83</v>
      </c>
      <c r="Q6658" s="4">
        <f t="shared" si="103"/>
        <v>-0.12673934237348225</v>
      </c>
      <c r="R6658" s="23" t="s">
        <v>11466</v>
      </c>
    </row>
    <row r="6659" spans="1:19" x14ac:dyDescent="0.25">
      <c r="A6659" s="21">
        <v>45847</v>
      </c>
      <c r="B6659" s="1" t="s">
        <v>11659</v>
      </c>
      <c r="C6659" t="s">
        <v>544</v>
      </c>
      <c r="D6659" s="43">
        <v>540000</v>
      </c>
      <c r="E6659" t="s">
        <v>46</v>
      </c>
      <c r="F6659" s="2">
        <v>210115002</v>
      </c>
      <c r="G6659" s="2" t="s">
        <v>47</v>
      </c>
      <c r="L6659" s="2" t="s">
        <v>11660</v>
      </c>
      <c r="N6659" t="s">
        <v>544</v>
      </c>
      <c r="P6659" s="23">
        <v>112.83</v>
      </c>
      <c r="Q6659" s="4">
        <f t="shared" si="103"/>
        <v>4785.9611805370914</v>
      </c>
      <c r="R6659" s="23" t="s">
        <v>11466</v>
      </c>
    </row>
    <row r="6660" spans="1:19" x14ac:dyDescent="0.25">
      <c r="A6660" s="21">
        <v>45847</v>
      </c>
      <c r="B6660" s="1" t="s">
        <v>1214</v>
      </c>
      <c r="C6660" t="s">
        <v>11644</v>
      </c>
      <c r="D6660" s="43">
        <v>-200000</v>
      </c>
      <c r="E6660" t="s">
        <v>35</v>
      </c>
      <c r="F6660" s="2">
        <v>110114001</v>
      </c>
      <c r="G6660" s="2" t="s">
        <v>301</v>
      </c>
      <c r="L6660" s="2" t="s">
        <v>11661</v>
      </c>
      <c r="N6660" t="s">
        <v>2551</v>
      </c>
      <c r="P6660" s="23">
        <v>112.83</v>
      </c>
      <c r="Q6660" s="4">
        <f t="shared" si="103"/>
        <v>-1772.5782150137375</v>
      </c>
      <c r="R6660" s="23" t="s">
        <v>11466</v>
      </c>
    </row>
    <row r="6661" spans="1:19" x14ac:dyDescent="0.25">
      <c r="A6661" s="21">
        <v>45847</v>
      </c>
      <c r="B6661" s="1" t="s">
        <v>1211</v>
      </c>
      <c r="C6661" t="s">
        <v>11662</v>
      </c>
      <c r="D6661" s="43">
        <v>-5113.3500000000004</v>
      </c>
      <c r="E6661" t="s">
        <v>35</v>
      </c>
      <c r="F6661" s="2">
        <v>210101001</v>
      </c>
      <c r="G6661" s="2" t="s">
        <v>36</v>
      </c>
      <c r="L6661" s="2" t="s">
        <v>11663</v>
      </c>
      <c r="M6661" t="s">
        <v>114</v>
      </c>
      <c r="N6661" t="s">
        <v>115</v>
      </c>
      <c r="P6661" s="23">
        <v>112.83</v>
      </c>
      <c r="Q6661" s="4">
        <f t="shared" si="103"/>
        <v>-45.319064078702475</v>
      </c>
      <c r="R6661" s="23" t="s">
        <v>11466</v>
      </c>
    </row>
    <row r="6662" spans="1:19" x14ac:dyDescent="0.25">
      <c r="A6662" s="21">
        <v>45847</v>
      </c>
      <c r="B6662" s="1" t="s">
        <v>1214</v>
      </c>
      <c r="C6662" t="s">
        <v>11635</v>
      </c>
      <c r="D6662" s="43">
        <v>-63325.11</v>
      </c>
      <c r="E6662" t="s">
        <v>35</v>
      </c>
      <c r="F6662" s="2">
        <v>210101001</v>
      </c>
      <c r="G6662" s="2" t="s">
        <v>36</v>
      </c>
      <c r="L6662" s="2" t="s">
        <v>11664</v>
      </c>
      <c r="M6662" t="s">
        <v>788</v>
      </c>
      <c r="N6662" t="s">
        <v>789</v>
      </c>
      <c r="P6662" s="23">
        <v>112.83</v>
      </c>
      <c r="Q6662" s="4">
        <f t="shared" si="103"/>
        <v>-561.24355224674287</v>
      </c>
      <c r="R6662" s="23" t="s">
        <v>11466</v>
      </c>
    </row>
    <row r="6663" spans="1:19" x14ac:dyDescent="0.25">
      <c r="A6663" s="21">
        <v>45847</v>
      </c>
      <c r="B6663" s="1" t="s">
        <v>1208</v>
      </c>
      <c r="C6663" t="s">
        <v>11665</v>
      </c>
      <c r="D6663" s="43">
        <v>-64877.25</v>
      </c>
      <c r="E6663" t="s">
        <v>35</v>
      </c>
      <c r="F6663" s="2">
        <v>210101001</v>
      </c>
      <c r="G6663" s="2" t="s">
        <v>36</v>
      </c>
      <c r="L6663" s="2" t="s">
        <v>11666</v>
      </c>
      <c r="M6663" t="s">
        <v>788</v>
      </c>
      <c r="N6663" t="s">
        <v>789</v>
      </c>
      <c r="P6663" s="23">
        <v>112.83</v>
      </c>
      <c r="Q6663" s="4">
        <f t="shared" si="103"/>
        <v>-575</v>
      </c>
      <c r="R6663" s="23" t="s">
        <v>11466</v>
      </c>
    </row>
    <row r="6664" spans="1:19" x14ac:dyDescent="0.25">
      <c r="A6664" s="21">
        <v>45847</v>
      </c>
      <c r="B6664" s="1" t="s">
        <v>1214</v>
      </c>
      <c r="C6664" t="s">
        <v>11644</v>
      </c>
      <c r="D6664" s="43">
        <v>-200000</v>
      </c>
      <c r="E6664" t="s">
        <v>35</v>
      </c>
      <c r="F6664" s="2">
        <v>110114001</v>
      </c>
      <c r="G6664" s="2" t="s">
        <v>301</v>
      </c>
      <c r="L6664" s="2" t="s">
        <v>11667</v>
      </c>
      <c r="N6664" t="s">
        <v>2551</v>
      </c>
      <c r="P6664" s="23">
        <v>112.83</v>
      </c>
      <c r="Q6664" s="4">
        <f t="shared" si="103"/>
        <v>-1772.5782150137375</v>
      </c>
      <c r="R6664" s="23" t="s">
        <v>11466</v>
      </c>
    </row>
    <row r="6665" spans="1:19" x14ac:dyDescent="0.25">
      <c r="A6665" s="21">
        <v>45847</v>
      </c>
      <c r="B6665" s="1" t="s">
        <v>1225</v>
      </c>
      <c r="C6665" t="s">
        <v>1221</v>
      </c>
      <c r="D6665" s="43" t="s">
        <v>11668</v>
      </c>
      <c r="E6665" t="s">
        <v>35</v>
      </c>
      <c r="F6665" s="2">
        <v>610148001</v>
      </c>
      <c r="G6665" s="2" t="s">
        <v>42</v>
      </c>
      <c r="L6665" s="2" t="s">
        <v>11669</v>
      </c>
      <c r="M6665" t="s">
        <v>43</v>
      </c>
      <c r="N6665" t="s">
        <v>42</v>
      </c>
      <c r="P6665" s="23">
        <v>112.83</v>
      </c>
      <c r="Q6665" s="4">
        <f t="shared" si="103"/>
        <v>-1.4030842860941239</v>
      </c>
      <c r="R6665" s="23" t="s">
        <v>11466</v>
      </c>
    </row>
    <row r="6666" spans="1:19" x14ac:dyDescent="0.25">
      <c r="A6666" s="21">
        <v>45847</v>
      </c>
      <c r="B6666" s="1" t="s">
        <v>1223</v>
      </c>
      <c r="C6666" t="s">
        <v>1221</v>
      </c>
      <c r="D6666" s="43" t="s">
        <v>11670</v>
      </c>
      <c r="E6666" t="s">
        <v>35</v>
      </c>
      <c r="F6666" s="2">
        <v>610148001</v>
      </c>
      <c r="G6666" s="2" t="s">
        <v>42</v>
      </c>
      <c r="L6666" s="2" t="s">
        <v>11671</v>
      </c>
      <c r="M6666" t="s">
        <v>43</v>
      </c>
      <c r="N6666" t="s">
        <v>42</v>
      </c>
      <c r="P6666" s="23">
        <v>112.83</v>
      </c>
      <c r="Q6666" s="4">
        <f t="shared" si="103"/>
        <v>-1.4374723034653905</v>
      </c>
      <c r="R6666" s="23" t="s">
        <v>11466</v>
      </c>
    </row>
    <row r="6667" spans="1:19" x14ac:dyDescent="0.25">
      <c r="A6667" s="21">
        <v>45847</v>
      </c>
      <c r="B6667" s="1" t="s">
        <v>1225</v>
      </c>
      <c r="C6667" t="s">
        <v>1221</v>
      </c>
      <c r="D6667" s="43" t="s">
        <v>9774</v>
      </c>
      <c r="E6667" t="s">
        <v>35</v>
      </c>
      <c r="F6667" s="2">
        <v>610148001</v>
      </c>
      <c r="G6667" s="2" t="s">
        <v>42</v>
      </c>
      <c r="L6667" s="2" t="s">
        <v>11672</v>
      </c>
      <c r="M6667" t="s">
        <v>43</v>
      </c>
      <c r="N6667" t="s">
        <v>42</v>
      </c>
      <c r="P6667" s="23">
        <v>112.83</v>
      </c>
      <c r="Q6667" s="4">
        <f t="shared" ref="Q6667:Q6730" si="104">D6667/P6667</f>
        <v>-4.4314455375343433</v>
      </c>
      <c r="R6667" s="23" t="s">
        <v>11466</v>
      </c>
    </row>
    <row r="6668" spans="1:19" x14ac:dyDescent="0.25">
      <c r="A6668" s="21">
        <v>45847</v>
      </c>
      <c r="B6668" s="1" t="s">
        <v>1227</v>
      </c>
      <c r="C6668" t="s">
        <v>1221</v>
      </c>
      <c r="D6668" s="43" t="s">
        <v>11673</v>
      </c>
      <c r="E6668" t="s">
        <v>35</v>
      </c>
      <c r="F6668" s="2">
        <v>610148001</v>
      </c>
      <c r="G6668" s="2" t="s">
        <v>42</v>
      </c>
      <c r="L6668" s="2" t="s">
        <v>11674</v>
      </c>
      <c r="M6668" t="s">
        <v>43</v>
      </c>
      <c r="N6668" t="s">
        <v>42</v>
      </c>
      <c r="P6668" s="23">
        <v>112.83</v>
      </c>
      <c r="Q6668" s="4">
        <f t="shared" si="104"/>
        <v>-0.11326774793937783</v>
      </c>
      <c r="R6668" s="23" t="s">
        <v>11466</v>
      </c>
    </row>
    <row r="6669" spans="1:19" x14ac:dyDescent="0.25">
      <c r="A6669" s="21">
        <v>45847</v>
      </c>
      <c r="B6669" s="1" t="s">
        <v>1225</v>
      </c>
      <c r="C6669" t="s">
        <v>1221</v>
      </c>
      <c r="D6669" s="43" t="s">
        <v>9774</v>
      </c>
      <c r="E6669" t="s">
        <v>35</v>
      </c>
      <c r="F6669" s="2">
        <v>610148001</v>
      </c>
      <c r="G6669" s="2" t="s">
        <v>42</v>
      </c>
      <c r="L6669" s="2" t="s">
        <v>11675</v>
      </c>
      <c r="M6669" t="s">
        <v>43</v>
      </c>
      <c r="N6669" t="s">
        <v>42</v>
      </c>
      <c r="P6669" s="23">
        <v>112.83</v>
      </c>
      <c r="Q6669" s="4">
        <f t="shared" si="104"/>
        <v>-4.4314455375343433</v>
      </c>
      <c r="R6669" s="23" t="s">
        <v>11466</v>
      </c>
    </row>
    <row r="6670" spans="1:19" x14ac:dyDescent="0.25">
      <c r="A6670" s="21">
        <v>45848</v>
      </c>
      <c r="B6670" s="1" t="s">
        <v>11676</v>
      </c>
      <c r="C6670" t="s">
        <v>544</v>
      </c>
      <c r="D6670" s="43" t="s">
        <v>11677</v>
      </c>
      <c r="E6670" t="s">
        <v>46</v>
      </c>
      <c r="F6670" s="2">
        <v>210115002</v>
      </c>
      <c r="G6670" s="2" t="s">
        <v>47</v>
      </c>
      <c r="L6670" s="2" t="s">
        <v>11678</v>
      </c>
      <c r="N6670" t="s">
        <v>544</v>
      </c>
      <c r="P6670" s="23">
        <v>113.75</v>
      </c>
      <c r="Q6670" s="4">
        <f t="shared" si="104"/>
        <v>9934.0659340659349</v>
      </c>
      <c r="R6670" s="23" t="s">
        <v>11466</v>
      </c>
    </row>
    <row r="6671" spans="1:19" x14ac:dyDescent="0.25">
      <c r="A6671" s="21">
        <v>45848</v>
      </c>
      <c r="B6671" s="1" t="s">
        <v>1214</v>
      </c>
      <c r="C6671" t="s">
        <v>11679</v>
      </c>
      <c r="D6671" s="43" t="s">
        <v>11680</v>
      </c>
      <c r="E6671" t="s">
        <v>35</v>
      </c>
      <c r="F6671" s="2">
        <v>210101001</v>
      </c>
      <c r="G6671" s="2" t="s">
        <v>36</v>
      </c>
      <c r="L6671" s="2" t="s">
        <v>11681</v>
      </c>
      <c r="M6671" t="s">
        <v>788</v>
      </c>
      <c r="N6671" t="s">
        <v>789</v>
      </c>
      <c r="P6671" s="23">
        <v>113.75</v>
      </c>
      <c r="Q6671" s="4">
        <f t="shared" si="104"/>
        <v>-525.27472527472526</v>
      </c>
      <c r="R6671" s="23" t="s">
        <v>11466</v>
      </c>
    </row>
    <row r="6672" spans="1:19" ht="15.75" x14ac:dyDescent="0.25">
      <c r="A6672" s="21">
        <v>45848</v>
      </c>
      <c r="B6672" s="1" t="s">
        <v>1208</v>
      </c>
      <c r="C6672" t="s">
        <v>11682</v>
      </c>
      <c r="D6672" s="43">
        <v>-340340</v>
      </c>
      <c r="E6672" t="s">
        <v>35</v>
      </c>
      <c r="F6672" s="2">
        <v>110114001</v>
      </c>
      <c r="G6672" s="2" t="s">
        <v>301</v>
      </c>
      <c r="L6672" s="2" t="s">
        <v>11683</v>
      </c>
      <c r="M6672" t="s">
        <v>38</v>
      </c>
      <c r="N6672" t="s">
        <v>39</v>
      </c>
      <c r="P6672" s="23">
        <v>113.75</v>
      </c>
      <c r="Q6672" s="4">
        <f t="shared" si="104"/>
        <v>-2992</v>
      </c>
      <c r="R6672" s="23" t="s">
        <v>11466</v>
      </c>
      <c r="S6672" s="36" t="s">
        <v>11684</v>
      </c>
    </row>
    <row r="6673" spans="1:20" x14ac:dyDescent="0.25">
      <c r="A6673" s="21">
        <v>45848</v>
      </c>
      <c r="B6673" s="1" t="s">
        <v>1211</v>
      </c>
      <c r="C6673" t="s">
        <v>11685</v>
      </c>
      <c r="D6673" s="43" t="s">
        <v>11686</v>
      </c>
      <c r="E6673" t="s">
        <v>35</v>
      </c>
      <c r="F6673" s="2">
        <v>210101001</v>
      </c>
      <c r="G6673" s="2" t="s">
        <v>36</v>
      </c>
      <c r="L6673" s="2" t="s">
        <v>11687</v>
      </c>
      <c r="M6673" t="s">
        <v>1866</v>
      </c>
      <c r="N6673" t="s">
        <v>1867</v>
      </c>
      <c r="P6673" s="23">
        <v>113.75</v>
      </c>
      <c r="Q6673" s="4">
        <f t="shared" si="104"/>
        <v>-1218</v>
      </c>
      <c r="R6673" s="23" t="s">
        <v>11466</v>
      </c>
    </row>
    <row r="6674" spans="1:20" x14ac:dyDescent="0.25">
      <c r="A6674" s="21">
        <v>45848</v>
      </c>
      <c r="B6674" s="1" t="s">
        <v>1214</v>
      </c>
      <c r="C6674" t="s">
        <v>11679</v>
      </c>
      <c r="D6674" s="43" t="s">
        <v>9845</v>
      </c>
      <c r="E6674" t="s">
        <v>35</v>
      </c>
      <c r="F6674" s="2">
        <v>210101001</v>
      </c>
      <c r="G6674" s="2" t="s">
        <v>36</v>
      </c>
      <c r="L6674" s="2" t="s">
        <v>11688</v>
      </c>
      <c r="M6674" t="s">
        <v>788</v>
      </c>
      <c r="N6674" t="s">
        <v>789</v>
      </c>
      <c r="P6674" s="23">
        <v>113.75</v>
      </c>
      <c r="Q6674" s="4">
        <f t="shared" si="104"/>
        <v>-1758.2417582417581</v>
      </c>
      <c r="R6674" s="23" t="s">
        <v>11466</v>
      </c>
    </row>
    <row r="6675" spans="1:20" x14ac:dyDescent="0.25">
      <c r="A6675" s="21">
        <v>45848</v>
      </c>
      <c r="B6675" s="1" t="s">
        <v>1214</v>
      </c>
      <c r="C6675" t="s">
        <v>11679</v>
      </c>
      <c r="D6675" s="43" t="s">
        <v>9845</v>
      </c>
      <c r="E6675" t="s">
        <v>35</v>
      </c>
      <c r="F6675" s="2">
        <v>210101001</v>
      </c>
      <c r="G6675" s="2" t="s">
        <v>36</v>
      </c>
      <c r="L6675" s="2" t="s">
        <v>11689</v>
      </c>
      <c r="M6675" t="s">
        <v>788</v>
      </c>
      <c r="N6675" t="s">
        <v>789</v>
      </c>
      <c r="P6675" s="23">
        <v>113.75</v>
      </c>
      <c r="Q6675" s="4">
        <f t="shared" si="104"/>
        <v>-1758.2417582417581</v>
      </c>
      <c r="R6675" s="23" t="s">
        <v>11466</v>
      </c>
    </row>
    <row r="6676" spans="1:20" x14ac:dyDescent="0.25">
      <c r="A6676" s="21">
        <v>45848</v>
      </c>
      <c r="B6676" s="1" t="s">
        <v>1214</v>
      </c>
      <c r="C6676" t="s">
        <v>11679</v>
      </c>
      <c r="D6676" s="43" t="s">
        <v>9845</v>
      </c>
      <c r="E6676" t="s">
        <v>35</v>
      </c>
      <c r="F6676" s="2">
        <v>210101001</v>
      </c>
      <c r="G6676" s="2" t="s">
        <v>36</v>
      </c>
      <c r="L6676" s="2" t="s">
        <v>11690</v>
      </c>
      <c r="M6676" t="s">
        <v>788</v>
      </c>
      <c r="N6676" t="s">
        <v>789</v>
      </c>
      <c r="P6676" s="23">
        <v>113.75</v>
      </c>
      <c r="Q6676" s="4">
        <f t="shared" si="104"/>
        <v>-1758.2417582417581</v>
      </c>
      <c r="R6676" s="23" t="s">
        <v>11466</v>
      </c>
    </row>
    <row r="6677" spans="1:20" x14ac:dyDescent="0.25">
      <c r="A6677" s="21">
        <v>45848</v>
      </c>
      <c r="B6677" s="1" t="s">
        <v>1225</v>
      </c>
      <c r="C6677" t="s">
        <v>1221</v>
      </c>
      <c r="D6677" s="43" t="s">
        <v>9774</v>
      </c>
      <c r="E6677" t="s">
        <v>35</v>
      </c>
      <c r="F6677" s="2">
        <v>610148001</v>
      </c>
      <c r="G6677" s="2" t="s">
        <v>42</v>
      </c>
      <c r="L6677" s="2" t="s">
        <v>11691</v>
      </c>
      <c r="M6677" t="s">
        <v>43</v>
      </c>
      <c r="N6677" t="s">
        <v>42</v>
      </c>
      <c r="P6677" s="23">
        <v>113.75</v>
      </c>
      <c r="Q6677" s="4">
        <f t="shared" si="104"/>
        <v>-4.395604395604396</v>
      </c>
      <c r="R6677" s="23" t="s">
        <v>11466</v>
      </c>
    </row>
    <row r="6678" spans="1:20" x14ac:dyDescent="0.25">
      <c r="A6678" s="21">
        <v>45848</v>
      </c>
      <c r="B6678" s="1" t="s">
        <v>1223</v>
      </c>
      <c r="C6678" t="s">
        <v>1221</v>
      </c>
      <c r="D6678" s="43" t="s">
        <v>11692</v>
      </c>
      <c r="E6678" t="s">
        <v>35</v>
      </c>
      <c r="F6678" s="2">
        <v>610148001</v>
      </c>
      <c r="G6678" s="2" t="s">
        <v>42</v>
      </c>
      <c r="L6678" s="2" t="s">
        <v>11693</v>
      </c>
      <c r="M6678" t="s">
        <v>43</v>
      </c>
      <c r="N6678" t="s">
        <v>42</v>
      </c>
      <c r="P6678" s="23">
        <v>113.75</v>
      </c>
      <c r="Q6678" s="4">
        <f t="shared" si="104"/>
        <v>-7.48</v>
      </c>
      <c r="R6678" s="23" t="s">
        <v>11466</v>
      </c>
    </row>
    <row r="6679" spans="1:20" x14ac:dyDescent="0.25">
      <c r="A6679" s="21">
        <v>45848</v>
      </c>
      <c r="B6679" s="1" t="s">
        <v>1227</v>
      </c>
      <c r="C6679" t="s">
        <v>1221</v>
      </c>
      <c r="D6679" s="43" t="s">
        <v>11694</v>
      </c>
      <c r="E6679" t="s">
        <v>35</v>
      </c>
      <c r="F6679" s="2">
        <v>610148001</v>
      </c>
      <c r="G6679" s="2" t="s">
        <v>42</v>
      </c>
      <c r="L6679" s="2" t="s">
        <v>11695</v>
      </c>
      <c r="M6679" t="s">
        <v>43</v>
      </c>
      <c r="N6679" t="s">
        <v>42</v>
      </c>
      <c r="P6679" s="23">
        <v>113.75</v>
      </c>
      <c r="Q6679" s="4">
        <f t="shared" si="104"/>
        <v>-3.0449230769230771</v>
      </c>
      <c r="R6679" s="23" t="s">
        <v>11466</v>
      </c>
    </row>
    <row r="6680" spans="1:20" x14ac:dyDescent="0.25">
      <c r="A6680" s="21">
        <v>45848</v>
      </c>
      <c r="B6680" s="1" t="s">
        <v>1225</v>
      </c>
      <c r="C6680" t="s">
        <v>1221</v>
      </c>
      <c r="D6680" s="43" t="s">
        <v>11696</v>
      </c>
      <c r="E6680" t="s">
        <v>35</v>
      </c>
      <c r="F6680" s="2">
        <v>610148001</v>
      </c>
      <c r="G6680" s="2" t="s">
        <v>42</v>
      </c>
      <c r="L6680" s="2" t="s">
        <v>11697</v>
      </c>
      <c r="M6680" t="s">
        <v>43</v>
      </c>
      <c r="N6680" t="s">
        <v>42</v>
      </c>
      <c r="P6680" s="23">
        <v>113.75</v>
      </c>
      <c r="Q6680" s="4">
        <f t="shared" si="104"/>
        <v>-1.3131428571428572</v>
      </c>
      <c r="R6680" s="23" t="s">
        <v>11466</v>
      </c>
    </row>
    <row r="6681" spans="1:20" x14ac:dyDescent="0.25">
      <c r="A6681" s="21">
        <v>45848</v>
      </c>
      <c r="B6681" s="1" t="s">
        <v>1225</v>
      </c>
      <c r="C6681" t="s">
        <v>1221</v>
      </c>
      <c r="D6681" s="43" t="s">
        <v>9774</v>
      </c>
      <c r="E6681" t="s">
        <v>35</v>
      </c>
      <c r="F6681" s="2">
        <v>610148001</v>
      </c>
      <c r="G6681" s="2" t="s">
        <v>42</v>
      </c>
      <c r="L6681" s="2" t="s">
        <v>11698</v>
      </c>
      <c r="M6681" t="s">
        <v>43</v>
      </c>
      <c r="N6681" t="s">
        <v>42</v>
      </c>
      <c r="P6681" s="23">
        <v>113.75</v>
      </c>
      <c r="Q6681" s="4">
        <f t="shared" si="104"/>
        <v>-4.395604395604396</v>
      </c>
      <c r="R6681" s="23" t="s">
        <v>11466</v>
      </c>
    </row>
    <row r="6682" spans="1:20" x14ac:dyDescent="0.25">
      <c r="A6682" s="21">
        <v>45848</v>
      </c>
      <c r="B6682" s="1" t="s">
        <v>1225</v>
      </c>
      <c r="C6682" t="s">
        <v>1221</v>
      </c>
      <c r="D6682" s="43" t="s">
        <v>9774</v>
      </c>
      <c r="E6682" t="s">
        <v>35</v>
      </c>
      <c r="F6682" s="2">
        <v>610148001</v>
      </c>
      <c r="G6682" s="2" t="s">
        <v>42</v>
      </c>
      <c r="L6682" s="2" t="s">
        <v>11699</v>
      </c>
      <c r="M6682" t="s">
        <v>43</v>
      </c>
      <c r="N6682" t="s">
        <v>42</v>
      </c>
      <c r="P6682" s="23">
        <v>113.75</v>
      </c>
      <c r="Q6682" s="4">
        <f t="shared" si="104"/>
        <v>-4.395604395604396</v>
      </c>
      <c r="R6682" s="23" t="s">
        <v>11466</v>
      </c>
    </row>
    <row r="6683" spans="1:20" x14ac:dyDescent="0.25">
      <c r="A6683" s="21">
        <v>45849</v>
      </c>
      <c r="B6683" s="1" t="s">
        <v>11700</v>
      </c>
      <c r="C6683" t="s">
        <v>544</v>
      </c>
      <c r="D6683" s="43" t="s">
        <v>11701</v>
      </c>
      <c r="E6683" t="s">
        <v>46</v>
      </c>
      <c r="F6683" s="2">
        <v>210115002</v>
      </c>
      <c r="G6683" s="2" t="s">
        <v>47</v>
      </c>
      <c r="L6683" s="2" t="s">
        <v>11702</v>
      </c>
      <c r="N6683" t="s">
        <v>544</v>
      </c>
      <c r="P6683" s="23">
        <v>114.41</v>
      </c>
      <c r="Q6683" s="4">
        <f t="shared" si="104"/>
        <v>21851.236780001749</v>
      </c>
      <c r="R6683" s="23" t="s">
        <v>11466</v>
      </c>
    </row>
    <row r="6684" spans="1:20" x14ac:dyDescent="0.25">
      <c r="A6684" s="32">
        <v>45849</v>
      </c>
      <c r="B6684" s="26" t="s">
        <v>1208</v>
      </c>
      <c r="C6684" s="27" t="s">
        <v>11703</v>
      </c>
      <c r="D6684" s="46">
        <v>-19678.52</v>
      </c>
      <c r="E6684" s="27" t="s">
        <v>35</v>
      </c>
      <c r="F6684" s="29">
        <v>610156001</v>
      </c>
      <c r="G6684" s="29" t="s">
        <v>91</v>
      </c>
      <c r="H6684" s="107"/>
      <c r="I6684" s="101"/>
      <c r="J6684" s="101"/>
      <c r="K6684" s="29"/>
      <c r="L6684" s="2" t="s">
        <v>11704</v>
      </c>
      <c r="M6684" s="27" t="s">
        <v>5015</v>
      </c>
      <c r="N6684" s="27" t="s">
        <v>1240</v>
      </c>
      <c r="O6684" s="27" t="s">
        <v>59</v>
      </c>
      <c r="P6684" s="31">
        <v>114.41</v>
      </c>
      <c r="Q6684" s="4">
        <f t="shared" si="104"/>
        <v>-172</v>
      </c>
      <c r="R6684" s="23" t="s">
        <v>11466</v>
      </c>
      <c r="T6684" s="23" t="s">
        <v>11705</v>
      </c>
    </row>
    <row r="6685" spans="1:20" x14ac:dyDescent="0.25">
      <c r="A6685" s="21">
        <v>45849</v>
      </c>
      <c r="B6685" s="1" t="s">
        <v>3943</v>
      </c>
      <c r="C6685" t="s">
        <v>2597</v>
      </c>
      <c r="D6685" s="43">
        <v>-200000</v>
      </c>
      <c r="E6685" t="s">
        <v>35</v>
      </c>
      <c r="F6685" s="2">
        <v>110114001</v>
      </c>
      <c r="G6685" s="2" t="s">
        <v>301</v>
      </c>
      <c r="L6685" s="2" t="s">
        <v>11706</v>
      </c>
      <c r="M6685" t="s">
        <v>38</v>
      </c>
      <c r="N6685" t="s">
        <v>39</v>
      </c>
      <c r="P6685" s="23">
        <v>114.41</v>
      </c>
      <c r="Q6685" s="4">
        <f t="shared" si="104"/>
        <v>-1748.09894240014</v>
      </c>
      <c r="R6685" s="23" t="s">
        <v>11466</v>
      </c>
    </row>
    <row r="6686" spans="1:20" x14ac:dyDescent="0.25">
      <c r="A6686" s="21">
        <v>45849</v>
      </c>
      <c r="B6686" s="1" t="s">
        <v>3943</v>
      </c>
      <c r="C6686" t="s">
        <v>2597</v>
      </c>
      <c r="D6686" s="43">
        <v>-200000</v>
      </c>
      <c r="E6686" t="s">
        <v>35</v>
      </c>
      <c r="F6686" s="2">
        <v>110114001</v>
      </c>
      <c r="G6686" s="2" t="s">
        <v>301</v>
      </c>
      <c r="L6686" s="2" t="s">
        <v>11707</v>
      </c>
      <c r="M6686" t="s">
        <v>38</v>
      </c>
      <c r="N6686" t="s">
        <v>39</v>
      </c>
      <c r="P6686" s="23">
        <v>114.41</v>
      </c>
      <c r="Q6686" s="4">
        <f t="shared" si="104"/>
        <v>-1748.09894240014</v>
      </c>
      <c r="R6686" s="23" t="s">
        <v>11466</v>
      </c>
    </row>
    <row r="6687" spans="1:20" x14ac:dyDescent="0.25">
      <c r="A6687" s="21">
        <v>45849</v>
      </c>
      <c r="B6687" s="1" t="s">
        <v>1214</v>
      </c>
      <c r="C6687" t="s">
        <v>11708</v>
      </c>
      <c r="D6687" s="43">
        <v>-13729.2</v>
      </c>
      <c r="E6687" t="s">
        <v>35</v>
      </c>
      <c r="F6687" s="2">
        <v>210101001</v>
      </c>
      <c r="G6687" s="2" t="s">
        <v>36</v>
      </c>
      <c r="L6687" s="2" t="s">
        <v>11709</v>
      </c>
      <c r="M6687" t="s">
        <v>303</v>
      </c>
      <c r="N6687" t="s">
        <v>304</v>
      </c>
      <c r="P6687" s="23">
        <v>114.41</v>
      </c>
      <c r="Q6687" s="4">
        <f t="shared" si="104"/>
        <v>-120.00000000000001</v>
      </c>
      <c r="R6687" s="23" t="s">
        <v>11466</v>
      </c>
    </row>
    <row r="6688" spans="1:20" x14ac:dyDescent="0.25">
      <c r="A6688" s="21">
        <v>45849</v>
      </c>
      <c r="B6688" s="1" t="s">
        <v>1214</v>
      </c>
      <c r="C6688" t="s">
        <v>11710</v>
      </c>
      <c r="D6688" s="43">
        <v>-1144.0999999999999</v>
      </c>
      <c r="E6688" t="s">
        <v>35</v>
      </c>
      <c r="F6688" s="2">
        <v>212901001</v>
      </c>
      <c r="G6688" s="2" t="s">
        <v>121</v>
      </c>
      <c r="L6688" s="2" t="s">
        <v>11711</v>
      </c>
      <c r="M6688" t="s">
        <v>67</v>
      </c>
      <c r="N6688" t="s">
        <v>68</v>
      </c>
      <c r="P6688" s="23">
        <v>114.41</v>
      </c>
      <c r="Q6688" s="4">
        <f t="shared" si="104"/>
        <v>-10</v>
      </c>
      <c r="R6688" s="23" t="s">
        <v>11466</v>
      </c>
    </row>
    <row r="6689" spans="1:18" x14ac:dyDescent="0.25">
      <c r="A6689" s="21">
        <v>45849</v>
      </c>
      <c r="B6689" s="1" t="s">
        <v>3952</v>
      </c>
      <c r="C6689" t="s">
        <v>11712</v>
      </c>
      <c r="D6689" s="43">
        <v>-198711.1</v>
      </c>
      <c r="E6689" t="s">
        <v>35</v>
      </c>
      <c r="F6689" s="2">
        <v>210101001</v>
      </c>
      <c r="G6689" s="2" t="s">
        <v>36</v>
      </c>
      <c r="L6689" s="2" t="s">
        <v>11713</v>
      </c>
      <c r="M6689" t="s">
        <v>38</v>
      </c>
      <c r="N6689" t="s">
        <v>39</v>
      </c>
      <c r="P6689" s="23">
        <v>114.41</v>
      </c>
      <c r="Q6689" s="4">
        <f t="shared" si="104"/>
        <v>-1736.8333187658423</v>
      </c>
      <c r="R6689" s="23" t="s">
        <v>11466</v>
      </c>
    </row>
    <row r="6690" spans="1:18" x14ac:dyDescent="0.25">
      <c r="A6690" s="21">
        <v>45849</v>
      </c>
      <c r="B6690" s="1" t="s">
        <v>3933</v>
      </c>
      <c r="C6690" t="s">
        <v>11714</v>
      </c>
      <c r="D6690" s="43">
        <v>-13729.2</v>
      </c>
      <c r="E6690" t="s">
        <v>35</v>
      </c>
      <c r="F6690" s="2">
        <v>212901001</v>
      </c>
      <c r="G6690" s="2" t="s">
        <v>121</v>
      </c>
      <c r="L6690" s="2" t="s">
        <v>11715</v>
      </c>
      <c r="M6690" t="s">
        <v>67</v>
      </c>
      <c r="N6690" t="s">
        <v>68</v>
      </c>
      <c r="P6690" s="23">
        <v>114.41</v>
      </c>
      <c r="Q6690" s="4">
        <f t="shared" si="104"/>
        <v>-120.00000000000001</v>
      </c>
      <c r="R6690" s="23" t="s">
        <v>11466</v>
      </c>
    </row>
    <row r="6691" spans="1:18" x14ac:dyDescent="0.25">
      <c r="A6691" s="21">
        <v>45849</v>
      </c>
      <c r="B6691" s="1" t="s">
        <v>3943</v>
      </c>
      <c r="C6691" t="s">
        <v>2597</v>
      </c>
      <c r="D6691" s="43">
        <v>-35549.32</v>
      </c>
      <c r="E6691" t="s">
        <v>35</v>
      </c>
      <c r="F6691" s="2">
        <v>110114001</v>
      </c>
      <c r="G6691" s="2" t="s">
        <v>301</v>
      </c>
      <c r="L6691" s="2" t="s">
        <v>11716</v>
      </c>
      <c r="M6691" t="s">
        <v>38</v>
      </c>
      <c r="N6691" t="s">
        <v>39</v>
      </c>
      <c r="P6691" s="23">
        <v>114.41</v>
      </c>
      <c r="Q6691" s="4">
        <f t="shared" si="104"/>
        <v>-310.71864347522069</v>
      </c>
      <c r="R6691" s="23" t="s">
        <v>11466</v>
      </c>
    </row>
    <row r="6692" spans="1:18" x14ac:dyDescent="0.25">
      <c r="A6692" s="21">
        <v>45849</v>
      </c>
      <c r="B6692" s="1" t="s">
        <v>3927</v>
      </c>
      <c r="C6692" t="s">
        <v>10983</v>
      </c>
      <c r="D6692" s="43">
        <v>-7338.44</v>
      </c>
      <c r="E6692" t="s">
        <v>35</v>
      </c>
      <c r="F6692" s="2">
        <v>110101002</v>
      </c>
      <c r="G6692" s="2" t="s">
        <v>6359</v>
      </c>
      <c r="L6692" s="2" t="s">
        <v>11717</v>
      </c>
      <c r="N6692" t="s">
        <v>7557</v>
      </c>
      <c r="P6692" s="23">
        <v>114.41</v>
      </c>
      <c r="Q6692" s="4">
        <f t="shared" si="104"/>
        <v>-64.141596014334411</v>
      </c>
      <c r="R6692" s="23" t="s">
        <v>11466</v>
      </c>
    </row>
    <row r="6693" spans="1:18" x14ac:dyDescent="0.25">
      <c r="A6693" s="21">
        <v>45849</v>
      </c>
      <c r="B6693" s="1" t="s">
        <v>3943</v>
      </c>
      <c r="C6693" t="s">
        <v>2597</v>
      </c>
      <c r="D6693" s="43">
        <v>-200000</v>
      </c>
      <c r="E6693" t="s">
        <v>35</v>
      </c>
      <c r="F6693" s="2">
        <v>110114001</v>
      </c>
      <c r="G6693" s="2" t="s">
        <v>301</v>
      </c>
      <c r="L6693" s="2" t="s">
        <v>11718</v>
      </c>
      <c r="M6693" t="s">
        <v>38</v>
      </c>
      <c r="N6693" t="s">
        <v>39</v>
      </c>
      <c r="P6693" s="23">
        <v>114.41</v>
      </c>
      <c r="Q6693" s="4">
        <f t="shared" si="104"/>
        <v>-1748.09894240014</v>
      </c>
      <c r="R6693" s="23" t="s">
        <v>11466</v>
      </c>
    </row>
    <row r="6694" spans="1:18" x14ac:dyDescent="0.25">
      <c r="A6694" s="21">
        <v>45849</v>
      </c>
      <c r="B6694" s="1" t="s">
        <v>1208</v>
      </c>
      <c r="C6694" t="s">
        <v>11719</v>
      </c>
      <c r="D6694" s="43">
        <v>-9206.93</v>
      </c>
      <c r="E6694" t="s">
        <v>35</v>
      </c>
      <c r="F6694" s="2">
        <v>210101001</v>
      </c>
      <c r="G6694" s="2" t="s">
        <v>36</v>
      </c>
      <c r="L6694" s="2" t="s">
        <v>11720</v>
      </c>
      <c r="M6694" t="s">
        <v>714</v>
      </c>
      <c r="N6694" t="s">
        <v>715</v>
      </c>
      <c r="P6694" s="23">
        <v>114.41</v>
      </c>
      <c r="Q6694" s="4">
        <f t="shared" si="104"/>
        <v>-80.4731229787606</v>
      </c>
      <c r="R6694" s="23" t="s">
        <v>11466</v>
      </c>
    </row>
    <row r="6695" spans="1:18" x14ac:dyDescent="0.25">
      <c r="A6695" s="21">
        <v>45849</v>
      </c>
      <c r="B6695" s="1" t="s">
        <v>1208</v>
      </c>
      <c r="C6695" t="s">
        <v>10926</v>
      </c>
      <c r="D6695" s="43">
        <v>-9152.7999999999993</v>
      </c>
      <c r="E6695" t="s">
        <v>35</v>
      </c>
      <c r="F6695" s="2">
        <v>212901001</v>
      </c>
      <c r="G6695" s="2" t="s">
        <v>121</v>
      </c>
      <c r="L6695" s="2" t="s">
        <v>11721</v>
      </c>
      <c r="M6695" t="s">
        <v>67</v>
      </c>
      <c r="N6695" t="s">
        <v>68</v>
      </c>
      <c r="P6695" s="23">
        <v>114.41</v>
      </c>
      <c r="Q6695" s="4">
        <f t="shared" si="104"/>
        <v>-80</v>
      </c>
      <c r="R6695" s="23" t="s">
        <v>11466</v>
      </c>
    </row>
    <row r="6696" spans="1:18" x14ac:dyDescent="0.25">
      <c r="A6696" s="21">
        <v>45849</v>
      </c>
      <c r="B6696" s="1" t="s">
        <v>3914</v>
      </c>
      <c r="C6696" t="s">
        <v>11722</v>
      </c>
      <c r="D6696" s="43">
        <v>-132248.19</v>
      </c>
      <c r="E6696" t="s">
        <v>35</v>
      </c>
      <c r="F6696" s="2">
        <v>210101001</v>
      </c>
      <c r="G6696" s="2" t="s">
        <v>36</v>
      </c>
      <c r="L6696" s="2" t="s">
        <v>11723</v>
      </c>
      <c r="M6696" t="s">
        <v>303</v>
      </c>
      <c r="N6696" t="s">
        <v>304</v>
      </c>
      <c r="P6696" s="23">
        <v>114.41</v>
      </c>
      <c r="Q6696" s="4">
        <f t="shared" si="104"/>
        <v>-1155.9146053666639</v>
      </c>
      <c r="R6696" s="23" t="s">
        <v>11466</v>
      </c>
    </row>
    <row r="6697" spans="1:18" x14ac:dyDescent="0.25">
      <c r="A6697" s="21">
        <v>45849</v>
      </c>
      <c r="B6697" s="1" t="s">
        <v>3943</v>
      </c>
      <c r="C6697" t="s">
        <v>2597</v>
      </c>
      <c r="D6697" s="43">
        <v>-200000</v>
      </c>
      <c r="E6697" t="s">
        <v>35</v>
      </c>
      <c r="F6697" s="2">
        <v>110114001</v>
      </c>
      <c r="G6697" s="2" t="s">
        <v>301</v>
      </c>
      <c r="L6697" s="2" t="s">
        <v>11724</v>
      </c>
      <c r="M6697" t="s">
        <v>38</v>
      </c>
      <c r="N6697" t="s">
        <v>39</v>
      </c>
      <c r="P6697" s="23">
        <v>114.41</v>
      </c>
      <c r="Q6697" s="4">
        <f t="shared" si="104"/>
        <v>-1748.09894240014</v>
      </c>
      <c r="R6697" s="23" t="s">
        <v>11466</v>
      </c>
    </row>
    <row r="6698" spans="1:18" x14ac:dyDescent="0.25">
      <c r="A6698" s="21">
        <v>45849</v>
      </c>
      <c r="B6698" s="1" t="s">
        <v>3943</v>
      </c>
      <c r="C6698" t="s">
        <v>2597</v>
      </c>
      <c r="D6698" s="43">
        <v>-200000</v>
      </c>
      <c r="E6698" t="s">
        <v>35</v>
      </c>
      <c r="F6698" s="2">
        <v>110114001</v>
      </c>
      <c r="G6698" s="2" t="s">
        <v>301</v>
      </c>
      <c r="L6698" s="2" t="s">
        <v>11725</v>
      </c>
      <c r="M6698" t="s">
        <v>38</v>
      </c>
      <c r="N6698" t="s">
        <v>39</v>
      </c>
      <c r="P6698" s="23">
        <v>114.41</v>
      </c>
      <c r="Q6698" s="4">
        <f t="shared" si="104"/>
        <v>-1748.09894240014</v>
      </c>
      <c r="R6698" s="23" t="s">
        <v>11466</v>
      </c>
    </row>
    <row r="6699" spans="1:18" x14ac:dyDescent="0.25">
      <c r="A6699" s="21">
        <v>45849</v>
      </c>
      <c r="B6699" s="1" t="s">
        <v>3943</v>
      </c>
      <c r="C6699" t="s">
        <v>2597</v>
      </c>
      <c r="D6699" s="43">
        <v>-200000</v>
      </c>
      <c r="E6699" t="s">
        <v>35</v>
      </c>
      <c r="F6699" s="2">
        <v>110114001</v>
      </c>
      <c r="G6699" s="2" t="s">
        <v>301</v>
      </c>
      <c r="L6699" s="2" t="s">
        <v>11726</v>
      </c>
      <c r="M6699" t="s">
        <v>38</v>
      </c>
      <c r="N6699" t="s">
        <v>39</v>
      </c>
      <c r="P6699" s="23">
        <v>114.41</v>
      </c>
      <c r="Q6699" s="4">
        <f t="shared" si="104"/>
        <v>-1748.09894240014</v>
      </c>
      <c r="R6699" s="23" t="s">
        <v>11466</v>
      </c>
    </row>
    <row r="6700" spans="1:18" x14ac:dyDescent="0.25">
      <c r="A6700" s="21">
        <v>45849</v>
      </c>
      <c r="B6700" s="1" t="s">
        <v>1214</v>
      </c>
      <c r="C6700" t="s">
        <v>10948</v>
      </c>
      <c r="D6700" s="43">
        <v>-2288.1999999999998</v>
      </c>
      <c r="E6700" t="s">
        <v>35</v>
      </c>
      <c r="F6700" s="2">
        <v>212901001</v>
      </c>
      <c r="G6700" s="2" t="s">
        <v>121</v>
      </c>
      <c r="L6700" s="2" t="s">
        <v>11727</v>
      </c>
      <c r="M6700" t="s">
        <v>67</v>
      </c>
      <c r="N6700" t="s">
        <v>68</v>
      </c>
      <c r="P6700" s="23">
        <v>114.41</v>
      </c>
      <c r="Q6700" s="4">
        <f t="shared" si="104"/>
        <v>-20</v>
      </c>
      <c r="R6700" s="23" t="s">
        <v>11466</v>
      </c>
    </row>
    <row r="6701" spans="1:18" x14ac:dyDescent="0.25">
      <c r="A6701" s="21">
        <v>45849</v>
      </c>
      <c r="B6701" s="1" t="s">
        <v>3943</v>
      </c>
      <c r="C6701" t="s">
        <v>2597</v>
      </c>
      <c r="D6701" s="43">
        <v>-200000</v>
      </c>
      <c r="E6701" t="s">
        <v>35</v>
      </c>
      <c r="F6701" s="2">
        <v>110114001</v>
      </c>
      <c r="G6701" s="2" t="s">
        <v>301</v>
      </c>
      <c r="L6701" s="2" t="s">
        <v>11728</v>
      </c>
      <c r="M6701" t="s">
        <v>38</v>
      </c>
      <c r="N6701" t="s">
        <v>39</v>
      </c>
      <c r="P6701" s="23">
        <v>114.41</v>
      </c>
      <c r="Q6701" s="4">
        <f t="shared" si="104"/>
        <v>-1748.09894240014</v>
      </c>
      <c r="R6701" s="23" t="s">
        <v>11466</v>
      </c>
    </row>
    <row r="6702" spans="1:18" x14ac:dyDescent="0.25">
      <c r="A6702" s="21">
        <v>45849</v>
      </c>
      <c r="B6702" s="1" t="s">
        <v>1211</v>
      </c>
      <c r="C6702" t="s">
        <v>11729</v>
      </c>
      <c r="D6702" s="43">
        <v>-44089.5</v>
      </c>
      <c r="E6702" t="s">
        <v>35</v>
      </c>
      <c r="F6702" s="2">
        <v>210101001</v>
      </c>
      <c r="G6702" s="2" t="s">
        <v>36</v>
      </c>
      <c r="L6702" s="2" t="s">
        <v>11730</v>
      </c>
      <c r="M6702" t="s">
        <v>714</v>
      </c>
      <c r="N6702" t="s">
        <v>715</v>
      </c>
      <c r="P6702" s="23">
        <v>114.41</v>
      </c>
      <c r="Q6702" s="4">
        <f t="shared" si="104"/>
        <v>-385.36404160475485</v>
      </c>
      <c r="R6702" s="23" t="s">
        <v>11466</v>
      </c>
    </row>
    <row r="6703" spans="1:18" x14ac:dyDescent="0.25">
      <c r="A6703" s="21">
        <v>45849</v>
      </c>
      <c r="B6703" s="1" t="s">
        <v>3943</v>
      </c>
      <c r="C6703" t="s">
        <v>2597</v>
      </c>
      <c r="D6703" s="43">
        <v>-200000</v>
      </c>
      <c r="E6703" t="s">
        <v>35</v>
      </c>
      <c r="F6703" s="2">
        <v>110114001</v>
      </c>
      <c r="G6703" s="2" t="s">
        <v>301</v>
      </c>
      <c r="L6703" s="2" t="s">
        <v>11731</v>
      </c>
      <c r="M6703" t="s">
        <v>38</v>
      </c>
      <c r="N6703" t="s">
        <v>39</v>
      </c>
      <c r="P6703" s="23">
        <v>114.41</v>
      </c>
      <c r="Q6703" s="4">
        <f t="shared" si="104"/>
        <v>-1748.09894240014</v>
      </c>
      <c r="R6703" s="23" t="s">
        <v>11466</v>
      </c>
    </row>
    <row r="6704" spans="1:18" x14ac:dyDescent="0.25">
      <c r="A6704" s="21">
        <v>45849</v>
      </c>
      <c r="B6704" s="1" t="s">
        <v>3943</v>
      </c>
      <c r="C6704" t="s">
        <v>2597</v>
      </c>
      <c r="D6704" s="43">
        <v>-200000</v>
      </c>
      <c r="E6704" t="s">
        <v>35</v>
      </c>
      <c r="F6704" s="2">
        <v>110114001</v>
      </c>
      <c r="G6704" s="2" t="s">
        <v>301</v>
      </c>
      <c r="L6704" s="2" t="s">
        <v>11732</v>
      </c>
      <c r="M6704" t="s">
        <v>38</v>
      </c>
      <c r="N6704" t="s">
        <v>39</v>
      </c>
      <c r="P6704" s="23">
        <v>114.41</v>
      </c>
      <c r="Q6704" s="4">
        <f t="shared" si="104"/>
        <v>-1748.09894240014</v>
      </c>
      <c r="R6704" s="23" t="s">
        <v>11466</v>
      </c>
    </row>
    <row r="6705" spans="1:18" x14ac:dyDescent="0.25">
      <c r="A6705" s="21">
        <v>45849</v>
      </c>
      <c r="B6705" s="1" t="s">
        <v>3943</v>
      </c>
      <c r="C6705" t="s">
        <v>2597</v>
      </c>
      <c r="D6705" s="43">
        <v>-200000</v>
      </c>
      <c r="E6705" t="s">
        <v>35</v>
      </c>
      <c r="F6705" s="2">
        <v>110114001</v>
      </c>
      <c r="G6705" s="2" t="s">
        <v>301</v>
      </c>
      <c r="L6705" s="2" t="s">
        <v>11733</v>
      </c>
      <c r="M6705" t="s">
        <v>38</v>
      </c>
      <c r="N6705" t="s">
        <v>39</v>
      </c>
      <c r="P6705" s="23">
        <v>114.41</v>
      </c>
      <c r="Q6705" s="4">
        <f t="shared" si="104"/>
        <v>-1748.09894240014</v>
      </c>
      <c r="R6705" s="23" t="s">
        <v>11466</v>
      </c>
    </row>
    <row r="6706" spans="1:18" x14ac:dyDescent="0.25">
      <c r="A6706" s="21">
        <v>45849</v>
      </c>
      <c r="B6706" s="1" t="s">
        <v>1214</v>
      </c>
      <c r="C6706" t="s">
        <v>11734</v>
      </c>
      <c r="D6706" s="43">
        <v>-2288.1999999999998</v>
      </c>
      <c r="E6706" t="s">
        <v>35</v>
      </c>
      <c r="F6706" s="2">
        <v>212901001</v>
      </c>
      <c r="G6706" s="2" t="s">
        <v>121</v>
      </c>
      <c r="L6706" s="2" t="s">
        <v>11735</v>
      </c>
      <c r="M6706" t="s">
        <v>67</v>
      </c>
      <c r="N6706" t="s">
        <v>68</v>
      </c>
      <c r="P6706" s="23">
        <v>114.41</v>
      </c>
      <c r="Q6706" s="4">
        <f t="shared" si="104"/>
        <v>-20</v>
      </c>
      <c r="R6706" s="23" t="s">
        <v>11466</v>
      </c>
    </row>
    <row r="6707" spans="1:18" x14ac:dyDescent="0.25">
      <c r="A6707" s="21">
        <v>45849</v>
      </c>
      <c r="B6707" s="1" t="s">
        <v>3967</v>
      </c>
      <c r="C6707" t="s">
        <v>1221</v>
      </c>
      <c r="D6707" s="43">
        <v>-34.32</v>
      </c>
      <c r="E6707" t="s">
        <v>35</v>
      </c>
      <c r="F6707" s="2">
        <v>610148001</v>
      </c>
      <c r="G6707" s="2" t="s">
        <v>42</v>
      </c>
      <c r="L6707" s="2" t="s">
        <v>11736</v>
      </c>
      <c r="M6707" t="s">
        <v>43</v>
      </c>
      <c r="N6707" t="s">
        <v>42</v>
      </c>
      <c r="P6707" s="23">
        <v>114.41</v>
      </c>
      <c r="Q6707" s="4">
        <f t="shared" si="104"/>
        <v>-0.29997377851586399</v>
      </c>
      <c r="R6707" s="23" t="s">
        <v>11466</v>
      </c>
    </row>
    <row r="6708" spans="1:18" x14ac:dyDescent="0.25">
      <c r="A6708" s="21">
        <v>45849</v>
      </c>
      <c r="B6708" s="1" t="s">
        <v>3977</v>
      </c>
      <c r="C6708" t="s">
        <v>1221</v>
      </c>
      <c r="D6708" s="43">
        <v>-500</v>
      </c>
      <c r="E6708" t="s">
        <v>35</v>
      </c>
      <c r="F6708" s="2">
        <v>610148001</v>
      </c>
      <c r="G6708" s="2" t="s">
        <v>42</v>
      </c>
      <c r="L6708" s="2" t="s">
        <v>11737</v>
      </c>
      <c r="M6708" t="s">
        <v>43</v>
      </c>
      <c r="N6708" t="s">
        <v>42</v>
      </c>
      <c r="P6708" s="23">
        <v>114.41</v>
      </c>
      <c r="Q6708" s="4">
        <f t="shared" si="104"/>
        <v>-4.3702473560003501</v>
      </c>
      <c r="R6708" s="23" t="s">
        <v>11466</v>
      </c>
    </row>
    <row r="6709" spans="1:18" x14ac:dyDescent="0.25">
      <c r="A6709" s="21">
        <v>45849</v>
      </c>
      <c r="B6709" s="1" t="s">
        <v>3977</v>
      </c>
      <c r="C6709" t="s">
        <v>1221</v>
      </c>
      <c r="D6709" s="43">
        <v>-500</v>
      </c>
      <c r="E6709" t="s">
        <v>35</v>
      </c>
      <c r="F6709" s="2">
        <v>610148001</v>
      </c>
      <c r="G6709" s="2" t="s">
        <v>42</v>
      </c>
      <c r="L6709" s="2" t="s">
        <v>11738</v>
      </c>
      <c r="M6709" t="s">
        <v>43</v>
      </c>
      <c r="N6709" t="s">
        <v>42</v>
      </c>
      <c r="P6709" s="23">
        <v>114.41</v>
      </c>
      <c r="Q6709" s="4">
        <f t="shared" si="104"/>
        <v>-4.3702473560003501</v>
      </c>
      <c r="R6709" s="23" t="s">
        <v>11466</v>
      </c>
    </row>
    <row r="6710" spans="1:18" x14ac:dyDescent="0.25">
      <c r="A6710" s="21">
        <v>45849</v>
      </c>
      <c r="B6710" s="1" t="s">
        <v>1225</v>
      </c>
      <c r="C6710" t="s">
        <v>1221</v>
      </c>
      <c r="D6710" s="43">
        <v>-34.32</v>
      </c>
      <c r="E6710" t="s">
        <v>35</v>
      </c>
      <c r="F6710" s="2">
        <v>610148001</v>
      </c>
      <c r="G6710" s="2" t="s">
        <v>42</v>
      </c>
      <c r="L6710" s="2" t="s">
        <v>11739</v>
      </c>
      <c r="M6710" t="s">
        <v>43</v>
      </c>
      <c r="N6710" t="s">
        <v>42</v>
      </c>
      <c r="P6710" s="23">
        <v>114.41</v>
      </c>
      <c r="Q6710" s="4">
        <f t="shared" si="104"/>
        <v>-0.29997377851586399</v>
      </c>
      <c r="R6710" s="23" t="s">
        <v>11466</v>
      </c>
    </row>
    <row r="6711" spans="1:18" x14ac:dyDescent="0.25">
      <c r="A6711" s="21">
        <v>45849</v>
      </c>
      <c r="B6711" s="1" t="s">
        <v>3977</v>
      </c>
      <c r="C6711" t="s">
        <v>1221</v>
      </c>
      <c r="D6711" s="43">
        <v>-500</v>
      </c>
      <c r="E6711" t="s">
        <v>35</v>
      </c>
      <c r="F6711" s="2">
        <v>610148001</v>
      </c>
      <c r="G6711" s="2" t="s">
        <v>42</v>
      </c>
      <c r="L6711" s="2" t="s">
        <v>11740</v>
      </c>
      <c r="M6711" t="s">
        <v>43</v>
      </c>
      <c r="N6711" t="s">
        <v>42</v>
      </c>
      <c r="P6711" s="23">
        <v>114.41</v>
      </c>
      <c r="Q6711" s="4">
        <f t="shared" si="104"/>
        <v>-4.3702473560003501</v>
      </c>
      <c r="R6711" s="23" t="s">
        <v>11466</v>
      </c>
    </row>
    <row r="6712" spans="1:18" x14ac:dyDescent="0.25">
      <c r="A6712" s="21">
        <v>45849</v>
      </c>
      <c r="B6712" s="1" t="s">
        <v>3977</v>
      </c>
      <c r="C6712" t="s">
        <v>1221</v>
      </c>
      <c r="D6712" s="43">
        <v>-500</v>
      </c>
      <c r="E6712" t="s">
        <v>35</v>
      </c>
      <c r="F6712" s="2">
        <v>610148001</v>
      </c>
      <c r="G6712" s="2" t="s">
        <v>42</v>
      </c>
      <c r="L6712" s="2" t="s">
        <v>11741</v>
      </c>
      <c r="M6712" t="s">
        <v>43</v>
      </c>
      <c r="N6712" t="s">
        <v>42</v>
      </c>
      <c r="P6712" s="23">
        <v>114.41</v>
      </c>
      <c r="Q6712" s="4">
        <f t="shared" si="104"/>
        <v>-4.3702473560003501</v>
      </c>
      <c r="R6712" s="23" t="s">
        <v>11466</v>
      </c>
    </row>
    <row r="6713" spans="1:18" x14ac:dyDescent="0.25">
      <c r="A6713" s="21">
        <v>45849</v>
      </c>
      <c r="B6713" s="1" t="s">
        <v>3960</v>
      </c>
      <c r="C6713" t="s">
        <v>1221</v>
      </c>
      <c r="D6713" s="43">
        <v>-18.34</v>
      </c>
      <c r="E6713" t="s">
        <v>35</v>
      </c>
      <c r="F6713" s="2">
        <v>610148001</v>
      </c>
      <c r="G6713" s="2" t="s">
        <v>42</v>
      </c>
      <c r="L6713" s="2" t="s">
        <v>11742</v>
      </c>
      <c r="M6713" t="s">
        <v>43</v>
      </c>
      <c r="N6713" t="s">
        <v>42</v>
      </c>
      <c r="P6713" s="23">
        <v>114.41</v>
      </c>
      <c r="Q6713" s="4">
        <f t="shared" si="104"/>
        <v>-0.16030067301809284</v>
      </c>
      <c r="R6713" s="23" t="s">
        <v>11466</v>
      </c>
    </row>
    <row r="6714" spans="1:18" x14ac:dyDescent="0.25">
      <c r="A6714" s="21">
        <v>45849</v>
      </c>
      <c r="B6714" s="1" t="s">
        <v>3977</v>
      </c>
      <c r="C6714" t="s">
        <v>1221</v>
      </c>
      <c r="D6714" s="43">
        <v>-500</v>
      </c>
      <c r="E6714" t="s">
        <v>35</v>
      </c>
      <c r="F6714" s="2">
        <v>610148001</v>
      </c>
      <c r="G6714" s="2" t="s">
        <v>42</v>
      </c>
      <c r="L6714" s="2" t="s">
        <v>11743</v>
      </c>
      <c r="M6714" t="s">
        <v>43</v>
      </c>
      <c r="N6714" t="s">
        <v>42</v>
      </c>
      <c r="P6714" s="23">
        <v>114.41</v>
      </c>
      <c r="Q6714" s="4">
        <f t="shared" si="104"/>
        <v>-4.3702473560003501</v>
      </c>
      <c r="R6714" s="23" t="s">
        <v>11466</v>
      </c>
    </row>
    <row r="6715" spans="1:18" x14ac:dyDescent="0.25">
      <c r="A6715" s="21">
        <v>45849</v>
      </c>
      <c r="B6715" s="1" t="s">
        <v>3958</v>
      </c>
      <c r="C6715" t="s">
        <v>1221</v>
      </c>
      <c r="D6715" s="43">
        <v>-496.77</v>
      </c>
      <c r="E6715" t="s">
        <v>35</v>
      </c>
      <c r="F6715" s="2">
        <v>610148001</v>
      </c>
      <c r="G6715" s="2" t="s">
        <v>42</v>
      </c>
      <c r="L6715" s="2" t="s">
        <v>11744</v>
      </c>
      <c r="M6715" t="s">
        <v>43</v>
      </c>
      <c r="N6715" t="s">
        <v>42</v>
      </c>
      <c r="P6715" s="23">
        <v>114.41</v>
      </c>
      <c r="Q6715" s="4">
        <f t="shared" si="104"/>
        <v>-4.342015558080587</v>
      </c>
      <c r="R6715" s="23" t="s">
        <v>11466</v>
      </c>
    </row>
    <row r="6716" spans="1:18" x14ac:dyDescent="0.25">
      <c r="A6716" s="21">
        <v>45849</v>
      </c>
      <c r="B6716" s="1" t="s">
        <v>1225</v>
      </c>
      <c r="C6716" t="s">
        <v>1221</v>
      </c>
      <c r="D6716" s="43">
        <v>-2.86</v>
      </c>
      <c r="E6716" t="s">
        <v>35</v>
      </c>
      <c r="F6716" s="2">
        <v>610148001</v>
      </c>
      <c r="G6716" s="2" t="s">
        <v>42</v>
      </c>
      <c r="L6716" s="2" t="s">
        <v>11745</v>
      </c>
      <c r="M6716" t="s">
        <v>43</v>
      </c>
      <c r="N6716" t="s">
        <v>42</v>
      </c>
      <c r="P6716" s="23">
        <v>114.41</v>
      </c>
      <c r="Q6716" s="4">
        <f t="shared" si="104"/>
        <v>-2.4997814876321998E-2</v>
      </c>
      <c r="R6716" s="23" t="s">
        <v>11466</v>
      </c>
    </row>
    <row r="6717" spans="1:18" x14ac:dyDescent="0.25">
      <c r="A6717" s="21">
        <v>45849</v>
      </c>
      <c r="B6717" s="1" t="s">
        <v>3977</v>
      </c>
      <c r="C6717" t="s">
        <v>1221</v>
      </c>
      <c r="D6717" s="43">
        <v>-88.87</v>
      </c>
      <c r="E6717" t="s">
        <v>35</v>
      </c>
      <c r="F6717" s="2">
        <v>610148001</v>
      </c>
      <c r="G6717" s="2" t="s">
        <v>42</v>
      </c>
      <c r="L6717" s="2" t="s">
        <v>11746</v>
      </c>
      <c r="M6717" t="s">
        <v>43</v>
      </c>
      <c r="N6717" t="s">
        <v>42</v>
      </c>
      <c r="P6717" s="23">
        <v>114.41</v>
      </c>
      <c r="Q6717" s="4">
        <f t="shared" si="104"/>
        <v>-0.77676776505550216</v>
      </c>
      <c r="R6717" s="23" t="s">
        <v>11466</v>
      </c>
    </row>
    <row r="6718" spans="1:18" x14ac:dyDescent="0.25">
      <c r="A6718" s="21">
        <v>45849</v>
      </c>
      <c r="B6718" s="1" t="s">
        <v>3962</v>
      </c>
      <c r="C6718" t="s">
        <v>1221</v>
      </c>
      <c r="D6718" s="43">
        <v>-330.62</v>
      </c>
      <c r="E6718" t="s">
        <v>35</v>
      </c>
      <c r="F6718" s="2">
        <v>610148001</v>
      </c>
      <c r="G6718" s="2" t="s">
        <v>42</v>
      </c>
      <c r="L6718" s="2" t="s">
        <v>11747</v>
      </c>
      <c r="M6718" t="s">
        <v>43</v>
      </c>
      <c r="N6718" t="s">
        <v>42</v>
      </c>
      <c r="P6718" s="23">
        <v>114.41</v>
      </c>
      <c r="Q6718" s="4">
        <f t="shared" si="104"/>
        <v>-2.8897823616816711</v>
      </c>
      <c r="R6718" s="23" t="s">
        <v>11466</v>
      </c>
    </row>
    <row r="6719" spans="1:18" x14ac:dyDescent="0.25">
      <c r="A6719" s="21">
        <v>45849</v>
      </c>
      <c r="B6719" s="1" t="s">
        <v>3977</v>
      </c>
      <c r="C6719" t="s">
        <v>1221</v>
      </c>
      <c r="D6719" s="43">
        <v>-500</v>
      </c>
      <c r="E6719" t="s">
        <v>35</v>
      </c>
      <c r="F6719" s="2">
        <v>610148001</v>
      </c>
      <c r="G6719" s="2" t="s">
        <v>42</v>
      </c>
      <c r="L6719" s="2" t="s">
        <v>11748</v>
      </c>
      <c r="M6719" t="s">
        <v>43</v>
      </c>
      <c r="N6719" t="s">
        <v>42</v>
      </c>
      <c r="P6719" s="23">
        <v>114.41</v>
      </c>
      <c r="Q6719" s="4">
        <f t="shared" si="104"/>
        <v>-4.3702473560003501</v>
      </c>
      <c r="R6719" s="23" t="s">
        <v>11466</v>
      </c>
    </row>
    <row r="6720" spans="1:18" x14ac:dyDescent="0.25">
      <c r="A6720" s="21">
        <v>45849</v>
      </c>
      <c r="B6720" s="1" t="s">
        <v>3977</v>
      </c>
      <c r="C6720" t="s">
        <v>1221</v>
      </c>
      <c r="D6720" s="43">
        <v>-500</v>
      </c>
      <c r="E6720" t="s">
        <v>35</v>
      </c>
      <c r="F6720" s="2">
        <v>610148001</v>
      </c>
      <c r="G6720" s="2" t="s">
        <v>42</v>
      </c>
      <c r="L6720" s="2" t="s">
        <v>11749</v>
      </c>
      <c r="M6720" t="s">
        <v>43</v>
      </c>
      <c r="N6720" t="s">
        <v>42</v>
      </c>
      <c r="P6720" s="23">
        <v>114.41</v>
      </c>
      <c r="Q6720" s="4">
        <f t="shared" si="104"/>
        <v>-4.3702473560003501</v>
      </c>
      <c r="R6720" s="23" t="s">
        <v>11466</v>
      </c>
    </row>
    <row r="6721" spans="1:18" x14ac:dyDescent="0.25">
      <c r="A6721" s="21">
        <v>45849</v>
      </c>
      <c r="B6721" s="1" t="s">
        <v>1223</v>
      </c>
      <c r="C6721" t="s">
        <v>1221</v>
      </c>
      <c r="D6721" s="43">
        <v>-22.88</v>
      </c>
      <c r="E6721" t="s">
        <v>35</v>
      </c>
      <c r="F6721" s="2">
        <v>610148001</v>
      </c>
      <c r="G6721" s="2" t="s">
        <v>42</v>
      </c>
      <c r="L6721" s="2" t="s">
        <v>11750</v>
      </c>
      <c r="M6721" t="s">
        <v>43</v>
      </c>
      <c r="N6721" t="s">
        <v>42</v>
      </c>
      <c r="P6721" s="23">
        <v>114.41</v>
      </c>
      <c r="Q6721" s="4">
        <f t="shared" si="104"/>
        <v>-0.19998251901057598</v>
      </c>
      <c r="R6721" s="23" t="s">
        <v>11466</v>
      </c>
    </row>
    <row r="6722" spans="1:18" x14ac:dyDescent="0.25">
      <c r="A6722" s="21">
        <v>45849</v>
      </c>
      <c r="B6722" s="1" t="s">
        <v>3977</v>
      </c>
      <c r="C6722" t="s">
        <v>1221</v>
      </c>
      <c r="D6722" s="43">
        <v>-500</v>
      </c>
      <c r="E6722" t="s">
        <v>35</v>
      </c>
      <c r="F6722" s="2">
        <v>610148001</v>
      </c>
      <c r="G6722" s="2" t="s">
        <v>42</v>
      </c>
      <c r="L6722" s="2" t="s">
        <v>11751</v>
      </c>
      <c r="M6722" t="s">
        <v>43</v>
      </c>
      <c r="N6722" t="s">
        <v>42</v>
      </c>
      <c r="P6722" s="23">
        <v>114.41</v>
      </c>
      <c r="Q6722" s="4">
        <f t="shared" si="104"/>
        <v>-4.3702473560003501</v>
      </c>
      <c r="R6722" s="23" t="s">
        <v>11466</v>
      </c>
    </row>
    <row r="6723" spans="1:18" x14ac:dyDescent="0.25">
      <c r="A6723" s="21">
        <v>45849</v>
      </c>
      <c r="B6723" s="1" t="s">
        <v>1227</v>
      </c>
      <c r="C6723" t="s">
        <v>1221</v>
      </c>
      <c r="D6723" s="43">
        <v>-110.22</v>
      </c>
      <c r="E6723" t="s">
        <v>35</v>
      </c>
      <c r="F6723" s="2">
        <v>610148001</v>
      </c>
      <c r="G6723" s="2" t="s">
        <v>42</v>
      </c>
      <c r="L6723" s="2" t="s">
        <v>11752</v>
      </c>
      <c r="M6723" t="s">
        <v>43</v>
      </c>
      <c r="N6723" t="s">
        <v>42</v>
      </c>
      <c r="P6723" s="23">
        <v>114.41</v>
      </c>
      <c r="Q6723" s="4">
        <f t="shared" si="104"/>
        <v>-0.96337732715671709</v>
      </c>
      <c r="R6723" s="23" t="s">
        <v>11466</v>
      </c>
    </row>
    <row r="6724" spans="1:18" x14ac:dyDescent="0.25">
      <c r="A6724" s="21">
        <v>45849</v>
      </c>
      <c r="B6724" s="1" t="s">
        <v>1225</v>
      </c>
      <c r="C6724" t="s">
        <v>1221</v>
      </c>
      <c r="D6724" s="43">
        <v>-5.72</v>
      </c>
      <c r="E6724" t="s">
        <v>35</v>
      </c>
      <c r="F6724" s="2">
        <v>610148001</v>
      </c>
      <c r="G6724" s="2" t="s">
        <v>42</v>
      </c>
      <c r="L6724" s="2" t="s">
        <v>11753</v>
      </c>
      <c r="M6724" t="s">
        <v>43</v>
      </c>
      <c r="N6724" t="s">
        <v>42</v>
      </c>
      <c r="P6724" s="23">
        <v>114.41</v>
      </c>
      <c r="Q6724" s="4">
        <f t="shared" si="104"/>
        <v>-4.9995629752643996E-2</v>
      </c>
      <c r="R6724" s="23" t="s">
        <v>11466</v>
      </c>
    </row>
    <row r="6725" spans="1:18" x14ac:dyDescent="0.25">
      <c r="A6725" s="21">
        <v>45849</v>
      </c>
      <c r="B6725" s="1" t="s">
        <v>3977</v>
      </c>
      <c r="C6725" t="s">
        <v>1221</v>
      </c>
      <c r="D6725" s="43">
        <v>-500</v>
      </c>
      <c r="E6725" t="s">
        <v>35</v>
      </c>
      <c r="F6725" s="2">
        <v>610148001</v>
      </c>
      <c r="G6725" s="2" t="s">
        <v>42</v>
      </c>
      <c r="L6725" s="2" t="s">
        <v>11754</v>
      </c>
      <c r="M6725" t="s">
        <v>43</v>
      </c>
      <c r="N6725" t="s">
        <v>42</v>
      </c>
      <c r="P6725" s="23">
        <v>114.41</v>
      </c>
      <c r="Q6725" s="4">
        <f t="shared" si="104"/>
        <v>-4.3702473560003501</v>
      </c>
      <c r="R6725" s="23" t="s">
        <v>11466</v>
      </c>
    </row>
    <row r="6726" spans="1:18" x14ac:dyDescent="0.25">
      <c r="A6726" s="21">
        <v>45849</v>
      </c>
      <c r="B6726" s="1" t="s">
        <v>1223</v>
      </c>
      <c r="C6726" t="s">
        <v>1221</v>
      </c>
      <c r="D6726" s="43">
        <v>-23.01</v>
      </c>
      <c r="E6726" t="s">
        <v>35</v>
      </c>
      <c r="F6726" s="2">
        <v>610148001</v>
      </c>
      <c r="G6726" s="2" t="s">
        <v>42</v>
      </c>
      <c r="L6726" s="2" t="s">
        <v>11755</v>
      </c>
      <c r="M6726" t="s">
        <v>43</v>
      </c>
      <c r="N6726" t="s">
        <v>42</v>
      </c>
      <c r="P6726" s="23">
        <v>114.41</v>
      </c>
      <c r="Q6726" s="4">
        <f t="shared" si="104"/>
        <v>-0.2011187833231361</v>
      </c>
      <c r="R6726" s="23" t="s">
        <v>11466</v>
      </c>
    </row>
    <row r="6727" spans="1:18" x14ac:dyDescent="0.25">
      <c r="A6727" s="21">
        <v>45849</v>
      </c>
      <c r="B6727" s="1" t="s">
        <v>1225</v>
      </c>
      <c r="C6727" t="s">
        <v>1221</v>
      </c>
      <c r="D6727" s="43">
        <v>-5.72</v>
      </c>
      <c r="E6727" t="s">
        <v>35</v>
      </c>
      <c r="F6727" s="2">
        <v>610148001</v>
      </c>
      <c r="G6727" s="2" t="s">
        <v>42</v>
      </c>
      <c r="L6727" s="2" t="s">
        <v>11756</v>
      </c>
      <c r="M6727" t="s">
        <v>43</v>
      </c>
      <c r="N6727" t="s">
        <v>42</v>
      </c>
      <c r="P6727" s="23">
        <v>114.41</v>
      </c>
      <c r="Q6727" s="4">
        <f t="shared" si="104"/>
        <v>-4.9995629752643996E-2</v>
      </c>
      <c r="R6727" s="23" t="s">
        <v>11466</v>
      </c>
    </row>
    <row r="6728" spans="1:18" x14ac:dyDescent="0.25">
      <c r="A6728" s="21">
        <v>45849</v>
      </c>
      <c r="B6728" s="1" t="s">
        <v>1223</v>
      </c>
      <c r="C6728" t="s">
        <v>1221</v>
      </c>
      <c r="D6728" s="43">
        <v>-49.19</v>
      </c>
      <c r="E6728" t="s">
        <v>35</v>
      </c>
      <c r="F6728" s="2">
        <v>610148001</v>
      </c>
      <c r="G6728" s="2" t="s">
        <v>42</v>
      </c>
      <c r="L6728" s="2" t="s">
        <v>11757</v>
      </c>
      <c r="M6728" t="s">
        <v>43</v>
      </c>
      <c r="N6728" t="s">
        <v>42</v>
      </c>
      <c r="P6728" s="23">
        <v>114.41</v>
      </c>
      <c r="Q6728" s="4">
        <f t="shared" si="104"/>
        <v>-0.42994493488331437</v>
      </c>
      <c r="R6728" s="23" t="s">
        <v>11466</v>
      </c>
    </row>
    <row r="6729" spans="1:18" x14ac:dyDescent="0.25">
      <c r="A6729" s="21">
        <v>45849</v>
      </c>
      <c r="B6729" s="1" t="s">
        <v>3977</v>
      </c>
      <c r="C6729" t="s">
        <v>1221</v>
      </c>
      <c r="D6729" s="43">
        <v>-500</v>
      </c>
      <c r="E6729" t="s">
        <v>35</v>
      </c>
      <c r="F6729" s="2">
        <v>610148001</v>
      </c>
      <c r="G6729" s="2" t="s">
        <v>42</v>
      </c>
      <c r="L6729" s="2" t="s">
        <v>11758</v>
      </c>
      <c r="M6729" t="s">
        <v>43</v>
      </c>
      <c r="N6729" t="s">
        <v>42</v>
      </c>
      <c r="P6729" s="23">
        <v>114.41</v>
      </c>
      <c r="Q6729" s="4">
        <f t="shared" si="104"/>
        <v>-4.3702473560003501</v>
      </c>
      <c r="R6729" s="23" t="s">
        <v>11466</v>
      </c>
    </row>
    <row r="6730" spans="1:18" x14ac:dyDescent="0.25">
      <c r="A6730" s="21">
        <v>45849</v>
      </c>
      <c r="B6730" s="1" t="s">
        <v>11759</v>
      </c>
      <c r="C6730" t="s">
        <v>7640</v>
      </c>
      <c r="D6730" s="43">
        <v>80000</v>
      </c>
      <c r="E6730" t="s">
        <v>46</v>
      </c>
      <c r="F6730" s="2">
        <v>110101003</v>
      </c>
      <c r="G6730" s="2" t="s">
        <v>6734</v>
      </c>
      <c r="L6730" s="2" t="s">
        <v>11760</v>
      </c>
      <c r="N6730" t="s">
        <v>7640</v>
      </c>
      <c r="P6730" s="23">
        <v>114.41</v>
      </c>
      <c r="Q6730" s="4">
        <f t="shared" si="104"/>
        <v>699.23957696005596</v>
      </c>
      <c r="R6730" s="23" t="s">
        <v>11466</v>
      </c>
    </row>
    <row r="6731" spans="1:18" x14ac:dyDescent="0.25">
      <c r="A6731" s="21">
        <v>45849</v>
      </c>
      <c r="B6731" s="1" t="s">
        <v>1211</v>
      </c>
      <c r="C6731" t="s">
        <v>10920</v>
      </c>
      <c r="D6731" s="43">
        <v>-12585.1</v>
      </c>
      <c r="E6731" t="s">
        <v>35</v>
      </c>
      <c r="F6731" s="2">
        <v>212901001</v>
      </c>
      <c r="G6731" s="2" t="s">
        <v>121</v>
      </c>
      <c r="L6731" s="2" t="s">
        <v>11761</v>
      </c>
      <c r="M6731" t="s">
        <v>67</v>
      </c>
      <c r="N6731" t="s">
        <v>68</v>
      </c>
      <c r="P6731" s="23">
        <v>114.41</v>
      </c>
      <c r="Q6731" s="4">
        <f t="shared" ref="Q6731:Q6794" si="105">D6731/P6731</f>
        <v>-110</v>
      </c>
      <c r="R6731" s="23" t="s">
        <v>11466</v>
      </c>
    </row>
    <row r="6732" spans="1:18" x14ac:dyDescent="0.25">
      <c r="A6732" s="21">
        <v>45849</v>
      </c>
      <c r="B6732" s="1" t="s">
        <v>1214</v>
      </c>
      <c r="C6732" t="s">
        <v>10879</v>
      </c>
      <c r="D6732" s="43">
        <v>-6864.6</v>
      </c>
      <c r="E6732" t="s">
        <v>35</v>
      </c>
      <c r="F6732" s="2">
        <v>212901001</v>
      </c>
      <c r="G6732" s="2" t="s">
        <v>121</v>
      </c>
      <c r="L6732" s="2" t="s">
        <v>11762</v>
      </c>
      <c r="M6732" t="s">
        <v>67</v>
      </c>
      <c r="N6732" t="s">
        <v>68</v>
      </c>
      <c r="P6732" s="23">
        <v>114.41</v>
      </c>
      <c r="Q6732" s="4">
        <f t="shared" si="105"/>
        <v>-60.000000000000007</v>
      </c>
      <c r="R6732" s="23" t="s">
        <v>11466</v>
      </c>
    </row>
    <row r="6733" spans="1:18" x14ac:dyDescent="0.25">
      <c r="A6733" s="21">
        <v>45849</v>
      </c>
      <c r="B6733" s="1" t="s">
        <v>3933</v>
      </c>
      <c r="C6733" t="s">
        <v>10901</v>
      </c>
      <c r="D6733" s="43">
        <v>-5720.5</v>
      </c>
      <c r="E6733" t="s">
        <v>35</v>
      </c>
      <c r="F6733" s="2">
        <v>212901001</v>
      </c>
      <c r="G6733" s="2" t="s">
        <v>121</v>
      </c>
      <c r="L6733" s="2" t="s">
        <v>11763</v>
      </c>
      <c r="M6733" t="s">
        <v>67</v>
      </c>
      <c r="N6733" t="s">
        <v>68</v>
      </c>
      <c r="P6733" s="23">
        <v>114.41</v>
      </c>
      <c r="Q6733" s="4">
        <f t="shared" si="105"/>
        <v>-50</v>
      </c>
      <c r="R6733" s="23" t="s">
        <v>11466</v>
      </c>
    </row>
    <row r="6734" spans="1:18" x14ac:dyDescent="0.25">
      <c r="A6734" s="21">
        <v>45849</v>
      </c>
      <c r="B6734" s="1" t="s">
        <v>1208</v>
      </c>
      <c r="C6734" t="s">
        <v>11764</v>
      </c>
      <c r="D6734" s="43">
        <v>-2288.1999999999998</v>
      </c>
      <c r="E6734" t="s">
        <v>35</v>
      </c>
      <c r="F6734" s="2">
        <v>212901001</v>
      </c>
      <c r="G6734" s="2" t="s">
        <v>121</v>
      </c>
      <c r="L6734" s="2" t="s">
        <v>11765</v>
      </c>
      <c r="M6734" t="s">
        <v>67</v>
      </c>
      <c r="N6734" t="s">
        <v>68</v>
      </c>
      <c r="P6734" s="23">
        <v>114.41</v>
      </c>
      <c r="Q6734" s="4">
        <f t="shared" si="105"/>
        <v>-20</v>
      </c>
      <c r="R6734" s="23" t="s">
        <v>11466</v>
      </c>
    </row>
    <row r="6735" spans="1:18" x14ac:dyDescent="0.25">
      <c r="A6735" s="21">
        <v>45849</v>
      </c>
      <c r="B6735" s="1" t="s">
        <v>3952</v>
      </c>
      <c r="C6735" t="s">
        <v>10903</v>
      </c>
      <c r="D6735" s="43">
        <v>-5720.5</v>
      </c>
      <c r="E6735" t="s">
        <v>35</v>
      </c>
      <c r="F6735" s="2">
        <v>212901001</v>
      </c>
      <c r="G6735" s="2" t="s">
        <v>121</v>
      </c>
      <c r="L6735" s="2" t="s">
        <v>11766</v>
      </c>
      <c r="M6735" t="s">
        <v>67</v>
      </c>
      <c r="N6735" t="s">
        <v>68</v>
      </c>
      <c r="P6735" s="23">
        <v>114.41</v>
      </c>
      <c r="Q6735" s="4">
        <f t="shared" si="105"/>
        <v>-50</v>
      </c>
      <c r="R6735" s="23" t="s">
        <v>11466</v>
      </c>
    </row>
    <row r="6736" spans="1:18" x14ac:dyDescent="0.25">
      <c r="A6736" s="21">
        <v>45849</v>
      </c>
      <c r="B6736" s="1" t="s">
        <v>1214</v>
      </c>
      <c r="C6736" t="s">
        <v>10883</v>
      </c>
      <c r="D6736" s="43">
        <v>-6864.6</v>
      </c>
      <c r="E6736" t="s">
        <v>35</v>
      </c>
      <c r="F6736" s="2">
        <v>212901001</v>
      </c>
      <c r="G6736" s="2" t="s">
        <v>121</v>
      </c>
      <c r="L6736" s="2" t="s">
        <v>11767</v>
      </c>
      <c r="M6736" t="s">
        <v>67</v>
      </c>
      <c r="N6736" t="s">
        <v>68</v>
      </c>
      <c r="P6736" s="23">
        <v>114.41</v>
      </c>
      <c r="Q6736" s="4">
        <f t="shared" si="105"/>
        <v>-60.000000000000007</v>
      </c>
      <c r="R6736" s="23" t="s">
        <v>11466</v>
      </c>
    </row>
    <row r="6737" spans="1:20" x14ac:dyDescent="0.25">
      <c r="A6737" s="21">
        <v>45849</v>
      </c>
      <c r="B6737" s="1" t="s">
        <v>1214</v>
      </c>
      <c r="C6737" t="s">
        <v>10929</v>
      </c>
      <c r="D6737" s="43">
        <v>-5720.5</v>
      </c>
      <c r="E6737" t="s">
        <v>35</v>
      </c>
      <c r="F6737" s="2">
        <v>212901001</v>
      </c>
      <c r="G6737" s="2" t="s">
        <v>121</v>
      </c>
      <c r="L6737" s="2" t="s">
        <v>11768</v>
      </c>
      <c r="M6737" t="s">
        <v>67</v>
      </c>
      <c r="N6737" t="s">
        <v>68</v>
      </c>
      <c r="P6737" s="23">
        <v>114.41</v>
      </c>
      <c r="Q6737" s="4">
        <f t="shared" si="105"/>
        <v>-50</v>
      </c>
      <c r="R6737" s="23" t="s">
        <v>11466</v>
      </c>
    </row>
    <row r="6738" spans="1:20" x14ac:dyDescent="0.25">
      <c r="A6738" s="21">
        <v>45849</v>
      </c>
      <c r="B6738" s="1" t="s">
        <v>3927</v>
      </c>
      <c r="C6738" t="s">
        <v>10907</v>
      </c>
      <c r="D6738" s="43">
        <v>-4576.3999999999996</v>
      </c>
      <c r="E6738" t="s">
        <v>35</v>
      </c>
      <c r="F6738" s="2">
        <v>212901001</v>
      </c>
      <c r="G6738" s="2" t="s">
        <v>121</v>
      </c>
      <c r="L6738" s="2" t="s">
        <v>11769</v>
      </c>
      <c r="M6738" t="s">
        <v>67</v>
      </c>
      <c r="N6738" t="s">
        <v>68</v>
      </c>
      <c r="P6738" s="23">
        <v>114.41</v>
      </c>
      <c r="Q6738" s="4">
        <f t="shared" si="105"/>
        <v>-40</v>
      </c>
      <c r="R6738" s="23" t="s">
        <v>11466</v>
      </c>
    </row>
    <row r="6739" spans="1:20" x14ac:dyDescent="0.25">
      <c r="A6739" s="21">
        <v>45849</v>
      </c>
      <c r="B6739" s="1" t="s">
        <v>1208</v>
      </c>
      <c r="C6739" t="s">
        <v>10912</v>
      </c>
      <c r="D6739" s="43">
        <v>-4576.3999999999996</v>
      </c>
      <c r="E6739" t="s">
        <v>35</v>
      </c>
      <c r="F6739" s="2">
        <v>212901001</v>
      </c>
      <c r="G6739" s="2" t="s">
        <v>121</v>
      </c>
      <c r="L6739" s="2" t="s">
        <v>11770</v>
      </c>
      <c r="M6739" t="s">
        <v>67</v>
      </c>
      <c r="N6739" t="s">
        <v>68</v>
      </c>
      <c r="P6739" s="23">
        <v>114.41</v>
      </c>
      <c r="Q6739" s="4">
        <f t="shared" si="105"/>
        <v>-40</v>
      </c>
      <c r="R6739" s="23" t="s">
        <v>11466</v>
      </c>
    </row>
    <row r="6740" spans="1:20" x14ac:dyDescent="0.25">
      <c r="A6740" s="21">
        <v>45849</v>
      </c>
      <c r="B6740" s="1" t="s">
        <v>1214</v>
      </c>
      <c r="C6740" t="s">
        <v>10931</v>
      </c>
      <c r="D6740" s="43">
        <v>-5720.5</v>
      </c>
      <c r="E6740" t="s">
        <v>35</v>
      </c>
      <c r="F6740" s="2">
        <v>212901001</v>
      </c>
      <c r="G6740" s="2" t="s">
        <v>121</v>
      </c>
      <c r="L6740" s="2" t="s">
        <v>11771</v>
      </c>
      <c r="M6740" t="s">
        <v>67</v>
      </c>
      <c r="N6740" t="s">
        <v>68</v>
      </c>
      <c r="P6740" s="23">
        <v>114.41</v>
      </c>
      <c r="Q6740" s="4">
        <f t="shared" si="105"/>
        <v>-50</v>
      </c>
      <c r="R6740" s="23" t="s">
        <v>11466</v>
      </c>
    </row>
    <row r="6741" spans="1:20" x14ac:dyDescent="0.25">
      <c r="A6741" s="32">
        <v>45849</v>
      </c>
      <c r="B6741" s="26" t="s">
        <v>1208</v>
      </c>
      <c r="C6741" s="27" t="s">
        <v>11772</v>
      </c>
      <c r="D6741" s="46">
        <v>-9152.7999999999993</v>
      </c>
      <c r="E6741" s="27" t="s">
        <v>35</v>
      </c>
      <c r="F6741" s="29">
        <v>610156001</v>
      </c>
      <c r="G6741" s="29" t="s">
        <v>91</v>
      </c>
      <c r="H6741" s="107"/>
      <c r="I6741" s="101"/>
      <c r="J6741" s="101"/>
      <c r="K6741" s="29"/>
      <c r="L6741" s="2" t="s">
        <v>11773</v>
      </c>
      <c r="M6741" s="27" t="s">
        <v>93</v>
      </c>
      <c r="N6741" s="27" t="s">
        <v>94</v>
      </c>
      <c r="O6741" s="27" t="s">
        <v>59</v>
      </c>
      <c r="P6741" s="31">
        <v>114.41</v>
      </c>
      <c r="Q6741" s="4">
        <f t="shared" si="105"/>
        <v>-80</v>
      </c>
      <c r="R6741" s="23" t="s">
        <v>11466</v>
      </c>
      <c r="T6741" s="23" t="s">
        <v>11774</v>
      </c>
    </row>
    <row r="6742" spans="1:20" x14ac:dyDescent="0.25">
      <c r="A6742" s="21">
        <v>45849</v>
      </c>
      <c r="B6742" s="1" t="s">
        <v>3943</v>
      </c>
      <c r="C6742" t="s">
        <v>10916</v>
      </c>
      <c r="D6742" s="43">
        <v>-4576.3999999999996</v>
      </c>
      <c r="E6742" t="s">
        <v>35</v>
      </c>
      <c r="F6742" s="2">
        <v>212901001</v>
      </c>
      <c r="G6742" s="2" t="s">
        <v>121</v>
      </c>
      <c r="L6742" s="2" t="s">
        <v>11775</v>
      </c>
      <c r="M6742" t="s">
        <v>67</v>
      </c>
      <c r="N6742" t="s">
        <v>68</v>
      </c>
      <c r="P6742" s="23">
        <v>114.41</v>
      </c>
      <c r="Q6742" s="4">
        <f t="shared" si="105"/>
        <v>-40</v>
      </c>
      <c r="R6742" s="23" t="s">
        <v>11466</v>
      </c>
    </row>
    <row r="6743" spans="1:20" x14ac:dyDescent="0.25">
      <c r="A6743" s="21">
        <v>45849</v>
      </c>
      <c r="B6743" s="1" t="s">
        <v>3914</v>
      </c>
      <c r="C6743" t="s">
        <v>10936</v>
      </c>
      <c r="D6743" s="43">
        <v>-5720.5</v>
      </c>
      <c r="E6743" t="s">
        <v>35</v>
      </c>
      <c r="F6743" s="2">
        <v>212901001</v>
      </c>
      <c r="G6743" s="2" t="s">
        <v>121</v>
      </c>
      <c r="L6743" s="2" t="s">
        <v>11776</v>
      </c>
      <c r="M6743" t="s">
        <v>67</v>
      </c>
      <c r="N6743" t="s">
        <v>68</v>
      </c>
      <c r="P6743" s="23">
        <v>114.41</v>
      </c>
      <c r="Q6743" s="4">
        <f t="shared" si="105"/>
        <v>-50</v>
      </c>
      <c r="R6743" s="23" t="s">
        <v>11466</v>
      </c>
    </row>
    <row r="6744" spans="1:20" x14ac:dyDescent="0.25">
      <c r="A6744" s="21">
        <v>45849</v>
      </c>
      <c r="B6744" s="1" t="s">
        <v>1223</v>
      </c>
      <c r="C6744" t="s">
        <v>1221</v>
      </c>
      <c r="D6744" s="1">
        <v>-5.72</v>
      </c>
      <c r="E6744" t="s">
        <v>35</v>
      </c>
      <c r="F6744" s="2">
        <v>610148001</v>
      </c>
      <c r="G6744" s="2" t="s">
        <v>42</v>
      </c>
      <c r="L6744" s="2" t="s">
        <v>11777</v>
      </c>
      <c r="M6744" t="s">
        <v>43</v>
      </c>
      <c r="N6744" t="s">
        <v>42</v>
      </c>
      <c r="P6744" s="23">
        <v>114.41</v>
      </c>
      <c r="Q6744" s="4">
        <f t="shared" si="105"/>
        <v>-4.9995629752643996E-2</v>
      </c>
      <c r="R6744" s="23" t="s">
        <v>11466</v>
      </c>
    </row>
    <row r="6745" spans="1:20" x14ac:dyDescent="0.25">
      <c r="A6745" s="21">
        <v>45849</v>
      </c>
      <c r="B6745" s="1" t="s">
        <v>3958</v>
      </c>
      <c r="C6745" t="s">
        <v>1221</v>
      </c>
      <c r="D6745" s="1">
        <v>-14.3</v>
      </c>
      <c r="E6745" t="s">
        <v>35</v>
      </c>
      <c r="F6745" s="2">
        <v>610148001</v>
      </c>
      <c r="G6745" s="2" t="s">
        <v>42</v>
      </c>
      <c r="L6745" s="2" t="s">
        <v>11778</v>
      </c>
      <c r="M6745" t="s">
        <v>43</v>
      </c>
      <c r="N6745" t="s">
        <v>42</v>
      </c>
      <c r="P6745" s="23">
        <v>114.41</v>
      </c>
      <c r="Q6745" s="4">
        <f t="shared" si="105"/>
        <v>-0.12498907438161001</v>
      </c>
      <c r="R6745" s="23" t="s">
        <v>11466</v>
      </c>
    </row>
    <row r="6746" spans="1:20" x14ac:dyDescent="0.25">
      <c r="A6746" s="21">
        <v>45849</v>
      </c>
      <c r="B6746" s="1" t="s">
        <v>1227</v>
      </c>
      <c r="C6746" t="s">
        <v>1221</v>
      </c>
      <c r="D6746" s="1">
        <v>-31.46</v>
      </c>
      <c r="E6746" t="s">
        <v>35</v>
      </c>
      <c r="F6746" s="2">
        <v>610148001</v>
      </c>
      <c r="G6746" s="2" t="s">
        <v>42</v>
      </c>
      <c r="L6746" s="2" t="s">
        <v>11779</v>
      </c>
      <c r="M6746" t="s">
        <v>43</v>
      </c>
      <c r="N6746" t="s">
        <v>42</v>
      </c>
      <c r="P6746" s="23">
        <v>114.41</v>
      </c>
      <c r="Q6746" s="4">
        <f t="shared" si="105"/>
        <v>-0.27497596363954202</v>
      </c>
      <c r="R6746" s="23" t="s">
        <v>11466</v>
      </c>
    </row>
    <row r="6747" spans="1:20" x14ac:dyDescent="0.25">
      <c r="A6747" s="21">
        <v>45849</v>
      </c>
      <c r="B6747" s="1" t="s">
        <v>3962</v>
      </c>
      <c r="C6747" t="s">
        <v>1221</v>
      </c>
      <c r="D6747" s="1">
        <v>-14.3</v>
      </c>
      <c r="E6747" t="s">
        <v>35</v>
      </c>
      <c r="F6747" s="2">
        <v>610148001</v>
      </c>
      <c r="G6747" s="2" t="s">
        <v>42</v>
      </c>
      <c r="L6747" s="2" t="s">
        <v>11780</v>
      </c>
      <c r="M6747" t="s">
        <v>43</v>
      </c>
      <c r="N6747" t="s">
        <v>42</v>
      </c>
      <c r="P6747" s="23">
        <v>114.41</v>
      </c>
      <c r="Q6747" s="4">
        <f t="shared" si="105"/>
        <v>-0.12498907438161001</v>
      </c>
      <c r="R6747" s="23" t="s">
        <v>11466</v>
      </c>
    </row>
    <row r="6748" spans="1:20" x14ac:dyDescent="0.25">
      <c r="A6748" s="21">
        <v>45849</v>
      </c>
      <c r="B6748" s="1" t="s">
        <v>3977</v>
      </c>
      <c r="C6748" t="s">
        <v>1221</v>
      </c>
      <c r="D6748" s="1">
        <v>-11.44</v>
      </c>
      <c r="E6748" t="s">
        <v>35</v>
      </c>
      <c r="F6748" s="2">
        <v>610148001</v>
      </c>
      <c r="G6748" s="2" t="s">
        <v>42</v>
      </c>
      <c r="L6748" s="2" t="s">
        <v>11781</v>
      </c>
      <c r="M6748" t="s">
        <v>43</v>
      </c>
      <c r="N6748" t="s">
        <v>42</v>
      </c>
      <c r="P6748" s="23">
        <v>114.41</v>
      </c>
      <c r="Q6748" s="4">
        <f t="shared" si="105"/>
        <v>-9.9991259505287991E-2</v>
      </c>
      <c r="R6748" s="23" t="s">
        <v>11466</v>
      </c>
    </row>
    <row r="6749" spans="1:20" x14ac:dyDescent="0.25">
      <c r="A6749" s="21">
        <v>45849</v>
      </c>
      <c r="B6749" s="1" t="s">
        <v>1225</v>
      </c>
      <c r="C6749" t="s">
        <v>1221</v>
      </c>
      <c r="D6749" s="1">
        <v>-17.16</v>
      </c>
      <c r="E6749" t="s">
        <v>35</v>
      </c>
      <c r="F6749" s="2">
        <v>610148001</v>
      </c>
      <c r="G6749" s="2" t="s">
        <v>42</v>
      </c>
      <c r="L6749" s="2" t="s">
        <v>11782</v>
      </c>
      <c r="M6749" t="s">
        <v>43</v>
      </c>
      <c r="N6749" t="s">
        <v>42</v>
      </c>
      <c r="P6749" s="23">
        <v>114.41</v>
      </c>
      <c r="Q6749" s="4">
        <f t="shared" si="105"/>
        <v>-0.14998688925793199</v>
      </c>
      <c r="R6749" s="23" t="s">
        <v>11466</v>
      </c>
    </row>
    <row r="6750" spans="1:20" x14ac:dyDescent="0.25">
      <c r="A6750" s="21">
        <v>45849</v>
      </c>
      <c r="B6750" s="1" t="s">
        <v>1225</v>
      </c>
      <c r="C6750" t="s">
        <v>1221</v>
      </c>
      <c r="D6750" s="1">
        <v>-14.3</v>
      </c>
      <c r="E6750" t="s">
        <v>35</v>
      </c>
      <c r="F6750" s="2">
        <v>610148001</v>
      </c>
      <c r="G6750" s="2" t="s">
        <v>42</v>
      </c>
      <c r="L6750" s="2" t="s">
        <v>11783</v>
      </c>
      <c r="M6750" t="s">
        <v>43</v>
      </c>
      <c r="N6750" t="s">
        <v>42</v>
      </c>
      <c r="P6750" s="23">
        <v>114.41</v>
      </c>
      <c r="Q6750" s="4">
        <f t="shared" si="105"/>
        <v>-0.12498907438161001</v>
      </c>
      <c r="R6750" s="23" t="s">
        <v>11466</v>
      </c>
    </row>
    <row r="6751" spans="1:20" x14ac:dyDescent="0.25">
      <c r="A6751" s="21">
        <v>45849</v>
      </c>
      <c r="B6751" s="1" t="s">
        <v>1223</v>
      </c>
      <c r="C6751" t="s">
        <v>1221</v>
      </c>
      <c r="D6751" s="1">
        <v>-11.44</v>
      </c>
      <c r="E6751" t="s">
        <v>35</v>
      </c>
      <c r="F6751" s="2">
        <v>610148001</v>
      </c>
      <c r="G6751" s="2" t="s">
        <v>42</v>
      </c>
      <c r="L6751" s="2" t="s">
        <v>11784</v>
      </c>
      <c r="M6751" t="s">
        <v>43</v>
      </c>
      <c r="N6751" t="s">
        <v>42</v>
      </c>
      <c r="P6751" s="23">
        <v>114.41</v>
      </c>
      <c r="Q6751" s="4">
        <f t="shared" si="105"/>
        <v>-9.9991259505287991E-2</v>
      </c>
      <c r="R6751" s="23" t="s">
        <v>11466</v>
      </c>
    </row>
    <row r="6752" spans="1:20" x14ac:dyDescent="0.25">
      <c r="A6752" s="21">
        <v>45849</v>
      </c>
      <c r="B6752" s="1" t="s">
        <v>1225</v>
      </c>
      <c r="C6752" t="s">
        <v>1221</v>
      </c>
      <c r="D6752" s="1">
        <v>-17.16</v>
      </c>
      <c r="E6752" t="s">
        <v>35</v>
      </c>
      <c r="F6752" s="2">
        <v>610148001</v>
      </c>
      <c r="G6752" s="2" t="s">
        <v>42</v>
      </c>
      <c r="L6752" s="2" t="s">
        <v>11785</v>
      </c>
      <c r="M6752" t="s">
        <v>43</v>
      </c>
      <c r="N6752" t="s">
        <v>42</v>
      </c>
      <c r="P6752" s="23">
        <v>114.41</v>
      </c>
      <c r="Q6752" s="4">
        <f t="shared" si="105"/>
        <v>-0.14998688925793199</v>
      </c>
      <c r="R6752" s="23" t="s">
        <v>11466</v>
      </c>
    </row>
    <row r="6753" spans="1:18" x14ac:dyDescent="0.25">
      <c r="A6753" s="21">
        <v>45849</v>
      </c>
      <c r="B6753" s="1" t="s">
        <v>3967</v>
      </c>
      <c r="C6753" t="s">
        <v>1221</v>
      </c>
      <c r="D6753" s="1">
        <v>-14.3</v>
      </c>
      <c r="E6753" t="s">
        <v>35</v>
      </c>
      <c r="F6753" s="2">
        <v>610148001</v>
      </c>
      <c r="G6753" s="2" t="s">
        <v>42</v>
      </c>
      <c r="L6753" s="2" t="s">
        <v>11786</v>
      </c>
      <c r="M6753" t="s">
        <v>43</v>
      </c>
      <c r="N6753" t="s">
        <v>42</v>
      </c>
      <c r="P6753" s="23">
        <v>114.41</v>
      </c>
      <c r="Q6753" s="4">
        <f t="shared" si="105"/>
        <v>-0.12498907438161001</v>
      </c>
      <c r="R6753" s="23" t="s">
        <v>11466</v>
      </c>
    </row>
    <row r="6754" spans="1:18" x14ac:dyDescent="0.25">
      <c r="A6754" s="21">
        <v>45849</v>
      </c>
      <c r="B6754" s="1" t="s">
        <v>3960</v>
      </c>
      <c r="C6754" t="s">
        <v>1221</v>
      </c>
      <c r="D6754" s="1">
        <v>-11.44</v>
      </c>
      <c r="E6754" t="s">
        <v>35</v>
      </c>
      <c r="F6754" s="2">
        <v>610148001</v>
      </c>
      <c r="G6754" s="2" t="s">
        <v>42</v>
      </c>
      <c r="L6754" s="2" t="s">
        <v>11787</v>
      </c>
      <c r="M6754" t="s">
        <v>43</v>
      </c>
      <c r="N6754" t="s">
        <v>42</v>
      </c>
      <c r="P6754" s="23">
        <v>114.41</v>
      </c>
      <c r="Q6754" s="4">
        <f t="shared" si="105"/>
        <v>-9.9991259505287991E-2</v>
      </c>
      <c r="R6754" s="23" t="s">
        <v>11466</v>
      </c>
    </row>
    <row r="6755" spans="1:18" x14ac:dyDescent="0.25">
      <c r="A6755" s="21">
        <v>45849</v>
      </c>
      <c r="B6755" s="1" t="s">
        <v>1223</v>
      </c>
      <c r="C6755" t="s">
        <v>1221</v>
      </c>
      <c r="D6755" s="1">
        <v>-22.88</v>
      </c>
      <c r="E6755" t="s">
        <v>35</v>
      </c>
      <c r="F6755" s="2">
        <v>610148001</v>
      </c>
      <c r="G6755" s="2" t="s">
        <v>42</v>
      </c>
      <c r="L6755" s="2" t="s">
        <v>11788</v>
      </c>
      <c r="M6755" t="s">
        <v>43</v>
      </c>
      <c r="N6755" t="s">
        <v>42</v>
      </c>
      <c r="P6755" s="23">
        <v>114.41</v>
      </c>
      <c r="Q6755" s="4">
        <f t="shared" si="105"/>
        <v>-0.19998251901057598</v>
      </c>
      <c r="R6755" s="23" t="s">
        <v>11466</v>
      </c>
    </row>
    <row r="6756" spans="1:18" x14ac:dyDescent="0.25">
      <c r="A6756" s="21">
        <v>45849</v>
      </c>
      <c r="B6756" s="1" t="s">
        <v>1225</v>
      </c>
      <c r="C6756" t="s">
        <v>1221</v>
      </c>
      <c r="D6756" s="1">
        <v>-14.3</v>
      </c>
      <c r="E6756" t="s">
        <v>35</v>
      </c>
      <c r="F6756" s="2">
        <v>610148001</v>
      </c>
      <c r="G6756" s="2" t="s">
        <v>42</v>
      </c>
      <c r="L6756" s="2" t="s">
        <v>11789</v>
      </c>
      <c r="M6756" t="s">
        <v>43</v>
      </c>
      <c r="N6756" t="s">
        <v>42</v>
      </c>
      <c r="P6756" s="23">
        <v>114.41</v>
      </c>
      <c r="Q6756" s="4">
        <f t="shared" si="105"/>
        <v>-0.12498907438161001</v>
      </c>
      <c r="R6756" s="23" t="s">
        <v>11466</v>
      </c>
    </row>
    <row r="6757" spans="1:18" x14ac:dyDescent="0.25">
      <c r="A6757" s="21">
        <v>45852</v>
      </c>
      <c r="B6757" s="1" t="s">
        <v>11790</v>
      </c>
      <c r="C6757" t="s">
        <v>544</v>
      </c>
      <c r="D6757" s="43">
        <v>750000</v>
      </c>
      <c r="E6757" t="s">
        <v>46</v>
      </c>
      <c r="F6757" s="2">
        <v>210115002</v>
      </c>
      <c r="G6757" s="2" t="s">
        <v>47</v>
      </c>
      <c r="L6757" s="2" t="s">
        <v>11791</v>
      </c>
      <c r="N6757" t="s">
        <v>544</v>
      </c>
      <c r="P6757" s="23">
        <v>115.33</v>
      </c>
      <c r="Q6757" s="4">
        <f t="shared" si="105"/>
        <v>6503.0781236451921</v>
      </c>
      <c r="R6757" s="23" t="s">
        <v>11466</v>
      </c>
    </row>
    <row r="6758" spans="1:18" x14ac:dyDescent="0.25">
      <c r="A6758" s="21">
        <v>45852</v>
      </c>
      <c r="B6758" s="1" t="s">
        <v>1214</v>
      </c>
      <c r="C6758" t="s">
        <v>11792</v>
      </c>
      <c r="D6758" s="1">
        <v>-318.51</v>
      </c>
      <c r="E6758" t="s">
        <v>35</v>
      </c>
      <c r="F6758" s="2">
        <v>210101001</v>
      </c>
      <c r="G6758" s="2" t="s">
        <v>36</v>
      </c>
      <c r="L6758" s="2" t="s">
        <v>11793</v>
      </c>
      <c r="M6758" t="s">
        <v>3854</v>
      </c>
      <c r="N6758" t="s">
        <v>3855</v>
      </c>
      <c r="P6758" s="23">
        <v>115.33</v>
      </c>
      <c r="Q6758" s="4">
        <f t="shared" si="105"/>
        <v>-2.7617272175496401</v>
      </c>
      <c r="R6758" s="23" t="s">
        <v>11466</v>
      </c>
    </row>
    <row r="6759" spans="1:18" x14ac:dyDescent="0.25">
      <c r="A6759" s="21">
        <v>45852</v>
      </c>
      <c r="B6759" s="1" t="s">
        <v>1217</v>
      </c>
      <c r="C6759" t="s">
        <v>11794</v>
      </c>
      <c r="D6759" s="43">
        <v>-200000</v>
      </c>
      <c r="E6759" t="s">
        <v>35</v>
      </c>
      <c r="F6759" s="2">
        <v>210101001</v>
      </c>
      <c r="G6759" s="2" t="s">
        <v>36</v>
      </c>
      <c r="L6759" s="2" t="s">
        <v>11795</v>
      </c>
      <c r="M6759" t="s">
        <v>38</v>
      </c>
      <c r="N6759" t="s">
        <v>39</v>
      </c>
      <c r="P6759" s="23">
        <v>115.33</v>
      </c>
      <c r="Q6759" s="4">
        <f t="shared" si="105"/>
        <v>-1734.1541663053845</v>
      </c>
      <c r="R6759" s="23" t="s">
        <v>11466</v>
      </c>
    </row>
    <row r="6760" spans="1:18" x14ac:dyDescent="0.25">
      <c r="A6760" s="21">
        <v>45852</v>
      </c>
      <c r="B6760" s="1" t="s">
        <v>1211</v>
      </c>
      <c r="C6760" t="s">
        <v>11796</v>
      </c>
      <c r="D6760" s="43">
        <v>-350000</v>
      </c>
      <c r="E6760" t="s">
        <v>35</v>
      </c>
      <c r="F6760" s="2">
        <v>110114001</v>
      </c>
      <c r="G6760" s="2" t="s">
        <v>301</v>
      </c>
      <c r="L6760" s="2" t="s">
        <v>11797</v>
      </c>
      <c r="N6760" t="s">
        <v>2551</v>
      </c>
      <c r="P6760" s="23">
        <v>115.33</v>
      </c>
      <c r="Q6760" s="4">
        <f t="shared" si="105"/>
        <v>-3034.7697910344232</v>
      </c>
      <c r="R6760" s="23" t="s">
        <v>11466</v>
      </c>
    </row>
    <row r="6761" spans="1:18" x14ac:dyDescent="0.25">
      <c r="A6761" s="21">
        <v>45852</v>
      </c>
      <c r="B6761" s="1" t="s">
        <v>1208</v>
      </c>
      <c r="C6761" t="s">
        <v>11798</v>
      </c>
      <c r="D6761" s="43">
        <v>-185053.98</v>
      </c>
      <c r="E6761" t="s">
        <v>35</v>
      </c>
      <c r="F6761" s="2">
        <v>210101001</v>
      </c>
      <c r="G6761" s="2" t="s">
        <v>36</v>
      </c>
      <c r="L6761" s="2" t="s">
        <v>11799</v>
      </c>
      <c r="M6761" t="s">
        <v>976</v>
      </c>
      <c r="N6761" t="s">
        <v>977</v>
      </c>
      <c r="P6761" s="23">
        <v>115.33</v>
      </c>
      <c r="Q6761" s="4">
        <f t="shared" si="105"/>
        <v>-1604.5606520419667</v>
      </c>
      <c r="R6761" s="23" t="s">
        <v>11466</v>
      </c>
    </row>
    <row r="6762" spans="1:18" x14ac:dyDescent="0.25">
      <c r="A6762" s="21">
        <v>45852</v>
      </c>
      <c r="B6762" s="1" t="s">
        <v>2573</v>
      </c>
      <c r="C6762" t="s">
        <v>11794</v>
      </c>
      <c r="D6762" s="43">
        <v>-16709.34</v>
      </c>
      <c r="E6762" t="s">
        <v>35</v>
      </c>
      <c r="F6762" s="2">
        <v>210101001</v>
      </c>
      <c r="G6762" s="2" t="s">
        <v>36</v>
      </c>
      <c r="L6762" s="2" t="s">
        <v>11800</v>
      </c>
      <c r="M6762" t="s">
        <v>38</v>
      </c>
      <c r="N6762" t="s">
        <v>39</v>
      </c>
      <c r="P6762" s="23">
        <v>115.33</v>
      </c>
      <c r="Q6762" s="4">
        <f t="shared" si="105"/>
        <v>-144.88285788606606</v>
      </c>
      <c r="R6762" s="23" t="s">
        <v>11466</v>
      </c>
    </row>
    <row r="6763" spans="1:18" x14ac:dyDescent="0.25">
      <c r="A6763" s="21">
        <v>45852</v>
      </c>
      <c r="B6763" s="1" t="s">
        <v>1225</v>
      </c>
      <c r="C6763" t="s">
        <v>1221</v>
      </c>
      <c r="D6763" s="1">
        <v>-0.79</v>
      </c>
      <c r="E6763" t="s">
        <v>35</v>
      </c>
      <c r="F6763" s="2">
        <v>610148001</v>
      </c>
      <c r="G6763" s="2" t="s">
        <v>42</v>
      </c>
      <c r="L6763" s="2" t="s">
        <v>11801</v>
      </c>
      <c r="M6763" t="s">
        <v>43</v>
      </c>
      <c r="N6763" t="s">
        <v>42</v>
      </c>
      <c r="P6763" s="23">
        <v>115.33</v>
      </c>
      <c r="Q6763" s="4">
        <f t="shared" si="105"/>
        <v>-6.8499089569062695E-3</v>
      </c>
      <c r="R6763" s="23" t="s">
        <v>11466</v>
      </c>
    </row>
    <row r="6764" spans="1:18" x14ac:dyDescent="0.25">
      <c r="A6764" s="21">
        <v>45852</v>
      </c>
      <c r="B6764" s="1" t="s">
        <v>2582</v>
      </c>
      <c r="C6764" t="s">
        <v>1221</v>
      </c>
      <c r="D6764" s="1">
        <v>-41.77</v>
      </c>
      <c r="E6764" t="s">
        <v>35</v>
      </c>
      <c r="F6764" s="2">
        <v>610148001</v>
      </c>
      <c r="G6764" s="2" t="s">
        <v>42</v>
      </c>
      <c r="L6764" s="2" t="s">
        <v>11802</v>
      </c>
      <c r="M6764" t="s">
        <v>43</v>
      </c>
      <c r="N6764" t="s">
        <v>42</v>
      </c>
      <c r="P6764" s="23">
        <v>115.33</v>
      </c>
      <c r="Q6764" s="4">
        <f t="shared" si="105"/>
        <v>-0.36217809763287961</v>
      </c>
      <c r="R6764" s="23" t="s">
        <v>11466</v>
      </c>
    </row>
    <row r="6765" spans="1:18" x14ac:dyDescent="0.25">
      <c r="A6765" s="21">
        <v>45852</v>
      </c>
      <c r="B6765" s="1" t="s">
        <v>1227</v>
      </c>
      <c r="C6765" t="s">
        <v>1221</v>
      </c>
      <c r="D6765" s="1">
        <v>-875</v>
      </c>
      <c r="E6765" t="s">
        <v>35</v>
      </c>
      <c r="F6765" s="2">
        <v>610148001</v>
      </c>
      <c r="G6765" s="2" t="s">
        <v>42</v>
      </c>
      <c r="L6765" s="2" t="s">
        <v>11803</v>
      </c>
      <c r="M6765" t="s">
        <v>43</v>
      </c>
      <c r="N6765" t="s">
        <v>42</v>
      </c>
      <c r="P6765" s="23">
        <v>115.33</v>
      </c>
      <c r="Q6765" s="4">
        <f t="shared" si="105"/>
        <v>-7.5869244775860576</v>
      </c>
      <c r="R6765" s="23" t="s">
        <v>11466</v>
      </c>
    </row>
    <row r="6766" spans="1:18" x14ac:dyDescent="0.25">
      <c r="A6766" s="21">
        <v>45852</v>
      </c>
      <c r="B6766" s="1" t="s">
        <v>1223</v>
      </c>
      <c r="C6766" t="s">
        <v>1221</v>
      </c>
      <c r="D6766" s="1">
        <v>-462.63</v>
      </c>
      <c r="E6766" t="s">
        <v>35</v>
      </c>
      <c r="F6766" s="2">
        <v>610148001</v>
      </c>
      <c r="G6766" s="2" t="s">
        <v>42</v>
      </c>
      <c r="L6766" s="2" t="s">
        <v>11804</v>
      </c>
      <c r="M6766" t="s">
        <v>43</v>
      </c>
      <c r="N6766" t="s">
        <v>42</v>
      </c>
      <c r="P6766" s="23">
        <v>115.33</v>
      </c>
      <c r="Q6766" s="4">
        <f t="shared" si="105"/>
        <v>-4.0113587097893006</v>
      </c>
      <c r="R6766" s="23" t="s">
        <v>11466</v>
      </c>
    </row>
    <row r="6767" spans="1:18" x14ac:dyDescent="0.25">
      <c r="A6767" s="21">
        <v>45852</v>
      </c>
      <c r="B6767" s="1" t="s">
        <v>1220</v>
      </c>
      <c r="C6767" t="s">
        <v>1221</v>
      </c>
      <c r="D6767" s="1">
        <v>-500</v>
      </c>
      <c r="E6767" t="s">
        <v>35</v>
      </c>
      <c r="F6767" s="2">
        <v>610148001</v>
      </c>
      <c r="G6767" s="2" t="s">
        <v>42</v>
      </c>
      <c r="L6767" s="2" t="s">
        <v>11805</v>
      </c>
      <c r="M6767" t="s">
        <v>43</v>
      </c>
      <c r="N6767" t="s">
        <v>42</v>
      </c>
      <c r="P6767" s="23">
        <v>115.33</v>
      </c>
      <c r="Q6767" s="4">
        <f t="shared" si="105"/>
        <v>-4.3353854157634615</v>
      </c>
      <c r="R6767" s="23" t="s">
        <v>11466</v>
      </c>
    </row>
    <row r="6768" spans="1:18" x14ac:dyDescent="0.25">
      <c r="A6768" s="21">
        <v>45854</v>
      </c>
      <c r="B6768" s="1" t="s">
        <v>11806</v>
      </c>
      <c r="C6768" t="s">
        <v>544</v>
      </c>
      <c r="D6768" s="43">
        <v>1120000</v>
      </c>
      <c r="E6768" t="s">
        <v>46</v>
      </c>
      <c r="F6768" s="2">
        <v>210115002</v>
      </c>
      <c r="G6768" s="2" t="s">
        <v>47</v>
      </c>
      <c r="L6768" s="2" t="s">
        <v>11807</v>
      </c>
      <c r="N6768" t="s">
        <v>544</v>
      </c>
      <c r="P6768" s="23">
        <v>116.82</v>
      </c>
      <c r="Q6768" s="4">
        <f t="shared" si="105"/>
        <v>9587.3994179078927</v>
      </c>
      <c r="R6768" s="23" t="s">
        <v>11466</v>
      </c>
    </row>
    <row r="6769" spans="1:20" x14ac:dyDescent="0.25">
      <c r="A6769" s="21">
        <v>45854</v>
      </c>
      <c r="B6769" s="1" t="s">
        <v>1214</v>
      </c>
      <c r="C6769" t="s">
        <v>11808</v>
      </c>
      <c r="D6769" s="43">
        <v>-25114.58</v>
      </c>
      <c r="E6769" t="s">
        <v>35</v>
      </c>
      <c r="F6769" s="2">
        <v>210101001</v>
      </c>
      <c r="G6769" s="2" t="s">
        <v>36</v>
      </c>
      <c r="L6769" s="2" t="s">
        <v>11809</v>
      </c>
      <c r="M6769" t="s">
        <v>788</v>
      </c>
      <c r="N6769" t="s">
        <v>789</v>
      </c>
      <c r="P6769" s="23">
        <v>116.82</v>
      </c>
      <c r="Q6769" s="4">
        <f t="shared" si="105"/>
        <v>-214.98527649375109</v>
      </c>
      <c r="R6769" s="23" t="s">
        <v>11466</v>
      </c>
    </row>
    <row r="6770" spans="1:20" x14ac:dyDescent="0.25">
      <c r="A6770" s="21">
        <v>45854</v>
      </c>
      <c r="B6770" s="1" t="s">
        <v>1214</v>
      </c>
      <c r="C6770" t="s">
        <v>11810</v>
      </c>
      <c r="D6770" s="43">
        <v>-20775.27</v>
      </c>
      <c r="E6770" t="s">
        <v>35</v>
      </c>
      <c r="F6770" s="2">
        <v>210101001</v>
      </c>
      <c r="G6770" s="2" t="s">
        <v>36</v>
      </c>
      <c r="L6770" s="2" t="s">
        <v>11811</v>
      </c>
      <c r="M6770" t="s">
        <v>714</v>
      </c>
      <c r="N6770" t="s">
        <v>715</v>
      </c>
      <c r="P6770" s="23">
        <v>116.82</v>
      </c>
      <c r="Q6770" s="4">
        <f t="shared" si="105"/>
        <v>-177.84001027221368</v>
      </c>
      <c r="R6770" s="23" t="s">
        <v>11466</v>
      </c>
    </row>
    <row r="6771" spans="1:20" x14ac:dyDescent="0.25">
      <c r="A6771" s="32">
        <v>45854</v>
      </c>
      <c r="B6771" s="26" t="s">
        <v>1214</v>
      </c>
      <c r="C6771" s="27" t="s">
        <v>11812</v>
      </c>
      <c r="D6771" s="46">
        <v>-2336.4</v>
      </c>
      <c r="E6771" s="27" t="s">
        <v>35</v>
      </c>
      <c r="F6771" s="29">
        <v>610125001</v>
      </c>
      <c r="G6771" s="29" t="s">
        <v>5746</v>
      </c>
      <c r="H6771" s="107"/>
      <c r="I6771" s="101"/>
      <c r="J6771" s="101"/>
      <c r="K6771" s="29"/>
      <c r="L6771" s="2" t="s">
        <v>11813</v>
      </c>
      <c r="M6771" s="27" t="s">
        <v>772</v>
      </c>
      <c r="N6771" s="27" t="s">
        <v>773</v>
      </c>
      <c r="O6771" s="27" t="s">
        <v>59</v>
      </c>
      <c r="P6771" s="31">
        <v>116.82</v>
      </c>
      <c r="Q6771" s="4">
        <f t="shared" si="105"/>
        <v>-20.000000000000004</v>
      </c>
      <c r="R6771" s="23" t="s">
        <v>11466</v>
      </c>
      <c r="T6771" s="23" t="s">
        <v>11814</v>
      </c>
    </row>
    <row r="6772" spans="1:20" x14ac:dyDescent="0.25">
      <c r="A6772" s="21">
        <v>45854</v>
      </c>
      <c r="B6772" s="1" t="s">
        <v>1214</v>
      </c>
      <c r="C6772" t="s">
        <v>11815</v>
      </c>
      <c r="D6772" s="43" t="s">
        <v>11816</v>
      </c>
      <c r="E6772" t="s">
        <v>35</v>
      </c>
      <c r="F6772" s="2">
        <v>210101001</v>
      </c>
      <c r="G6772" s="2" t="s">
        <v>36</v>
      </c>
      <c r="L6772" s="2" t="s">
        <v>11817</v>
      </c>
      <c r="M6772" t="s">
        <v>38</v>
      </c>
      <c r="N6772" t="s">
        <v>39</v>
      </c>
      <c r="P6772" s="23">
        <v>116.82</v>
      </c>
      <c r="Q6772" s="4">
        <f t="shared" si="105"/>
        <v>-1090.3999315185756</v>
      </c>
      <c r="R6772" s="23" t="s">
        <v>11466</v>
      </c>
    </row>
    <row r="6773" spans="1:20" x14ac:dyDescent="0.25">
      <c r="A6773" s="21">
        <v>45854</v>
      </c>
      <c r="B6773" s="1" t="s">
        <v>1211</v>
      </c>
      <c r="C6773" t="s">
        <v>11818</v>
      </c>
      <c r="D6773" s="43" t="s">
        <v>11819</v>
      </c>
      <c r="E6773" t="s">
        <v>35</v>
      </c>
      <c r="F6773" s="2">
        <v>210101001</v>
      </c>
      <c r="G6773" s="2" t="s">
        <v>36</v>
      </c>
      <c r="L6773" s="2" t="s">
        <v>11820</v>
      </c>
      <c r="M6773" t="s">
        <v>521</v>
      </c>
      <c r="N6773" t="s">
        <v>3364</v>
      </c>
      <c r="P6773" s="23">
        <v>116.82</v>
      </c>
      <c r="Q6773" s="4">
        <f t="shared" si="105"/>
        <v>-222.30003424071222</v>
      </c>
      <c r="R6773" s="23" t="s">
        <v>11466</v>
      </c>
    </row>
    <row r="6774" spans="1:20" x14ac:dyDescent="0.25">
      <c r="A6774" s="21">
        <v>45854</v>
      </c>
      <c r="B6774" s="1" t="s">
        <v>1208</v>
      </c>
      <c r="C6774" t="s">
        <v>11821</v>
      </c>
      <c r="D6774" s="43" t="s">
        <v>11822</v>
      </c>
      <c r="E6774" t="s">
        <v>35</v>
      </c>
      <c r="F6774" s="2">
        <v>110114001</v>
      </c>
      <c r="G6774" s="2" t="s">
        <v>301</v>
      </c>
      <c r="L6774" s="2" t="s">
        <v>11823</v>
      </c>
      <c r="M6774" t="s">
        <v>38</v>
      </c>
      <c r="N6774" t="s">
        <v>39</v>
      </c>
      <c r="P6774" s="23">
        <v>116.82</v>
      </c>
      <c r="Q6774" s="4">
        <f t="shared" si="105"/>
        <v>-7814.4494949494956</v>
      </c>
      <c r="R6774" s="23" t="s">
        <v>11466</v>
      </c>
    </row>
    <row r="6775" spans="1:20" x14ac:dyDescent="0.25">
      <c r="A6775" s="21">
        <v>45854</v>
      </c>
      <c r="B6775" s="1" t="s">
        <v>1227</v>
      </c>
      <c r="C6775" t="s">
        <v>1221</v>
      </c>
      <c r="D6775" s="43" t="s">
        <v>11824</v>
      </c>
      <c r="E6775" t="s">
        <v>35</v>
      </c>
      <c r="F6775" s="2">
        <v>610148001</v>
      </c>
      <c r="G6775" s="2" t="s">
        <v>42</v>
      </c>
      <c r="L6775" s="2" t="s">
        <v>11825</v>
      </c>
      <c r="M6775" t="s">
        <v>43</v>
      </c>
      <c r="N6775" t="s">
        <v>42</v>
      </c>
      <c r="P6775" s="23">
        <v>116.82</v>
      </c>
      <c r="Q6775" s="4">
        <f t="shared" si="105"/>
        <v>-0.55572675911658964</v>
      </c>
      <c r="R6775" s="23" t="s">
        <v>11466</v>
      </c>
    </row>
    <row r="6776" spans="1:20" x14ac:dyDescent="0.25">
      <c r="A6776" s="21">
        <v>45854</v>
      </c>
      <c r="B6776" s="1" t="s">
        <v>1225</v>
      </c>
      <c r="C6776" t="s">
        <v>1221</v>
      </c>
      <c r="D6776" s="43" t="s">
        <v>11826</v>
      </c>
      <c r="E6776" t="s">
        <v>35</v>
      </c>
      <c r="F6776" s="2">
        <v>610148001</v>
      </c>
      <c r="G6776" s="2" t="s">
        <v>42</v>
      </c>
      <c r="L6776" s="2" t="s">
        <v>11827</v>
      </c>
      <c r="M6776" t="s">
        <v>43</v>
      </c>
      <c r="N6776" t="s">
        <v>42</v>
      </c>
      <c r="P6776" s="23">
        <v>116.82</v>
      </c>
      <c r="Q6776" s="4">
        <f t="shared" si="105"/>
        <v>-2.7259887005649719</v>
      </c>
      <c r="R6776" s="23" t="s">
        <v>11466</v>
      </c>
    </row>
    <row r="6777" spans="1:20" x14ac:dyDescent="0.25">
      <c r="A6777" s="21">
        <v>45854</v>
      </c>
      <c r="B6777" s="1" t="s">
        <v>1223</v>
      </c>
      <c r="C6777" t="s">
        <v>1221</v>
      </c>
      <c r="D6777" s="43" t="s">
        <v>11828</v>
      </c>
      <c r="E6777" t="s">
        <v>35</v>
      </c>
      <c r="F6777" s="2">
        <v>610148001</v>
      </c>
      <c r="G6777" s="2" t="s">
        <v>42</v>
      </c>
      <c r="L6777" s="2" t="s">
        <v>11829</v>
      </c>
      <c r="M6777" t="s">
        <v>43</v>
      </c>
      <c r="N6777" t="s">
        <v>42</v>
      </c>
      <c r="P6777" s="23">
        <v>116.82</v>
      </c>
      <c r="Q6777" s="4">
        <f t="shared" si="105"/>
        <v>-19.536038349597671</v>
      </c>
      <c r="R6777" s="23" t="s">
        <v>11466</v>
      </c>
    </row>
    <row r="6778" spans="1:20" x14ac:dyDescent="0.25">
      <c r="A6778" s="21">
        <v>45854</v>
      </c>
      <c r="B6778" s="1" t="s">
        <v>1225</v>
      </c>
      <c r="C6778" t="s">
        <v>1221</v>
      </c>
      <c r="D6778" s="43" t="s">
        <v>11830</v>
      </c>
      <c r="E6778" t="s">
        <v>35</v>
      </c>
      <c r="F6778" s="2">
        <v>610148001</v>
      </c>
      <c r="G6778" s="2" t="s">
        <v>42</v>
      </c>
      <c r="L6778" s="2" t="s">
        <v>11831</v>
      </c>
      <c r="M6778" t="s">
        <v>43</v>
      </c>
      <c r="N6778" t="s">
        <v>42</v>
      </c>
      <c r="P6778" s="23">
        <v>116.82</v>
      </c>
      <c r="Q6778" s="4">
        <f t="shared" si="105"/>
        <v>-0.5374079780859442</v>
      </c>
      <c r="R6778" s="23" t="s">
        <v>11466</v>
      </c>
    </row>
    <row r="6779" spans="1:20" x14ac:dyDescent="0.25">
      <c r="A6779" s="21">
        <v>45854</v>
      </c>
      <c r="B6779" s="1" t="s">
        <v>1225</v>
      </c>
      <c r="C6779" t="s">
        <v>1221</v>
      </c>
      <c r="D6779" s="43" t="s">
        <v>11832</v>
      </c>
      <c r="E6779" t="s">
        <v>35</v>
      </c>
      <c r="F6779" s="2">
        <v>610148001</v>
      </c>
      <c r="G6779" s="2" t="s">
        <v>42</v>
      </c>
      <c r="L6779" s="2" t="s">
        <v>11833</v>
      </c>
      <c r="M6779" t="s">
        <v>43</v>
      </c>
      <c r="N6779" t="s">
        <v>42</v>
      </c>
      <c r="P6779" s="23">
        <v>116.82</v>
      </c>
      <c r="Q6779" s="4">
        <f t="shared" si="105"/>
        <v>-0.44453004622496151</v>
      </c>
      <c r="R6779" s="23" t="s">
        <v>11466</v>
      </c>
    </row>
    <row r="6780" spans="1:20" x14ac:dyDescent="0.25">
      <c r="A6780" s="21">
        <v>45854</v>
      </c>
      <c r="B6780" s="1" t="s">
        <v>1225</v>
      </c>
      <c r="C6780" t="s">
        <v>1221</v>
      </c>
      <c r="D6780" s="43" t="s">
        <v>11834</v>
      </c>
      <c r="E6780" t="s">
        <v>35</v>
      </c>
      <c r="F6780" s="2">
        <v>610148001</v>
      </c>
      <c r="G6780" s="2" t="s">
        <v>42</v>
      </c>
      <c r="L6780" s="2" t="s">
        <v>11835</v>
      </c>
      <c r="M6780" t="s">
        <v>43</v>
      </c>
      <c r="N6780" t="s">
        <v>42</v>
      </c>
      <c r="P6780" s="23">
        <v>116.82</v>
      </c>
      <c r="Q6780" s="4">
        <f t="shared" si="105"/>
        <v>-4.99914398219483E-2</v>
      </c>
      <c r="R6780" s="23" t="s">
        <v>11466</v>
      </c>
    </row>
    <row r="6781" spans="1:20" x14ac:dyDescent="0.25">
      <c r="A6781" s="21">
        <v>45855</v>
      </c>
      <c r="B6781" s="1" t="s">
        <v>11836</v>
      </c>
      <c r="C6781" t="s">
        <v>544</v>
      </c>
      <c r="D6781" s="43" t="s">
        <v>11837</v>
      </c>
      <c r="E6781" t="s">
        <v>46</v>
      </c>
      <c r="F6781" s="2">
        <v>210115002</v>
      </c>
      <c r="G6781" s="2" t="s">
        <v>47</v>
      </c>
      <c r="L6781" s="2" t="s">
        <v>11838</v>
      </c>
      <c r="N6781" t="s">
        <v>544</v>
      </c>
      <c r="P6781" s="23">
        <v>117.4</v>
      </c>
      <c r="Q6781" s="4">
        <f t="shared" si="105"/>
        <v>11073.253833049403</v>
      </c>
      <c r="R6781" s="23" t="s">
        <v>11466</v>
      </c>
    </row>
    <row r="6782" spans="1:20" x14ac:dyDescent="0.25">
      <c r="A6782" s="21">
        <v>45855</v>
      </c>
      <c r="B6782" s="1" t="s">
        <v>11839</v>
      </c>
      <c r="C6782" t="s">
        <v>11840</v>
      </c>
      <c r="D6782" s="43" t="s">
        <v>11841</v>
      </c>
      <c r="E6782" t="s">
        <v>35</v>
      </c>
      <c r="F6782" s="2">
        <v>110114001</v>
      </c>
      <c r="G6782" s="2" t="s">
        <v>301</v>
      </c>
      <c r="L6782" s="2" t="s">
        <v>11842</v>
      </c>
      <c r="N6782" t="s">
        <v>2551</v>
      </c>
      <c r="P6782" s="23">
        <v>117.4</v>
      </c>
      <c r="Q6782" s="4">
        <f t="shared" si="105"/>
        <v>-10907.320613287904</v>
      </c>
      <c r="R6782" s="23" t="s">
        <v>11466</v>
      </c>
    </row>
    <row r="6783" spans="1:20" x14ac:dyDescent="0.25">
      <c r="A6783" s="21">
        <v>45855</v>
      </c>
      <c r="B6783" s="1" t="s">
        <v>11843</v>
      </c>
      <c r="C6783" t="s">
        <v>1221</v>
      </c>
      <c r="D6783" s="43" t="s">
        <v>11844</v>
      </c>
      <c r="E6783" t="s">
        <v>35</v>
      </c>
      <c r="F6783" s="2">
        <v>610148001</v>
      </c>
      <c r="G6783" s="2" t="s">
        <v>42</v>
      </c>
      <c r="L6783" s="2" t="s">
        <v>11845</v>
      </c>
      <c r="M6783" t="s">
        <v>43</v>
      </c>
      <c r="N6783" t="s">
        <v>42</v>
      </c>
      <c r="P6783" s="23">
        <v>117.4</v>
      </c>
      <c r="Q6783" s="4">
        <f t="shared" si="105"/>
        <v>-27.268228279386712</v>
      </c>
      <c r="R6783" s="23" t="s">
        <v>11466</v>
      </c>
    </row>
    <row r="6784" spans="1:20" x14ac:dyDescent="0.25">
      <c r="A6784" s="21">
        <v>45856</v>
      </c>
      <c r="B6784" s="1" t="s">
        <v>11846</v>
      </c>
      <c r="C6784" t="s">
        <v>544</v>
      </c>
      <c r="D6784" s="43" t="s">
        <v>11847</v>
      </c>
      <c r="E6784" t="s">
        <v>46</v>
      </c>
      <c r="F6784" s="2">
        <v>210115002</v>
      </c>
      <c r="G6784" s="2" t="s">
        <v>47</v>
      </c>
      <c r="L6784" s="2" t="s">
        <v>11848</v>
      </c>
      <c r="N6784" t="s">
        <v>544</v>
      </c>
      <c r="P6784" s="23">
        <v>118.29</v>
      </c>
      <c r="Q6784" s="4">
        <f t="shared" si="105"/>
        <v>12511.623974976752</v>
      </c>
      <c r="R6784" s="23" t="s">
        <v>11466</v>
      </c>
    </row>
    <row r="6785" spans="1:20" x14ac:dyDescent="0.25">
      <c r="A6785" s="21">
        <v>45856</v>
      </c>
      <c r="B6785" s="1" t="s">
        <v>11849</v>
      </c>
      <c r="C6785" t="s">
        <v>11850</v>
      </c>
      <c r="D6785" s="43">
        <v>-1182.9000000000001</v>
      </c>
      <c r="E6785" t="s">
        <v>35</v>
      </c>
      <c r="F6785" s="2">
        <v>212901001</v>
      </c>
      <c r="G6785" s="2" t="s">
        <v>121</v>
      </c>
      <c r="L6785" s="2" t="s">
        <v>11851</v>
      </c>
      <c r="M6785" t="s">
        <v>67</v>
      </c>
      <c r="N6785" t="s">
        <v>68</v>
      </c>
      <c r="P6785" s="23">
        <v>118.29</v>
      </c>
      <c r="Q6785" s="4">
        <f t="shared" si="105"/>
        <v>-10</v>
      </c>
      <c r="R6785" s="23" t="s">
        <v>11466</v>
      </c>
    </row>
    <row r="6786" spans="1:20" x14ac:dyDescent="0.25">
      <c r="A6786" s="21">
        <v>45856</v>
      </c>
      <c r="B6786" s="1" t="s">
        <v>11852</v>
      </c>
      <c r="C6786" t="s">
        <v>1221</v>
      </c>
      <c r="D6786" s="43">
        <v>-2.95</v>
      </c>
      <c r="E6786" t="s">
        <v>35</v>
      </c>
      <c r="F6786" s="2">
        <v>610148001</v>
      </c>
      <c r="G6786" s="2" t="s">
        <v>42</v>
      </c>
      <c r="L6786" s="2" t="s">
        <v>11853</v>
      </c>
      <c r="M6786" t="s">
        <v>43</v>
      </c>
      <c r="N6786" t="s">
        <v>42</v>
      </c>
      <c r="P6786" s="23">
        <v>118.29</v>
      </c>
      <c r="Q6786" s="4">
        <f t="shared" si="105"/>
        <v>-2.4938709950122581E-2</v>
      </c>
      <c r="R6786" s="23" t="s">
        <v>11466</v>
      </c>
    </row>
    <row r="6787" spans="1:20" x14ac:dyDescent="0.25">
      <c r="A6787" s="21">
        <v>45856</v>
      </c>
      <c r="B6787" s="1" t="s">
        <v>11854</v>
      </c>
      <c r="C6787" t="s">
        <v>11855</v>
      </c>
      <c r="D6787" s="43">
        <v>-17743.5</v>
      </c>
      <c r="E6787" t="s">
        <v>35</v>
      </c>
      <c r="F6787" s="2">
        <v>212901001</v>
      </c>
      <c r="G6787" s="2" t="s">
        <v>121</v>
      </c>
      <c r="L6787" s="2" t="s">
        <v>11856</v>
      </c>
      <c r="M6787" t="s">
        <v>67</v>
      </c>
      <c r="N6787" t="s">
        <v>68</v>
      </c>
      <c r="P6787" s="23">
        <v>118.29</v>
      </c>
      <c r="Q6787" s="4">
        <f t="shared" si="105"/>
        <v>-150</v>
      </c>
      <c r="R6787" s="23" t="s">
        <v>11466</v>
      </c>
    </row>
    <row r="6788" spans="1:20" x14ac:dyDescent="0.25">
      <c r="A6788" s="21">
        <v>45856</v>
      </c>
      <c r="B6788" s="1" t="s">
        <v>11857</v>
      </c>
      <c r="C6788" t="s">
        <v>1221</v>
      </c>
      <c r="D6788" s="43">
        <v>-44.35</v>
      </c>
      <c r="E6788" t="s">
        <v>35</v>
      </c>
      <c r="F6788" s="2">
        <v>610148001</v>
      </c>
      <c r="G6788" s="2" t="s">
        <v>42</v>
      </c>
      <c r="L6788" s="2" t="s">
        <v>11858</v>
      </c>
      <c r="M6788" t="s">
        <v>43</v>
      </c>
      <c r="N6788" t="s">
        <v>42</v>
      </c>
      <c r="P6788" s="23">
        <v>118.29</v>
      </c>
      <c r="Q6788" s="4">
        <f t="shared" si="105"/>
        <v>-0.37492602925014795</v>
      </c>
      <c r="R6788" s="23" t="s">
        <v>11466</v>
      </c>
    </row>
    <row r="6789" spans="1:20" x14ac:dyDescent="0.25">
      <c r="A6789" s="21">
        <v>45856</v>
      </c>
      <c r="B6789" s="1" t="s">
        <v>11859</v>
      </c>
      <c r="C6789" t="s">
        <v>11860</v>
      </c>
      <c r="D6789" s="43">
        <v>-563774.52</v>
      </c>
      <c r="E6789" t="s">
        <v>35</v>
      </c>
      <c r="F6789" s="2">
        <v>210101001</v>
      </c>
      <c r="G6789" s="2" t="s">
        <v>36</v>
      </c>
      <c r="L6789" s="2" t="s">
        <v>11861</v>
      </c>
      <c r="M6789" t="s">
        <v>303</v>
      </c>
      <c r="N6789" t="s">
        <v>304</v>
      </c>
      <c r="P6789" s="23">
        <v>118.29</v>
      </c>
      <c r="Q6789" s="4">
        <f t="shared" si="105"/>
        <v>-4766.0370276439262</v>
      </c>
      <c r="R6789" s="23" t="s">
        <v>11466</v>
      </c>
    </row>
    <row r="6790" spans="1:20" x14ac:dyDescent="0.25">
      <c r="A6790" s="21">
        <v>45856</v>
      </c>
      <c r="B6790" s="1" t="s">
        <v>11862</v>
      </c>
      <c r="C6790" t="s">
        <v>1221</v>
      </c>
      <c r="D6790" s="43">
        <v>-1409.43</v>
      </c>
      <c r="E6790" t="s">
        <v>35</v>
      </c>
      <c r="F6790" s="2">
        <v>610148001</v>
      </c>
      <c r="G6790" s="2" t="s">
        <v>42</v>
      </c>
      <c r="L6790" s="2" t="s">
        <v>11863</v>
      </c>
      <c r="M6790" t="s">
        <v>43</v>
      </c>
      <c r="N6790" t="s">
        <v>42</v>
      </c>
      <c r="P6790" s="23">
        <v>118.29</v>
      </c>
      <c r="Q6790" s="4">
        <f t="shared" si="105"/>
        <v>-11.915039310169922</v>
      </c>
      <c r="R6790" s="23" t="s">
        <v>11466</v>
      </c>
    </row>
    <row r="6791" spans="1:20" x14ac:dyDescent="0.25">
      <c r="A6791" s="21">
        <v>45856</v>
      </c>
      <c r="B6791" s="1" t="s">
        <v>11864</v>
      </c>
      <c r="C6791" t="s">
        <v>11865</v>
      </c>
      <c r="D6791" s="43">
        <v>-141731.16</v>
      </c>
      <c r="E6791" t="s">
        <v>35</v>
      </c>
      <c r="F6791" s="2">
        <v>210101001</v>
      </c>
      <c r="G6791" s="2" t="s">
        <v>36</v>
      </c>
      <c r="L6791" s="2" t="s">
        <v>11866</v>
      </c>
      <c r="M6791" t="s">
        <v>38</v>
      </c>
      <c r="N6791" t="s">
        <v>39</v>
      </c>
      <c r="P6791" s="23">
        <v>118.29</v>
      </c>
      <c r="Q6791" s="4">
        <f t="shared" si="105"/>
        <v>-1198.1668780116663</v>
      </c>
      <c r="R6791" s="23" t="s">
        <v>11466</v>
      </c>
    </row>
    <row r="6792" spans="1:20" x14ac:dyDescent="0.25">
      <c r="A6792" s="21">
        <v>45856</v>
      </c>
      <c r="B6792" s="1" t="s">
        <v>11867</v>
      </c>
      <c r="C6792" t="s">
        <v>1221</v>
      </c>
      <c r="D6792" s="43">
        <v>-354.32</v>
      </c>
      <c r="E6792" t="s">
        <v>35</v>
      </c>
      <c r="F6792" s="2">
        <v>610148001</v>
      </c>
      <c r="G6792" s="2" t="s">
        <v>42</v>
      </c>
      <c r="L6792" s="2" t="s">
        <v>11868</v>
      </c>
      <c r="M6792" t="s">
        <v>43</v>
      </c>
      <c r="N6792" t="s">
        <v>42</v>
      </c>
      <c r="P6792" s="23">
        <v>118.29</v>
      </c>
      <c r="Q6792" s="4">
        <f t="shared" si="105"/>
        <v>-2.9953504100092991</v>
      </c>
      <c r="R6792" s="23" t="s">
        <v>11466</v>
      </c>
    </row>
    <row r="6793" spans="1:20" x14ac:dyDescent="0.25">
      <c r="A6793" s="21">
        <v>45856</v>
      </c>
      <c r="B6793" s="1" t="s">
        <v>11869</v>
      </c>
      <c r="C6793" t="s">
        <v>11870</v>
      </c>
      <c r="D6793" s="43">
        <v>-2365.8000000000002</v>
      </c>
      <c r="E6793" t="s">
        <v>35</v>
      </c>
      <c r="F6793" s="2">
        <v>212901001</v>
      </c>
      <c r="G6793" s="2" t="s">
        <v>121</v>
      </c>
      <c r="L6793" s="2" t="s">
        <v>11871</v>
      </c>
      <c r="M6793" t="s">
        <v>67</v>
      </c>
      <c r="N6793" t="s">
        <v>68</v>
      </c>
      <c r="P6793" s="23">
        <v>118.29</v>
      </c>
      <c r="Q6793" s="4">
        <f t="shared" si="105"/>
        <v>-20</v>
      </c>
      <c r="R6793" s="23" t="s">
        <v>11466</v>
      </c>
    </row>
    <row r="6794" spans="1:20" x14ac:dyDescent="0.25">
      <c r="A6794" s="21">
        <v>45856</v>
      </c>
      <c r="B6794" s="1" t="s">
        <v>11872</v>
      </c>
      <c r="C6794" t="s">
        <v>1221</v>
      </c>
      <c r="D6794" s="43">
        <v>-5.91</v>
      </c>
      <c r="E6794" t="s">
        <v>35</v>
      </c>
      <c r="F6794" s="2">
        <v>610148001</v>
      </c>
      <c r="G6794" s="2" t="s">
        <v>42</v>
      </c>
      <c r="L6794" s="2" t="s">
        <v>11873</v>
      </c>
      <c r="M6794" t="s">
        <v>43</v>
      </c>
      <c r="N6794" t="s">
        <v>42</v>
      </c>
      <c r="P6794" s="23">
        <v>118.29</v>
      </c>
      <c r="Q6794" s="4">
        <f t="shared" si="105"/>
        <v>-4.9961957900076084E-2</v>
      </c>
      <c r="R6794" s="23" t="s">
        <v>11466</v>
      </c>
    </row>
    <row r="6795" spans="1:20" x14ac:dyDescent="0.25">
      <c r="A6795" s="21">
        <v>45856</v>
      </c>
      <c r="B6795" s="1" t="s">
        <v>11874</v>
      </c>
      <c r="C6795" t="s">
        <v>11875</v>
      </c>
      <c r="D6795" s="43">
        <v>-2365.8000000000002</v>
      </c>
      <c r="E6795" t="s">
        <v>35</v>
      </c>
      <c r="F6795" s="2">
        <v>212901001</v>
      </c>
      <c r="G6795" s="2" t="s">
        <v>121</v>
      </c>
      <c r="L6795" s="2" t="s">
        <v>11876</v>
      </c>
      <c r="M6795" t="s">
        <v>67</v>
      </c>
      <c r="N6795" t="s">
        <v>68</v>
      </c>
      <c r="P6795" s="23">
        <v>118.29</v>
      </c>
      <c r="Q6795" s="4">
        <f t="shared" ref="Q6795:Q6858" si="106">D6795/P6795</f>
        <v>-20</v>
      </c>
      <c r="R6795" s="23" t="s">
        <v>11466</v>
      </c>
    </row>
    <row r="6796" spans="1:20" x14ac:dyDescent="0.25">
      <c r="A6796" s="21">
        <v>45856</v>
      </c>
      <c r="B6796" s="1" t="s">
        <v>11877</v>
      </c>
      <c r="C6796" t="s">
        <v>1221</v>
      </c>
      <c r="D6796" s="43">
        <v>-5.91</v>
      </c>
      <c r="E6796" t="s">
        <v>35</v>
      </c>
      <c r="F6796" s="2">
        <v>610148001</v>
      </c>
      <c r="G6796" s="2" t="s">
        <v>42</v>
      </c>
      <c r="L6796" s="2" t="s">
        <v>11878</v>
      </c>
      <c r="M6796" t="s">
        <v>43</v>
      </c>
      <c r="N6796" t="s">
        <v>42</v>
      </c>
      <c r="P6796" s="23">
        <v>118.29</v>
      </c>
      <c r="Q6796" s="4">
        <f t="shared" si="106"/>
        <v>-4.9961957900076084E-2</v>
      </c>
      <c r="R6796" s="23" t="s">
        <v>11466</v>
      </c>
    </row>
    <row r="6797" spans="1:20" x14ac:dyDescent="0.25">
      <c r="A6797" s="32">
        <v>45856</v>
      </c>
      <c r="B6797" s="26" t="s">
        <v>11879</v>
      </c>
      <c r="C6797" s="27" t="s">
        <v>11880</v>
      </c>
      <c r="D6797" s="46">
        <v>-27916.44</v>
      </c>
      <c r="E6797" s="27" t="s">
        <v>35</v>
      </c>
      <c r="F6797" s="29">
        <v>610156001</v>
      </c>
      <c r="G6797" s="29" t="s">
        <v>91</v>
      </c>
      <c r="H6797" s="107"/>
      <c r="I6797" s="101"/>
      <c r="J6797" s="101"/>
      <c r="K6797" s="29"/>
      <c r="L6797" s="2" t="s">
        <v>11881</v>
      </c>
      <c r="M6797" s="27" t="s">
        <v>5015</v>
      </c>
      <c r="N6797" s="27" t="s">
        <v>1240</v>
      </c>
      <c r="O6797" s="27" t="s">
        <v>59</v>
      </c>
      <c r="P6797" s="31">
        <v>118.29</v>
      </c>
      <c r="Q6797" s="4">
        <f t="shared" si="106"/>
        <v>-235.99999999999997</v>
      </c>
      <c r="R6797" s="23" t="s">
        <v>11466</v>
      </c>
      <c r="T6797" s="23" t="s">
        <v>11882</v>
      </c>
    </row>
    <row r="6798" spans="1:20" x14ac:dyDescent="0.25">
      <c r="A6798" s="21">
        <v>45856</v>
      </c>
      <c r="B6798" s="1" t="s">
        <v>11883</v>
      </c>
      <c r="C6798" t="s">
        <v>1221</v>
      </c>
      <c r="D6798" s="43">
        <v>-69.790000000000006</v>
      </c>
      <c r="E6798" t="s">
        <v>35</v>
      </c>
      <c r="F6798" s="2">
        <v>610148001</v>
      </c>
      <c r="G6798" s="2" t="s">
        <v>42</v>
      </c>
      <c r="L6798" s="2" t="s">
        <v>11884</v>
      </c>
      <c r="M6798" t="s">
        <v>43</v>
      </c>
      <c r="N6798" t="s">
        <v>42</v>
      </c>
      <c r="P6798" s="23">
        <v>118.29</v>
      </c>
      <c r="Q6798" s="4">
        <f t="shared" si="106"/>
        <v>-0.58999070082001859</v>
      </c>
      <c r="R6798" s="23" t="s">
        <v>11466</v>
      </c>
    </row>
    <row r="6799" spans="1:20" x14ac:dyDescent="0.25">
      <c r="A6799" s="21">
        <v>45856</v>
      </c>
      <c r="B6799" s="1" t="s">
        <v>11885</v>
      </c>
      <c r="C6799" t="s">
        <v>11886</v>
      </c>
      <c r="D6799" s="43">
        <v>-4518.54</v>
      </c>
      <c r="E6799" t="s">
        <v>35</v>
      </c>
      <c r="F6799" s="2">
        <v>210101001</v>
      </c>
      <c r="G6799" s="2" t="s">
        <v>36</v>
      </c>
      <c r="L6799" s="2" t="s">
        <v>11887</v>
      </c>
      <c r="M6799" t="s">
        <v>114</v>
      </c>
      <c r="N6799" t="s">
        <v>115</v>
      </c>
      <c r="P6799" s="23">
        <v>118.29</v>
      </c>
      <c r="Q6799" s="4">
        <f t="shared" si="106"/>
        <v>-38.198833375602334</v>
      </c>
      <c r="R6799" s="23" t="s">
        <v>11466</v>
      </c>
    </row>
    <row r="6800" spans="1:20" x14ac:dyDescent="0.25">
      <c r="A6800" s="21">
        <v>45856</v>
      </c>
      <c r="B6800" s="1" t="s">
        <v>11888</v>
      </c>
      <c r="C6800" t="s">
        <v>1221</v>
      </c>
      <c r="D6800" s="43">
        <v>-11.29</v>
      </c>
      <c r="E6800" t="s">
        <v>35</v>
      </c>
      <c r="F6800" s="2">
        <v>610148001</v>
      </c>
      <c r="G6800" s="2" t="s">
        <v>42</v>
      </c>
      <c r="L6800" s="2" t="s">
        <v>11889</v>
      </c>
      <c r="M6800" t="s">
        <v>43</v>
      </c>
      <c r="N6800" t="s">
        <v>42</v>
      </c>
      <c r="P6800" s="23">
        <v>118.29</v>
      </c>
      <c r="Q6800" s="4">
        <f t="shared" si="106"/>
        <v>-9.544340180911319E-2</v>
      </c>
      <c r="R6800" s="23" t="s">
        <v>11466</v>
      </c>
    </row>
    <row r="6801" spans="1:20" x14ac:dyDescent="0.25">
      <c r="A6801" s="21">
        <v>45856</v>
      </c>
      <c r="B6801" s="1" t="s">
        <v>11890</v>
      </c>
      <c r="C6801" t="s">
        <v>1221</v>
      </c>
      <c r="D6801" s="43">
        <v>-1034.31</v>
      </c>
      <c r="E6801" t="s">
        <v>35</v>
      </c>
      <c r="F6801" s="2">
        <v>610148001</v>
      </c>
      <c r="G6801" s="2" t="s">
        <v>42</v>
      </c>
      <c r="L6801" s="2" t="s">
        <v>11891</v>
      </c>
      <c r="M6801" t="s">
        <v>43</v>
      </c>
      <c r="N6801" t="s">
        <v>42</v>
      </c>
      <c r="P6801" s="23">
        <v>118.29</v>
      </c>
      <c r="Q6801" s="4">
        <f t="shared" si="106"/>
        <v>-8.7438498605122987</v>
      </c>
      <c r="R6801" s="23" t="s">
        <v>11466</v>
      </c>
    </row>
    <row r="6802" spans="1:20" x14ac:dyDescent="0.25">
      <c r="A6802" s="21">
        <v>45856</v>
      </c>
      <c r="B6802" s="1" t="s">
        <v>11892</v>
      </c>
      <c r="C6802" t="s">
        <v>11893</v>
      </c>
      <c r="D6802" s="43">
        <v>-413725.19</v>
      </c>
      <c r="E6802" t="s">
        <v>35</v>
      </c>
      <c r="F6802" s="2">
        <v>110114001</v>
      </c>
      <c r="G6802" s="2" t="s">
        <v>301</v>
      </c>
      <c r="L6802" s="2" t="s">
        <v>11894</v>
      </c>
      <c r="M6802" t="s">
        <v>38</v>
      </c>
      <c r="N6802" t="s">
        <v>39</v>
      </c>
      <c r="P6802" s="23">
        <v>118.29</v>
      </c>
      <c r="Q6802" s="4">
        <f t="shared" si="106"/>
        <v>-3497.5500042269</v>
      </c>
      <c r="R6802" s="23" t="s">
        <v>11466</v>
      </c>
    </row>
    <row r="6803" spans="1:20" x14ac:dyDescent="0.25">
      <c r="A6803" s="21">
        <v>45856</v>
      </c>
      <c r="B6803" s="1" t="s">
        <v>11895</v>
      </c>
      <c r="C6803" t="s">
        <v>1221</v>
      </c>
      <c r="D6803" s="43">
        <v>-5.91</v>
      </c>
      <c r="E6803" t="s">
        <v>35</v>
      </c>
      <c r="F6803" s="2">
        <v>610148001</v>
      </c>
      <c r="G6803" s="2" t="s">
        <v>42</v>
      </c>
      <c r="L6803" s="2" t="s">
        <v>11896</v>
      </c>
      <c r="M6803" t="s">
        <v>43</v>
      </c>
      <c r="N6803" t="s">
        <v>42</v>
      </c>
      <c r="P6803" s="23">
        <v>118.29</v>
      </c>
      <c r="Q6803" s="4">
        <f t="shared" si="106"/>
        <v>-4.9961957900076084E-2</v>
      </c>
      <c r="R6803" s="23" t="s">
        <v>11466</v>
      </c>
    </row>
    <row r="6804" spans="1:20" x14ac:dyDescent="0.25">
      <c r="A6804" s="21">
        <v>45856</v>
      </c>
      <c r="B6804" s="1" t="s">
        <v>11897</v>
      </c>
      <c r="C6804" t="s">
        <v>11898</v>
      </c>
      <c r="D6804" s="43">
        <v>-2365.8000000000002</v>
      </c>
      <c r="E6804" t="s">
        <v>35</v>
      </c>
      <c r="F6804" s="2">
        <v>212901001</v>
      </c>
      <c r="G6804" s="2" t="s">
        <v>121</v>
      </c>
      <c r="L6804" s="2" t="s">
        <v>11899</v>
      </c>
      <c r="M6804" t="s">
        <v>67</v>
      </c>
      <c r="N6804" t="s">
        <v>68</v>
      </c>
      <c r="P6804" s="23">
        <v>118.29</v>
      </c>
      <c r="Q6804" s="4">
        <f t="shared" si="106"/>
        <v>-20</v>
      </c>
      <c r="R6804" s="23" t="s">
        <v>11466</v>
      </c>
    </row>
    <row r="6805" spans="1:20" x14ac:dyDescent="0.25">
      <c r="A6805" s="21">
        <v>45856</v>
      </c>
      <c r="B6805" s="1" t="s">
        <v>11900</v>
      </c>
      <c r="C6805" t="s">
        <v>1221</v>
      </c>
      <c r="D6805" s="43">
        <v>-34.54</v>
      </c>
      <c r="E6805" t="s">
        <v>35</v>
      </c>
      <c r="F6805" s="2">
        <v>610148001</v>
      </c>
      <c r="G6805" s="2" t="s">
        <v>42</v>
      </c>
      <c r="L6805" s="2" t="s">
        <v>11901</v>
      </c>
      <c r="M6805" t="s">
        <v>43</v>
      </c>
      <c r="N6805" t="s">
        <v>42</v>
      </c>
      <c r="P6805" s="23">
        <v>118.29</v>
      </c>
      <c r="Q6805" s="4">
        <f t="shared" si="106"/>
        <v>-0.29199425141601149</v>
      </c>
      <c r="R6805" s="23" t="s">
        <v>11466</v>
      </c>
    </row>
    <row r="6806" spans="1:20" ht="15.75" x14ac:dyDescent="0.25">
      <c r="A6806" s="21">
        <v>45856</v>
      </c>
      <c r="B6806" s="1" t="s">
        <v>11902</v>
      </c>
      <c r="C6806" t="s">
        <v>11903</v>
      </c>
      <c r="D6806" s="43">
        <v>-13818.94</v>
      </c>
      <c r="E6806" t="s">
        <v>35</v>
      </c>
      <c r="F6806" s="2">
        <v>210101001</v>
      </c>
      <c r="G6806" s="2" t="s">
        <v>36</v>
      </c>
      <c r="L6806" s="2" t="s">
        <v>11904</v>
      </c>
      <c r="M6806" t="s">
        <v>303</v>
      </c>
      <c r="N6806" t="s">
        <v>304</v>
      </c>
      <c r="P6806" s="23">
        <v>118.29</v>
      </c>
      <c r="Q6806" s="4">
        <f t="shared" si="106"/>
        <v>-116.8225547383549</v>
      </c>
      <c r="R6806" s="23" t="s">
        <v>11466</v>
      </c>
      <c r="S6806" s="36" t="s">
        <v>9005</v>
      </c>
    </row>
    <row r="6807" spans="1:20" x14ac:dyDescent="0.25">
      <c r="A6807" s="21">
        <v>45856</v>
      </c>
      <c r="B6807" s="1" t="s">
        <v>11905</v>
      </c>
      <c r="C6807" t="s">
        <v>1221</v>
      </c>
      <c r="D6807" s="43">
        <v>-576.83000000000004</v>
      </c>
      <c r="E6807" t="s">
        <v>35</v>
      </c>
      <c r="F6807" s="2">
        <v>610148001</v>
      </c>
      <c r="G6807" s="2" t="s">
        <v>42</v>
      </c>
      <c r="L6807" s="2" t="s">
        <v>11906</v>
      </c>
      <c r="M6807" t="s">
        <v>43</v>
      </c>
      <c r="N6807" t="s">
        <v>42</v>
      </c>
      <c r="P6807" s="23">
        <v>118.29</v>
      </c>
      <c r="Q6807" s="4">
        <f t="shared" si="106"/>
        <v>-4.8764054442471894</v>
      </c>
      <c r="R6807" s="23" t="s">
        <v>11466</v>
      </c>
    </row>
    <row r="6808" spans="1:20" x14ac:dyDescent="0.25">
      <c r="A6808" s="21">
        <v>45856</v>
      </c>
      <c r="B6808" s="1" t="s">
        <v>11907</v>
      </c>
      <c r="C6808" t="s">
        <v>11908</v>
      </c>
      <c r="D6808" s="43">
        <v>-230734.05</v>
      </c>
      <c r="E6808" t="s">
        <v>35</v>
      </c>
      <c r="F6808" s="2">
        <v>210101001</v>
      </c>
      <c r="G6808" s="2" t="s">
        <v>36</v>
      </c>
      <c r="L6808" s="2" t="s">
        <v>11909</v>
      </c>
      <c r="M6808" t="s">
        <v>303</v>
      </c>
      <c r="N6808" t="s">
        <v>304</v>
      </c>
      <c r="P6808" s="23">
        <v>118.29</v>
      </c>
      <c r="Q6808" s="4">
        <f t="shared" si="106"/>
        <v>-1950.5795079888408</v>
      </c>
      <c r="R6808" s="23" t="s">
        <v>11466</v>
      </c>
    </row>
    <row r="6809" spans="1:20" x14ac:dyDescent="0.25">
      <c r="A6809" s="21">
        <v>45856</v>
      </c>
      <c r="B6809" s="1" t="s">
        <v>11910</v>
      </c>
      <c r="C6809" t="s">
        <v>1221</v>
      </c>
      <c r="D6809" s="43">
        <v>-35.479999999999997</v>
      </c>
      <c r="E6809" t="s">
        <v>35</v>
      </c>
      <c r="F6809" s="2">
        <v>610148001</v>
      </c>
      <c r="G6809" s="2" t="s">
        <v>42</v>
      </c>
      <c r="L6809" s="2" t="s">
        <v>11911</v>
      </c>
      <c r="M6809" t="s">
        <v>43</v>
      </c>
      <c r="N6809" t="s">
        <v>42</v>
      </c>
      <c r="P6809" s="23">
        <v>118.29</v>
      </c>
      <c r="Q6809" s="4">
        <f t="shared" si="106"/>
        <v>-0.29994082340011829</v>
      </c>
      <c r="R6809" s="23" t="s">
        <v>11466</v>
      </c>
    </row>
    <row r="6810" spans="1:20" x14ac:dyDescent="0.25">
      <c r="A6810" s="32">
        <v>45856</v>
      </c>
      <c r="B6810" s="26" t="s">
        <v>11912</v>
      </c>
      <c r="C6810" s="27" t="s">
        <v>54</v>
      </c>
      <c r="D6810" s="46">
        <v>-14194.8</v>
      </c>
      <c r="E6810" s="27" t="s">
        <v>35</v>
      </c>
      <c r="F6810" s="29">
        <v>610129001</v>
      </c>
      <c r="G6810" s="29" t="s">
        <v>55</v>
      </c>
      <c r="H6810" s="107"/>
      <c r="I6810" s="101"/>
      <c r="J6810" s="101"/>
      <c r="K6810" s="29"/>
      <c r="L6810" s="2" t="s">
        <v>11913</v>
      </c>
      <c r="M6810" s="27" t="s">
        <v>57</v>
      </c>
      <c r="N6810" s="27" t="s">
        <v>58</v>
      </c>
      <c r="O6810" s="27" t="s">
        <v>59</v>
      </c>
      <c r="P6810" s="31">
        <v>118.29</v>
      </c>
      <c r="Q6810" s="4">
        <f t="shared" si="106"/>
        <v>-119.99999999999999</v>
      </c>
      <c r="R6810" s="23" t="s">
        <v>11466</v>
      </c>
      <c r="T6810" s="23" t="s">
        <v>11914</v>
      </c>
    </row>
    <row r="6811" spans="1:20" x14ac:dyDescent="0.25">
      <c r="A6811" s="21">
        <v>45856</v>
      </c>
      <c r="B6811" s="1" t="s">
        <v>11915</v>
      </c>
      <c r="C6811" t="s">
        <v>1221</v>
      </c>
      <c r="D6811" s="43">
        <v>-2.95</v>
      </c>
      <c r="E6811" t="s">
        <v>35</v>
      </c>
      <c r="F6811" s="2">
        <v>610148001</v>
      </c>
      <c r="G6811" s="2" t="s">
        <v>42</v>
      </c>
      <c r="L6811" s="2" t="s">
        <v>11916</v>
      </c>
      <c r="M6811" t="s">
        <v>43</v>
      </c>
      <c r="N6811" t="s">
        <v>42</v>
      </c>
      <c r="P6811" s="23">
        <v>118.29</v>
      </c>
      <c r="Q6811" s="4">
        <f t="shared" si="106"/>
        <v>-2.4938709950122581E-2</v>
      </c>
      <c r="R6811" s="23" t="s">
        <v>11466</v>
      </c>
    </row>
    <row r="6812" spans="1:20" x14ac:dyDescent="0.25">
      <c r="A6812" s="21">
        <v>45856</v>
      </c>
      <c r="B6812" s="1" t="s">
        <v>11917</v>
      </c>
      <c r="C6812" t="s">
        <v>11918</v>
      </c>
      <c r="D6812" s="43">
        <v>-1182.9000000000001</v>
      </c>
      <c r="E6812" t="s">
        <v>35</v>
      </c>
      <c r="F6812" s="2">
        <v>212901001</v>
      </c>
      <c r="G6812" s="2" t="s">
        <v>121</v>
      </c>
      <c r="L6812" s="2" t="s">
        <v>11919</v>
      </c>
      <c r="M6812" t="s">
        <v>67</v>
      </c>
      <c r="N6812" t="s">
        <v>68</v>
      </c>
      <c r="P6812" s="23">
        <v>118.29</v>
      </c>
      <c r="Q6812" s="4">
        <f t="shared" si="106"/>
        <v>-10</v>
      </c>
      <c r="R6812" s="23" t="s">
        <v>11466</v>
      </c>
    </row>
    <row r="6813" spans="1:20" x14ac:dyDescent="0.25">
      <c r="A6813" s="21">
        <v>45856</v>
      </c>
      <c r="B6813" s="1" t="s">
        <v>11920</v>
      </c>
      <c r="C6813" t="s">
        <v>1221</v>
      </c>
      <c r="D6813" s="43">
        <v>-33.200000000000003</v>
      </c>
      <c r="E6813" t="s">
        <v>35</v>
      </c>
      <c r="F6813" s="2">
        <v>610148001</v>
      </c>
      <c r="G6813" s="2" t="s">
        <v>42</v>
      </c>
      <c r="L6813" s="2" t="s">
        <v>11921</v>
      </c>
      <c r="M6813" t="s">
        <v>43</v>
      </c>
      <c r="N6813" t="s">
        <v>42</v>
      </c>
      <c r="P6813" s="23">
        <v>118.29</v>
      </c>
      <c r="Q6813" s="4">
        <f t="shared" si="106"/>
        <v>-0.28066615943866768</v>
      </c>
      <c r="R6813" s="23" t="s">
        <v>11466</v>
      </c>
    </row>
    <row r="6814" spans="1:20" x14ac:dyDescent="0.25">
      <c r="A6814" s="21">
        <v>45856</v>
      </c>
      <c r="B6814" s="1" t="s">
        <v>11922</v>
      </c>
      <c r="C6814" t="s">
        <v>11923</v>
      </c>
      <c r="D6814" s="43">
        <v>-13280.55</v>
      </c>
      <c r="E6814" t="s">
        <v>35</v>
      </c>
      <c r="F6814" s="2">
        <v>110101002</v>
      </c>
      <c r="G6814" s="2" t="s">
        <v>6359</v>
      </c>
      <c r="L6814" s="2" t="s">
        <v>11924</v>
      </c>
      <c r="N6814" t="s">
        <v>6361</v>
      </c>
      <c r="P6814" s="23">
        <v>118.29</v>
      </c>
      <c r="Q6814" s="4">
        <f t="shared" si="106"/>
        <v>-112.27111336545777</v>
      </c>
      <c r="R6814" s="23" t="s">
        <v>11466</v>
      </c>
    </row>
    <row r="6815" spans="1:20" x14ac:dyDescent="0.25">
      <c r="A6815" s="21">
        <v>45856</v>
      </c>
      <c r="B6815" s="1" t="s">
        <v>11925</v>
      </c>
      <c r="C6815" t="s">
        <v>1221</v>
      </c>
      <c r="D6815" s="43">
        <v>-5.91</v>
      </c>
      <c r="E6815" t="s">
        <v>35</v>
      </c>
      <c r="F6815" s="2">
        <v>610148001</v>
      </c>
      <c r="G6815" s="2" t="s">
        <v>42</v>
      </c>
      <c r="L6815" s="2" t="s">
        <v>11926</v>
      </c>
      <c r="M6815" t="s">
        <v>43</v>
      </c>
      <c r="N6815" t="s">
        <v>42</v>
      </c>
      <c r="P6815" s="23">
        <v>118.29</v>
      </c>
      <c r="Q6815" s="4">
        <f t="shared" si="106"/>
        <v>-4.9961957900076084E-2</v>
      </c>
      <c r="R6815" s="23" t="s">
        <v>11466</v>
      </c>
    </row>
    <row r="6816" spans="1:20" x14ac:dyDescent="0.25">
      <c r="A6816" s="21">
        <v>45856</v>
      </c>
      <c r="B6816" s="1" t="s">
        <v>11927</v>
      </c>
      <c r="C6816" t="s">
        <v>11928</v>
      </c>
      <c r="D6816" s="43">
        <v>-2365.8000000000002</v>
      </c>
      <c r="E6816" t="s">
        <v>35</v>
      </c>
      <c r="F6816" s="2">
        <v>212901001</v>
      </c>
      <c r="G6816" s="2" t="s">
        <v>121</v>
      </c>
      <c r="L6816" s="2" t="s">
        <v>11929</v>
      </c>
      <c r="M6816" t="s">
        <v>67</v>
      </c>
      <c r="N6816" t="s">
        <v>68</v>
      </c>
      <c r="P6816" s="23">
        <v>118.29</v>
      </c>
      <c r="Q6816" s="4">
        <f t="shared" si="106"/>
        <v>-20</v>
      </c>
      <c r="R6816" s="23" t="s">
        <v>11466</v>
      </c>
    </row>
    <row r="6817" spans="1:20" x14ac:dyDescent="0.25">
      <c r="A6817" s="21">
        <v>45856</v>
      </c>
      <c r="B6817" s="1" t="s">
        <v>11930</v>
      </c>
      <c r="C6817" t="s">
        <v>1221</v>
      </c>
      <c r="D6817" s="43" t="s">
        <v>11931</v>
      </c>
      <c r="E6817" t="s">
        <v>35</v>
      </c>
      <c r="F6817" s="2">
        <v>610148001</v>
      </c>
      <c r="G6817" s="2" t="s">
        <v>42</v>
      </c>
      <c r="L6817" s="2" t="s">
        <v>11932</v>
      </c>
      <c r="M6817" t="s">
        <v>43</v>
      </c>
      <c r="N6817" t="s">
        <v>42</v>
      </c>
      <c r="P6817" s="23">
        <v>118.29</v>
      </c>
      <c r="Q6817" s="4">
        <f t="shared" si="106"/>
        <v>-0.29994082340011829</v>
      </c>
      <c r="R6817" s="23" t="s">
        <v>11466</v>
      </c>
    </row>
    <row r="6818" spans="1:20" x14ac:dyDescent="0.25">
      <c r="A6818" s="32">
        <v>45856</v>
      </c>
      <c r="B6818" s="26" t="s">
        <v>11933</v>
      </c>
      <c r="C6818" s="27" t="s">
        <v>11934</v>
      </c>
      <c r="D6818" s="46">
        <v>-14194.8</v>
      </c>
      <c r="E6818" s="27" t="s">
        <v>35</v>
      </c>
      <c r="F6818" s="29">
        <v>610156001</v>
      </c>
      <c r="G6818" s="29" t="s">
        <v>91</v>
      </c>
      <c r="H6818" s="107"/>
      <c r="I6818" s="101"/>
      <c r="J6818" s="101"/>
      <c r="K6818" s="29"/>
      <c r="L6818" s="2" t="s">
        <v>11935</v>
      </c>
      <c r="M6818" s="27" t="s">
        <v>93</v>
      </c>
      <c r="N6818" s="27" t="s">
        <v>94</v>
      </c>
      <c r="O6818" s="27" t="s">
        <v>59</v>
      </c>
      <c r="P6818" s="31">
        <v>118.29</v>
      </c>
      <c r="Q6818" s="4">
        <f t="shared" si="106"/>
        <v>-119.99999999999999</v>
      </c>
      <c r="R6818" s="23" t="s">
        <v>11466</v>
      </c>
      <c r="T6818" s="23" t="s">
        <v>11936</v>
      </c>
    </row>
    <row r="6819" spans="1:20" x14ac:dyDescent="0.25">
      <c r="A6819" s="21">
        <v>45860</v>
      </c>
      <c r="B6819" s="1" t="s">
        <v>11937</v>
      </c>
      <c r="C6819" t="s">
        <v>1258</v>
      </c>
      <c r="D6819" s="43">
        <v>1200000</v>
      </c>
      <c r="E6819" t="s">
        <v>46</v>
      </c>
      <c r="F6819" s="2">
        <v>210115002</v>
      </c>
      <c r="G6819" s="2" t="s">
        <v>47</v>
      </c>
      <c r="L6819" s="2" t="s">
        <v>11938</v>
      </c>
      <c r="N6819" t="s">
        <v>1258</v>
      </c>
      <c r="P6819" s="23">
        <v>119.67</v>
      </c>
      <c r="Q6819" s="4">
        <f t="shared" si="106"/>
        <v>10027.575833542242</v>
      </c>
      <c r="R6819" s="23" t="s">
        <v>11466</v>
      </c>
    </row>
    <row r="6820" spans="1:20" x14ac:dyDescent="0.25">
      <c r="A6820" s="21">
        <v>45860</v>
      </c>
      <c r="B6820" s="1" t="s">
        <v>11939</v>
      </c>
      <c r="C6820" t="s">
        <v>1221</v>
      </c>
      <c r="D6820" s="43">
        <v>-1457.58</v>
      </c>
      <c r="E6820" t="s">
        <v>35</v>
      </c>
      <c r="F6820" s="2">
        <v>610148001</v>
      </c>
      <c r="G6820" s="2" t="s">
        <v>42</v>
      </c>
      <c r="L6820" s="2" t="s">
        <v>11940</v>
      </c>
      <c r="M6820" t="s">
        <v>43</v>
      </c>
      <c r="N6820" t="s">
        <v>42</v>
      </c>
      <c r="P6820" s="23">
        <v>119.67</v>
      </c>
      <c r="Q6820" s="4">
        <f t="shared" si="106"/>
        <v>-12.179994986212083</v>
      </c>
      <c r="R6820" s="23" t="s">
        <v>11466</v>
      </c>
    </row>
    <row r="6821" spans="1:20" x14ac:dyDescent="0.25">
      <c r="A6821" s="21">
        <v>45860</v>
      </c>
      <c r="B6821" s="1" t="s">
        <v>11941</v>
      </c>
      <c r="C6821" t="s">
        <v>11942</v>
      </c>
      <c r="D6821" s="43">
        <v>-583032.24</v>
      </c>
      <c r="E6821" t="s">
        <v>35</v>
      </c>
      <c r="F6821" s="2">
        <v>210101001</v>
      </c>
      <c r="G6821" s="2" t="s">
        <v>36</v>
      </c>
      <c r="L6821" s="2" t="s">
        <v>11943</v>
      </c>
      <c r="M6821" t="s">
        <v>38</v>
      </c>
      <c r="N6821" t="s">
        <v>39</v>
      </c>
      <c r="P6821" s="23">
        <v>119.67</v>
      </c>
      <c r="Q6821" s="4">
        <f t="shared" si="106"/>
        <v>-4872</v>
      </c>
      <c r="R6821" s="23" t="s">
        <v>11466</v>
      </c>
    </row>
    <row r="6822" spans="1:20" x14ac:dyDescent="0.25">
      <c r="A6822" s="21">
        <v>45860</v>
      </c>
      <c r="B6822" s="1" t="s">
        <v>11944</v>
      </c>
      <c r="C6822" t="s">
        <v>1221</v>
      </c>
      <c r="D6822" s="1">
        <v>-140.52000000000001</v>
      </c>
      <c r="E6822" t="s">
        <v>35</v>
      </c>
      <c r="F6822" s="2">
        <v>610148001</v>
      </c>
      <c r="G6822" s="2" t="s">
        <v>42</v>
      </c>
      <c r="L6822" s="2" t="s">
        <v>11945</v>
      </c>
      <c r="M6822" t="s">
        <v>43</v>
      </c>
      <c r="N6822" t="s">
        <v>42</v>
      </c>
      <c r="P6822" s="23">
        <v>119.67</v>
      </c>
      <c r="Q6822" s="4">
        <f t="shared" si="106"/>
        <v>-1.1742291301077965</v>
      </c>
      <c r="R6822" s="23" t="s">
        <v>11466</v>
      </c>
    </row>
    <row r="6823" spans="1:20" x14ac:dyDescent="0.25">
      <c r="A6823" s="21">
        <v>45860</v>
      </c>
      <c r="B6823" s="1" t="s">
        <v>11946</v>
      </c>
      <c r="C6823" t="s">
        <v>11947</v>
      </c>
      <c r="D6823" s="43">
        <v>-56210.34</v>
      </c>
      <c r="E6823" t="s">
        <v>35</v>
      </c>
      <c r="F6823" s="2">
        <v>210101001</v>
      </c>
      <c r="G6823" s="2" t="s">
        <v>36</v>
      </c>
      <c r="L6823" s="2" t="s">
        <v>11948</v>
      </c>
      <c r="M6823" t="s">
        <v>751</v>
      </c>
      <c r="N6823" t="s">
        <v>752</v>
      </c>
      <c r="P6823" s="23">
        <v>119.67</v>
      </c>
      <c r="Q6823" s="4">
        <f t="shared" si="106"/>
        <v>-469.71120581599394</v>
      </c>
      <c r="R6823" s="23" t="s">
        <v>11466</v>
      </c>
    </row>
    <row r="6824" spans="1:20" x14ac:dyDescent="0.25">
      <c r="A6824" s="21">
        <v>45860</v>
      </c>
      <c r="B6824" s="1" t="s">
        <v>11949</v>
      </c>
      <c r="C6824" t="s">
        <v>1221</v>
      </c>
      <c r="D6824" s="1">
        <v>-962.21</v>
      </c>
      <c r="E6824" t="s">
        <v>35</v>
      </c>
      <c r="F6824" s="2">
        <v>610148001</v>
      </c>
      <c r="G6824" s="2" t="s">
        <v>42</v>
      </c>
      <c r="L6824" s="2" t="s">
        <v>11950</v>
      </c>
      <c r="M6824" t="s">
        <v>43</v>
      </c>
      <c r="N6824" t="s">
        <v>42</v>
      </c>
      <c r="P6824" s="23">
        <v>119.67</v>
      </c>
      <c r="Q6824" s="4">
        <f t="shared" si="106"/>
        <v>-8.0405281189938993</v>
      </c>
      <c r="R6824" s="23" t="s">
        <v>11466</v>
      </c>
    </row>
    <row r="6825" spans="1:20" x14ac:dyDescent="0.25">
      <c r="A6825" s="21">
        <v>45860</v>
      </c>
      <c r="B6825" s="1" t="s">
        <v>11951</v>
      </c>
      <c r="C6825" t="s">
        <v>11952</v>
      </c>
      <c r="D6825" s="43">
        <v>-384887.44</v>
      </c>
      <c r="E6825" t="s">
        <v>35</v>
      </c>
      <c r="F6825" s="2">
        <v>110114001</v>
      </c>
      <c r="G6825" s="2" t="s">
        <v>301</v>
      </c>
      <c r="L6825" s="2" t="s">
        <v>11953</v>
      </c>
      <c r="M6825" t="s">
        <v>38</v>
      </c>
      <c r="N6825" t="s">
        <v>39</v>
      </c>
      <c r="P6825" s="23">
        <v>119.67</v>
      </c>
      <c r="Q6825" s="4">
        <f t="shared" si="106"/>
        <v>-3216.2399933149495</v>
      </c>
      <c r="R6825" s="23" t="s">
        <v>11466</v>
      </c>
      <c r="S6825" s="33" t="s">
        <v>9005</v>
      </c>
    </row>
    <row r="6826" spans="1:20" x14ac:dyDescent="0.25">
      <c r="A6826" s="21">
        <v>45860</v>
      </c>
      <c r="B6826" s="1" t="s">
        <v>11954</v>
      </c>
      <c r="C6826" t="s">
        <v>1221</v>
      </c>
      <c r="D6826" s="1">
        <v>-140.52000000000001</v>
      </c>
      <c r="E6826" t="s">
        <v>35</v>
      </c>
      <c r="F6826" s="2">
        <v>610148001</v>
      </c>
      <c r="G6826" s="2" t="s">
        <v>42</v>
      </c>
      <c r="L6826" s="2" t="s">
        <v>11955</v>
      </c>
      <c r="M6826" t="s">
        <v>43</v>
      </c>
      <c r="N6826" t="s">
        <v>42</v>
      </c>
      <c r="P6826" s="23">
        <v>119.67</v>
      </c>
      <c r="Q6826" s="4">
        <f t="shared" si="106"/>
        <v>-1.1742291301077965</v>
      </c>
      <c r="R6826" s="23" t="s">
        <v>11466</v>
      </c>
    </row>
    <row r="6827" spans="1:20" x14ac:dyDescent="0.25">
      <c r="A6827" s="21">
        <v>45860</v>
      </c>
      <c r="B6827" s="1" t="s">
        <v>11956</v>
      </c>
      <c r="C6827" t="s">
        <v>11957</v>
      </c>
      <c r="D6827" s="43">
        <v>-56210.34</v>
      </c>
      <c r="E6827" t="s">
        <v>35</v>
      </c>
      <c r="F6827" s="2">
        <v>210101001</v>
      </c>
      <c r="G6827" s="2" t="s">
        <v>36</v>
      </c>
      <c r="L6827" s="2" t="s">
        <v>11958</v>
      </c>
      <c r="M6827" t="s">
        <v>751</v>
      </c>
      <c r="N6827" t="s">
        <v>752</v>
      </c>
      <c r="P6827" s="23">
        <v>119.67</v>
      </c>
      <c r="Q6827" s="4">
        <f t="shared" si="106"/>
        <v>-469.71120581599394</v>
      </c>
      <c r="R6827" s="23" t="s">
        <v>11466</v>
      </c>
    </row>
    <row r="6828" spans="1:20" x14ac:dyDescent="0.25">
      <c r="A6828" s="21">
        <v>45860</v>
      </c>
      <c r="B6828" s="1" t="s">
        <v>11959</v>
      </c>
      <c r="C6828" t="s">
        <v>1221</v>
      </c>
      <c r="D6828" s="1">
        <v>-115.95</v>
      </c>
      <c r="E6828" t="s">
        <v>35</v>
      </c>
      <c r="F6828" s="2">
        <v>610148001</v>
      </c>
      <c r="G6828" s="2" t="s">
        <v>42</v>
      </c>
      <c r="L6828" s="2" t="s">
        <v>11960</v>
      </c>
      <c r="M6828" t="s">
        <v>43</v>
      </c>
      <c r="N6828" t="s">
        <v>42</v>
      </c>
      <c r="P6828" s="23">
        <v>119.67</v>
      </c>
      <c r="Q6828" s="4">
        <f t="shared" si="106"/>
        <v>-0.9689145149160191</v>
      </c>
      <c r="R6828" s="23" t="s">
        <v>11466</v>
      </c>
    </row>
    <row r="6829" spans="1:20" x14ac:dyDescent="0.25">
      <c r="A6829" s="21">
        <v>45860</v>
      </c>
      <c r="B6829" s="1" t="s">
        <v>11961</v>
      </c>
      <c r="C6829" t="s">
        <v>11962</v>
      </c>
      <c r="D6829" s="43">
        <v>-46382.62</v>
      </c>
      <c r="E6829" t="s">
        <v>35</v>
      </c>
      <c r="F6829" s="2">
        <v>210101001</v>
      </c>
      <c r="G6829" s="2" t="s">
        <v>36</v>
      </c>
      <c r="L6829" s="2" t="s">
        <v>11963</v>
      </c>
      <c r="M6829" t="s">
        <v>1376</v>
      </c>
      <c r="N6829" t="s">
        <v>1377</v>
      </c>
      <c r="P6829" s="23">
        <v>119.67</v>
      </c>
      <c r="Q6829" s="4">
        <f t="shared" si="106"/>
        <v>-387.58769950697751</v>
      </c>
      <c r="R6829" s="23" t="s">
        <v>11466</v>
      </c>
    </row>
    <row r="6830" spans="1:20" x14ac:dyDescent="0.25">
      <c r="A6830" s="21">
        <v>45861</v>
      </c>
      <c r="B6830" s="1" t="s">
        <v>11964</v>
      </c>
      <c r="C6830" t="s">
        <v>7493</v>
      </c>
      <c r="D6830" s="43">
        <v>8150000</v>
      </c>
      <c r="E6830" t="s">
        <v>46</v>
      </c>
      <c r="F6830" s="2">
        <v>210115002</v>
      </c>
      <c r="G6830" s="2" t="s">
        <v>47</v>
      </c>
      <c r="L6830" s="2" t="s">
        <v>11965</v>
      </c>
      <c r="N6830" t="s">
        <v>544</v>
      </c>
      <c r="P6830" s="23">
        <v>120.42</v>
      </c>
      <c r="Q6830" s="4">
        <f t="shared" si="106"/>
        <v>67679.787410729114</v>
      </c>
      <c r="R6830" s="23" t="s">
        <v>11466</v>
      </c>
    </row>
    <row r="6831" spans="1:20" x14ac:dyDescent="0.25">
      <c r="A6831" s="21">
        <v>45861</v>
      </c>
      <c r="B6831" s="1" t="s">
        <v>11966</v>
      </c>
      <c r="C6831" t="s">
        <v>1221</v>
      </c>
      <c r="D6831" s="43">
        <v>-2500</v>
      </c>
      <c r="E6831" t="s">
        <v>35</v>
      </c>
      <c r="F6831" s="2">
        <v>610148001</v>
      </c>
      <c r="G6831" s="2" t="s">
        <v>42</v>
      </c>
      <c r="L6831" s="2" t="s">
        <v>11967</v>
      </c>
      <c r="M6831" t="s">
        <v>43</v>
      </c>
      <c r="N6831" t="s">
        <v>42</v>
      </c>
      <c r="P6831" s="23">
        <v>120.42</v>
      </c>
      <c r="Q6831" s="4">
        <f t="shared" si="106"/>
        <v>-20.760670984886232</v>
      </c>
      <c r="R6831" s="23" t="s">
        <v>11466</v>
      </c>
    </row>
    <row r="6832" spans="1:20" x14ac:dyDescent="0.25">
      <c r="A6832" s="21">
        <v>45861</v>
      </c>
      <c r="B6832" s="1" t="s">
        <v>11968</v>
      </c>
      <c r="C6832" t="s">
        <v>11969</v>
      </c>
      <c r="D6832" s="43">
        <v>-1000000</v>
      </c>
      <c r="E6832" t="s">
        <v>35</v>
      </c>
      <c r="F6832" s="2">
        <v>110114001</v>
      </c>
      <c r="G6832" s="2" t="s">
        <v>301</v>
      </c>
      <c r="L6832" s="2" t="s">
        <v>11970</v>
      </c>
      <c r="N6832" t="s">
        <v>3849</v>
      </c>
      <c r="P6832" s="23">
        <v>120.42</v>
      </c>
      <c r="Q6832" s="4">
        <f t="shared" si="106"/>
        <v>-8304.2683939544931</v>
      </c>
      <c r="R6832" s="23" t="s">
        <v>11466</v>
      </c>
    </row>
    <row r="6833" spans="1:18" x14ac:dyDescent="0.25">
      <c r="A6833" s="21">
        <v>45861</v>
      </c>
      <c r="B6833" s="1" t="s">
        <v>11971</v>
      </c>
      <c r="C6833" t="s">
        <v>11969</v>
      </c>
      <c r="D6833" s="43">
        <v>1000000</v>
      </c>
      <c r="E6833" t="s">
        <v>46</v>
      </c>
      <c r="F6833" s="2">
        <v>110114001</v>
      </c>
      <c r="G6833" s="2" t="s">
        <v>301</v>
      </c>
      <c r="L6833" s="2" t="s">
        <v>11972</v>
      </c>
      <c r="N6833" t="s">
        <v>11973</v>
      </c>
      <c r="P6833" s="23">
        <v>120.42</v>
      </c>
      <c r="Q6833" s="4">
        <f t="shared" si="106"/>
        <v>8304.2683939544931</v>
      </c>
      <c r="R6833" s="23" t="s">
        <v>11466</v>
      </c>
    </row>
    <row r="6834" spans="1:18" x14ac:dyDescent="0.25">
      <c r="A6834" s="21">
        <v>45861</v>
      </c>
      <c r="B6834" s="1" t="s">
        <v>11974</v>
      </c>
      <c r="C6834" t="s">
        <v>1221</v>
      </c>
      <c r="D6834" s="43">
        <v>-2500</v>
      </c>
      <c r="E6834" t="s">
        <v>35</v>
      </c>
      <c r="F6834" s="2">
        <v>610148001</v>
      </c>
      <c r="G6834" s="2" t="s">
        <v>42</v>
      </c>
      <c r="L6834" s="2" t="s">
        <v>11975</v>
      </c>
      <c r="M6834" t="s">
        <v>43</v>
      </c>
      <c r="N6834" t="s">
        <v>42</v>
      </c>
      <c r="P6834" s="23">
        <v>120.42</v>
      </c>
      <c r="Q6834" s="4">
        <f t="shared" si="106"/>
        <v>-20.760670984886232</v>
      </c>
      <c r="R6834" s="23" t="s">
        <v>11466</v>
      </c>
    </row>
    <row r="6835" spans="1:18" x14ac:dyDescent="0.25">
      <c r="A6835" s="21">
        <v>45861</v>
      </c>
      <c r="B6835" s="1" t="s">
        <v>11976</v>
      </c>
      <c r="C6835" t="s">
        <v>11969</v>
      </c>
      <c r="D6835" s="43">
        <v>-1000000</v>
      </c>
      <c r="E6835" t="s">
        <v>35</v>
      </c>
      <c r="F6835" s="2">
        <v>110114001</v>
      </c>
      <c r="G6835" s="2" t="s">
        <v>301</v>
      </c>
      <c r="L6835" s="2" t="s">
        <v>11977</v>
      </c>
      <c r="N6835" t="s">
        <v>3849</v>
      </c>
      <c r="P6835" s="23">
        <v>120.42</v>
      </c>
      <c r="Q6835" s="4">
        <f t="shared" si="106"/>
        <v>-8304.2683939544931</v>
      </c>
      <c r="R6835" s="23" t="s">
        <v>11466</v>
      </c>
    </row>
    <row r="6836" spans="1:18" x14ac:dyDescent="0.25">
      <c r="A6836" s="21">
        <v>45861</v>
      </c>
      <c r="B6836" s="1" t="s">
        <v>11978</v>
      </c>
      <c r="C6836" t="s">
        <v>1221</v>
      </c>
      <c r="D6836" s="43">
        <v>-2500</v>
      </c>
      <c r="E6836" t="s">
        <v>35</v>
      </c>
      <c r="F6836" s="2">
        <v>610148001</v>
      </c>
      <c r="G6836" s="2" t="s">
        <v>42</v>
      </c>
      <c r="L6836" s="2" t="s">
        <v>11979</v>
      </c>
      <c r="M6836" t="s">
        <v>43</v>
      </c>
      <c r="N6836" t="s">
        <v>42</v>
      </c>
      <c r="P6836" s="23">
        <v>120.42</v>
      </c>
      <c r="Q6836" s="4">
        <f t="shared" si="106"/>
        <v>-20.760670984886232</v>
      </c>
      <c r="R6836" s="23" t="s">
        <v>11466</v>
      </c>
    </row>
    <row r="6837" spans="1:18" x14ac:dyDescent="0.25">
      <c r="A6837" s="21">
        <v>45861</v>
      </c>
      <c r="B6837" s="1" t="s">
        <v>11980</v>
      </c>
      <c r="C6837" t="s">
        <v>11969</v>
      </c>
      <c r="D6837" s="43">
        <v>-1000000</v>
      </c>
      <c r="E6837" t="s">
        <v>35</v>
      </c>
      <c r="F6837" s="2">
        <v>110114001</v>
      </c>
      <c r="G6837" s="2" t="s">
        <v>301</v>
      </c>
      <c r="L6837" s="2" t="s">
        <v>11981</v>
      </c>
      <c r="N6837" t="s">
        <v>3849</v>
      </c>
      <c r="P6837" s="23">
        <v>120.42</v>
      </c>
      <c r="Q6837" s="4">
        <f t="shared" si="106"/>
        <v>-8304.2683939544931</v>
      </c>
      <c r="R6837" s="23" t="s">
        <v>11466</v>
      </c>
    </row>
    <row r="6838" spans="1:18" x14ac:dyDescent="0.25">
      <c r="A6838" s="21">
        <v>45861</v>
      </c>
      <c r="B6838" s="1" t="s">
        <v>11982</v>
      </c>
      <c r="C6838" t="s">
        <v>11969</v>
      </c>
      <c r="D6838" s="43">
        <v>1000000</v>
      </c>
      <c r="E6838" t="s">
        <v>46</v>
      </c>
      <c r="F6838" s="2">
        <v>110114001</v>
      </c>
      <c r="G6838" s="2" t="s">
        <v>301</v>
      </c>
      <c r="L6838" s="2" t="s">
        <v>11983</v>
      </c>
      <c r="N6838" t="s">
        <v>11973</v>
      </c>
      <c r="P6838" s="23">
        <v>120.42</v>
      </c>
      <c r="Q6838" s="4">
        <f t="shared" si="106"/>
        <v>8304.2683939544931</v>
      </c>
      <c r="R6838" s="23" t="s">
        <v>11466</v>
      </c>
    </row>
    <row r="6839" spans="1:18" x14ac:dyDescent="0.25">
      <c r="A6839" s="21">
        <v>45861</v>
      </c>
      <c r="B6839" s="1" t="s">
        <v>11984</v>
      </c>
      <c r="C6839" t="s">
        <v>11969</v>
      </c>
      <c r="D6839" s="43">
        <v>1000000</v>
      </c>
      <c r="E6839" t="s">
        <v>46</v>
      </c>
      <c r="F6839" s="2">
        <v>110114001</v>
      </c>
      <c r="G6839" s="2" t="s">
        <v>301</v>
      </c>
      <c r="L6839" s="2" t="s">
        <v>11985</v>
      </c>
      <c r="N6839" t="s">
        <v>11973</v>
      </c>
      <c r="P6839" s="23">
        <v>120.42</v>
      </c>
      <c r="Q6839" s="4">
        <f t="shared" si="106"/>
        <v>8304.2683939544931</v>
      </c>
      <c r="R6839" s="23" t="s">
        <v>11466</v>
      </c>
    </row>
    <row r="6840" spans="1:18" x14ac:dyDescent="0.25">
      <c r="A6840" s="21">
        <v>45861</v>
      </c>
      <c r="B6840" s="1" t="s">
        <v>11986</v>
      </c>
      <c r="C6840" t="s">
        <v>1221</v>
      </c>
      <c r="D6840" s="43">
        <v>-589.49</v>
      </c>
      <c r="E6840" t="s">
        <v>35</v>
      </c>
      <c r="F6840" s="2">
        <v>610148001</v>
      </c>
      <c r="G6840" s="2" t="s">
        <v>42</v>
      </c>
      <c r="L6840" s="2" t="s">
        <v>11987</v>
      </c>
      <c r="M6840" t="s">
        <v>43</v>
      </c>
      <c r="N6840" t="s">
        <v>42</v>
      </c>
      <c r="P6840" s="23">
        <v>120.42</v>
      </c>
      <c r="Q6840" s="4">
        <f t="shared" si="106"/>
        <v>-4.8952831755522341</v>
      </c>
      <c r="R6840" s="23" t="s">
        <v>11466</v>
      </c>
    </row>
    <row r="6841" spans="1:18" x14ac:dyDescent="0.25">
      <c r="A6841" s="21">
        <v>45861</v>
      </c>
      <c r="B6841" s="1" t="s">
        <v>11988</v>
      </c>
      <c r="C6841" t="s">
        <v>11969</v>
      </c>
      <c r="D6841" s="43">
        <v>-235796.96</v>
      </c>
      <c r="E6841" t="s">
        <v>35</v>
      </c>
      <c r="F6841" s="2">
        <v>110114001</v>
      </c>
      <c r="G6841" s="2" t="s">
        <v>301</v>
      </c>
      <c r="L6841" s="2" t="s">
        <v>11989</v>
      </c>
      <c r="N6841" t="s">
        <v>3849</v>
      </c>
      <c r="P6841" s="23">
        <v>120.42</v>
      </c>
      <c r="Q6841" s="4">
        <f t="shared" si="106"/>
        <v>-1958.1212423185516</v>
      </c>
      <c r="R6841" s="23" t="s">
        <v>11466</v>
      </c>
    </row>
    <row r="6842" spans="1:18" x14ac:dyDescent="0.25">
      <c r="A6842" s="21">
        <v>45861</v>
      </c>
      <c r="B6842" s="1" t="s">
        <v>11990</v>
      </c>
      <c r="C6842" t="s">
        <v>1221</v>
      </c>
      <c r="D6842" s="43">
        <v>-248.3</v>
      </c>
      <c r="E6842" t="s">
        <v>35</v>
      </c>
      <c r="F6842" s="2">
        <v>610148001</v>
      </c>
      <c r="G6842" s="2" t="s">
        <v>42</v>
      </c>
      <c r="L6842" s="2" t="s">
        <v>11991</v>
      </c>
      <c r="M6842" t="s">
        <v>43</v>
      </c>
      <c r="N6842" t="s">
        <v>42</v>
      </c>
      <c r="P6842" s="23">
        <v>120.42</v>
      </c>
      <c r="Q6842" s="4">
        <f t="shared" si="106"/>
        <v>-2.0619498422189007</v>
      </c>
      <c r="R6842" s="23" t="s">
        <v>11466</v>
      </c>
    </row>
    <row r="6843" spans="1:18" x14ac:dyDescent="0.25">
      <c r="A6843" s="21">
        <v>45861</v>
      </c>
      <c r="B6843" s="1" t="s">
        <v>11992</v>
      </c>
      <c r="C6843" t="s">
        <v>11993</v>
      </c>
      <c r="D6843" s="43">
        <v>-99321.21</v>
      </c>
      <c r="E6843" t="s">
        <v>35</v>
      </c>
      <c r="F6843" s="2">
        <v>210101001</v>
      </c>
      <c r="G6843" s="2" t="s">
        <v>36</v>
      </c>
      <c r="L6843" s="2" t="s">
        <v>11994</v>
      </c>
      <c r="M6843" t="s">
        <v>38</v>
      </c>
      <c r="N6843" t="s">
        <v>39</v>
      </c>
      <c r="P6843" s="23">
        <v>120.42</v>
      </c>
      <c r="Q6843" s="4">
        <f t="shared" si="106"/>
        <v>-824.78998505231698</v>
      </c>
      <c r="R6843" s="23" t="s">
        <v>11466</v>
      </c>
    </row>
    <row r="6844" spans="1:18" x14ac:dyDescent="0.25">
      <c r="A6844" s="21">
        <v>45861</v>
      </c>
      <c r="B6844" s="1" t="s">
        <v>11995</v>
      </c>
      <c r="C6844" t="s">
        <v>11969</v>
      </c>
      <c r="D6844" s="43">
        <v>235796.96</v>
      </c>
      <c r="E6844" t="s">
        <v>46</v>
      </c>
      <c r="F6844" s="2">
        <v>110114001</v>
      </c>
      <c r="G6844" s="2" t="s">
        <v>301</v>
      </c>
      <c r="L6844" s="2" t="s">
        <v>11996</v>
      </c>
      <c r="N6844" t="s">
        <v>11973</v>
      </c>
      <c r="P6844" s="23">
        <v>120.42</v>
      </c>
      <c r="Q6844" s="4">
        <f t="shared" si="106"/>
        <v>1958.1212423185516</v>
      </c>
      <c r="R6844" s="23" t="s">
        <v>11466</v>
      </c>
    </row>
    <row r="6845" spans="1:18" x14ac:dyDescent="0.25">
      <c r="A6845" s="21">
        <v>45861</v>
      </c>
      <c r="B6845" s="1" t="s">
        <v>11997</v>
      </c>
      <c r="C6845" t="s">
        <v>1221</v>
      </c>
      <c r="D6845" s="43">
        <v>-36.119999999999997</v>
      </c>
      <c r="E6845" t="s">
        <v>35</v>
      </c>
      <c r="F6845" s="2">
        <v>610148001</v>
      </c>
      <c r="G6845" s="2" t="s">
        <v>42</v>
      </c>
      <c r="L6845" s="2" t="s">
        <v>11998</v>
      </c>
      <c r="M6845" t="s">
        <v>43</v>
      </c>
      <c r="N6845" t="s">
        <v>42</v>
      </c>
      <c r="P6845" s="23">
        <v>120.42</v>
      </c>
      <c r="Q6845" s="4">
        <f t="shared" si="106"/>
        <v>-0.29995017438963623</v>
      </c>
      <c r="R6845" s="23" t="s">
        <v>11466</v>
      </c>
    </row>
    <row r="6846" spans="1:18" x14ac:dyDescent="0.25">
      <c r="A6846" s="21">
        <v>45861</v>
      </c>
      <c r="B6846" s="1" t="s">
        <v>11999</v>
      </c>
      <c r="C6846" t="s">
        <v>12000</v>
      </c>
      <c r="D6846" s="43">
        <v>-14450.21</v>
      </c>
      <c r="E6846" t="s">
        <v>35</v>
      </c>
      <c r="F6846" s="2">
        <v>210101001</v>
      </c>
      <c r="G6846" s="2" t="s">
        <v>36</v>
      </c>
      <c r="L6846" s="2" t="s">
        <v>12001</v>
      </c>
      <c r="M6846" t="s">
        <v>38</v>
      </c>
      <c r="N6846" t="s">
        <v>39</v>
      </c>
      <c r="P6846" s="23">
        <v>120.42</v>
      </c>
      <c r="Q6846" s="4">
        <f t="shared" si="106"/>
        <v>-119.99842218900514</v>
      </c>
      <c r="R6846" s="23" t="s">
        <v>11466</v>
      </c>
    </row>
    <row r="6847" spans="1:18" x14ac:dyDescent="0.25">
      <c r="A6847" s="21">
        <v>45861</v>
      </c>
      <c r="B6847" s="1" t="s">
        <v>12002</v>
      </c>
      <c r="C6847" t="s">
        <v>1221</v>
      </c>
      <c r="D6847" s="43">
        <v>-2500</v>
      </c>
      <c r="E6847" t="s">
        <v>35</v>
      </c>
      <c r="F6847" s="2">
        <v>610148001</v>
      </c>
      <c r="G6847" s="2" t="s">
        <v>42</v>
      </c>
      <c r="L6847" s="2" t="s">
        <v>12003</v>
      </c>
      <c r="M6847" t="s">
        <v>43</v>
      </c>
      <c r="N6847" t="s">
        <v>42</v>
      </c>
      <c r="P6847" s="23">
        <v>120.42</v>
      </c>
      <c r="Q6847" s="4">
        <f t="shared" si="106"/>
        <v>-20.760670984886232</v>
      </c>
      <c r="R6847" s="23" t="s">
        <v>11466</v>
      </c>
    </row>
    <row r="6848" spans="1:18" x14ac:dyDescent="0.25">
      <c r="A6848" s="21">
        <v>45861</v>
      </c>
      <c r="B6848" s="1" t="s">
        <v>12004</v>
      </c>
      <c r="C6848" t="s">
        <v>11969</v>
      </c>
      <c r="D6848" s="43">
        <v>-1000000</v>
      </c>
      <c r="E6848" t="s">
        <v>35</v>
      </c>
      <c r="F6848" s="2">
        <v>110114001</v>
      </c>
      <c r="G6848" s="2" t="s">
        <v>301</v>
      </c>
      <c r="L6848" s="2" t="s">
        <v>12005</v>
      </c>
      <c r="N6848" t="s">
        <v>3849</v>
      </c>
      <c r="P6848" s="23">
        <v>120.42</v>
      </c>
      <c r="Q6848" s="4">
        <f t="shared" si="106"/>
        <v>-8304.2683939544931</v>
      </c>
      <c r="R6848" s="23" t="s">
        <v>11466</v>
      </c>
    </row>
    <row r="6849" spans="1:19" x14ac:dyDescent="0.25">
      <c r="A6849" s="21">
        <v>45861</v>
      </c>
      <c r="B6849" s="1" t="s">
        <v>12006</v>
      </c>
      <c r="C6849" t="s">
        <v>1221</v>
      </c>
      <c r="D6849" s="43">
        <v>-2500</v>
      </c>
      <c r="E6849" t="s">
        <v>35</v>
      </c>
      <c r="F6849" s="2">
        <v>610148001</v>
      </c>
      <c r="G6849" s="2" t="s">
        <v>42</v>
      </c>
      <c r="L6849" s="2" t="s">
        <v>12007</v>
      </c>
      <c r="M6849" t="s">
        <v>43</v>
      </c>
      <c r="N6849" t="s">
        <v>42</v>
      </c>
      <c r="P6849" s="23">
        <v>120.42</v>
      </c>
      <c r="Q6849" s="4">
        <f t="shared" si="106"/>
        <v>-20.760670984886232</v>
      </c>
      <c r="R6849" s="23" t="s">
        <v>11466</v>
      </c>
    </row>
    <row r="6850" spans="1:19" x14ac:dyDescent="0.25">
      <c r="A6850" s="21">
        <v>45861</v>
      </c>
      <c r="B6850" s="1" t="s">
        <v>12008</v>
      </c>
      <c r="C6850" t="s">
        <v>11969</v>
      </c>
      <c r="D6850" s="43">
        <v>-1000000</v>
      </c>
      <c r="E6850" t="s">
        <v>35</v>
      </c>
      <c r="F6850" s="2">
        <v>110114001</v>
      </c>
      <c r="G6850" s="2" t="s">
        <v>301</v>
      </c>
      <c r="L6850" s="2" t="s">
        <v>12009</v>
      </c>
      <c r="N6850" t="s">
        <v>3849</v>
      </c>
      <c r="P6850" s="23">
        <v>120.42</v>
      </c>
      <c r="Q6850" s="4">
        <f t="shared" si="106"/>
        <v>-8304.2683939544931</v>
      </c>
      <c r="R6850" s="23" t="s">
        <v>11466</v>
      </c>
    </row>
    <row r="6851" spans="1:19" x14ac:dyDescent="0.25">
      <c r="A6851" s="21">
        <v>45861</v>
      </c>
      <c r="B6851" s="1" t="s">
        <v>12010</v>
      </c>
      <c r="C6851" t="s">
        <v>1221</v>
      </c>
      <c r="D6851" s="43">
        <v>-1966.54</v>
      </c>
      <c r="E6851" t="s">
        <v>35</v>
      </c>
      <c r="F6851" s="2">
        <v>610148001</v>
      </c>
      <c r="G6851" s="2" t="s">
        <v>42</v>
      </c>
      <c r="L6851" s="2" t="s">
        <v>12011</v>
      </c>
      <c r="M6851" t="s">
        <v>43</v>
      </c>
      <c r="N6851" t="s">
        <v>42</v>
      </c>
      <c r="P6851" s="23">
        <v>120.42</v>
      </c>
      <c r="Q6851" s="4">
        <f t="shared" si="106"/>
        <v>-16.330675967447267</v>
      </c>
      <c r="R6851" s="23" t="s">
        <v>11466</v>
      </c>
    </row>
    <row r="6852" spans="1:19" x14ac:dyDescent="0.25">
      <c r="A6852" s="21">
        <v>45861</v>
      </c>
      <c r="B6852" s="1" t="s">
        <v>12012</v>
      </c>
      <c r="C6852" t="s">
        <v>12013</v>
      </c>
      <c r="D6852" s="43">
        <v>-786619.57</v>
      </c>
      <c r="E6852" t="s">
        <v>35</v>
      </c>
      <c r="F6852" s="2">
        <v>110114001</v>
      </c>
      <c r="G6852" s="2" t="s">
        <v>301</v>
      </c>
      <c r="L6852" s="2" t="s">
        <v>12014</v>
      </c>
      <c r="M6852" t="s">
        <v>38</v>
      </c>
      <c r="N6852" t="s">
        <v>39</v>
      </c>
      <c r="P6852" s="23">
        <v>120.42</v>
      </c>
      <c r="Q6852" s="4">
        <f t="shared" si="106"/>
        <v>-6532.3000332170732</v>
      </c>
      <c r="R6852" s="23" t="s">
        <v>11466</v>
      </c>
      <c r="S6852" s="33" t="s">
        <v>9005</v>
      </c>
    </row>
    <row r="6853" spans="1:19" x14ac:dyDescent="0.25">
      <c r="A6853" s="21">
        <v>45861</v>
      </c>
      <c r="B6853" s="1" t="s">
        <v>12015</v>
      </c>
      <c r="C6853" t="s">
        <v>1221</v>
      </c>
      <c r="D6853" s="43">
        <v>-2500</v>
      </c>
      <c r="E6853" t="s">
        <v>35</v>
      </c>
      <c r="F6853" s="2">
        <v>610148001</v>
      </c>
      <c r="G6853" s="2" t="s">
        <v>42</v>
      </c>
      <c r="L6853" s="2" t="s">
        <v>12016</v>
      </c>
      <c r="M6853" t="s">
        <v>43</v>
      </c>
      <c r="N6853" t="s">
        <v>42</v>
      </c>
      <c r="P6853" s="23">
        <v>120.42</v>
      </c>
      <c r="Q6853" s="4">
        <f t="shared" si="106"/>
        <v>-20.760670984886232</v>
      </c>
      <c r="R6853" s="23" t="s">
        <v>11466</v>
      </c>
    </row>
    <row r="6854" spans="1:19" x14ac:dyDescent="0.25">
      <c r="A6854" s="21">
        <v>45861</v>
      </c>
      <c r="B6854" s="1" t="s">
        <v>12017</v>
      </c>
      <c r="C6854" t="s">
        <v>11969</v>
      </c>
      <c r="D6854" s="43">
        <v>1000000</v>
      </c>
      <c r="E6854" t="s">
        <v>46</v>
      </c>
      <c r="F6854" s="2">
        <v>110114001</v>
      </c>
      <c r="G6854" s="2" t="s">
        <v>301</v>
      </c>
      <c r="L6854" s="2" t="s">
        <v>12018</v>
      </c>
      <c r="N6854" t="s">
        <v>11973</v>
      </c>
      <c r="P6854" s="23">
        <v>120.42</v>
      </c>
      <c r="Q6854" s="4">
        <f t="shared" si="106"/>
        <v>8304.2683939544931</v>
      </c>
      <c r="R6854" s="23" t="s">
        <v>11466</v>
      </c>
    </row>
    <row r="6855" spans="1:19" x14ac:dyDescent="0.25">
      <c r="A6855" s="21">
        <v>45861</v>
      </c>
      <c r="B6855" s="1" t="s">
        <v>12019</v>
      </c>
      <c r="C6855" t="s">
        <v>11969</v>
      </c>
      <c r="D6855" s="43">
        <v>-1000000</v>
      </c>
      <c r="E6855" t="s">
        <v>35</v>
      </c>
      <c r="F6855" s="2">
        <v>110114001</v>
      </c>
      <c r="G6855" s="2" t="s">
        <v>301</v>
      </c>
      <c r="L6855" s="2" t="s">
        <v>12020</v>
      </c>
      <c r="N6855" t="s">
        <v>3849</v>
      </c>
      <c r="P6855" s="23">
        <v>120.42</v>
      </c>
      <c r="Q6855" s="4">
        <f t="shared" si="106"/>
        <v>-8304.2683939544931</v>
      </c>
      <c r="R6855" s="23" t="s">
        <v>11466</v>
      </c>
    </row>
    <row r="6856" spans="1:19" x14ac:dyDescent="0.25">
      <c r="A6856" s="21">
        <v>45861</v>
      </c>
      <c r="B6856" s="1" t="s">
        <v>12021</v>
      </c>
      <c r="C6856" t="s">
        <v>11969</v>
      </c>
      <c r="D6856" s="43">
        <v>1000000</v>
      </c>
      <c r="E6856" t="s">
        <v>46</v>
      </c>
      <c r="F6856" s="2">
        <v>110114001</v>
      </c>
      <c r="G6856" s="2" t="s">
        <v>301</v>
      </c>
      <c r="L6856" s="2" t="s">
        <v>12022</v>
      </c>
      <c r="N6856" t="s">
        <v>11973</v>
      </c>
      <c r="P6856" s="23">
        <v>120.42</v>
      </c>
      <c r="Q6856" s="4">
        <f t="shared" si="106"/>
        <v>8304.2683939544931</v>
      </c>
      <c r="R6856" s="23" t="s">
        <v>11466</v>
      </c>
    </row>
    <row r="6857" spans="1:19" x14ac:dyDescent="0.25">
      <c r="A6857" s="21">
        <v>45861</v>
      </c>
      <c r="B6857" s="1" t="s">
        <v>12023</v>
      </c>
      <c r="C6857" t="s">
        <v>1221</v>
      </c>
      <c r="D6857" s="43">
        <v>-2500</v>
      </c>
      <c r="E6857" t="s">
        <v>35</v>
      </c>
      <c r="F6857" s="2">
        <v>610148001</v>
      </c>
      <c r="G6857" s="2" t="s">
        <v>42</v>
      </c>
      <c r="L6857" s="2" t="s">
        <v>12024</v>
      </c>
      <c r="M6857" t="s">
        <v>43</v>
      </c>
      <c r="N6857" t="s">
        <v>42</v>
      </c>
      <c r="P6857" s="23">
        <v>120.42</v>
      </c>
      <c r="Q6857" s="4">
        <f t="shared" si="106"/>
        <v>-20.760670984886232</v>
      </c>
      <c r="R6857" s="23" t="s">
        <v>11466</v>
      </c>
    </row>
    <row r="6858" spans="1:19" x14ac:dyDescent="0.25">
      <c r="A6858" s="21">
        <v>45861</v>
      </c>
      <c r="B6858" s="1" t="s">
        <v>12025</v>
      </c>
      <c r="C6858" t="s">
        <v>11969</v>
      </c>
      <c r="D6858" s="43">
        <v>-1000000</v>
      </c>
      <c r="E6858" t="s">
        <v>35</v>
      </c>
      <c r="F6858" s="2">
        <v>110114001</v>
      </c>
      <c r="G6858" s="2" t="s">
        <v>301</v>
      </c>
      <c r="L6858" s="2" t="s">
        <v>12026</v>
      </c>
      <c r="N6858" t="s">
        <v>3849</v>
      </c>
      <c r="P6858" s="23">
        <v>120.42</v>
      </c>
      <c r="Q6858" s="4">
        <f t="shared" si="106"/>
        <v>-8304.2683939544931</v>
      </c>
      <c r="R6858" s="23" t="s">
        <v>11466</v>
      </c>
    </row>
    <row r="6859" spans="1:19" x14ac:dyDescent="0.25">
      <c r="A6859" s="21">
        <v>45861</v>
      </c>
      <c r="B6859" s="1" t="s">
        <v>12027</v>
      </c>
      <c r="C6859" t="s">
        <v>11969</v>
      </c>
      <c r="D6859" s="43">
        <v>1000000</v>
      </c>
      <c r="E6859" t="s">
        <v>46</v>
      </c>
      <c r="F6859" s="2">
        <v>110114001</v>
      </c>
      <c r="G6859" s="2" t="s">
        <v>301</v>
      </c>
      <c r="L6859" s="2" t="s">
        <v>12028</v>
      </c>
      <c r="N6859" t="s">
        <v>11973</v>
      </c>
      <c r="P6859" s="23">
        <v>120.42</v>
      </c>
      <c r="Q6859" s="4">
        <f t="shared" ref="Q6859:Q6922" si="107">D6859/P6859</f>
        <v>8304.2683939544931</v>
      </c>
      <c r="R6859" s="23" t="s">
        <v>11466</v>
      </c>
    </row>
    <row r="6860" spans="1:19" x14ac:dyDescent="0.25">
      <c r="A6860" s="21">
        <v>45861</v>
      </c>
      <c r="B6860" s="1" t="s">
        <v>12029</v>
      </c>
      <c r="C6860" t="s">
        <v>11969</v>
      </c>
      <c r="D6860" s="43">
        <v>1000000</v>
      </c>
      <c r="E6860" t="s">
        <v>46</v>
      </c>
      <c r="F6860" s="2">
        <v>110114001</v>
      </c>
      <c r="G6860" s="2" t="s">
        <v>301</v>
      </c>
      <c r="L6860" s="2" t="s">
        <v>12030</v>
      </c>
      <c r="N6860" t="s">
        <v>11973</v>
      </c>
      <c r="P6860" s="23">
        <v>120.42</v>
      </c>
      <c r="Q6860" s="4">
        <f t="shared" si="107"/>
        <v>8304.2683939544931</v>
      </c>
      <c r="R6860" s="23" t="s">
        <v>11466</v>
      </c>
    </row>
    <row r="6861" spans="1:19" x14ac:dyDescent="0.25">
      <c r="A6861" s="21">
        <v>45861</v>
      </c>
      <c r="B6861" s="1" t="s">
        <v>12031</v>
      </c>
      <c r="C6861" t="s">
        <v>1221</v>
      </c>
      <c r="D6861" s="43">
        <v>-2500</v>
      </c>
      <c r="E6861" t="s">
        <v>35</v>
      </c>
      <c r="F6861" s="2">
        <v>610148001</v>
      </c>
      <c r="G6861" s="2" t="s">
        <v>42</v>
      </c>
      <c r="L6861" s="2" t="s">
        <v>12032</v>
      </c>
      <c r="M6861" t="s">
        <v>43</v>
      </c>
      <c r="N6861" t="s">
        <v>42</v>
      </c>
      <c r="P6861" s="23">
        <v>120.42</v>
      </c>
      <c r="Q6861" s="4">
        <f t="shared" si="107"/>
        <v>-20.760670984886232</v>
      </c>
      <c r="R6861" s="23" t="s">
        <v>11466</v>
      </c>
    </row>
    <row r="6862" spans="1:19" x14ac:dyDescent="0.25">
      <c r="A6862" s="21">
        <v>45861</v>
      </c>
      <c r="B6862" s="1" t="s">
        <v>12033</v>
      </c>
      <c r="C6862" t="s">
        <v>12034</v>
      </c>
      <c r="D6862" s="43">
        <v>-1000000</v>
      </c>
      <c r="E6862" t="s">
        <v>35</v>
      </c>
      <c r="F6862" s="2">
        <v>110114001</v>
      </c>
      <c r="G6862" s="2" t="s">
        <v>301</v>
      </c>
      <c r="L6862" s="2" t="s">
        <v>12035</v>
      </c>
      <c r="M6862" t="s">
        <v>38</v>
      </c>
      <c r="N6862" t="s">
        <v>39</v>
      </c>
      <c r="P6862" s="23">
        <v>120.42</v>
      </c>
      <c r="Q6862" s="4">
        <f t="shared" si="107"/>
        <v>-8304.2683939544931</v>
      </c>
      <c r="R6862" s="23" t="s">
        <v>11466</v>
      </c>
      <c r="S6862" s="33" t="s">
        <v>11175</v>
      </c>
    </row>
    <row r="6863" spans="1:19" x14ac:dyDescent="0.25">
      <c r="A6863" s="21">
        <v>45861</v>
      </c>
      <c r="B6863" s="1" t="s">
        <v>12036</v>
      </c>
      <c r="C6863" t="s">
        <v>1221</v>
      </c>
      <c r="D6863" s="43">
        <v>-2500</v>
      </c>
      <c r="E6863" t="s">
        <v>35</v>
      </c>
      <c r="F6863" s="2">
        <v>610148001</v>
      </c>
      <c r="G6863" s="2" t="s">
        <v>42</v>
      </c>
      <c r="L6863" s="2" t="s">
        <v>12037</v>
      </c>
      <c r="M6863" t="s">
        <v>43</v>
      </c>
      <c r="N6863" t="s">
        <v>42</v>
      </c>
      <c r="P6863" s="23">
        <v>120.42</v>
      </c>
      <c r="Q6863" s="4">
        <f t="shared" si="107"/>
        <v>-20.760670984886232</v>
      </c>
      <c r="R6863" s="23" t="s">
        <v>11466</v>
      </c>
    </row>
    <row r="6864" spans="1:19" x14ac:dyDescent="0.25">
      <c r="A6864" s="21">
        <v>45861</v>
      </c>
      <c r="B6864" s="1" t="s">
        <v>12038</v>
      </c>
      <c r="C6864" t="s">
        <v>12034</v>
      </c>
      <c r="D6864" s="43">
        <v>-1000000</v>
      </c>
      <c r="E6864" t="s">
        <v>35</v>
      </c>
      <c r="F6864" s="2">
        <v>110114001</v>
      </c>
      <c r="G6864" s="2" t="s">
        <v>301</v>
      </c>
      <c r="L6864" s="2" t="s">
        <v>12039</v>
      </c>
      <c r="M6864" t="s">
        <v>38</v>
      </c>
      <c r="N6864" t="s">
        <v>39</v>
      </c>
      <c r="P6864" s="23">
        <v>120.42</v>
      </c>
      <c r="Q6864" s="4">
        <f t="shared" si="107"/>
        <v>-8304.2683939544931</v>
      </c>
      <c r="R6864" s="23" t="s">
        <v>11466</v>
      </c>
      <c r="S6864" s="33" t="s">
        <v>11175</v>
      </c>
    </row>
    <row r="6865" spans="1:20" x14ac:dyDescent="0.25">
      <c r="A6865" s="21">
        <v>45861</v>
      </c>
      <c r="B6865" s="1" t="s">
        <v>12040</v>
      </c>
      <c r="C6865" t="s">
        <v>1221</v>
      </c>
      <c r="D6865" s="43">
        <v>-589.49</v>
      </c>
      <c r="E6865" t="s">
        <v>35</v>
      </c>
      <c r="F6865" s="2">
        <v>610148001</v>
      </c>
      <c r="G6865" s="2" t="s">
        <v>42</v>
      </c>
      <c r="L6865" s="2" t="s">
        <v>12041</v>
      </c>
      <c r="M6865" t="s">
        <v>43</v>
      </c>
      <c r="N6865" t="s">
        <v>42</v>
      </c>
      <c r="P6865" s="23">
        <v>120.42</v>
      </c>
      <c r="Q6865" s="4">
        <f t="shared" si="107"/>
        <v>-4.8952831755522341</v>
      </c>
      <c r="R6865" s="23" t="s">
        <v>11466</v>
      </c>
    </row>
    <row r="6866" spans="1:20" x14ac:dyDescent="0.25">
      <c r="A6866" s="21">
        <v>45861</v>
      </c>
      <c r="B6866" s="1" t="s">
        <v>12042</v>
      </c>
      <c r="C6866" t="s">
        <v>12034</v>
      </c>
      <c r="D6866" s="43">
        <v>-235796.96</v>
      </c>
      <c r="E6866" t="s">
        <v>35</v>
      </c>
      <c r="F6866" s="2">
        <v>110114001</v>
      </c>
      <c r="G6866" s="2" t="s">
        <v>301</v>
      </c>
      <c r="L6866" s="2" t="s">
        <v>12043</v>
      </c>
      <c r="M6866" t="s">
        <v>38</v>
      </c>
      <c r="N6866" t="s">
        <v>39</v>
      </c>
      <c r="P6866" s="23">
        <v>120.42</v>
      </c>
      <c r="Q6866" s="4">
        <f t="shared" si="107"/>
        <v>-1958.1212423185516</v>
      </c>
      <c r="R6866" s="23" t="s">
        <v>11466</v>
      </c>
      <c r="S6866" s="33" t="s">
        <v>11175</v>
      </c>
    </row>
    <row r="6867" spans="1:20" x14ac:dyDescent="0.25">
      <c r="A6867" s="21">
        <v>45861</v>
      </c>
      <c r="B6867" s="1" t="s">
        <v>12044</v>
      </c>
      <c r="C6867" t="s">
        <v>1221</v>
      </c>
      <c r="D6867" s="43">
        <v>-2500</v>
      </c>
      <c r="E6867" t="s">
        <v>35</v>
      </c>
      <c r="F6867" s="2">
        <v>610148001</v>
      </c>
      <c r="G6867" s="2" t="s">
        <v>42</v>
      </c>
      <c r="L6867" s="2" t="s">
        <v>12045</v>
      </c>
      <c r="M6867" t="s">
        <v>43</v>
      </c>
      <c r="N6867" t="s">
        <v>42</v>
      </c>
      <c r="P6867" s="23">
        <v>120.42</v>
      </c>
      <c r="Q6867" s="4">
        <f t="shared" si="107"/>
        <v>-20.760670984886232</v>
      </c>
      <c r="R6867" s="23" t="s">
        <v>11466</v>
      </c>
    </row>
    <row r="6868" spans="1:20" x14ac:dyDescent="0.25">
      <c r="A6868" s="21">
        <v>45861</v>
      </c>
      <c r="B6868" s="1" t="s">
        <v>12046</v>
      </c>
      <c r="C6868" t="s">
        <v>12034</v>
      </c>
      <c r="D6868" s="43">
        <v>-1000000</v>
      </c>
      <c r="E6868" t="s">
        <v>35</v>
      </c>
      <c r="F6868" s="2">
        <v>110114001</v>
      </c>
      <c r="G6868" s="2" t="s">
        <v>301</v>
      </c>
      <c r="L6868" s="2" t="s">
        <v>12047</v>
      </c>
      <c r="M6868" t="s">
        <v>38</v>
      </c>
      <c r="N6868" t="s">
        <v>39</v>
      </c>
      <c r="P6868" s="23">
        <v>120.42</v>
      </c>
      <c r="Q6868" s="4">
        <f t="shared" si="107"/>
        <v>-8304.2683939544931</v>
      </c>
      <c r="R6868" s="23" t="s">
        <v>11466</v>
      </c>
      <c r="S6868" s="33" t="s">
        <v>11175</v>
      </c>
    </row>
    <row r="6869" spans="1:20" x14ac:dyDescent="0.25">
      <c r="A6869" s="21">
        <v>45861</v>
      </c>
      <c r="B6869" s="1" t="s">
        <v>12048</v>
      </c>
      <c r="C6869" t="s">
        <v>1221</v>
      </c>
      <c r="D6869" s="43">
        <v>-2500</v>
      </c>
      <c r="E6869" t="s">
        <v>35</v>
      </c>
      <c r="F6869" s="2">
        <v>610148001</v>
      </c>
      <c r="G6869" s="2" t="s">
        <v>42</v>
      </c>
      <c r="L6869" s="2" t="s">
        <v>12049</v>
      </c>
      <c r="M6869" t="s">
        <v>43</v>
      </c>
      <c r="N6869" t="s">
        <v>42</v>
      </c>
      <c r="P6869" s="23">
        <v>120.42</v>
      </c>
      <c r="Q6869" s="4">
        <f t="shared" si="107"/>
        <v>-20.760670984886232</v>
      </c>
      <c r="R6869" s="23" t="s">
        <v>11466</v>
      </c>
    </row>
    <row r="6870" spans="1:20" x14ac:dyDescent="0.25">
      <c r="A6870" s="21">
        <v>45861</v>
      </c>
      <c r="B6870" s="1" t="s">
        <v>12050</v>
      </c>
      <c r="C6870" t="s">
        <v>12034</v>
      </c>
      <c r="D6870" s="43">
        <v>-1000000</v>
      </c>
      <c r="E6870" t="s">
        <v>35</v>
      </c>
      <c r="F6870" s="2">
        <v>110114001</v>
      </c>
      <c r="G6870" s="2" t="s">
        <v>301</v>
      </c>
      <c r="L6870" s="2" t="s">
        <v>12051</v>
      </c>
      <c r="M6870" t="s">
        <v>38</v>
      </c>
      <c r="N6870" t="s">
        <v>39</v>
      </c>
      <c r="P6870" s="23">
        <v>120.42</v>
      </c>
      <c r="Q6870" s="4">
        <f t="shared" si="107"/>
        <v>-8304.2683939544931</v>
      </c>
      <c r="R6870" s="23" t="s">
        <v>11466</v>
      </c>
      <c r="S6870" s="33" t="s">
        <v>11175</v>
      </c>
    </row>
    <row r="6871" spans="1:20" x14ac:dyDescent="0.25">
      <c r="A6871" s="21">
        <v>45861</v>
      </c>
      <c r="B6871" s="1" t="s">
        <v>12052</v>
      </c>
      <c r="C6871" t="s">
        <v>1221</v>
      </c>
      <c r="D6871" s="43">
        <v>-2500</v>
      </c>
      <c r="E6871" t="s">
        <v>35</v>
      </c>
      <c r="F6871" s="2">
        <v>610148001</v>
      </c>
      <c r="G6871" s="2" t="s">
        <v>42</v>
      </c>
      <c r="L6871" s="2" t="s">
        <v>12053</v>
      </c>
      <c r="M6871" t="s">
        <v>43</v>
      </c>
      <c r="N6871" t="s">
        <v>42</v>
      </c>
      <c r="P6871" s="23">
        <v>120.42</v>
      </c>
      <c r="Q6871" s="4">
        <f t="shared" si="107"/>
        <v>-20.760670984886232</v>
      </c>
      <c r="R6871" s="23" t="s">
        <v>11466</v>
      </c>
    </row>
    <row r="6872" spans="1:20" x14ac:dyDescent="0.25">
      <c r="A6872" s="21">
        <v>45861</v>
      </c>
      <c r="B6872" s="1" t="s">
        <v>12054</v>
      </c>
      <c r="C6872" t="s">
        <v>12034</v>
      </c>
      <c r="D6872" s="43">
        <v>-1000000</v>
      </c>
      <c r="E6872" t="s">
        <v>35</v>
      </c>
      <c r="F6872" s="2">
        <v>110114001</v>
      </c>
      <c r="G6872" s="2" t="s">
        <v>301</v>
      </c>
      <c r="L6872" s="2" t="s">
        <v>12055</v>
      </c>
      <c r="M6872" t="s">
        <v>38</v>
      </c>
      <c r="N6872" t="s">
        <v>39</v>
      </c>
      <c r="P6872" s="23">
        <v>120.42</v>
      </c>
      <c r="Q6872" s="4">
        <f t="shared" si="107"/>
        <v>-8304.2683939544931</v>
      </c>
      <c r="R6872" s="23" t="s">
        <v>11466</v>
      </c>
      <c r="S6872" s="33" t="s">
        <v>11175</v>
      </c>
    </row>
    <row r="6873" spans="1:20" x14ac:dyDescent="0.25">
      <c r="A6873" s="21">
        <v>45861</v>
      </c>
      <c r="B6873" s="1" t="s">
        <v>12056</v>
      </c>
      <c r="C6873" t="s">
        <v>1221</v>
      </c>
      <c r="D6873" s="43">
        <v>-2500</v>
      </c>
      <c r="E6873" t="s">
        <v>35</v>
      </c>
      <c r="F6873" s="2">
        <v>610148001</v>
      </c>
      <c r="G6873" s="2" t="s">
        <v>42</v>
      </c>
      <c r="L6873" s="2" t="s">
        <v>12057</v>
      </c>
      <c r="M6873" t="s">
        <v>43</v>
      </c>
      <c r="N6873" t="s">
        <v>42</v>
      </c>
      <c r="P6873" s="23">
        <v>120.42</v>
      </c>
      <c r="Q6873" s="4">
        <f t="shared" si="107"/>
        <v>-20.760670984886232</v>
      </c>
      <c r="R6873" s="23" t="s">
        <v>11466</v>
      </c>
    </row>
    <row r="6874" spans="1:20" x14ac:dyDescent="0.25">
      <c r="A6874" s="21">
        <v>45861</v>
      </c>
      <c r="B6874" s="1" t="s">
        <v>12058</v>
      </c>
      <c r="C6874" t="s">
        <v>12034</v>
      </c>
      <c r="D6874" s="43">
        <v>-1000000</v>
      </c>
      <c r="E6874" t="s">
        <v>35</v>
      </c>
      <c r="F6874" s="2">
        <v>110114001</v>
      </c>
      <c r="G6874" s="2" t="s">
        <v>301</v>
      </c>
      <c r="L6874" s="2" t="s">
        <v>12059</v>
      </c>
      <c r="M6874" t="s">
        <v>38</v>
      </c>
      <c r="N6874" t="s">
        <v>39</v>
      </c>
      <c r="P6874" s="23">
        <v>120.42</v>
      </c>
      <c r="Q6874" s="4">
        <f t="shared" si="107"/>
        <v>-8304.2683939544931</v>
      </c>
      <c r="R6874" s="23" t="s">
        <v>11466</v>
      </c>
      <c r="S6874" s="33" t="s">
        <v>11175</v>
      </c>
    </row>
    <row r="6875" spans="1:20" x14ac:dyDescent="0.25">
      <c r="A6875" s="21">
        <v>45861</v>
      </c>
      <c r="B6875" s="1" t="s">
        <v>12060</v>
      </c>
      <c r="C6875" t="s">
        <v>1221</v>
      </c>
      <c r="D6875" s="43">
        <v>-2500</v>
      </c>
      <c r="E6875" t="s">
        <v>35</v>
      </c>
      <c r="F6875" s="2">
        <v>610148001</v>
      </c>
      <c r="G6875" s="2" t="s">
        <v>42</v>
      </c>
      <c r="L6875" s="2" t="s">
        <v>12061</v>
      </c>
      <c r="M6875" t="s">
        <v>43</v>
      </c>
      <c r="N6875" t="s">
        <v>42</v>
      </c>
      <c r="P6875" s="23">
        <v>120.42</v>
      </c>
      <c r="Q6875" s="4">
        <f t="shared" si="107"/>
        <v>-20.760670984886232</v>
      </c>
      <c r="R6875" s="23" t="s">
        <v>11466</v>
      </c>
    </row>
    <row r="6876" spans="1:20" x14ac:dyDescent="0.25">
      <c r="A6876" s="21">
        <v>45861</v>
      </c>
      <c r="B6876" s="1" t="s">
        <v>12062</v>
      </c>
      <c r="C6876" t="s">
        <v>12034</v>
      </c>
      <c r="D6876" s="43">
        <v>-1000000</v>
      </c>
      <c r="E6876" t="s">
        <v>35</v>
      </c>
      <c r="F6876" s="2">
        <v>110114001</v>
      </c>
      <c r="G6876" s="2" t="s">
        <v>301</v>
      </c>
      <c r="L6876" s="2" t="s">
        <v>12063</v>
      </c>
      <c r="M6876" t="s">
        <v>38</v>
      </c>
      <c r="N6876" t="s">
        <v>39</v>
      </c>
      <c r="P6876" s="23">
        <v>120.42</v>
      </c>
      <c r="Q6876" s="4">
        <f t="shared" si="107"/>
        <v>-8304.2683939544931</v>
      </c>
      <c r="R6876" s="23" t="s">
        <v>11466</v>
      </c>
      <c r="S6876" s="33" t="s">
        <v>11175</v>
      </c>
    </row>
    <row r="6877" spans="1:20" x14ac:dyDescent="0.25">
      <c r="A6877" s="32">
        <v>45866</v>
      </c>
      <c r="B6877" s="26" t="s">
        <v>12064</v>
      </c>
      <c r="C6877" s="27" t="s">
        <v>12065</v>
      </c>
      <c r="D6877" s="46">
        <v>-57801.599999999999</v>
      </c>
      <c r="E6877" s="27" t="s">
        <v>35</v>
      </c>
      <c r="F6877" s="29">
        <v>610122005</v>
      </c>
      <c r="G6877" s="29" t="s">
        <v>765</v>
      </c>
      <c r="H6877" s="107"/>
      <c r="I6877" s="101"/>
      <c r="J6877" s="101"/>
      <c r="K6877" s="29"/>
      <c r="L6877" s="2" t="s">
        <v>12066</v>
      </c>
      <c r="M6877" s="27" t="s">
        <v>1825</v>
      </c>
      <c r="N6877" s="27" t="s">
        <v>1826</v>
      </c>
      <c r="O6877" s="27" t="s">
        <v>59</v>
      </c>
      <c r="P6877" s="31">
        <v>122.17</v>
      </c>
      <c r="Q6877" s="4">
        <f t="shared" si="107"/>
        <v>-473.12433494311205</v>
      </c>
      <c r="R6877" s="23" t="s">
        <v>11466</v>
      </c>
      <c r="T6877" s="23" t="s">
        <v>12067</v>
      </c>
    </row>
    <row r="6878" spans="1:20" x14ac:dyDescent="0.25">
      <c r="A6878" s="21">
        <v>45866</v>
      </c>
      <c r="B6878" s="1" t="s">
        <v>12068</v>
      </c>
      <c r="C6878" t="s">
        <v>544</v>
      </c>
      <c r="D6878" s="43">
        <v>995000</v>
      </c>
      <c r="E6878" t="s">
        <v>46</v>
      </c>
      <c r="F6878" s="2">
        <v>210115002</v>
      </c>
      <c r="G6878" s="2" t="s">
        <v>47</v>
      </c>
      <c r="L6878" s="2" t="s">
        <v>12069</v>
      </c>
      <c r="N6878" t="s">
        <v>544</v>
      </c>
      <c r="P6878" s="23">
        <v>122.17</v>
      </c>
      <c r="Q6878" s="4">
        <f t="shared" si="107"/>
        <v>8144.3889661946469</v>
      </c>
      <c r="R6878" s="23" t="s">
        <v>11466</v>
      </c>
    </row>
    <row r="6879" spans="1:20" x14ac:dyDescent="0.25">
      <c r="A6879" s="21">
        <v>45866</v>
      </c>
      <c r="B6879" s="1" t="s">
        <v>12070</v>
      </c>
      <c r="C6879" t="s">
        <v>12071</v>
      </c>
      <c r="D6879" s="43">
        <v>-126482.58</v>
      </c>
      <c r="E6879" t="s">
        <v>35</v>
      </c>
      <c r="F6879" s="2">
        <v>210101001</v>
      </c>
      <c r="G6879" s="2" t="s">
        <v>36</v>
      </c>
      <c r="L6879" s="2" t="s">
        <v>12072</v>
      </c>
      <c r="M6879" t="s">
        <v>3326</v>
      </c>
      <c r="N6879" t="s">
        <v>3327</v>
      </c>
      <c r="P6879" s="23">
        <v>122.17</v>
      </c>
      <c r="Q6879" s="4">
        <f t="shared" si="107"/>
        <v>-1035.2998281083735</v>
      </c>
      <c r="R6879" s="23" t="s">
        <v>11466</v>
      </c>
    </row>
    <row r="6880" spans="1:20" x14ac:dyDescent="0.25">
      <c r="A6880" s="21">
        <v>45866</v>
      </c>
      <c r="B6880" s="1" t="s">
        <v>12073</v>
      </c>
      <c r="C6880" t="s">
        <v>1221</v>
      </c>
      <c r="D6880" s="1">
        <v>-316.2</v>
      </c>
      <c r="E6880" t="s">
        <v>35</v>
      </c>
      <c r="F6880" s="2">
        <v>610148001</v>
      </c>
      <c r="G6880" s="2" t="s">
        <v>42</v>
      </c>
      <c r="L6880" s="2" t="s">
        <v>12074</v>
      </c>
      <c r="M6880" t="s">
        <v>43</v>
      </c>
      <c r="N6880" t="s">
        <v>42</v>
      </c>
      <c r="P6880" s="23">
        <v>122.17</v>
      </c>
      <c r="Q6880" s="4">
        <f t="shared" si="107"/>
        <v>-2.5881967749856756</v>
      </c>
      <c r="R6880" s="23" t="s">
        <v>11466</v>
      </c>
    </row>
    <row r="6881" spans="1:18" x14ac:dyDescent="0.25">
      <c r="A6881" s="21">
        <v>45866</v>
      </c>
      <c r="B6881" s="1" t="s">
        <v>12075</v>
      </c>
      <c r="C6881" t="s">
        <v>12076</v>
      </c>
      <c r="D6881" s="43">
        <v>-144551.51999999999</v>
      </c>
      <c r="E6881" t="s">
        <v>35</v>
      </c>
      <c r="F6881" s="2">
        <v>210101001</v>
      </c>
      <c r="G6881" s="2" t="s">
        <v>36</v>
      </c>
      <c r="L6881" s="2" t="s">
        <v>12077</v>
      </c>
      <c r="M6881" t="s">
        <v>3326</v>
      </c>
      <c r="N6881" t="s">
        <v>3327</v>
      </c>
      <c r="P6881" s="23">
        <v>122.17</v>
      </c>
      <c r="Q6881" s="4">
        <f t="shared" si="107"/>
        <v>-1183.1998035524268</v>
      </c>
      <c r="R6881" s="23" t="s">
        <v>11466</v>
      </c>
    </row>
    <row r="6882" spans="1:18" x14ac:dyDescent="0.25">
      <c r="A6882" s="21">
        <v>45866</v>
      </c>
      <c r="B6882" s="1" t="s">
        <v>12078</v>
      </c>
      <c r="C6882" t="s">
        <v>1221</v>
      </c>
      <c r="D6882" s="1">
        <v>-361.37</v>
      </c>
      <c r="E6882" t="s">
        <v>35</v>
      </c>
      <c r="F6882" s="2">
        <v>610148001</v>
      </c>
      <c r="G6882" s="2" t="s">
        <v>42</v>
      </c>
      <c r="L6882" s="2" t="s">
        <v>12079</v>
      </c>
      <c r="M6882" t="s">
        <v>43</v>
      </c>
      <c r="N6882" t="s">
        <v>42</v>
      </c>
      <c r="P6882" s="23">
        <v>122.17</v>
      </c>
      <c r="Q6882" s="4">
        <f t="shared" si="107"/>
        <v>-2.9579274781042808</v>
      </c>
      <c r="R6882" s="23" t="s">
        <v>11466</v>
      </c>
    </row>
    <row r="6883" spans="1:18" x14ac:dyDescent="0.25">
      <c r="A6883" s="21">
        <v>45866</v>
      </c>
      <c r="B6883" s="1" t="s">
        <v>12080</v>
      </c>
      <c r="C6883" t="s">
        <v>12081</v>
      </c>
      <c r="D6883" s="43">
        <v>-12045.96</v>
      </c>
      <c r="E6883" t="s">
        <v>35</v>
      </c>
      <c r="F6883" s="2">
        <v>210101001</v>
      </c>
      <c r="G6883" s="2" t="s">
        <v>36</v>
      </c>
      <c r="L6883" s="2" t="s">
        <v>12082</v>
      </c>
      <c r="M6883" t="s">
        <v>3326</v>
      </c>
      <c r="N6883" t="s">
        <v>3327</v>
      </c>
      <c r="P6883" s="23">
        <v>122.17</v>
      </c>
      <c r="Q6883" s="4">
        <f t="shared" si="107"/>
        <v>-98.599983629368907</v>
      </c>
      <c r="R6883" s="23" t="s">
        <v>11466</v>
      </c>
    </row>
    <row r="6884" spans="1:18" x14ac:dyDescent="0.25">
      <c r="A6884" s="21">
        <v>45866</v>
      </c>
      <c r="B6884" s="1" t="s">
        <v>12083</v>
      </c>
      <c r="C6884" t="s">
        <v>1221</v>
      </c>
      <c r="D6884" s="1">
        <v>-30.11</v>
      </c>
      <c r="E6884" t="s">
        <v>35</v>
      </c>
      <c r="F6884" s="2">
        <v>610148001</v>
      </c>
      <c r="G6884" s="2" t="s">
        <v>42</v>
      </c>
      <c r="L6884" s="2" t="s">
        <v>12084</v>
      </c>
      <c r="M6884" t="s">
        <v>43</v>
      </c>
      <c r="N6884" t="s">
        <v>42</v>
      </c>
      <c r="P6884" s="23">
        <v>122.17</v>
      </c>
      <c r="Q6884" s="4">
        <f t="shared" si="107"/>
        <v>-0.24645985102725709</v>
      </c>
      <c r="R6884" s="23" t="s">
        <v>11466</v>
      </c>
    </row>
    <row r="6885" spans="1:18" x14ac:dyDescent="0.25">
      <c r="A6885" s="21">
        <v>45866</v>
      </c>
      <c r="B6885" s="1" t="s">
        <v>12085</v>
      </c>
      <c r="C6885" t="s">
        <v>12086</v>
      </c>
      <c r="D6885" s="43">
        <v>-144551.51999999999</v>
      </c>
      <c r="E6885" t="s">
        <v>35</v>
      </c>
      <c r="F6885" s="2">
        <v>210101001</v>
      </c>
      <c r="G6885" s="2" t="s">
        <v>36</v>
      </c>
      <c r="L6885" s="2" t="s">
        <v>12087</v>
      </c>
      <c r="M6885" t="s">
        <v>3326</v>
      </c>
      <c r="N6885" t="s">
        <v>3327</v>
      </c>
      <c r="P6885" s="23">
        <v>122.17</v>
      </c>
      <c r="Q6885" s="4">
        <f t="shared" si="107"/>
        <v>-1183.1998035524268</v>
      </c>
      <c r="R6885" s="23" t="s">
        <v>11466</v>
      </c>
    </row>
    <row r="6886" spans="1:18" x14ac:dyDescent="0.25">
      <c r="A6886" s="21">
        <v>45866</v>
      </c>
      <c r="B6886" s="1" t="s">
        <v>12088</v>
      </c>
      <c r="C6886" t="s">
        <v>1221</v>
      </c>
      <c r="D6886" s="1">
        <v>-361.37</v>
      </c>
      <c r="E6886" t="s">
        <v>35</v>
      </c>
      <c r="F6886" s="2">
        <v>610148001</v>
      </c>
      <c r="G6886" s="2" t="s">
        <v>42</v>
      </c>
      <c r="L6886" s="2" t="s">
        <v>12089</v>
      </c>
      <c r="M6886" t="s">
        <v>43</v>
      </c>
      <c r="N6886" t="s">
        <v>42</v>
      </c>
      <c r="P6886" s="23">
        <v>122.17</v>
      </c>
      <c r="Q6886" s="4">
        <f t="shared" si="107"/>
        <v>-2.9579274781042808</v>
      </c>
      <c r="R6886" s="23" t="s">
        <v>11466</v>
      </c>
    </row>
    <row r="6887" spans="1:18" x14ac:dyDescent="0.25">
      <c r="A6887" s="21">
        <v>45866</v>
      </c>
      <c r="B6887" s="1" t="s">
        <v>12090</v>
      </c>
      <c r="C6887" t="s">
        <v>12091</v>
      </c>
      <c r="D6887" s="43">
        <v>-198758.34</v>
      </c>
      <c r="E6887" t="s">
        <v>35</v>
      </c>
      <c r="F6887" s="2">
        <v>210101001</v>
      </c>
      <c r="G6887" s="2" t="s">
        <v>36</v>
      </c>
      <c r="L6887" s="2" t="s">
        <v>12092</v>
      </c>
      <c r="M6887" t="s">
        <v>3326</v>
      </c>
      <c r="N6887" t="s">
        <v>3327</v>
      </c>
      <c r="P6887" s="23">
        <v>122.17</v>
      </c>
      <c r="Q6887" s="4">
        <f t="shared" si="107"/>
        <v>-1626.899729884587</v>
      </c>
      <c r="R6887" s="23" t="s">
        <v>11466</v>
      </c>
    </row>
    <row r="6888" spans="1:18" x14ac:dyDescent="0.25">
      <c r="A6888" s="21">
        <v>45866</v>
      </c>
      <c r="B6888" s="1" t="s">
        <v>12093</v>
      </c>
      <c r="C6888" t="s">
        <v>1221</v>
      </c>
      <c r="D6888" s="1">
        <v>-496.89</v>
      </c>
      <c r="E6888" t="s">
        <v>35</v>
      </c>
      <c r="F6888" s="2">
        <v>610148001</v>
      </c>
      <c r="G6888" s="2" t="s">
        <v>42</v>
      </c>
      <c r="L6888" s="2" t="s">
        <v>12094</v>
      </c>
      <c r="M6888" t="s">
        <v>43</v>
      </c>
      <c r="N6888" t="s">
        <v>42</v>
      </c>
      <c r="P6888" s="23">
        <v>122.17</v>
      </c>
      <c r="Q6888" s="4">
        <f t="shared" si="107"/>
        <v>-4.0672014406155359</v>
      </c>
      <c r="R6888" s="23" t="s">
        <v>11466</v>
      </c>
    </row>
    <row r="6889" spans="1:18" x14ac:dyDescent="0.25">
      <c r="A6889" s="21">
        <v>45866</v>
      </c>
      <c r="B6889" s="1" t="s">
        <v>12095</v>
      </c>
      <c r="C6889" t="s">
        <v>1221</v>
      </c>
      <c r="D6889" s="1">
        <v>-738.15</v>
      </c>
      <c r="E6889" t="s">
        <v>35</v>
      </c>
      <c r="F6889" s="2">
        <v>610148001</v>
      </c>
      <c r="G6889" s="2" t="s">
        <v>42</v>
      </c>
      <c r="L6889" s="2" t="s">
        <v>12096</v>
      </c>
      <c r="M6889" t="s">
        <v>43</v>
      </c>
      <c r="N6889" t="s">
        <v>42</v>
      </c>
      <c r="P6889" s="23">
        <v>122.17</v>
      </c>
      <c r="Q6889" s="4">
        <f t="shared" si="107"/>
        <v>-6.0419906687402793</v>
      </c>
      <c r="R6889" s="23" t="s">
        <v>11466</v>
      </c>
    </row>
    <row r="6890" spans="1:18" x14ac:dyDescent="0.25">
      <c r="A6890" s="21">
        <v>45866</v>
      </c>
      <c r="B6890" s="1" t="s">
        <v>12097</v>
      </c>
      <c r="C6890" t="s">
        <v>12098</v>
      </c>
      <c r="D6890" s="43">
        <v>-295260.45</v>
      </c>
      <c r="E6890" t="s">
        <v>35</v>
      </c>
      <c r="F6890" s="2">
        <v>210101001</v>
      </c>
      <c r="G6890" s="2" t="s">
        <v>36</v>
      </c>
      <c r="L6890" s="2" t="s">
        <v>12099</v>
      </c>
      <c r="M6890" t="s">
        <v>714</v>
      </c>
      <c r="N6890" t="s">
        <v>715</v>
      </c>
      <c r="P6890" s="23">
        <v>122.17</v>
      </c>
      <c r="Q6890" s="4">
        <f t="shared" si="107"/>
        <v>-2416.7999508881067</v>
      </c>
      <c r="R6890" s="23" t="s">
        <v>11466</v>
      </c>
    </row>
    <row r="6891" spans="1:18" x14ac:dyDescent="0.25">
      <c r="A6891" s="21">
        <v>45866</v>
      </c>
      <c r="B6891" s="1" t="s">
        <v>12100</v>
      </c>
      <c r="C6891" t="s">
        <v>1221</v>
      </c>
      <c r="D6891" s="1">
        <v>-27.66</v>
      </c>
      <c r="E6891" t="s">
        <v>35</v>
      </c>
      <c r="F6891" s="2">
        <v>610148001</v>
      </c>
      <c r="G6891" s="2" t="s">
        <v>42</v>
      </c>
      <c r="L6891" s="2" t="s">
        <v>12101</v>
      </c>
      <c r="M6891" t="s">
        <v>43</v>
      </c>
      <c r="N6891" t="s">
        <v>42</v>
      </c>
      <c r="P6891" s="23">
        <v>122.17</v>
      </c>
      <c r="Q6891" s="4">
        <f t="shared" si="107"/>
        <v>-0.22640582794466727</v>
      </c>
      <c r="R6891" s="23" t="s">
        <v>11466</v>
      </c>
    </row>
    <row r="6892" spans="1:18" x14ac:dyDescent="0.25">
      <c r="A6892" s="21">
        <v>45866</v>
      </c>
      <c r="B6892" s="1" t="s">
        <v>12102</v>
      </c>
      <c r="C6892" t="s">
        <v>12103</v>
      </c>
      <c r="D6892" s="43">
        <v>-11066.84</v>
      </c>
      <c r="E6892" t="s">
        <v>35</v>
      </c>
      <c r="F6892" s="2">
        <v>210101001</v>
      </c>
      <c r="G6892" s="2" t="s">
        <v>36</v>
      </c>
      <c r="L6892" s="2" t="s">
        <v>12104</v>
      </c>
      <c r="M6892" t="s">
        <v>38</v>
      </c>
      <c r="N6892" t="s">
        <v>39</v>
      </c>
      <c r="P6892" s="23">
        <v>122.17</v>
      </c>
      <c r="Q6892" s="4">
        <f t="shared" si="107"/>
        <v>-90.585577474011629</v>
      </c>
      <c r="R6892" s="23" t="s">
        <v>11466</v>
      </c>
    </row>
    <row r="6893" spans="1:18" x14ac:dyDescent="0.25">
      <c r="A6893" s="21">
        <v>45866</v>
      </c>
      <c r="B6893" s="1" t="s">
        <v>12105</v>
      </c>
      <c r="C6893" t="s">
        <v>1221</v>
      </c>
      <c r="D6893" s="1">
        <v>-108.91</v>
      </c>
      <c r="E6893" t="s">
        <v>35</v>
      </c>
      <c r="F6893" s="2">
        <v>610148001</v>
      </c>
      <c r="G6893" s="2" t="s">
        <v>42</v>
      </c>
      <c r="L6893" s="2" t="s">
        <v>12106</v>
      </c>
      <c r="M6893" t="s">
        <v>43</v>
      </c>
      <c r="N6893" t="s">
        <v>42</v>
      </c>
      <c r="P6893" s="23">
        <v>122.17</v>
      </c>
      <c r="Q6893" s="4">
        <f t="shared" si="107"/>
        <v>-0.89146271588769743</v>
      </c>
      <c r="R6893" s="23" t="s">
        <v>11466</v>
      </c>
    </row>
    <row r="6894" spans="1:18" x14ac:dyDescent="0.25">
      <c r="A6894" s="21">
        <v>45866</v>
      </c>
      <c r="B6894" s="1" t="s">
        <v>12107</v>
      </c>
      <c r="C6894" t="s">
        <v>12108</v>
      </c>
      <c r="D6894" s="43">
        <v>-43566.55</v>
      </c>
      <c r="E6894" t="s">
        <v>35</v>
      </c>
      <c r="F6894" s="2">
        <v>210101001</v>
      </c>
      <c r="G6894" s="2" t="s">
        <v>36</v>
      </c>
      <c r="L6894" s="2" t="s">
        <v>12109</v>
      </c>
      <c r="M6894" t="s">
        <v>714</v>
      </c>
      <c r="N6894" t="s">
        <v>715</v>
      </c>
      <c r="P6894" s="23">
        <v>122.17</v>
      </c>
      <c r="Q6894" s="4">
        <f t="shared" si="107"/>
        <v>-356.60595890971598</v>
      </c>
      <c r="R6894" s="23" t="s">
        <v>11466</v>
      </c>
    </row>
    <row r="6895" spans="1:18" x14ac:dyDescent="0.25">
      <c r="A6895" s="21">
        <v>45866</v>
      </c>
      <c r="B6895" s="1" t="s">
        <v>12110</v>
      </c>
      <c r="C6895" t="s">
        <v>1221</v>
      </c>
      <c r="D6895" s="1">
        <v>-41.78</v>
      </c>
      <c r="E6895" t="s">
        <v>35</v>
      </c>
      <c r="F6895" s="2">
        <v>610148001</v>
      </c>
      <c r="G6895" s="2" t="s">
        <v>42</v>
      </c>
      <c r="L6895" s="2" t="s">
        <v>12111</v>
      </c>
      <c r="M6895" t="s">
        <v>43</v>
      </c>
      <c r="N6895" t="s">
        <v>42</v>
      </c>
      <c r="P6895" s="23">
        <v>122.17</v>
      </c>
      <c r="Q6895" s="4">
        <f t="shared" si="107"/>
        <v>-0.34198248342473603</v>
      </c>
      <c r="R6895" s="23" t="s">
        <v>11466</v>
      </c>
    </row>
    <row r="6896" spans="1:18" x14ac:dyDescent="0.25">
      <c r="A6896" s="21">
        <v>45866</v>
      </c>
      <c r="B6896" s="1" t="s">
        <v>12112</v>
      </c>
      <c r="C6896" t="s">
        <v>12113</v>
      </c>
      <c r="D6896" s="43">
        <v>-16712.86</v>
      </c>
      <c r="E6896" t="s">
        <v>35</v>
      </c>
      <c r="F6896" s="2">
        <v>210101001</v>
      </c>
      <c r="G6896" s="2" t="s">
        <v>36</v>
      </c>
      <c r="L6896" s="2" t="s">
        <v>12114</v>
      </c>
      <c r="M6896" t="s">
        <v>1376</v>
      </c>
      <c r="N6896" t="s">
        <v>1377</v>
      </c>
      <c r="P6896" s="23">
        <v>122.17</v>
      </c>
      <c r="Q6896" s="4">
        <f t="shared" si="107"/>
        <v>-136.80003274126219</v>
      </c>
      <c r="R6896" s="23" t="s">
        <v>11466</v>
      </c>
    </row>
    <row r="6897" spans="1:23" x14ac:dyDescent="0.25">
      <c r="A6897" s="21">
        <v>45867</v>
      </c>
      <c r="B6897" s="1" t="s">
        <v>12115</v>
      </c>
      <c r="C6897" t="s">
        <v>7493</v>
      </c>
      <c r="D6897" s="43">
        <v>790000</v>
      </c>
      <c r="E6897" t="s">
        <v>46</v>
      </c>
      <c r="F6897" s="2">
        <v>210115002</v>
      </c>
      <c r="G6897" s="2" t="s">
        <v>47</v>
      </c>
      <c r="L6897" s="2" t="s">
        <v>12116</v>
      </c>
      <c r="N6897" t="s">
        <v>544</v>
      </c>
      <c r="P6897" s="23">
        <v>122.84</v>
      </c>
      <c r="Q6897" s="4">
        <f t="shared" si="107"/>
        <v>6431.129925105829</v>
      </c>
      <c r="R6897" s="23" t="s">
        <v>11466</v>
      </c>
    </row>
    <row r="6898" spans="1:23" x14ac:dyDescent="0.25">
      <c r="A6898" s="21">
        <v>45867</v>
      </c>
      <c r="B6898" s="1" t="s">
        <v>12117</v>
      </c>
      <c r="C6898" t="s">
        <v>1221</v>
      </c>
      <c r="D6898" s="43">
        <v>-1995.64</v>
      </c>
      <c r="E6898" t="s">
        <v>35</v>
      </c>
      <c r="F6898" s="2">
        <v>610148001</v>
      </c>
      <c r="G6898" s="2" t="s">
        <v>42</v>
      </c>
      <c r="L6898" s="2" t="s">
        <v>12118</v>
      </c>
      <c r="M6898" t="s">
        <v>43</v>
      </c>
      <c r="N6898" t="s">
        <v>42</v>
      </c>
      <c r="P6898" s="23">
        <v>122.84</v>
      </c>
      <c r="Q6898" s="4">
        <f t="shared" si="107"/>
        <v>-16.245848257896451</v>
      </c>
      <c r="R6898" s="23" t="s">
        <v>11466</v>
      </c>
    </row>
    <row r="6899" spans="1:23" x14ac:dyDescent="0.25">
      <c r="A6899" s="21">
        <v>45867</v>
      </c>
      <c r="B6899" s="1" t="s">
        <v>12119</v>
      </c>
      <c r="C6899" t="s">
        <v>12120</v>
      </c>
      <c r="D6899" s="43">
        <v>-798259.33</v>
      </c>
      <c r="E6899" t="s">
        <v>35</v>
      </c>
      <c r="F6899" s="2">
        <v>110114001</v>
      </c>
      <c r="G6899" s="2" t="s">
        <v>301</v>
      </c>
      <c r="L6899" s="2" t="s">
        <v>12121</v>
      </c>
      <c r="M6899" t="s">
        <v>38</v>
      </c>
      <c r="N6899" t="s">
        <v>39</v>
      </c>
      <c r="P6899" s="23">
        <v>122.84</v>
      </c>
      <c r="Q6899" s="4">
        <f t="shared" si="107"/>
        <v>-6498.3664115923148</v>
      </c>
      <c r="R6899" s="23" t="s">
        <v>11466</v>
      </c>
      <c r="S6899" s="33" t="s">
        <v>11175</v>
      </c>
    </row>
    <row r="6900" spans="1:23" x14ac:dyDescent="0.25">
      <c r="A6900" s="21">
        <v>45867</v>
      </c>
      <c r="B6900" s="1" t="s">
        <v>12122</v>
      </c>
      <c r="C6900" t="s">
        <v>7493</v>
      </c>
      <c r="D6900" s="43">
        <v>740000</v>
      </c>
      <c r="E6900" t="s">
        <v>46</v>
      </c>
      <c r="F6900" s="2">
        <v>210115002</v>
      </c>
      <c r="G6900" s="2" t="s">
        <v>47</v>
      </c>
      <c r="L6900" s="2" t="s">
        <v>12123</v>
      </c>
      <c r="N6900" t="s">
        <v>544</v>
      </c>
      <c r="P6900" s="23">
        <v>122.84</v>
      </c>
      <c r="Q6900" s="4">
        <f t="shared" si="107"/>
        <v>6024.0963855421687</v>
      </c>
      <c r="R6900" s="23" t="s">
        <v>11466</v>
      </c>
    </row>
    <row r="6901" spans="1:23" x14ac:dyDescent="0.25">
      <c r="A6901" s="21">
        <v>45867</v>
      </c>
      <c r="B6901" s="1" t="s">
        <v>12124</v>
      </c>
      <c r="C6901" t="s">
        <v>7640</v>
      </c>
      <c r="D6901" s="43">
        <v>-750000</v>
      </c>
      <c r="E6901" t="s">
        <v>35</v>
      </c>
      <c r="F6901" s="2">
        <v>110101003</v>
      </c>
      <c r="G6901" s="2" t="s">
        <v>6734</v>
      </c>
      <c r="L6901" s="2" t="s">
        <v>12125</v>
      </c>
      <c r="N6901" t="s">
        <v>7640</v>
      </c>
      <c r="P6901" s="23">
        <v>122.84</v>
      </c>
      <c r="Q6901" s="4">
        <f t="shared" si="107"/>
        <v>-6105.5030934549004</v>
      </c>
      <c r="R6901" s="23" t="s">
        <v>11466</v>
      </c>
    </row>
    <row r="6902" spans="1:23" x14ac:dyDescent="0.25">
      <c r="A6902" s="21">
        <v>45867</v>
      </c>
      <c r="B6902" s="1" t="s">
        <v>12124</v>
      </c>
      <c r="C6902" t="s">
        <v>12126</v>
      </c>
      <c r="D6902" s="43">
        <v>-2250</v>
      </c>
      <c r="E6902" t="s">
        <v>35</v>
      </c>
      <c r="F6902" s="2">
        <v>610148001</v>
      </c>
      <c r="G6902" s="2" t="s">
        <v>42</v>
      </c>
      <c r="L6902" s="2" t="s">
        <v>12127</v>
      </c>
      <c r="M6902" t="s">
        <v>43</v>
      </c>
      <c r="N6902" t="s">
        <v>42</v>
      </c>
      <c r="P6902" s="23">
        <v>122.84</v>
      </c>
      <c r="Q6902" s="4">
        <f t="shared" si="107"/>
        <v>-18.316509280364702</v>
      </c>
      <c r="R6902" s="23" t="s">
        <v>11466</v>
      </c>
    </row>
    <row r="6903" spans="1:23" x14ac:dyDescent="0.25">
      <c r="A6903" s="21">
        <v>45867</v>
      </c>
      <c r="B6903" s="1" t="s">
        <v>12128</v>
      </c>
      <c r="C6903" t="s">
        <v>12129</v>
      </c>
      <c r="D6903" s="1">
        <v>278.02</v>
      </c>
      <c r="E6903" t="s">
        <v>46</v>
      </c>
      <c r="F6903" s="2">
        <v>210101001</v>
      </c>
      <c r="G6903" s="2" t="s">
        <v>36</v>
      </c>
      <c r="L6903" s="2" t="s">
        <v>12130</v>
      </c>
      <c r="N6903" t="s">
        <v>2353</v>
      </c>
      <c r="P6903" s="23">
        <v>122.84</v>
      </c>
      <c r="Q6903" s="4">
        <f t="shared" si="107"/>
        <v>2.2632692933897749</v>
      </c>
      <c r="R6903" s="23" t="s">
        <v>11466</v>
      </c>
    </row>
    <row r="6904" spans="1:23" x14ac:dyDescent="0.25">
      <c r="A6904" s="32">
        <v>45869</v>
      </c>
      <c r="B6904" s="26" t="s">
        <v>12131</v>
      </c>
      <c r="C6904" s="27" t="s">
        <v>12132</v>
      </c>
      <c r="D6904" s="86">
        <v>-2</v>
      </c>
      <c r="E6904" s="27" t="s">
        <v>35</v>
      </c>
      <c r="F6904" s="29">
        <v>610122005</v>
      </c>
      <c r="G6904" s="29" t="s">
        <v>765</v>
      </c>
      <c r="H6904" s="107"/>
      <c r="I6904" s="101"/>
      <c r="J6904" s="101"/>
      <c r="K6904" s="29"/>
      <c r="L6904" s="2" t="s">
        <v>12133</v>
      </c>
      <c r="M6904" s="27" t="s">
        <v>1202</v>
      </c>
      <c r="N6904" s="27" t="s">
        <v>1203</v>
      </c>
      <c r="O6904" s="27" t="s">
        <v>59</v>
      </c>
      <c r="P6904" s="31">
        <v>124.51</v>
      </c>
      <c r="Q6904" s="4">
        <f t="shared" si="107"/>
        <v>-1.6062966829973494E-2</v>
      </c>
      <c r="R6904" s="23" t="s">
        <v>11466</v>
      </c>
      <c r="T6904" s="23" t="s">
        <v>12134</v>
      </c>
    </row>
    <row r="6905" spans="1:23" x14ac:dyDescent="0.25">
      <c r="A6905" s="21">
        <v>45869</v>
      </c>
      <c r="B6905" s="1" t="s">
        <v>12135</v>
      </c>
      <c r="C6905" t="s">
        <v>1206</v>
      </c>
      <c r="D6905" s="43" t="s">
        <v>12136</v>
      </c>
      <c r="E6905" t="s">
        <v>35</v>
      </c>
      <c r="F6905" s="2">
        <v>610148001</v>
      </c>
      <c r="G6905" s="2" t="s">
        <v>42</v>
      </c>
      <c r="L6905" s="2" t="s">
        <v>12137</v>
      </c>
      <c r="M6905" t="s">
        <v>43</v>
      </c>
      <c r="N6905" t="s">
        <v>42</v>
      </c>
      <c r="P6905" s="23">
        <v>124.51</v>
      </c>
      <c r="Q6905" s="4">
        <f t="shared" si="107"/>
        <v>-1.0440928439482773E-3</v>
      </c>
      <c r="R6905" s="23" t="s">
        <v>11466</v>
      </c>
    </row>
    <row r="6906" spans="1:23" x14ac:dyDescent="0.25">
      <c r="A6906" s="21">
        <v>45870</v>
      </c>
      <c r="B6906" s="1" t="s">
        <v>12138</v>
      </c>
      <c r="C6906" t="s">
        <v>10219</v>
      </c>
      <c r="D6906" s="43" t="s">
        <v>12139</v>
      </c>
      <c r="E6906" t="s">
        <v>35</v>
      </c>
      <c r="F6906" s="2">
        <v>610148001</v>
      </c>
      <c r="G6906" s="2" t="s">
        <v>42</v>
      </c>
      <c r="L6906" s="2" t="s">
        <v>12140</v>
      </c>
      <c r="M6906" t="s">
        <v>43</v>
      </c>
      <c r="N6906" t="s">
        <v>42</v>
      </c>
      <c r="P6906" s="23">
        <v>125.42</v>
      </c>
      <c r="Q6906" s="4">
        <f t="shared" si="107"/>
        <v>-9.3286557167915802</v>
      </c>
      <c r="R6906" s="23" t="s">
        <v>40</v>
      </c>
      <c r="T6906" s="23" t="s">
        <v>12141</v>
      </c>
    </row>
    <row r="6907" spans="1:23" x14ac:dyDescent="0.25">
      <c r="A6907" s="21">
        <v>45870</v>
      </c>
      <c r="B6907" s="1" t="s">
        <v>12142</v>
      </c>
      <c r="C6907" t="s">
        <v>11952</v>
      </c>
      <c r="D6907" s="43" t="s">
        <v>12143</v>
      </c>
      <c r="E6907" t="s">
        <v>35</v>
      </c>
      <c r="F6907" s="2">
        <v>110114001</v>
      </c>
      <c r="G6907" s="2" t="s">
        <v>301</v>
      </c>
      <c r="L6907" s="2" t="s">
        <v>12144</v>
      </c>
      <c r="M6907" t="s">
        <v>38</v>
      </c>
      <c r="N6907" t="s">
        <v>39</v>
      </c>
      <c r="P6907" s="23">
        <v>125.42</v>
      </c>
      <c r="Q6907" s="4">
        <f t="shared" si="107"/>
        <v>-3109.5519055971936</v>
      </c>
      <c r="R6907" s="23" t="s">
        <v>40</v>
      </c>
    </row>
    <row r="6908" spans="1:23" x14ac:dyDescent="0.25">
      <c r="A6908" s="21">
        <v>45898</v>
      </c>
      <c r="B6908" s="1" t="s">
        <v>12145</v>
      </c>
      <c r="C6908" t="s">
        <v>10260</v>
      </c>
      <c r="D6908" s="43" t="s">
        <v>10261</v>
      </c>
      <c r="E6908" t="s">
        <v>35</v>
      </c>
      <c r="F6908" s="2">
        <v>610148001</v>
      </c>
      <c r="G6908" s="2" t="s">
        <v>42</v>
      </c>
      <c r="L6908" s="2" t="s">
        <v>12146</v>
      </c>
      <c r="M6908" t="s">
        <v>43</v>
      </c>
      <c r="N6908" t="s">
        <v>42</v>
      </c>
      <c r="P6908" s="23">
        <v>147.08000000000001</v>
      </c>
      <c r="Q6908" s="4">
        <f t="shared" si="107"/>
        <v>-3.399510470492249E-3</v>
      </c>
      <c r="R6908" s="23" t="s">
        <v>40</v>
      </c>
      <c r="T6908" s="23" t="s">
        <v>12141</v>
      </c>
    </row>
    <row r="6909" spans="1:23" s="3" customFormat="1" x14ac:dyDescent="0.25">
      <c r="A6909" s="87">
        <v>45898</v>
      </c>
      <c r="B6909" s="55" t="s">
        <v>12147</v>
      </c>
      <c r="C6909" s="3" t="s">
        <v>10263</v>
      </c>
      <c r="D6909" s="43" t="s">
        <v>10261</v>
      </c>
      <c r="E6909" s="3" t="s">
        <v>35</v>
      </c>
      <c r="F6909" s="2">
        <v>610148001</v>
      </c>
      <c r="G6909" s="2" t="s">
        <v>42</v>
      </c>
      <c r="H6909" s="65"/>
      <c r="I6909" s="41"/>
      <c r="J6909" s="41"/>
      <c r="K6909" s="2"/>
      <c r="L6909" s="2" t="s">
        <v>12148</v>
      </c>
      <c r="M6909" t="s">
        <v>43</v>
      </c>
      <c r="N6909" t="s">
        <v>42</v>
      </c>
      <c r="O6909"/>
      <c r="P6909" s="23">
        <v>147.08000000000001</v>
      </c>
      <c r="Q6909" s="4">
        <f t="shared" si="107"/>
        <v>-3.399510470492249E-3</v>
      </c>
      <c r="R6909" s="23" t="s">
        <v>53</v>
      </c>
      <c r="T6909" s="23" t="s">
        <v>12141</v>
      </c>
      <c r="U6909"/>
      <c r="V6909"/>
      <c r="W6909"/>
    </row>
    <row r="6910" spans="1:23" x14ac:dyDescent="0.25">
      <c r="A6910" s="21">
        <v>45883</v>
      </c>
      <c r="B6910" s="1">
        <v>130</v>
      </c>
      <c r="C6910" t="s">
        <v>51</v>
      </c>
      <c r="D6910" s="43">
        <v>-100.14</v>
      </c>
      <c r="E6910" t="s">
        <v>35</v>
      </c>
      <c r="F6910" s="2">
        <v>610148001</v>
      </c>
      <c r="G6910" s="2" t="s">
        <v>42</v>
      </c>
      <c r="L6910" s="2" t="s">
        <v>12149</v>
      </c>
      <c r="M6910" t="s">
        <v>43</v>
      </c>
      <c r="N6910" t="s">
        <v>42</v>
      </c>
      <c r="P6910" s="23">
        <v>134.47999999999999</v>
      </c>
      <c r="Q6910" s="4">
        <f t="shared" si="107"/>
        <v>-0.74464604402141588</v>
      </c>
      <c r="R6910" s="23" t="s">
        <v>53</v>
      </c>
      <c r="T6910" s="23" t="s">
        <v>12141</v>
      </c>
    </row>
    <row r="6911" spans="1:23" x14ac:dyDescent="0.25">
      <c r="A6911" s="21">
        <v>45883</v>
      </c>
      <c r="B6911" s="1">
        <v>129</v>
      </c>
      <c r="C6911" t="s">
        <v>12150</v>
      </c>
      <c r="D6911" s="43">
        <v>-33380</v>
      </c>
      <c r="E6911" t="s">
        <v>35</v>
      </c>
      <c r="F6911" s="2">
        <v>840101001</v>
      </c>
      <c r="G6911" s="2" t="s">
        <v>12151</v>
      </c>
      <c r="L6911" s="2" t="s">
        <v>12152</v>
      </c>
      <c r="M6911" t="s">
        <v>67</v>
      </c>
      <c r="N6911" t="s">
        <v>68</v>
      </c>
      <c r="P6911" s="23">
        <v>134.47999999999999</v>
      </c>
      <c r="Q6911" s="4">
        <f t="shared" si="107"/>
        <v>-248.21534800713863</v>
      </c>
      <c r="R6911" s="23" t="s">
        <v>53</v>
      </c>
    </row>
    <row r="6912" spans="1:23" x14ac:dyDescent="0.25">
      <c r="A6912" s="21">
        <v>45883</v>
      </c>
      <c r="B6912" s="1">
        <v>128</v>
      </c>
      <c r="C6912" t="s">
        <v>51</v>
      </c>
      <c r="D6912" s="43">
        <v>-100.14</v>
      </c>
      <c r="E6912" t="s">
        <v>35</v>
      </c>
      <c r="F6912" s="2">
        <v>610148001</v>
      </c>
      <c r="G6912" s="2" t="s">
        <v>42</v>
      </c>
      <c r="L6912" s="2" t="s">
        <v>12153</v>
      </c>
      <c r="M6912" t="s">
        <v>43</v>
      </c>
      <c r="N6912" t="s">
        <v>42</v>
      </c>
      <c r="P6912" s="23">
        <v>134.47999999999999</v>
      </c>
      <c r="Q6912" s="4">
        <f t="shared" si="107"/>
        <v>-0.74464604402141588</v>
      </c>
      <c r="R6912" s="23" t="s">
        <v>53</v>
      </c>
      <c r="T6912" s="23" t="s">
        <v>12141</v>
      </c>
    </row>
    <row r="6913" spans="1:20" x14ac:dyDescent="0.25">
      <c r="A6913" s="21">
        <v>45883</v>
      </c>
      <c r="B6913" s="1">
        <v>127</v>
      </c>
      <c r="C6913" t="s">
        <v>12154</v>
      </c>
      <c r="D6913" s="43">
        <v>-33380</v>
      </c>
      <c r="E6913" t="s">
        <v>35</v>
      </c>
      <c r="F6913" s="2">
        <v>840101001</v>
      </c>
      <c r="G6913" s="2" t="s">
        <v>12151</v>
      </c>
      <c r="L6913" s="2" t="s">
        <v>12155</v>
      </c>
      <c r="M6913" t="s">
        <v>67</v>
      </c>
      <c r="N6913" t="s">
        <v>68</v>
      </c>
      <c r="P6913" s="23">
        <v>134.47999999999999</v>
      </c>
      <c r="Q6913" s="4">
        <f t="shared" si="107"/>
        <v>-248.21534800713863</v>
      </c>
      <c r="R6913" s="23" t="s">
        <v>53</v>
      </c>
    </row>
    <row r="6914" spans="1:20" x14ac:dyDescent="0.25">
      <c r="A6914" s="21">
        <v>45883</v>
      </c>
      <c r="B6914" s="1">
        <v>126</v>
      </c>
      <c r="C6914" t="s">
        <v>107</v>
      </c>
      <c r="D6914" s="43">
        <v>70000</v>
      </c>
      <c r="E6914" t="s">
        <v>46</v>
      </c>
      <c r="F6914" s="2">
        <v>210115002</v>
      </c>
      <c r="G6914" s="2" t="s">
        <v>12156</v>
      </c>
      <c r="L6914" s="2" t="s">
        <v>12157</v>
      </c>
      <c r="N6914" t="s">
        <v>107</v>
      </c>
      <c r="P6914" s="23">
        <v>134.47999999999999</v>
      </c>
      <c r="Q6914" s="4">
        <f t="shared" si="107"/>
        <v>520.52349791790607</v>
      </c>
      <c r="R6914" s="23" t="s">
        <v>53</v>
      </c>
    </row>
    <row r="6915" spans="1:20" x14ac:dyDescent="0.25">
      <c r="A6915" s="21">
        <v>45897</v>
      </c>
      <c r="B6915" s="1">
        <v>135</v>
      </c>
      <c r="C6915" t="s">
        <v>51</v>
      </c>
      <c r="D6915" s="43">
        <v>-108.27</v>
      </c>
      <c r="E6915" t="s">
        <v>35</v>
      </c>
      <c r="F6915" s="2">
        <v>610148001</v>
      </c>
      <c r="G6915" s="2" t="s">
        <v>42</v>
      </c>
      <c r="L6915" s="2" t="s">
        <v>12158</v>
      </c>
      <c r="M6915" t="s">
        <v>43</v>
      </c>
      <c r="N6915" t="s">
        <v>42</v>
      </c>
      <c r="P6915" s="23">
        <v>145.75</v>
      </c>
      <c r="Q6915" s="4">
        <f t="shared" si="107"/>
        <v>-0.74284734133790731</v>
      </c>
      <c r="R6915" s="23" t="s">
        <v>53</v>
      </c>
      <c r="T6915" s="23" t="s">
        <v>12141</v>
      </c>
    </row>
    <row r="6916" spans="1:20" x14ac:dyDescent="0.25">
      <c r="A6916" s="21">
        <v>45897</v>
      </c>
      <c r="B6916" s="1">
        <v>134</v>
      </c>
      <c r="C6916" t="s">
        <v>12159</v>
      </c>
      <c r="D6916" s="43">
        <v>-36092.5</v>
      </c>
      <c r="E6916" t="s">
        <v>35</v>
      </c>
      <c r="F6916" s="2">
        <v>840101001</v>
      </c>
      <c r="G6916" s="2" t="s">
        <v>12151</v>
      </c>
      <c r="L6916" s="2" t="s">
        <v>12160</v>
      </c>
      <c r="M6916" t="s">
        <v>67</v>
      </c>
      <c r="N6916" t="s">
        <v>68</v>
      </c>
      <c r="P6916" s="23">
        <v>145.75</v>
      </c>
      <c r="Q6916" s="4">
        <f t="shared" si="107"/>
        <v>-247.63293310463121</v>
      </c>
      <c r="R6916" s="23" t="s">
        <v>53</v>
      </c>
    </row>
    <row r="6917" spans="1:20" x14ac:dyDescent="0.25">
      <c r="A6917" s="21">
        <v>45897</v>
      </c>
      <c r="B6917" s="1">
        <v>133</v>
      </c>
      <c r="C6917" t="s">
        <v>51</v>
      </c>
      <c r="D6917" s="43">
        <v>-108.27</v>
      </c>
      <c r="E6917" t="s">
        <v>35</v>
      </c>
      <c r="F6917" s="2">
        <v>610148001</v>
      </c>
      <c r="G6917" s="2" t="s">
        <v>42</v>
      </c>
      <c r="L6917" s="2" t="s">
        <v>12161</v>
      </c>
      <c r="M6917" t="s">
        <v>43</v>
      </c>
      <c r="N6917" t="s">
        <v>42</v>
      </c>
      <c r="P6917" s="23">
        <v>145.75</v>
      </c>
      <c r="Q6917" s="4">
        <f t="shared" si="107"/>
        <v>-0.74284734133790731</v>
      </c>
      <c r="R6917" s="23" t="s">
        <v>53</v>
      </c>
      <c r="T6917" s="23" t="s">
        <v>12141</v>
      </c>
    </row>
    <row r="6918" spans="1:20" x14ac:dyDescent="0.25">
      <c r="A6918" s="21">
        <v>45897</v>
      </c>
      <c r="B6918" s="1">
        <v>132</v>
      </c>
      <c r="C6918" t="s">
        <v>12162</v>
      </c>
      <c r="D6918" s="43">
        <v>-36092.5</v>
      </c>
      <c r="E6918" t="s">
        <v>35</v>
      </c>
      <c r="F6918" s="2">
        <v>840101001</v>
      </c>
      <c r="G6918" s="2" t="s">
        <v>12151</v>
      </c>
      <c r="L6918" s="2" t="s">
        <v>12163</v>
      </c>
      <c r="M6918" t="s">
        <v>67</v>
      </c>
      <c r="N6918" t="s">
        <v>68</v>
      </c>
      <c r="P6918" s="23">
        <v>145.75</v>
      </c>
      <c r="Q6918" s="4">
        <f t="shared" si="107"/>
        <v>-247.63293310463121</v>
      </c>
      <c r="R6918" s="23" t="s">
        <v>53</v>
      </c>
    </row>
    <row r="6919" spans="1:20" x14ac:dyDescent="0.25">
      <c r="A6919" s="21">
        <v>45897</v>
      </c>
      <c r="B6919" s="1">
        <v>131</v>
      </c>
      <c r="C6919" t="s">
        <v>107</v>
      </c>
      <c r="D6919" s="43">
        <v>80000</v>
      </c>
      <c r="E6919" t="s">
        <v>46</v>
      </c>
      <c r="F6919" s="2">
        <v>210115002</v>
      </c>
      <c r="G6919" s="2" t="s">
        <v>12156</v>
      </c>
      <c r="L6919" s="2" t="s">
        <v>12164</v>
      </c>
      <c r="N6919" t="s">
        <v>107</v>
      </c>
      <c r="P6919" s="23">
        <v>145.75</v>
      </c>
      <c r="Q6919" s="4">
        <f t="shared" si="107"/>
        <v>548.88507718696394</v>
      </c>
      <c r="R6919" s="23" t="s">
        <v>53</v>
      </c>
    </row>
    <row r="6920" spans="1:20" x14ac:dyDescent="0.25">
      <c r="A6920" s="21">
        <v>45900</v>
      </c>
      <c r="B6920" s="1">
        <v>137</v>
      </c>
      <c r="C6920" t="s">
        <v>84</v>
      </c>
      <c r="D6920" s="43">
        <v>-0.5</v>
      </c>
      <c r="E6920" t="s">
        <v>35</v>
      </c>
      <c r="F6920" s="2">
        <v>610148001</v>
      </c>
      <c r="G6920" s="2" t="s">
        <v>42</v>
      </c>
      <c r="L6920" s="2" t="s">
        <v>12165</v>
      </c>
      <c r="M6920" t="s">
        <v>43</v>
      </c>
      <c r="N6920" t="s">
        <v>42</v>
      </c>
      <c r="P6920" s="23">
        <v>147.08000000000001</v>
      </c>
      <c r="Q6920" s="4">
        <f t="shared" si="107"/>
        <v>-3.399510470492249E-3</v>
      </c>
      <c r="R6920" s="23" t="s">
        <v>53</v>
      </c>
      <c r="T6920" s="23" t="s">
        <v>12141</v>
      </c>
    </row>
    <row r="6921" spans="1:20" x14ac:dyDescent="0.25">
      <c r="A6921" s="21">
        <v>45900</v>
      </c>
      <c r="B6921" s="1">
        <v>136</v>
      </c>
      <c r="C6921" t="s">
        <v>86</v>
      </c>
      <c r="D6921" s="43">
        <v>-0.5</v>
      </c>
      <c r="E6921" t="s">
        <v>35</v>
      </c>
      <c r="F6921" s="2">
        <v>610148001</v>
      </c>
      <c r="G6921" s="2" t="s">
        <v>42</v>
      </c>
      <c r="L6921" s="2" t="s">
        <v>12166</v>
      </c>
      <c r="M6921" t="s">
        <v>43</v>
      </c>
      <c r="N6921" t="s">
        <v>42</v>
      </c>
      <c r="P6921" s="23">
        <v>147.08000000000001</v>
      </c>
      <c r="Q6921" s="4">
        <f t="shared" si="107"/>
        <v>-3.399510470492249E-3</v>
      </c>
      <c r="R6921" s="23" t="s">
        <v>53</v>
      </c>
      <c r="T6921" s="23" t="s">
        <v>12141</v>
      </c>
    </row>
    <row r="6922" spans="1:20" x14ac:dyDescent="0.25">
      <c r="A6922" s="21">
        <v>45870</v>
      </c>
      <c r="B6922" s="1">
        <v>130540299</v>
      </c>
      <c r="C6922" t="s">
        <v>107</v>
      </c>
      <c r="D6922" s="43">
        <v>350000</v>
      </c>
      <c r="E6922" t="s">
        <v>46</v>
      </c>
      <c r="F6922" s="2">
        <v>210115002</v>
      </c>
      <c r="G6922" s="2" t="s">
        <v>47</v>
      </c>
      <c r="L6922" s="2" t="s">
        <v>12167</v>
      </c>
      <c r="N6922" t="s">
        <v>107</v>
      </c>
      <c r="P6922" s="23">
        <v>125.42</v>
      </c>
      <c r="Q6922" s="4">
        <f t="shared" si="107"/>
        <v>2790.6235050231221</v>
      </c>
      <c r="R6922" s="23" t="s">
        <v>109</v>
      </c>
    </row>
    <row r="6923" spans="1:20" x14ac:dyDescent="0.25">
      <c r="A6923" s="32">
        <v>45870</v>
      </c>
      <c r="B6923" s="26">
        <v>815959693</v>
      </c>
      <c r="C6923" s="27" t="s">
        <v>12168</v>
      </c>
      <c r="D6923" s="46">
        <v>-15050.4</v>
      </c>
      <c r="E6923" s="27" t="s">
        <v>35</v>
      </c>
      <c r="F6923" s="29">
        <v>610156001</v>
      </c>
      <c r="G6923" s="29" t="s">
        <v>91</v>
      </c>
      <c r="H6923" s="107"/>
      <c r="I6923" s="101"/>
      <c r="J6923" s="101"/>
      <c r="K6923" s="29"/>
      <c r="L6923" s="2" t="s">
        <v>12169</v>
      </c>
      <c r="M6923" s="27" t="s">
        <v>93</v>
      </c>
      <c r="N6923" s="27" t="s">
        <v>94</v>
      </c>
      <c r="O6923" s="27" t="s">
        <v>59</v>
      </c>
      <c r="P6923" s="31">
        <v>125.42</v>
      </c>
      <c r="Q6923" s="4">
        <f t="shared" ref="Q6923:Q6986" si="108">D6923/P6923</f>
        <v>-120</v>
      </c>
      <c r="R6923" s="23" t="s">
        <v>109</v>
      </c>
      <c r="T6923" s="23" t="s">
        <v>12170</v>
      </c>
    </row>
    <row r="6924" spans="1:20" x14ac:dyDescent="0.25">
      <c r="A6924" s="21">
        <v>45870</v>
      </c>
      <c r="B6924" s="1">
        <v>815959692</v>
      </c>
      <c r="C6924" t="s">
        <v>10983</v>
      </c>
      <c r="D6924" s="43">
        <v>-7577.13</v>
      </c>
      <c r="E6924" t="s">
        <v>35</v>
      </c>
      <c r="F6924" s="2">
        <v>110101002</v>
      </c>
      <c r="G6924" s="2" t="s">
        <v>6359</v>
      </c>
      <c r="L6924" s="2" t="s">
        <v>12171</v>
      </c>
      <c r="N6924" t="s">
        <v>7557</v>
      </c>
      <c r="P6924" s="23">
        <v>125.42</v>
      </c>
      <c r="Q6924" s="4">
        <f t="shared" si="108"/>
        <v>-60.414048796045286</v>
      </c>
      <c r="R6924" s="23" t="s">
        <v>109</v>
      </c>
    </row>
    <row r="6925" spans="1:20" x14ac:dyDescent="0.25">
      <c r="A6925" s="21">
        <v>45870</v>
      </c>
      <c r="B6925" s="1">
        <v>915959694</v>
      </c>
      <c r="C6925" t="s">
        <v>12172</v>
      </c>
      <c r="D6925" s="43">
        <v>-257736.2</v>
      </c>
      <c r="E6925" t="s">
        <v>35</v>
      </c>
      <c r="F6925" s="2">
        <v>210101001</v>
      </c>
      <c r="G6925" s="2" t="s">
        <v>36</v>
      </c>
      <c r="L6925" s="2" t="s">
        <v>12173</v>
      </c>
      <c r="M6925" t="s">
        <v>38</v>
      </c>
      <c r="N6925" t="s">
        <v>39</v>
      </c>
      <c r="P6925" s="23">
        <v>125.42</v>
      </c>
      <c r="Q6925" s="4">
        <f t="shared" si="108"/>
        <v>-2054.984850900973</v>
      </c>
      <c r="R6925" s="23" t="s">
        <v>109</v>
      </c>
    </row>
    <row r="6926" spans="1:20" x14ac:dyDescent="0.25">
      <c r="A6926" s="32">
        <v>45870</v>
      </c>
      <c r="B6926" s="26">
        <v>915959695</v>
      </c>
      <c r="C6926" s="27" t="s">
        <v>12174</v>
      </c>
      <c r="D6926" s="46">
        <v>-1500</v>
      </c>
      <c r="E6926" s="27" t="s">
        <v>35</v>
      </c>
      <c r="F6926" s="29">
        <v>610156001</v>
      </c>
      <c r="G6926" s="29" t="s">
        <v>91</v>
      </c>
      <c r="H6926" s="107"/>
      <c r="I6926" s="101"/>
      <c r="J6926" s="101"/>
      <c r="K6926" s="29"/>
      <c r="L6926" s="2" t="s">
        <v>12175</v>
      </c>
      <c r="M6926" s="27" t="s">
        <v>5015</v>
      </c>
      <c r="N6926" s="27" t="s">
        <v>1240</v>
      </c>
      <c r="O6926" s="27" t="s">
        <v>59</v>
      </c>
      <c r="P6926" s="31">
        <v>125.42</v>
      </c>
      <c r="Q6926" s="4">
        <f t="shared" si="108"/>
        <v>-11.959815021527668</v>
      </c>
      <c r="R6926" s="23" t="s">
        <v>109</v>
      </c>
      <c r="T6926" s="23" t="s">
        <v>12176</v>
      </c>
    </row>
    <row r="6927" spans="1:20" x14ac:dyDescent="0.25">
      <c r="A6927" s="21">
        <v>45870</v>
      </c>
      <c r="B6927" s="1">
        <v>915959699</v>
      </c>
      <c r="C6927" t="s">
        <v>12177</v>
      </c>
      <c r="D6927" s="43">
        <v>-1254.2</v>
      </c>
      <c r="E6927" t="s">
        <v>35</v>
      </c>
      <c r="F6927" s="2">
        <v>212901001</v>
      </c>
      <c r="G6927" s="2" t="s">
        <v>121</v>
      </c>
      <c r="L6927" s="2" t="s">
        <v>12178</v>
      </c>
      <c r="M6927" t="s">
        <v>67</v>
      </c>
      <c r="N6927" t="s">
        <v>68</v>
      </c>
      <c r="P6927" s="23">
        <v>125.42</v>
      </c>
      <c r="Q6927" s="4">
        <f t="shared" si="108"/>
        <v>-10</v>
      </c>
      <c r="R6927" s="23" t="s">
        <v>109</v>
      </c>
    </row>
    <row r="6928" spans="1:20" x14ac:dyDescent="0.25">
      <c r="A6928" s="21">
        <v>45870</v>
      </c>
      <c r="B6928" s="1">
        <v>915959698</v>
      </c>
      <c r="C6928" t="s">
        <v>12179</v>
      </c>
      <c r="D6928" s="43">
        <v>-12542</v>
      </c>
      <c r="E6928" t="s">
        <v>35</v>
      </c>
      <c r="F6928" s="2">
        <v>212901001</v>
      </c>
      <c r="G6928" s="2" t="s">
        <v>121</v>
      </c>
      <c r="L6928" s="2" t="s">
        <v>12180</v>
      </c>
      <c r="M6928" t="s">
        <v>67</v>
      </c>
      <c r="N6928" t="s">
        <v>68</v>
      </c>
      <c r="P6928" s="23">
        <v>125.42</v>
      </c>
      <c r="Q6928" s="4">
        <f t="shared" si="108"/>
        <v>-100</v>
      </c>
      <c r="R6928" s="23" t="s">
        <v>109</v>
      </c>
    </row>
    <row r="6929" spans="1:20" x14ac:dyDescent="0.25">
      <c r="A6929" s="21">
        <v>45870</v>
      </c>
      <c r="B6929" s="1">
        <v>915959696</v>
      </c>
      <c r="C6929" t="s">
        <v>12181</v>
      </c>
      <c r="D6929" s="43">
        <v>-12542</v>
      </c>
      <c r="E6929" t="s">
        <v>35</v>
      </c>
      <c r="F6929" s="2">
        <v>212901001</v>
      </c>
      <c r="G6929" s="2" t="s">
        <v>121</v>
      </c>
      <c r="L6929" s="2" t="s">
        <v>12182</v>
      </c>
      <c r="M6929" t="s">
        <v>67</v>
      </c>
      <c r="N6929" t="s">
        <v>68</v>
      </c>
      <c r="P6929" s="23">
        <v>125.42</v>
      </c>
      <c r="Q6929" s="4">
        <f t="shared" si="108"/>
        <v>-100</v>
      </c>
      <c r="R6929" s="23" t="s">
        <v>109</v>
      </c>
    </row>
    <row r="6930" spans="1:20" x14ac:dyDescent="0.25">
      <c r="A6930" s="21">
        <v>45870</v>
      </c>
      <c r="B6930" s="1">
        <v>915959700</v>
      </c>
      <c r="C6930" t="s">
        <v>12183</v>
      </c>
      <c r="D6930" s="43">
        <v>-2508.4</v>
      </c>
      <c r="E6930" t="s">
        <v>35</v>
      </c>
      <c r="F6930" s="2">
        <v>212901001</v>
      </c>
      <c r="G6930" s="2" t="s">
        <v>121</v>
      </c>
      <c r="L6930" s="2" t="s">
        <v>12184</v>
      </c>
      <c r="M6930" t="s">
        <v>67</v>
      </c>
      <c r="N6930" t="s">
        <v>68</v>
      </c>
      <c r="P6930" s="23">
        <v>125.42</v>
      </c>
      <c r="Q6930" s="4">
        <f t="shared" si="108"/>
        <v>-20</v>
      </c>
      <c r="R6930" s="23" t="s">
        <v>109</v>
      </c>
    </row>
    <row r="6931" spans="1:20" x14ac:dyDescent="0.25">
      <c r="A6931" s="21">
        <v>45870</v>
      </c>
      <c r="B6931" s="1">
        <v>915959701</v>
      </c>
      <c r="C6931" t="s">
        <v>12185</v>
      </c>
      <c r="D6931" s="43">
        <v>-2508.4</v>
      </c>
      <c r="E6931" t="s">
        <v>35</v>
      </c>
      <c r="F6931" s="2">
        <v>212901001</v>
      </c>
      <c r="G6931" s="2" t="s">
        <v>121</v>
      </c>
      <c r="L6931" s="2" t="s">
        <v>12186</v>
      </c>
      <c r="M6931" t="s">
        <v>67</v>
      </c>
      <c r="N6931" t="s">
        <v>68</v>
      </c>
      <c r="P6931" s="23">
        <v>125.42</v>
      </c>
      <c r="Q6931" s="4">
        <f t="shared" si="108"/>
        <v>-20</v>
      </c>
      <c r="R6931" s="23" t="s">
        <v>109</v>
      </c>
    </row>
    <row r="6932" spans="1:20" x14ac:dyDescent="0.25">
      <c r="A6932" s="21">
        <v>45870</v>
      </c>
      <c r="B6932" s="1">
        <v>915959702</v>
      </c>
      <c r="C6932" t="s">
        <v>12187</v>
      </c>
      <c r="D6932" s="43">
        <v>-2508.4</v>
      </c>
      <c r="E6932" t="s">
        <v>35</v>
      </c>
      <c r="F6932" s="2">
        <v>212901001</v>
      </c>
      <c r="G6932" s="2" t="s">
        <v>121</v>
      </c>
      <c r="L6932" s="2" t="s">
        <v>12188</v>
      </c>
      <c r="M6932" t="s">
        <v>67</v>
      </c>
      <c r="N6932" t="s">
        <v>68</v>
      </c>
      <c r="P6932" s="23">
        <v>125.42</v>
      </c>
      <c r="Q6932" s="4">
        <f t="shared" si="108"/>
        <v>-20</v>
      </c>
      <c r="R6932" s="23" t="s">
        <v>109</v>
      </c>
    </row>
    <row r="6933" spans="1:20" x14ac:dyDescent="0.25">
      <c r="A6933" s="21">
        <v>45870</v>
      </c>
      <c r="B6933" s="1">
        <v>915959703</v>
      </c>
      <c r="C6933" t="s">
        <v>12189</v>
      </c>
      <c r="D6933" s="43">
        <v>-2508.4</v>
      </c>
      <c r="E6933" t="s">
        <v>35</v>
      </c>
      <c r="F6933" s="2">
        <v>212901001</v>
      </c>
      <c r="G6933" s="2" t="s">
        <v>121</v>
      </c>
      <c r="L6933" s="2" t="s">
        <v>12190</v>
      </c>
      <c r="M6933" t="s">
        <v>67</v>
      </c>
      <c r="N6933" t="s">
        <v>68</v>
      </c>
      <c r="P6933" s="23">
        <v>125.42</v>
      </c>
      <c r="Q6933" s="4">
        <f t="shared" si="108"/>
        <v>-20</v>
      </c>
      <c r="R6933" s="23" t="s">
        <v>109</v>
      </c>
    </row>
    <row r="6934" spans="1:20" x14ac:dyDescent="0.25">
      <c r="A6934" s="21">
        <v>45870</v>
      </c>
      <c r="B6934" s="1">
        <v>15959705</v>
      </c>
      <c r="C6934" t="s">
        <v>12191</v>
      </c>
      <c r="D6934" s="43">
        <v>-2508.4</v>
      </c>
      <c r="E6934" t="s">
        <v>35</v>
      </c>
      <c r="F6934" s="2">
        <v>212901001</v>
      </c>
      <c r="G6934" s="2" t="s">
        <v>121</v>
      </c>
      <c r="L6934" s="2" t="s">
        <v>12192</v>
      </c>
      <c r="M6934" t="s">
        <v>67</v>
      </c>
      <c r="N6934" t="s">
        <v>68</v>
      </c>
      <c r="P6934" s="23">
        <v>125.42</v>
      </c>
      <c r="Q6934" s="4">
        <f t="shared" si="108"/>
        <v>-20</v>
      </c>
      <c r="R6934" s="23" t="s">
        <v>109</v>
      </c>
    </row>
    <row r="6935" spans="1:20" x14ac:dyDescent="0.25">
      <c r="A6935" s="32">
        <v>45870</v>
      </c>
      <c r="B6935" s="26">
        <v>15959707</v>
      </c>
      <c r="C6935" s="27" t="s">
        <v>12193</v>
      </c>
      <c r="D6935" s="46">
        <v>-29599.119999999999</v>
      </c>
      <c r="E6935" s="27" t="s">
        <v>35</v>
      </c>
      <c r="F6935" s="29">
        <v>610156001</v>
      </c>
      <c r="G6935" s="29" t="s">
        <v>91</v>
      </c>
      <c r="H6935" s="107"/>
      <c r="I6935" s="101"/>
      <c r="J6935" s="101"/>
      <c r="K6935" s="29"/>
      <c r="L6935" s="2" t="s">
        <v>12194</v>
      </c>
      <c r="M6935" s="27" t="s">
        <v>5015</v>
      </c>
      <c r="N6935" s="27" t="s">
        <v>1240</v>
      </c>
      <c r="O6935" s="27" t="s">
        <v>59</v>
      </c>
      <c r="P6935" s="31">
        <v>125.42</v>
      </c>
      <c r="Q6935" s="4">
        <f t="shared" si="108"/>
        <v>-236</v>
      </c>
      <c r="R6935" s="23" t="s">
        <v>109</v>
      </c>
      <c r="T6935" s="23" t="s">
        <v>12176</v>
      </c>
    </row>
    <row r="6936" spans="1:20" x14ac:dyDescent="0.25">
      <c r="A6936" s="21">
        <v>45870</v>
      </c>
      <c r="B6936" s="1">
        <v>15959708</v>
      </c>
      <c r="C6936" t="s">
        <v>11952</v>
      </c>
      <c r="D6936" s="43">
        <v>-29124.32</v>
      </c>
      <c r="E6936" t="s">
        <v>35</v>
      </c>
      <c r="F6936" s="2">
        <v>110114001</v>
      </c>
      <c r="G6936" s="2" t="s">
        <v>301</v>
      </c>
      <c r="L6936" s="2" t="s">
        <v>12195</v>
      </c>
      <c r="M6936" t="s">
        <v>38</v>
      </c>
      <c r="N6936" t="s">
        <v>39</v>
      </c>
      <c r="P6936" s="23">
        <v>125.42</v>
      </c>
      <c r="Q6936" s="4">
        <f t="shared" si="108"/>
        <v>-232.21431988518577</v>
      </c>
      <c r="R6936" s="23" t="s">
        <v>109</v>
      </c>
    </row>
    <row r="6937" spans="1:20" x14ac:dyDescent="0.25">
      <c r="A6937" s="21">
        <v>45870</v>
      </c>
      <c r="B6937" s="1">
        <v>50883108</v>
      </c>
      <c r="C6937" t="s">
        <v>118</v>
      </c>
      <c r="D6937" s="43">
        <v>-948.66</v>
      </c>
      <c r="E6937" t="s">
        <v>35</v>
      </c>
      <c r="F6937" s="2">
        <v>610148001</v>
      </c>
      <c r="G6937" s="2" t="s">
        <v>42</v>
      </c>
      <c r="L6937" s="2" t="s">
        <v>12196</v>
      </c>
      <c r="M6937" t="s">
        <v>43</v>
      </c>
      <c r="N6937" t="s">
        <v>42</v>
      </c>
      <c r="P6937" s="23">
        <v>125.42</v>
      </c>
      <c r="Q6937" s="4">
        <f t="shared" si="108"/>
        <v>-7.5638654122149571</v>
      </c>
      <c r="R6937" s="23" t="s">
        <v>109</v>
      </c>
      <c r="T6937" s="23" t="s">
        <v>12141</v>
      </c>
    </row>
    <row r="6938" spans="1:20" x14ac:dyDescent="0.25">
      <c r="A6938" s="21">
        <v>45870</v>
      </c>
      <c r="C6938" t="s">
        <v>1565</v>
      </c>
      <c r="D6938" s="43">
        <v>-0.13</v>
      </c>
      <c r="E6938" t="s">
        <v>35</v>
      </c>
      <c r="F6938" s="2">
        <v>610148001</v>
      </c>
      <c r="G6938" s="2" t="s">
        <v>42</v>
      </c>
      <c r="L6938" s="2" t="s">
        <v>12197</v>
      </c>
      <c r="M6938" t="s">
        <v>43</v>
      </c>
      <c r="N6938" t="s">
        <v>42</v>
      </c>
      <c r="P6938" s="23">
        <v>125.42</v>
      </c>
      <c r="Q6938" s="4">
        <f t="shared" si="108"/>
        <v>-1.0365173018657312E-3</v>
      </c>
      <c r="R6938" s="23" t="s">
        <v>109</v>
      </c>
      <c r="T6938" s="23" t="s">
        <v>12141</v>
      </c>
    </row>
    <row r="6939" spans="1:20" x14ac:dyDescent="0.25">
      <c r="A6939" s="32">
        <v>45870</v>
      </c>
      <c r="B6939" s="26">
        <v>155020174</v>
      </c>
      <c r="C6939" s="27" t="s">
        <v>12198</v>
      </c>
      <c r="D6939" s="46">
        <v>-15570.64</v>
      </c>
      <c r="E6939" s="27" t="s">
        <v>35</v>
      </c>
      <c r="F6939" s="29">
        <v>610122003</v>
      </c>
      <c r="G6939" s="29" t="s">
        <v>6294</v>
      </c>
      <c r="H6939" s="107"/>
      <c r="I6939" s="101"/>
      <c r="J6939" s="101"/>
      <c r="K6939" s="29"/>
      <c r="L6939" s="2" t="s">
        <v>12199</v>
      </c>
      <c r="M6939" s="27" t="s">
        <v>12200</v>
      </c>
      <c r="N6939" s="27" t="s">
        <v>6297</v>
      </c>
      <c r="O6939" s="27" t="s">
        <v>59</v>
      </c>
      <c r="P6939" s="31">
        <v>125.42</v>
      </c>
      <c r="Q6939" s="4">
        <f t="shared" si="108"/>
        <v>-124.14798277786636</v>
      </c>
      <c r="R6939" s="23" t="s">
        <v>109</v>
      </c>
      <c r="T6939" s="23" t="s">
        <v>12201</v>
      </c>
    </row>
    <row r="6940" spans="1:20" x14ac:dyDescent="0.25">
      <c r="A6940" s="21">
        <v>45873</v>
      </c>
      <c r="B6940" s="1">
        <v>90207462</v>
      </c>
      <c r="C6940" t="s">
        <v>107</v>
      </c>
      <c r="D6940" s="43">
        <v>260000</v>
      </c>
      <c r="E6940" t="s">
        <v>46</v>
      </c>
      <c r="F6940" s="2">
        <v>210115002</v>
      </c>
      <c r="G6940" s="2" t="s">
        <v>47</v>
      </c>
      <c r="L6940" s="2" t="s">
        <v>12202</v>
      </c>
      <c r="N6940" t="s">
        <v>107</v>
      </c>
      <c r="P6940" s="23">
        <v>126.28</v>
      </c>
      <c r="Q6940" s="4">
        <f t="shared" si="108"/>
        <v>2058.9166930630345</v>
      </c>
      <c r="R6940" s="23" t="s">
        <v>109</v>
      </c>
    </row>
    <row r="6941" spans="1:20" x14ac:dyDescent="0.25">
      <c r="A6941" s="21">
        <v>45873</v>
      </c>
      <c r="B6941" s="1">
        <v>876725343</v>
      </c>
      <c r="C6941" t="s">
        <v>131</v>
      </c>
      <c r="D6941" s="43">
        <v>600000</v>
      </c>
      <c r="E6941" t="s">
        <v>46</v>
      </c>
      <c r="F6941" s="2">
        <v>210115002</v>
      </c>
      <c r="G6941" s="2" t="s">
        <v>47</v>
      </c>
      <c r="L6941" s="2" t="s">
        <v>12203</v>
      </c>
      <c r="N6941" t="s">
        <v>131</v>
      </c>
      <c r="P6941" s="23">
        <v>126.28</v>
      </c>
      <c r="Q6941" s="4">
        <f t="shared" si="108"/>
        <v>4751.3462147608489</v>
      </c>
      <c r="R6941" s="23" t="s">
        <v>109</v>
      </c>
    </row>
    <row r="6942" spans="1:20" x14ac:dyDescent="0.25">
      <c r="A6942" s="21">
        <v>45873</v>
      </c>
      <c r="B6942" s="1">
        <v>116002627</v>
      </c>
      <c r="C6942" t="s">
        <v>12204</v>
      </c>
      <c r="D6942" s="43">
        <v>-12451</v>
      </c>
      <c r="E6942" t="s">
        <v>35</v>
      </c>
      <c r="F6942" s="2">
        <v>212901001</v>
      </c>
      <c r="G6942" s="2" t="s">
        <v>121</v>
      </c>
      <c r="L6942" s="2" t="s">
        <v>12205</v>
      </c>
      <c r="M6942" t="s">
        <v>67</v>
      </c>
      <c r="N6942" t="s">
        <v>68</v>
      </c>
      <c r="P6942" s="23">
        <v>126.28</v>
      </c>
      <c r="Q6942" s="4">
        <f t="shared" si="108"/>
        <v>-98.598352866645556</v>
      </c>
      <c r="R6942" s="23" t="s">
        <v>109</v>
      </c>
    </row>
    <row r="6943" spans="1:20" x14ac:dyDescent="0.25">
      <c r="A6943" s="21">
        <v>45873</v>
      </c>
      <c r="B6943" s="1">
        <v>116002626</v>
      </c>
      <c r="C6943" t="s">
        <v>12206</v>
      </c>
      <c r="D6943" s="43">
        <v>-14941.2</v>
      </c>
      <c r="E6943" t="s">
        <v>35</v>
      </c>
      <c r="F6943" s="2">
        <v>212901001</v>
      </c>
      <c r="G6943" s="2" t="s">
        <v>121</v>
      </c>
      <c r="L6943" s="2" t="s">
        <v>12207</v>
      </c>
      <c r="M6943" t="s">
        <v>67</v>
      </c>
      <c r="N6943" t="s">
        <v>68</v>
      </c>
      <c r="P6943" s="23">
        <v>126.28</v>
      </c>
      <c r="Q6943" s="4">
        <f t="shared" si="108"/>
        <v>-118.31802343997467</v>
      </c>
      <c r="R6943" s="23" t="s">
        <v>109</v>
      </c>
    </row>
    <row r="6944" spans="1:20" x14ac:dyDescent="0.25">
      <c r="A6944" s="21">
        <v>45873</v>
      </c>
      <c r="B6944" s="1">
        <v>216002628</v>
      </c>
      <c r="C6944" t="s">
        <v>12208</v>
      </c>
      <c r="D6944" s="43">
        <v>-12451</v>
      </c>
      <c r="E6944" t="s">
        <v>35</v>
      </c>
      <c r="F6944" s="2">
        <v>212901001</v>
      </c>
      <c r="G6944" s="2" t="s">
        <v>121</v>
      </c>
      <c r="L6944" s="2" t="s">
        <v>12209</v>
      </c>
      <c r="M6944" t="s">
        <v>67</v>
      </c>
      <c r="N6944" t="s">
        <v>68</v>
      </c>
      <c r="P6944" s="23">
        <v>126.28</v>
      </c>
      <c r="Q6944" s="4">
        <f t="shared" si="108"/>
        <v>-98.598352866645556</v>
      </c>
      <c r="R6944" s="23" t="s">
        <v>109</v>
      </c>
    </row>
    <row r="6945" spans="1:18" x14ac:dyDescent="0.25">
      <c r="A6945" s="21">
        <v>45873</v>
      </c>
      <c r="B6945" s="1">
        <v>216002629</v>
      </c>
      <c r="C6945" t="s">
        <v>12210</v>
      </c>
      <c r="D6945" s="43">
        <v>-12451</v>
      </c>
      <c r="E6945" t="s">
        <v>35</v>
      </c>
      <c r="F6945" s="2">
        <v>212901001</v>
      </c>
      <c r="G6945" s="2" t="s">
        <v>121</v>
      </c>
      <c r="L6945" s="2" t="s">
        <v>12211</v>
      </c>
      <c r="M6945" t="s">
        <v>67</v>
      </c>
      <c r="N6945" t="s">
        <v>68</v>
      </c>
      <c r="P6945" s="23">
        <v>126.28</v>
      </c>
      <c r="Q6945" s="4">
        <f t="shared" si="108"/>
        <v>-98.598352866645556</v>
      </c>
      <c r="R6945" s="23" t="s">
        <v>109</v>
      </c>
    </row>
    <row r="6946" spans="1:18" x14ac:dyDescent="0.25">
      <c r="A6946" s="21">
        <v>45873</v>
      </c>
      <c r="B6946" s="1">
        <v>216002631</v>
      </c>
      <c r="C6946" t="s">
        <v>12212</v>
      </c>
      <c r="D6946" s="43">
        <v>-12451</v>
      </c>
      <c r="E6946" t="s">
        <v>35</v>
      </c>
      <c r="F6946" s="2">
        <v>212901001</v>
      </c>
      <c r="G6946" s="2" t="s">
        <v>121</v>
      </c>
      <c r="L6946" s="2" t="s">
        <v>12213</v>
      </c>
      <c r="M6946" t="s">
        <v>67</v>
      </c>
      <c r="N6946" t="s">
        <v>68</v>
      </c>
      <c r="P6946" s="23">
        <v>126.28</v>
      </c>
      <c r="Q6946" s="4">
        <f t="shared" si="108"/>
        <v>-98.598352866645556</v>
      </c>
      <c r="R6946" s="23" t="s">
        <v>109</v>
      </c>
    </row>
    <row r="6947" spans="1:18" x14ac:dyDescent="0.25">
      <c r="A6947" s="21">
        <v>45873</v>
      </c>
      <c r="B6947" s="1">
        <v>216002633</v>
      </c>
      <c r="C6947" t="s">
        <v>12214</v>
      </c>
      <c r="D6947" s="43">
        <v>-12451</v>
      </c>
      <c r="E6947" t="s">
        <v>35</v>
      </c>
      <c r="F6947" s="2">
        <v>212901001</v>
      </c>
      <c r="G6947" s="2" t="s">
        <v>121</v>
      </c>
      <c r="L6947" s="2" t="s">
        <v>12215</v>
      </c>
      <c r="M6947" t="s">
        <v>67</v>
      </c>
      <c r="N6947" t="s">
        <v>68</v>
      </c>
      <c r="P6947" s="23">
        <v>126.28</v>
      </c>
      <c r="Q6947" s="4">
        <f t="shared" si="108"/>
        <v>-98.598352866645556</v>
      </c>
      <c r="R6947" s="23" t="s">
        <v>109</v>
      </c>
    </row>
    <row r="6948" spans="1:18" x14ac:dyDescent="0.25">
      <c r="A6948" s="21">
        <v>45873</v>
      </c>
      <c r="B6948" s="1">
        <v>216002630</v>
      </c>
      <c r="C6948" t="s">
        <v>12216</v>
      </c>
      <c r="D6948" s="43">
        <v>-12451</v>
      </c>
      <c r="E6948" t="s">
        <v>35</v>
      </c>
      <c r="F6948" s="2">
        <v>212901001</v>
      </c>
      <c r="G6948" s="2" t="s">
        <v>121</v>
      </c>
      <c r="L6948" s="2" t="s">
        <v>12217</v>
      </c>
      <c r="M6948" t="s">
        <v>67</v>
      </c>
      <c r="N6948" t="s">
        <v>68</v>
      </c>
      <c r="P6948" s="23">
        <v>126.28</v>
      </c>
      <c r="Q6948" s="4">
        <f t="shared" si="108"/>
        <v>-98.598352866645556</v>
      </c>
      <c r="R6948" s="23" t="s">
        <v>109</v>
      </c>
    </row>
    <row r="6949" spans="1:18" x14ac:dyDescent="0.25">
      <c r="A6949" s="21">
        <v>45873</v>
      </c>
      <c r="B6949" s="1">
        <v>216002632</v>
      </c>
      <c r="C6949" t="s">
        <v>12218</v>
      </c>
      <c r="D6949" s="43">
        <v>-12451</v>
      </c>
      <c r="E6949" t="s">
        <v>35</v>
      </c>
      <c r="F6949" s="2">
        <v>212901001</v>
      </c>
      <c r="G6949" s="2" t="s">
        <v>121</v>
      </c>
      <c r="L6949" s="2" t="s">
        <v>12219</v>
      </c>
      <c r="M6949" t="s">
        <v>67</v>
      </c>
      <c r="N6949" t="s">
        <v>68</v>
      </c>
      <c r="P6949" s="23">
        <v>126.28</v>
      </c>
      <c r="Q6949" s="4">
        <f t="shared" si="108"/>
        <v>-98.598352866645556</v>
      </c>
      <c r="R6949" s="23" t="s">
        <v>109</v>
      </c>
    </row>
    <row r="6950" spans="1:18" x14ac:dyDescent="0.25">
      <c r="A6950" s="21">
        <v>45873</v>
      </c>
      <c r="B6950" s="1">
        <v>316002638</v>
      </c>
      <c r="C6950" t="s">
        <v>12220</v>
      </c>
      <c r="D6950" s="43">
        <v>-12451</v>
      </c>
      <c r="E6950" t="s">
        <v>35</v>
      </c>
      <c r="F6950" s="2">
        <v>212901001</v>
      </c>
      <c r="G6950" s="2" t="s">
        <v>121</v>
      </c>
      <c r="L6950" s="2" t="s">
        <v>12221</v>
      </c>
      <c r="M6950" t="s">
        <v>67</v>
      </c>
      <c r="N6950" t="s">
        <v>68</v>
      </c>
      <c r="P6950" s="23">
        <v>126.28</v>
      </c>
      <c r="Q6950" s="4">
        <f t="shared" si="108"/>
        <v>-98.598352866645556</v>
      </c>
      <c r="R6950" s="23" t="s">
        <v>109</v>
      </c>
    </row>
    <row r="6951" spans="1:18" x14ac:dyDescent="0.25">
      <c r="A6951" s="21">
        <v>45873</v>
      </c>
      <c r="B6951" s="1">
        <v>216002635</v>
      </c>
      <c r="C6951" t="s">
        <v>12222</v>
      </c>
      <c r="D6951" s="43">
        <v>-12451</v>
      </c>
      <c r="E6951" t="s">
        <v>35</v>
      </c>
      <c r="F6951" s="2">
        <v>212901001</v>
      </c>
      <c r="G6951" s="2" t="s">
        <v>121</v>
      </c>
      <c r="L6951" s="2" t="s">
        <v>12223</v>
      </c>
      <c r="M6951" t="s">
        <v>67</v>
      </c>
      <c r="N6951" t="s">
        <v>68</v>
      </c>
      <c r="P6951" s="23">
        <v>126.28</v>
      </c>
      <c r="Q6951" s="4">
        <f t="shared" si="108"/>
        <v>-98.598352866645556</v>
      </c>
      <c r="R6951" s="23" t="s">
        <v>109</v>
      </c>
    </row>
    <row r="6952" spans="1:18" x14ac:dyDescent="0.25">
      <c r="A6952" s="21">
        <v>45873</v>
      </c>
      <c r="B6952" s="1">
        <v>316002637</v>
      </c>
      <c r="C6952" t="s">
        <v>12224</v>
      </c>
      <c r="D6952" s="43">
        <v>-12451</v>
      </c>
      <c r="E6952" t="s">
        <v>35</v>
      </c>
      <c r="F6952" s="2">
        <v>212901001</v>
      </c>
      <c r="G6952" s="2" t="s">
        <v>121</v>
      </c>
      <c r="L6952" s="2" t="s">
        <v>12225</v>
      </c>
      <c r="M6952" t="s">
        <v>67</v>
      </c>
      <c r="N6952" t="s">
        <v>68</v>
      </c>
      <c r="P6952" s="23">
        <v>126.28</v>
      </c>
      <c r="Q6952" s="4">
        <f t="shared" si="108"/>
        <v>-98.598352866645556</v>
      </c>
      <c r="R6952" s="23" t="s">
        <v>109</v>
      </c>
    </row>
    <row r="6953" spans="1:18" x14ac:dyDescent="0.25">
      <c r="A6953" s="21">
        <v>45873</v>
      </c>
      <c r="B6953" s="1">
        <v>216002636</v>
      </c>
      <c r="C6953" t="s">
        <v>12226</v>
      </c>
      <c r="D6953" s="43">
        <v>-12451</v>
      </c>
      <c r="E6953" t="s">
        <v>35</v>
      </c>
      <c r="F6953" s="2">
        <v>212901001</v>
      </c>
      <c r="G6953" s="2" t="s">
        <v>121</v>
      </c>
      <c r="L6953" s="2" t="s">
        <v>12227</v>
      </c>
      <c r="M6953" t="s">
        <v>67</v>
      </c>
      <c r="N6953" t="s">
        <v>68</v>
      </c>
      <c r="P6953" s="23">
        <v>126.28</v>
      </c>
      <c r="Q6953" s="4">
        <f t="shared" si="108"/>
        <v>-98.598352866645556</v>
      </c>
      <c r="R6953" s="23" t="s">
        <v>109</v>
      </c>
    </row>
    <row r="6954" spans="1:18" x14ac:dyDescent="0.25">
      <c r="A6954" s="21">
        <v>45873</v>
      </c>
      <c r="B6954" s="1">
        <v>316002640</v>
      </c>
      <c r="C6954" t="s">
        <v>12228</v>
      </c>
      <c r="D6954" s="43">
        <v>-12451</v>
      </c>
      <c r="E6954" t="s">
        <v>35</v>
      </c>
      <c r="F6954" s="2">
        <v>212901001</v>
      </c>
      <c r="G6954" s="2" t="s">
        <v>121</v>
      </c>
      <c r="L6954" s="2" t="s">
        <v>12229</v>
      </c>
      <c r="M6954" t="s">
        <v>67</v>
      </c>
      <c r="N6954" t="s">
        <v>68</v>
      </c>
      <c r="P6954" s="23">
        <v>126.28</v>
      </c>
      <c r="Q6954" s="4">
        <f t="shared" si="108"/>
        <v>-98.598352866645556</v>
      </c>
      <c r="R6954" s="23" t="s">
        <v>109</v>
      </c>
    </row>
    <row r="6955" spans="1:18" x14ac:dyDescent="0.25">
      <c r="A6955" s="21">
        <v>45873</v>
      </c>
      <c r="B6955" s="1">
        <v>316002641</v>
      </c>
      <c r="C6955" t="s">
        <v>12230</v>
      </c>
      <c r="D6955" s="43">
        <v>-12451</v>
      </c>
      <c r="E6955" t="s">
        <v>35</v>
      </c>
      <c r="F6955" s="2">
        <v>212901001</v>
      </c>
      <c r="G6955" s="2" t="s">
        <v>121</v>
      </c>
      <c r="L6955" s="2" t="s">
        <v>12231</v>
      </c>
      <c r="M6955" t="s">
        <v>67</v>
      </c>
      <c r="N6955" t="s">
        <v>68</v>
      </c>
      <c r="P6955" s="23">
        <v>126.28</v>
      </c>
      <c r="Q6955" s="4">
        <f t="shared" si="108"/>
        <v>-98.598352866645556</v>
      </c>
      <c r="R6955" s="23" t="s">
        <v>109</v>
      </c>
    </row>
    <row r="6956" spans="1:18" x14ac:dyDescent="0.25">
      <c r="A6956" s="21">
        <v>45873</v>
      </c>
      <c r="B6956" s="1">
        <v>316002642</v>
      </c>
      <c r="C6956" t="s">
        <v>12232</v>
      </c>
      <c r="D6956" s="43">
        <v>-12451</v>
      </c>
      <c r="E6956" t="s">
        <v>35</v>
      </c>
      <c r="F6956" s="2">
        <v>212901001</v>
      </c>
      <c r="G6956" s="2" t="s">
        <v>121</v>
      </c>
      <c r="L6956" s="2" t="s">
        <v>12233</v>
      </c>
      <c r="M6956" t="s">
        <v>67</v>
      </c>
      <c r="N6956" t="s">
        <v>68</v>
      </c>
      <c r="P6956" s="23">
        <v>126.28</v>
      </c>
      <c r="Q6956" s="4">
        <f t="shared" si="108"/>
        <v>-98.598352866645556</v>
      </c>
      <c r="R6956" s="23" t="s">
        <v>109</v>
      </c>
    </row>
    <row r="6957" spans="1:18" x14ac:dyDescent="0.25">
      <c r="A6957" s="21">
        <v>45873</v>
      </c>
      <c r="B6957" s="1">
        <v>316002639</v>
      </c>
      <c r="C6957" t="s">
        <v>12234</v>
      </c>
      <c r="D6957" s="43">
        <v>-12451</v>
      </c>
      <c r="E6957" t="s">
        <v>35</v>
      </c>
      <c r="F6957" s="2">
        <v>212901001</v>
      </c>
      <c r="G6957" s="2" t="s">
        <v>121</v>
      </c>
      <c r="L6957" s="2" t="s">
        <v>12235</v>
      </c>
      <c r="M6957" t="s">
        <v>67</v>
      </c>
      <c r="N6957" t="s">
        <v>68</v>
      </c>
      <c r="P6957" s="23">
        <v>126.28</v>
      </c>
      <c r="Q6957" s="4">
        <f t="shared" si="108"/>
        <v>-98.598352866645556</v>
      </c>
      <c r="R6957" s="23" t="s">
        <v>109</v>
      </c>
    </row>
    <row r="6958" spans="1:18" x14ac:dyDescent="0.25">
      <c r="A6958" s="21">
        <v>45873</v>
      </c>
      <c r="B6958" s="1">
        <v>316002645</v>
      </c>
      <c r="C6958" t="s">
        <v>12236</v>
      </c>
      <c r="D6958" s="43">
        <v>-14941.2</v>
      </c>
      <c r="E6958" t="s">
        <v>35</v>
      </c>
      <c r="F6958" s="2">
        <v>212901001</v>
      </c>
      <c r="G6958" s="2" t="s">
        <v>121</v>
      </c>
      <c r="L6958" s="2" t="s">
        <v>12237</v>
      </c>
      <c r="M6958" t="s">
        <v>67</v>
      </c>
      <c r="N6958" t="s">
        <v>68</v>
      </c>
      <c r="P6958" s="23">
        <v>126.28</v>
      </c>
      <c r="Q6958" s="4">
        <f t="shared" si="108"/>
        <v>-118.31802343997467</v>
      </c>
      <c r="R6958" s="23" t="s">
        <v>109</v>
      </c>
    </row>
    <row r="6959" spans="1:18" x14ac:dyDescent="0.25">
      <c r="A6959" s="21">
        <v>45873</v>
      </c>
      <c r="B6959" s="1">
        <v>416002648</v>
      </c>
      <c r="C6959" t="s">
        <v>12238</v>
      </c>
      <c r="D6959" s="43">
        <v>-14941.2</v>
      </c>
      <c r="E6959" t="s">
        <v>35</v>
      </c>
      <c r="F6959" s="2">
        <v>212901001</v>
      </c>
      <c r="G6959" s="2" t="s">
        <v>121</v>
      </c>
      <c r="L6959" s="2" t="s">
        <v>12239</v>
      </c>
      <c r="M6959" t="s">
        <v>67</v>
      </c>
      <c r="N6959" t="s">
        <v>68</v>
      </c>
      <c r="P6959" s="23">
        <v>126.28</v>
      </c>
      <c r="Q6959" s="4">
        <f t="shared" si="108"/>
        <v>-118.31802343997467</v>
      </c>
      <c r="R6959" s="23" t="s">
        <v>109</v>
      </c>
    </row>
    <row r="6960" spans="1:18" x14ac:dyDescent="0.25">
      <c r="A6960" s="21">
        <v>45873</v>
      </c>
      <c r="B6960" s="1">
        <v>316002643</v>
      </c>
      <c r="C6960" t="s">
        <v>12240</v>
      </c>
      <c r="D6960" s="43">
        <v>-23656.9</v>
      </c>
      <c r="E6960" t="s">
        <v>35</v>
      </c>
      <c r="F6960" s="2">
        <v>212901001</v>
      </c>
      <c r="G6960" s="2" t="s">
        <v>121</v>
      </c>
      <c r="L6960" s="2" t="s">
        <v>12241</v>
      </c>
      <c r="M6960" t="s">
        <v>67</v>
      </c>
      <c r="N6960" t="s">
        <v>68</v>
      </c>
      <c r="P6960" s="23">
        <v>126.28</v>
      </c>
      <c r="Q6960" s="4">
        <f t="shared" si="108"/>
        <v>-187.33687044662656</v>
      </c>
      <c r="R6960" s="23" t="s">
        <v>109</v>
      </c>
    </row>
    <row r="6961" spans="1:18" x14ac:dyDescent="0.25">
      <c r="A6961" s="21">
        <v>45873</v>
      </c>
      <c r="B6961" s="1">
        <v>416002647</v>
      </c>
      <c r="C6961" t="s">
        <v>12242</v>
      </c>
      <c r="D6961" s="43">
        <v>-14941.2</v>
      </c>
      <c r="E6961" t="s">
        <v>35</v>
      </c>
      <c r="F6961" s="2">
        <v>212901001</v>
      </c>
      <c r="G6961" s="2" t="s">
        <v>121</v>
      </c>
      <c r="L6961" s="2" t="s">
        <v>12243</v>
      </c>
      <c r="M6961" t="s">
        <v>67</v>
      </c>
      <c r="N6961" t="s">
        <v>68</v>
      </c>
      <c r="P6961" s="23">
        <v>126.28</v>
      </c>
      <c r="Q6961" s="4">
        <f t="shared" si="108"/>
        <v>-118.31802343997467</v>
      </c>
      <c r="R6961" s="23" t="s">
        <v>109</v>
      </c>
    </row>
    <row r="6962" spans="1:18" x14ac:dyDescent="0.25">
      <c r="A6962" s="21">
        <v>45873</v>
      </c>
      <c r="B6962" s="1">
        <v>316002644</v>
      </c>
      <c r="C6962" t="s">
        <v>12244</v>
      </c>
      <c r="D6962" s="43">
        <v>-17431.400000000001</v>
      </c>
      <c r="E6962" t="s">
        <v>35</v>
      </c>
      <c r="F6962" s="2">
        <v>212901001</v>
      </c>
      <c r="G6962" s="2" t="s">
        <v>121</v>
      </c>
      <c r="L6962" s="2" t="s">
        <v>12245</v>
      </c>
      <c r="M6962" t="s">
        <v>67</v>
      </c>
      <c r="N6962" t="s">
        <v>68</v>
      </c>
      <c r="P6962" s="23">
        <v>126.28</v>
      </c>
      <c r="Q6962" s="4">
        <f t="shared" si="108"/>
        <v>-138.03769401330379</v>
      </c>
      <c r="R6962" s="23" t="s">
        <v>109</v>
      </c>
    </row>
    <row r="6963" spans="1:18" x14ac:dyDescent="0.25">
      <c r="A6963" s="21">
        <v>45873</v>
      </c>
      <c r="B6963" s="1">
        <v>416002650</v>
      </c>
      <c r="C6963" t="s">
        <v>12246</v>
      </c>
      <c r="D6963" s="43">
        <v>-14941.2</v>
      </c>
      <c r="E6963" t="s">
        <v>35</v>
      </c>
      <c r="F6963" s="2">
        <v>212901001</v>
      </c>
      <c r="G6963" s="2" t="s">
        <v>121</v>
      </c>
      <c r="L6963" s="2" t="s">
        <v>12247</v>
      </c>
      <c r="M6963" t="s">
        <v>67</v>
      </c>
      <c r="N6963" t="s">
        <v>68</v>
      </c>
      <c r="P6963" s="23">
        <v>126.28</v>
      </c>
      <c r="Q6963" s="4">
        <f t="shared" si="108"/>
        <v>-118.31802343997467</v>
      </c>
      <c r="R6963" s="23" t="s">
        <v>109</v>
      </c>
    </row>
    <row r="6964" spans="1:18" x14ac:dyDescent="0.25">
      <c r="A6964" s="21">
        <v>45873</v>
      </c>
      <c r="B6964" s="1">
        <v>416002649</v>
      </c>
      <c r="C6964" t="s">
        <v>12248</v>
      </c>
      <c r="D6964" s="43">
        <v>-14941.2</v>
      </c>
      <c r="E6964" t="s">
        <v>35</v>
      </c>
      <c r="F6964" s="2">
        <v>212901001</v>
      </c>
      <c r="G6964" s="2" t="s">
        <v>121</v>
      </c>
      <c r="L6964" s="2" t="s">
        <v>12249</v>
      </c>
      <c r="M6964" t="s">
        <v>67</v>
      </c>
      <c r="N6964" t="s">
        <v>68</v>
      </c>
      <c r="P6964" s="23">
        <v>126.28</v>
      </c>
      <c r="Q6964" s="4">
        <f t="shared" si="108"/>
        <v>-118.31802343997467</v>
      </c>
      <c r="R6964" s="23" t="s">
        <v>109</v>
      </c>
    </row>
    <row r="6965" spans="1:18" x14ac:dyDescent="0.25">
      <c r="A6965" s="21">
        <v>45873</v>
      </c>
      <c r="B6965" s="1">
        <v>416002651</v>
      </c>
      <c r="C6965" t="s">
        <v>12250</v>
      </c>
      <c r="D6965" s="43">
        <v>-14941.2</v>
      </c>
      <c r="E6965" t="s">
        <v>35</v>
      </c>
      <c r="F6965" s="2">
        <v>212901001</v>
      </c>
      <c r="G6965" s="2" t="s">
        <v>121</v>
      </c>
      <c r="L6965" s="2" t="s">
        <v>12251</v>
      </c>
      <c r="M6965" t="s">
        <v>67</v>
      </c>
      <c r="N6965" t="s">
        <v>68</v>
      </c>
      <c r="P6965" s="23">
        <v>126.28</v>
      </c>
      <c r="Q6965" s="4">
        <f t="shared" si="108"/>
        <v>-118.31802343997467</v>
      </c>
      <c r="R6965" s="23" t="s">
        <v>109</v>
      </c>
    </row>
    <row r="6966" spans="1:18" x14ac:dyDescent="0.25">
      <c r="A6966" s="21">
        <v>45873</v>
      </c>
      <c r="B6966" s="1">
        <v>416002652</v>
      </c>
      <c r="C6966" t="s">
        <v>12252</v>
      </c>
      <c r="D6966" s="43">
        <v>-11205.9</v>
      </c>
      <c r="E6966" t="s">
        <v>35</v>
      </c>
      <c r="F6966" s="2">
        <v>212901001</v>
      </c>
      <c r="G6966" s="2" t="s">
        <v>121</v>
      </c>
      <c r="L6966" s="2" t="s">
        <v>12253</v>
      </c>
      <c r="M6966" t="s">
        <v>67</v>
      </c>
      <c r="N6966" t="s">
        <v>68</v>
      </c>
      <c r="P6966" s="23">
        <v>126.28</v>
      </c>
      <c r="Q6966" s="4">
        <f t="shared" si="108"/>
        <v>-88.738517579980993</v>
      </c>
      <c r="R6966" s="23" t="s">
        <v>109</v>
      </c>
    </row>
    <row r="6967" spans="1:18" x14ac:dyDescent="0.25">
      <c r="A6967" s="21">
        <v>45873</v>
      </c>
      <c r="B6967" s="1">
        <v>416002653</v>
      </c>
      <c r="C6967" t="s">
        <v>12254</v>
      </c>
      <c r="D6967" s="43">
        <v>-11205.9</v>
      </c>
      <c r="E6967" t="s">
        <v>35</v>
      </c>
      <c r="F6967" s="2">
        <v>212901001</v>
      </c>
      <c r="G6967" s="2" t="s">
        <v>121</v>
      </c>
      <c r="L6967" s="2" t="s">
        <v>12255</v>
      </c>
      <c r="M6967" t="s">
        <v>67</v>
      </c>
      <c r="N6967" t="s">
        <v>68</v>
      </c>
      <c r="P6967" s="23">
        <v>126.28</v>
      </c>
      <c r="Q6967" s="4">
        <f t="shared" si="108"/>
        <v>-88.738517579980993</v>
      </c>
      <c r="R6967" s="23" t="s">
        <v>109</v>
      </c>
    </row>
    <row r="6968" spans="1:18" x14ac:dyDescent="0.25">
      <c r="A6968" s="21">
        <v>45873</v>
      </c>
      <c r="B6968" s="1">
        <v>416002654</v>
      </c>
      <c r="C6968" t="s">
        <v>12256</v>
      </c>
      <c r="D6968" s="43">
        <v>-11205.9</v>
      </c>
      <c r="E6968" t="s">
        <v>35</v>
      </c>
      <c r="F6968" s="2">
        <v>212901001</v>
      </c>
      <c r="G6968" s="2" t="s">
        <v>121</v>
      </c>
      <c r="L6968" s="2" t="s">
        <v>12257</v>
      </c>
      <c r="M6968" t="s">
        <v>67</v>
      </c>
      <c r="N6968" t="s">
        <v>68</v>
      </c>
      <c r="P6968" s="23">
        <v>126.28</v>
      </c>
      <c r="Q6968" s="4">
        <f t="shared" si="108"/>
        <v>-88.738517579980993</v>
      </c>
      <c r="R6968" s="23" t="s">
        <v>109</v>
      </c>
    </row>
    <row r="6969" spans="1:18" x14ac:dyDescent="0.25">
      <c r="A6969" s="21">
        <v>45873</v>
      </c>
      <c r="B6969" s="1">
        <v>516002657</v>
      </c>
      <c r="C6969" t="s">
        <v>12258</v>
      </c>
      <c r="D6969" s="43">
        <v>-11205.9</v>
      </c>
      <c r="E6969" t="s">
        <v>35</v>
      </c>
      <c r="F6969" s="2">
        <v>212901001</v>
      </c>
      <c r="G6969" s="2" t="s">
        <v>121</v>
      </c>
      <c r="L6969" s="2" t="s">
        <v>12259</v>
      </c>
      <c r="M6969" t="s">
        <v>67</v>
      </c>
      <c r="N6969" t="s">
        <v>68</v>
      </c>
      <c r="P6969" s="23">
        <v>126.28</v>
      </c>
      <c r="Q6969" s="4">
        <f t="shared" si="108"/>
        <v>-88.738517579980993</v>
      </c>
      <c r="R6969" s="23" t="s">
        <v>109</v>
      </c>
    </row>
    <row r="6970" spans="1:18" x14ac:dyDescent="0.25">
      <c r="A6970" s="21">
        <v>45873</v>
      </c>
      <c r="B6970" s="1">
        <v>516002655</v>
      </c>
      <c r="C6970" t="s">
        <v>12260</v>
      </c>
      <c r="D6970" s="43">
        <v>-11205.9</v>
      </c>
      <c r="E6970" t="s">
        <v>35</v>
      </c>
      <c r="F6970" s="2">
        <v>212901001</v>
      </c>
      <c r="G6970" s="2" t="s">
        <v>121</v>
      </c>
      <c r="L6970" s="2" t="s">
        <v>12261</v>
      </c>
      <c r="M6970" t="s">
        <v>67</v>
      </c>
      <c r="N6970" t="s">
        <v>68</v>
      </c>
      <c r="P6970" s="23">
        <v>126.28</v>
      </c>
      <c r="Q6970" s="4">
        <f t="shared" si="108"/>
        <v>-88.738517579980993</v>
      </c>
      <c r="R6970" s="23" t="s">
        <v>109</v>
      </c>
    </row>
    <row r="6971" spans="1:18" x14ac:dyDescent="0.25">
      <c r="A6971" s="21">
        <v>45873</v>
      </c>
      <c r="B6971" s="1">
        <v>516002658</v>
      </c>
      <c r="C6971" t="s">
        <v>12262</v>
      </c>
      <c r="D6971" s="43">
        <v>-11205.9</v>
      </c>
      <c r="E6971" t="s">
        <v>35</v>
      </c>
      <c r="F6971" s="2">
        <v>212901001</v>
      </c>
      <c r="G6971" s="2" t="s">
        <v>121</v>
      </c>
      <c r="L6971" s="2" t="s">
        <v>12263</v>
      </c>
      <c r="M6971" t="s">
        <v>67</v>
      </c>
      <c r="N6971" t="s">
        <v>68</v>
      </c>
      <c r="P6971" s="23">
        <v>126.28</v>
      </c>
      <c r="Q6971" s="4">
        <f t="shared" si="108"/>
        <v>-88.738517579980993</v>
      </c>
      <c r="R6971" s="23" t="s">
        <v>109</v>
      </c>
    </row>
    <row r="6972" spans="1:18" x14ac:dyDescent="0.25">
      <c r="A6972" s="21">
        <v>45873</v>
      </c>
      <c r="B6972" s="1">
        <v>516002662</v>
      </c>
      <c r="C6972" t="s">
        <v>12264</v>
      </c>
      <c r="D6972" s="43">
        <v>-9960.7999999999993</v>
      </c>
      <c r="E6972" t="s">
        <v>35</v>
      </c>
      <c r="F6972" s="2">
        <v>212901001</v>
      </c>
      <c r="G6972" s="2" t="s">
        <v>121</v>
      </c>
      <c r="L6972" s="2" t="s">
        <v>12265</v>
      </c>
      <c r="M6972" t="s">
        <v>67</v>
      </c>
      <c r="N6972" t="s">
        <v>68</v>
      </c>
      <c r="P6972" s="23">
        <v>126.28</v>
      </c>
      <c r="Q6972" s="4">
        <f t="shared" si="108"/>
        <v>-78.87868229331643</v>
      </c>
      <c r="R6972" s="23" t="s">
        <v>109</v>
      </c>
    </row>
    <row r="6973" spans="1:18" x14ac:dyDescent="0.25">
      <c r="A6973" s="21">
        <v>45873</v>
      </c>
      <c r="B6973" s="1">
        <v>516002660</v>
      </c>
      <c r="C6973" t="s">
        <v>12266</v>
      </c>
      <c r="D6973" s="43">
        <v>-9960.7999999999993</v>
      </c>
      <c r="E6973" t="s">
        <v>35</v>
      </c>
      <c r="F6973" s="2">
        <v>212901001</v>
      </c>
      <c r="G6973" s="2" t="s">
        <v>121</v>
      </c>
      <c r="L6973" s="2" t="s">
        <v>12267</v>
      </c>
      <c r="M6973" t="s">
        <v>67</v>
      </c>
      <c r="N6973" t="s">
        <v>68</v>
      </c>
      <c r="P6973" s="23">
        <v>126.28</v>
      </c>
      <c r="Q6973" s="4">
        <f t="shared" si="108"/>
        <v>-78.87868229331643</v>
      </c>
      <c r="R6973" s="23" t="s">
        <v>109</v>
      </c>
    </row>
    <row r="6974" spans="1:18" x14ac:dyDescent="0.25">
      <c r="A6974" s="21">
        <v>45873</v>
      </c>
      <c r="B6974" s="1">
        <v>516002659</v>
      </c>
      <c r="C6974" t="s">
        <v>12268</v>
      </c>
      <c r="D6974" s="43">
        <v>-9960.7999999999993</v>
      </c>
      <c r="E6974" t="s">
        <v>35</v>
      </c>
      <c r="F6974" s="2">
        <v>212901001</v>
      </c>
      <c r="G6974" s="2" t="s">
        <v>121</v>
      </c>
      <c r="L6974" s="2" t="s">
        <v>12269</v>
      </c>
      <c r="M6974" t="s">
        <v>67</v>
      </c>
      <c r="N6974" t="s">
        <v>68</v>
      </c>
      <c r="P6974" s="23">
        <v>126.28</v>
      </c>
      <c r="Q6974" s="4">
        <f t="shared" si="108"/>
        <v>-78.87868229331643</v>
      </c>
      <c r="R6974" s="23" t="s">
        <v>109</v>
      </c>
    </row>
    <row r="6975" spans="1:18" x14ac:dyDescent="0.25">
      <c r="A6975" s="21">
        <v>45873</v>
      </c>
      <c r="B6975" s="1">
        <v>516002661</v>
      </c>
      <c r="C6975" t="s">
        <v>12270</v>
      </c>
      <c r="D6975" s="43">
        <v>-9960.7999999999993</v>
      </c>
      <c r="E6975" t="s">
        <v>35</v>
      </c>
      <c r="F6975" s="2">
        <v>212901001</v>
      </c>
      <c r="G6975" s="2" t="s">
        <v>121</v>
      </c>
      <c r="L6975" s="2" t="s">
        <v>12271</v>
      </c>
      <c r="M6975" t="s">
        <v>67</v>
      </c>
      <c r="N6975" t="s">
        <v>68</v>
      </c>
      <c r="P6975" s="23">
        <v>126.28</v>
      </c>
      <c r="Q6975" s="4">
        <f t="shared" si="108"/>
        <v>-78.87868229331643</v>
      </c>
      <c r="R6975" s="23" t="s">
        <v>109</v>
      </c>
    </row>
    <row r="6976" spans="1:18" x14ac:dyDescent="0.25">
      <c r="A6976" s="21">
        <v>45873</v>
      </c>
      <c r="B6976" s="1">
        <v>516002663</v>
      </c>
      <c r="C6976" t="s">
        <v>12272</v>
      </c>
      <c r="D6976" s="43">
        <v>-9960.7999999999993</v>
      </c>
      <c r="E6976" t="s">
        <v>35</v>
      </c>
      <c r="F6976" s="2">
        <v>212901001</v>
      </c>
      <c r="G6976" s="2" t="s">
        <v>121</v>
      </c>
      <c r="L6976" s="2" t="s">
        <v>12273</v>
      </c>
      <c r="M6976" t="s">
        <v>67</v>
      </c>
      <c r="N6976" t="s">
        <v>68</v>
      </c>
      <c r="P6976" s="23">
        <v>126.28</v>
      </c>
      <c r="Q6976" s="4">
        <f t="shared" si="108"/>
        <v>-78.87868229331643</v>
      </c>
      <c r="R6976" s="23" t="s">
        <v>109</v>
      </c>
    </row>
    <row r="6977" spans="1:18" x14ac:dyDescent="0.25">
      <c r="A6977" s="21">
        <v>45873</v>
      </c>
      <c r="B6977" s="1">
        <v>616002666</v>
      </c>
      <c r="C6977" t="s">
        <v>12274</v>
      </c>
      <c r="D6977" s="43">
        <v>-12451</v>
      </c>
      <c r="E6977" t="s">
        <v>35</v>
      </c>
      <c r="F6977" s="2">
        <v>212901001</v>
      </c>
      <c r="G6977" s="2" t="s">
        <v>121</v>
      </c>
      <c r="L6977" s="2" t="s">
        <v>12275</v>
      </c>
      <c r="M6977" t="s">
        <v>67</v>
      </c>
      <c r="N6977" t="s">
        <v>68</v>
      </c>
      <c r="P6977" s="23">
        <v>126.28</v>
      </c>
      <c r="Q6977" s="4">
        <f t="shared" si="108"/>
        <v>-98.598352866645556</v>
      </c>
      <c r="R6977" s="23" t="s">
        <v>109</v>
      </c>
    </row>
    <row r="6978" spans="1:18" x14ac:dyDescent="0.25">
      <c r="A6978" s="21">
        <v>45873</v>
      </c>
      <c r="B6978" s="1">
        <v>516002664</v>
      </c>
      <c r="C6978" t="s">
        <v>12276</v>
      </c>
      <c r="D6978" s="43">
        <v>-9960.7999999999993</v>
      </c>
      <c r="E6978" t="s">
        <v>35</v>
      </c>
      <c r="F6978" s="2">
        <v>212901001</v>
      </c>
      <c r="G6978" s="2" t="s">
        <v>121</v>
      </c>
      <c r="L6978" s="2" t="s">
        <v>12277</v>
      </c>
      <c r="M6978" t="s">
        <v>67</v>
      </c>
      <c r="N6978" t="s">
        <v>68</v>
      </c>
      <c r="P6978" s="23">
        <v>126.28</v>
      </c>
      <c r="Q6978" s="4">
        <f t="shared" si="108"/>
        <v>-78.87868229331643</v>
      </c>
      <c r="R6978" s="23" t="s">
        <v>109</v>
      </c>
    </row>
    <row r="6979" spans="1:18" x14ac:dyDescent="0.25">
      <c r="A6979" s="21">
        <v>45873</v>
      </c>
      <c r="B6979" s="1">
        <v>616002665</v>
      </c>
      <c r="C6979" t="s">
        <v>12278</v>
      </c>
      <c r="D6979" s="43">
        <v>-9960.7999999999993</v>
      </c>
      <c r="E6979" t="s">
        <v>35</v>
      </c>
      <c r="F6979" s="2">
        <v>212901001</v>
      </c>
      <c r="G6979" s="2" t="s">
        <v>121</v>
      </c>
      <c r="L6979" s="2" t="s">
        <v>12279</v>
      </c>
      <c r="M6979" t="s">
        <v>67</v>
      </c>
      <c r="N6979" t="s">
        <v>68</v>
      </c>
      <c r="P6979" s="23">
        <v>126.28</v>
      </c>
      <c r="Q6979" s="4">
        <f t="shared" si="108"/>
        <v>-78.87868229331643</v>
      </c>
      <c r="R6979" s="23" t="s">
        <v>109</v>
      </c>
    </row>
    <row r="6980" spans="1:18" x14ac:dyDescent="0.25">
      <c r="A6980" s="21">
        <v>45873</v>
      </c>
      <c r="B6980" s="1">
        <v>616002667</v>
      </c>
      <c r="C6980" t="s">
        <v>12280</v>
      </c>
      <c r="D6980" s="43">
        <v>-17431.400000000001</v>
      </c>
      <c r="E6980" t="s">
        <v>35</v>
      </c>
      <c r="F6980" s="2">
        <v>212901001</v>
      </c>
      <c r="G6980" s="2" t="s">
        <v>121</v>
      </c>
      <c r="L6980" s="2" t="s">
        <v>12281</v>
      </c>
      <c r="M6980" t="s">
        <v>67</v>
      </c>
      <c r="N6980" t="s">
        <v>68</v>
      </c>
      <c r="P6980" s="23">
        <v>126.28</v>
      </c>
      <c r="Q6980" s="4">
        <f t="shared" si="108"/>
        <v>-138.03769401330379</v>
      </c>
      <c r="R6980" s="23" t="s">
        <v>109</v>
      </c>
    </row>
    <row r="6981" spans="1:18" x14ac:dyDescent="0.25">
      <c r="A6981" s="21">
        <v>45873</v>
      </c>
      <c r="B6981" s="1">
        <v>616002669</v>
      </c>
      <c r="C6981" t="s">
        <v>12282</v>
      </c>
      <c r="D6981" s="43">
        <v>-23656.9</v>
      </c>
      <c r="E6981" t="s">
        <v>35</v>
      </c>
      <c r="F6981" s="2">
        <v>212901001</v>
      </c>
      <c r="G6981" s="2" t="s">
        <v>121</v>
      </c>
      <c r="L6981" s="2" t="s">
        <v>12283</v>
      </c>
      <c r="M6981" t="s">
        <v>67</v>
      </c>
      <c r="N6981" t="s">
        <v>68</v>
      </c>
      <c r="P6981" s="23">
        <v>126.28</v>
      </c>
      <c r="Q6981" s="4">
        <f t="shared" si="108"/>
        <v>-187.33687044662656</v>
      </c>
      <c r="R6981" s="23" t="s">
        <v>109</v>
      </c>
    </row>
    <row r="6982" spans="1:18" x14ac:dyDescent="0.25">
      <c r="A6982" s="21">
        <v>45873</v>
      </c>
      <c r="B6982" s="1">
        <v>616002670</v>
      </c>
      <c r="C6982" t="s">
        <v>12284</v>
      </c>
      <c r="D6982" s="43">
        <v>-18676.5</v>
      </c>
      <c r="E6982" t="s">
        <v>35</v>
      </c>
      <c r="F6982" s="2">
        <v>212901001</v>
      </c>
      <c r="G6982" s="2" t="s">
        <v>121</v>
      </c>
      <c r="L6982" s="2" t="s">
        <v>12285</v>
      </c>
      <c r="M6982" t="s">
        <v>67</v>
      </c>
      <c r="N6982" t="s">
        <v>68</v>
      </c>
      <c r="P6982" s="23">
        <v>126.28</v>
      </c>
      <c r="Q6982" s="4">
        <f t="shared" si="108"/>
        <v>-147.89752929996831</v>
      </c>
      <c r="R6982" s="23" t="s">
        <v>109</v>
      </c>
    </row>
    <row r="6983" spans="1:18" x14ac:dyDescent="0.25">
      <c r="A6983" s="21">
        <v>45873</v>
      </c>
      <c r="B6983" s="1">
        <v>616002671</v>
      </c>
      <c r="C6983" t="s">
        <v>12286</v>
      </c>
      <c r="D6983" s="43">
        <v>-14941.2</v>
      </c>
      <c r="E6983" t="s">
        <v>35</v>
      </c>
      <c r="F6983" s="2">
        <v>212901001</v>
      </c>
      <c r="G6983" s="2" t="s">
        <v>121</v>
      </c>
      <c r="L6983" s="2" t="s">
        <v>12287</v>
      </c>
      <c r="M6983" t="s">
        <v>67</v>
      </c>
      <c r="N6983" t="s">
        <v>68</v>
      </c>
      <c r="P6983" s="23">
        <v>126.28</v>
      </c>
      <c r="Q6983" s="4">
        <f t="shared" si="108"/>
        <v>-118.31802343997467</v>
      </c>
      <c r="R6983" s="23" t="s">
        <v>109</v>
      </c>
    </row>
    <row r="6984" spans="1:18" x14ac:dyDescent="0.25">
      <c r="A6984" s="21">
        <v>45873</v>
      </c>
      <c r="B6984" s="1">
        <v>616002672</v>
      </c>
      <c r="C6984" t="s">
        <v>12288</v>
      </c>
      <c r="D6984" s="43">
        <v>-17431.400000000001</v>
      </c>
      <c r="E6984" t="s">
        <v>35</v>
      </c>
      <c r="F6984" s="2">
        <v>212901001</v>
      </c>
      <c r="G6984" s="2" t="s">
        <v>121</v>
      </c>
      <c r="L6984" s="2" t="s">
        <v>12289</v>
      </c>
      <c r="M6984" t="s">
        <v>67</v>
      </c>
      <c r="N6984" t="s">
        <v>68</v>
      </c>
      <c r="P6984" s="23">
        <v>126.28</v>
      </c>
      <c r="Q6984" s="4">
        <f t="shared" si="108"/>
        <v>-138.03769401330379</v>
      </c>
      <c r="R6984" s="23" t="s">
        <v>109</v>
      </c>
    </row>
    <row r="6985" spans="1:18" x14ac:dyDescent="0.25">
      <c r="A6985" s="21">
        <v>45873</v>
      </c>
      <c r="B6985" s="1">
        <v>616002673</v>
      </c>
      <c r="C6985" t="s">
        <v>12290</v>
      </c>
      <c r="D6985" s="43">
        <v>-13696.1</v>
      </c>
      <c r="E6985" t="s">
        <v>35</v>
      </c>
      <c r="F6985" s="2">
        <v>212901001</v>
      </c>
      <c r="G6985" s="2" t="s">
        <v>121</v>
      </c>
      <c r="L6985" s="2" t="s">
        <v>12291</v>
      </c>
      <c r="M6985" t="s">
        <v>67</v>
      </c>
      <c r="N6985" t="s">
        <v>68</v>
      </c>
      <c r="P6985" s="23">
        <v>126.28</v>
      </c>
      <c r="Q6985" s="4">
        <f t="shared" si="108"/>
        <v>-108.4581881533101</v>
      </c>
      <c r="R6985" s="23" t="s">
        <v>109</v>
      </c>
    </row>
    <row r="6986" spans="1:18" x14ac:dyDescent="0.25">
      <c r="A6986" s="21">
        <v>45873</v>
      </c>
      <c r="B6986" s="1">
        <v>616002674</v>
      </c>
      <c r="C6986" t="s">
        <v>12292</v>
      </c>
      <c r="D6986" s="43">
        <v>-12451</v>
      </c>
      <c r="E6986" t="s">
        <v>35</v>
      </c>
      <c r="F6986" s="2">
        <v>212901001</v>
      </c>
      <c r="G6986" s="2" t="s">
        <v>121</v>
      </c>
      <c r="L6986" s="2" t="s">
        <v>12293</v>
      </c>
      <c r="M6986" t="s">
        <v>67</v>
      </c>
      <c r="N6986" t="s">
        <v>68</v>
      </c>
      <c r="P6986" s="23">
        <v>126.28</v>
      </c>
      <c r="Q6986" s="4">
        <f t="shared" si="108"/>
        <v>-98.598352866645556</v>
      </c>
      <c r="R6986" s="23" t="s">
        <v>109</v>
      </c>
    </row>
    <row r="6987" spans="1:18" x14ac:dyDescent="0.25">
      <c r="A6987" s="21">
        <v>45873</v>
      </c>
      <c r="B6987" s="1">
        <v>716002677</v>
      </c>
      <c r="C6987" t="s">
        <v>12294</v>
      </c>
      <c r="D6987" s="43">
        <v>-11205.9</v>
      </c>
      <c r="E6987" t="s">
        <v>35</v>
      </c>
      <c r="F6987" s="2">
        <v>212901001</v>
      </c>
      <c r="G6987" s="2" t="s">
        <v>121</v>
      </c>
      <c r="L6987" s="2" t="s">
        <v>12295</v>
      </c>
      <c r="M6987" t="s">
        <v>67</v>
      </c>
      <c r="N6987" t="s">
        <v>68</v>
      </c>
      <c r="P6987" s="23">
        <v>126.28</v>
      </c>
      <c r="Q6987" s="4">
        <f t="shared" ref="Q6987:Q7050" si="109">D6987/P6987</f>
        <v>-88.738517579980993</v>
      </c>
      <c r="R6987" s="23" t="s">
        <v>109</v>
      </c>
    </row>
    <row r="6988" spans="1:18" x14ac:dyDescent="0.25">
      <c r="A6988" s="21">
        <v>45873</v>
      </c>
      <c r="B6988" s="1">
        <v>716002678</v>
      </c>
      <c r="C6988" t="s">
        <v>12296</v>
      </c>
      <c r="D6988" s="43">
        <v>-11205.9</v>
      </c>
      <c r="E6988" t="s">
        <v>35</v>
      </c>
      <c r="F6988" s="2">
        <v>212901001</v>
      </c>
      <c r="G6988" s="2" t="s">
        <v>121</v>
      </c>
      <c r="L6988" s="2" t="s">
        <v>12297</v>
      </c>
      <c r="M6988" t="s">
        <v>67</v>
      </c>
      <c r="N6988" t="s">
        <v>68</v>
      </c>
      <c r="P6988" s="23">
        <v>126.28</v>
      </c>
      <c r="Q6988" s="4">
        <f t="shared" si="109"/>
        <v>-88.738517579980993</v>
      </c>
      <c r="R6988" s="23" t="s">
        <v>109</v>
      </c>
    </row>
    <row r="6989" spans="1:18" x14ac:dyDescent="0.25">
      <c r="A6989" s="21">
        <v>45873</v>
      </c>
      <c r="B6989" s="1">
        <v>716002675</v>
      </c>
      <c r="C6989" t="s">
        <v>12298</v>
      </c>
      <c r="D6989" s="43">
        <v>-11205.9</v>
      </c>
      <c r="E6989" t="s">
        <v>35</v>
      </c>
      <c r="F6989" s="2">
        <v>212901001</v>
      </c>
      <c r="G6989" s="2" t="s">
        <v>121</v>
      </c>
      <c r="L6989" s="2" t="s">
        <v>12299</v>
      </c>
      <c r="M6989" t="s">
        <v>67</v>
      </c>
      <c r="N6989" t="s">
        <v>68</v>
      </c>
      <c r="P6989" s="23">
        <v>126.28</v>
      </c>
      <c r="Q6989" s="4">
        <f t="shared" si="109"/>
        <v>-88.738517579980993</v>
      </c>
      <c r="R6989" s="23" t="s">
        <v>109</v>
      </c>
    </row>
    <row r="6990" spans="1:18" x14ac:dyDescent="0.25">
      <c r="A6990" s="21">
        <v>45873</v>
      </c>
      <c r="B6990" s="1">
        <v>716002676</v>
      </c>
      <c r="C6990" t="s">
        <v>12300</v>
      </c>
      <c r="D6990" s="43">
        <v>-13696.1</v>
      </c>
      <c r="E6990" t="s">
        <v>35</v>
      </c>
      <c r="F6990" s="2">
        <v>212901001</v>
      </c>
      <c r="G6990" s="2" t="s">
        <v>121</v>
      </c>
      <c r="L6990" s="2" t="s">
        <v>12301</v>
      </c>
      <c r="M6990" t="s">
        <v>67</v>
      </c>
      <c r="N6990" t="s">
        <v>68</v>
      </c>
      <c r="P6990" s="23">
        <v>126.28</v>
      </c>
      <c r="Q6990" s="4">
        <f t="shared" si="109"/>
        <v>-108.4581881533101</v>
      </c>
      <c r="R6990" s="23" t="s">
        <v>109</v>
      </c>
    </row>
    <row r="6991" spans="1:18" x14ac:dyDescent="0.25">
      <c r="A6991" s="21">
        <v>45873</v>
      </c>
      <c r="B6991" s="1">
        <v>716002681</v>
      </c>
      <c r="C6991" t="s">
        <v>12302</v>
      </c>
      <c r="D6991" s="43">
        <v>-11205.9</v>
      </c>
      <c r="E6991" t="s">
        <v>35</v>
      </c>
      <c r="F6991" s="2">
        <v>212901001</v>
      </c>
      <c r="G6991" s="2" t="s">
        <v>121</v>
      </c>
      <c r="L6991" s="2" t="s">
        <v>12303</v>
      </c>
      <c r="M6991" t="s">
        <v>67</v>
      </c>
      <c r="N6991" t="s">
        <v>68</v>
      </c>
      <c r="P6991" s="23">
        <v>126.28</v>
      </c>
      <c r="Q6991" s="4">
        <f t="shared" si="109"/>
        <v>-88.738517579980993</v>
      </c>
      <c r="R6991" s="23" t="s">
        <v>109</v>
      </c>
    </row>
    <row r="6992" spans="1:18" x14ac:dyDescent="0.25">
      <c r="A6992" s="21">
        <v>45873</v>
      </c>
      <c r="B6992" s="1">
        <v>716002680</v>
      </c>
      <c r="C6992" t="s">
        <v>12304</v>
      </c>
      <c r="D6992" s="43">
        <v>-11205.9</v>
      </c>
      <c r="E6992" t="s">
        <v>35</v>
      </c>
      <c r="F6992" s="2">
        <v>212901001</v>
      </c>
      <c r="G6992" s="2" t="s">
        <v>121</v>
      </c>
      <c r="L6992" s="2" t="s">
        <v>12305</v>
      </c>
      <c r="M6992" t="s">
        <v>67</v>
      </c>
      <c r="N6992" t="s">
        <v>68</v>
      </c>
      <c r="P6992" s="23">
        <v>126.28</v>
      </c>
      <c r="Q6992" s="4">
        <f t="shared" si="109"/>
        <v>-88.738517579980993</v>
      </c>
      <c r="R6992" s="23" t="s">
        <v>109</v>
      </c>
    </row>
    <row r="6993" spans="1:18" x14ac:dyDescent="0.25">
      <c r="A6993" s="21">
        <v>45873</v>
      </c>
      <c r="B6993" s="1">
        <v>716002679</v>
      </c>
      <c r="C6993" t="s">
        <v>12300</v>
      </c>
      <c r="D6993" s="43">
        <v>-11205.9</v>
      </c>
      <c r="E6993" t="s">
        <v>35</v>
      </c>
      <c r="F6993" s="2">
        <v>212901001</v>
      </c>
      <c r="G6993" s="2" t="s">
        <v>121</v>
      </c>
      <c r="L6993" s="2" t="s">
        <v>12306</v>
      </c>
      <c r="M6993" t="s">
        <v>67</v>
      </c>
      <c r="N6993" t="s">
        <v>68</v>
      </c>
      <c r="P6993" s="23">
        <v>126.28</v>
      </c>
      <c r="Q6993" s="4">
        <f t="shared" si="109"/>
        <v>-88.738517579980993</v>
      </c>
      <c r="R6993" s="23" t="s">
        <v>109</v>
      </c>
    </row>
    <row r="6994" spans="1:18" x14ac:dyDescent="0.25">
      <c r="A6994" s="21">
        <v>45873</v>
      </c>
      <c r="B6994" s="1">
        <v>716002682</v>
      </c>
      <c r="C6994" t="s">
        <v>12307</v>
      </c>
      <c r="D6994" s="43">
        <v>-11205.9</v>
      </c>
      <c r="E6994" t="s">
        <v>35</v>
      </c>
      <c r="F6994" s="2">
        <v>212901001</v>
      </c>
      <c r="G6994" s="2" t="s">
        <v>121</v>
      </c>
      <c r="L6994" s="2" t="s">
        <v>12308</v>
      </c>
      <c r="M6994" t="s">
        <v>67</v>
      </c>
      <c r="N6994" t="s">
        <v>68</v>
      </c>
      <c r="P6994" s="23">
        <v>126.28</v>
      </c>
      <c r="Q6994" s="4">
        <f t="shared" si="109"/>
        <v>-88.738517579980993</v>
      </c>
      <c r="R6994" s="23" t="s">
        <v>109</v>
      </c>
    </row>
    <row r="6995" spans="1:18" x14ac:dyDescent="0.25">
      <c r="A6995" s="21">
        <v>45873</v>
      </c>
      <c r="B6995" s="1">
        <v>716002683</v>
      </c>
      <c r="C6995" t="s">
        <v>12309</v>
      </c>
      <c r="D6995" s="43">
        <v>-11205.9</v>
      </c>
      <c r="E6995" t="s">
        <v>35</v>
      </c>
      <c r="F6995" s="2">
        <v>212901001</v>
      </c>
      <c r="G6995" s="2" t="s">
        <v>121</v>
      </c>
      <c r="L6995" s="2" t="s">
        <v>12310</v>
      </c>
      <c r="M6995" t="s">
        <v>67</v>
      </c>
      <c r="N6995" t="s">
        <v>68</v>
      </c>
      <c r="P6995" s="23">
        <v>126.28</v>
      </c>
      <c r="Q6995" s="4">
        <f t="shared" si="109"/>
        <v>-88.738517579980993</v>
      </c>
      <c r="R6995" s="23" t="s">
        <v>109</v>
      </c>
    </row>
    <row r="6996" spans="1:18" x14ac:dyDescent="0.25">
      <c r="A6996" s="21">
        <v>45873</v>
      </c>
      <c r="B6996" s="1">
        <v>816002688</v>
      </c>
      <c r="C6996" t="s">
        <v>12311</v>
      </c>
      <c r="D6996" s="43">
        <v>-11205.9</v>
      </c>
      <c r="E6996" t="s">
        <v>35</v>
      </c>
      <c r="F6996" s="2">
        <v>212901001</v>
      </c>
      <c r="G6996" s="2" t="s">
        <v>121</v>
      </c>
      <c r="L6996" s="2" t="s">
        <v>12312</v>
      </c>
      <c r="M6996" t="s">
        <v>67</v>
      </c>
      <c r="N6996" t="s">
        <v>68</v>
      </c>
      <c r="P6996" s="23">
        <v>126.28</v>
      </c>
      <c r="Q6996" s="4">
        <f t="shared" si="109"/>
        <v>-88.738517579980993</v>
      </c>
      <c r="R6996" s="23" t="s">
        <v>109</v>
      </c>
    </row>
    <row r="6997" spans="1:18" x14ac:dyDescent="0.25">
      <c r="A6997" s="21">
        <v>45873</v>
      </c>
      <c r="B6997" s="1">
        <v>816002686</v>
      </c>
      <c r="C6997" t="s">
        <v>12313</v>
      </c>
      <c r="D6997" s="43">
        <v>-11205.9</v>
      </c>
      <c r="E6997" t="s">
        <v>35</v>
      </c>
      <c r="F6997" s="2">
        <v>212901001</v>
      </c>
      <c r="G6997" s="2" t="s">
        <v>121</v>
      </c>
      <c r="L6997" s="2" t="s">
        <v>12314</v>
      </c>
      <c r="M6997" t="s">
        <v>67</v>
      </c>
      <c r="N6997" t="s">
        <v>68</v>
      </c>
      <c r="P6997" s="23">
        <v>126.28</v>
      </c>
      <c r="Q6997" s="4">
        <f t="shared" si="109"/>
        <v>-88.738517579980993</v>
      </c>
      <c r="R6997" s="23" t="s">
        <v>109</v>
      </c>
    </row>
    <row r="6998" spans="1:18" x14ac:dyDescent="0.25">
      <c r="A6998" s="21">
        <v>45873</v>
      </c>
      <c r="B6998" s="1">
        <v>816002684</v>
      </c>
      <c r="C6998" t="s">
        <v>12315</v>
      </c>
      <c r="D6998" s="43">
        <v>-12201.98</v>
      </c>
      <c r="E6998" t="s">
        <v>35</v>
      </c>
      <c r="F6998" s="2">
        <v>212901001</v>
      </c>
      <c r="G6998" s="2" t="s">
        <v>121</v>
      </c>
      <c r="L6998" s="2" t="s">
        <v>12316</v>
      </c>
      <c r="M6998" t="s">
        <v>67</v>
      </c>
      <c r="N6998" t="s">
        <v>68</v>
      </c>
      <c r="P6998" s="23">
        <v>126.28</v>
      </c>
      <c r="Q6998" s="4">
        <f t="shared" si="109"/>
        <v>-96.626385809312637</v>
      </c>
      <c r="R6998" s="23" t="s">
        <v>109</v>
      </c>
    </row>
    <row r="6999" spans="1:18" x14ac:dyDescent="0.25">
      <c r="A6999" s="21">
        <v>45873</v>
      </c>
      <c r="B6999" s="1">
        <v>816002685</v>
      </c>
      <c r="C6999" t="s">
        <v>12317</v>
      </c>
      <c r="D6999" s="43">
        <v>-11205.9</v>
      </c>
      <c r="E6999" t="s">
        <v>35</v>
      </c>
      <c r="F6999" s="2">
        <v>212901001</v>
      </c>
      <c r="G6999" s="2" t="s">
        <v>121</v>
      </c>
      <c r="L6999" s="2" t="s">
        <v>12318</v>
      </c>
      <c r="M6999" t="s">
        <v>67</v>
      </c>
      <c r="N6999" t="s">
        <v>68</v>
      </c>
      <c r="P6999" s="23">
        <v>126.28</v>
      </c>
      <c r="Q6999" s="4">
        <f t="shared" si="109"/>
        <v>-88.738517579980993</v>
      </c>
      <c r="R6999" s="23" t="s">
        <v>109</v>
      </c>
    </row>
    <row r="7000" spans="1:18" x14ac:dyDescent="0.25">
      <c r="A7000" s="21">
        <v>45873</v>
      </c>
      <c r="B7000" s="1">
        <v>816002687</v>
      </c>
      <c r="C7000" t="s">
        <v>12319</v>
      </c>
      <c r="D7000" s="43">
        <v>-11205.9</v>
      </c>
      <c r="E7000" t="s">
        <v>35</v>
      </c>
      <c r="F7000" s="2">
        <v>212901001</v>
      </c>
      <c r="G7000" s="2" t="s">
        <v>121</v>
      </c>
      <c r="L7000" s="2" t="s">
        <v>12320</v>
      </c>
      <c r="M7000" t="s">
        <v>67</v>
      </c>
      <c r="N7000" t="s">
        <v>68</v>
      </c>
      <c r="P7000" s="23">
        <v>126.28</v>
      </c>
      <c r="Q7000" s="4">
        <f t="shared" si="109"/>
        <v>-88.738517579980993</v>
      </c>
      <c r="R7000" s="23" t="s">
        <v>109</v>
      </c>
    </row>
    <row r="7001" spans="1:18" x14ac:dyDescent="0.25">
      <c r="A7001" s="21">
        <v>45873</v>
      </c>
      <c r="B7001" s="1">
        <v>816002691</v>
      </c>
      <c r="C7001" t="s">
        <v>12321</v>
      </c>
      <c r="D7001" s="43">
        <v>-7470.6</v>
      </c>
      <c r="E7001" t="s">
        <v>35</v>
      </c>
      <c r="F7001" s="2">
        <v>212901001</v>
      </c>
      <c r="G7001" s="2" t="s">
        <v>121</v>
      </c>
      <c r="L7001" s="2" t="s">
        <v>12322</v>
      </c>
      <c r="M7001" t="s">
        <v>67</v>
      </c>
      <c r="N7001" t="s">
        <v>68</v>
      </c>
      <c r="P7001" s="23">
        <v>126.28</v>
      </c>
      <c r="Q7001" s="4">
        <f t="shared" si="109"/>
        <v>-59.159011719987333</v>
      </c>
      <c r="R7001" s="23" t="s">
        <v>109</v>
      </c>
    </row>
    <row r="7002" spans="1:18" x14ac:dyDescent="0.25">
      <c r="A7002" s="21">
        <v>45873</v>
      </c>
      <c r="B7002" s="1">
        <v>816002692</v>
      </c>
      <c r="C7002" t="s">
        <v>12323</v>
      </c>
      <c r="D7002" s="43">
        <v>-7470.6</v>
      </c>
      <c r="E7002" t="s">
        <v>35</v>
      </c>
      <c r="F7002" s="2">
        <v>212901001</v>
      </c>
      <c r="G7002" s="2" t="s">
        <v>121</v>
      </c>
      <c r="L7002" s="2" t="s">
        <v>12324</v>
      </c>
      <c r="M7002" t="s">
        <v>67</v>
      </c>
      <c r="N7002" t="s">
        <v>68</v>
      </c>
      <c r="P7002" s="23">
        <v>126.28</v>
      </c>
      <c r="Q7002" s="4">
        <f t="shared" si="109"/>
        <v>-59.159011719987333</v>
      </c>
      <c r="R7002" s="23" t="s">
        <v>109</v>
      </c>
    </row>
    <row r="7003" spans="1:18" x14ac:dyDescent="0.25">
      <c r="A7003" s="21">
        <v>45873</v>
      </c>
      <c r="B7003" s="1">
        <v>816002693</v>
      </c>
      <c r="C7003" t="s">
        <v>12325</v>
      </c>
      <c r="D7003" s="43">
        <v>-7470.6</v>
      </c>
      <c r="E7003" t="s">
        <v>35</v>
      </c>
      <c r="F7003" s="2">
        <v>212901001</v>
      </c>
      <c r="G7003" s="2" t="s">
        <v>121</v>
      </c>
      <c r="L7003" s="2" t="s">
        <v>12326</v>
      </c>
      <c r="M7003" t="s">
        <v>67</v>
      </c>
      <c r="N7003" t="s">
        <v>68</v>
      </c>
      <c r="P7003" s="23">
        <v>126.28</v>
      </c>
      <c r="Q7003" s="4">
        <f t="shared" si="109"/>
        <v>-59.159011719987333</v>
      </c>
      <c r="R7003" s="23" t="s">
        <v>109</v>
      </c>
    </row>
    <row r="7004" spans="1:18" x14ac:dyDescent="0.25">
      <c r="A7004" s="21">
        <v>45873</v>
      </c>
      <c r="B7004" s="1">
        <v>816002690</v>
      </c>
      <c r="C7004" t="s">
        <v>12327</v>
      </c>
      <c r="D7004" s="43">
        <v>-11205.9</v>
      </c>
      <c r="E7004" t="s">
        <v>35</v>
      </c>
      <c r="F7004" s="2">
        <v>212901001</v>
      </c>
      <c r="G7004" s="2" t="s">
        <v>121</v>
      </c>
      <c r="L7004" s="2" t="s">
        <v>12328</v>
      </c>
      <c r="M7004" t="s">
        <v>67</v>
      </c>
      <c r="N7004" t="s">
        <v>68</v>
      </c>
      <c r="P7004" s="23">
        <v>126.28</v>
      </c>
      <c r="Q7004" s="4">
        <f t="shared" si="109"/>
        <v>-88.738517579980993</v>
      </c>
      <c r="R7004" s="23" t="s">
        <v>109</v>
      </c>
    </row>
    <row r="7005" spans="1:18" x14ac:dyDescent="0.25">
      <c r="A7005" s="21">
        <v>45873</v>
      </c>
      <c r="B7005" s="1">
        <v>916002696</v>
      </c>
      <c r="C7005" t="s">
        <v>12329</v>
      </c>
      <c r="D7005" s="43">
        <v>-24902</v>
      </c>
      <c r="E7005" t="s">
        <v>35</v>
      </c>
      <c r="F7005" s="2">
        <v>212901001</v>
      </c>
      <c r="G7005" s="2" t="s">
        <v>121</v>
      </c>
      <c r="L7005" s="2" t="s">
        <v>12330</v>
      </c>
      <c r="M7005" t="s">
        <v>67</v>
      </c>
      <c r="N7005" t="s">
        <v>68</v>
      </c>
      <c r="P7005" s="23">
        <v>126.28</v>
      </c>
      <c r="Q7005" s="4">
        <f t="shared" si="109"/>
        <v>-197.19670573329111</v>
      </c>
      <c r="R7005" s="23" t="s">
        <v>109</v>
      </c>
    </row>
    <row r="7006" spans="1:18" x14ac:dyDescent="0.25">
      <c r="A7006" s="21">
        <v>45873</v>
      </c>
      <c r="B7006" s="1">
        <v>816002694</v>
      </c>
      <c r="C7006" t="s">
        <v>12331</v>
      </c>
      <c r="D7006" s="43">
        <v>-7470.6</v>
      </c>
      <c r="E7006" t="s">
        <v>35</v>
      </c>
      <c r="F7006" s="2">
        <v>212901001</v>
      </c>
      <c r="G7006" s="2" t="s">
        <v>121</v>
      </c>
      <c r="L7006" s="2" t="s">
        <v>12332</v>
      </c>
      <c r="M7006" t="s">
        <v>67</v>
      </c>
      <c r="N7006" t="s">
        <v>68</v>
      </c>
      <c r="P7006" s="23">
        <v>126.28</v>
      </c>
      <c r="Q7006" s="4">
        <f t="shared" si="109"/>
        <v>-59.159011719987333</v>
      </c>
      <c r="R7006" s="23" t="s">
        <v>109</v>
      </c>
    </row>
    <row r="7007" spans="1:18" x14ac:dyDescent="0.25">
      <c r="A7007" s="21">
        <v>45873</v>
      </c>
      <c r="B7007" s="1">
        <v>916002695</v>
      </c>
      <c r="C7007" t="s">
        <v>12333</v>
      </c>
      <c r="D7007" s="43">
        <v>-12451</v>
      </c>
      <c r="E7007" t="s">
        <v>35</v>
      </c>
      <c r="F7007" s="2">
        <v>212901001</v>
      </c>
      <c r="G7007" s="2" t="s">
        <v>121</v>
      </c>
      <c r="L7007" s="2" t="s">
        <v>12334</v>
      </c>
      <c r="M7007" t="s">
        <v>67</v>
      </c>
      <c r="N7007" t="s">
        <v>68</v>
      </c>
      <c r="P7007" s="23">
        <v>126.28</v>
      </c>
      <c r="Q7007" s="4">
        <f t="shared" si="109"/>
        <v>-98.598352866645556</v>
      </c>
      <c r="R7007" s="23" t="s">
        <v>109</v>
      </c>
    </row>
    <row r="7008" spans="1:18" x14ac:dyDescent="0.25">
      <c r="A7008" s="21">
        <v>45873</v>
      </c>
      <c r="B7008" s="1">
        <v>916002698</v>
      </c>
      <c r="C7008" t="s">
        <v>12335</v>
      </c>
      <c r="D7008" s="43">
        <v>-8715.7000000000007</v>
      </c>
      <c r="E7008" t="s">
        <v>35</v>
      </c>
      <c r="F7008" s="2">
        <v>212901001</v>
      </c>
      <c r="G7008" s="2" t="s">
        <v>121</v>
      </c>
      <c r="L7008" s="2" t="s">
        <v>12336</v>
      </c>
      <c r="M7008" t="s">
        <v>67</v>
      </c>
      <c r="N7008" t="s">
        <v>68</v>
      </c>
      <c r="P7008" s="23">
        <v>126.28</v>
      </c>
      <c r="Q7008" s="4">
        <f t="shared" si="109"/>
        <v>-69.018847006651896</v>
      </c>
      <c r="R7008" s="23" t="s">
        <v>109</v>
      </c>
    </row>
    <row r="7009" spans="1:20" x14ac:dyDescent="0.25">
      <c r="A7009" s="21">
        <v>45873</v>
      </c>
      <c r="B7009" s="1">
        <v>916002697</v>
      </c>
      <c r="C7009" t="s">
        <v>12337</v>
      </c>
      <c r="D7009" s="43">
        <v>-15190.22</v>
      </c>
      <c r="E7009" t="s">
        <v>35</v>
      </c>
      <c r="F7009" s="2">
        <v>212901001</v>
      </c>
      <c r="G7009" s="2" t="s">
        <v>121</v>
      </c>
      <c r="L7009" s="2" t="s">
        <v>12338</v>
      </c>
      <c r="M7009" t="s">
        <v>67</v>
      </c>
      <c r="N7009" t="s">
        <v>68</v>
      </c>
      <c r="P7009" s="23">
        <v>126.28</v>
      </c>
      <c r="Q7009" s="4">
        <f t="shared" si="109"/>
        <v>-120.28999049730757</v>
      </c>
      <c r="R7009" s="23" t="s">
        <v>109</v>
      </c>
    </row>
    <row r="7010" spans="1:20" x14ac:dyDescent="0.25">
      <c r="A7010" s="21">
        <v>45873</v>
      </c>
      <c r="B7010" s="1">
        <v>916002700</v>
      </c>
      <c r="C7010" t="s">
        <v>12339</v>
      </c>
      <c r="D7010" s="43">
        <v>-9960.7999999999993</v>
      </c>
      <c r="E7010" t="s">
        <v>35</v>
      </c>
      <c r="F7010" s="2">
        <v>212901001</v>
      </c>
      <c r="G7010" s="2" t="s">
        <v>121</v>
      </c>
      <c r="L7010" s="2" t="s">
        <v>12340</v>
      </c>
      <c r="M7010" t="s">
        <v>67</v>
      </c>
      <c r="N7010" t="s">
        <v>68</v>
      </c>
      <c r="P7010" s="23">
        <v>126.28</v>
      </c>
      <c r="Q7010" s="4">
        <f t="shared" si="109"/>
        <v>-78.87868229331643</v>
      </c>
      <c r="R7010" s="23" t="s">
        <v>109</v>
      </c>
    </row>
    <row r="7011" spans="1:20" x14ac:dyDescent="0.25">
      <c r="A7011" s="21">
        <v>45873</v>
      </c>
      <c r="B7011" s="1">
        <v>50827465</v>
      </c>
      <c r="C7011" t="s">
        <v>12341</v>
      </c>
      <c r="D7011" s="43">
        <v>-22411.8</v>
      </c>
      <c r="E7011" t="s">
        <v>35</v>
      </c>
      <c r="F7011" s="2">
        <v>212901001</v>
      </c>
      <c r="G7011" s="2" t="s">
        <v>121</v>
      </c>
      <c r="L7011" s="2" t="s">
        <v>12342</v>
      </c>
      <c r="M7011" t="s">
        <v>67</v>
      </c>
      <c r="N7011" t="s">
        <v>68</v>
      </c>
      <c r="P7011" s="23">
        <v>126.28</v>
      </c>
      <c r="Q7011" s="4">
        <f t="shared" si="109"/>
        <v>-177.47703515996199</v>
      </c>
      <c r="R7011" s="23" t="s">
        <v>109</v>
      </c>
    </row>
    <row r="7012" spans="1:20" x14ac:dyDescent="0.25">
      <c r="A7012" s="21">
        <v>45873</v>
      </c>
      <c r="B7012" s="1">
        <v>50827465</v>
      </c>
      <c r="C7012" t="s">
        <v>296</v>
      </c>
      <c r="D7012" s="43">
        <v>-33.61</v>
      </c>
      <c r="E7012" t="s">
        <v>35</v>
      </c>
      <c r="F7012" s="2">
        <v>610148001</v>
      </c>
      <c r="G7012" s="2" t="s">
        <v>42</v>
      </c>
      <c r="L7012" s="2" t="s">
        <v>12343</v>
      </c>
      <c r="M7012" t="s">
        <v>43</v>
      </c>
      <c r="N7012" t="s">
        <v>42</v>
      </c>
      <c r="P7012" s="23">
        <v>126.28</v>
      </c>
      <c r="Q7012" s="4">
        <f t="shared" si="109"/>
        <v>-0.26615457713018686</v>
      </c>
      <c r="R7012" s="23" t="s">
        <v>109</v>
      </c>
      <c r="T7012" s="23" t="s">
        <v>12141</v>
      </c>
    </row>
    <row r="7013" spans="1:20" x14ac:dyDescent="0.25">
      <c r="A7013" s="21">
        <v>45873</v>
      </c>
      <c r="B7013" s="1">
        <v>50827465</v>
      </c>
      <c r="C7013" t="s">
        <v>118</v>
      </c>
      <c r="D7013" s="43">
        <v>-2182.0300000000002</v>
      </c>
      <c r="E7013" t="s">
        <v>35</v>
      </c>
      <c r="F7013" s="2">
        <v>610148001</v>
      </c>
      <c r="G7013" s="2" t="s">
        <v>42</v>
      </c>
      <c r="L7013" s="2" t="s">
        <v>12344</v>
      </c>
      <c r="M7013" t="s">
        <v>43</v>
      </c>
      <c r="N7013" t="s">
        <v>42</v>
      </c>
      <c r="P7013" s="23">
        <v>126.28</v>
      </c>
      <c r="Q7013" s="4">
        <f t="shared" si="109"/>
        <v>-17.279299968324359</v>
      </c>
      <c r="R7013" s="23" t="s">
        <v>109</v>
      </c>
      <c r="T7013" s="23" t="s">
        <v>12141</v>
      </c>
    </row>
    <row r="7014" spans="1:20" x14ac:dyDescent="0.25">
      <c r="A7014" s="21">
        <v>45873</v>
      </c>
      <c r="B7014" s="1">
        <v>140609261</v>
      </c>
      <c r="C7014" t="s">
        <v>107</v>
      </c>
      <c r="D7014" s="43">
        <v>5500</v>
      </c>
      <c r="E7014" t="s">
        <v>46</v>
      </c>
      <c r="F7014" s="2">
        <v>210115002</v>
      </c>
      <c r="G7014" s="2" t="s">
        <v>47</v>
      </c>
      <c r="L7014" s="2" t="s">
        <v>12345</v>
      </c>
      <c r="N7014" t="s">
        <v>107</v>
      </c>
      <c r="P7014" s="23">
        <v>126.28</v>
      </c>
      <c r="Q7014" s="4">
        <f t="shared" si="109"/>
        <v>43.554006968641112</v>
      </c>
      <c r="R7014" s="23" t="s">
        <v>109</v>
      </c>
    </row>
    <row r="7015" spans="1:20" x14ac:dyDescent="0.25">
      <c r="A7015" s="21">
        <v>45873</v>
      </c>
      <c r="B7015" s="1">
        <v>141220212</v>
      </c>
      <c r="C7015" t="s">
        <v>12346</v>
      </c>
      <c r="D7015" s="43">
        <v>-2689.76</v>
      </c>
      <c r="E7015" t="s">
        <v>35</v>
      </c>
      <c r="F7015" s="2">
        <v>210101001</v>
      </c>
      <c r="G7015" s="2" t="s">
        <v>36</v>
      </c>
      <c r="L7015" s="2" t="s">
        <v>12347</v>
      </c>
      <c r="M7015" t="s">
        <v>12348</v>
      </c>
      <c r="N7015" t="s">
        <v>6903</v>
      </c>
      <c r="P7015" s="23">
        <v>126.28</v>
      </c>
      <c r="Q7015" s="4">
        <f t="shared" si="109"/>
        <v>-21.29996832435857</v>
      </c>
      <c r="R7015" s="23" t="s">
        <v>109</v>
      </c>
    </row>
    <row r="7016" spans="1:20" x14ac:dyDescent="0.25">
      <c r="A7016" s="21">
        <v>45873</v>
      </c>
      <c r="B7016" s="1">
        <v>141246037</v>
      </c>
      <c r="C7016" t="s">
        <v>12349</v>
      </c>
      <c r="D7016" s="43">
        <v>-2689.76</v>
      </c>
      <c r="E7016" t="s">
        <v>35</v>
      </c>
      <c r="F7016" s="2">
        <v>210101001</v>
      </c>
      <c r="G7016" s="2" t="s">
        <v>36</v>
      </c>
      <c r="L7016" s="2" t="s">
        <v>12350</v>
      </c>
      <c r="M7016" t="s">
        <v>12348</v>
      </c>
      <c r="N7016" t="s">
        <v>6903</v>
      </c>
      <c r="P7016" s="23">
        <v>126.28</v>
      </c>
      <c r="Q7016" s="4">
        <f t="shared" si="109"/>
        <v>-21.29996832435857</v>
      </c>
      <c r="R7016" s="23" t="s">
        <v>109</v>
      </c>
    </row>
    <row r="7017" spans="1:20" x14ac:dyDescent="0.25">
      <c r="A7017" s="21">
        <v>45876</v>
      </c>
      <c r="B7017" s="1">
        <v>141106047</v>
      </c>
      <c r="C7017" t="s">
        <v>107</v>
      </c>
      <c r="D7017" s="43">
        <v>85000</v>
      </c>
      <c r="E7017" t="s">
        <v>46</v>
      </c>
      <c r="F7017" s="2">
        <v>210115002</v>
      </c>
      <c r="G7017" s="2" t="s">
        <v>47</v>
      </c>
      <c r="L7017" s="2" t="s">
        <v>12351</v>
      </c>
      <c r="N7017" t="s">
        <v>107</v>
      </c>
      <c r="P7017" s="23">
        <v>129.05000000000001</v>
      </c>
      <c r="Q7017" s="4">
        <f t="shared" si="109"/>
        <v>658.65943432777988</v>
      </c>
      <c r="R7017" s="23" t="s">
        <v>109</v>
      </c>
    </row>
    <row r="7018" spans="1:20" x14ac:dyDescent="0.25">
      <c r="A7018" s="21">
        <v>45876</v>
      </c>
      <c r="B7018" s="1">
        <v>816268488</v>
      </c>
      <c r="C7018" t="s">
        <v>12352</v>
      </c>
      <c r="D7018" s="43">
        <v>-64733.24</v>
      </c>
      <c r="E7018" t="s">
        <v>35</v>
      </c>
      <c r="F7018" s="2">
        <v>210101001</v>
      </c>
      <c r="G7018" s="2" t="s">
        <v>36</v>
      </c>
      <c r="L7018" s="2" t="s">
        <v>12353</v>
      </c>
      <c r="M7018" t="s">
        <v>1376</v>
      </c>
      <c r="N7018" t="s">
        <v>1377</v>
      </c>
      <c r="P7018" s="23">
        <v>129.05000000000001</v>
      </c>
      <c r="Q7018" s="4">
        <f t="shared" si="109"/>
        <v>-501.61363812475781</v>
      </c>
      <c r="R7018" s="23" t="s">
        <v>109</v>
      </c>
    </row>
    <row r="7019" spans="1:20" x14ac:dyDescent="0.25">
      <c r="A7019" s="21">
        <v>45876</v>
      </c>
      <c r="B7019" s="1">
        <v>816268488</v>
      </c>
      <c r="C7019" t="s">
        <v>306</v>
      </c>
      <c r="D7019" s="43">
        <v>-194.2</v>
      </c>
      <c r="E7019" t="s">
        <v>35</v>
      </c>
      <c r="F7019" s="2">
        <v>610148001</v>
      </c>
      <c r="G7019" s="2" t="s">
        <v>42</v>
      </c>
      <c r="L7019" s="2" t="s">
        <v>12354</v>
      </c>
      <c r="M7019" t="s">
        <v>43</v>
      </c>
      <c r="N7019" t="s">
        <v>42</v>
      </c>
      <c r="P7019" s="23">
        <v>129.05000000000001</v>
      </c>
      <c r="Q7019" s="4">
        <f t="shared" si="109"/>
        <v>-1.5048430840759393</v>
      </c>
      <c r="R7019" s="23" t="s">
        <v>109</v>
      </c>
      <c r="T7019" s="23" t="s">
        <v>12141</v>
      </c>
    </row>
    <row r="7020" spans="1:20" x14ac:dyDescent="0.25">
      <c r="A7020" s="21">
        <v>45876</v>
      </c>
      <c r="B7020" s="1">
        <v>616268523</v>
      </c>
      <c r="C7020" t="s">
        <v>12355</v>
      </c>
      <c r="D7020" s="43">
        <v>-17963.759999999998</v>
      </c>
      <c r="E7020" t="s">
        <v>35</v>
      </c>
      <c r="F7020" s="2">
        <v>210101001</v>
      </c>
      <c r="G7020" s="2" t="s">
        <v>36</v>
      </c>
      <c r="L7020" s="2" t="s">
        <v>12356</v>
      </c>
      <c r="M7020" t="s">
        <v>788</v>
      </c>
      <c r="N7020" t="s">
        <v>789</v>
      </c>
      <c r="P7020" s="23">
        <v>129.05000000000001</v>
      </c>
      <c r="Q7020" s="4">
        <f t="shared" si="109"/>
        <v>-139.19999999999999</v>
      </c>
      <c r="R7020" s="23" t="s">
        <v>109</v>
      </c>
    </row>
    <row r="7021" spans="1:20" x14ac:dyDescent="0.25">
      <c r="A7021" s="21">
        <v>45876</v>
      </c>
      <c r="B7021" s="1">
        <v>616268523</v>
      </c>
      <c r="C7021" t="s">
        <v>306</v>
      </c>
      <c r="D7021" s="43">
        <v>-53.89</v>
      </c>
      <c r="E7021" t="s">
        <v>35</v>
      </c>
      <c r="F7021" s="2">
        <v>610148001</v>
      </c>
      <c r="G7021" s="2" t="s">
        <v>42</v>
      </c>
      <c r="L7021" s="2" t="s">
        <v>12357</v>
      </c>
      <c r="M7021" t="s">
        <v>43</v>
      </c>
      <c r="N7021" t="s">
        <v>42</v>
      </c>
      <c r="P7021" s="23">
        <v>129.05000000000001</v>
      </c>
      <c r="Q7021" s="4">
        <f t="shared" si="109"/>
        <v>-0.41759008136381243</v>
      </c>
      <c r="R7021" s="23" t="s">
        <v>109</v>
      </c>
      <c r="T7021" s="23" t="s">
        <v>12141</v>
      </c>
    </row>
    <row r="7022" spans="1:20" x14ac:dyDescent="0.25">
      <c r="A7022" s="21">
        <v>45876</v>
      </c>
      <c r="B7022" s="1">
        <v>161125705</v>
      </c>
      <c r="C7022" t="s">
        <v>107</v>
      </c>
      <c r="D7022" s="43">
        <v>365000</v>
      </c>
      <c r="E7022" t="s">
        <v>46</v>
      </c>
      <c r="F7022" s="2">
        <v>210115002</v>
      </c>
      <c r="G7022" s="2" t="s">
        <v>47</v>
      </c>
      <c r="L7022" s="2" t="s">
        <v>12358</v>
      </c>
      <c r="N7022" t="s">
        <v>107</v>
      </c>
      <c r="P7022" s="23">
        <v>129.05000000000001</v>
      </c>
      <c r="Q7022" s="4">
        <f t="shared" si="109"/>
        <v>2828.3611003487017</v>
      </c>
      <c r="R7022" s="23" t="s">
        <v>109</v>
      </c>
    </row>
    <row r="7023" spans="1:20" x14ac:dyDescent="0.25">
      <c r="A7023" s="21">
        <v>45876</v>
      </c>
      <c r="C7023" t="s">
        <v>8641</v>
      </c>
      <c r="D7023" s="43">
        <v>-126.28</v>
      </c>
      <c r="E7023" t="s">
        <v>35</v>
      </c>
      <c r="F7023" s="2">
        <v>610148001</v>
      </c>
      <c r="G7023" s="2" t="s">
        <v>42</v>
      </c>
      <c r="L7023" s="2" t="s">
        <v>12359</v>
      </c>
      <c r="M7023" t="s">
        <v>43</v>
      </c>
      <c r="N7023" t="s">
        <v>42</v>
      </c>
      <c r="P7023" s="23">
        <v>129.05000000000001</v>
      </c>
      <c r="Q7023" s="4">
        <f t="shared" si="109"/>
        <v>-0.97853545137543585</v>
      </c>
      <c r="R7023" s="23" t="s">
        <v>109</v>
      </c>
      <c r="T7023" s="23" t="s">
        <v>12141</v>
      </c>
    </row>
    <row r="7024" spans="1:20" x14ac:dyDescent="0.25">
      <c r="A7024" s="21">
        <v>45876</v>
      </c>
      <c r="B7024" s="1">
        <v>108798</v>
      </c>
      <c r="C7024" t="s">
        <v>12360</v>
      </c>
      <c r="D7024" s="43">
        <v>-363377.71</v>
      </c>
      <c r="E7024" t="s">
        <v>35</v>
      </c>
      <c r="F7024" s="2">
        <v>210601001</v>
      </c>
      <c r="G7024" s="2" t="s">
        <v>494</v>
      </c>
      <c r="L7024" s="2" t="s">
        <v>12361</v>
      </c>
      <c r="M7024" t="s">
        <v>496</v>
      </c>
      <c r="N7024" t="s">
        <v>497</v>
      </c>
      <c r="P7024" s="23">
        <v>129.05000000000001</v>
      </c>
      <c r="Q7024" s="4">
        <f t="shared" si="109"/>
        <v>-2815.7900813638125</v>
      </c>
      <c r="R7024" s="23" t="s">
        <v>109</v>
      </c>
      <c r="T7024" s="23" t="s">
        <v>12362</v>
      </c>
    </row>
    <row r="7025" spans="1:18" x14ac:dyDescent="0.25">
      <c r="A7025" s="21">
        <v>45877</v>
      </c>
      <c r="B7025" s="1">
        <v>134407727</v>
      </c>
      <c r="C7025" t="s">
        <v>107</v>
      </c>
      <c r="D7025" s="43">
        <v>586000</v>
      </c>
      <c r="E7025" t="s">
        <v>46</v>
      </c>
      <c r="F7025" s="2">
        <v>210115002</v>
      </c>
      <c r="G7025" s="2" t="s">
        <v>47</v>
      </c>
      <c r="L7025" s="2" t="s">
        <v>12363</v>
      </c>
      <c r="N7025" t="s">
        <v>107</v>
      </c>
      <c r="P7025" s="23">
        <v>130.07</v>
      </c>
      <c r="Q7025" s="4">
        <f t="shared" si="109"/>
        <v>4505.2663950180677</v>
      </c>
      <c r="R7025" s="23" t="s">
        <v>109</v>
      </c>
    </row>
    <row r="7026" spans="1:18" x14ac:dyDescent="0.25">
      <c r="A7026" s="21">
        <v>45877</v>
      </c>
      <c r="B7026" s="1">
        <v>116324722</v>
      </c>
      <c r="C7026" t="s">
        <v>12364</v>
      </c>
      <c r="D7026" s="43">
        <v>-9033.5</v>
      </c>
      <c r="E7026" t="s">
        <v>35</v>
      </c>
      <c r="F7026" s="2">
        <v>212901001</v>
      </c>
      <c r="G7026" s="2" t="s">
        <v>121</v>
      </c>
      <c r="L7026" s="2" t="s">
        <v>12365</v>
      </c>
      <c r="M7026" t="s">
        <v>67</v>
      </c>
      <c r="N7026" t="s">
        <v>68</v>
      </c>
      <c r="P7026" s="23">
        <v>130.07</v>
      </c>
      <c r="Q7026" s="4">
        <f t="shared" si="109"/>
        <v>-69.451064811255478</v>
      </c>
      <c r="R7026" s="23" t="s">
        <v>109</v>
      </c>
    </row>
    <row r="7027" spans="1:18" x14ac:dyDescent="0.25">
      <c r="A7027" s="21">
        <v>45877</v>
      </c>
      <c r="B7027" s="1">
        <v>116324724</v>
      </c>
      <c r="C7027" t="s">
        <v>12366</v>
      </c>
      <c r="D7027" s="43">
        <v>-6452.5</v>
      </c>
      <c r="E7027" t="s">
        <v>35</v>
      </c>
      <c r="F7027" s="2">
        <v>212901001</v>
      </c>
      <c r="G7027" s="2" t="s">
        <v>121</v>
      </c>
      <c r="L7027" s="2" t="s">
        <v>12367</v>
      </c>
      <c r="M7027" t="s">
        <v>67</v>
      </c>
      <c r="N7027" t="s">
        <v>68</v>
      </c>
      <c r="P7027" s="23">
        <v>130.07</v>
      </c>
      <c r="Q7027" s="4">
        <f t="shared" si="109"/>
        <v>-49.60790343661106</v>
      </c>
      <c r="R7027" s="23" t="s">
        <v>109</v>
      </c>
    </row>
    <row r="7028" spans="1:18" x14ac:dyDescent="0.25">
      <c r="A7028" s="21">
        <v>45877</v>
      </c>
      <c r="B7028" s="1">
        <v>116324721</v>
      </c>
      <c r="C7028" t="s">
        <v>12368</v>
      </c>
      <c r="D7028" s="43">
        <v>-9033.5</v>
      </c>
      <c r="E7028" t="s">
        <v>35</v>
      </c>
      <c r="F7028" s="2">
        <v>212901001</v>
      </c>
      <c r="G7028" s="2" t="s">
        <v>121</v>
      </c>
      <c r="L7028" s="2" t="s">
        <v>12369</v>
      </c>
      <c r="M7028" t="s">
        <v>67</v>
      </c>
      <c r="N7028" t="s">
        <v>68</v>
      </c>
      <c r="P7028" s="23">
        <v>130.07</v>
      </c>
      <c r="Q7028" s="4">
        <f t="shared" si="109"/>
        <v>-69.451064811255478</v>
      </c>
      <c r="R7028" s="23" t="s">
        <v>109</v>
      </c>
    </row>
    <row r="7029" spans="1:18" x14ac:dyDescent="0.25">
      <c r="A7029" s="21">
        <v>45877</v>
      </c>
      <c r="B7029" s="1">
        <v>116324729</v>
      </c>
      <c r="C7029" t="s">
        <v>12370</v>
      </c>
      <c r="D7029" s="43">
        <v>-6452.5</v>
      </c>
      <c r="E7029" t="s">
        <v>35</v>
      </c>
      <c r="F7029" s="2">
        <v>212901001</v>
      </c>
      <c r="G7029" s="2" t="s">
        <v>121</v>
      </c>
      <c r="L7029" s="2" t="s">
        <v>12371</v>
      </c>
      <c r="M7029" t="s">
        <v>67</v>
      </c>
      <c r="N7029" t="s">
        <v>68</v>
      </c>
      <c r="P7029" s="23">
        <v>130.07</v>
      </c>
      <c r="Q7029" s="4">
        <f t="shared" si="109"/>
        <v>-49.60790343661106</v>
      </c>
      <c r="R7029" s="23" t="s">
        <v>109</v>
      </c>
    </row>
    <row r="7030" spans="1:18" x14ac:dyDescent="0.25">
      <c r="A7030" s="21">
        <v>45877</v>
      </c>
      <c r="B7030" s="1">
        <v>116324728</v>
      </c>
      <c r="C7030" t="s">
        <v>12372</v>
      </c>
      <c r="D7030" s="43">
        <v>-6452.5</v>
      </c>
      <c r="E7030" t="s">
        <v>35</v>
      </c>
      <c r="F7030" s="2">
        <v>212901001</v>
      </c>
      <c r="G7030" s="2" t="s">
        <v>121</v>
      </c>
      <c r="L7030" s="2" t="s">
        <v>12373</v>
      </c>
      <c r="M7030" t="s">
        <v>67</v>
      </c>
      <c r="N7030" t="s">
        <v>68</v>
      </c>
      <c r="P7030" s="23">
        <v>130.07</v>
      </c>
      <c r="Q7030" s="4">
        <f t="shared" si="109"/>
        <v>-49.60790343661106</v>
      </c>
      <c r="R7030" s="23" t="s">
        <v>109</v>
      </c>
    </row>
    <row r="7031" spans="1:18" x14ac:dyDescent="0.25">
      <c r="A7031" s="21">
        <v>45877</v>
      </c>
      <c r="B7031" s="1">
        <v>116324725</v>
      </c>
      <c r="C7031" t="s">
        <v>12374</v>
      </c>
      <c r="D7031" s="43">
        <v>-9033.5</v>
      </c>
      <c r="E7031" t="s">
        <v>35</v>
      </c>
      <c r="F7031" s="2">
        <v>212901001</v>
      </c>
      <c r="G7031" s="2" t="s">
        <v>121</v>
      </c>
      <c r="L7031" s="2" t="s">
        <v>12375</v>
      </c>
      <c r="M7031" t="s">
        <v>67</v>
      </c>
      <c r="N7031" t="s">
        <v>68</v>
      </c>
      <c r="P7031" s="23">
        <v>130.07</v>
      </c>
      <c r="Q7031" s="4">
        <f t="shared" si="109"/>
        <v>-69.451064811255478</v>
      </c>
      <c r="R7031" s="23" t="s">
        <v>109</v>
      </c>
    </row>
    <row r="7032" spans="1:18" x14ac:dyDescent="0.25">
      <c r="A7032" s="21">
        <v>45877</v>
      </c>
      <c r="B7032" s="1">
        <v>216324732</v>
      </c>
      <c r="C7032" t="s">
        <v>12376</v>
      </c>
      <c r="D7032" s="43">
        <v>-6452.5</v>
      </c>
      <c r="E7032" t="s">
        <v>35</v>
      </c>
      <c r="F7032" s="2">
        <v>212901001</v>
      </c>
      <c r="G7032" s="2" t="s">
        <v>121</v>
      </c>
      <c r="L7032" s="2" t="s">
        <v>12377</v>
      </c>
      <c r="M7032" t="s">
        <v>67</v>
      </c>
      <c r="N7032" t="s">
        <v>68</v>
      </c>
      <c r="P7032" s="23">
        <v>130.07</v>
      </c>
      <c r="Q7032" s="4">
        <f t="shared" si="109"/>
        <v>-49.60790343661106</v>
      </c>
      <c r="R7032" s="23" t="s">
        <v>109</v>
      </c>
    </row>
    <row r="7033" spans="1:18" x14ac:dyDescent="0.25">
      <c r="A7033" s="21">
        <v>45877</v>
      </c>
      <c r="B7033" s="1">
        <v>116324727</v>
      </c>
      <c r="C7033" t="s">
        <v>12378</v>
      </c>
      <c r="D7033" s="43">
        <v>-6452.5</v>
      </c>
      <c r="E7033" t="s">
        <v>35</v>
      </c>
      <c r="F7033" s="2">
        <v>212901001</v>
      </c>
      <c r="G7033" s="2" t="s">
        <v>121</v>
      </c>
      <c r="L7033" s="2" t="s">
        <v>12379</v>
      </c>
      <c r="M7033" t="s">
        <v>67</v>
      </c>
      <c r="N7033" t="s">
        <v>68</v>
      </c>
      <c r="P7033" s="23">
        <v>130.07</v>
      </c>
      <c r="Q7033" s="4">
        <f t="shared" si="109"/>
        <v>-49.60790343661106</v>
      </c>
      <c r="R7033" s="23" t="s">
        <v>109</v>
      </c>
    </row>
    <row r="7034" spans="1:18" x14ac:dyDescent="0.25">
      <c r="A7034" s="21">
        <v>45877</v>
      </c>
      <c r="B7034" s="1">
        <v>216324731</v>
      </c>
      <c r="C7034" t="s">
        <v>12380</v>
      </c>
      <c r="D7034" s="43">
        <v>-6452.5</v>
      </c>
      <c r="E7034" t="s">
        <v>35</v>
      </c>
      <c r="F7034" s="2">
        <v>212901001</v>
      </c>
      <c r="G7034" s="2" t="s">
        <v>121</v>
      </c>
      <c r="L7034" s="2" t="s">
        <v>12381</v>
      </c>
      <c r="M7034" t="s">
        <v>67</v>
      </c>
      <c r="N7034" t="s">
        <v>68</v>
      </c>
      <c r="P7034" s="23">
        <v>130.07</v>
      </c>
      <c r="Q7034" s="4">
        <f t="shared" si="109"/>
        <v>-49.60790343661106</v>
      </c>
      <c r="R7034" s="23" t="s">
        <v>109</v>
      </c>
    </row>
    <row r="7035" spans="1:18" x14ac:dyDescent="0.25">
      <c r="A7035" s="21">
        <v>45877</v>
      </c>
      <c r="B7035" s="1">
        <v>216324733</v>
      </c>
      <c r="C7035" t="s">
        <v>12382</v>
      </c>
      <c r="D7035" s="43">
        <v>-5420.1</v>
      </c>
      <c r="E7035" t="s">
        <v>35</v>
      </c>
      <c r="F7035" s="2">
        <v>212901001</v>
      </c>
      <c r="G7035" s="2" t="s">
        <v>121</v>
      </c>
      <c r="L7035" s="2" t="s">
        <v>12383</v>
      </c>
      <c r="M7035" t="s">
        <v>67</v>
      </c>
      <c r="N7035" t="s">
        <v>68</v>
      </c>
      <c r="P7035" s="23">
        <v>130.07</v>
      </c>
      <c r="Q7035" s="4">
        <f t="shared" si="109"/>
        <v>-41.670638886753295</v>
      </c>
      <c r="R7035" s="23" t="s">
        <v>109</v>
      </c>
    </row>
    <row r="7036" spans="1:18" x14ac:dyDescent="0.25">
      <c r="A7036" s="21">
        <v>45877</v>
      </c>
      <c r="B7036" s="1">
        <v>216324734</v>
      </c>
      <c r="C7036" t="s">
        <v>12384</v>
      </c>
      <c r="D7036" s="43">
        <v>-6452.5</v>
      </c>
      <c r="E7036" t="s">
        <v>35</v>
      </c>
      <c r="F7036" s="2">
        <v>212901001</v>
      </c>
      <c r="G7036" s="2" t="s">
        <v>121</v>
      </c>
      <c r="L7036" s="2" t="s">
        <v>12385</v>
      </c>
      <c r="M7036" t="s">
        <v>67</v>
      </c>
      <c r="N7036" t="s">
        <v>68</v>
      </c>
      <c r="P7036" s="23">
        <v>130.07</v>
      </c>
      <c r="Q7036" s="4">
        <f t="shared" si="109"/>
        <v>-49.60790343661106</v>
      </c>
      <c r="R7036" s="23" t="s">
        <v>109</v>
      </c>
    </row>
    <row r="7037" spans="1:18" x14ac:dyDescent="0.25">
      <c r="A7037" s="21">
        <v>45877</v>
      </c>
      <c r="B7037" s="1">
        <v>116324730</v>
      </c>
      <c r="C7037" t="s">
        <v>12386</v>
      </c>
      <c r="D7037" s="43">
        <v>-6452.5</v>
      </c>
      <c r="E7037" t="s">
        <v>35</v>
      </c>
      <c r="F7037" s="2">
        <v>212901001</v>
      </c>
      <c r="G7037" s="2" t="s">
        <v>121</v>
      </c>
      <c r="L7037" s="2" t="s">
        <v>12387</v>
      </c>
      <c r="M7037" t="s">
        <v>67</v>
      </c>
      <c r="N7037" t="s">
        <v>68</v>
      </c>
      <c r="P7037" s="23">
        <v>130.07</v>
      </c>
      <c r="Q7037" s="4">
        <f t="shared" si="109"/>
        <v>-49.60790343661106</v>
      </c>
      <c r="R7037" s="23" t="s">
        <v>109</v>
      </c>
    </row>
    <row r="7038" spans="1:18" x14ac:dyDescent="0.25">
      <c r="A7038" s="21">
        <v>45877</v>
      </c>
      <c r="B7038" s="1">
        <v>216324735</v>
      </c>
      <c r="C7038" t="s">
        <v>12388</v>
      </c>
      <c r="D7038" s="43">
        <v>-6452.5</v>
      </c>
      <c r="E7038" t="s">
        <v>35</v>
      </c>
      <c r="F7038" s="2">
        <v>212901001</v>
      </c>
      <c r="G7038" s="2" t="s">
        <v>121</v>
      </c>
      <c r="L7038" s="2" t="s">
        <v>12389</v>
      </c>
      <c r="M7038" t="s">
        <v>67</v>
      </c>
      <c r="N7038" t="s">
        <v>68</v>
      </c>
      <c r="P7038" s="23">
        <v>130.07</v>
      </c>
      <c r="Q7038" s="4">
        <f t="shared" si="109"/>
        <v>-49.60790343661106</v>
      </c>
      <c r="R7038" s="23" t="s">
        <v>109</v>
      </c>
    </row>
    <row r="7039" spans="1:18" x14ac:dyDescent="0.25">
      <c r="A7039" s="21">
        <v>45877</v>
      </c>
      <c r="B7039" s="1">
        <v>216324736</v>
      </c>
      <c r="C7039" t="s">
        <v>12390</v>
      </c>
      <c r="D7039" s="43">
        <v>-6452.5</v>
      </c>
      <c r="E7039" t="s">
        <v>35</v>
      </c>
      <c r="F7039" s="2">
        <v>212901001</v>
      </c>
      <c r="G7039" s="2" t="s">
        <v>121</v>
      </c>
      <c r="L7039" s="2" t="s">
        <v>12391</v>
      </c>
      <c r="M7039" t="s">
        <v>67</v>
      </c>
      <c r="N7039" t="s">
        <v>68</v>
      </c>
      <c r="P7039" s="23">
        <v>130.07</v>
      </c>
      <c r="Q7039" s="4">
        <f t="shared" si="109"/>
        <v>-49.60790343661106</v>
      </c>
      <c r="R7039" s="23" t="s">
        <v>109</v>
      </c>
    </row>
    <row r="7040" spans="1:18" x14ac:dyDescent="0.25">
      <c r="A7040" s="21">
        <v>45877</v>
      </c>
      <c r="B7040" s="1">
        <v>216324737</v>
      </c>
      <c r="C7040" t="s">
        <v>12374</v>
      </c>
      <c r="D7040" s="43">
        <v>-6452.5</v>
      </c>
      <c r="E7040" t="s">
        <v>35</v>
      </c>
      <c r="F7040" s="2">
        <v>212901001</v>
      </c>
      <c r="G7040" s="2" t="s">
        <v>121</v>
      </c>
      <c r="L7040" s="2" t="s">
        <v>12392</v>
      </c>
      <c r="M7040" t="s">
        <v>67</v>
      </c>
      <c r="N7040" t="s">
        <v>68</v>
      </c>
      <c r="P7040" s="23">
        <v>130.07</v>
      </c>
      <c r="Q7040" s="4">
        <f t="shared" si="109"/>
        <v>-49.60790343661106</v>
      </c>
      <c r="R7040" s="23" t="s">
        <v>109</v>
      </c>
    </row>
    <row r="7041" spans="1:18" x14ac:dyDescent="0.25">
      <c r="A7041" s="21">
        <v>45877</v>
      </c>
      <c r="B7041" s="1">
        <v>316324740</v>
      </c>
      <c r="C7041" t="s">
        <v>12393</v>
      </c>
      <c r="D7041" s="43">
        <v>-2581</v>
      </c>
      <c r="E7041" t="s">
        <v>35</v>
      </c>
      <c r="F7041" s="2">
        <v>212901001</v>
      </c>
      <c r="G7041" s="2" t="s">
        <v>121</v>
      </c>
      <c r="L7041" s="2" t="s">
        <v>12394</v>
      </c>
      <c r="M7041" t="s">
        <v>67</v>
      </c>
      <c r="N7041" t="s">
        <v>68</v>
      </c>
      <c r="P7041" s="23">
        <v>130.07</v>
      </c>
      <c r="Q7041" s="4">
        <f t="shared" si="109"/>
        <v>-19.843161374644424</v>
      </c>
      <c r="R7041" s="23" t="s">
        <v>109</v>
      </c>
    </row>
    <row r="7042" spans="1:18" x14ac:dyDescent="0.25">
      <c r="A7042" s="21">
        <v>45877</v>
      </c>
      <c r="B7042" s="1">
        <v>316324738</v>
      </c>
      <c r="C7042" t="s">
        <v>12395</v>
      </c>
      <c r="D7042" s="43">
        <v>-6452.5</v>
      </c>
      <c r="E7042" t="s">
        <v>35</v>
      </c>
      <c r="F7042" s="2">
        <v>212901001</v>
      </c>
      <c r="G7042" s="2" t="s">
        <v>121</v>
      </c>
      <c r="L7042" s="2" t="s">
        <v>12396</v>
      </c>
      <c r="M7042" t="s">
        <v>67</v>
      </c>
      <c r="N7042" t="s">
        <v>68</v>
      </c>
      <c r="P7042" s="23">
        <v>130.07</v>
      </c>
      <c r="Q7042" s="4">
        <f t="shared" si="109"/>
        <v>-49.60790343661106</v>
      </c>
      <c r="R7042" s="23" t="s">
        <v>109</v>
      </c>
    </row>
    <row r="7043" spans="1:18" x14ac:dyDescent="0.25">
      <c r="A7043" s="21">
        <v>45877</v>
      </c>
      <c r="B7043" s="1">
        <v>316324739</v>
      </c>
      <c r="C7043" t="s">
        <v>12397</v>
      </c>
      <c r="D7043" s="43">
        <v>-6452.5</v>
      </c>
      <c r="E7043" t="s">
        <v>35</v>
      </c>
      <c r="F7043" s="2">
        <v>212901001</v>
      </c>
      <c r="G7043" s="2" t="s">
        <v>121</v>
      </c>
      <c r="L7043" s="2" t="s">
        <v>12398</v>
      </c>
      <c r="M7043" t="s">
        <v>67</v>
      </c>
      <c r="N7043" t="s">
        <v>68</v>
      </c>
      <c r="P7043" s="23">
        <v>130.07</v>
      </c>
      <c r="Q7043" s="4">
        <f t="shared" si="109"/>
        <v>-49.60790343661106</v>
      </c>
      <c r="R7043" s="23" t="s">
        <v>109</v>
      </c>
    </row>
    <row r="7044" spans="1:18" x14ac:dyDescent="0.25">
      <c r="A7044" s="21">
        <v>45877</v>
      </c>
      <c r="B7044" s="1">
        <v>316324742</v>
      </c>
      <c r="C7044" t="s">
        <v>12399</v>
      </c>
      <c r="D7044" s="43">
        <v>-2581</v>
      </c>
      <c r="E7044" t="s">
        <v>35</v>
      </c>
      <c r="F7044" s="2">
        <v>212901001</v>
      </c>
      <c r="G7044" s="2" t="s">
        <v>121</v>
      </c>
      <c r="L7044" s="2" t="s">
        <v>12400</v>
      </c>
      <c r="M7044" t="s">
        <v>67</v>
      </c>
      <c r="N7044" t="s">
        <v>68</v>
      </c>
      <c r="P7044" s="23">
        <v>130.07</v>
      </c>
      <c r="Q7044" s="4">
        <f t="shared" si="109"/>
        <v>-19.843161374644424</v>
      </c>
      <c r="R7044" s="23" t="s">
        <v>109</v>
      </c>
    </row>
    <row r="7045" spans="1:18" x14ac:dyDescent="0.25">
      <c r="A7045" s="21">
        <v>45877</v>
      </c>
      <c r="B7045" s="1">
        <v>416324747</v>
      </c>
      <c r="C7045" t="s">
        <v>12401</v>
      </c>
      <c r="D7045" s="43">
        <v>-15744.1</v>
      </c>
      <c r="E7045" t="s">
        <v>35</v>
      </c>
      <c r="F7045" s="2">
        <v>212901001</v>
      </c>
      <c r="G7045" s="2" t="s">
        <v>121</v>
      </c>
      <c r="L7045" s="2" t="s">
        <v>12402</v>
      </c>
      <c r="M7045" t="s">
        <v>67</v>
      </c>
      <c r="N7045" t="s">
        <v>68</v>
      </c>
      <c r="P7045" s="23">
        <v>130.07</v>
      </c>
      <c r="Q7045" s="4">
        <f t="shared" si="109"/>
        <v>-121.04328438533098</v>
      </c>
      <c r="R7045" s="23" t="s">
        <v>109</v>
      </c>
    </row>
    <row r="7046" spans="1:18" x14ac:dyDescent="0.25">
      <c r="A7046" s="21">
        <v>45877</v>
      </c>
      <c r="B7046" s="1">
        <v>316324746</v>
      </c>
      <c r="C7046" t="s">
        <v>12403</v>
      </c>
      <c r="D7046" s="43">
        <v>-25810</v>
      </c>
      <c r="E7046" t="s">
        <v>35</v>
      </c>
      <c r="F7046" s="2">
        <v>212901001</v>
      </c>
      <c r="G7046" s="2" t="s">
        <v>121</v>
      </c>
      <c r="L7046" s="2" t="s">
        <v>12404</v>
      </c>
      <c r="M7046" t="s">
        <v>67</v>
      </c>
      <c r="N7046" t="s">
        <v>68</v>
      </c>
      <c r="P7046" s="23">
        <v>130.07</v>
      </c>
      <c r="Q7046" s="4">
        <f t="shared" si="109"/>
        <v>-198.43161374644424</v>
      </c>
      <c r="R7046" s="23" t="s">
        <v>109</v>
      </c>
    </row>
    <row r="7047" spans="1:18" x14ac:dyDescent="0.25">
      <c r="A7047" s="21">
        <v>45877</v>
      </c>
      <c r="B7047" s="1">
        <v>316324745</v>
      </c>
      <c r="C7047" t="s">
        <v>12405</v>
      </c>
      <c r="D7047" s="43">
        <v>-12905</v>
      </c>
      <c r="E7047" t="s">
        <v>35</v>
      </c>
      <c r="F7047" s="2">
        <v>212901001</v>
      </c>
      <c r="G7047" s="2" t="s">
        <v>121</v>
      </c>
      <c r="L7047" s="2" t="s">
        <v>12406</v>
      </c>
      <c r="M7047" t="s">
        <v>67</v>
      </c>
      <c r="N7047" t="s">
        <v>68</v>
      </c>
      <c r="P7047" s="23">
        <v>130.07</v>
      </c>
      <c r="Q7047" s="4">
        <f t="shared" si="109"/>
        <v>-99.215806873222121</v>
      </c>
      <c r="R7047" s="23" t="s">
        <v>109</v>
      </c>
    </row>
    <row r="7048" spans="1:18" x14ac:dyDescent="0.25">
      <c r="A7048" s="21">
        <v>45877</v>
      </c>
      <c r="B7048" s="1">
        <v>416324748</v>
      </c>
      <c r="C7048" t="s">
        <v>12407</v>
      </c>
      <c r="D7048" s="43">
        <v>-3871.5</v>
      </c>
      <c r="E7048" t="s">
        <v>35</v>
      </c>
      <c r="F7048" s="2">
        <v>212901001</v>
      </c>
      <c r="G7048" s="2" t="s">
        <v>121</v>
      </c>
      <c r="L7048" s="2" t="s">
        <v>12408</v>
      </c>
      <c r="M7048" t="s">
        <v>67</v>
      </c>
      <c r="N7048" t="s">
        <v>68</v>
      </c>
      <c r="P7048" s="23">
        <v>130.07</v>
      </c>
      <c r="Q7048" s="4">
        <f t="shared" si="109"/>
        <v>-29.764742061966636</v>
      </c>
      <c r="R7048" s="23" t="s">
        <v>109</v>
      </c>
    </row>
    <row r="7049" spans="1:18" x14ac:dyDescent="0.25">
      <c r="A7049" s="21">
        <v>45877</v>
      </c>
      <c r="B7049" s="1">
        <v>416324749</v>
      </c>
      <c r="C7049" t="s">
        <v>12409</v>
      </c>
      <c r="D7049" s="43">
        <v>-5162</v>
      </c>
      <c r="E7049" t="s">
        <v>35</v>
      </c>
      <c r="F7049" s="2">
        <v>212901001</v>
      </c>
      <c r="G7049" s="2" t="s">
        <v>121</v>
      </c>
      <c r="L7049" s="2" t="s">
        <v>12410</v>
      </c>
      <c r="M7049" t="s">
        <v>67</v>
      </c>
      <c r="N7049" t="s">
        <v>68</v>
      </c>
      <c r="P7049" s="23">
        <v>130.07</v>
      </c>
      <c r="Q7049" s="4">
        <f t="shared" si="109"/>
        <v>-39.686322749288848</v>
      </c>
      <c r="R7049" s="23" t="s">
        <v>109</v>
      </c>
    </row>
    <row r="7050" spans="1:18" x14ac:dyDescent="0.25">
      <c r="A7050" s="21">
        <v>45877</v>
      </c>
      <c r="B7050" s="1">
        <v>316324743</v>
      </c>
      <c r="C7050" t="s">
        <v>12411</v>
      </c>
      <c r="D7050" s="43">
        <v>-2581</v>
      </c>
      <c r="E7050" t="s">
        <v>35</v>
      </c>
      <c r="F7050" s="2">
        <v>212901001</v>
      </c>
      <c r="G7050" s="2" t="s">
        <v>121</v>
      </c>
      <c r="L7050" s="2" t="s">
        <v>12412</v>
      </c>
      <c r="M7050" t="s">
        <v>67</v>
      </c>
      <c r="N7050" t="s">
        <v>68</v>
      </c>
      <c r="P7050" s="23">
        <v>130.07</v>
      </c>
      <c r="Q7050" s="4">
        <f t="shared" si="109"/>
        <v>-19.843161374644424</v>
      </c>
      <c r="R7050" s="23" t="s">
        <v>109</v>
      </c>
    </row>
    <row r="7051" spans="1:18" x14ac:dyDescent="0.25">
      <c r="A7051" s="21">
        <v>45877</v>
      </c>
      <c r="B7051" s="1">
        <v>316324741</v>
      </c>
      <c r="C7051" t="s">
        <v>12413</v>
      </c>
      <c r="D7051" s="43">
        <v>-2581</v>
      </c>
      <c r="E7051" t="s">
        <v>35</v>
      </c>
      <c r="F7051" s="2">
        <v>212901001</v>
      </c>
      <c r="G7051" s="2" t="s">
        <v>121</v>
      </c>
      <c r="L7051" s="2" t="s">
        <v>12414</v>
      </c>
      <c r="M7051" t="s">
        <v>67</v>
      </c>
      <c r="N7051" t="s">
        <v>68</v>
      </c>
      <c r="P7051" s="23">
        <v>130.07</v>
      </c>
      <c r="Q7051" s="4">
        <f t="shared" ref="Q7051:Q7114" si="110">D7051/P7051</f>
        <v>-19.843161374644424</v>
      </c>
      <c r="R7051" s="23" t="s">
        <v>109</v>
      </c>
    </row>
    <row r="7052" spans="1:18" x14ac:dyDescent="0.25">
      <c r="A7052" s="21">
        <v>45877</v>
      </c>
      <c r="B7052" s="1">
        <v>416324750</v>
      </c>
      <c r="C7052" t="s">
        <v>12415</v>
      </c>
      <c r="D7052" s="43">
        <v>-10324</v>
      </c>
      <c r="E7052" t="s">
        <v>35</v>
      </c>
      <c r="F7052" s="2">
        <v>212901001</v>
      </c>
      <c r="G7052" s="2" t="s">
        <v>121</v>
      </c>
      <c r="L7052" s="2" t="s">
        <v>12416</v>
      </c>
      <c r="M7052" t="s">
        <v>67</v>
      </c>
      <c r="N7052" t="s">
        <v>68</v>
      </c>
      <c r="P7052" s="23">
        <v>130.07</v>
      </c>
      <c r="Q7052" s="4">
        <f t="shared" si="110"/>
        <v>-79.372645498577697</v>
      </c>
      <c r="R7052" s="23" t="s">
        <v>109</v>
      </c>
    </row>
    <row r="7053" spans="1:18" x14ac:dyDescent="0.25">
      <c r="A7053" s="21">
        <v>45877</v>
      </c>
      <c r="B7053" s="1">
        <v>416324753</v>
      </c>
      <c r="C7053" t="s">
        <v>12417</v>
      </c>
      <c r="D7053" s="43">
        <v>-7743</v>
      </c>
      <c r="E7053" t="s">
        <v>35</v>
      </c>
      <c r="F7053" s="2">
        <v>212901001</v>
      </c>
      <c r="G7053" s="2" t="s">
        <v>121</v>
      </c>
      <c r="L7053" s="2" t="s">
        <v>12418</v>
      </c>
      <c r="M7053" t="s">
        <v>67</v>
      </c>
      <c r="N7053" t="s">
        <v>68</v>
      </c>
      <c r="P7053" s="23">
        <v>130.07</v>
      </c>
      <c r="Q7053" s="4">
        <f t="shared" si="110"/>
        <v>-59.529484123933273</v>
      </c>
      <c r="R7053" s="23" t="s">
        <v>109</v>
      </c>
    </row>
    <row r="7054" spans="1:18" x14ac:dyDescent="0.25">
      <c r="A7054" s="21">
        <v>45877</v>
      </c>
      <c r="B7054" s="1">
        <v>416324751</v>
      </c>
      <c r="C7054" t="s">
        <v>12419</v>
      </c>
      <c r="D7054" s="43">
        <v>-7743</v>
      </c>
      <c r="E7054" t="s">
        <v>35</v>
      </c>
      <c r="F7054" s="2">
        <v>212901001</v>
      </c>
      <c r="G7054" s="2" t="s">
        <v>121</v>
      </c>
      <c r="L7054" s="2" t="s">
        <v>12420</v>
      </c>
      <c r="M7054" t="s">
        <v>67</v>
      </c>
      <c r="N7054" t="s">
        <v>68</v>
      </c>
      <c r="P7054" s="23">
        <v>130.07</v>
      </c>
      <c r="Q7054" s="4">
        <f t="shared" si="110"/>
        <v>-59.529484123933273</v>
      </c>
      <c r="R7054" s="23" t="s">
        <v>109</v>
      </c>
    </row>
    <row r="7055" spans="1:18" x14ac:dyDescent="0.25">
      <c r="A7055" s="21">
        <v>45877</v>
      </c>
      <c r="B7055" s="1">
        <v>416324755</v>
      </c>
      <c r="C7055" t="s">
        <v>12421</v>
      </c>
      <c r="D7055" s="43">
        <v>-7743</v>
      </c>
      <c r="E7055" t="s">
        <v>35</v>
      </c>
      <c r="F7055" s="2">
        <v>212901001</v>
      </c>
      <c r="G7055" s="2" t="s">
        <v>121</v>
      </c>
      <c r="L7055" s="2" t="s">
        <v>12422</v>
      </c>
      <c r="M7055" t="s">
        <v>67</v>
      </c>
      <c r="N7055" t="s">
        <v>68</v>
      </c>
      <c r="P7055" s="23">
        <v>130.07</v>
      </c>
      <c r="Q7055" s="4">
        <f t="shared" si="110"/>
        <v>-59.529484123933273</v>
      </c>
      <c r="R7055" s="23" t="s">
        <v>109</v>
      </c>
    </row>
    <row r="7056" spans="1:18" x14ac:dyDescent="0.25">
      <c r="A7056" s="21">
        <v>45877</v>
      </c>
      <c r="B7056" s="1">
        <v>416324754</v>
      </c>
      <c r="C7056" t="s">
        <v>12423</v>
      </c>
      <c r="D7056" s="43">
        <v>-7743</v>
      </c>
      <c r="E7056" t="s">
        <v>35</v>
      </c>
      <c r="F7056" s="2">
        <v>212901001</v>
      </c>
      <c r="G7056" s="2" t="s">
        <v>121</v>
      </c>
      <c r="L7056" s="2" t="s">
        <v>12424</v>
      </c>
      <c r="M7056" t="s">
        <v>67</v>
      </c>
      <c r="N7056" t="s">
        <v>68</v>
      </c>
      <c r="P7056" s="23">
        <v>130.07</v>
      </c>
      <c r="Q7056" s="4">
        <f t="shared" si="110"/>
        <v>-59.529484123933273</v>
      </c>
      <c r="R7056" s="23" t="s">
        <v>109</v>
      </c>
    </row>
    <row r="7057" spans="1:18" x14ac:dyDescent="0.25">
      <c r="A7057" s="21">
        <v>45877</v>
      </c>
      <c r="B7057" s="1">
        <v>416324752</v>
      </c>
      <c r="C7057" t="s">
        <v>12425</v>
      </c>
      <c r="D7057" s="43">
        <v>-7743</v>
      </c>
      <c r="E7057" t="s">
        <v>35</v>
      </c>
      <c r="F7057" s="2">
        <v>212901001</v>
      </c>
      <c r="G7057" s="2" t="s">
        <v>121</v>
      </c>
      <c r="L7057" s="2" t="s">
        <v>12426</v>
      </c>
      <c r="M7057" t="s">
        <v>67</v>
      </c>
      <c r="N7057" t="s">
        <v>68</v>
      </c>
      <c r="P7057" s="23">
        <v>130.07</v>
      </c>
      <c r="Q7057" s="4">
        <f t="shared" si="110"/>
        <v>-59.529484123933273</v>
      </c>
      <c r="R7057" s="23" t="s">
        <v>109</v>
      </c>
    </row>
    <row r="7058" spans="1:18" x14ac:dyDescent="0.25">
      <c r="A7058" s="21">
        <v>45877</v>
      </c>
      <c r="B7058" s="1">
        <v>516324756</v>
      </c>
      <c r="C7058" t="s">
        <v>12427</v>
      </c>
      <c r="D7058" s="43">
        <v>-7743</v>
      </c>
      <c r="E7058" t="s">
        <v>35</v>
      </c>
      <c r="F7058" s="2">
        <v>212901001</v>
      </c>
      <c r="G7058" s="2" t="s">
        <v>121</v>
      </c>
      <c r="L7058" s="2" t="s">
        <v>12428</v>
      </c>
      <c r="M7058" t="s">
        <v>67</v>
      </c>
      <c r="N7058" t="s">
        <v>68</v>
      </c>
      <c r="P7058" s="23">
        <v>130.07</v>
      </c>
      <c r="Q7058" s="4">
        <f t="shared" si="110"/>
        <v>-59.529484123933273</v>
      </c>
      <c r="R7058" s="23" t="s">
        <v>109</v>
      </c>
    </row>
    <row r="7059" spans="1:18" x14ac:dyDescent="0.25">
      <c r="A7059" s="21">
        <v>45877</v>
      </c>
      <c r="B7059" s="1">
        <v>516324757</v>
      </c>
      <c r="C7059" t="s">
        <v>12429</v>
      </c>
      <c r="D7059" s="43">
        <v>-7743</v>
      </c>
      <c r="E7059" t="s">
        <v>35</v>
      </c>
      <c r="F7059" s="2">
        <v>212901001</v>
      </c>
      <c r="G7059" s="2" t="s">
        <v>121</v>
      </c>
      <c r="L7059" s="2" t="s">
        <v>12430</v>
      </c>
      <c r="M7059" t="s">
        <v>67</v>
      </c>
      <c r="N7059" t="s">
        <v>68</v>
      </c>
      <c r="P7059" s="23">
        <v>130.07</v>
      </c>
      <c r="Q7059" s="4">
        <f t="shared" si="110"/>
        <v>-59.529484123933273</v>
      </c>
      <c r="R7059" s="23" t="s">
        <v>109</v>
      </c>
    </row>
    <row r="7060" spans="1:18" x14ac:dyDescent="0.25">
      <c r="A7060" s="21">
        <v>45877</v>
      </c>
      <c r="B7060" s="1">
        <v>516324759</v>
      </c>
      <c r="C7060" t="s">
        <v>12431</v>
      </c>
      <c r="D7060" s="43">
        <v>-7743</v>
      </c>
      <c r="E7060" t="s">
        <v>35</v>
      </c>
      <c r="F7060" s="2">
        <v>212901001</v>
      </c>
      <c r="G7060" s="2" t="s">
        <v>121</v>
      </c>
      <c r="L7060" s="2" t="s">
        <v>12432</v>
      </c>
      <c r="M7060" t="s">
        <v>67</v>
      </c>
      <c r="N7060" t="s">
        <v>68</v>
      </c>
      <c r="P7060" s="23">
        <v>130.07</v>
      </c>
      <c r="Q7060" s="4">
        <f t="shared" si="110"/>
        <v>-59.529484123933273</v>
      </c>
      <c r="R7060" s="23" t="s">
        <v>109</v>
      </c>
    </row>
    <row r="7061" spans="1:18" x14ac:dyDescent="0.25">
      <c r="A7061" s="21">
        <v>45877</v>
      </c>
      <c r="B7061" s="1">
        <v>516324761</v>
      </c>
      <c r="C7061" t="s">
        <v>12433</v>
      </c>
      <c r="D7061" s="43">
        <v>-7743</v>
      </c>
      <c r="E7061" t="s">
        <v>35</v>
      </c>
      <c r="F7061" s="2">
        <v>212901001</v>
      </c>
      <c r="G7061" s="2" t="s">
        <v>121</v>
      </c>
      <c r="L7061" s="2" t="s">
        <v>12434</v>
      </c>
      <c r="M7061" t="s">
        <v>67</v>
      </c>
      <c r="N7061" t="s">
        <v>68</v>
      </c>
      <c r="P7061" s="23">
        <v>130.07</v>
      </c>
      <c r="Q7061" s="4">
        <f t="shared" si="110"/>
        <v>-59.529484123933273</v>
      </c>
      <c r="R7061" s="23" t="s">
        <v>109</v>
      </c>
    </row>
    <row r="7062" spans="1:18" x14ac:dyDescent="0.25">
      <c r="A7062" s="21">
        <v>45877</v>
      </c>
      <c r="B7062" s="1">
        <v>516324760</v>
      </c>
      <c r="C7062" t="s">
        <v>12435</v>
      </c>
      <c r="D7062" s="43">
        <v>-7743</v>
      </c>
      <c r="E7062" t="s">
        <v>35</v>
      </c>
      <c r="F7062" s="2">
        <v>212901001</v>
      </c>
      <c r="G7062" s="2" t="s">
        <v>121</v>
      </c>
      <c r="L7062" s="2" t="s">
        <v>12436</v>
      </c>
      <c r="M7062" t="s">
        <v>67</v>
      </c>
      <c r="N7062" t="s">
        <v>68</v>
      </c>
      <c r="P7062" s="23">
        <v>130.07</v>
      </c>
      <c r="Q7062" s="4">
        <f t="shared" si="110"/>
        <v>-59.529484123933273</v>
      </c>
      <c r="R7062" s="23" t="s">
        <v>109</v>
      </c>
    </row>
    <row r="7063" spans="1:18" x14ac:dyDescent="0.25">
      <c r="A7063" s="21">
        <v>45877</v>
      </c>
      <c r="B7063" s="1">
        <v>516324758</v>
      </c>
      <c r="C7063" t="s">
        <v>12437</v>
      </c>
      <c r="D7063" s="43">
        <v>-7743</v>
      </c>
      <c r="E7063" t="s">
        <v>35</v>
      </c>
      <c r="F7063" s="2">
        <v>212901001</v>
      </c>
      <c r="G7063" s="2" t="s">
        <v>121</v>
      </c>
      <c r="L7063" s="2" t="s">
        <v>12438</v>
      </c>
      <c r="M7063" t="s">
        <v>67</v>
      </c>
      <c r="N7063" t="s">
        <v>68</v>
      </c>
      <c r="P7063" s="23">
        <v>130.07</v>
      </c>
      <c r="Q7063" s="4">
        <f t="shared" si="110"/>
        <v>-59.529484123933273</v>
      </c>
      <c r="R7063" s="23" t="s">
        <v>109</v>
      </c>
    </row>
    <row r="7064" spans="1:18" x14ac:dyDescent="0.25">
      <c r="A7064" s="21">
        <v>45877</v>
      </c>
      <c r="B7064" s="1">
        <v>516324765</v>
      </c>
      <c r="C7064" t="s">
        <v>12439</v>
      </c>
      <c r="D7064" s="43">
        <v>-7743</v>
      </c>
      <c r="E7064" t="s">
        <v>35</v>
      </c>
      <c r="F7064" s="2">
        <v>212901001</v>
      </c>
      <c r="G7064" s="2" t="s">
        <v>121</v>
      </c>
      <c r="L7064" s="2" t="s">
        <v>12440</v>
      </c>
      <c r="M7064" t="s">
        <v>67</v>
      </c>
      <c r="N7064" t="s">
        <v>68</v>
      </c>
      <c r="P7064" s="23">
        <v>130.07</v>
      </c>
      <c r="Q7064" s="4">
        <f t="shared" si="110"/>
        <v>-59.529484123933273</v>
      </c>
      <c r="R7064" s="23" t="s">
        <v>109</v>
      </c>
    </row>
    <row r="7065" spans="1:18" x14ac:dyDescent="0.25">
      <c r="A7065" s="21">
        <v>45877</v>
      </c>
      <c r="B7065" s="1">
        <v>516324763</v>
      </c>
      <c r="C7065" t="s">
        <v>12441</v>
      </c>
      <c r="D7065" s="43">
        <v>-7743</v>
      </c>
      <c r="E7065" t="s">
        <v>35</v>
      </c>
      <c r="F7065" s="2">
        <v>212901001</v>
      </c>
      <c r="G7065" s="2" t="s">
        <v>121</v>
      </c>
      <c r="L7065" s="2" t="s">
        <v>12442</v>
      </c>
      <c r="M7065" t="s">
        <v>67</v>
      </c>
      <c r="N7065" t="s">
        <v>68</v>
      </c>
      <c r="P7065" s="23">
        <v>130.07</v>
      </c>
      <c r="Q7065" s="4">
        <f t="shared" si="110"/>
        <v>-59.529484123933273</v>
      </c>
      <c r="R7065" s="23" t="s">
        <v>109</v>
      </c>
    </row>
    <row r="7066" spans="1:18" x14ac:dyDescent="0.25">
      <c r="A7066" s="21">
        <v>45877</v>
      </c>
      <c r="B7066" s="1">
        <v>516324766</v>
      </c>
      <c r="C7066" t="s">
        <v>12443</v>
      </c>
      <c r="D7066" s="43">
        <v>-7743</v>
      </c>
      <c r="E7066" t="s">
        <v>35</v>
      </c>
      <c r="F7066" s="2">
        <v>212901001</v>
      </c>
      <c r="G7066" s="2" t="s">
        <v>121</v>
      </c>
      <c r="L7066" s="2" t="s">
        <v>12444</v>
      </c>
      <c r="M7066" t="s">
        <v>67</v>
      </c>
      <c r="N7066" t="s">
        <v>68</v>
      </c>
      <c r="P7066" s="23">
        <v>130.07</v>
      </c>
      <c r="Q7066" s="4">
        <f t="shared" si="110"/>
        <v>-59.529484123933273</v>
      </c>
      <c r="R7066" s="23" t="s">
        <v>109</v>
      </c>
    </row>
    <row r="7067" spans="1:18" x14ac:dyDescent="0.25">
      <c r="A7067" s="21">
        <v>45877</v>
      </c>
      <c r="B7067" s="1">
        <v>616324767</v>
      </c>
      <c r="C7067" t="s">
        <v>12445</v>
      </c>
      <c r="D7067" s="43">
        <v>-7743</v>
      </c>
      <c r="E7067" t="s">
        <v>35</v>
      </c>
      <c r="F7067" s="2">
        <v>212901001</v>
      </c>
      <c r="G7067" s="2" t="s">
        <v>121</v>
      </c>
      <c r="L7067" s="2" t="s">
        <v>12446</v>
      </c>
      <c r="M7067" t="s">
        <v>67</v>
      </c>
      <c r="N7067" t="s">
        <v>68</v>
      </c>
      <c r="P7067" s="23">
        <v>130.07</v>
      </c>
      <c r="Q7067" s="4">
        <f t="shared" si="110"/>
        <v>-59.529484123933273</v>
      </c>
      <c r="R7067" s="23" t="s">
        <v>109</v>
      </c>
    </row>
    <row r="7068" spans="1:18" x14ac:dyDescent="0.25">
      <c r="A7068" s="21">
        <v>45877</v>
      </c>
      <c r="B7068" s="1">
        <v>616324770</v>
      </c>
      <c r="C7068" t="s">
        <v>12447</v>
      </c>
      <c r="D7068" s="43">
        <v>-12905</v>
      </c>
      <c r="E7068" t="s">
        <v>35</v>
      </c>
      <c r="F7068" s="2">
        <v>212901001</v>
      </c>
      <c r="G7068" s="2" t="s">
        <v>121</v>
      </c>
      <c r="L7068" s="2" t="s">
        <v>12448</v>
      </c>
      <c r="M7068" t="s">
        <v>67</v>
      </c>
      <c r="N7068" t="s">
        <v>68</v>
      </c>
      <c r="P7068" s="23">
        <v>130.07</v>
      </c>
      <c r="Q7068" s="4">
        <f t="shared" si="110"/>
        <v>-99.215806873222121</v>
      </c>
      <c r="R7068" s="23" t="s">
        <v>109</v>
      </c>
    </row>
    <row r="7069" spans="1:18" x14ac:dyDescent="0.25">
      <c r="A7069" s="21">
        <v>45877</v>
      </c>
      <c r="B7069" s="1">
        <v>616324773</v>
      </c>
      <c r="C7069" t="s">
        <v>12449</v>
      </c>
      <c r="D7069" s="43">
        <v>-10324</v>
      </c>
      <c r="E7069" t="s">
        <v>35</v>
      </c>
      <c r="F7069" s="2">
        <v>212901001</v>
      </c>
      <c r="G7069" s="2" t="s">
        <v>121</v>
      </c>
      <c r="L7069" s="2" t="s">
        <v>12450</v>
      </c>
      <c r="M7069" t="s">
        <v>67</v>
      </c>
      <c r="N7069" t="s">
        <v>68</v>
      </c>
      <c r="P7069" s="23">
        <v>130.07</v>
      </c>
      <c r="Q7069" s="4">
        <f t="shared" si="110"/>
        <v>-79.372645498577697</v>
      </c>
      <c r="R7069" s="23" t="s">
        <v>109</v>
      </c>
    </row>
    <row r="7070" spans="1:18" x14ac:dyDescent="0.25">
      <c r="A7070" s="21">
        <v>45877</v>
      </c>
      <c r="B7070" s="1">
        <v>616324769</v>
      </c>
      <c r="C7070" t="s">
        <v>12451</v>
      </c>
      <c r="D7070" s="43">
        <v>-19357.5</v>
      </c>
      <c r="E7070" t="s">
        <v>35</v>
      </c>
      <c r="F7070" s="2">
        <v>212901001</v>
      </c>
      <c r="G7070" s="2" t="s">
        <v>121</v>
      </c>
      <c r="L7070" s="2" t="s">
        <v>12452</v>
      </c>
      <c r="M7070" t="s">
        <v>67</v>
      </c>
      <c r="N7070" t="s">
        <v>68</v>
      </c>
      <c r="P7070" s="23">
        <v>130.07</v>
      </c>
      <c r="Q7070" s="4">
        <f t="shared" si="110"/>
        <v>-148.82371030983319</v>
      </c>
      <c r="R7070" s="23" t="s">
        <v>109</v>
      </c>
    </row>
    <row r="7071" spans="1:18" x14ac:dyDescent="0.25">
      <c r="A7071" s="21">
        <v>45877</v>
      </c>
      <c r="B7071" s="1">
        <v>616324775</v>
      </c>
      <c r="C7071" t="s">
        <v>12453</v>
      </c>
      <c r="D7071" s="43">
        <v>-10324</v>
      </c>
      <c r="E7071" t="s">
        <v>35</v>
      </c>
      <c r="F7071" s="2">
        <v>212901001</v>
      </c>
      <c r="G7071" s="2" t="s">
        <v>121</v>
      </c>
      <c r="L7071" s="2" t="s">
        <v>12454</v>
      </c>
      <c r="M7071" t="s">
        <v>67</v>
      </c>
      <c r="N7071" t="s">
        <v>68</v>
      </c>
      <c r="P7071" s="23">
        <v>130.07</v>
      </c>
      <c r="Q7071" s="4">
        <f t="shared" si="110"/>
        <v>-79.372645498577697</v>
      </c>
      <c r="R7071" s="23" t="s">
        <v>109</v>
      </c>
    </row>
    <row r="7072" spans="1:18" x14ac:dyDescent="0.25">
      <c r="A7072" s="21">
        <v>45877</v>
      </c>
      <c r="B7072" s="1">
        <v>616324774</v>
      </c>
      <c r="C7072" t="s">
        <v>12455</v>
      </c>
      <c r="D7072" s="43">
        <v>-10324</v>
      </c>
      <c r="E7072" t="s">
        <v>35</v>
      </c>
      <c r="F7072" s="2">
        <v>212901001</v>
      </c>
      <c r="G7072" s="2" t="s">
        <v>121</v>
      </c>
      <c r="L7072" s="2" t="s">
        <v>12456</v>
      </c>
      <c r="M7072" t="s">
        <v>67</v>
      </c>
      <c r="N7072" t="s">
        <v>68</v>
      </c>
      <c r="P7072" s="23">
        <v>130.07</v>
      </c>
      <c r="Q7072" s="4">
        <f t="shared" si="110"/>
        <v>-79.372645498577697</v>
      </c>
      <c r="R7072" s="23" t="s">
        <v>109</v>
      </c>
    </row>
    <row r="7073" spans="1:18" x14ac:dyDescent="0.25">
      <c r="A7073" s="21">
        <v>45877</v>
      </c>
      <c r="B7073" s="1">
        <v>616324771</v>
      </c>
      <c r="C7073" t="s">
        <v>12457</v>
      </c>
      <c r="D7073" s="43">
        <v>-10324</v>
      </c>
      <c r="E7073" t="s">
        <v>35</v>
      </c>
      <c r="F7073" s="2">
        <v>212901001</v>
      </c>
      <c r="G7073" s="2" t="s">
        <v>121</v>
      </c>
      <c r="L7073" s="2" t="s">
        <v>12458</v>
      </c>
      <c r="M7073" t="s">
        <v>67</v>
      </c>
      <c r="N7073" t="s">
        <v>68</v>
      </c>
      <c r="P7073" s="23">
        <v>130.07</v>
      </c>
      <c r="Q7073" s="4">
        <f t="shared" si="110"/>
        <v>-79.372645498577697</v>
      </c>
      <c r="R7073" s="23" t="s">
        <v>109</v>
      </c>
    </row>
    <row r="7074" spans="1:18" x14ac:dyDescent="0.25">
      <c r="A7074" s="21">
        <v>45877</v>
      </c>
      <c r="B7074" s="1">
        <v>716324777</v>
      </c>
      <c r="C7074" t="s">
        <v>12459</v>
      </c>
      <c r="D7074" s="43">
        <v>-10324</v>
      </c>
      <c r="E7074" t="s">
        <v>35</v>
      </c>
      <c r="F7074" s="2">
        <v>212901001</v>
      </c>
      <c r="G7074" s="2" t="s">
        <v>121</v>
      </c>
      <c r="L7074" s="2" t="s">
        <v>12460</v>
      </c>
      <c r="M7074" t="s">
        <v>67</v>
      </c>
      <c r="N7074" t="s">
        <v>68</v>
      </c>
      <c r="P7074" s="23">
        <v>130.07</v>
      </c>
      <c r="Q7074" s="4">
        <f t="shared" si="110"/>
        <v>-79.372645498577697</v>
      </c>
      <c r="R7074" s="23" t="s">
        <v>109</v>
      </c>
    </row>
    <row r="7075" spans="1:18" x14ac:dyDescent="0.25">
      <c r="A7075" s="21">
        <v>45877</v>
      </c>
      <c r="B7075" s="1">
        <v>616324776</v>
      </c>
      <c r="C7075" t="s">
        <v>12461</v>
      </c>
      <c r="D7075" s="43">
        <v>-10324</v>
      </c>
      <c r="E7075" t="s">
        <v>35</v>
      </c>
      <c r="F7075" s="2">
        <v>212901001</v>
      </c>
      <c r="G7075" s="2" t="s">
        <v>121</v>
      </c>
      <c r="L7075" s="2" t="s">
        <v>12462</v>
      </c>
      <c r="M7075" t="s">
        <v>67</v>
      </c>
      <c r="N7075" t="s">
        <v>68</v>
      </c>
      <c r="P7075" s="23">
        <v>130.07</v>
      </c>
      <c r="Q7075" s="4">
        <f t="shared" si="110"/>
        <v>-79.372645498577697</v>
      </c>
      <c r="R7075" s="23" t="s">
        <v>109</v>
      </c>
    </row>
    <row r="7076" spans="1:18" x14ac:dyDescent="0.25">
      <c r="A7076" s="21">
        <v>45877</v>
      </c>
      <c r="B7076" s="1">
        <v>716324779</v>
      </c>
      <c r="C7076" t="s">
        <v>12463</v>
      </c>
      <c r="D7076" s="43">
        <v>-6452.5</v>
      </c>
      <c r="E7076" t="s">
        <v>35</v>
      </c>
      <c r="F7076" s="2">
        <v>212901001</v>
      </c>
      <c r="G7076" s="2" t="s">
        <v>121</v>
      </c>
      <c r="L7076" s="2" t="s">
        <v>12464</v>
      </c>
      <c r="M7076" t="s">
        <v>67</v>
      </c>
      <c r="N7076" t="s">
        <v>68</v>
      </c>
      <c r="P7076" s="23">
        <v>130.07</v>
      </c>
      <c r="Q7076" s="4">
        <f t="shared" si="110"/>
        <v>-49.60790343661106</v>
      </c>
      <c r="R7076" s="23" t="s">
        <v>109</v>
      </c>
    </row>
    <row r="7077" spans="1:18" x14ac:dyDescent="0.25">
      <c r="A7077" s="21">
        <v>45877</v>
      </c>
      <c r="B7077" s="1">
        <v>716324780</v>
      </c>
      <c r="C7077" t="s">
        <v>12465</v>
      </c>
      <c r="D7077" s="43">
        <v>-6452.5</v>
      </c>
      <c r="E7077" t="s">
        <v>35</v>
      </c>
      <c r="F7077" s="2">
        <v>212901001</v>
      </c>
      <c r="G7077" s="2" t="s">
        <v>121</v>
      </c>
      <c r="L7077" s="2" t="s">
        <v>12466</v>
      </c>
      <c r="M7077" t="s">
        <v>67</v>
      </c>
      <c r="N7077" t="s">
        <v>68</v>
      </c>
      <c r="P7077" s="23">
        <v>130.07</v>
      </c>
      <c r="Q7077" s="4">
        <f t="shared" si="110"/>
        <v>-49.60790343661106</v>
      </c>
      <c r="R7077" s="23" t="s">
        <v>109</v>
      </c>
    </row>
    <row r="7078" spans="1:18" x14ac:dyDescent="0.25">
      <c r="A7078" s="21">
        <v>45877</v>
      </c>
      <c r="B7078" s="1">
        <v>716324781</v>
      </c>
      <c r="C7078" t="s">
        <v>12467</v>
      </c>
      <c r="D7078" s="43">
        <v>-5420.1</v>
      </c>
      <c r="E7078" t="s">
        <v>35</v>
      </c>
      <c r="F7078" s="2">
        <v>212901001</v>
      </c>
      <c r="G7078" s="2" t="s">
        <v>121</v>
      </c>
      <c r="L7078" s="2" t="s">
        <v>12468</v>
      </c>
      <c r="M7078" t="s">
        <v>67</v>
      </c>
      <c r="N7078" t="s">
        <v>68</v>
      </c>
      <c r="P7078" s="23">
        <v>130.07</v>
      </c>
      <c r="Q7078" s="4">
        <f t="shared" si="110"/>
        <v>-41.670638886753295</v>
      </c>
      <c r="R7078" s="23" t="s">
        <v>109</v>
      </c>
    </row>
    <row r="7079" spans="1:18" x14ac:dyDescent="0.25">
      <c r="A7079" s="21">
        <v>45877</v>
      </c>
      <c r="B7079" s="1">
        <v>716324785</v>
      </c>
      <c r="C7079" t="s">
        <v>12469</v>
      </c>
      <c r="D7079" s="43">
        <v>-6452.5</v>
      </c>
      <c r="E7079" t="s">
        <v>35</v>
      </c>
      <c r="F7079" s="2">
        <v>212901001</v>
      </c>
      <c r="G7079" s="2" t="s">
        <v>121</v>
      </c>
      <c r="L7079" s="2" t="s">
        <v>12470</v>
      </c>
      <c r="M7079" t="s">
        <v>67</v>
      </c>
      <c r="N7079" t="s">
        <v>68</v>
      </c>
      <c r="P7079" s="23">
        <v>130.07</v>
      </c>
      <c r="Q7079" s="4">
        <f t="shared" si="110"/>
        <v>-49.60790343661106</v>
      </c>
      <c r="R7079" s="23" t="s">
        <v>109</v>
      </c>
    </row>
    <row r="7080" spans="1:18" x14ac:dyDescent="0.25">
      <c r="A7080" s="21">
        <v>45877</v>
      </c>
      <c r="B7080" s="1">
        <v>716324782</v>
      </c>
      <c r="C7080" t="s">
        <v>12471</v>
      </c>
      <c r="D7080" s="43">
        <v>-6452.5</v>
      </c>
      <c r="E7080" t="s">
        <v>35</v>
      </c>
      <c r="F7080" s="2">
        <v>212901001</v>
      </c>
      <c r="G7080" s="2" t="s">
        <v>121</v>
      </c>
      <c r="L7080" s="2" t="s">
        <v>12472</v>
      </c>
      <c r="M7080" t="s">
        <v>67</v>
      </c>
      <c r="N7080" t="s">
        <v>68</v>
      </c>
      <c r="P7080" s="23">
        <v>130.07</v>
      </c>
      <c r="Q7080" s="4">
        <f t="shared" si="110"/>
        <v>-49.60790343661106</v>
      </c>
      <c r="R7080" s="23" t="s">
        <v>109</v>
      </c>
    </row>
    <row r="7081" spans="1:18" x14ac:dyDescent="0.25">
      <c r="A7081" s="21">
        <v>45877</v>
      </c>
      <c r="B7081" s="1">
        <v>716324786</v>
      </c>
      <c r="C7081" t="s">
        <v>12473</v>
      </c>
      <c r="D7081" s="43">
        <v>-5162</v>
      </c>
      <c r="E7081" t="s">
        <v>35</v>
      </c>
      <c r="F7081" s="2">
        <v>212901001</v>
      </c>
      <c r="G7081" s="2" t="s">
        <v>121</v>
      </c>
      <c r="L7081" s="2" t="s">
        <v>12474</v>
      </c>
      <c r="M7081" t="s">
        <v>67</v>
      </c>
      <c r="N7081" t="s">
        <v>68</v>
      </c>
      <c r="P7081" s="23">
        <v>130.07</v>
      </c>
      <c r="Q7081" s="4">
        <f t="shared" si="110"/>
        <v>-39.686322749288848</v>
      </c>
      <c r="R7081" s="23" t="s">
        <v>109</v>
      </c>
    </row>
    <row r="7082" spans="1:18" x14ac:dyDescent="0.25">
      <c r="A7082" s="21">
        <v>45877</v>
      </c>
      <c r="B7082" s="1">
        <v>816324787</v>
      </c>
      <c r="C7082" t="s">
        <v>12475</v>
      </c>
      <c r="D7082" s="43">
        <v>-5162</v>
      </c>
      <c r="E7082" t="s">
        <v>35</v>
      </c>
      <c r="F7082" s="2">
        <v>212901001</v>
      </c>
      <c r="G7082" s="2" t="s">
        <v>121</v>
      </c>
      <c r="L7082" s="2" t="s">
        <v>12476</v>
      </c>
      <c r="M7082" t="s">
        <v>67</v>
      </c>
      <c r="N7082" t="s">
        <v>68</v>
      </c>
      <c r="P7082" s="23">
        <v>130.07</v>
      </c>
      <c r="Q7082" s="4">
        <f t="shared" si="110"/>
        <v>-39.686322749288848</v>
      </c>
      <c r="R7082" s="23" t="s">
        <v>109</v>
      </c>
    </row>
    <row r="7083" spans="1:18" x14ac:dyDescent="0.25">
      <c r="A7083" s="21">
        <v>45877</v>
      </c>
      <c r="B7083" s="1">
        <v>816324792</v>
      </c>
      <c r="C7083" t="s">
        <v>12477</v>
      </c>
      <c r="D7083" s="43">
        <v>-5162</v>
      </c>
      <c r="E7083" t="s">
        <v>35</v>
      </c>
      <c r="F7083" s="2">
        <v>212901001</v>
      </c>
      <c r="G7083" s="2" t="s">
        <v>121</v>
      </c>
      <c r="L7083" s="2" t="s">
        <v>12478</v>
      </c>
      <c r="M7083" t="s">
        <v>67</v>
      </c>
      <c r="N7083" t="s">
        <v>68</v>
      </c>
      <c r="P7083" s="23">
        <v>130.07</v>
      </c>
      <c r="Q7083" s="4">
        <f t="shared" si="110"/>
        <v>-39.686322749288848</v>
      </c>
      <c r="R7083" s="23" t="s">
        <v>109</v>
      </c>
    </row>
    <row r="7084" spans="1:18" x14ac:dyDescent="0.25">
      <c r="A7084" s="21">
        <v>45877</v>
      </c>
      <c r="B7084" s="1">
        <v>816324791</v>
      </c>
      <c r="C7084" t="s">
        <v>12479</v>
      </c>
      <c r="D7084" s="43">
        <v>-5162</v>
      </c>
      <c r="E7084" t="s">
        <v>35</v>
      </c>
      <c r="F7084" s="2">
        <v>212901001</v>
      </c>
      <c r="G7084" s="2" t="s">
        <v>121</v>
      </c>
      <c r="L7084" s="2" t="s">
        <v>12480</v>
      </c>
      <c r="M7084" t="s">
        <v>67</v>
      </c>
      <c r="N7084" t="s">
        <v>68</v>
      </c>
      <c r="P7084" s="23">
        <v>130.07</v>
      </c>
      <c r="Q7084" s="4">
        <f t="shared" si="110"/>
        <v>-39.686322749288848</v>
      </c>
      <c r="R7084" s="23" t="s">
        <v>109</v>
      </c>
    </row>
    <row r="7085" spans="1:18" x14ac:dyDescent="0.25">
      <c r="A7085" s="21">
        <v>45877</v>
      </c>
      <c r="B7085" s="1">
        <v>816324790</v>
      </c>
      <c r="C7085" t="s">
        <v>12481</v>
      </c>
      <c r="D7085" s="43">
        <v>-5162</v>
      </c>
      <c r="E7085" t="s">
        <v>35</v>
      </c>
      <c r="F7085" s="2">
        <v>212901001</v>
      </c>
      <c r="G7085" s="2" t="s">
        <v>121</v>
      </c>
      <c r="L7085" s="2" t="s">
        <v>12482</v>
      </c>
      <c r="M7085" t="s">
        <v>67</v>
      </c>
      <c r="N7085" t="s">
        <v>68</v>
      </c>
      <c r="P7085" s="23">
        <v>130.07</v>
      </c>
      <c r="Q7085" s="4">
        <f t="shared" si="110"/>
        <v>-39.686322749288848</v>
      </c>
      <c r="R7085" s="23" t="s">
        <v>109</v>
      </c>
    </row>
    <row r="7086" spans="1:18" x14ac:dyDescent="0.25">
      <c r="A7086" s="21">
        <v>45877</v>
      </c>
      <c r="B7086" s="1">
        <v>816324788</v>
      </c>
      <c r="C7086" t="s">
        <v>12483</v>
      </c>
      <c r="D7086" s="43">
        <v>-5162</v>
      </c>
      <c r="E7086" t="s">
        <v>35</v>
      </c>
      <c r="F7086" s="2">
        <v>212901001</v>
      </c>
      <c r="G7086" s="2" t="s">
        <v>121</v>
      </c>
      <c r="L7086" s="2" t="s">
        <v>12484</v>
      </c>
      <c r="M7086" t="s">
        <v>67</v>
      </c>
      <c r="N7086" t="s">
        <v>68</v>
      </c>
      <c r="P7086" s="23">
        <v>130.07</v>
      </c>
      <c r="Q7086" s="4">
        <f t="shared" si="110"/>
        <v>-39.686322749288848</v>
      </c>
      <c r="R7086" s="23" t="s">
        <v>109</v>
      </c>
    </row>
    <row r="7087" spans="1:18" x14ac:dyDescent="0.25">
      <c r="A7087" s="21">
        <v>45877</v>
      </c>
      <c r="B7087" s="1">
        <v>916324796</v>
      </c>
      <c r="C7087" t="s">
        <v>12485</v>
      </c>
      <c r="D7087" s="43">
        <v>-19357.5</v>
      </c>
      <c r="E7087" t="s">
        <v>35</v>
      </c>
      <c r="F7087" s="2">
        <v>212901001</v>
      </c>
      <c r="G7087" s="2" t="s">
        <v>121</v>
      </c>
      <c r="L7087" s="2" t="s">
        <v>12486</v>
      </c>
      <c r="M7087" t="s">
        <v>67</v>
      </c>
      <c r="N7087" t="s">
        <v>68</v>
      </c>
      <c r="P7087" s="23">
        <v>130.07</v>
      </c>
      <c r="Q7087" s="4">
        <f t="shared" si="110"/>
        <v>-148.82371030983319</v>
      </c>
      <c r="R7087" s="23" t="s">
        <v>109</v>
      </c>
    </row>
    <row r="7088" spans="1:18" x14ac:dyDescent="0.25">
      <c r="A7088" s="21">
        <v>45877</v>
      </c>
      <c r="B7088" s="1">
        <v>816324794</v>
      </c>
      <c r="C7088" t="s">
        <v>12487</v>
      </c>
      <c r="D7088" s="43">
        <v>-12905</v>
      </c>
      <c r="E7088" t="s">
        <v>35</v>
      </c>
      <c r="F7088" s="2">
        <v>212901001</v>
      </c>
      <c r="G7088" s="2" t="s">
        <v>121</v>
      </c>
      <c r="L7088" s="2" t="s">
        <v>12488</v>
      </c>
      <c r="M7088" t="s">
        <v>67</v>
      </c>
      <c r="N7088" t="s">
        <v>68</v>
      </c>
      <c r="P7088" s="23">
        <v>130.07</v>
      </c>
      <c r="Q7088" s="4">
        <f t="shared" si="110"/>
        <v>-99.215806873222121</v>
      </c>
      <c r="R7088" s="23" t="s">
        <v>109</v>
      </c>
    </row>
    <row r="7089" spans="1:20" x14ac:dyDescent="0.25">
      <c r="A7089" s="21">
        <v>45877</v>
      </c>
      <c r="B7089" s="1">
        <v>916324795</v>
      </c>
      <c r="C7089" t="s">
        <v>12489</v>
      </c>
      <c r="D7089" s="43">
        <v>-12905</v>
      </c>
      <c r="E7089" t="s">
        <v>35</v>
      </c>
      <c r="F7089" s="2">
        <v>212901001</v>
      </c>
      <c r="G7089" s="2" t="s">
        <v>121</v>
      </c>
      <c r="L7089" s="2" t="s">
        <v>12490</v>
      </c>
      <c r="M7089" t="s">
        <v>67</v>
      </c>
      <c r="N7089" t="s">
        <v>68</v>
      </c>
      <c r="P7089" s="23">
        <v>130.07</v>
      </c>
      <c r="Q7089" s="4">
        <f t="shared" si="110"/>
        <v>-99.215806873222121</v>
      </c>
      <c r="R7089" s="23" t="s">
        <v>109</v>
      </c>
    </row>
    <row r="7090" spans="1:20" x14ac:dyDescent="0.25">
      <c r="A7090" s="21">
        <v>45877</v>
      </c>
      <c r="B7090" s="1">
        <v>916324802</v>
      </c>
      <c r="C7090" t="s">
        <v>12491</v>
      </c>
      <c r="D7090" s="43">
        <v>-12905</v>
      </c>
      <c r="E7090" t="s">
        <v>35</v>
      </c>
      <c r="F7090" s="2">
        <v>212901001</v>
      </c>
      <c r="G7090" s="2" t="s">
        <v>121</v>
      </c>
      <c r="L7090" s="2" t="s">
        <v>12492</v>
      </c>
      <c r="M7090" t="s">
        <v>67</v>
      </c>
      <c r="N7090" t="s">
        <v>68</v>
      </c>
      <c r="P7090" s="23">
        <v>130.07</v>
      </c>
      <c r="Q7090" s="4">
        <f t="shared" si="110"/>
        <v>-99.215806873222121</v>
      </c>
      <c r="R7090" s="23" t="s">
        <v>109</v>
      </c>
    </row>
    <row r="7091" spans="1:20" x14ac:dyDescent="0.25">
      <c r="A7091" s="21">
        <v>45877</v>
      </c>
      <c r="B7091" s="1">
        <v>816324793</v>
      </c>
      <c r="C7091" t="s">
        <v>12493</v>
      </c>
      <c r="D7091" s="43">
        <v>-5162</v>
      </c>
      <c r="E7091" t="s">
        <v>35</v>
      </c>
      <c r="F7091" s="2">
        <v>212901001</v>
      </c>
      <c r="G7091" s="2" t="s">
        <v>121</v>
      </c>
      <c r="L7091" s="2" t="s">
        <v>12494</v>
      </c>
      <c r="M7091" t="s">
        <v>67</v>
      </c>
      <c r="N7091" t="s">
        <v>68</v>
      </c>
      <c r="P7091" s="23">
        <v>130.07</v>
      </c>
      <c r="Q7091" s="4">
        <f t="shared" si="110"/>
        <v>-39.686322749288848</v>
      </c>
      <c r="R7091" s="23" t="s">
        <v>109</v>
      </c>
    </row>
    <row r="7092" spans="1:20" x14ac:dyDescent="0.25">
      <c r="A7092" s="21">
        <v>45877</v>
      </c>
      <c r="B7092" s="1">
        <v>916324797</v>
      </c>
      <c r="C7092" t="s">
        <v>12495</v>
      </c>
      <c r="D7092" s="43">
        <v>-14195.5</v>
      </c>
      <c r="E7092" t="s">
        <v>35</v>
      </c>
      <c r="F7092" s="2">
        <v>212901001</v>
      </c>
      <c r="G7092" s="2" t="s">
        <v>121</v>
      </c>
      <c r="L7092" s="2" t="s">
        <v>12496</v>
      </c>
      <c r="M7092" t="s">
        <v>67</v>
      </c>
      <c r="N7092" t="s">
        <v>68</v>
      </c>
      <c r="P7092" s="23">
        <v>130.07</v>
      </c>
      <c r="Q7092" s="4">
        <f t="shared" si="110"/>
        <v>-109.13738756054433</v>
      </c>
      <c r="R7092" s="23" t="s">
        <v>109</v>
      </c>
    </row>
    <row r="7093" spans="1:20" x14ac:dyDescent="0.25">
      <c r="A7093" s="21">
        <v>45877</v>
      </c>
      <c r="B7093" s="1">
        <v>916324799</v>
      </c>
      <c r="C7093" t="s">
        <v>12497</v>
      </c>
      <c r="D7093" s="43">
        <v>-10324</v>
      </c>
      <c r="E7093" t="s">
        <v>35</v>
      </c>
      <c r="F7093" s="2">
        <v>212901001</v>
      </c>
      <c r="G7093" s="2" t="s">
        <v>121</v>
      </c>
      <c r="L7093" s="2" t="s">
        <v>12498</v>
      </c>
      <c r="M7093" t="s">
        <v>67</v>
      </c>
      <c r="N7093" t="s">
        <v>68</v>
      </c>
      <c r="P7093" s="23">
        <v>130.07</v>
      </c>
      <c r="Q7093" s="4">
        <f t="shared" si="110"/>
        <v>-79.372645498577697</v>
      </c>
      <c r="R7093" s="23" t="s">
        <v>109</v>
      </c>
    </row>
    <row r="7094" spans="1:20" x14ac:dyDescent="0.25">
      <c r="A7094" s="21">
        <v>45877</v>
      </c>
      <c r="B7094" s="1">
        <v>716324778</v>
      </c>
      <c r="C7094" t="s">
        <v>12499</v>
      </c>
      <c r="D7094" s="43">
        <v>-6452.5</v>
      </c>
      <c r="E7094" t="s">
        <v>35</v>
      </c>
      <c r="F7094" s="2">
        <v>212901001</v>
      </c>
      <c r="G7094" s="2" t="s">
        <v>121</v>
      </c>
      <c r="L7094" s="2" t="s">
        <v>12500</v>
      </c>
      <c r="M7094" t="s">
        <v>67</v>
      </c>
      <c r="N7094" t="s">
        <v>68</v>
      </c>
      <c r="P7094" s="23">
        <v>130.07</v>
      </c>
      <c r="Q7094" s="4">
        <f t="shared" si="110"/>
        <v>-49.60790343661106</v>
      </c>
      <c r="R7094" s="23" t="s">
        <v>109</v>
      </c>
    </row>
    <row r="7095" spans="1:20" x14ac:dyDescent="0.25">
      <c r="A7095" s="21">
        <v>45877</v>
      </c>
      <c r="B7095" s="1">
        <v>50815237</v>
      </c>
      <c r="C7095" t="s">
        <v>12501</v>
      </c>
      <c r="D7095" s="43">
        <v>-18067</v>
      </c>
      <c r="E7095" t="s">
        <v>35</v>
      </c>
      <c r="F7095" s="2">
        <v>212901001</v>
      </c>
      <c r="G7095" s="2" t="s">
        <v>121</v>
      </c>
      <c r="L7095" s="2" t="s">
        <v>12502</v>
      </c>
      <c r="M7095" t="s">
        <v>67</v>
      </c>
      <c r="N7095" t="s">
        <v>68</v>
      </c>
      <c r="P7095" s="23">
        <v>130.07</v>
      </c>
      <c r="Q7095" s="4">
        <f t="shared" si="110"/>
        <v>-138.90212962251096</v>
      </c>
      <c r="R7095" s="23" t="s">
        <v>109</v>
      </c>
    </row>
    <row r="7096" spans="1:20" x14ac:dyDescent="0.25">
      <c r="A7096" s="21">
        <v>45877</v>
      </c>
      <c r="B7096" s="1">
        <v>50815237</v>
      </c>
      <c r="C7096" t="s">
        <v>296</v>
      </c>
      <c r="D7096" s="43">
        <v>-27.1</v>
      </c>
      <c r="E7096" t="s">
        <v>35</v>
      </c>
      <c r="F7096" s="2">
        <v>610148001</v>
      </c>
      <c r="G7096" s="2" t="s">
        <v>42</v>
      </c>
      <c r="L7096" s="2" t="s">
        <v>12503</v>
      </c>
      <c r="M7096" t="s">
        <v>43</v>
      </c>
      <c r="N7096" t="s">
        <v>42</v>
      </c>
      <c r="P7096" s="23">
        <v>130.07</v>
      </c>
      <c r="Q7096" s="4">
        <f t="shared" si="110"/>
        <v>-0.20834935034981167</v>
      </c>
      <c r="R7096" s="23" t="s">
        <v>109</v>
      </c>
      <c r="T7096" s="23" t="s">
        <v>12141</v>
      </c>
    </row>
    <row r="7097" spans="1:20" x14ac:dyDescent="0.25">
      <c r="A7097" s="21">
        <v>45877</v>
      </c>
      <c r="B7097" s="1">
        <v>50815237</v>
      </c>
      <c r="C7097" t="s">
        <v>118</v>
      </c>
      <c r="D7097" s="43">
        <v>-1418.25</v>
      </c>
      <c r="E7097" t="s">
        <v>35</v>
      </c>
      <c r="F7097" s="2">
        <v>610148001</v>
      </c>
      <c r="G7097" s="2" t="s">
        <v>42</v>
      </c>
      <c r="L7097" s="2" t="s">
        <v>12504</v>
      </c>
      <c r="M7097" t="s">
        <v>43</v>
      </c>
      <c r="N7097" t="s">
        <v>42</v>
      </c>
      <c r="P7097" s="23">
        <v>130.07</v>
      </c>
      <c r="Q7097" s="4">
        <f t="shared" si="110"/>
        <v>-10.903744137771969</v>
      </c>
      <c r="R7097" s="23" t="s">
        <v>109</v>
      </c>
      <c r="T7097" s="23" t="s">
        <v>12141</v>
      </c>
    </row>
    <row r="7098" spans="1:20" x14ac:dyDescent="0.25">
      <c r="A7098" s="21">
        <v>45877</v>
      </c>
      <c r="B7098" s="1">
        <v>512383935</v>
      </c>
      <c r="C7098" t="s">
        <v>12505</v>
      </c>
      <c r="D7098" s="43">
        <v>45451.66</v>
      </c>
      <c r="E7098" t="s">
        <v>46</v>
      </c>
      <c r="F7098" s="2">
        <v>110106001</v>
      </c>
      <c r="G7098" s="2" t="s">
        <v>2034</v>
      </c>
      <c r="L7098" s="2" t="s">
        <v>12506</v>
      </c>
      <c r="N7098" t="s">
        <v>12507</v>
      </c>
      <c r="P7098" s="23">
        <v>130.07</v>
      </c>
      <c r="Q7098" s="4">
        <f t="shared" si="110"/>
        <v>349.43999384946574</v>
      </c>
      <c r="R7098" s="23" t="s">
        <v>109</v>
      </c>
    </row>
    <row r="7099" spans="1:20" x14ac:dyDescent="0.25">
      <c r="A7099" s="21">
        <v>45877</v>
      </c>
      <c r="B7099" s="1">
        <v>135546498</v>
      </c>
      <c r="C7099" t="s">
        <v>12508</v>
      </c>
      <c r="D7099" s="43">
        <v>440639.37</v>
      </c>
      <c r="E7099" t="s">
        <v>46</v>
      </c>
      <c r="F7099" s="2">
        <v>110106001</v>
      </c>
      <c r="G7099" s="2" t="s">
        <v>2034</v>
      </c>
      <c r="L7099" s="2" t="s">
        <v>12509</v>
      </c>
      <c r="N7099" t="s">
        <v>12510</v>
      </c>
      <c r="P7099" s="23">
        <v>130.07</v>
      </c>
      <c r="Q7099" s="4">
        <f t="shared" si="110"/>
        <v>3387.7094641346966</v>
      </c>
      <c r="R7099" s="23" t="s">
        <v>109</v>
      </c>
    </row>
    <row r="7100" spans="1:20" x14ac:dyDescent="0.25">
      <c r="A7100" s="21">
        <v>45877</v>
      </c>
      <c r="B7100" s="1">
        <v>135753971</v>
      </c>
      <c r="C7100" t="s">
        <v>12511</v>
      </c>
      <c r="D7100" s="43">
        <v>221576.85</v>
      </c>
      <c r="E7100" t="s">
        <v>46</v>
      </c>
      <c r="F7100" s="2">
        <v>110106001</v>
      </c>
      <c r="G7100" s="2" t="s">
        <v>2034</v>
      </c>
      <c r="L7100" s="2" t="s">
        <v>12512</v>
      </c>
      <c r="N7100" t="s">
        <v>12513</v>
      </c>
      <c r="P7100" s="23">
        <v>130.07</v>
      </c>
      <c r="Q7100" s="4">
        <f t="shared" si="110"/>
        <v>1703.5200276774046</v>
      </c>
      <c r="R7100" s="23" t="s">
        <v>109</v>
      </c>
    </row>
    <row r="7101" spans="1:20" x14ac:dyDescent="0.25">
      <c r="A7101" s="21">
        <v>45877</v>
      </c>
      <c r="B7101" s="1">
        <v>140548689</v>
      </c>
      <c r="C7101" t="s">
        <v>12514</v>
      </c>
      <c r="D7101" s="43">
        <v>-496293.53</v>
      </c>
      <c r="E7101" t="s">
        <v>35</v>
      </c>
      <c r="F7101" s="2">
        <v>210101001</v>
      </c>
      <c r="G7101" s="2" t="s">
        <v>36</v>
      </c>
      <c r="L7101" s="2" t="s">
        <v>12515</v>
      </c>
      <c r="M7101" t="s">
        <v>38</v>
      </c>
      <c r="N7101" t="s">
        <v>39</v>
      </c>
      <c r="P7101" s="23">
        <v>130.07</v>
      </c>
      <c r="Q7101" s="4">
        <f t="shared" si="110"/>
        <v>-3815.5879910817257</v>
      </c>
      <c r="R7101" s="23" t="s">
        <v>109</v>
      </c>
    </row>
    <row r="7102" spans="1:20" x14ac:dyDescent="0.25">
      <c r="A7102" s="21">
        <v>45877</v>
      </c>
      <c r="B7102" s="1">
        <v>141121134</v>
      </c>
      <c r="C7102" t="s">
        <v>107</v>
      </c>
      <c r="D7102" s="43">
        <v>550000</v>
      </c>
      <c r="E7102" t="s">
        <v>46</v>
      </c>
      <c r="F7102" s="2">
        <v>210115002</v>
      </c>
      <c r="G7102" s="2" t="s">
        <v>47</v>
      </c>
      <c r="L7102" s="2" t="s">
        <v>12516</v>
      </c>
      <c r="N7102" t="s">
        <v>107</v>
      </c>
      <c r="P7102" s="23">
        <v>130.07</v>
      </c>
      <c r="Q7102" s="4">
        <f t="shared" si="110"/>
        <v>4228.4923502729298</v>
      </c>
      <c r="R7102" s="23" t="s">
        <v>109</v>
      </c>
    </row>
    <row r="7103" spans="1:20" x14ac:dyDescent="0.25">
      <c r="A7103" s="21">
        <v>45877</v>
      </c>
      <c r="B7103" s="1">
        <v>16327237</v>
      </c>
      <c r="C7103" t="s">
        <v>12517</v>
      </c>
      <c r="D7103" s="43">
        <v>-113911.1</v>
      </c>
      <c r="E7103" t="s">
        <v>35</v>
      </c>
      <c r="F7103" s="2">
        <v>210101001</v>
      </c>
      <c r="G7103" s="2" t="s">
        <v>36</v>
      </c>
      <c r="L7103" s="2" t="s">
        <v>12518</v>
      </c>
      <c r="M7103" t="s">
        <v>303</v>
      </c>
      <c r="N7103" t="s">
        <v>304</v>
      </c>
      <c r="P7103" s="23">
        <v>130.07</v>
      </c>
      <c r="Q7103" s="4">
        <f t="shared" si="110"/>
        <v>-875.76766356577241</v>
      </c>
      <c r="R7103" s="23" t="s">
        <v>109</v>
      </c>
    </row>
    <row r="7104" spans="1:20" x14ac:dyDescent="0.25">
      <c r="A7104" s="21">
        <v>45877</v>
      </c>
      <c r="B7104" s="1">
        <v>16327238</v>
      </c>
      <c r="C7104" t="s">
        <v>12519</v>
      </c>
      <c r="D7104" s="43">
        <v>-11862.4</v>
      </c>
      <c r="E7104" t="s">
        <v>35</v>
      </c>
      <c r="F7104" s="2">
        <v>210101001</v>
      </c>
      <c r="G7104" s="2" t="s">
        <v>36</v>
      </c>
      <c r="L7104" s="2" t="s">
        <v>12520</v>
      </c>
      <c r="M7104" t="s">
        <v>698</v>
      </c>
      <c r="N7104" t="s">
        <v>104</v>
      </c>
      <c r="P7104" s="23">
        <v>130.07</v>
      </c>
      <c r="Q7104" s="4">
        <f t="shared" si="110"/>
        <v>-91.200123010686553</v>
      </c>
      <c r="R7104" s="23" t="s">
        <v>109</v>
      </c>
    </row>
    <row r="7105" spans="1:20" x14ac:dyDescent="0.25">
      <c r="A7105" s="21">
        <v>45877</v>
      </c>
      <c r="B7105" s="1">
        <v>16327240</v>
      </c>
      <c r="C7105" t="s">
        <v>12521</v>
      </c>
      <c r="D7105" s="43">
        <v>-598131.48</v>
      </c>
      <c r="E7105" t="s">
        <v>35</v>
      </c>
      <c r="F7105" s="2">
        <v>210101001</v>
      </c>
      <c r="G7105" s="2" t="s">
        <v>36</v>
      </c>
      <c r="L7105" s="2" t="s">
        <v>12522</v>
      </c>
      <c r="M7105" t="s">
        <v>303</v>
      </c>
      <c r="N7105" t="s">
        <v>304</v>
      </c>
      <c r="P7105" s="23">
        <v>130.07</v>
      </c>
      <c r="Q7105" s="4">
        <f t="shared" si="110"/>
        <v>-4598.5352502498654</v>
      </c>
      <c r="R7105" s="23" t="s">
        <v>109</v>
      </c>
    </row>
    <row r="7106" spans="1:20" x14ac:dyDescent="0.25">
      <c r="A7106" s="21">
        <v>45877</v>
      </c>
      <c r="B7106" s="1">
        <v>16327239</v>
      </c>
      <c r="C7106" t="s">
        <v>10983</v>
      </c>
      <c r="D7106" s="43">
        <v>-15608.4</v>
      </c>
      <c r="E7106" t="s">
        <v>35</v>
      </c>
      <c r="F7106" s="2">
        <v>110101002</v>
      </c>
      <c r="G7106" s="2" t="s">
        <v>6359</v>
      </c>
      <c r="L7106" s="2" t="s">
        <v>12523</v>
      </c>
      <c r="N7106" t="s">
        <v>7557</v>
      </c>
      <c r="P7106" s="23">
        <v>130.07</v>
      </c>
      <c r="Q7106" s="4">
        <f t="shared" si="110"/>
        <v>-120</v>
      </c>
      <c r="R7106" s="23" t="s">
        <v>109</v>
      </c>
    </row>
    <row r="7107" spans="1:20" x14ac:dyDescent="0.25">
      <c r="A7107" s="21">
        <v>45877</v>
      </c>
      <c r="B7107" s="1">
        <v>50875316</v>
      </c>
      <c r="C7107" t="s">
        <v>118</v>
      </c>
      <c r="D7107" s="43">
        <v>-1848.78</v>
      </c>
      <c r="E7107" t="s">
        <v>35</v>
      </c>
      <c r="F7107" s="2">
        <v>610148001</v>
      </c>
      <c r="G7107" s="2" t="s">
        <v>42</v>
      </c>
      <c r="L7107" s="2" t="s">
        <v>12524</v>
      </c>
      <c r="M7107" t="s">
        <v>43</v>
      </c>
      <c r="N7107" t="s">
        <v>42</v>
      </c>
      <c r="P7107" s="23">
        <v>130.07</v>
      </c>
      <c r="Q7107" s="4">
        <f t="shared" si="110"/>
        <v>-14.213731067886522</v>
      </c>
      <c r="R7107" s="23" t="s">
        <v>109</v>
      </c>
      <c r="T7107" s="23" t="s">
        <v>12141</v>
      </c>
    </row>
    <row r="7108" spans="1:20" x14ac:dyDescent="0.25">
      <c r="A7108" s="21">
        <v>45877</v>
      </c>
      <c r="B7108" s="1">
        <v>144245088</v>
      </c>
      <c r="C7108" t="s">
        <v>107</v>
      </c>
      <c r="D7108" s="43">
        <v>240000</v>
      </c>
      <c r="E7108" t="s">
        <v>46</v>
      </c>
      <c r="F7108" s="2">
        <v>210115002</v>
      </c>
      <c r="G7108" s="2" t="s">
        <v>47</v>
      </c>
      <c r="L7108" s="2" t="s">
        <v>12525</v>
      </c>
      <c r="N7108" t="s">
        <v>107</v>
      </c>
      <c r="P7108" s="23">
        <v>130.07</v>
      </c>
      <c r="Q7108" s="4">
        <f t="shared" si="110"/>
        <v>1845.160298300915</v>
      </c>
      <c r="R7108" s="23" t="s">
        <v>109</v>
      </c>
    </row>
    <row r="7109" spans="1:20" x14ac:dyDescent="0.25">
      <c r="A7109" s="21">
        <v>45877</v>
      </c>
      <c r="B7109" s="1">
        <v>50878466</v>
      </c>
      <c r="C7109" t="s">
        <v>12526</v>
      </c>
      <c r="D7109" s="43">
        <v>42246.74</v>
      </c>
      <c r="E7109" t="s">
        <v>46</v>
      </c>
      <c r="F7109" s="2">
        <v>110106001</v>
      </c>
      <c r="G7109" s="2" t="s">
        <v>2034</v>
      </c>
      <c r="L7109" s="2" t="s">
        <v>12527</v>
      </c>
      <c r="N7109" t="s">
        <v>12528</v>
      </c>
      <c r="P7109" s="23">
        <v>130.07</v>
      </c>
      <c r="Q7109" s="4">
        <f t="shared" si="110"/>
        <v>324.80003075267166</v>
      </c>
      <c r="R7109" s="23" t="s">
        <v>109</v>
      </c>
    </row>
    <row r="7110" spans="1:20" x14ac:dyDescent="0.25">
      <c r="A7110" s="21">
        <v>45880</v>
      </c>
      <c r="B7110" s="1">
        <v>151902845</v>
      </c>
      <c r="C7110" t="s">
        <v>107</v>
      </c>
      <c r="D7110" s="43">
        <v>65000</v>
      </c>
      <c r="E7110" t="s">
        <v>46</v>
      </c>
      <c r="F7110" s="2">
        <v>210115002</v>
      </c>
      <c r="G7110" s="2" t="s">
        <v>47</v>
      </c>
      <c r="L7110" s="2" t="s">
        <v>12529</v>
      </c>
      <c r="N7110" t="s">
        <v>107</v>
      </c>
      <c r="P7110" s="23">
        <v>131.12</v>
      </c>
      <c r="Q7110" s="4">
        <f t="shared" si="110"/>
        <v>495.72910311165344</v>
      </c>
      <c r="R7110" s="23" t="s">
        <v>109</v>
      </c>
    </row>
    <row r="7111" spans="1:20" x14ac:dyDescent="0.25">
      <c r="A7111" s="21">
        <v>45880</v>
      </c>
      <c r="C7111" t="s">
        <v>8641</v>
      </c>
      <c r="D7111" s="43">
        <v>-126.28</v>
      </c>
      <c r="E7111" t="s">
        <v>35</v>
      </c>
      <c r="F7111" s="2">
        <v>610148001</v>
      </c>
      <c r="G7111" s="2" t="s">
        <v>42</v>
      </c>
      <c r="L7111" s="2" t="s">
        <v>12530</v>
      </c>
      <c r="M7111" t="s">
        <v>43</v>
      </c>
      <c r="N7111" t="s">
        <v>42</v>
      </c>
      <c r="P7111" s="23">
        <v>131.12</v>
      </c>
      <c r="Q7111" s="4">
        <f t="shared" si="110"/>
        <v>-0.96308724832214765</v>
      </c>
      <c r="R7111" s="23" t="s">
        <v>109</v>
      </c>
      <c r="T7111" s="23" t="s">
        <v>12141</v>
      </c>
    </row>
    <row r="7112" spans="1:20" x14ac:dyDescent="0.25">
      <c r="A7112" s="21">
        <v>45880</v>
      </c>
      <c r="B7112" s="1">
        <v>54161</v>
      </c>
      <c r="C7112" t="s">
        <v>12531</v>
      </c>
      <c r="D7112" s="43">
        <v>-62753.14</v>
      </c>
      <c r="E7112" t="s">
        <v>35</v>
      </c>
      <c r="F7112" s="2">
        <v>213401001</v>
      </c>
      <c r="G7112" s="2" t="s">
        <v>126</v>
      </c>
      <c r="L7112" s="2" t="s">
        <v>12532</v>
      </c>
      <c r="M7112" t="s">
        <v>128</v>
      </c>
      <c r="N7112" t="s">
        <v>129</v>
      </c>
      <c r="P7112" s="23">
        <v>131.12</v>
      </c>
      <c r="Q7112" s="4">
        <f t="shared" si="110"/>
        <v>-478.59319707138496</v>
      </c>
      <c r="R7112" s="23" t="s">
        <v>109</v>
      </c>
      <c r="T7112" s="23" t="s">
        <v>12533</v>
      </c>
    </row>
    <row r="7113" spans="1:20" x14ac:dyDescent="0.25">
      <c r="A7113" s="21">
        <v>45881</v>
      </c>
      <c r="B7113" s="1">
        <v>132221764</v>
      </c>
      <c r="C7113" t="s">
        <v>107</v>
      </c>
      <c r="D7113" s="43">
        <v>190000</v>
      </c>
      <c r="E7113" t="s">
        <v>46</v>
      </c>
      <c r="F7113" s="2">
        <v>210115002</v>
      </c>
      <c r="G7113" s="2" t="s">
        <v>47</v>
      </c>
      <c r="L7113" s="2" t="s">
        <v>12534</v>
      </c>
      <c r="N7113" t="s">
        <v>107</v>
      </c>
      <c r="P7113" s="23">
        <v>132.30000000000001</v>
      </c>
      <c r="Q7113" s="4">
        <f t="shared" si="110"/>
        <v>1436.1300075585789</v>
      </c>
      <c r="R7113" s="23" t="s">
        <v>109</v>
      </c>
    </row>
    <row r="7114" spans="1:20" x14ac:dyDescent="0.25">
      <c r="A7114" s="21">
        <v>45881</v>
      </c>
      <c r="B7114" s="1">
        <v>916519126</v>
      </c>
      <c r="C7114" t="s">
        <v>12535</v>
      </c>
      <c r="D7114" s="43">
        <v>-165902.63</v>
      </c>
      <c r="E7114" t="s">
        <v>35</v>
      </c>
      <c r="F7114" s="2">
        <v>210101001</v>
      </c>
      <c r="G7114" s="2" t="s">
        <v>36</v>
      </c>
      <c r="L7114" s="2" t="s">
        <v>12536</v>
      </c>
      <c r="M7114" t="s">
        <v>976</v>
      </c>
      <c r="N7114" t="s">
        <v>977</v>
      </c>
      <c r="P7114" s="23">
        <v>132.30000000000001</v>
      </c>
      <c r="Q7114" s="4">
        <f t="shared" si="110"/>
        <v>-1253.9881330309902</v>
      </c>
      <c r="R7114" s="23" t="s">
        <v>109</v>
      </c>
    </row>
    <row r="7115" spans="1:20" x14ac:dyDescent="0.25">
      <c r="A7115" s="21">
        <v>45881</v>
      </c>
      <c r="B7115" s="1">
        <v>916519127</v>
      </c>
      <c r="C7115" t="s">
        <v>12537</v>
      </c>
      <c r="D7115" s="43">
        <v>-19905.599999999999</v>
      </c>
      <c r="E7115" t="s">
        <v>35</v>
      </c>
      <c r="F7115" s="2">
        <v>210101001</v>
      </c>
      <c r="G7115" s="2" t="s">
        <v>36</v>
      </c>
      <c r="L7115" s="2" t="s">
        <v>12538</v>
      </c>
      <c r="M7115" t="s">
        <v>38</v>
      </c>
      <c r="N7115" t="s">
        <v>39</v>
      </c>
      <c r="P7115" s="23">
        <v>132.30000000000001</v>
      </c>
      <c r="Q7115" s="4">
        <f t="shared" ref="Q7115:Q7178" si="111">D7115/P7115</f>
        <v>-150.4580498866213</v>
      </c>
      <c r="R7115" s="23" t="s">
        <v>109</v>
      </c>
    </row>
    <row r="7116" spans="1:20" x14ac:dyDescent="0.25">
      <c r="A7116" s="21">
        <v>45882</v>
      </c>
      <c r="B7116" s="1">
        <v>140410528</v>
      </c>
      <c r="C7116" t="s">
        <v>107</v>
      </c>
      <c r="D7116" s="43">
        <v>520000</v>
      </c>
      <c r="E7116" t="s">
        <v>46</v>
      </c>
      <c r="F7116" s="2">
        <v>210115002</v>
      </c>
      <c r="G7116" s="2" t="s">
        <v>47</v>
      </c>
      <c r="L7116" s="2" t="s">
        <v>12539</v>
      </c>
      <c r="N7116" t="s">
        <v>107</v>
      </c>
      <c r="P7116" s="23">
        <v>133.52000000000001</v>
      </c>
      <c r="Q7116" s="4">
        <f t="shared" si="111"/>
        <v>3894.5476333133611</v>
      </c>
      <c r="R7116" s="23" t="s">
        <v>109</v>
      </c>
    </row>
    <row r="7117" spans="1:20" x14ac:dyDescent="0.25">
      <c r="A7117" s="21">
        <v>45882</v>
      </c>
      <c r="B7117" s="1">
        <v>216566335</v>
      </c>
      <c r="C7117" t="s">
        <v>12540</v>
      </c>
      <c r="D7117" s="43">
        <v>-176566.85</v>
      </c>
      <c r="E7117" t="s">
        <v>35</v>
      </c>
      <c r="F7117" s="2">
        <v>210101001</v>
      </c>
      <c r="G7117" s="2" t="s">
        <v>36</v>
      </c>
      <c r="L7117" s="2" t="s">
        <v>12541</v>
      </c>
      <c r="M7117" t="s">
        <v>38</v>
      </c>
      <c r="N7117" t="s">
        <v>39</v>
      </c>
      <c r="P7117" s="23">
        <v>133.52000000000001</v>
      </c>
      <c r="Q7117" s="4">
        <f t="shared" si="111"/>
        <v>-1322.4000149790293</v>
      </c>
      <c r="R7117" s="23" t="s">
        <v>109</v>
      </c>
    </row>
    <row r="7118" spans="1:20" x14ac:dyDescent="0.25">
      <c r="A7118" s="21">
        <v>45882</v>
      </c>
      <c r="B7118" s="1">
        <v>216566336</v>
      </c>
      <c r="C7118" t="s">
        <v>12542</v>
      </c>
      <c r="D7118" s="43">
        <v>-325254.7</v>
      </c>
      <c r="E7118" t="s">
        <v>35</v>
      </c>
      <c r="F7118" s="2">
        <v>210101001</v>
      </c>
      <c r="G7118" s="2" t="s">
        <v>36</v>
      </c>
      <c r="L7118" s="2" t="s">
        <v>12543</v>
      </c>
      <c r="M7118" t="s">
        <v>788</v>
      </c>
      <c r="N7118" t="s">
        <v>789</v>
      </c>
      <c r="P7118" s="23">
        <v>133.52000000000001</v>
      </c>
      <c r="Q7118" s="4">
        <f t="shared" si="111"/>
        <v>-2435.9998502097064</v>
      </c>
      <c r="R7118" s="23" t="s">
        <v>109</v>
      </c>
    </row>
    <row r="7119" spans="1:20" x14ac:dyDescent="0.25">
      <c r="A7119" s="21">
        <v>45882</v>
      </c>
      <c r="B7119" s="1">
        <v>316566337</v>
      </c>
      <c r="C7119" t="s">
        <v>12544</v>
      </c>
      <c r="D7119" s="43">
        <v>-16022</v>
      </c>
      <c r="E7119" t="s">
        <v>35</v>
      </c>
      <c r="F7119" s="2">
        <v>210101001</v>
      </c>
      <c r="G7119" s="2" t="s">
        <v>36</v>
      </c>
      <c r="L7119" s="2" t="s">
        <v>12545</v>
      </c>
      <c r="M7119" t="s">
        <v>788</v>
      </c>
      <c r="N7119" t="s">
        <v>789</v>
      </c>
      <c r="P7119" s="23">
        <v>133.52000000000001</v>
      </c>
      <c r="Q7119" s="4">
        <f t="shared" si="111"/>
        <v>-119.99700419412821</v>
      </c>
      <c r="R7119" s="23" t="s">
        <v>109</v>
      </c>
    </row>
    <row r="7120" spans="1:20" x14ac:dyDescent="0.25">
      <c r="A7120" s="21">
        <v>45882</v>
      </c>
      <c r="B7120" s="1">
        <v>50855510</v>
      </c>
      <c r="C7120" t="s">
        <v>118</v>
      </c>
      <c r="D7120" s="43">
        <v>-1294.5999999999999</v>
      </c>
      <c r="E7120" t="s">
        <v>35</v>
      </c>
      <c r="F7120" s="2">
        <v>610148001</v>
      </c>
      <c r="G7120" s="2" t="s">
        <v>42</v>
      </c>
      <c r="L7120" s="2" t="s">
        <v>12546</v>
      </c>
      <c r="M7120" t="s">
        <v>43</v>
      </c>
      <c r="N7120" t="s">
        <v>42</v>
      </c>
      <c r="P7120" s="23">
        <v>133.52000000000001</v>
      </c>
      <c r="Q7120" s="4">
        <f t="shared" si="111"/>
        <v>-9.6959257040143783</v>
      </c>
      <c r="R7120" s="23" t="s">
        <v>109</v>
      </c>
      <c r="T7120" s="23" t="s">
        <v>12141</v>
      </c>
    </row>
    <row r="7121" spans="1:23" x14ac:dyDescent="0.25">
      <c r="A7121" s="21">
        <v>45881</v>
      </c>
      <c r="B7121" s="1">
        <v>50885751</v>
      </c>
      <c r="C7121" t="s">
        <v>118</v>
      </c>
      <c r="D7121" s="43">
        <v>-464.52</v>
      </c>
      <c r="E7121" t="s">
        <v>35</v>
      </c>
      <c r="F7121" s="2">
        <v>610148001</v>
      </c>
      <c r="G7121" s="2" t="s">
        <v>42</v>
      </c>
      <c r="L7121" s="2" t="s">
        <v>12547</v>
      </c>
      <c r="M7121" t="s">
        <v>43</v>
      </c>
      <c r="N7121" t="s">
        <v>42</v>
      </c>
      <c r="P7121" s="23">
        <v>132.30000000000001</v>
      </c>
      <c r="Q7121" s="4">
        <f t="shared" si="111"/>
        <v>-3.5111111111111106</v>
      </c>
      <c r="R7121" s="23" t="s">
        <v>109</v>
      </c>
      <c r="T7121" s="23" t="s">
        <v>12141</v>
      </c>
    </row>
    <row r="7122" spans="1:23" x14ac:dyDescent="0.25">
      <c r="A7122" s="21">
        <v>45883</v>
      </c>
      <c r="B7122" s="1">
        <v>143135411</v>
      </c>
      <c r="C7122" t="s">
        <v>12548</v>
      </c>
      <c r="D7122" s="43">
        <v>160000</v>
      </c>
      <c r="E7122" t="s">
        <v>46</v>
      </c>
      <c r="F7122" s="2">
        <v>210115002</v>
      </c>
      <c r="G7122" s="2" t="s">
        <v>47</v>
      </c>
      <c r="L7122" s="2" t="s">
        <v>12549</v>
      </c>
      <c r="N7122" t="s">
        <v>12548</v>
      </c>
      <c r="P7122" s="23">
        <v>134.47999999999999</v>
      </c>
      <c r="Q7122" s="4">
        <f t="shared" si="111"/>
        <v>1189.767995240928</v>
      </c>
      <c r="R7122" s="23" t="s">
        <v>109</v>
      </c>
    </row>
    <row r="7123" spans="1:23" x14ac:dyDescent="0.25">
      <c r="A7123" s="21">
        <v>45883</v>
      </c>
      <c r="B7123" s="1">
        <v>616619088</v>
      </c>
      <c r="C7123" t="s">
        <v>12550</v>
      </c>
      <c r="D7123" s="43">
        <v>-112273.5</v>
      </c>
      <c r="E7123" t="s">
        <v>35</v>
      </c>
      <c r="F7123" s="2">
        <v>210101001</v>
      </c>
      <c r="G7123" s="2" t="s">
        <v>36</v>
      </c>
      <c r="L7123" s="2" t="s">
        <v>12551</v>
      </c>
      <c r="M7123" t="s">
        <v>1325</v>
      </c>
      <c r="N7123" t="s">
        <v>1326</v>
      </c>
      <c r="P7123" s="23">
        <v>134.47999999999999</v>
      </c>
      <c r="Q7123" s="4">
        <f t="shared" si="111"/>
        <v>-834.87135633551463</v>
      </c>
      <c r="R7123" s="23" t="s">
        <v>109</v>
      </c>
    </row>
    <row r="7124" spans="1:23" x14ac:dyDescent="0.25">
      <c r="A7124" s="21">
        <v>45883</v>
      </c>
      <c r="B7124" s="1">
        <v>616619088</v>
      </c>
      <c r="C7124" t="s">
        <v>306</v>
      </c>
      <c r="D7124" s="43">
        <v>-336.82</v>
      </c>
      <c r="E7124" t="s">
        <v>35</v>
      </c>
      <c r="F7124" s="2">
        <v>610148001</v>
      </c>
      <c r="G7124" s="2" t="s">
        <v>42</v>
      </c>
      <c r="L7124" s="2" t="s">
        <v>12552</v>
      </c>
      <c r="M7124" t="s">
        <v>43</v>
      </c>
      <c r="N7124" t="s">
        <v>42</v>
      </c>
      <c r="P7124" s="23">
        <v>134.47999999999999</v>
      </c>
      <c r="Q7124" s="4">
        <f t="shared" si="111"/>
        <v>-2.5046103509815589</v>
      </c>
      <c r="R7124" s="23" t="s">
        <v>109</v>
      </c>
      <c r="T7124" s="23" t="s">
        <v>12141</v>
      </c>
    </row>
    <row r="7125" spans="1:23" x14ac:dyDescent="0.25">
      <c r="A7125" s="21">
        <v>45883</v>
      </c>
      <c r="B7125" s="1">
        <v>143832444</v>
      </c>
      <c r="C7125" t="s">
        <v>12553</v>
      </c>
      <c r="D7125" s="43">
        <v>-38745.480000000003</v>
      </c>
      <c r="E7125" t="s">
        <v>35</v>
      </c>
      <c r="F7125" s="2">
        <v>210101001</v>
      </c>
      <c r="G7125" s="2" t="s">
        <v>36</v>
      </c>
      <c r="L7125" s="2" t="s">
        <v>12554</v>
      </c>
      <c r="M7125" t="s">
        <v>2635</v>
      </c>
      <c r="N7125" t="s">
        <v>2636</v>
      </c>
      <c r="P7125" s="23">
        <v>134.47999999999999</v>
      </c>
      <c r="Q7125" s="4">
        <f t="shared" si="111"/>
        <v>-288.11332540154672</v>
      </c>
      <c r="R7125" s="23" t="s">
        <v>109</v>
      </c>
    </row>
    <row r="7126" spans="1:23" x14ac:dyDescent="0.25">
      <c r="A7126" s="21">
        <v>45883</v>
      </c>
      <c r="B7126" s="1">
        <v>516619164</v>
      </c>
      <c r="C7126" t="s">
        <v>12555</v>
      </c>
      <c r="D7126" s="43">
        <v>-5756.16</v>
      </c>
      <c r="E7126" t="s">
        <v>35</v>
      </c>
      <c r="F7126" s="2">
        <v>110114001</v>
      </c>
      <c r="G7126" s="2" t="s">
        <v>301</v>
      </c>
      <c r="L7126" s="2" t="s">
        <v>12556</v>
      </c>
      <c r="M7126" t="s">
        <v>714</v>
      </c>
      <c r="N7126" t="s">
        <v>715</v>
      </c>
      <c r="P7126" s="23">
        <v>134.47999999999999</v>
      </c>
      <c r="Q7126" s="4">
        <f t="shared" si="111"/>
        <v>-42.803093396787631</v>
      </c>
      <c r="R7126" s="23" t="s">
        <v>109</v>
      </c>
    </row>
    <row r="7127" spans="1:23" x14ac:dyDescent="0.25">
      <c r="A7127" s="21">
        <v>45883</v>
      </c>
      <c r="B7127" s="1">
        <v>516619164</v>
      </c>
      <c r="C7127" t="s">
        <v>306</v>
      </c>
      <c r="D7127" s="43">
        <v>-17.27</v>
      </c>
      <c r="E7127" t="s">
        <v>35</v>
      </c>
      <c r="F7127" s="2">
        <v>610148001</v>
      </c>
      <c r="G7127" s="2" t="s">
        <v>42</v>
      </c>
      <c r="L7127" s="2" t="s">
        <v>12557</v>
      </c>
      <c r="M7127" t="s">
        <v>43</v>
      </c>
      <c r="N7127" t="s">
        <v>42</v>
      </c>
      <c r="P7127" s="23">
        <v>134.47999999999999</v>
      </c>
      <c r="Q7127" s="4">
        <f t="shared" si="111"/>
        <v>-0.12842058298631767</v>
      </c>
      <c r="R7127" s="23" t="s">
        <v>109</v>
      </c>
      <c r="T7127" s="23" t="s">
        <v>12141</v>
      </c>
    </row>
    <row r="7128" spans="1:23" x14ac:dyDescent="0.25">
      <c r="A7128" s="21">
        <v>45883</v>
      </c>
      <c r="B7128" s="1">
        <v>173653379</v>
      </c>
      <c r="C7128" t="s">
        <v>12558</v>
      </c>
      <c r="D7128" s="43">
        <v>-12024.6</v>
      </c>
      <c r="E7128" t="s">
        <v>35</v>
      </c>
      <c r="F7128" s="2">
        <v>210101001</v>
      </c>
      <c r="G7128" s="2" t="s">
        <v>36</v>
      </c>
      <c r="L7128" s="2" t="s">
        <v>12559</v>
      </c>
      <c r="M7128" t="s">
        <v>2645</v>
      </c>
      <c r="N7128" t="s">
        <v>1187</v>
      </c>
      <c r="P7128" s="23">
        <v>134.47999999999999</v>
      </c>
      <c r="Q7128" s="4">
        <f t="shared" si="111"/>
        <v>-89.415526472337902</v>
      </c>
      <c r="R7128" s="23" t="s">
        <v>109</v>
      </c>
    </row>
    <row r="7129" spans="1:23" x14ac:dyDescent="0.25">
      <c r="A7129" s="21">
        <v>45883</v>
      </c>
      <c r="B7129" s="1">
        <v>183846024</v>
      </c>
      <c r="C7129" t="s">
        <v>12548</v>
      </c>
      <c r="D7129" s="43">
        <v>200000</v>
      </c>
      <c r="E7129" t="s">
        <v>46</v>
      </c>
      <c r="F7129" s="2">
        <v>210115002</v>
      </c>
      <c r="G7129" s="2" t="s">
        <v>47</v>
      </c>
      <c r="L7129" s="2" t="s">
        <v>12560</v>
      </c>
      <c r="N7129" t="s">
        <v>12548</v>
      </c>
      <c r="P7129" s="23">
        <v>134.47999999999999</v>
      </c>
      <c r="Q7129" s="4">
        <f t="shared" si="111"/>
        <v>1487.20999405116</v>
      </c>
      <c r="R7129" s="23" t="s">
        <v>109</v>
      </c>
    </row>
    <row r="7130" spans="1:23" x14ac:dyDescent="0.25">
      <c r="A7130" s="21">
        <v>45883</v>
      </c>
      <c r="B7130" s="1">
        <v>816634933</v>
      </c>
      <c r="C7130" t="s">
        <v>12561</v>
      </c>
      <c r="D7130" s="43">
        <v>-66694.58</v>
      </c>
      <c r="E7130" t="s">
        <v>35</v>
      </c>
      <c r="F7130" s="2">
        <v>212901001</v>
      </c>
      <c r="G7130" s="2" t="s">
        <v>121</v>
      </c>
      <c r="L7130" s="2" t="s">
        <v>12562</v>
      </c>
      <c r="M7130" t="s">
        <v>67</v>
      </c>
      <c r="N7130" t="s">
        <v>68</v>
      </c>
      <c r="P7130" s="23">
        <v>134.47999999999999</v>
      </c>
      <c r="Q7130" s="4">
        <f t="shared" si="111"/>
        <v>-495.94422962522316</v>
      </c>
      <c r="R7130" s="23" t="s">
        <v>109</v>
      </c>
      <c r="U7130">
        <v>2</v>
      </c>
      <c r="V7130" t="e">
        <f>VLOOKUP(Tabla3[[#This Row],[Nº]],[1]!NOMINA[#Data],4,FALSE)</f>
        <v>#REF!</v>
      </c>
      <c r="W7130" t="e">
        <f>VLOOKUP(Tabla3[[#This Row],[Nº]],[1]!NOMINA[#Data],5,FALSE)</f>
        <v>#REF!</v>
      </c>
    </row>
    <row r="7131" spans="1:23" x14ac:dyDescent="0.25">
      <c r="A7131" s="21">
        <v>45883</v>
      </c>
      <c r="B7131" s="1">
        <v>816634936</v>
      </c>
      <c r="C7131" t="s">
        <v>12563</v>
      </c>
      <c r="D7131" s="43">
        <v>-6631.94</v>
      </c>
      <c r="E7131" t="s">
        <v>35</v>
      </c>
      <c r="F7131" s="2">
        <v>212901001</v>
      </c>
      <c r="G7131" s="2" t="s">
        <v>121</v>
      </c>
      <c r="L7131" s="2" t="s">
        <v>12564</v>
      </c>
      <c r="M7131" t="s">
        <v>67</v>
      </c>
      <c r="N7131" t="s">
        <v>68</v>
      </c>
      <c r="P7131" s="23">
        <v>134.47999999999999</v>
      </c>
      <c r="Q7131" s="4">
        <f t="shared" si="111"/>
        <v>-49.315437239738252</v>
      </c>
      <c r="R7131" s="23" t="s">
        <v>109</v>
      </c>
      <c r="U7131">
        <v>22</v>
      </c>
      <c r="V7131" t="e">
        <f>VLOOKUP(Tabla3[[#This Row],[Nº]],[1]!NOMINA[#Data],4,FALSE)</f>
        <v>#REF!</v>
      </c>
      <c r="W7131" t="e">
        <f>VLOOKUP(U7131,[1]!NOMINA[#Data],5,FALSE)</f>
        <v>#REF!</v>
      </c>
    </row>
    <row r="7132" spans="1:23" x14ac:dyDescent="0.25">
      <c r="A7132" s="21">
        <v>45883</v>
      </c>
      <c r="B7132" s="1">
        <v>816634935</v>
      </c>
      <c r="C7132" t="s">
        <v>12565</v>
      </c>
      <c r="D7132" s="43">
        <v>-5295.4</v>
      </c>
      <c r="E7132" t="s">
        <v>35</v>
      </c>
      <c r="F7132" s="2">
        <v>212901001</v>
      </c>
      <c r="G7132" s="2" t="s">
        <v>121</v>
      </c>
      <c r="L7132" s="2" t="s">
        <v>12566</v>
      </c>
      <c r="M7132" t="s">
        <v>67</v>
      </c>
      <c r="N7132" t="s">
        <v>68</v>
      </c>
      <c r="P7132" s="23">
        <v>134.47999999999999</v>
      </c>
      <c r="Q7132" s="4">
        <f t="shared" si="111"/>
        <v>-39.376859012492567</v>
      </c>
      <c r="R7132" s="23" t="s">
        <v>109</v>
      </c>
      <c r="U7132">
        <v>29</v>
      </c>
      <c r="V7132" t="e">
        <f>VLOOKUP(U7132,[1]!NOMINA[#Data],4,FALSE)</f>
        <v>#REF!</v>
      </c>
      <c r="W7132" t="e">
        <f>VLOOKUP(U7132,[1]!NOMINA[#Data],5,FALSE)</f>
        <v>#REF!</v>
      </c>
    </row>
    <row r="7133" spans="1:23" x14ac:dyDescent="0.25">
      <c r="A7133" s="21">
        <v>45883</v>
      </c>
      <c r="B7133" s="1">
        <v>816634934</v>
      </c>
      <c r="C7133" t="s">
        <v>12567</v>
      </c>
      <c r="D7133" s="43">
        <v>-12759.17</v>
      </c>
      <c r="E7133" t="s">
        <v>35</v>
      </c>
      <c r="F7133" s="2">
        <v>212901001</v>
      </c>
      <c r="G7133" s="2" t="s">
        <v>121</v>
      </c>
      <c r="L7133" s="2" t="s">
        <v>12568</v>
      </c>
      <c r="M7133" t="s">
        <v>67</v>
      </c>
      <c r="N7133" t="s">
        <v>68</v>
      </c>
      <c r="P7133" s="23">
        <v>134.47999999999999</v>
      </c>
      <c r="Q7133" s="4">
        <f t="shared" si="111"/>
        <v>-94.877825698988701</v>
      </c>
      <c r="R7133" s="23" t="s">
        <v>109</v>
      </c>
      <c r="U7133">
        <v>31</v>
      </c>
      <c r="V7133" t="e">
        <f>VLOOKUP(Tabla3[[#This Row],[Nº]],[1]!NOMINA[#Data],4,FALSE)</f>
        <v>#REF!</v>
      </c>
      <c r="W7133" t="e">
        <f>VLOOKUP(U7133,[1]!NOMINA[#Data],5,FALSE)</f>
        <v>#REF!</v>
      </c>
    </row>
    <row r="7134" spans="1:23" x14ac:dyDescent="0.25">
      <c r="A7134" s="21">
        <v>45883</v>
      </c>
      <c r="B7134" s="1">
        <v>816634940</v>
      </c>
      <c r="C7134" t="s">
        <v>12569</v>
      </c>
      <c r="D7134" s="43">
        <v>-9541.34</v>
      </c>
      <c r="E7134" t="s">
        <v>35</v>
      </c>
      <c r="F7134" s="2">
        <v>212901001</v>
      </c>
      <c r="G7134" s="2" t="s">
        <v>121</v>
      </c>
      <c r="L7134" s="2" t="s">
        <v>12570</v>
      </c>
      <c r="M7134" t="s">
        <v>67</v>
      </c>
      <c r="N7134" t="s">
        <v>68</v>
      </c>
      <c r="P7134" s="23">
        <v>134.47999999999999</v>
      </c>
      <c r="Q7134" s="4">
        <f t="shared" si="111"/>
        <v>-70.949881023200476</v>
      </c>
      <c r="R7134" s="23" t="s">
        <v>109</v>
      </c>
      <c r="U7134">
        <v>15</v>
      </c>
      <c r="V7134" t="e">
        <f>VLOOKUP(Tabla3[[#This Row],[Nº]],[1]!NOMINA[#Data],4,FALSE)</f>
        <v>#REF!</v>
      </c>
      <c r="W7134" t="e">
        <f>VLOOKUP(U7134,[1]!NOMINA[#Data],5,FALSE)</f>
        <v>#REF!</v>
      </c>
    </row>
    <row r="7135" spans="1:23" x14ac:dyDescent="0.25">
      <c r="A7135" s="21">
        <v>45883</v>
      </c>
      <c r="B7135" s="1">
        <v>916634943</v>
      </c>
      <c r="C7135" t="s">
        <v>12571</v>
      </c>
      <c r="D7135" s="43">
        <v>-9984.6299999999992</v>
      </c>
      <c r="E7135" t="s">
        <v>35</v>
      </c>
      <c r="F7135" s="2">
        <v>212901001</v>
      </c>
      <c r="G7135" s="2" t="s">
        <v>121</v>
      </c>
      <c r="L7135" s="2" t="s">
        <v>12572</v>
      </c>
      <c r="M7135" t="s">
        <v>67</v>
      </c>
      <c r="N7135" t="s">
        <v>68</v>
      </c>
      <c r="P7135" s="23">
        <v>134.47999999999999</v>
      </c>
      <c r="Q7135" s="4">
        <f t="shared" si="111"/>
        <v>-74.246207614515171</v>
      </c>
      <c r="R7135" s="23" t="s">
        <v>109</v>
      </c>
      <c r="U7135">
        <v>8</v>
      </c>
      <c r="V7135" t="e">
        <f>VLOOKUP(Tabla3[[#This Row],[Nº]],[1]!NOMINA[#Data],4,FALSE)</f>
        <v>#REF!</v>
      </c>
      <c r="W7135" t="e">
        <f>VLOOKUP(U7135,[1]!NOMINA[#Data],5,FALSE)</f>
        <v>#REF!</v>
      </c>
    </row>
    <row r="7136" spans="1:23" x14ac:dyDescent="0.25">
      <c r="A7136" s="21">
        <v>45883</v>
      </c>
      <c r="B7136" s="1">
        <v>916634942</v>
      </c>
      <c r="C7136" t="s">
        <v>12573</v>
      </c>
      <c r="D7136" s="43">
        <v>-4587.75</v>
      </c>
      <c r="E7136" t="s">
        <v>35</v>
      </c>
      <c r="F7136" s="2">
        <v>212901001</v>
      </c>
      <c r="G7136" s="2" t="s">
        <v>121</v>
      </c>
      <c r="L7136" s="2" t="s">
        <v>12574</v>
      </c>
      <c r="M7136" t="s">
        <v>67</v>
      </c>
      <c r="N7136" t="s">
        <v>68</v>
      </c>
      <c r="P7136" s="23">
        <v>134.47999999999999</v>
      </c>
      <c r="Q7136" s="4">
        <f t="shared" si="111"/>
        <v>-34.114738251041047</v>
      </c>
      <c r="R7136" s="23" t="s">
        <v>109</v>
      </c>
      <c r="U7136">
        <v>26</v>
      </c>
      <c r="V7136" t="e">
        <f>VLOOKUP(Tabla3[[#This Row],[Nº]],[1]!NOMINA[#Data],4,FALSE)</f>
        <v>#REF!</v>
      </c>
      <c r="W7136" t="e">
        <f>VLOOKUP(Tabla3[[#This Row],[Nº]],[1]!NOMINA[#Data],5,FALSE)</f>
        <v>#REF!</v>
      </c>
    </row>
    <row r="7137" spans="1:23" x14ac:dyDescent="0.25">
      <c r="A7137" s="21">
        <v>45883</v>
      </c>
      <c r="B7137" s="1">
        <v>816634939</v>
      </c>
      <c r="C7137" t="s">
        <v>12575</v>
      </c>
      <c r="D7137" s="43">
        <v>-10191.58</v>
      </c>
      <c r="E7137" t="s">
        <v>35</v>
      </c>
      <c r="F7137" s="2">
        <v>212901001</v>
      </c>
      <c r="G7137" s="2" t="s">
        <v>121</v>
      </c>
      <c r="L7137" s="2" t="s">
        <v>12576</v>
      </c>
      <c r="M7137" t="s">
        <v>67</v>
      </c>
      <c r="N7137" t="s">
        <v>68</v>
      </c>
      <c r="P7137" s="23">
        <v>134.47999999999999</v>
      </c>
      <c r="Q7137" s="4">
        <f t="shared" si="111"/>
        <v>-75.785098155859615</v>
      </c>
      <c r="R7137" s="23" t="s">
        <v>109</v>
      </c>
      <c r="U7137">
        <v>17</v>
      </c>
      <c r="V7137" t="e">
        <f>VLOOKUP(Tabla3[[#This Row],[Nº]],[1]!NOMINA[#Data],4,FALSE)</f>
        <v>#REF!</v>
      </c>
      <c r="W7137" t="e">
        <f>VLOOKUP(U7137,[1]!NOMINA[#Data],5,FALSE)</f>
        <v>#REF!</v>
      </c>
    </row>
    <row r="7138" spans="1:23" x14ac:dyDescent="0.25">
      <c r="A7138" s="21">
        <v>45883</v>
      </c>
      <c r="B7138" s="1">
        <v>816634937</v>
      </c>
      <c r="C7138" t="s">
        <v>12577</v>
      </c>
      <c r="D7138" s="43">
        <v>-4625.13</v>
      </c>
      <c r="E7138" t="s">
        <v>35</v>
      </c>
      <c r="F7138" s="2">
        <v>212901001</v>
      </c>
      <c r="G7138" s="2" t="s">
        <v>121</v>
      </c>
      <c r="L7138" s="2" t="s">
        <v>12578</v>
      </c>
      <c r="M7138" t="s">
        <v>67</v>
      </c>
      <c r="N7138" t="s">
        <v>68</v>
      </c>
      <c r="P7138" s="23">
        <v>134.47999999999999</v>
      </c>
      <c r="Q7138" s="4">
        <f t="shared" si="111"/>
        <v>-34.392697798929213</v>
      </c>
      <c r="R7138" s="23" t="s">
        <v>109</v>
      </c>
      <c r="U7138">
        <v>23</v>
      </c>
      <c r="V7138" t="e">
        <f>VLOOKUP(Tabla3[[#This Row],[Nº]],[1]!NOMINA[#Data],4,FALSE)</f>
        <v>#REF!</v>
      </c>
      <c r="W7138" t="e">
        <f>VLOOKUP(U7138,[1]!NOMINA[#Data],5,FALSE)</f>
        <v>#REF!</v>
      </c>
    </row>
    <row r="7139" spans="1:23" x14ac:dyDescent="0.25">
      <c r="A7139" s="21">
        <v>45883</v>
      </c>
      <c r="B7139" s="1">
        <v>916634941</v>
      </c>
      <c r="C7139" t="s">
        <v>12579</v>
      </c>
      <c r="D7139" s="43">
        <v>-10678.93</v>
      </c>
      <c r="E7139" t="s">
        <v>35</v>
      </c>
      <c r="F7139" s="2">
        <v>212901001</v>
      </c>
      <c r="G7139" s="2" t="s">
        <v>121</v>
      </c>
      <c r="L7139" s="2" t="s">
        <v>12580</v>
      </c>
      <c r="M7139" t="s">
        <v>67</v>
      </c>
      <c r="N7139" t="s">
        <v>68</v>
      </c>
      <c r="P7139" s="23">
        <v>134.47999999999999</v>
      </c>
      <c r="Q7139" s="4">
        <f t="shared" si="111"/>
        <v>-79.409057108863777</v>
      </c>
      <c r="R7139" s="23" t="s">
        <v>109</v>
      </c>
      <c r="U7139">
        <v>14</v>
      </c>
      <c r="V7139" t="e">
        <f>VLOOKUP(Tabla3[[#This Row],[Nº]],[1]!NOMINA[#Data],4,FALSE)</f>
        <v>#REF!</v>
      </c>
      <c r="W7139" t="e">
        <f>VLOOKUP(U7139,[1]!NOMINA[#Data],5,FALSE)</f>
        <v>#REF!</v>
      </c>
    </row>
    <row r="7140" spans="1:23" x14ac:dyDescent="0.25">
      <c r="A7140" s="21">
        <v>45883</v>
      </c>
      <c r="B7140" s="1">
        <v>916634945</v>
      </c>
      <c r="C7140" t="s">
        <v>12581</v>
      </c>
      <c r="D7140" s="43">
        <v>-53342.58</v>
      </c>
      <c r="E7140" t="s">
        <v>35</v>
      </c>
      <c r="F7140" s="2">
        <v>212901001</v>
      </c>
      <c r="G7140" s="2" t="s">
        <v>121</v>
      </c>
      <c r="L7140" s="2" t="s">
        <v>12582</v>
      </c>
      <c r="M7140" t="s">
        <v>67</v>
      </c>
      <c r="N7140" t="s">
        <v>68</v>
      </c>
      <c r="P7140" s="23">
        <v>134.47999999999999</v>
      </c>
      <c r="Q7140" s="4">
        <f t="shared" si="111"/>
        <v>-396.65809042236771</v>
      </c>
      <c r="R7140" s="23" t="s">
        <v>109</v>
      </c>
      <c r="U7140">
        <v>1</v>
      </c>
      <c r="V7140" t="e">
        <f>VLOOKUP(U7140,[1]!NOMINA[#Data],4,FALSE)</f>
        <v>#REF!</v>
      </c>
      <c r="W7140" t="e">
        <f>VLOOKUP(U7140,[1]!NOMINA[#Data],5,FALSE)</f>
        <v>#REF!</v>
      </c>
    </row>
    <row r="7141" spans="1:23" x14ac:dyDescent="0.25">
      <c r="A7141" s="21">
        <v>45883</v>
      </c>
      <c r="B7141" s="1">
        <v>816634938</v>
      </c>
      <c r="C7141" t="s">
        <v>12583</v>
      </c>
      <c r="D7141" s="43">
        <v>-6647.96</v>
      </c>
      <c r="E7141" t="s">
        <v>35</v>
      </c>
      <c r="F7141" s="2">
        <v>212901001</v>
      </c>
      <c r="G7141" s="2" t="s">
        <v>121</v>
      </c>
      <c r="L7141" s="2" t="s">
        <v>12584</v>
      </c>
      <c r="M7141" t="s">
        <v>67</v>
      </c>
      <c r="N7141" t="s">
        <v>68</v>
      </c>
      <c r="P7141" s="23">
        <v>134.47999999999999</v>
      </c>
      <c r="Q7141" s="4">
        <f t="shared" si="111"/>
        <v>-49.434562760261755</v>
      </c>
      <c r="R7141" s="23" t="s">
        <v>109</v>
      </c>
      <c r="U7141">
        <v>19</v>
      </c>
      <c r="V7141" t="e">
        <f>VLOOKUP(Tabla3[[#This Row],[Nº]],[1]!NOMINA[#Data],4,FALSE)</f>
        <v>#REF!</v>
      </c>
      <c r="W7141" t="e">
        <f>VLOOKUP(U7141,[1]!NOMINA[#Data],5,FALSE)</f>
        <v>#REF!</v>
      </c>
    </row>
    <row r="7142" spans="1:23" x14ac:dyDescent="0.25">
      <c r="A7142" s="21">
        <v>45883</v>
      </c>
      <c r="B7142" s="1">
        <v>916634944</v>
      </c>
      <c r="C7142" t="s">
        <v>12585</v>
      </c>
      <c r="D7142" s="43">
        <v>-9948.58</v>
      </c>
      <c r="E7142" t="s">
        <v>35</v>
      </c>
      <c r="F7142" s="2">
        <v>212901001</v>
      </c>
      <c r="G7142" s="2" t="s">
        <v>121</v>
      </c>
      <c r="L7142" s="2" t="s">
        <v>12586</v>
      </c>
      <c r="M7142" t="s">
        <v>67</v>
      </c>
      <c r="N7142" t="s">
        <v>68</v>
      </c>
      <c r="P7142" s="23">
        <v>134.47999999999999</v>
      </c>
      <c r="Q7142" s="4">
        <f t="shared" si="111"/>
        <v>-73.97813801308746</v>
      </c>
      <c r="R7142" s="23" t="s">
        <v>109</v>
      </c>
      <c r="U7142">
        <v>13</v>
      </c>
      <c r="V7142" t="e">
        <f>VLOOKUP(Tabla3[[#This Row],[Nº]],[1]!NOMINA[#Data],4,FALSE)</f>
        <v>#REF!</v>
      </c>
      <c r="W7142" t="e">
        <f>VLOOKUP(U7142,[1]!NOMINA[#Data],5,FALSE)</f>
        <v>#REF!</v>
      </c>
    </row>
    <row r="7143" spans="1:23" x14ac:dyDescent="0.25">
      <c r="A7143" s="21">
        <v>45883</v>
      </c>
      <c r="B7143" s="1">
        <v>916634947</v>
      </c>
      <c r="C7143" t="s">
        <v>12587</v>
      </c>
      <c r="D7143" s="43">
        <v>-12493.47</v>
      </c>
      <c r="E7143" t="s">
        <v>35</v>
      </c>
      <c r="F7143" s="2">
        <v>212901001</v>
      </c>
      <c r="G7143" s="2" t="s">
        <v>121</v>
      </c>
      <c r="L7143" s="2" t="s">
        <v>12588</v>
      </c>
      <c r="M7143" t="s">
        <v>67</v>
      </c>
      <c r="N7143" t="s">
        <v>68</v>
      </c>
      <c r="P7143" s="23">
        <v>134.47999999999999</v>
      </c>
      <c r="Q7143" s="4">
        <f t="shared" si="111"/>
        <v>-92.902067221891727</v>
      </c>
      <c r="R7143" s="23" t="s">
        <v>109</v>
      </c>
      <c r="U7143">
        <v>12</v>
      </c>
      <c r="V7143" t="e">
        <f>VLOOKUP(Tabla3[[#This Row],[Nº]],[1]!NOMINA[#Data],4,FALSE)</f>
        <v>#REF!</v>
      </c>
      <c r="W7143" t="e">
        <f>VLOOKUP(U7143,[1]!NOMINA[#Data],5,FALSE)</f>
        <v>#REF!</v>
      </c>
    </row>
    <row r="7144" spans="1:23" x14ac:dyDescent="0.25">
      <c r="A7144" s="21">
        <v>45883</v>
      </c>
      <c r="B7144" s="1">
        <v>916634946</v>
      </c>
      <c r="C7144" t="s">
        <v>12589</v>
      </c>
      <c r="D7144" s="43">
        <v>-8987.23</v>
      </c>
      <c r="E7144" t="s">
        <v>35</v>
      </c>
      <c r="F7144" s="2">
        <v>212901001</v>
      </c>
      <c r="G7144" s="2" t="s">
        <v>121</v>
      </c>
      <c r="L7144" s="2" t="s">
        <v>12590</v>
      </c>
      <c r="M7144" t="s">
        <v>67</v>
      </c>
      <c r="N7144" t="s">
        <v>68</v>
      </c>
      <c r="P7144" s="23">
        <v>134.47999999999999</v>
      </c>
      <c r="Q7144" s="4">
        <f t="shared" si="111"/>
        <v>-66.829491374182041</v>
      </c>
      <c r="R7144" s="23" t="s">
        <v>109</v>
      </c>
      <c r="U7144">
        <v>20</v>
      </c>
      <c r="V7144" t="e">
        <f>VLOOKUP(Tabla3[[#This Row],[Nº]],[1]!NOMINA[#Data],4,FALSE)</f>
        <v>#REF!</v>
      </c>
      <c r="W7144" t="e">
        <f>VLOOKUP(U7144,[1]!NOMINA[#Data],5,FALSE)</f>
        <v>#REF!</v>
      </c>
    </row>
    <row r="7145" spans="1:23" x14ac:dyDescent="0.25">
      <c r="A7145" s="21">
        <v>45883</v>
      </c>
      <c r="B7145" s="1">
        <v>16634952</v>
      </c>
      <c r="C7145" t="s">
        <v>12591</v>
      </c>
      <c r="D7145" s="43">
        <v>-16624.580000000002</v>
      </c>
      <c r="E7145" t="s">
        <v>35</v>
      </c>
      <c r="F7145" s="2">
        <v>212901001</v>
      </c>
      <c r="G7145" s="2" t="s">
        <v>121</v>
      </c>
      <c r="L7145" s="2" t="s">
        <v>12592</v>
      </c>
      <c r="M7145" t="s">
        <v>67</v>
      </c>
      <c r="N7145" t="s">
        <v>68</v>
      </c>
      <c r="P7145" s="23">
        <v>134.47999999999999</v>
      </c>
      <c r="Q7145" s="4">
        <f t="shared" si="111"/>
        <v>-123.62120761451519</v>
      </c>
      <c r="R7145" s="23" t="s">
        <v>109</v>
      </c>
      <c r="U7145">
        <v>6</v>
      </c>
      <c r="V7145" t="e">
        <f>VLOOKUP(Tabla3[[#This Row],[Nº]],[1]!NOMINA[#Data],4,FALSE)</f>
        <v>#REF!</v>
      </c>
      <c r="W7145" t="e">
        <f>VLOOKUP(U7145,[1]!NOMINA[#Data],5,FALSE)</f>
        <v>#REF!</v>
      </c>
    </row>
    <row r="7146" spans="1:23" x14ac:dyDescent="0.25">
      <c r="A7146" s="21">
        <v>45883</v>
      </c>
      <c r="B7146" s="1">
        <v>916634948</v>
      </c>
      <c r="C7146" t="s">
        <v>12593</v>
      </c>
      <c r="D7146" s="43">
        <v>-14621.78</v>
      </c>
      <c r="E7146" t="s">
        <v>35</v>
      </c>
      <c r="F7146" s="2">
        <v>212901001</v>
      </c>
      <c r="G7146" s="2" t="s">
        <v>121</v>
      </c>
      <c r="L7146" s="2" t="s">
        <v>12594</v>
      </c>
      <c r="M7146" t="s">
        <v>67</v>
      </c>
      <c r="N7146" t="s">
        <v>68</v>
      </c>
      <c r="P7146" s="23">
        <v>134.47999999999999</v>
      </c>
      <c r="Q7146" s="4">
        <f t="shared" si="111"/>
        <v>-108.72828673408686</v>
      </c>
      <c r="R7146" s="23" t="s">
        <v>109</v>
      </c>
      <c r="U7146">
        <v>4</v>
      </c>
      <c r="V7146" t="s">
        <v>12595</v>
      </c>
      <c r="W7146" t="e">
        <f>VLOOKUP(U7146,[1]!NOMINA[#Data],5,FALSE)</f>
        <v>#REF!</v>
      </c>
    </row>
    <row r="7147" spans="1:23" x14ac:dyDescent="0.25">
      <c r="A7147" s="21">
        <v>45883</v>
      </c>
      <c r="B7147" s="1">
        <v>16634951</v>
      </c>
      <c r="C7147" t="s">
        <v>12596</v>
      </c>
      <c r="D7147" s="43">
        <v>-10191.58</v>
      </c>
      <c r="E7147" t="s">
        <v>35</v>
      </c>
      <c r="F7147" s="2">
        <v>212901001</v>
      </c>
      <c r="G7147" s="2" t="s">
        <v>121</v>
      </c>
      <c r="L7147" s="2" t="s">
        <v>12597</v>
      </c>
      <c r="M7147" t="s">
        <v>67</v>
      </c>
      <c r="N7147" t="s">
        <v>68</v>
      </c>
      <c r="P7147" s="23">
        <v>134.47999999999999</v>
      </c>
      <c r="Q7147" s="4">
        <f t="shared" si="111"/>
        <v>-75.785098155859615</v>
      </c>
      <c r="R7147" s="23" t="s">
        <v>109</v>
      </c>
      <c r="U7147">
        <v>16</v>
      </c>
      <c r="V7147" t="e">
        <f>VLOOKUP(Tabla3[[#This Row],[Nº]],[1]!NOMINA[#Data],4,FALSE)</f>
        <v>#REF!</v>
      </c>
      <c r="W7147" t="e">
        <f>VLOOKUP(Tabla3[[#This Row],[Nº]],[1]!NOMINA[#Data],5,FALSE)</f>
        <v>#REF!</v>
      </c>
    </row>
    <row r="7148" spans="1:23" x14ac:dyDescent="0.25">
      <c r="A7148" s="21">
        <v>45883</v>
      </c>
      <c r="B7148" s="1">
        <v>916634949</v>
      </c>
      <c r="C7148" t="s">
        <v>12598</v>
      </c>
      <c r="D7148" s="43">
        <v>-12759.17</v>
      </c>
      <c r="E7148" t="s">
        <v>35</v>
      </c>
      <c r="F7148" s="2">
        <v>212901001</v>
      </c>
      <c r="G7148" s="2" t="s">
        <v>121</v>
      </c>
      <c r="L7148" s="2" t="s">
        <v>12599</v>
      </c>
      <c r="M7148" t="s">
        <v>67</v>
      </c>
      <c r="N7148" t="s">
        <v>68</v>
      </c>
      <c r="P7148" s="23">
        <v>134.47999999999999</v>
      </c>
      <c r="Q7148" s="4">
        <f t="shared" si="111"/>
        <v>-94.877825698988701</v>
      </c>
      <c r="R7148" s="23" t="s">
        <v>109</v>
      </c>
      <c r="U7148">
        <v>33</v>
      </c>
      <c r="V7148" t="e">
        <f>VLOOKUP(U7148,[1]!NOMINA[#Data],4,FALSE)</f>
        <v>#REF!</v>
      </c>
      <c r="W7148" t="e">
        <f>VLOOKUP(U7148,[1]!NOMINA[#Data],5,FALSE)</f>
        <v>#REF!</v>
      </c>
    </row>
    <row r="7149" spans="1:23" x14ac:dyDescent="0.25">
      <c r="A7149" s="21">
        <v>45883</v>
      </c>
      <c r="B7149" s="1">
        <v>16634950</v>
      </c>
      <c r="C7149" t="s">
        <v>12600</v>
      </c>
      <c r="D7149" s="43">
        <v>-16314.81</v>
      </c>
      <c r="E7149" t="s">
        <v>35</v>
      </c>
      <c r="F7149" s="2">
        <v>212901001</v>
      </c>
      <c r="G7149" s="2" t="s">
        <v>121</v>
      </c>
      <c r="L7149" s="2" t="s">
        <v>12601</v>
      </c>
      <c r="M7149" t="s">
        <v>67</v>
      </c>
      <c r="N7149" t="s">
        <v>68</v>
      </c>
      <c r="P7149" s="23">
        <v>134.47999999999999</v>
      </c>
      <c r="Q7149" s="4">
        <f t="shared" si="111"/>
        <v>-121.31774241522903</v>
      </c>
      <c r="R7149" s="23" t="s">
        <v>109</v>
      </c>
      <c r="U7149">
        <v>34</v>
      </c>
      <c r="V7149" t="e">
        <f>VLOOKUP(U7149,[1]!NOMINA[#Data],4,FALSE)</f>
        <v>#REF!</v>
      </c>
      <c r="W7149" t="e">
        <f>VLOOKUP(U7149,[1]!NOMINA[#Data],5,FALSE)</f>
        <v>#REF!</v>
      </c>
    </row>
    <row r="7150" spans="1:23" x14ac:dyDescent="0.25">
      <c r="A7150" s="21">
        <v>45883</v>
      </c>
      <c r="B7150" s="1">
        <v>16634953</v>
      </c>
      <c r="C7150" t="s">
        <v>12602</v>
      </c>
      <c r="D7150" s="43">
        <v>-41937.300000000003</v>
      </c>
      <c r="E7150" t="s">
        <v>35</v>
      </c>
      <c r="F7150" s="2">
        <v>212901001</v>
      </c>
      <c r="G7150" s="2" t="s">
        <v>121</v>
      </c>
      <c r="L7150" s="2" t="s">
        <v>12603</v>
      </c>
      <c r="M7150" t="s">
        <v>67</v>
      </c>
      <c r="N7150" t="s">
        <v>68</v>
      </c>
      <c r="P7150" s="23">
        <v>134.47999999999999</v>
      </c>
      <c r="Q7150" s="4">
        <f t="shared" si="111"/>
        <v>-311.84785841760862</v>
      </c>
      <c r="R7150" s="23" t="s">
        <v>109</v>
      </c>
      <c r="U7150">
        <v>3</v>
      </c>
      <c r="V7150" t="s">
        <v>12595</v>
      </c>
      <c r="W7150" t="e">
        <f>VLOOKUP(U7150,[1]!NOMINA[#Data],5,FALSE)</f>
        <v>#REF!</v>
      </c>
    </row>
    <row r="7151" spans="1:23" x14ac:dyDescent="0.25">
      <c r="A7151" s="21">
        <v>45883</v>
      </c>
      <c r="B7151" s="1">
        <v>16634957</v>
      </c>
      <c r="C7151" t="s">
        <v>12604</v>
      </c>
      <c r="D7151" s="43">
        <v>-14498.94</v>
      </c>
      <c r="E7151" t="s">
        <v>35</v>
      </c>
      <c r="F7151" s="2">
        <v>212901001</v>
      </c>
      <c r="G7151" s="2" t="s">
        <v>121</v>
      </c>
      <c r="L7151" s="2" t="s">
        <v>12605</v>
      </c>
      <c r="M7151" t="s">
        <v>67</v>
      </c>
      <c r="N7151" t="s">
        <v>68</v>
      </c>
      <c r="P7151" s="23">
        <v>134.47999999999999</v>
      </c>
      <c r="Q7151" s="4">
        <f t="shared" si="111"/>
        <v>-107.81484235574064</v>
      </c>
      <c r="R7151" s="23" t="s">
        <v>109</v>
      </c>
      <c r="U7151">
        <v>30</v>
      </c>
      <c r="V7151" t="e">
        <f>VLOOKUP(Tabla3[[#This Row],[Nº]],[1]!NOMINA[#Data],4,FALSE)</f>
        <v>#REF!</v>
      </c>
      <c r="W7151" t="e">
        <f>VLOOKUP(U7151,[1]!NOMINA[#Data],5,FALSE)</f>
        <v>#REF!</v>
      </c>
    </row>
    <row r="7152" spans="1:23" x14ac:dyDescent="0.25">
      <c r="A7152" s="21">
        <v>45883</v>
      </c>
      <c r="B7152" s="1">
        <v>16634956</v>
      </c>
      <c r="C7152" t="s">
        <v>12606</v>
      </c>
      <c r="D7152" s="43">
        <v>-14890.15</v>
      </c>
      <c r="E7152" t="s">
        <v>35</v>
      </c>
      <c r="F7152" s="2">
        <v>212901001</v>
      </c>
      <c r="G7152" s="2" t="s">
        <v>121</v>
      </c>
      <c r="L7152" s="2" t="s">
        <v>12607</v>
      </c>
      <c r="M7152" t="s">
        <v>67</v>
      </c>
      <c r="N7152" t="s">
        <v>68</v>
      </c>
      <c r="P7152" s="23">
        <v>134.47999999999999</v>
      </c>
      <c r="Q7152" s="4">
        <f t="shared" si="111"/>
        <v>-110.72389946460441</v>
      </c>
      <c r="R7152" s="23" t="s">
        <v>109</v>
      </c>
      <c r="U7152">
        <v>32</v>
      </c>
      <c r="V7152" t="e">
        <f>VLOOKUP(Tabla3[[#This Row],[Nº]],[1]!NOMINA[#Data],4,FALSE)</f>
        <v>#REF!</v>
      </c>
      <c r="W7152" t="e">
        <f>VLOOKUP(U7152,[1]!NOMINA[#Data],5,FALSE)</f>
        <v>#REF!</v>
      </c>
    </row>
    <row r="7153" spans="1:23" x14ac:dyDescent="0.25">
      <c r="A7153" s="21">
        <v>45883</v>
      </c>
      <c r="B7153" s="1">
        <v>16634958</v>
      </c>
      <c r="C7153" t="s">
        <v>12608</v>
      </c>
      <c r="D7153" s="43">
        <v>-4626.47</v>
      </c>
      <c r="E7153" t="s">
        <v>35</v>
      </c>
      <c r="F7153" s="2">
        <v>212901001</v>
      </c>
      <c r="G7153" s="2" t="s">
        <v>121</v>
      </c>
      <c r="L7153" s="2" t="s">
        <v>12609</v>
      </c>
      <c r="M7153" t="s">
        <v>67</v>
      </c>
      <c r="N7153" t="s">
        <v>68</v>
      </c>
      <c r="P7153" s="23">
        <v>134.47999999999999</v>
      </c>
      <c r="Q7153" s="4">
        <f t="shared" si="111"/>
        <v>-34.402662105889355</v>
      </c>
      <c r="R7153" s="23" t="s">
        <v>109</v>
      </c>
      <c r="U7153">
        <v>27</v>
      </c>
      <c r="V7153" t="e">
        <f>VLOOKUP(Tabla3[[#This Row],[Nº]],[1]!NOMINA[#Data],4,FALSE)</f>
        <v>#REF!</v>
      </c>
      <c r="W7153" t="e">
        <f>VLOOKUP(U7153,[1]!NOMINA[#Data],5,FALSE)</f>
        <v>#REF!</v>
      </c>
    </row>
    <row r="7154" spans="1:23" x14ac:dyDescent="0.25">
      <c r="A7154" s="21">
        <v>45883</v>
      </c>
      <c r="B7154" s="1">
        <v>16634955</v>
      </c>
      <c r="C7154" t="s">
        <v>12610</v>
      </c>
      <c r="D7154" s="43">
        <v>-10616.18</v>
      </c>
      <c r="E7154" t="s">
        <v>35</v>
      </c>
      <c r="F7154" s="2">
        <v>212901001</v>
      </c>
      <c r="G7154" s="2" t="s">
        <v>121</v>
      </c>
      <c r="L7154" s="2" t="s">
        <v>12611</v>
      </c>
      <c r="M7154" t="s">
        <v>67</v>
      </c>
      <c r="N7154" t="s">
        <v>68</v>
      </c>
      <c r="P7154" s="23">
        <v>134.47999999999999</v>
      </c>
      <c r="Q7154" s="4">
        <f t="shared" si="111"/>
        <v>-78.942444973230224</v>
      </c>
      <c r="R7154" s="23" t="s">
        <v>109</v>
      </c>
      <c r="U7154">
        <v>5</v>
      </c>
      <c r="V7154" t="s">
        <v>12595</v>
      </c>
      <c r="W7154" t="e">
        <f>VLOOKUP(U7154,[1]!NOMINA[#Data],5,FALSE)</f>
        <v>#REF!</v>
      </c>
    </row>
    <row r="7155" spans="1:23" x14ac:dyDescent="0.25">
      <c r="A7155" s="21">
        <v>45883</v>
      </c>
      <c r="B7155" s="1">
        <v>16634954</v>
      </c>
      <c r="C7155" t="s">
        <v>12612</v>
      </c>
      <c r="D7155" s="43">
        <v>-6639.95</v>
      </c>
      <c r="E7155" t="s">
        <v>35</v>
      </c>
      <c r="F7155" s="2">
        <v>212901001</v>
      </c>
      <c r="G7155" s="2" t="s">
        <v>121</v>
      </c>
      <c r="L7155" s="2" t="s">
        <v>12613</v>
      </c>
      <c r="M7155" t="s">
        <v>67</v>
      </c>
      <c r="N7155" t="s">
        <v>68</v>
      </c>
      <c r="P7155" s="23">
        <v>134.47999999999999</v>
      </c>
      <c r="Q7155" s="4">
        <f t="shared" si="111"/>
        <v>-49.375</v>
      </c>
      <c r="R7155" s="23" t="s">
        <v>109</v>
      </c>
      <c r="U7155">
        <v>24</v>
      </c>
      <c r="V7155" t="e">
        <f>VLOOKUP(Tabla3[[#This Row],[Nº]],[1]!NOMINA[#Data],4,FALSE)</f>
        <v>#REF!</v>
      </c>
      <c r="W7155" t="e">
        <f>VLOOKUP(U7155,[1]!NOMINA[#Data],5,FALSE)</f>
        <v>#REF!</v>
      </c>
    </row>
    <row r="7156" spans="1:23" x14ac:dyDescent="0.25">
      <c r="A7156" s="21">
        <v>45883</v>
      </c>
      <c r="B7156" s="1">
        <v>116634959</v>
      </c>
      <c r="C7156" t="s">
        <v>12614</v>
      </c>
      <c r="D7156" s="43">
        <v>-6045.79</v>
      </c>
      <c r="E7156" t="s">
        <v>35</v>
      </c>
      <c r="F7156" s="2">
        <v>212901001</v>
      </c>
      <c r="G7156" s="2" t="s">
        <v>121</v>
      </c>
      <c r="L7156" s="2" t="s">
        <v>12615</v>
      </c>
      <c r="M7156" t="s">
        <v>67</v>
      </c>
      <c r="N7156" t="s">
        <v>68</v>
      </c>
      <c r="P7156" s="23">
        <v>134.47999999999999</v>
      </c>
      <c r="Q7156" s="4">
        <f t="shared" si="111"/>
        <v>-44.956796549672816</v>
      </c>
      <c r="R7156" s="23" t="s">
        <v>109</v>
      </c>
      <c r="U7156">
        <v>21</v>
      </c>
      <c r="V7156" t="e">
        <f>VLOOKUP(Tabla3[[#This Row],[Nº]],[1]!NOMINA[#Data],4,FALSE)</f>
        <v>#REF!</v>
      </c>
      <c r="W7156" t="e">
        <f>VLOOKUP(U7156,[1]!NOMINA[#Data],5,FALSE)</f>
        <v>#REF!</v>
      </c>
    </row>
    <row r="7157" spans="1:23" x14ac:dyDescent="0.25">
      <c r="A7157" s="21">
        <v>45883</v>
      </c>
      <c r="B7157" s="1">
        <v>116634961</v>
      </c>
      <c r="C7157" t="s">
        <v>12616</v>
      </c>
      <c r="D7157" s="43">
        <v>-19795.68</v>
      </c>
      <c r="E7157" t="s">
        <v>35</v>
      </c>
      <c r="F7157" s="2">
        <v>212901001</v>
      </c>
      <c r="G7157" s="2" t="s">
        <v>121</v>
      </c>
      <c r="L7157" s="2" t="s">
        <v>12617</v>
      </c>
      <c r="M7157" t="s">
        <v>67</v>
      </c>
      <c r="N7157" t="s">
        <v>68</v>
      </c>
      <c r="P7157" s="23">
        <v>134.47999999999999</v>
      </c>
      <c r="Q7157" s="4">
        <f t="shared" si="111"/>
        <v>-147.20166567519334</v>
      </c>
      <c r="R7157" s="23" t="s">
        <v>109</v>
      </c>
      <c r="U7157">
        <v>35</v>
      </c>
      <c r="V7157" t="e">
        <f>VLOOKUP(Tabla3[[#This Row],[Nº]],[1]!NOMINA[#Data],4,FALSE)</f>
        <v>#REF!</v>
      </c>
      <c r="W7157" t="e">
        <f>VLOOKUP(U7157,[1]!NOMINA[#Data],5,FALSE)</f>
        <v>#REF!</v>
      </c>
    </row>
    <row r="7158" spans="1:23" x14ac:dyDescent="0.25">
      <c r="A7158" s="21">
        <v>45883</v>
      </c>
      <c r="B7158" s="1">
        <v>116634963</v>
      </c>
      <c r="C7158" t="s">
        <v>12618</v>
      </c>
      <c r="D7158" s="43">
        <v>-9984.6299999999992</v>
      </c>
      <c r="E7158" t="s">
        <v>35</v>
      </c>
      <c r="F7158" s="2">
        <v>212901001</v>
      </c>
      <c r="G7158" s="2" t="s">
        <v>121</v>
      </c>
      <c r="L7158" s="2" t="s">
        <v>12619</v>
      </c>
      <c r="M7158" t="s">
        <v>67</v>
      </c>
      <c r="N7158" t="s">
        <v>68</v>
      </c>
      <c r="P7158" s="23">
        <v>134.47999999999999</v>
      </c>
      <c r="Q7158" s="4">
        <f t="shared" si="111"/>
        <v>-74.246207614515171</v>
      </c>
      <c r="R7158" s="23" t="s">
        <v>109</v>
      </c>
      <c r="U7158">
        <v>11</v>
      </c>
      <c r="V7158" t="e">
        <f>VLOOKUP(Tabla3[[#This Row],[Nº]],[1]!NOMINA[#Data],4,FALSE)</f>
        <v>#REF!</v>
      </c>
      <c r="W7158" t="e">
        <f>VLOOKUP(U7158,[1]!NOMINA[#Data],5,FALSE)</f>
        <v>#REF!</v>
      </c>
    </row>
    <row r="7159" spans="1:23" x14ac:dyDescent="0.25">
      <c r="A7159" s="21">
        <v>45883</v>
      </c>
      <c r="B7159" s="1">
        <v>116634966</v>
      </c>
      <c r="C7159" t="s">
        <v>12620</v>
      </c>
      <c r="D7159" s="43">
        <v>-8653.43</v>
      </c>
      <c r="E7159" t="s">
        <v>35</v>
      </c>
      <c r="F7159" s="2">
        <v>212901001</v>
      </c>
      <c r="G7159" s="2" t="s">
        <v>121</v>
      </c>
      <c r="L7159" s="2" t="s">
        <v>12621</v>
      </c>
      <c r="M7159" t="s">
        <v>67</v>
      </c>
      <c r="N7159" t="s">
        <v>68</v>
      </c>
      <c r="P7159" s="23">
        <v>134.47999999999999</v>
      </c>
      <c r="Q7159" s="4">
        <f t="shared" si="111"/>
        <v>-64.347337894110652</v>
      </c>
      <c r="R7159" s="23" t="s">
        <v>109</v>
      </c>
      <c r="U7159">
        <v>10</v>
      </c>
      <c r="V7159" t="e">
        <f>VLOOKUP(Tabla3[[#This Row],[Nº]],[1]!NOMINA[#Data],4,FALSE)</f>
        <v>#REF!</v>
      </c>
      <c r="W7159" t="e">
        <f>VLOOKUP(U7159,[1]!NOMINA[#Data],5,FALSE)</f>
        <v>#REF!</v>
      </c>
    </row>
    <row r="7160" spans="1:23" x14ac:dyDescent="0.25">
      <c r="A7160" s="21">
        <v>45883</v>
      </c>
      <c r="B7160" s="1">
        <v>116634967</v>
      </c>
      <c r="C7160" t="s">
        <v>12622</v>
      </c>
      <c r="D7160" s="43">
        <v>-9984.6299999999992</v>
      </c>
      <c r="E7160" t="s">
        <v>35</v>
      </c>
      <c r="F7160" s="2">
        <v>212901001</v>
      </c>
      <c r="G7160" s="2" t="s">
        <v>121</v>
      </c>
      <c r="L7160" s="2" t="s">
        <v>12623</v>
      </c>
      <c r="M7160" t="s">
        <v>67</v>
      </c>
      <c r="N7160" t="s">
        <v>68</v>
      </c>
      <c r="P7160" s="23">
        <v>134.47999999999999</v>
      </c>
      <c r="Q7160" s="4">
        <f t="shared" si="111"/>
        <v>-74.246207614515171</v>
      </c>
      <c r="R7160" s="23" t="s">
        <v>109</v>
      </c>
      <c r="U7160">
        <v>9</v>
      </c>
      <c r="V7160" t="e">
        <f>VLOOKUP(Tabla3[[#This Row],[Nº]],[1]!NOMINA[#Data],4,FALSE)</f>
        <v>#REF!</v>
      </c>
      <c r="W7160" t="e">
        <f>VLOOKUP(U7160,[1]!NOMINA[#Data],5,FALSE)</f>
        <v>#REF!</v>
      </c>
    </row>
    <row r="7161" spans="1:23" x14ac:dyDescent="0.25">
      <c r="A7161" s="21">
        <v>45883</v>
      </c>
      <c r="B7161" s="1">
        <v>116634965</v>
      </c>
      <c r="C7161" t="s">
        <v>12624</v>
      </c>
      <c r="D7161" s="43">
        <v>-5295.4</v>
      </c>
      <c r="E7161" t="s">
        <v>35</v>
      </c>
      <c r="F7161" s="2">
        <v>212901001</v>
      </c>
      <c r="G7161" s="2" t="s">
        <v>121</v>
      </c>
      <c r="L7161" s="2" t="s">
        <v>12625</v>
      </c>
      <c r="M7161" t="s">
        <v>67</v>
      </c>
      <c r="N7161" t="s">
        <v>68</v>
      </c>
      <c r="P7161" s="23">
        <v>134.47999999999999</v>
      </c>
      <c r="Q7161" s="4">
        <f t="shared" si="111"/>
        <v>-39.376859012492567</v>
      </c>
      <c r="R7161" s="23" t="s">
        <v>109</v>
      </c>
      <c r="U7161">
        <v>28</v>
      </c>
      <c r="V7161" t="e">
        <f>VLOOKUP(Tabla3[[#This Row],[Nº]],[1]!NOMINA[#Data],4,FALSE)</f>
        <v>#REF!</v>
      </c>
      <c r="W7161" t="e">
        <f>VLOOKUP(U7161,[1]!NOMINA[#Data],5,FALSE)</f>
        <v>#REF!</v>
      </c>
    </row>
    <row r="7162" spans="1:23" x14ac:dyDescent="0.25">
      <c r="A7162" s="21">
        <v>45883</v>
      </c>
      <c r="B7162" s="1">
        <v>116634960</v>
      </c>
      <c r="C7162" t="s">
        <v>12626</v>
      </c>
      <c r="D7162" s="43">
        <v>-4627.8</v>
      </c>
      <c r="E7162" t="s">
        <v>35</v>
      </c>
      <c r="F7162" s="2">
        <v>212901001</v>
      </c>
      <c r="G7162" s="2" t="s">
        <v>121</v>
      </c>
      <c r="L7162" s="2" t="s">
        <v>12627</v>
      </c>
      <c r="M7162" t="s">
        <v>67</v>
      </c>
      <c r="N7162" t="s">
        <v>68</v>
      </c>
      <c r="P7162" s="23">
        <v>134.47999999999999</v>
      </c>
      <c r="Q7162" s="4">
        <f t="shared" si="111"/>
        <v>-34.412552052349795</v>
      </c>
      <c r="R7162" s="23" t="s">
        <v>109</v>
      </c>
      <c r="U7162">
        <v>7</v>
      </c>
      <c r="V7162" t="e">
        <f>VLOOKUP(Tabla3[[#This Row],[Nº]],[1]!NOMINA[#Data],4,FALSE)</f>
        <v>#REF!</v>
      </c>
      <c r="W7162" t="e">
        <f>VLOOKUP(U7162,[1]!NOMINA[#Data],5,FALSE)</f>
        <v>#REF!</v>
      </c>
    </row>
    <row r="7163" spans="1:23" x14ac:dyDescent="0.25">
      <c r="A7163" s="21">
        <v>45883</v>
      </c>
      <c r="B7163" s="1">
        <v>216634968</v>
      </c>
      <c r="C7163" t="s">
        <v>12628</v>
      </c>
      <c r="D7163" s="43">
        <v>-10191.58</v>
      </c>
      <c r="E7163" t="s">
        <v>35</v>
      </c>
      <c r="F7163" s="2">
        <v>212901001</v>
      </c>
      <c r="G7163" s="2" t="s">
        <v>121</v>
      </c>
      <c r="L7163" s="2" t="s">
        <v>12629</v>
      </c>
      <c r="M7163" t="s">
        <v>67</v>
      </c>
      <c r="N7163" t="s">
        <v>68</v>
      </c>
      <c r="P7163" s="23">
        <v>134.47999999999999</v>
      </c>
      <c r="Q7163" s="4">
        <f t="shared" si="111"/>
        <v>-75.785098155859615</v>
      </c>
      <c r="R7163" s="23" t="s">
        <v>109</v>
      </c>
      <c r="U7163">
        <v>18</v>
      </c>
      <c r="V7163" t="e">
        <f>VLOOKUP(Tabla3[[#This Row],[Nº]],[1]!NOMINA[#Data],4,FALSE)</f>
        <v>#REF!</v>
      </c>
      <c r="W7163" t="e">
        <f>VLOOKUP(Tabla3[[#This Row],[Nº]],[1]!NOMINA[#Data],5,FALSE)</f>
        <v>#REF!</v>
      </c>
    </row>
    <row r="7164" spans="1:23" x14ac:dyDescent="0.25">
      <c r="A7164" s="21">
        <v>45883</v>
      </c>
      <c r="B7164" s="1">
        <v>216634969</v>
      </c>
      <c r="C7164" t="s">
        <v>12630</v>
      </c>
      <c r="D7164" s="43">
        <v>-61.65</v>
      </c>
      <c r="E7164" t="s">
        <v>35</v>
      </c>
      <c r="F7164" s="2">
        <v>212901001</v>
      </c>
      <c r="G7164" s="2" t="s">
        <v>121</v>
      </c>
      <c r="L7164" s="2" t="s">
        <v>12631</v>
      </c>
      <c r="M7164" t="s">
        <v>67</v>
      </c>
      <c r="N7164" t="s">
        <v>68</v>
      </c>
      <c r="P7164" s="23">
        <v>134.47999999999999</v>
      </c>
      <c r="Q7164" s="4">
        <f t="shared" si="111"/>
        <v>-0.45843248066627013</v>
      </c>
      <c r="R7164" s="23" t="s">
        <v>109</v>
      </c>
      <c r="U7164">
        <v>2</v>
      </c>
      <c r="V7164" t="e">
        <f>VLOOKUP(Tabla3[[#This Row],[Nº]],[1]!NOMINA[#Data],4,FALSE)</f>
        <v>#REF!</v>
      </c>
      <c r="W7164" t="e">
        <f>VLOOKUP(Tabla3[[#This Row],[Nº]],[1]!NOMINA[#Data],5,FALSE)</f>
        <v>#REF!</v>
      </c>
    </row>
    <row r="7165" spans="1:23" x14ac:dyDescent="0.25">
      <c r="A7165" s="21">
        <v>45883</v>
      </c>
      <c r="B7165" s="1">
        <v>216634973</v>
      </c>
      <c r="C7165" t="s">
        <v>12632</v>
      </c>
      <c r="D7165" s="43">
        <v>-61.65</v>
      </c>
      <c r="E7165" t="s">
        <v>35</v>
      </c>
      <c r="F7165" s="2">
        <v>212901001</v>
      </c>
      <c r="G7165" s="2" t="s">
        <v>121</v>
      </c>
      <c r="L7165" s="2" t="s">
        <v>12633</v>
      </c>
      <c r="M7165" t="s">
        <v>67</v>
      </c>
      <c r="N7165" t="s">
        <v>68</v>
      </c>
      <c r="P7165" s="23">
        <v>134.47999999999999</v>
      </c>
      <c r="Q7165" s="4">
        <f t="shared" si="111"/>
        <v>-0.45843248066627013</v>
      </c>
      <c r="R7165" s="23" t="s">
        <v>109</v>
      </c>
      <c r="U7165">
        <v>28</v>
      </c>
      <c r="V7165" t="e">
        <f>VLOOKUP(Tabla3[[#This Row],[Nº]],[1]!NOMINA[#Data],4,FALSE)</f>
        <v>#REF!</v>
      </c>
      <c r="W7165" t="e">
        <f>VLOOKUP(U7165,[1]!NOMINA[#Data],5,FALSE)</f>
        <v>#REF!</v>
      </c>
    </row>
    <row r="7166" spans="1:23" x14ac:dyDescent="0.25">
      <c r="A7166" s="21">
        <v>45883</v>
      </c>
      <c r="B7166" s="1">
        <v>216634971</v>
      </c>
      <c r="C7166" t="s">
        <v>12634</v>
      </c>
      <c r="D7166" s="43">
        <v>-57.36</v>
      </c>
      <c r="E7166" t="s">
        <v>35</v>
      </c>
      <c r="F7166" s="2">
        <v>212901001</v>
      </c>
      <c r="G7166" s="2" t="s">
        <v>121</v>
      </c>
      <c r="L7166" s="2" t="s">
        <v>12635</v>
      </c>
      <c r="M7166" t="s">
        <v>67</v>
      </c>
      <c r="N7166" t="s">
        <v>68</v>
      </c>
      <c r="P7166" s="23">
        <v>134.47999999999999</v>
      </c>
      <c r="Q7166" s="4">
        <f t="shared" si="111"/>
        <v>-0.42653182629387271</v>
      </c>
      <c r="R7166" s="23" t="s">
        <v>109</v>
      </c>
      <c r="U7166">
        <v>31</v>
      </c>
      <c r="V7166" t="e">
        <f>VLOOKUP(Tabla3[[#This Row],[Nº]],[1]!NOMINA[#Data],4,FALSE)</f>
        <v>#REF!</v>
      </c>
      <c r="W7166" t="e">
        <f>VLOOKUP(U7166,[1]!NOMINA[#Data],5,FALSE)</f>
        <v>#REF!</v>
      </c>
    </row>
    <row r="7167" spans="1:23" x14ac:dyDescent="0.25">
      <c r="A7167" s="21">
        <v>45883</v>
      </c>
      <c r="B7167" s="1">
        <v>216634974</v>
      </c>
      <c r="C7167" t="s">
        <v>12636</v>
      </c>
      <c r="D7167" s="43">
        <v>-61.65</v>
      </c>
      <c r="E7167" t="s">
        <v>35</v>
      </c>
      <c r="F7167" s="2">
        <v>212901001</v>
      </c>
      <c r="G7167" s="2" t="s">
        <v>121</v>
      </c>
      <c r="L7167" s="2" t="s">
        <v>12637</v>
      </c>
      <c r="M7167" t="s">
        <v>67</v>
      </c>
      <c r="N7167" t="s">
        <v>68</v>
      </c>
      <c r="P7167" s="23">
        <v>134.47999999999999</v>
      </c>
      <c r="Q7167" s="4">
        <f t="shared" si="111"/>
        <v>-0.45843248066627013</v>
      </c>
      <c r="R7167" s="23" t="s">
        <v>109</v>
      </c>
      <c r="U7167">
        <v>22</v>
      </c>
      <c r="V7167" t="e">
        <f>VLOOKUP(Tabla3[[#This Row],[Nº]],[1]!NOMINA[#Data],4,FALSE)</f>
        <v>#REF!</v>
      </c>
      <c r="W7167" t="e">
        <f>VLOOKUP(U7167,[1]!NOMINA[#Data],5,FALSE)</f>
        <v>#REF!</v>
      </c>
    </row>
    <row r="7168" spans="1:23" x14ac:dyDescent="0.25">
      <c r="A7168" s="21">
        <v>45883</v>
      </c>
      <c r="B7168" s="1">
        <v>216634972</v>
      </c>
      <c r="C7168" t="s">
        <v>12638</v>
      </c>
      <c r="D7168" s="43">
        <v>-61.65</v>
      </c>
      <c r="E7168" t="s">
        <v>35</v>
      </c>
      <c r="F7168" s="2">
        <v>212901001</v>
      </c>
      <c r="G7168" s="2" t="s">
        <v>121</v>
      </c>
      <c r="L7168" s="2" t="s">
        <v>12639</v>
      </c>
      <c r="M7168" t="s">
        <v>67</v>
      </c>
      <c r="N7168" t="s">
        <v>68</v>
      </c>
      <c r="P7168" s="23">
        <v>134.47999999999999</v>
      </c>
      <c r="Q7168" s="4">
        <f t="shared" si="111"/>
        <v>-0.45843248066627013</v>
      </c>
      <c r="R7168" s="23" t="s">
        <v>109</v>
      </c>
      <c r="U7168">
        <v>18</v>
      </c>
      <c r="V7168" t="e">
        <f>VLOOKUP(Tabla3[[#This Row],[Nº]],[1]!NOMINA[#Data],4,FALSE)</f>
        <v>#REF!</v>
      </c>
      <c r="W7168" t="e">
        <f>VLOOKUP(Tabla3[[#This Row],[Nº]],[1]!NOMINA[#Data],5,FALSE)</f>
        <v>#REF!</v>
      </c>
    </row>
    <row r="7169" spans="1:23" x14ac:dyDescent="0.25">
      <c r="A7169" s="21">
        <v>45883</v>
      </c>
      <c r="B7169" s="1">
        <v>216634975</v>
      </c>
      <c r="C7169" t="s">
        <v>12640</v>
      </c>
      <c r="D7169" s="43">
        <v>-61.65</v>
      </c>
      <c r="E7169" t="s">
        <v>35</v>
      </c>
      <c r="F7169" s="2">
        <v>212901001</v>
      </c>
      <c r="G7169" s="2" t="s">
        <v>121</v>
      </c>
      <c r="L7169" s="2" t="s">
        <v>12641</v>
      </c>
      <c r="M7169" t="s">
        <v>67</v>
      </c>
      <c r="N7169" t="s">
        <v>68</v>
      </c>
      <c r="P7169" s="23">
        <v>134.47999999999999</v>
      </c>
      <c r="Q7169" s="4">
        <f t="shared" si="111"/>
        <v>-0.45843248066627013</v>
      </c>
      <c r="R7169" s="23" t="s">
        <v>109</v>
      </c>
      <c r="U7169">
        <v>23</v>
      </c>
      <c r="V7169" t="e">
        <f>VLOOKUP(Tabla3[[#This Row],[Nº]],[1]!NOMINA[#Data],4,FALSE)</f>
        <v>#REF!</v>
      </c>
      <c r="W7169" t="e">
        <f>VLOOKUP(U7169,[1]!NOMINA[#Data],5,FALSE)</f>
        <v>#REF!</v>
      </c>
    </row>
    <row r="7170" spans="1:23" x14ac:dyDescent="0.25">
      <c r="A7170" s="21">
        <v>45883</v>
      </c>
      <c r="B7170" s="1">
        <v>216634978</v>
      </c>
      <c r="C7170" t="s">
        <v>12642</v>
      </c>
      <c r="D7170" s="43">
        <v>-57.36</v>
      </c>
      <c r="E7170" t="s">
        <v>35</v>
      </c>
      <c r="F7170" s="2">
        <v>212901001</v>
      </c>
      <c r="G7170" s="2" t="s">
        <v>121</v>
      </c>
      <c r="L7170" s="2" t="s">
        <v>12643</v>
      </c>
      <c r="M7170" t="s">
        <v>67</v>
      </c>
      <c r="N7170" t="s">
        <v>68</v>
      </c>
      <c r="P7170" s="23">
        <v>134.47999999999999</v>
      </c>
      <c r="Q7170" s="4">
        <f t="shared" si="111"/>
        <v>-0.42653182629387271</v>
      </c>
      <c r="R7170" s="23" t="s">
        <v>109</v>
      </c>
      <c r="U7170">
        <v>14</v>
      </c>
      <c r="V7170" t="e">
        <f>VLOOKUP(Tabla3[[#This Row],[Nº]],[1]!NOMINA[#Data],4,FALSE)</f>
        <v>#REF!</v>
      </c>
      <c r="W7170" t="e">
        <f>VLOOKUP(U7170,[1]!NOMINA[#Data],5,FALSE)</f>
        <v>#REF!</v>
      </c>
    </row>
    <row r="7171" spans="1:23" x14ac:dyDescent="0.25">
      <c r="A7171" s="21">
        <v>45883</v>
      </c>
      <c r="B7171" s="1">
        <v>216634977</v>
      </c>
      <c r="C7171" t="s">
        <v>12644</v>
      </c>
      <c r="D7171" s="43">
        <v>-61.65</v>
      </c>
      <c r="E7171" t="s">
        <v>35</v>
      </c>
      <c r="F7171" s="2">
        <v>212901001</v>
      </c>
      <c r="G7171" s="2" t="s">
        <v>121</v>
      </c>
      <c r="L7171" s="2" t="s">
        <v>12645</v>
      </c>
      <c r="M7171" t="s">
        <v>67</v>
      </c>
      <c r="N7171" t="s">
        <v>68</v>
      </c>
      <c r="P7171" s="23">
        <v>134.47999999999999</v>
      </c>
      <c r="Q7171" s="4">
        <f t="shared" si="111"/>
        <v>-0.45843248066627013</v>
      </c>
      <c r="R7171" s="23" t="s">
        <v>109</v>
      </c>
      <c r="U7171">
        <v>19</v>
      </c>
      <c r="V7171" t="e">
        <f>VLOOKUP(Tabla3[[#This Row],[Nº]],[1]!NOMINA[#Data],4,FALSE)</f>
        <v>#REF!</v>
      </c>
      <c r="W7171" t="e">
        <f>VLOOKUP(U7171,[1]!NOMINA[#Data],5,FALSE)</f>
        <v>#REF!</v>
      </c>
    </row>
    <row r="7172" spans="1:23" x14ac:dyDescent="0.25">
      <c r="A7172" s="21">
        <v>45883</v>
      </c>
      <c r="B7172" s="1">
        <v>316634980</v>
      </c>
      <c r="C7172" t="s">
        <v>12646</v>
      </c>
      <c r="D7172" s="43">
        <v>-61.65</v>
      </c>
      <c r="E7172" t="s">
        <v>35</v>
      </c>
      <c r="F7172" s="2">
        <v>212901001</v>
      </c>
      <c r="G7172" s="2" t="s">
        <v>121</v>
      </c>
      <c r="L7172" s="2" t="s">
        <v>12647</v>
      </c>
      <c r="M7172" t="s">
        <v>67</v>
      </c>
      <c r="N7172" t="s">
        <v>68</v>
      </c>
      <c r="P7172" s="23">
        <v>134.47999999999999</v>
      </c>
      <c r="Q7172" s="4">
        <f t="shared" si="111"/>
        <v>-0.45843248066627013</v>
      </c>
      <c r="R7172" s="23" t="s">
        <v>109</v>
      </c>
      <c r="U7172">
        <v>17</v>
      </c>
      <c r="V7172" t="e">
        <f>VLOOKUP(Tabla3[[#This Row],[Nº]],[1]!NOMINA[#Data],4,FALSE)</f>
        <v>#REF!</v>
      </c>
      <c r="W7172" t="e">
        <f>VLOOKUP(U7172,[1]!NOMINA[#Data],5,FALSE)</f>
        <v>#REF!</v>
      </c>
    </row>
    <row r="7173" spans="1:23" x14ac:dyDescent="0.25">
      <c r="A7173" s="21">
        <v>45883</v>
      </c>
      <c r="B7173" s="1">
        <v>316634979</v>
      </c>
      <c r="C7173" t="s">
        <v>12648</v>
      </c>
      <c r="D7173" s="43">
        <v>-61.65</v>
      </c>
      <c r="E7173" t="s">
        <v>35</v>
      </c>
      <c r="F7173" s="2">
        <v>212901001</v>
      </c>
      <c r="G7173" s="2" t="s">
        <v>121</v>
      </c>
      <c r="L7173" s="2" t="s">
        <v>12649</v>
      </c>
      <c r="M7173" t="s">
        <v>67</v>
      </c>
      <c r="N7173" t="s">
        <v>68</v>
      </c>
      <c r="P7173" s="23">
        <v>134.47999999999999</v>
      </c>
      <c r="Q7173" s="4">
        <f t="shared" si="111"/>
        <v>-0.45843248066627013</v>
      </c>
      <c r="R7173" s="23" t="s">
        <v>109</v>
      </c>
      <c r="U7173">
        <v>15</v>
      </c>
      <c r="V7173" t="e">
        <f>VLOOKUP(Tabla3[[#This Row],[Nº]],[1]!NOMINA[#Data],4,FALSE)</f>
        <v>#REF!</v>
      </c>
      <c r="W7173" t="e">
        <f>VLOOKUP(U7173,[1]!NOMINA[#Data],5,FALSE)</f>
        <v>#REF!</v>
      </c>
    </row>
    <row r="7174" spans="1:23" x14ac:dyDescent="0.25">
      <c r="A7174" s="21">
        <v>45883</v>
      </c>
      <c r="B7174" s="1">
        <v>316634982</v>
      </c>
      <c r="C7174" t="s">
        <v>12650</v>
      </c>
      <c r="D7174" s="43">
        <v>-61.65</v>
      </c>
      <c r="E7174" t="s">
        <v>35</v>
      </c>
      <c r="F7174" s="2">
        <v>212901001</v>
      </c>
      <c r="G7174" s="2" t="s">
        <v>121</v>
      </c>
      <c r="L7174" s="2" t="s">
        <v>12651</v>
      </c>
      <c r="M7174" t="s">
        <v>67</v>
      </c>
      <c r="N7174" t="s">
        <v>68</v>
      </c>
      <c r="P7174" s="23">
        <v>134.47999999999999</v>
      </c>
      <c r="Q7174" s="4">
        <f t="shared" si="111"/>
        <v>-0.45843248066627013</v>
      </c>
      <c r="R7174" s="23" t="s">
        <v>109</v>
      </c>
      <c r="U7174">
        <v>26</v>
      </c>
      <c r="V7174" t="e">
        <f>VLOOKUP(Tabla3[[#This Row],[Nº]],[1]!NOMINA[#Data],4,FALSE)</f>
        <v>#REF!</v>
      </c>
      <c r="W7174" t="e">
        <f>VLOOKUP(Tabla3[[#This Row],[Nº]],[1]!NOMINA[#Data],5,FALSE)</f>
        <v>#REF!</v>
      </c>
    </row>
    <row r="7175" spans="1:23" x14ac:dyDescent="0.25">
      <c r="A7175" s="21">
        <v>45883</v>
      </c>
      <c r="B7175" s="1">
        <v>316634983</v>
      </c>
      <c r="C7175" t="s">
        <v>12652</v>
      </c>
      <c r="D7175" s="43">
        <v>-57.36</v>
      </c>
      <c r="E7175" t="s">
        <v>35</v>
      </c>
      <c r="F7175" s="2">
        <v>212901001</v>
      </c>
      <c r="G7175" s="2" t="s">
        <v>121</v>
      </c>
      <c r="L7175" s="2" t="s">
        <v>12653</v>
      </c>
      <c r="M7175" t="s">
        <v>67</v>
      </c>
      <c r="N7175" t="s">
        <v>68</v>
      </c>
      <c r="P7175" s="23">
        <v>134.47999999999999</v>
      </c>
      <c r="Q7175" s="4">
        <f t="shared" si="111"/>
        <v>-0.42653182629387271</v>
      </c>
      <c r="R7175" s="23" t="s">
        <v>109</v>
      </c>
      <c r="U7175">
        <v>20</v>
      </c>
      <c r="V7175" t="e">
        <f>VLOOKUP(Tabla3[[#This Row],[Nº]],[1]!NOMINA[#Data],4,FALSE)</f>
        <v>#REF!</v>
      </c>
      <c r="W7175" t="e">
        <f>VLOOKUP(U7175,[1]!NOMINA[#Data],5,FALSE)</f>
        <v>#REF!</v>
      </c>
    </row>
    <row r="7176" spans="1:23" x14ac:dyDescent="0.25">
      <c r="A7176" s="21">
        <v>45883</v>
      </c>
      <c r="B7176" s="1">
        <v>316634981</v>
      </c>
      <c r="C7176" t="s">
        <v>12654</v>
      </c>
      <c r="D7176" s="43">
        <v>-61.65</v>
      </c>
      <c r="E7176" t="s">
        <v>35</v>
      </c>
      <c r="F7176" s="2">
        <v>212901001</v>
      </c>
      <c r="G7176" s="2" t="s">
        <v>121</v>
      </c>
      <c r="L7176" s="2" t="s">
        <v>12655</v>
      </c>
      <c r="M7176" t="s">
        <v>67</v>
      </c>
      <c r="N7176" t="s">
        <v>68</v>
      </c>
      <c r="P7176" s="23">
        <v>134.47999999999999</v>
      </c>
      <c r="Q7176" s="4">
        <f t="shared" si="111"/>
        <v>-0.45843248066627013</v>
      </c>
      <c r="R7176" s="23" t="s">
        <v>109</v>
      </c>
      <c r="U7176">
        <v>8</v>
      </c>
      <c r="V7176" t="e">
        <f>VLOOKUP(Tabla3[[#This Row],[Nº]],[1]!NOMINA[#Data],4,FALSE)</f>
        <v>#REF!</v>
      </c>
      <c r="W7176" t="e">
        <f>VLOOKUP(U7176,[1]!NOMINA[#Data],5,FALSE)</f>
        <v>#REF!</v>
      </c>
    </row>
    <row r="7177" spans="1:23" x14ac:dyDescent="0.25">
      <c r="A7177" s="21">
        <v>45883</v>
      </c>
      <c r="B7177" s="1">
        <v>316634984</v>
      </c>
      <c r="C7177" t="s">
        <v>12656</v>
      </c>
      <c r="D7177" s="43">
        <v>-61.65</v>
      </c>
      <c r="E7177" t="s">
        <v>35</v>
      </c>
      <c r="F7177" s="2">
        <v>212901001</v>
      </c>
      <c r="G7177" s="2" t="s">
        <v>121</v>
      </c>
      <c r="L7177" s="2" t="s">
        <v>12657</v>
      </c>
      <c r="M7177" t="s">
        <v>67</v>
      </c>
      <c r="N7177" t="s">
        <v>68</v>
      </c>
      <c r="P7177" s="23">
        <v>134.47999999999999</v>
      </c>
      <c r="Q7177" s="4">
        <f t="shared" si="111"/>
        <v>-0.45843248066627013</v>
      </c>
      <c r="R7177" s="23" t="s">
        <v>109</v>
      </c>
      <c r="U7177">
        <v>13</v>
      </c>
      <c r="V7177" t="e">
        <f>VLOOKUP(Tabla3[[#This Row],[Nº]],[1]!NOMINA[#Data],4,FALSE)</f>
        <v>#REF!</v>
      </c>
      <c r="W7177" t="e">
        <f>VLOOKUP(U7177,[1]!NOMINA[#Data],5,FALSE)</f>
        <v>#REF!</v>
      </c>
    </row>
    <row r="7178" spans="1:23" x14ac:dyDescent="0.25">
      <c r="A7178" s="21">
        <v>45883</v>
      </c>
      <c r="B7178" s="1">
        <v>416634989</v>
      </c>
      <c r="C7178" t="s">
        <v>12658</v>
      </c>
      <c r="D7178" s="43">
        <v>-61.65</v>
      </c>
      <c r="E7178" t="s">
        <v>35</v>
      </c>
      <c r="F7178" s="2">
        <v>212901001</v>
      </c>
      <c r="G7178" s="2" t="s">
        <v>121</v>
      </c>
      <c r="L7178" s="2" t="s">
        <v>12659</v>
      </c>
      <c r="M7178" t="s">
        <v>67</v>
      </c>
      <c r="N7178" t="s">
        <v>68</v>
      </c>
      <c r="P7178" s="23">
        <v>134.47999999999999</v>
      </c>
      <c r="Q7178" s="4">
        <f t="shared" si="111"/>
        <v>-0.45843248066627013</v>
      </c>
      <c r="R7178" s="23" t="s">
        <v>109</v>
      </c>
      <c r="U7178">
        <v>1</v>
      </c>
      <c r="V7178" t="e">
        <f>VLOOKUP(U7178,[1]!NOMINA[#Data],4,FALSE)</f>
        <v>#REF!</v>
      </c>
      <c r="W7178" t="e">
        <f>VLOOKUP(U7178,[1]!NOMINA[#Data],5,FALSE)</f>
        <v>#REF!</v>
      </c>
    </row>
    <row r="7179" spans="1:23" x14ac:dyDescent="0.25">
      <c r="A7179" s="21">
        <v>45883</v>
      </c>
      <c r="B7179" s="1">
        <v>416634990</v>
      </c>
      <c r="C7179" t="s">
        <v>12660</v>
      </c>
      <c r="D7179" s="43">
        <v>-61.65</v>
      </c>
      <c r="E7179" t="s">
        <v>35</v>
      </c>
      <c r="F7179" s="2">
        <v>212901001</v>
      </c>
      <c r="G7179" s="2" t="s">
        <v>121</v>
      </c>
      <c r="L7179" s="2" t="s">
        <v>12661</v>
      </c>
      <c r="M7179" t="s">
        <v>67</v>
      </c>
      <c r="N7179" t="s">
        <v>68</v>
      </c>
      <c r="P7179" s="23">
        <v>134.47999999999999</v>
      </c>
      <c r="Q7179" s="4">
        <f t="shared" ref="Q7179:Q7242" si="112">D7179/P7179</f>
        <v>-0.45843248066627013</v>
      </c>
      <c r="R7179" s="23" t="s">
        <v>109</v>
      </c>
      <c r="U7179">
        <v>12</v>
      </c>
      <c r="V7179" t="e">
        <f>VLOOKUP(Tabla3[[#This Row],[Nº]],[1]!NOMINA[#Data],4,FALSE)</f>
        <v>#REF!</v>
      </c>
      <c r="W7179" t="e">
        <f>VLOOKUP(U7179,[1]!NOMINA[#Data],5,FALSE)</f>
        <v>#REF!</v>
      </c>
    </row>
    <row r="7180" spans="1:23" x14ac:dyDescent="0.25">
      <c r="A7180" s="21">
        <v>45883</v>
      </c>
      <c r="B7180" s="1">
        <v>116634962</v>
      </c>
      <c r="C7180" t="s">
        <v>12662</v>
      </c>
      <c r="D7180" s="43">
        <v>-4626.47</v>
      </c>
      <c r="E7180" t="s">
        <v>35</v>
      </c>
      <c r="F7180" s="2">
        <v>212901001</v>
      </c>
      <c r="G7180" s="2" t="s">
        <v>121</v>
      </c>
      <c r="L7180" s="2" t="s">
        <v>12663</v>
      </c>
      <c r="M7180" t="s">
        <v>67</v>
      </c>
      <c r="N7180" t="s">
        <v>68</v>
      </c>
      <c r="P7180" s="23">
        <v>134.47999999999999</v>
      </c>
      <c r="Q7180" s="4">
        <f t="shared" si="112"/>
        <v>-34.402662105889355</v>
      </c>
      <c r="R7180" s="23" t="s">
        <v>109</v>
      </c>
      <c r="U7180">
        <v>25</v>
      </c>
      <c r="V7180" t="e">
        <f>VLOOKUP(Tabla3[[#This Row],[Nº]],[1]!NOMINA[#Data],4,FALSE)</f>
        <v>#REF!</v>
      </c>
      <c r="W7180" t="e">
        <f>VLOOKUP(U7180,[1]!NOMINA[#Data],5,FALSE)</f>
        <v>#REF!</v>
      </c>
    </row>
    <row r="7181" spans="1:23" x14ac:dyDescent="0.25">
      <c r="A7181" s="21">
        <v>45883</v>
      </c>
      <c r="B7181" s="1">
        <v>316634988</v>
      </c>
      <c r="C7181" t="s">
        <v>12664</v>
      </c>
      <c r="D7181" s="43">
        <v>-57.36</v>
      </c>
      <c r="E7181" t="s">
        <v>35</v>
      </c>
      <c r="F7181" s="2">
        <v>212901001</v>
      </c>
      <c r="G7181" s="2" t="s">
        <v>121</v>
      </c>
      <c r="L7181" s="2" t="s">
        <v>12665</v>
      </c>
      <c r="M7181" t="s">
        <v>67</v>
      </c>
      <c r="N7181" t="s">
        <v>68</v>
      </c>
      <c r="P7181" s="23">
        <v>134.47999999999999</v>
      </c>
      <c r="Q7181" s="4">
        <f t="shared" si="112"/>
        <v>-0.42653182629387271</v>
      </c>
      <c r="R7181" s="23" t="s">
        <v>109</v>
      </c>
      <c r="U7181">
        <v>33</v>
      </c>
      <c r="V7181" t="e">
        <f>VLOOKUP(U7181,[1]!NOMINA[#Data],4,FALSE)</f>
        <v>#REF!</v>
      </c>
      <c r="W7181" t="e">
        <f>VLOOKUP(U7181,[1]!NOMINA[#Data],5,FALSE)</f>
        <v>#REF!</v>
      </c>
    </row>
    <row r="7182" spans="1:23" x14ac:dyDescent="0.25">
      <c r="A7182" s="21">
        <v>45883</v>
      </c>
      <c r="B7182" s="1">
        <v>416634996</v>
      </c>
      <c r="C7182" t="s">
        <v>12666</v>
      </c>
      <c r="D7182" s="43">
        <v>-61.65</v>
      </c>
      <c r="E7182" t="s">
        <v>35</v>
      </c>
      <c r="F7182" s="2">
        <v>212901001</v>
      </c>
      <c r="G7182" s="2" t="s">
        <v>121</v>
      </c>
      <c r="L7182" s="2" t="s">
        <v>12667</v>
      </c>
      <c r="M7182" t="s">
        <v>67</v>
      </c>
      <c r="N7182" t="s">
        <v>68</v>
      </c>
      <c r="P7182" s="23">
        <v>134.47999999999999</v>
      </c>
      <c r="Q7182" s="4">
        <f t="shared" si="112"/>
        <v>-0.45843248066627013</v>
      </c>
      <c r="R7182" s="23" t="s">
        <v>109</v>
      </c>
      <c r="U7182">
        <v>4</v>
      </c>
      <c r="V7182" t="s">
        <v>12595</v>
      </c>
      <c r="W7182" t="e">
        <f>VLOOKUP(U7182,[1]!NOMINA[#Data],5,FALSE)</f>
        <v>#REF!</v>
      </c>
    </row>
    <row r="7183" spans="1:23" x14ac:dyDescent="0.25">
      <c r="A7183" s="21">
        <v>45883</v>
      </c>
      <c r="B7183" s="1">
        <v>416634997</v>
      </c>
      <c r="C7183" t="s">
        <v>12668</v>
      </c>
      <c r="D7183" s="43">
        <v>-61.65</v>
      </c>
      <c r="E7183" t="s">
        <v>35</v>
      </c>
      <c r="F7183" s="2">
        <v>212901001</v>
      </c>
      <c r="G7183" s="2" t="s">
        <v>121</v>
      </c>
      <c r="L7183" s="2" t="s">
        <v>12669</v>
      </c>
      <c r="M7183" t="s">
        <v>67</v>
      </c>
      <c r="N7183" t="s">
        <v>68</v>
      </c>
      <c r="P7183" s="23">
        <v>134.47999999999999</v>
      </c>
      <c r="Q7183" s="4">
        <f t="shared" si="112"/>
        <v>-0.45843248066627013</v>
      </c>
      <c r="R7183" s="23" t="s">
        <v>109</v>
      </c>
      <c r="U7183">
        <v>34</v>
      </c>
      <c r="V7183" t="e">
        <f>VLOOKUP(U7183,[1]!NOMINA[#Data],4,FALSE)</f>
        <v>#REF!</v>
      </c>
      <c r="W7183" t="e">
        <f>VLOOKUP(U7183,[1]!NOMINA[#Data],5,FALSE)</f>
        <v>#REF!</v>
      </c>
    </row>
    <row r="7184" spans="1:23" x14ac:dyDescent="0.25">
      <c r="A7184" s="21">
        <v>45883</v>
      </c>
      <c r="B7184" s="1">
        <v>216634976</v>
      </c>
      <c r="C7184" t="s">
        <v>12670</v>
      </c>
      <c r="D7184" s="43">
        <v>-61.65</v>
      </c>
      <c r="E7184" t="s">
        <v>35</v>
      </c>
      <c r="F7184" s="2">
        <v>212901001</v>
      </c>
      <c r="G7184" s="2" t="s">
        <v>121</v>
      </c>
      <c r="L7184" s="2" t="s">
        <v>12671</v>
      </c>
      <c r="M7184" t="s">
        <v>67</v>
      </c>
      <c r="N7184" t="s">
        <v>68</v>
      </c>
      <c r="P7184" s="23">
        <v>134.47999999999999</v>
      </c>
      <c r="Q7184" s="4">
        <f t="shared" si="112"/>
        <v>-0.45843248066627013</v>
      </c>
      <c r="R7184" s="23" t="s">
        <v>109</v>
      </c>
      <c r="U7184">
        <v>16</v>
      </c>
      <c r="V7184" t="e">
        <f>VLOOKUP(Tabla3[[#This Row],[Nº]],[1]!NOMINA[#Data],4,FALSE)</f>
        <v>#REF!</v>
      </c>
      <c r="W7184" t="e">
        <f>VLOOKUP(Tabla3[[#This Row],[Nº]],[1]!NOMINA[#Data],5,FALSE)</f>
        <v>#REF!</v>
      </c>
    </row>
    <row r="7185" spans="1:23" x14ac:dyDescent="0.25">
      <c r="A7185" s="21">
        <v>45883</v>
      </c>
      <c r="B7185" s="1">
        <v>416634991</v>
      </c>
      <c r="C7185" t="s">
        <v>12672</v>
      </c>
      <c r="D7185" s="43">
        <v>-61.65</v>
      </c>
      <c r="E7185" t="s">
        <v>35</v>
      </c>
      <c r="F7185" s="2">
        <v>212901001</v>
      </c>
      <c r="G7185" s="2" t="s">
        <v>121</v>
      </c>
      <c r="L7185" s="2" t="s">
        <v>12673</v>
      </c>
      <c r="M7185" t="s">
        <v>67</v>
      </c>
      <c r="N7185" t="s">
        <v>68</v>
      </c>
      <c r="P7185" s="23">
        <v>134.47999999999999</v>
      </c>
      <c r="Q7185" s="4">
        <f t="shared" si="112"/>
        <v>-0.45843248066627013</v>
      </c>
      <c r="R7185" s="23" t="s">
        <v>109</v>
      </c>
      <c r="U7185">
        <v>6</v>
      </c>
      <c r="V7185" t="e">
        <f>VLOOKUP(Tabla3[[#This Row],[Nº]],[1]!NOMINA[#Data],4,FALSE)</f>
        <v>#REF!</v>
      </c>
      <c r="W7185" t="e">
        <f>VLOOKUP(U7185,[1]!NOMINA[#Data],5,FALSE)</f>
        <v>#REF!</v>
      </c>
    </row>
    <row r="7186" spans="1:23" x14ac:dyDescent="0.25">
      <c r="A7186" s="21">
        <v>45883</v>
      </c>
      <c r="B7186" s="1">
        <v>416634994</v>
      </c>
      <c r="C7186" t="s">
        <v>12674</v>
      </c>
      <c r="D7186" s="43">
        <v>-61.65</v>
      </c>
      <c r="E7186" t="s">
        <v>35</v>
      </c>
      <c r="F7186" s="2">
        <v>212901001</v>
      </c>
      <c r="G7186" s="2" t="s">
        <v>121</v>
      </c>
      <c r="L7186" s="2" t="s">
        <v>12675</v>
      </c>
      <c r="M7186" t="s">
        <v>67</v>
      </c>
      <c r="N7186" t="s">
        <v>68</v>
      </c>
      <c r="P7186" s="23">
        <v>134.47999999999999</v>
      </c>
      <c r="Q7186" s="4">
        <f t="shared" si="112"/>
        <v>-0.45843248066627013</v>
      </c>
      <c r="R7186" s="23" t="s">
        <v>109</v>
      </c>
      <c r="U7186">
        <v>3</v>
      </c>
      <c r="V7186" t="s">
        <v>12595</v>
      </c>
      <c r="W7186" t="e">
        <f>VLOOKUP(U7186,[1]!NOMINA[#Data],5,FALSE)</f>
        <v>#REF!</v>
      </c>
    </row>
    <row r="7187" spans="1:23" x14ac:dyDescent="0.25">
      <c r="A7187" s="21">
        <v>45883</v>
      </c>
      <c r="B7187" s="1">
        <v>416634993</v>
      </c>
      <c r="C7187" t="s">
        <v>12676</v>
      </c>
      <c r="D7187" s="43">
        <v>-61.65</v>
      </c>
      <c r="E7187" t="s">
        <v>35</v>
      </c>
      <c r="F7187" s="2">
        <v>212901001</v>
      </c>
      <c r="G7187" s="2" t="s">
        <v>121</v>
      </c>
      <c r="L7187" s="2" t="s">
        <v>12677</v>
      </c>
      <c r="M7187" t="s">
        <v>67</v>
      </c>
      <c r="N7187" t="s">
        <v>68</v>
      </c>
      <c r="P7187" s="23">
        <v>134.47999999999999</v>
      </c>
      <c r="Q7187" s="4">
        <f t="shared" si="112"/>
        <v>-0.45843248066627013</v>
      </c>
      <c r="R7187" s="23" t="s">
        <v>109</v>
      </c>
      <c r="U7187">
        <v>24</v>
      </c>
      <c r="V7187" t="e">
        <f>VLOOKUP(Tabla3[[#This Row],[Nº]],[1]!NOMINA[#Data],4,FALSE)</f>
        <v>#REF!</v>
      </c>
      <c r="W7187" t="e">
        <f>VLOOKUP(U7187,[1]!NOMINA[#Data],5,FALSE)</f>
        <v>#REF!</v>
      </c>
    </row>
    <row r="7188" spans="1:23" x14ac:dyDescent="0.25">
      <c r="A7188" s="21">
        <v>45883</v>
      </c>
      <c r="B7188" s="1">
        <v>516635004</v>
      </c>
      <c r="C7188" t="s">
        <v>12678</v>
      </c>
      <c r="D7188" s="43">
        <v>-53.07</v>
      </c>
      <c r="E7188" t="s">
        <v>35</v>
      </c>
      <c r="F7188" s="2">
        <v>212901001</v>
      </c>
      <c r="G7188" s="2" t="s">
        <v>121</v>
      </c>
      <c r="L7188" s="2" t="s">
        <v>12679</v>
      </c>
      <c r="M7188" t="s">
        <v>67</v>
      </c>
      <c r="N7188" t="s">
        <v>68</v>
      </c>
      <c r="P7188" s="23">
        <v>134.47999999999999</v>
      </c>
      <c r="Q7188" s="4">
        <f t="shared" si="112"/>
        <v>-0.39463117192147534</v>
      </c>
      <c r="R7188" s="23" t="s">
        <v>109</v>
      </c>
      <c r="U7188">
        <v>10</v>
      </c>
      <c r="V7188" t="e">
        <f>VLOOKUP(Tabla3[[#This Row],[Nº]],[1]!NOMINA[#Data],4,FALSE)</f>
        <v>#REF!</v>
      </c>
      <c r="W7188" t="e">
        <f>VLOOKUP(U7188,[1]!NOMINA[#Data],5,FALSE)</f>
        <v>#REF!</v>
      </c>
    </row>
    <row r="7189" spans="1:23" x14ac:dyDescent="0.25">
      <c r="A7189" s="21">
        <v>45883</v>
      </c>
      <c r="B7189" s="1">
        <v>516634999</v>
      </c>
      <c r="C7189" t="s">
        <v>12680</v>
      </c>
      <c r="D7189" s="43">
        <v>-61.65</v>
      </c>
      <c r="E7189" t="s">
        <v>35</v>
      </c>
      <c r="F7189" s="2">
        <v>212901001</v>
      </c>
      <c r="G7189" s="2" t="s">
        <v>121</v>
      </c>
      <c r="L7189" s="2" t="s">
        <v>12681</v>
      </c>
      <c r="M7189" t="s">
        <v>67</v>
      </c>
      <c r="N7189" t="s">
        <v>68</v>
      </c>
      <c r="P7189" s="23">
        <v>134.47999999999999</v>
      </c>
      <c r="Q7189" s="4">
        <f t="shared" si="112"/>
        <v>-0.45843248066627013</v>
      </c>
      <c r="R7189" s="23" t="s">
        <v>109</v>
      </c>
      <c r="U7189">
        <v>5</v>
      </c>
      <c r="V7189" t="s">
        <v>12595</v>
      </c>
      <c r="W7189" t="e">
        <f>VLOOKUP(U7189,[1]!NOMINA[#Data],5,FALSE)</f>
        <v>#REF!</v>
      </c>
    </row>
    <row r="7190" spans="1:23" x14ac:dyDescent="0.25">
      <c r="A7190" s="21">
        <v>45883</v>
      </c>
      <c r="B7190" s="1">
        <v>516635002</v>
      </c>
      <c r="C7190" t="s">
        <v>12682</v>
      </c>
      <c r="D7190" s="43">
        <v>-61.65</v>
      </c>
      <c r="E7190" t="s">
        <v>35</v>
      </c>
      <c r="F7190" s="2">
        <v>212901001</v>
      </c>
      <c r="G7190" s="2" t="s">
        <v>121</v>
      </c>
      <c r="L7190" s="2" t="s">
        <v>12683</v>
      </c>
      <c r="M7190" t="s">
        <v>67</v>
      </c>
      <c r="N7190" t="s">
        <v>68</v>
      </c>
      <c r="P7190" s="23">
        <v>134.47999999999999</v>
      </c>
      <c r="Q7190" s="4">
        <f t="shared" si="112"/>
        <v>-0.45843248066627013</v>
      </c>
      <c r="R7190" s="23" t="s">
        <v>109</v>
      </c>
      <c r="U7190">
        <v>32</v>
      </c>
      <c r="V7190" t="e">
        <f>VLOOKUP(Tabla3[[#This Row],[Nº]],[1]!NOMINA[#Data],4,FALSE)</f>
        <v>#REF!</v>
      </c>
      <c r="W7190" t="e">
        <f>VLOOKUP(U7190,[1]!NOMINA[#Data],5,FALSE)</f>
        <v>#REF!</v>
      </c>
    </row>
    <row r="7191" spans="1:23" x14ac:dyDescent="0.25">
      <c r="A7191" s="21">
        <v>45883</v>
      </c>
      <c r="B7191" s="1">
        <v>516635000</v>
      </c>
      <c r="C7191" t="s">
        <v>12684</v>
      </c>
      <c r="D7191" s="43">
        <v>-61.65</v>
      </c>
      <c r="E7191" t="s">
        <v>35</v>
      </c>
      <c r="F7191" s="2">
        <v>212901001</v>
      </c>
      <c r="G7191" s="2" t="s">
        <v>121</v>
      </c>
      <c r="L7191" s="2" t="s">
        <v>12685</v>
      </c>
      <c r="M7191" t="s">
        <v>67</v>
      </c>
      <c r="N7191" t="s">
        <v>68</v>
      </c>
      <c r="P7191" s="23">
        <v>134.47999999999999</v>
      </c>
      <c r="Q7191" s="4">
        <f t="shared" si="112"/>
        <v>-0.45843248066627013</v>
      </c>
      <c r="R7191" s="23" t="s">
        <v>109</v>
      </c>
      <c r="U7191">
        <v>30</v>
      </c>
      <c r="V7191" t="e">
        <f>VLOOKUP(Tabla3[[#This Row],[Nº]],[1]!NOMINA[#Data],4,FALSE)</f>
        <v>#REF!</v>
      </c>
      <c r="W7191" t="e">
        <f>VLOOKUP(U7191,[1]!NOMINA[#Data],5,FALSE)</f>
        <v>#REF!</v>
      </c>
    </row>
    <row r="7192" spans="1:23" x14ac:dyDescent="0.25">
      <c r="A7192" s="21">
        <v>45883</v>
      </c>
      <c r="B7192" s="1">
        <v>516635003</v>
      </c>
      <c r="C7192" t="s">
        <v>12686</v>
      </c>
      <c r="D7192" s="43">
        <v>-61.65</v>
      </c>
      <c r="E7192" t="s">
        <v>35</v>
      </c>
      <c r="F7192" s="2">
        <v>212901001</v>
      </c>
      <c r="G7192" s="2" t="s">
        <v>121</v>
      </c>
      <c r="L7192" s="2" t="s">
        <v>12687</v>
      </c>
      <c r="M7192" t="s">
        <v>67</v>
      </c>
      <c r="N7192" t="s">
        <v>68</v>
      </c>
      <c r="P7192" s="23">
        <v>134.47999999999999</v>
      </c>
      <c r="Q7192" s="4">
        <f t="shared" si="112"/>
        <v>-0.45843248066627013</v>
      </c>
      <c r="R7192" s="23" t="s">
        <v>109</v>
      </c>
      <c r="U7192">
        <v>27</v>
      </c>
      <c r="V7192" t="e">
        <f>VLOOKUP(Tabla3[[#This Row],[Nº]],[1]!NOMINA[#Data],4,FALSE)</f>
        <v>#REF!</v>
      </c>
      <c r="W7192" t="e">
        <f>VLOOKUP(U7192,[1]!NOMINA[#Data],5,FALSE)</f>
        <v>#REF!</v>
      </c>
    </row>
    <row r="7193" spans="1:23" x14ac:dyDescent="0.25">
      <c r="A7193" s="21">
        <v>45883</v>
      </c>
      <c r="B7193" s="1">
        <v>416634998</v>
      </c>
      <c r="C7193" t="s">
        <v>12688</v>
      </c>
      <c r="D7193" s="43">
        <v>-61.65</v>
      </c>
      <c r="E7193" t="s">
        <v>35</v>
      </c>
      <c r="F7193" s="2">
        <v>212901001</v>
      </c>
      <c r="G7193" s="2" t="s">
        <v>121</v>
      </c>
      <c r="L7193" s="2" t="s">
        <v>12689</v>
      </c>
      <c r="M7193" t="s">
        <v>67</v>
      </c>
      <c r="N7193" t="s">
        <v>68</v>
      </c>
      <c r="P7193" s="23">
        <v>134.47999999999999</v>
      </c>
      <c r="Q7193" s="4">
        <f t="shared" si="112"/>
        <v>-0.45843248066627013</v>
      </c>
      <c r="R7193" s="23" t="s">
        <v>109</v>
      </c>
      <c r="U7193">
        <v>21</v>
      </c>
      <c r="V7193" t="e">
        <f>VLOOKUP(Tabla3[[#This Row],[Nº]],[1]!NOMINA[#Data],4,FALSE)</f>
        <v>#REF!</v>
      </c>
      <c r="W7193" t="e">
        <f>VLOOKUP(U7193,[1]!NOMINA[#Data],5,FALSE)</f>
        <v>#REF!</v>
      </c>
    </row>
    <row r="7194" spans="1:23" x14ac:dyDescent="0.25">
      <c r="A7194" s="21">
        <v>45883</v>
      </c>
      <c r="B7194" s="1">
        <v>516635001</v>
      </c>
      <c r="C7194" t="s">
        <v>12690</v>
      </c>
      <c r="D7194" s="43">
        <v>-61.65</v>
      </c>
      <c r="E7194" t="s">
        <v>35</v>
      </c>
      <c r="F7194" s="2">
        <v>212901001</v>
      </c>
      <c r="G7194" s="2" t="s">
        <v>121</v>
      </c>
      <c r="L7194" s="2" t="s">
        <v>12691</v>
      </c>
      <c r="M7194" t="s">
        <v>67</v>
      </c>
      <c r="N7194" t="s">
        <v>68</v>
      </c>
      <c r="P7194" s="23">
        <v>134.47999999999999</v>
      </c>
      <c r="Q7194" s="4">
        <f t="shared" si="112"/>
        <v>-0.45843248066627013</v>
      </c>
      <c r="R7194" s="23" t="s">
        <v>109</v>
      </c>
      <c r="U7194">
        <v>7</v>
      </c>
      <c r="V7194" t="e">
        <f>VLOOKUP(Tabla3[[#This Row],[Nº]],[1]!NOMINA[#Data],4,FALSE)</f>
        <v>#REF!</v>
      </c>
      <c r="W7194" t="e">
        <f>VLOOKUP(U7194,[1]!NOMINA[#Data],5,FALSE)</f>
        <v>#REF!</v>
      </c>
    </row>
    <row r="7195" spans="1:23" x14ac:dyDescent="0.25">
      <c r="A7195" s="21">
        <v>45883</v>
      </c>
      <c r="B7195" s="1">
        <v>516635005</v>
      </c>
      <c r="C7195" t="s">
        <v>12692</v>
      </c>
      <c r="D7195" s="43">
        <v>-61.65</v>
      </c>
      <c r="E7195" t="s">
        <v>35</v>
      </c>
      <c r="F7195" s="2">
        <v>212901001</v>
      </c>
      <c r="G7195" s="2" t="s">
        <v>121</v>
      </c>
      <c r="L7195" s="2" t="s">
        <v>12693</v>
      </c>
      <c r="M7195" t="s">
        <v>67</v>
      </c>
      <c r="N7195" t="s">
        <v>68</v>
      </c>
      <c r="P7195" s="23">
        <v>134.47999999999999</v>
      </c>
      <c r="Q7195" s="4">
        <f t="shared" si="112"/>
        <v>-0.45843248066627013</v>
      </c>
      <c r="R7195" s="23" t="s">
        <v>109</v>
      </c>
      <c r="U7195">
        <v>35</v>
      </c>
      <c r="V7195" t="e">
        <f>VLOOKUP(Tabla3[[#This Row],[Nº]],[1]!NOMINA[#Data],4,FALSE)</f>
        <v>#REF!</v>
      </c>
      <c r="W7195" t="e">
        <f>VLOOKUP(U7195,[1]!NOMINA[#Data],5,FALSE)</f>
        <v>#REF!</v>
      </c>
    </row>
    <row r="7196" spans="1:23" x14ac:dyDescent="0.25">
      <c r="A7196" s="21">
        <v>45883</v>
      </c>
      <c r="B7196" s="1">
        <v>516635006</v>
      </c>
      <c r="C7196" t="s">
        <v>12694</v>
      </c>
      <c r="D7196" s="43">
        <v>-61.65</v>
      </c>
      <c r="E7196" t="s">
        <v>35</v>
      </c>
      <c r="F7196" s="2">
        <v>212901001</v>
      </c>
      <c r="G7196" s="2" t="s">
        <v>121</v>
      </c>
      <c r="L7196" s="2" t="s">
        <v>12695</v>
      </c>
      <c r="M7196" t="s">
        <v>67</v>
      </c>
      <c r="N7196" t="s">
        <v>68</v>
      </c>
      <c r="P7196" s="23">
        <v>134.47999999999999</v>
      </c>
      <c r="Q7196" s="4">
        <f t="shared" si="112"/>
        <v>-0.45843248066627013</v>
      </c>
      <c r="R7196" s="23" t="s">
        <v>109</v>
      </c>
      <c r="U7196">
        <v>25</v>
      </c>
      <c r="V7196" t="e">
        <f>VLOOKUP(Tabla3[[#This Row],[Nº]],[1]!NOMINA[#Data],4,FALSE)</f>
        <v>#REF!</v>
      </c>
      <c r="W7196" t="e">
        <f>VLOOKUP(U7196,[1]!NOMINA[#Data],5,FALSE)</f>
        <v>#REF!</v>
      </c>
    </row>
    <row r="7197" spans="1:23" x14ac:dyDescent="0.25">
      <c r="A7197" s="21">
        <v>45883</v>
      </c>
      <c r="B7197" s="1">
        <v>416634995</v>
      </c>
      <c r="C7197" t="s">
        <v>12696</v>
      </c>
      <c r="D7197" s="43">
        <v>-61.65</v>
      </c>
      <c r="E7197" t="s">
        <v>35</v>
      </c>
      <c r="F7197" s="2">
        <v>212901001</v>
      </c>
      <c r="G7197" s="2" t="s">
        <v>121</v>
      </c>
      <c r="L7197" s="2" t="s">
        <v>12697</v>
      </c>
      <c r="M7197" t="s">
        <v>67</v>
      </c>
      <c r="N7197" t="s">
        <v>68</v>
      </c>
      <c r="P7197" s="23">
        <v>134.47999999999999</v>
      </c>
      <c r="Q7197" s="4">
        <f t="shared" si="112"/>
        <v>-0.45843248066627013</v>
      </c>
      <c r="R7197" s="23" t="s">
        <v>109</v>
      </c>
      <c r="U7197">
        <v>11</v>
      </c>
      <c r="V7197" t="e">
        <f>VLOOKUP(Tabla3[[#This Row],[Nº]],[1]!NOMINA[#Data],4,FALSE)</f>
        <v>#REF!</v>
      </c>
      <c r="W7197" t="e">
        <f>VLOOKUP(U7197,[1]!NOMINA[#Data],5,FALSE)</f>
        <v>#REF!</v>
      </c>
    </row>
    <row r="7198" spans="1:23" x14ac:dyDescent="0.25">
      <c r="A7198" s="21">
        <v>45883</v>
      </c>
      <c r="B7198" s="1">
        <v>416634992</v>
      </c>
      <c r="C7198" t="s">
        <v>12698</v>
      </c>
      <c r="D7198" s="43">
        <v>-61.65</v>
      </c>
      <c r="E7198" t="s">
        <v>35</v>
      </c>
      <c r="F7198" s="2">
        <v>212901001</v>
      </c>
      <c r="G7198" s="2" t="s">
        <v>121</v>
      </c>
      <c r="L7198" s="2" t="s">
        <v>12699</v>
      </c>
      <c r="M7198" t="s">
        <v>67</v>
      </c>
      <c r="N7198" t="s">
        <v>68</v>
      </c>
      <c r="P7198" s="23">
        <v>134.47999999999999</v>
      </c>
      <c r="Q7198" s="4">
        <f t="shared" si="112"/>
        <v>-0.45843248066627013</v>
      </c>
      <c r="R7198" s="23" t="s">
        <v>109</v>
      </c>
      <c r="U7198">
        <v>29</v>
      </c>
      <c r="V7198" t="e">
        <f>VLOOKUP(U7198,[1]!NOMINA[#Data],4,FALSE)</f>
        <v>#REF!</v>
      </c>
      <c r="W7198" t="e">
        <f>VLOOKUP(U7198,[1]!NOMINA[#Data],5,FALSE)</f>
        <v>#REF!</v>
      </c>
    </row>
    <row r="7199" spans="1:23" x14ac:dyDescent="0.25">
      <c r="A7199" s="21">
        <v>45883</v>
      </c>
      <c r="B7199" s="1">
        <v>316634985</v>
      </c>
      <c r="C7199" t="s">
        <v>12700</v>
      </c>
      <c r="D7199" s="43">
        <v>-61.65</v>
      </c>
      <c r="E7199" t="s">
        <v>35</v>
      </c>
      <c r="F7199" s="2">
        <v>212901001</v>
      </c>
      <c r="G7199" s="2" t="s">
        <v>121</v>
      </c>
      <c r="L7199" s="2" t="s">
        <v>12701</v>
      </c>
      <c r="M7199" t="s">
        <v>67</v>
      </c>
      <c r="N7199" t="s">
        <v>68</v>
      </c>
      <c r="P7199" s="23">
        <v>134.47999999999999</v>
      </c>
      <c r="Q7199" s="4">
        <f t="shared" si="112"/>
        <v>-0.45843248066627013</v>
      </c>
      <c r="R7199" s="23" t="s">
        <v>109</v>
      </c>
      <c r="U7199">
        <v>9</v>
      </c>
      <c r="V7199" t="e">
        <f>VLOOKUP(Tabla3[[#This Row],[Nº]],[1]!NOMINA[#Data],4,FALSE)</f>
        <v>#REF!</v>
      </c>
      <c r="W7199" t="e">
        <f>VLOOKUP(U7199,[1]!NOMINA[#Data],5,FALSE)</f>
        <v>#REF!</v>
      </c>
    </row>
    <row r="7200" spans="1:23" x14ac:dyDescent="0.25">
      <c r="A7200" s="21">
        <v>45883</v>
      </c>
      <c r="B7200" s="1">
        <v>50828075</v>
      </c>
      <c r="C7200" t="s">
        <v>118</v>
      </c>
      <c r="D7200" s="43">
        <v>-1193.67</v>
      </c>
      <c r="E7200" t="s">
        <v>35</v>
      </c>
      <c r="F7200" s="2">
        <v>610148001</v>
      </c>
      <c r="G7200" s="2" t="s">
        <v>42</v>
      </c>
      <c r="L7200" s="2" t="s">
        <v>12702</v>
      </c>
      <c r="M7200" t="s">
        <v>43</v>
      </c>
      <c r="N7200" t="s">
        <v>42</v>
      </c>
      <c r="P7200" s="23">
        <v>134.47999999999999</v>
      </c>
      <c r="Q7200" s="4">
        <f t="shared" si="112"/>
        <v>-8.8761897679952426</v>
      </c>
      <c r="R7200" s="23" t="s">
        <v>109</v>
      </c>
      <c r="T7200" s="23" t="s">
        <v>12141</v>
      </c>
    </row>
    <row r="7201" spans="1:18" x14ac:dyDescent="0.25">
      <c r="A7201" s="21">
        <v>45884</v>
      </c>
      <c r="B7201" s="1">
        <v>845353353</v>
      </c>
      <c r="C7201" t="s">
        <v>107</v>
      </c>
      <c r="D7201" s="43">
        <v>620000</v>
      </c>
      <c r="E7201" t="s">
        <v>46</v>
      </c>
      <c r="F7201" s="2">
        <v>210115002</v>
      </c>
      <c r="G7201" s="2" t="s">
        <v>47</v>
      </c>
      <c r="L7201" s="2" t="s">
        <v>12703</v>
      </c>
      <c r="N7201" t="s">
        <v>107</v>
      </c>
      <c r="P7201" s="23">
        <v>135.63999999999999</v>
      </c>
      <c r="Q7201" s="4">
        <f t="shared" si="112"/>
        <v>4570.9230315541145</v>
      </c>
      <c r="R7201" s="23" t="s">
        <v>109</v>
      </c>
    </row>
    <row r="7202" spans="1:18" x14ac:dyDescent="0.25">
      <c r="A7202" s="21">
        <v>45884</v>
      </c>
      <c r="B7202" s="1">
        <v>616688793</v>
      </c>
      <c r="C7202" t="s">
        <v>12704</v>
      </c>
      <c r="D7202" s="43">
        <v>-10758.4</v>
      </c>
      <c r="E7202" t="s">
        <v>35</v>
      </c>
      <c r="F7202" s="2">
        <v>212901001</v>
      </c>
      <c r="G7202" s="2" t="s">
        <v>121</v>
      </c>
      <c r="L7202" s="2" t="s">
        <v>12705</v>
      </c>
      <c r="M7202" t="s">
        <v>67</v>
      </c>
      <c r="N7202" t="s">
        <v>68</v>
      </c>
      <c r="P7202" s="23">
        <v>135.63999999999999</v>
      </c>
      <c r="Q7202" s="4">
        <f t="shared" si="112"/>
        <v>-79.31583603656739</v>
      </c>
      <c r="R7202" s="23" t="s">
        <v>109</v>
      </c>
    </row>
    <row r="7203" spans="1:18" x14ac:dyDescent="0.25">
      <c r="A7203" s="21">
        <v>45884</v>
      </c>
      <c r="B7203" s="1">
        <v>616688794</v>
      </c>
      <c r="C7203" t="s">
        <v>12706</v>
      </c>
      <c r="D7203" s="43">
        <v>-8068.8</v>
      </c>
      <c r="E7203" t="s">
        <v>35</v>
      </c>
      <c r="F7203" s="2">
        <v>212901001</v>
      </c>
      <c r="G7203" s="2" t="s">
        <v>121</v>
      </c>
      <c r="L7203" s="2" t="s">
        <v>12707</v>
      </c>
      <c r="M7203" t="s">
        <v>67</v>
      </c>
      <c r="N7203" t="s">
        <v>68</v>
      </c>
      <c r="P7203" s="23">
        <v>135.63999999999999</v>
      </c>
      <c r="Q7203" s="4">
        <f t="shared" si="112"/>
        <v>-59.486877027425543</v>
      </c>
      <c r="R7203" s="23" t="s">
        <v>109</v>
      </c>
    </row>
    <row r="7204" spans="1:18" x14ac:dyDescent="0.25">
      <c r="A7204" s="21">
        <v>45884</v>
      </c>
      <c r="B7204" s="1">
        <v>616688795</v>
      </c>
      <c r="C7204" t="s">
        <v>12708</v>
      </c>
      <c r="D7204" s="43">
        <v>-8068.8</v>
      </c>
      <c r="E7204" t="s">
        <v>35</v>
      </c>
      <c r="F7204" s="2">
        <v>212901001</v>
      </c>
      <c r="G7204" s="2" t="s">
        <v>121</v>
      </c>
      <c r="L7204" s="2" t="s">
        <v>12709</v>
      </c>
      <c r="M7204" t="s">
        <v>67</v>
      </c>
      <c r="N7204" t="s">
        <v>68</v>
      </c>
      <c r="P7204" s="23">
        <v>135.63999999999999</v>
      </c>
      <c r="Q7204" s="4">
        <f t="shared" si="112"/>
        <v>-59.486877027425543</v>
      </c>
      <c r="R7204" s="23" t="s">
        <v>109</v>
      </c>
    </row>
    <row r="7205" spans="1:18" x14ac:dyDescent="0.25">
      <c r="A7205" s="21">
        <v>45884</v>
      </c>
      <c r="B7205" s="1">
        <v>716688796</v>
      </c>
      <c r="C7205" t="s">
        <v>12710</v>
      </c>
      <c r="D7205" s="43">
        <v>-8068.8</v>
      </c>
      <c r="E7205" t="s">
        <v>35</v>
      </c>
      <c r="F7205" s="2">
        <v>212901001</v>
      </c>
      <c r="G7205" s="2" t="s">
        <v>121</v>
      </c>
      <c r="L7205" s="2" t="s">
        <v>12711</v>
      </c>
      <c r="M7205" t="s">
        <v>67</v>
      </c>
      <c r="N7205" t="s">
        <v>68</v>
      </c>
      <c r="P7205" s="23">
        <v>135.63999999999999</v>
      </c>
      <c r="Q7205" s="4">
        <f t="shared" si="112"/>
        <v>-59.486877027425543</v>
      </c>
      <c r="R7205" s="23" t="s">
        <v>109</v>
      </c>
    </row>
    <row r="7206" spans="1:18" x14ac:dyDescent="0.25">
      <c r="A7206" s="21">
        <v>45884</v>
      </c>
      <c r="B7206" s="1">
        <v>716688797</v>
      </c>
      <c r="C7206" t="s">
        <v>12712</v>
      </c>
      <c r="D7206" s="43">
        <v>-8068.8</v>
      </c>
      <c r="E7206" t="s">
        <v>35</v>
      </c>
      <c r="F7206" s="2">
        <v>212901001</v>
      </c>
      <c r="G7206" s="2" t="s">
        <v>121</v>
      </c>
      <c r="L7206" s="2" t="s">
        <v>12713</v>
      </c>
      <c r="M7206" t="s">
        <v>67</v>
      </c>
      <c r="N7206" t="s">
        <v>68</v>
      </c>
      <c r="P7206" s="23">
        <v>135.63999999999999</v>
      </c>
      <c r="Q7206" s="4">
        <f t="shared" si="112"/>
        <v>-59.486877027425543</v>
      </c>
      <c r="R7206" s="23" t="s">
        <v>109</v>
      </c>
    </row>
    <row r="7207" spans="1:18" x14ac:dyDescent="0.25">
      <c r="A7207" s="21">
        <v>45884</v>
      </c>
      <c r="B7207" s="1">
        <v>716688798</v>
      </c>
      <c r="C7207" t="s">
        <v>12714</v>
      </c>
      <c r="D7207" s="43">
        <v>-8068.8</v>
      </c>
      <c r="E7207" t="s">
        <v>35</v>
      </c>
      <c r="F7207" s="2">
        <v>212901001</v>
      </c>
      <c r="G7207" s="2" t="s">
        <v>121</v>
      </c>
      <c r="L7207" s="2" t="s">
        <v>12715</v>
      </c>
      <c r="M7207" t="s">
        <v>67</v>
      </c>
      <c r="N7207" t="s">
        <v>68</v>
      </c>
      <c r="P7207" s="23">
        <v>135.63999999999999</v>
      </c>
      <c r="Q7207" s="4">
        <f t="shared" si="112"/>
        <v>-59.486877027425543</v>
      </c>
      <c r="R7207" s="23" t="s">
        <v>109</v>
      </c>
    </row>
    <row r="7208" spans="1:18" x14ac:dyDescent="0.25">
      <c r="A7208" s="21">
        <v>45884</v>
      </c>
      <c r="B7208" s="1">
        <v>716688800</v>
      </c>
      <c r="C7208" t="s">
        <v>12716</v>
      </c>
      <c r="D7208" s="43">
        <v>-8068.8</v>
      </c>
      <c r="E7208" t="s">
        <v>35</v>
      </c>
      <c r="F7208" s="2">
        <v>212901001</v>
      </c>
      <c r="G7208" s="2" t="s">
        <v>121</v>
      </c>
      <c r="L7208" s="2" t="s">
        <v>12717</v>
      </c>
      <c r="M7208" t="s">
        <v>67</v>
      </c>
      <c r="N7208" t="s">
        <v>68</v>
      </c>
      <c r="P7208" s="23">
        <v>135.63999999999999</v>
      </c>
      <c r="Q7208" s="4">
        <f t="shared" si="112"/>
        <v>-59.486877027425543</v>
      </c>
      <c r="R7208" s="23" t="s">
        <v>109</v>
      </c>
    </row>
    <row r="7209" spans="1:18" x14ac:dyDescent="0.25">
      <c r="A7209" s="21">
        <v>45884</v>
      </c>
      <c r="B7209" s="1">
        <v>716688799</v>
      </c>
      <c r="C7209" t="s">
        <v>12718</v>
      </c>
      <c r="D7209" s="43">
        <v>-8068.8</v>
      </c>
      <c r="E7209" t="s">
        <v>35</v>
      </c>
      <c r="F7209" s="2">
        <v>212901001</v>
      </c>
      <c r="G7209" s="2" t="s">
        <v>121</v>
      </c>
      <c r="L7209" s="2" t="s">
        <v>12719</v>
      </c>
      <c r="M7209" t="s">
        <v>67</v>
      </c>
      <c r="N7209" t="s">
        <v>68</v>
      </c>
      <c r="P7209" s="23">
        <v>135.63999999999999</v>
      </c>
      <c r="Q7209" s="4">
        <f t="shared" si="112"/>
        <v>-59.486877027425543</v>
      </c>
      <c r="R7209" s="23" t="s">
        <v>109</v>
      </c>
    </row>
    <row r="7210" spans="1:18" x14ac:dyDescent="0.25">
      <c r="A7210" s="21">
        <v>45884</v>
      </c>
      <c r="B7210" s="1">
        <v>716688802</v>
      </c>
      <c r="C7210" t="s">
        <v>12720</v>
      </c>
      <c r="D7210" s="43">
        <v>-8068.8</v>
      </c>
      <c r="E7210" t="s">
        <v>35</v>
      </c>
      <c r="F7210" s="2">
        <v>212901001</v>
      </c>
      <c r="G7210" s="2" t="s">
        <v>121</v>
      </c>
      <c r="L7210" s="2" t="s">
        <v>12721</v>
      </c>
      <c r="M7210" t="s">
        <v>67</v>
      </c>
      <c r="N7210" t="s">
        <v>68</v>
      </c>
      <c r="P7210" s="23">
        <v>135.63999999999999</v>
      </c>
      <c r="Q7210" s="4">
        <f t="shared" si="112"/>
        <v>-59.486877027425543</v>
      </c>
      <c r="R7210" s="23" t="s">
        <v>109</v>
      </c>
    </row>
    <row r="7211" spans="1:18" x14ac:dyDescent="0.25">
      <c r="A7211" s="21">
        <v>45884</v>
      </c>
      <c r="B7211" s="1">
        <v>716688801</v>
      </c>
      <c r="C7211" t="s">
        <v>12722</v>
      </c>
      <c r="D7211" s="43">
        <v>-8068.8</v>
      </c>
      <c r="E7211" t="s">
        <v>35</v>
      </c>
      <c r="F7211" s="2">
        <v>212901001</v>
      </c>
      <c r="G7211" s="2" t="s">
        <v>121</v>
      </c>
      <c r="L7211" s="2" t="s">
        <v>12723</v>
      </c>
      <c r="M7211" t="s">
        <v>67</v>
      </c>
      <c r="N7211" t="s">
        <v>68</v>
      </c>
      <c r="P7211" s="23">
        <v>135.63999999999999</v>
      </c>
      <c r="Q7211" s="4">
        <f t="shared" si="112"/>
        <v>-59.486877027425543</v>
      </c>
      <c r="R7211" s="23" t="s">
        <v>109</v>
      </c>
    </row>
    <row r="7212" spans="1:18" x14ac:dyDescent="0.25">
      <c r="A7212" s="21">
        <v>45884</v>
      </c>
      <c r="B7212" s="1">
        <v>716688803</v>
      </c>
      <c r="C7212" t="s">
        <v>12724</v>
      </c>
      <c r="D7212" s="43">
        <v>-8068.8</v>
      </c>
      <c r="E7212" t="s">
        <v>35</v>
      </c>
      <c r="F7212" s="2">
        <v>212901001</v>
      </c>
      <c r="G7212" s="2" t="s">
        <v>121</v>
      </c>
      <c r="L7212" s="2" t="s">
        <v>12725</v>
      </c>
      <c r="M7212" t="s">
        <v>67</v>
      </c>
      <c r="N7212" t="s">
        <v>68</v>
      </c>
      <c r="P7212" s="23">
        <v>135.63999999999999</v>
      </c>
      <c r="Q7212" s="4">
        <f t="shared" si="112"/>
        <v>-59.486877027425543</v>
      </c>
      <c r="R7212" s="23" t="s">
        <v>109</v>
      </c>
    </row>
    <row r="7213" spans="1:18" x14ac:dyDescent="0.25">
      <c r="A7213" s="21">
        <v>45884</v>
      </c>
      <c r="B7213" s="1">
        <v>816688804</v>
      </c>
      <c r="C7213" t="s">
        <v>12726</v>
      </c>
      <c r="D7213" s="43">
        <v>-8068.8</v>
      </c>
      <c r="E7213" t="s">
        <v>35</v>
      </c>
      <c r="F7213" s="2">
        <v>212901001</v>
      </c>
      <c r="G7213" s="2" t="s">
        <v>121</v>
      </c>
      <c r="L7213" s="2" t="s">
        <v>12727</v>
      </c>
      <c r="M7213" t="s">
        <v>67</v>
      </c>
      <c r="N7213" t="s">
        <v>68</v>
      </c>
      <c r="P7213" s="23">
        <v>135.63999999999999</v>
      </c>
      <c r="Q7213" s="4">
        <f t="shared" si="112"/>
        <v>-59.486877027425543</v>
      </c>
      <c r="R7213" s="23" t="s">
        <v>109</v>
      </c>
    </row>
    <row r="7214" spans="1:18" x14ac:dyDescent="0.25">
      <c r="A7214" s="21">
        <v>45884</v>
      </c>
      <c r="B7214" s="1">
        <v>816688806</v>
      </c>
      <c r="C7214" t="s">
        <v>12728</v>
      </c>
      <c r="D7214" s="43">
        <v>-8068.8</v>
      </c>
      <c r="E7214" t="s">
        <v>35</v>
      </c>
      <c r="F7214" s="2">
        <v>212901001</v>
      </c>
      <c r="G7214" s="2" t="s">
        <v>121</v>
      </c>
      <c r="L7214" s="2" t="s">
        <v>12729</v>
      </c>
      <c r="M7214" t="s">
        <v>67</v>
      </c>
      <c r="N7214" t="s">
        <v>68</v>
      </c>
      <c r="P7214" s="23">
        <v>135.63999999999999</v>
      </c>
      <c r="Q7214" s="4">
        <f t="shared" si="112"/>
        <v>-59.486877027425543</v>
      </c>
      <c r="R7214" s="23" t="s">
        <v>109</v>
      </c>
    </row>
    <row r="7215" spans="1:18" x14ac:dyDescent="0.25">
      <c r="A7215" s="21">
        <v>45884</v>
      </c>
      <c r="B7215" s="1">
        <v>816688805</v>
      </c>
      <c r="C7215" t="s">
        <v>12730</v>
      </c>
      <c r="D7215" s="43">
        <v>-8068.8</v>
      </c>
      <c r="E7215" t="s">
        <v>35</v>
      </c>
      <c r="F7215" s="2">
        <v>212901001</v>
      </c>
      <c r="G7215" s="2" t="s">
        <v>121</v>
      </c>
      <c r="L7215" s="2" t="s">
        <v>12731</v>
      </c>
      <c r="M7215" t="s">
        <v>67</v>
      </c>
      <c r="N7215" t="s">
        <v>68</v>
      </c>
      <c r="P7215" s="23">
        <v>135.63999999999999</v>
      </c>
      <c r="Q7215" s="4">
        <f t="shared" si="112"/>
        <v>-59.486877027425543</v>
      </c>
      <c r="R7215" s="23" t="s">
        <v>109</v>
      </c>
    </row>
    <row r="7216" spans="1:18" x14ac:dyDescent="0.25">
      <c r="A7216" s="21">
        <v>45884</v>
      </c>
      <c r="B7216" s="1">
        <v>816688809</v>
      </c>
      <c r="C7216" t="s">
        <v>12732</v>
      </c>
      <c r="D7216" s="43">
        <v>-20172</v>
      </c>
      <c r="E7216" t="s">
        <v>35</v>
      </c>
      <c r="F7216" s="2">
        <v>212901001</v>
      </c>
      <c r="G7216" s="2" t="s">
        <v>121</v>
      </c>
      <c r="L7216" s="2" t="s">
        <v>12733</v>
      </c>
      <c r="M7216" t="s">
        <v>67</v>
      </c>
      <c r="N7216" t="s">
        <v>68</v>
      </c>
      <c r="P7216" s="23">
        <v>135.63999999999999</v>
      </c>
      <c r="Q7216" s="4">
        <f t="shared" si="112"/>
        <v>-148.71719256856386</v>
      </c>
      <c r="R7216" s="23" t="s">
        <v>109</v>
      </c>
    </row>
    <row r="7217" spans="1:18" x14ac:dyDescent="0.25">
      <c r="A7217" s="21">
        <v>45884</v>
      </c>
      <c r="B7217" s="1">
        <v>816688812</v>
      </c>
      <c r="C7217" t="s">
        <v>12734</v>
      </c>
      <c r="D7217" s="43">
        <v>-10758.4</v>
      </c>
      <c r="E7217" t="s">
        <v>35</v>
      </c>
      <c r="F7217" s="2">
        <v>212901001</v>
      </c>
      <c r="G7217" s="2" t="s">
        <v>121</v>
      </c>
      <c r="L7217" s="2" t="s">
        <v>12735</v>
      </c>
      <c r="M7217" t="s">
        <v>67</v>
      </c>
      <c r="N7217" t="s">
        <v>68</v>
      </c>
      <c r="P7217" s="23">
        <v>135.63999999999999</v>
      </c>
      <c r="Q7217" s="4">
        <f t="shared" si="112"/>
        <v>-79.31583603656739</v>
      </c>
      <c r="R7217" s="23" t="s">
        <v>109</v>
      </c>
    </row>
    <row r="7218" spans="1:18" x14ac:dyDescent="0.25">
      <c r="A7218" s="21">
        <v>45884</v>
      </c>
      <c r="B7218" s="1">
        <v>816688807</v>
      </c>
      <c r="C7218" t="s">
        <v>12736</v>
      </c>
      <c r="D7218" s="43">
        <v>-8068.8</v>
      </c>
      <c r="E7218" t="s">
        <v>35</v>
      </c>
      <c r="F7218" s="2">
        <v>212901001</v>
      </c>
      <c r="G7218" s="2" t="s">
        <v>121</v>
      </c>
      <c r="L7218" s="2" t="s">
        <v>12737</v>
      </c>
      <c r="M7218" t="s">
        <v>67</v>
      </c>
      <c r="N7218" t="s">
        <v>68</v>
      </c>
      <c r="P7218" s="23">
        <v>135.63999999999999</v>
      </c>
      <c r="Q7218" s="4">
        <f t="shared" si="112"/>
        <v>-59.486877027425543</v>
      </c>
      <c r="R7218" s="23" t="s">
        <v>109</v>
      </c>
    </row>
    <row r="7219" spans="1:18" x14ac:dyDescent="0.25">
      <c r="A7219" s="21">
        <v>45884</v>
      </c>
      <c r="B7219" s="1">
        <v>816688810</v>
      </c>
      <c r="C7219" t="s">
        <v>12738</v>
      </c>
      <c r="D7219" s="43">
        <v>-13448</v>
      </c>
      <c r="E7219" t="s">
        <v>35</v>
      </c>
      <c r="F7219" s="2">
        <v>212901001</v>
      </c>
      <c r="G7219" s="2" t="s">
        <v>121</v>
      </c>
      <c r="L7219" s="2" t="s">
        <v>12739</v>
      </c>
      <c r="M7219" t="s">
        <v>67</v>
      </c>
      <c r="N7219" t="s">
        <v>68</v>
      </c>
      <c r="P7219" s="23">
        <v>135.63999999999999</v>
      </c>
      <c r="Q7219" s="4">
        <f t="shared" si="112"/>
        <v>-99.144795045709245</v>
      </c>
      <c r="R7219" s="23" t="s">
        <v>109</v>
      </c>
    </row>
    <row r="7220" spans="1:18" x14ac:dyDescent="0.25">
      <c r="A7220" s="21">
        <v>45884</v>
      </c>
      <c r="B7220" s="1">
        <v>916688814</v>
      </c>
      <c r="C7220" t="s">
        <v>12740</v>
      </c>
      <c r="D7220" s="43">
        <v>-10758.4</v>
      </c>
      <c r="E7220" t="s">
        <v>35</v>
      </c>
      <c r="F7220" s="2">
        <v>212901001</v>
      </c>
      <c r="G7220" s="2" t="s">
        <v>121</v>
      </c>
      <c r="L7220" s="2" t="s">
        <v>12741</v>
      </c>
      <c r="M7220" t="s">
        <v>67</v>
      </c>
      <c r="N7220" t="s">
        <v>68</v>
      </c>
      <c r="P7220" s="23">
        <v>135.63999999999999</v>
      </c>
      <c r="Q7220" s="4">
        <f t="shared" si="112"/>
        <v>-79.31583603656739</v>
      </c>
      <c r="R7220" s="23" t="s">
        <v>109</v>
      </c>
    </row>
    <row r="7221" spans="1:18" x14ac:dyDescent="0.25">
      <c r="A7221" s="21">
        <v>45884</v>
      </c>
      <c r="B7221" s="1">
        <v>816688811</v>
      </c>
      <c r="C7221" t="s">
        <v>12742</v>
      </c>
      <c r="D7221" s="43">
        <v>-10758.4</v>
      </c>
      <c r="E7221" t="s">
        <v>35</v>
      </c>
      <c r="F7221" s="2">
        <v>212901001</v>
      </c>
      <c r="G7221" s="2" t="s">
        <v>121</v>
      </c>
      <c r="L7221" s="2" t="s">
        <v>12743</v>
      </c>
      <c r="M7221" t="s">
        <v>67</v>
      </c>
      <c r="N7221" t="s">
        <v>68</v>
      </c>
      <c r="P7221" s="23">
        <v>135.63999999999999</v>
      </c>
      <c r="Q7221" s="4">
        <f t="shared" si="112"/>
        <v>-79.31583603656739</v>
      </c>
      <c r="R7221" s="23" t="s">
        <v>109</v>
      </c>
    </row>
    <row r="7222" spans="1:18" x14ac:dyDescent="0.25">
      <c r="A7222" s="21">
        <v>45884</v>
      </c>
      <c r="B7222" s="1">
        <v>916688816</v>
      </c>
      <c r="C7222" t="s">
        <v>12744</v>
      </c>
      <c r="D7222" s="43">
        <v>-10758.4</v>
      </c>
      <c r="E7222" t="s">
        <v>35</v>
      </c>
      <c r="F7222" s="2">
        <v>212901001</v>
      </c>
      <c r="G7222" s="2" t="s">
        <v>121</v>
      </c>
      <c r="L7222" s="2" t="s">
        <v>12745</v>
      </c>
      <c r="M7222" t="s">
        <v>67</v>
      </c>
      <c r="N7222" t="s">
        <v>68</v>
      </c>
      <c r="P7222" s="23">
        <v>135.63999999999999</v>
      </c>
      <c r="Q7222" s="4">
        <f t="shared" si="112"/>
        <v>-79.31583603656739</v>
      </c>
      <c r="R7222" s="23" t="s">
        <v>109</v>
      </c>
    </row>
    <row r="7223" spans="1:18" x14ac:dyDescent="0.25">
      <c r="A7223" s="21">
        <v>45884</v>
      </c>
      <c r="B7223" s="1">
        <v>816688813</v>
      </c>
      <c r="C7223" t="s">
        <v>12746</v>
      </c>
      <c r="D7223" s="43">
        <v>-10758.4</v>
      </c>
      <c r="E7223" t="s">
        <v>35</v>
      </c>
      <c r="F7223" s="2">
        <v>212901001</v>
      </c>
      <c r="G7223" s="2" t="s">
        <v>121</v>
      </c>
      <c r="L7223" s="2" t="s">
        <v>12747</v>
      </c>
      <c r="M7223" t="s">
        <v>67</v>
      </c>
      <c r="N7223" t="s">
        <v>68</v>
      </c>
      <c r="P7223" s="23">
        <v>135.63999999999999</v>
      </c>
      <c r="Q7223" s="4">
        <f t="shared" si="112"/>
        <v>-79.31583603656739</v>
      </c>
      <c r="R7223" s="23" t="s">
        <v>109</v>
      </c>
    </row>
    <row r="7224" spans="1:18" x14ac:dyDescent="0.25">
      <c r="A7224" s="21">
        <v>45884</v>
      </c>
      <c r="B7224" s="1">
        <v>916688815</v>
      </c>
      <c r="C7224" t="s">
        <v>12748</v>
      </c>
      <c r="D7224" s="43">
        <v>-10758.4</v>
      </c>
      <c r="E7224" t="s">
        <v>35</v>
      </c>
      <c r="F7224" s="2">
        <v>212901001</v>
      </c>
      <c r="G7224" s="2" t="s">
        <v>121</v>
      </c>
      <c r="L7224" s="2" t="s">
        <v>12749</v>
      </c>
      <c r="M7224" t="s">
        <v>67</v>
      </c>
      <c r="N7224" t="s">
        <v>68</v>
      </c>
      <c r="P7224" s="23">
        <v>135.63999999999999</v>
      </c>
      <c r="Q7224" s="4">
        <f t="shared" si="112"/>
        <v>-79.31583603656739</v>
      </c>
      <c r="R7224" s="23" t="s">
        <v>109</v>
      </c>
    </row>
    <row r="7225" spans="1:18" x14ac:dyDescent="0.25">
      <c r="A7225" s="21">
        <v>45884</v>
      </c>
      <c r="B7225" s="1">
        <v>916688819</v>
      </c>
      <c r="C7225" t="s">
        <v>12750</v>
      </c>
      <c r="D7225" s="43">
        <v>-6724</v>
      </c>
      <c r="E7225" t="s">
        <v>35</v>
      </c>
      <c r="F7225" s="2">
        <v>212901001</v>
      </c>
      <c r="G7225" s="2" t="s">
        <v>121</v>
      </c>
      <c r="L7225" s="2" t="s">
        <v>12751</v>
      </c>
      <c r="M7225" t="s">
        <v>67</v>
      </c>
      <c r="N7225" t="s">
        <v>68</v>
      </c>
      <c r="P7225" s="23">
        <v>135.63999999999999</v>
      </c>
      <c r="Q7225" s="4">
        <f t="shared" si="112"/>
        <v>-49.572397522854622</v>
      </c>
      <c r="R7225" s="23" t="s">
        <v>109</v>
      </c>
    </row>
    <row r="7226" spans="1:18" x14ac:dyDescent="0.25">
      <c r="A7226" s="21">
        <v>45884</v>
      </c>
      <c r="B7226" s="1">
        <v>916688817</v>
      </c>
      <c r="C7226" t="s">
        <v>12752</v>
      </c>
      <c r="D7226" s="43">
        <v>-4572.32</v>
      </c>
      <c r="E7226" t="s">
        <v>35</v>
      </c>
      <c r="F7226" s="2">
        <v>212901001</v>
      </c>
      <c r="G7226" s="2" t="s">
        <v>121</v>
      </c>
      <c r="L7226" s="2" t="s">
        <v>12753</v>
      </c>
      <c r="M7226" t="s">
        <v>67</v>
      </c>
      <c r="N7226" t="s">
        <v>68</v>
      </c>
      <c r="P7226" s="23">
        <v>135.63999999999999</v>
      </c>
      <c r="Q7226" s="4">
        <f t="shared" si="112"/>
        <v>-33.709230315541141</v>
      </c>
      <c r="R7226" s="23" t="s">
        <v>109</v>
      </c>
    </row>
    <row r="7227" spans="1:18" x14ac:dyDescent="0.25">
      <c r="A7227" s="21">
        <v>45884</v>
      </c>
      <c r="B7227" s="1">
        <v>916688818</v>
      </c>
      <c r="C7227" t="s">
        <v>12754</v>
      </c>
      <c r="D7227" s="43">
        <v>-6724</v>
      </c>
      <c r="E7227" t="s">
        <v>35</v>
      </c>
      <c r="F7227" s="2">
        <v>212901001</v>
      </c>
      <c r="G7227" s="2" t="s">
        <v>121</v>
      </c>
      <c r="L7227" s="2" t="s">
        <v>12755</v>
      </c>
      <c r="M7227" t="s">
        <v>67</v>
      </c>
      <c r="N7227" t="s">
        <v>68</v>
      </c>
      <c r="P7227" s="23">
        <v>135.63999999999999</v>
      </c>
      <c r="Q7227" s="4">
        <f t="shared" si="112"/>
        <v>-49.572397522854622</v>
      </c>
      <c r="R7227" s="23" t="s">
        <v>109</v>
      </c>
    </row>
    <row r="7228" spans="1:18" x14ac:dyDescent="0.25">
      <c r="A7228" s="21">
        <v>45884</v>
      </c>
      <c r="B7228" s="1">
        <v>916688820</v>
      </c>
      <c r="C7228" t="s">
        <v>12756</v>
      </c>
      <c r="D7228" s="43">
        <v>-6724</v>
      </c>
      <c r="E7228" t="s">
        <v>35</v>
      </c>
      <c r="F7228" s="2">
        <v>212901001</v>
      </c>
      <c r="G7228" s="2" t="s">
        <v>121</v>
      </c>
      <c r="L7228" s="2" t="s">
        <v>12757</v>
      </c>
      <c r="M7228" t="s">
        <v>67</v>
      </c>
      <c r="N7228" t="s">
        <v>68</v>
      </c>
      <c r="P7228" s="23">
        <v>135.63999999999999</v>
      </c>
      <c r="Q7228" s="4">
        <f t="shared" si="112"/>
        <v>-49.572397522854622</v>
      </c>
      <c r="R7228" s="23" t="s">
        <v>109</v>
      </c>
    </row>
    <row r="7229" spans="1:18" x14ac:dyDescent="0.25">
      <c r="A7229" s="21">
        <v>45884</v>
      </c>
      <c r="B7229" s="1">
        <v>916688821</v>
      </c>
      <c r="C7229" t="s">
        <v>12758</v>
      </c>
      <c r="D7229" s="43">
        <v>-6724</v>
      </c>
      <c r="E7229" t="s">
        <v>35</v>
      </c>
      <c r="F7229" s="2">
        <v>212901001</v>
      </c>
      <c r="G7229" s="2" t="s">
        <v>121</v>
      </c>
      <c r="L7229" s="2" t="s">
        <v>12759</v>
      </c>
      <c r="M7229" t="s">
        <v>67</v>
      </c>
      <c r="N7229" t="s">
        <v>68</v>
      </c>
      <c r="P7229" s="23">
        <v>135.63999999999999</v>
      </c>
      <c r="Q7229" s="4">
        <f t="shared" si="112"/>
        <v>-49.572397522854622</v>
      </c>
      <c r="R7229" s="23" t="s">
        <v>109</v>
      </c>
    </row>
    <row r="7230" spans="1:18" x14ac:dyDescent="0.25">
      <c r="A7230" s="21">
        <v>45884</v>
      </c>
      <c r="B7230" s="1">
        <v>916688822</v>
      </c>
      <c r="C7230" t="s">
        <v>12760</v>
      </c>
      <c r="D7230" s="43">
        <v>-6724</v>
      </c>
      <c r="E7230" t="s">
        <v>35</v>
      </c>
      <c r="F7230" s="2">
        <v>212901001</v>
      </c>
      <c r="G7230" s="2" t="s">
        <v>121</v>
      </c>
      <c r="L7230" s="2" t="s">
        <v>12761</v>
      </c>
      <c r="M7230" t="s">
        <v>67</v>
      </c>
      <c r="N7230" t="s">
        <v>68</v>
      </c>
      <c r="P7230" s="23">
        <v>135.63999999999999</v>
      </c>
      <c r="Q7230" s="4">
        <f t="shared" si="112"/>
        <v>-49.572397522854622</v>
      </c>
      <c r="R7230" s="23" t="s">
        <v>109</v>
      </c>
    </row>
    <row r="7231" spans="1:18" x14ac:dyDescent="0.25">
      <c r="A7231" s="21">
        <v>45884</v>
      </c>
      <c r="B7231" s="1">
        <v>16688823</v>
      </c>
      <c r="C7231" t="s">
        <v>12762</v>
      </c>
      <c r="D7231" s="43">
        <v>-5379.2</v>
      </c>
      <c r="E7231" t="s">
        <v>35</v>
      </c>
      <c r="F7231" s="2">
        <v>212901001</v>
      </c>
      <c r="G7231" s="2" t="s">
        <v>121</v>
      </c>
      <c r="L7231" s="2" t="s">
        <v>12763</v>
      </c>
      <c r="M7231" t="s">
        <v>67</v>
      </c>
      <c r="N7231" t="s">
        <v>68</v>
      </c>
      <c r="P7231" s="23">
        <v>135.63999999999999</v>
      </c>
      <c r="Q7231" s="4">
        <f t="shared" si="112"/>
        <v>-39.657918018283695</v>
      </c>
      <c r="R7231" s="23" t="s">
        <v>109</v>
      </c>
    </row>
    <row r="7232" spans="1:18" x14ac:dyDescent="0.25">
      <c r="A7232" s="21">
        <v>45884</v>
      </c>
      <c r="B7232" s="1">
        <v>16688826</v>
      </c>
      <c r="C7232" t="s">
        <v>12764</v>
      </c>
      <c r="D7232" s="43">
        <v>-5379.2</v>
      </c>
      <c r="E7232" t="s">
        <v>35</v>
      </c>
      <c r="F7232" s="2">
        <v>212901001</v>
      </c>
      <c r="G7232" s="2" t="s">
        <v>121</v>
      </c>
      <c r="L7232" s="2" t="s">
        <v>12765</v>
      </c>
      <c r="M7232" t="s">
        <v>67</v>
      </c>
      <c r="N7232" t="s">
        <v>68</v>
      </c>
      <c r="P7232" s="23">
        <v>135.63999999999999</v>
      </c>
      <c r="Q7232" s="4">
        <f t="shared" si="112"/>
        <v>-39.657918018283695</v>
      </c>
      <c r="R7232" s="23" t="s">
        <v>109</v>
      </c>
    </row>
    <row r="7233" spans="1:18" x14ac:dyDescent="0.25">
      <c r="A7233" s="21">
        <v>45884</v>
      </c>
      <c r="B7233" s="1">
        <v>16688825</v>
      </c>
      <c r="C7233" t="s">
        <v>12766</v>
      </c>
      <c r="D7233" s="43">
        <v>-5379.2</v>
      </c>
      <c r="E7233" t="s">
        <v>35</v>
      </c>
      <c r="F7233" s="2">
        <v>212901001</v>
      </c>
      <c r="G7233" s="2" t="s">
        <v>121</v>
      </c>
      <c r="L7233" s="2" t="s">
        <v>12767</v>
      </c>
      <c r="M7233" t="s">
        <v>67</v>
      </c>
      <c r="N7233" t="s">
        <v>68</v>
      </c>
      <c r="P7233" s="23">
        <v>135.63999999999999</v>
      </c>
      <c r="Q7233" s="4">
        <f t="shared" si="112"/>
        <v>-39.657918018283695</v>
      </c>
      <c r="R7233" s="23" t="s">
        <v>109</v>
      </c>
    </row>
    <row r="7234" spans="1:18" x14ac:dyDescent="0.25">
      <c r="A7234" s="21">
        <v>45884</v>
      </c>
      <c r="B7234" s="1">
        <v>16688824</v>
      </c>
      <c r="C7234" t="s">
        <v>12768</v>
      </c>
      <c r="D7234" s="43">
        <v>-5379.2</v>
      </c>
      <c r="E7234" t="s">
        <v>35</v>
      </c>
      <c r="F7234" s="2">
        <v>212901001</v>
      </c>
      <c r="G7234" s="2" t="s">
        <v>121</v>
      </c>
      <c r="L7234" s="2" t="s">
        <v>12769</v>
      </c>
      <c r="M7234" t="s">
        <v>67</v>
      </c>
      <c r="N7234" t="s">
        <v>68</v>
      </c>
      <c r="P7234" s="23">
        <v>135.63999999999999</v>
      </c>
      <c r="Q7234" s="4">
        <f t="shared" si="112"/>
        <v>-39.657918018283695</v>
      </c>
      <c r="R7234" s="23" t="s">
        <v>109</v>
      </c>
    </row>
    <row r="7235" spans="1:18" x14ac:dyDescent="0.25">
      <c r="A7235" s="21">
        <v>45884</v>
      </c>
      <c r="B7235" s="1">
        <v>16688827</v>
      </c>
      <c r="C7235" t="s">
        <v>12770</v>
      </c>
      <c r="D7235" s="43">
        <v>-5379.2</v>
      </c>
      <c r="E7235" t="s">
        <v>35</v>
      </c>
      <c r="F7235" s="2">
        <v>212901001</v>
      </c>
      <c r="G7235" s="2" t="s">
        <v>121</v>
      </c>
      <c r="L7235" s="2" t="s">
        <v>12771</v>
      </c>
      <c r="M7235" t="s">
        <v>67</v>
      </c>
      <c r="N7235" t="s">
        <v>68</v>
      </c>
      <c r="P7235" s="23">
        <v>135.63999999999999</v>
      </c>
      <c r="Q7235" s="4">
        <f t="shared" si="112"/>
        <v>-39.657918018283695</v>
      </c>
      <c r="R7235" s="23" t="s">
        <v>109</v>
      </c>
    </row>
    <row r="7236" spans="1:18" x14ac:dyDescent="0.25">
      <c r="A7236" s="21">
        <v>45884</v>
      </c>
      <c r="B7236" s="1">
        <v>16688832</v>
      </c>
      <c r="C7236" t="s">
        <v>12772</v>
      </c>
      <c r="D7236" s="43">
        <v>-20172</v>
      </c>
      <c r="E7236" t="s">
        <v>35</v>
      </c>
      <c r="F7236" s="2">
        <v>212901001</v>
      </c>
      <c r="G7236" s="2" t="s">
        <v>121</v>
      </c>
      <c r="L7236" s="2" t="s">
        <v>12773</v>
      </c>
      <c r="M7236" t="s">
        <v>67</v>
      </c>
      <c r="N7236" t="s">
        <v>68</v>
      </c>
      <c r="P7236" s="23">
        <v>135.63999999999999</v>
      </c>
      <c r="Q7236" s="4">
        <f t="shared" si="112"/>
        <v>-148.71719256856386</v>
      </c>
      <c r="R7236" s="23" t="s">
        <v>109</v>
      </c>
    </row>
    <row r="7237" spans="1:18" x14ac:dyDescent="0.25">
      <c r="A7237" s="21">
        <v>45884</v>
      </c>
      <c r="B7237" s="1">
        <v>16688831</v>
      </c>
      <c r="C7237" t="s">
        <v>12774</v>
      </c>
      <c r="D7237" s="43">
        <v>-13448</v>
      </c>
      <c r="E7237" t="s">
        <v>35</v>
      </c>
      <c r="F7237" s="2">
        <v>212901001</v>
      </c>
      <c r="G7237" s="2" t="s">
        <v>121</v>
      </c>
      <c r="L7237" s="2" t="s">
        <v>12775</v>
      </c>
      <c r="M7237" t="s">
        <v>67</v>
      </c>
      <c r="N7237" t="s">
        <v>68</v>
      </c>
      <c r="P7237" s="23">
        <v>135.63999999999999</v>
      </c>
      <c r="Q7237" s="4">
        <f t="shared" si="112"/>
        <v>-99.144795045709245</v>
      </c>
      <c r="R7237" s="23" t="s">
        <v>109</v>
      </c>
    </row>
    <row r="7238" spans="1:18" x14ac:dyDescent="0.25">
      <c r="A7238" s="21">
        <v>45884</v>
      </c>
      <c r="B7238" s="1">
        <v>16688830</v>
      </c>
      <c r="C7238" t="s">
        <v>12776</v>
      </c>
      <c r="D7238" s="43">
        <v>-13448</v>
      </c>
      <c r="E7238" t="s">
        <v>35</v>
      </c>
      <c r="F7238" s="2">
        <v>212901001</v>
      </c>
      <c r="G7238" s="2" t="s">
        <v>121</v>
      </c>
      <c r="L7238" s="2" t="s">
        <v>12777</v>
      </c>
      <c r="M7238" t="s">
        <v>67</v>
      </c>
      <c r="N7238" t="s">
        <v>68</v>
      </c>
      <c r="P7238" s="23">
        <v>135.63999999999999</v>
      </c>
      <c r="Q7238" s="4">
        <f t="shared" si="112"/>
        <v>-99.144795045709245</v>
      </c>
      <c r="R7238" s="23" t="s">
        <v>109</v>
      </c>
    </row>
    <row r="7239" spans="1:18" x14ac:dyDescent="0.25">
      <c r="A7239" s="21">
        <v>45884</v>
      </c>
      <c r="B7239" s="1">
        <v>16688829</v>
      </c>
      <c r="C7239" t="s">
        <v>12778</v>
      </c>
      <c r="D7239" s="43">
        <v>-5379.2</v>
      </c>
      <c r="E7239" t="s">
        <v>35</v>
      </c>
      <c r="F7239" s="2">
        <v>212901001</v>
      </c>
      <c r="G7239" s="2" t="s">
        <v>121</v>
      </c>
      <c r="L7239" s="2" t="s">
        <v>12779</v>
      </c>
      <c r="M7239" t="s">
        <v>67</v>
      </c>
      <c r="N7239" t="s">
        <v>68</v>
      </c>
      <c r="P7239" s="23">
        <v>135.63999999999999</v>
      </c>
      <c r="Q7239" s="4">
        <f t="shared" si="112"/>
        <v>-39.657918018283695</v>
      </c>
      <c r="R7239" s="23" t="s">
        <v>109</v>
      </c>
    </row>
    <row r="7240" spans="1:18" x14ac:dyDescent="0.25">
      <c r="A7240" s="21">
        <v>45884</v>
      </c>
      <c r="B7240" s="1">
        <v>116688833</v>
      </c>
      <c r="C7240" t="s">
        <v>12780</v>
      </c>
      <c r="D7240" s="43">
        <v>-14792.8</v>
      </c>
      <c r="E7240" t="s">
        <v>35</v>
      </c>
      <c r="F7240" s="2">
        <v>212901001</v>
      </c>
      <c r="G7240" s="2" t="s">
        <v>121</v>
      </c>
      <c r="L7240" s="2" t="s">
        <v>12781</v>
      </c>
      <c r="M7240" t="s">
        <v>67</v>
      </c>
      <c r="N7240" t="s">
        <v>68</v>
      </c>
      <c r="P7240" s="23">
        <v>135.63999999999999</v>
      </c>
      <c r="Q7240" s="4">
        <f t="shared" si="112"/>
        <v>-109.05927455028016</v>
      </c>
      <c r="R7240" s="23" t="s">
        <v>109</v>
      </c>
    </row>
    <row r="7241" spans="1:18" x14ac:dyDescent="0.25">
      <c r="A7241" s="21">
        <v>45884</v>
      </c>
      <c r="B7241" s="1">
        <v>16688828</v>
      </c>
      <c r="C7241" t="s">
        <v>12782</v>
      </c>
      <c r="D7241" s="43">
        <v>-5379.2</v>
      </c>
      <c r="E7241" t="s">
        <v>35</v>
      </c>
      <c r="F7241" s="2">
        <v>212901001</v>
      </c>
      <c r="G7241" s="2" t="s">
        <v>121</v>
      </c>
      <c r="L7241" s="2" t="s">
        <v>12783</v>
      </c>
      <c r="M7241" t="s">
        <v>67</v>
      </c>
      <c r="N7241" t="s">
        <v>68</v>
      </c>
      <c r="P7241" s="23">
        <v>135.63999999999999</v>
      </c>
      <c r="Q7241" s="4">
        <f t="shared" si="112"/>
        <v>-39.657918018283695</v>
      </c>
      <c r="R7241" s="23" t="s">
        <v>109</v>
      </c>
    </row>
    <row r="7242" spans="1:18" x14ac:dyDescent="0.25">
      <c r="A7242" s="21">
        <v>45884</v>
      </c>
      <c r="B7242" s="1">
        <v>116688835</v>
      </c>
      <c r="C7242" t="s">
        <v>12784</v>
      </c>
      <c r="D7242" s="43">
        <v>-13448</v>
      </c>
      <c r="E7242" t="s">
        <v>35</v>
      </c>
      <c r="F7242" s="2">
        <v>212901001</v>
      </c>
      <c r="G7242" s="2" t="s">
        <v>121</v>
      </c>
      <c r="L7242" s="2" t="s">
        <v>12785</v>
      </c>
      <c r="M7242" t="s">
        <v>67</v>
      </c>
      <c r="N7242" t="s">
        <v>68</v>
      </c>
      <c r="P7242" s="23">
        <v>135.63999999999999</v>
      </c>
      <c r="Q7242" s="4">
        <f t="shared" si="112"/>
        <v>-99.144795045709245</v>
      </c>
      <c r="R7242" s="23" t="s">
        <v>109</v>
      </c>
    </row>
    <row r="7243" spans="1:18" x14ac:dyDescent="0.25">
      <c r="A7243" s="21">
        <v>45884</v>
      </c>
      <c r="B7243" s="1">
        <v>116688836</v>
      </c>
      <c r="C7243" t="s">
        <v>12786</v>
      </c>
      <c r="D7243" s="43">
        <v>-9413.6</v>
      </c>
      <c r="E7243" t="s">
        <v>35</v>
      </c>
      <c r="F7243" s="2">
        <v>212901001</v>
      </c>
      <c r="G7243" s="2" t="s">
        <v>121</v>
      </c>
      <c r="L7243" s="2" t="s">
        <v>12787</v>
      </c>
      <c r="M7243" t="s">
        <v>67</v>
      </c>
      <c r="N7243" t="s">
        <v>68</v>
      </c>
      <c r="P7243" s="23">
        <v>135.63999999999999</v>
      </c>
      <c r="Q7243" s="4">
        <f t="shared" ref="Q7243:Q7306" si="113">D7243/P7243</f>
        <v>-69.40135653199647</v>
      </c>
      <c r="R7243" s="23" t="s">
        <v>109</v>
      </c>
    </row>
    <row r="7244" spans="1:18" x14ac:dyDescent="0.25">
      <c r="A7244" s="21">
        <v>45884</v>
      </c>
      <c r="B7244" s="1">
        <v>116688837</v>
      </c>
      <c r="C7244" t="s">
        <v>12788</v>
      </c>
      <c r="D7244" s="43">
        <v>-9413.6</v>
      </c>
      <c r="E7244" t="s">
        <v>35</v>
      </c>
      <c r="F7244" s="2">
        <v>212901001</v>
      </c>
      <c r="G7244" s="2" t="s">
        <v>121</v>
      </c>
      <c r="L7244" s="2" t="s">
        <v>12789</v>
      </c>
      <c r="M7244" t="s">
        <v>67</v>
      </c>
      <c r="N7244" t="s">
        <v>68</v>
      </c>
      <c r="P7244" s="23">
        <v>135.63999999999999</v>
      </c>
      <c r="Q7244" s="4">
        <f t="shared" si="113"/>
        <v>-69.40135653199647</v>
      </c>
      <c r="R7244" s="23" t="s">
        <v>109</v>
      </c>
    </row>
    <row r="7245" spans="1:18" x14ac:dyDescent="0.25">
      <c r="A7245" s="21">
        <v>45884</v>
      </c>
      <c r="B7245" s="1">
        <v>116688838</v>
      </c>
      <c r="C7245" t="s">
        <v>12790</v>
      </c>
      <c r="D7245" s="43">
        <v>-6724</v>
      </c>
      <c r="E7245" t="s">
        <v>35</v>
      </c>
      <c r="F7245" s="2">
        <v>212901001</v>
      </c>
      <c r="G7245" s="2" t="s">
        <v>121</v>
      </c>
      <c r="L7245" s="2" t="s">
        <v>12791</v>
      </c>
      <c r="M7245" t="s">
        <v>67</v>
      </c>
      <c r="N7245" t="s">
        <v>68</v>
      </c>
      <c r="P7245" s="23">
        <v>135.63999999999999</v>
      </c>
      <c r="Q7245" s="4">
        <f t="shared" si="113"/>
        <v>-49.572397522854622</v>
      </c>
      <c r="R7245" s="23" t="s">
        <v>109</v>
      </c>
    </row>
    <row r="7246" spans="1:18" x14ac:dyDescent="0.25">
      <c r="A7246" s="21">
        <v>45884</v>
      </c>
      <c r="B7246" s="1">
        <v>116688840</v>
      </c>
      <c r="C7246" t="s">
        <v>12792</v>
      </c>
      <c r="D7246" s="43">
        <v>-6724</v>
      </c>
      <c r="E7246" t="s">
        <v>35</v>
      </c>
      <c r="F7246" s="2">
        <v>212901001</v>
      </c>
      <c r="G7246" s="2" t="s">
        <v>121</v>
      </c>
      <c r="L7246" s="2" t="s">
        <v>12793</v>
      </c>
      <c r="M7246" t="s">
        <v>67</v>
      </c>
      <c r="N7246" t="s">
        <v>68</v>
      </c>
      <c r="P7246" s="23">
        <v>135.63999999999999</v>
      </c>
      <c r="Q7246" s="4">
        <f t="shared" si="113"/>
        <v>-49.572397522854622</v>
      </c>
      <c r="R7246" s="23" t="s">
        <v>109</v>
      </c>
    </row>
    <row r="7247" spans="1:18" x14ac:dyDescent="0.25">
      <c r="A7247" s="21">
        <v>45884</v>
      </c>
      <c r="B7247" s="1">
        <v>116688841</v>
      </c>
      <c r="C7247" t="s">
        <v>12794</v>
      </c>
      <c r="D7247" s="43">
        <v>-6724</v>
      </c>
      <c r="E7247" t="s">
        <v>35</v>
      </c>
      <c r="F7247" s="2">
        <v>212901001</v>
      </c>
      <c r="G7247" s="2" t="s">
        <v>121</v>
      </c>
      <c r="L7247" s="2" t="s">
        <v>12795</v>
      </c>
      <c r="M7247" t="s">
        <v>67</v>
      </c>
      <c r="N7247" t="s">
        <v>68</v>
      </c>
      <c r="P7247" s="23">
        <v>135.63999999999999</v>
      </c>
      <c r="Q7247" s="4">
        <f t="shared" si="113"/>
        <v>-49.572397522854622</v>
      </c>
      <c r="R7247" s="23" t="s">
        <v>109</v>
      </c>
    </row>
    <row r="7248" spans="1:18" x14ac:dyDescent="0.25">
      <c r="A7248" s="21">
        <v>45884</v>
      </c>
      <c r="B7248" s="1">
        <v>216688843</v>
      </c>
      <c r="C7248" t="s">
        <v>12796</v>
      </c>
      <c r="D7248" s="43">
        <v>-6724</v>
      </c>
      <c r="E7248" t="s">
        <v>35</v>
      </c>
      <c r="F7248" s="2">
        <v>212901001</v>
      </c>
      <c r="G7248" s="2" t="s">
        <v>121</v>
      </c>
      <c r="L7248" s="2" t="s">
        <v>12797</v>
      </c>
      <c r="M7248" t="s">
        <v>67</v>
      </c>
      <c r="N7248" t="s">
        <v>68</v>
      </c>
      <c r="P7248" s="23">
        <v>135.63999999999999</v>
      </c>
      <c r="Q7248" s="4">
        <f t="shared" si="113"/>
        <v>-49.572397522854622</v>
      </c>
      <c r="R7248" s="23" t="s">
        <v>109</v>
      </c>
    </row>
    <row r="7249" spans="1:18" x14ac:dyDescent="0.25">
      <c r="A7249" s="21">
        <v>45884</v>
      </c>
      <c r="B7249" s="1">
        <v>116688839</v>
      </c>
      <c r="C7249" t="s">
        <v>12798</v>
      </c>
      <c r="D7249" s="43">
        <v>-9413.6</v>
      </c>
      <c r="E7249" t="s">
        <v>35</v>
      </c>
      <c r="F7249" s="2">
        <v>212901001</v>
      </c>
      <c r="G7249" s="2" t="s">
        <v>121</v>
      </c>
      <c r="L7249" s="2" t="s">
        <v>12799</v>
      </c>
      <c r="M7249" t="s">
        <v>67</v>
      </c>
      <c r="N7249" t="s">
        <v>68</v>
      </c>
      <c r="P7249" s="23">
        <v>135.63999999999999</v>
      </c>
      <c r="Q7249" s="4">
        <f t="shared" si="113"/>
        <v>-69.40135653199647</v>
      </c>
      <c r="R7249" s="23" t="s">
        <v>109</v>
      </c>
    </row>
    <row r="7250" spans="1:18" x14ac:dyDescent="0.25">
      <c r="A7250" s="21">
        <v>45884</v>
      </c>
      <c r="B7250" s="1">
        <v>216688845</v>
      </c>
      <c r="C7250" t="s">
        <v>12800</v>
      </c>
      <c r="D7250" s="43">
        <v>-6724</v>
      </c>
      <c r="E7250" t="s">
        <v>35</v>
      </c>
      <c r="F7250" s="2">
        <v>212901001</v>
      </c>
      <c r="G7250" s="2" t="s">
        <v>121</v>
      </c>
      <c r="L7250" s="2" t="s">
        <v>12801</v>
      </c>
      <c r="M7250" t="s">
        <v>67</v>
      </c>
      <c r="N7250" t="s">
        <v>68</v>
      </c>
      <c r="P7250" s="23">
        <v>135.63999999999999</v>
      </c>
      <c r="Q7250" s="4">
        <f t="shared" si="113"/>
        <v>-49.572397522854622</v>
      </c>
      <c r="R7250" s="23" t="s">
        <v>109</v>
      </c>
    </row>
    <row r="7251" spans="1:18" x14ac:dyDescent="0.25">
      <c r="A7251" s="21">
        <v>45884</v>
      </c>
      <c r="B7251" s="1">
        <v>216688842</v>
      </c>
      <c r="C7251" t="s">
        <v>12798</v>
      </c>
      <c r="D7251" s="43">
        <v>-6724</v>
      </c>
      <c r="E7251" t="s">
        <v>35</v>
      </c>
      <c r="F7251" s="2">
        <v>212901001</v>
      </c>
      <c r="G7251" s="2" t="s">
        <v>121</v>
      </c>
      <c r="L7251" s="2" t="s">
        <v>12802</v>
      </c>
      <c r="M7251" t="s">
        <v>67</v>
      </c>
      <c r="N7251" t="s">
        <v>68</v>
      </c>
      <c r="P7251" s="23">
        <v>135.63999999999999</v>
      </c>
      <c r="Q7251" s="4">
        <f t="shared" si="113"/>
        <v>-49.572397522854622</v>
      </c>
      <c r="R7251" s="23" t="s">
        <v>109</v>
      </c>
    </row>
    <row r="7252" spans="1:18" x14ac:dyDescent="0.25">
      <c r="A7252" s="21">
        <v>45884</v>
      </c>
      <c r="B7252" s="1">
        <v>216688844</v>
      </c>
      <c r="C7252" t="s">
        <v>12803</v>
      </c>
      <c r="D7252" s="43">
        <v>-6724</v>
      </c>
      <c r="E7252" t="s">
        <v>35</v>
      </c>
      <c r="F7252" s="2">
        <v>212901001</v>
      </c>
      <c r="G7252" s="2" t="s">
        <v>121</v>
      </c>
      <c r="L7252" s="2" t="s">
        <v>12804</v>
      </c>
      <c r="M7252" t="s">
        <v>67</v>
      </c>
      <c r="N7252" t="s">
        <v>68</v>
      </c>
      <c r="P7252" s="23">
        <v>135.63999999999999</v>
      </c>
      <c r="Q7252" s="4">
        <f t="shared" si="113"/>
        <v>-49.572397522854622</v>
      </c>
      <c r="R7252" s="23" t="s">
        <v>109</v>
      </c>
    </row>
    <row r="7253" spans="1:18" x14ac:dyDescent="0.25">
      <c r="A7253" s="21">
        <v>45884</v>
      </c>
      <c r="B7253" s="1">
        <v>216688849</v>
      </c>
      <c r="C7253" t="s">
        <v>12805</v>
      </c>
      <c r="D7253" s="43">
        <v>-6724</v>
      </c>
      <c r="E7253" t="s">
        <v>35</v>
      </c>
      <c r="F7253" s="2">
        <v>212901001</v>
      </c>
      <c r="G7253" s="2" t="s">
        <v>121</v>
      </c>
      <c r="L7253" s="2" t="s">
        <v>12806</v>
      </c>
      <c r="M7253" t="s">
        <v>67</v>
      </c>
      <c r="N7253" t="s">
        <v>68</v>
      </c>
      <c r="P7253" s="23">
        <v>135.63999999999999</v>
      </c>
      <c r="Q7253" s="4">
        <f t="shared" si="113"/>
        <v>-49.572397522854622</v>
      </c>
      <c r="R7253" s="23" t="s">
        <v>109</v>
      </c>
    </row>
    <row r="7254" spans="1:18" x14ac:dyDescent="0.25">
      <c r="A7254" s="21">
        <v>45884</v>
      </c>
      <c r="B7254" s="1">
        <v>216688851</v>
      </c>
      <c r="C7254" t="s">
        <v>12807</v>
      </c>
      <c r="D7254" s="43">
        <v>-6724</v>
      </c>
      <c r="E7254" t="s">
        <v>35</v>
      </c>
      <c r="F7254" s="2">
        <v>212901001</v>
      </c>
      <c r="G7254" s="2" t="s">
        <v>121</v>
      </c>
      <c r="L7254" s="2" t="s">
        <v>12808</v>
      </c>
      <c r="M7254" t="s">
        <v>67</v>
      </c>
      <c r="N7254" t="s">
        <v>68</v>
      </c>
      <c r="P7254" s="23">
        <v>135.63999999999999</v>
      </c>
      <c r="Q7254" s="4">
        <f t="shared" si="113"/>
        <v>-49.572397522854622</v>
      </c>
      <c r="R7254" s="23" t="s">
        <v>109</v>
      </c>
    </row>
    <row r="7255" spans="1:18" x14ac:dyDescent="0.25">
      <c r="A7255" s="21">
        <v>45884</v>
      </c>
      <c r="B7255" s="1">
        <v>216688847</v>
      </c>
      <c r="C7255" t="s">
        <v>12809</v>
      </c>
      <c r="D7255" s="43">
        <v>-6724</v>
      </c>
      <c r="E7255" t="s">
        <v>35</v>
      </c>
      <c r="F7255" s="2">
        <v>212901001</v>
      </c>
      <c r="G7255" s="2" t="s">
        <v>121</v>
      </c>
      <c r="L7255" s="2" t="s">
        <v>12810</v>
      </c>
      <c r="M7255" t="s">
        <v>67</v>
      </c>
      <c r="N7255" t="s">
        <v>68</v>
      </c>
      <c r="P7255" s="23">
        <v>135.63999999999999</v>
      </c>
      <c r="Q7255" s="4">
        <f t="shared" si="113"/>
        <v>-49.572397522854622</v>
      </c>
      <c r="R7255" s="23" t="s">
        <v>109</v>
      </c>
    </row>
    <row r="7256" spans="1:18" x14ac:dyDescent="0.25">
      <c r="A7256" s="21">
        <v>45884</v>
      </c>
      <c r="B7256" s="1">
        <v>216688852</v>
      </c>
      <c r="C7256" t="s">
        <v>12811</v>
      </c>
      <c r="D7256" s="43">
        <v>-6724</v>
      </c>
      <c r="E7256" t="s">
        <v>35</v>
      </c>
      <c r="F7256" s="2">
        <v>212901001</v>
      </c>
      <c r="G7256" s="2" t="s">
        <v>121</v>
      </c>
      <c r="L7256" s="2" t="s">
        <v>12812</v>
      </c>
      <c r="M7256" t="s">
        <v>67</v>
      </c>
      <c r="N7256" t="s">
        <v>68</v>
      </c>
      <c r="P7256" s="23">
        <v>135.63999999999999</v>
      </c>
      <c r="Q7256" s="4">
        <f t="shared" si="113"/>
        <v>-49.572397522854622</v>
      </c>
      <c r="R7256" s="23" t="s">
        <v>109</v>
      </c>
    </row>
    <row r="7257" spans="1:18" x14ac:dyDescent="0.25">
      <c r="A7257" s="21">
        <v>45884</v>
      </c>
      <c r="B7257" s="1">
        <v>316688857</v>
      </c>
      <c r="C7257" t="s">
        <v>12813</v>
      </c>
      <c r="D7257" s="43">
        <v>-6724</v>
      </c>
      <c r="E7257" t="s">
        <v>35</v>
      </c>
      <c r="F7257" s="2">
        <v>212901001</v>
      </c>
      <c r="G7257" s="2" t="s">
        <v>121</v>
      </c>
      <c r="L7257" s="2" t="s">
        <v>12814</v>
      </c>
      <c r="M7257" t="s">
        <v>67</v>
      </c>
      <c r="N7257" t="s">
        <v>68</v>
      </c>
      <c r="P7257" s="23">
        <v>135.63999999999999</v>
      </c>
      <c r="Q7257" s="4">
        <f t="shared" si="113"/>
        <v>-49.572397522854622</v>
      </c>
      <c r="R7257" s="23" t="s">
        <v>109</v>
      </c>
    </row>
    <row r="7258" spans="1:18" x14ac:dyDescent="0.25">
      <c r="A7258" s="21">
        <v>45884</v>
      </c>
      <c r="B7258" s="1">
        <v>316688859</v>
      </c>
      <c r="C7258" t="s">
        <v>12815</v>
      </c>
      <c r="D7258" s="43">
        <v>-6724</v>
      </c>
      <c r="E7258" t="s">
        <v>35</v>
      </c>
      <c r="F7258" s="2">
        <v>212901001</v>
      </c>
      <c r="G7258" s="2" t="s">
        <v>121</v>
      </c>
      <c r="L7258" s="2" t="s">
        <v>12816</v>
      </c>
      <c r="M7258" t="s">
        <v>67</v>
      </c>
      <c r="N7258" t="s">
        <v>68</v>
      </c>
      <c r="P7258" s="23">
        <v>135.63999999999999</v>
      </c>
      <c r="Q7258" s="4">
        <f t="shared" si="113"/>
        <v>-49.572397522854622</v>
      </c>
      <c r="R7258" s="23" t="s">
        <v>109</v>
      </c>
    </row>
    <row r="7259" spans="1:18" x14ac:dyDescent="0.25">
      <c r="A7259" s="21">
        <v>45884</v>
      </c>
      <c r="B7259" s="1">
        <v>316688855</v>
      </c>
      <c r="C7259" t="s">
        <v>12817</v>
      </c>
      <c r="D7259" s="43">
        <v>-6724</v>
      </c>
      <c r="E7259" t="s">
        <v>35</v>
      </c>
      <c r="F7259" s="2">
        <v>212901001</v>
      </c>
      <c r="G7259" s="2" t="s">
        <v>121</v>
      </c>
      <c r="L7259" s="2" t="s">
        <v>12818</v>
      </c>
      <c r="M7259" t="s">
        <v>67</v>
      </c>
      <c r="N7259" t="s">
        <v>68</v>
      </c>
      <c r="P7259" s="23">
        <v>135.63999999999999</v>
      </c>
      <c r="Q7259" s="4">
        <f t="shared" si="113"/>
        <v>-49.572397522854622</v>
      </c>
      <c r="R7259" s="23" t="s">
        <v>109</v>
      </c>
    </row>
    <row r="7260" spans="1:18" x14ac:dyDescent="0.25">
      <c r="A7260" s="21">
        <v>45884</v>
      </c>
      <c r="B7260" s="1">
        <v>316688864</v>
      </c>
      <c r="C7260" t="s">
        <v>12819</v>
      </c>
      <c r="D7260" s="43">
        <v>-2689.6</v>
      </c>
      <c r="E7260" t="s">
        <v>35</v>
      </c>
      <c r="F7260" s="2">
        <v>212901001</v>
      </c>
      <c r="G7260" s="2" t="s">
        <v>121</v>
      </c>
      <c r="L7260" s="2" t="s">
        <v>12820</v>
      </c>
      <c r="M7260" t="s">
        <v>67</v>
      </c>
      <c r="N7260" t="s">
        <v>68</v>
      </c>
      <c r="P7260" s="23">
        <v>135.63999999999999</v>
      </c>
      <c r="Q7260" s="4">
        <f t="shared" si="113"/>
        <v>-19.828959009141848</v>
      </c>
      <c r="R7260" s="23" t="s">
        <v>109</v>
      </c>
    </row>
    <row r="7261" spans="1:18" x14ac:dyDescent="0.25">
      <c r="A7261" s="21">
        <v>45884</v>
      </c>
      <c r="B7261" s="1">
        <v>116688834</v>
      </c>
      <c r="C7261" t="s">
        <v>12821</v>
      </c>
      <c r="D7261" s="43">
        <v>-10758.4</v>
      </c>
      <c r="E7261" t="s">
        <v>35</v>
      </c>
      <c r="F7261" s="2">
        <v>212901001</v>
      </c>
      <c r="G7261" s="2" t="s">
        <v>121</v>
      </c>
      <c r="L7261" s="2" t="s">
        <v>12822</v>
      </c>
      <c r="M7261" t="s">
        <v>67</v>
      </c>
      <c r="N7261" t="s">
        <v>68</v>
      </c>
      <c r="P7261" s="23">
        <v>135.63999999999999</v>
      </c>
      <c r="Q7261" s="4">
        <f t="shared" si="113"/>
        <v>-79.31583603656739</v>
      </c>
      <c r="R7261" s="23" t="s">
        <v>109</v>
      </c>
    </row>
    <row r="7262" spans="1:18" x14ac:dyDescent="0.25">
      <c r="A7262" s="21">
        <v>45884</v>
      </c>
      <c r="B7262" s="1">
        <v>316688865</v>
      </c>
      <c r="C7262" t="s">
        <v>12823</v>
      </c>
      <c r="D7262" s="43">
        <v>-2689.6</v>
      </c>
      <c r="E7262" t="s">
        <v>35</v>
      </c>
      <c r="F7262" s="2">
        <v>212901001</v>
      </c>
      <c r="G7262" s="2" t="s">
        <v>121</v>
      </c>
      <c r="L7262" s="2" t="s">
        <v>12824</v>
      </c>
      <c r="M7262" t="s">
        <v>67</v>
      </c>
      <c r="N7262" t="s">
        <v>68</v>
      </c>
      <c r="P7262" s="23">
        <v>135.63999999999999</v>
      </c>
      <c r="Q7262" s="4">
        <f t="shared" si="113"/>
        <v>-19.828959009141848</v>
      </c>
      <c r="R7262" s="23" t="s">
        <v>109</v>
      </c>
    </row>
    <row r="7263" spans="1:18" x14ac:dyDescent="0.25">
      <c r="A7263" s="21">
        <v>45884</v>
      </c>
      <c r="B7263" s="1">
        <v>316688863</v>
      </c>
      <c r="C7263" t="s">
        <v>12825</v>
      </c>
      <c r="D7263" s="43">
        <v>-2689.6</v>
      </c>
      <c r="E7263" t="s">
        <v>35</v>
      </c>
      <c r="F7263" s="2">
        <v>212901001</v>
      </c>
      <c r="G7263" s="2" t="s">
        <v>121</v>
      </c>
      <c r="L7263" s="2" t="s">
        <v>12826</v>
      </c>
      <c r="M7263" t="s">
        <v>67</v>
      </c>
      <c r="N7263" t="s">
        <v>68</v>
      </c>
      <c r="P7263" s="23">
        <v>135.63999999999999</v>
      </c>
      <c r="Q7263" s="4">
        <f t="shared" si="113"/>
        <v>-19.828959009141848</v>
      </c>
      <c r="R7263" s="23" t="s">
        <v>109</v>
      </c>
    </row>
    <row r="7264" spans="1:18" x14ac:dyDescent="0.25">
      <c r="A7264" s="21">
        <v>45884</v>
      </c>
      <c r="B7264" s="1">
        <v>316688867</v>
      </c>
      <c r="C7264" t="s">
        <v>12827</v>
      </c>
      <c r="D7264" s="43">
        <v>-13448</v>
      </c>
      <c r="E7264" t="s">
        <v>35</v>
      </c>
      <c r="F7264" s="2">
        <v>212901001</v>
      </c>
      <c r="G7264" s="2" t="s">
        <v>121</v>
      </c>
      <c r="L7264" s="2" t="s">
        <v>12828</v>
      </c>
      <c r="M7264" t="s">
        <v>67</v>
      </c>
      <c r="N7264" t="s">
        <v>68</v>
      </c>
      <c r="P7264" s="23">
        <v>135.63999999999999</v>
      </c>
      <c r="Q7264" s="4">
        <f t="shared" si="113"/>
        <v>-99.144795045709245</v>
      </c>
      <c r="R7264" s="23" t="s">
        <v>109</v>
      </c>
    </row>
    <row r="7265" spans="1:20" x14ac:dyDescent="0.25">
      <c r="A7265" s="21">
        <v>45884</v>
      </c>
      <c r="B7265" s="1">
        <v>316688868</v>
      </c>
      <c r="C7265" t="s">
        <v>12829</v>
      </c>
      <c r="D7265" s="43">
        <v>-26896</v>
      </c>
      <c r="E7265" t="s">
        <v>35</v>
      </c>
      <c r="F7265" s="2">
        <v>212901001</v>
      </c>
      <c r="G7265" s="2" t="s">
        <v>121</v>
      </c>
      <c r="L7265" s="2" t="s">
        <v>12830</v>
      </c>
      <c r="M7265" t="s">
        <v>67</v>
      </c>
      <c r="N7265" t="s">
        <v>68</v>
      </c>
      <c r="P7265" s="23">
        <v>135.63999999999999</v>
      </c>
      <c r="Q7265" s="4">
        <f t="shared" si="113"/>
        <v>-198.28959009141849</v>
      </c>
      <c r="R7265" s="23" t="s">
        <v>109</v>
      </c>
    </row>
    <row r="7266" spans="1:20" x14ac:dyDescent="0.25">
      <c r="A7266" s="21">
        <v>45884</v>
      </c>
      <c r="B7266" s="1">
        <v>416688870</v>
      </c>
      <c r="C7266" t="s">
        <v>12831</v>
      </c>
      <c r="D7266" s="43">
        <v>-17213.439999999999</v>
      </c>
      <c r="E7266" t="s">
        <v>35</v>
      </c>
      <c r="F7266" s="2">
        <v>212901001</v>
      </c>
      <c r="G7266" s="2" t="s">
        <v>121</v>
      </c>
      <c r="L7266" s="2" t="s">
        <v>12832</v>
      </c>
      <c r="M7266" t="s">
        <v>67</v>
      </c>
      <c r="N7266" t="s">
        <v>68</v>
      </c>
      <c r="P7266" s="23">
        <v>135.63999999999999</v>
      </c>
      <c r="Q7266" s="4">
        <f t="shared" si="113"/>
        <v>-126.90533765850782</v>
      </c>
      <c r="R7266" s="23" t="s">
        <v>109</v>
      </c>
    </row>
    <row r="7267" spans="1:20" x14ac:dyDescent="0.25">
      <c r="A7267" s="21">
        <v>45884</v>
      </c>
      <c r="B7267" s="1">
        <v>316688861</v>
      </c>
      <c r="C7267" t="s">
        <v>12833</v>
      </c>
      <c r="D7267" s="43">
        <v>-2689.6</v>
      </c>
      <c r="E7267" t="s">
        <v>35</v>
      </c>
      <c r="F7267" s="2">
        <v>212901001</v>
      </c>
      <c r="G7267" s="2" t="s">
        <v>121</v>
      </c>
      <c r="L7267" s="2" t="s">
        <v>12834</v>
      </c>
      <c r="M7267" t="s">
        <v>67</v>
      </c>
      <c r="N7267" t="s">
        <v>68</v>
      </c>
      <c r="P7267" s="23">
        <v>135.63999999999999</v>
      </c>
      <c r="Q7267" s="4">
        <f t="shared" si="113"/>
        <v>-19.828959009141848</v>
      </c>
      <c r="R7267" s="23" t="s">
        <v>109</v>
      </c>
    </row>
    <row r="7268" spans="1:20" x14ac:dyDescent="0.25">
      <c r="A7268" s="21">
        <v>45884</v>
      </c>
      <c r="B7268" s="1">
        <v>416688871</v>
      </c>
      <c r="C7268" t="s">
        <v>12835</v>
      </c>
      <c r="D7268" s="43">
        <v>-4034.4</v>
      </c>
      <c r="E7268" t="s">
        <v>35</v>
      </c>
      <c r="F7268" s="2">
        <v>212901001</v>
      </c>
      <c r="G7268" s="2" t="s">
        <v>121</v>
      </c>
      <c r="L7268" s="2" t="s">
        <v>12836</v>
      </c>
      <c r="M7268" t="s">
        <v>67</v>
      </c>
      <c r="N7268" t="s">
        <v>68</v>
      </c>
      <c r="P7268" s="23">
        <v>135.63999999999999</v>
      </c>
      <c r="Q7268" s="4">
        <f t="shared" si="113"/>
        <v>-29.743438513712771</v>
      </c>
      <c r="R7268" s="23" t="s">
        <v>109</v>
      </c>
    </row>
    <row r="7269" spans="1:20" x14ac:dyDescent="0.25">
      <c r="A7269" s="21">
        <v>45884</v>
      </c>
      <c r="B7269" s="1">
        <v>416688872</v>
      </c>
      <c r="C7269" t="s">
        <v>12837</v>
      </c>
      <c r="D7269" s="43">
        <v>-5379.2</v>
      </c>
      <c r="E7269" t="s">
        <v>35</v>
      </c>
      <c r="F7269" s="2">
        <v>212901001</v>
      </c>
      <c r="G7269" s="2" t="s">
        <v>121</v>
      </c>
      <c r="L7269" s="2" t="s">
        <v>12838</v>
      </c>
      <c r="M7269" t="s">
        <v>67</v>
      </c>
      <c r="N7269" t="s">
        <v>68</v>
      </c>
      <c r="P7269" s="23">
        <v>135.63999999999999</v>
      </c>
      <c r="Q7269" s="4">
        <f t="shared" si="113"/>
        <v>-39.657918018283695</v>
      </c>
      <c r="R7269" s="23" t="s">
        <v>109</v>
      </c>
    </row>
    <row r="7270" spans="1:20" x14ac:dyDescent="0.25">
      <c r="A7270" s="21">
        <v>45884</v>
      </c>
      <c r="B7270" s="1">
        <v>50895351</v>
      </c>
      <c r="C7270" t="s">
        <v>12839</v>
      </c>
      <c r="D7270" s="43">
        <v>-18827.2</v>
      </c>
      <c r="E7270" t="s">
        <v>35</v>
      </c>
      <c r="F7270" s="2">
        <v>212901001</v>
      </c>
      <c r="G7270" s="2" t="s">
        <v>121</v>
      </c>
      <c r="L7270" s="2" t="s">
        <v>12840</v>
      </c>
      <c r="M7270" t="s">
        <v>67</v>
      </c>
      <c r="N7270" t="s">
        <v>68</v>
      </c>
      <c r="P7270" s="23">
        <v>135.63999999999999</v>
      </c>
      <c r="Q7270" s="4">
        <f t="shared" si="113"/>
        <v>-138.80271306399294</v>
      </c>
      <c r="R7270" s="23" t="s">
        <v>109</v>
      </c>
    </row>
    <row r="7271" spans="1:20" x14ac:dyDescent="0.25">
      <c r="A7271" s="21">
        <v>45884</v>
      </c>
      <c r="B7271" s="1">
        <v>50895351</v>
      </c>
      <c r="C7271" t="s">
        <v>296</v>
      </c>
      <c r="D7271" s="43">
        <v>-28.24</v>
      </c>
      <c r="E7271" t="s">
        <v>35</v>
      </c>
      <c r="F7271" s="2">
        <v>610148001</v>
      </c>
      <c r="G7271" s="2" t="s">
        <v>42</v>
      </c>
      <c r="L7271" s="2" t="s">
        <v>12841</v>
      </c>
      <c r="M7271" t="s">
        <v>43</v>
      </c>
      <c r="N7271" t="s">
        <v>42</v>
      </c>
      <c r="P7271" s="23">
        <v>135.63999999999999</v>
      </c>
      <c r="Q7271" s="4">
        <f t="shared" si="113"/>
        <v>-0.20819817163078738</v>
      </c>
      <c r="R7271" s="23" t="s">
        <v>109</v>
      </c>
      <c r="T7271" s="23" t="s">
        <v>12141</v>
      </c>
    </row>
    <row r="7272" spans="1:20" x14ac:dyDescent="0.25">
      <c r="A7272" s="21">
        <v>45884</v>
      </c>
      <c r="B7272" s="1">
        <v>50895351</v>
      </c>
      <c r="C7272" t="s">
        <v>118</v>
      </c>
      <c r="D7272" s="43">
        <v>-1459.78</v>
      </c>
      <c r="E7272" t="s">
        <v>35</v>
      </c>
      <c r="F7272" s="2">
        <v>610148001</v>
      </c>
      <c r="G7272" s="2" t="s">
        <v>42</v>
      </c>
      <c r="L7272" s="2" t="s">
        <v>12842</v>
      </c>
      <c r="M7272" t="s">
        <v>43</v>
      </c>
      <c r="N7272" t="s">
        <v>42</v>
      </c>
      <c r="P7272" s="23">
        <v>135.63999999999999</v>
      </c>
      <c r="Q7272" s="4">
        <f t="shared" si="113"/>
        <v>-10.762164553229137</v>
      </c>
      <c r="R7272" s="23" t="s">
        <v>109</v>
      </c>
      <c r="T7272" s="23" t="s">
        <v>12141</v>
      </c>
    </row>
    <row r="7273" spans="1:20" x14ac:dyDescent="0.25">
      <c r="A7273" s="21">
        <v>45884</v>
      </c>
      <c r="B7273" s="1">
        <v>50895351</v>
      </c>
      <c r="C7273" t="s">
        <v>1565</v>
      </c>
      <c r="D7273" s="43">
        <v>-0.13</v>
      </c>
      <c r="E7273" t="s">
        <v>35</v>
      </c>
      <c r="F7273" s="2">
        <v>610148001</v>
      </c>
      <c r="G7273" s="2" t="s">
        <v>42</v>
      </c>
      <c r="L7273" s="2" t="s">
        <v>12843</v>
      </c>
      <c r="M7273" t="s">
        <v>43</v>
      </c>
      <c r="N7273" t="s">
        <v>42</v>
      </c>
      <c r="P7273" s="23">
        <v>135.63999999999999</v>
      </c>
      <c r="Q7273" s="4">
        <f t="shared" si="113"/>
        <v>-9.584193453258627E-4</v>
      </c>
      <c r="R7273" s="23" t="s">
        <v>109</v>
      </c>
      <c r="T7273" s="23" t="s">
        <v>12141</v>
      </c>
    </row>
    <row r="7274" spans="1:20" x14ac:dyDescent="0.25">
      <c r="A7274" s="21">
        <v>45888</v>
      </c>
      <c r="B7274" s="1">
        <v>116845975</v>
      </c>
      <c r="C7274" t="s">
        <v>12844</v>
      </c>
      <c r="D7274" s="43">
        <v>-8068.8</v>
      </c>
      <c r="E7274" t="s">
        <v>35</v>
      </c>
      <c r="F7274" s="2">
        <v>212901001</v>
      </c>
      <c r="G7274" s="2" t="s">
        <v>121</v>
      </c>
      <c r="L7274" s="2" t="s">
        <v>12845</v>
      </c>
      <c r="M7274" t="s">
        <v>67</v>
      </c>
      <c r="N7274" t="s">
        <v>68</v>
      </c>
      <c r="P7274" s="23">
        <v>136.88999999999999</v>
      </c>
      <c r="Q7274" s="4">
        <f t="shared" si="113"/>
        <v>-58.943677405215873</v>
      </c>
      <c r="R7274" s="23" t="s">
        <v>109</v>
      </c>
    </row>
    <row r="7275" spans="1:20" x14ac:dyDescent="0.25">
      <c r="A7275" s="21">
        <v>45888</v>
      </c>
      <c r="B7275" s="1">
        <v>116845975</v>
      </c>
      <c r="C7275" t="s">
        <v>306</v>
      </c>
      <c r="D7275" s="43">
        <v>-24.21</v>
      </c>
      <c r="E7275" t="s">
        <v>35</v>
      </c>
      <c r="F7275" s="2">
        <v>610148001</v>
      </c>
      <c r="G7275" s="2" t="s">
        <v>42</v>
      </c>
      <c r="L7275" s="2" t="s">
        <v>12846</v>
      </c>
      <c r="M7275" t="s">
        <v>43</v>
      </c>
      <c r="N7275" t="s">
        <v>42</v>
      </c>
      <c r="P7275" s="23">
        <v>136.88999999999999</v>
      </c>
      <c r="Q7275" s="4">
        <f t="shared" si="113"/>
        <v>-0.17685733070348458</v>
      </c>
      <c r="R7275" s="23" t="s">
        <v>109</v>
      </c>
      <c r="T7275" s="23" t="s">
        <v>12141</v>
      </c>
    </row>
    <row r="7276" spans="1:20" x14ac:dyDescent="0.25">
      <c r="A7276" s="32">
        <v>45888</v>
      </c>
      <c r="B7276" s="26">
        <v>115521032</v>
      </c>
      <c r="C7276" s="27" t="s">
        <v>12847</v>
      </c>
      <c r="D7276" s="46">
        <v>-8252.44</v>
      </c>
      <c r="E7276" s="27" t="s">
        <v>35</v>
      </c>
      <c r="F7276" s="29">
        <v>610122003</v>
      </c>
      <c r="G7276" s="29" t="s">
        <v>6294</v>
      </c>
      <c r="H7276" s="107"/>
      <c r="I7276" s="101"/>
      <c r="J7276" s="101"/>
      <c r="K7276" s="29"/>
      <c r="L7276" s="2" t="s">
        <v>12848</v>
      </c>
      <c r="M7276" s="27" t="s">
        <v>12200</v>
      </c>
      <c r="N7276" s="27" t="s">
        <v>6297</v>
      </c>
      <c r="O7276" s="27" t="s">
        <v>59</v>
      </c>
      <c r="P7276" s="31">
        <v>136.88999999999999</v>
      </c>
      <c r="Q7276" s="4">
        <f t="shared" si="113"/>
        <v>-60.285192490320703</v>
      </c>
      <c r="R7276" s="23" t="s">
        <v>109</v>
      </c>
      <c r="T7276" s="23" t="s">
        <v>12849</v>
      </c>
    </row>
    <row r="7277" spans="1:20" x14ac:dyDescent="0.25">
      <c r="A7277" s="21">
        <v>45888</v>
      </c>
      <c r="B7277" s="1">
        <v>485265383</v>
      </c>
      <c r="C7277" t="s">
        <v>12850</v>
      </c>
      <c r="D7277" s="43">
        <v>450000</v>
      </c>
      <c r="E7277" t="s">
        <v>46</v>
      </c>
      <c r="F7277" s="2">
        <v>210115002</v>
      </c>
      <c r="G7277" s="2" t="s">
        <v>47</v>
      </c>
      <c r="L7277" s="2" t="s">
        <v>12851</v>
      </c>
      <c r="N7277" t="s">
        <v>12850</v>
      </c>
      <c r="P7277" s="23">
        <v>136.88999999999999</v>
      </c>
      <c r="Q7277" s="4">
        <f t="shared" si="113"/>
        <v>3287.3109796186723</v>
      </c>
      <c r="R7277" s="23" t="s">
        <v>109</v>
      </c>
    </row>
    <row r="7278" spans="1:20" x14ac:dyDescent="0.25">
      <c r="A7278" s="21">
        <v>45888</v>
      </c>
      <c r="B7278" s="1">
        <v>16858541</v>
      </c>
      <c r="C7278" t="s">
        <v>12852</v>
      </c>
      <c r="D7278" s="43">
        <v>-187205.39</v>
      </c>
      <c r="E7278" t="s">
        <v>35</v>
      </c>
      <c r="F7278" s="2">
        <v>210101001</v>
      </c>
      <c r="G7278" s="2" t="s">
        <v>36</v>
      </c>
      <c r="L7278" s="2" t="s">
        <v>12853</v>
      </c>
      <c r="M7278" t="s">
        <v>303</v>
      </c>
      <c r="N7278" t="s">
        <v>304</v>
      </c>
      <c r="P7278" s="23">
        <v>136.88999999999999</v>
      </c>
      <c r="Q7278" s="4">
        <f t="shared" si="113"/>
        <v>-1367.5607422017681</v>
      </c>
      <c r="R7278" s="23" t="s">
        <v>109</v>
      </c>
    </row>
    <row r="7279" spans="1:20" x14ac:dyDescent="0.25">
      <c r="A7279" s="21">
        <v>45888</v>
      </c>
      <c r="B7279" s="1">
        <v>116858545</v>
      </c>
      <c r="C7279" t="s">
        <v>12854</v>
      </c>
      <c r="D7279" s="43">
        <v>-228000.92</v>
      </c>
      <c r="E7279" t="s">
        <v>35</v>
      </c>
      <c r="F7279" s="2">
        <v>210101001</v>
      </c>
      <c r="G7279" s="2" t="s">
        <v>36</v>
      </c>
      <c r="L7279" s="2" t="s">
        <v>12855</v>
      </c>
      <c r="M7279" t="s">
        <v>38</v>
      </c>
      <c r="N7279" t="s">
        <v>39</v>
      </c>
      <c r="P7279" s="23">
        <v>136.88999999999999</v>
      </c>
      <c r="Q7279" s="4">
        <f t="shared" si="113"/>
        <v>-1665.5776170647969</v>
      </c>
      <c r="R7279" s="23" t="s">
        <v>109</v>
      </c>
    </row>
    <row r="7280" spans="1:20" x14ac:dyDescent="0.25">
      <c r="A7280" s="21">
        <v>45888</v>
      </c>
      <c r="B7280" s="1">
        <v>16858542</v>
      </c>
      <c r="C7280" t="s">
        <v>12856</v>
      </c>
      <c r="D7280" s="43">
        <v>-6000</v>
      </c>
      <c r="E7280" t="s">
        <v>35</v>
      </c>
      <c r="F7280" s="2">
        <v>210101001</v>
      </c>
      <c r="G7280" s="2" t="s">
        <v>36</v>
      </c>
      <c r="L7280" s="2" t="s">
        <v>12857</v>
      </c>
      <c r="M7280" t="s">
        <v>1866</v>
      </c>
      <c r="N7280" t="s">
        <v>1867</v>
      </c>
      <c r="P7280" s="23">
        <v>136.88999999999999</v>
      </c>
      <c r="Q7280" s="4">
        <f t="shared" si="113"/>
        <v>-43.830813061582298</v>
      </c>
      <c r="R7280" s="23" t="s">
        <v>109</v>
      </c>
    </row>
    <row r="7281" spans="1:20" x14ac:dyDescent="0.25">
      <c r="A7281" s="21">
        <v>45888</v>
      </c>
      <c r="B7281" s="1">
        <v>116858546</v>
      </c>
      <c r="C7281" t="s">
        <v>12858</v>
      </c>
      <c r="D7281" s="43">
        <v>-15606.6</v>
      </c>
      <c r="E7281" t="s">
        <v>35</v>
      </c>
      <c r="F7281" s="2">
        <v>210101001</v>
      </c>
      <c r="G7281" s="2" t="s">
        <v>36</v>
      </c>
      <c r="L7281" s="2" t="s">
        <v>12859</v>
      </c>
      <c r="M7281" t="s">
        <v>714</v>
      </c>
      <c r="N7281" t="s">
        <v>715</v>
      </c>
      <c r="P7281" s="23">
        <v>136.88999999999999</v>
      </c>
      <c r="Q7281" s="4">
        <f t="shared" si="113"/>
        <v>-114.00832785448172</v>
      </c>
      <c r="R7281" s="23" t="s">
        <v>109</v>
      </c>
    </row>
    <row r="7282" spans="1:20" x14ac:dyDescent="0.25">
      <c r="A7282" s="21">
        <v>45888</v>
      </c>
      <c r="B7282" s="1">
        <v>50884747</v>
      </c>
      <c r="C7282" t="s">
        <v>118</v>
      </c>
      <c r="D7282" s="43">
        <v>-1092.03</v>
      </c>
      <c r="E7282" t="s">
        <v>35</v>
      </c>
      <c r="F7282" s="2">
        <v>610148001</v>
      </c>
      <c r="G7282" s="2" t="s">
        <v>42</v>
      </c>
      <c r="L7282" s="2" t="s">
        <v>12860</v>
      </c>
      <c r="M7282" t="s">
        <v>43</v>
      </c>
      <c r="N7282" t="s">
        <v>42</v>
      </c>
      <c r="P7282" s="23">
        <v>136.88999999999999</v>
      </c>
      <c r="Q7282" s="4">
        <f t="shared" si="113"/>
        <v>-7.9774271312732861</v>
      </c>
      <c r="R7282" s="23" t="s">
        <v>109</v>
      </c>
      <c r="T7282" s="23" t="s">
        <v>12141</v>
      </c>
    </row>
    <row r="7283" spans="1:20" x14ac:dyDescent="0.25">
      <c r="A7283" s="21">
        <v>45888</v>
      </c>
      <c r="B7283" s="1">
        <v>890937069</v>
      </c>
      <c r="C7283" t="s">
        <v>12861</v>
      </c>
      <c r="D7283" s="43">
        <v>50000</v>
      </c>
      <c r="E7283" t="s">
        <v>46</v>
      </c>
      <c r="F7283" s="2">
        <v>210115002</v>
      </c>
      <c r="G7283" s="2" t="s">
        <v>47</v>
      </c>
      <c r="L7283" s="2" t="s">
        <v>12862</v>
      </c>
      <c r="N7283" t="s">
        <v>12861</v>
      </c>
      <c r="P7283" s="23">
        <v>136.88999999999999</v>
      </c>
      <c r="Q7283" s="4">
        <f t="shared" si="113"/>
        <v>365.2567755131858</v>
      </c>
      <c r="R7283" s="23" t="s">
        <v>109</v>
      </c>
    </row>
    <row r="7284" spans="1:20" x14ac:dyDescent="0.25">
      <c r="A7284" s="21">
        <v>45888</v>
      </c>
      <c r="B7284" s="1">
        <v>16863989</v>
      </c>
      <c r="C7284" t="s">
        <v>12863</v>
      </c>
      <c r="D7284" s="43">
        <v>-84736.28</v>
      </c>
      <c r="E7284" t="s">
        <v>35</v>
      </c>
      <c r="F7284" s="2">
        <v>210101001</v>
      </c>
      <c r="G7284" s="2" t="s">
        <v>36</v>
      </c>
      <c r="L7284" s="2" t="s">
        <v>12864</v>
      </c>
      <c r="M7284" t="s">
        <v>303</v>
      </c>
      <c r="N7284" t="s">
        <v>304</v>
      </c>
      <c r="P7284" s="23">
        <v>136.88999999999999</v>
      </c>
      <c r="Q7284" s="4">
        <f t="shared" si="113"/>
        <v>-619.01000803564909</v>
      </c>
      <c r="R7284" s="23" t="s">
        <v>109</v>
      </c>
    </row>
    <row r="7285" spans="1:20" x14ac:dyDescent="0.25">
      <c r="A7285" s="21">
        <v>45888</v>
      </c>
      <c r="B7285" s="1">
        <v>16863989</v>
      </c>
      <c r="C7285" t="s">
        <v>306</v>
      </c>
      <c r="D7285" s="43">
        <v>-254.21</v>
      </c>
      <c r="E7285" t="s">
        <v>35</v>
      </c>
      <c r="F7285" s="2">
        <v>610148001</v>
      </c>
      <c r="G7285" s="2" t="s">
        <v>42</v>
      </c>
      <c r="L7285" s="2" t="s">
        <v>12865</v>
      </c>
      <c r="M7285" t="s">
        <v>43</v>
      </c>
      <c r="N7285" t="s">
        <v>42</v>
      </c>
      <c r="P7285" s="23">
        <v>136.88999999999999</v>
      </c>
      <c r="Q7285" s="4">
        <f t="shared" si="113"/>
        <v>-1.8570384980641392</v>
      </c>
      <c r="R7285" s="23" t="s">
        <v>109</v>
      </c>
      <c r="T7285" s="23" t="s">
        <v>12141</v>
      </c>
    </row>
    <row r="7286" spans="1:20" x14ac:dyDescent="0.25">
      <c r="A7286" s="21">
        <v>45889</v>
      </c>
      <c r="B7286" s="1">
        <v>978752181</v>
      </c>
      <c r="C7286" t="s">
        <v>12861</v>
      </c>
      <c r="D7286" s="43">
        <v>185000</v>
      </c>
      <c r="E7286" t="s">
        <v>46</v>
      </c>
      <c r="F7286" s="2">
        <v>210115002</v>
      </c>
      <c r="G7286" s="2" t="s">
        <v>47</v>
      </c>
      <c r="L7286" s="2" t="s">
        <v>12866</v>
      </c>
      <c r="N7286" t="s">
        <v>12861</v>
      </c>
      <c r="P7286" s="23">
        <v>138.13</v>
      </c>
      <c r="Q7286" s="4">
        <f t="shared" si="113"/>
        <v>1339.3180337363353</v>
      </c>
      <c r="R7286" s="23" t="s">
        <v>109</v>
      </c>
    </row>
    <row r="7287" spans="1:20" x14ac:dyDescent="0.25">
      <c r="A7287" s="21">
        <v>45889</v>
      </c>
      <c r="B7287" s="1">
        <v>516977673</v>
      </c>
      <c r="C7287" t="s">
        <v>12867</v>
      </c>
      <c r="D7287" s="43">
        <v>-180339.77</v>
      </c>
      <c r="E7287" t="s">
        <v>35</v>
      </c>
      <c r="F7287" s="2">
        <v>210101001</v>
      </c>
      <c r="G7287" s="2" t="s">
        <v>36</v>
      </c>
      <c r="L7287" s="2" t="s">
        <v>12868</v>
      </c>
      <c r="M7287" t="s">
        <v>38</v>
      </c>
      <c r="N7287" t="s">
        <v>39</v>
      </c>
      <c r="P7287" s="23">
        <v>138.13</v>
      </c>
      <c r="Q7287" s="4">
        <f t="shared" si="113"/>
        <v>-1305.580033301962</v>
      </c>
      <c r="R7287" s="23" t="s">
        <v>109</v>
      </c>
    </row>
    <row r="7288" spans="1:20" x14ac:dyDescent="0.25">
      <c r="A7288" s="21">
        <v>45889</v>
      </c>
      <c r="B7288" s="1">
        <v>516977673</v>
      </c>
      <c r="C7288" t="s">
        <v>306</v>
      </c>
      <c r="D7288" s="43">
        <v>-541.02</v>
      </c>
      <c r="E7288" t="s">
        <v>35</v>
      </c>
      <c r="F7288" s="2">
        <v>610148001</v>
      </c>
      <c r="G7288" s="2" t="s">
        <v>42</v>
      </c>
      <c r="L7288" s="2" t="s">
        <v>12869</v>
      </c>
      <c r="M7288" t="s">
        <v>43</v>
      </c>
      <c r="N7288" t="s">
        <v>42</v>
      </c>
      <c r="P7288" s="23">
        <v>138.13</v>
      </c>
      <c r="Q7288" s="4">
        <f t="shared" si="113"/>
        <v>-3.9167450952001737</v>
      </c>
      <c r="R7288" s="23" t="s">
        <v>109</v>
      </c>
      <c r="T7288" s="23" t="s">
        <v>12141</v>
      </c>
    </row>
    <row r="7289" spans="1:20" x14ac:dyDescent="0.25">
      <c r="A7289" s="21">
        <v>45891</v>
      </c>
      <c r="B7289" s="1">
        <v>185435810</v>
      </c>
      <c r="C7289" t="s">
        <v>12861</v>
      </c>
      <c r="D7289" s="43">
        <v>200000</v>
      </c>
      <c r="E7289" t="s">
        <v>46</v>
      </c>
      <c r="F7289" s="2">
        <v>210115002</v>
      </c>
      <c r="G7289" s="2" t="s">
        <v>47</v>
      </c>
      <c r="L7289" s="2" t="s">
        <v>12870</v>
      </c>
      <c r="N7289" t="s">
        <v>12861</v>
      </c>
      <c r="P7289" s="23">
        <v>140.66</v>
      </c>
      <c r="Q7289" s="4">
        <f t="shared" si="113"/>
        <v>1421.8683349921798</v>
      </c>
      <c r="R7289" s="23" t="s">
        <v>109</v>
      </c>
    </row>
    <row r="7290" spans="1:20" x14ac:dyDescent="0.25">
      <c r="A7290" s="21">
        <v>45891</v>
      </c>
      <c r="B7290" s="1">
        <v>486976835</v>
      </c>
      <c r="C7290" t="s">
        <v>12861</v>
      </c>
      <c r="D7290" s="43">
        <v>200000</v>
      </c>
      <c r="E7290" t="s">
        <v>46</v>
      </c>
      <c r="F7290" s="2">
        <v>210115002</v>
      </c>
      <c r="G7290" s="2" t="s">
        <v>47</v>
      </c>
      <c r="L7290" s="2" t="s">
        <v>12871</v>
      </c>
      <c r="N7290" t="s">
        <v>12861</v>
      </c>
      <c r="P7290" s="23">
        <v>140.66</v>
      </c>
      <c r="Q7290" s="4">
        <f t="shared" si="113"/>
        <v>1421.8683349921798</v>
      </c>
      <c r="R7290" s="23" t="s">
        <v>109</v>
      </c>
    </row>
    <row r="7291" spans="1:20" x14ac:dyDescent="0.25">
      <c r="A7291" s="21">
        <v>45891</v>
      </c>
      <c r="B7291" s="1">
        <v>15863346</v>
      </c>
      <c r="C7291" t="s">
        <v>12861</v>
      </c>
      <c r="D7291" s="43">
        <v>200000</v>
      </c>
      <c r="E7291" t="s">
        <v>46</v>
      </c>
      <c r="F7291" s="2">
        <v>210115002</v>
      </c>
      <c r="G7291" s="2" t="s">
        <v>47</v>
      </c>
      <c r="L7291" s="2" t="s">
        <v>12872</v>
      </c>
      <c r="N7291" t="s">
        <v>12861</v>
      </c>
      <c r="P7291" s="23">
        <v>140.66</v>
      </c>
      <c r="Q7291" s="4">
        <f t="shared" si="113"/>
        <v>1421.8683349921798</v>
      </c>
      <c r="R7291" s="23" t="s">
        <v>109</v>
      </c>
    </row>
    <row r="7292" spans="1:20" x14ac:dyDescent="0.25">
      <c r="A7292" s="21">
        <v>45891</v>
      </c>
      <c r="B7292" s="1">
        <v>829026799</v>
      </c>
      <c r="C7292" t="s">
        <v>12861</v>
      </c>
      <c r="D7292" s="43">
        <v>200000</v>
      </c>
      <c r="E7292" t="s">
        <v>46</v>
      </c>
      <c r="F7292" s="2">
        <v>210115002</v>
      </c>
      <c r="G7292" s="2" t="s">
        <v>47</v>
      </c>
      <c r="L7292" s="2" t="s">
        <v>12873</v>
      </c>
      <c r="N7292" t="s">
        <v>12861</v>
      </c>
      <c r="P7292" s="23">
        <v>140.66</v>
      </c>
      <c r="Q7292" s="4">
        <f t="shared" si="113"/>
        <v>1421.8683349921798</v>
      </c>
      <c r="R7292" s="23" t="s">
        <v>109</v>
      </c>
    </row>
    <row r="7293" spans="1:20" x14ac:dyDescent="0.25">
      <c r="A7293" s="21">
        <v>45891</v>
      </c>
      <c r="B7293" s="1">
        <v>135233055</v>
      </c>
      <c r="C7293" t="s">
        <v>12861</v>
      </c>
      <c r="D7293" s="43">
        <v>200000</v>
      </c>
      <c r="E7293" t="s">
        <v>46</v>
      </c>
      <c r="F7293" s="2">
        <v>210115002</v>
      </c>
      <c r="G7293" s="2" t="s">
        <v>47</v>
      </c>
      <c r="L7293" s="2" t="s">
        <v>12874</v>
      </c>
      <c r="N7293" t="s">
        <v>12861</v>
      </c>
      <c r="P7293" s="23">
        <v>140.66</v>
      </c>
      <c r="Q7293" s="4">
        <f t="shared" si="113"/>
        <v>1421.8683349921798</v>
      </c>
      <c r="R7293" s="23" t="s">
        <v>109</v>
      </c>
    </row>
    <row r="7294" spans="1:20" x14ac:dyDescent="0.25">
      <c r="A7294" s="21">
        <v>45891</v>
      </c>
      <c r="B7294" s="1">
        <v>517096091</v>
      </c>
      <c r="C7294" t="s">
        <v>12875</v>
      </c>
      <c r="D7294" s="43">
        <v>-72827.38</v>
      </c>
      <c r="E7294" t="s">
        <v>35</v>
      </c>
      <c r="F7294" s="2">
        <v>210101001</v>
      </c>
      <c r="G7294" s="2" t="s">
        <v>36</v>
      </c>
      <c r="L7294" s="2" t="s">
        <v>12876</v>
      </c>
      <c r="M7294" t="s">
        <v>751</v>
      </c>
      <c r="N7294" t="s">
        <v>752</v>
      </c>
      <c r="P7294" s="23">
        <v>140.66</v>
      </c>
      <c r="Q7294" s="4">
        <f t="shared" si="113"/>
        <v>-517.75472771221393</v>
      </c>
      <c r="R7294" s="23" t="s">
        <v>109</v>
      </c>
    </row>
    <row r="7295" spans="1:20" x14ac:dyDescent="0.25">
      <c r="A7295" s="21">
        <v>45891</v>
      </c>
      <c r="B7295" s="1">
        <v>517096092</v>
      </c>
      <c r="C7295" t="s">
        <v>12877</v>
      </c>
      <c r="D7295" s="43">
        <v>-72827.38</v>
      </c>
      <c r="E7295" t="s">
        <v>35</v>
      </c>
      <c r="F7295" s="2">
        <v>210101001</v>
      </c>
      <c r="G7295" s="2" t="s">
        <v>36</v>
      </c>
      <c r="L7295" s="2" t="s">
        <v>12878</v>
      </c>
      <c r="M7295" t="s">
        <v>751</v>
      </c>
      <c r="N7295" t="s">
        <v>752</v>
      </c>
      <c r="P7295" s="23">
        <v>140.66</v>
      </c>
      <c r="Q7295" s="4">
        <f t="shared" si="113"/>
        <v>-517.75472771221393</v>
      </c>
      <c r="R7295" s="23" t="s">
        <v>109</v>
      </c>
    </row>
    <row r="7296" spans="1:20" x14ac:dyDescent="0.25">
      <c r="A7296" s="21">
        <v>45891</v>
      </c>
      <c r="B7296" s="1">
        <v>517096094</v>
      </c>
      <c r="C7296" t="s">
        <v>12879</v>
      </c>
      <c r="D7296" s="43">
        <v>-51340.89</v>
      </c>
      <c r="E7296" t="s">
        <v>35</v>
      </c>
      <c r="F7296" s="2">
        <v>210101001</v>
      </c>
      <c r="G7296" s="2" t="s">
        <v>36</v>
      </c>
      <c r="L7296" s="2" t="s">
        <v>12880</v>
      </c>
      <c r="M7296" t="s">
        <v>760</v>
      </c>
      <c r="N7296" t="s">
        <v>761</v>
      </c>
      <c r="P7296" s="23">
        <v>140.66</v>
      </c>
      <c r="Q7296" s="4">
        <f t="shared" si="113"/>
        <v>-364.99992890658325</v>
      </c>
      <c r="R7296" s="23" t="s">
        <v>109</v>
      </c>
    </row>
    <row r="7297" spans="1:20" x14ac:dyDescent="0.25">
      <c r="A7297" s="21">
        <v>45891</v>
      </c>
      <c r="B7297" s="1">
        <v>517096095</v>
      </c>
      <c r="C7297" t="s">
        <v>12881</v>
      </c>
      <c r="D7297" s="43">
        <v>-522716.39</v>
      </c>
      <c r="E7297" t="s">
        <v>35</v>
      </c>
      <c r="F7297" s="2">
        <v>210101001</v>
      </c>
      <c r="G7297" s="2" t="s">
        <v>36</v>
      </c>
      <c r="L7297" s="2" t="s">
        <v>12882</v>
      </c>
      <c r="M7297" t="s">
        <v>38</v>
      </c>
      <c r="N7297" t="s">
        <v>39</v>
      </c>
      <c r="P7297" s="23">
        <v>140.66</v>
      </c>
      <c r="Q7297" s="4">
        <f t="shared" si="113"/>
        <v>-3716.1694156121143</v>
      </c>
      <c r="R7297" s="23" t="s">
        <v>109</v>
      </c>
    </row>
    <row r="7298" spans="1:20" x14ac:dyDescent="0.25">
      <c r="A7298" s="21">
        <v>45891</v>
      </c>
      <c r="B7298" s="1">
        <v>517096093</v>
      </c>
      <c r="C7298" t="s">
        <v>12883</v>
      </c>
      <c r="D7298" s="43">
        <v>-148621.39000000001</v>
      </c>
      <c r="E7298" t="s">
        <v>35</v>
      </c>
      <c r="F7298" s="2">
        <v>210101001</v>
      </c>
      <c r="G7298" s="2" t="s">
        <v>36</v>
      </c>
      <c r="L7298" s="2" t="s">
        <v>12884</v>
      </c>
      <c r="M7298" t="s">
        <v>38</v>
      </c>
      <c r="N7298" t="s">
        <v>39</v>
      </c>
      <c r="P7298" s="23">
        <v>140.66</v>
      </c>
      <c r="Q7298" s="4">
        <f t="shared" si="113"/>
        <v>-1056.6002417176171</v>
      </c>
      <c r="R7298" s="23" t="s">
        <v>109</v>
      </c>
    </row>
    <row r="7299" spans="1:20" x14ac:dyDescent="0.25">
      <c r="A7299" s="21">
        <v>45891</v>
      </c>
      <c r="B7299" s="1">
        <v>50852295</v>
      </c>
      <c r="C7299" t="s">
        <v>118</v>
      </c>
      <c r="D7299" s="43">
        <v>-2170.83</v>
      </c>
      <c r="E7299" t="s">
        <v>35</v>
      </c>
      <c r="F7299" s="2">
        <v>610148001</v>
      </c>
      <c r="G7299" s="2" t="s">
        <v>42</v>
      </c>
      <c r="L7299" s="2" t="s">
        <v>12885</v>
      </c>
      <c r="M7299" t="s">
        <v>43</v>
      </c>
      <c r="N7299" t="s">
        <v>42</v>
      </c>
      <c r="P7299" s="23">
        <v>140.66</v>
      </c>
      <c r="Q7299" s="4">
        <f t="shared" si="113"/>
        <v>-15.433172188255368</v>
      </c>
      <c r="R7299" s="23" t="s">
        <v>109</v>
      </c>
      <c r="T7299" s="23" t="s">
        <v>12141</v>
      </c>
    </row>
    <row r="7300" spans="1:20" x14ac:dyDescent="0.25">
      <c r="A7300" s="21">
        <v>45891</v>
      </c>
      <c r="B7300" s="1">
        <v>153149028</v>
      </c>
      <c r="C7300" t="s">
        <v>107</v>
      </c>
      <c r="D7300" s="43">
        <v>533000</v>
      </c>
      <c r="E7300" t="s">
        <v>46</v>
      </c>
      <c r="F7300" s="2">
        <v>210115002</v>
      </c>
      <c r="G7300" s="2" t="s">
        <v>47</v>
      </c>
      <c r="L7300" s="2" t="s">
        <v>12886</v>
      </c>
      <c r="N7300" t="s">
        <v>107</v>
      </c>
      <c r="P7300" s="23">
        <v>140.66</v>
      </c>
      <c r="Q7300" s="4">
        <f t="shared" si="113"/>
        <v>3789.2791127541591</v>
      </c>
      <c r="R7300" s="23" t="s">
        <v>109</v>
      </c>
    </row>
    <row r="7301" spans="1:20" x14ac:dyDescent="0.25">
      <c r="A7301" s="21">
        <v>45891</v>
      </c>
      <c r="B7301" s="1">
        <v>417099915</v>
      </c>
      <c r="C7301" t="s">
        <v>12887</v>
      </c>
      <c r="D7301" s="43">
        <v>-11152</v>
      </c>
      <c r="E7301" t="s">
        <v>35</v>
      </c>
      <c r="F7301" s="2">
        <v>212901001</v>
      </c>
      <c r="G7301" s="2" t="s">
        <v>121</v>
      </c>
      <c r="L7301" s="2" t="s">
        <v>12888</v>
      </c>
      <c r="M7301" t="s">
        <v>67</v>
      </c>
      <c r="N7301" t="s">
        <v>68</v>
      </c>
      <c r="P7301" s="23">
        <v>140.66</v>
      </c>
      <c r="Q7301" s="4">
        <f t="shared" si="113"/>
        <v>-79.283378359163947</v>
      </c>
      <c r="R7301" s="23" t="s">
        <v>109</v>
      </c>
    </row>
    <row r="7302" spans="1:20" x14ac:dyDescent="0.25">
      <c r="A7302" s="21">
        <v>45891</v>
      </c>
      <c r="B7302" s="1">
        <v>517099917</v>
      </c>
      <c r="C7302" t="s">
        <v>12889</v>
      </c>
      <c r="D7302" s="43">
        <v>-8364</v>
      </c>
      <c r="E7302" t="s">
        <v>35</v>
      </c>
      <c r="F7302" s="2">
        <v>212901001</v>
      </c>
      <c r="G7302" s="2" t="s">
        <v>121</v>
      </c>
      <c r="L7302" s="2" t="s">
        <v>12890</v>
      </c>
      <c r="M7302" t="s">
        <v>67</v>
      </c>
      <c r="N7302" t="s">
        <v>68</v>
      </c>
      <c r="P7302" s="23">
        <v>140.66</v>
      </c>
      <c r="Q7302" s="4">
        <f t="shared" si="113"/>
        <v>-59.462533769372961</v>
      </c>
      <c r="R7302" s="23" t="s">
        <v>109</v>
      </c>
    </row>
    <row r="7303" spans="1:20" x14ac:dyDescent="0.25">
      <c r="A7303" s="21">
        <v>45891</v>
      </c>
      <c r="B7303" s="1">
        <v>517099919</v>
      </c>
      <c r="C7303" t="s">
        <v>12891</v>
      </c>
      <c r="D7303" s="43">
        <v>-8364</v>
      </c>
      <c r="E7303" t="s">
        <v>35</v>
      </c>
      <c r="F7303" s="2">
        <v>212901001</v>
      </c>
      <c r="G7303" s="2" t="s">
        <v>121</v>
      </c>
      <c r="L7303" s="2" t="s">
        <v>12892</v>
      </c>
      <c r="M7303" t="s">
        <v>67</v>
      </c>
      <c r="N7303" t="s">
        <v>68</v>
      </c>
      <c r="P7303" s="23">
        <v>140.66</v>
      </c>
      <c r="Q7303" s="4">
        <f t="shared" si="113"/>
        <v>-59.462533769372961</v>
      </c>
      <c r="R7303" s="23" t="s">
        <v>109</v>
      </c>
    </row>
    <row r="7304" spans="1:20" x14ac:dyDescent="0.25">
      <c r="A7304" s="21">
        <v>45891</v>
      </c>
      <c r="B7304" s="1">
        <v>417099916</v>
      </c>
      <c r="C7304" t="s">
        <v>12893</v>
      </c>
      <c r="D7304" s="43">
        <v>-8364</v>
      </c>
      <c r="E7304" t="s">
        <v>35</v>
      </c>
      <c r="F7304" s="2">
        <v>212901001</v>
      </c>
      <c r="G7304" s="2" t="s">
        <v>121</v>
      </c>
      <c r="L7304" s="2" t="s">
        <v>12894</v>
      </c>
      <c r="M7304" t="s">
        <v>67</v>
      </c>
      <c r="N7304" t="s">
        <v>68</v>
      </c>
      <c r="P7304" s="23">
        <v>140.66</v>
      </c>
      <c r="Q7304" s="4">
        <f t="shared" si="113"/>
        <v>-59.462533769372961</v>
      </c>
      <c r="R7304" s="23" t="s">
        <v>109</v>
      </c>
    </row>
    <row r="7305" spans="1:20" x14ac:dyDescent="0.25">
      <c r="A7305" s="21">
        <v>45891</v>
      </c>
      <c r="B7305" s="1">
        <v>517099920</v>
      </c>
      <c r="C7305" t="s">
        <v>12895</v>
      </c>
      <c r="D7305" s="43">
        <v>-8364</v>
      </c>
      <c r="E7305" t="s">
        <v>35</v>
      </c>
      <c r="F7305" s="2">
        <v>212901001</v>
      </c>
      <c r="G7305" s="2" t="s">
        <v>121</v>
      </c>
      <c r="L7305" s="2" t="s">
        <v>12896</v>
      </c>
      <c r="M7305" t="s">
        <v>67</v>
      </c>
      <c r="N7305" t="s">
        <v>68</v>
      </c>
      <c r="P7305" s="23">
        <v>140.66</v>
      </c>
      <c r="Q7305" s="4">
        <f t="shared" si="113"/>
        <v>-59.462533769372961</v>
      </c>
      <c r="R7305" s="23" t="s">
        <v>109</v>
      </c>
    </row>
    <row r="7306" spans="1:20" x14ac:dyDescent="0.25">
      <c r="A7306" s="21">
        <v>45891</v>
      </c>
      <c r="B7306" s="1">
        <v>517099924</v>
      </c>
      <c r="C7306" t="s">
        <v>12897</v>
      </c>
      <c r="D7306" s="43">
        <v>-8364</v>
      </c>
      <c r="E7306" t="s">
        <v>35</v>
      </c>
      <c r="F7306" s="2">
        <v>212901001</v>
      </c>
      <c r="G7306" s="2" t="s">
        <v>121</v>
      </c>
      <c r="L7306" s="2" t="s">
        <v>12898</v>
      </c>
      <c r="M7306" t="s">
        <v>67</v>
      </c>
      <c r="N7306" t="s">
        <v>68</v>
      </c>
      <c r="P7306" s="23">
        <v>140.66</v>
      </c>
      <c r="Q7306" s="4">
        <f t="shared" si="113"/>
        <v>-59.462533769372961</v>
      </c>
      <c r="R7306" s="23" t="s">
        <v>109</v>
      </c>
    </row>
    <row r="7307" spans="1:20" x14ac:dyDescent="0.25">
      <c r="A7307" s="21">
        <v>45891</v>
      </c>
      <c r="B7307" s="1">
        <v>517099923</v>
      </c>
      <c r="C7307" t="s">
        <v>12899</v>
      </c>
      <c r="D7307" s="43">
        <v>-8364</v>
      </c>
      <c r="E7307" t="s">
        <v>35</v>
      </c>
      <c r="F7307" s="2">
        <v>212901001</v>
      </c>
      <c r="G7307" s="2" t="s">
        <v>121</v>
      </c>
      <c r="L7307" s="2" t="s">
        <v>12900</v>
      </c>
      <c r="M7307" t="s">
        <v>67</v>
      </c>
      <c r="N7307" t="s">
        <v>68</v>
      </c>
      <c r="P7307" s="23">
        <v>140.66</v>
      </c>
      <c r="Q7307" s="4">
        <f t="shared" ref="Q7307:Q7370" si="114">D7307/P7307</f>
        <v>-59.462533769372961</v>
      </c>
      <c r="R7307" s="23" t="s">
        <v>109</v>
      </c>
    </row>
    <row r="7308" spans="1:20" x14ac:dyDescent="0.25">
      <c r="A7308" s="21">
        <v>45891</v>
      </c>
      <c r="B7308" s="1">
        <v>517099921</v>
      </c>
      <c r="C7308" t="s">
        <v>12901</v>
      </c>
      <c r="D7308" s="43">
        <v>-8364</v>
      </c>
      <c r="E7308" t="s">
        <v>35</v>
      </c>
      <c r="F7308" s="2">
        <v>212901001</v>
      </c>
      <c r="G7308" s="2" t="s">
        <v>121</v>
      </c>
      <c r="L7308" s="2" t="s">
        <v>12902</v>
      </c>
      <c r="M7308" t="s">
        <v>67</v>
      </c>
      <c r="N7308" t="s">
        <v>68</v>
      </c>
      <c r="P7308" s="23">
        <v>140.66</v>
      </c>
      <c r="Q7308" s="4">
        <f t="shared" si="114"/>
        <v>-59.462533769372961</v>
      </c>
      <c r="R7308" s="23" t="s">
        <v>109</v>
      </c>
    </row>
    <row r="7309" spans="1:20" x14ac:dyDescent="0.25">
      <c r="A7309" s="21">
        <v>45891</v>
      </c>
      <c r="B7309" s="1">
        <v>517099927</v>
      </c>
      <c r="C7309" t="s">
        <v>12903</v>
      </c>
      <c r="D7309" s="43">
        <v>-8364</v>
      </c>
      <c r="E7309" t="s">
        <v>35</v>
      </c>
      <c r="F7309" s="2">
        <v>212901001</v>
      </c>
      <c r="G7309" s="2" t="s">
        <v>121</v>
      </c>
      <c r="L7309" s="2" t="s">
        <v>12904</v>
      </c>
      <c r="M7309" t="s">
        <v>67</v>
      </c>
      <c r="N7309" t="s">
        <v>68</v>
      </c>
      <c r="P7309" s="23">
        <v>140.66</v>
      </c>
      <c r="Q7309" s="4">
        <f t="shared" si="114"/>
        <v>-59.462533769372961</v>
      </c>
      <c r="R7309" s="23" t="s">
        <v>109</v>
      </c>
    </row>
    <row r="7310" spans="1:20" x14ac:dyDescent="0.25">
      <c r="A7310" s="21">
        <v>45891</v>
      </c>
      <c r="B7310" s="1">
        <v>517099925</v>
      </c>
      <c r="C7310" t="s">
        <v>12905</v>
      </c>
      <c r="D7310" s="43">
        <v>-8364</v>
      </c>
      <c r="E7310" t="s">
        <v>35</v>
      </c>
      <c r="F7310" s="2">
        <v>212901001</v>
      </c>
      <c r="G7310" s="2" t="s">
        <v>121</v>
      </c>
      <c r="L7310" s="2" t="s">
        <v>12906</v>
      </c>
      <c r="M7310" t="s">
        <v>67</v>
      </c>
      <c r="N7310" t="s">
        <v>68</v>
      </c>
      <c r="P7310" s="23">
        <v>140.66</v>
      </c>
      <c r="Q7310" s="4">
        <f t="shared" si="114"/>
        <v>-59.462533769372961</v>
      </c>
      <c r="R7310" s="23" t="s">
        <v>109</v>
      </c>
    </row>
    <row r="7311" spans="1:20" x14ac:dyDescent="0.25">
      <c r="A7311" s="21">
        <v>45891</v>
      </c>
      <c r="B7311" s="1">
        <v>517099926</v>
      </c>
      <c r="C7311" t="s">
        <v>12907</v>
      </c>
      <c r="D7311" s="43">
        <v>-8364</v>
      </c>
      <c r="E7311" t="s">
        <v>35</v>
      </c>
      <c r="F7311" s="2">
        <v>212901001</v>
      </c>
      <c r="G7311" s="2" t="s">
        <v>121</v>
      </c>
      <c r="L7311" s="2" t="s">
        <v>12908</v>
      </c>
      <c r="M7311" t="s">
        <v>67</v>
      </c>
      <c r="N7311" t="s">
        <v>68</v>
      </c>
      <c r="P7311" s="23">
        <v>140.66</v>
      </c>
      <c r="Q7311" s="4">
        <f t="shared" si="114"/>
        <v>-59.462533769372961</v>
      </c>
      <c r="R7311" s="23" t="s">
        <v>109</v>
      </c>
    </row>
    <row r="7312" spans="1:20" x14ac:dyDescent="0.25">
      <c r="A7312" s="21">
        <v>45891</v>
      </c>
      <c r="B7312" s="1">
        <v>617099930</v>
      </c>
      <c r="C7312" t="s">
        <v>12909</v>
      </c>
      <c r="D7312" s="43">
        <v>-8364</v>
      </c>
      <c r="E7312" t="s">
        <v>35</v>
      </c>
      <c r="F7312" s="2">
        <v>212901001</v>
      </c>
      <c r="G7312" s="2" t="s">
        <v>121</v>
      </c>
      <c r="L7312" s="2" t="s">
        <v>12910</v>
      </c>
      <c r="M7312" t="s">
        <v>67</v>
      </c>
      <c r="N7312" t="s">
        <v>68</v>
      </c>
      <c r="P7312" s="23">
        <v>140.66</v>
      </c>
      <c r="Q7312" s="4">
        <f t="shared" si="114"/>
        <v>-59.462533769372961</v>
      </c>
      <c r="R7312" s="23" t="s">
        <v>109</v>
      </c>
    </row>
    <row r="7313" spans="1:18" x14ac:dyDescent="0.25">
      <c r="A7313" s="21">
        <v>45891</v>
      </c>
      <c r="B7313" s="1">
        <v>617099928</v>
      </c>
      <c r="C7313" t="s">
        <v>12911</v>
      </c>
      <c r="D7313" s="43">
        <v>-8364</v>
      </c>
      <c r="E7313" t="s">
        <v>35</v>
      </c>
      <c r="F7313" s="2">
        <v>212901001</v>
      </c>
      <c r="G7313" s="2" t="s">
        <v>121</v>
      </c>
      <c r="L7313" s="2" t="s">
        <v>12912</v>
      </c>
      <c r="M7313" t="s">
        <v>67</v>
      </c>
      <c r="N7313" t="s">
        <v>68</v>
      </c>
      <c r="P7313" s="23">
        <v>140.66</v>
      </c>
      <c r="Q7313" s="4">
        <f t="shared" si="114"/>
        <v>-59.462533769372961</v>
      </c>
      <c r="R7313" s="23" t="s">
        <v>109</v>
      </c>
    </row>
    <row r="7314" spans="1:18" x14ac:dyDescent="0.25">
      <c r="A7314" s="21">
        <v>45891</v>
      </c>
      <c r="B7314" s="1">
        <v>617099929</v>
      </c>
      <c r="C7314" t="s">
        <v>12913</v>
      </c>
      <c r="D7314" s="43">
        <v>-8364</v>
      </c>
      <c r="E7314" t="s">
        <v>35</v>
      </c>
      <c r="F7314" s="2">
        <v>212901001</v>
      </c>
      <c r="G7314" s="2" t="s">
        <v>121</v>
      </c>
      <c r="L7314" s="2" t="s">
        <v>12914</v>
      </c>
      <c r="M7314" t="s">
        <v>67</v>
      </c>
      <c r="N7314" t="s">
        <v>68</v>
      </c>
      <c r="P7314" s="23">
        <v>140.66</v>
      </c>
      <c r="Q7314" s="4">
        <f t="shared" si="114"/>
        <v>-59.462533769372961</v>
      </c>
      <c r="R7314" s="23" t="s">
        <v>109</v>
      </c>
    </row>
    <row r="7315" spans="1:18" x14ac:dyDescent="0.25">
      <c r="A7315" s="21">
        <v>45891</v>
      </c>
      <c r="B7315" s="1">
        <v>617099932</v>
      </c>
      <c r="C7315" t="s">
        <v>12915</v>
      </c>
      <c r="D7315" s="43">
        <v>-8364</v>
      </c>
      <c r="E7315" t="s">
        <v>35</v>
      </c>
      <c r="F7315" s="2">
        <v>212901001</v>
      </c>
      <c r="G7315" s="2" t="s">
        <v>121</v>
      </c>
      <c r="L7315" s="2" t="s">
        <v>12916</v>
      </c>
      <c r="M7315" t="s">
        <v>67</v>
      </c>
      <c r="N7315" t="s">
        <v>68</v>
      </c>
      <c r="P7315" s="23">
        <v>140.66</v>
      </c>
      <c r="Q7315" s="4">
        <f t="shared" si="114"/>
        <v>-59.462533769372961</v>
      </c>
      <c r="R7315" s="23" t="s">
        <v>109</v>
      </c>
    </row>
    <row r="7316" spans="1:18" x14ac:dyDescent="0.25">
      <c r="A7316" s="21">
        <v>45891</v>
      </c>
      <c r="B7316" s="1">
        <v>617099931</v>
      </c>
      <c r="C7316" t="s">
        <v>12917</v>
      </c>
      <c r="D7316" s="43">
        <v>-8364</v>
      </c>
      <c r="E7316" t="s">
        <v>35</v>
      </c>
      <c r="F7316" s="2">
        <v>212901001</v>
      </c>
      <c r="G7316" s="2" t="s">
        <v>121</v>
      </c>
      <c r="L7316" s="2" t="s">
        <v>12918</v>
      </c>
      <c r="M7316" t="s">
        <v>67</v>
      </c>
      <c r="N7316" t="s">
        <v>68</v>
      </c>
      <c r="P7316" s="23">
        <v>140.66</v>
      </c>
      <c r="Q7316" s="4">
        <f t="shared" si="114"/>
        <v>-59.462533769372961</v>
      </c>
      <c r="R7316" s="23" t="s">
        <v>109</v>
      </c>
    </row>
    <row r="7317" spans="1:18" x14ac:dyDescent="0.25">
      <c r="A7317" s="21">
        <v>45891</v>
      </c>
      <c r="B7317" s="1">
        <v>617099933</v>
      </c>
      <c r="C7317" t="s">
        <v>12919</v>
      </c>
      <c r="D7317" s="43">
        <v>-20910</v>
      </c>
      <c r="E7317" t="s">
        <v>35</v>
      </c>
      <c r="F7317" s="2">
        <v>212901001</v>
      </c>
      <c r="G7317" s="2" t="s">
        <v>121</v>
      </c>
      <c r="L7317" s="2" t="s">
        <v>12920</v>
      </c>
      <c r="M7317" t="s">
        <v>67</v>
      </c>
      <c r="N7317" t="s">
        <v>68</v>
      </c>
      <c r="P7317" s="23">
        <v>140.66</v>
      </c>
      <c r="Q7317" s="4">
        <f t="shared" si="114"/>
        <v>-148.65633442343238</v>
      </c>
      <c r="R7317" s="23" t="s">
        <v>109</v>
      </c>
    </row>
    <row r="7318" spans="1:18" x14ac:dyDescent="0.25">
      <c r="A7318" s="21">
        <v>45891</v>
      </c>
      <c r="B7318" s="1">
        <v>717099936</v>
      </c>
      <c r="C7318" t="s">
        <v>12921</v>
      </c>
      <c r="D7318" s="43">
        <v>-11152</v>
      </c>
      <c r="E7318" t="s">
        <v>35</v>
      </c>
      <c r="F7318" s="2">
        <v>212901001</v>
      </c>
      <c r="G7318" s="2" t="s">
        <v>121</v>
      </c>
      <c r="L7318" s="2" t="s">
        <v>12922</v>
      </c>
      <c r="M7318" t="s">
        <v>67</v>
      </c>
      <c r="N7318" t="s">
        <v>68</v>
      </c>
      <c r="P7318" s="23">
        <v>140.66</v>
      </c>
      <c r="Q7318" s="4">
        <f t="shared" si="114"/>
        <v>-79.283378359163947</v>
      </c>
      <c r="R7318" s="23" t="s">
        <v>109</v>
      </c>
    </row>
    <row r="7319" spans="1:18" x14ac:dyDescent="0.25">
      <c r="A7319" s="21">
        <v>45891</v>
      </c>
      <c r="B7319" s="1">
        <v>617099934</v>
      </c>
      <c r="C7319" t="s">
        <v>12923</v>
      </c>
      <c r="D7319" s="43">
        <v>-13940</v>
      </c>
      <c r="E7319" t="s">
        <v>35</v>
      </c>
      <c r="F7319" s="2">
        <v>212901001</v>
      </c>
      <c r="G7319" s="2" t="s">
        <v>121</v>
      </c>
      <c r="L7319" s="2" t="s">
        <v>12924</v>
      </c>
      <c r="M7319" t="s">
        <v>67</v>
      </c>
      <c r="N7319" t="s">
        <v>68</v>
      </c>
      <c r="P7319" s="23">
        <v>140.66</v>
      </c>
      <c r="Q7319" s="4">
        <f t="shared" si="114"/>
        <v>-99.104222948954927</v>
      </c>
      <c r="R7319" s="23" t="s">
        <v>109</v>
      </c>
    </row>
    <row r="7320" spans="1:18" x14ac:dyDescent="0.25">
      <c r="A7320" s="21">
        <v>45891</v>
      </c>
      <c r="B7320" s="1">
        <v>717099937</v>
      </c>
      <c r="C7320" t="s">
        <v>12925</v>
      </c>
      <c r="D7320" s="43">
        <v>-11152</v>
      </c>
      <c r="E7320" t="s">
        <v>35</v>
      </c>
      <c r="F7320" s="2">
        <v>212901001</v>
      </c>
      <c r="G7320" s="2" t="s">
        <v>121</v>
      </c>
      <c r="L7320" s="2" t="s">
        <v>12926</v>
      </c>
      <c r="M7320" t="s">
        <v>67</v>
      </c>
      <c r="N7320" t="s">
        <v>68</v>
      </c>
      <c r="P7320" s="23">
        <v>140.66</v>
      </c>
      <c r="Q7320" s="4">
        <f t="shared" si="114"/>
        <v>-79.283378359163947</v>
      </c>
      <c r="R7320" s="23" t="s">
        <v>109</v>
      </c>
    </row>
    <row r="7321" spans="1:18" x14ac:dyDescent="0.25">
      <c r="A7321" s="21">
        <v>45891</v>
      </c>
      <c r="B7321" s="1">
        <v>717099939</v>
      </c>
      <c r="C7321" t="s">
        <v>12927</v>
      </c>
      <c r="D7321" s="43">
        <v>-11152</v>
      </c>
      <c r="E7321" t="s">
        <v>35</v>
      </c>
      <c r="F7321" s="2">
        <v>212901001</v>
      </c>
      <c r="G7321" s="2" t="s">
        <v>121</v>
      </c>
      <c r="L7321" s="2" t="s">
        <v>12928</v>
      </c>
      <c r="M7321" t="s">
        <v>67</v>
      </c>
      <c r="N7321" t="s">
        <v>68</v>
      </c>
      <c r="P7321" s="23">
        <v>140.66</v>
      </c>
      <c r="Q7321" s="4">
        <f t="shared" si="114"/>
        <v>-79.283378359163947</v>
      </c>
      <c r="R7321" s="23" t="s">
        <v>109</v>
      </c>
    </row>
    <row r="7322" spans="1:18" x14ac:dyDescent="0.25">
      <c r="A7322" s="21">
        <v>45891</v>
      </c>
      <c r="B7322" s="1">
        <v>617099935</v>
      </c>
      <c r="C7322" t="s">
        <v>12929</v>
      </c>
      <c r="D7322" s="43">
        <v>-11152</v>
      </c>
      <c r="E7322" t="s">
        <v>35</v>
      </c>
      <c r="F7322" s="2">
        <v>212901001</v>
      </c>
      <c r="G7322" s="2" t="s">
        <v>121</v>
      </c>
      <c r="L7322" s="2" t="s">
        <v>12930</v>
      </c>
      <c r="M7322" t="s">
        <v>67</v>
      </c>
      <c r="N7322" t="s">
        <v>68</v>
      </c>
      <c r="P7322" s="23">
        <v>140.66</v>
      </c>
      <c r="Q7322" s="4">
        <f t="shared" si="114"/>
        <v>-79.283378359163947</v>
      </c>
      <c r="R7322" s="23" t="s">
        <v>109</v>
      </c>
    </row>
    <row r="7323" spans="1:18" x14ac:dyDescent="0.25">
      <c r="A7323" s="21">
        <v>45891</v>
      </c>
      <c r="B7323" s="1">
        <v>717099938</v>
      </c>
      <c r="C7323" t="s">
        <v>12931</v>
      </c>
      <c r="D7323" s="43">
        <v>-11152</v>
      </c>
      <c r="E7323" t="s">
        <v>35</v>
      </c>
      <c r="F7323" s="2">
        <v>212901001</v>
      </c>
      <c r="G7323" s="2" t="s">
        <v>121</v>
      </c>
      <c r="L7323" s="2" t="s">
        <v>12932</v>
      </c>
      <c r="M7323" t="s">
        <v>67</v>
      </c>
      <c r="N7323" t="s">
        <v>68</v>
      </c>
      <c r="P7323" s="23">
        <v>140.66</v>
      </c>
      <c r="Q7323" s="4">
        <f t="shared" si="114"/>
        <v>-79.283378359163947</v>
      </c>
      <c r="R7323" s="23" t="s">
        <v>109</v>
      </c>
    </row>
    <row r="7324" spans="1:18" x14ac:dyDescent="0.25">
      <c r="A7324" s="21">
        <v>45891</v>
      </c>
      <c r="B7324" s="1">
        <v>717099940</v>
      </c>
      <c r="C7324" t="s">
        <v>12933</v>
      </c>
      <c r="D7324" s="43">
        <v>-11152</v>
      </c>
      <c r="E7324" t="s">
        <v>35</v>
      </c>
      <c r="F7324" s="2">
        <v>212901001</v>
      </c>
      <c r="G7324" s="2" t="s">
        <v>121</v>
      </c>
      <c r="L7324" s="2" t="s">
        <v>12934</v>
      </c>
      <c r="M7324" t="s">
        <v>67</v>
      </c>
      <c r="N7324" t="s">
        <v>68</v>
      </c>
      <c r="P7324" s="23">
        <v>140.66</v>
      </c>
      <c r="Q7324" s="4">
        <f t="shared" si="114"/>
        <v>-79.283378359163947</v>
      </c>
      <c r="R7324" s="23" t="s">
        <v>109</v>
      </c>
    </row>
    <row r="7325" spans="1:18" x14ac:dyDescent="0.25">
      <c r="A7325" s="21">
        <v>45891</v>
      </c>
      <c r="B7325" s="1">
        <v>717099942</v>
      </c>
      <c r="C7325" t="s">
        <v>12935</v>
      </c>
      <c r="D7325" s="43">
        <v>-6970</v>
      </c>
      <c r="E7325" t="s">
        <v>35</v>
      </c>
      <c r="F7325" s="2">
        <v>212901001</v>
      </c>
      <c r="G7325" s="2" t="s">
        <v>121</v>
      </c>
      <c r="L7325" s="2" t="s">
        <v>12936</v>
      </c>
      <c r="M7325" t="s">
        <v>67</v>
      </c>
      <c r="N7325" t="s">
        <v>68</v>
      </c>
      <c r="P7325" s="23">
        <v>140.66</v>
      </c>
      <c r="Q7325" s="4">
        <f t="shared" si="114"/>
        <v>-49.552111474477464</v>
      </c>
      <c r="R7325" s="23" t="s">
        <v>109</v>
      </c>
    </row>
    <row r="7326" spans="1:18" x14ac:dyDescent="0.25">
      <c r="A7326" s="21">
        <v>45891</v>
      </c>
      <c r="B7326" s="1">
        <v>717099945</v>
      </c>
      <c r="C7326" t="s">
        <v>12937</v>
      </c>
      <c r="D7326" s="43">
        <v>-6970</v>
      </c>
      <c r="E7326" t="s">
        <v>35</v>
      </c>
      <c r="F7326" s="2">
        <v>212901001</v>
      </c>
      <c r="G7326" s="2" t="s">
        <v>121</v>
      </c>
      <c r="L7326" s="2" t="s">
        <v>12938</v>
      </c>
      <c r="M7326" t="s">
        <v>67</v>
      </c>
      <c r="N7326" t="s">
        <v>68</v>
      </c>
      <c r="P7326" s="23">
        <v>140.66</v>
      </c>
      <c r="Q7326" s="4">
        <f t="shared" si="114"/>
        <v>-49.552111474477464</v>
      </c>
      <c r="R7326" s="23" t="s">
        <v>109</v>
      </c>
    </row>
    <row r="7327" spans="1:18" x14ac:dyDescent="0.25">
      <c r="A7327" s="21">
        <v>45891</v>
      </c>
      <c r="B7327" s="1">
        <v>717099944</v>
      </c>
      <c r="C7327" t="s">
        <v>12939</v>
      </c>
      <c r="D7327" s="43">
        <v>-6970</v>
      </c>
      <c r="E7327" t="s">
        <v>35</v>
      </c>
      <c r="F7327" s="2">
        <v>212901001</v>
      </c>
      <c r="G7327" s="2" t="s">
        <v>121</v>
      </c>
      <c r="L7327" s="2" t="s">
        <v>12940</v>
      </c>
      <c r="M7327" t="s">
        <v>67</v>
      </c>
      <c r="N7327" t="s">
        <v>68</v>
      </c>
      <c r="P7327" s="23">
        <v>140.66</v>
      </c>
      <c r="Q7327" s="4">
        <f t="shared" si="114"/>
        <v>-49.552111474477464</v>
      </c>
      <c r="R7327" s="23" t="s">
        <v>109</v>
      </c>
    </row>
    <row r="7328" spans="1:18" x14ac:dyDescent="0.25">
      <c r="A7328" s="21">
        <v>45891</v>
      </c>
      <c r="B7328" s="1">
        <v>817099949</v>
      </c>
      <c r="C7328" t="s">
        <v>12941</v>
      </c>
      <c r="D7328" s="43">
        <v>-6970</v>
      </c>
      <c r="E7328" t="s">
        <v>35</v>
      </c>
      <c r="F7328" s="2">
        <v>212901001</v>
      </c>
      <c r="G7328" s="2" t="s">
        <v>121</v>
      </c>
      <c r="L7328" s="2" t="s">
        <v>12942</v>
      </c>
      <c r="M7328" t="s">
        <v>67</v>
      </c>
      <c r="N7328" t="s">
        <v>68</v>
      </c>
      <c r="P7328" s="23">
        <v>140.66</v>
      </c>
      <c r="Q7328" s="4">
        <f t="shared" si="114"/>
        <v>-49.552111474477464</v>
      </c>
      <c r="R7328" s="23" t="s">
        <v>109</v>
      </c>
    </row>
    <row r="7329" spans="1:18" x14ac:dyDescent="0.25">
      <c r="A7329" s="21">
        <v>45891</v>
      </c>
      <c r="B7329" s="1">
        <v>817099947</v>
      </c>
      <c r="C7329" t="s">
        <v>12943</v>
      </c>
      <c r="D7329" s="43">
        <v>-6970</v>
      </c>
      <c r="E7329" t="s">
        <v>35</v>
      </c>
      <c r="F7329" s="2">
        <v>212901001</v>
      </c>
      <c r="G7329" s="2" t="s">
        <v>121</v>
      </c>
      <c r="L7329" s="2" t="s">
        <v>12944</v>
      </c>
      <c r="M7329" t="s">
        <v>67</v>
      </c>
      <c r="N7329" t="s">
        <v>68</v>
      </c>
      <c r="P7329" s="23">
        <v>140.66</v>
      </c>
      <c r="Q7329" s="4">
        <f t="shared" si="114"/>
        <v>-49.552111474477464</v>
      </c>
      <c r="R7329" s="23" t="s">
        <v>109</v>
      </c>
    </row>
    <row r="7330" spans="1:18" x14ac:dyDescent="0.25">
      <c r="A7330" s="21">
        <v>45891</v>
      </c>
      <c r="B7330" s="1">
        <v>817099946</v>
      </c>
      <c r="C7330" t="s">
        <v>12945</v>
      </c>
      <c r="D7330" s="43">
        <v>-5854.8</v>
      </c>
      <c r="E7330" t="s">
        <v>35</v>
      </c>
      <c r="F7330" s="2">
        <v>212901001</v>
      </c>
      <c r="G7330" s="2" t="s">
        <v>121</v>
      </c>
      <c r="L7330" s="2" t="s">
        <v>12946</v>
      </c>
      <c r="M7330" t="s">
        <v>67</v>
      </c>
      <c r="N7330" t="s">
        <v>68</v>
      </c>
      <c r="P7330" s="23">
        <v>140.66</v>
      </c>
      <c r="Q7330" s="4">
        <f t="shared" si="114"/>
        <v>-41.623773638561069</v>
      </c>
      <c r="R7330" s="23" t="s">
        <v>109</v>
      </c>
    </row>
    <row r="7331" spans="1:18" x14ac:dyDescent="0.25">
      <c r="A7331" s="21">
        <v>45891</v>
      </c>
      <c r="B7331" s="1">
        <v>817099950</v>
      </c>
      <c r="C7331" t="s">
        <v>12947</v>
      </c>
      <c r="D7331" s="43">
        <v>-5576</v>
      </c>
      <c r="E7331" t="s">
        <v>35</v>
      </c>
      <c r="F7331" s="2">
        <v>212901001</v>
      </c>
      <c r="G7331" s="2" t="s">
        <v>121</v>
      </c>
      <c r="L7331" s="2" t="s">
        <v>12948</v>
      </c>
      <c r="M7331" t="s">
        <v>67</v>
      </c>
      <c r="N7331" t="s">
        <v>68</v>
      </c>
      <c r="P7331" s="23">
        <v>140.66</v>
      </c>
      <c r="Q7331" s="4">
        <f t="shared" si="114"/>
        <v>-39.641689179581974</v>
      </c>
      <c r="R7331" s="23" t="s">
        <v>109</v>
      </c>
    </row>
    <row r="7332" spans="1:18" x14ac:dyDescent="0.25">
      <c r="A7332" s="21">
        <v>45891</v>
      </c>
      <c r="B7332" s="1">
        <v>817099952</v>
      </c>
      <c r="C7332" t="s">
        <v>12949</v>
      </c>
      <c r="D7332" s="43">
        <v>-5576</v>
      </c>
      <c r="E7332" t="s">
        <v>35</v>
      </c>
      <c r="F7332" s="2">
        <v>212901001</v>
      </c>
      <c r="G7332" s="2" t="s">
        <v>121</v>
      </c>
      <c r="L7332" s="2" t="s">
        <v>12950</v>
      </c>
      <c r="M7332" t="s">
        <v>67</v>
      </c>
      <c r="N7332" t="s">
        <v>68</v>
      </c>
      <c r="P7332" s="23">
        <v>140.66</v>
      </c>
      <c r="Q7332" s="4">
        <f t="shared" si="114"/>
        <v>-39.641689179581974</v>
      </c>
      <c r="R7332" s="23" t="s">
        <v>109</v>
      </c>
    </row>
    <row r="7333" spans="1:18" x14ac:dyDescent="0.25">
      <c r="A7333" s="21">
        <v>45891</v>
      </c>
      <c r="B7333" s="1">
        <v>817099951</v>
      </c>
      <c r="C7333" t="s">
        <v>12951</v>
      </c>
      <c r="D7333" s="43">
        <v>-5576</v>
      </c>
      <c r="E7333" t="s">
        <v>35</v>
      </c>
      <c r="F7333" s="2">
        <v>212901001</v>
      </c>
      <c r="G7333" s="2" t="s">
        <v>121</v>
      </c>
      <c r="L7333" s="2" t="s">
        <v>12952</v>
      </c>
      <c r="M7333" t="s">
        <v>67</v>
      </c>
      <c r="N7333" t="s">
        <v>68</v>
      </c>
      <c r="P7333" s="23">
        <v>140.66</v>
      </c>
      <c r="Q7333" s="4">
        <f t="shared" si="114"/>
        <v>-39.641689179581974</v>
      </c>
      <c r="R7333" s="23" t="s">
        <v>109</v>
      </c>
    </row>
    <row r="7334" spans="1:18" x14ac:dyDescent="0.25">
      <c r="A7334" s="21">
        <v>45891</v>
      </c>
      <c r="B7334" s="1">
        <v>817099953</v>
      </c>
      <c r="C7334" t="s">
        <v>12953</v>
      </c>
      <c r="D7334" s="43">
        <v>-5576</v>
      </c>
      <c r="E7334" t="s">
        <v>35</v>
      </c>
      <c r="F7334" s="2">
        <v>212901001</v>
      </c>
      <c r="G7334" s="2" t="s">
        <v>121</v>
      </c>
      <c r="L7334" s="2" t="s">
        <v>12954</v>
      </c>
      <c r="M7334" t="s">
        <v>67</v>
      </c>
      <c r="N7334" t="s">
        <v>68</v>
      </c>
      <c r="P7334" s="23">
        <v>140.66</v>
      </c>
      <c r="Q7334" s="4">
        <f t="shared" si="114"/>
        <v>-39.641689179581974</v>
      </c>
      <c r="R7334" s="23" t="s">
        <v>109</v>
      </c>
    </row>
    <row r="7335" spans="1:18" x14ac:dyDescent="0.25">
      <c r="A7335" s="21">
        <v>45891</v>
      </c>
      <c r="B7335" s="1">
        <v>917099956</v>
      </c>
      <c r="C7335" t="s">
        <v>12955</v>
      </c>
      <c r="D7335" s="43">
        <v>-5576</v>
      </c>
      <c r="E7335" t="s">
        <v>35</v>
      </c>
      <c r="F7335" s="2">
        <v>212901001</v>
      </c>
      <c r="G7335" s="2" t="s">
        <v>121</v>
      </c>
      <c r="L7335" s="2" t="s">
        <v>12956</v>
      </c>
      <c r="M7335" t="s">
        <v>67</v>
      </c>
      <c r="N7335" t="s">
        <v>68</v>
      </c>
      <c r="P7335" s="23">
        <v>140.66</v>
      </c>
      <c r="Q7335" s="4">
        <f t="shared" si="114"/>
        <v>-39.641689179581974</v>
      </c>
      <c r="R7335" s="23" t="s">
        <v>109</v>
      </c>
    </row>
    <row r="7336" spans="1:18" x14ac:dyDescent="0.25">
      <c r="A7336" s="21">
        <v>45891</v>
      </c>
      <c r="B7336" s="1">
        <v>917099954</v>
      </c>
      <c r="C7336" t="s">
        <v>12957</v>
      </c>
      <c r="D7336" s="43">
        <v>-5576</v>
      </c>
      <c r="E7336" t="s">
        <v>35</v>
      </c>
      <c r="F7336" s="2">
        <v>212901001</v>
      </c>
      <c r="G7336" s="2" t="s">
        <v>121</v>
      </c>
      <c r="L7336" s="2" t="s">
        <v>12958</v>
      </c>
      <c r="M7336" t="s">
        <v>67</v>
      </c>
      <c r="N7336" t="s">
        <v>68</v>
      </c>
      <c r="P7336" s="23">
        <v>140.66</v>
      </c>
      <c r="Q7336" s="4">
        <f t="shared" si="114"/>
        <v>-39.641689179581974</v>
      </c>
      <c r="R7336" s="23" t="s">
        <v>109</v>
      </c>
    </row>
    <row r="7337" spans="1:18" x14ac:dyDescent="0.25">
      <c r="A7337" s="21">
        <v>45891</v>
      </c>
      <c r="B7337" s="1">
        <v>917099957</v>
      </c>
      <c r="C7337" t="s">
        <v>12959</v>
      </c>
      <c r="D7337" s="43">
        <v>-5576</v>
      </c>
      <c r="E7337" t="s">
        <v>35</v>
      </c>
      <c r="F7337" s="2">
        <v>212901001</v>
      </c>
      <c r="G7337" s="2" t="s">
        <v>121</v>
      </c>
      <c r="L7337" s="2" t="s">
        <v>12960</v>
      </c>
      <c r="M7337" t="s">
        <v>67</v>
      </c>
      <c r="N7337" t="s">
        <v>68</v>
      </c>
      <c r="P7337" s="23">
        <v>140.66</v>
      </c>
      <c r="Q7337" s="4">
        <f t="shared" si="114"/>
        <v>-39.641689179581974</v>
      </c>
      <c r="R7337" s="23" t="s">
        <v>109</v>
      </c>
    </row>
    <row r="7338" spans="1:18" x14ac:dyDescent="0.25">
      <c r="A7338" s="21">
        <v>45891</v>
      </c>
      <c r="B7338" s="1">
        <v>917099958</v>
      </c>
      <c r="C7338" t="s">
        <v>12961</v>
      </c>
      <c r="D7338" s="43">
        <v>-13940</v>
      </c>
      <c r="E7338" t="s">
        <v>35</v>
      </c>
      <c r="F7338" s="2">
        <v>212901001</v>
      </c>
      <c r="G7338" s="2" t="s">
        <v>121</v>
      </c>
      <c r="L7338" s="2" t="s">
        <v>12962</v>
      </c>
      <c r="M7338" t="s">
        <v>67</v>
      </c>
      <c r="N7338" t="s">
        <v>68</v>
      </c>
      <c r="P7338" s="23">
        <v>140.66</v>
      </c>
      <c r="Q7338" s="4">
        <f t="shared" si="114"/>
        <v>-99.104222948954927</v>
      </c>
      <c r="R7338" s="23" t="s">
        <v>109</v>
      </c>
    </row>
    <row r="7339" spans="1:18" x14ac:dyDescent="0.25">
      <c r="A7339" s="21">
        <v>45891</v>
      </c>
      <c r="B7339" s="1">
        <v>917099960</v>
      </c>
      <c r="C7339" t="s">
        <v>12963</v>
      </c>
      <c r="D7339" s="43">
        <v>-20910</v>
      </c>
      <c r="E7339" t="s">
        <v>35</v>
      </c>
      <c r="F7339" s="2">
        <v>212901001</v>
      </c>
      <c r="G7339" s="2" t="s">
        <v>121</v>
      </c>
      <c r="L7339" s="2" t="s">
        <v>12964</v>
      </c>
      <c r="M7339" t="s">
        <v>67</v>
      </c>
      <c r="N7339" t="s">
        <v>68</v>
      </c>
      <c r="P7339" s="23">
        <v>140.66</v>
      </c>
      <c r="Q7339" s="4">
        <f t="shared" si="114"/>
        <v>-148.65633442343238</v>
      </c>
      <c r="R7339" s="23" t="s">
        <v>109</v>
      </c>
    </row>
    <row r="7340" spans="1:18" x14ac:dyDescent="0.25">
      <c r="A7340" s="21">
        <v>45891</v>
      </c>
      <c r="B7340" s="1">
        <v>917099959</v>
      </c>
      <c r="C7340" t="s">
        <v>12965</v>
      </c>
      <c r="D7340" s="43">
        <v>-13940</v>
      </c>
      <c r="E7340" t="s">
        <v>35</v>
      </c>
      <c r="F7340" s="2">
        <v>212901001</v>
      </c>
      <c r="G7340" s="2" t="s">
        <v>121</v>
      </c>
      <c r="L7340" s="2" t="s">
        <v>12966</v>
      </c>
      <c r="M7340" t="s">
        <v>67</v>
      </c>
      <c r="N7340" t="s">
        <v>68</v>
      </c>
      <c r="P7340" s="23">
        <v>140.66</v>
      </c>
      <c r="Q7340" s="4">
        <f t="shared" si="114"/>
        <v>-99.104222948954927</v>
      </c>
      <c r="R7340" s="23" t="s">
        <v>109</v>
      </c>
    </row>
    <row r="7341" spans="1:18" x14ac:dyDescent="0.25">
      <c r="A7341" s="21">
        <v>45891</v>
      </c>
      <c r="B7341" s="1">
        <v>917099963</v>
      </c>
      <c r="C7341" t="s">
        <v>12967</v>
      </c>
      <c r="D7341" s="43">
        <v>-13940</v>
      </c>
      <c r="E7341" t="s">
        <v>35</v>
      </c>
      <c r="F7341" s="2">
        <v>212901001</v>
      </c>
      <c r="G7341" s="2" t="s">
        <v>121</v>
      </c>
      <c r="L7341" s="2" t="s">
        <v>12968</v>
      </c>
      <c r="M7341" t="s">
        <v>67</v>
      </c>
      <c r="N7341" t="s">
        <v>68</v>
      </c>
      <c r="P7341" s="23">
        <v>140.66</v>
      </c>
      <c r="Q7341" s="4">
        <f t="shared" si="114"/>
        <v>-99.104222948954927</v>
      </c>
      <c r="R7341" s="23" t="s">
        <v>109</v>
      </c>
    </row>
    <row r="7342" spans="1:18" x14ac:dyDescent="0.25">
      <c r="A7342" s="21">
        <v>45891</v>
      </c>
      <c r="B7342" s="1">
        <v>917099962</v>
      </c>
      <c r="C7342" t="s">
        <v>12969</v>
      </c>
      <c r="D7342" s="43">
        <v>-11152</v>
      </c>
      <c r="E7342" t="s">
        <v>35</v>
      </c>
      <c r="F7342" s="2">
        <v>212901001</v>
      </c>
      <c r="G7342" s="2" t="s">
        <v>121</v>
      </c>
      <c r="L7342" s="2" t="s">
        <v>12970</v>
      </c>
      <c r="M7342" t="s">
        <v>67</v>
      </c>
      <c r="N7342" t="s">
        <v>68</v>
      </c>
      <c r="P7342" s="23">
        <v>140.66</v>
      </c>
      <c r="Q7342" s="4">
        <f t="shared" si="114"/>
        <v>-79.283378359163947</v>
      </c>
      <c r="R7342" s="23" t="s">
        <v>109</v>
      </c>
    </row>
    <row r="7343" spans="1:18" x14ac:dyDescent="0.25">
      <c r="A7343" s="21">
        <v>45891</v>
      </c>
      <c r="B7343" s="1">
        <v>917099961</v>
      </c>
      <c r="C7343" t="s">
        <v>12971</v>
      </c>
      <c r="D7343" s="43">
        <v>-15334</v>
      </c>
      <c r="E7343" t="s">
        <v>35</v>
      </c>
      <c r="F7343" s="2">
        <v>212901001</v>
      </c>
      <c r="G7343" s="2" t="s">
        <v>121</v>
      </c>
      <c r="L7343" s="2" t="s">
        <v>12972</v>
      </c>
      <c r="M7343" t="s">
        <v>67</v>
      </c>
      <c r="N7343" t="s">
        <v>68</v>
      </c>
      <c r="P7343" s="23">
        <v>140.66</v>
      </c>
      <c r="Q7343" s="4">
        <f t="shared" si="114"/>
        <v>-109.01464524385042</v>
      </c>
      <c r="R7343" s="23" t="s">
        <v>109</v>
      </c>
    </row>
    <row r="7344" spans="1:18" x14ac:dyDescent="0.25">
      <c r="A7344" s="21">
        <v>45891</v>
      </c>
      <c r="B7344" s="1">
        <v>17099965</v>
      </c>
      <c r="C7344" t="s">
        <v>12973</v>
      </c>
      <c r="D7344" s="43">
        <v>-9758</v>
      </c>
      <c r="E7344" t="s">
        <v>35</v>
      </c>
      <c r="F7344" s="2">
        <v>212901001</v>
      </c>
      <c r="G7344" s="2" t="s">
        <v>121</v>
      </c>
      <c r="L7344" s="2" t="s">
        <v>12974</v>
      </c>
      <c r="M7344" t="s">
        <v>67</v>
      </c>
      <c r="N7344" t="s">
        <v>68</v>
      </c>
      <c r="P7344" s="23">
        <v>140.66</v>
      </c>
      <c r="Q7344" s="4">
        <f t="shared" si="114"/>
        <v>-69.37295606426845</v>
      </c>
      <c r="R7344" s="23" t="s">
        <v>109</v>
      </c>
    </row>
    <row r="7345" spans="1:18" x14ac:dyDescent="0.25">
      <c r="A7345" s="21">
        <v>45891</v>
      </c>
      <c r="B7345" s="1">
        <v>17099967</v>
      </c>
      <c r="C7345" t="s">
        <v>12975</v>
      </c>
      <c r="D7345" s="43">
        <v>-9758</v>
      </c>
      <c r="E7345" t="s">
        <v>35</v>
      </c>
      <c r="F7345" s="2">
        <v>212901001</v>
      </c>
      <c r="G7345" s="2" t="s">
        <v>121</v>
      </c>
      <c r="L7345" s="2" t="s">
        <v>12976</v>
      </c>
      <c r="M7345" t="s">
        <v>67</v>
      </c>
      <c r="N7345" t="s">
        <v>68</v>
      </c>
      <c r="P7345" s="23">
        <v>140.66</v>
      </c>
      <c r="Q7345" s="4">
        <f t="shared" si="114"/>
        <v>-69.37295606426845</v>
      </c>
      <c r="R7345" s="23" t="s">
        <v>109</v>
      </c>
    </row>
    <row r="7346" spans="1:18" x14ac:dyDescent="0.25">
      <c r="A7346" s="21">
        <v>45891</v>
      </c>
      <c r="B7346" s="1">
        <v>17099968</v>
      </c>
      <c r="C7346" t="s">
        <v>12977</v>
      </c>
      <c r="D7346" s="43">
        <v>-6970</v>
      </c>
      <c r="E7346" t="s">
        <v>35</v>
      </c>
      <c r="F7346" s="2">
        <v>212901001</v>
      </c>
      <c r="G7346" s="2" t="s">
        <v>121</v>
      </c>
      <c r="L7346" s="2" t="s">
        <v>12978</v>
      </c>
      <c r="M7346" t="s">
        <v>67</v>
      </c>
      <c r="N7346" t="s">
        <v>68</v>
      </c>
      <c r="P7346" s="23">
        <v>140.66</v>
      </c>
      <c r="Q7346" s="4">
        <f t="shared" si="114"/>
        <v>-49.552111474477464</v>
      </c>
      <c r="R7346" s="23" t="s">
        <v>109</v>
      </c>
    </row>
    <row r="7347" spans="1:18" x14ac:dyDescent="0.25">
      <c r="A7347" s="21">
        <v>45891</v>
      </c>
      <c r="B7347" s="1">
        <v>17099970</v>
      </c>
      <c r="C7347" t="s">
        <v>12979</v>
      </c>
      <c r="D7347" s="43">
        <v>-6970</v>
      </c>
      <c r="E7347" t="s">
        <v>35</v>
      </c>
      <c r="F7347" s="2">
        <v>212901001</v>
      </c>
      <c r="G7347" s="2" t="s">
        <v>121</v>
      </c>
      <c r="L7347" s="2" t="s">
        <v>12980</v>
      </c>
      <c r="M7347" t="s">
        <v>67</v>
      </c>
      <c r="N7347" t="s">
        <v>68</v>
      </c>
      <c r="P7347" s="23">
        <v>140.66</v>
      </c>
      <c r="Q7347" s="4">
        <f t="shared" si="114"/>
        <v>-49.552111474477464</v>
      </c>
      <c r="R7347" s="23" t="s">
        <v>109</v>
      </c>
    </row>
    <row r="7348" spans="1:18" x14ac:dyDescent="0.25">
      <c r="A7348" s="21">
        <v>45891</v>
      </c>
      <c r="B7348" s="1">
        <v>17099972</v>
      </c>
      <c r="C7348" t="s">
        <v>12981</v>
      </c>
      <c r="D7348" s="43">
        <v>-6970</v>
      </c>
      <c r="E7348" t="s">
        <v>35</v>
      </c>
      <c r="F7348" s="2">
        <v>212901001</v>
      </c>
      <c r="G7348" s="2" t="s">
        <v>121</v>
      </c>
      <c r="L7348" s="2" t="s">
        <v>12982</v>
      </c>
      <c r="M7348" t="s">
        <v>67</v>
      </c>
      <c r="N7348" t="s">
        <v>68</v>
      </c>
      <c r="P7348" s="23">
        <v>140.66</v>
      </c>
      <c r="Q7348" s="4">
        <f t="shared" si="114"/>
        <v>-49.552111474477464</v>
      </c>
      <c r="R7348" s="23" t="s">
        <v>109</v>
      </c>
    </row>
    <row r="7349" spans="1:18" x14ac:dyDescent="0.25">
      <c r="A7349" s="21">
        <v>45891</v>
      </c>
      <c r="B7349" s="1">
        <v>17099969</v>
      </c>
      <c r="C7349" t="s">
        <v>12983</v>
      </c>
      <c r="D7349" s="43">
        <v>-9758</v>
      </c>
      <c r="E7349" t="s">
        <v>35</v>
      </c>
      <c r="F7349" s="2">
        <v>212901001</v>
      </c>
      <c r="G7349" s="2" t="s">
        <v>121</v>
      </c>
      <c r="L7349" s="2" t="s">
        <v>12984</v>
      </c>
      <c r="M7349" t="s">
        <v>67</v>
      </c>
      <c r="N7349" t="s">
        <v>68</v>
      </c>
      <c r="P7349" s="23">
        <v>140.66</v>
      </c>
      <c r="Q7349" s="4">
        <f t="shared" si="114"/>
        <v>-69.37295606426845</v>
      </c>
      <c r="R7349" s="23" t="s">
        <v>109</v>
      </c>
    </row>
    <row r="7350" spans="1:18" x14ac:dyDescent="0.25">
      <c r="A7350" s="21">
        <v>45891</v>
      </c>
      <c r="B7350" s="1">
        <v>117099977</v>
      </c>
      <c r="C7350" t="s">
        <v>12985</v>
      </c>
      <c r="D7350" s="43">
        <v>-6970</v>
      </c>
      <c r="E7350" t="s">
        <v>35</v>
      </c>
      <c r="F7350" s="2">
        <v>212901001</v>
      </c>
      <c r="G7350" s="2" t="s">
        <v>121</v>
      </c>
      <c r="L7350" s="2" t="s">
        <v>12986</v>
      </c>
      <c r="M7350" t="s">
        <v>67</v>
      </c>
      <c r="N7350" t="s">
        <v>68</v>
      </c>
      <c r="P7350" s="23">
        <v>140.66</v>
      </c>
      <c r="Q7350" s="4">
        <f t="shared" si="114"/>
        <v>-49.552111474477464</v>
      </c>
      <c r="R7350" s="23" t="s">
        <v>109</v>
      </c>
    </row>
    <row r="7351" spans="1:18" x14ac:dyDescent="0.25">
      <c r="A7351" s="21">
        <v>45891</v>
      </c>
      <c r="B7351" s="1">
        <v>117099975</v>
      </c>
      <c r="C7351" t="s">
        <v>12987</v>
      </c>
      <c r="D7351" s="43">
        <v>-6970</v>
      </c>
      <c r="E7351" t="s">
        <v>35</v>
      </c>
      <c r="F7351" s="2">
        <v>212901001</v>
      </c>
      <c r="G7351" s="2" t="s">
        <v>121</v>
      </c>
      <c r="L7351" s="2" t="s">
        <v>12988</v>
      </c>
      <c r="M7351" t="s">
        <v>67</v>
      </c>
      <c r="N7351" t="s">
        <v>68</v>
      </c>
      <c r="P7351" s="23">
        <v>140.66</v>
      </c>
      <c r="Q7351" s="4">
        <f t="shared" si="114"/>
        <v>-49.552111474477464</v>
      </c>
      <c r="R7351" s="23" t="s">
        <v>109</v>
      </c>
    </row>
    <row r="7352" spans="1:18" x14ac:dyDescent="0.25">
      <c r="A7352" s="21">
        <v>45891</v>
      </c>
      <c r="B7352" s="1">
        <v>17099973</v>
      </c>
      <c r="C7352" t="s">
        <v>12983</v>
      </c>
      <c r="D7352" s="43">
        <v>-6970</v>
      </c>
      <c r="E7352" t="s">
        <v>35</v>
      </c>
      <c r="F7352" s="2">
        <v>212901001</v>
      </c>
      <c r="G7352" s="2" t="s">
        <v>121</v>
      </c>
      <c r="L7352" s="2" t="s">
        <v>12989</v>
      </c>
      <c r="M7352" t="s">
        <v>67</v>
      </c>
      <c r="N7352" t="s">
        <v>68</v>
      </c>
      <c r="P7352" s="23">
        <v>140.66</v>
      </c>
      <c r="Q7352" s="4">
        <f t="shared" si="114"/>
        <v>-49.552111474477464</v>
      </c>
      <c r="R7352" s="23" t="s">
        <v>109</v>
      </c>
    </row>
    <row r="7353" spans="1:18" x14ac:dyDescent="0.25">
      <c r="A7353" s="21">
        <v>45891</v>
      </c>
      <c r="B7353" s="1">
        <v>117099976</v>
      </c>
      <c r="C7353" t="s">
        <v>12990</v>
      </c>
      <c r="D7353" s="43">
        <v>-6970</v>
      </c>
      <c r="E7353" t="s">
        <v>35</v>
      </c>
      <c r="F7353" s="2">
        <v>212901001</v>
      </c>
      <c r="G7353" s="2" t="s">
        <v>121</v>
      </c>
      <c r="L7353" s="2" t="s">
        <v>12991</v>
      </c>
      <c r="M7353" t="s">
        <v>67</v>
      </c>
      <c r="N7353" t="s">
        <v>68</v>
      </c>
      <c r="P7353" s="23">
        <v>140.66</v>
      </c>
      <c r="Q7353" s="4">
        <f t="shared" si="114"/>
        <v>-49.552111474477464</v>
      </c>
      <c r="R7353" s="23" t="s">
        <v>109</v>
      </c>
    </row>
    <row r="7354" spans="1:18" x14ac:dyDescent="0.25">
      <c r="A7354" s="21">
        <v>45891</v>
      </c>
      <c r="B7354" s="1">
        <v>117099979</v>
      </c>
      <c r="C7354" t="s">
        <v>12992</v>
      </c>
      <c r="D7354" s="43">
        <v>-6970</v>
      </c>
      <c r="E7354" t="s">
        <v>35</v>
      </c>
      <c r="F7354" s="2">
        <v>212901001</v>
      </c>
      <c r="G7354" s="2" t="s">
        <v>121</v>
      </c>
      <c r="L7354" s="2" t="s">
        <v>12993</v>
      </c>
      <c r="M7354" t="s">
        <v>67</v>
      </c>
      <c r="N7354" t="s">
        <v>68</v>
      </c>
      <c r="P7354" s="23">
        <v>140.66</v>
      </c>
      <c r="Q7354" s="4">
        <f t="shared" si="114"/>
        <v>-49.552111474477464</v>
      </c>
      <c r="R7354" s="23" t="s">
        <v>109</v>
      </c>
    </row>
    <row r="7355" spans="1:18" x14ac:dyDescent="0.25">
      <c r="A7355" s="21">
        <v>45891</v>
      </c>
      <c r="B7355" s="1">
        <v>117099981</v>
      </c>
      <c r="C7355" t="s">
        <v>12994</v>
      </c>
      <c r="D7355" s="43">
        <v>-6970</v>
      </c>
      <c r="E7355" t="s">
        <v>35</v>
      </c>
      <c r="F7355" s="2">
        <v>212901001</v>
      </c>
      <c r="G7355" s="2" t="s">
        <v>121</v>
      </c>
      <c r="L7355" s="2" t="s">
        <v>12995</v>
      </c>
      <c r="M7355" t="s">
        <v>67</v>
      </c>
      <c r="N7355" t="s">
        <v>68</v>
      </c>
      <c r="P7355" s="23">
        <v>140.66</v>
      </c>
      <c r="Q7355" s="4">
        <f t="shared" si="114"/>
        <v>-49.552111474477464</v>
      </c>
      <c r="R7355" s="23" t="s">
        <v>109</v>
      </c>
    </row>
    <row r="7356" spans="1:18" x14ac:dyDescent="0.25">
      <c r="A7356" s="21">
        <v>45891</v>
      </c>
      <c r="B7356" s="1">
        <v>117099982</v>
      </c>
      <c r="C7356" t="s">
        <v>12996</v>
      </c>
      <c r="D7356" s="43">
        <v>-6970</v>
      </c>
      <c r="E7356" t="s">
        <v>35</v>
      </c>
      <c r="F7356" s="2">
        <v>212901001</v>
      </c>
      <c r="G7356" s="2" t="s">
        <v>121</v>
      </c>
      <c r="L7356" s="2" t="s">
        <v>12997</v>
      </c>
      <c r="M7356" t="s">
        <v>67</v>
      </c>
      <c r="N7356" t="s">
        <v>68</v>
      </c>
      <c r="P7356" s="23">
        <v>140.66</v>
      </c>
      <c r="Q7356" s="4">
        <f t="shared" si="114"/>
        <v>-49.552111474477464</v>
      </c>
      <c r="R7356" s="23" t="s">
        <v>109</v>
      </c>
    </row>
    <row r="7357" spans="1:18" x14ac:dyDescent="0.25">
      <c r="A7357" s="21">
        <v>45891</v>
      </c>
      <c r="B7357" s="1">
        <v>117099980</v>
      </c>
      <c r="C7357" t="s">
        <v>12998</v>
      </c>
      <c r="D7357" s="43">
        <v>-6970</v>
      </c>
      <c r="E7357" t="s">
        <v>35</v>
      </c>
      <c r="F7357" s="2">
        <v>212901001</v>
      </c>
      <c r="G7357" s="2" t="s">
        <v>121</v>
      </c>
      <c r="L7357" s="2" t="s">
        <v>12999</v>
      </c>
      <c r="M7357" t="s">
        <v>67</v>
      </c>
      <c r="N7357" t="s">
        <v>68</v>
      </c>
      <c r="P7357" s="23">
        <v>140.66</v>
      </c>
      <c r="Q7357" s="4">
        <f t="shared" si="114"/>
        <v>-49.552111474477464</v>
      </c>
      <c r="R7357" s="23" t="s">
        <v>109</v>
      </c>
    </row>
    <row r="7358" spans="1:18" x14ac:dyDescent="0.25">
      <c r="A7358" s="21">
        <v>45891</v>
      </c>
      <c r="B7358" s="1">
        <v>117099984</v>
      </c>
      <c r="C7358" t="s">
        <v>13000</v>
      </c>
      <c r="D7358" s="43">
        <v>-6970</v>
      </c>
      <c r="E7358" t="s">
        <v>35</v>
      </c>
      <c r="F7358" s="2">
        <v>212901001</v>
      </c>
      <c r="G7358" s="2" t="s">
        <v>121</v>
      </c>
      <c r="L7358" s="2" t="s">
        <v>13001</v>
      </c>
      <c r="M7358" t="s">
        <v>67</v>
      </c>
      <c r="N7358" t="s">
        <v>68</v>
      </c>
      <c r="P7358" s="23">
        <v>140.66</v>
      </c>
      <c r="Q7358" s="4">
        <f t="shared" si="114"/>
        <v>-49.552111474477464</v>
      </c>
      <c r="R7358" s="23" t="s">
        <v>109</v>
      </c>
    </row>
    <row r="7359" spans="1:18" x14ac:dyDescent="0.25">
      <c r="A7359" s="21">
        <v>45891</v>
      </c>
      <c r="B7359" s="1">
        <v>117099983</v>
      </c>
      <c r="C7359" t="s">
        <v>13002</v>
      </c>
      <c r="D7359" s="43">
        <v>-6970</v>
      </c>
      <c r="E7359" t="s">
        <v>35</v>
      </c>
      <c r="F7359" s="2">
        <v>212901001</v>
      </c>
      <c r="G7359" s="2" t="s">
        <v>121</v>
      </c>
      <c r="L7359" s="2" t="s">
        <v>13003</v>
      </c>
      <c r="M7359" t="s">
        <v>67</v>
      </c>
      <c r="N7359" t="s">
        <v>68</v>
      </c>
      <c r="P7359" s="23">
        <v>140.66</v>
      </c>
      <c r="Q7359" s="4">
        <f t="shared" si="114"/>
        <v>-49.552111474477464</v>
      </c>
      <c r="R7359" s="23" t="s">
        <v>109</v>
      </c>
    </row>
    <row r="7360" spans="1:18" x14ac:dyDescent="0.25">
      <c r="A7360" s="21">
        <v>45891</v>
      </c>
      <c r="B7360" s="1">
        <v>217099987</v>
      </c>
      <c r="C7360" t="s">
        <v>13004</v>
      </c>
      <c r="D7360" s="43">
        <v>-2788</v>
      </c>
      <c r="E7360" t="s">
        <v>35</v>
      </c>
      <c r="F7360" s="2">
        <v>212901001</v>
      </c>
      <c r="G7360" s="2" t="s">
        <v>121</v>
      </c>
      <c r="L7360" s="2" t="s">
        <v>13005</v>
      </c>
      <c r="M7360" t="s">
        <v>67</v>
      </c>
      <c r="N7360" t="s">
        <v>68</v>
      </c>
      <c r="P7360" s="23">
        <v>140.66</v>
      </c>
      <c r="Q7360" s="4">
        <f t="shared" si="114"/>
        <v>-19.820844589790987</v>
      </c>
      <c r="R7360" s="23" t="s">
        <v>109</v>
      </c>
    </row>
    <row r="7361" spans="1:20" x14ac:dyDescent="0.25">
      <c r="A7361" s="21">
        <v>45891</v>
      </c>
      <c r="B7361" s="1">
        <v>217099986</v>
      </c>
      <c r="C7361" t="s">
        <v>13006</v>
      </c>
      <c r="D7361" s="43">
        <v>-2788</v>
      </c>
      <c r="E7361" t="s">
        <v>35</v>
      </c>
      <c r="F7361" s="2">
        <v>212901001</v>
      </c>
      <c r="G7361" s="2" t="s">
        <v>121</v>
      </c>
      <c r="L7361" s="2" t="s">
        <v>13007</v>
      </c>
      <c r="M7361" t="s">
        <v>67</v>
      </c>
      <c r="N7361" t="s">
        <v>68</v>
      </c>
      <c r="P7361" s="23">
        <v>140.66</v>
      </c>
      <c r="Q7361" s="4">
        <f t="shared" si="114"/>
        <v>-19.820844589790987</v>
      </c>
      <c r="R7361" s="23" t="s">
        <v>109</v>
      </c>
    </row>
    <row r="7362" spans="1:20" x14ac:dyDescent="0.25">
      <c r="A7362" s="21">
        <v>45891</v>
      </c>
      <c r="B7362" s="1">
        <v>117099985</v>
      </c>
      <c r="C7362" t="s">
        <v>13008</v>
      </c>
      <c r="D7362" s="43">
        <v>-6970</v>
      </c>
      <c r="E7362" t="s">
        <v>35</v>
      </c>
      <c r="F7362" s="2">
        <v>212901001</v>
      </c>
      <c r="G7362" s="2" t="s">
        <v>121</v>
      </c>
      <c r="L7362" s="2" t="s">
        <v>13009</v>
      </c>
      <c r="M7362" t="s">
        <v>67</v>
      </c>
      <c r="N7362" t="s">
        <v>68</v>
      </c>
      <c r="P7362" s="23">
        <v>140.66</v>
      </c>
      <c r="Q7362" s="4">
        <f t="shared" si="114"/>
        <v>-49.552111474477464</v>
      </c>
      <c r="R7362" s="23" t="s">
        <v>109</v>
      </c>
    </row>
    <row r="7363" spans="1:20" x14ac:dyDescent="0.25">
      <c r="A7363" s="21">
        <v>45891</v>
      </c>
      <c r="B7363" s="1">
        <v>217099990</v>
      </c>
      <c r="C7363" t="s">
        <v>13010</v>
      </c>
      <c r="D7363" s="43">
        <v>-2788</v>
      </c>
      <c r="E7363" t="s">
        <v>35</v>
      </c>
      <c r="F7363" s="2">
        <v>212901001</v>
      </c>
      <c r="G7363" s="2" t="s">
        <v>121</v>
      </c>
      <c r="L7363" s="2" t="s">
        <v>13011</v>
      </c>
      <c r="M7363" t="s">
        <v>67</v>
      </c>
      <c r="N7363" t="s">
        <v>68</v>
      </c>
      <c r="P7363" s="23">
        <v>140.66</v>
      </c>
      <c r="Q7363" s="4">
        <f t="shared" si="114"/>
        <v>-19.820844589790987</v>
      </c>
      <c r="R7363" s="23" t="s">
        <v>109</v>
      </c>
    </row>
    <row r="7364" spans="1:20" x14ac:dyDescent="0.25">
      <c r="A7364" s="21">
        <v>45891</v>
      </c>
      <c r="B7364" s="1">
        <v>217099992</v>
      </c>
      <c r="C7364" t="s">
        <v>13012</v>
      </c>
      <c r="D7364" s="43">
        <v>-27880</v>
      </c>
      <c r="E7364" t="s">
        <v>35</v>
      </c>
      <c r="F7364" s="2">
        <v>212901001</v>
      </c>
      <c r="G7364" s="2" t="s">
        <v>121</v>
      </c>
      <c r="L7364" s="2" t="s">
        <v>13013</v>
      </c>
      <c r="M7364" t="s">
        <v>67</v>
      </c>
      <c r="N7364" t="s">
        <v>68</v>
      </c>
      <c r="P7364" s="23">
        <v>140.66</v>
      </c>
      <c r="Q7364" s="4">
        <f t="shared" si="114"/>
        <v>-198.20844589790985</v>
      </c>
      <c r="R7364" s="23" t="s">
        <v>109</v>
      </c>
    </row>
    <row r="7365" spans="1:20" x14ac:dyDescent="0.25">
      <c r="A7365" s="21">
        <v>45891</v>
      </c>
      <c r="B7365" s="1">
        <v>217099988</v>
      </c>
      <c r="C7365" t="s">
        <v>13014</v>
      </c>
      <c r="D7365" s="43">
        <v>-2788</v>
      </c>
      <c r="E7365" t="s">
        <v>35</v>
      </c>
      <c r="F7365" s="2">
        <v>212901001</v>
      </c>
      <c r="G7365" s="2" t="s">
        <v>121</v>
      </c>
      <c r="L7365" s="2" t="s">
        <v>13015</v>
      </c>
      <c r="M7365" t="s">
        <v>67</v>
      </c>
      <c r="N7365" t="s">
        <v>68</v>
      </c>
      <c r="P7365" s="23">
        <v>140.66</v>
      </c>
      <c r="Q7365" s="4">
        <f t="shared" si="114"/>
        <v>-19.820844589790987</v>
      </c>
      <c r="R7365" s="23" t="s">
        <v>109</v>
      </c>
    </row>
    <row r="7366" spans="1:20" x14ac:dyDescent="0.25">
      <c r="A7366" s="21">
        <v>45891</v>
      </c>
      <c r="B7366" s="1">
        <v>217099991</v>
      </c>
      <c r="C7366" t="s">
        <v>13016</v>
      </c>
      <c r="D7366" s="43">
        <v>-13940</v>
      </c>
      <c r="E7366" t="s">
        <v>35</v>
      </c>
      <c r="F7366" s="2">
        <v>212901001</v>
      </c>
      <c r="G7366" s="2" t="s">
        <v>121</v>
      </c>
      <c r="L7366" s="2" t="s">
        <v>13017</v>
      </c>
      <c r="M7366" t="s">
        <v>67</v>
      </c>
      <c r="N7366" t="s">
        <v>68</v>
      </c>
      <c r="P7366" s="23">
        <v>140.66</v>
      </c>
      <c r="Q7366" s="4">
        <f t="shared" si="114"/>
        <v>-99.104222948954927</v>
      </c>
      <c r="R7366" s="23" t="s">
        <v>109</v>
      </c>
    </row>
    <row r="7367" spans="1:20" x14ac:dyDescent="0.25">
      <c r="A7367" s="21">
        <v>45891</v>
      </c>
      <c r="B7367" s="1">
        <v>217099994</v>
      </c>
      <c r="C7367" t="s">
        <v>13018</v>
      </c>
      <c r="D7367" s="43">
        <v>-4182</v>
      </c>
      <c r="E7367" t="s">
        <v>35</v>
      </c>
      <c r="F7367" s="2">
        <v>212901001</v>
      </c>
      <c r="G7367" s="2" t="s">
        <v>121</v>
      </c>
      <c r="L7367" s="2" t="s">
        <v>13019</v>
      </c>
      <c r="M7367" t="s">
        <v>67</v>
      </c>
      <c r="N7367" t="s">
        <v>68</v>
      </c>
      <c r="P7367" s="23">
        <v>140.66</v>
      </c>
      <c r="Q7367" s="4">
        <f t="shared" si="114"/>
        <v>-29.73126688468648</v>
      </c>
      <c r="R7367" s="23" t="s">
        <v>109</v>
      </c>
    </row>
    <row r="7368" spans="1:20" x14ac:dyDescent="0.25">
      <c r="A7368" s="21">
        <v>45891</v>
      </c>
      <c r="B7368" s="1">
        <v>217099993</v>
      </c>
      <c r="C7368" t="s">
        <v>13020</v>
      </c>
      <c r="D7368" s="43">
        <v>-17006.8</v>
      </c>
      <c r="E7368" t="s">
        <v>35</v>
      </c>
      <c r="F7368" s="2">
        <v>212901001</v>
      </c>
      <c r="G7368" s="2" t="s">
        <v>121</v>
      </c>
      <c r="L7368" s="2" t="s">
        <v>13021</v>
      </c>
      <c r="M7368" t="s">
        <v>67</v>
      </c>
      <c r="N7368" t="s">
        <v>68</v>
      </c>
      <c r="P7368" s="23">
        <v>140.66</v>
      </c>
      <c r="Q7368" s="4">
        <f t="shared" si="114"/>
        <v>-120.90715199772501</v>
      </c>
      <c r="R7368" s="23" t="s">
        <v>109</v>
      </c>
    </row>
    <row r="7369" spans="1:20" x14ac:dyDescent="0.25">
      <c r="A7369" s="21">
        <v>45891</v>
      </c>
      <c r="B7369" s="1">
        <v>317099995</v>
      </c>
      <c r="C7369" t="s">
        <v>13022</v>
      </c>
      <c r="D7369" s="43">
        <v>-5576</v>
      </c>
      <c r="E7369" t="s">
        <v>35</v>
      </c>
      <c r="F7369" s="2">
        <v>212901001</v>
      </c>
      <c r="G7369" s="2" t="s">
        <v>121</v>
      </c>
      <c r="L7369" s="2" t="s">
        <v>13023</v>
      </c>
      <c r="M7369" t="s">
        <v>67</v>
      </c>
      <c r="N7369" t="s">
        <v>68</v>
      </c>
      <c r="P7369" s="23">
        <v>140.66</v>
      </c>
      <c r="Q7369" s="4">
        <f t="shared" si="114"/>
        <v>-39.641689179581974</v>
      </c>
      <c r="R7369" s="23" t="s">
        <v>109</v>
      </c>
    </row>
    <row r="7370" spans="1:20" x14ac:dyDescent="0.25">
      <c r="A7370" s="21">
        <v>45891</v>
      </c>
      <c r="B7370" s="1">
        <v>50891826</v>
      </c>
      <c r="C7370" t="s">
        <v>13024</v>
      </c>
      <c r="D7370" s="43">
        <v>-19516</v>
      </c>
      <c r="E7370" t="s">
        <v>35</v>
      </c>
      <c r="F7370" s="2">
        <v>212901001</v>
      </c>
      <c r="G7370" s="2" t="s">
        <v>121</v>
      </c>
      <c r="L7370" s="2" t="s">
        <v>13025</v>
      </c>
      <c r="M7370" t="s">
        <v>67</v>
      </c>
      <c r="N7370" t="s">
        <v>68</v>
      </c>
      <c r="P7370" s="23">
        <v>140.66</v>
      </c>
      <c r="Q7370" s="4">
        <f t="shared" si="114"/>
        <v>-138.7459121285369</v>
      </c>
      <c r="R7370" s="23" t="s">
        <v>109</v>
      </c>
    </row>
    <row r="7371" spans="1:20" x14ac:dyDescent="0.25">
      <c r="A7371" s="21">
        <v>45891</v>
      </c>
      <c r="B7371" s="1">
        <v>50891826</v>
      </c>
      <c r="C7371" t="s">
        <v>296</v>
      </c>
      <c r="D7371" s="43">
        <v>-29.27</v>
      </c>
      <c r="E7371" t="s">
        <v>35</v>
      </c>
      <c r="F7371" s="2">
        <v>610148001</v>
      </c>
      <c r="G7371" s="2" t="s">
        <v>42</v>
      </c>
      <c r="L7371" s="2" t="s">
        <v>13026</v>
      </c>
      <c r="M7371" t="s">
        <v>43</v>
      </c>
      <c r="N7371" t="s">
        <v>42</v>
      </c>
      <c r="P7371" s="23">
        <v>140.66</v>
      </c>
      <c r="Q7371" s="4">
        <f t="shared" ref="Q7371:Q7434" si="115">D7371/P7371</f>
        <v>-0.20809043082610551</v>
      </c>
      <c r="R7371" s="23" t="s">
        <v>109</v>
      </c>
      <c r="T7371" s="23" t="s">
        <v>12141</v>
      </c>
    </row>
    <row r="7372" spans="1:20" x14ac:dyDescent="0.25">
      <c r="A7372" s="21">
        <v>45891</v>
      </c>
      <c r="B7372" s="1">
        <v>50891826</v>
      </c>
      <c r="C7372" t="s">
        <v>118</v>
      </c>
      <c r="D7372" s="43">
        <v>-1534.79</v>
      </c>
      <c r="E7372" t="s">
        <v>35</v>
      </c>
      <c r="F7372" s="2">
        <v>610148001</v>
      </c>
      <c r="G7372" s="2" t="s">
        <v>42</v>
      </c>
      <c r="L7372" s="2" t="s">
        <v>13027</v>
      </c>
      <c r="M7372" t="s">
        <v>43</v>
      </c>
      <c r="N7372" t="s">
        <v>42</v>
      </c>
      <c r="P7372" s="23">
        <v>140.66</v>
      </c>
      <c r="Q7372" s="4">
        <f t="shared" si="115"/>
        <v>-10.911346509313237</v>
      </c>
      <c r="R7372" s="23" t="s">
        <v>109</v>
      </c>
      <c r="T7372" s="23" t="s">
        <v>12141</v>
      </c>
    </row>
    <row r="7373" spans="1:20" x14ac:dyDescent="0.25">
      <c r="A7373" s="21">
        <v>45894</v>
      </c>
      <c r="B7373" s="1">
        <v>639460465</v>
      </c>
      <c r="C7373" t="s">
        <v>107</v>
      </c>
      <c r="D7373" s="43">
        <v>200000</v>
      </c>
      <c r="E7373" t="s">
        <v>46</v>
      </c>
      <c r="F7373" s="2">
        <v>210115002</v>
      </c>
      <c r="G7373" s="2" t="s">
        <v>47</v>
      </c>
      <c r="L7373" s="2" t="s">
        <v>13028</v>
      </c>
      <c r="N7373" t="s">
        <v>107</v>
      </c>
      <c r="P7373" s="23">
        <v>141.88</v>
      </c>
      <c r="Q7373" s="4">
        <f t="shared" si="115"/>
        <v>1409.6419509444602</v>
      </c>
      <c r="R7373" s="23" t="s">
        <v>109</v>
      </c>
    </row>
    <row r="7374" spans="1:20" x14ac:dyDescent="0.25">
      <c r="A7374" s="21">
        <v>45894</v>
      </c>
      <c r="B7374" s="1">
        <v>952481770</v>
      </c>
      <c r="C7374" t="s">
        <v>107</v>
      </c>
      <c r="D7374" s="43">
        <v>200000</v>
      </c>
      <c r="E7374" t="s">
        <v>46</v>
      </c>
      <c r="F7374" s="2">
        <v>210115002</v>
      </c>
      <c r="G7374" s="2" t="s">
        <v>47</v>
      </c>
      <c r="L7374" s="2" t="s">
        <v>13029</v>
      </c>
      <c r="N7374" t="s">
        <v>107</v>
      </c>
      <c r="P7374" s="23">
        <v>141.88</v>
      </c>
      <c r="Q7374" s="4">
        <f t="shared" si="115"/>
        <v>1409.6419509444602</v>
      </c>
      <c r="R7374" s="23" t="s">
        <v>109</v>
      </c>
    </row>
    <row r="7375" spans="1:20" x14ac:dyDescent="0.25">
      <c r="A7375" s="21">
        <v>45894</v>
      </c>
      <c r="B7375" s="1">
        <v>814885910</v>
      </c>
      <c r="C7375" t="s">
        <v>107</v>
      </c>
      <c r="D7375" s="43">
        <v>200000</v>
      </c>
      <c r="E7375" t="s">
        <v>46</v>
      </c>
      <c r="F7375" s="2">
        <v>210115002</v>
      </c>
      <c r="G7375" s="2" t="s">
        <v>47</v>
      </c>
      <c r="L7375" s="2" t="s">
        <v>13030</v>
      </c>
      <c r="N7375" t="s">
        <v>107</v>
      </c>
      <c r="P7375" s="23">
        <v>141.88</v>
      </c>
      <c r="Q7375" s="4">
        <f t="shared" si="115"/>
        <v>1409.6419509444602</v>
      </c>
      <c r="R7375" s="23" t="s">
        <v>109</v>
      </c>
    </row>
    <row r="7376" spans="1:20" x14ac:dyDescent="0.25">
      <c r="A7376" s="21">
        <v>45894</v>
      </c>
      <c r="B7376" s="1">
        <v>935709410</v>
      </c>
      <c r="C7376" t="s">
        <v>107</v>
      </c>
      <c r="D7376" s="43">
        <v>200000</v>
      </c>
      <c r="E7376" t="s">
        <v>46</v>
      </c>
      <c r="F7376" s="2">
        <v>210115002</v>
      </c>
      <c r="G7376" s="2" t="s">
        <v>47</v>
      </c>
      <c r="L7376" s="2" t="s">
        <v>13031</v>
      </c>
      <c r="N7376" t="s">
        <v>107</v>
      </c>
      <c r="P7376" s="23">
        <v>141.88</v>
      </c>
      <c r="Q7376" s="4">
        <f t="shared" si="115"/>
        <v>1409.6419509444602</v>
      </c>
      <c r="R7376" s="23" t="s">
        <v>109</v>
      </c>
    </row>
    <row r="7377" spans="1:20" x14ac:dyDescent="0.25">
      <c r="A7377" s="21">
        <v>45894</v>
      </c>
      <c r="B7377" s="1">
        <v>226156252</v>
      </c>
      <c r="C7377" t="s">
        <v>107</v>
      </c>
      <c r="D7377" s="43">
        <v>200000</v>
      </c>
      <c r="E7377" t="s">
        <v>46</v>
      </c>
      <c r="F7377" s="2">
        <v>210115002</v>
      </c>
      <c r="G7377" s="2" t="s">
        <v>47</v>
      </c>
      <c r="L7377" s="2" t="s">
        <v>13032</v>
      </c>
      <c r="N7377" t="s">
        <v>107</v>
      </c>
      <c r="P7377" s="23">
        <v>141.88</v>
      </c>
      <c r="Q7377" s="4">
        <f t="shared" si="115"/>
        <v>1409.6419509444602</v>
      </c>
      <c r="R7377" s="23" t="s">
        <v>109</v>
      </c>
    </row>
    <row r="7378" spans="1:20" x14ac:dyDescent="0.25">
      <c r="A7378" s="21">
        <v>45894</v>
      </c>
      <c r="B7378" s="1">
        <v>80234054</v>
      </c>
      <c r="C7378" t="s">
        <v>107</v>
      </c>
      <c r="D7378" s="43">
        <v>200000</v>
      </c>
      <c r="E7378" t="s">
        <v>46</v>
      </c>
      <c r="F7378" s="2">
        <v>210115002</v>
      </c>
      <c r="G7378" s="2" t="s">
        <v>47</v>
      </c>
      <c r="L7378" s="2" t="s">
        <v>13033</v>
      </c>
      <c r="N7378" t="s">
        <v>107</v>
      </c>
      <c r="P7378" s="23">
        <v>141.88</v>
      </c>
      <c r="Q7378" s="4">
        <f t="shared" si="115"/>
        <v>1409.6419509444602</v>
      </c>
      <c r="R7378" s="23" t="s">
        <v>109</v>
      </c>
    </row>
    <row r="7379" spans="1:20" x14ac:dyDescent="0.25">
      <c r="A7379" s="21">
        <v>45894</v>
      </c>
      <c r="B7379" s="1">
        <v>148484109</v>
      </c>
      <c r="C7379" t="s">
        <v>107</v>
      </c>
      <c r="D7379" s="43">
        <v>100000</v>
      </c>
      <c r="E7379" t="s">
        <v>46</v>
      </c>
      <c r="F7379" s="2">
        <v>210115002</v>
      </c>
      <c r="G7379" s="2" t="s">
        <v>47</v>
      </c>
      <c r="L7379" s="2" t="s">
        <v>13034</v>
      </c>
      <c r="N7379" t="s">
        <v>107</v>
      </c>
      <c r="P7379" s="23">
        <v>141.88</v>
      </c>
      <c r="Q7379" s="4">
        <f t="shared" si="115"/>
        <v>704.82097547223009</v>
      </c>
      <c r="R7379" s="23" t="s">
        <v>109</v>
      </c>
    </row>
    <row r="7380" spans="1:20" x14ac:dyDescent="0.25">
      <c r="A7380" s="21">
        <v>45894</v>
      </c>
      <c r="B7380" s="1">
        <v>17271256</v>
      </c>
      <c r="C7380" t="s">
        <v>13035</v>
      </c>
      <c r="D7380" s="43">
        <v>-3486</v>
      </c>
      <c r="E7380" t="s">
        <v>35</v>
      </c>
      <c r="F7380" s="2">
        <v>210101001</v>
      </c>
      <c r="G7380" s="2" t="s">
        <v>36</v>
      </c>
      <c r="L7380" s="2" t="s">
        <v>13036</v>
      </c>
      <c r="M7380" t="s">
        <v>303</v>
      </c>
      <c r="N7380" t="s">
        <v>304</v>
      </c>
      <c r="P7380" s="23">
        <v>141.88</v>
      </c>
      <c r="Q7380" s="4">
        <f t="shared" si="115"/>
        <v>-24.57005920496194</v>
      </c>
      <c r="R7380" s="23" t="s">
        <v>109</v>
      </c>
    </row>
    <row r="7381" spans="1:20" x14ac:dyDescent="0.25">
      <c r="A7381" s="21">
        <v>45894</v>
      </c>
      <c r="B7381" s="1">
        <v>17271257</v>
      </c>
      <c r="C7381" t="s">
        <v>13037</v>
      </c>
      <c r="D7381" s="43">
        <v>-64704.51</v>
      </c>
      <c r="E7381" t="s">
        <v>35</v>
      </c>
      <c r="F7381" s="2">
        <v>210101001</v>
      </c>
      <c r="G7381" s="2" t="s">
        <v>36</v>
      </c>
      <c r="L7381" s="2" t="s">
        <v>13038</v>
      </c>
      <c r="M7381" t="s">
        <v>714</v>
      </c>
      <c r="N7381" t="s">
        <v>715</v>
      </c>
      <c r="P7381" s="23">
        <v>141.88</v>
      </c>
      <c r="Q7381" s="4">
        <f t="shared" si="115"/>
        <v>-456.05095855652667</v>
      </c>
      <c r="R7381" s="23" t="s">
        <v>109</v>
      </c>
    </row>
    <row r="7382" spans="1:20" x14ac:dyDescent="0.25">
      <c r="A7382" s="21">
        <v>45894</v>
      </c>
      <c r="B7382" s="1">
        <v>17271262</v>
      </c>
      <c r="C7382" t="s">
        <v>13039</v>
      </c>
      <c r="D7382" s="43">
        <v>-213955.04</v>
      </c>
      <c r="E7382" t="s">
        <v>35</v>
      </c>
      <c r="F7382" s="2">
        <v>110114001</v>
      </c>
      <c r="G7382" s="2" t="s">
        <v>301</v>
      </c>
      <c r="L7382" s="2" t="s">
        <v>13040</v>
      </c>
      <c r="M7382" t="s">
        <v>38</v>
      </c>
      <c r="N7382" t="s">
        <v>39</v>
      </c>
      <c r="P7382" s="23">
        <v>141.88</v>
      </c>
      <c r="Q7382" s="4">
        <f t="shared" si="115"/>
        <v>-1508</v>
      </c>
      <c r="R7382" s="23" t="s">
        <v>109</v>
      </c>
      <c r="S7382" s="33" t="s">
        <v>6924</v>
      </c>
    </row>
    <row r="7383" spans="1:20" x14ac:dyDescent="0.25">
      <c r="A7383" s="21">
        <v>45894</v>
      </c>
      <c r="B7383" s="1">
        <v>17271259</v>
      </c>
      <c r="C7383" t="s">
        <v>13041</v>
      </c>
      <c r="D7383" s="43">
        <v>-49197.25</v>
      </c>
      <c r="E7383" t="s">
        <v>35</v>
      </c>
      <c r="F7383" s="2">
        <v>210101001</v>
      </c>
      <c r="G7383" s="2" t="s">
        <v>36</v>
      </c>
      <c r="L7383" s="2" t="s">
        <v>13042</v>
      </c>
      <c r="M7383" t="s">
        <v>2645</v>
      </c>
      <c r="N7383" t="s">
        <v>1187</v>
      </c>
      <c r="P7383" s="23">
        <v>141.88</v>
      </c>
      <c r="Q7383" s="4">
        <f t="shared" si="115"/>
        <v>-346.75253735551172</v>
      </c>
      <c r="R7383" s="23" t="s">
        <v>109</v>
      </c>
    </row>
    <row r="7384" spans="1:20" x14ac:dyDescent="0.25">
      <c r="A7384" s="21">
        <v>45894</v>
      </c>
      <c r="B7384" s="1">
        <v>50887631</v>
      </c>
      <c r="C7384" t="s">
        <v>13043</v>
      </c>
      <c r="D7384" s="43">
        <v>-903761.82</v>
      </c>
      <c r="E7384" t="s">
        <v>35</v>
      </c>
      <c r="F7384" s="2">
        <v>210101001</v>
      </c>
      <c r="G7384" s="2" t="s">
        <v>36</v>
      </c>
      <c r="L7384" s="2" t="s">
        <v>13044</v>
      </c>
      <c r="M7384" t="s">
        <v>3326</v>
      </c>
      <c r="N7384" t="s">
        <v>3327</v>
      </c>
      <c r="P7384" s="23">
        <v>141.88</v>
      </c>
      <c r="Q7384" s="4">
        <f t="shared" si="115"/>
        <v>-6369.9028756695798</v>
      </c>
      <c r="R7384" s="23" t="s">
        <v>109</v>
      </c>
    </row>
    <row r="7385" spans="1:20" x14ac:dyDescent="0.25">
      <c r="A7385" s="21">
        <v>45894</v>
      </c>
      <c r="B7385" s="1">
        <v>50887631</v>
      </c>
      <c r="C7385" t="s">
        <v>296</v>
      </c>
      <c r="D7385" s="43">
        <v>-1355.64</v>
      </c>
      <c r="E7385" t="s">
        <v>35</v>
      </c>
      <c r="F7385" s="2">
        <v>610148001</v>
      </c>
      <c r="G7385" s="2" t="s">
        <v>42</v>
      </c>
      <c r="L7385" s="2" t="s">
        <v>13045</v>
      </c>
      <c r="M7385" t="s">
        <v>43</v>
      </c>
      <c r="N7385" t="s">
        <v>42</v>
      </c>
      <c r="P7385" s="23">
        <v>141.88</v>
      </c>
      <c r="Q7385" s="4">
        <f t="shared" si="115"/>
        <v>-9.5548350718917412</v>
      </c>
      <c r="R7385" s="23" t="s">
        <v>109</v>
      </c>
      <c r="T7385" s="23" t="s">
        <v>12141</v>
      </c>
    </row>
    <row r="7386" spans="1:20" x14ac:dyDescent="0.25">
      <c r="A7386" s="21">
        <v>45894</v>
      </c>
      <c r="B7386" s="1">
        <v>50887631</v>
      </c>
      <c r="C7386" t="s">
        <v>118</v>
      </c>
      <c r="D7386" s="43">
        <v>-828.35</v>
      </c>
      <c r="E7386" t="s">
        <v>35</v>
      </c>
      <c r="F7386" s="2">
        <v>610148001</v>
      </c>
      <c r="G7386" s="2" t="s">
        <v>42</v>
      </c>
      <c r="L7386" s="2" t="s">
        <v>13046</v>
      </c>
      <c r="M7386" t="s">
        <v>43</v>
      </c>
      <c r="N7386" t="s">
        <v>42</v>
      </c>
      <c r="P7386" s="23">
        <v>141.88</v>
      </c>
      <c r="Q7386" s="4">
        <f t="shared" si="115"/>
        <v>-5.8383845503242178</v>
      </c>
      <c r="R7386" s="23" t="s">
        <v>109</v>
      </c>
      <c r="T7386" s="23" t="s">
        <v>12141</v>
      </c>
    </row>
    <row r="7387" spans="1:20" x14ac:dyDescent="0.25">
      <c r="A7387" s="21">
        <v>45895</v>
      </c>
      <c r="B7387" s="1">
        <v>887887963</v>
      </c>
      <c r="C7387" t="s">
        <v>12861</v>
      </c>
      <c r="D7387" s="43">
        <v>100000</v>
      </c>
      <c r="E7387" t="s">
        <v>46</v>
      </c>
      <c r="F7387" s="2">
        <v>210115002</v>
      </c>
      <c r="G7387" s="2" t="s">
        <v>47</v>
      </c>
      <c r="L7387" s="2" t="s">
        <v>13047</v>
      </c>
      <c r="N7387" t="s">
        <v>12861</v>
      </c>
      <c r="P7387" s="23">
        <v>143.04</v>
      </c>
      <c r="Q7387" s="4">
        <f t="shared" si="115"/>
        <v>699.10514541387033</v>
      </c>
      <c r="R7387" s="23" t="s">
        <v>109</v>
      </c>
    </row>
    <row r="7388" spans="1:20" x14ac:dyDescent="0.25">
      <c r="A7388" s="21">
        <v>45895</v>
      </c>
      <c r="B7388" s="1">
        <v>117337274</v>
      </c>
      <c r="C7388" t="s">
        <v>13048</v>
      </c>
      <c r="D7388" s="43">
        <v>-84622.46</v>
      </c>
      <c r="E7388" t="s">
        <v>35</v>
      </c>
      <c r="F7388" s="2">
        <v>210101001</v>
      </c>
      <c r="G7388" s="2" t="s">
        <v>36</v>
      </c>
      <c r="L7388" s="2" t="s">
        <v>13049</v>
      </c>
      <c r="M7388" t="s">
        <v>534</v>
      </c>
      <c r="N7388" t="s">
        <v>535</v>
      </c>
      <c r="P7388" s="23">
        <v>143.04</v>
      </c>
      <c r="Q7388" s="4">
        <f t="shared" si="115"/>
        <v>-591.59997203579428</v>
      </c>
      <c r="R7388" s="23" t="s">
        <v>109</v>
      </c>
    </row>
    <row r="7389" spans="1:20" x14ac:dyDescent="0.25">
      <c r="A7389" s="21">
        <v>45895</v>
      </c>
      <c r="B7389" s="1">
        <v>117337274</v>
      </c>
      <c r="C7389" t="s">
        <v>306</v>
      </c>
      <c r="D7389" s="43">
        <v>-253.87</v>
      </c>
      <c r="E7389" t="s">
        <v>35</v>
      </c>
      <c r="F7389" s="2">
        <v>610148001</v>
      </c>
      <c r="G7389" s="2" t="s">
        <v>42</v>
      </c>
      <c r="L7389" s="2" t="s">
        <v>13050</v>
      </c>
      <c r="M7389" t="s">
        <v>43</v>
      </c>
      <c r="N7389" t="s">
        <v>42</v>
      </c>
      <c r="P7389" s="23">
        <v>143.04</v>
      </c>
      <c r="Q7389" s="4">
        <f t="shared" si="115"/>
        <v>-1.7748182326621926</v>
      </c>
      <c r="R7389" s="23" t="s">
        <v>109</v>
      </c>
      <c r="T7389" s="23" t="s">
        <v>12141</v>
      </c>
    </row>
    <row r="7390" spans="1:20" x14ac:dyDescent="0.25">
      <c r="A7390" s="21">
        <v>45895</v>
      </c>
      <c r="B7390" s="1">
        <v>885916749</v>
      </c>
      <c r="C7390" t="s">
        <v>693</v>
      </c>
      <c r="D7390" s="43">
        <v>20000</v>
      </c>
      <c r="E7390" t="s">
        <v>46</v>
      </c>
      <c r="F7390" s="2">
        <v>210115002</v>
      </c>
      <c r="G7390" s="2" t="s">
        <v>47</v>
      </c>
      <c r="L7390" s="2" t="s">
        <v>13051</v>
      </c>
      <c r="N7390" t="s">
        <v>12861</v>
      </c>
      <c r="P7390" s="23">
        <v>143.04</v>
      </c>
      <c r="Q7390" s="4">
        <f t="shared" si="115"/>
        <v>139.82102908277406</v>
      </c>
      <c r="R7390" s="23" t="s">
        <v>109</v>
      </c>
    </row>
    <row r="7391" spans="1:20" x14ac:dyDescent="0.25">
      <c r="A7391" s="21">
        <v>45895</v>
      </c>
      <c r="B7391" s="1">
        <v>17339230</v>
      </c>
      <c r="C7391" t="s">
        <v>13052</v>
      </c>
      <c r="D7391" s="43">
        <v>-1673.4</v>
      </c>
      <c r="E7391" t="s">
        <v>35</v>
      </c>
      <c r="F7391" s="2">
        <v>110114001</v>
      </c>
      <c r="G7391" s="2" t="s">
        <v>301</v>
      </c>
      <c r="L7391" s="2" t="s">
        <v>13053</v>
      </c>
      <c r="N7391" t="s">
        <v>2551</v>
      </c>
      <c r="P7391" s="23">
        <v>143.04</v>
      </c>
      <c r="Q7391" s="4">
        <f t="shared" si="115"/>
        <v>-11.698825503355707</v>
      </c>
      <c r="R7391" s="23" t="s">
        <v>109</v>
      </c>
    </row>
    <row r="7392" spans="1:20" x14ac:dyDescent="0.25">
      <c r="A7392" s="21">
        <v>45895</v>
      </c>
      <c r="B7392" s="1">
        <v>17339230</v>
      </c>
      <c r="C7392" t="s">
        <v>306</v>
      </c>
      <c r="D7392" s="43">
        <v>-5.0199999999999996</v>
      </c>
      <c r="E7392" t="s">
        <v>35</v>
      </c>
      <c r="F7392" s="2">
        <v>610148001</v>
      </c>
      <c r="G7392" s="2" t="s">
        <v>42</v>
      </c>
      <c r="L7392" s="2" t="s">
        <v>13054</v>
      </c>
      <c r="M7392" t="s">
        <v>43</v>
      </c>
      <c r="N7392" t="s">
        <v>42</v>
      </c>
      <c r="P7392" s="23">
        <v>143.04</v>
      </c>
      <c r="Q7392" s="4">
        <f t="shared" si="115"/>
        <v>-3.5095078299776282E-2</v>
      </c>
      <c r="R7392" s="23" t="s">
        <v>109</v>
      </c>
      <c r="T7392" s="23" t="s">
        <v>12141</v>
      </c>
    </row>
    <row r="7393" spans="1:23" x14ac:dyDescent="0.25">
      <c r="A7393" s="21">
        <v>45895</v>
      </c>
      <c r="B7393" s="1">
        <v>417339473</v>
      </c>
      <c r="C7393" t="s">
        <v>13055</v>
      </c>
      <c r="D7393" s="43">
        <v>-117127.62</v>
      </c>
      <c r="E7393" t="s">
        <v>35</v>
      </c>
      <c r="F7393" s="2">
        <v>212901001</v>
      </c>
      <c r="G7393" s="2" t="s">
        <v>121</v>
      </c>
      <c r="L7393" s="2" t="s">
        <v>13056</v>
      </c>
      <c r="M7393" t="s">
        <v>67</v>
      </c>
      <c r="N7393" t="s">
        <v>68</v>
      </c>
      <c r="P7393" s="23">
        <v>143.04</v>
      </c>
      <c r="Q7393" s="4">
        <f t="shared" si="115"/>
        <v>-818.84521812080538</v>
      </c>
      <c r="R7393" s="23" t="s">
        <v>109</v>
      </c>
      <c r="U7393">
        <v>1</v>
      </c>
      <c r="V7393" t="e">
        <f>VLOOKUP(U7393,[1]!NOMINA[#Data],4,FALSE)</f>
        <v>#REF!</v>
      </c>
      <c r="W7393" t="e">
        <f>VLOOKUP(U7393,[1]!NOMINA[#Data],5,FALSE)</f>
        <v>#REF!</v>
      </c>
    </row>
    <row r="7394" spans="1:23" x14ac:dyDescent="0.25">
      <c r="A7394" s="21">
        <v>45895</v>
      </c>
      <c r="B7394" s="1">
        <v>417339474</v>
      </c>
      <c r="C7394" t="s">
        <v>13055</v>
      </c>
      <c r="D7394" s="43">
        <v>-153.33000000000001</v>
      </c>
      <c r="E7394" t="s">
        <v>35</v>
      </c>
      <c r="F7394" s="2">
        <v>212901001</v>
      </c>
      <c r="G7394" s="2" t="s">
        <v>121</v>
      </c>
      <c r="L7394" s="2" t="s">
        <v>13057</v>
      </c>
      <c r="M7394" t="s">
        <v>67</v>
      </c>
      <c r="N7394" t="s">
        <v>68</v>
      </c>
      <c r="P7394" s="23">
        <v>143.04</v>
      </c>
      <c r="Q7394" s="4">
        <f t="shared" si="115"/>
        <v>-1.0719379194630874</v>
      </c>
      <c r="R7394" s="23" t="s">
        <v>109</v>
      </c>
      <c r="U7394">
        <v>1</v>
      </c>
      <c r="V7394" t="e">
        <f>VLOOKUP(U7394,[1]!NOMINA[#Data],4,FALSE)</f>
        <v>#REF!</v>
      </c>
      <c r="W7394" t="e">
        <f>VLOOKUP(U7394,[1]!NOMINA[#Data],5,FALSE)</f>
        <v>#REF!</v>
      </c>
    </row>
    <row r="7395" spans="1:23" x14ac:dyDescent="0.25">
      <c r="A7395" s="21">
        <v>45895</v>
      </c>
      <c r="B7395" s="1">
        <v>50857172</v>
      </c>
      <c r="C7395" t="s">
        <v>118</v>
      </c>
      <c r="D7395" s="43">
        <v>-293.2</v>
      </c>
      <c r="E7395" t="s">
        <v>35</v>
      </c>
      <c r="F7395" s="2">
        <v>610148001</v>
      </c>
      <c r="G7395" s="2" t="s">
        <v>42</v>
      </c>
      <c r="L7395" s="2" t="s">
        <v>13058</v>
      </c>
      <c r="M7395" t="s">
        <v>43</v>
      </c>
      <c r="N7395" t="s">
        <v>42</v>
      </c>
      <c r="P7395" s="23">
        <v>143.04</v>
      </c>
      <c r="Q7395" s="4">
        <f t="shared" si="115"/>
        <v>-2.0497762863534676</v>
      </c>
      <c r="R7395" s="23" t="s">
        <v>109</v>
      </c>
      <c r="T7395" s="23" t="s">
        <v>12141</v>
      </c>
    </row>
    <row r="7396" spans="1:23" x14ac:dyDescent="0.25">
      <c r="A7396" s="21">
        <v>45897</v>
      </c>
      <c r="B7396" s="1">
        <v>61146595</v>
      </c>
      <c r="C7396" t="s">
        <v>967</v>
      </c>
      <c r="D7396" s="43">
        <v>-218.62</v>
      </c>
      <c r="E7396" t="s">
        <v>35</v>
      </c>
      <c r="F7396" s="2">
        <v>610148001</v>
      </c>
      <c r="G7396" s="2" t="s">
        <v>42</v>
      </c>
      <c r="L7396" s="2" t="s">
        <v>13059</v>
      </c>
      <c r="M7396" t="s">
        <v>43</v>
      </c>
      <c r="N7396" t="s">
        <v>42</v>
      </c>
      <c r="P7396" s="23">
        <v>145.75</v>
      </c>
      <c r="Q7396" s="4">
        <f t="shared" si="115"/>
        <v>-1.4999656946826758</v>
      </c>
      <c r="R7396" s="23" t="s">
        <v>109</v>
      </c>
      <c r="T7396" s="23" t="s">
        <v>12141</v>
      </c>
    </row>
    <row r="7397" spans="1:23" x14ac:dyDescent="0.25">
      <c r="A7397" s="21">
        <v>45897</v>
      </c>
      <c r="B7397" s="1">
        <v>101833102</v>
      </c>
      <c r="C7397" t="s">
        <v>107</v>
      </c>
      <c r="D7397" s="43">
        <v>100000</v>
      </c>
      <c r="E7397" t="s">
        <v>46</v>
      </c>
      <c r="F7397" s="2">
        <v>210115002</v>
      </c>
      <c r="G7397" s="2" t="s">
        <v>47</v>
      </c>
      <c r="L7397" s="2" t="s">
        <v>13060</v>
      </c>
      <c r="N7397" t="s">
        <v>107</v>
      </c>
      <c r="P7397" s="23">
        <v>145.75</v>
      </c>
      <c r="Q7397" s="4">
        <f t="shared" si="115"/>
        <v>686.10634648370501</v>
      </c>
      <c r="R7397" s="23" t="s">
        <v>109</v>
      </c>
    </row>
    <row r="7398" spans="1:23" x14ac:dyDescent="0.25">
      <c r="A7398" s="21">
        <v>45897</v>
      </c>
      <c r="B7398" s="1">
        <v>917424163</v>
      </c>
      <c r="C7398" t="s">
        <v>13061</v>
      </c>
      <c r="D7398" s="43">
        <v>-13116.61</v>
      </c>
      <c r="E7398" t="s">
        <v>35</v>
      </c>
      <c r="F7398" s="2">
        <v>210101001</v>
      </c>
      <c r="G7398" s="2" t="s">
        <v>36</v>
      </c>
      <c r="L7398" s="2" t="s">
        <v>13062</v>
      </c>
      <c r="M7398" t="s">
        <v>2028</v>
      </c>
      <c r="N7398" t="s">
        <v>2029</v>
      </c>
      <c r="P7398" s="23">
        <v>145.75</v>
      </c>
      <c r="Q7398" s="4">
        <f t="shared" si="115"/>
        <v>-89.993893653516295</v>
      </c>
      <c r="R7398" s="23" t="s">
        <v>109</v>
      </c>
    </row>
    <row r="7399" spans="1:23" x14ac:dyDescent="0.25">
      <c r="A7399" s="21">
        <v>45897</v>
      </c>
      <c r="B7399" s="1">
        <v>917424163</v>
      </c>
      <c r="C7399" t="s">
        <v>306</v>
      </c>
      <c r="D7399" s="43">
        <v>-39.35</v>
      </c>
      <c r="E7399" t="s">
        <v>35</v>
      </c>
      <c r="F7399" s="2">
        <v>610148001</v>
      </c>
      <c r="G7399" s="2" t="s">
        <v>42</v>
      </c>
      <c r="L7399" s="2" t="s">
        <v>13063</v>
      </c>
      <c r="M7399" t="s">
        <v>43</v>
      </c>
      <c r="N7399" t="s">
        <v>42</v>
      </c>
      <c r="P7399" s="23">
        <v>145.75</v>
      </c>
      <c r="Q7399" s="4">
        <f t="shared" si="115"/>
        <v>-0.26998284734133793</v>
      </c>
      <c r="R7399" s="23" t="s">
        <v>109</v>
      </c>
      <c r="T7399" s="23" t="s">
        <v>12141</v>
      </c>
    </row>
    <row r="7400" spans="1:23" x14ac:dyDescent="0.25">
      <c r="A7400" s="21">
        <v>45897</v>
      </c>
      <c r="B7400" s="1">
        <v>917424276</v>
      </c>
      <c r="C7400" t="s">
        <v>13064</v>
      </c>
      <c r="D7400" s="43">
        <v>-34.92</v>
      </c>
      <c r="E7400" t="s">
        <v>35</v>
      </c>
      <c r="F7400" s="2">
        <v>210101001</v>
      </c>
      <c r="G7400" s="2" t="s">
        <v>36</v>
      </c>
      <c r="L7400" s="2" t="s">
        <v>13065</v>
      </c>
      <c r="M7400" t="s">
        <v>714</v>
      </c>
      <c r="N7400" t="s">
        <v>715</v>
      </c>
      <c r="P7400" s="23">
        <v>145.75</v>
      </c>
      <c r="Q7400" s="4">
        <f t="shared" si="115"/>
        <v>-0.23958833619210979</v>
      </c>
      <c r="R7400" s="23" t="s">
        <v>109</v>
      </c>
    </row>
    <row r="7401" spans="1:23" x14ac:dyDescent="0.25">
      <c r="A7401" s="21">
        <v>45897</v>
      </c>
      <c r="B7401" s="1">
        <v>917424276</v>
      </c>
      <c r="C7401" t="s">
        <v>306</v>
      </c>
      <c r="D7401" s="43">
        <v>-0.1</v>
      </c>
      <c r="E7401" t="s">
        <v>35</v>
      </c>
      <c r="F7401" s="2">
        <v>610148001</v>
      </c>
      <c r="G7401" s="2" t="s">
        <v>42</v>
      </c>
      <c r="L7401" s="2" t="s">
        <v>13066</v>
      </c>
      <c r="M7401" t="s">
        <v>43</v>
      </c>
      <c r="N7401" t="s">
        <v>42</v>
      </c>
      <c r="P7401" s="23">
        <v>145.75</v>
      </c>
      <c r="Q7401" s="4">
        <f t="shared" si="115"/>
        <v>-6.8610634648370503E-4</v>
      </c>
      <c r="R7401" s="23" t="s">
        <v>109</v>
      </c>
      <c r="T7401" s="23" t="s">
        <v>12141</v>
      </c>
    </row>
    <row r="7402" spans="1:23" x14ac:dyDescent="0.25">
      <c r="A7402" s="21">
        <v>45897</v>
      </c>
      <c r="B7402" s="1">
        <v>102328719</v>
      </c>
      <c r="C7402" t="s">
        <v>13067</v>
      </c>
      <c r="D7402" s="43">
        <v>-94161.56</v>
      </c>
      <c r="E7402" t="s">
        <v>35</v>
      </c>
      <c r="F7402" s="2">
        <v>210101001</v>
      </c>
      <c r="G7402" s="2" t="s">
        <v>36</v>
      </c>
      <c r="L7402" s="2" t="s">
        <v>13068</v>
      </c>
      <c r="M7402" t="s">
        <v>2635</v>
      </c>
      <c r="N7402" t="s">
        <v>2636</v>
      </c>
      <c r="P7402" s="23">
        <v>145.75</v>
      </c>
      <c r="Q7402" s="4">
        <f t="shared" si="115"/>
        <v>-646.04843910806176</v>
      </c>
      <c r="R7402" s="23" t="s">
        <v>109</v>
      </c>
    </row>
    <row r="7403" spans="1:23" x14ac:dyDescent="0.25">
      <c r="A7403" s="21">
        <v>45897</v>
      </c>
      <c r="B7403" s="1">
        <v>193012954</v>
      </c>
      <c r="C7403" t="s">
        <v>107</v>
      </c>
      <c r="D7403" s="43">
        <v>900000</v>
      </c>
      <c r="E7403" t="s">
        <v>46</v>
      </c>
      <c r="F7403" s="2">
        <v>210115002</v>
      </c>
      <c r="G7403" s="2" t="s">
        <v>47</v>
      </c>
      <c r="L7403" s="2" t="s">
        <v>13069</v>
      </c>
      <c r="N7403" t="s">
        <v>107</v>
      </c>
      <c r="P7403" s="23">
        <v>145.75</v>
      </c>
      <c r="Q7403" s="4">
        <f t="shared" si="115"/>
        <v>6174.9571183533444</v>
      </c>
      <c r="R7403" s="23" t="s">
        <v>109</v>
      </c>
    </row>
    <row r="7404" spans="1:23" x14ac:dyDescent="0.25">
      <c r="A7404" s="21">
        <v>45897</v>
      </c>
      <c r="B7404" s="1">
        <v>317464296</v>
      </c>
      <c r="C7404" t="s">
        <v>13070</v>
      </c>
      <c r="D7404" s="43">
        <v>-1443.7</v>
      </c>
      <c r="E7404" t="s">
        <v>35</v>
      </c>
      <c r="F7404" s="2">
        <v>212901001</v>
      </c>
      <c r="G7404" s="2" t="s">
        <v>121</v>
      </c>
      <c r="L7404" s="2" t="s">
        <v>13071</v>
      </c>
      <c r="M7404" t="s">
        <v>67</v>
      </c>
      <c r="N7404" t="s">
        <v>68</v>
      </c>
      <c r="P7404" s="23">
        <v>145.75</v>
      </c>
      <c r="Q7404" s="4">
        <f t="shared" si="115"/>
        <v>-9.9053173241852495</v>
      </c>
      <c r="R7404" s="23" t="s">
        <v>109</v>
      </c>
      <c r="U7404">
        <v>18</v>
      </c>
      <c r="V7404" t="e">
        <f>VLOOKUP(Tabla3[[#This Row],[Nº]],[1]!NOMINA[#Data],4,FALSE)</f>
        <v>#REF!</v>
      </c>
      <c r="W7404" t="e">
        <f>VLOOKUP(Tabla3[[#This Row],[Nº]],[1]!NOMINA[#Data],5,FALSE)</f>
        <v>#REF!</v>
      </c>
    </row>
    <row r="7405" spans="1:23" x14ac:dyDescent="0.25">
      <c r="A7405" s="21">
        <v>45897</v>
      </c>
      <c r="B7405" s="1">
        <v>217464294</v>
      </c>
      <c r="C7405" t="s">
        <v>13072</v>
      </c>
      <c r="D7405" s="43">
        <v>-43311</v>
      </c>
      <c r="E7405" t="s">
        <v>35</v>
      </c>
      <c r="F7405" s="2">
        <v>212901001</v>
      </c>
      <c r="G7405" s="2" t="s">
        <v>121</v>
      </c>
      <c r="L7405" s="2" t="s">
        <v>13073</v>
      </c>
      <c r="M7405" t="s">
        <v>67</v>
      </c>
      <c r="N7405" t="s">
        <v>68</v>
      </c>
      <c r="P7405" s="23">
        <v>145.75</v>
      </c>
      <c r="Q7405" s="4">
        <f t="shared" si="115"/>
        <v>-297.15951972555746</v>
      </c>
      <c r="R7405" s="23" t="s">
        <v>109</v>
      </c>
      <c r="U7405">
        <v>2</v>
      </c>
      <c r="V7405" t="e">
        <f>VLOOKUP(Tabla3[[#This Row],[Nº]],[1]!NOMINA[#Data],4,FALSE)</f>
        <v>#REF!</v>
      </c>
      <c r="W7405" t="e">
        <f>VLOOKUP(Tabla3[[#This Row],[Nº]],[1]!NOMINA[#Data],5,FALSE)</f>
        <v>#REF!</v>
      </c>
    </row>
    <row r="7406" spans="1:23" x14ac:dyDescent="0.25">
      <c r="A7406" s="21">
        <v>45897</v>
      </c>
      <c r="B7406" s="1">
        <v>317464297</v>
      </c>
      <c r="C7406" t="s">
        <v>13074</v>
      </c>
      <c r="D7406" s="43">
        <v>-8662.2000000000007</v>
      </c>
      <c r="E7406" t="s">
        <v>35</v>
      </c>
      <c r="F7406" s="2">
        <v>212901001</v>
      </c>
      <c r="G7406" s="2" t="s">
        <v>121</v>
      </c>
      <c r="L7406" s="2" t="s">
        <v>13075</v>
      </c>
      <c r="M7406" t="s">
        <v>67</v>
      </c>
      <c r="N7406" t="s">
        <v>68</v>
      </c>
      <c r="P7406" s="23">
        <v>145.75</v>
      </c>
      <c r="Q7406" s="4">
        <f t="shared" si="115"/>
        <v>-59.4319039451115</v>
      </c>
      <c r="R7406" s="23" t="s">
        <v>109</v>
      </c>
      <c r="U7406">
        <v>19</v>
      </c>
      <c r="V7406" t="e">
        <f>VLOOKUP(Tabla3[[#This Row],[Nº]],[1]!NOMINA[#Data],4,FALSE)</f>
        <v>#REF!</v>
      </c>
      <c r="W7406" t="e">
        <f>VLOOKUP(U7406,[1]!NOMINA[#Data],5,FALSE)</f>
        <v>#REF!</v>
      </c>
    </row>
    <row r="7407" spans="1:23" x14ac:dyDescent="0.25">
      <c r="A7407" s="21">
        <v>45897</v>
      </c>
      <c r="B7407" s="1">
        <v>317464299</v>
      </c>
      <c r="C7407" t="s">
        <v>13076</v>
      </c>
      <c r="D7407" s="43">
        <v>-1443.7</v>
      </c>
      <c r="E7407" t="s">
        <v>35</v>
      </c>
      <c r="F7407" s="2">
        <v>212901001</v>
      </c>
      <c r="G7407" s="2" t="s">
        <v>121</v>
      </c>
      <c r="L7407" s="2" t="s">
        <v>13077</v>
      </c>
      <c r="M7407" t="s">
        <v>67</v>
      </c>
      <c r="N7407" t="s">
        <v>68</v>
      </c>
      <c r="P7407" s="23">
        <v>145.75</v>
      </c>
      <c r="Q7407" s="4">
        <f t="shared" si="115"/>
        <v>-9.9053173241852495</v>
      </c>
      <c r="R7407" s="23" t="s">
        <v>109</v>
      </c>
      <c r="U7407">
        <v>28</v>
      </c>
      <c r="V7407" t="e">
        <f>VLOOKUP(Tabla3[[#This Row],[Nº]],[1]!NOMINA[#Data],4,FALSE)</f>
        <v>#REF!</v>
      </c>
      <c r="W7407" t="e">
        <f>VLOOKUP(U7407,[1]!NOMINA[#Data],5,FALSE)</f>
        <v>#REF!</v>
      </c>
    </row>
    <row r="7408" spans="1:23" x14ac:dyDescent="0.25">
      <c r="A7408" s="21">
        <v>45897</v>
      </c>
      <c r="B7408" s="1">
        <v>317464300</v>
      </c>
      <c r="C7408" t="s">
        <v>13078</v>
      </c>
      <c r="D7408" s="43">
        <v>-1443.7</v>
      </c>
      <c r="E7408" t="s">
        <v>35</v>
      </c>
      <c r="F7408" s="2">
        <v>212901001</v>
      </c>
      <c r="G7408" s="2" t="s">
        <v>121</v>
      </c>
      <c r="L7408" s="2" t="s">
        <v>13079</v>
      </c>
      <c r="M7408" t="s">
        <v>67</v>
      </c>
      <c r="N7408" t="s">
        <v>68</v>
      </c>
      <c r="P7408" s="23">
        <v>145.75</v>
      </c>
      <c r="Q7408" s="4">
        <f t="shared" si="115"/>
        <v>-9.9053173241852495</v>
      </c>
      <c r="R7408" s="23" t="s">
        <v>109</v>
      </c>
      <c r="U7408">
        <v>17</v>
      </c>
      <c r="V7408" t="e">
        <f>VLOOKUP(Tabla3[[#This Row],[Nº]],[1]!NOMINA[#Data],4,FALSE)</f>
        <v>#REF!</v>
      </c>
      <c r="W7408" t="e">
        <f>VLOOKUP(U7408,[1]!NOMINA[#Data],5,FALSE)</f>
        <v>#REF!</v>
      </c>
    </row>
    <row r="7409" spans="1:23" x14ac:dyDescent="0.25">
      <c r="A7409" s="21">
        <v>45897</v>
      </c>
      <c r="B7409" s="1">
        <v>317464301</v>
      </c>
      <c r="C7409" t="s">
        <v>13080</v>
      </c>
      <c r="D7409" s="43">
        <v>-1443.7</v>
      </c>
      <c r="E7409" t="s">
        <v>35</v>
      </c>
      <c r="F7409" s="2">
        <v>212901001</v>
      </c>
      <c r="G7409" s="2" t="s">
        <v>121</v>
      </c>
      <c r="L7409" s="2" t="s">
        <v>13081</v>
      </c>
      <c r="M7409" t="s">
        <v>67</v>
      </c>
      <c r="N7409" t="s">
        <v>68</v>
      </c>
      <c r="P7409" s="23">
        <v>145.75</v>
      </c>
      <c r="Q7409" s="4">
        <f t="shared" si="115"/>
        <v>-9.9053173241852495</v>
      </c>
      <c r="R7409" s="23" t="s">
        <v>109</v>
      </c>
      <c r="U7409">
        <v>15</v>
      </c>
      <c r="V7409" t="e">
        <f>VLOOKUP(Tabla3[[#This Row],[Nº]],[1]!NOMINA[#Data],4,FALSE)</f>
        <v>#REF!</v>
      </c>
      <c r="W7409" t="e">
        <f>VLOOKUP(U7409,[1]!NOMINA[#Data],5,FALSE)</f>
        <v>#REF!</v>
      </c>
    </row>
    <row r="7410" spans="1:23" x14ac:dyDescent="0.25">
      <c r="A7410" s="21">
        <v>45897</v>
      </c>
      <c r="B7410" s="1">
        <v>317464298</v>
      </c>
      <c r="C7410" t="s">
        <v>13082</v>
      </c>
      <c r="D7410" s="43">
        <v>-1443.7</v>
      </c>
      <c r="E7410" t="s">
        <v>35</v>
      </c>
      <c r="F7410" s="2">
        <v>212901001</v>
      </c>
      <c r="G7410" s="2" t="s">
        <v>121</v>
      </c>
      <c r="L7410" s="2" t="s">
        <v>13083</v>
      </c>
      <c r="M7410" t="s">
        <v>67</v>
      </c>
      <c r="N7410" t="s">
        <v>68</v>
      </c>
      <c r="P7410" s="23">
        <v>145.75</v>
      </c>
      <c r="Q7410" s="4">
        <f t="shared" si="115"/>
        <v>-9.9053173241852495</v>
      </c>
      <c r="R7410" s="23" t="s">
        <v>109</v>
      </c>
      <c r="U7410">
        <v>14</v>
      </c>
      <c r="V7410" t="e">
        <f>VLOOKUP(Tabla3[[#This Row],[Nº]],[1]!NOMINA[#Data],4,FALSE)</f>
        <v>#REF!</v>
      </c>
      <c r="W7410" t="e">
        <f>VLOOKUP(U7410,[1]!NOMINA[#Data],5,FALSE)</f>
        <v>#REF!</v>
      </c>
    </row>
    <row r="7411" spans="1:23" x14ac:dyDescent="0.25">
      <c r="A7411" s="21">
        <v>45897</v>
      </c>
      <c r="B7411" s="1">
        <v>317464303</v>
      </c>
      <c r="C7411" t="s">
        <v>13084</v>
      </c>
      <c r="D7411" s="43">
        <v>-28874</v>
      </c>
      <c r="E7411" t="s">
        <v>35</v>
      </c>
      <c r="F7411" s="2">
        <v>212901001</v>
      </c>
      <c r="G7411" s="2" t="s">
        <v>121</v>
      </c>
      <c r="L7411" s="2" t="s">
        <v>13085</v>
      </c>
      <c r="M7411" t="s">
        <v>67</v>
      </c>
      <c r="N7411" t="s">
        <v>68</v>
      </c>
      <c r="P7411" s="23">
        <v>145.75</v>
      </c>
      <c r="Q7411" s="4">
        <f t="shared" si="115"/>
        <v>-198.10634648370498</v>
      </c>
      <c r="R7411" s="23" t="s">
        <v>109</v>
      </c>
      <c r="U7411">
        <v>1</v>
      </c>
      <c r="V7411" t="e">
        <f>VLOOKUP(U7411,[1]!NOMINA[#Data],4,FALSE)</f>
        <v>#REF!</v>
      </c>
      <c r="W7411" t="e">
        <f>VLOOKUP(U7411,[1]!NOMINA[#Data],5,FALSE)</f>
        <v>#REF!</v>
      </c>
    </row>
    <row r="7412" spans="1:23" x14ac:dyDescent="0.25">
      <c r="A7412" s="21">
        <v>45897</v>
      </c>
      <c r="B7412" s="1">
        <v>317464302</v>
      </c>
      <c r="C7412" t="s">
        <v>13086</v>
      </c>
      <c r="D7412" s="43">
        <v>-1443.7</v>
      </c>
      <c r="E7412" t="s">
        <v>35</v>
      </c>
      <c r="F7412" s="2">
        <v>212901001</v>
      </c>
      <c r="G7412" s="2" t="s">
        <v>121</v>
      </c>
      <c r="L7412" s="2" t="s">
        <v>13087</v>
      </c>
      <c r="M7412" t="s">
        <v>67</v>
      </c>
      <c r="N7412" t="s">
        <v>68</v>
      </c>
      <c r="P7412" s="23">
        <v>145.75</v>
      </c>
      <c r="Q7412" s="4">
        <f t="shared" si="115"/>
        <v>-9.9053173241852495</v>
      </c>
      <c r="R7412" s="23" t="s">
        <v>109</v>
      </c>
      <c r="U7412">
        <v>8</v>
      </c>
      <c r="V7412" t="e">
        <f>VLOOKUP(Tabla3[[#This Row],[Nº]],[1]!NOMINA[#Data],4,FALSE)</f>
        <v>#REF!</v>
      </c>
      <c r="W7412" t="e">
        <f>VLOOKUP(U7412,[1]!NOMINA[#Data],5,FALSE)</f>
        <v>#REF!</v>
      </c>
    </row>
    <row r="7413" spans="1:23" x14ac:dyDescent="0.25">
      <c r="A7413" s="21">
        <v>45897</v>
      </c>
      <c r="B7413" s="1">
        <v>417464305</v>
      </c>
      <c r="C7413" t="s">
        <v>13088</v>
      </c>
      <c r="D7413" s="43">
        <v>-1443.7</v>
      </c>
      <c r="E7413" t="s">
        <v>35</v>
      </c>
      <c r="F7413" s="2">
        <v>212901001</v>
      </c>
      <c r="G7413" s="2" t="s">
        <v>121</v>
      </c>
      <c r="L7413" s="2" t="s">
        <v>13089</v>
      </c>
      <c r="M7413" t="s">
        <v>67</v>
      </c>
      <c r="N7413" t="s">
        <v>68</v>
      </c>
      <c r="P7413" s="23">
        <v>145.75</v>
      </c>
      <c r="Q7413" s="4">
        <f t="shared" si="115"/>
        <v>-9.9053173241852495</v>
      </c>
      <c r="R7413" s="23" t="s">
        <v>109</v>
      </c>
      <c r="U7413">
        <v>13</v>
      </c>
      <c r="V7413" t="e">
        <f>VLOOKUP(Tabla3[[#This Row],[Nº]],[1]!NOMINA[#Data],4,FALSE)</f>
        <v>#REF!</v>
      </c>
      <c r="W7413" t="e">
        <f>VLOOKUP(U7413,[1]!NOMINA[#Data],5,FALSE)</f>
        <v>#REF!</v>
      </c>
    </row>
    <row r="7414" spans="1:23" x14ac:dyDescent="0.25">
      <c r="A7414" s="21">
        <v>45897</v>
      </c>
      <c r="B7414" s="1">
        <v>417464308</v>
      </c>
      <c r="C7414" t="s">
        <v>13090</v>
      </c>
      <c r="D7414" s="43">
        <v>-1443.7</v>
      </c>
      <c r="E7414" t="s">
        <v>35</v>
      </c>
      <c r="F7414" s="2">
        <v>212901001</v>
      </c>
      <c r="G7414" s="2" t="s">
        <v>121</v>
      </c>
      <c r="L7414" s="2" t="s">
        <v>13091</v>
      </c>
      <c r="M7414" t="s">
        <v>67</v>
      </c>
      <c r="N7414" t="s">
        <v>68</v>
      </c>
      <c r="P7414" s="23">
        <v>145.75</v>
      </c>
      <c r="Q7414" s="4">
        <f t="shared" si="115"/>
        <v>-9.9053173241852495</v>
      </c>
      <c r="R7414" s="23" t="s">
        <v>109</v>
      </c>
      <c r="U7414">
        <v>12</v>
      </c>
      <c r="V7414" t="e">
        <f>VLOOKUP(Tabla3[[#This Row],[Nº]],[1]!NOMINA[#Data],4,FALSE)</f>
        <v>#REF!</v>
      </c>
      <c r="W7414" t="e">
        <f>VLOOKUP(U7414,[1]!NOMINA[#Data],5,FALSE)</f>
        <v>#REF!</v>
      </c>
    </row>
    <row r="7415" spans="1:23" x14ac:dyDescent="0.25">
      <c r="A7415" s="21">
        <v>45897</v>
      </c>
      <c r="B7415" s="1">
        <v>417464311</v>
      </c>
      <c r="C7415" t="s">
        <v>13092</v>
      </c>
      <c r="D7415" s="43">
        <v>-1443.7</v>
      </c>
      <c r="E7415" t="s">
        <v>35</v>
      </c>
      <c r="F7415" s="2">
        <v>212901001</v>
      </c>
      <c r="G7415" s="2" t="s">
        <v>121</v>
      </c>
      <c r="L7415" s="2" t="s">
        <v>13093</v>
      </c>
      <c r="M7415" t="s">
        <v>67</v>
      </c>
      <c r="N7415" t="s">
        <v>68</v>
      </c>
      <c r="P7415" s="23">
        <v>145.75</v>
      </c>
      <c r="Q7415" s="4">
        <f t="shared" si="115"/>
        <v>-9.9053173241852495</v>
      </c>
      <c r="R7415" s="23" t="s">
        <v>109</v>
      </c>
      <c r="U7415">
        <v>16</v>
      </c>
      <c r="V7415" t="e">
        <f>VLOOKUP(Tabla3[[#This Row],[Nº]],[1]!NOMINA[#Data],4,FALSE)</f>
        <v>#REF!</v>
      </c>
      <c r="W7415" t="e">
        <f>VLOOKUP(Tabla3[[#This Row],[Nº]],[1]!NOMINA[#Data],5,FALSE)</f>
        <v>#REF!</v>
      </c>
    </row>
    <row r="7416" spans="1:23" x14ac:dyDescent="0.25">
      <c r="A7416" s="21">
        <v>45897</v>
      </c>
      <c r="B7416" s="1">
        <v>417464304</v>
      </c>
      <c r="C7416" t="s">
        <v>13094</v>
      </c>
      <c r="D7416" s="43">
        <v>-1443.7</v>
      </c>
      <c r="E7416" t="s">
        <v>35</v>
      </c>
      <c r="F7416" s="2">
        <v>212901001</v>
      </c>
      <c r="G7416" s="2" t="s">
        <v>121</v>
      </c>
      <c r="L7416" s="2" t="s">
        <v>13095</v>
      </c>
      <c r="M7416" t="s">
        <v>67</v>
      </c>
      <c r="N7416" t="s">
        <v>68</v>
      </c>
      <c r="P7416" s="23">
        <v>145.75</v>
      </c>
      <c r="Q7416" s="4">
        <f t="shared" si="115"/>
        <v>-9.9053173241852495</v>
      </c>
      <c r="R7416" s="23" t="s">
        <v>109</v>
      </c>
      <c r="U7416">
        <v>6</v>
      </c>
      <c r="V7416" t="e">
        <f>VLOOKUP(Tabla3[[#This Row],[Nº]],[1]!NOMINA[#Data],4,FALSE)</f>
        <v>#REF!</v>
      </c>
      <c r="W7416" t="e">
        <f>VLOOKUP(U7416,[1]!NOMINA[#Data],5,FALSE)</f>
        <v>#REF!</v>
      </c>
    </row>
    <row r="7417" spans="1:23" x14ac:dyDescent="0.25">
      <c r="A7417" s="21">
        <v>45897</v>
      </c>
      <c r="B7417" s="1">
        <v>417464307</v>
      </c>
      <c r="C7417" t="s">
        <v>13096</v>
      </c>
      <c r="D7417" s="43">
        <v>-8662.2000000000007</v>
      </c>
      <c r="E7417" t="s">
        <v>35</v>
      </c>
      <c r="F7417" s="2">
        <v>212901001</v>
      </c>
      <c r="G7417" s="2" t="s">
        <v>121</v>
      </c>
      <c r="L7417" s="2" t="s">
        <v>13097</v>
      </c>
      <c r="M7417" t="s">
        <v>67</v>
      </c>
      <c r="N7417" t="s">
        <v>68</v>
      </c>
      <c r="P7417" s="23">
        <v>145.75</v>
      </c>
      <c r="Q7417" s="4">
        <f t="shared" si="115"/>
        <v>-59.4319039451115</v>
      </c>
      <c r="R7417" s="23" t="s">
        <v>109</v>
      </c>
      <c r="U7417">
        <v>3</v>
      </c>
      <c r="V7417" t="s">
        <v>12595</v>
      </c>
      <c r="W7417" t="e">
        <f>VLOOKUP(U7417,[1]!NOMINA[#Data],5,FALSE)</f>
        <v>#REF!</v>
      </c>
    </row>
    <row r="7418" spans="1:23" x14ac:dyDescent="0.25">
      <c r="A7418" s="21">
        <v>45897</v>
      </c>
      <c r="B7418" s="1">
        <v>417464306</v>
      </c>
      <c r="C7418" t="s">
        <v>13098</v>
      </c>
      <c r="D7418" s="43">
        <v>-1443.7</v>
      </c>
      <c r="E7418" t="s">
        <v>35</v>
      </c>
      <c r="F7418" s="2">
        <v>212901001</v>
      </c>
      <c r="G7418" s="2" t="s">
        <v>121</v>
      </c>
      <c r="L7418" s="2" t="s">
        <v>13099</v>
      </c>
      <c r="M7418" t="s">
        <v>67</v>
      </c>
      <c r="N7418" t="s">
        <v>68</v>
      </c>
      <c r="P7418" s="23">
        <v>145.75</v>
      </c>
      <c r="Q7418" s="4">
        <f t="shared" si="115"/>
        <v>-9.9053173241852495</v>
      </c>
      <c r="R7418" s="23" t="s">
        <v>109</v>
      </c>
      <c r="U7418">
        <v>7</v>
      </c>
      <c r="V7418" t="e">
        <f>VLOOKUP(Tabla3[[#This Row],[Nº]],[1]!NOMINA[#Data],4,FALSE)</f>
        <v>#REF!</v>
      </c>
      <c r="W7418" t="e">
        <f>VLOOKUP(U7418,[1]!NOMINA[#Data],5,FALSE)</f>
        <v>#REF!</v>
      </c>
    </row>
    <row r="7419" spans="1:23" x14ac:dyDescent="0.25">
      <c r="A7419" s="21">
        <v>45897</v>
      </c>
      <c r="B7419" s="1">
        <v>417464309</v>
      </c>
      <c r="C7419" t="s">
        <v>13100</v>
      </c>
      <c r="D7419" s="43">
        <v>-1443.7</v>
      </c>
      <c r="E7419" t="s">
        <v>35</v>
      </c>
      <c r="F7419" s="2">
        <v>212901001</v>
      </c>
      <c r="G7419" s="2" t="s">
        <v>121</v>
      </c>
      <c r="L7419" s="2" t="s">
        <v>13101</v>
      </c>
      <c r="M7419" t="s">
        <v>67</v>
      </c>
      <c r="N7419" t="s">
        <v>68</v>
      </c>
      <c r="P7419" s="23">
        <v>145.75</v>
      </c>
      <c r="Q7419" s="4">
        <f t="shared" si="115"/>
        <v>-9.9053173241852495</v>
      </c>
      <c r="R7419" s="23" t="s">
        <v>109</v>
      </c>
      <c r="U7419">
        <v>11</v>
      </c>
      <c r="V7419" t="e">
        <f>VLOOKUP(Tabla3[[#This Row],[Nº]],[1]!NOMINA[#Data],4,FALSE)</f>
        <v>#REF!</v>
      </c>
      <c r="W7419" t="e">
        <f>VLOOKUP(U7419,[1]!NOMINA[#Data],5,FALSE)</f>
        <v>#REF!</v>
      </c>
    </row>
    <row r="7420" spans="1:23" x14ac:dyDescent="0.25">
      <c r="A7420" s="21">
        <v>45897</v>
      </c>
      <c r="B7420" s="1">
        <v>417464310</v>
      </c>
      <c r="C7420" t="s">
        <v>13102</v>
      </c>
      <c r="D7420" s="43">
        <v>-1443.7</v>
      </c>
      <c r="E7420" t="s">
        <v>35</v>
      </c>
      <c r="F7420" s="2">
        <v>212901001</v>
      </c>
      <c r="G7420" s="2" t="s">
        <v>121</v>
      </c>
      <c r="L7420" s="2" t="s">
        <v>13103</v>
      </c>
      <c r="M7420" t="s">
        <v>67</v>
      </c>
      <c r="N7420" t="s">
        <v>68</v>
      </c>
      <c r="P7420" s="23">
        <v>145.75</v>
      </c>
      <c r="Q7420" s="4">
        <f t="shared" si="115"/>
        <v>-9.9053173241852495</v>
      </c>
      <c r="R7420" s="23" t="s">
        <v>109</v>
      </c>
      <c r="U7420">
        <v>29</v>
      </c>
      <c r="V7420" t="e">
        <f>VLOOKUP(U7420,[1]!NOMINA[#Data],4,FALSE)</f>
        <v>#REF!</v>
      </c>
      <c r="W7420" t="e">
        <f>VLOOKUP(U7420,[1]!NOMINA[#Data],5,FALSE)</f>
        <v>#REF!</v>
      </c>
    </row>
    <row r="7421" spans="1:23" x14ac:dyDescent="0.25">
      <c r="A7421" s="21">
        <v>45897</v>
      </c>
      <c r="B7421" s="1">
        <v>417464312</v>
      </c>
      <c r="C7421" t="s">
        <v>13104</v>
      </c>
      <c r="D7421" s="43">
        <v>-1443.7</v>
      </c>
      <c r="E7421" t="s">
        <v>35</v>
      </c>
      <c r="F7421" s="2">
        <v>212901001</v>
      </c>
      <c r="G7421" s="2" t="s">
        <v>121</v>
      </c>
      <c r="L7421" s="2" t="s">
        <v>13105</v>
      </c>
      <c r="M7421" t="s">
        <v>67</v>
      </c>
      <c r="N7421" t="s">
        <v>68</v>
      </c>
      <c r="P7421" s="23">
        <v>145.75</v>
      </c>
      <c r="Q7421" s="4">
        <f t="shared" si="115"/>
        <v>-9.9053173241852495</v>
      </c>
      <c r="R7421" s="23" t="s">
        <v>109</v>
      </c>
      <c r="U7421">
        <v>10</v>
      </c>
      <c r="V7421" t="e">
        <f>VLOOKUP(Tabla3[[#This Row],[Nº]],[1]!NOMINA[#Data],4,FALSE)</f>
        <v>#REF!</v>
      </c>
      <c r="W7421" t="e">
        <f>VLOOKUP(U7421,[1]!NOMINA[#Data],5,FALSE)</f>
        <v>#REF!</v>
      </c>
    </row>
    <row r="7422" spans="1:23" x14ac:dyDescent="0.25">
      <c r="A7422" s="21">
        <v>45897</v>
      </c>
      <c r="B7422" s="1">
        <v>417464313</v>
      </c>
      <c r="C7422" t="s">
        <v>13106</v>
      </c>
      <c r="D7422" s="43">
        <v>-1443.7</v>
      </c>
      <c r="E7422" t="s">
        <v>35</v>
      </c>
      <c r="F7422" s="2">
        <v>212901001</v>
      </c>
      <c r="G7422" s="2" t="s">
        <v>121</v>
      </c>
      <c r="L7422" s="2" t="s">
        <v>13107</v>
      </c>
      <c r="M7422" t="s">
        <v>67</v>
      </c>
      <c r="N7422" t="s">
        <v>68</v>
      </c>
      <c r="P7422" s="23">
        <v>145.75</v>
      </c>
      <c r="Q7422" s="4">
        <f t="shared" si="115"/>
        <v>-9.9053173241852495</v>
      </c>
      <c r="R7422" s="23" t="s">
        <v>109</v>
      </c>
      <c r="U7422">
        <v>9</v>
      </c>
      <c r="V7422" t="e">
        <f>VLOOKUP(Tabla3[[#This Row],[Nº]],[1]!NOMINA[#Data],4,FALSE)</f>
        <v>#REF!</v>
      </c>
      <c r="W7422" t="e">
        <f>VLOOKUP(U7422,[1]!NOMINA[#Data],5,FALSE)</f>
        <v>#REF!</v>
      </c>
    </row>
    <row r="7423" spans="1:23" x14ac:dyDescent="0.25">
      <c r="A7423" s="21">
        <v>45897</v>
      </c>
      <c r="B7423" s="1">
        <v>517464315</v>
      </c>
      <c r="C7423" t="s">
        <v>13108</v>
      </c>
      <c r="D7423" s="43">
        <v>-12993.3</v>
      </c>
      <c r="E7423" t="s">
        <v>35</v>
      </c>
      <c r="F7423" s="2">
        <v>212901001</v>
      </c>
      <c r="G7423" s="2" t="s">
        <v>121</v>
      </c>
      <c r="L7423" s="2" t="s">
        <v>13109</v>
      </c>
      <c r="M7423" t="s">
        <v>67</v>
      </c>
      <c r="N7423" t="s">
        <v>68</v>
      </c>
      <c r="P7423" s="23">
        <v>145.75</v>
      </c>
      <c r="Q7423" s="4">
        <f t="shared" si="115"/>
        <v>-89.147855917667229</v>
      </c>
      <c r="R7423" s="23" t="s">
        <v>109</v>
      </c>
    </row>
    <row r="7424" spans="1:23" x14ac:dyDescent="0.25">
      <c r="A7424" s="21">
        <v>45897</v>
      </c>
      <c r="B7424" s="1">
        <v>517464316</v>
      </c>
      <c r="C7424" t="s">
        <v>13110</v>
      </c>
      <c r="D7424" s="43">
        <v>-12993.3</v>
      </c>
      <c r="E7424" t="s">
        <v>35</v>
      </c>
      <c r="F7424" s="2">
        <v>212901001</v>
      </c>
      <c r="G7424" s="2" t="s">
        <v>121</v>
      </c>
      <c r="L7424" s="2" t="s">
        <v>13111</v>
      </c>
      <c r="M7424" t="s">
        <v>67</v>
      </c>
      <c r="N7424" t="s">
        <v>68</v>
      </c>
      <c r="P7424" s="23">
        <v>145.75</v>
      </c>
      <c r="Q7424" s="4">
        <f t="shared" si="115"/>
        <v>-89.147855917667229</v>
      </c>
      <c r="R7424" s="23" t="s">
        <v>109</v>
      </c>
    </row>
    <row r="7425" spans="1:23" x14ac:dyDescent="0.25">
      <c r="A7425" s="21">
        <v>45897</v>
      </c>
      <c r="B7425" s="1">
        <v>517464314</v>
      </c>
      <c r="C7425" t="s">
        <v>13112</v>
      </c>
      <c r="D7425" s="43">
        <v>-12993.3</v>
      </c>
      <c r="E7425" t="s">
        <v>35</v>
      </c>
      <c r="F7425" s="2">
        <v>212901001</v>
      </c>
      <c r="G7425" s="2" t="s">
        <v>121</v>
      </c>
      <c r="L7425" s="2" t="s">
        <v>13113</v>
      </c>
      <c r="M7425" t="s">
        <v>67</v>
      </c>
      <c r="N7425" t="s">
        <v>68</v>
      </c>
      <c r="P7425" s="23">
        <v>145.75</v>
      </c>
      <c r="Q7425" s="4">
        <f t="shared" si="115"/>
        <v>-89.147855917667229</v>
      </c>
      <c r="R7425" s="23" t="s">
        <v>109</v>
      </c>
    </row>
    <row r="7426" spans="1:23" x14ac:dyDescent="0.25">
      <c r="A7426" s="21">
        <v>45897</v>
      </c>
      <c r="B7426" s="1">
        <v>517464320</v>
      </c>
      <c r="C7426" t="s">
        <v>13114</v>
      </c>
      <c r="D7426" s="88">
        <v>-7176.63</v>
      </c>
      <c r="E7426" t="s">
        <v>35</v>
      </c>
      <c r="F7426" s="2">
        <v>212901001</v>
      </c>
      <c r="G7426" s="2" t="s">
        <v>121</v>
      </c>
      <c r="L7426" s="2" t="s">
        <v>13115</v>
      </c>
      <c r="M7426" t="s">
        <v>67</v>
      </c>
      <c r="N7426" t="s">
        <v>68</v>
      </c>
      <c r="P7426" s="23">
        <v>145.75</v>
      </c>
      <c r="Q7426" s="4">
        <f t="shared" si="115"/>
        <v>-49.239313893653517</v>
      </c>
      <c r="R7426" s="23" t="s">
        <v>109</v>
      </c>
      <c r="U7426">
        <v>22</v>
      </c>
      <c r="V7426" t="e">
        <f>VLOOKUP(Tabla3[[#This Row],[Nº]],[1]!NOMINA[#Data],4,FALSE)</f>
        <v>#REF!</v>
      </c>
      <c r="W7426" t="e">
        <f>VLOOKUP(U7426,[1]!NOMINA[#Data],5,FALSE)</f>
        <v>#REF!</v>
      </c>
    </row>
    <row r="7427" spans="1:23" x14ac:dyDescent="0.25">
      <c r="A7427" s="21">
        <v>45897</v>
      </c>
      <c r="B7427" s="1">
        <v>517464318</v>
      </c>
      <c r="C7427" t="s">
        <v>13116</v>
      </c>
      <c r="D7427" s="43">
        <v>-11484.63</v>
      </c>
      <c r="E7427" t="s">
        <v>35</v>
      </c>
      <c r="F7427" s="2">
        <v>212901001</v>
      </c>
      <c r="G7427" s="2" t="s">
        <v>121</v>
      </c>
      <c r="L7427" s="2" t="s">
        <v>13117</v>
      </c>
      <c r="M7427" t="s">
        <v>67</v>
      </c>
      <c r="N7427" t="s">
        <v>68</v>
      </c>
      <c r="P7427" s="23">
        <v>145.75</v>
      </c>
      <c r="Q7427" s="4">
        <f t="shared" si="115"/>
        <v>-78.796775300171518</v>
      </c>
      <c r="R7427" s="23" t="s">
        <v>109</v>
      </c>
      <c r="U7427">
        <v>31</v>
      </c>
      <c r="V7427" t="e">
        <f>VLOOKUP(Tabla3[[#This Row],[Nº]],[1]!NOMINA[#Data],4,FALSE)</f>
        <v>#REF!</v>
      </c>
      <c r="W7427" t="e">
        <f>VLOOKUP(U7427,[1]!NOMINA[#Data],5,FALSE)</f>
        <v>#REF!</v>
      </c>
    </row>
    <row r="7428" spans="1:23" x14ac:dyDescent="0.25">
      <c r="A7428" s="21">
        <v>45897</v>
      </c>
      <c r="B7428" s="1">
        <v>517464319</v>
      </c>
      <c r="C7428" t="s">
        <v>13118</v>
      </c>
      <c r="D7428" s="43">
        <v>-5731.49</v>
      </c>
      <c r="E7428" t="s">
        <v>35</v>
      </c>
      <c r="F7428" s="2">
        <v>212901001</v>
      </c>
      <c r="G7428" s="2" t="s">
        <v>121</v>
      </c>
      <c r="L7428" s="2" t="s">
        <v>13119</v>
      </c>
      <c r="M7428" t="s">
        <v>67</v>
      </c>
      <c r="N7428" t="s">
        <v>68</v>
      </c>
      <c r="P7428" s="23">
        <v>145.75</v>
      </c>
      <c r="Q7428" s="4">
        <f t="shared" si="115"/>
        <v>-39.324116638078898</v>
      </c>
      <c r="R7428" s="23" t="s">
        <v>109</v>
      </c>
      <c r="U7428">
        <v>29</v>
      </c>
      <c r="V7428" t="e">
        <f>VLOOKUP(U7428,[1]!NOMINA[#Data],4,FALSE)</f>
        <v>#REF!</v>
      </c>
      <c r="W7428" t="e">
        <f>VLOOKUP(U7428,[1]!NOMINA[#Data],5,FALSE)</f>
        <v>#REF!</v>
      </c>
    </row>
    <row r="7429" spans="1:23" x14ac:dyDescent="0.25">
      <c r="A7429" s="21">
        <v>45897</v>
      </c>
      <c r="B7429" s="1">
        <v>517464317</v>
      </c>
      <c r="C7429" t="s">
        <v>13120</v>
      </c>
      <c r="D7429" s="43">
        <v>-72120.03</v>
      </c>
      <c r="E7429" t="s">
        <v>35</v>
      </c>
      <c r="F7429" s="2">
        <v>212901001</v>
      </c>
      <c r="G7429" s="2" t="s">
        <v>121</v>
      </c>
      <c r="L7429" s="2" t="s">
        <v>13121</v>
      </c>
      <c r="M7429" t="s">
        <v>67</v>
      </c>
      <c r="N7429" t="s">
        <v>68</v>
      </c>
      <c r="P7429" s="23">
        <v>145.75</v>
      </c>
      <c r="Q7429" s="4">
        <f t="shared" si="115"/>
        <v>-494.82010291595196</v>
      </c>
      <c r="R7429" s="23" t="s">
        <v>109</v>
      </c>
      <c r="U7429">
        <v>2</v>
      </c>
      <c r="V7429" t="e">
        <f>VLOOKUP(Tabla3[[#This Row],[Nº]],[1]!NOMINA[#Data],4,FALSE)</f>
        <v>#REF!</v>
      </c>
      <c r="W7429" t="e">
        <f>VLOOKUP(Tabla3[[#This Row],[Nº]],[1]!NOMINA[#Data],5,FALSE)</f>
        <v>#REF!</v>
      </c>
    </row>
    <row r="7430" spans="1:23" x14ac:dyDescent="0.25">
      <c r="A7430" s="21">
        <v>45897</v>
      </c>
      <c r="B7430" s="1">
        <v>517464322</v>
      </c>
      <c r="C7430" t="s">
        <v>13122</v>
      </c>
      <c r="D7430" s="88">
        <v>-8161.24</v>
      </c>
      <c r="E7430" t="s">
        <v>35</v>
      </c>
      <c r="F7430" s="2">
        <v>212901001</v>
      </c>
      <c r="G7430" s="2" t="s">
        <v>121</v>
      </c>
      <c r="L7430" s="2" t="s">
        <v>13123</v>
      </c>
      <c r="M7430" t="s">
        <v>67</v>
      </c>
      <c r="N7430" t="s">
        <v>68</v>
      </c>
      <c r="P7430" s="23">
        <v>145.75</v>
      </c>
      <c r="Q7430" s="4">
        <f t="shared" si="115"/>
        <v>-55.994785591766721</v>
      </c>
      <c r="R7430" s="23" t="s">
        <v>109</v>
      </c>
      <c r="U7430">
        <v>19</v>
      </c>
      <c r="V7430" t="e">
        <f>VLOOKUP(Tabla3[[#This Row],[Nº]],[1]!NOMINA[#Data],4,FALSE)</f>
        <v>#REF!</v>
      </c>
      <c r="W7430" t="e">
        <f>VLOOKUP(U7430,[1]!NOMINA[#Data],5,FALSE)</f>
        <v>#REF!</v>
      </c>
    </row>
    <row r="7431" spans="1:23" x14ac:dyDescent="0.25">
      <c r="A7431" s="21">
        <v>45897</v>
      </c>
      <c r="B7431" s="1">
        <v>517464321</v>
      </c>
      <c r="C7431" t="s">
        <v>13124</v>
      </c>
      <c r="D7431" s="88">
        <v>-5006.75</v>
      </c>
      <c r="E7431" t="s">
        <v>35</v>
      </c>
      <c r="F7431" s="2">
        <v>212901001</v>
      </c>
      <c r="G7431" s="2" t="s">
        <v>121</v>
      </c>
      <c r="L7431" s="2" t="s">
        <v>13125</v>
      </c>
      <c r="M7431" t="s">
        <v>67</v>
      </c>
      <c r="N7431" t="s">
        <v>68</v>
      </c>
      <c r="P7431" s="23">
        <v>145.75</v>
      </c>
      <c r="Q7431" s="4">
        <f t="shared" si="115"/>
        <v>-34.351629502572898</v>
      </c>
      <c r="R7431" s="23" t="s">
        <v>109</v>
      </c>
      <c r="U7431">
        <v>23</v>
      </c>
      <c r="V7431" t="e">
        <f>VLOOKUP(Tabla3[[#This Row],[Nº]],[1]!NOMINA[#Data],4,FALSE)</f>
        <v>#REF!</v>
      </c>
      <c r="W7431" t="e">
        <f>VLOOKUP(U7431,[1]!NOMINA[#Data],5,FALSE)</f>
        <v>#REF!</v>
      </c>
    </row>
    <row r="7432" spans="1:23" x14ac:dyDescent="0.25">
      <c r="A7432" s="21">
        <v>45897</v>
      </c>
      <c r="B7432" s="1">
        <v>617464323</v>
      </c>
      <c r="C7432" t="s">
        <v>13126</v>
      </c>
      <c r="D7432" s="88">
        <v>-10100.129999999999</v>
      </c>
      <c r="E7432" t="s">
        <v>35</v>
      </c>
      <c r="F7432" s="2">
        <v>212901001</v>
      </c>
      <c r="G7432" s="2" t="s">
        <v>121</v>
      </c>
      <c r="L7432" s="2" t="s">
        <v>13127</v>
      </c>
      <c r="M7432" t="s">
        <v>67</v>
      </c>
      <c r="N7432" t="s">
        <v>68</v>
      </c>
      <c r="P7432" s="23">
        <v>145.75</v>
      </c>
      <c r="Q7432" s="4">
        <f t="shared" si="115"/>
        <v>-69.297632933104623</v>
      </c>
      <c r="R7432" s="23" t="s">
        <v>109</v>
      </c>
      <c r="U7432">
        <v>17</v>
      </c>
      <c r="V7432" t="e">
        <f>VLOOKUP(Tabla3[[#This Row],[Nº]],[1]!NOMINA[#Data],4,FALSE)</f>
        <v>#REF!</v>
      </c>
      <c r="W7432" t="e">
        <f>VLOOKUP(U7432,[1]!NOMINA[#Data],5,FALSE)</f>
        <v>#REF!</v>
      </c>
    </row>
    <row r="7433" spans="1:23" x14ac:dyDescent="0.25">
      <c r="A7433" s="21">
        <v>45897</v>
      </c>
      <c r="B7433" s="1">
        <v>617464324</v>
      </c>
      <c r="C7433" t="s">
        <v>13128</v>
      </c>
      <c r="D7433" s="88">
        <v>-10303.69</v>
      </c>
      <c r="E7433" t="s">
        <v>35</v>
      </c>
      <c r="F7433" s="2">
        <v>212901001</v>
      </c>
      <c r="G7433" s="2" t="s">
        <v>121</v>
      </c>
      <c r="L7433" s="2" t="s">
        <v>13129</v>
      </c>
      <c r="M7433" t="s">
        <v>67</v>
      </c>
      <c r="N7433" t="s">
        <v>68</v>
      </c>
      <c r="P7433" s="23">
        <v>145.75</v>
      </c>
      <c r="Q7433" s="4">
        <f t="shared" si="115"/>
        <v>-70.694271012006865</v>
      </c>
      <c r="R7433" s="23" t="s">
        <v>109</v>
      </c>
      <c r="U7433">
        <v>15</v>
      </c>
      <c r="V7433" t="e">
        <f>VLOOKUP(Tabla3[[#This Row],[Nº]],[1]!NOMINA[#Data],4,FALSE)</f>
        <v>#REF!</v>
      </c>
      <c r="W7433" t="e">
        <f>VLOOKUP(U7433,[1]!NOMINA[#Data],5,FALSE)</f>
        <v>#REF!</v>
      </c>
    </row>
    <row r="7434" spans="1:23" x14ac:dyDescent="0.25">
      <c r="A7434" s="21">
        <v>45897</v>
      </c>
      <c r="B7434" s="1">
        <v>617464325</v>
      </c>
      <c r="C7434" t="s">
        <v>13130</v>
      </c>
      <c r="D7434" s="88">
        <v>-10821.98</v>
      </c>
      <c r="E7434" t="s">
        <v>35</v>
      </c>
      <c r="F7434" s="2">
        <v>212901001</v>
      </c>
      <c r="G7434" s="2" t="s">
        <v>121</v>
      </c>
      <c r="L7434" s="2" t="s">
        <v>13131</v>
      </c>
      <c r="M7434" t="s">
        <v>67</v>
      </c>
      <c r="N7434" t="s">
        <v>68</v>
      </c>
      <c r="P7434" s="23">
        <v>145.75</v>
      </c>
      <c r="Q7434" s="4">
        <f t="shared" si="115"/>
        <v>-74.250291595197254</v>
      </c>
      <c r="R7434" s="23" t="s">
        <v>109</v>
      </c>
      <c r="U7434">
        <v>14</v>
      </c>
      <c r="V7434" t="e">
        <f>VLOOKUP(Tabla3[[#This Row],[Nº]],[1]!NOMINA[#Data],4,FALSE)</f>
        <v>#REF!</v>
      </c>
      <c r="W7434" t="e">
        <f>VLOOKUP(U7434,[1]!NOMINA[#Data],5,FALSE)</f>
        <v>#REF!</v>
      </c>
    </row>
    <row r="7435" spans="1:23" x14ac:dyDescent="0.25">
      <c r="A7435" s="21">
        <v>45897</v>
      </c>
      <c r="B7435" s="1">
        <v>617464327</v>
      </c>
      <c r="C7435" t="s">
        <v>13132</v>
      </c>
      <c r="D7435" s="88">
        <v>-10801.76</v>
      </c>
      <c r="E7435" t="s">
        <v>35</v>
      </c>
      <c r="F7435" s="2">
        <v>212901001</v>
      </c>
      <c r="G7435" s="2" t="s">
        <v>121</v>
      </c>
      <c r="L7435" s="2" t="s">
        <v>13133</v>
      </c>
      <c r="M7435" t="s">
        <v>67</v>
      </c>
      <c r="N7435" t="s">
        <v>68</v>
      </c>
      <c r="P7435" s="23">
        <v>145.75</v>
      </c>
      <c r="Q7435" s="4">
        <f t="shared" ref="Q7435:Q7498" si="116">D7435/P7435</f>
        <v>-74.111560891938254</v>
      </c>
      <c r="R7435" s="23" t="s">
        <v>109</v>
      </c>
      <c r="U7435">
        <v>8</v>
      </c>
      <c r="V7435" t="e">
        <f>VLOOKUP(Tabla3[[#This Row],[Nº]],[1]!NOMINA[#Data],4,FALSE)</f>
        <v>#REF!</v>
      </c>
      <c r="W7435" t="e">
        <f>VLOOKUP(U7435,[1]!NOMINA[#Data],5,FALSE)</f>
        <v>#REF!</v>
      </c>
    </row>
    <row r="7436" spans="1:23" x14ac:dyDescent="0.25">
      <c r="A7436" s="21">
        <v>45897</v>
      </c>
      <c r="B7436" s="1">
        <v>617464326</v>
      </c>
      <c r="C7436" t="s">
        <v>13134</v>
      </c>
      <c r="D7436" s="88">
        <v>-5008.2</v>
      </c>
      <c r="E7436" t="s">
        <v>35</v>
      </c>
      <c r="F7436" s="2">
        <v>212901001</v>
      </c>
      <c r="G7436" s="2" t="s">
        <v>121</v>
      </c>
      <c r="L7436" s="2" t="s">
        <v>13135</v>
      </c>
      <c r="M7436" t="s">
        <v>67</v>
      </c>
      <c r="N7436" t="s">
        <v>68</v>
      </c>
      <c r="P7436" s="23">
        <v>145.75</v>
      </c>
      <c r="Q7436" s="4">
        <f t="shared" si="116"/>
        <v>-34.361578044596911</v>
      </c>
      <c r="R7436" s="23" t="s">
        <v>109</v>
      </c>
      <c r="U7436">
        <v>26</v>
      </c>
      <c r="V7436" t="e">
        <f>VLOOKUP(Tabla3[[#This Row],[Nº]],[1]!NOMINA[#Data],4,FALSE)</f>
        <v>#REF!</v>
      </c>
      <c r="W7436" t="e">
        <f>VLOOKUP(Tabla3[[#This Row],[Nº]],[1]!NOMINA[#Data],5,FALSE)</f>
        <v>#REF!</v>
      </c>
    </row>
    <row r="7437" spans="1:23" x14ac:dyDescent="0.25">
      <c r="A7437" s="21">
        <v>45897</v>
      </c>
      <c r="B7437" s="1">
        <v>617464329</v>
      </c>
      <c r="C7437" t="s">
        <v>13136</v>
      </c>
      <c r="D7437" s="43">
        <v>-57683.03</v>
      </c>
      <c r="E7437" t="s">
        <v>35</v>
      </c>
      <c r="F7437" s="2">
        <v>212901001</v>
      </c>
      <c r="G7437" s="2" t="s">
        <v>121</v>
      </c>
      <c r="L7437" s="2" t="s">
        <v>13137</v>
      </c>
      <c r="M7437" t="s">
        <v>67</v>
      </c>
      <c r="N7437" t="s">
        <v>68</v>
      </c>
      <c r="P7437" s="23">
        <v>145.75</v>
      </c>
      <c r="Q7437" s="4">
        <f t="shared" si="116"/>
        <v>-395.76692967409946</v>
      </c>
      <c r="R7437" s="23" t="s">
        <v>109</v>
      </c>
      <c r="U7437">
        <v>1</v>
      </c>
      <c r="V7437" t="e">
        <f>VLOOKUP(U7437,[1]!NOMINA[#Data],4,FALSE)</f>
        <v>#REF!</v>
      </c>
      <c r="W7437" t="e">
        <f>VLOOKUP(U7437,[1]!NOMINA[#Data],5,FALSE)</f>
        <v>#REF!</v>
      </c>
    </row>
    <row r="7438" spans="1:23" x14ac:dyDescent="0.25">
      <c r="A7438" s="21">
        <v>45897</v>
      </c>
      <c r="B7438" s="1">
        <v>617464330</v>
      </c>
      <c r="C7438" t="s">
        <v>13138</v>
      </c>
      <c r="D7438" s="88">
        <v>-9721.8799999999992</v>
      </c>
      <c r="E7438" t="s">
        <v>35</v>
      </c>
      <c r="F7438" s="2">
        <v>212901001</v>
      </c>
      <c r="G7438" s="2" t="s">
        <v>121</v>
      </c>
      <c r="L7438" s="2" t="s">
        <v>13139</v>
      </c>
      <c r="M7438" t="s">
        <v>67</v>
      </c>
      <c r="N7438" t="s">
        <v>68</v>
      </c>
      <c r="P7438" s="23">
        <v>145.75</v>
      </c>
      <c r="Q7438" s="4">
        <f t="shared" si="116"/>
        <v>-66.702435677530005</v>
      </c>
      <c r="R7438" s="23" t="s">
        <v>109</v>
      </c>
      <c r="U7438">
        <v>20</v>
      </c>
      <c r="V7438" t="e">
        <f>VLOOKUP(Tabla3[[#This Row],[Nº]],[1]!NOMINA[#Data],4,FALSE)</f>
        <v>#REF!</v>
      </c>
      <c r="W7438" t="e">
        <f>VLOOKUP(U7438,[1]!NOMINA[#Data],5,FALSE)</f>
        <v>#REF!</v>
      </c>
    </row>
    <row r="7439" spans="1:23" x14ac:dyDescent="0.25">
      <c r="A7439" s="21">
        <v>45897</v>
      </c>
      <c r="B7439" s="1">
        <v>617464328</v>
      </c>
      <c r="C7439" t="s">
        <v>13140</v>
      </c>
      <c r="D7439" s="88">
        <v>-10491.37</v>
      </c>
      <c r="E7439" t="s">
        <v>35</v>
      </c>
      <c r="F7439" s="2">
        <v>212901001</v>
      </c>
      <c r="G7439" s="2" t="s">
        <v>121</v>
      </c>
      <c r="L7439" s="2" t="s">
        <v>13141</v>
      </c>
      <c r="M7439" t="s">
        <v>67</v>
      </c>
      <c r="N7439" t="s">
        <v>68</v>
      </c>
      <c r="P7439" s="23">
        <v>145.75</v>
      </c>
      <c r="Q7439" s="4">
        <f t="shared" si="116"/>
        <v>-71.981955403087483</v>
      </c>
      <c r="R7439" s="23" t="s">
        <v>109</v>
      </c>
      <c r="U7439">
        <v>13</v>
      </c>
      <c r="V7439" t="e">
        <f>VLOOKUP(Tabla3[[#This Row],[Nº]],[1]!NOMINA[#Data],4,FALSE)</f>
        <v>#REF!</v>
      </c>
      <c r="W7439" t="e">
        <f>VLOOKUP(U7439,[1]!NOMINA[#Data],5,FALSE)</f>
        <v>#REF!</v>
      </c>
    </row>
    <row r="7440" spans="1:23" x14ac:dyDescent="0.25">
      <c r="A7440" s="21">
        <v>45897</v>
      </c>
      <c r="B7440" s="1">
        <v>717464331</v>
      </c>
      <c r="C7440" t="s">
        <v>13142</v>
      </c>
      <c r="D7440" s="88">
        <v>-11488.96</v>
      </c>
      <c r="E7440" t="s">
        <v>35</v>
      </c>
      <c r="F7440" s="2">
        <v>212901001</v>
      </c>
      <c r="G7440" s="2" t="s">
        <v>121</v>
      </c>
      <c r="L7440" s="2" t="s">
        <v>13143</v>
      </c>
      <c r="M7440" t="s">
        <v>67</v>
      </c>
      <c r="N7440" t="s">
        <v>68</v>
      </c>
      <c r="P7440" s="23">
        <v>145.75</v>
      </c>
      <c r="Q7440" s="4">
        <f t="shared" si="116"/>
        <v>-78.826483704974265</v>
      </c>
      <c r="R7440" s="23" t="s">
        <v>109</v>
      </c>
      <c r="U7440">
        <v>12</v>
      </c>
      <c r="V7440" t="e">
        <f>VLOOKUP(Tabla3[[#This Row],[Nº]],[1]!NOMINA[#Data],4,FALSE)</f>
        <v>#REF!</v>
      </c>
      <c r="W7440" t="e">
        <f>VLOOKUP(U7440,[1]!NOMINA[#Data],5,FALSE)</f>
        <v>#REF!</v>
      </c>
    </row>
    <row r="7441" spans="1:23" x14ac:dyDescent="0.25">
      <c r="A7441" s="21">
        <v>45897</v>
      </c>
      <c r="B7441" s="1">
        <v>717464332</v>
      </c>
      <c r="C7441" t="s">
        <v>13144</v>
      </c>
      <c r="D7441" s="88">
        <v>-15815.73</v>
      </c>
      <c r="E7441" t="s">
        <v>35</v>
      </c>
      <c r="F7441" s="2">
        <v>212901001</v>
      </c>
      <c r="G7441" s="2" t="s">
        <v>121</v>
      </c>
      <c r="L7441" s="2" t="s">
        <v>13145</v>
      </c>
      <c r="M7441" t="s">
        <v>67</v>
      </c>
      <c r="N7441" t="s">
        <v>68</v>
      </c>
      <c r="P7441" s="23">
        <v>145.75</v>
      </c>
      <c r="Q7441" s="4">
        <f t="shared" si="116"/>
        <v>-108.51272727272728</v>
      </c>
      <c r="R7441" s="23" t="s">
        <v>109</v>
      </c>
      <c r="U7441">
        <v>4</v>
      </c>
      <c r="V7441" t="s">
        <v>12595</v>
      </c>
      <c r="W7441" t="e">
        <f>VLOOKUP(U7441,[1]!NOMINA[#Data],5,FALSE)</f>
        <v>#REF!</v>
      </c>
    </row>
    <row r="7442" spans="1:23" x14ac:dyDescent="0.25">
      <c r="A7442" s="21">
        <v>45897</v>
      </c>
      <c r="B7442" s="1">
        <v>717464333</v>
      </c>
      <c r="C7442" t="s">
        <v>13146</v>
      </c>
      <c r="D7442" s="88">
        <v>-13025.06</v>
      </c>
      <c r="E7442" t="s">
        <v>35</v>
      </c>
      <c r="F7442" s="2">
        <v>212901001</v>
      </c>
      <c r="G7442" s="2" t="s">
        <v>121</v>
      </c>
      <c r="L7442" s="2" t="s">
        <v>13147</v>
      </c>
      <c r="M7442" t="s">
        <v>67</v>
      </c>
      <c r="N7442" t="s">
        <v>68</v>
      </c>
      <c r="P7442" s="23">
        <v>145.75</v>
      </c>
      <c r="Q7442" s="4">
        <f t="shared" si="116"/>
        <v>-89.365763293310465</v>
      </c>
      <c r="R7442" s="23" t="s">
        <v>109</v>
      </c>
      <c r="U7442">
        <v>33</v>
      </c>
      <c r="V7442" t="e">
        <f>VLOOKUP(U7442,[1]!NOMINA[#Data],4,FALSE)</f>
        <v>#REF!</v>
      </c>
      <c r="W7442" t="e">
        <f>VLOOKUP(U7442,[1]!NOMINA[#Data],5,FALSE)</f>
        <v>#REF!</v>
      </c>
    </row>
    <row r="7443" spans="1:23" x14ac:dyDescent="0.25">
      <c r="A7443" s="21">
        <v>45897</v>
      </c>
      <c r="B7443" s="1">
        <v>717464334</v>
      </c>
      <c r="C7443" t="s">
        <v>13148</v>
      </c>
      <c r="D7443" s="88">
        <v>-13025.06</v>
      </c>
      <c r="E7443" t="s">
        <v>35</v>
      </c>
      <c r="F7443" s="2">
        <v>212901001</v>
      </c>
      <c r="G7443" s="2" t="s">
        <v>121</v>
      </c>
      <c r="L7443" s="2" t="s">
        <v>13149</v>
      </c>
      <c r="M7443" t="s">
        <v>67</v>
      </c>
      <c r="N7443" t="s">
        <v>68</v>
      </c>
      <c r="P7443" s="23">
        <v>145.75</v>
      </c>
      <c r="Q7443" s="4">
        <f t="shared" si="116"/>
        <v>-89.365763293310465</v>
      </c>
      <c r="R7443" s="23" t="s">
        <v>109</v>
      </c>
      <c r="U7443">
        <v>34</v>
      </c>
      <c r="V7443" t="e">
        <f>VLOOKUP(U7443,[1]!NOMINA[#Data],4,FALSE)</f>
        <v>#REF!</v>
      </c>
      <c r="W7443" t="e">
        <f>VLOOKUP(U7443,[1]!NOMINA[#Data],5,FALSE)</f>
        <v>#REF!</v>
      </c>
    </row>
    <row r="7444" spans="1:23" x14ac:dyDescent="0.25">
      <c r="A7444" s="21">
        <v>45897</v>
      </c>
      <c r="B7444" s="1">
        <v>717464336</v>
      </c>
      <c r="C7444" t="s">
        <v>13150</v>
      </c>
      <c r="D7444" s="88">
        <v>-17981.28</v>
      </c>
      <c r="E7444" t="s">
        <v>35</v>
      </c>
      <c r="F7444" s="2">
        <v>212901001</v>
      </c>
      <c r="G7444" s="2" t="s">
        <v>121</v>
      </c>
      <c r="L7444" s="2" t="s">
        <v>13151</v>
      </c>
      <c r="M7444" t="s">
        <v>67</v>
      </c>
      <c r="N7444" t="s">
        <v>68</v>
      </c>
      <c r="P7444" s="23">
        <v>145.75</v>
      </c>
      <c r="Q7444" s="4">
        <f t="shared" si="116"/>
        <v>-123.37070325900514</v>
      </c>
      <c r="R7444" s="23" t="s">
        <v>109</v>
      </c>
      <c r="U7444">
        <v>6</v>
      </c>
      <c r="V7444" t="e">
        <f>VLOOKUP(Tabla3[[#This Row],[Nº]],[1]!NOMINA[#Data],4,FALSE)</f>
        <v>#REF!</v>
      </c>
      <c r="W7444" t="e">
        <f>VLOOKUP(U7444,[1]!NOMINA[#Data],5,FALSE)</f>
        <v>#REF!</v>
      </c>
    </row>
    <row r="7445" spans="1:23" x14ac:dyDescent="0.25">
      <c r="A7445" s="21">
        <v>45897</v>
      </c>
      <c r="B7445" s="1">
        <v>717464335</v>
      </c>
      <c r="C7445" t="s">
        <v>13152</v>
      </c>
      <c r="D7445" s="88">
        <v>-10549.12</v>
      </c>
      <c r="E7445" t="s">
        <v>35</v>
      </c>
      <c r="F7445" s="2">
        <v>212901001</v>
      </c>
      <c r="G7445" s="2" t="s">
        <v>121</v>
      </c>
      <c r="L7445" s="2" t="s">
        <v>13153</v>
      </c>
      <c r="M7445" t="s">
        <v>67</v>
      </c>
      <c r="N7445" t="s">
        <v>68</v>
      </c>
      <c r="P7445" s="23">
        <v>145.75</v>
      </c>
      <c r="Q7445" s="4">
        <f t="shared" si="116"/>
        <v>-72.378181818181829</v>
      </c>
      <c r="R7445" s="23" t="s">
        <v>109</v>
      </c>
      <c r="U7445">
        <v>16</v>
      </c>
      <c r="V7445" t="e">
        <f>VLOOKUP(Tabla3[[#This Row],[Nº]],[1]!NOMINA[#Data],4,FALSE)</f>
        <v>#REF!</v>
      </c>
      <c r="W7445" t="e">
        <f>VLOOKUP(Tabla3[[#This Row],[Nº]],[1]!NOMINA[#Data],5,FALSE)</f>
        <v>#REF!</v>
      </c>
    </row>
    <row r="7446" spans="1:23" x14ac:dyDescent="0.25">
      <c r="A7446" s="21">
        <v>45897</v>
      </c>
      <c r="B7446" s="1">
        <v>717464338</v>
      </c>
      <c r="C7446" t="s">
        <v>13154</v>
      </c>
      <c r="D7446" s="88">
        <v>-40839.39</v>
      </c>
      <c r="E7446" t="s">
        <v>35</v>
      </c>
      <c r="F7446" s="2">
        <v>212901001</v>
      </c>
      <c r="G7446" s="2" t="s">
        <v>121</v>
      </c>
      <c r="L7446" s="2" t="s">
        <v>13155</v>
      </c>
      <c r="M7446" t="s">
        <v>67</v>
      </c>
      <c r="N7446" t="s">
        <v>68</v>
      </c>
      <c r="P7446" s="23">
        <v>145.75</v>
      </c>
      <c r="Q7446" s="4">
        <f t="shared" si="116"/>
        <v>-280.20164665523157</v>
      </c>
      <c r="R7446" s="23" t="s">
        <v>109</v>
      </c>
      <c r="U7446">
        <v>3</v>
      </c>
      <c r="V7446" t="s">
        <v>12595</v>
      </c>
      <c r="W7446" t="e">
        <f>VLOOKUP(U7446,[1]!NOMINA[#Data],5,FALSE)</f>
        <v>#REF!</v>
      </c>
    </row>
    <row r="7447" spans="1:23" x14ac:dyDescent="0.25">
      <c r="A7447" s="21">
        <v>45897</v>
      </c>
      <c r="B7447" s="1">
        <v>817464343</v>
      </c>
      <c r="C7447" t="s">
        <v>13156</v>
      </c>
      <c r="D7447" s="43">
        <v>-15551.54</v>
      </c>
      <c r="E7447" t="s">
        <v>35</v>
      </c>
      <c r="F7447" s="2">
        <v>212901001</v>
      </c>
      <c r="G7447" s="2" t="s">
        <v>121</v>
      </c>
      <c r="L7447" s="2" t="s">
        <v>13157</v>
      </c>
      <c r="M7447" t="s">
        <v>67</v>
      </c>
      <c r="N7447" t="s">
        <v>68</v>
      </c>
      <c r="P7447" s="23">
        <v>145.75</v>
      </c>
      <c r="Q7447" s="4">
        <f t="shared" si="116"/>
        <v>-106.70010291595197</v>
      </c>
      <c r="R7447" s="23" t="s">
        <v>109</v>
      </c>
      <c r="U7447">
        <v>30</v>
      </c>
      <c r="V7447" t="e">
        <f>VLOOKUP(Tabla3[[#This Row],[Nº]],[1]!NOMINA[#Data],4,FALSE)</f>
        <v>#REF!</v>
      </c>
      <c r="W7447" t="e">
        <f>VLOOKUP(U7447,[1]!NOMINA[#Data],5,FALSE)</f>
        <v>#REF!</v>
      </c>
    </row>
    <row r="7448" spans="1:23" x14ac:dyDescent="0.25">
      <c r="A7448" s="21">
        <v>45897</v>
      </c>
      <c r="B7448" s="1">
        <v>817464341</v>
      </c>
      <c r="C7448" t="s">
        <v>13158</v>
      </c>
      <c r="D7448" s="43">
        <v>-12688.68</v>
      </c>
      <c r="E7448" t="s">
        <v>35</v>
      </c>
      <c r="F7448" s="2">
        <v>212901001</v>
      </c>
      <c r="G7448" s="2" t="s">
        <v>121</v>
      </c>
      <c r="L7448" s="2" t="s">
        <v>13159</v>
      </c>
      <c r="M7448" t="s">
        <v>67</v>
      </c>
      <c r="N7448" t="s">
        <v>68</v>
      </c>
      <c r="P7448" s="23">
        <v>145.75</v>
      </c>
      <c r="Q7448" s="4">
        <f t="shared" si="116"/>
        <v>-87.057838765008583</v>
      </c>
      <c r="R7448" s="23" t="s">
        <v>109</v>
      </c>
      <c r="U7448">
        <v>32</v>
      </c>
      <c r="V7448" t="e">
        <f>VLOOKUP(Tabla3[[#This Row],[Nº]],[1]!NOMINA[#Data],4,FALSE)</f>
        <v>#REF!</v>
      </c>
      <c r="W7448" t="e">
        <f>VLOOKUP(U7448,[1]!NOMINA[#Data],5,FALSE)</f>
        <v>#REF!</v>
      </c>
    </row>
    <row r="7449" spans="1:23" x14ac:dyDescent="0.25">
      <c r="A7449" s="21">
        <v>45897</v>
      </c>
      <c r="B7449" s="1">
        <v>817464340</v>
      </c>
      <c r="C7449" t="s">
        <v>13160</v>
      </c>
      <c r="D7449" s="88">
        <v>-11484.63</v>
      </c>
      <c r="E7449" t="s">
        <v>35</v>
      </c>
      <c r="F7449" s="2">
        <v>212901001</v>
      </c>
      <c r="G7449" s="2" t="s">
        <v>121</v>
      </c>
      <c r="L7449" s="2" t="s">
        <v>13161</v>
      </c>
      <c r="M7449" t="s">
        <v>67</v>
      </c>
      <c r="N7449" t="s">
        <v>68</v>
      </c>
      <c r="P7449" s="23">
        <v>145.75</v>
      </c>
      <c r="Q7449" s="4">
        <f t="shared" si="116"/>
        <v>-78.796775300171518</v>
      </c>
      <c r="R7449" s="23" t="s">
        <v>109</v>
      </c>
      <c r="U7449">
        <v>5</v>
      </c>
      <c r="V7449" t="s">
        <v>12595</v>
      </c>
      <c r="W7449" t="e">
        <f>VLOOKUP(U7449,[1]!NOMINA[#Data],5,FALSE)</f>
        <v>#REF!</v>
      </c>
    </row>
    <row r="7450" spans="1:23" x14ac:dyDescent="0.25">
      <c r="A7450" s="21">
        <v>45897</v>
      </c>
      <c r="B7450" s="1">
        <v>717464339</v>
      </c>
      <c r="C7450" t="s">
        <v>13162</v>
      </c>
      <c r="D7450" s="88">
        <v>-7185.29</v>
      </c>
      <c r="E7450" t="s">
        <v>35</v>
      </c>
      <c r="F7450" s="2">
        <v>212901001</v>
      </c>
      <c r="G7450" s="2" t="s">
        <v>121</v>
      </c>
      <c r="L7450" s="2" t="s">
        <v>13163</v>
      </c>
      <c r="M7450" t="s">
        <v>67</v>
      </c>
      <c r="N7450" t="s">
        <v>68</v>
      </c>
      <c r="P7450" s="23">
        <v>145.75</v>
      </c>
      <c r="Q7450" s="4">
        <f t="shared" si="116"/>
        <v>-49.298730703259004</v>
      </c>
      <c r="R7450" s="23" t="s">
        <v>109</v>
      </c>
      <c r="U7450">
        <v>24</v>
      </c>
      <c r="V7450" t="e">
        <f>VLOOKUP(Tabla3[[#This Row],[Nº]],[1]!NOMINA[#Data],4,FALSE)</f>
        <v>#REF!</v>
      </c>
      <c r="W7450" t="e">
        <f>VLOOKUP(U7450,[1]!NOMINA[#Data],5,FALSE)</f>
        <v>#REF!</v>
      </c>
    </row>
    <row r="7451" spans="1:23" x14ac:dyDescent="0.25">
      <c r="A7451" s="21">
        <v>45897</v>
      </c>
      <c r="B7451" s="1">
        <v>817464344</v>
      </c>
      <c r="C7451" t="s">
        <v>13164</v>
      </c>
      <c r="D7451" s="43">
        <v>-4674.7</v>
      </c>
      <c r="E7451" t="s">
        <v>35</v>
      </c>
      <c r="F7451" s="2">
        <v>212901001</v>
      </c>
      <c r="G7451" s="2" t="s">
        <v>121</v>
      </c>
      <c r="L7451" s="2" t="s">
        <v>13165</v>
      </c>
      <c r="M7451" t="s">
        <v>67</v>
      </c>
      <c r="N7451" t="s">
        <v>68</v>
      </c>
      <c r="P7451" s="23">
        <v>145.75</v>
      </c>
      <c r="Q7451" s="4">
        <f t="shared" si="116"/>
        <v>-32.073413379073756</v>
      </c>
      <c r="R7451" s="23" t="s">
        <v>109</v>
      </c>
      <c r="U7451">
        <v>27</v>
      </c>
      <c r="V7451" t="e">
        <f>VLOOKUP(Tabla3[[#This Row],[Nº]],[1]!NOMINA[#Data],4,FALSE)</f>
        <v>#REF!</v>
      </c>
      <c r="W7451" t="e">
        <f>VLOOKUP(U7451,[1]!NOMINA[#Data],5,FALSE)</f>
        <v>#REF!</v>
      </c>
    </row>
    <row r="7452" spans="1:23" x14ac:dyDescent="0.25">
      <c r="A7452" s="21">
        <v>45897</v>
      </c>
      <c r="B7452" s="1">
        <v>817464345</v>
      </c>
      <c r="C7452" t="s">
        <v>13166</v>
      </c>
      <c r="D7452" s="43">
        <v>-7055.36</v>
      </c>
      <c r="E7452" t="s">
        <v>35</v>
      </c>
      <c r="F7452" s="2">
        <v>212901001</v>
      </c>
      <c r="G7452" s="2" t="s">
        <v>121</v>
      </c>
      <c r="L7452" s="2" t="s">
        <v>13167</v>
      </c>
      <c r="M7452" t="s">
        <v>67</v>
      </c>
      <c r="N7452" t="s">
        <v>68</v>
      </c>
      <c r="P7452" s="23">
        <v>145.75</v>
      </c>
      <c r="Q7452" s="4">
        <f t="shared" si="116"/>
        <v>-48.407272727272726</v>
      </c>
      <c r="R7452" s="23" t="s">
        <v>109</v>
      </c>
      <c r="U7452">
        <v>21</v>
      </c>
      <c r="V7452" t="e">
        <f>VLOOKUP(Tabla3[[#This Row],[Nº]],[1]!NOMINA[#Data],4,FALSE)</f>
        <v>#REF!</v>
      </c>
      <c r="W7452" t="e">
        <f>VLOOKUP(U7452,[1]!NOMINA[#Data],5,FALSE)</f>
        <v>#REF!</v>
      </c>
    </row>
    <row r="7453" spans="1:23" x14ac:dyDescent="0.25">
      <c r="A7453" s="21">
        <v>45897</v>
      </c>
      <c r="B7453" s="1">
        <v>817464346</v>
      </c>
      <c r="C7453" t="s">
        <v>13168</v>
      </c>
      <c r="D7453" s="43">
        <v>-5009.6400000000003</v>
      </c>
      <c r="E7453" t="s">
        <v>35</v>
      </c>
      <c r="F7453" s="2">
        <v>212901001</v>
      </c>
      <c r="G7453" s="2" t="s">
        <v>121</v>
      </c>
      <c r="L7453" s="2" t="s">
        <v>13169</v>
      </c>
      <c r="M7453" t="s">
        <v>67</v>
      </c>
      <c r="N7453" t="s">
        <v>68</v>
      </c>
      <c r="P7453" s="23">
        <v>145.75</v>
      </c>
      <c r="Q7453" s="4">
        <f t="shared" si="116"/>
        <v>-34.371457975986281</v>
      </c>
      <c r="R7453" s="23" t="s">
        <v>109</v>
      </c>
      <c r="U7453">
        <v>7</v>
      </c>
      <c r="V7453" t="e">
        <f>VLOOKUP(Tabla3[[#This Row],[Nº]],[1]!NOMINA[#Data],4,FALSE)</f>
        <v>#REF!</v>
      </c>
      <c r="W7453" t="e">
        <f>VLOOKUP(U7453,[1]!NOMINA[#Data],5,FALSE)</f>
        <v>#REF!</v>
      </c>
    </row>
    <row r="7454" spans="1:23" x14ac:dyDescent="0.25">
      <c r="A7454" s="21">
        <v>45897</v>
      </c>
      <c r="B7454" s="1">
        <v>817464349</v>
      </c>
      <c r="C7454" t="s">
        <v>13170</v>
      </c>
      <c r="D7454" s="43">
        <v>-10801.76</v>
      </c>
      <c r="E7454" t="s">
        <v>35</v>
      </c>
      <c r="F7454" s="2">
        <v>212901001</v>
      </c>
      <c r="G7454" s="2" t="s">
        <v>121</v>
      </c>
      <c r="L7454" s="2" t="s">
        <v>13171</v>
      </c>
      <c r="M7454" t="s">
        <v>67</v>
      </c>
      <c r="N7454" t="s">
        <v>68</v>
      </c>
      <c r="P7454" s="23">
        <v>145.75</v>
      </c>
      <c r="Q7454" s="4">
        <f t="shared" si="116"/>
        <v>-74.111560891938254</v>
      </c>
      <c r="R7454" s="23" t="s">
        <v>109</v>
      </c>
      <c r="U7454">
        <v>11</v>
      </c>
      <c r="V7454" t="e">
        <f>VLOOKUP(Tabla3[[#This Row],[Nº]],[1]!NOMINA[#Data],4,FALSE)</f>
        <v>#REF!</v>
      </c>
      <c r="W7454" t="e">
        <f>VLOOKUP(U7454,[1]!NOMINA[#Data],5,FALSE)</f>
        <v>#REF!</v>
      </c>
    </row>
    <row r="7455" spans="1:23" x14ac:dyDescent="0.25">
      <c r="A7455" s="21">
        <v>45897</v>
      </c>
      <c r="B7455" s="1">
        <v>817464347</v>
      </c>
      <c r="C7455" t="s">
        <v>13172</v>
      </c>
      <c r="D7455" s="43">
        <v>-21590.53</v>
      </c>
      <c r="E7455" t="s">
        <v>35</v>
      </c>
      <c r="F7455" s="2">
        <v>212901001</v>
      </c>
      <c r="G7455" s="2" t="s">
        <v>121</v>
      </c>
      <c r="L7455" s="2" t="s">
        <v>13173</v>
      </c>
      <c r="M7455" t="s">
        <v>67</v>
      </c>
      <c r="N7455" t="s">
        <v>68</v>
      </c>
      <c r="P7455" s="23">
        <v>145.75</v>
      </c>
      <c r="Q7455" s="4">
        <f t="shared" si="116"/>
        <v>-148.13399656946825</v>
      </c>
      <c r="R7455" s="23" t="s">
        <v>109</v>
      </c>
      <c r="U7455">
        <v>35</v>
      </c>
      <c r="V7455" t="e">
        <f>VLOOKUP(Tabla3[[#This Row],[Nº]],[1]!NOMINA[#Data],4,FALSE)</f>
        <v>#REF!</v>
      </c>
      <c r="W7455" t="e">
        <f>VLOOKUP(U7455,[1]!NOMINA[#Data],5,FALSE)</f>
        <v>#REF!</v>
      </c>
    </row>
    <row r="7456" spans="1:23" x14ac:dyDescent="0.25">
      <c r="A7456" s="21">
        <v>45897</v>
      </c>
      <c r="B7456" s="1">
        <v>917464351</v>
      </c>
      <c r="C7456" t="s">
        <v>13174</v>
      </c>
      <c r="D7456" s="43">
        <v>-10801.76</v>
      </c>
      <c r="E7456" t="s">
        <v>35</v>
      </c>
      <c r="F7456" s="2">
        <v>212901001</v>
      </c>
      <c r="G7456" s="2" t="s">
        <v>121</v>
      </c>
      <c r="L7456" s="2" t="s">
        <v>13175</v>
      </c>
      <c r="M7456" t="s">
        <v>67</v>
      </c>
      <c r="N7456" t="s">
        <v>68</v>
      </c>
      <c r="P7456" s="23">
        <v>145.75</v>
      </c>
      <c r="Q7456" s="4">
        <f t="shared" si="116"/>
        <v>-74.111560891938254</v>
      </c>
      <c r="R7456" s="23" t="s">
        <v>109</v>
      </c>
      <c r="U7456">
        <v>10</v>
      </c>
      <c r="V7456" t="e">
        <f>VLOOKUP(Tabla3[[#This Row],[Nº]],[1]!NOMINA[#Data],4,FALSE)</f>
        <v>#REF!</v>
      </c>
      <c r="W7456" t="e">
        <f>VLOOKUP(U7456,[1]!NOMINA[#Data],5,FALSE)</f>
        <v>#REF!</v>
      </c>
    </row>
    <row r="7457" spans="1:23" x14ac:dyDescent="0.25">
      <c r="A7457" s="21">
        <v>45897</v>
      </c>
      <c r="B7457" s="1">
        <v>817464348</v>
      </c>
      <c r="C7457" t="s">
        <v>13176</v>
      </c>
      <c r="D7457" s="43">
        <v>-5008.2</v>
      </c>
      <c r="E7457" t="s">
        <v>35</v>
      </c>
      <c r="F7457" s="2">
        <v>212901001</v>
      </c>
      <c r="G7457" s="2" t="s">
        <v>121</v>
      </c>
      <c r="L7457" s="2" t="s">
        <v>13177</v>
      </c>
      <c r="M7457" t="s">
        <v>67</v>
      </c>
      <c r="N7457" t="s">
        <v>68</v>
      </c>
      <c r="P7457" s="23">
        <v>145.75</v>
      </c>
      <c r="Q7457" s="4">
        <f t="shared" si="116"/>
        <v>-34.361578044596911</v>
      </c>
      <c r="R7457" s="23" t="s">
        <v>109</v>
      </c>
      <c r="U7457">
        <v>25</v>
      </c>
      <c r="V7457" t="e">
        <f>VLOOKUP(Tabla3[[#This Row],[Nº]],[1]!NOMINA[#Data],4,FALSE)</f>
        <v>#REF!</v>
      </c>
      <c r="W7457" t="e">
        <f>VLOOKUP(U7457,[1]!NOMINA[#Data],5,FALSE)</f>
        <v>#REF!</v>
      </c>
    </row>
    <row r="7458" spans="1:23" x14ac:dyDescent="0.25">
      <c r="A7458" s="21">
        <v>45897</v>
      </c>
      <c r="B7458" s="1">
        <v>917464352</v>
      </c>
      <c r="C7458" t="s">
        <v>13178</v>
      </c>
      <c r="D7458" s="43">
        <v>-10801.76</v>
      </c>
      <c r="E7458" t="s">
        <v>35</v>
      </c>
      <c r="F7458" s="2">
        <v>212901001</v>
      </c>
      <c r="G7458" s="2" t="s">
        <v>121</v>
      </c>
      <c r="L7458" s="2" t="s">
        <v>13179</v>
      </c>
      <c r="M7458" t="s">
        <v>67</v>
      </c>
      <c r="N7458" t="s">
        <v>68</v>
      </c>
      <c r="P7458" s="23">
        <v>145.75</v>
      </c>
      <c r="Q7458" s="4">
        <f t="shared" si="116"/>
        <v>-74.111560891938254</v>
      </c>
      <c r="R7458" s="23" t="s">
        <v>109</v>
      </c>
      <c r="U7458">
        <v>9</v>
      </c>
      <c r="V7458" t="e">
        <f>VLOOKUP(Tabla3[[#This Row],[Nº]],[1]!NOMINA[#Data],4,FALSE)</f>
        <v>#REF!</v>
      </c>
      <c r="W7458" t="e">
        <f>VLOOKUP(U7458,[1]!NOMINA[#Data],5,FALSE)</f>
        <v>#REF!</v>
      </c>
    </row>
    <row r="7459" spans="1:23" x14ac:dyDescent="0.25">
      <c r="A7459" s="21">
        <v>45897</v>
      </c>
      <c r="B7459" s="1">
        <v>917464350</v>
      </c>
      <c r="C7459" t="s">
        <v>13180</v>
      </c>
      <c r="D7459" s="88">
        <v>-5731.49</v>
      </c>
      <c r="E7459" t="s">
        <v>35</v>
      </c>
      <c r="F7459" s="2">
        <v>212901001</v>
      </c>
      <c r="G7459" s="2" t="s">
        <v>121</v>
      </c>
      <c r="L7459" s="2" t="s">
        <v>13181</v>
      </c>
      <c r="M7459" t="s">
        <v>67</v>
      </c>
      <c r="N7459" t="s">
        <v>68</v>
      </c>
      <c r="P7459" s="23">
        <v>145.75</v>
      </c>
      <c r="Q7459" s="4">
        <f t="shared" si="116"/>
        <v>-39.324116638078898</v>
      </c>
      <c r="R7459" s="23" t="s">
        <v>109</v>
      </c>
      <c r="U7459">
        <v>28</v>
      </c>
      <c r="V7459" t="e">
        <f>VLOOKUP(Tabla3[[#This Row],[Nº]],[1]!NOMINA[#Data],4,FALSE)</f>
        <v>#REF!</v>
      </c>
      <c r="W7459" t="e">
        <f>VLOOKUP(U7459,[1]!NOMINA[#Data],5,FALSE)</f>
        <v>#REF!</v>
      </c>
    </row>
    <row r="7460" spans="1:23" x14ac:dyDescent="0.25">
      <c r="A7460" s="21">
        <v>45897</v>
      </c>
      <c r="B7460" s="1">
        <v>917464356</v>
      </c>
      <c r="C7460" t="s">
        <v>13182</v>
      </c>
      <c r="D7460" s="43">
        <v>-5774.8</v>
      </c>
      <c r="E7460" t="s">
        <v>35</v>
      </c>
      <c r="F7460" s="2">
        <v>212901001</v>
      </c>
      <c r="G7460" s="2" t="s">
        <v>121</v>
      </c>
      <c r="L7460" s="2" t="s">
        <v>13183</v>
      </c>
      <c r="M7460" t="s">
        <v>67</v>
      </c>
      <c r="N7460" t="s">
        <v>68</v>
      </c>
      <c r="P7460" s="23">
        <v>145.75</v>
      </c>
      <c r="Q7460" s="4">
        <f t="shared" si="116"/>
        <v>-39.621269296740998</v>
      </c>
      <c r="R7460" s="23" t="s">
        <v>109</v>
      </c>
      <c r="U7460">
        <v>2</v>
      </c>
      <c r="V7460" t="e">
        <f>VLOOKUP(Tabla3[[#This Row],[Nº]],[1]!NOMINA[#Data],4,FALSE)</f>
        <v>#REF!</v>
      </c>
      <c r="W7460" t="e">
        <f>VLOOKUP(Tabla3[[#This Row],[Nº]],[1]!NOMINA[#Data],5,FALSE)</f>
        <v>#REF!</v>
      </c>
    </row>
    <row r="7461" spans="1:23" x14ac:dyDescent="0.25">
      <c r="A7461" s="21">
        <v>45897</v>
      </c>
      <c r="B7461" s="1">
        <v>917464353</v>
      </c>
      <c r="C7461" t="s">
        <v>13184</v>
      </c>
      <c r="D7461" s="43">
        <v>-10752.68</v>
      </c>
      <c r="E7461" t="s">
        <v>35</v>
      </c>
      <c r="F7461" s="2">
        <v>212901001</v>
      </c>
      <c r="G7461" s="2" t="s">
        <v>121</v>
      </c>
      <c r="L7461" s="2" t="s">
        <v>13185</v>
      </c>
      <c r="M7461" t="s">
        <v>67</v>
      </c>
      <c r="N7461" t="s">
        <v>68</v>
      </c>
      <c r="P7461" s="23">
        <v>145.75</v>
      </c>
      <c r="Q7461" s="4">
        <f t="shared" si="116"/>
        <v>-73.774819897084043</v>
      </c>
      <c r="R7461" s="23" t="s">
        <v>109</v>
      </c>
      <c r="U7461">
        <v>18</v>
      </c>
      <c r="V7461" t="e">
        <f>VLOOKUP(Tabla3[[#This Row],[Nº]],[1]!NOMINA[#Data],4,FALSE)</f>
        <v>#REF!</v>
      </c>
      <c r="W7461" t="e">
        <f>VLOOKUP(Tabla3[[#This Row],[Nº]],[1]!NOMINA[#Data],5,FALSE)</f>
        <v>#REF!</v>
      </c>
    </row>
    <row r="7462" spans="1:23" x14ac:dyDescent="0.25">
      <c r="A7462" s="21">
        <v>45897</v>
      </c>
      <c r="B7462" s="1">
        <v>917464354</v>
      </c>
      <c r="C7462" t="s">
        <v>13186</v>
      </c>
      <c r="D7462" s="43">
        <v>-5774.8</v>
      </c>
      <c r="E7462" t="s">
        <v>35</v>
      </c>
      <c r="F7462" s="2">
        <v>212901001</v>
      </c>
      <c r="G7462" s="2" t="s">
        <v>121</v>
      </c>
      <c r="L7462" s="2" t="s">
        <v>13187</v>
      </c>
      <c r="M7462" t="s">
        <v>67</v>
      </c>
      <c r="N7462" t="s">
        <v>68</v>
      </c>
      <c r="P7462" s="23">
        <v>145.75</v>
      </c>
      <c r="Q7462" s="4">
        <f t="shared" si="116"/>
        <v>-39.621269296740998</v>
      </c>
      <c r="R7462" s="23" t="s">
        <v>109</v>
      </c>
      <c r="U7462">
        <v>1</v>
      </c>
      <c r="V7462" t="e">
        <f>VLOOKUP(U7462,[1]!NOMINA[#Data],4,FALSE)</f>
        <v>#REF!</v>
      </c>
      <c r="W7462" t="e">
        <f>VLOOKUP(U7462,[1]!NOMINA[#Data],5,FALSE)</f>
        <v>#REF!</v>
      </c>
    </row>
    <row r="7463" spans="1:23" x14ac:dyDescent="0.25">
      <c r="A7463" s="21">
        <v>45897</v>
      </c>
      <c r="B7463" s="1">
        <v>917464359</v>
      </c>
      <c r="C7463" t="s">
        <v>13188</v>
      </c>
      <c r="D7463" s="43">
        <v>-5774.8</v>
      </c>
      <c r="E7463" t="s">
        <v>35</v>
      </c>
      <c r="F7463" s="2">
        <v>212901001</v>
      </c>
      <c r="G7463" s="2" t="s">
        <v>121</v>
      </c>
      <c r="L7463" s="2" t="s">
        <v>13189</v>
      </c>
      <c r="M7463" t="s">
        <v>67</v>
      </c>
      <c r="N7463" t="s">
        <v>68</v>
      </c>
      <c r="P7463" s="23">
        <v>145.75</v>
      </c>
      <c r="Q7463" s="4">
        <f t="shared" si="116"/>
        <v>-39.621269296740998</v>
      </c>
      <c r="R7463" s="23" t="s">
        <v>109</v>
      </c>
      <c r="U7463">
        <v>4</v>
      </c>
      <c r="V7463" t="s">
        <v>12595</v>
      </c>
      <c r="W7463" t="e">
        <f>VLOOKUP(U7463,[1]!NOMINA[#Data],5,FALSE)</f>
        <v>#REF!</v>
      </c>
    </row>
    <row r="7464" spans="1:23" x14ac:dyDescent="0.25">
      <c r="A7464" s="21">
        <v>45897</v>
      </c>
      <c r="B7464" s="1">
        <v>917464358</v>
      </c>
      <c r="C7464" t="s">
        <v>13190</v>
      </c>
      <c r="D7464" s="43">
        <v>-5774.8</v>
      </c>
      <c r="E7464" t="s">
        <v>35</v>
      </c>
      <c r="F7464" s="2">
        <v>212901001</v>
      </c>
      <c r="G7464" s="2" t="s">
        <v>121</v>
      </c>
      <c r="L7464" s="2" t="s">
        <v>13191</v>
      </c>
      <c r="M7464" t="s">
        <v>67</v>
      </c>
      <c r="N7464" t="s">
        <v>68</v>
      </c>
      <c r="P7464" s="23">
        <v>145.75</v>
      </c>
      <c r="Q7464" s="4">
        <f t="shared" si="116"/>
        <v>-39.621269296740998</v>
      </c>
      <c r="R7464" s="23" t="s">
        <v>109</v>
      </c>
      <c r="U7464">
        <v>3</v>
      </c>
      <c r="V7464" t="s">
        <v>12595</v>
      </c>
      <c r="W7464" t="e">
        <f>VLOOKUP(U7464,[1]!NOMINA[#Data],5,FALSE)</f>
        <v>#REF!</v>
      </c>
    </row>
    <row r="7465" spans="1:23" x14ac:dyDescent="0.25">
      <c r="A7465" s="21">
        <v>45897</v>
      </c>
      <c r="B7465" s="1">
        <v>917464357</v>
      </c>
      <c r="C7465" t="s">
        <v>13192</v>
      </c>
      <c r="D7465" s="43">
        <v>-5774.8</v>
      </c>
      <c r="E7465" t="s">
        <v>35</v>
      </c>
      <c r="F7465" s="2">
        <v>212901001</v>
      </c>
      <c r="G7465" s="2" t="s">
        <v>121</v>
      </c>
      <c r="L7465" s="2" t="s">
        <v>13193</v>
      </c>
      <c r="M7465" t="s">
        <v>67</v>
      </c>
      <c r="N7465" t="s">
        <v>68</v>
      </c>
      <c r="P7465" s="23">
        <v>145.75</v>
      </c>
      <c r="Q7465" s="4">
        <f t="shared" si="116"/>
        <v>-39.621269296740998</v>
      </c>
      <c r="R7465" s="23" t="s">
        <v>109</v>
      </c>
      <c r="U7465">
        <v>2</v>
      </c>
      <c r="V7465" t="e">
        <f>VLOOKUP(Tabla3[[#This Row],[Nº]],[1]!NOMINA[#Data],4,FALSE)</f>
        <v>#REF!</v>
      </c>
      <c r="W7465" t="e">
        <f>VLOOKUP(Tabla3[[#This Row],[Nº]],[1]!NOMINA[#Data],5,FALSE)</f>
        <v>#REF!</v>
      </c>
    </row>
    <row r="7466" spans="1:23" x14ac:dyDescent="0.25">
      <c r="A7466" s="21">
        <v>45897</v>
      </c>
      <c r="B7466" s="1">
        <v>17464362</v>
      </c>
      <c r="C7466" t="s">
        <v>13194</v>
      </c>
      <c r="D7466" s="43">
        <v>-5774.8</v>
      </c>
      <c r="E7466" t="s">
        <v>35</v>
      </c>
      <c r="F7466" s="2">
        <v>212901001</v>
      </c>
      <c r="G7466" s="2" t="s">
        <v>121</v>
      </c>
      <c r="L7466" s="2" t="s">
        <v>13195</v>
      </c>
      <c r="M7466" t="s">
        <v>67</v>
      </c>
      <c r="N7466" t="s">
        <v>68</v>
      </c>
      <c r="P7466" s="23">
        <v>145.75</v>
      </c>
      <c r="Q7466" s="4">
        <f t="shared" si="116"/>
        <v>-39.621269296740998</v>
      </c>
      <c r="R7466" s="23" t="s">
        <v>109</v>
      </c>
      <c r="U7466">
        <v>38</v>
      </c>
      <c r="V7466" t="e">
        <f>VLOOKUP(U7466,[1]!NOMINA[#Data],4,FALSE)</f>
        <v>#REF!</v>
      </c>
      <c r="W7466" t="e">
        <f>VLOOKUP(U7466,[1]!NOMINA[#Data],5,FALSE)</f>
        <v>#REF!</v>
      </c>
    </row>
    <row r="7467" spans="1:23" x14ac:dyDescent="0.25">
      <c r="A7467" s="21">
        <v>45897</v>
      </c>
      <c r="B7467" s="1">
        <v>17464361</v>
      </c>
      <c r="C7467" t="s">
        <v>13196</v>
      </c>
      <c r="D7467" s="43">
        <v>-5774.8</v>
      </c>
      <c r="E7467" t="s">
        <v>35</v>
      </c>
      <c r="F7467" s="2">
        <v>212901001</v>
      </c>
      <c r="G7467" s="2" t="s">
        <v>121</v>
      </c>
      <c r="L7467" s="2" t="s">
        <v>13197</v>
      </c>
      <c r="M7467" t="s">
        <v>67</v>
      </c>
      <c r="N7467" t="s">
        <v>68</v>
      </c>
      <c r="P7467" s="23">
        <v>145.75</v>
      </c>
      <c r="Q7467" s="4">
        <f t="shared" si="116"/>
        <v>-39.621269296740998</v>
      </c>
      <c r="R7467" s="23" t="s">
        <v>109</v>
      </c>
      <c r="U7467">
        <v>31</v>
      </c>
      <c r="V7467" t="e">
        <f>VLOOKUP(Tabla3[[#This Row],[Nº]],[1]!NOMINA[#Data],4,FALSE)</f>
        <v>#REF!</v>
      </c>
      <c r="W7467" t="e">
        <f>VLOOKUP(U7467,[1]!NOMINA[#Data],5,FALSE)</f>
        <v>#REF!</v>
      </c>
    </row>
    <row r="7468" spans="1:23" x14ac:dyDescent="0.25">
      <c r="A7468" s="21">
        <v>45897</v>
      </c>
      <c r="B7468" s="1">
        <v>17464363</v>
      </c>
      <c r="C7468" t="s">
        <v>13198</v>
      </c>
      <c r="D7468" s="43">
        <v>-5774.8</v>
      </c>
      <c r="E7468" t="s">
        <v>35</v>
      </c>
      <c r="F7468" s="2">
        <v>212901001</v>
      </c>
      <c r="G7468" s="2" t="s">
        <v>121</v>
      </c>
      <c r="L7468" s="2" t="s">
        <v>13199</v>
      </c>
      <c r="M7468" t="s">
        <v>67</v>
      </c>
      <c r="N7468" t="s">
        <v>68</v>
      </c>
      <c r="P7468" s="23">
        <v>145.75</v>
      </c>
      <c r="Q7468" s="4">
        <f t="shared" si="116"/>
        <v>-39.621269296740998</v>
      </c>
      <c r="R7468" s="23" t="s">
        <v>109</v>
      </c>
      <c r="U7468">
        <v>28</v>
      </c>
      <c r="V7468" t="e">
        <f>VLOOKUP(Tabla3[[#This Row],[Nº]],[1]!NOMINA[#Data],4,FALSE)</f>
        <v>#REF!</v>
      </c>
      <c r="W7468" t="e">
        <f>VLOOKUP(U7468,[1]!NOMINA[#Data],5,FALSE)</f>
        <v>#REF!</v>
      </c>
    </row>
    <row r="7469" spans="1:23" x14ac:dyDescent="0.25">
      <c r="A7469" s="21">
        <v>45897</v>
      </c>
      <c r="B7469" s="1">
        <v>17464364</v>
      </c>
      <c r="C7469" t="s">
        <v>13200</v>
      </c>
      <c r="D7469" s="43">
        <v>-5774.8</v>
      </c>
      <c r="E7469" t="s">
        <v>35</v>
      </c>
      <c r="F7469" s="2">
        <v>212901001</v>
      </c>
      <c r="G7469" s="2" t="s">
        <v>121</v>
      </c>
      <c r="L7469" s="2" t="s">
        <v>13201</v>
      </c>
      <c r="M7469" t="s">
        <v>67</v>
      </c>
      <c r="N7469" t="s">
        <v>68</v>
      </c>
      <c r="P7469" s="23">
        <v>145.75</v>
      </c>
      <c r="Q7469" s="4">
        <f t="shared" si="116"/>
        <v>-39.621269296740998</v>
      </c>
      <c r="R7469" s="23" t="s">
        <v>109</v>
      </c>
      <c r="U7469">
        <v>22</v>
      </c>
      <c r="V7469" t="e">
        <f>VLOOKUP(Tabla3[[#This Row],[Nº]],[1]!NOMINA[#Data],4,FALSE)</f>
        <v>#REF!</v>
      </c>
      <c r="W7469" t="e">
        <f>VLOOKUP(U7469,[1]!NOMINA[#Data],5,FALSE)</f>
        <v>#REF!</v>
      </c>
    </row>
    <row r="7470" spans="1:23" x14ac:dyDescent="0.25">
      <c r="A7470" s="21">
        <v>45897</v>
      </c>
      <c r="B7470" s="1">
        <v>17464365</v>
      </c>
      <c r="C7470" t="s">
        <v>13202</v>
      </c>
      <c r="D7470" s="43">
        <v>-5774.8</v>
      </c>
      <c r="E7470" t="s">
        <v>35</v>
      </c>
      <c r="F7470" s="2">
        <v>212901001</v>
      </c>
      <c r="G7470" s="2" t="s">
        <v>121</v>
      </c>
      <c r="L7470" s="2" t="s">
        <v>13203</v>
      </c>
      <c r="M7470" t="s">
        <v>67</v>
      </c>
      <c r="N7470" t="s">
        <v>68</v>
      </c>
      <c r="P7470" s="23">
        <v>145.75</v>
      </c>
      <c r="Q7470" s="4">
        <f t="shared" si="116"/>
        <v>-39.621269296740998</v>
      </c>
      <c r="R7470" s="23" t="s">
        <v>109</v>
      </c>
      <c r="U7470">
        <v>23</v>
      </c>
      <c r="V7470" t="e">
        <f>VLOOKUP(Tabla3[[#This Row],[Nº]],[1]!NOMINA[#Data],4,FALSE)</f>
        <v>#REF!</v>
      </c>
      <c r="W7470" t="e">
        <f>VLOOKUP(U7470,[1]!NOMINA[#Data],5,FALSE)</f>
        <v>#REF!</v>
      </c>
    </row>
    <row r="7471" spans="1:23" x14ac:dyDescent="0.25">
      <c r="A7471" s="21">
        <v>45897</v>
      </c>
      <c r="B7471" s="1">
        <v>17464368</v>
      </c>
      <c r="C7471" t="s">
        <v>13204</v>
      </c>
      <c r="D7471" s="43">
        <v>-5774.8</v>
      </c>
      <c r="E7471" t="s">
        <v>35</v>
      </c>
      <c r="F7471" s="2">
        <v>212901001</v>
      </c>
      <c r="G7471" s="2" t="s">
        <v>121</v>
      </c>
      <c r="L7471" s="2" t="s">
        <v>13205</v>
      </c>
      <c r="M7471" t="s">
        <v>67</v>
      </c>
      <c r="N7471" t="s">
        <v>68</v>
      </c>
      <c r="P7471" s="23">
        <v>145.75</v>
      </c>
      <c r="Q7471" s="4">
        <f t="shared" si="116"/>
        <v>-39.621269296740998</v>
      </c>
      <c r="R7471" s="23" t="s">
        <v>109</v>
      </c>
      <c r="U7471">
        <v>19</v>
      </c>
      <c r="V7471" t="e">
        <f>VLOOKUP(Tabla3[[#This Row],[Nº]],[1]!NOMINA[#Data],4,FALSE)</f>
        <v>#REF!</v>
      </c>
      <c r="W7471" t="e">
        <f>VLOOKUP(U7471,[1]!NOMINA[#Data],5,FALSE)</f>
        <v>#REF!</v>
      </c>
    </row>
    <row r="7472" spans="1:23" x14ac:dyDescent="0.25">
      <c r="A7472" s="21">
        <v>45897</v>
      </c>
      <c r="B7472" s="1">
        <v>17464366</v>
      </c>
      <c r="C7472" t="s">
        <v>13206</v>
      </c>
      <c r="D7472" s="43">
        <v>-5774.8</v>
      </c>
      <c r="E7472" t="s">
        <v>35</v>
      </c>
      <c r="F7472" s="2">
        <v>212901001</v>
      </c>
      <c r="G7472" s="2" t="s">
        <v>121</v>
      </c>
      <c r="L7472" s="2" t="s">
        <v>13207</v>
      </c>
      <c r="M7472" t="s">
        <v>67</v>
      </c>
      <c r="N7472" t="s">
        <v>68</v>
      </c>
      <c r="P7472" s="23">
        <v>145.75</v>
      </c>
      <c r="Q7472" s="4">
        <f t="shared" si="116"/>
        <v>-39.621269296740998</v>
      </c>
      <c r="R7472" s="23" t="s">
        <v>109</v>
      </c>
      <c r="U7472">
        <v>17</v>
      </c>
      <c r="V7472" t="e">
        <f>VLOOKUP(Tabla3[[#This Row],[Nº]],[1]!NOMINA[#Data],4,FALSE)</f>
        <v>#REF!</v>
      </c>
      <c r="W7472" t="e">
        <f>VLOOKUP(U7472,[1]!NOMINA[#Data],5,FALSE)</f>
        <v>#REF!</v>
      </c>
    </row>
    <row r="7473" spans="1:23" x14ac:dyDescent="0.25">
      <c r="A7473" s="21">
        <v>45897</v>
      </c>
      <c r="B7473" s="1">
        <v>17464367</v>
      </c>
      <c r="C7473" t="s">
        <v>13208</v>
      </c>
      <c r="D7473" s="43">
        <v>-5774.8</v>
      </c>
      <c r="E7473" t="s">
        <v>35</v>
      </c>
      <c r="F7473" s="2">
        <v>212901001</v>
      </c>
      <c r="G7473" s="2" t="s">
        <v>121</v>
      </c>
      <c r="L7473" s="2" t="s">
        <v>13209</v>
      </c>
      <c r="M7473" t="s">
        <v>67</v>
      </c>
      <c r="N7473" t="s">
        <v>68</v>
      </c>
      <c r="P7473" s="23">
        <v>145.75</v>
      </c>
      <c r="Q7473" s="4">
        <f t="shared" si="116"/>
        <v>-39.621269296740998</v>
      </c>
      <c r="R7473" s="23" t="s">
        <v>109</v>
      </c>
      <c r="U7473">
        <v>15</v>
      </c>
      <c r="V7473" t="e">
        <f>VLOOKUP(Tabla3[[#This Row],[Nº]],[1]!NOMINA[#Data],4,FALSE)</f>
        <v>#REF!</v>
      </c>
      <c r="W7473" t="e">
        <f>VLOOKUP(U7473,[1]!NOMINA[#Data],5,FALSE)</f>
        <v>#REF!</v>
      </c>
    </row>
    <row r="7474" spans="1:23" x14ac:dyDescent="0.25">
      <c r="A7474" s="21">
        <v>45897</v>
      </c>
      <c r="B7474" s="1">
        <v>117464371</v>
      </c>
      <c r="C7474" t="s">
        <v>13210</v>
      </c>
      <c r="D7474" s="43">
        <v>-5774.8</v>
      </c>
      <c r="E7474" t="s">
        <v>35</v>
      </c>
      <c r="F7474" s="2">
        <v>212901001</v>
      </c>
      <c r="G7474" s="2" t="s">
        <v>121</v>
      </c>
      <c r="L7474" s="2" t="s">
        <v>13211</v>
      </c>
      <c r="M7474" t="s">
        <v>67</v>
      </c>
      <c r="N7474" t="s">
        <v>68</v>
      </c>
      <c r="P7474" s="23">
        <v>145.75</v>
      </c>
      <c r="Q7474" s="4">
        <f t="shared" si="116"/>
        <v>-39.621269296740998</v>
      </c>
      <c r="R7474" s="23" t="s">
        <v>109</v>
      </c>
      <c r="U7474">
        <v>14</v>
      </c>
      <c r="V7474" t="e">
        <f>VLOOKUP(Tabla3[[#This Row],[Nº]],[1]!NOMINA[#Data],4,FALSE)</f>
        <v>#REF!</v>
      </c>
      <c r="W7474" t="e">
        <f>VLOOKUP(U7474,[1]!NOMINA[#Data],5,FALSE)</f>
        <v>#REF!</v>
      </c>
    </row>
    <row r="7475" spans="1:23" x14ac:dyDescent="0.25">
      <c r="A7475" s="21">
        <v>45897</v>
      </c>
      <c r="B7475" s="1">
        <v>117464372</v>
      </c>
      <c r="C7475" t="s">
        <v>13212</v>
      </c>
      <c r="D7475" s="43">
        <v>-5774.8</v>
      </c>
      <c r="E7475" t="s">
        <v>35</v>
      </c>
      <c r="F7475" s="2">
        <v>212901001</v>
      </c>
      <c r="G7475" s="2" t="s">
        <v>121</v>
      </c>
      <c r="L7475" s="2" t="s">
        <v>13213</v>
      </c>
      <c r="M7475" t="s">
        <v>67</v>
      </c>
      <c r="N7475" t="s">
        <v>68</v>
      </c>
      <c r="P7475" s="23">
        <v>145.75</v>
      </c>
      <c r="Q7475" s="4">
        <f t="shared" si="116"/>
        <v>-39.621269296740998</v>
      </c>
      <c r="R7475" s="23" t="s">
        <v>109</v>
      </c>
      <c r="U7475">
        <v>26</v>
      </c>
      <c r="V7475" t="e">
        <f>VLOOKUP(Tabla3[[#This Row],[Nº]],[1]!NOMINA[#Data],4,FALSE)</f>
        <v>#REF!</v>
      </c>
      <c r="W7475" t="e">
        <f>VLOOKUP(Tabla3[[#This Row],[Nº]],[1]!NOMINA[#Data],5,FALSE)</f>
        <v>#REF!</v>
      </c>
    </row>
    <row r="7476" spans="1:23" x14ac:dyDescent="0.25">
      <c r="A7476" s="21">
        <v>45897</v>
      </c>
      <c r="B7476" s="1">
        <v>117464374</v>
      </c>
      <c r="C7476" t="s">
        <v>13214</v>
      </c>
      <c r="D7476" s="43">
        <v>-5774.8</v>
      </c>
      <c r="E7476" t="s">
        <v>35</v>
      </c>
      <c r="F7476" s="2">
        <v>212901001</v>
      </c>
      <c r="G7476" s="2" t="s">
        <v>121</v>
      </c>
      <c r="L7476" s="2" t="s">
        <v>13215</v>
      </c>
      <c r="M7476" t="s">
        <v>67</v>
      </c>
      <c r="N7476" t="s">
        <v>68</v>
      </c>
      <c r="P7476" s="23">
        <v>145.75</v>
      </c>
      <c r="Q7476" s="4">
        <f t="shared" si="116"/>
        <v>-39.621269296740998</v>
      </c>
      <c r="R7476" s="23" t="s">
        <v>109</v>
      </c>
      <c r="U7476">
        <v>8</v>
      </c>
      <c r="V7476" t="e">
        <f>VLOOKUP(Tabla3[[#This Row],[Nº]],[1]!NOMINA[#Data],4,FALSE)</f>
        <v>#REF!</v>
      </c>
      <c r="W7476" t="e">
        <f>VLOOKUP(U7476,[1]!NOMINA[#Data],5,FALSE)</f>
        <v>#REF!</v>
      </c>
    </row>
    <row r="7477" spans="1:23" x14ac:dyDescent="0.25">
      <c r="A7477" s="21">
        <v>45897</v>
      </c>
      <c r="B7477" s="1">
        <v>117464370</v>
      </c>
      <c r="C7477" t="s">
        <v>13216</v>
      </c>
      <c r="D7477" s="43">
        <v>-5774.8</v>
      </c>
      <c r="E7477" t="s">
        <v>35</v>
      </c>
      <c r="F7477" s="2">
        <v>212901001</v>
      </c>
      <c r="G7477" s="2" t="s">
        <v>121</v>
      </c>
      <c r="L7477" s="2" t="s">
        <v>13217</v>
      </c>
      <c r="M7477" t="s">
        <v>67</v>
      </c>
      <c r="N7477" t="s">
        <v>68</v>
      </c>
      <c r="P7477" s="23">
        <v>145.75</v>
      </c>
      <c r="Q7477" s="4">
        <f t="shared" si="116"/>
        <v>-39.621269296740998</v>
      </c>
      <c r="R7477" s="23" t="s">
        <v>109</v>
      </c>
      <c r="U7477">
        <v>13</v>
      </c>
      <c r="V7477" t="e">
        <f>VLOOKUP(Tabla3[[#This Row],[Nº]],[1]!NOMINA[#Data],4,FALSE)</f>
        <v>#REF!</v>
      </c>
      <c r="W7477" t="e">
        <f>VLOOKUP(U7477,[1]!NOMINA[#Data],5,FALSE)</f>
        <v>#REF!</v>
      </c>
    </row>
    <row r="7478" spans="1:23" x14ac:dyDescent="0.25">
      <c r="A7478" s="21">
        <v>45897</v>
      </c>
      <c r="B7478" s="1">
        <v>117464375</v>
      </c>
      <c r="C7478" t="s">
        <v>13218</v>
      </c>
      <c r="D7478" s="43">
        <v>-5774.8</v>
      </c>
      <c r="E7478" t="s">
        <v>35</v>
      </c>
      <c r="F7478" s="2">
        <v>212901001</v>
      </c>
      <c r="G7478" s="2" t="s">
        <v>121</v>
      </c>
      <c r="L7478" s="2" t="s">
        <v>13219</v>
      </c>
      <c r="M7478" t="s">
        <v>67</v>
      </c>
      <c r="N7478" t="s">
        <v>68</v>
      </c>
      <c r="P7478" s="23">
        <v>145.75</v>
      </c>
      <c r="Q7478" s="4">
        <f t="shared" si="116"/>
        <v>-39.621269296740998</v>
      </c>
      <c r="R7478" s="23" t="s">
        <v>109</v>
      </c>
      <c r="U7478">
        <v>1</v>
      </c>
      <c r="V7478" t="e">
        <f>VLOOKUP(U7478,[1]!NOMINA[#Data],4,FALSE)</f>
        <v>#REF!</v>
      </c>
      <c r="W7478" t="e">
        <f>VLOOKUP(U7478,[1]!NOMINA[#Data],5,FALSE)</f>
        <v>#REF!</v>
      </c>
    </row>
    <row r="7479" spans="1:23" x14ac:dyDescent="0.25">
      <c r="A7479" s="21">
        <v>45897</v>
      </c>
      <c r="B7479" s="1">
        <v>117464376</v>
      </c>
      <c r="C7479" t="s">
        <v>13220</v>
      </c>
      <c r="D7479" s="43">
        <v>-5774.8</v>
      </c>
      <c r="E7479" t="s">
        <v>35</v>
      </c>
      <c r="F7479" s="2">
        <v>212901001</v>
      </c>
      <c r="G7479" s="2" t="s">
        <v>121</v>
      </c>
      <c r="L7479" s="2" t="s">
        <v>13221</v>
      </c>
      <c r="M7479" t="s">
        <v>67</v>
      </c>
      <c r="N7479" t="s">
        <v>68</v>
      </c>
      <c r="P7479" s="23">
        <v>145.75</v>
      </c>
      <c r="Q7479" s="4">
        <f t="shared" si="116"/>
        <v>-39.621269296740998</v>
      </c>
      <c r="R7479" s="23" t="s">
        <v>109</v>
      </c>
      <c r="U7479">
        <v>20</v>
      </c>
      <c r="V7479" t="e">
        <f>VLOOKUP(Tabla3[[#This Row],[Nº]],[1]!NOMINA[#Data],4,FALSE)</f>
        <v>#REF!</v>
      </c>
      <c r="W7479" t="e">
        <f>VLOOKUP(U7479,[1]!NOMINA[#Data],5,FALSE)</f>
        <v>#REF!</v>
      </c>
    </row>
    <row r="7480" spans="1:23" x14ac:dyDescent="0.25">
      <c r="A7480" s="21">
        <v>45897</v>
      </c>
      <c r="B7480" s="1">
        <v>117464377</v>
      </c>
      <c r="C7480" t="s">
        <v>13222</v>
      </c>
      <c r="D7480" s="43">
        <v>-5774.8</v>
      </c>
      <c r="E7480" t="s">
        <v>35</v>
      </c>
      <c r="F7480" s="2">
        <v>212901001</v>
      </c>
      <c r="G7480" s="2" t="s">
        <v>121</v>
      </c>
      <c r="L7480" s="2" t="s">
        <v>13223</v>
      </c>
      <c r="M7480" t="s">
        <v>67</v>
      </c>
      <c r="N7480" t="s">
        <v>68</v>
      </c>
      <c r="P7480" s="23">
        <v>145.75</v>
      </c>
      <c r="Q7480" s="4">
        <f t="shared" si="116"/>
        <v>-39.621269296740998</v>
      </c>
      <c r="R7480" s="23" t="s">
        <v>109</v>
      </c>
      <c r="U7480">
        <v>12</v>
      </c>
      <c r="V7480" t="e">
        <f>VLOOKUP(Tabla3[[#This Row],[Nº]],[1]!NOMINA[#Data],4,FALSE)</f>
        <v>#REF!</v>
      </c>
      <c r="W7480" t="e">
        <f>VLOOKUP(U7480,[1]!NOMINA[#Data],5,FALSE)</f>
        <v>#REF!</v>
      </c>
    </row>
    <row r="7481" spans="1:23" x14ac:dyDescent="0.25">
      <c r="A7481" s="21">
        <v>45897</v>
      </c>
      <c r="B7481" s="1">
        <v>117464379</v>
      </c>
      <c r="C7481" t="s">
        <v>13224</v>
      </c>
      <c r="D7481" s="43">
        <v>-5774.8</v>
      </c>
      <c r="E7481" t="s">
        <v>35</v>
      </c>
      <c r="F7481" s="2">
        <v>212901001</v>
      </c>
      <c r="G7481" s="2" t="s">
        <v>121</v>
      </c>
      <c r="L7481" s="2" t="s">
        <v>13225</v>
      </c>
      <c r="M7481" t="s">
        <v>67</v>
      </c>
      <c r="N7481" t="s">
        <v>68</v>
      </c>
      <c r="P7481" s="23">
        <v>145.75</v>
      </c>
      <c r="Q7481" s="4">
        <f t="shared" si="116"/>
        <v>-39.621269296740998</v>
      </c>
      <c r="R7481" s="23" t="s">
        <v>109</v>
      </c>
      <c r="U7481">
        <v>4</v>
      </c>
      <c r="V7481" t="s">
        <v>12595</v>
      </c>
      <c r="W7481" t="e">
        <f>VLOOKUP(U7481,[1]!NOMINA[#Data],5,FALSE)</f>
        <v>#REF!</v>
      </c>
    </row>
    <row r="7482" spans="1:23" x14ac:dyDescent="0.25">
      <c r="A7482" s="21">
        <v>45897</v>
      </c>
      <c r="B7482" s="1">
        <v>217464382</v>
      </c>
      <c r="C7482" t="s">
        <v>13226</v>
      </c>
      <c r="D7482" s="43">
        <v>-5774.8</v>
      </c>
      <c r="E7482" t="s">
        <v>35</v>
      </c>
      <c r="F7482" s="2">
        <v>212901001</v>
      </c>
      <c r="G7482" s="2" t="s">
        <v>121</v>
      </c>
      <c r="L7482" s="2" t="s">
        <v>13227</v>
      </c>
      <c r="M7482" t="s">
        <v>67</v>
      </c>
      <c r="N7482" t="s">
        <v>68</v>
      </c>
      <c r="P7482" s="23">
        <v>145.75</v>
      </c>
      <c r="Q7482" s="4">
        <f t="shared" si="116"/>
        <v>-39.621269296740998</v>
      </c>
      <c r="R7482" s="23" t="s">
        <v>109</v>
      </c>
      <c r="U7482">
        <v>33</v>
      </c>
      <c r="V7482" t="e">
        <f>VLOOKUP(U7482,[1]!NOMINA[#Data],4,FALSE)</f>
        <v>#REF!</v>
      </c>
      <c r="W7482" t="e">
        <f>VLOOKUP(U7482,[1]!NOMINA[#Data],5,FALSE)</f>
        <v>#REF!</v>
      </c>
    </row>
    <row r="7483" spans="1:23" x14ac:dyDescent="0.25">
      <c r="A7483" s="21">
        <v>45897</v>
      </c>
      <c r="B7483" s="1">
        <v>217464380</v>
      </c>
      <c r="C7483" t="s">
        <v>13228</v>
      </c>
      <c r="D7483" s="43">
        <v>-5774.8</v>
      </c>
      <c r="E7483" t="s">
        <v>35</v>
      </c>
      <c r="F7483" s="2">
        <v>212901001</v>
      </c>
      <c r="G7483" s="2" t="s">
        <v>121</v>
      </c>
      <c r="L7483" s="2" t="s">
        <v>13229</v>
      </c>
      <c r="M7483" t="s">
        <v>67</v>
      </c>
      <c r="N7483" t="s">
        <v>68</v>
      </c>
      <c r="P7483" s="23">
        <v>145.75</v>
      </c>
      <c r="Q7483" s="4">
        <f t="shared" si="116"/>
        <v>-39.621269296740998</v>
      </c>
      <c r="R7483" s="23" t="s">
        <v>109</v>
      </c>
      <c r="U7483">
        <v>34</v>
      </c>
      <c r="V7483" t="e">
        <f>VLOOKUP(U7483,[1]!NOMINA[#Data],4,FALSE)</f>
        <v>#REF!</v>
      </c>
      <c r="W7483" t="e">
        <f>VLOOKUP(U7483,[1]!NOMINA[#Data],5,FALSE)</f>
        <v>#REF!</v>
      </c>
    </row>
    <row r="7484" spans="1:23" x14ac:dyDescent="0.25">
      <c r="A7484" s="21">
        <v>45897</v>
      </c>
      <c r="B7484" s="1">
        <v>117464378</v>
      </c>
      <c r="C7484" t="s">
        <v>13230</v>
      </c>
      <c r="D7484" s="43">
        <v>-5774.8</v>
      </c>
      <c r="E7484" t="s">
        <v>35</v>
      </c>
      <c r="F7484" s="2">
        <v>212901001</v>
      </c>
      <c r="G7484" s="2" t="s">
        <v>121</v>
      </c>
      <c r="L7484" s="2" t="s">
        <v>13231</v>
      </c>
      <c r="M7484" t="s">
        <v>67</v>
      </c>
      <c r="N7484" t="s">
        <v>68</v>
      </c>
      <c r="P7484" s="23">
        <v>145.75</v>
      </c>
      <c r="Q7484" s="4">
        <f t="shared" si="116"/>
        <v>-39.621269296740998</v>
      </c>
      <c r="R7484" s="23" t="s">
        <v>109</v>
      </c>
      <c r="U7484">
        <v>16</v>
      </c>
      <c r="V7484" t="e">
        <f>VLOOKUP(Tabla3[[#This Row],[Nº]],[1]!NOMINA[#Data],4,FALSE)</f>
        <v>#REF!</v>
      </c>
      <c r="W7484" t="e">
        <f>VLOOKUP(Tabla3[[#This Row],[Nº]],[1]!NOMINA[#Data],5,FALSE)</f>
        <v>#REF!</v>
      </c>
    </row>
    <row r="7485" spans="1:23" x14ac:dyDescent="0.25">
      <c r="A7485" s="21">
        <v>45897</v>
      </c>
      <c r="B7485" s="1">
        <v>217464385</v>
      </c>
      <c r="C7485" t="s">
        <v>13232</v>
      </c>
      <c r="D7485" s="43">
        <v>-5774.8</v>
      </c>
      <c r="E7485" t="s">
        <v>35</v>
      </c>
      <c r="F7485" s="2">
        <v>212901001</v>
      </c>
      <c r="G7485" s="2" t="s">
        <v>121</v>
      </c>
      <c r="L7485" s="2" t="s">
        <v>13233</v>
      </c>
      <c r="M7485" t="s">
        <v>67</v>
      </c>
      <c r="N7485" t="s">
        <v>68</v>
      </c>
      <c r="P7485" s="23">
        <v>145.75</v>
      </c>
      <c r="Q7485" s="4">
        <f t="shared" si="116"/>
        <v>-39.621269296740998</v>
      </c>
      <c r="R7485" s="23" t="s">
        <v>109</v>
      </c>
      <c r="U7485">
        <v>6</v>
      </c>
      <c r="V7485" t="e">
        <f>VLOOKUP(Tabla3[[#This Row],[Nº]],[1]!NOMINA[#Data],4,FALSE)</f>
        <v>#REF!</v>
      </c>
      <c r="W7485" t="e">
        <f>VLOOKUP(U7485,[1]!NOMINA[#Data],5,FALSE)</f>
        <v>#REF!</v>
      </c>
    </row>
    <row r="7486" spans="1:23" x14ac:dyDescent="0.25">
      <c r="A7486" s="21">
        <v>45897</v>
      </c>
      <c r="B7486" s="1">
        <v>217464383</v>
      </c>
      <c r="C7486" t="s">
        <v>13234</v>
      </c>
      <c r="D7486" s="43">
        <v>-5774.8</v>
      </c>
      <c r="E7486" t="s">
        <v>35</v>
      </c>
      <c r="F7486" s="2">
        <v>212901001</v>
      </c>
      <c r="G7486" s="2" t="s">
        <v>121</v>
      </c>
      <c r="L7486" s="2" t="s">
        <v>13235</v>
      </c>
      <c r="M7486" t="s">
        <v>67</v>
      </c>
      <c r="N7486" t="s">
        <v>68</v>
      </c>
      <c r="P7486" s="23">
        <v>145.75</v>
      </c>
      <c r="Q7486" s="4">
        <f t="shared" si="116"/>
        <v>-39.621269296740998</v>
      </c>
      <c r="R7486" s="23" t="s">
        <v>109</v>
      </c>
      <c r="U7486">
        <v>3</v>
      </c>
      <c r="V7486" t="s">
        <v>12595</v>
      </c>
      <c r="W7486" t="e">
        <f>VLOOKUP(U7486,[1]!NOMINA[#Data],5,FALSE)</f>
        <v>#REF!</v>
      </c>
    </row>
    <row r="7487" spans="1:23" x14ac:dyDescent="0.25">
      <c r="A7487" s="21">
        <v>45897</v>
      </c>
      <c r="B7487" s="1">
        <v>217464384</v>
      </c>
      <c r="C7487" t="s">
        <v>13236</v>
      </c>
      <c r="D7487" s="43">
        <v>-5774.8</v>
      </c>
      <c r="E7487" t="s">
        <v>35</v>
      </c>
      <c r="F7487" s="2">
        <v>212901001</v>
      </c>
      <c r="G7487" s="2" t="s">
        <v>121</v>
      </c>
      <c r="L7487" s="2" t="s">
        <v>13237</v>
      </c>
      <c r="M7487" t="s">
        <v>67</v>
      </c>
      <c r="N7487" t="s">
        <v>68</v>
      </c>
      <c r="P7487" s="23">
        <v>145.75</v>
      </c>
      <c r="Q7487" s="4">
        <f t="shared" si="116"/>
        <v>-39.621269296740998</v>
      </c>
      <c r="R7487" s="23" t="s">
        <v>109</v>
      </c>
      <c r="U7487">
        <v>24</v>
      </c>
      <c r="V7487" t="e">
        <f>VLOOKUP(Tabla3[[#This Row],[Nº]],[1]!NOMINA[#Data],4,FALSE)</f>
        <v>#REF!</v>
      </c>
      <c r="W7487" t="e">
        <f>VLOOKUP(U7487,[1]!NOMINA[#Data],5,FALSE)</f>
        <v>#REF!</v>
      </c>
    </row>
    <row r="7488" spans="1:23" x14ac:dyDescent="0.25">
      <c r="A7488" s="21">
        <v>45897</v>
      </c>
      <c r="B7488" s="1">
        <v>217464387</v>
      </c>
      <c r="C7488" t="s">
        <v>13238</v>
      </c>
      <c r="D7488" s="43">
        <v>-5774.8</v>
      </c>
      <c r="E7488" t="s">
        <v>35</v>
      </c>
      <c r="F7488" s="2">
        <v>212901001</v>
      </c>
      <c r="G7488" s="2" t="s">
        <v>121</v>
      </c>
      <c r="L7488" s="2" t="s">
        <v>13239</v>
      </c>
      <c r="M7488" t="s">
        <v>67</v>
      </c>
      <c r="N7488" t="s">
        <v>68</v>
      </c>
      <c r="P7488" s="23">
        <v>145.75</v>
      </c>
      <c r="Q7488" s="4">
        <f t="shared" si="116"/>
        <v>-39.621269296740998</v>
      </c>
      <c r="R7488" s="23" t="s">
        <v>109</v>
      </c>
      <c r="U7488">
        <v>5</v>
      </c>
      <c r="V7488" t="s">
        <v>12595</v>
      </c>
      <c r="W7488" t="e">
        <f>VLOOKUP(U7488,[1]!NOMINA[#Data],5,FALSE)</f>
        <v>#REF!</v>
      </c>
    </row>
    <row r="7489" spans="1:23" x14ac:dyDescent="0.25">
      <c r="A7489" s="21">
        <v>45897</v>
      </c>
      <c r="B7489" s="1">
        <v>217464388</v>
      </c>
      <c r="C7489" t="s">
        <v>13240</v>
      </c>
      <c r="D7489" s="43">
        <v>-5774.8</v>
      </c>
      <c r="E7489" t="s">
        <v>35</v>
      </c>
      <c r="F7489" s="2">
        <v>212901001</v>
      </c>
      <c r="G7489" s="2" t="s">
        <v>121</v>
      </c>
      <c r="L7489" s="2" t="s">
        <v>13241</v>
      </c>
      <c r="M7489" t="s">
        <v>67</v>
      </c>
      <c r="N7489" t="s">
        <v>68</v>
      </c>
      <c r="P7489" s="23">
        <v>145.75</v>
      </c>
      <c r="Q7489" s="4">
        <f t="shared" si="116"/>
        <v>-39.621269296740998</v>
      </c>
      <c r="R7489" s="23" t="s">
        <v>109</v>
      </c>
      <c r="U7489">
        <v>32</v>
      </c>
      <c r="V7489" t="e">
        <f>VLOOKUP(Tabla3[[#This Row],[Nº]],[1]!NOMINA[#Data],4,FALSE)</f>
        <v>#REF!</v>
      </c>
      <c r="W7489" t="e">
        <f>VLOOKUP(U7489,[1]!NOMINA[#Data],5,FALSE)</f>
        <v>#REF!</v>
      </c>
    </row>
    <row r="7490" spans="1:23" x14ac:dyDescent="0.25">
      <c r="A7490" s="21">
        <v>45897</v>
      </c>
      <c r="B7490" s="1">
        <v>217464386</v>
      </c>
      <c r="C7490" t="s">
        <v>13242</v>
      </c>
      <c r="D7490" s="43">
        <v>-5774.8</v>
      </c>
      <c r="E7490" t="s">
        <v>35</v>
      </c>
      <c r="F7490" s="2">
        <v>212901001</v>
      </c>
      <c r="G7490" s="2" t="s">
        <v>121</v>
      </c>
      <c r="L7490" s="2" t="s">
        <v>13243</v>
      </c>
      <c r="M7490" t="s">
        <v>67</v>
      </c>
      <c r="N7490" t="s">
        <v>68</v>
      </c>
      <c r="P7490" s="23">
        <v>145.75</v>
      </c>
      <c r="Q7490" s="4">
        <f t="shared" si="116"/>
        <v>-39.621269296740998</v>
      </c>
      <c r="R7490" s="23" t="s">
        <v>109</v>
      </c>
      <c r="U7490">
        <v>30</v>
      </c>
      <c r="V7490" t="e">
        <f>VLOOKUP(Tabla3[[#This Row],[Nº]],[1]!NOMINA[#Data],4,FALSE)</f>
        <v>#REF!</v>
      </c>
      <c r="W7490" t="e">
        <f>VLOOKUP(U7490,[1]!NOMINA[#Data],5,FALSE)</f>
        <v>#REF!</v>
      </c>
    </row>
    <row r="7491" spans="1:23" x14ac:dyDescent="0.25">
      <c r="A7491" s="21">
        <v>45897</v>
      </c>
      <c r="B7491" s="1">
        <v>317464390</v>
      </c>
      <c r="C7491" t="s">
        <v>13244</v>
      </c>
      <c r="D7491" s="43">
        <v>-5774.8</v>
      </c>
      <c r="E7491" t="s">
        <v>35</v>
      </c>
      <c r="F7491" s="2">
        <v>212901001</v>
      </c>
      <c r="G7491" s="2" t="s">
        <v>121</v>
      </c>
      <c r="L7491" s="2" t="s">
        <v>13245</v>
      </c>
      <c r="M7491" t="s">
        <v>67</v>
      </c>
      <c r="N7491" t="s">
        <v>68</v>
      </c>
      <c r="P7491" s="23">
        <v>145.75</v>
      </c>
      <c r="Q7491" s="4">
        <f t="shared" si="116"/>
        <v>-39.621269296740998</v>
      </c>
      <c r="R7491" s="23" t="s">
        <v>109</v>
      </c>
      <c r="U7491">
        <v>27</v>
      </c>
      <c r="V7491" t="e">
        <f>VLOOKUP(Tabla3[[#This Row],[Nº]],[1]!NOMINA[#Data],4,FALSE)</f>
        <v>#REF!</v>
      </c>
      <c r="W7491" t="e">
        <f>VLOOKUP(U7491,[1]!NOMINA[#Data],5,FALSE)</f>
        <v>#REF!</v>
      </c>
    </row>
    <row r="7492" spans="1:23" x14ac:dyDescent="0.25">
      <c r="A7492" s="21">
        <v>45897</v>
      </c>
      <c r="B7492" s="1">
        <v>217464389</v>
      </c>
      <c r="C7492" t="s">
        <v>13246</v>
      </c>
      <c r="D7492" s="43">
        <v>-5774.8</v>
      </c>
      <c r="E7492" t="s">
        <v>35</v>
      </c>
      <c r="F7492" s="2">
        <v>212901001</v>
      </c>
      <c r="G7492" s="2" t="s">
        <v>121</v>
      </c>
      <c r="L7492" s="2" t="s">
        <v>13247</v>
      </c>
      <c r="M7492" t="s">
        <v>67</v>
      </c>
      <c r="N7492" t="s">
        <v>68</v>
      </c>
      <c r="P7492" s="23">
        <v>145.75</v>
      </c>
      <c r="Q7492" s="4">
        <f t="shared" si="116"/>
        <v>-39.621269296740998</v>
      </c>
      <c r="R7492" s="23" t="s">
        <v>109</v>
      </c>
      <c r="U7492">
        <v>21</v>
      </c>
      <c r="V7492" t="e">
        <f>VLOOKUP(Tabla3[[#This Row],[Nº]],[1]!NOMINA[#Data],4,FALSE)</f>
        <v>#REF!</v>
      </c>
      <c r="W7492" t="e">
        <f>VLOOKUP(U7492,[1]!NOMINA[#Data],5,FALSE)</f>
        <v>#REF!</v>
      </c>
    </row>
    <row r="7493" spans="1:23" x14ac:dyDescent="0.25">
      <c r="A7493" s="21">
        <v>45897</v>
      </c>
      <c r="B7493" s="1">
        <v>317464395</v>
      </c>
      <c r="C7493" t="s">
        <v>13248</v>
      </c>
      <c r="D7493" s="43">
        <v>-5774.8</v>
      </c>
      <c r="E7493" t="s">
        <v>35</v>
      </c>
      <c r="F7493" s="2">
        <v>212901001</v>
      </c>
      <c r="G7493" s="2" t="s">
        <v>121</v>
      </c>
      <c r="L7493" s="2" t="s">
        <v>13249</v>
      </c>
      <c r="M7493" t="s">
        <v>67</v>
      </c>
      <c r="N7493" t="s">
        <v>68</v>
      </c>
      <c r="P7493" s="23">
        <v>145.75</v>
      </c>
      <c r="Q7493" s="4">
        <f t="shared" si="116"/>
        <v>-39.621269296740998</v>
      </c>
      <c r="R7493" s="23" t="s">
        <v>109</v>
      </c>
      <c r="U7493">
        <v>7</v>
      </c>
      <c r="V7493" t="e">
        <f>VLOOKUP(Tabla3[[#This Row],[Nº]],[1]!NOMINA[#Data],4,FALSE)</f>
        <v>#REF!</v>
      </c>
      <c r="W7493" t="e">
        <f>VLOOKUP(U7493,[1]!NOMINA[#Data],5,FALSE)</f>
        <v>#REF!</v>
      </c>
    </row>
    <row r="7494" spans="1:23" x14ac:dyDescent="0.25">
      <c r="A7494" s="21">
        <v>45897</v>
      </c>
      <c r="B7494" s="1">
        <v>317464391</v>
      </c>
      <c r="C7494" t="s">
        <v>13250</v>
      </c>
      <c r="D7494" s="43">
        <v>-5774.8</v>
      </c>
      <c r="E7494" t="s">
        <v>35</v>
      </c>
      <c r="F7494" s="2">
        <v>212901001</v>
      </c>
      <c r="G7494" s="2" t="s">
        <v>121</v>
      </c>
      <c r="L7494" s="2" t="s">
        <v>13251</v>
      </c>
      <c r="M7494" t="s">
        <v>67</v>
      </c>
      <c r="N7494" t="s">
        <v>68</v>
      </c>
      <c r="P7494" s="23">
        <v>145.75</v>
      </c>
      <c r="Q7494" s="4">
        <f t="shared" si="116"/>
        <v>-39.621269296740998</v>
      </c>
      <c r="R7494" s="23" t="s">
        <v>109</v>
      </c>
      <c r="U7494">
        <v>35</v>
      </c>
      <c r="V7494" t="e">
        <f>VLOOKUP(Tabla3[[#This Row],[Nº]],[1]!NOMINA[#Data],4,FALSE)</f>
        <v>#REF!</v>
      </c>
      <c r="W7494" t="e">
        <f>VLOOKUP(U7494,[1]!NOMINA[#Data],5,FALSE)</f>
        <v>#REF!</v>
      </c>
    </row>
    <row r="7495" spans="1:23" x14ac:dyDescent="0.25">
      <c r="A7495" s="21">
        <v>45897</v>
      </c>
      <c r="B7495" s="1">
        <v>317464397</v>
      </c>
      <c r="C7495" t="s">
        <v>13252</v>
      </c>
      <c r="D7495" s="43">
        <v>-5774.8</v>
      </c>
      <c r="E7495" t="s">
        <v>35</v>
      </c>
      <c r="F7495" s="2">
        <v>212901001</v>
      </c>
      <c r="G7495" s="2" t="s">
        <v>121</v>
      </c>
      <c r="L7495" s="2" t="s">
        <v>13253</v>
      </c>
      <c r="M7495" t="s">
        <v>67</v>
      </c>
      <c r="N7495" t="s">
        <v>68</v>
      </c>
      <c r="P7495" s="23">
        <v>145.75</v>
      </c>
      <c r="Q7495" s="4">
        <f t="shared" si="116"/>
        <v>-39.621269296740998</v>
      </c>
      <c r="R7495" s="23" t="s">
        <v>109</v>
      </c>
      <c r="U7495">
        <v>25</v>
      </c>
      <c r="V7495" t="e">
        <f>VLOOKUP(Tabla3[[#This Row],[Nº]],[1]!NOMINA[#Data],4,FALSE)</f>
        <v>#REF!</v>
      </c>
      <c r="W7495" t="e">
        <f>VLOOKUP(U7495,[1]!NOMINA[#Data],5,FALSE)</f>
        <v>#REF!</v>
      </c>
    </row>
    <row r="7496" spans="1:23" x14ac:dyDescent="0.25">
      <c r="A7496" s="21">
        <v>45897</v>
      </c>
      <c r="B7496" s="1">
        <v>317464393</v>
      </c>
      <c r="C7496" t="s">
        <v>13254</v>
      </c>
      <c r="D7496" s="43">
        <v>-5774.8</v>
      </c>
      <c r="E7496" t="s">
        <v>35</v>
      </c>
      <c r="F7496" s="2">
        <v>212901001</v>
      </c>
      <c r="G7496" s="2" t="s">
        <v>121</v>
      </c>
      <c r="L7496" s="2" t="s">
        <v>13255</v>
      </c>
      <c r="M7496" t="s">
        <v>67</v>
      </c>
      <c r="N7496" t="s">
        <v>68</v>
      </c>
      <c r="P7496" s="23">
        <v>145.75</v>
      </c>
      <c r="Q7496" s="4">
        <f t="shared" si="116"/>
        <v>-39.621269296740998</v>
      </c>
      <c r="R7496" s="23" t="s">
        <v>109</v>
      </c>
      <c r="U7496">
        <v>11</v>
      </c>
      <c r="V7496" t="e">
        <f>VLOOKUP(Tabla3[[#This Row],[Nº]],[1]!NOMINA[#Data],4,FALSE)</f>
        <v>#REF!</v>
      </c>
      <c r="W7496" t="e">
        <f>VLOOKUP(U7496,[1]!NOMINA[#Data],5,FALSE)</f>
        <v>#REF!</v>
      </c>
    </row>
    <row r="7497" spans="1:23" x14ac:dyDescent="0.25">
      <c r="A7497" s="21">
        <v>45897</v>
      </c>
      <c r="B7497" s="1">
        <v>317464396</v>
      </c>
      <c r="C7497" t="s">
        <v>13256</v>
      </c>
      <c r="D7497" s="43">
        <v>-5774.8</v>
      </c>
      <c r="E7497" t="s">
        <v>35</v>
      </c>
      <c r="F7497" s="2">
        <v>212901001</v>
      </c>
      <c r="G7497" s="2" t="s">
        <v>121</v>
      </c>
      <c r="L7497" s="2" t="s">
        <v>13257</v>
      </c>
      <c r="M7497" t="s">
        <v>67</v>
      </c>
      <c r="N7497" t="s">
        <v>68</v>
      </c>
      <c r="P7497" s="23">
        <v>145.75</v>
      </c>
      <c r="Q7497" s="4">
        <f t="shared" si="116"/>
        <v>-39.621269296740998</v>
      </c>
      <c r="R7497" s="23" t="s">
        <v>109</v>
      </c>
      <c r="U7497">
        <v>29</v>
      </c>
      <c r="V7497" t="e">
        <f>VLOOKUP(U7497,[1]!NOMINA[#Data],4,FALSE)</f>
        <v>#REF!</v>
      </c>
      <c r="W7497" t="e">
        <f>VLOOKUP(U7497,[1]!NOMINA[#Data],5,FALSE)</f>
        <v>#REF!</v>
      </c>
    </row>
    <row r="7498" spans="1:23" x14ac:dyDescent="0.25">
      <c r="A7498" s="21">
        <v>45897</v>
      </c>
      <c r="B7498" s="1">
        <v>317464400</v>
      </c>
      <c r="C7498" t="s">
        <v>13258</v>
      </c>
      <c r="D7498" s="43">
        <v>-5774.8</v>
      </c>
      <c r="E7498" t="s">
        <v>35</v>
      </c>
      <c r="F7498" s="2">
        <v>212901001</v>
      </c>
      <c r="G7498" s="2" t="s">
        <v>121</v>
      </c>
      <c r="L7498" s="2" t="s">
        <v>13259</v>
      </c>
      <c r="M7498" t="s">
        <v>67</v>
      </c>
      <c r="N7498" t="s">
        <v>68</v>
      </c>
      <c r="P7498" s="23">
        <v>145.75</v>
      </c>
      <c r="Q7498" s="4">
        <f t="shared" si="116"/>
        <v>-39.621269296740998</v>
      </c>
      <c r="R7498" s="23" t="s">
        <v>109</v>
      </c>
      <c r="U7498">
        <v>10</v>
      </c>
      <c r="V7498" t="e">
        <f>VLOOKUP(Tabla3[[#This Row],[Nº]],[1]!NOMINA[#Data],4,FALSE)</f>
        <v>#REF!</v>
      </c>
      <c r="W7498" t="e">
        <f>VLOOKUP(U7498,[1]!NOMINA[#Data],5,FALSE)</f>
        <v>#REF!</v>
      </c>
    </row>
    <row r="7499" spans="1:23" x14ac:dyDescent="0.25">
      <c r="A7499" s="21">
        <v>45897</v>
      </c>
      <c r="B7499" s="1">
        <v>317464399</v>
      </c>
      <c r="C7499" t="s">
        <v>13260</v>
      </c>
      <c r="D7499" s="43">
        <v>-5774.8</v>
      </c>
      <c r="E7499" t="s">
        <v>35</v>
      </c>
      <c r="F7499" s="2">
        <v>212901001</v>
      </c>
      <c r="G7499" s="2" t="s">
        <v>121</v>
      </c>
      <c r="L7499" s="2" t="s">
        <v>13261</v>
      </c>
      <c r="M7499" t="s">
        <v>67</v>
      </c>
      <c r="N7499" t="s">
        <v>68</v>
      </c>
      <c r="P7499" s="23">
        <v>145.75</v>
      </c>
      <c r="Q7499" s="4">
        <f t="shared" ref="Q7499:Q7562" si="117">D7499/P7499</f>
        <v>-39.621269296740998</v>
      </c>
      <c r="R7499" s="23" t="s">
        <v>109</v>
      </c>
      <c r="U7499">
        <v>9</v>
      </c>
      <c r="V7499" t="e">
        <f>VLOOKUP(Tabla3[[#This Row],[Nº]],[1]!NOMINA[#Data],4,FALSE)</f>
        <v>#REF!</v>
      </c>
      <c r="W7499" t="e">
        <f>VLOOKUP(U7499,[1]!NOMINA[#Data],5,FALSE)</f>
        <v>#REF!</v>
      </c>
    </row>
    <row r="7500" spans="1:23" x14ac:dyDescent="0.25">
      <c r="A7500" s="21">
        <v>45897</v>
      </c>
      <c r="B7500" s="1">
        <v>417464407</v>
      </c>
      <c r="C7500" t="s">
        <v>13262</v>
      </c>
      <c r="D7500" s="43">
        <v>-61.65</v>
      </c>
      <c r="E7500" t="s">
        <v>35</v>
      </c>
      <c r="F7500" s="2">
        <v>212901001</v>
      </c>
      <c r="G7500" s="2" t="s">
        <v>121</v>
      </c>
      <c r="L7500" s="2" t="s">
        <v>13263</v>
      </c>
      <c r="M7500" t="s">
        <v>67</v>
      </c>
      <c r="N7500" t="s">
        <v>68</v>
      </c>
      <c r="P7500" s="23">
        <v>145.75</v>
      </c>
      <c r="Q7500" s="4">
        <f t="shared" si="117"/>
        <v>-0.42298456260720413</v>
      </c>
      <c r="R7500" s="23" t="s">
        <v>109</v>
      </c>
      <c r="U7500">
        <v>2</v>
      </c>
      <c r="V7500" t="e">
        <f>VLOOKUP(Tabla3[[#This Row],[Nº]],[1]!NOMINA[#Data],4,FALSE)</f>
        <v>#REF!</v>
      </c>
      <c r="W7500" t="e">
        <f>VLOOKUP(Tabla3[[#This Row],[Nº]],[1]!NOMINA[#Data],5,FALSE)</f>
        <v>#REF!</v>
      </c>
    </row>
    <row r="7501" spans="1:23" x14ac:dyDescent="0.25">
      <c r="A7501" s="21">
        <v>45897</v>
      </c>
      <c r="B7501" s="1">
        <v>417464401</v>
      </c>
      <c r="C7501" t="s">
        <v>13264</v>
      </c>
      <c r="D7501" s="43">
        <v>-5774.8</v>
      </c>
      <c r="E7501" t="s">
        <v>35</v>
      </c>
      <c r="F7501" s="2">
        <v>212901001</v>
      </c>
      <c r="G7501" s="2" t="s">
        <v>121</v>
      </c>
      <c r="L7501" s="2" t="s">
        <v>13265</v>
      </c>
      <c r="M7501" t="s">
        <v>67</v>
      </c>
      <c r="N7501" t="s">
        <v>68</v>
      </c>
      <c r="P7501" s="23">
        <v>145.75</v>
      </c>
      <c r="Q7501" s="4">
        <f t="shared" si="117"/>
        <v>-39.621269296740998</v>
      </c>
      <c r="R7501" s="23" t="s">
        <v>109</v>
      </c>
      <c r="U7501">
        <v>18</v>
      </c>
      <c r="V7501" t="e">
        <f>VLOOKUP(Tabla3[[#This Row],[Nº]],[1]!NOMINA[#Data],4,FALSE)</f>
        <v>#REF!</v>
      </c>
      <c r="W7501" t="e">
        <f>VLOOKUP(Tabla3[[#This Row],[Nº]],[1]!NOMINA[#Data],5,FALSE)</f>
        <v>#REF!</v>
      </c>
    </row>
    <row r="7502" spans="1:23" x14ac:dyDescent="0.25">
      <c r="A7502" s="21">
        <v>45897</v>
      </c>
      <c r="B7502" s="1">
        <v>417464406</v>
      </c>
      <c r="C7502" t="s">
        <v>13266</v>
      </c>
      <c r="D7502" s="43">
        <v>-61.65</v>
      </c>
      <c r="E7502" t="s">
        <v>35</v>
      </c>
      <c r="F7502" s="2">
        <v>212901001</v>
      </c>
      <c r="G7502" s="2" t="s">
        <v>121</v>
      </c>
      <c r="L7502" s="2" t="s">
        <v>13267</v>
      </c>
      <c r="M7502" t="s">
        <v>67</v>
      </c>
      <c r="N7502" t="s">
        <v>68</v>
      </c>
      <c r="P7502" s="23">
        <v>145.75</v>
      </c>
      <c r="Q7502" s="4">
        <f t="shared" si="117"/>
        <v>-0.42298456260720413</v>
      </c>
      <c r="R7502" s="23" t="s">
        <v>109</v>
      </c>
      <c r="U7502">
        <v>31</v>
      </c>
      <c r="V7502" t="e">
        <f>VLOOKUP(Tabla3[[#This Row],[Nº]],[1]!NOMINA[#Data],4,FALSE)</f>
        <v>#REF!</v>
      </c>
      <c r="W7502" t="e">
        <f>VLOOKUP(U7502,[1]!NOMINA[#Data],5,FALSE)</f>
        <v>#REF!</v>
      </c>
    </row>
    <row r="7503" spans="1:23" x14ac:dyDescent="0.25">
      <c r="A7503" s="21">
        <v>45897</v>
      </c>
      <c r="B7503" s="1">
        <v>417464402</v>
      </c>
      <c r="C7503" t="s">
        <v>13268</v>
      </c>
      <c r="D7503" s="43">
        <v>-61.65</v>
      </c>
      <c r="E7503" t="s">
        <v>35</v>
      </c>
      <c r="F7503" s="2">
        <v>212901001</v>
      </c>
      <c r="G7503" s="2" t="s">
        <v>121</v>
      </c>
      <c r="L7503" s="2" t="s">
        <v>13269</v>
      </c>
      <c r="M7503" t="s">
        <v>67</v>
      </c>
      <c r="N7503" t="s">
        <v>68</v>
      </c>
      <c r="P7503" s="23">
        <v>145.75</v>
      </c>
      <c r="Q7503" s="4">
        <f t="shared" si="117"/>
        <v>-0.42298456260720413</v>
      </c>
      <c r="R7503" s="23" t="s">
        <v>109</v>
      </c>
      <c r="U7503">
        <v>28</v>
      </c>
      <c r="V7503" t="e">
        <f>VLOOKUP(Tabla3[[#This Row],[Nº]],[1]!NOMINA[#Data],4,FALSE)</f>
        <v>#REF!</v>
      </c>
      <c r="W7503" t="e">
        <f>VLOOKUP(U7503,[1]!NOMINA[#Data],5,FALSE)</f>
        <v>#REF!</v>
      </c>
    </row>
    <row r="7504" spans="1:23" x14ac:dyDescent="0.25">
      <c r="A7504" s="21">
        <v>45897</v>
      </c>
      <c r="B7504" s="1">
        <v>417464403</v>
      </c>
      <c r="C7504" t="s">
        <v>13270</v>
      </c>
      <c r="D7504" s="43">
        <v>-61.65</v>
      </c>
      <c r="E7504" t="s">
        <v>35</v>
      </c>
      <c r="F7504" s="2">
        <v>212901001</v>
      </c>
      <c r="G7504" s="2" t="s">
        <v>121</v>
      </c>
      <c r="L7504" s="2" t="s">
        <v>13271</v>
      </c>
      <c r="M7504" t="s">
        <v>67</v>
      </c>
      <c r="N7504" t="s">
        <v>68</v>
      </c>
      <c r="P7504" s="23">
        <v>145.75</v>
      </c>
      <c r="Q7504" s="4">
        <f t="shared" si="117"/>
        <v>-0.42298456260720413</v>
      </c>
      <c r="R7504" s="23" t="s">
        <v>109</v>
      </c>
      <c r="U7504">
        <v>22</v>
      </c>
      <c r="V7504" t="e">
        <f>VLOOKUP(Tabla3[[#This Row],[Nº]],[1]!NOMINA[#Data],4,FALSE)</f>
        <v>#REF!</v>
      </c>
      <c r="W7504" t="e">
        <f>VLOOKUP(U7504,[1]!NOMINA[#Data],5,FALSE)</f>
        <v>#REF!</v>
      </c>
    </row>
    <row r="7505" spans="1:23" x14ac:dyDescent="0.25">
      <c r="A7505" s="21">
        <v>45897</v>
      </c>
      <c r="B7505" s="1">
        <v>417464405</v>
      </c>
      <c r="C7505" t="s">
        <v>13272</v>
      </c>
      <c r="D7505" s="43">
        <v>-61.65</v>
      </c>
      <c r="E7505" t="s">
        <v>35</v>
      </c>
      <c r="F7505" s="2">
        <v>212901001</v>
      </c>
      <c r="G7505" s="2" t="s">
        <v>121</v>
      </c>
      <c r="L7505" s="2" t="s">
        <v>13273</v>
      </c>
      <c r="M7505" t="s">
        <v>67</v>
      </c>
      <c r="N7505" t="s">
        <v>68</v>
      </c>
      <c r="P7505" s="23">
        <v>145.75</v>
      </c>
      <c r="Q7505" s="4">
        <f t="shared" si="117"/>
        <v>-0.42298456260720413</v>
      </c>
      <c r="R7505" s="23" t="s">
        <v>109</v>
      </c>
      <c r="U7505">
        <v>18</v>
      </c>
      <c r="V7505" t="e">
        <f>VLOOKUP(Tabla3[[#This Row],[Nº]],[1]!NOMINA[#Data],4,FALSE)</f>
        <v>#REF!</v>
      </c>
      <c r="W7505" t="e">
        <f>VLOOKUP(Tabla3[[#This Row],[Nº]],[1]!NOMINA[#Data],5,FALSE)</f>
        <v>#REF!</v>
      </c>
    </row>
    <row r="7506" spans="1:23" x14ac:dyDescent="0.25">
      <c r="A7506" s="21">
        <v>45897</v>
      </c>
      <c r="B7506" s="1">
        <v>417464409</v>
      </c>
      <c r="C7506" t="s">
        <v>13274</v>
      </c>
      <c r="D7506" s="43">
        <v>-57.36</v>
      </c>
      <c r="E7506" t="s">
        <v>35</v>
      </c>
      <c r="F7506" s="2">
        <v>212901001</v>
      </c>
      <c r="G7506" s="2" t="s">
        <v>121</v>
      </c>
      <c r="L7506" s="2" t="s">
        <v>13275</v>
      </c>
      <c r="M7506" t="s">
        <v>67</v>
      </c>
      <c r="N7506" t="s">
        <v>68</v>
      </c>
      <c r="P7506" s="23">
        <v>145.75</v>
      </c>
      <c r="Q7506" s="4">
        <f t="shared" si="117"/>
        <v>-0.39355060034305317</v>
      </c>
      <c r="R7506" s="23" t="s">
        <v>109</v>
      </c>
      <c r="U7506">
        <v>20</v>
      </c>
      <c r="V7506" t="e">
        <f>VLOOKUP(Tabla3[[#This Row],[Nº]],[1]!NOMINA[#Data],4,FALSE)</f>
        <v>#REF!</v>
      </c>
      <c r="W7506" t="e">
        <f>VLOOKUP(U7506,[1]!NOMINA[#Data],5,FALSE)</f>
        <v>#REF!</v>
      </c>
    </row>
    <row r="7507" spans="1:23" x14ac:dyDescent="0.25">
      <c r="A7507" s="21">
        <v>45897</v>
      </c>
      <c r="B7507" s="1">
        <v>417464408</v>
      </c>
      <c r="C7507" t="s">
        <v>13276</v>
      </c>
      <c r="D7507" s="43">
        <v>-61.65</v>
      </c>
      <c r="E7507" t="s">
        <v>35</v>
      </c>
      <c r="F7507" s="2">
        <v>212901001</v>
      </c>
      <c r="G7507" s="2" t="s">
        <v>121</v>
      </c>
      <c r="L7507" s="2" t="s">
        <v>13277</v>
      </c>
      <c r="M7507" t="s">
        <v>67</v>
      </c>
      <c r="N7507" t="s">
        <v>68</v>
      </c>
      <c r="P7507" s="23">
        <v>145.75</v>
      </c>
      <c r="Q7507" s="4">
        <f t="shared" si="117"/>
        <v>-0.42298456260720413</v>
      </c>
      <c r="R7507" s="23" t="s">
        <v>109</v>
      </c>
      <c r="U7507">
        <v>23</v>
      </c>
      <c r="V7507" t="e">
        <f>VLOOKUP(Tabla3[[#This Row],[Nº]],[1]!NOMINA[#Data],4,FALSE)</f>
        <v>#REF!</v>
      </c>
      <c r="W7507" t="e">
        <f>VLOOKUP(U7507,[1]!NOMINA[#Data],5,FALSE)</f>
        <v>#REF!</v>
      </c>
    </row>
    <row r="7508" spans="1:23" x14ac:dyDescent="0.25">
      <c r="A7508" s="21">
        <v>45897</v>
      </c>
      <c r="B7508" s="1">
        <v>517464411</v>
      </c>
      <c r="C7508" t="s">
        <v>13278</v>
      </c>
      <c r="D7508" s="43">
        <v>-61.65</v>
      </c>
      <c r="E7508" t="s">
        <v>35</v>
      </c>
      <c r="F7508" s="2">
        <v>212901001</v>
      </c>
      <c r="G7508" s="2" t="s">
        <v>121</v>
      </c>
      <c r="L7508" s="2" t="s">
        <v>13279</v>
      </c>
      <c r="M7508" t="s">
        <v>67</v>
      </c>
      <c r="N7508" t="s">
        <v>68</v>
      </c>
      <c r="P7508" s="23">
        <v>145.75</v>
      </c>
      <c r="Q7508" s="4">
        <f t="shared" si="117"/>
        <v>-0.42298456260720413</v>
      </c>
      <c r="R7508" s="23" t="s">
        <v>109</v>
      </c>
      <c r="U7508">
        <v>19</v>
      </c>
      <c r="V7508" t="e">
        <f>VLOOKUP(Tabla3[[#This Row],[Nº]],[1]!NOMINA[#Data],4,FALSE)</f>
        <v>#REF!</v>
      </c>
      <c r="W7508" t="e">
        <f>VLOOKUP(U7508,[1]!NOMINA[#Data],5,FALSE)</f>
        <v>#REF!</v>
      </c>
    </row>
    <row r="7509" spans="1:23" x14ac:dyDescent="0.25">
      <c r="A7509" s="21">
        <v>45897</v>
      </c>
      <c r="B7509" s="1">
        <v>517464413</v>
      </c>
      <c r="C7509" t="s">
        <v>13280</v>
      </c>
      <c r="D7509" s="43">
        <v>-61.65</v>
      </c>
      <c r="E7509" t="s">
        <v>35</v>
      </c>
      <c r="F7509" s="2">
        <v>212901001</v>
      </c>
      <c r="G7509" s="2" t="s">
        <v>121</v>
      </c>
      <c r="L7509" s="2" t="s">
        <v>13281</v>
      </c>
      <c r="M7509" t="s">
        <v>67</v>
      </c>
      <c r="N7509" t="s">
        <v>68</v>
      </c>
      <c r="P7509" s="23">
        <v>145.75</v>
      </c>
      <c r="Q7509" s="4">
        <f t="shared" si="117"/>
        <v>-0.42298456260720413</v>
      </c>
      <c r="R7509" s="23" t="s">
        <v>109</v>
      </c>
      <c r="U7509">
        <v>14</v>
      </c>
      <c r="V7509" t="e">
        <f>VLOOKUP(Tabla3[[#This Row],[Nº]],[1]!NOMINA[#Data],4,FALSE)</f>
        <v>#REF!</v>
      </c>
      <c r="W7509" t="e">
        <f>VLOOKUP(U7509,[1]!NOMINA[#Data],5,FALSE)</f>
        <v>#REF!</v>
      </c>
    </row>
    <row r="7510" spans="1:23" x14ac:dyDescent="0.25">
      <c r="A7510" s="21">
        <v>45897</v>
      </c>
      <c r="B7510" s="1">
        <v>517464410</v>
      </c>
      <c r="C7510" t="s">
        <v>13282</v>
      </c>
      <c r="D7510" s="43">
        <v>-57.36</v>
      </c>
      <c r="E7510" t="s">
        <v>35</v>
      </c>
      <c r="F7510" s="2">
        <v>212901001</v>
      </c>
      <c r="G7510" s="2" t="s">
        <v>121</v>
      </c>
      <c r="L7510" s="2" t="s">
        <v>13283</v>
      </c>
      <c r="M7510" t="s">
        <v>67</v>
      </c>
      <c r="N7510" t="s">
        <v>68</v>
      </c>
      <c r="P7510" s="23">
        <v>145.75</v>
      </c>
      <c r="Q7510" s="4">
        <f t="shared" si="117"/>
        <v>-0.39355060034305317</v>
      </c>
      <c r="R7510" s="23" t="s">
        <v>109</v>
      </c>
      <c r="U7510">
        <v>12</v>
      </c>
      <c r="V7510" t="e">
        <f>VLOOKUP(Tabla3[[#This Row],[Nº]],[1]!NOMINA[#Data],4,FALSE)</f>
        <v>#REF!</v>
      </c>
      <c r="W7510" t="e">
        <f>VLOOKUP(U7510,[1]!NOMINA[#Data],5,FALSE)</f>
        <v>#REF!</v>
      </c>
    </row>
    <row r="7511" spans="1:23" x14ac:dyDescent="0.25">
      <c r="A7511" s="21">
        <v>45897</v>
      </c>
      <c r="B7511" s="1">
        <v>517464412</v>
      </c>
      <c r="C7511" t="s">
        <v>13284</v>
      </c>
      <c r="D7511" s="43">
        <v>-61.65</v>
      </c>
      <c r="E7511" t="s">
        <v>35</v>
      </c>
      <c r="F7511" s="2">
        <v>212901001</v>
      </c>
      <c r="G7511" s="2" t="s">
        <v>121</v>
      </c>
      <c r="L7511" s="2" t="s">
        <v>13285</v>
      </c>
      <c r="M7511" t="s">
        <v>67</v>
      </c>
      <c r="N7511" t="s">
        <v>68</v>
      </c>
      <c r="P7511" s="23">
        <v>145.75</v>
      </c>
      <c r="Q7511" s="4">
        <f t="shared" si="117"/>
        <v>-0.42298456260720413</v>
      </c>
      <c r="R7511" s="23" t="s">
        <v>109</v>
      </c>
      <c r="U7511">
        <v>26</v>
      </c>
      <c r="V7511" t="e">
        <f>VLOOKUP(Tabla3[[#This Row],[Nº]],[1]!NOMINA[#Data],4,FALSE)</f>
        <v>#REF!</v>
      </c>
      <c r="W7511" t="e">
        <f>VLOOKUP(Tabla3[[#This Row],[Nº]],[1]!NOMINA[#Data],5,FALSE)</f>
        <v>#REF!</v>
      </c>
    </row>
    <row r="7512" spans="1:23" x14ac:dyDescent="0.25">
      <c r="A7512" s="21">
        <v>45897</v>
      </c>
      <c r="B7512" s="1">
        <v>517464415</v>
      </c>
      <c r="C7512" t="s">
        <v>13286</v>
      </c>
      <c r="D7512" s="43">
        <v>-61.65</v>
      </c>
      <c r="E7512" t="s">
        <v>35</v>
      </c>
      <c r="F7512" s="2">
        <v>212901001</v>
      </c>
      <c r="G7512" s="2" t="s">
        <v>121</v>
      </c>
      <c r="L7512" s="2" t="s">
        <v>13287</v>
      </c>
      <c r="M7512" t="s">
        <v>67</v>
      </c>
      <c r="N7512" t="s">
        <v>68</v>
      </c>
      <c r="P7512" s="23">
        <v>145.75</v>
      </c>
      <c r="Q7512" s="4">
        <f t="shared" si="117"/>
        <v>-0.42298456260720413</v>
      </c>
      <c r="R7512" s="23" t="s">
        <v>109</v>
      </c>
      <c r="U7512">
        <v>8</v>
      </c>
      <c r="V7512" t="e">
        <f>VLOOKUP(Tabla3[[#This Row],[Nº]],[1]!NOMINA[#Data],4,FALSE)</f>
        <v>#REF!</v>
      </c>
      <c r="W7512" t="e">
        <f>VLOOKUP(U7512,[1]!NOMINA[#Data],5,FALSE)</f>
        <v>#REF!</v>
      </c>
    </row>
    <row r="7513" spans="1:23" x14ac:dyDescent="0.25">
      <c r="A7513" s="21">
        <v>45897</v>
      </c>
      <c r="B7513" s="1">
        <v>517464418</v>
      </c>
      <c r="C7513" t="s">
        <v>13288</v>
      </c>
      <c r="D7513" s="43">
        <v>-57.36</v>
      </c>
      <c r="E7513" t="s">
        <v>35</v>
      </c>
      <c r="F7513" s="2">
        <v>212901001</v>
      </c>
      <c r="G7513" s="2" t="s">
        <v>121</v>
      </c>
      <c r="L7513" s="2" t="s">
        <v>13289</v>
      </c>
      <c r="M7513" t="s">
        <v>67</v>
      </c>
      <c r="N7513" t="s">
        <v>68</v>
      </c>
      <c r="P7513" s="23">
        <v>145.75</v>
      </c>
      <c r="Q7513" s="4">
        <f t="shared" si="117"/>
        <v>-0.39355060034305317</v>
      </c>
      <c r="R7513" s="23" t="s">
        <v>109</v>
      </c>
      <c r="U7513">
        <v>27</v>
      </c>
      <c r="V7513" t="e">
        <f>VLOOKUP(Tabla3[[#This Row],[Nº]],[1]!NOMINA[#Data],4,FALSE)</f>
        <v>#REF!</v>
      </c>
      <c r="W7513" t="e">
        <f>VLOOKUP(U7513,[1]!NOMINA[#Data],5,FALSE)</f>
        <v>#REF!</v>
      </c>
    </row>
    <row r="7514" spans="1:23" x14ac:dyDescent="0.25">
      <c r="A7514" s="21">
        <v>45897</v>
      </c>
      <c r="B7514" s="1">
        <v>517464414</v>
      </c>
      <c r="C7514" t="s">
        <v>13290</v>
      </c>
      <c r="D7514" s="43">
        <v>-61.65</v>
      </c>
      <c r="E7514" t="s">
        <v>35</v>
      </c>
      <c r="F7514" s="2">
        <v>212901001</v>
      </c>
      <c r="G7514" s="2" t="s">
        <v>121</v>
      </c>
      <c r="L7514" s="2" t="s">
        <v>13291</v>
      </c>
      <c r="M7514" t="s">
        <v>67</v>
      </c>
      <c r="N7514" t="s">
        <v>68</v>
      </c>
      <c r="P7514" s="23">
        <v>145.75</v>
      </c>
      <c r="Q7514" s="4">
        <f t="shared" si="117"/>
        <v>-0.42298456260720413</v>
      </c>
      <c r="R7514" s="23" t="s">
        <v>109</v>
      </c>
      <c r="U7514">
        <v>13</v>
      </c>
      <c r="V7514" t="e">
        <f>VLOOKUP(Tabla3[[#This Row],[Nº]],[1]!NOMINA[#Data],4,FALSE)</f>
        <v>#REF!</v>
      </c>
      <c r="W7514" t="e">
        <f>VLOOKUP(U7514,[1]!NOMINA[#Data],5,FALSE)</f>
        <v>#REF!</v>
      </c>
    </row>
    <row r="7515" spans="1:23" x14ac:dyDescent="0.25">
      <c r="A7515" s="21">
        <v>45897</v>
      </c>
      <c r="B7515" s="1">
        <v>517464419</v>
      </c>
      <c r="C7515" t="s">
        <v>13292</v>
      </c>
      <c r="D7515" s="43">
        <v>-61.65</v>
      </c>
      <c r="E7515" t="s">
        <v>35</v>
      </c>
      <c r="F7515" s="2">
        <v>212901001</v>
      </c>
      <c r="G7515" s="2" t="s">
        <v>121</v>
      </c>
      <c r="L7515" s="2" t="s">
        <v>13293</v>
      </c>
      <c r="M7515" t="s">
        <v>67</v>
      </c>
      <c r="N7515" t="s">
        <v>68</v>
      </c>
      <c r="P7515" s="23">
        <v>145.75</v>
      </c>
      <c r="Q7515" s="4">
        <f t="shared" si="117"/>
        <v>-0.42298456260720413</v>
      </c>
      <c r="R7515" s="23" t="s">
        <v>109</v>
      </c>
      <c r="U7515">
        <v>1</v>
      </c>
      <c r="V7515" t="e">
        <f>VLOOKUP(U7515,[1]!NOMINA[#Data],4,FALSE)</f>
        <v>#REF!</v>
      </c>
      <c r="W7515" t="e">
        <f>VLOOKUP(U7515,[1]!NOMINA[#Data],5,FALSE)</f>
        <v>#REF!</v>
      </c>
    </row>
    <row r="7516" spans="1:23" x14ac:dyDescent="0.25">
      <c r="A7516" s="21">
        <v>45897</v>
      </c>
      <c r="B7516" s="1">
        <v>617464420</v>
      </c>
      <c r="C7516" t="s">
        <v>13294</v>
      </c>
      <c r="D7516" s="43">
        <v>-61.65</v>
      </c>
      <c r="E7516" t="s">
        <v>35</v>
      </c>
      <c r="F7516" s="2">
        <v>212901001</v>
      </c>
      <c r="G7516" s="2" t="s">
        <v>121</v>
      </c>
      <c r="L7516" s="2" t="s">
        <v>13295</v>
      </c>
      <c r="M7516" t="s">
        <v>67</v>
      </c>
      <c r="N7516" t="s">
        <v>68</v>
      </c>
      <c r="P7516" s="23">
        <v>145.75</v>
      </c>
      <c r="Q7516" s="4">
        <f t="shared" si="117"/>
        <v>-0.42298456260720413</v>
      </c>
      <c r="R7516" s="23" t="s">
        <v>109</v>
      </c>
      <c r="U7516">
        <v>4</v>
      </c>
      <c r="V7516" t="s">
        <v>12595</v>
      </c>
      <c r="W7516" t="e">
        <f>VLOOKUP(U7516,[1]!NOMINA[#Data],5,FALSE)</f>
        <v>#REF!</v>
      </c>
    </row>
    <row r="7517" spans="1:23" x14ac:dyDescent="0.25">
      <c r="A7517" s="21">
        <v>45897</v>
      </c>
      <c r="B7517" s="1">
        <v>517464417</v>
      </c>
      <c r="C7517" t="s">
        <v>13296</v>
      </c>
      <c r="D7517" s="43">
        <v>-57.36</v>
      </c>
      <c r="E7517" t="s">
        <v>35</v>
      </c>
      <c r="F7517" s="2">
        <v>212901001</v>
      </c>
      <c r="G7517" s="2" t="s">
        <v>121</v>
      </c>
      <c r="L7517" s="2" t="s">
        <v>13297</v>
      </c>
      <c r="M7517" t="s">
        <v>67</v>
      </c>
      <c r="N7517" t="s">
        <v>68</v>
      </c>
      <c r="P7517" s="23">
        <v>145.75</v>
      </c>
      <c r="Q7517" s="4">
        <f t="shared" si="117"/>
        <v>-0.39355060034305317</v>
      </c>
      <c r="R7517" s="23" t="s">
        <v>109</v>
      </c>
      <c r="U7517">
        <v>17</v>
      </c>
      <c r="V7517" t="e">
        <f>VLOOKUP(Tabla3[[#This Row],[Nº]],[1]!NOMINA[#Data],4,FALSE)</f>
        <v>#REF!</v>
      </c>
      <c r="W7517" t="e">
        <f>VLOOKUP(U7517,[1]!NOMINA[#Data],5,FALSE)</f>
        <v>#REF!</v>
      </c>
    </row>
    <row r="7518" spans="1:23" x14ac:dyDescent="0.25">
      <c r="A7518" s="21">
        <v>45897</v>
      </c>
      <c r="B7518" s="1">
        <v>617464422</v>
      </c>
      <c r="C7518" t="s">
        <v>13298</v>
      </c>
      <c r="D7518" s="43">
        <v>-61.65</v>
      </c>
      <c r="E7518" t="s">
        <v>35</v>
      </c>
      <c r="F7518" s="2">
        <v>212901001</v>
      </c>
      <c r="G7518" s="2" t="s">
        <v>121</v>
      </c>
      <c r="L7518" s="2" t="s">
        <v>13299</v>
      </c>
      <c r="M7518" t="s">
        <v>67</v>
      </c>
      <c r="N7518" t="s">
        <v>68</v>
      </c>
      <c r="P7518" s="23">
        <v>145.75</v>
      </c>
      <c r="Q7518" s="4">
        <f t="shared" si="117"/>
        <v>-0.42298456260720413</v>
      </c>
      <c r="R7518" s="23" t="s">
        <v>109</v>
      </c>
      <c r="U7518">
        <v>33</v>
      </c>
      <c r="V7518" t="e">
        <f>VLOOKUP(U7518,[1]!NOMINA[#Data],4,FALSE)</f>
        <v>#REF!</v>
      </c>
      <c r="W7518" t="e">
        <f>VLOOKUP(U7518,[1]!NOMINA[#Data],5,FALSE)</f>
        <v>#REF!</v>
      </c>
    </row>
    <row r="7519" spans="1:23" x14ac:dyDescent="0.25">
      <c r="A7519" s="21">
        <v>45897</v>
      </c>
      <c r="B7519" s="1">
        <v>617464421</v>
      </c>
      <c r="C7519" t="s">
        <v>13300</v>
      </c>
      <c r="D7519" s="43">
        <v>-61.65</v>
      </c>
      <c r="E7519" t="s">
        <v>35</v>
      </c>
      <c r="F7519" s="2">
        <v>212901001</v>
      </c>
      <c r="G7519" s="2" t="s">
        <v>121</v>
      </c>
      <c r="L7519" s="2" t="s">
        <v>13301</v>
      </c>
      <c r="M7519" t="s">
        <v>67</v>
      </c>
      <c r="N7519" t="s">
        <v>68</v>
      </c>
      <c r="P7519" s="23">
        <v>145.75</v>
      </c>
      <c r="Q7519" s="4">
        <f t="shared" si="117"/>
        <v>-0.42298456260720413</v>
      </c>
      <c r="R7519" s="23" t="s">
        <v>109</v>
      </c>
      <c r="U7519">
        <v>34</v>
      </c>
      <c r="V7519" t="e">
        <f>VLOOKUP(U7519,[1]!NOMINA[#Data],4,FALSE)</f>
        <v>#REF!</v>
      </c>
      <c r="W7519" t="e">
        <f>VLOOKUP(U7519,[1]!NOMINA[#Data],5,FALSE)</f>
        <v>#REF!</v>
      </c>
    </row>
    <row r="7520" spans="1:23" x14ac:dyDescent="0.25">
      <c r="A7520" s="21">
        <v>45897</v>
      </c>
      <c r="B7520" s="1">
        <v>617464424</v>
      </c>
      <c r="C7520" t="s">
        <v>13302</v>
      </c>
      <c r="D7520" s="43">
        <v>-61.65</v>
      </c>
      <c r="E7520" t="s">
        <v>35</v>
      </c>
      <c r="F7520" s="2">
        <v>212901001</v>
      </c>
      <c r="G7520" s="2" t="s">
        <v>121</v>
      </c>
      <c r="L7520" s="2" t="s">
        <v>13303</v>
      </c>
      <c r="M7520" t="s">
        <v>67</v>
      </c>
      <c r="N7520" t="s">
        <v>68</v>
      </c>
      <c r="P7520" s="23">
        <v>145.75</v>
      </c>
      <c r="Q7520" s="4">
        <f t="shared" si="117"/>
        <v>-0.42298456260720413</v>
      </c>
      <c r="R7520" s="23" t="s">
        <v>109</v>
      </c>
      <c r="U7520">
        <v>16</v>
      </c>
      <c r="V7520" t="e">
        <f>VLOOKUP(Tabla3[[#This Row],[Nº]],[1]!NOMINA[#Data],4,FALSE)</f>
        <v>#REF!</v>
      </c>
      <c r="W7520" t="e">
        <f>VLOOKUP(Tabla3[[#This Row],[Nº]],[1]!NOMINA[#Data],5,FALSE)</f>
        <v>#REF!</v>
      </c>
    </row>
    <row r="7521" spans="1:23" x14ac:dyDescent="0.25">
      <c r="A7521" s="21">
        <v>45897</v>
      </c>
      <c r="B7521" s="1">
        <v>617464427</v>
      </c>
      <c r="C7521" t="s">
        <v>13304</v>
      </c>
      <c r="D7521" s="43">
        <v>-61.65</v>
      </c>
      <c r="E7521" t="s">
        <v>35</v>
      </c>
      <c r="F7521" s="2">
        <v>212901001</v>
      </c>
      <c r="G7521" s="2" t="s">
        <v>121</v>
      </c>
      <c r="L7521" s="2" t="s">
        <v>13305</v>
      </c>
      <c r="M7521" t="s">
        <v>67</v>
      </c>
      <c r="N7521" t="s">
        <v>68</v>
      </c>
      <c r="P7521" s="23">
        <v>145.75</v>
      </c>
      <c r="Q7521" s="4">
        <f t="shared" si="117"/>
        <v>-0.42298456260720413</v>
      </c>
      <c r="R7521" s="23" t="s">
        <v>109</v>
      </c>
      <c r="U7521">
        <v>6</v>
      </c>
      <c r="V7521" t="e">
        <f>VLOOKUP(U7521,[1]!NOMINA[#Data],4,FALSE)</f>
        <v>#REF!</v>
      </c>
      <c r="W7521" t="e">
        <f>VLOOKUP(U7521,[1]!NOMINA[#Data],5,FALSE)</f>
        <v>#REF!</v>
      </c>
    </row>
    <row r="7522" spans="1:23" x14ac:dyDescent="0.25">
      <c r="A7522" s="21">
        <v>45897</v>
      </c>
      <c r="B7522" s="1">
        <v>617464425</v>
      </c>
      <c r="C7522" t="s">
        <v>13306</v>
      </c>
      <c r="D7522" s="43">
        <v>-61.65</v>
      </c>
      <c r="E7522" t="s">
        <v>35</v>
      </c>
      <c r="F7522" s="2">
        <v>212901001</v>
      </c>
      <c r="G7522" s="2" t="s">
        <v>121</v>
      </c>
      <c r="L7522" s="2" t="s">
        <v>13307</v>
      </c>
      <c r="M7522" t="s">
        <v>67</v>
      </c>
      <c r="N7522" t="s">
        <v>68</v>
      </c>
      <c r="P7522" s="23">
        <v>145.75</v>
      </c>
      <c r="Q7522" s="4">
        <f t="shared" si="117"/>
        <v>-0.42298456260720413</v>
      </c>
      <c r="R7522" s="23" t="s">
        <v>109</v>
      </c>
      <c r="U7522">
        <v>3</v>
      </c>
      <c r="V7522" t="s">
        <v>12595</v>
      </c>
      <c r="W7522" t="e">
        <f>VLOOKUP(U7522,[1]!NOMINA[#Data],5,FALSE)</f>
        <v>#REF!</v>
      </c>
    </row>
    <row r="7523" spans="1:23" x14ac:dyDescent="0.25">
      <c r="A7523" s="21">
        <v>45897</v>
      </c>
      <c r="B7523" s="1">
        <v>617464423</v>
      </c>
      <c r="C7523" t="s">
        <v>13308</v>
      </c>
      <c r="D7523" s="43">
        <v>-61.65</v>
      </c>
      <c r="E7523" t="s">
        <v>35</v>
      </c>
      <c r="F7523" s="2">
        <v>212901001</v>
      </c>
      <c r="G7523" s="2" t="s">
        <v>121</v>
      </c>
      <c r="L7523" s="2" t="s">
        <v>13309</v>
      </c>
      <c r="M7523" t="s">
        <v>67</v>
      </c>
      <c r="N7523" t="s">
        <v>68</v>
      </c>
      <c r="P7523" s="23">
        <v>145.75</v>
      </c>
      <c r="Q7523" s="4">
        <f t="shared" si="117"/>
        <v>-0.42298456260720413</v>
      </c>
      <c r="R7523" s="23" t="s">
        <v>109</v>
      </c>
      <c r="U7523">
        <v>24</v>
      </c>
      <c r="V7523" t="e">
        <f>VLOOKUP(U7523,[1]!NOMINA[#Data],4,FALSE)</f>
        <v>#REF!</v>
      </c>
      <c r="W7523" t="e">
        <f>VLOOKUP(U7523,[1]!NOMINA[#Data],5,FALSE)</f>
        <v>#REF!</v>
      </c>
    </row>
    <row r="7524" spans="1:23" x14ac:dyDescent="0.25">
      <c r="A7524" s="21">
        <v>45897</v>
      </c>
      <c r="B7524" s="1">
        <v>717464429</v>
      </c>
      <c r="C7524" t="s">
        <v>13310</v>
      </c>
      <c r="D7524" s="43">
        <v>-61.65</v>
      </c>
      <c r="E7524" t="s">
        <v>35</v>
      </c>
      <c r="F7524" s="2">
        <v>212901001</v>
      </c>
      <c r="G7524" s="2" t="s">
        <v>121</v>
      </c>
      <c r="L7524" s="2" t="s">
        <v>13311</v>
      </c>
      <c r="M7524" t="s">
        <v>67</v>
      </c>
      <c r="N7524" t="s">
        <v>68</v>
      </c>
      <c r="P7524" s="23">
        <v>145.75</v>
      </c>
      <c r="Q7524" s="4">
        <f t="shared" si="117"/>
        <v>-0.42298456260720413</v>
      </c>
      <c r="R7524" s="23" t="s">
        <v>109</v>
      </c>
      <c r="U7524">
        <v>5</v>
      </c>
      <c r="V7524" t="s">
        <v>12595</v>
      </c>
      <c r="W7524" t="e">
        <f>VLOOKUP(U7524,[1]!NOMINA[#Data],5,FALSE)</f>
        <v>#REF!</v>
      </c>
    </row>
    <row r="7525" spans="1:23" x14ac:dyDescent="0.25">
      <c r="A7525" s="21">
        <v>45897</v>
      </c>
      <c r="B7525" s="1">
        <v>717464428</v>
      </c>
      <c r="C7525" t="s">
        <v>13312</v>
      </c>
      <c r="D7525" s="43">
        <v>-61.65</v>
      </c>
      <c r="E7525" t="s">
        <v>35</v>
      </c>
      <c r="F7525" s="2">
        <v>212901001</v>
      </c>
      <c r="G7525" s="2" t="s">
        <v>121</v>
      </c>
      <c r="L7525" s="2" t="s">
        <v>13313</v>
      </c>
      <c r="M7525" t="s">
        <v>67</v>
      </c>
      <c r="N7525" t="s">
        <v>68</v>
      </c>
      <c r="P7525" s="23">
        <v>145.75</v>
      </c>
      <c r="Q7525" s="4">
        <f t="shared" si="117"/>
        <v>-0.42298456260720413</v>
      </c>
      <c r="R7525" s="23" t="s">
        <v>109</v>
      </c>
      <c r="U7525">
        <v>32</v>
      </c>
      <c r="V7525" t="e">
        <f>VLOOKUP(U7525,[1]!NOMINA[#Data],4,FALSE)</f>
        <v>#REF!</v>
      </c>
      <c r="W7525" t="e">
        <f>VLOOKUP(U7525,[1]!NOMINA[#Data],5,FALSE)</f>
        <v>#REF!</v>
      </c>
    </row>
    <row r="7526" spans="1:23" x14ac:dyDescent="0.25">
      <c r="A7526" s="21">
        <v>45897</v>
      </c>
      <c r="B7526" s="1">
        <v>717464430</v>
      </c>
      <c r="C7526" t="s">
        <v>13314</v>
      </c>
      <c r="D7526" s="43">
        <v>-57.36</v>
      </c>
      <c r="E7526" t="s">
        <v>35</v>
      </c>
      <c r="F7526" s="2">
        <v>212901001</v>
      </c>
      <c r="G7526" s="2" t="s">
        <v>121</v>
      </c>
      <c r="L7526" s="2" t="s">
        <v>13315</v>
      </c>
      <c r="M7526" t="s">
        <v>67</v>
      </c>
      <c r="N7526" t="s">
        <v>68</v>
      </c>
      <c r="P7526" s="23">
        <v>145.75</v>
      </c>
      <c r="Q7526" s="4">
        <f t="shared" si="117"/>
        <v>-0.39355060034305317</v>
      </c>
      <c r="R7526" s="23" t="s">
        <v>109</v>
      </c>
      <c r="U7526">
        <v>15</v>
      </c>
      <c r="V7526" t="e">
        <f>VLOOKUP(U7526,[1]!NOMINA[#Data],4,FALSE)</f>
        <v>#REF!</v>
      </c>
      <c r="W7526" t="e">
        <f>VLOOKUP(U7526,[1]!NOMINA[#Data],5,FALSE)</f>
        <v>#REF!</v>
      </c>
    </row>
    <row r="7527" spans="1:23" x14ac:dyDescent="0.25">
      <c r="A7527" s="21">
        <v>45897</v>
      </c>
      <c r="B7527" s="1">
        <v>717464431</v>
      </c>
      <c r="C7527" t="s">
        <v>13316</v>
      </c>
      <c r="D7527" s="43">
        <v>-61.65</v>
      </c>
      <c r="E7527" t="s">
        <v>35</v>
      </c>
      <c r="F7527" s="2">
        <v>212901001</v>
      </c>
      <c r="G7527" s="2" t="s">
        <v>121</v>
      </c>
      <c r="L7527" s="2" t="s">
        <v>13317</v>
      </c>
      <c r="M7527" t="s">
        <v>67</v>
      </c>
      <c r="N7527" t="s">
        <v>68</v>
      </c>
      <c r="P7527" s="23">
        <v>145.75</v>
      </c>
      <c r="Q7527" s="4">
        <f t="shared" si="117"/>
        <v>-0.42298456260720413</v>
      </c>
      <c r="R7527" s="23" t="s">
        <v>109</v>
      </c>
      <c r="U7527">
        <v>30</v>
      </c>
      <c r="V7527" t="e">
        <f>VLOOKUP(U7527,[1]!NOMINA[#Data],4,FALSE)</f>
        <v>#REF!</v>
      </c>
      <c r="W7527" t="e">
        <f>VLOOKUP(U7527,[1]!NOMINA[#Data],5,FALSE)</f>
        <v>#REF!</v>
      </c>
    </row>
    <row r="7528" spans="1:23" x14ac:dyDescent="0.25">
      <c r="A7528" s="21">
        <v>45897</v>
      </c>
      <c r="B7528" s="1">
        <v>717464432</v>
      </c>
      <c r="C7528" t="s">
        <v>13318</v>
      </c>
      <c r="D7528" s="43">
        <v>-61.65</v>
      </c>
      <c r="E7528" t="s">
        <v>35</v>
      </c>
      <c r="F7528" s="2">
        <v>212901001</v>
      </c>
      <c r="G7528" s="2" t="s">
        <v>121</v>
      </c>
      <c r="L7528" s="2" t="s">
        <v>13319</v>
      </c>
      <c r="M7528" t="s">
        <v>67</v>
      </c>
      <c r="N7528" t="s">
        <v>68</v>
      </c>
      <c r="P7528" s="23">
        <v>145.75</v>
      </c>
      <c r="Q7528" s="4">
        <f t="shared" si="117"/>
        <v>-0.42298456260720413</v>
      </c>
      <c r="R7528" s="23" t="s">
        <v>109</v>
      </c>
      <c r="U7528">
        <v>21</v>
      </c>
      <c r="V7528" t="e">
        <f>VLOOKUP(U7528,[1]!NOMINA[#Data],4,FALSE)</f>
        <v>#REF!</v>
      </c>
      <c r="W7528" t="e">
        <f>VLOOKUP(U7528,[1]!NOMINA[#Data],5,FALSE)</f>
        <v>#REF!</v>
      </c>
    </row>
    <row r="7529" spans="1:23" x14ac:dyDescent="0.25">
      <c r="A7529" s="21">
        <v>45897</v>
      </c>
      <c r="B7529" s="1">
        <v>717464434</v>
      </c>
      <c r="C7529" t="s">
        <v>13320</v>
      </c>
      <c r="D7529" s="43">
        <v>-61.65</v>
      </c>
      <c r="E7529" t="s">
        <v>35</v>
      </c>
      <c r="F7529" s="2">
        <v>212901001</v>
      </c>
      <c r="G7529" s="2" t="s">
        <v>121</v>
      </c>
      <c r="L7529" s="2" t="s">
        <v>13321</v>
      </c>
      <c r="M7529" t="s">
        <v>67</v>
      </c>
      <c r="N7529" t="s">
        <v>68</v>
      </c>
      <c r="P7529" s="23">
        <v>145.75</v>
      </c>
      <c r="Q7529" s="4">
        <f t="shared" si="117"/>
        <v>-0.42298456260720413</v>
      </c>
      <c r="R7529" s="23" t="s">
        <v>109</v>
      </c>
      <c r="U7529">
        <v>7</v>
      </c>
      <c r="V7529" t="e">
        <f>VLOOKUP(U7529,[1]!NOMINA[#Data],4,FALSE)</f>
        <v>#REF!</v>
      </c>
      <c r="W7529" t="e">
        <f>VLOOKUP(U7529,[1]!NOMINA[#Data],5,FALSE)</f>
        <v>#REF!</v>
      </c>
    </row>
    <row r="7530" spans="1:23" x14ac:dyDescent="0.25">
      <c r="A7530" s="21">
        <v>45897</v>
      </c>
      <c r="B7530" s="1">
        <v>717464435</v>
      </c>
      <c r="C7530" t="s">
        <v>13322</v>
      </c>
      <c r="D7530" s="43">
        <v>-61.65</v>
      </c>
      <c r="E7530" t="s">
        <v>35</v>
      </c>
      <c r="F7530" s="2">
        <v>212901001</v>
      </c>
      <c r="G7530" s="2" t="s">
        <v>121</v>
      </c>
      <c r="L7530" s="2" t="s">
        <v>13323</v>
      </c>
      <c r="M7530" t="s">
        <v>67</v>
      </c>
      <c r="N7530" t="s">
        <v>68</v>
      </c>
      <c r="P7530" s="23">
        <v>145.75</v>
      </c>
      <c r="Q7530" s="4">
        <f t="shared" si="117"/>
        <v>-0.42298456260720413</v>
      </c>
      <c r="R7530" s="23" t="s">
        <v>109</v>
      </c>
      <c r="U7530">
        <v>35</v>
      </c>
      <c r="V7530" t="e">
        <f>VLOOKUP(U7530,[1]!NOMINA[#Data],4,FALSE)</f>
        <v>#REF!</v>
      </c>
      <c r="W7530" t="e">
        <f>VLOOKUP(U7530,[1]!NOMINA[#Data],5,FALSE)</f>
        <v>#REF!</v>
      </c>
    </row>
    <row r="7531" spans="1:23" x14ac:dyDescent="0.25">
      <c r="A7531" s="21">
        <v>45897</v>
      </c>
      <c r="B7531" s="1">
        <v>817464436</v>
      </c>
      <c r="C7531" t="s">
        <v>13324</v>
      </c>
      <c r="D7531" s="43">
        <v>-61.65</v>
      </c>
      <c r="E7531" t="s">
        <v>35</v>
      </c>
      <c r="F7531" s="2">
        <v>212901001</v>
      </c>
      <c r="G7531" s="2" t="s">
        <v>121</v>
      </c>
      <c r="L7531" s="2" t="s">
        <v>13325</v>
      </c>
      <c r="M7531" t="s">
        <v>67</v>
      </c>
      <c r="N7531" t="s">
        <v>68</v>
      </c>
      <c r="P7531" s="23">
        <v>145.75</v>
      </c>
      <c r="Q7531" s="4">
        <f t="shared" si="117"/>
        <v>-0.42298456260720413</v>
      </c>
      <c r="R7531" s="23" t="s">
        <v>109</v>
      </c>
      <c r="U7531">
        <v>25</v>
      </c>
      <c r="V7531" t="e">
        <f>VLOOKUP(U7531,[1]!NOMINA[#Data],4,FALSE)</f>
        <v>#REF!</v>
      </c>
      <c r="W7531" t="e">
        <f>VLOOKUP(U7531,[1]!NOMINA[#Data],5,FALSE)</f>
        <v>#REF!</v>
      </c>
    </row>
    <row r="7532" spans="1:23" x14ac:dyDescent="0.25">
      <c r="A7532" s="21">
        <v>45897</v>
      </c>
      <c r="B7532" s="1">
        <v>717464433</v>
      </c>
      <c r="C7532" t="s">
        <v>13326</v>
      </c>
      <c r="D7532" s="43">
        <v>-61.65</v>
      </c>
      <c r="E7532" t="s">
        <v>35</v>
      </c>
      <c r="F7532" s="2">
        <v>212901001</v>
      </c>
      <c r="G7532" s="2" t="s">
        <v>121</v>
      </c>
      <c r="L7532" s="2" t="s">
        <v>13327</v>
      </c>
      <c r="M7532" t="s">
        <v>67</v>
      </c>
      <c r="N7532" t="s">
        <v>68</v>
      </c>
      <c r="P7532" s="23">
        <v>145.75</v>
      </c>
      <c r="Q7532" s="4">
        <f t="shared" si="117"/>
        <v>-0.42298456260720413</v>
      </c>
      <c r="R7532" s="23" t="s">
        <v>109</v>
      </c>
      <c r="U7532">
        <v>11</v>
      </c>
      <c r="V7532" t="e">
        <f>VLOOKUP(U7532,[1]!NOMINA[#Data],4,FALSE)</f>
        <v>#REF!</v>
      </c>
      <c r="W7532" t="e">
        <f>VLOOKUP(U7532,[1]!NOMINA[#Data],5,FALSE)</f>
        <v>#REF!</v>
      </c>
    </row>
    <row r="7533" spans="1:23" x14ac:dyDescent="0.25">
      <c r="A7533" s="21">
        <v>45897</v>
      </c>
      <c r="B7533" s="1">
        <v>817464437</v>
      </c>
      <c r="C7533" t="s">
        <v>13328</v>
      </c>
      <c r="D7533" s="43">
        <v>-61.65</v>
      </c>
      <c r="E7533" t="s">
        <v>35</v>
      </c>
      <c r="F7533" s="2">
        <v>212901001</v>
      </c>
      <c r="G7533" s="2" t="s">
        <v>121</v>
      </c>
      <c r="L7533" s="2" t="s">
        <v>13329</v>
      </c>
      <c r="M7533" t="s">
        <v>67</v>
      </c>
      <c r="N7533" t="s">
        <v>68</v>
      </c>
      <c r="P7533" s="23">
        <v>145.75</v>
      </c>
      <c r="Q7533" s="4">
        <f t="shared" si="117"/>
        <v>-0.42298456260720413</v>
      </c>
      <c r="R7533" s="23" t="s">
        <v>109</v>
      </c>
      <c r="U7533">
        <v>29</v>
      </c>
      <c r="V7533" t="e">
        <f>VLOOKUP(U7533,[1]!NOMINA[#Data],4,FALSE)</f>
        <v>#REF!</v>
      </c>
      <c r="W7533" t="e">
        <f>VLOOKUP(U7533,[1]!NOMINA[#Data],5,FALSE)</f>
        <v>#REF!</v>
      </c>
    </row>
    <row r="7534" spans="1:23" x14ac:dyDescent="0.25">
      <c r="A7534" s="21">
        <v>45897</v>
      </c>
      <c r="B7534" s="1">
        <v>817464438</v>
      </c>
      <c r="C7534" t="s">
        <v>13330</v>
      </c>
      <c r="D7534" s="43">
        <v>-61.65</v>
      </c>
      <c r="E7534" t="s">
        <v>35</v>
      </c>
      <c r="F7534" s="2">
        <v>212901001</v>
      </c>
      <c r="G7534" s="2" t="s">
        <v>121</v>
      </c>
      <c r="L7534" s="2" t="s">
        <v>13331</v>
      </c>
      <c r="M7534" t="s">
        <v>67</v>
      </c>
      <c r="N7534" t="s">
        <v>68</v>
      </c>
      <c r="P7534" s="23">
        <v>145.75</v>
      </c>
      <c r="Q7534" s="4">
        <f t="shared" si="117"/>
        <v>-0.42298456260720413</v>
      </c>
      <c r="R7534" s="23" t="s">
        <v>109</v>
      </c>
      <c r="U7534">
        <v>10</v>
      </c>
      <c r="V7534" t="e">
        <f>VLOOKUP(U7534,[1]!NOMINA[#Data],4,FALSE)</f>
        <v>#REF!</v>
      </c>
      <c r="W7534" t="e">
        <f>VLOOKUP(U7534,[1]!NOMINA[#Data],5,FALSE)</f>
        <v>#REF!</v>
      </c>
    </row>
    <row r="7535" spans="1:23" x14ac:dyDescent="0.25">
      <c r="A7535" s="21">
        <v>45897</v>
      </c>
      <c r="B7535" s="1">
        <v>817464439</v>
      </c>
      <c r="C7535" t="s">
        <v>13332</v>
      </c>
      <c r="D7535" s="43">
        <v>-61.65</v>
      </c>
      <c r="E7535" t="s">
        <v>35</v>
      </c>
      <c r="F7535" s="2">
        <v>212901001</v>
      </c>
      <c r="G7535" s="2" t="s">
        <v>121</v>
      </c>
      <c r="L7535" s="2" t="s">
        <v>13333</v>
      </c>
      <c r="M7535" t="s">
        <v>67</v>
      </c>
      <c r="N7535" t="s">
        <v>68</v>
      </c>
      <c r="P7535" s="23">
        <v>145.75</v>
      </c>
      <c r="Q7535" s="4">
        <f t="shared" si="117"/>
        <v>-0.42298456260720413</v>
      </c>
      <c r="R7535" s="23" t="s">
        <v>109</v>
      </c>
      <c r="U7535">
        <v>9</v>
      </c>
      <c r="V7535" t="e">
        <f>VLOOKUP(U7535,[1]!NOMINA[#Data],4,FALSE)</f>
        <v>#REF!</v>
      </c>
      <c r="W7535" t="e">
        <f>VLOOKUP(U7535,[1]!NOMINA[#Data],5,FALSE)</f>
        <v>#REF!</v>
      </c>
    </row>
    <row r="7536" spans="1:23" x14ac:dyDescent="0.25">
      <c r="A7536" s="21">
        <v>45897</v>
      </c>
      <c r="B7536" s="1">
        <v>50834462</v>
      </c>
      <c r="C7536" t="s">
        <v>118</v>
      </c>
      <c r="D7536" s="43">
        <v>-2199.37</v>
      </c>
      <c r="E7536" t="s">
        <v>35</v>
      </c>
      <c r="F7536" s="2">
        <v>610148001</v>
      </c>
      <c r="G7536" s="2" t="s">
        <v>42</v>
      </c>
      <c r="L7536" s="2" t="s">
        <v>13334</v>
      </c>
      <c r="M7536" t="s">
        <v>43</v>
      </c>
      <c r="N7536" t="s">
        <v>42</v>
      </c>
      <c r="P7536" s="23">
        <v>145.75</v>
      </c>
      <c r="Q7536" s="4">
        <f t="shared" si="117"/>
        <v>-15.090017152658662</v>
      </c>
      <c r="R7536" s="23" t="s">
        <v>109</v>
      </c>
      <c r="T7536" s="23" t="s">
        <v>12141</v>
      </c>
    </row>
    <row r="7537" spans="1:20" x14ac:dyDescent="0.25">
      <c r="A7537" s="21">
        <v>45898</v>
      </c>
      <c r="B7537" s="1">
        <v>748139609</v>
      </c>
      <c r="C7537" t="s">
        <v>12861</v>
      </c>
      <c r="D7537" s="43">
        <v>200000</v>
      </c>
      <c r="E7537" t="s">
        <v>46</v>
      </c>
      <c r="F7537" s="2">
        <v>210115002</v>
      </c>
      <c r="G7537" s="2" t="s">
        <v>47</v>
      </c>
      <c r="L7537" s="2" t="s">
        <v>13335</v>
      </c>
      <c r="N7537" t="s">
        <v>12861</v>
      </c>
      <c r="P7537" s="23">
        <v>147.08000000000001</v>
      </c>
      <c r="Q7537" s="4">
        <f t="shared" si="117"/>
        <v>1359.8041881968995</v>
      </c>
      <c r="R7537" s="23" t="s">
        <v>109</v>
      </c>
    </row>
    <row r="7538" spans="1:20" x14ac:dyDescent="0.25">
      <c r="A7538" s="21">
        <v>45898</v>
      </c>
      <c r="B7538" s="1">
        <v>476839440</v>
      </c>
      <c r="C7538" t="s">
        <v>12861</v>
      </c>
      <c r="D7538" s="43">
        <v>200000</v>
      </c>
      <c r="E7538" t="s">
        <v>46</v>
      </c>
      <c r="F7538" s="2">
        <v>210115002</v>
      </c>
      <c r="G7538" s="2" t="s">
        <v>47</v>
      </c>
      <c r="L7538" s="2" t="s">
        <v>13336</v>
      </c>
      <c r="N7538" t="s">
        <v>12861</v>
      </c>
      <c r="P7538" s="23">
        <v>147.08000000000001</v>
      </c>
      <c r="Q7538" s="4">
        <f t="shared" si="117"/>
        <v>1359.8041881968995</v>
      </c>
      <c r="R7538" s="23" t="s">
        <v>109</v>
      </c>
    </row>
    <row r="7539" spans="1:20" x14ac:dyDescent="0.25">
      <c r="A7539" s="21">
        <v>45898</v>
      </c>
      <c r="B7539" s="1">
        <v>71810272</v>
      </c>
      <c r="C7539" t="s">
        <v>12861</v>
      </c>
      <c r="D7539" s="43">
        <v>200000</v>
      </c>
      <c r="E7539" t="s">
        <v>46</v>
      </c>
      <c r="F7539" s="2">
        <v>210115002</v>
      </c>
      <c r="G7539" s="2" t="s">
        <v>47</v>
      </c>
      <c r="L7539" s="2" t="s">
        <v>13337</v>
      </c>
      <c r="N7539" t="s">
        <v>12861</v>
      </c>
      <c r="P7539" s="23">
        <v>147.08000000000001</v>
      </c>
      <c r="Q7539" s="4">
        <f t="shared" si="117"/>
        <v>1359.8041881968995</v>
      </c>
      <c r="R7539" s="23" t="s">
        <v>109</v>
      </c>
    </row>
    <row r="7540" spans="1:20" x14ac:dyDescent="0.25">
      <c r="A7540" s="32">
        <v>45898</v>
      </c>
      <c r="B7540" s="26">
        <v>717497699</v>
      </c>
      <c r="C7540" s="27" t="s">
        <v>54</v>
      </c>
      <c r="D7540" s="46">
        <v>-17649.599999999999</v>
      </c>
      <c r="E7540" s="27" t="s">
        <v>35</v>
      </c>
      <c r="F7540" s="29">
        <v>610129001</v>
      </c>
      <c r="G7540" s="29" t="s">
        <v>55</v>
      </c>
      <c r="H7540" s="107"/>
      <c r="I7540" s="101"/>
      <c r="J7540" s="101"/>
      <c r="K7540" s="29"/>
      <c r="L7540" s="2" t="s">
        <v>13338</v>
      </c>
      <c r="M7540" s="27" t="s">
        <v>57</v>
      </c>
      <c r="N7540" s="27" t="s">
        <v>58</v>
      </c>
      <c r="O7540" s="27" t="s">
        <v>59</v>
      </c>
      <c r="P7540" s="31">
        <v>147.08000000000001</v>
      </c>
      <c r="Q7540" s="4">
        <f t="shared" si="117"/>
        <v>-119.99999999999999</v>
      </c>
      <c r="R7540" s="23" t="s">
        <v>109</v>
      </c>
      <c r="T7540" s="23" t="s">
        <v>13339</v>
      </c>
    </row>
    <row r="7541" spans="1:20" x14ac:dyDescent="0.25">
      <c r="A7541" s="21">
        <v>45898</v>
      </c>
      <c r="B7541" s="1">
        <v>717497700</v>
      </c>
      <c r="C7541" t="s">
        <v>13340</v>
      </c>
      <c r="D7541" s="84">
        <v>-14708</v>
      </c>
      <c r="E7541" t="s">
        <v>35</v>
      </c>
      <c r="F7541" s="2">
        <v>610124003</v>
      </c>
      <c r="G7541" s="2" t="s">
        <v>101</v>
      </c>
      <c r="L7541" s="2" t="s">
        <v>13341</v>
      </c>
      <c r="M7541" t="s">
        <v>103</v>
      </c>
      <c r="N7541" t="s">
        <v>104</v>
      </c>
      <c r="O7541" s="27" t="s">
        <v>59</v>
      </c>
      <c r="P7541" s="23">
        <v>147.08000000000001</v>
      </c>
      <c r="Q7541" s="4">
        <f t="shared" si="117"/>
        <v>-99.999999999999986</v>
      </c>
      <c r="R7541" s="23" t="s">
        <v>109</v>
      </c>
      <c r="T7541" s="23" t="s">
        <v>13342</v>
      </c>
    </row>
    <row r="7542" spans="1:20" x14ac:dyDescent="0.25">
      <c r="A7542" s="21">
        <v>45898</v>
      </c>
      <c r="B7542" s="1">
        <v>717497704</v>
      </c>
      <c r="C7542" t="s">
        <v>13343</v>
      </c>
      <c r="D7542" s="43">
        <v>-1470.8</v>
      </c>
      <c r="E7542" t="s">
        <v>35</v>
      </c>
      <c r="F7542" s="2">
        <v>212901001</v>
      </c>
      <c r="G7542" s="2" t="s">
        <v>121</v>
      </c>
      <c r="L7542" s="2" t="s">
        <v>13344</v>
      </c>
      <c r="M7542" t="s">
        <v>67</v>
      </c>
      <c r="N7542" t="s">
        <v>68</v>
      </c>
      <c r="P7542" s="23">
        <v>147.08000000000001</v>
      </c>
      <c r="Q7542" s="4">
        <f t="shared" si="117"/>
        <v>-9.9999999999999982</v>
      </c>
      <c r="R7542" s="23" t="s">
        <v>109</v>
      </c>
    </row>
    <row r="7543" spans="1:20" x14ac:dyDescent="0.25">
      <c r="A7543" s="21">
        <v>45898</v>
      </c>
      <c r="B7543" s="1">
        <v>717497703</v>
      </c>
      <c r="C7543" t="s">
        <v>13345</v>
      </c>
      <c r="D7543" s="43">
        <v>-14708</v>
      </c>
      <c r="E7543" t="s">
        <v>35</v>
      </c>
      <c r="F7543" s="2">
        <v>212901001</v>
      </c>
      <c r="G7543" s="2" t="s">
        <v>121</v>
      </c>
      <c r="L7543" s="2" t="s">
        <v>13346</v>
      </c>
      <c r="M7543" t="s">
        <v>67</v>
      </c>
      <c r="N7543" t="s">
        <v>68</v>
      </c>
      <c r="P7543" s="23">
        <v>147.08000000000001</v>
      </c>
      <c r="Q7543" s="4">
        <f t="shared" si="117"/>
        <v>-99.999999999999986</v>
      </c>
      <c r="R7543" s="23" t="s">
        <v>109</v>
      </c>
    </row>
    <row r="7544" spans="1:20" x14ac:dyDescent="0.25">
      <c r="A7544" s="21">
        <v>45898</v>
      </c>
      <c r="B7544" s="1">
        <v>717497702</v>
      </c>
      <c r="C7544" t="s">
        <v>13347</v>
      </c>
      <c r="D7544" s="43">
        <v>-14708</v>
      </c>
      <c r="E7544" t="s">
        <v>35</v>
      </c>
      <c r="F7544" s="2">
        <v>212901001</v>
      </c>
      <c r="G7544" s="2" t="s">
        <v>121</v>
      </c>
      <c r="L7544" s="2" t="s">
        <v>13348</v>
      </c>
      <c r="M7544" t="s">
        <v>67</v>
      </c>
      <c r="N7544" t="s">
        <v>68</v>
      </c>
      <c r="P7544" s="23">
        <v>147.08000000000001</v>
      </c>
      <c r="Q7544" s="4">
        <f t="shared" si="117"/>
        <v>-99.999999999999986</v>
      </c>
      <c r="R7544" s="23" t="s">
        <v>109</v>
      </c>
    </row>
    <row r="7545" spans="1:20" x14ac:dyDescent="0.25">
      <c r="A7545" s="21">
        <v>45898</v>
      </c>
      <c r="B7545" s="1">
        <v>717497705</v>
      </c>
      <c r="C7545" t="s">
        <v>13349</v>
      </c>
      <c r="D7545" s="43">
        <v>-2941.6</v>
      </c>
      <c r="E7545" t="s">
        <v>35</v>
      </c>
      <c r="F7545" s="2">
        <v>212901001</v>
      </c>
      <c r="G7545" s="2" t="s">
        <v>121</v>
      </c>
      <c r="L7545" s="2" t="s">
        <v>13350</v>
      </c>
      <c r="M7545" t="s">
        <v>67</v>
      </c>
      <c r="N7545" t="s">
        <v>68</v>
      </c>
      <c r="P7545" s="23">
        <v>147.08000000000001</v>
      </c>
      <c r="Q7545" s="4">
        <f t="shared" si="117"/>
        <v>-19.999999999999996</v>
      </c>
      <c r="R7545" s="23" t="s">
        <v>109</v>
      </c>
    </row>
    <row r="7546" spans="1:20" x14ac:dyDescent="0.25">
      <c r="A7546" s="21">
        <v>45898</v>
      </c>
      <c r="B7546" s="1">
        <v>717497706</v>
      </c>
      <c r="C7546" t="s">
        <v>13351</v>
      </c>
      <c r="D7546" s="43">
        <v>-2941.6</v>
      </c>
      <c r="E7546" t="s">
        <v>35</v>
      </c>
      <c r="F7546" s="2">
        <v>212901001</v>
      </c>
      <c r="G7546" s="2" t="s">
        <v>121</v>
      </c>
      <c r="L7546" s="2" t="s">
        <v>13352</v>
      </c>
      <c r="M7546" t="s">
        <v>67</v>
      </c>
      <c r="N7546" t="s">
        <v>68</v>
      </c>
      <c r="P7546" s="23">
        <v>147.08000000000001</v>
      </c>
      <c r="Q7546" s="4">
        <f t="shared" si="117"/>
        <v>-19.999999999999996</v>
      </c>
      <c r="R7546" s="23" t="s">
        <v>109</v>
      </c>
    </row>
    <row r="7547" spans="1:20" x14ac:dyDescent="0.25">
      <c r="A7547" s="21">
        <v>45898</v>
      </c>
      <c r="B7547" s="1">
        <v>817497707</v>
      </c>
      <c r="C7547" t="s">
        <v>13353</v>
      </c>
      <c r="D7547" s="43">
        <v>-2941.6</v>
      </c>
      <c r="E7547" t="s">
        <v>35</v>
      </c>
      <c r="F7547" s="2">
        <v>212901001</v>
      </c>
      <c r="G7547" s="2" t="s">
        <v>121</v>
      </c>
      <c r="L7547" s="2" t="s">
        <v>13354</v>
      </c>
      <c r="M7547" t="s">
        <v>67</v>
      </c>
      <c r="N7547" t="s">
        <v>68</v>
      </c>
      <c r="P7547" s="23">
        <v>147.08000000000001</v>
      </c>
      <c r="Q7547" s="4">
        <f t="shared" si="117"/>
        <v>-19.999999999999996</v>
      </c>
      <c r="R7547" s="23" t="s">
        <v>109</v>
      </c>
    </row>
    <row r="7548" spans="1:20" x14ac:dyDescent="0.25">
      <c r="A7548" s="32">
        <v>45898</v>
      </c>
      <c r="B7548" s="26">
        <v>817497709</v>
      </c>
      <c r="C7548" s="27" t="s">
        <v>13355</v>
      </c>
      <c r="D7548" s="46">
        <v>-46330.2</v>
      </c>
      <c r="E7548" s="27" t="s">
        <v>35</v>
      </c>
      <c r="F7548" s="29">
        <v>610156001</v>
      </c>
      <c r="G7548" s="29" t="s">
        <v>91</v>
      </c>
      <c r="H7548" s="107"/>
      <c r="I7548" s="101"/>
      <c r="J7548" s="101"/>
      <c r="K7548" s="29"/>
      <c r="L7548" s="2" t="s">
        <v>13356</v>
      </c>
      <c r="M7548" s="27" t="s">
        <v>5015</v>
      </c>
      <c r="N7548" s="27" t="s">
        <v>1240</v>
      </c>
      <c r="O7548" s="27" t="s">
        <v>59</v>
      </c>
      <c r="P7548" s="31">
        <v>147.08000000000001</v>
      </c>
      <c r="Q7548" s="4">
        <f t="shared" si="117"/>
        <v>-314.99999999999994</v>
      </c>
      <c r="R7548" s="23" t="s">
        <v>109</v>
      </c>
      <c r="T7548" s="23" t="s">
        <v>13357</v>
      </c>
    </row>
    <row r="7549" spans="1:20" x14ac:dyDescent="0.25">
      <c r="A7549" s="32">
        <v>45898</v>
      </c>
      <c r="B7549" s="26">
        <v>817497711</v>
      </c>
      <c r="C7549" s="27" t="s">
        <v>13358</v>
      </c>
      <c r="D7549" s="46">
        <v>-17649.599999999999</v>
      </c>
      <c r="E7549" s="27" t="s">
        <v>35</v>
      </c>
      <c r="F7549" s="29">
        <v>610156001</v>
      </c>
      <c r="G7549" s="29" t="s">
        <v>91</v>
      </c>
      <c r="H7549" s="107"/>
      <c r="I7549" s="101"/>
      <c r="J7549" s="101"/>
      <c r="K7549" s="29"/>
      <c r="L7549" s="2" t="s">
        <v>13359</v>
      </c>
      <c r="M7549" s="27" t="s">
        <v>93</v>
      </c>
      <c r="N7549" s="27" t="s">
        <v>94</v>
      </c>
      <c r="O7549" s="27" t="s">
        <v>59</v>
      </c>
      <c r="P7549" s="31">
        <v>147.08000000000001</v>
      </c>
      <c r="Q7549" s="4">
        <f t="shared" si="117"/>
        <v>-119.99999999999999</v>
      </c>
      <c r="R7549" s="23" t="s">
        <v>109</v>
      </c>
      <c r="T7549" s="23" t="s">
        <v>13360</v>
      </c>
    </row>
    <row r="7550" spans="1:20" x14ac:dyDescent="0.25">
      <c r="A7550" s="21">
        <v>45898</v>
      </c>
      <c r="B7550" s="1">
        <v>817497712</v>
      </c>
      <c r="C7550" t="s">
        <v>10983</v>
      </c>
      <c r="D7550" s="43">
        <v>-14650.35</v>
      </c>
      <c r="E7550" t="s">
        <v>35</v>
      </c>
      <c r="F7550" s="2">
        <v>110101002</v>
      </c>
      <c r="G7550" s="2" t="s">
        <v>6359</v>
      </c>
      <c r="L7550" s="2" t="s">
        <v>13361</v>
      </c>
      <c r="N7550" t="s">
        <v>7557</v>
      </c>
      <c r="P7550" s="23">
        <v>147.08000000000001</v>
      </c>
      <c r="Q7550" s="4">
        <f t="shared" si="117"/>
        <v>-99.608036442752237</v>
      </c>
      <c r="R7550" s="23" t="s">
        <v>109</v>
      </c>
    </row>
    <row r="7551" spans="1:20" x14ac:dyDescent="0.25">
      <c r="A7551" s="21">
        <v>45898</v>
      </c>
      <c r="B7551" s="1">
        <v>817497708</v>
      </c>
      <c r="C7551" t="s">
        <v>13362</v>
      </c>
      <c r="D7551" s="43">
        <v>-2941.6</v>
      </c>
      <c r="E7551" t="s">
        <v>35</v>
      </c>
      <c r="F7551" s="2">
        <v>212901001</v>
      </c>
      <c r="G7551" s="2" t="s">
        <v>121</v>
      </c>
      <c r="L7551" s="2" t="s">
        <v>13363</v>
      </c>
      <c r="M7551" t="s">
        <v>67</v>
      </c>
      <c r="N7551" t="s">
        <v>68</v>
      </c>
      <c r="P7551" s="23">
        <v>147.08000000000001</v>
      </c>
      <c r="Q7551" s="4">
        <f t="shared" si="117"/>
        <v>-19.999999999999996</v>
      </c>
      <c r="R7551" s="23" t="s">
        <v>109</v>
      </c>
    </row>
    <row r="7552" spans="1:20" x14ac:dyDescent="0.25">
      <c r="A7552" s="21">
        <v>45898</v>
      </c>
      <c r="B7552" s="1">
        <v>817497714</v>
      </c>
      <c r="C7552" t="s">
        <v>13364</v>
      </c>
      <c r="D7552" s="43">
        <v>-216207.6</v>
      </c>
      <c r="E7552" t="s">
        <v>35</v>
      </c>
      <c r="F7552" s="2">
        <v>210101001</v>
      </c>
      <c r="G7552" s="2" t="s">
        <v>36</v>
      </c>
      <c r="L7552" s="2" t="s">
        <v>13365</v>
      </c>
      <c r="M7552" t="s">
        <v>2645</v>
      </c>
      <c r="N7552" t="s">
        <v>1187</v>
      </c>
      <c r="P7552" s="23">
        <v>147.08000000000001</v>
      </c>
      <c r="Q7552" s="4">
        <f t="shared" si="117"/>
        <v>-1470</v>
      </c>
      <c r="R7552" s="23" t="s">
        <v>109</v>
      </c>
    </row>
    <row r="7553" spans="1:20" x14ac:dyDescent="0.25">
      <c r="A7553" s="21">
        <v>45898</v>
      </c>
      <c r="B7553" s="1">
        <v>50848993</v>
      </c>
      <c r="C7553" t="s">
        <v>118</v>
      </c>
      <c r="D7553" s="43">
        <v>-924.62</v>
      </c>
      <c r="E7553" t="s">
        <v>35</v>
      </c>
      <c r="F7553" s="2">
        <v>610148001</v>
      </c>
      <c r="G7553" s="2" t="s">
        <v>42</v>
      </c>
      <c r="L7553" s="2" t="s">
        <v>13366</v>
      </c>
      <c r="M7553" t="s">
        <v>43</v>
      </c>
      <c r="N7553" t="s">
        <v>42</v>
      </c>
      <c r="P7553" s="23">
        <v>147.08000000000001</v>
      </c>
      <c r="Q7553" s="4">
        <f t="shared" si="117"/>
        <v>-6.2865107424530864</v>
      </c>
      <c r="R7553" s="23" t="s">
        <v>109</v>
      </c>
      <c r="T7553" s="23" t="s">
        <v>12141</v>
      </c>
    </row>
    <row r="7554" spans="1:20" x14ac:dyDescent="0.25">
      <c r="A7554" s="21">
        <v>45898</v>
      </c>
      <c r="B7554" s="1">
        <v>50848993</v>
      </c>
      <c r="C7554" t="s">
        <v>1565</v>
      </c>
      <c r="D7554" s="43">
        <v>-0.13</v>
      </c>
      <c r="E7554" t="s">
        <v>35</v>
      </c>
      <c r="F7554" s="2">
        <v>610148001</v>
      </c>
      <c r="G7554" s="2" t="s">
        <v>42</v>
      </c>
      <c r="L7554" s="2" t="s">
        <v>13367</v>
      </c>
      <c r="M7554" t="s">
        <v>43</v>
      </c>
      <c r="N7554" t="s">
        <v>42</v>
      </c>
      <c r="P7554" s="23">
        <v>147.08000000000001</v>
      </c>
      <c r="Q7554" s="4">
        <f t="shared" si="117"/>
        <v>-8.8387272232798471E-4</v>
      </c>
      <c r="R7554" s="23" t="s">
        <v>109</v>
      </c>
      <c r="T7554" s="23" t="s">
        <v>12141</v>
      </c>
    </row>
    <row r="7555" spans="1:20" x14ac:dyDescent="0.25">
      <c r="A7555" s="21">
        <v>45898</v>
      </c>
      <c r="B7555" s="1">
        <v>17505269</v>
      </c>
      <c r="C7555" t="s">
        <v>13368</v>
      </c>
      <c r="D7555" s="43">
        <v>-100602.72</v>
      </c>
      <c r="E7555" t="s">
        <v>35</v>
      </c>
      <c r="F7555" s="2">
        <v>110114001</v>
      </c>
      <c r="G7555" s="2" t="s">
        <v>301</v>
      </c>
      <c r="L7555" s="2" t="s">
        <v>13369</v>
      </c>
      <c r="M7555" t="s">
        <v>714</v>
      </c>
      <c r="N7555" t="s">
        <v>715</v>
      </c>
      <c r="P7555" s="23">
        <v>147.08000000000001</v>
      </c>
      <c r="Q7555" s="4">
        <f t="shared" si="117"/>
        <v>-684</v>
      </c>
      <c r="R7555" s="23" t="s">
        <v>109</v>
      </c>
    </row>
    <row r="7556" spans="1:20" x14ac:dyDescent="0.25">
      <c r="A7556" s="21">
        <v>45898</v>
      </c>
      <c r="B7556" s="1">
        <v>17505269</v>
      </c>
      <c r="C7556" t="s">
        <v>306</v>
      </c>
      <c r="D7556" s="43">
        <v>-301.81</v>
      </c>
      <c r="E7556" t="s">
        <v>35</v>
      </c>
      <c r="F7556" s="2">
        <v>610148001</v>
      </c>
      <c r="G7556" s="2" t="s">
        <v>42</v>
      </c>
      <c r="L7556" s="2" t="s">
        <v>13370</v>
      </c>
      <c r="M7556" t="s">
        <v>43</v>
      </c>
      <c r="N7556" t="s">
        <v>42</v>
      </c>
      <c r="P7556" s="23">
        <v>147.08000000000001</v>
      </c>
      <c r="Q7556" s="4">
        <f t="shared" si="117"/>
        <v>-2.0520125101985314</v>
      </c>
      <c r="R7556" s="23" t="s">
        <v>109</v>
      </c>
      <c r="T7556" s="23" t="s">
        <v>12141</v>
      </c>
    </row>
    <row r="7557" spans="1:20" x14ac:dyDescent="0.25">
      <c r="A7557" s="21">
        <v>45898</v>
      </c>
      <c r="B7557" s="1">
        <v>714141266</v>
      </c>
      <c r="C7557" t="s">
        <v>12861</v>
      </c>
      <c r="D7557" s="43">
        <v>200000</v>
      </c>
      <c r="E7557" t="s">
        <v>46</v>
      </c>
      <c r="F7557" s="2">
        <v>210115002</v>
      </c>
      <c r="G7557" s="2" t="s">
        <v>47</v>
      </c>
      <c r="L7557" s="2" t="s">
        <v>13371</v>
      </c>
      <c r="N7557" t="s">
        <v>12861</v>
      </c>
      <c r="P7557" s="23">
        <v>147.08000000000001</v>
      </c>
      <c r="Q7557" s="4">
        <f t="shared" si="117"/>
        <v>1359.8041881968995</v>
      </c>
      <c r="R7557" s="23" t="s">
        <v>109</v>
      </c>
    </row>
    <row r="7558" spans="1:20" x14ac:dyDescent="0.25">
      <c r="A7558" s="21">
        <v>45898</v>
      </c>
      <c r="B7558" s="1">
        <v>577790110</v>
      </c>
      <c r="C7558" t="s">
        <v>12861</v>
      </c>
      <c r="D7558" s="43">
        <v>200000</v>
      </c>
      <c r="E7558" t="s">
        <v>46</v>
      </c>
      <c r="F7558" s="2">
        <v>210115002</v>
      </c>
      <c r="G7558" s="2" t="s">
        <v>47</v>
      </c>
      <c r="L7558" s="2" t="s">
        <v>13372</v>
      </c>
      <c r="N7558" t="s">
        <v>12861</v>
      </c>
      <c r="P7558" s="23">
        <v>147.08000000000001</v>
      </c>
      <c r="Q7558" s="4">
        <f t="shared" si="117"/>
        <v>1359.8041881968995</v>
      </c>
      <c r="R7558" s="23" t="s">
        <v>109</v>
      </c>
    </row>
    <row r="7559" spans="1:20" x14ac:dyDescent="0.25">
      <c r="A7559" s="21">
        <v>45898</v>
      </c>
      <c r="B7559" s="1">
        <v>362474263</v>
      </c>
      <c r="C7559" t="s">
        <v>12861</v>
      </c>
      <c r="D7559" s="43">
        <v>200000</v>
      </c>
      <c r="E7559" t="s">
        <v>46</v>
      </c>
      <c r="F7559" s="2">
        <v>210115002</v>
      </c>
      <c r="G7559" s="2" t="s">
        <v>47</v>
      </c>
      <c r="L7559" s="2" t="s">
        <v>13373</v>
      </c>
      <c r="N7559" t="s">
        <v>12861</v>
      </c>
      <c r="P7559" s="23">
        <v>147.08000000000001</v>
      </c>
      <c r="Q7559" s="4">
        <f t="shared" si="117"/>
        <v>1359.8041881968995</v>
      </c>
      <c r="R7559" s="23" t="s">
        <v>109</v>
      </c>
    </row>
    <row r="7560" spans="1:20" x14ac:dyDescent="0.25">
      <c r="A7560" s="21">
        <v>45898</v>
      </c>
      <c r="B7560" s="1">
        <v>258327883</v>
      </c>
      <c r="C7560" t="s">
        <v>12861</v>
      </c>
      <c r="D7560" s="43">
        <v>200000</v>
      </c>
      <c r="E7560" t="s">
        <v>46</v>
      </c>
      <c r="F7560" s="2">
        <v>210115002</v>
      </c>
      <c r="G7560" s="2" t="s">
        <v>47</v>
      </c>
      <c r="L7560" s="2" t="s">
        <v>13374</v>
      </c>
      <c r="N7560" t="s">
        <v>12861</v>
      </c>
      <c r="P7560" s="23">
        <v>147.08000000000001</v>
      </c>
      <c r="Q7560" s="4">
        <f t="shared" si="117"/>
        <v>1359.8041881968995</v>
      </c>
      <c r="R7560" s="23" t="s">
        <v>109</v>
      </c>
    </row>
    <row r="7561" spans="1:20" x14ac:dyDescent="0.25">
      <c r="A7561" s="21">
        <v>45898</v>
      </c>
      <c r="B7561" s="1">
        <v>159904805</v>
      </c>
      <c r="C7561" t="s">
        <v>12861</v>
      </c>
      <c r="D7561" s="43">
        <v>200000</v>
      </c>
      <c r="E7561" t="s">
        <v>46</v>
      </c>
      <c r="F7561" s="2">
        <v>210115002</v>
      </c>
      <c r="G7561" s="2" t="s">
        <v>47</v>
      </c>
      <c r="L7561" s="2" t="s">
        <v>13375</v>
      </c>
      <c r="N7561" t="s">
        <v>12861</v>
      </c>
      <c r="P7561" s="23">
        <v>147.08000000000001</v>
      </c>
      <c r="Q7561" s="4">
        <f t="shared" si="117"/>
        <v>1359.8041881968995</v>
      </c>
      <c r="R7561" s="23" t="s">
        <v>109</v>
      </c>
    </row>
    <row r="7562" spans="1:20" x14ac:dyDescent="0.25">
      <c r="A7562" s="21">
        <v>45898</v>
      </c>
      <c r="B7562" s="1">
        <v>448460833</v>
      </c>
      <c r="C7562" t="s">
        <v>12861</v>
      </c>
      <c r="D7562" s="43">
        <v>200000</v>
      </c>
      <c r="E7562" t="s">
        <v>46</v>
      </c>
      <c r="F7562" s="2">
        <v>210115002</v>
      </c>
      <c r="G7562" s="2" t="s">
        <v>47</v>
      </c>
      <c r="L7562" s="2" t="s">
        <v>13376</v>
      </c>
      <c r="N7562" t="s">
        <v>12861</v>
      </c>
      <c r="P7562" s="23">
        <v>147.08000000000001</v>
      </c>
      <c r="Q7562" s="4">
        <f t="shared" si="117"/>
        <v>1359.8041881968995</v>
      </c>
      <c r="R7562" s="23" t="s">
        <v>109</v>
      </c>
    </row>
    <row r="7563" spans="1:20" x14ac:dyDescent="0.25">
      <c r="A7563" s="21">
        <v>45898</v>
      </c>
      <c r="B7563" s="1">
        <v>317524069</v>
      </c>
      <c r="C7563" t="s">
        <v>13377</v>
      </c>
      <c r="D7563" s="43">
        <v>-17490</v>
      </c>
      <c r="E7563" t="s">
        <v>35</v>
      </c>
      <c r="F7563" s="2">
        <v>212901001</v>
      </c>
      <c r="G7563" s="2" t="s">
        <v>121</v>
      </c>
      <c r="L7563" s="2" t="s">
        <v>13378</v>
      </c>
      <c r="M7563" t="s">
        <v>67</v>
      </c>
      <c r="N7563" t="s">
        <v>68</v>
      </c>
      <c r="P7563" s="23">
        <v>147.08000000000001</v>
      </c>
      <c r="Q7563" s="4">
        <f t="shared" ref="Q7563:Q7626" si="118">D7563/P7563</f>
        <v>-118.91487625781886</v>
      </c>
      <c r="R7563" s="23" t="s">
        <v>109</v>
      </c>
    </row>
    <row r="7564" spans="1:20" x14ac:dyDescent="0.25">
      <c r="A7564" s="21">
        <v>45898</v>
      </c>
      <c r="B7564" s="1">
        <v>317524072</v>
      </c>
      <c r="C7564" t="s">
        <v>13379</v>
      </c>
      <c r="D7564" s="43">
        <v>-14575</v>
      </c>
      <c r="E7564" t="s">
        <v>35</v>
      </c>
      <c r="F7564" s="2">
        <v>212901001</v>
      </c>
      <c r="G7564" s="2" t="s">
        <v>121</v>
      </c>
      <c r="L7564" s="2" t="s">
        <v>13380</v>
      </c>
      <c r="M7564" t="s">
        <v>67</v>
      </c>
      <c r="N7564" t="s">
        <v>68</v>
      </c>
      <c r="P7564" s="23">
        <v>147.08000000000001</v>
      </c>
      <c r="Q7564" s="4">
        <f t="shared" si="118"/>
        <v>-99.095730214849056</v>
      </c>
      <c r="R7564" s="23" t="s">
        <v>109</v>
      </c>
    </row>
    <row r="7565" spans="1:20" x14ac:dyDescent="0.25">
      <c r="A7565" s="21">
        <v>45898</v>
      </c>
      <c r="B7565" s="1">
        <v>317524071</v>
      </c>
      <c r="C7565" t="s">
        <v>13381</v>
      </c>
      <c r="D7565" s="43">
        <v>-14575</v>
      </c>
      <c r="E7565" t="s">
        <v>35</v>
      </c>
      <c r="F7565" s="2">
        <v>212901001</v>
      </c>
      <c r="G7565" s="2" t="s">
        <v>121</v>
      </c>
      <c r="L7565" s="2" t="s">
        <v>13382</v>
      </c>
      <c r="M7565" t="s">
        <v>67</v>
      </c>
      <c r="N7565" t="s">
        <v>68</v>
      </c>
      <c r="P7565" s="23">
        <v>147.08000000000001</v>
      </c>
      <c r="Q7565" s="4">
        <f t="shared" si="118"/>
        <v>-99.095730214849056</v>
      </c>
      <c r="R7565" s="23" t="s">
        <v>109</v>
      </c>
    </row>
    <row r="7566" spans="1:20" x14ac:dyDescent="0.25">
      <c r="A7566" s="21">
        <v>45898</v>
      </c>
      <c r="B7566" s="1">
        <v>417524073</v>
      </c>
      <c r="C7566" t="s">
        <v>13383</v>
      </c>
      <c r="D7566" s="43">
        <v>-14575</v>
      </c>
      <c r="E7566" t="s">
        <v>35</v>
      </c>
      <c r="F7566" s="2">
        <v>212901001</v>
      </c>
      <c r="G7566" s="2" t="s">
        <v>121</v>
      </c>
      <c r="L7566" s="2" t="s">
        <v>13384</v>
      </c>
      <c r="M7566" t="s">
        <v>67</v>
      </c>
      <c r="N7566" t="s">
        <v>68</v>
      </c>
      <c r="P7566" s="23">
        <v>147.08000000000001</v>
      </c>
      <c r="Q7566" s="4">
        <f t="shared" si="118"/>
        <v>-99.095730214849056</v>
      </c>
      <c r="R7566" s="23" t="s">
        <v>109</v>
      </c>
    </row>
    <row r="7567" spans="1:20" x14ac:dyDescent="0.25">
      <c r="A7567" s="21">
        <v>45898</v>
      </c>
      <c r="B7567" s="1">
        <v>417524077</v>
      </c>
      <c r="C7567" t="s">
        <v>13385</v>
      </c>
      <c r="D7567" s="43">
        <v>-14575</v>
      </c>
      <c r="E7567" t="s">
        <v>35</v>
      </c>
      <c r="F7567" s="2">
        <v>212901001</v>
      </c>
      <c r="G7567" s="2" t="s">
        <v>121</v>
      </c>
      <c r="L7567" s="2" t="s">
        <v>13386</v>
      </c>
      <c r="M7567" t="s">
        <v>67</v>
      </c>
      <c r="N7567" t="s">
        <v>68</v>
      </c>
      <c r="P7567" s="23">
        <v>147.08000000000001</v>
      </c>
      <c r="Q7567" s="4">
        <f t="shared" si="118"/>
        <v>-99.095730214849056</v>
      </c>
      <c r="R7567" s="23" t="s">
        <v>109</v>
      </c>
    </row>
    <row r="7568" spans="1:20" x14ac:dyDescent="0.25">
      <c r="A7568" s="21">
        <v>45898</v>
      </c>
      <c r="B7568" s="1">
        <v>417524074</v>
      </c>
      <c r="C7568" t="s">
        <v>13387</v>
      </c>
      <c r="D7568" s="43">
        <v>-14575</v>
      </c>
      <c r="E7568" t="s">
        <v>35</v>
      </c>
      <c r="F7568" s="2">
        <v>212901001</v>
      </c>
      <c r="G7568" s="2" t="s">
        <v>121</v>
      </c>
      <c r="L7568" s="2" t="s">
        <v>13388</v>
      </c>
      <c r="M7568" t="s">
        <v>67</v>
      </c>
      <c r="N7568" t="s">
        <v>68</v>
      </c>
      <c r="P7568" s="23">
        <v>147.08000000000001</v>
      </c>
      <c r="Q7568" s="4">
        <f t="shared" si="118"/>
        <v>-99.095730214849056</v>
      </c>
      <c r="R7568" s="23" t="s">
        <v>109</v>
      </c>
    </row>
    <row r="7569" spans="1:18" x14ac:dyDescent="0.25">
      <c r="A7569" s="21">
        <v>45898</v>
      </c>
      <c r="B7569" s="1">
        <v>417524076</v>
      </c>
      <c r="C7569" t="s">
        <v>13389</v>
      </c>
      <c r="D7569" s="43">
        <v>-14575</v>
      </c>
      <c r="E7569" t="s">
        <v>35</v>
      </c>
      <c r="F7569" s="2">
        <v>212901001</v>
      </c>
      <c r="G7569" s="2" t="s">
        <v>121</v>
      </c>
      <c r="L7569" s="2" t="s">
        <v>13390</v>
      </c>
      <c r="M7569" t="s">
        <v>67</v>
      </c>
      <c r="N7569" t="s">
        <v>68</v>
      </c>
      <c r="P7569" s="23">
        <v>147.08000000000001</v>
      </c>
      <c r="Q7569" s="4">
        <f t="shared" si="118"/>
        <v>-99.095730214849056</v>
      </c>
      <c r="R7569" s="23" t="s">
        <v>109</v>
      </c>
    </row>
    <row r="7570" spans="1:18" x14ac:dyDescent="0.25">
      <c r="A7570" s="21">
        <v>45898</v>
      </c>
      <c r="B7570" s="1">
        <v>417524075</v>
      </c>
      <c r="C7570" t="s">
        <v>13391</v>
      </c>
      <c r="D7570" s="43">
        <v>-14575</v>
      </c>
      <c r="E7570" t="s">
        <v>35</v>
      </c>
      <c r="F7570" s="2">
        <v>212901001</v>
      </c>
      <c r="G7570" s="2" t="s">
        <v>121</v>
      </c>
      <c r="L7570" s="2" t="s">
        <v>13392</v>
      </c>
      <c r="M7570" t="s">
        <v>67</v>
      </c>
      <c r="N7570" t="s">
        <v>68</v>
      </c>
      <c r="P7570" s="23">
        <v>147.08000000000001</v>
      </c>
      <c r="Q7570" s="4">
        <f t="shared" si="118"/>
        <v>-99.095730214849056</v>
      </c>
      <c r="R7570" s="23" t="s">
        <v>109</v>
      </c>
    </row>
    <row r="7571" spans="1:18" x14ac:dyDescent="0.25">
      <c r="A7571" s="21">
        <v>45898</v>
      </c>
      <c r="B7571" s="1">
        <v>417524080</v>
      </c>
      <c r="C7571" t="s">
        <v>13393</v>
      </c>
      <c r="D7571" s="43">
        <v>-14575</v>
      </c>
      <c r="E7571" t="s">
        <v>35</v>
      </c>
      <c r="F7571" s="2">
        <v>212901001</v>
      </c>
      <c r="G7571" s="2" t="s">
        <v>121</v>
      </c>
      <c r="L7571" s="2" t="s">
        <v>13394</v>
      </c>
      <c r="M7571" t="s">
        <v>67</v>
      </c>
      <c r="N7571" t="s">
        <v>68</v>
      </c>
      <c r="P7571" s="23">
        <v>147.08000000000001</v>
      </c>
      <c r="Q7571" s="4">
        <f t="shared" si="118"/>
        <v>-99.095730214849056</v>
      </c>
      <c r="R7571" s="23" t="s">
        <v>109</v>
      </c>
    </row>
    <row r="7572" spans="1:18" x14ac:dyDescent="0.25">
      <c r="A7572" s="21">
        <v>45898</v>
      </c>
      <c r="B7572" s="1">
        <v>417524078</v>
      </c>
      <c r="C7572" t="s">
        <v>13395</v>
      </c>
      <c r="D7572" s="43">
        <v>-14575</v>
      </c>
      <c r="E7572" t="s">
        <v>35</v>
      </c>
      <c r="F7572" s="2">
        <v>212901001</v>
      </c>
      <c r="G7572" s="2" t="s">
        <v>121</v>
      </c>
      <c r="L7572" s="2" t="s">
        <v>13396</v>
      </c>
      <c r="M7572" t="s">
        <v>67</v>
      </c>
      <c r="N7572" t="s">
        <v>68</v>
      </c>
      <c r="P7572" s="23">
        <v>147.08000000000001</v>
      </c>
      <c r="Q7572" s="4">
        <f t="shared" si="118"/>
        <v>-99.095730214849056</v>
      </c>
      <c r="R7572" s="23" t="s">
        <v>109</v>
      </c>
    </row>
    <row r="7573" spans="1:18" x14ac:dyDescent="0.25">
      <c r="A7573" s="21">
        <v>45898</v>
      </c>
      <c r="B7573" s="1">
        <v>517524081</v>
      </c>
      <c r="C7573" t="s">
        <v>13397</v>
      </c>
      <c r="D7573" s="43">
        <v>-14575</v>
      </c>
      <c r="E7573" t="s">
        <v>35</v>
      </c>
      <c r="F7573" s="2">
        <v>212901001</v>
      </c>
      <c r="G7573" s="2" t="s">
        <v>121</v>
      </c>
      <c r="L7573" s="2" t="s">
        <v>13398</v>
      </c>
      <c r="M7573" t="s">
        <v>67</v>
      </c>
      <c r="N7573" t="s">
        <v>68</v>
      </c>
      <c r="P7573" s="23">
        <v>147.08000000000001</v>
      </c>
      <c r="Q7573" s="4">
        <f t="shared" si="118"/>
        <v>-99.095730214849056</v>
      </c>
      <c r="R7573" s="23" t="s">
        <v>109</v>
      </c>
    </row>
    <row r="7574" spans="1:18" x14ac:dyDescent="0.25">
      <c r="A7574" s="21">
        <v>45898</v>
      </c>
      <c r="B7574" s="1">
        <v>517524083</v>
      </c>
      <c r="C7574" t="s">
        <v>13399</v>
      </c>
      <c r="D7574" s="43">
        <v>-14575</v>
      </c>
      <c r="E7574" t="s">
        <v>35</v>
      </c>
      <c r="F7574" s="2">
        <v>212901001</v>
      </c>
      <c r="G7574" s="2" t="s">
        <v>121</v>
      </c>
      <c r="L7574" s="2" t="s">
        <v>13400</v>
      </c>
      <c r="M7574" t="s">
        <v>67</v>
      </c>
      <c r="N7574" t="s">
        <v>68</v>
      </c>
      <c r="P7574" s="23">
        <v>147.08000000000001</v>
      </c>
      <c r="Q7574" s="4">
        <f t="shared" si="118"/>
        <v>-99.095730214849056</v>
      </c>
      <c r="R7574" s="23" t="s">
        <v>109</v>
      </c>
    </row>
    <row r="7575" spans="1:18" x14ac:dyDescent="0.25">
      <c r="A7575" s="21">
        <v>45898</v>
      </c>
      <c r="B7575" s="1">
        <v>417524079</v>
      </c>
      <c r="C7575" t="s">
        <v>13401</v>
      </c>
      <c r="D7575" s="43">
        <v>-14575</v>
      </c>
      <c r="E7575" t="s">
        <v>35</v>
      </c>
      <c r="F7575" s="2">
        <v>212901001</v>
      </c>
      <c r="G7575" s="2" t="s">
        <v>121</v>
      </c>
      <c r="L7575" s="2" t="s">
        <v>13402</v>
      </c>
      <c r="M7575" t="s">
        <v>67</v>
      </c>
      <c r="N7575" t="s">
        <v>68</v>
      </c>
      <c r="P7575" s="23">
        <v>147.08000000000001</v>
      </c>
      <c r="Q7575" s="4">
        <f t="shared" si="118"/>
        <v>-99.095730214849056</v>
      </c>
      <c r="R7575" s="23" t="s">
        <v>109</v>
      </c>
    </row>
    <row r="7576" spans="1:18" x14ac:dyDescent="0.25">
      <c r="A7576" s="21">
        <v>45898</v>
      </c>
      <c r="B7576" s="1">
        <v>517524084</v>
      </c>
      <c r="C7576" t="s">
        <v>13403</v>
      </c>
      <c r="D7576" s="43">
        <v>-14575</v>
      </c>
      <c r="E7576" t="s">
        <v>35</v>
      </c>
      <c r="F7576" s="2">
        <v>212901001</v>
      </c>
      <c r="G7576" s="2" t="s">
        <v>121</v>
      </c>
      <c r="L7576" s="2" t="s">
        <v>13404</v>
      </c>
      <c r="M7576" t="s">
        <v>67</v>
      </c>
      <c r="N7576" t="s">
        <v>68</v>
      </c>
      <c r="P7576" s="23">
        <v>147.08000000000001</v>
      </c>
      <c r="Q7576" s="4">
        <f t="shared" si="118"/>
        <v>-99.095730214849056</v>
      </c>
      <c r="R7576" s="23" t="s">
        <v>109</v>
      </c>
    </row>
    <row r="7577" spans="1:18" x14ac:dyDescent="0.25">
      <c r="A7577" s="21">
        <v>45898</v>
      </c>
      <c r="B7577" s="1">
        <v>517524085</v>
      </c>
      <c r="C7577" t="s">
        <v>13405</v>
      </c>
      <c r="D7577" s="43">
        <v>-14575</v>
      </c>
      <c r="E7577" t="s">
        <v>35</v>
      </c>
      <c r="F7577" s="2">
        <v>212901001</v>
      </c>
      <c r="G7577" s="2" t="s">
        <v>121</v>
      </c>
      <c r="L7577" s="2" t="s">
        <v>13406</v>
      </c>
      <c r="M7577" t="s">
        <v>67</v>
      </c>
      <c r="N7577" t="s">
        <v>68</v>
      </c>
      <c r="P7577" s="23">
        <v>147.08000000000001</v>
      </c>
      <c r="Q7577" s="4">
        <f t="shared" si="118"/>
        <v>-99.095730214849056</v>
      </c>
      <c r="R7577" s="23" t="s">
        <v>109</v>
      </c>
    </row>
    <row r="7578" spans="1:18" x14ac:dyDescent="0.25">
      <c r="A7578" s="21">
        <v>45898</v>
      </c>
      <c r="B7578" s="1">
        <v>517524082</v>
      </c>
      <c r="C7578" t="s">
        <v>13407</v>
      </c>
      <c r="D7578" s="43">
        <v>-14575</v>
      </c>
      <c r="E7578" t="s">
        <v>35</v>
      </c>
      <c r="F7578" s="2">
        <v>212901001</v>
      </c>
      <c r="G7578" s="2" t="s">
        <v>121</v>
      </c>
      <c r="L7578" s="2" t="s">
        <v>13408</v>
      </c>
      <c r="M7578" t="s">
        <v>67</v>
      </c>
      <c r="N7578" t="s">
        <v>68</v>
      </c>
      <c r="P7578" s="23">
        <v>147.08000000000001</v>
      </c>
      <c r="Q7578" s="4">
        <f t="shared" si="118"/>
        <v>-99.095730214849056</v>
      </c>
      <c r="R7578" s="23" t="s">
        <v>109</v>
      </c>
    </row>
    <row r="7579" spans="1:18" x14ac:dyDescent="0.25">
      <c r="A7579" s="21">
        <v>45898</v>
      </c>
      <c r="B7579" s="1">
        <v>617524090</v>
      </c>
      <c r="C7579" t="s">
        <v>13409</v>
      </c>
      <c r="D7579" s="43">
        <v>-17490</v>
      </c>
      <c r="E7579" t="s">
        <v>35</v>
      </c>
      <c r="F7579" s="2">
        <v>212901001</v>
      </c>
      <c r="G7579" s="2" t="s">
        <v>121</v>
      </c>
      <c r="L7579" s="2" t="s">
        <v>13410</v>
      </c>
      <c r="M7579" t="s">
        <v>67</v>
      </c>
      <c r="N7579" t="s">
        <v>68</v>
      </c>
      <c r="P7579" s="23">
        <v>147.08000000000001</v>
      </c>
      <c r="Q7579" s="4">
        <f t="shared" si="118"/>
        <v>-118.91487625781886</v>
      </c>
      <c r="R7579" s="23" t="s">
        <v>109</v>
      </c>
    </row>
    <row r="7580" spans="1:18" x14ac:dyDescent="0.25">
      <c r="A7580" s="21">
        <v>45898</v>
      </c>
      <c r="B7580" s="1">
        <v>617524092</v>
      </c>
      <c r="C7580" t="s">
        <v>13411</v>
      </c>
      <c r="D7580" s="43">
        <v>-17490</v>
      </c>
      <c r="E7580" t="s">
        <v>35</v>
      </c>
      <c r="F7580" s="2">
        <v>212901001</v>
      </c>
      <c r="G7580" s="2" t="s">
        <v>121</v>
      </c>
      <c r="L7580" s="2" t="s">
        <v>13412</v>
      </c>
      <c r="M7580" t="s">
        <v>67</v>
      </c>
      <c r="N7580" t="s">
        <v>68</v>
      </c>
      <c r="P7580" s="23">
        <v>147.08000000000001</v>
      </c>
      <c r="Q7580" s="4">
        <f t="shared" si="118"/>
        <v>-118.91487625781886</v>
      </c>
      <c r="R7580" s="23" t="s">
        <v>109</v>
      </c>
    </row>
    <row r="7581" spans="1:18" x14ac:dyDescent="0.25">
      <c r="A7581" s="21">
        <v>45898</v>
      </c>
      <c r="B7581" s="1">
        <v>617524091</v>
      </c>
      <c r="C7581" t="s">
        <v>13413</v>
      </c>
      <c r="D7581" s="43">
        <v>-17490</v>
      </c>
      <c r="E7581" t="s">
        <v>35</v>
      </c>
      <c r="F7581" s="2">
        <v>212901001</v>
      </c>
      <c r="G7581" s="2" t="s">
        <v>121</v>
      </c>
      <c r="L7581" s="2" t="s">
        <v>13414</v>
      </c>
      <c r="M7581" t="s">
        <v>67</v>
      </c>
      <c r="N7581" t="s">
        <v>68</v>
      </c>
      <c r="P7581" s="23">
        <v>147.08000000000001</v>
      </c>
      <c r="Q7581" s="4">
        <f t="shared" si="118"/>
        <v>-118.91487625781886</v>
      </c>
      <c r="R7581" s="23" t="s">
        <v>109</v>
      </c>
    </row>
    <row r="7582" spans="1:18" x14ac:dyDescent="0.25">
      <c r="A7582" s="21">
        <v>45898</v>
      </c>
      <c r="B7582" s="1">
        <v>517524086</v>
      </c>
      <c r="C7582" t="s">
        <v>13415</v>
      </c>
      <c r="D7582" s="43">
        <v>-27692.5</v>
      </c>
      <c r="E7582" t="s">
        <v>35</v>
      </c>
      <c r="F7582" s="2">
        <v>212901001</v>
      </c>
      <c r="G7582" s="2" t="s">
        <v>121</v>
      </c>
      <c r="L7582" s="2" t="s">
        <v>13416</v>
      </c>
      <c r="M7582" t="s">
        <v>67</v>
      </c>
      <c r="N7582" t="s">
        <v>68</v>
      </c>
      <c r="P7582" s="23">
        <v>147.08000000000001</v>
      </c>
      <c r="Q7582" s="4">
        <f t="shared" si="118"/>
        <v>-188.28188740821321</v>
      </c>
      <c r="R7582" s="23" t="s">
        <v>109</v>
      </c>
    </row>
    <row r="7583" spans="1:18" x14ac:dyDescent="0.25">
      <c r="A7583" s="21">
        <v>45898</v>
      </c>
      <c r="B7583" s="1">
        <v>617524093</v>
      </c>
      <c r="C7583" t="s">
        <v>13417</v>
      </c>
      <c r="D7583" s="43">
        <v>-17490</v>
      </c>
      <c r="E7583" t="s">
        <v>35</v>
      </c>
      <c r="F7583" s="2">
        <v>212901001</v>
      </c>
      <c r="G7583" s="2" t="s">
        <v>121</v>
      </c>
      <c r="L7583" s="2" t="s">
        <v>13418</v>
      </c>
      <c r="M7583" t="s">
        <v>67</v>
      </c>
      <c r="N7583" t="s">
        <v>68</v>
      </c>
      <c r="P7583" s="23">
        <v>147.08000000000001</v>
      </c>
      <c r="Q7583" s="4">
        <f t="shared" si="118"/>
        <v>-118.91487625781886</v>
      </c>
      <c r="R7583" s="23" t="s">
        <v>109</v>
      </c>
    </row>
    <row r="7584" spans="1:18" x14ac:dyDescent="0.25">
      <c r="A7584" s="21">
        <v>45898</v>
      </c>
      <c r="B7584" s="1">
        <v>517524089</v>
      </c>
      <c r="C7584" t="s">
        <v>13419</v>
      </c>
      <c r="D7584" s="43">
        <v>-17490</v>
      </c>
      <c r="E7584" t="s">
        <v>35</v>
      </c>
      <c r="F7584" s="2">
        <v>212901001</v>
      </c>
      <c r="G7584" s="2" t="s">
        <v>121</v>
      </c>
      <c r="L7584" s="2" t="s">
        <v>13420</v>
      </c>
      <c r="M7584" t="s">
        <v>67</v>
      </c>
      <c r="N7584" t="s">
        <v>68</v>
      </c>
      <c r="P7584" s="23">
        <v>147.08000000000001</v>
      </c>
      <c r="Q7584" s="4">
        <f t="shared" si="118"/>
        <v>-118.91487625781886</v>
      </c>
      <c r="R7584" s="23" t="s">
        <v>109</v>
      </c>
    </row>
    <row r="7585" spans="1:18" x14ac:dyDescent="0.25">
      <c r="A7585" s="21">
        <v>45898</v>
      </c>
      <c r="B7585" s="1">
        <v>517524087</v>
      </c>
      <c r="C7585" t="s">
        <v>13421</v>
      </c>
      <c r="D7585" s="43">
        <v>-20405</v>
      </c>
      <c r="E7585" t="s">
        <v>35</v>
      </c>
      <c r="F7585" s="2">
        <v>212901001</v>
      </c>
      <c r="G7585" s="2" t="s">
        <v>121</v>
      </c>
      <c r="L7585" s="2" t="s">
        <v>13422</v>
      </c>
      <c r="M7585" t="s">
        <v>67</v>
      </c>
      <c r="N7585" t="s">
        <v>68</v>
      </c>
      <c r="P7585" s="23">
        <v>147.08000000000001</v>
      </c>
      <c r="Q7585" s="4">
        <f t="shared" si="118"/>
        <v>-138.73402230078867</v>
      </c>
      <c r="R7585" s="23" t="s">
        <v>109</v>
      </c>
    </row>
    <row r="7586" spans="1:18" x14ac:dyDescent="0.25">
      <c r="A7586" s="21">
        <v>45898</v>
      </c>
      <c r="B7586" s="1">
        <v>617524094</v>
      </c>
      <c r="C7586" t="s">
        <v>13423</v>
      </c>
      <c r="D7586" s="43">
        <v>-17490</v>
      </c>
      <c r="E7586" t="s">
        <v>35</v>
      </c>
      <c r="F7586" s="2">
        <v>212901001</v>
      </c>
      <c r="G7586" s="2" t="s">
        <v>121</v>
      </c>
      <c r="L7586" s="2" t="s">
        <v>13424</v>
      </c>
      <c r="M7586" t="s">
        <v>67</v>
      </c>
      <c r="N7586" t="s">
        <v>68</v>
      </c>
      <c r="P7586" s="23">
        <v>147.08000000000001</v>
      </c>
      <c r="Q7586" s="4">
        <f t="shared" si="118"/>
        <v>-118.91487625781886</v>
      </c>
      <c r="R7586" s="23" t="s">
        <v>109</v>
      </c>
    </row>
    <row r="7587" spans="1:18" x14ac:dyDescent="0.25">
      <c r="A7587" s="21">
        <v>45898</v>
      </c>
      <c r="B7587" s="1">
        <v>617524095</v>
      </c>
      <c r="C7587" t="s">
        <v>13425</v>
      </c>
      <c r="D7587" s="43">
        <v>-13117.5</v>
      </c>
      <c r="E7587" t="s">
        <v>35</v>
      </c>
      <c r="F7587" s="2">
        <v>212901001</v>
      </c>
      <c r="G7587" s="2" t="s">
        <v>121</v>
      </c>
      <c r="L7587" s="2" t="s">
        <v>13426</v>
      </c>
      <c r="M7587" t="s">
        <v>67</v>
      </c>
      <c r="N7587" t="s">
        <v>68</v>
      </c>
      <c r="P7587" s="23">
        <v>147.08000000000001</v>
      </c>
      <c r="Q7587" s="4">
        <f t="shared" si="118"/>
        <v>-89.186157193364153</v>
      </c>
      <c r="R7587" s="23" t="s">
        <v>109</v>
      </c>
    </row>
    <row r="7588" spans="1:18" x14ac:dyDescent="0.25">
      <c r="A7588" s="21">
        <v>45898</v>
      </c>
      <c r="B7588" s="1">
        <v>717524100</v>
      </c>
      <c r="C7588" t="s">
        <v>13427</v>
      </c>
      <c r="D7588" s="43">
        <v>-13117.5</v>
      </c>
      <c r="E7588" t="s">
        <v>35</v>
      </c>
      <c r="F7588" s="2">
        <v>212901001</v>
      </c>
      <c r="G7588" s="2" t="s">
        <v>121</v>
      </c>
      <c r="L7588" s="2" t="s">
        <v>13428</v>
      </c>
      <c r="M7588" t="s">
        <v>67</v>
      </c>
      <c r="N7588" t="s">
        <v>68</v>
      </c>
      <c r="P7588" s="23">
        <v>147.08000000000001</v>
      </c>
      <c r="Q7588" s="4">
        <f t="shared" si="118"/>
        <v>-89.186157193364153</v>
      </c>
      <c r="R7588" s="23" t="s">
        <v>109</v>
      </c>
    </row>
    <row r="7589" spans="1:18" x14ac:dyDescent="0.25">
      <c r="A7589" s="21">
        <v>45898</v>
      </c>
      <c r="B7589" s="1">
        <v>617524097</v>
      </c>
      <c r="C7589" t="s">
        <v>13429</v>
      </c>
      <c r="D7589" s="43">
        <v>-13117.5</v>
      </c>
      <c r="E7589" t="s">
        <v>35</v>
      </c>
      <c r="F7589" s="2">
        <v>212901001</v>
      </c>
      <c r="G7589" s="2" t="s">
        <v>121</v>
      </c>
      <c r="L7589" s="2" t="s">
        <v>13430</v>
      </c>
      <c r="M7589" t="s">
        <v>67</v>
      </c>
      <c r="N7589" t="s">
        <v>68</v>
      </c>
      <c r="P7589" s="23">
        <v>147.08000000000001</v>
      </c>
      <c r="Q7589" s="4">
        <f t="shared" si="118"/>
        <v>-89.186157193364153</v>
      </c>
      <c r="R7589" s="23" t="s">
        <v>109</v>
      </c>
    </row>
    <row r="7590" spans="1:18" x14ac:dyDescent="0.25">
      <c r="A7590" s="21">
        <v>45898</v>
      </c>
      <c r="B7590" s="1">
        <v>717524098</v>
      </c>
      <c r="C7590" t="s">
        <v>13431</v>
      </c>
      <c r="D7590" s="43">
        <v>-13117.5</v>
      </c>
      <c r="E7590" t="s">
        <v>35</v>
      </c>
      <c r="F7590" s="2">
        <v>212901001</v>
      </c>
      <c r="G7590" s="2" t="s">
        <v>121</v>
      </c>
      <c r="L7590" s="2" t="s">
        <v>13432</v>
      </c>
      <c r="M7590" t="s">
        <v>67</v>
      </c>
      <c r="N7590" t="s">
        <v>68</v>
      </c>
      <c r="P7590" s="23">
        <v>147.08000000000001</v>
      </c>
      <c r="Q7590" s="4">
        <f t="shared" si="118"/>
        <v>-89.186157193364153</v>
      </c>
      <c r="R7590" s="23" t="s">
        <v>109</v>
      </c>
    </row>
    <row r="7591" spans="1:18" x14ac:dyDescent="0.25">
      <c r="A7591" s="21">
        <v>45898</v>
      </c>
      <c r="B7591" s="1">
        <v>717524101</v>
      </c>
      <c r="C7591" t="s">
        <v>13433</v>
      </c>
      <c r="D7591" s="43">
        <v>-13117.5</v>
      </c>
      <c r="E7591" t="s">
        <v>35</v>
      </c>
      <c r="F7591" s="2">
        <v>212901001</v>
      </c>
      <c r="G7591" s="2" t="s">
        <v>121</v>
      </c>
      <c r="L7591" s="2" t="s">
        <v>13434</v>
      </c>
      <c r="M7591" t="s">
        <v>67</v>
      </c>
      <c r="N7591" t="s">
        <v>68</v>
      </c>
      <c r="P7591" s="23">
        <v>147.08000000000001</v>
      </c>
      <c r="Q7591" s="4">
        <f t="shared" si="118"/>
        <v>-89.186157193364153</v>
      </c>
      <c r="R7591" s="23" t="s">
        <v>109</v>
      </c>
    </row>
    <row r="7592" spans="1:18" x14ac:dyDescent="0.25">
      <c r="A7592" s="21">
        <v>45898</v>
      </c>
      <c r="B7592" s="1">
        <v>717524103</v>
      </c>
      <c r="C7592" t="s">
        <v>13435</v>
      </c>
      <c r="D7592" s="43">
        <v>-11660</v>
      </c>
      <c r="E7592" t="s">
        <v>35</v>
      </c>
      <c r="F7592" s="2">
        <v>212901001</v>
      </c>
      <c r="G7592" s="2" t="s">
        <v>121</v>
      </c>
      <c r="L7592" s="2" t="s">
        <v>13436</v>
      </c>
      <c r="M7592" t="s">
        <v>67</v>
      </c>
      <c r="N7592" t="s">
        <v>68</v>
      </c>
      <c r="P7592" s="23">
        <v>147.08000000000001</v>
      </c>
      <c r="Q7592" s="4">
        <f t="shared" si="118"/>
        <v>-79.276584171879236</v>
      </c>
      <c r="R7592" s="23" t="s">
        <v>109</v>
      </c>
    </row>
    <row r="7593" spans="1:18" x14ac:dyDescent="0.25">
      <c r="A7593" s="21">
        <v>45898</v>
      </c>
      <c r="B7593" s="1">
        <v>717524105</v>
      </c>
      <c r="C7593" t="s">
        <v>13437</v>
      </c>
      <c r="D7593" s="43">
        <v>-11660</v>
      </c>
      <c r="E7593" t="s">
        <v>35</v>
      </c>
      <c r="F7593" s="2">
        <v>212901001</v>
      </c>
      <c r="G7593" s="2" t="s">
        <v>121</v>
      </c>
      <c r="L7593" s="2" t="s">
        <v>13438</v>
      </c>
      <c r="M7593" t="s">
        <v>67</v>
      </c>
      <c r="N7593" t="s">
        <v>68</v>
      </c>
      <c r="P7593" s="23">
        <v>147.08000000000001</v>
      </c>
      <c r="Q7593" s="4">
        <f t="shared" si="118"/>
        <v>-79.276584171879236</v>
      </c>
      <c r="R7593" s="23" t="s">
        <v>109</v>
      </c>
    </row>
    <row r="7594" spans="1:18" x14ac:dyDescent="0.25">
      <c r="A7594" s="21">
        <v>45898</v>
      </c>
      <c r="B7594" s="1">
        <v>617524096</v>
      </c>
      <c r="C7594" t="s">
        <v>13439</v>
      </c>
      <c r="D7594" s="43">
        <v>-11951.5</v>
      </c>
      <c r="E7594" t="s">
        <v>35</v>
      </c>
      <c r="F7594" s="2">
        <v>212901001</v>
      </c>
      <c r="G7594" s="2" t="s">
        <v>121</v>
      </c>
      <c r="L7594" s="2" t="s">
        <v>13440</v>
      </c>
      <c r="M7594" t="s">
        <v>67</v>
      </c>
      <c r="N7594" t="s">
        <v>68</v>
      </c>
      <c r="P7594" s="23">
        <v>147.08000000000001</v>
      </c>
      <c r="Q7594" s="4">
        <f t="shared" si="118"/>
        <v>-81.258498776176225</v>
      </c>
      <c r="R7594" s="23" t="s">
        <v>109</v>
      </c>
    </row>
    <row r="7595" spans="1:18" x14ac:dyDescent="0.25">
      <c r="A7595" s="21">
        <v>45898</v>
      </c>
      <c r="B7595" s="1">
        <v>717524107</v>
      </c>
      <c r="C7595" t="s">
        <v>13441</v>
      </c>
      <c r="D7595" s="43">
        <v>-11660</v>
      </c>
      <c r="E7595" t="s">
        <v>35</v>
      </c>
      <c r="F7595" s="2">
        <v>212901001</v>
      </c>
      <c r="G7595" s="2" t="s">
        <v>121</v>
      </c>
      <c r="L7595" s="2" t="s">
        <v>13442</v>
      </c>
      <c r="M7595" t="s">
        <v>67</v>
      </c>
      <c r="N7595" t="s">
        <v>68</v>
      </c>
      <c r="P7595" s="23">
        <v>147.08000000000001</v>
      </c>
      <c r="Q7595" s="4">
        <f t="shared" si="118"/>
        <v>-79.276584171879236</v>
      </c>
      <c r="R7595" s="23" t="s">
        <v>109</v>
      </c>
    </row>
    <row r="7596" spans="1:18" x14ac:dyDescent="0.25">
      <c r="A7596" s="21">
        <v>45898</v>
      </c>
      <c r="B7596" s="1">
        <v>717524104</v>
      </c>
      <c r="C7596" t="s">
        <v>13443</v>
      </c>
      <c r="D7596" s="43">
        <v>-11660</v>
      </c>
      <c r="E7596" t="s">
        <v>35</v>
      </c>
      <c r="F7596" s="2">
        <v>212901001</v>
      </c>
      <c r="G7596" s="2" t="s">
        <v>121</v>
      </c>
      <c r="L7596" s="2" t="s">
        <v>13444</v>
      </c>
      <c r="M7596" t="s">
        <v>67</v>
      </c>
      <c r="N7596" t="s">
        <v>68</v>
      </c>
      <c r="P7596" s="23">
        <v>147.08000000000001</v>
      </c>
      <c r="Q7596" s="4">
        <f t="shared" si="118"/>
        <v>-79.276584171879236</v>
      </c>
      <c r="R7596" s="23" t="s">
        <v>109</v>
      </c>
    </row>
    <row r="7597" spans="1:18" x14ac:dyDescent="0.25">
      <c r="A7597" s="21">
        <v>45898</v>
      </c>
      <c r="B7597" s="1">
        <v>717524108</v>
      </c>
      <c r="C7597" t="s">
        <v>13445</v>
      </c>
      <c r="D7597" s="43">
        <v>-11660</v>
      </c>
      <c r="E7597" t="s">
        <v>35</v>
      </c>
      <c r="F7597" s="2">
        <v>212901001</v>
      </c>
      <c r="G7597" s="2" t="s">
        <v>121</v>
      </c>
      <c r="L7597" s="2" t="s">
        <v>13446</v>
      </c>
      <c r="M7597" t="s">
        <v>67</v>
      </c>
      <c r="N7597" t="s">
        <v>68</v>
      </c>
      <c r="P7597" s="23">
        <v>147.08000000000001</v>
      </c>
      <c r="Q7597" s="4">
        <f t="shared" si="118"/>
        <v>-79.276584171879236</v>
      </c>
      <c r="R7597" s="23" t="s">
        <v>109</v>
      </c>
    </row>
    <row r="7598" spans="1:18" x14ac:dyDescent="0.25">
      <c r="A7598" s="21">
        <v>45898</v>
      </c>
      <c r="B7598" s="1">
        <v>717524111</v>
      </c>
      <c r="C7598" t="s">
        <v>13447</v>
      </c>
      <c r="D7598" s="43">
        <v>-11660</v>
      </c>
      <c r="E7598" t="s">
        <v>35</v>
      </c>
      <c r="F7598" s="2">
        <v>212901001</v>
      </c>
      <c r="G7598" s="2" t="s">
        <v>121</v>
      </c>
      <c r="L7598" s="2" t="s">
        <v>13448</v>
      </c>
      <c r="M7598" t="s">
        <v>67</v>
      </c>
      <c r="N7598" t="s">
        <v>68</v>
      </c>
      <c r="P7598" s="23">
        <v>147.08000000000001</v>
      </c>
      <c r="Q7598" s="4">
        <f t="shared" si="118"/>
        <v>-79.276584171879236</v>
      </c>
      <c r="R7598" s="23" t="s">
        <v>109</v>
      </c>
    </row>
    <row r="7599" spans="1:18" x14ac:dyDescent="0.25">
      <c r="A7599" s="21">
        <v>45898</v>
      </c>
      <c r="B7599" s="1">
        <v>817524114</v>
      </c>
      <c r="C7599" t="s">
        <v>13449</v>
      </c>
      <c r="D7599" s="43">
        <v>-20405</v>
      </c>
      <c r="E7599" t="s">
        <v>35</v>
      </c>
      <c r="F7599" s="2">
        <v>212901001</v>
      </c>
      <c r="G7599" s="2" t="s">
        <v>121</v>
      </c>
      <c r="L7599" s="2" t="s">
        <v>13450</v>
      </c>
      <c r="M7599" t="s">
        <v>67</v>
      </c>
      <c r="N7599" t="s">
        <v>68</v>
      </c>
      <c r="P7599" s="23">
        <v>147.08000000000001</v>
      </c>
      <c r="Q7599" s="4">
        <f t="shared" si="118"/>
        <v>-138.73402230078867</v>
      </c>
      <c r="R7599" s="23" t="s">
        <v>109</v>
      </c>
    </row>
    <row r="7600" spans="1:18" x14ac:dyDescent="0.25">
      <c r="A7600" s="21">
        <v>45898</v>
      </c>
      <c r="B7600" s="1">
        <v>817524112</v>
      </c>
      <c r="C7600" t="s">
        <v>13451</v>
      </c>
      <c r="D7600" s="43">
        <v>-11660</v>
      </c>
      <c r="E7600" t="s">
        <v>35</v>
      </c>
      <c r="F7600" s="2">
        <v>212901001</v>
      </c>
      <c r="G7600" s="2" t="s">
        <v>121</v>
      </c>
      <c r="L7600" s="2" t="s">
        <v>13452</v>
      </c>
      <c r="M7600" t="s">
        <v>67</v>
      </c>
      <c r="N7600" t="s">
        <v>68</v>
      </c>
      <c r="P7600" s="23">
        <v>147.08000000000001</v>
      </c>
      <c r="Q7600" s="4">
        <f t="shared" si="118"/>
        <v>-79.276584171879236</v>
      </c>
      <c r="R7600" s="23" t="s">
        <v>109</v>
      </c>
    </row>
    <row r="7601" spans="1:18" x14ac:dyDescent="0.25">
      <c r="A7601" s="21">
        <v>45898</v>
      </c>
      <c r="B7601" s="1">
        <v>817524116</v>
      </c>
      <c r="C7601" t="s">
        <v>13453</v>
      </c>
      <c r="D7601" s="43">
        <v>-27692.5</v>
      </c>
      <c r="E7601" t="s">
        <v>35</v>
      </c>
      <c r="F7601" s="2">
        <v>212901001</v>
      </c>
      <c r="G7601" s="2" t="s">
        <v>121</v>
      </c>
      <c r="L7601" s="2" t="s">
        <v>13454</v>
      </c>
      <c r="M7601" t="s">
        <v>67</v>
      </c>
      <c r="N7601" t="s">
        <v>68</v>
      </c>
      <c r="P7601" s="23">
        <v>147.08000000000001</v>
      </c>
      <c r="Q7601" s="4">
        <f t="shared" si="118"/>
        <v>-188.28188740821321</v>
      </c>
      <c r="R7601" s="23" t="s">
        <v>109</v>
      </c>
    </row>
    <row r="7602" spans="1:18" x14ac:dyDescent="0.25">
      <c r="A7602" s="21">
        <v>45898</v>
      </c>
      <c r="B7602" s="1">
        <v>817524113</v>
      </c>
      <c r="C7602" t="s">
        <v>13455</v>
      </c>
      <c r="D7602" s="43">
        <v>-14575</v>
      </c>
      <c r="E7602" t="s">
        <v>35</v>
      </c>
      <c r="F7602" s="2">
        <v>212901001</v>
      </c>
      <c r="G7602" s="2" t="s">
        <v>121</v>
      </c>
      <c r="L7602" s="2" t="s">
        <v>13456</v>
      </c>
      <c r="M7602" t="s">
        <v>67</v>
      </c>
      <c r="N7602" t="s">
        <v>68</v>
      </c>
      <c r="P7602" s="23">
        <v>147.08000000000001</v>
      </c>
      <c r="Q7602" s="4">
        <f t="shared" si="118"/>
        <v>-99.095730214849056</v>
      </c>
      <c r="R7602" s="23" t="s">
        <v>109</v>
      </c>
    </row>
    <row r="7603" spans="1:18" x14ac:dyDescent="0.25">
      <c r="A7603" s="21">
        <v>45898</v>
      </c>
      <c r="B7603" s="1">
        <v>817524121</v>
      </c>
      <c r="C7603" t="s">
        <v>13457</v>
      </c>
      <c r="D7603" s="43">
        <v>-20405</v>
      </c>
      <c r="E7603" t="s">
        <v>35</v>
      </c>
      <c r="F7603" s="2">
        <v>212901001</v>
      </c>
      <c r="G7603" s="2" t="s">
        <v>121</v>
      </c>
      <c r="L7603" s="2" t="s">
        <v>13458</v>
      </c>
      <c r="M7603" t="s">
        <v>67</v>
      </c>
      <c r="N7603" t="s">
        <v>68</v>
      </c>
      <c r="P7603" s="23">
        <v>147.08000000000001</v>
      </c>
      <c r="Q7603" s="4">
        <f t="shared" si="118"/>
        <v>-138.73402230078867</v>
      </c>
      <c r="R7603" s="23" t="s">
        <v>109</v>
      </c>
    </row>
    <row r="7604" spans="1:18" x14ac:dyDescent="0.25">
      <c r="A7604" s="21">
        <v>45898</v>
      </c>
      <c r="B7604" s="1">
        <v>817524117</v>
      </c>
      <c r="C7604" t="s">
        <v>13459</v>
      </c>
      <c r="D7604" s="43">
        <v>-21862.5</v>
      </c>
      <c r="E7604" t="s">
        <v>35</v>
      </c>
      <c r="F7604" s="2">
        <v>212901001</v>
      </c>
      <c r="G7604" s="2" t="s">
        <v>121</v>
      </c>
      <c r="L7604" s="2" t="s">
        <v>13460</v>
      </c>
      <c r="M7604" t="s">
        <v>67</v>
      </c>
      <c r="N7604" t="s">
        <v>68</v>
      </c>
      <c r="P7604" s="23">
        <v>147.08000000000001</v>
      </c>
      <c r="Q7604" s="4">
        <f t="shared" si="118"/>
        <v>-148.64359532227357</v>
      </c>
      <c r="R7604" s="23" t="s">
        <v>109</v>
      </c>
    </row>
    <row r="7605" spans="1:18" x14ac:dyDescent="0.25">
      <c r="A7605" s="21">
        <v>45898</v>
      </c>
      <c r="B7605" s="1">
        <v>817524120</v>
      </c>
      <c r="C7605" t="s">
        <v>13461</v>
      </c>
      <c r="D7605" s="43">
        <v>-17490</v>
      </c>
      <c r="E7605" t="s">
        <v>35</v>
      </c>
      <c r="F7605" s="2">
        <v>212901001</v>
      </c>
      <c r="G7605" s="2" t="s">
        <v>121</v>
      </c>
      <c r="L7605" s="2" t="s">
        <v>13462</v>
      </c>
      <c r="M7605" t="s">
        <v>67</v>
      </c>
      <c r="N7605" t="s">
        <v>68</v>
      </c>
      <c r="P7605" s="23">
        <v>147.08000000000001</v>
      </c>
      <c r="Q7605" s="4">
        <f t="shared" si="118"/>
        <v>-118.91487625781886</v>
      </c>
      <c r="R7605" s="23" t="s">
        <v>109</v>
      </c>
    </row>
    <row r="7606" spans="1:18" x14ac:dyDescent="0.25">
      <c r="A7606" s="21">
        <v>45898</v>
      </c>
      <c r="B7606" s="1">
        <v>917524122</v>
      </c>
      <c r="C7606" t="s">
        <v>13463</v>
      </c>
      <c r="D7606" s="43">
        <v>-16032.5</v>
      </c>
      <c r="E7606" t="s">
        <v>35</v>
      </c>
      <c r="F7606" s="2">
        <v>212901001</v>
      </c>
      <c r="G7606" s="2" t="s">
        <v>121</v>
      </c>
      <c r="L7606" s="2" t="s">
        <v>13464</v>
      </c>
      <c r="M7606" t="s">
        <v>67</v>
      </c>
      <c r="N7606" t="s">
        <v>68</v>
      </c>
      <c r="P7606" s="23">
        <v>147.08000000000001</v>
      </c>
      <c r="Q7606" s="4">
        <f t="shared" si="118"/>
        <v>-109.00530323633396</v>
      </c>
      <c r="R7606" s="23" t="s">
        <v>109</v>
      </c>
    </row>
    <row r="7607" spans="1:18" x14ac:dyDescent="0.25">
      <c r="A7607" s="21">
        <v>45898</v>
      </c>
      <c r="B7607" s="1">
        <v>917524123</v>
      </c>
      <c r="C7607" t="s">
        <v>13465</v>
      </c>
      <c r="D7607" s="43">
        <v>-16032.5</v>
      </c>
      <c r="E7607" t="s">
        <v>35</v>
      </c>
      <c r="F7607" s="2">
        <v>212901001</v>
      </c>
      <c r="G7607" s="2" t="s">
        <v>121</v>
      </c>
      <c r="L7607" s="2" t="s">
        <v>13466</v>
      </c>
      <c r="M7607" t="s">
        <v>67</v>
      </c>
      <c r="N7607" t="s">
        <v>68</v>
      </c>
      <c r="P7607" s="23">
        <v>147.08000000000001</v>
      </c>
      <c r="Q7607" s="4">
        <f t="shared" si="118"/>
        <v>-109.00530323633396</v>
      </c>
      <c r="R7607" s="23" t="s">
        <v>109</v>
      </c>
    </row>
    <row r="7608" spans="1:18" x14ac:dyDescent="0.25">
      <c r="A7608" s="21">
        <v>45898</v>
      </c>
      <c r="B7608" s="1">
        <v>917524127</v>
      </c>
      <c r="C7608" t="s">
        <v>13467</v>
      </c>
      <c r="D7608" s="43">
        <v>-13117.5</v>
      </c>
      <c r="E7608" t="s">
        <v>35</v>
      </c>
      <c r="F7608" s="2">
        <v>212901001</v>
      </c>
      <c r="G7608" s="2" t="s">
        <v>121</v>
      </c>
      <c r="L7608" s="2" t="s">
        <v>13468</v>
      </c>
      <c r="M7608" t="s">
        <v>67</v>
      </c>
      <c r="N7608" t="s">
        <v>68</v>
      </c>
      <c r="P7608" s="23">
        <v>147.08000000000001</v>
      </c>
      <c r="Q7608" s="4">
        <f t="shared" si="118"/>
        <v>-89.186157193364153</v>
      </c>
      <c r="R7608" s="23" t="s">
        <v>109</v>
      </c>
    </row>
    <row r="7609" spans="1:18" x14ac:dyDescent="0.25">
      <c r="A7609" s="21">
        <v>45898</v>
      </c>
      <c r="B7609" s="1">
        <v>917524128</v>
      </c>
      <c r="C7609" t="s">
        <v>13469</v>
      </c>
      <c r="D7609" s="43">
        <v>-13117.5</v>
      </c>
      <c r="E7609" t="s">
        <v>35</v>
      </c>
      <c r="F7609" s="2">
        <v>212901001</v>
      </c>
      <c r="G7609" s="2" t="s">
        <v>121</v>
      </c>
      <c r="L7609" s="2" t="s">
        <v>13470</v>
      </c>
      <c r="M7609" t="s">
        <v>67</v>
      </c>
      <c r="N7609" t="s">
        <v>68</v>
      </c>
      <c r="P7609" s="23">
        <v>147.08000000000001</v>
      </c>
      <c r="Q7609" s="4">
        <f t="shared" si="118"/>
        <v>-89.186157193364153</v>
      </c>
      <c r="R7609" s="23" t="s">
        <v>109</v>
      </c>
    </row>
    <row r="7610" spans="1:18" x14ac:dyDescent="0.25">
      <c r="A7610" s="21">
        <v>45898</v>
      </c>
      <c r="B7610" s="1">
        <v>917524125</v>
      </c>
      <c r="C7610" t="s">
        <v>13471</v>
      </c>
      <c r="D7610" s="43">
        <v>-13117.5</v>
      </c>
      <c r="E7610" t="s">
        <v>35</v>
      </c>
      <c r="F7610" s="2">
        <v>212901001</v>
      </c>
      <c r="G7610" s="2" t="s">
        <v>121</v>
      </c>
      <c r="L7610" s="2" t="s">
        <v>13472</v>
      </c>
      <c r="M7610" t="s">
        <v>67</v>
      </c>
      <c r="N7610" t="s">
        <v>68</v>
      </c>
      <c r="P7610" s="23">
        <v>147.08000000000001</v>
      </c>
      <c r="Q7610" s="4">
        <f t="shared" si="118"/>
        <v>-89.186157193364153</v>
      </c>
      <c r="R7610" s="23" t="s">
        <v>109</v>
      </c>
    </row>
    <row r="7611" spans="1:18" x14ac:dyDescent="0.25">
      <c r="A7611" s="21">
        <v>45898</v>
      </c>
      <c r="B7611" s="1">
        <v>17524133</v>
      </c>
      <c r="C7611" t="s">
        <v>13473</v>
      </c>
      <c r="D7611" s="43">
        <v>-13117.5</v>
      </c>
      <c r="E7611" t="s">
        <v>35</v>
      </c>
      <c r="F7611" s="2">
        <v>212901001</v>
      </c>
      <c r="G7611" s="2" t="s">
        <v>121</v>
      </c>
      <c r="L7611" s="2" t="s">
        <v>13474</v>
      </c>
      <c r="M7611" t="s">
        <v>67</v>
      </c>
      <c r="N7611" t="s">
        <v>68</v>
      </c>
      <c r="P7611" s="23">
        <v>147.08000000000001</v>
      </c>
      <c r="Q7611" s="4">
        <f t="shared" si="118"/>
        <v>-89.186157193364153</v>
      </c>
      <c r="R7611" s="23" t="s">
        <v>109</v>
      </c>
    </row>
    <row r="7612" spans="1:18" x14ac:dyDescent="0.25">
      <c r="A7612" s="21">
        <v>45898</v>
      </c>
      <c r="B7612" s="1">
        <v>17524132</v>
      </c>
      <c r="C7612" t="s">
        <v>13475</v>
      </c>
      <c r="D7612" s="43">
        <v>-13117.5</v>
      </c>
      <c r="E7612" t="s">
        <v>35</v>
      </c>
      <c r="F7612" s="2">
        <v>212901001</v>
      </c>
      <c r="G7612" s="2" t="s">
        <v>121</v>
      </c>
      <c r="L7612" s="2" t="s">
        <v>13476</v>
      </c>
      <c r="M7612" t="s">
        <v>67</v>
      </c>
      <c r="N7612" t="s">
        <v>68</v>
      </c>
      <c r="P7612" s="23">
        <v>147.08000000000001</v>
      </c>
      <c r="Q7612" s="4">
        <f t="shared" si="118"/>
        <v>-89.186157193364153</v>
      </c>
      <c r="R7612" s="23" t="s">
        <v>109</v>
      </c>
    </row>
    <row r="7613" spans="1:18" x14ac:dyDescent="0.25">
      <c r="A7613" s="21">
        <v>45898</v>
      </c>
      <c r="B7613" s="1">
        <v>917524130</v>
      </c>
      <c r="C7613" t="s">
        <v>13477</v>
      </c>
      <c r="D7613" s="43">
        <v>-13117.5</v>
      </c>
      <c r="E7613" t="s">
        <v>35</v>
      </c>
      <c r="F7613" s="2">
        <v>212901001</v>
      </c>
      <c r="G7613" s="2" t="s">
        <v>121</v>
      </c>
      <c r="L7613" s="2" t="s">
        <v>13478</v>
      </c>
      <c r="M7613" t="s">
        <v>67</v>
      </c>
      <c r="N7613" t="s">
        <v>68</v>
      </c>
      <c r="P7613" s="23">
        <v>147.08000000000001</v>
      </c>
      <c r="Q7613" s="4">
        <f t="shared" si="118"/>
        <v>-89.186157193364153</v>
      </c>
      <c r="R7613" s="23" t="s">
        <v>109</v>
      </c>
    </row>
    <row r="7614" spans="1:18" x14ac:dyDescent="0.25">
      <c r="A7614" s="21">
        <v>45898</v>
      </c>
      <c r="B7614" s="1">
        <v>17524136</v>
      </c>
      <c r="C7614" t="s">
        <v>13479</v>
      </c>
      <c r="D7614" s="43">
        <v>-13117.5</v>
      </c>
      <c r="E7614" t="s">
        <v>35</v>
      </c>
      <c r="F7614" s="2">
        <v>212901001</v>
      </c>
      <c r="G7614" s="2" t="s">
        <v>121</v>
      </c>
      <c r="L7614" s="2" t="s">
        <v>13480</v>
      </c>
      <c r="M7614" t="s">
        <v>67</v>
      </c>
      <c r="N7614" t="s">
        <v>68</v>
      </c>
      <c r="P7614" s="23">
        <v>147.08000000000001</v>
      </c>
      <c r="Q7614" s="4">
        <f t="shared" si="118"/>
        <v>-89.186157193364153</v>
      </c>
      <c r="R7614" s="23" t="s">
        <v>109</v>
      </c>
    </row>
    <row r="7615" spans="1:18" x14ac:dyDescent="0.25">
      <c r="A7615" s="21">
        <v>45898</v>
      </c>
      <c r="B7615" s="1">
        <v>17524135</v>
      </c>
      <c r="C7615" t="s">
        <v>13481</v>
      </c>
      <c r="D7615" s="43">
        <v>-13117.5</v>
      </c>
      <c r="E7615" t="s">
        <v>35</v>
      </c>
      <c r="F7615" s="2">
        <v>212901001</v>
      </c>
      <c r="G7615" s="2" t="s">
        <v>121</v>
      </c>
      <c r="L7615" s="2" t="s">
        <v>13482</v>
      </c>
      <c r="M7615" t="s">
        <v>67</v>
      </c>
      <c r="N7615" t="s">
        <v>68</v>
      </c>
      <c r="P7615" s="23">
        <v>147.08000000000001</v>
      </c>
      <c r="Q7615" s="4">
        <f t="shared" si="118"/>
        <v>-89.186157193364153</v>
      </c>
      <c r="R7615" s="23" t="s">
        <v>109</v>
      </c>
    </row>
    <row r="7616" spans="1:18" x14ac:dyDescent="0.25">
      <c r="A7616" s="21">
        <v>45898</v>
      </c>
      <c r="B7616" s="1">
        <v>17524140</v>
      </c>
      <c r="C7616" t="s">
        <v>13483</v>
      </c>
      <c r="D7616" s="43">
        <v>-13117.5</v>
      </c>
      <c r="E7616" t="s">
        <v>35</v>
      </c>
      <c r="F7616" s="2">
        <v>212901001</v>
      </c>
      <c r="G7616" s="2" t="s">
        <v>121</v>
      </c>
      <c r="L7616" s="2" t="s">
        <v>13484</v>
      </c>
      <c r="M7616" t="s">
        <v>67</v>
      </c>
      <c r="N7616" t="s">
        <v>68</v>
      </c>
      <c r="P7616" s="23">
        <v>147.08000000000001</v>
      </c>
      <c r="Q7616" s="4">
        <f t="shared" si="118"/>
        <v>-89.186157193364153</v>
      </c>
      <c r="R7616" s="23" t="s">
        <v>109</v>
      </c>
    </row>
    <row r="7617" spans="1:18" x14ac:dyDescent="0.25">
      <c r="A7617" s="21">
        <v>45898</v>
      </c>
      <c r="B7617" s="1">
        <v>917524129</v>
      </c>
      <c r="C7617" t="s">
        <v>13485</v>
      </c>
      <c r="D7617" s="43">
        <v>-13117.5</v>
      </c>
      <c r="E7617" t="s">
        <v>35</v>
      </c>
      <c r="F7617" s="2">
        <v>212901001</v>
      </c>
      <c r="G7617" s="2" t="s">
        <v>121</v>
      </c>
      <c r="L7617" s="2" t="s">
        <v>13486</v>
      </c>
      <c r="M7617" t="s">
        <v>67</v>
      </c>
      <c r="N7617" t="s">
        <v>68</v>
      </c>
      <c r="P7617" s="23">
        <v>147.08000000000001</v>
      </c>
      <c r="Q7617" s="4">
        <f t="shared" si="118"/>
        <v>-89.186157193364153</v>
      </c>
      <c r="R7617" s="23" t="s">
        <v>109</v>
      </c>
    </row>
    <row r="7618" spans="1:18" x14ac:dyDescent="0.25">
      <c r="A7618" s="21">
        <v>45898</v>
      </c>
      <c r="B7618" s="1">
        <v>17524138</v>
      </c>
      <c r="C7618" t="s">
        <v>13487</v>
      </c>
      <c r="D7618" s="43">
        <v>-13117.5</v>
      </c>
      <c r="E7618" t="s">
        <v>35</v>
      </c>
      <c r="F7618" s="2">
        <v>212901001</v>
      </c>
      <c r="G7618" s="2" t="s">
        <v>121</v>
      </c>
      <c r="L7618" s="2" t="s">
        <v>13488</v>
      </c>
      <c r="M7618" t="s">
        <v>67</v>
      </c>
      <c r="N7618" t="s">
        <v>68</v>
      </c>
      <c r="P7618" s="23">
        <v>147.08000000000001</v>
      </c>
      <c r="Q7618" s="4">
        <f t="shared" si="118"/>
        <v>-89.186157193364153</v>
      </c>
      <c r="R7618" s="23" t="s">
        <v>109</v>
      </c>
    </row>
    <row r="7619" spans="1:18" x14ac:dyDescent="0.25">
      <c r="A7619" s="21">
        <v>45898</v>
      </c>
      <c r="B7619" s="1">
        <v>17524142</v>
      </c>
      <c r="C7619" t="s">
        <v>13489</v>
      </c>
      <c r="D7619" s="43">
        <v>-13117.5</v>
      </c>
      <c r="E7619" t="s">
        <v>35</v>
      </c>
      <c r="F7619" s="2">
        <v>212901001</v>
      </c>
      <c r="G7619" s="2" t="s">
        <v>121</v>
      </c>
      <c r="L7619" s="2" t="s">
        <v>13490</v>
      </c>
      <c r="M7619" t="s">
        <v>67</v>
      </c>
      <c r="N7619" t="s">
        <v>68</v>
      </c>
      <c r="P7619" s="23">
        <v>147.08000000000001</v>
      </c>
      <c r="Q7619" s="4">
        <f t="shared" si="118"/>
        <v>-89.186157193364153</v>
      </c>
      <c r="R7619" s="23" t="s">
        <v>109</v>
      </c>
    </row>
    <row r="7620" spans="1:18" x14ac:dyDescent="0.25">
      <c r="A7620" s="21">
        <v>45898</v>
      </c>
      <c r="B7620" s="1">
        <v>917524126</v>
      </c>
      <c r="C7620" t="s">
        <v>13477</v>
      </c>
      <c r="D7620" s="43">
        <v>-16032.5</v>
      </c>
      <c r="E7620" t="s">
        <v>35</v>
      </c>
      <c r="F7620" s="2">
        <v>212901001</v>
      </c>
      <c r="G7620" s="2" t="s">
        <v>121</v>
      </c>
      <c r="L7620" s="2" t="s">
        <v>13491</v>
      </c>
      <c r="M7620" t="s">
        <v>67</v>
      </c>
      <c r="N7620" t="s">
        <v>68</v>
      </c>
      <c r="P7620" s="23">
        <v>147.08000000000001</v>
      </c>
      <c r="Q7620" s="4">
        <f t="shared" si="118"/>
        <v>-109.00530323633396</v>
      </c>
      <c r="R7620" s="23" t="s">
        <v>109</v>
      </c>
    </row>
    <row r="7621" spans="1:18" x14ac:dyDescent="0.25">
      <c r="A7621" s="21">
        <v>45898</v>
      </c>
      <c r="B7621" s="1">
        <v>17524143</v>
      </c>
      <c r="C7621" t="s">
        <v>13492</v>
      </c>
      <c r="D7621" s="43">
        <v>-13117.5</v>
      </c>
      <c r="E7621" t="s">
        <v>35</v>
      </c>
      <c r="F7621" s="2">
        <v>212901001</v>
      </c>
      <c r="G7621" s="2" t="s">
        <v>121</v>
      </c>
      <c r="L7621" s="2" t="s">
        <v>13493</v>
      </c>
      <c r="M7621" t="s">
        <v>67</v>
      </c>
      <c r="N7621" t="s">
        <v>68</v>
      </c>
      <c r="P7621" s="23">
        <v>147.08000000000001</v>
      </c>
      <c r="Q7621" s="4">
        <f t="shared" si="118"/>
        <v>-89.186157193364153</v>
      </c>
      <c r="R7621" s="23" t="s">
        <v>109</v>
      </c>
    </row>
    <row r="7622" spans="1:18" x14ac:dyDescent="0.25">
      <c r="A7622" s="21">
        <v>45898</v>
      </c>
      <c r="B7622" s="1">
        <v>117524145</v>
      </c>
      <c r="C7622" t="s">
        <v>13494</v>
      </c>
      <c r="D7622" s="43">
        <v>-8745</v>
      </c>
      <c r="E7622" t="s">
        <v>35</v>
      </c>
      <c r="F7622" s="2">
        <v>212901001</v>
      </c>
      <c r="G7622" s="2" t="s">
        <v>121</v>
      </c>
      <c r="L7622" s="2" t="s">
        <v>13495</v>
      </c>
      <c r="M7622" t="s">
        <v>67</v>
      </c>
      <c r="N7622" t="s">
        <v>68</v>
      </c>
      <c r="P7622" s="23">
        <v>147.08000000000001</v>
      </c>
      <c r="Q7622" s="4">
        <f t="shared" si="118"/>
        <v>-59.45743812890943</v>
      </c>
      <c r="R7622" s="23" t="s">
        <v>109</v>
      </c>
    </row>
    <row r="7623" spans="1:18" x14ac:dyDescent="0.25">
      <c r="A7623" s="21">
        <v>45898</v>
      </c>
      <c r="B7623" s="1">
        <v>117524148</v>
      </c>
      <c r="C7623" t="s">
        <v>13496</v>
      </c>
      <c r="D7623" s="43">
        <v>-8745</v>
      </c>
      <c r="E7623" t="s">
        <v>35</v>
      </c>
      <c r="F7623" s="2">
        <v>212901001</v>
      </c>
      <c r="G7623" s="2" t="s">
        <v>121</v>
      </c>
      <c r="L7623" s="2" t="s">
        <v>13497</v>
      </c>
      <c r="M7623" t="s">
        <v>67</v>
      </c>
      <c r="N7623" t="s">
        <v>68</v>
      </c>
      <c r="P7623" s="23">
        <v>147.08000000000001</v>
      </c>
      <c r="Q7623" s="4">
        <f t="shared" si="118"/>
        <v>-59.45743812890943</v>
      </c>
      <c r="R7623" s="23" t="s">
        <v>109</v>
      </c>
    </row>
    <row r="7624" spans="1:18" x14ac:dyDescent="0.25">
      <c r="A7624" s="21">
        <v>45898</v>
      </c>
      <c r="B7624" s="1">
        <v>117524151</v>
      </c>
      <c r="C7624" t="s">
        <v>13498</v>
      </c>
      <c r="D7624" s="43">
        <v>-29150</v>
      </c>
      <c r="E7624" t="s">
        <v>35</v>
      </c>
      <c r="F7624" s="2">
        <v>212901001</v>
      </c>
      <c r="G7624" s="2" t="s">
        <v>121</v>
      </c>
      <c r="L7624" s="2" t="s">
        <v>13499</v>
      </c>
      <c r="M7624" t="s">
        <v>67</v>
      </c>
      <c r="N7624" t="s">
        <v>68</v>
      </c>
      <c r="P7624" s="23">
        <v>147.08000000000001</v>
      </c>
      <c r="Q7624" s="4">
        <f t="shared" si="118"/>
        <v>-198.19146042969811</v>
      </c>
      <c r="R7624" s="23" t="s">
        <v>109</v>
      </c>
    </row>
    <row r="7625" spans="1:18" x14ac:dyDescent="0.25">
      <c r="A7625" s="21">
        <v>45898</v>
      </c>
      <c r="B7625" s="1">
        <v>117524149</v>
      </c>
      <c r="C7625" t="s">
        <v>13500</v>
      </c>
      <c r="D7625" s="43">
        <v>-8745</v>
      </c>
      <c r="E7625" t="s">
        <v>35</v>
      </c>
      <c r="F7625" s="2">
        <v>212901001</v>
      </c>
      <c r="G7625" s="2" t="s">
        <v>121</v>
      </c>
      <c r="L7625" s="2" t="s">
        <v>13501</v>
      </c>
      <c r="M7625" t="s">
        <v>67</v>
      </c>
      <c r="N7625" t="s">
        <v>68</v>
      </c>
      <c r="P7625" s="23">
        <v>147.08000000000001</v>
      </c>
      <c r="Q7625" s="4">
        <f t="shared" si="118"/>
        <v>-59.45743812890943</v>
      </c>
      <c r="R7625" s="23" t="s">
        <v>109</v>
      </c>
    </row>
    <row r="7626" spans="1:18" x14ac:dyDescent="0.25">
      <c r="A7626" s="21">
        <v>45898</v>
      </c>
      <c r="B7626" s="1">
        <v>117524150</v>
      </c>
      <c r="C7626" t="s">
        <v>13502</v>
      </c>
      <c r="D7626" s="43">
        <v>-14575</v>
      </c>
      <c r="E7626" t="s">
        <v>35</v>
      </c>
      <c r="F7626" s="2">
        <v>212901001</v>
      </c>
      <c r="G7626" s="2" t="s">
        <v>121</v>
      </c>
      <c r="L7626" s="2" t="s">
        <v>13503</v>
      </c>
      <c r="M7626" t="s">
        <v>67</v>
      </c>
      <c r="N7626" t="s">
        <v>68</v>
      </c>
      <c r="P7626" s="23">
        <v>147.08000000000001</v>
      </c>
      <c r="Q7626" s="4">
        <f t="shared" si="118"/>
        <v>-99.095730214849056</v>
      </c>
      <c r="R7626" s="23" t="s">
        <v>109</v>
      </c>
    </row>
    <row r="7627" spans="1:18" x14ac:dyDescent="0.25">
      <c r="A7627" s="21">
        <v>45898</v>
      </c>
      <c r="B7627" s="1">
        <v>117524146</v>
      </c>
      <c r="C7627" t="s">
        <v>13504</v>
      </c>
      <c r="D7627" s="43">
        <v>-8745</v>
      </c>
      <c r="E7627" t="s">
        <v>35</v>
      </c>
      <c r="F7627" s="2">
        <v>212901001</v>
      </c>
      <c r="G7627" s="2" t="s">
        <v>121</v>
      </c>
      <c r="L7627" s="2" t="s">
        <v>13505</v>
      </c>
      <c r="M7627" t="s">
        <v>67</v>
      </c>
      <c r="N7627" t="s">
        <v>68</v>
      </c>
      <c r="P7627" s="23">
        <v>147.08000000000001</v>
      </c>
      <c r="Q7627" s="4">
        <f t="shared" ref="Q7627:Q7690" si="119">D7627/P7627</f>
        <v>-59.45743812890943</v>
      </c>
      <c r="R7627" s="23" t="s">
        <v>109</v>
      </c>
    </row>
    <row r="7628" spans="1:18" x14ac:dyDescent="0.25">
      <c r="A7628" s="21">
        <v>45898</v>
      </c>
      <c r="B7628" s="1">
        <v>117524152</v>
      </c>
      <c r="C7628" t="s">
        <v>13506</v>
      </c>
      <c r="D7628" s="43">
        <v>-21133.75</v>
      </c>
      <c r="E7628" t="s">
        <v>35</v>
      </c>
      <c r="F7628" s="2">
        <v>212901001</v>
      </c>
      <c r="G7628" s="2" t="s">
        <v>121</v>
      </c>
      <c r="L7628" s="2" t="s">
        <v>13507</v>
      </c>
      <c r="M7628" t="s">
        <v>67</v>
      </c>
      <c r="N7628" t="s">
        <v>68</v>
      </c>
      <c r="P7628" s="23">
        <v>147.08000000000001</v>
      </c>
      <c r="Q7628" s="4">
        <f t="shared" si="119"/>
        <v>-143.68880881153112</v>
      </c>
      <c r="R7628" s="23" t="s">
        <v>109</v>
      </c>
    </row>
    <row r="7629" spans="1:18" x14ac:dyDescent="0.25">
      <c r="A7629" s="21">
        <v>45898</v>
      </c>
      <c r="B7629" s="1">
        <v>217524155</v>
      </c>
      <c r="C7629" t="s">
        <v>13508</v>
      </c>
      <c r="D7629" s="43">
        <v>-11660</v>
      </c>
      <c r="E7629" t="s">
        <v>35</v>
      </c>
      <c r="F7629" s="2">
        <v>212901001</v>
      </c>
      <c r="G7629" s="2" t="s">
        <v>121</v>
      </c>
      <c r="L7629" s="2" t="s">
        <v>13509</v>
      </c>
      <c r="M7629" t="s">
        <v>67</v>
      </c>
      <c r="N7629" t="s">
        <v>68</v>
      </c>
      <c r="P7629" s="23">
        <v>147.08000000000001</v>
      </c>
      <c r="Q7629" s="4">
        <f t="shared" si="119"/>
        <v>-79.276584171879236</v>
      </c>
      <c r="R7629" s="23" t="s">
        <v>109</v>
      </c>
    </row>
    <row r="7630" spans="1:18" x14ac:dyDescent="0.25">
      <c r="A7630" s="21">
        <v>45898</v>
      </c>
      <c r="B7630" s="1">
        <v>117524153</v>
      </c>
      <c r="C7630" t="s">
        <v>13510</v>
      </c>
      <c r="D7630" s="43">
        <v>-10202.5</v>
      </c>
      <c r="E7630" t="s">
        <v>35</v>
      </c>
      <c r="F7630" s="2">
        <v>212901001</v>
      </c>
      <c r="G7630" s="2" t="s">
        <v>121</v>
      </c>
      <c r="L7630" s="2" t="s">
        <v>13511</v>
      </c>
      <c r="M7630" t="s">
        <v>67</v>
      </c>
      <c r="N7630" t="s">
        <v>68</v>
      </c>
      <c r="P7630" s="23">
        <v>147.08000000000001</v>
      </c>
      <c r="Q7630" s="4">
        <f t="shared" si="119"/>
        <v>-69.367011150394333</v>
      </c>
      <c r="R7630" s="23" t="s">
        <v>109</v>
      </c>
    </row>
    <row r="7631" spans="1:18" x14ac:dyDescent="0.25">
      <c r="A7631" s="21">
        <v>45898</v>
      </c>
      <c r="B7631" s="1">
        <v>17524144</v>
      </c>
      <c r="C7631" t="s">
        <v>13512</v>
      </c>
      <c r="D7631" s="43">
        <v>-13117.5</v>
      </c>
      <c r="E7631" t="s">
        <v>35</v>
      </c>
      <c r="F7631" s="2">
        <v>212901001</v>
      </c>
      <c r="G7631" s="2" t="s">
        <v>121</v>
      </c>
      <c r="L7631" s="2" t="s">
        <v>13513</v>
      </c>
      <c r="M7631" t="s">
        <v>67</v>
      </c>
      <c r="N7631" t="s">
        <v>68</v>
      </c>
      <c r="P7631" s="23">
        <v>147.08000000000001</v>
      </c>
      <c r="Q7631" s="4">
        <f t="shared" si="119"/>
        <v>-89.186157193364153</v>
      </c>
      <c r="R7631" s="23" t="s">
        <v>109</v>
      </c>
    </row>
    <row r="7632" spans="1:18" x14ac:dyDescent="0.25">
      <c r="A7632" s="21">
        <v>45898</v>
      </c>
      <c r="B7632" s="1">
        <v>50820547</v>
      </c>
      <c r="C7632" t="s">
        <v>13514</v>
      </c>
      <c r="D7632" s="43">
        <v>-26235</v>
      </c>
      <c r="E7632" t="s">
        <v>35</v>
      </c>
      <c r="F7632" s="2">
        <v>212901001</v>
      </c>
      <c r="G7632" s="2" t="s">
        <v>121</v>
      </c>
      <c r="L7632" s="2" t="s">
        <v>13515</v>
      </c>
      <c r="M7632" t="s">
        <v>67</v>
      </c>
      <c r="N7632" t="s">
        <v>68</v>
      </c>
      <c r="P7632" s="23">
        <v>147.08000000000001</v>
      </c>
      <c r="Q7632" s="4">
        <f t="shared" si="119"/>
        <v>-178.37231438672831</v>
      </c>
      <c r="R7632" s="23" t="s">
        <v>109</v>
      </c>
    </row>
    <row r="7633" spans="1:20" x14ac:dyDescent="0.25">
      <c r="A7633" s="21">
        <v>45898</v>
      </c>
      <c r="B7633" s="1">
        <v>50820547</v>
      </c>
      <c r="C7633" t="s">
        <v>296</v>
      </c>
      <c r="D7633" s="43">
        <v>-39.35</v>
      </c>
      <c r="E7633" t="s">
        <v>35</v>
      </c>
      <c r="F7633" s="2">
        <v>610148001</v>
      </c>
      <c r="G7633" s="2" t="s">
        <v>42</v>
      </c>
      <c r="L7633" s="2" t="s">
        <v>13516</v>
      </c>
      <c r="M7633" t="s">
        <v>43</v>
      </c>
      <c r="N7633" t="s">
        <v>42</v>
      </c>
      <c r="P7633" s="23">
        <v>147.08000000000001</v>
      </c>
      <c r="Q7633" s="4">
        <f t="shared" si="119"/>
        <v>-0.26754147402773998</v>
      </c>
      <c r="R7633" s="23" t="s">
        <v>109</v>
      </c>
      <c r="T7633" s="23" t="s">
        <v>12141</v>
      </c>
    </row>
    <row r="7634" spans="1:20" x14ac:dyDescent="0.25">
      <c r="A7634" s="21">
        <v>45898</v>
      </c>
      <c r="B7634" s="1">
        <v>50820547</v>
      </c>
      <c r="C7634" t="s">
        <v>118</v>
      </c>
      <c r="D7634" s="43">
        <v>-2560.46</v>
      </c>
      <c r="E7634" t="s">
        <v>35</v>
      </c>
      <c r="F7634" s="2">
        <v>610148001</v>
      </c>
      <c r="G7634" s="2" t="s">
        <v>42</v>
      </c>
      <c r="L7634" s="2" t="s">
        <v>13517</v>
      </c>
      <c r="M7634" t="s">
        <v>43</v>
      </c>
      <c r="N7634" t="s">
        <v>42</v>
      </c>
      <c r="P7634" s="23">
        <v>147.08000000000001</v>
      </c>
      <c r="Q7634" s="4">
        <f t="shared" si="119"/>
        <v>-17.408621158553167</v>
      </c>
      <c r="R7634" s="23" t="s">
        <v>109</v>
      </c>
      <c r="T7634" s="23" t="s">
        <v>12141</v>
      </c>
    </row>
    <row r="7635" spans="1:20" x14ac:dyDescent="0.25">
      <c r="A7635" s="21">
        <v>45898</v>
      </c>
      <c r="B7635" s="1">
        <v>691251199</v>
      </c>
      <c r="C7635" t="s">
        <v>13518</v>
      </c>
      <c r="D7635" s="43">
        <v>95969.7</v>
      </c>
      <c r="E7635" t="s">
        <v>46</v>
      </c>
      <c r="F7635" s="2">
        <v>110106001</v>
      </c>
      <c r="G7635" s="2" t="s">
        <v>2034</v>
      </c>
      <c r="L7635" s="2" t="s">
        <v>13519</v>
      </c>
      <c r="N7635" t="s">
        <v>13520</v>
      </c>
      <c r="P7635" s="23">
        <v>147.08000000000001</v>
      </c>
      <c r="Q7635" s="4">
        <f t="shared" si="119"/>
        <v>652.49999999999989</v>
      </c>
      <c r="R7635" s="23" t="s">
        <v>109</v>
      </c>
    </row>
    <row r="7636" spans="1:20" x14ac:dyDescent="0.25">
      <c r="A7636" s="21">
        <v>45898</v>
      </c>
      <c r="B7636" s="1">
        <v>153131657</v>
      </c>
      <c r="C7636" t="s">
        <v>13521</v>
      </c>
      <c r="D7636" s="43">
        <v>35828.69</v>
      </c>
      <c r="E7636" t="s">
        <v>46</v>
      </c>
      <c r="F7636" s="2">
        <v>110106001</v>
      </c>
      <c r="G7636" s="2" t="s">
        <v>2034</v>
      </c>
      <c r="L7636" s="2" t="s">
        <v>13522</v>
      </c>
      <c r="N7636" t="s">
        <v>13523</v>
      </c>
      <c r="P7636" s="23">
        <v>147.08000000000001</v>
      </c>
      <c r="Q7636" s="4">
        <f t="shared" si="119"/>
        <v>243.60001359804187</v>
      </c>
      <c r="R7636" s="23" t="s">
        <v>109</v>
      </c>
    </row>
    <row r="7637" spans="1:20" x14ac:dyDescent="0.25">
      <c r="A7637" s="21">
        <v>45898</v>
      </c>
      <c r="B7637" s="1">
        <v>153226804</v>
      </c>
      <c r="C7637" t="s">
        <v>13524</v>
      </c>
      <c r="D7637" s="43">
        <v>264626.34000000003</v>
      </c>
      <c r="E7637" t="s">
        <v>46</v>
      </c>
      <c r="F7637" s="2">
        <v>110106001</v>
      </c>
      <c r="G7637" s="2" t="s">
        <v>2034</v>
      </c>
      <c r="L7637" s="2" t="s">
        <v>13525</v>
      </c>
      <c r="N7637" t="s">
        <v>13526</v>
      </c>
      <c r="P7637" s="23">
        <v>147.08000000000001</v>
      </c>
      <c r="Q7637" s="4">
        <f t="shared" si="119"/>
        <v>1799.2000271960837</v>
      </c>
      <c r="R7637" s="23" t="s">
        <v>109</v>
      </c>
    </row>
    <row r="7638" spans="1:20" x14ac:dyDescent="0.25">
      <c r="A7638" s="21">
        <v>45898</v>
      </c>
      <c r="B7638" s="1">
        <v>153615611</v>
      </c>
      <c r="C7638" t="s">
        <v>13527</v>
      </c>
      <c r="D7638" s="43">
        <v>-400684.16</v>
      </c>
      <c r="E7638" t="s">
        <v>35</v>
      </c>
      <c r="F7638" s="2">
        <v>210101001</v>
      </c>
      <c r="G7638" s="2" t="s">
        <v>36</v>
      </c>
      <c r="L7638" s="2" t="s">
        <v>13528</v>
      </c>
      <c r="M7638" t="s">
        <v>38</v>
      </c>
      <c r="N7638" t="s">
        <v>39</v>
      </c>
      <c r="P7638" s="23">
        <v>147.08000000000001</v>
      </c>
      <c r="Q7638" s="4">
        <f t="shared" si="119"/>
        <v>-2724.2599945607826</v>
      </c>
      <c r="R7638" s="23" t="s">
        <v>109</v>
      </c>
    </row>
    <row r="7639" spans="1:20" x14ac:dyDescent="0.25">
      <c r="A7639" s="21">
        <v>45898</v>
      </c>
      <c r="B7639" s="1">
        <v>153732742</v>
      </c>
      <c r="C7639" t="s">
        <v>13529</v>
      </c>
      <c r="D7639" s="43">
        <v>359234.07</v>
      </c>
      <c r="E7639" t="s">
        <v>46</v>
      </c>
      <c r="F7639" s="2">
        <v>110106001</v>
      </c>
      <c r="G7639" s="2" t="s">
        <v>2034</v>
      </c>
      <c r="L7639" s="2" t="s">
        <v>13530</v>
      </c>
      <c r="N7639" t="s">
        <v>13531</v>
      </c>
      <c r="P7639" s="23">
        <v>147.08000000000001</v>
      </c>
      <c r="Q7639" s="4">
        <f t="shared" si="119"/>
        <v>2442.4399646450911</v>
      </c>
      <c r="R7639" s="23" t="s">
        <v>109</v>
      </c>
    </row>
    <row r="7640" spans="1:20" x14ac:dyDescent="0.25">
      <c r="A7640" s="21">
        <v>45898</v>
      </c>
      <c r="B7640" s="1">
        <v>517526731</v>
      </c>
      <c r="C7640" t="s">
        <v>13532</v>
      </c>
      <c r="D7640" s="43">
        <v>-373708.84</v>
      </c>
      <c r="E7640" t="s">
        <v>35</v>
      </c>
      <c r="F7640" s="2">
        <v>210101001</v>
      </c>
      <c r="G7640" s="2" t="s">
        <v>36</v>
      </c>
      <c r="L7640" s="2" t="s">
        <v>13533</v>
      </c>
      <c r="M7640" t="s">
        <v>38</v>
      </c>
      <c r="N7640" t="s">
        <v>39</v>
      </c>
      <c r="P7640" s="23">
        <v>147.08000000000001</v>
      </c>
      <c r="Q7640" s="4">
        <f t="shared" si="119"/>
        <v>-2540.8542289910251</v>
      </c>
      <c r="R7640" s="23" t="s">
        <v>109</v>
      </c>
    </row>
    <row r="7641" spans="1:20" x14ac:dyDescent="0.25">
      <c r="A7641" s="21">
        <v>45898</v>
      </c>
      <c r="B7641" s="1">
        <v>517526731</v>
      </c>
      <c r="C7641" t="s">
        <v>306</v>
      </c>
      <c r="D7641" s="43">
        <v>-1121.1300000000001</v>
      </c>
      <c r="E7641" t="s">
        <v>35</v>
      </c>
      <c r="F7641" s="2">
        <v>610148001</v>
      </c>
      <c r="G7641" s="2" t="s">
        <v>42</v>
      </c>
      <c r="L7641" s="2" t="s">
        <v>13534</v>
      </c>
      <c r="M7641" t="s">
        <v>43</v>
      </c>
      <c r="N7641" t="s">
        <v>42</v>
      </c>
      <c r="P7641" s="23">
        <v>147.08000000000001</v>
      </c>
      <c r="Q7641" s="4">
        <f t="shared" si="119"/>
        <v>-7.6225863475659503</v>
      </c>
      <c r="R7641" s="23" t="s">
        <v>109</v>
      </c>
      <c r="T7641" s="23" t="s">
        <v>12141</v>
      </c>
    </row>
    <row r="7642" spans="1:20" x14ac:dyDescent="0.25">
      <c r="A7642" s="21">
        <v>45898</v>
      </c>
      <c r="C7642" t="s">
        <v>1192</v>
      </c>
      <c r="D7642" s="43">
        <v>-0.5</v>
      </c>
      <c r="E7642" t="s">
        <v>35</v>
      </c>
      <c r="F7642" s="2">
        <v>610148001</v>
      </c>
      <c r="G7642" s="2" t="s">
        <v>42</v>
      </c>
      <c r="L7642" s="2" t="s">
        <v>13535</v>
      </c>
      <c r="M7642" t="s">
        <v>43</v>
      </c>
      <c r="N7642" t="s">
        <v>42</v>
      </c>
      <c r="P7642" s="23">
        <v>147.08000000000001</v>
      </c>
      <c r="Q7642" s="4">
        <f t="shared" si="119"/>
        <v>-3.399510470492249E-3</v>
      </c>
      <c r="R7642" s="23" t="s">
        <v>109</v>
      </c>
      <c r="T7642" s="23" t="s">
        <v>12141</v>
      </c>
    </row>
    <row r="7643" spans="1:20" x14ac:dyDescent="0.25">
      <c r="A7643" s="21">
        <v>45898</v>
      </c>
      <c r="C7643" t="s">
        <v>1194</v>
      </c>
      <c r="D7643" s="43">
        <v>-0.5</v>
      </c>
      <c r="E7643" t="s">
        <v>35</v>
      </c>
      <c r="F7643" s="2">
        <v>610148001</v>
      </c>
      <c r="G7643" s="2" t="s">
        <v>42</v>
      </c>
      <c r="L7643" s="2" t="s">
        <v>13536</v>
      </c>
      <c r="M7643" t="s">
        <v>43</v>
      </c>
      <c r="N7643" t="s">
        <v>42</v>
      </c>
      <c r="P7643" s="23">
        <v>147.08000000000001</v>
      </c>
      <c r="Q7643" s="4">
        <f t="shared" si="119"/>
        <v>-3.399510470492249E-3</v>
      </c>
      <c r="R7643" s="23" t="s">
        <v>109</v>
      </c>
      <c r="T7643" s="23" t="s">
        <v>12141</v>
      </c>
    </row>
    <row r="7644" spans="1:20" x14ac:dyDescent="0.25">
      <c r="A7644" s="21">
        <v>45870</v>
      </c>
      <c r="B7644" s="1" t="s">
        <v>13537</v>
      </c>
      <c r="C7644" t="s">
        <v>2540</v>
      </c>
      <c r="D7644" s="43" t="s">
        <v>10261</v>
      </c>
      <c r="E7644" t="s">
        <v>35</v>
      </c>
      <c r="F7644" s="2">
        <v>610148001</v>
      </c>
      <c r="G7644" s="2" t="s">
        <v>42</v>
      </c>
      <c r="L7644" s="2" t="s">
        <v>13538</v>
      </c>
      <c r="M7644" t="s">
        <v>43</v>
      </c>
      <c r="N7644" t="s">
        <v>42</v>
      </c>
      <c r="P7644" s="23">
        <v>125.42</v>
      </c>
      <c r="Q7644" s="4">
        <f t="shared" si="119"/>
        <v>-3.9866050071758891E-3</v>
      </c>
      <c r="R7644" s="23" t="s">
        <v>1198</v>
      </c>
      <c r="T7644" s="23" t="s">
        <v>12141</v>
      </c>
    </row>
    <row r="7645" spans="1:20" x14ac:dyDescent="0.25">
      <c r="A7645" s="21">
        <v>45870</v>
      </c>
      <c r="B7645" s="1" t="s">
        <v>13539</v>
      </c>
      <c r="C7645" t="s">
        <v>544</v>
      </c>
      <c r="D7645" s="43" t="s">
        <v>13540</v>
      </c>
      <c r="E7645" t="s">
        <v>46</v>
      </c>
      <c r="F7645" s="2">
        <v>210115002</v>
      </c>
      <c r="G7645" s="2" t="s">
        <v>12156</v>
      </c>
      <c r="L7645" s="2" t="s">
        <v>13541</v>
      </c>
      <c r="N7645" t="s">
        <v>544</v>
      </c>
      <c r="P7645" s="23">
        <v>125.42</v>
      </c>
      <c r="Q7645" s="4">
        <f t="shared" si="119"/>
        <v>8531.3347153564027</v>
      </c>
      <c r="R7645" s="23" t="s">
        <v>1198</v>
      </c>
    </row>
    <row r="7646" spans="1:20" x14ac:dyDescent="0.25">
      <c r="A7646" s="21">
        <v>45870</v>
      </c>
      <c r="B7646" s="1" t="s">
        <v>13542</v>
      </c>
      <c r="C7646" t="s">
        <v>13543</v>
      </c>
      <c r="D7646" s="43" t="s">
        <v>13544</v>
      </c>
      <c r="E7646" t="s">
        <v>35</v>
      </c>
      <c r="F7646" s="2">
        <v>110110001</v>
      </c>
      <c r="G7646" s="2" t="s">
        <v>1276</v>
      </c>
      <c r="L7646" s="2" t="s">
        <v>13545</v>
      </c>
      <c r="N7646" t="s">
        <v>13546</v>
      </c>
      <c r="P7646" s="23">
        <v>125.42</v>
      </c>
      <c r="Q7646" s="4">
        <f t="shared" si="119"/>
        <v>-8426.0564503269015</v>
      </c>
      <c r="R7646" s="23" t="s">
        <v>1198</v>
      </c>
    </row>
    <row r="7647" spans="1:20" x14ac:dyDescent="0.25">
      <c r="A7647" s="21">
        <v>45870</v>
      </c>
      <c r="B7647" s="1" t="s">
        <v>13547</v>
      </c>
      <c r="C7647" t="s">
        <v>1221</v>
      </c>
      <c r="D7647" s="43" t="s">
        <v>13548</v>
      </c>
      <c r="E7647" t="s">
        <v>35</v>
      </c>
      <c r="F7647" s="2">
        <v>610148001</v>
      </c>
      <c r="G7647" s="2" t="s">
        <v>42</v>
      </c>
      <c r="L7647" s="2" t="s">
        <v>13549</v>
      </c>
      <c r="M7647" t="s">
        <v>43</v>
      </c>
      <c r="N7647" t="s">
        <v>42</v>
      </c>
      <c r="P7647" s="23">
        <v>125.42</v>
      </c>
      <c r="Q7647" s="4">
        <f t="shared" si="119"/>
        <v>-21.065141125817252</v>
      </c>
      <c r="R7647" s="23" t="s">
        <v>1198</v>
      </c>
      <c r="T7647" s="23" t="s">
        <v>12141</v>
      </c>
    </row>
    <row r="7648" spans="1:20" x14ac:dyDescent="0.25">
      <c r="A7648" s="21">
        <v>45873</v>
      </c>
      <c r="B7648" s="1" t="s">
        <v>13550</v>
      </c>
      <c r="C7648" t="s">
        <v>544</v>
      </c>
      <c r="D7648" s="43" t="s">
        <v>13551</v>
      </c>
      <c r="E7648" t="s">
        <v>46</v>
      </c>
      <c r="F7648" s="2">
        <v>210115002</v>
      </c>
      <c r="G7648" s="2" t="s">
        <v>12156</v>
      </c>
      <c r="L7648" s="2" t="s">
        <v>13552</v>
      </c>
      <c r="N7648" t="s">
        <v>544</v>
      </c>
      <c r="P7648" s="23">
        <v>126.28</v>
      </c>
      <c r="Q7648" s="4">
        <f t="shared" si="119"/>
        <v>22172.949002217294</v>
      </c>
      <c r="R7648" s="23" t="s">
        <v>1198</v>
      </c>
    </row>
    <row r="7649" spans="1:20" x14ac:dyDescent="0.25">
      <c r="A7649" s="21">
        <v>45873</v>
      </c>
      <c r="B7649" s="1" t="s">
        <v>13553</v>
      </c>
      <c r="C7649" t="s">
        <v>13554</v>
      </c>
      <c r="D7649" s="43" t="s">
        <v>13555</v>
      </c>
      <c r="E7649" t="s">
        <v>35</v>
      </c>
      <c r="F7649" s="2">
        <v>210101001</v>
      </c>
      <c r="G7649" s="2" t="s">
        <v>36</v>
      </c>
      <c r="L7649" s="2" t="s">
        <v>13556</v>
      </c>
      <c r="M7649" t="s">
        <v>725</v>
      </c>
      <c r="N7649" t="s">
        <v>726</v>
      </c>
      <c r="P7649" s="23">
        <v>126.28</v>
      </c>
      <c r="Q7649" s="4">
        <f t="shared" si="119"/>
        <v>-11.013620525815647</v>
      </c>
      <c r="R7649" s="23" t="s">
        <v>1198</v>
      </c>
    </row>
    <row r="7650" spans="1:20" x14ac:dyDescent="0.25">
      <c r="A7650" s="21">
        <v>45873</v>
      </c>
      <c r="B7650" s="1" t="s">
        <v>13557</v>
      </c>
      <c r="C7650" t="s">
        <v>1221</v>
      </c>
      <c r="D7650" s="43" t="s">
        <v>13558</v>
      </c>
      <c r="E7650" t="s">
        <v>35</v>
      </c>
      <c r="F7650" s="2">
        <v>610148001</v>
      </c>
      <c r="G7650" s="2" t="s">
        <v>42</v>
      </c>
      <c r="L7650" s="2" t="s">
        <v>13559</v>
      </c>
      <c r="M7650" t="s">
        <v>43</v>
      </c>
      <c r="N7650" t="s">
        <v>42</v>
      </c>
      <c r="P7650" s="23">
        <v>126.28</v>
      </c>
      <c r="Q7650" s="4">
        <f t="shared" si="119"/>
        <v>-2.7478618942033576E-2</v>
      </c>
      <c r="R7650" s="23" t="s">
        <v>1198</v>
      </c>
      <c r="T7650" s="23" t="s">
        <v>12141</v>
      </c>
    </row>
    <row r="7651" spans="1:20" x14ac:dyDescent="0.25">
      <c r="A7651" s="21">
        <v>45873</v>
      </c>
      <c r="B7651" s="1" t="s">
        <v>13560</v>
      </c>
      <c r="C7651" t="s">
        <v>1221</v>
      </c>
      <c r="D7651" s="43" t="s">
        <v>13561</v>
      </c>
      <c r="E7651" t="s">
        <v>35</v>
      </c>
      <c r="F7651" s="2">
        <v>610148001</v>
      </c>
      <c r="G7651" s="2" t="s">
        <v>42</v>
      </c>
      <c r="L7651" s="2" t="s">
        <v>13562</v>
      </c>
      <c r="M7651" t="s">
        <v>43</v>
      </c>
      <c r="N7651" t="s">
        <v>42</v>
      </c>
      <c r="P7651" s="23">
        <v>126.28</v>
      </c>
      <c r="Q7651" s="4">
        <f t="shared" si="119"/>
        <v>-19.797275894836869</v>
      </c>
      <c r="R7651" s="23" t="s">
        <v>1198</v>
      </c>
      <c r="T7651" s="23" t="s">
        <v>12141</v>
      </c>
    </row>
    <row r="7652" spans="1:20" x14ac:dyDescent="0.25">
      <c r="A7652" s="21">
        <v>45873</v>
      </c>
      <c r="B7652" s="1" t="s">
        <v>13563</v>
      </c>
      <c r="C7652" t="s">
        <v>13564</v>
      </c>
      <c r="D7652" s="43">
        <v>-1000000</v>
      </c>
      <c r="E7652" t="s">
        <v>35</v>
      </c>
      <c r="F7652" s="2">
        <v>110114001</v>
      </c>
      <c r="G7652" s="2" t="s">
        <v>301</v>
      </c>
      <c r="L7652" s="2" t="s">
        <v>13565</v>
      </c>
      <c r="N7652" t="s">
        <v>2551</v>
      </c>
      <c r="P7652" s="23">
        <v>126.28</v>
      </c>
      <c r="Q7652" s="4">
        <f t="shared" si="119"/>
        <v>-7918.9103579347484</v>
      </c>
      <c r="R7652" s="23" t="s">
        <v>1198</v>
      </c>
    </row>
    <row r="7653" spans="1:20" x14ac:dyDescent="0.25">
      <c r="A7653" s="21">
        <v>45873</v>
      </c>
      <c r="B7653" s="1" t="s">
        <v>13566</v>
      </c>
      <c r="C7653" t="s">
        <v>1221</v>
      </c>
      <c r="D7653" s="43">
        <v>-2500</v>
      </c>
      <c r="E7653" t="s">
        <v>35</v>
      </c>
      <c r="F7653" s="2">
        <v>610148001</v>
      </c>
      <c r="G7653" s="2" t="s">
        <v>42</v>
      </c>
      <c r="L7653" s="2" t="s">
        <v>13567</v>
      </c>
      <c r="M7653" t="s">
        <v>43</v>
      </c>
      <c r="N7653" t="s">
        <v>42</v>
      </c>
      <c r="P7653" s="23">
        <v>126.28</v>
      </c>
      <c r="Q7653" s="4">
        <f t="shared" si="119"/>
        <v>-19.797275894836869</v>
      </c>
      <c r="R7653" s="23" t="s">
        <v>1198</v>
      </c>
      <c r="T7653" s="23" t="s">
        <v>12141</v>
      </c>
    </row>
    <row r="7654" spans="1:20" x14ac:dyDescent="0.25">
      <c r="A7654" s="21">
        <v>45873</v>
      </c>
      <c r="B7654" s="1" t="s">
        <v>13568</v>
      </c>
      <c r="C7654" t="s">
        <v>13564</v>
      </c>
      <c r="D7654" s="43">
        <v>-1000000</v>
      </c>
      <c r="E7654" t="s">
        <v>35</v>
      </c>
      <c r="F7654" s="2">
        <v>110114001</v>
      </c>
      <c r="G7654" s="2" t="s">
        <v>301</v>
      </c>
      <c r="L7654" s="2" t="s">
        <v>13569</v>
      </c>
      <c r="N7654" t="s">
        <v>2551</v>
      </c>
      <c r="P7654" s="23">
        <v>126.28</v>
      </c>
      <c r="Q7654" s="4">
        <f t="shared" si="119"/>
        <v>-7918.9103579347484</v>
      </c>
      <c r="R7654" s="23" t="s">
        <v>1198</v>
      </c>
    </row>
    <row r="7655" spans="1:20" x14ac:dyDescent="0.25">
      <c r="A7655" s="21">
        <v>45873</v>
      </c>
      <c r="B7655" s="1" t="s">
        <v>13570</v>
      </c>
      <c r="C7655" t="s">
        <v>1221</v>
      </c>
      <c r="D7655" s="43">
        <v>-1669.85</v>
      </c>
      <c r="E7655" t="s">
        <v>35</v>
      </c>
      <c r="F7655" s="2">
        <v>610148001</v>
      </c>
      <c r="G7655" s="2" t="s">
        <v>42</v>
      </c>
      <c r="L7655" s="2" t="s">
        <v>13571</v>
      </c>
      <c r="M7655" t="s">
        <v>43</v>
      </c>
      <c r="N7655" t="s">
        <v>42</v>
      </c>
      <c r="P7655" s="23">
        <v>126.28</v>
      </c>
      <c r="Q7655" s="4">
        <f t="shared" si="119"/>
        <v>-13.223392461197339</v>
      </c>
      <c r="R7655" s="23" t="s">
        <v>1198</v>
      </c>
      <c r="T7655" s="23" t="s">
        <v>12141</v>
      </c>
    </row>
    <row r="7656" spans="1:20" x14ac:dyDescent="0.25">
      <c r="A7656" s="21">
        <v>45873</v>
      </c>
      <c r="B7656" s="1" t="s">
        <v>13572</v>
      </c>
      <c r="C7656" t="s">
        <v>13564</v>
      </c>
      <c r="D7656" s="43">
        <v>-667942.81999999995</v>
      </c>
      <c r="E7656" t="s">
        <v>35</v>
      </c>
      <c r="F7656" s="2">
        <v>110114001</v>
      </c>
      <c r="G7656" s="2" t="s">
        <v>301</v>
      </c>
      <c r="L7656" s="2" t="s">
        <v>13573</v>
      </c>
      <c r="N7656" t="s">
        <v>2551</v>
      </c>
      <c r="P7656" s="23">
        <v>126.28</v>
      </c>
      <c r="Q7656" s="4">
        <f t="shared" si="119"/>
        <v>-5289.3793158061444</v>
      </c>
      <c r="R7656" s="23" t="s">
        <v>1198</v>
      </c>
    </row>
    <row r="7657" spans="1:20" x14ac:dyDescent="0.25">
      <c r="A7657" s="21">
        <v>45873</v>
      </c>
      <c r="B7657" s="1" t="s">
        <v>13574</v>
      </c>
      <c r="C7657" t="s">
        <v>1221</v>
      </c>
      <c r="D7657" s="43" t="s">
        <v>13575</v>
      </c>
      <c r="E7657" t="s">
        <v>35</v>
      </c>
      <c r="F7657" s="2">
        <v>610148001</v>
      </c>
      <c r="G7657" s="2" t="s">
        <v>42</v>
      </c>
      <c r="L7657" s="2" t="s">
        <v>13576</v>
      </c>
      <c r="M7657" t="s">
        <v>43</v>
      </c>
      <c r="N7657" t="s">
        <v>42</v>
      </c>
      <c r="P7657" s="23">
        <v>126.28</v>
      </c>
      <c r="Q7657" s="4">
        <f t="shared" si="119"/>
        <v>-1.8725847323408298</v>
      </c>
      <c r="R7657" s="23" t="s">
        <v>1198</v>
      </c>
      <c r="T7657" s="23" t="s">
        <v>12141</v>
      </c>
    </row>
    <row r="7658" spans="1:20" x14ac:dyDescent="0.25">
      <c r="A7658" s="21">
        <v>45873</v>
      </c>
      <c r="B7658" s="1" t="s">
        <v>13577</v>
      </c>
      <c r="C7658" t="s">
        <v>11952</v>
      </c>
      <c r="D7658" s="43" t="s">
        <v>13578</v>
      </c>
      <c r="E7658" t="s">
        <v>35</v>
      </c>
      <c r="F7658" s="2">
        <v>110114001</v>
      </c>
      <c r="G7658" s="2" t="s">
        <v>301</v>
      </c>
      <c r="L7658" s="2" t="s">
        <v>13579</v>
      </c>
      <c r="M7658" t="s">
        <v>38</v>
      </c>
      <c r="N7658" t="s">
        <v>39</v>
      </c>
      <c r="P7658" s="23">
        <v>126.28</v>
      </c>
      <c r="Q7658" s="4">
        <f t="shared" si="119"/>
        <v>-749.04672157111179</v>
      </c>
      <c r="R7658" s="23" t="s">
        <v>1198</v>
      </c>
    </row>
    <row r="7659" spans="1:20" x14ac:dyDescent="0.25">
      <c r="A7659" s="21">
        <v>45873</v>
      </c>
      <c r="B7659" s="1" t="s">
        <v>13580</v>
      </c>
      <c r="C7659" t="s">
        <v>13581</v>
      </c>
      <c r="D7659" s="43" t="s">
        <v>13582</v>
      </c>
      <c r="E7659" t="s">
        <v>35</v>
      </c>
      <c r="F7659" s="2">
        <v>213201001</v>
      </c>
      <c r="G7659" s="2" t="s">
        <v>1245</v>
      </c>
      <c r="L7659" s="2" t="s">
        <v>13583</v>
      </c>
      <c r="M7659" t="s">
        <v>1247</v>
      </c>
      <c r="N7659" t="s">
        <v>1248</v>
      </c>
      <c r="P7659" s="23">
        <v>126.28</v>
      </c>
      <c r="Q7659" s="4">
        <f t="shared" si="119"/>
        <v>-1.3994298384542287</v>
      </c>
      <c r="R7659" s="23" t="s">
        <v>1198</v>
      </c>
      <c r="T7659" s="23" t="s">
        <v>13584</v>
      </c>
    </row>
    <row r="7660" spans="1:20" x14ac:dyDescent="0.25">
      <c r="A7660" s="21">
        <v>45874</v>
      </c>
      <c r="B7660" s="1" t="s">
        <v>13585</v>
      </c>
      <c r="C7660" t="s">
        <v>544</v>
      </c>
      <c r="D7660" s="43" t="s">
        <v>13586</v>
      </c>
      <c r="E7660" t="s">
        <v>46</v>
      </c>
      <c r="F7660" s="2">
        <v>210115002</v>
      </c>
      <c r="G7660" s="2" t="s">
        <v>12156</v>
      </c>
      <c r="L7660" s="2" t="s">
        <v>13587</v>
      </c>
      <c r="N7660" t="s">
        <v>544</v>
      </c>
      <c r="P7660" s="23">
        <v>127.11</v>
      </c>
      <c r="Q7660" s="4">
        <f t="shared" si="119"/>
        <v>3225.5526709149553</v>
      </c>
      <c r="R7660" s="23" t="s">
        <v>1198</v>
      </c>
    </row>
    <row r="7661" spans="1:20" x14ac:dyDescent="0.25">
      <c r="A7661" s="21">
        <v>45874</v>
      </c>
      <c r="B7661" s="1" t="s">
        <v>13588</v>
      </c>
      <c r="C7661" t="s">
        <v>1221</v>
      </c>
      <c r="D7661" s="43" t="s">
        <v>13589</v>
      </c>
      <c r="E7661" t="s">
        <v>35</v>
      </c>
      <c r="F7661" s="2">
        <v>610148001</v>
      </c>
      <c r="G7661" s="2" t="s">
        <v>42</v>
      </c>
      <c r="L7661" s="2" t="s">
        <v>13590</v>
      </c>
      <c r="M7661" t="s">
        <v>43</v>
      </c>
      <c r="N7661" t="s">
        <v>42</v>
      </c>
      <c r="P7661" s="23">
        <v>127.11</v>
      </c>
      <c r="Q7661" s="4">
        <f t="shared" si="119"/>
        <v>-9.9677444732908502E-2</v>
      </c>
      <c r="R7661" s="23" t="s">
        <v>1198</v>
      </c>
      <c r="T7661" s="23" t="s">
        <v>12141</v>
      </c>
    </row>
    <row r="7662" spans="1:20" x14ac:dyDescent="0.25">
      <c r="A7662" s="21">
        <v>45874</v>
      </c>
      <c r="B7662" s="1" t="s">
        <v>13591</v>
      </c>
      <c r="C7662" t="s">
        <v>13592</v>
      </c>
      <c r="D7662" s="43" t="s">
        <v>13593</v>
      </c>
      <c r="E7662" t="s">
        <v>35</v>
      </c>
      <c r="F7662" s="2">
        <v>210101001</v>
      </c>
      <c r="G7662" s="2" t="s">
        <v>36</v>
      </c>
      <c r="L7662" s="2" t="s">
        <v>13594</v>
      </c>
      <c r="M7662" t="s">
        <v>521</v>
      </c>
      <c r="N7662" t="s">
        <v>3364</v>
      </c>
      <c r="P7662" s="23">
        <v>127.11</v>
      </c>
      <c r="Q7662" s="4">
        <f t="shared" si="119"/>
        <v>-39.90000786720163</v>
      </c>
      <c r="R7662" s="23" t="s">
        <v>1198</v>
      </c>
    </row>
    <row r="7663" spans="1:20" x14ac:dyDescent="0.25">
      <c r="A7663" s="21">
        <v>45874</v>
      </c>
      <c r="B7663" s="1" t="s">
        <v>13595</v>
      </c>
      <c r="C7663" t="s">
        <v>1221</v>
      </c>
      <c r="D7663" s="43" t="s">
        <v>13596</v>
      </c>
      <c r="E7663" t="s">
        <v>35</v>
      </c>
      <c r="F7663" s="2">
        <v>610148001</v>
      </c>
      <c r="G7663" s="2" t="s">
        <v>42</v>
      </c>
      <c r="L7663" s="2" t="s">
        <v>13597</v>
      </c>
      <c r="M7663" t="s">
        <v>43</v>
      </c>
      <c r="N7663" t="s">
        <v>42</v>
      </c>
      <c r="P7663" s="23">
        <v>127.11</v>
      </c>
      <c r="Q7663" s="4">
        <f t="shared" si="119"/>
        <v>-8.8583903705451981</v>
      </c>
      <c r="R7663" s="23" t="s">
        <v>1198</v>
      </c>
      <c r="T7663" s="23" t="s">
        <v>12141</v>
      </c>
    </row>
    <row r="7664" spans="1:20" x14ac:dyDescent="0.25">
      <c r="A7664" s="21">
        <v>45874</v>
      </c>
      <c r="B7664" s="1" t="s">
        <v>13598</v>
      </c>
      <c r="C7664" t="s">
        <v>13599</v>
      </c>
      <c r="D7664" s="43" t="s">
        <v>13600</v>
      </c>
      <c r="E7664" t="s">
        <v>35</v>
      </c>
      <c r="F7664" s="2">
        <v>210101001</v>
      </c>
      <c r="G7664" s="2" t="s">
        <v>36</v>
      </c>
      <c r="L7664" s="2" t="s">
        <v>13601</v>
      </c>
      <c r="M7664" t="s">
        <v>38</v>
      </c>
      <c r="N7664" t="s">
        <v>39</v>
      </c>
      <c r="P7664" s="23">
        <v>127.11</v>
      </c>
      <c r="Q7664" s="4">
        <f t="shared" si="119"/>
        <v>-3543.3822673275117</v>
      </c>
      <c r="R7664" s="23" t="s">
        <v>1198</v>
      </c>
    </row>
    <row r="7665" spans="1:21" x14ac:dyDescent="0.25">
      <c r="A7665" s="21">
        <v>45875</v>
      </c>
      <c r="B7665" s="1" t="s">
        <v>13602</v>
      </c>
      <c r="C7665" t="s">
        <v>544</v>
      </c>
      <c r="D7665" s="43" t="s">
        <v>13603</v>
      </c>
      <c r="E7665" t="s">
        <v>46</v>
      </c>
      <c r="F7665" s="2">
        <v>210115002</v>
      </c>
      <c r="G7665" s="2" t="s">
        <v>12156</v>
      </c>
      <c r="L7665" s="2" t="s">
        <v>13604</v>
      </c>
      <c r="N7665" t="s">
        <v>544</v>
      </c>
      <c r="P7665" s="23">
        <v>128.24</v>
      </c>
      <c r="Q7665" s="4">
        <f t="shared" si="119"/>
        <v>7018.0910792264503</v>
      </c>
      <c r="R7665" s="23" t="s">
        <v>1198</v>
      </c>
    </row>
    <row r="7666" spans="1:21" x14ac:dyDescent="0.25">
      <c r="A7666" s="21">
        <v>45875</v>
      </c>
      <c r="B7666" s="1" t="s">
        <v>13605</v>
      </c>
      <c r="C7666" t="s">
        <v>13606</v>
      </c>
      <c r="D7666" s="43" t="s">
        <v>13607</v>
      </c>
      <c r="E7666" t="s">
        <v>35</v>
      </c>
      <c r="F7666" s="2">
        <v>210101001</v>
      </c>
      <c r="G7666" s="2" t="s">
        <v>36</v>
      </c>
      <c r="L7666" s="2" t="s">
        <v>13608</v>
      </c>
      <c r="M7666" t="s">
        <v>3854</v>
      </c>
      <c r="N7666" t="s">
        <v>3855</v>
      </c>
      <c r="P7666" s="23">
        <v>128.24</v>
      </c>
      <c r="Q7666" s="4">
        <f t="shared" si="119"/>
        <v>-16.369385527136618</v>
      </c>
      <c r="R7666" s="23" t="s">
        <v>1198</v>
      </c>
    </row>
    <row r="7667" spans="1:21" x14ac:dyDescent="0.25">
      <c r="A7667" s="21">
        <v>45875</v>
      </c>
      <c r="B7667" s="1" t="s">
        <v>13609</v>
      </c>
      <c r="C7667" t="s">
        <v>1221</v>
      </c>
      <c r="D7667" s="43" t="s">
        <v>13610</v>
      </c>
      <c r="E7667" t="s">
        <v>35</v>
      </c>
      <c r="F7667" s="2">
        <v>610148001</v>
      </c>
      <c r="G7667" s="2" t="s">
        <v>42</v>
      </c>
      <c r="L7667" s="2" t="s">
        <v>13611</v>
      </c>
      <c r="M7667" t="s">
        <v>43</v>
      </c>
      <c r="N7667" t="s">
        <v>42</v>
      </c>
      <c r="P7667" s="23">
        <v>128.24</v>
      </c>
      <c r="Q7667" s="4">
        <f t="shared" si="119"/>
        <v>-4.0860885839051779E-2</v>
      </c>
      <c r="R7667" s="23" t="s">
        <v>1198</v>
      </c>
      <c r="T7667" s="23" t="s">
        <v>12141</v>
      </c>
    </row>
    <row r="7668" spans="1:21" ht="15.75" x14ac:dyDescent="0.25">
      <c r="A7668" s="21">
        <v>45875</v>
      </c>
      <c r="B7668" s="1" t="s">
        <v>13612</v>
      </c>
      <c r="C7668" t="s">
        <v>1221</v>
      </c>
      <c r="D7668" s="43" t="s">
        <v>13613</v>
      </c>
      <c r="E7668" t="s">
        <v>35</v>
      </c>
      <c r="F7668" s="2">
        <v>610148001</v>
      </c>
      <c r="G7668" s="2" t="s">
        <v>42</v>
      </c>
      <c r="L7668" s="2" t="s">
        <v>13614</v>
      </c>
      <c r="M7668" t="s">
        <v>43</v>
      </c>
      <c r="N7668" t="s">
        <v>42</v>
      </c>
      <c r="P7668" s="23">
        <v>128.24</v>
      </c>
      <c r="Q7668" s="4">
        <f t="shared" si="119"/>
        <v>-16.330708047411104</v>
      </c>
      <c r="R7668" s="23" t="s">
        <v>1198</v>
      </c>
      <c r="S7668" s="36" t="s">
        <v>13615</v>
      </c>
      <c r="T7668" s="23" t="s">
        <v>12141</v>
      </c>
    </row>
    <row r="7669" spans="1:21" x14ac:dyDescent="0.25">
      <c r="A7669" s="21">
        <v>45875</v>
      </c>
      <c r="B7669" s="1" t="s">
        <v>13616</v>
      </c>
      <c r="C7669" t="s">
        <v>13617</v>
      </c>
      <c r="D7669" s="43" t="s">
        <v>13618</v>
      </c>
      <c r="E7669" t="s">
        <v>35</v>
      </c>
      <c r="F7669" s="2">
        <v>110114001</v>
      </c>
      <c r="G7669" s="2" t="s">
        <v>301</v>
      </c>
      <c r="L7669" s="2" t="s">
        <v>13619</v>
      </c>
      <c r="M7669" t="s">
        <v>38</v>
      </c>
      <c r="N7669" t="s">
        <v>39</v>
      </c>
      <c r="P7669" s="23">
        <v>128.24</v>
      </c>
      <c r="Q7669" s="4">
        <f t="shared" si="119"/>
        <v>-6532.2999844042415</v>
      </c>
      <c r="R7669" s="23" t="s">
        <v>1198</v>
      </c>
    </row>
    <row r="7670" spans="1:21" x14ac:dyDescent="0.25">
      <c r="A7670" s="21">
        <v>45875</v>
      </c>
      <c r="B7670" s="1" t="s">
        <v>13620</v>
      </c>
      <c r="C7670" t="s">
        <v>1221</v>
      </c>
      <c r="D7670" s="43" t="s">
        <v>13621</v>
      </c>
      <c r="E7670" t="s">
        <v>35</v>
      </c>
      <c r="F7670" s="2">
        <v>610148001</v>
      </c>
      <c r="G7670" s="2" t="s">
        <v>42</v>
      </c>
      <c r="L7670" s="2" t="s">
        <v>13622</v>
      </c>
      <c r="M7670" t="s">
        <v>43</v>
      </c>
      <c r="N7670" t="s">
        <v>42</v>
      </c>
      <c r="P7670" s="23">
        <v>128.24</v>
      </c>
      <c r="Q7670" s="4">
        <f t="shared" si="119"/>
        <v>-0.29998440424204614</v>
      </c>
      <c r="R7670" s="23" t="s">
        <v>1198</v>
      </c>
      <c r="T7670" s="23" t="s">
        <v>12141</v>
      </c>
    </row>
    <row r="7671" spans="1:21" x14ac:dyDescent="0.25">
      <c r="A7671" s="32">
        <v>45875</v>
      </c>
      <c r="B7671" s="26" t="s">
        <v>13623</v>
      </c>
      <c r="C7671" s="27" t="s">
        <v>13624</v>
      </c>
      <c r="D7671" s="46">
        <v>-15388.8</v>
      </c>
      <c r="E7671" s="27" t="s">
        <v>35</v>
      </c>
      <c r="F7671" s="29">
        <v>610156001</v>
      </c>
      <c r="G7671" s="29" t="s">
        <v>91</v>
      </c>
      <c r="H7671" s="107"/>
      <c r="I7671" s="101"/>
      <c r="J7671" s="101"/>
      <c r="K7671" s="29"/>
      <c r="L7671" s="2" t="s">
        <v>13625</v>
      </c>
      <c r="M7671" s="27" t="s">
        <v>93</v>
      </c>
      <c r="N7671" s="27" t="s">
        <v>94</v>
      </c>
      <c r="O7671" s="27" t="s">
        <v>59</v>
      </c>
      <c r="P7671" s="31">
        <v>128.24</v>
      </c>
      <c r="Q7671" s="4">
        <f t="shared" si="119"/>
        <v>-119.99999999999999</v>
      </c>
      <c r="R7671" s="23" t="s">
        <v>1198</v>
      </c>
      <c r="T7671" s="23" t="s">
        <v>13626</v>
      </c>
    </row>
    <row r="7672" spans="1:21" x14ac:dyDescent="0.25">
      <c r="A7672" s="21">
        <v>45875</v>
      </c>
      <c r="B7672" s="1" t="s">
        <v>13627</v>
      </c>
      <c r="C7672" t="s">
        <v>1221</v>
      </c>
      <c r="D7672" s="1">
        <v>-79.680000000000007</v>
      </c>
      <c r="E7672" t="s">
        <v>35</v>
      </c>
      <c r="F7672" s="2">
        <v>610148001</v>
      </c>
      <c r="G7672" s="2" t="s">
        <v>42</v>
      </c>
      <c r="L7672" s="2" t="s">
        <v>13628</v>
      </c>
      <c r="M7672" t="s">
        <v>43</v>
      </c>
      <c r="N7672" t="s">
        <v>42</v>
      </c>
      <c r="P7672" s="23">
        <v>128.24</v>
      </c>
      <c r="Q7672" s="4">
        <f t="shared" si="119"/>
        <v>-0.62133499688084837</v>
      </c>
      <c r="R7672" s="23" t="s">
        <v>1198</v>
      </c>
      <c r="T7672" s="23" t="s">
        <v>12141</v>
      </c>
    </row>
    <row r="7673" spans="1:21" x14ac:dyDescent="0.25">
      <c r="A7673" s="21">
        <v>45875</v>
      </c>
      <c r="B7673" s="1" t="s">
        <v>13629</v>
      </c>
      <c r="C7673" t="s">
        <v>13630</v>
      </c>
      <c r="D7673" s="43">
        <v>-31873.26</v>
      </c>
      <c r="E7673" t="s">
        <v>35</v>
      </c>
      <c r="F7673" s="2">
        <v>210101001</v>
      </c>
      <c r="G7673" s="2" t="s">
        <v>36</v>
      </c>
      <c r="L7673" s="2" t="s">
        <v>13631</v>
      </c>
      <c r="M7673" t="s">
        <v>976</v>
      </c>
      <c r="N7673" t="s">
        <v>977</v>
      </c>
      <c r="P7673" s="23">
        <v>128.24</v>
      </c>
      <c r="Q7673" s="4">
        <f t="shared" si="119"/>
        <v>-248.54382407985025</v>
      </c>
      <c r="R7673" s="23" t="s">
        <v>1198</v>
      </c>
    </row>
    <row r="7674" spans="1:21" x14ac:dyDescent="0.25">
      <c r="A7674" s="21">
        <v>45875</v>
      </c>
      <c r="B7674" s="1" t="s">
        <v>13632</v>
      </c>
      <c r="C7674" t="s">
        <v>1221</v>
      </c>
      <c r="D7674" s="1">
        <v>-22.07</v>
      </c>
      <c r="E7674" t="s">
        <v>35</v>
      </c>
      <c r="F7674" s="2">
        <v>610148001</v>
      </c>
      <c r="G7674" s="2" t="s">
        <v>42</v>
      </c>
      <c r="L7674" s="2" t="s">
        <v>13633</v>
      </c>
      <c r="M7674" t="s">
        <v>43</v>
      </c>
      <c r="N7674" t="s">
        <v>42</v>
      </c>
      <c r="P7674" s="23">
        <v>128.24</v>
      </c>
      <c r="Q7674" s="4">
        <f t="shared" si="119"/>
        <v>-0.17209918902058638</v>
      </c>
      <c r="R7674" s="23" t="s">
        <v>1198</v>
      </c>
      <c r="T7674" s="23" t="s">
        <v>12141</v>
      </c>
    </row>
    <row r="7675" spans="1:21" x14ac:dyDescent="0.25">
      <c r="A7675" s="21">
        <v>45875</v>
      </c>
      <c r="B7675" s="1" t="s">
        <v>13634</v>
      </c>
      <c r="C7675" t="s">
        <v>13635</v>
      </c>
      <c r="D7675" s="43">
        <v>-8831.4</v>
      </c>
      <c r="E7675" t="s">
        <v>35</v>
      </c>
      <c r="F7675" s="2">
        <v>210101001</v>
      </c>
      <c r="G7675" s="2" t="s">
        <v>36</v>
      </c>
      <c r="L7675" s="2" t="s">
        <v>13636</v>
      </c>
      <c r="M7675" t="s">
        <v>303</v>
      </c>
      <c r="N7675" t="s">
        <v>304</v>
      </c>
      <c r="P7675" s="23">
        <v>128.24</v>
      </c>
      <c r="Q7675" s="4">
        <f t="shared" si="119"/>
        <v>-68.866188396756073</v>
      </c>
      <c r="R7675" s="23" t="s">
        <v>1198</v>
      </c>
    </row>
    <row r="7676" spans="1:21" x14ac:dyDescent="0.25">
      <c r="A7676" s="21">
        <v>45876</v>
      </c>
      <c r="B7676" s="1" t="s">
        <v>13637</v>
      </c>
      <c r="C7676" t="s">
        <v>544</v>
      </c>
      <c r="D7676" s="43">
        <v>1300000</v>
      </c>
      <c r="E7676" t="s">
        <v>46</v>
      </c>
      <c r="F7676" s="2">
        <v>210115002</v>
      </c>
      <c r="G7676" s="2" t="s">
        <v>12156</v>
      </c>
      <c r="L7676" s="2" t="s">
        <v>13638</v>
      </c>
      <c r="N7676" t="s">
        <v>544</v>
      </c>
      <c r="P7676" s="23">
        <v>129.05000000000001</v>
      </c>
      <c r="Q7676" s="4">
        <f t="shared" si="119"/>
        <v>10073.61487795428</v>
      </c>
      <c r="R7676" s="23" t="s">
        <v>1198</v>
      </c>
    </row>
    <row r="7677" spans="1:21" x14ac:dyDescent="0.25">
      <c r="A7677" s="21">
        <v>45876</v>
      </c>
      <c r="B7677" s="1" t="s">
        <v>13639</v>
      </c>
      <c r="C7677" t="s">
        <v>1221</v>
      </c>
      <c r="D7677" s="1">
        <v>-709.71</v>
      </c>
      <c r="E7677" t="s">
        <v>35</v>
      </c>
      <c r="F7677" s="2">
        <v>610148001</v>
      </c>
      <c r="G7677" s="2" t="s">
        <v>42</v>
      </c>
      <c r="L7677" s="2" t="s">
        <v>13640</v>
      </c>
      <c r="M7677" t="s">
        <v>43</v>
      </c>
      <c r="N7677" t="s">
        <v>42</v>
      </c>
      <c r="P7677" s="23">
        <v>129.05000000000001</v>
      </c>
      <c r="Q7677" s="4">
        <f t="shared" si="119"/>
        <v>-5.4994963192561022</v>
      </c>
      <c r="R7677" s="23" t="s">
        <v>1198</v>
      </c>
      <c r="T7677" s="23" t="s">
        <v>12141</v>
      </c>
    </row>
    <row r="7678" spans="1:21" x14ac:dyDescent="0.25">
      <c r="A7678" s="21">
        <v>45876</v>
      </c>
      <c r="B7678" s="1" t="s">
        <v>13641</v>
      </c>
      <c r="C7678" t="s">
        <v>13642</v>
      </c>
      <c r="D7678" s="43">
        <v>-283884.90000000002</v>
      </c>
      <c r="E7678" t="s">
        <v>35</v>
      </c>
      <c r="F7678" s="2">
        <v>110114001</v>
      </c>
      <c r="G7678" s="2" t="s">
        <v>301</v>
      </c>
      <c r="L7678" s="2" t="s">
        <v>13643</v>
      </c>
      <c r="M7678" t="s">
        <v>38</v>
      </c>
      <c r="N7678" t="s">
        <v>39</v>
      </c>
      <c r="P7678" s="23">
        <v>129.05000000000001</v>
      </c>
      <c r="Q7678" s="4">
        <f t="shared" si="119"/>
        <v>-2199.8055017435104</v>
      </c>
      <c r="R7678" s="23" t="s">
        <v>1198</v>
      </c>
      <c r="S7678" s="33" t="s">
        <v>6924</v>
      </c>
      <c r="U7678" t="s">
        <v>28</v>
      </c>
    </row>
    <row r="7679" spans="1:21" x14ac:dyDescent="0.25">
      <c r="A7679" s="21">
        <v>45876</v>
      </c>
      <c r="B7679" s="1" t="s">
        <v>13644</v>
      </c>
      <c r="C7679" t="s">
        <v>1221</v>
      </c>
      <c r="D7679" s="43">
        <v>-2500</v>
      </c>
      <c r="E7679" t="s">
        <v>35</v>
      </c>
      <c r="F7679" s="2">
        <v>610148001</v>
      </c>
      <c r="G7679" s="2" t="s">
        <v>42</v>
      </c>
      <c r="L7679" s="2" t="s">
        <v>13645</v>
      </c>
      <c r="M7679" t="s">
        <v>43</v>
      </c>
      <c r="N7679" t="s">
        <v>42</v>
      </c>
      <c r="P7679" s="23">
        <v>129.05000000000001</v>
      </c>
      <c r="Q7679" s="4">
        <f t="shared" si="119"/>
        <v>-19.372336303758232</v>
      </c>
      <c r="R7679" s="23" t="s">
        <v>1198</v>
      </c>
      <c r="T7679" s="23" t="s">
        <v>12141</v>
      </c>
    </row>
    <row r="7680" spans="1:21" x14ac:dyDescent="0.25">
      <c r="A7680" s="21">
        <v>45876</v>
      </c>
      <c r="B7680" s="1" t="s">
        <v>13646</v>
      </c>
      <c r="C7680" t="s">
        <v>13642</v>
      </c>
      <c r="D7680" s="43">
        <v>-1000000</v>
      </c>
      <c r="E7680" t="s">
        <v>35</v>
      </c>
      <c r="F7680" s="2">
        <v>110114001</v>
      </c>
      <c r="G7680" s="2" t="s">
        <v>301</v>
      </c>
      <c r="L7680" s="2" t="s">
        <v>13647</v>
      </c>
      <c r="M7680" t="s">
        <v>38</v>
      </c>
      <c r="N7680" t="s">
        <v>39</v>
      </c>
      <c r="P7680" s="23">
        <v>129.05000000000001</v>
      </c>
      <c r="Q7680" s="4">
        <f t="shared" si="119"/>
        <v>-7748.9345215032927</v>
      </c>
      <c r="R7680" s="23" t="s">
        <v>1198</v>
      </c>
      <c r="S7680" s="33" t="s">
        <v>6924</v>
      </c>
      <c r="U7680" t="s">
        <v>28</v>
      </c>
    </row>
    <row r="7681" spans="1:20" x14ac:dyDescent="0.25">
      <c r="A7681" s="21">
        <v>45876</v>
      </c>
      <c r="B7681" s="1" t="s">
        <v>13648</v>
      </c>
      <c r="C7681" t="s">
        <v>1221</v>
      </c>
      <c r="D7681" s="1">
        <v>-2.83</v>
      </c>
      <c r="E7681" t="s">
        <v>35</v>
      </c>
      <c r="F7681" s="2">
        <v>610148001</v>
      </c>
      <c r="G7681" s="2" t="s">
        <v>42</v>
      </c>
      <c r="L7681" s="2" t="s">
        <v>13649</v>
      </c>
      <c r="M7681" t="s">
        <v>43</v>
      </c>
      <c r="N7681" t="s">
        <v>42</v>
      </c>
      <c r="P7681" s="23">
        <v>129.05000000000001</v>
      </c>
      <c r="Q7681" s="4">
        <f t="shared" si="119"/>
        <v>-2.1929484695854318E-2</v>
      </c>
      <c r="R7681" s="23" t="s">
        <v>1198</v>
      </c>
      <c r="T7681" s="23" t="s">
        <v>12141</v>
      </c>
    </row>
    <row r="7682" spans="1:20" x14ac:dyDescent="0.25">
      <c r="A7682" s="21">
        <v>45876</v>
      </c>
      <c r="B7682" s="1" t="s">
        <v>13650</v>
      </c>
      <c r="C7682" t="s">
        <v>13651</v>
      </c>
      <c r="D7682" s="43">
        <v>-1134.27</v>
      </c>
      <c r="E7682" t="s">
        <v>35</v>
      </c>
      <c r="F7682" s="2">
        <v>210101001</v>
      </c>
      <c r="G7682" s="2" t="s">
        <v>36</v>
      </c>
      <c r="L7682" s="2" t="s">
        <v>13652</v>
      </c>
      <c r="M7682" t="s">
        <v>1239</v>
      </c>
      <c r="N7682" t="s">
        <v>1240</v>
      </c>
      <c r="P7682" s="23">
        <v>129.05000000000001</v>
      </c>
      <c r="Q7682" s="4">
        <f t="shared" si="119"/>
        <v>-8.789383959705539</v>
      </c>
      <c r="R7682" s="23" t="s">
        <v>1198</v>
      </c>
    </row>
    <row r="7683" spans="1:20" x14ac:dyDescent="0.25">
      <c r="A7683" s="21">
        <v>45876</v>
      </c>
      <c r="B7683" s="1" t="s">
        <v>13653</v>
      </c>
      <c r="C7683" t="s">
        <v>1221</v>
      </c>
      <c r="D7683" s="1">
        <v>-2.83</v>
      </c>
      <c r="E7683" t="s">
        <v>35</v>
      </c>
      <c r="F7683" s="2">
        <v>610148001</v>
      </c>
      <c r="G7683" s="2" t="s">
        <v>42</v>
      </c>
      <c r="L7683" s="2" t="s">
        <v>13654</v>
      </c>
      <c r="M7683" t="s">
        <v>43</v>
      </c>
      <c r="N7683" t="s">
        <v>42</v>
      </c>
      <c r="P7683" s="23">
        <v>129.05000000000001</v>
      </c>
      <c r="Q7683" s="4">
        <f t="shared" si="119"/>
        <v>-2.1929484695854318E-2</v>
      </c>
      <c r="R7683" s="23" t="s">
        <v>1198</v>
      </c>
      <c r="T7683" s="23" t="s">
        <v>12141</v>
      </c>
    </row>
    <row r="7684" spans="1:20" x14ac:dyDescent="0.25">
      <c r="A7684" s="21">
        <v>45876</v>
      </c>
      <c r="B7684" s="1" t="s">
        <v>13655</v>
      </c>
      <c r="C7684" t="s">
        <v>13656</v>
      </c>
      <c r="D7684" s="43">
        <v>-1134.27</v>
      </c>
      <c r="E7684" t="s">
        <v>35</v>
      </c>
      <c r="F7684" s="2">
        <v>210101001</v>
      </c>
      <c r="G7684" s="2" t="s">
        <v>36</v>
      </c>
      <c r="L7684" s="2" t="s">
        <v>13657</v>
      </c>
      <c r="M7684" t="s">
        <v>1239</v>
      </c>
      <c r="N7684" t="s">
        <v>1240</v>
      </c>
      <c r="P7684" s="23">
        <v>129.05000000000001</v>
      </c>
      <c r="Q7684" s="4">
        <f t="shared" si="119"/>
        <v>-8.789383959705539</v>
      </c>
      <c r="R7684" s="23" t="s">
        <v>1198</v>
      </c>
    </row>
    <row r="7685" spans="1:20" x14ac:dyDescent="0.25">
      <c r="A7685" s="21">
        <v>45877</v>
      </c>
      <c r="B7685" s="1" t="s">
        <v>13658</v>
      </c>
      <c r="C7685" t="s">
        <v>544</v>
      </c>
      <c r="D7685" s="43">
        <v>870000</v>
      </c>
      <c r="E7685" t="s">
        <v>46</v>
      </c>
      <c r="F7685" s="2">
        <v>210115002</v>
      </c>
      <c r="G7685" s="2" t="s">
        <v>12156</v>
      </c>
      <c r="L7685" s="2" t="s">
        <v>13659</v>
      </c>
      <c r="N7685" t="s">
        <v>544</v>
      </c>
      <c r="P7685" s="23">
        <v>130.07</v>
      </c>
      <c r="Q7685" s="4">
        <f t="shared" si="119"/>
        <v>6688.706081340817</v>
      </c>
      <c r="R7685" s="23" t="s">
        <v>1198</v>
      </c>
    </row>
    <row r="7686" spans="1:20" x14ac:dyDescent="0.25">
      <c r="A7686" s="21">
        <v>45877</v>
      </c>
      <c r="B7686" s="1" t="s">
        <v>13660</v>
      </c>
      <c r="C7686" t="s">
        <v>13661</v>
      </c>
      <c r="D7686" s="43">
        <v>-13007</v>
      </c>
      <c r="E7686" t="s">
        <v>35</v>
      </c>
      <c r="F7686" s="2">
        <v>212901001</v>
      </c>
      <c r="G7686" s="2" t="s">
        <v>121</v>
      </c>
      <c r="L7686" s="2" t="s">
        <v>13662</v>
      </c>
      <c r="M7686" t="s">
        <v>67</v>
      </c>
      <c r="N7686" t="s">
        <v>68</v>
      </c>
      <c r="P7686" s="23">
        <v>130.07</v>
      </c>
      <c r="Q7686" s="4">
        <f t="shared" si="119"/>
        <v>-100</v>
      </c>
      <c r="R7686" s="23" t="s">
        <v>1198</v>
      </c>
    </row>
    <row r="7687" spans="1:20" x14ac:dyDescent="0.25">
      <c r="A7687" s="21">
        <v>45877</v>
      </c>
      <c r="B7687" s="1" t="s">
        <v>13663</v>
      </c>
      <c r="C7687" t="s">
        <v>1221</v>
      </c>
      <c r="D7687" s="1">
        <v>-32.51</v>
      </c>
      <c r="E7687" t="s">
        <v>35</v>
      </c>
      <c r="F7687" s="2">
        <v>610148001</v>
      </c>
      <c r="G7687" s="2" t="s">
        <v>42</v>
      </c>
      <c r="L7687" s="2" t="s">
        <v>13664</v>
      </c>
      <c r="M7687" t="s">
        <v>43</v>
      </c>
      <c r="N7687" t="s">
        <v>42</v>
      </c>
      <c r="P7687" s="23">
        <v>130.07</v>
      </c>
      <c r="Q7687" s="4">
        <f t="shared" si="119"/>
        <v>-0.24994233874067809</v>
      </c>
      <c r="R7687" s="23" t="s">
        <v>1198</v>
      </c>
      <c r="T7687" s="23" t="s">
        <v>12141</v>
      </c>
    </row>
    <row r="7688" spans="1:20" x14ac:dyDescent="0.25">
      <c r="A7688" s="21">
        <v>45877</v>
      </c>
      <c r="B7688" s="1" t="s">
        <v>13665</v>
      </c>
      <c r="C7688" t="s">
        <v>13666</v>
      </c>
      <c r="D7688" s="43">
        <v>-2601.4</v>
      </c>
      <c r="E7688" t="s">
        <v>35</v>
      </c>
      <c r="F7688" s="2">
        <v>212901001</v>
      </c>
      <c r="G7688" s="2" t="s">
        <v>121</v>
      </c>
      <c r="L7688" s="2" t="s">
        <v>13667</v>
      </c>
      <c r="M7688" t="s">
        <v>67</v>
      </c>
      <c r="N7688" t="s">
        <v>68</v>
      </c>
      <c r="P7688" s="23">
        <v>130.07</v>
      </c>
      <c r="Q7688" s="4">
        <f t="shared" si="119"/>
        <v>-20</v>
      </c>
      <c r="R7688" s="23" t="s">
        <v>1198</v>
      </c>
    </row>
    <row r="7689" spans="1:20" x14ac:dyDescent="0.25">
      <c r="A7689" s="21">
        <v>45877</v>
      </c>
      <c r="B7689" s="1" t="s">
        <v>13668</v>
      </c>
      <c r="C7689" t="s">
        <v>1221</v>
      </c>
      <c r="D7689" s="1">
        <v>-6.5</v>
      </c>
      <c r="E7689" t="s">
        <v>35</v>
      </c>
      <c r="F7689" s="2">
        <v>610148001</v>
      </c>
      <c r="G7689" s="2" t="s">
        <v>42</v>
      </c>
      <c r="L7689" s="2" t="s">
        <v>13669</v>
      </c>
      <c r="M7689" t="s">
        <v>43</v>
      </c>
      <c r="N7689" t="s">
        <v>42</v>
      </c>
      <c r="P7689" s="23">
        <v>130.07</v>
      </c>
      <c r="Q7689" s="4">
        <f t="shared" si="119"/>
        <v>-4.9973091412316449E-2</v>
      </c>
      <c r="R7689" s="23" t="s">
        <v>1198</v>
      </c>
      <c r="T7689" s="23" t="s">
        <v>12141</v>
      </c>
    </row>
    <row r="7690" spans="1:20" x14ac:dyDescent="0.25">
      <c r="A7690" s="21">
        <v>45877</v>
      </c>
      <c r="B7690" s="1" t="s">
        <v>13670</v>
      </c>
      <c r="C7690" t="s">
        <v>13671</v>
      </c>
      <c r="D7690" s="43">
        <v>-269114.83</v>
      </c>
      <c r="E7690" t="s">
        <v>35</v>
      </c>
      <c r="F7690" s="2">
        <v>210101001</v>
      </c>
      <c r="G7690" s="2" t="s">
        <v>36</v>
      </c>
      <c r="L7690" s="2" t="s">
        <v>13672</v>
      </c>
      <c r="M7690" t="s">
        <v>38</v>
      </c>
      <c r="N7690" t="s">
        <v>39</v>
      </c>
      <c r="P7690" s="23">
        <v>130.07</v>
      </c>
      <c r="Q7690" s="4">
        <f t="shared" si="119"/>
        <v>-2069.0000000000005</v>
      </c>
      <c r="R7690" s="23" t="s">
        <v>1198</v>
      </c>
    </row>
    <row r="7691" spans="1:20" x14ac:dyDescent="0.25">
      <c r="A7691" s="21">
        <v>45877</v>
      </c>
      <c r="B7691" s="1" t="s">
        <v>13673</v>
      </c>
      <c r="C7691" t="s">
        <v>1221</v>
      </c>
      <c r="D7691" s="1">
        <v>-672.78</v>
      </c>
      <c r="E7691" t="s">
        <v>35</v>
      </c>
      <c r="F7691" s="2">
        <v>610148001</v>
      </c>
      <c r="G7691" s="2" t="s">
        <v>42</v>
      </c>
      <c r="L7691" s="2" t="s">
        <v>13674</v>
      </c>
      <c r="M7691" t="s">
        <v>43</v>
      </c>
      <c r="N7691" t="s">
        <v>42</v>
      </c>
      <c r="P7691" s="23">
        <v>130.07</v>
      </c>
      <c r="Q7691" s="4">
        <f t="shared" ref="Q7691:Q7754" si="120">D7691/P7691</f>
        <v>-5.1724456062120394</v>
      </c>
      <c r="R7691" s="23" t="s">
        <v>1198</v>
      </c>
      <c r="T7691" s="23" t="s">
        <v>12141</v>
      </c>
    </row>
    <row r="7692" spans="1:20" x14ac:dyDescent="0.25">
      <c r="A7692" s="32">
        <v>45877</v>
      </c>
      <c r="B7692" s="26" t="s">
        <v>13675</v>
      </c>
      <c r="C7692" s="27" t="s">
        <v>13676</v>
      </c>
      <c r="D7692" s="46">
        <v>-42272.75</v>
      </c>
      <c r="E7692" s="27" t="s">
        <v>35</v>
      </c>
      <c r="F7692" s="29">
        <v>610156001</v>
      </c>
      <c r="G7692" s="29" t="s">
        <v>91</v>
      </c>
      <c r="H7692" s="107"/>
      <c r="I7692" s="101"/>
      <c r="J7692" s="101"/>
      <c r="K7692" s="29"/>
      <c r="L7692" s="2" t="s">
        <v>13677</v>
      </c>
      <c r="M7692" s="27" t="s">
        <v>5015</v>
      </c>
      <c r="N7692" s="27" t="s">
        <v>1240</v>
      </c>
      <c r="O7692" s="27" t="s">
        <v>59</v>
      </c>
      <c r="P7692" s="31">
        <v>130.07</v>
      </c>
      <c r="Q7692" s="4">
        <f t="shared" si="120"/>
        <v>-325</v>
      </c>
      <c r="R7692" s="23" t="s">
        <v>1198</v>
      </c>
      <c r="T7692" s="23" t="s">
        <v>13678</v>
      </c>
    </row>
    <row r="7693" spans="1:20" x14ac:dyDescent="0.25">
      <c r="A7693" s="21">
        <v>45877</v>
      </c>
      <c r="B7693" s="1" t="s">
        <v>13679</v>
      </c>
      <c r="C7693" t="s">
        <v>1221</v>
      </c>
      <c r="D7693" s="1">
        <v>-105.68</v>
      </c>
      <c r="E7693" t="s">
        <v>35</v>
      </c>
      <c r="F7693" s="2">
        <v>610148001</v>
      </c>
      <c r="G7693" s="2" t="s">
        <v>42</v>
      </c>
      <c r="L7693" s="2" t="s">
        <v>13680</v>
      </c>
      <c r="M7693" t="s">
        <v>43</v>
      </c>
      <c r="N7693" t="s">
        <v>42</v>
      </c>
      <c r="P7693" s="23">
        <v>130.07</v>
      </c>
      <c r="Q7693" s="4">
        <f t="shared" si="120"/>
        <v>-0.81248558468516963</v>
      </c>
      <c r="R7693" s="23" t="s">
        <v>1198</v>
      </c>
      <c r="T7693" s="23" t="s">
        <v>12141</v>
      </c>
    </row>
    <row r="7694" spans="1:20" x14ac:dyDescent="0.25">
      <c r="A7694" s="21">
        <v>45877</v>
      </c>
      <c r="B7694" s="1" t="s">
        <v>13681</v>
      </c>
      <c r="C7694" t="s">
        <v>13682</v>
      </c>
      <c r="D7694" s="43">
        <v>-2601.4</v>
      </c>
      <c r="E7694" t="s">
        <v>35</v>
      </c>
      <c r="F7694" s="2">
        <v>212901001</v>
      </c>
      <c r="G7694" s="2" t="s">
        <v>121</v>
      </c>
      <c r="L7694" s="2" t="s">
        <v>13683</v>
      </c>
      <c r="M7694" t="s">
        <v>67</v>
      </c>
      <c r="N7694" t="s">
        <v>68</v>
      </c>
      <c r="P7694" s="23">
        <v>130.07</v>
      </c>
      <c r="Q7694" s="4">
        <f t="shared" si="120"/>
        <v>-20</v>
      </c>
      <c r="R7694" s="23" t="s">
        <v>1198</v>
      </c>
    </row>
    <row r="7695" spans="1:20" x14ac:dyDescent="0.25">
      <c r="A7695" s="21">
        <v>45877</v>
      </c>
      <c r="B7695" s="1" t="s">
        <v>13684</v>
      </c>
      <c r="C7695" t="s">
        <v>1221</v>
      </c>
      <c r="D7695" s="1">
        <v>-6.5</v>
      </c>
      <c r="E7695" t="s">
        <v>35</v>
      </c>
      <c r="F7695" s="2">
        <v>610148001</v>
      </c>
      <c r="G7695" s="2" t="s">
        <v>42</v>
      </c>
      <c r="L7695" s="2" t="s">
        <v>13685</v>
      </c>
      <c r="M7695" t="s">
        <v>43</v>
      </c>
      <c r="N7695" t="s">
        <v>42</v>
      </c>
      <c r="P7695" s="23">
        <v>130.07</v>
      </c>
      <c r="Q7695" s="4">
        <f t="shared" si="120"/>
        <v>-4.9973091412316449E-2</v>
      </c>
      <c r="R7695" s="23" t="s">
        <v>1198</v>
      </c>
      <c r="T7695" s="23" t="s">
        <v>12141</v>
      </c>
    </row>
    <row r="7696" spans="1:20" x14ac:dyDescent="0.25">
      <c r="A7696" s="21">
        <v>45877</v>
      </c>
      <c r="B7696" s="1" t="s">
        <v>13686</v>
      </c>
      <c r="C7696" t="s">
        <v>13687</v>
      </c>
      <c r="D7696" s="43">
        <v>-2601.4</v>
      </c>
      <c r="E7696" t="s">
        <v>35</v>
      </c>
      <c r="F7696" s="2">
        <v>212901001</v>
      </c>
      <c r="G7696" s="2" t="s">
        <v>121</v>
      </c>
      <c r="L7696" s="2" t="s">
        <v>13688</v>
      </c>
      <c r="M7696" t="s">
        <v>67</v>
      </c>
      <c r="N7696" t="s">
        <v>68</v>
      </c>
      <c r="P7696" s="23">
        <v>130.07</v>
      </c>
      <c r="Q7696" s="4">
        <f t="shared" si="120"/>
        <v>-20</v>
      </c>
      <c r="R7696" s="23" t="s">
        <v>1198</v>
      </c>
    </row>
    <row r="7697" spans="1:20" x14ac:dyDescent="0.25">
      <c r="A7697" s="21">
        <v>45877</v>
      </c>
      <c r="B7697" s="1" t="s">
        <v>13689</v>
      </c>
      <c r="C7697" t="s">
        <v>1221</v>
      </c>
      <c r="D7697" s="1">
        <v>-6.5</v>
      </c>
      <c r="E7697" t="s">
        <v>35</v>
      </c>
      <c r="F7697" s="2">
        <v>610148001</v>
      </c>
      <c r="G7697" s="2" t="s">
        <v>42</v>
      </c>
      <c r="L7697" s="2" t="s">
        <v>13690</v>
      </c>
      <c r="M7697" t="s">
        <v>43</v>
      </c>
      <c r="N7697" t="s">
        <v>42</v>
      </c>
      <c r="P7697" s="23">
        <v>130.07</v>
      </c>
      <c r="Q7697" s="4">
        <f t="shared" si="120"/>
        <v>-4.9973091412316449E-2</v>
      </c>
      <c r="R7697" s="23" t="s">
        <v>1198</v>
      </c>
      <c r="T7697" s="23" t="s">
        <v>12141</v>
      </c>
    </row>
    <row r="7698" spans="1:20" x14ac:dyDescent="0.25">
      <c r="A7698" s="21">
        <v>45877</v>
      </c>
      <c r="B7698" s="1" t="s">
        <v>13691</v>
      </c>
      <c r="C7698" t="s">
        <v>13692</v>
      </c>
      <c r="D7698" s="43">
        <v>-13007</v>
      </c>
      <c r="E7698" t="s">
        <v>35</v>
      </c>
      <c r="F7698" s="2">
        <v>212901001</v>
      </c>
      <c r="G7698" s="2" t="s">
        <v>121</v>
      </c>
      <c r="L7698" s="2" t="s">
        <v>13693</v>
      </c>
      <c r="M7698" t="s">
        <v>67</v>
      </c>
      <c r="N7698" t="s">
        <v>68</v>
      </c>
      <c r="P7698" s="23">
        <v>130.07</v>
      </c>
      <c r="Q7698" s="4">
        <f t="shared" si="120"/>
        <v>-100</v>
      </c>
      <c r="R7698" s="23" t="s">
        <v>1198</v>
      </c>
    </row>
    <row r="7699" spans="1:20" x14ac:dyDescent="0.25">
      <c r="A7699" s="21">
        <v>45877</v>
      </c>
      <c r="B7699" s="1" t="s">
        <v>13694</v>
      </c>
      <c r="C7699" t="s">
        <v>1221</v>
      </c>
      <c r="D7699" s="1">
        <v>-32.51</v>
      </c>
      <c r="E7699" t="s">
        <v>35</v>
      </c>
      <c r="F7699" s="2">
        <v>610148001</v>
      </c>
      <c r="G7699" s="2" t="s">
        <v>42</v>
      </c>
      <c r="L7699" s="2" t="s">
        <v>13695</v>
      </c>
      <c r="M7699" t="s">
        <v>43</v>
      </c>
      <c r="N7699" t="s">
        <v>42</v>
      </c>
      <c r="P7699" s="23">
        <v>130.07</v>
      </c>
      <c r="Q7699" s="4">
        <f t="shared" si="120"/>
        <v>-0.24994233874067809</v>
      </c>
      <c r="R7699" s="23" t="s">
        <v>1198</v>
      </c>
      <c r="T7699" s="23" t="s">
        <v>12141</v>
      </c>
    </row>
    <row r="7700" spans="1:20" x14ac:dyDescent="0.25">
      <c r="A7700" s="21">
        <v>45877</v>
      </c>
      <c r="B7700" s="1" t="s">
        <v>13696</v>
      </c>
      <c r="C7700" t="s">
        <v>13697</v>
      </c>
      <c r="D7700" s="43">
        <v>-2601.4</v>
      </c>
      <c r="E7700" t="s">
        <v>35</v>
      </c>
      <c r="F7700" s="2">
        <v>212901001</v>
      </c>
      <c r="G7700" s="2" t="s">
        <v>121</v>
      </c>
      <c r="L7700" s="2" t="s">
        <v>13698</v>
      </c>
      <c r="M7700" t="s">
        <v>67</v>
      </c>
      <c r="N7700" t="s">
        <v>68</v>
      </c>
      <c r="P7700" s="23">
        <v>130.07</v>
      </c>
      <c r="Q7700" s="4">
        <f t="shared" si="120"/>
        <v>-20</v>
      </c>
      <c r="R7700" s="23" t="s">
        <v>1198</v>
      </c>
    </row>
    <row r="7701" spans="1:20" x14ac:dyDescent="0.25">
      <c r="A7701" s="21">
        <v>45877</v>
      </c>
      <c r="B7701" s="1" t="s">
        <v>13699</v>
      </c>
      <c r="C7701" t="s">
        <v>1221</v>
      </c>
      <c r="D7701" s="1">
        <v>-6.5</v>
      </c>
      <c r="E7701" t="s">
        <v>35</v>
      </c>
      <c r="F7701" s="2">
        <v>610148001</v>
      </c>
      <c r="G7701" s="2" t="s">
        <v>42</v>
      </c>
      <c r="L7701" s="2" t="s">
        <v>13700</v>
      </c>
      <c r="M7701" t="s">
        <v>43</v>
      </c>
      <c r="N7701" t="s">
        <v>42</v>
      </c>
      <c r="P7701" s="23">
        <v>130.07</v>
      </c>
      <c r="Q7701" s="4">
        <f t="shared" si="120"/>
        <v>-4.9973091412316449E-2</v>
      </c>
      <c r="R7701" s="23" t="s">
        <v>1198</v>
      </c>
      <c r="T7701" s="23" t="s">
        <v>12141</v>
      </c>
    </row>
    <row r="7702" spans="1:20" x14ac:dyDescent="0.25">
      <c r="A7702" s="21">
        <v>45877</v>
      </c>
      <c r="B7702" s="1" t="s">
        <v>13701</v>
      </c>
      <c r="C7702" t="s">
        <v>1221</v>
      </c>
      <c r="D7702" s="43">
        <v>-1226.8</v>
      </c>
      <c r="E7702" t="s">
        <v>35</v>
      </c>
      <c r="F7702" s="2">
        <v>610148001</v>
      </c>
      <c r="G7702" s="2" t="s">
        <v>42</v>
      </c>
      <c r="L7702" s="2" t="s">
        <v>13702</v>
      </c>
      <c r="M7702" t="s">
        <v>43</v>
      </c>
      <c r="N7702" t="s">
        <v>42</v>
      </c>
      <c r="P7702" s="23">
        <v>130.07</v>
      </c>
      <c r="Q7702" s="4">
        <f t="shared" si="120"/>
        <v>-9.4318443914815102</v>
      </c>
      <c r="R7702" s="23" t="s">
        <v>1198</v>
      </c>
      <c r="T7702" s="23" t="s">
        <v>12141</v>
      </c>
    </row>
    <row r="7703" spans="1:20" x14ac:dyDescent="0.25">
      <c r="A7703" s="21">
        <v>45877</v>
      </c>
      <c r="B7703" s="1" t="s">
        <v>13703</v>
      </c>
      <c r="C7703" t="s">
        <v>13704</v>
      </c>
      <c r="D7703" s="43">
        <v>-490722.89</v>
      </c>
      <c r="E7703" t="s">
        <v>35</v>
      </c>
      <c r="F7703" s="2">
        <v>210101001</v>
      </c>
      <c r="G7703" s="2" t="s">
        <v>36</v>
      </c>
      <c r="L7703" s="2" t="s">
        <v>13705</v>
      </c>
      <c r="M7703" t="s">
        <v>38</v>
      </c>
      <c r="N7703" t="s">
        <v>39</v>
      </c>
      <c r="P7703" s="23">
        <v>130.07</v>
      </c>
      <c r="Q7703" s="4">
        <f t="shared" si="120"/>
        <v>-3772.7599753978629</v>
      </c>
      <c r="R7703" s="23" t="s">
        <v>1198</v>
      </c>
    </row>
    <row r="7704" spans="1:20" x14ac:dyDescent="0.25">
      <c r="A7704" s="21">
        <v>45877</v>
      </c>
      <c r="B7704" s="1" t="s">
        <v>13706</v>
      </c>
      <c r="C7704" t="s">
        <v>1221</v>
      </c>
      <c r="D7704" s="1">
        <v>-3.25</v>
      </c>
      <c r="E7704" t="s">
        <v>35</v>
      </c>
      <c r="F7704" s="2">
        <v>610148001</v>
      </c>
      <c r="G7704" s="2" t="s">
        <v>42</v>
      </c>
      <c r="L7704" s="2" t="s">
        <v>13707</v>
      </c>
      <c r="M7704" t="s">
        <v>43</v>
      </c>
      <c r="N7704" t="s">
        <v>42</v>
      </c>
      <c r="P7704" s="23">
        <v>130.07</v>
      </c>
      <c r="Q7704" s="4">
        <f t="shared" si="120"/>
        <v>-2.4986545706158225E-2</v>
      </c>
      <c r="R7704" s="23" t="s">
        <v>1198</v>
      </c>
      <c r="T7704" s="23" t="s">
        <v>12141</v>
      </c>
    </row>
    <row r="7705" spans="1:20" x14ac:dyDescent="0.25">
      <c r="A7705" s="21">
        <v>45877</v>
      </c>
      <c r="B7705" s="1" t="s">
        <v>13708</v>
      </c>
      <c r="C7705" t="s">
        <v>13709</v>
      </c>
      <c r="D7705" s="43">
        <v>-1300.7</v>
      </c>
      <c r="E7705" t="s">
        <v>35</v>
      </c>
      <c r="F7705" s="2">
        <v>212901001</v>
      </c>
      <c r="G7705" s="2" t="s">
        <v>121</v>
      </c>
      <c r="L7705" s="2" t="s">
        <v>13710</v>
      </c>
      <c r="M7705" t="s">
        <v>67</v>
      </c>
      <c r="N7705" t="s">
        <v>68</v>
      </c>
      <c r="P7705" s="23">
        <v>130.07</v>
      </c>
      <c r="Q7705" s="4">
        <f t="shared" si="120"/>
        <v>-10</v>
      </c>
      <c r="R7705" s="23" t="s">
        <v>1198</v>
      </c>
    </row>
    <row r="7706" spans="1:20" x14ac:dyDescent="0.25">
      <c r="A7706" s="21">
        <v>45877</v>
      </c>
      <c r="B7706" s="1" t="s">
        <v>13711</v>
      </c>
      <c r="C7706" t="s">
        <v>1221</v>
      </c>
      <c r="D7706" s="1">
        <v>-6.5</v>
      </c>
      <c r="E7706" t="s">
        <v>35</v>
      </c>
      <c r="F7706" s="2">
        <v>610148001</v>
      </c>
      <c r="G7706" s="2" t="s">
        <v>42</v>
      </c>
      <c r="L7706" s="2" t="s">
        <v>13712</v>
      </c>
      <c r="M7706" t="s">
        <v>43</v>
      </c>
      <c r="N7706" t="s">
        <v>42</v>
      </c>
      <c r="P7706" s="23">
        <v>130.07</v>
      </c>
      <c r="Q7706" s="4">
        <f t="shared" si="120"/>
        <v>-4.9973091412316449E-2</v>
      </c>
      <c r="R7706" s="23" t="s">
        <v>1198</v>
      </c>
      <c r="T7706" s="23" t="s">
        <v>12141</v>
      </c>
    </row>
    <row r="7707" spans="1:20" x14ac:dyDescent="0.25">
      <c r="A7707" s="21">
        <v>45877</v>
      </c>
      <c r="B7707" s="1" t="s">
        <v>13713</v>
      </c>
      <c r="C7707" t="s">
        <v>13714</v>
      </c>
      <c r="D7707" s="43">
        <v>-2601.4</v>
      </c>
      <c r="E7707" t="s">
        <v>35</v>
      </c>
      <c r="F7707" s="2">
        <v>212901001</v>
      </c>
      <c r="G7707" s="2" t="s">
        <v>121</v>
      </c>
      <c r="L7707" s="2" t="s">
        <v>13715</v>
      </c>
      <c r="M7707" t="s">
        <v>67</v>
      </c>
      <c r="N7707" t="s">
        <v>68</v>
      </c>
      <c r="P7707" s="23">
        <v>130.07</v>
      </c>
      <c r="Q7707" s="4">
        <f t="shared" si="120"/>
        <v>-20</v>
      </c>
      <c r="R7707" s="23" t="s">
        <v>1198</v>
      </c>
    </row>
    <row r="7708" spans="1:20" x14ac:dyDescent="0.25">
      <c r="A7708" s="21">
        <v>45877</v>
      </c>
      <c r="B7708" s="1" t="s">
        <v>13716</v>
      </c>
      <c r="C7708" t="s">
        <v>1221</v>
      </c>
      <c r="D7708" s="1">
        <v>-39.020000000000003</v>
      </c>
      <c r="E7708" t="s">
        <v>35</v>
      </c>
      <c r="F7708" s="2">
        <v>610148001</v>
      </c>
      <c r="G7708" s="2" t="s">
        <v>42</v>
      </c>
      <c r="L7708" s="2" t="s">
        <v>13717</v>
      </c>
      <c r="M7708" t="s">
        <v>43</v>
      </c>
      <c r="N7708" t="s">
        <v>42</v>
      </c>
      <c r="P7708" s="23">
        <v>130.07</v>
      </c>
      <c r="Q7708" s="4">
        <f t="shared" si="120"/>
        <v>-0.29999231183209046</v>
      </c>
      <c r="R7708" s="23" t="s">
        <v>1198</v>
      </c>
      <c r="T7708" s="23" t="s">
        <v>12141</v>
      </c>
    </row>
    <row r="7709" spans="1:20" x14ac:dyDescent="0.25">
      <c r="A7709" s="32">
        <v>45877</v>
      </c>
      <c r="B7709" s="26" t="s">
        <v>13718</v>
      </c>
      <c r="C7709" s="27" t="s">
        <v>13719</v>
      </c>
      <c r="D7709" s="46">
        <v>-15608.4</v>
      </c>
      <c r="E7709" s="27" t="s">
        <v>35</v>
      </c>
      <c r="F7709" s="29">
        <v>610156001</v>
      </c>
      <c r="G7709" s="29" t="s">
        <v>91</v>
      </c>
      <c r="H7709" s="107"/>
      <c r="I7709" s="101"/>
      <c r="J7709" s="101"/>
      <c r="K7709" s="29"/>
      <c r="L7709" s="2" t="s">
        <v>13720</v>
      </c>
      <c r="M7709" s="27" t="s">
        <v>93</v>
      </c>
      <c r="N7709" s="27" t="s">
        <v>94</v>
      </c>
      <c r="O7709" s="27" t="s">
        <v>59</v>
      </c>
      <c r="P7709" s="31">
        <v>130.07</v>
      </c>
      <c r="Q7709" s="4">
        <f t="shared" si="120"/>
        <v>-120</v>
      </c>
      <c r="R7709" s="23" t="s">
        <v>1198</v>
      </c>
      <c r="T7709" s="23" t="s">
        <v>13721</v>
      </c>
    </row>
    <row r="7710" spans="1:20" x14ac:dyDescent="0.25">
      <c r="A7710" s="21">
        <v>45877</v>
      </c>
      <c r="B7710" s="1" t="s">
        <v>13722</v>
      </c>
      <c r="C7710" t="s">
        <v>1221</v>
      </c>
      <c r="D7710" s="1">
        <v>-3.71</v>
      </c>
      <c r="E7710" t="s">
        <v>35</v>
      </c>
      <c r="F7710" s="2">
        <v>610148001</v>
      </c>
      <c r="G7710" s="2" t="s">
        <v>42</v>
      </c>
      <c r="L7710" s="2" t="s">
        <v>13723</v>
      </c>
      <c r="M7710" t="s">
        <v>43</v>
      </c>
      <c r="N7710" t="s">
        <v>42</v>
      </c>
      <c r="P7710" s="23">
        <v>130.07</v>
      </c>
      <c r="Q7710" s="4">
        <f t="shared" si="120"/>
        <v>-2.8523102944568311E-2</v>
      </c>
      <c r="R7710" s="23" t="s">
        <v>1198</v>
      </c>
      <c r="T7710" s="23" t="s">
        <v>12141</v>
      </c>
    </row>
    <row r="7711" spans="1:20" x14ac:dyDescent="0.25">
      <c r="A7711" s="21">
        <v>45877</v>
      </c>
      <c r="B7711" s="1" t="s">
        <v>13724</v>
      </c>
      <c r="C7711" t="s">
        <v>13725</v>
      </c>
      <c r="D7711" s="43">
        <v>-1487.58</v>
      </c>
      <c r="E7711" t="s">
        <v>35</v>
      </c>
      <c r="F7711" s="2">
        <v>210101001</v>
      </c>
      <c r="G7711" s="2" t="s">
        <v>36</v>
      </c>
      <c r="L7711" s="2" t="s">
        <v>13726</v>
      </c>
      <c r="M7711" t="s">
        <v>788</v>
      </c>
      <c r="N7711" t="s">
        <v>789</v>
      </c>
      <c r="P7711" s="23">
        <v>130.07</v>
      </c>
      <c r="Q7711" s="4">
        <f t="shared" si="120"/>
        <v>-11.436764818943645</v>
      </c>
      <c r="R7711" s="23" t="s">
        <v>1198</v>
      </c>
    </row>
    <row r="7712" spans="1:20" x14ac:dyDescent="0.25">
      <c r="A7712" s="21">
        <v>45877</v>
      </c>
      <c r="B7712" s="1" t="s">
        <v>13727</v>
      </c>
      <c r="C7712" t="s">
        <v>1221</v>
      </c>
      <c r="D7712" s="1">
        <v>-39.020000000000003</v>
      </c>
      <c r="E7712" t="s">
        <v>35</v>
      </c>
      <c r="F7712" s="2">
        <v>610148001</v>
      </c>
      <c r="G7712" s="2" t="s">
        <v>42</v>
      </c>
      <c r="L7712" s="2" t="s">
        <v>13728</v>
      </c>
      <c r="M7712" t="s">
        <v>43</v>
      </c>
      <c r="N7712" t="s">
        <v>42</v>
      </c>
      <c r="P7712" s="23">
        <v>130.07</v>
      </c>
      <c r="Q7712" s="4">
        <f t="shared" si="120"/>
        <v>-0.29999231183209046</v>
      </c>
      <c r="R7712" s="23" t="s">
        <v>1198</v>
      </c>
      <c r="T7712" s="23" t="s">
        <v>12141</v>
      </c>
    </row>
    <row r="7713" spans="1:20" x14ac:dyDescent="0.25">
      <c r="A7713" s="32">
        <v>45877</v>
      </c>
      <c r="B7713" s="26" t="s">
        <v>13729</v>
      </c>
      <c r="C7713" s="27" t="s">
        <v>54</v>
      </c>
      <c r="D7713" s="46">
        <v>-15608.4</v>
      </c>
      <c r="E7713" s="27" t="s">
        <v>35</v>
      </c>
      <c r="F7713" s="29">
        <v>610129001</v>
      </c>
      <c r="G7713" s="29" t="s">
        <v>55</v>
      </c>
      <c r="H7713" s="107"/>
      <c r="I7713" s="101"/>
      <c r="J7713" s="101"/>
      <c r="K7713" s="29"/>
      <c r="L7713" s="2" t="s">
        <v>13730</v>
      </c>
      <c r="M7713" s="27" t="s">
        <v>57</v>
      </c>
      <c r="N7713" s="27" t="s">
        <v>58</v>
      </c>
      <c r="O7713" s="27" t="s">
        <v>59</v>
      </c>
      <c r="P7713" s="31">
        <v>130.07</v>
      </c>
      <c r="Q7713" s="4">
        <f t="shared" si="120"/>
        <v>-120</v>
      </c>
      <c r="R7713" s="23" t="s">
        <v>1198</v>
      </c>
      <c r="T7713" s="23" t="s">
        <v>13731</v>
      </c>
    </row>
    <row r="7714" spans="1:20" x14ac:dyDescent="0.25">
      <c r="A7714" s="21">
        <v>45877</v>
      </c>
      <c r="B7714" s="1" t="s">
        <v>13732</v>
      </c>
      <c r="C7714" t="s">
        <v>13733</v>
      </c>
      <c r="D7714" s="43">
        <v>2183.84</v>
      </c>
      <c r="E7714" t="s">
        <v>46</v>
      </c>
      <c r="F7714" s="2">
        <v>210101001</v>
      </c>
      <c r="G7714" s="2" t="s">
        <v>36</v>
      </c>
      <c r="L7714" s="2" t="s">
        <v>13734</v>
      </c>
      <c r="N7714" t="s">
        <v>13735</v>
      </c>
      <c r="P7714" s="23">
        <v>130.07</v>
      </c>
      <c r="Q7714" s="4">
        <f t="shared" si="120"/>
        <v>16.789728607672792</v>
      </c>
      <c r="R7714" s="23" t="s">
        <v>1198</v>
      </c>
    </row>
    <row r="7715" spans="1:20" x14ac:dyDescent="0.25">
      <c r="A7715" s="21">
        <v>45878</v>
      </c>
      <c r="B7715" s="1" t="s">
        <v>13736</v>
      </c>
      <c r="C7715" t="s">
        <v>13737</v>
      </c>
      <c r="D7715" s="43">
        <v>600386.18000000005</v>
      </c>
      <c r="E7715" t="s">
        <v>46</v>
      </c>
      <c r="F7715" s="2">
        <v>110110001</v>
      </c>
      <c r="G7715" s="2" t="s">
        <v>1276</v>
      </c>
      <c r="L7715" s="2" t="s">
        <v>13738</v>
      </c>
      <c r="N7715" t="s">
        <v>13739</v>
      </c>
      <c r="P7715" s="23">
        <v>131.12</v>
      </c>
      <c r="Q7715" s="4">
        <f t="shared" si="120"/>
        <v>4578.9061928004885</v>
      </c>
      <c r="R7715" s="23" t="s">
        <v>1198</v>
      </c>
    </row>
    <row r="7716" spans="1:20" x14ac:dyDescent="0.25">
      <c r="A7716" s="21">
        <v>45880</v>
      </c>
      <c r="B7716" s="1" t="s">
        <v>13740</v>
      </c>
      <c r="C7716" t="s">
        <v>13741</v>
      </c>
      <c r="D7716" s="1">
        <v>-712.8</v>
      </c>
      <c r="E7716" t="s">
        <v>35</v>
      </c>
      <c r="F7716" s="2">
        <v>213101001</v>
      </c>
      <c r="G7716" s="2" t="s">
        <v>1252</v>
      </c>
      <c r="L7716" s="2" t="s">
        <v>13742</v>
      </c>
      <c r="M7716" t="s">
        <v>1247</v>
      </c>
      <c r="N7716" t="s">
        <v>1248</v>
      </c>
      <c r="P7716" s="23">
        <v>131.12</v>
      </c>
      <c r="Q7716" s="4">
        <f t="shared" si="120"/>
        <v>-5.4362416107382545</v>
      </c>
      <c r="R7716" s="23" t="s">
        <v>1198</v>
      </c>
      <c r="T7716" s="23" t="s">
        <v>13743</v>
      </c>
    </row>
    <row r="7717" spans="1:20" x14ac:dyDescent="0.25">
      <c r="A7717" s="21">
        <v>45880</v>
      </c>
      <c r="B7717" s="1" t="s">
        <v>13744</v>
      </c>
      <c r="C7717" t="s">
        <v>544</v>
      </c>
      <c r="D7717" s="43">
        <v>1700000</v>
      </c>
      <c r="E7717" t="s">
        <v>46</v>
      </c>
      <c r="F7717" s="2">
        <v>210115002</v>
      </c>
      <c r="G7717" s="2" t="s">
        <v>12156</v>
      </c>
      <c r="L7717" s="2" t="s">
        <v>13745</v>
      </c>
      <c r="N7717" t="s">
        <v>544</v>
      </c>
      <c r="P7717" s="23">
        <v>131.12</v>
      </c>
      <c r="Q7717" s="4">
        <f t="shared" si="120"/>
        <v>12965.222696766321</v>
      </c>
      <c r="R7717" s="23" t="s">
        <v>1198</v>
      </c>
    </row>
    <row r="7718" spans="1:20" x14ac:dyDescent="0.25">
      <c r="A7718" s="21">
        <v>45880</v>
      </c>
      <c r="B7718" s="1" t="s">
        <v>13746</v>
      </c>
      <c r="C7718" t="s">
        <v>1221</v>
      </c>
      <c r="D7718" s="1">
        <v>-409.75</v>
      </c>
      <c r="E7718" t="s">
        <v>35</v>
      </c>
      <c r="F7718" s="2">
        <v>610148001</v>
      </c>
      <c r="G7718" s="2" t="s">
        <v>42</v>
      </c>
      <c r="L7718" s="2" t="s">
        <v>13747</v>
      </c>
      <c r="M7718" t="s">
        <v>43</v>
      </c>
      <c r="N7718" t="s">
        <v>42</v>
      </c>
      <c r="P7718" s="23">
        <v>131.12</v>
      </c>
      <c r="Q7718" s="4">
        <f t="shared" si="120"/>
        <v>-3.125</v>
      </c>
      <c r="R7718" s="23" t="s">
        <v>1198</v>
      </c>
      <c r="T7718" s="23" t="s">
        <v>12141</v>
      </c>
    </row>
    <row r="7719" spans="1:20" x14ac:dyDescent="0.25">
      <c r="A7719" s="21">
        <v>45880</v>
      </c>
      <c r="B7719" s="1" t="s">
        <v>13748</v>
      </c>
      <c r="C7719" t="s">
        <v>13749</v>
      </c>
      <c r="D7719" s="43">
        <v>-163900</v>
      </c>
      <c r="E7719" t="s">
        <v>35</v>
      </c>
      <c r="F7719" s="2">
        <v>210101001</v>
      </c>
      <c r="G7719" s="2" t="s">
        <v>36</v>
      </c>
      <c r="L7719" s="2" t="s">
        <v>13750</v>
      </c>
      <c r="M7719" t="s">
        <v>1866</v>
      </c>
      <c r="N7719" t="s">
        <v>1867</v>
      </c>
      <c r="P7719" s="23">
        <v>131.12</v>
      </c>
      <c r="Q7719" s="4">
        <f t="shared" si="120"/>
        <v>-1250</v>
      </c>
      <c r="R7719" s="23" t="s">
        <v>1198</v>
      </c>
    </row>
    <row r="7720" spans="1:20" x14ac:dyDescent="0.25">
      <c r="A7720" s="21">
        <v>45880</v>
      </c>
      <c r="B7720" s="1" t="s">
        <v>13751</v>
      </c>
      <c r="C7720" t="s">
        <v>1221</v>
      </c>
      <c r="D7720" s="43">
        <v>-2500</v>
      </c>
      <c r="E7720" t="s">
        <v>35</v>
      </c>
      <c r="F7720" s="2">
        <v>610148001</v>
      </c>
      <c r="G7720" s="2" t="s">
        <v>42</v>
      </c>
      <c r="L7720" s="2" t="s">
        <v>13752</v>
      </c>
      <c r="M7720" t="s">
        <v>43</v>
      </c>
      <c r="N7720" t="s">
        <v>42</v>
      </c>
      <c r="P7720" s="23">
        <v>131.12</v>
      </c>
      <c r="Q7720" s="4">
        <f t="shared" si="120"/>
        <v>-19.066503965832823</v>
      </c>
      <c r="R7720" s="23" t="s">
        <v>1198</v>
      </c>
      <c r="T7720" s="23" t="s">
        <v>12141</v>
      </c>
    </row>
    <row r="7721" spans="1:20" x14ac:dyDescent="0.25">
      <c r="A7721" s="21">
        <v>45880</v>
      </c>
      <c r="B7721" s="1" t="s">
        <v>13753</v>
      </c>
      <c r="C7721" t="s">
        <v>13754</v>
      </c>
      <c r="D7721" s="43">
        <v>-1000000</v>
      </c>
      <c r="E7721" t="s">
        <v>35</v>
      </c>
      <c r="F7721" s="2">
        <v>210101001</v>
      </c>
      <c r="G7721" s="2" t="s">
        <v>36</v>
      </c>
      <c r="L7721" s="2" t="s">
        <v>13755</v>
      </c>
      <c r="M7721" t="s">
        <v>38</v>
      </c>
      <c r="N7721" t="s">
        <v>39</v>
      </c>
      <c r="P7721" s="23">
        <v>131.12</v>
      </c>
      <c r="Q7721" s="4">
        <f t="shared" si="120"/>
        <v>-7626.6015863331295</v>
      </c>
      <c r="R7721" s="23" t="s">
        <v>1198</v>
      </c>
    </row>
    <row r="7722" spans="1:20" x14ac:dyDescent="0.25">
      <c r="A7722" s="21">
        <v>45880</v>
      </c>
      <c r="B7722" s="1" t="s">
        <v>13756</v>
      </c>
      <c r="C7722" t="s">
        <v>1221</v>
      </c>
      <c r="D7722" s="1">
        <v>-123.18</v>
      </c>
      <c r="E7722" t="s">
        <v>35</v>
      </c>
      <c r="F7722" s="2">
        <v>610148001</v>
      </c>
      <c r="G7722" s="2" t="s">
        <v>42</v>
      </c>
      <c r="L7722" s="2" t="s">
        <v>13757</v>
      </c>
      <c r="M7722" t="s">
        <v>43</v>
      </c>
      <c r="N7722" t="s">
        <v>42</v>
      </c>
      <c r="P7722" s="23">
        <v>131.12</v>
      </c>
      <c r="Q7722" s="4">
        <f t="shared" si="120"/>
        <v>-0.93944478340451498</v>
      </c>
      <c r="R7722" s="23" t="s">
        <v>1198</v>
      </c>
      <c r="T7722" s="23" t="s">
        <v>12141</v>
      </c>
    </row>
    <row r="7723" spans="1:20" x14ac:dyDescent="0.25">
      <c r="A7723" s="21">
        <v>45880</v>
      </c>
      <c r="B7723" s="1" t="s">
        <v>13758</v>
      </c>
      <c r="C7723" t="s">
        <v>13754</v>
      </c>
      <c r="D7723" s="43">
        <v>-49274.53</v>
      </c>
      <c r="E7723" t="s">
        <v>35</v>
      </c>
      <c r="F7723" s="2">
        <v>210101001</v>
      </c>
      <c r="G7723" s="2" t="s">
        <v>36</v>
      </c>
      <c r="L7723" s="2" t="s">
        <v>13759</v>
      </c>
      <c r="M7723" t="s">
        <v>38</v>
      </c>
      <c r="N7723" t="s">
        <v>39</v>
      </c>
      <c r="P7723" s="23">
        <v>131.12</v>
      </c>
      <c r="Q7723" s="4">
        <f t="shared" si="120"/>
        <v>-375.79720866381939</v>
      </c>
      <c r="R7723" s="23" t="s">
        <v>1198</v>
      </c>
    </row>
    <row r="7724" spans="1:20" x14ac:dyDescent="0.25">
      <c r="A7724" s="21">
        <v>45880</v>
      </c>
      <c r="B7724" s="1" t="s">
        <v>13760</v>
      </c>
      <c r="C7724" t="s">
        <v>1221</v>
      </c>
      <c r="D7724" s="43">
        <v>-2500</v>
      </c>
      <c r="E7724" t="s">
        <v>35</v>
      </c>
      <c r="F7724" s="2">
        <v>610148001</v>
      </c>
      <c r="G7724" s="2" t="s">
        <v>42</v>
      </c>
      <c r="L7724" s="2" t="s">
        <v>13761</v>
      </c>
      <c r="M7724" t="s">
        <v>43</v>
      </c>
      <c r="N7724" t="s">
        <v>42</v>
      </c>
      <c r="P7724" s="23">
        <v>131.12</v>
      </c>
      <c r="Q7724" s="4">
        <f t="shared" si="120"/>
        <v>-19.066503965832823</v>
      </c>
      <c r="R7724" s="23" t="s">
        <v>1198</v>
      </c>
      <c r="T7724" s="23" t="s">
        <v>12141</v>
      </c>
    </row>
    <row r="7725" spans="1:20" x14ac:dyDescent="0.25">
      <c r="A7725" s="21">
        <v>45880</v>
      </c>
      <c r="B7725" s="1" t="s">
        <v>13762</v>
      </c>
      <c r="C7725" t="s">
        <v>13754</v>
      </c>
      <c r="D7725" s="43">
        <v>-1000000</v>
      </c>
      <c r="E7725" t="s">
        <v>35</v>
      </c>
      <c r="F7725" s="2">
        <v>210101001</v>
      </c>
      <c r="G7725" s="2" t="s">
        <v>36</v>
      </c>
      <c r="L7725" s="2" t="s">
        <v>13763</v>
      </c>
      <c r="M7725" t="s">
        <v>38</v>
      </c>
      <c r="N7725" t="s">
        <v>39</v>
      </c>
      <c r="P7725" s="23">
        <v>131.12</v>
      </c>
      <c r="Q7725" s="4">
        <f t="shared" si="120"/>
        <v>-7626.6015863331295</v>
      </c>
      <c r="R7725" s="23" t="s">
        <v>1198</v>
      </c>
    </row>
    <row r="7726" spans="1:20" x14ac:dyDescent="0.25">
      <c r="A7726" s="21">
        <v>45880</v>
      </c>
      <c r="B7726" s="1" t="s">
        <v>13764</v>
      </c>
      <c r="C7726" t="s">
        <v>1221</v>
      </c>
      <c r="D7726" s="1">
        <v>-93.16</v>
      </c>
      <c r="E7726" t="s">
        <v>35</v>
      </c>
      <c r="F7726" s="2">
        <v>610148001</v>
      </c>
      <c r="G7726" s="2" t="s">
        <v>42</v>
      </c>
      <c r="L7726" s="2" t="s">
        <v>13765</v>
      </c>
      <c r="M7726" t="s">
        <v>43</v>
      </c>
      <c r="N7726" t="s">
        <v>42</v>
      </c>
      <c r="P7726" s="23">
        <v>131.12</v>
      </c>
      <c r="Q7726" s="4">
        <f t="shared" si="120"/>
        <v>-0.71049420378279438</v>
      </c>
      <c r="R7726" s="23" t="s">
        <v>1198</v>
      </c>
      <c r="T7726" s="23" t="s">
        <v>12141</v>
      </c>
    </row>
    <row r="7727" spans="1:20" x14ac:dyDescent="0.25">
      <c r="A7727" s="21">
        <v>45880</v>
      </c>
      <c r="B7727" s="1" t="s">
        <v>13766</v>
      </c>
      <c r="C7727" t="s">
        <v>13767</v>
      </c>
      <c r="D7727" s="43">
        <v>-37264.300000000003</v>
      </c>
      <c r="E7727" t="s">
        <v>35</v>
      </c>
      <c r="F7727" s="2">
        <v>210101001</v>
      </c>
      <c r="G7727" s="2" t="s">
        <v>36</v>
      </c>
      <c r="L7727" s="2" t="s">
        <v>13768</v>
      </c>
      <c r="M7727" t="s">
        <v>303</v>
      </c>
      <c r="N7727" t="s">
        <v>304</v>
      </c>
      <c r="P7727" s="23">
        <v>131.12</v>
      </c>
      <c r="Q7727" s="4">
        <f t="shared" si="120"/>
        <v>-284.19996949359364</v>
      </c>
      <c r="R7727" s="23" t="s">
        <v>1198</v>
      </c>
    </row>
    <row r="7728" spans="1:20" x14ac:dyDescent="0.25">
      <c r="A7728" s="21">
        <v>45882</v>
      </c>
      <c r="B7728" s="1" t="s">
        <v>13769</v>
      </c>
      <c r="C7728" t="s">
        <v>7493</v>
      </c>
      <c r="D7728" s="43">
        <v>2750000</v>
      </c>
      <c r="E7728" t="s">
        <v>46</v>
      </c>
      <c r="F7728" s="2">
        <v>210115002</v>
      </c>
      <c r="G7728" s="2" t="s">
        <v>12156</v>
      </c>
      <c r="L7728" s="2" t="s">
        <v>13770</v>
      </c>
      <c r="N7728" t="s">
        <v>7493</v>
      </c>
      <c r="P7728" s="23">
        <v>133.52000000000001</v>
      </c>
      <c r="Q7728" s="4">
        <f t="shared" si="120"/>
        <v>20596.165368484122</v>
      </c>
      <c r="R7728" s="23" t="s">
        <v>1198</v>
      </c>
    </row>
    <row r="7729" spans="1:20" x14ac:dyDescent="0.25">
      <c r="A7729" s="21">
        <v>45882</v>
      </c>
      <c r="B7729" s="1" t="s">
        <v>13771</v>
      </c>
      <c r="C7729" t="s">
        <v>13772</v>
      </c>
      <c r="D7729" s="43">
        <v>-99117.82</v>
      </c>
      <c r="E7729" t="s">
        <v>35</v>
      </c>
      <c r="F7729" s="2">
        <v>210101001</v>
      </c>
      <c r="G7729" s="2" t="s">
        <v>36</v>
      </c>
      <c r="L7729" s="2" t="s">
        <v>13773</v>
      </c>
      <c r="M7729" t="s">
        <v>534</v>
      </c>
      <c r="N7729" t="s">
        <v>535</v>
      </c>
      <c r="P7729" s="23">
        <v>133.52000000000001</v>
      </c>
      <c r="Q7729" s="4">
        <f t="shared" si="120"/>
        <v>-742.344367884961</v>
      </c>
      <c r="R7729" s="23" t="s">
        <v>1198</v>
      </c>
    </row>
    <row r="7730" spans="1:20" x14ac:dyDescent="0.25">
      <c r="A7730" s="21">
        <v>45882</v>
      </c>
      <c r="B7730" s="1" t="s">
        <v>13774</v>
      </c>
      <c r="C7730" t="s">
        <v>1221</v>
      </c>
      <c r="D7730" s="1">
        <v>-247.79</v>
      </c>
      <c r="E7730" t="s">
        <v>35</v>
      </c>
      <c r="F7730" s="2">
        <v>610148001</v>
      </c>
      <c r="G7730" s="2" t="s">
        <v>42</v>
      </c>
      <c r="L7730" s="2" t="s">
        <v>13775</v>
      </c>
      <c r="M7730" t="s">
        <v>43</v>
      </c>
      <c r="N7730" t="s">
        <v>42</v>
      </c>
      <c r="P7730" s="23">
        <v>133.52000000000001</v>
      </c>
      <c r="Q7730" s="4">
        <f t="shared" si="120"/>
        <v>-1.855826842420611</v>
      </c>
      <c r="R7730" s="23" t="s">
        <v>1198</v>
      </c>
      <c r="T7730" s="23" t="s">
        <v>12141</v>
      </c>
    </row>
    <row r="7731" spans="1:20" x14ac:dyDescent="0.25">
      <c r="A7731" s="21">
        <v>45882</v>
      </c>
      <c r="B7731" s="1" t="s">
        <v>13776</v>
      </c>
      <c r="C7731" t="s">
        <v>1221</v>
      </c>
      <c r="D7731" s="1">
        <v>-861.53</v>
      </c>
      <c r="E7731" t="s">
        <v>35</v>
      </c>
      <c r="F7731" s="2">
        <v>610148001</v>
      </c>
      <c r="G7731" s="2" t="s">
        <v>42</v>
      </c>
      <c r="L7731" s="2" t="s">
        <v>13777</v>
      </c>
      <c r="M7731" t="s">
        <v>43</v>
      </c>
      <c r="N7731" t="s">
        <v>42</v>
      </c>
      <c r="P7731" s="23">
        <v>133.52000000000001</v>
      </c>
      <c r="Q7731" s="4">
        <f t="shared" si="120"/>
        <v>-6.4524415817854992</v>
      </c>
      <c r="R7731" s="23" t="s">
        <v>1198</v>
      </c>
      <c r="T7731" s="23" t="s">
        <v>12141</v>
      </c>
    </row>
    <row r="7732" spans="1:20" x14ac:dyDescent="0.25">
      <c r="A7732" s="21">
        <v>45882</v>
      </c>
      <c r="B7732" s="1" t="s">
        <v>13778</v>
      </c>
      <c r="C7732" t="s">
        <v>13779</v>
      </c>
      <c r="D7732" s="43">
        <v>-344615.12</v>
      </c>
      <c r="E7732" t="s">
        <v>35</v>
      </c>
      <c r="F7732" s="2">
        <v>110114001</v>
      </c>
      <c r="G7732" s="2" t="s">
        <v>301</v>
      </c>
      <c r="L7732" s="2" t="s">
        <v>13780</v>
      </c>
      <c r="N7732" t="s">
        <v>2551</v>
      </c>
      <c r="P7732" s="23">
        <v>133.52000000000001</v>
      </c>
      <c r="Q7732" s="4">
        <f t="shared" si="120"/>
        <v>-2580.9999999999995</v>
      </c>
      <c r="R7732" s="23" t="s">
        <v>1198</v>
      </c>
    </row>
    <row r="7733" spans="1:20" x14ac:dyDescent="0.25">
      <c r="A7733" s="21">
        <v>45882</v>
      </c>
      <c r="B7733" s="1" t="s">
        <v>13781</v>
      </c>
      <c r="C7733" t="s">
        <v>1221</v>
      </c>
      <c r="D7733" s="43">
        <v>-2500</v>
      </c>
      <c r="E7733" t="s">
        <v>35</v>
      </c>
      <c r="F7733" s="2">
        <v>610148001</v>
      </c>
      <c r="G7733" s="2" t="s">
        <v>42</v>
      </c>
      <c r="L7733" s="2" t="s">
        <v>13782</v>
      </c>
      <c r="M7733" t="s">
        <v>43</v>
      </c>
      <c r="N7733" t="s">
        <v>42</v>
      </c>
      <c r="P7733" s="23">
        <v>133.52000000000001</v>
      </c>
      <c r="Q7733" s="4">
        <f t="shared" si="120"/>
        <v>-18.723786698621929</v>
      </c>
      <c r="R7733" s="23" t="s">
        <v>1198</v>
      </c>
      <c r="T7733" s="23" t="s">
        <v>12141</v>
      </c>
    </row>
    <row r="7734" spans="1:20" x14ac:dyDescent="0.25">
      <c r="A7734" s="21">
        <v>45882</v>
      </c>
      <c r="B7734" s="1" t="s">
        <v>13783</v>
      </c>
      <c r="C7734" t="s">
        <v>13784</v>
      </c>
      <c r="D7734" s="43">
        <v>-1000000</v>
      </c>
      <c r="E7734" t="s">
        <v>35</v>
      </c>
      <c r="F7734" s="2">
        <v>210101001</v>
      </c>
      <c r="G7734" s="2" t="s">
        <v>36</v>
      </c>
      <c r="L7734" s="2" t="s">
        <v>13785</v>
      </c>
      <c r="M7734" t="s">
        <v>38</v>
      </c>
      <c r="N7734" t="s">
        <v>39</v>
      </c>
      <c r="P7734" s="23">
        <v>133.52000000000001</v>
      </c>
      <c r="Q7734" s="4">
        <f t="shared" si="120"/>
        <v>-7489.5146794487709</v>
      </c>
      <c r="R7734" s="23" t="s">
        <v>1198</v>
      </c>
    </row>
    <row r="7735" spans="1:20" x14ac:dyDescent="0.25">
      <c r="A7735" s="21">
        <v>45882</v>
      </c>
      <c r="B7735" s="1" t="s">
        <v>13786</v>
      </c>
      <c r="C7735" t="s">
        <v>1221</v>
      </c>
      <c r="D7735" s="1">
        <v>-0.78</v>
      </c>
      <c r="E7735" t="s">
        <v>35</v>
      </c>
      <c r="F7735" s="2">
        <v>610148001</v>
      </c>
      <c r="G7735" s="2" t="s">
        <v>42</v>
      </c>
      <c r="L7735" s="2" t="s">
        <v>13787</v>
      </c>
      <c r="M7735" t="s">
        <v>43</v>
      </c>
      <c r="N7735" t="s">
        <v>42</v>
      </c>
      <c r="P7735" s="23">
        <v>133.52000000000001</v>
      </c>
      <c r="Q7735" s="4">
        <f t="shared" si="120"/>
        <v>-5.8418214499700418E-3</v>
      </c>
      <c r="R7735" s="23" t="s">
        <v>1198</v>
      </c>
      <c r="T7735" s="23" t="s">
        <v>12141</v>
      </c>
    </row>
    <row r="7736" spans="1:20" x14ac:dyDescent="0.25">
      <c r="A7736" s="21">
        <v>45882</v>
      </c>
      <c r="B7736" s="1" t="s">
        <v>13788</v>
      </c>
      <c r="C7736" t="s">
        <v>13789</v>
      </c>
      <c r="D7736" s="1">
        <v>-315.5</v>
      </c>
      <c r="E7736" t="s">
        <v>35</v>
      </c>
      <c r="F7736" s="2">
        <v>210101001</v>
      </c>
      <c r="G7736" s="2" t="s">
        <v>36</v>
      </c>
      <c r="L7736" s="2" t="s">
        <v>13790</v>
      </c>
      <c r="M7736" t="s">
        <v>976</v>
      </c>
      <c r="N7736" t="s">
        <v>977</v>
      </c>
      <c r="P7736" s="23">
        <v>133.52000000000001</v>
      </c>
      <c r="Q7736" s="4">
        <f t="shared" si="120"/>
        <v>-2.3629418813660874</v>
      </c>
      <c r="R7736" s="23" t="s">
        <v>1198</v>
      </c>
    </row>
    <row r="7737" spans="1:20" x14ac:dyDescent="0.25">
      <c r="A7737" s="21">
        <v>45882</v>
      </c>
      <c r="B7737" s="1" t="s">
        <v>13791</v>
      </c>
      <c r="C7737" t="s">
        <v>1221</v>
      </c>
      <c r="D7737" s="1">
        <v>-485.64</v>
      </c>
      <c r="E7737" t="s">
        <v>35</v>
      </c>
      <c r="F7737" s="2">
        <v>610148001</v>
      </c>
      <c r="G7737" s="2" t="s">
        <v>42</v>
      </c>
      <c r="L7737" s="2" t="s">
        <v>13792</v>
      </c>
      <c r="M7737" t="s">
        <v>43</v>
      </c>
      <c r="N7737" t="s">
        <v>42</v>
      </c>
      <c r="P7737" s="23">
        <v>133.52000000000001</v>
      </c>
      <c r="Q7737" s="4">
        <f t="shared" si="120"/>
        <v>-3.6372079089275009</v>
      </c>
      <c r="R7737" s="23" t="s">
        <v>1198</v>
      </c>
      <c r="T7737" s="23" t="s">
        <v>12141</v>
      </c>
    </row>
    <row r="7738" spans="1:20" x14ac:dyDescent="0.25">
      <c r="A7738" s="21">
        <v>45882</v>
      </c>
      <c r="B7738" s="1" t="s">
        <v>13793</v>
      </c>
      <c r="C7738" t="s">
        <v>13794</v>
      </c>
      <c r="D7738" s="43">
        <v>-194257.05</v>
      </c>
      <c r="E7738" t="s">
        <v>35</v>
      </c>
      <c r="F7738" s="2">
        <v>210101001</v>
      </c>
      <c r="G7738" s="2" t="s">
        <v>36</v>
      </c>
      <c r="L7738" s="2" t="s">
        <v>13795</v>
      </c>
      <c r="M7738" t="s">
        <v>2645</v>
      </c>
      <c r="N7738" t="s">
        <v>1187</v>
      </c>
      <c r="P7738" s="23">
        <v>133.52000000000001</v>
      </c>
      <c r="Q7738" s="4">
        <f t="shared" si="120"/>
        <v>-1454.8910275614139</v>
      </c>
      <c r="R7738" s="23" t="s">
        <v>1198</v>
      </c>
    </row>
    <row r="7739" spans="1:20" x14ac:dyDescent="0.25">
      <c r="A7739" s="21">
        <v>45882</v>
      </c>
      <c r="B7739" s="1" t="s">
        <v>13796</v>
      </c>
      <c r="C7739" t="s">
        <v>1221</v>
      </c>
      <c r="D7739" s="43">
        <v>-1952.75</v>
      </c>
      <c r="E7739" t="s">
        <v>35</v>
      </c>
      <c r="F7739" s="2">
        <v>610148001</v>
      </c>
      <c r="G7739" s="2" t="s">
        <v>42</v>
      </c>
      <c r="L7739" s="2" t="s">
        <v>13797</v>
      </c>
      <c r="M7739" t="s">
        <v>43</v>
      </c>
      <c r="N7739" t="s">
        <v>42</v>
      </c>
      <c r="P7739" s="23">
        <v>133.52000000000001</v>
      </c>
      <c r="Q7739" s="4">
        <f t="shared" si="120"/>
        <v>-14.625149790293587</v>
      </c>
      <c r="R7739" s="23" t="s">
        <v>1198</v>
      </c>
      <c r="T7739" s="23" t="s">
        <v>12141</v>
      </c>
    </row>
    <row r="7740" spans="1:20" x14ac:dyDescent="0.25">
      <c r="A7740" s="21">
        <v>45882</v>
      </c>
      <c r="B7740" s="1" t="s">
        <v>13798</v>
      </c>
      <c r="C7740" t="s">
        <v>13784</v>
      </c>
      <c r="D7740" s="43">
        <v>-781102.11</v>
      </c>
      <c r="E7740" t="s">
        <v>35</v>
      </c>
      <c r="F7740" s="2">
        <v>210101001</v>
      </c>
      <c r="G7740" s="2" t="s">
        <v>36</v>
      </c>
      <c r="L7740" s="2" t="s">
        <v>13799</v>
      </c>
      <c r="M7740" t="s">
        <v>38</v>
      </c>
      <c r="N7740" t="s">
        <v>39</v>
      </c>
      <c r="P7740" s="23">
        <v>133.52000000000001</v>
      </c>
      <c r="Q7740" s="4">
        <f t="shared" si="120"/>
        <v>-5850.0757189934084</v>
      </c>
      <c r="R7740" s="23" t="s">
        <v>1198</v>
      </c>
    </row>
    <row r="7741" spans="1:20" x14ac:dyDescent="0.25">
      <c r="A7741" s="21">
        <v>45882</v>
      </c>
      <c r="B7741" s="1" t="s">
        <v>13800</v>
      </c>
      <c r="C7741" t="s">
        <v>1221</v>
      </c>
      <c r="D7741" s="1">
        <v>-827.04</v>
      </c>
      <c r="E7741" t="s">
        <v>35</v>
      </c>
      <c r="F7741" s="2">
        <v>610148001</v>
      </c>
      <c r="G7741" s="2" t="s">
        <v>42</v>
      </c>
      <c r="L7741" s="2" t="s">
        <v>13801</v>
      </c>
      <c r="M7741" t="s">
        <v>43</v>
      </c>
      <c r="N7741" t="s">
        <v>42</v>
      </c>
      <c r="P7741" s="23">
        <v>133.52000000000001</v>
      </c>
      <c r="Q7741" s="4">
        <f t="shared" si="120"/>
        <v>-6.1941282204913115</v>
      </c>
      <c r="R7741" s="23" t="s">
        <v>1198</v>
      </c>
      <c r="T7741" s="23" t="s">
        <v>12141</v>
      </c>
    </row>
    <row r="7742" spans="1:20" x14ac:dyDescent="0.25">
      <c r="A7742" s="21">
        <v>45882</v>
      </c>
      <c r="B7742" s="1" t="s">
        <v>13802</v>
      </c>
      <c r="C7742" t="s">
        <v>13803</v>
      </c>
      <c r="D7742" s="43">
        <v>-330816.87</v>
      </c>
      <c r="E7742" t="s">
        <v>35</v>
      </c>
      <c r="F7742" s="2">
        <v>210101001</v>
      </c>
      <c r="G7742" s="2" t="s">
        <v>36</v>
      </c>
      <c r="L7742" s="2" t="s">
        <v>13804</v>
      </c>
      <c r="M7742" t="s">
        <v>1866</v>
      </c>
      <c r="N7742" t="s">
        <v>1867</v>
      </c>
      <c r="P7742" s="23">
        <v>133.52000000000001</v>
      </c>
      <c r="Q7742" s="4">
        <f t="shared" si="120"/>
        <v>-2477.6578040742957</v>
      </c>
      <c r="R7742" s="23" t="s">
        <v>1198</v>
      </c>
    </row>
    <row r="7743" spans="1:20" x14ac:dyDescent="0.25">
      <c r="A7743" s="21">
        <v>45884</v>
      </c>
      <c r="B7743" s="1" t="s">
        <v>13805</v>
      </c>
      <c r="C7743" t="s">
        <v>544</v>
      </c>
      <c r="D7743" s="43">
        <v>1300000</v>
      </c>
      <c r="E7743" t="s">
        <v>46</v>
      </c>
      <c r="F7743" s="2">
        <v>210115002</v>
      </c>
      <c r="G7743" s="2" t="s">
        <v>12156</v>
      </c>
      <c r="L7743" s="2" t="s">
        <v>13806</v>
      </c>
      <c r="N7743" t="s">
        <v>544</v>
      </c>
      <c r="P7743" s="23">
        <v>135.63999999999999</v>
      </c>
      <c r="Q7743" s="4">
        <f t="shared" si="120"/>
        <v>9584.1934532586274</v>
      </c>
      <c r="R7743" s="23" t="s">
        <v>1198</v>
      </c>
    </row>
    <row r="7744" spans="1:20" ht="15.75" x14ac:dyDescent="0.25">
      <c r="A7744" s="21">
        <v>45884</v>
      </c>
      <c r="B7744" s="1" t="s">
        <v>13807</v>
      </c>
      <c r="C7744" t="s">
        <v>13808</v>
      </c>
      <c r="D7744" s="43">
        <v>-1234552.8</v>
      </c>
      <c r="E7744" t="s">
        <v>35</v>
      </c>
      <c r="F7744" s="2">
        <v>110110001</v>
      </c>
      <c r="G7744" s="2" t="s">
        <v>1276</v>
      </c>
      <c r="L7744" s="2" t="s">
        <v>13809</v>
      </c>
      <c r="N7744" t="s">
        <v>13810</v>
      </c>
      <c r="P7744" s="23">
        <v>135.63999999999999</v>
      </c>
      <c r="Q7744" s="4">
        <f t="shared" si="120"/>
        <v>-9101.6868180477741</v>
      </c>
      <c r="R7744" s="23" t="s">
        <v>1198</v>
      </c>
      <c r="S7744" s="36" t="s">
        <v>13811</v>
      </c>
    </row>
    <row r="7745" spans="1:20" x14ac:dyDescent="0.25">
      <c r="A7745" s="21">
        <v>45884</v>
      </c>
      <c r="B7745" s="1" t="s">
        <v>13812</v>
      </c>
      <c r="C7745" t="s">
        <v>1221</v>
      </c>
      <c r="D7745" s="43">
        <v>-3086.38</v>
      </c>
      <c r="E7745" t="s">
        <v>35</v>
      </c>
      <c r="F7745" s="2">
        <v>610148001</v>
      </c>
      <c r="G7745" s="2" t="s">
        <v>42</v>
      </c>
      <c r="L7745" s="2" t="s">
        <v>13813</v>
      </c>
      <c r="M7745" t="s">
        <v>43</v>
      </c>
      <c r="N7745" t="s">
        <v>42</v>
      </c>
      <c r="P7745" s="23">
        <v>135.63999999999999</v>
      </c>
      <c r="Q7745" s="4">
        <f t="shared" si="120"/>
        <v>-22.754202300206433</v>
      </c>
      <c r="R7745" s="23" t="s">
        <v>1198</v>
      </c>
      <c r="T7745" s="23" t="s">
        <v>12141</v>
      </c>
    </row>
    <row r="7746" spans="1:20" x14ac:dyDescent="0.25">
      <c r="A7746" s="21">
        <v>45884</v>
      </c>
      <c r="B7746" s="1" t="s">
        <v>13814</v>
      </c>
      <c r="C7746" t="s">
        <v>544</v>
      </c>
      <c r="D7746" s="43">
        <v>1200000</v>
      </c>
      <c r="E7746" t="s">
        <v>46</v>
      </c>
      <c r="F7746" s="2">
        <v>210115002</v>
      </c>
      <c r="G7746" s="2" t="s">
        <v>12156</v>
      </c>
      <c r="L7746" s="2" t="s">
        <v>13815</v>
      </c>
      <c r="N7746" t="s">
        <v>544</v>
      </c>
      <c r="P7746" s="23">
        <v>135.63999999999999</v>
      </c>
      <c r="Q7746" s="4">
        <f t="shared" si="120"/>
        <v>8846.9478030079626</v>
      </c>
      <c r="R7746" s="23" t="s">
        <v>1198</v>
      </c>
    </row>
    <row r="7747" spans="1:20" x14ac:dyDescent="0.25">
      <c r="A7747" s="21">
        <v>45884</v>
      </c>
      <c r="B7747" s="1" t="s">
        <v>13816</v>
      </c>
      <c r="C7747" t="s">
        <v>1221</v>
      </c>
      <c r="D7747" s="1">
        <v>-6.78</v>
      </c>
      <c r="E7747" t="s">
        <v>35</v>
      </c>
      <c r="F7747" s="2">
        <v>610148001</v>
      </c>
      <c r="G7747" s="2" t="s">
        <v>42</v>
      </c>
      <c r="L7747" s="2" t="s">
        <v>13817</v>
      </c>
      <c r="M7747" t="s">
        <v>43</v>
      </c>
      <c r="N7747" t="s">
        <v>42</v>
      </c>
      <c r="P7747" s="23">
        <v>135.63999999999999</v>
      </c>
      <c r="Q7747" s="4">
        <f t="shared" si="120"/>
        <v>-4.9985255086994994E-2</v>
      </c>
      <c r="R7747" s="23" t="s">
        <v>1198</v>
      </c>
      <c r="T7747" s="23" t="s">
        <v>12141</v>
      </c>
    </row>
    <row r="7748" spans="1:20" x14ac:dyDescent="0.25">
      <c r="A7748" s="21">
        <v>45884</v>
      </c>
      <c r="B7748" s="1" t="s">
        <v>13818</v>
      </c>
      <c r="C7748" t="s">
        <v>13819</v>
      </c>
      <c r="D7748" s="43">
        <v>-2712.8</v>
      </c>
      <c r="E7748" t="s">
        <v>35</v>
      </c>
      <c r="F7748" s="2">
        <v>212901001</v>
      </c>
      <c r="G7748" s="2" t="s">
        <v>121</v>
      </c>
      <c r="L7748" s="2" t="s">
        <v>13820</v>
      </c>
      <c r="M7748" t="s">
        <v>67</v>
      </c>
      <c r="N7748" t="s">
        <v>68</v>
      </c>
      <c r="P7748" s="23">
        <v>135.63999999999999</v>
      </c>
      <c r="Q7748" s="4">
        <f t="shared" si="120"/>
        <v>-20.000000000000004</v>
      </c>
      <c r="R7748" s="23" t="s">
        <v>1198</v>
      </c>
    </row>
    <row r="7749" spans="1:20" x14ac:dyDescent="0.25">
      <c r="A7749" s="21">
        <v>45884</v>
      </c>
      <c r="B7749" s="1" t="s">
        <v>13821</v>
      </c>
      <c r="C7749" t="s">
        <v>1221</v>
      </c>
      <c r="D7749" s="1">
        <v>-40.69</v>
      </c>
      <c r="E7749" t="s">
        <v>35</v>
      </c>
      <c r="F7749" s="2">
        <v>610148001</v>
      </c>
      <c r="G7749" s="2" t="s">
        <v>42</v>
      </c>
      <c r="L7749" s="2" t="s">
        <v>13822</v>
      </c>
      <c r="M7749" t="s">
        <v>43</v>
      </c>
      <c r="N7749" t="s">
        <v>42</v>
      </c>
      <c r="P7749" s="23">
        <v>135.63999999999999</v>
      </c>
      <c r="Q7749" s="4">
        <f t="shared" si="120"/>
        <v>-0.29998525508699497</v>
      </c>
      <c r="R7749" s="23" t="s">
        <v>1198</v>
      </c>
      <c r="T7749" s="23" t="s">
        <v>12141</v>
      </c>
    </row>
    <row r="7750" spans="1:20" x14ac:dyDescent="0.25">
      <c r="A7750" s="32">
        <v>45884</v>
      </c>
      <c r="B7750" s="26" t="s">
        <v>13823</v>
      </c>
      <c r="C7750" s="27" t="s">
        <v>13824</v>
      </c>
      <c r="D7750" s="46">
        <v>-16276.8</v>
      </c>
      <c r="E7750" s="27" t="s">
        <v>35</v>
      </c>
      <c r="F7750" s="29">
        <v>610156001</v>
      </c>
      <c r="G7750" s="29" t="s">
        <v>91</v>
      </c>
      <c r="H7750" s="107"/>
      <c r="I7750" s="101"/>
      <c r="J7750" s="101"/>
      <c r="K7750" s="29"/>
      <c r="L7750" s="2" t="s">
        <v>13825</v>
      </c>
      <c r="M7750" s="27" t="s">
        <v>93</v>
      </c>
      <c r="N7750" s="27" t="s">
        <v>94</v>
      </c>
      <c r="O7750" s="27" t="s">
        <v>59</v>
      </c>
      <c r="P7750" s="31">
        <v>135.63999999999999</v>
      </c>
      <c r="Q7750" s="4">
        <f t="shared" si="120"/>
        <v>-120</v>
      </c>
      <c r="R7750" s="23" t="s">
        <v>1198</v>
      </c>
      <c r="T7750" s="23" t="s">
        <v>13826</v>
      </c>
    </row>
    <row r="7751" spans="1:20" x14ac:dyDescent="0.25">
      <c r="A7751" s="21">
        <v>45884</v>
      </c>
      <c r="B7751" s="1" t="s">
        <v>13827</v>
      </c>
      <c r="C7751" t="s">
        <v>13828</v>
      </c>
      <c r="D7751" s="43">
        <v>-13564</v>
      </c>
      <c r="E7751" t="s">
        <v>35</v>
      </c>
      <c r="F7751" s="2">
        <v>212901001</v>
      </c>
      <c r="G7751" s="2" t="s">
        <v>121</v>
      </c>
      <c r="L7751" s="2" t="s">
        <v>13829</v>
      </c>
      <c r="M7751" t="s">
        <v>67</v>
      </c>
      <c r="N7751" t="s">
        <v>68</v>
      </c>
      <c r="P7751" s="23">
        <v>135.63999999999999</v>
      </c>
      <c r="Q7751" s="4">
        <f t="shared" si="120"/>
        <v>-100.00000000000001</v>
      </c>
      <c r="R7751" s="23" t="s">
        <v>1198</v>
      </c>
    </row>
    <row r="7752" spans="1:20" x14ac:dyDescent="0.25">
      <c r="A7752" s="21">
        <v>45884</v>
      </c>
      <c r="B7752" s="1" t="s">
        <v>13830</v>
      </c>
      <c r="C7752" t="s">
        <v>1221</v>
      </c>
      <c r="D7752" s="1">
        <v>-33.909999999999997</v>
      </c>
      <c r="E7752" t="s">
        <v>35</v>
      </c>
      <c r="F7752" s="2">
        <v>610148001</v>
      </c>
      <c r="G7752" s="2" t="s">
        <v>42</v>
      </c>
      <c r="L7752" s="2" t="s">
        <v>13831</v>
      </c>
      <c r="M7752" t="s">
        <v>43</v>
      </c>
      <c r="N7752" t="s">
        <v>42</v>
      </c>
      <c r="P7752" s="23">
        <v>135.63999999999999</v>
      </c>
      <c r="Q7752" s="4">
        <f t="shared" si="120"/>
        <v>-0.25</v>
      </c>
      <c r="R7752" s="23" t="s">
        <v>1198</v>
      </c>
      <c r="T7752" s="23" t="s">
        <v>12141</v>
      </c>
    </row>
    <row r="7753" spans="1:20" x14ac:dyDescent="0.25">
      <c r="A7753" s="21">
        <v>45884</v>
      </c>
      <c r="B7753" s="1" t="s">
        <v>13832</v>
      </c>
      <c r="C7753" t="s">
        <v>13671</v>
      </c>
      <c r="D7753" s="43">
        <v>-357628.31</v>
      </c>
      <c r="E7753" t="s">
        <v>35</v>
      </c>
      <c r="F7753" s="2">
        <v>210101001</v>
      </c>
      <c r="G7753" s="2" t="s">
        <v>36</v>
      </c>
      <c r="L7753" s="2" t="s">
        <v>13833</v>
      </c>
      <c r="M7753" t="s">
        <v>38</v>
      </c>
      <c r="N7753" t="s">
        <v>39</v>
      </c>
      <c r="P7753" s="23">
        <v>135.63999999999999</v>
      </c>
      <c r="Q7753" s="4">
        <f t="shared" si="120"/>
        <v>-2636.5991595399591</v>
      </c>
      <c r="R7753" s="23" t="s">
        <v>1198</v>
      </c>
    </row>
    <row r="7754" spans="1:20" x14ac:dyDescent="0.25">
      <c r="A7754" s="21">
        <v>45884</v>
      </c>
      <c r="B7754" s="1" t="s">
        <v>13834</v>
      </c>
      <c r="C7754" t="s">
        <v>1221</v>
      </c>
      <c r="D7754" s="1">
        <v>-894.07</v>
      </c>
      <c r="E7754" t="s">
        <v>35</v>
      </c>
      <c r="F7754" s="2">
        <v>610148001</v>
      </c>
      <c r="G7754" s="2" t="s">
        <v>42</v>
      </c>
      <c r="L7754" s="2" t="s">
        <v>13835</v>
      </c>
      <c r="M7754" t="s">
        <v>43</v>
      </c>
      <c r="N7754" t="s">
        <v>42</v>
      </c>
      <c r="P7754" s="23">
        <v>135.63999999999999</v>
      </c>
      <c r="Q7754" s="4">
        <f t="shared" si="120"/>
        <v>-6.5914921851961088</v>
      </c>
      <c r="R7754" s="23" t="s">
        <v>1198</v>
      </c>
      <c r="T7754" s="23" t="s">
        <v>12141</v>
      </c>
    </row>
    <row r="7755" spans="1:20" x14ac:dyDescent="0.25">
      <c r="A7755" s="21">
        <v>45884</v>
      </c>
      <c r="B7755" s="1" t="s">
        <v>13836</v>
      </c>
      <c r="C7755" t="s">
        <v>13837</v>
      </c>
      <c r="D7755" s="43">
        <v>-2712.8</v>
      </c>
      <c r="E7755" t="s">
        <v>35</v>
      </c>
      <c r="F7755" s="2">
        <v>212901001</v>
      </c>
      <c r="G7755" s="2" t="s">
        <v>121</v>
      </c>
      <c r="L7755" s="2" t="s">
        <v>13838</v>
      </c>
      <c r="M7755" t="s">
        <v>67</v>
      </c>
      <c r="N7755" t="s">
        <v>68</v>
      </c>
      <c r="P7755" s="23">
        <v>135.63999999999999</v>
      </c>
      <c r="Q7755" s="4">
        <f t="shared" ref="Q7755:Q7818" si="121">D7755/P7755</f>
        <v>-20.000000000000004</v>
      </c>
      <c r="R7755" s="23" t="s">
        <v>1198</v>
      </c>
    </row>
    <row r="7756" spans="1:20" x14ac:dyDescent="0.25">
      <c r="A7756" s="21">
        <v>45884</v>
      </c>
      <c r="B7756" s="1" t="s">
        <v>13839</v>
      </c>
      <c r="C7756" t="s">
        <v>1221</v>
      </c>
      <c r="D7756" s="1">
        <v>-6.78</v>
      </c>
      <c r="E7756" t="s">
        <v>35</v>
      </c>
      <c r="F7756" s="2">
        <v>610148001</v>
      </c>
      <c r="G7756" s="2" t="s">
        <v>42</v>
      </c>
      <c r="L7756" s="2" t="s">
        <v>13840</v>
      </c>
      <c r="M7756" t="s">
        <v>43</v>
      </c>
      <c r="N7756" t="s">
        <v>42</v>
      </c>
      <c r="P7756" s="23">
        <v>135.63999999999999</v>
      </c>
      <c r="Q7756" s="4">
        <f t="shared" si="121"/>
        <v>-4.9985255086994994E-2</v>
      </c>
      <c r="R7756" s="23" t="s">
        <v>1198</v>
      </c>
      <c r="T7756" s="23" t="s">
        <v>12141</v>
      </c>
    </row>
    <row r="7757" spans="1:20" x14ac:dyDescent="0.25">
      <c r="A7757" s="21">
        <v>45884</v>
      </c>
      <c r="B7757" s="1" t="s">
        <v>13841</v>
      </c>
      <c r="C7757" t="s">
        <v>13842</v>
      </c>
      <c r="D7757" s="43">
        <v>-2712.8</v>
      </c>
      <c r="E7757" t="s">
        <v>35</v>
      </c>
      <c r="F7757" s="2">
        <v>212901001</v>
      </c>
      <c r="G7757" s="2" t="s">
        <v>121</v>
      </c>
      <c r="L7757" s="2" t="s">
        <v>13843</v>
      </c>
      <c r="M7757" t="s">
        <v>67</v>
      </c>
      <c r="N7757" t="s">
        <v>68</v>
      </c>
      <c r="P7757" s="23">
        <v>135.63999999999999</v>
      </c>
      <c r="Q7757" s="4">
        <f t="shared" si="121"/>
        <v>-20.000000000000004</v>
      </c>
      <c r="R7757" s="23" t="s">
        <v>1198</v>
      </c>
    </row>
    <row r="7758" spans="1:20" x14ac:dyDescent="0.25">
      <c r="A7758" s="21">
        <v>45884</v>
      </c>
      <c r="B7758" s="1" t="s">
        <v>13844</v>
      </c>
      <c r="C7758" t="s">
        <v>1221</v>
      </c>
      <c r="D7758" s="1">
        <v>-6.78</v>
      </c>
      <c r="E7758" t="s">
        <v>35</v>
      </c>
      <c r="F7758" s="2">
        <v>610148001</v>
      </c>
      <c r="G7758" s="2" t="s">
        <v>42</v>
      </c>
      <c r="L7758" s="2" t="s">
        <v>13845</v>
      </c>
      <c r="M7758" t="s">
        <v>43</v>
      </c>
      <c r="N7758" t="s">
        <v>42</v>
      </c>
      <c r="P7758" s="23">
        <v>135.63999999999999</v>
      </c>
      <c r="Q7758" s="4">
        <f t="shared" si="121"/>
        <v>-4.9985255086994994E-2</v>
      </c>
      <c r="R7758" s="23" t="s">
        <v>1198</v>
      </c>
      <c r="T7758" s="23" t="s">
        <v>12141</v>
      </c>
    </row>
    <row r="7759" spans="1:20" x14ac:dyDescent="0.25">
      <c r="A7759" s="21">
        <v>45884</v>
      </c>
      <c r="B7759" s="1" t="s">
        <v>13846</v>
      </c>
      <c r="C7759" t="s">
        <v>13847</v>
      </c>
      <c r="D7759" s="43">
        <v>-2712.8</v>
      </c>
      <c r="E7759" t="s">
        <v>35</v>
      </c>
      <c r="F7759" s="2">
        <v>212901001</v>
      </c>
      <c r="G7759" s="2" t="s">
        <v>121</v>
      </c>
      <c r="L7759" s="2" t="s">
        <v>13848</v>
      </c>
      <c r="M7759" t="s">
        <v>67</v>
      </c>
      <c r="N7759" t="s">
        <v>68</v>
      </c>
      <c r="P7759" s="23">
        <v>135.63999999999999</v>
      </c>
      <c r="Q7759" s="4">
        <f t="shared" si="121"/>
        <v>-20.000000000000004</v>
      </c>
      <c r="R7759" s="23" t="s">
        <v>1198</v>
      </c>
    </row>
    <row r="7760" spans="1:20" x14ac:dyDescent="0.25">
      <c r="A7760" s="21">
        <v>45884</v>
      </c>
      <c r="B7760" s="1" t="s">
        <v>13849</v>
      </c>
      <c r="C7760" t="s">
        <v>1221</v>
      </c>
      <c r="D7760" s="1">
        <v>-6.78</v>
      </c>
      <c r="E7760" t="s">
        <v>35</v>
      </c>
      <c r="F7760" s="2">
        <v>610148001</v>
      </c>
      <c r="G7760" s="2" t="s">
        <v>42</v>
      </c>
      <c r="L7760" s="2" t="s">
        <v>13850</v>
      </c>
      <c r="M7760" t="s">
        <v>43</v>
      </c>
      <c r="N7760" t="s">
        <v>42</v>
      </c>
      <c r="P7760" s="23">
        <v>135.63999999999999</v>
      </c>
      <c r="Q7760" s="4">
        <f t="shared" si="121"/>
        <v>-4.9985255086994994E-2</v>
      </c>
      <c r="R7760" s="23" t="s">
        <v>1198</v>
      </c>
      <c r="T7760" s="23" t="s">
        <v>12141</v>
      </c>
    </row>
    <row r="7761" spans="1:20" x14ac:dyDescent="0.25">
      <c r="A7761" s="32">
        <v>45884</v>
      </c>
      <c r="B7761" s="26" t="s">
        <v>13851</v>
      </c>
      <c r="C7761" s="27" t="s">
        <v>13852</v>
      </c>
      <c r="D7761" s="46">
        <v>-42726.6</v>
      </c>
      <c r="E7761" s="27" t="s">
        <v>35</v>
      </c>
      <c r="F7761" s="29">
        <v>610156001</v>
      </c>
      <c r="G7761" s="29" t="s">
        <v>91</v>
      </c>
      <c r="H7761" s="107"/>
      <c r="I7761" s="101"/>
      <c r="J7761" s="101"/>
      <c r="K7761" s="29"/>
      <c r="L7761" s="2" t="s">
        <v>13853</v>
      </c>
      <c r="M7761" s="27" t="s">
        <v>5015</v>
      </c>
      <c r="N7761" s="27" t="s">
        <v>1240</v>
      </c>
      <c r="O7761" s="27" t="s">
        <v>59</v>
      </c>
      <c r="P7761" s="31">
        <v>135.63999999999999</v>
      </c>
      <c r="Q7761" s="4">
        <f t="shared" si="121"/>
        <v>-315</v>
      </c>
      <c r="R7761" s="23" t="s">
        <v>1198</v>
      </c>
      <c r="T7761" s="23" t="s">
        <v>13854</v>
      </c>
    </row>
    <row r="7762" spans="1:20" x14ac:dyDescent="0.25">
      <c r="A7762" s="21">
        <v>45884</v>
      </c>
      <c r="B7762" s="1" t="s">
        <v>13855</v>
      </c>
      <c r="C7762" t="s">
        <v>1221</v>
      </c>
      <c r="D7762" s="1">
        <v>-106.81</v>
      </c>
      <c r="E7762" t="s">
        <v>35</v>
      </c>
      <c r="F7762" s="2">
        <v>610148001</v>
      </c>
      <c r="G7762" s="2" t="s">
        <v>42</v>
      </c>
      <c r="L7762" s="2" t="s">
        <v>13856</v>
      </c>
      <c r="M7762" t="s">
        <v>43</v>
      </c>
      <c r="N7762" t="s">
        <v>42</v>
      </c>
      <c r="P7762" s="23">
        <v>135.63999999999999</v>
      </c>
      <c r="Q7762" s="4">
        <f t="shared" si="121"/>
        <v>-0.78745207903273384</v>
      </c>
      <c r="R7762" s="23" t="s">
        <v>1198</v>
      </c>
      <c r="T7762" s="23" t="s">
        <v>12141</v>
      </c>
    </row>
    <row r="7763" spans="1:20" x14ac:dyDescent="0.25">
      <c r="A7763" s="21">
        <v>45884</v>
      </c>
      <c r="B7763" s="1" t="s">
        <v>13857</v>
      </c>
      <c r="C7763" t="s">
        <v>1221</v>
      </c>
      <c r="D7763" s="43">
        <v>-1579.5</v>
      </c>
      <c r="E7763" t="s">
        <v>35</v>
      </c>
      <c r="F7763" s="2">
        <v>610148001</v>
      </c>
      <c r="G7763" s="2" t="s">
        <v>42</v>
      </c>
      <c r="L7763" s="2" t="s">
        <v>13858</v>
      </c>
      <c r="M7763" t="s">
        <v>43</v>
      </c>
      <c r="N7763" t="s">
        <v>42</v>
      </c>
      <c r="P7763" s="23">
        <v>135.63999999999999</v>
      </c>
      <c r="Q7763" s="4">
        <f t="shared" si="121"/>
        <v>-11.644795045709232</v>
      </c>
      <c r="R7763" s="23" t="s">
        <v>1198</v>
      </c>
      <c r="T7763" s="23" t="s">
        <v>12141</v>
      </c>
    </row>
    <row r="7764" spans="1:20" x14ac:dyDescent="0.25">
      <c r="A7764" s="21">
        <v>45884</v>
      </c>
      <c r="B7764" s="1" t="s">
        <v>13859</v>
      </c>
      <c r="C7764" t="s">
        <v>13704</v>
      </c>
      <c r="D7764" s="43">
        <v>-631800.93000000005</v>
      </c>
      <c r="E7764" t="s">
        <v>35</v>
      </c>
      <c r="F7764" s="2">
        <v>210101001</v>
      </c>
      <c r="G7764" s="2" t="s">
        <v>36</v>
      </c>
      <c r="L7764" s="2" t="s">
        <v>13860</v>
      </c>
      <c r="M7764" t="s">
        <v>38</v>
      </c>
      <c r="N7764" t="s">
        <v>39</v>
      </c>
      <c r="P7764" s="23">
        <v>135.63999999999999</v>
      </c>
      <c r="Q7764" s="4">
        <f t="shared" si="121"/>
        <v>-4657.9248746682406</v>
      </c>
      <c r="R7764" s="23" t="s">
        <v>1198</v>
      </c>
    </row>
    <row r="7765" spans="1:20" x14ac:dyDescent="0.25">
      <c r="A7765" s="21">
        <v>45884</v>
      </c>
      <c r="B7765" s="1" t="s">
        <v>13861</v>
      </c>
      <c r="C7765" t="s">
        <v>13862</v>
      </c>
      <c r="D7765" s="43">
        <v>-2712.8</v>
      </c>
      <c r="E7765" t="s">
        <v>35</v>
      </c>
      <c r="F7765" s="2">
        <v>212901001</v>
      </c>
      <c r="G7765" s="2" t="s">
        <v>121</v>
      </c>
      <c r="L7765" s="2" t="s">
        <v>13863</v>
      </c>
      <c r="M7765" t="s">
        <v>67</v>
      </c>
      <c r="N7765" t="s">
        <v>68</v>
      </c>
      <c r="P7765" s="23">
        <v>135.63999999999999</v>
      </c>
      <c r="Q7765" s="4">
        <f t="shared" si="121"/>
        <v>-20.000000000000004</v>
      </c>
      <c r="R7765" s="23" t="s">
        <v>1198</v>
      </c>
    </row>
    <row r="7766" spans="1:20" x14ac:dyDescent="0.25">
      <c r="A7766" s="21">
        <v>45884</v>
      </c>
      <c r="B7766" s="1" t="s">
        <v>13864</v>
      </c>
      <c r="C7766" t="s">
        <v>1221</v>
      </c>
      <c r="D7766" s="1">
        <v>-6.78</v>
      </c>
      <c r="E7766" t="s">
        <v>35</v>
      </c>
      <c r="F7766" s="2">
        <v>610148001</v>
      </c>
      <c r="G7766" s="2" t="s">
        <v>42</v>
      </c>
      <c r="L7766" s="2" t="s">
        <v>13865</v>
      </c>
      <c r="M7766" t="s">
        <v>43</v>
      </c>
      <c r="N7766" t="s">
        <v>42</v>
      </c>
      <c r="P7766" s="23">
        <v>135.63999999999999</v>
      </c>
      <c r="Q7766" s="4">
        <f t="shared" si="121"/>
        <v>-4.9985255086994994E-2</v>
      </c>
      <c r="R7766" s="23" t="s">
        <v>1198</v>
      </c>
      <c r="T7766" s="23" t="s">
        <v>12141</v>
      </c>
    </row>
    <row r="7767" spans="1:20" x14ac:dyDescent="0.25">
      <c r="A7767" s="21">
        <v>45884</v>
      </c>
      <c r="B7767" s="1" t="s">
        <v>13866</v>
      </c>
      <c r="C7767" t="s">
        <v>13867</v>
      </c>
      <c r="D7767" s="43">
        <v>-10851.2</v>
      </c>
      <c r="E7767" t="s">
        <v>35</v>
      </c>
      <c r="F7767" s="2">
        <v>212901001</v>
      </c>
      <c r="G7767" s="2" t="s">
        <v>121</v>
      </c>
      <c r="L7767" s="2" t="s">
        <v>13868</v>
      </c>
      <c r="M7767" t="s">
        <v>67</v>
      </c>
      <c r="N7767" t="s">
        <v>68</v>
      </c>
      <c r="P7767" s="23">
        <v>135.63999999999999</v>
      </c>
      <c r="Q7767" s="4">
        <f t="shared" si="121"/>
        <v>-80.000000000000014</v>
      </c>
      <c r="R7767" s="23" t="s">
        <v>1198</v>
      </c>
    </row>
    <row r="7768" spans="1:20" x14ac:dyDescent="0.25">
      <c r="A7768" s="21">
        <v>45884</v>
      </c>
      <c r="B7768" s="1" t="s">
        <v>13869</v>
      </c>
      <c r="C7768" t="s">
        <v>1221</v>
      </c>
      <c r="D7768" s="1">
        <v>-27.12</v>
      </c>
      <c r="E7768" t="s">
        <v>35</v>
      </c>
      <c r="F7768" s="2">
        <v>610148001</v>
      </c>
      <c r="G7768" s="2" t="s">
        <v>42</v>
      </c>
      <c r="L7768" s="2" t="s">
        <v>13870</v>
      </c>
      <c r="M7768" t="s">
        <v>43</v>
      </c>
      <c r="N7768" t="s">
        <v>42</v>
      </c>
      <c r="P7768" s="23">
        <v>135.63999999999999</v>
      </c>
      <c r="Q7768" s="4">
        <f t="shared" si="121"/>
        <v>-0.19994102034797998</v>
      </c>
      <c r="R7768" s="23" t="s">
        <v>1198</v>
      </c>
      <c r="T7768" s="23" t="s">
        <v>12141</v>
      </c>
    </row>
    <row r="7769" spans="1:20" x14ac:dyDescent="0.25">
      <c r="A7769" s="32">
        <v>45884</v>
      </c>
      <c r="B7769" s="26" t="s">
        <v>13871</v>
      </c>
      <c r="C7769" s="27" t="s">
        <v>13872</v>
      </c>
      <c r="D7769" s="46">
        <v>-2712.8</v>
      </c>
      <c r="E7769" s="27" t="s">
        <v>35</v>
      </c>
      <c r="F7769" s="29">
        <v>610125001</v>
      </c>
      <c r="G7769" s="29" t="s">
        <v>5746</v>
      </c>
      <c r="H7769" s="107"/>
      <c r="I7769" s="101"/>
      <c r="J7769" s="101"/>
      <c r="K7769" s="29"/>
      <c r="L7769" s="2" t="s">
        <v>13873</v>
      </c>
      <c r="M7769" s="27" t="s">
        <v>13874</v>
      </c>
      <c r="N7769" s="27" t="s">
        <v>773</v>
      </c>
      <c r="O7769" s="27" t="s">
        <v>59</v>
      </c>
      <c r="P7769" s="31">
        <v>135.63999999999999</v>
      </c>
      <c r="Q7769" s="4">
        <f t="shared" si="121"/>
        <v>-20.000000000000004</v>
      </c>
      <c r="R7769" s="23" t="s">
        <v>1198</v>
      </c>
      <c r="T7769" s="23" t="s">
        <v>13875</v>
      </c>
    </row>
    <row r="7770" spans="1:20" x14ac:dyDescent="0.25">
      <c r="A7770" s="21">
        <v>45884</v>
      </c>
      <c r="B7770" s="1" t="s">
        <v>13876</v>
      </c>
      <c r="C7770" t="s">
        <v>1221</v>
      </c>
      <c r="D7770" s="1">
        <v>-6.78</v>
      </c>
      <c r="E7770" t="s">
        <v>35</v>
      </c>
      <c r="F7770" s="2">
        <v>610148001</v>
      </c>
      <c r="G7770" s="2" t="s">
        <v>42</v>
      </c>
      <c r="L7770" s="2" t="s">
        <v>13877</v>
      </c>
      <c r="M7770" t="s">
        <v>43</v>
      </c>
      <c r="N7770" t="s">
        <v>42</v>
      </c>
      <c r="P7770" s="23">
        <v>135.63999999999999</v>
      </c>
      <c r="Q7770" s="4">
        <f t="shared" si="121"/>
        <v>-4.9985255086994994E-2</v>
      </c>
      <c r="R7770" s="23" t="s">
        <v>1198</v>
      </c>
      <c r="T7770" s="23" t="s">
        <v>12141</v>
      </c>
    </row>
    <row r="7771" spans="1:20" x14ac:dyDescent="0.25">
      <c r="A7771" s="21">
        <v>45884</v>
      </c>
      <c r="B7771" s="1" t="s">
        <v>13878</v>
      </c>
      <c r="C7771" t="s">
        <v>1221</v>
      </c>
      <c r="D7771" s="1">
        <v>-40.69</v>
      </c>
      <c r="E7771" t="s">
        <v>35</v>
      </c>
      <c r="F7771" s="2">
        <v>610148001</v>
      </c>
      <c r="G7771" s="2" t="s">
        <v>42</v>
      </c>
      <c r="L7771" s="2" t="s">
        <v>13879</v>
      </c>
      <c r="M7771" t="s">
        <v>43</v>
      </c>
      <c r="N7771" t="s">
        <v>42</v>
      </c>
      <c r="P7771" s="23">
        <v>135.63999999999999</v>
      </c>
      <c r="Q7771" s="4">
        <f t="shared" si="121"/>
        <v>-0.29998525508699497</v>
      </c>
      <c r="R7771" s="23" t="s">
        <v>1198</v>
      </c>
      <c r="T7771" s="23" t="s">
        <v>12141</v>
      </c>
    </row>
    <row r="7772" spans="1:20" x14ac:dyDescent="0.25">
      <c r="A7772" s="32">
        <v>45884</v>
      </c>
      <c r="B7772" s="26" t="s">
        <v>13880</v>
      </c>
      <c r="C7772" s="27" t="s">
        <v>54</v>
      </c>
      <c r="D7772" s="46">
        <v>-16276.8</v>
      </c>
      <c r="E7772" s="27" t="s">
        <v>35</v>
      </c>
      <c r="F7772" s="29">
        <v>610129001</v>
      </c>
      <c r="G7772" s="29" t="s">
        <v>55</v>
      </c>
      <c r="H7772" s="107"/>
      <c r="I7772" s="101"/>
      <c r="J7772" s="101"/>
      <c r="K7772" s="29"/>
      <c r="L7772" s="2" t="s">
        <v>13881</v>
      </c>
      <c r="M7772" s="27" t="s">
        <v>57</v>
      </c>
      <c r="N7772" s="27" t="s">
        <v>58</v>
      </c>
      <c r="O7772" s="27" t="s">
        <v>59</v>
      </c>
      <c r="P7772" s="31">
        <v>135.63999999999999</v>
      </c>
      <c r="Q7772" s="4">
        <f t="shared" si="121"/>
        <v>-120</v>
      </c>
      <c r="R7772" s="23" t="s">
        <v>1198</v>
      </c>
      <c r="T7772" s="23" t="s">
        <v>13882</v>
      </c>
    </row>
    <row r="7773" spans="1:20" x14ac:dyDescent="0.25">
      <c r="A7773" s="21">
        <v>45884</v>
      </c>
      <c r="B7773" s="1" t="s">
        <v>13883</v>
      </c>
      <c r="C7773" t="s">
        <v>1221</v>
      </c>
      <c r="D7773" s="1">
        <v>-3.39</v>
      </c>
      <c r="E7773" t="s">
        <v>35</v>
      </c>
      <c r="F7773" s="2">
        <v>610148001</v>
      </c>
      <c r="G7773" s="2" t="s">
        <v>42</v>
      </c>
      <c r="L7773" s="2" t="s">
        <v>13884</v>
      </c>
      <c r="M7773" t="s">
        <v>43</v>
      </c>
      <c r="N7773" t="s">
        <v>42</v>
      </c>
      <c r="P7773" s="23">
        <v>135.63999999999999</v>
      </c>
      <c r="Q7773" s="4">
        <f t="shared" si="121"/>
        <v>-2.4992627543497497E-2</v>
      </c>
      <c r="R7773" s="23" t="s">
        <v>1198</v>
      </c>
      <c r="T7773" s="23" t="s">
        <v>12141</v>
      </c>
    </row>
    <row r="7774" spans="1:20" x14ac:dyDescent="0.25">
      <c r="A7774" s="21">
        <v>45884</v>
      </c>
      <c r="B7774" s="1" t="s">
        <v>13885</v>
      </c>
      <c r="C7774" t="s">
        <v>13886</v>
      </c>
      <c r="D7774" s="43">
        <v>-1356.4</v>
      </c>
      <c r="E7774" t="s">
        <v>35</v>
      </c>
      <c r="F7774" s="2">
        <v>212901001</v>
      </c>
      <c r="G7774" s="2" t="s">
        <v>121</v>
      </c>
      <c r="L7774" s="2" t="s">
        <v>13887</v>
      </c>
      <c r="M7774" t="s">
        <v>67</v>
      </c>
      <c r="N7774" t="s">
        <v>68</v>
      </c>
      <c r="P7774" s="23">
        <v>135.63999999999999</v>
      </c>
      <c r="Q7774" s="4">
        <f t="shared" si="121"/>
        <v>-10.000000000000002</v>
      </c>
      <c r="R7774" s="23" t="s">
        <v>1198</v>
      </c>
    </row>
    <row r="7775" spans="1:20" x14ac:dyDescent="0.25">
      <c r="A7775" s="21">
        <v>45884</v>
      </c>
      <c r="B7775" s="1" t="s">
        <v>13888</v>
      </c>
      <c r="C7775" t="s">
        <v>1221</v>
      </c>
      <c r="D7775" s="1">
        <v>-29.71</v>
      </c>
      <c r="E7775" t="s">
        <v>35</v>
      </c>
      <c r="F7775" s="2">
        <v>610148001</v>
      </c>
      <c r="G7775" s="2" t="s">
        <v>42</v>
      </c>
      <c r="L7775" s="2" t="s">
        <v>13889</v>
      </c>
      <c r="M7775" t="s">
        <v>43</v>
      </c>
      <c r="N7775" t="s">
        <v>42</v>
      </c>
      <c r="P7775" s="23">
        <v>135.63999999999999</v>
      </c>
      <c r="Q7775" s="4">
        <f t="shared" si="121"/>
        <v>-0.21903568268947216</v>
      </c>
      <c r="R7775" s="23" t="s">
        <v>1198</v>
      </c>
      <c r="T7775" s="23" t="s">
        <v>12141</v>
      </c>
    </row>
    <row r="7776" spans="1:20" x14ac:dyDescent="0.25">
      <c r="A7776" s="21">
        <v>45884</v>
      </c>
      <c r="B7776" s="1" t="s">
        <v>13890</v>
      </c>
      <c r="C7776" t="s">
        <v>10983</v>
      </c>
      <c r="D7776" s="43">
        <v>-11887.29</v>
      </c>
      <c r="E7776" t="s">
        <v>35</v>
      </c>
      <c r="F7776" s="2">
        <v>110101002</v>
      </c>
      <c r="G7776" s="2" t="s">
        <v>6359</v>
      </c>
      <c r="L7776" s="2" t="s">
        <v>13891</v>
      </c>
      <c r="N7776" t="s">
        <v>13892</v>
      </c>
      <c r="P7776" s="23">
        <v>135.63999999999999</v>
      </c>
      <c r="Q7776" s="4">
        <f t="shared" si="121"/>
        <v>-87.638528457682114</v>
      </c>
      <c r="R7776" s="23" t="s">
        <v>1198</v>
      </c>
    </row>
    <row r="7777" spans="1:20" x14ac:dyDescent="0.25">
      <c r="A7777" s="21">
        <v>45887</v>
      </c>
      <c r="B7777" s="1" t="s">
        <v>13893</v>
      </c>
      <c r="C7777" t="s">
        <v>544</v>
      </c>
      <c r="D7777" s="43">
        <v>1500000</v>
      </c>
      <c r="E7777" t="s">
        <v>46</v>
      </c>
      <c r="F7777" s="2">
        <v>210115002</v>
      </c>
      <c r="G7777" s="2" t="s">
        <v>12156</v>
      </c>
      <c r="L7777" s="2" t="s">
        <v>13894</v>
      </c>
      <c r="N7777" t="s">
        <v>544</v>
      </c>
      <c r="P7777" s="23">
        <v>136.88999999999999</v>
      </c>
      <c r="Q7777" s="4">
        <f t="shared" si="121"/>
        <v>10957.703265395574</v>
      </c>
      <c r="R7777" s="23" t="s">
        <v>1198</v>
      </c>
    </row>
    <row r="7778" spans="1:20" x14ac:dyDescent="0.25">
      <c r="A7778" s="21">
        <v>45887</v>
      </c>
      <c r="B7778" s="1" t="s">
        <v>13895</v>
      </c>
      <c r="C7778" t="s">
        <v>1221</v>
      </c>
      <c r="D7778" s="43">
        <v>-2500</v>
      </c>
      <c r="E7778" t="s">
        <v>35</v>
      </c>
      <c r="F7778" s="2">
        <v>610148001</v>
      </c>
      <c r="G7778" s="2" t="s">
        <v>42</v>
      </c>
      <c r="L7778" s="2" t="s">
        <v>13896</v>
      </c>
      <c r="M7778" t="s">
        <v>43</v>
      </c>
      <c r="N7778" t="s">
        <v>42</v>
      </c>
      <c r="P7778" s="23">
        <v>136.88999999999999</v>
      </c>
      <c r="Q7778" s="4">
        <f t="shared" si="121"/>
        <v>-18.26283877565929</v>
      </c>
      <c r="R7778" s="23" t="s">
        <v>1198</v>
      </c>
      <c r="T7778" s="23" t="s">
        <v>12141</v>
      </c>
    </row>
    <row r="7779" spans="1:20" x14ac:dyDescent="0.25">
      <c r="A7779" s="21">
        <v>45887</v>
      </c>
      <c r="B7779" s="1" t="s">
        <v>13897</v>
      </c>
      <c r="C7779" t="s">
        <v>13617</v>
      </c>
      <c r="D7779" s="43">
        <v>-1000000</v>
      </c>
      <c r="E7779" t="s">
        <v>35</v>
      </c>
      <c r="F7779" s="2">
        <v>110114001</v>
      </c>
      <c r="G7779" s="2" t="s">
        <v>301</v>
      </c>
      <c r="L7779" s="2" t="s">
        <v>13898</v>
      </c>
      <c r="M7779" t="s">
        <v>38</v>
      </c>
      <c r="N7779" t="s">
        <v>39</v>
      </c>
      <c r="P7779" s="23">
        <v>136.88999999999999</v>
      </c>
      <c r="Q7779" s="4">
        <f t="shared" si="121"/>
        <v>-7305.1355102637162</v>
      </c>
      <c r="R7779" s="23" t="s">
        <v>1198</v>
      </c>
    </row>
    <row r="7780" spans="1:20" x14ac:dyDescent="0.25">
      <c r="A7780" s="21">
        <v>45887</v>
      </c>
      <c r="B7780" s="1" t="s">
        <v>13899</v>
      </c>
      <c r="C7780" t="s">
        <v>1221</v>
      </c>
      <c r="D7780" s="43">
        <v>-1615.92</v>
      </c>
      <c r="E7780" t="s">
        <v>35</v>
      </c>
      <c r="F7780" s="2">
        <v>610148001</v>
      </c>
      <c r="G7780" s="2" t="s">
        <v>42</v>
      </c>
      <c r="L7780" s="2" t="s">
        <v>13900</v>
      </c>
      <c r="M7780" t="s">
        <v>43</v>
      </c>
      <c r="N7780" t="s">
        <v>42</v>
      </c>
      <c r="P7780" s="23">
        <v>136.88999999999999</v>
      </c>
      <c r="Q7780" s="4">
        <f t="shared" si="121"/>
        <v>-11.804514573745344</v>
      </c>
      <c r="R7780" s="23" t="s">
        <v>1198</v>
      </c>
      <c r="T7780" s="23" t="s">
        <v>12141</v>
      </c>
    </row>
    <row r="7781" spans="1:20" x14ac:dyDescent="0.25">
      <c r="A7781" s="21">
        <v>45887</v>
      </c>
      <c r="B7781" s="1" t="s">
        <v>13901</v>
      </c>
      <c r="C7781" t="s">
        <v>13617</v>
      </c>
      <c r="D7781" s="43">
        <v>-646369.98</v>
      </c>
      <c r="E7781" t="s">
        <v>35</v>
      </c>
      <c r="F7781" s="2">
        <v>110114001</v>
      </c>
      <c r="G7781" s="2" t="s">
        <v>301</v>
      </c>
      <c r="L7781" s="2" t="s">
        <v>13902</v>
      </c>
      <c r="M7781" t="s">
        <v>38</v>
      </c>
      <c r="N7781" t="s">
        <v>39</v>
      </c>
      <c r="P7781" s="23">
        <v>136.88999999999999</v>
      </c>
      <c r="Q7781" s="4">
        <f t="shared" si="121"/>
        <v>-4721.8202936664475</v>
      </c>
      <c r="R7781" s="23" t="s">
        <v>1198</v>
      </c>
    </row>
    <row r="7782" spans="1:20" x14ac:dyDescent="0.25">
      <c r="A7782" s="21">
        <v>45887</v>
      </c>
      <c r="B7782" s="1" t="s">
        <v>13903</v>
      </c>
      <c r="C7782" t="s">
        <v>13904</v>
      </c>
      <c r="D7782" s="43">
        <v>500000</v>
      </c>
      <c r="E7782" t="s">
        <v>46</v>
      </c>
      <c r="F7782" s="2">
        <v>110114001</v>
      </c>
      <c r="G7782" s="2" t="s">
        <v>301</v>
      </c>
      <c r="L7782" s="2" t="s">
        <v>13905</v>
      </c>
      <c r="N7782" t="s">
        <v>13906</v>
      </c>
      <c r="P7782" s="23">
        <v>136.88999999999999</v>
      </c>
      <c r="Q7782" s="4">
        <f t="shared" si="121"/>
        <v>3652.5677551318581</v>
      </c>
      <c r="R7782" s="23" t="s">
        <v>1198</v>
      </c>
    </row>
    <row r="7783" spans="1:20" x14ac:dyDescent="0.25">
      <c r="A7783" s="21">
        <v>45888</v>
      </c>
      <c r="B7783" s="1" t="s">
        <v>13907</v>
      </c>
      <c r="C7783" t="s">
        <v>544</v>
      </c>
      <c r="D7783" s="43">
        <v>2000000</v>
      </c>
      <c r="E7783" t="s">
        <v>46</v>
      </c>
      <c r="F7783" s="2">
        <v>210115002</v>
      </c>
      <c r="G7783" s="2" t="s">
        <v>12156</v>
      </c>
      <c r="L7783" s="2" t="s">
        <v>13908</v>
      </c>
      <c r="N7783" t="s">
        <v>544</v>
      </c>
      <c r="P7783" s="23">
        <v>136.88999999999999</v>
      </c>
      <c r="Q7783" s="4">
        <f t="shared" si="121"/>
        <v>14610.271020527432</v>
      </c>
      <c r="R7783" s="23" t="s">
        <v>1198</v>
      </c>
    </row>
    <row r="7784" spans="1:20" x14ac:dyDescent="0.25">
      <c r="A7784" s="21">
        <v>45888</v>
      </c>
      <c r="B7784" s="1" t="s">
        <v>13909</v>
      </c>
      <c r="C7784" t="s">
        <v>1221</v>
      </c>
      <c r="D7784" s="43">
        <v>-1590.29</v>
      </c>
      <c r="E7784" t="s">
        <v>35</v>
      </c>
      <c r="F7784" s="2">
        <v>610148001</v>
      </c>
      <c r="G7784" s="2" t="s">
        <v>42</v>
      </c>
      <c r="L7784" s="2" t="s">
        <v>13910</v>
      </c>
      <c r="M7784" t="s">
        <v>43</v>
      </c>
      <c r="N7784" t="s">
        <v>42</v>
      </c>
      <c r="P7784" s="23">
        <v>136.88999999999999</v>
      </c>
      <c r="Q7784" s="4">
        <f t="shared" si="121"/>
        <v>-11.617283950617285</v>
      </c>
      <c r="R7784" s="23" t="s">
        <v>1198</v>
      </c>
      <c r="T7784" s="23" t="s">
        <v>12141</v>
      </c>
    </row>
    <row r="7785" spans="1:20" x14ac:dyDescent="0.25">
      <c r="A7785" s="21">
        <v>45888</v>
      </c>
      <c r="B7785" s="1" t="s">
        <v>13911</v>
      </c>
      <c r="C7785" t="s">
        <v>13912</v>
      </c>
      <c r="D7785" s="43">
        <v>-636116.36</v>
      </c>
      <c r="E7785" t="s">
        <v>35</v>
      </c>
      <c r="F7785" s="2">
        <v>110114001</v>
      </c>
      <c r="G7785" s="2" t="s">
        <v>301</v>
      </c>
      <c r="L7785" s="2" t="s">
        <v>13913</v>
      </c>
      <c r="M7785" t="s">
        <v>10966</v>
      </c>
      <c r="N7785" t="s">
        <v>13914</v>
      </c>
      <c r="P7785" s="23">
        <v>136.88999999999999</v>
      </c>
      <c r="Q7785" s="4">
        <f t="shared" si="121"/>
        <v>-4646.9162100956974</v>
      </c>
      <c r="R7785" s="23" t="s">
        <v>1198</v>
      </c>
    </row>
    <row r="7786" spans="1:20" x14ac:dyDescent="0.25">
      <c r="A7786" s="21">
        <v>45888</v>
      </c>
      <c r="B7786" s="1" t="s">
        <v>13915</v>
      </c>
      <c r="C7786" t="s">
        <v>1221</v>
      </c>
      <c r="D7786" s="1">
        <v>-336.63</v>
      </c>
      <c r="E7786" t="s">
        <v>35</v>
      </c>
      <c r="F7786" s="2">
        <v>610148001</v>
      </c>
      <c r="G7786" s="2" t="s">
        <v>42</v>
      </c>
      <c r="L7786" s="2" t="s">
        <v>13916</v>
      </c>
      <c r="M7786" t="s">
        <v>43</v>
      </c>
      <c r="N7786" t="s">
        <v>42</v>
      </c>
      <c r="P7786" s="23">
        <v>136.88999999999999</v>
      </c>
      <c r="Q7786" s="4">
        <f t="shared" si="121"/>
        <v>-2.4591277668200746</v>
      </c>
      <c r="R7786" s="23" t="s">
        <v>1198</v>
      </c>
      <c r="T7786" s="23" t="s">
        <v>12141</v>
      </c>
    </row>
    <row r="7787" spans="1:20" x14ac:dyDescent="0.25">
      <c r="A7787" s="21">
        <v>45888</v>
      </c>
      <c r="B7787" s="1" t="s">
        <v>13917</v>
      </c>
      <c r="C7787" t="s">
        <v>13918</v>
      </c>
      <c r="D7787" s="43">
        <v>-134655.96</v>
      </c>
      <c r="E7787" t="s">
        <v>35</v>
      </c>
      <c r="F7787" s="2">
        <v>210101001</v>
      </c>
      <c r="G7787" s="2" t="s">
        <v>36</v>
      </c>
      <c r="L7787" s="2" t="s">
        <v>13919</v>
      </c>
      <c r="M7787" t="s">
        <v>788</v>
      </c>
      <c r="N7787" t="s">
        <v>789</v>
      </c>
      <c r="P7787" s="23">
        <v>136.88999999999999</v>
      </c>
      <c r="Q7787" s="4">
        <f t="shared" si="121"/>
        <v>-983.6800350646505</v>
      </c>
      <c r="R7787" s="23" t="s">
        <v>1198</v>
      </c>
    </row>
    <row r="7788" spans="1:20" x14ac:dyDescent="0.25">
      <c r="A7788" s="21">
        <v>45888</v>
      </c>
      <c r="B7788" s="1" t="s">
        <v>13920</v>
      </c>
      <c r="C7788" t="s">
        <v>1221</v>
      </c>
      <c r="D7788" s="43">
        <v>-2500</v>
      </c>
      <c r="E7788" t="s">
        <v>35</v>
      </c>
      <c r="F7788" s="2">
        <v>610148001</v>
      </c>
      <c r="G7788" s="2" t="s">
        <v>42</v>
      </c>
      <c r="L7788" s="2" t="s">
        <v>13921</v>
      </c>
      <c r="M7788" t="s">
        <v>43</v>
      </c>
      <c r="N7788" t="s">
        <v>42</v>
      </c>
      <c r="P7788" s="23">
        <v>136.88999999999999</v>
      </c>
      <c r="Q7788" s="4">
        <f t="shared" si="121"/>
        <v>-18.26283877565929</v>
      </c>
      <c r="R7788" s="23" t="s">
        <v>1198</v>
      </c>
      <c r="T7788" s="23" t="s">
        <v>12141</v>
      </c>
    </row>
    <row r="7789" spans="1:20" x14ac:dyDescent="0.25">
      <c r="A7789" s="21">
        <v>45888</v>
      </c>
      <c r="B7789" s="1" t="s">
        <v>13922</v>
      </c>
      <c r="C7789" t="s">
        <v>13912</v>
      </c>
      <c r="D7789" s="43">
        <v>-1000000</v>
      </c>
      <c r="E7789" t="s">
        <v>35</v>
      </c>
      <c r="F7789" s="2">
        <v>110114001</v>
      </c>
      <c r="G7789" s="2" t="s">
        <v>301</v>
      </c>
      <c r="L7789" s="2" t="s">
        <v>13923</v>
      </c>
      <c r="M7789" t="s">
        <v>10966</v>
      </c>
      <c r="N7789" t="s">
        <v>13914</v>
      </c>
      <c r="P7789" s="23">
        <v>136.88999999999999</v>
      </c>
      <c r="Q7789" s="4">
        <f t="shared" si="121"/>
        <v>-7305.1355102637162</v>
      </c>
      <c r="R7789" s="23" t="s">
        <v>1198</v>
      </c>
    </row>
    <row r="7790" spans="1:20" x14ac:dyDescent="0.25">
      <c r="A7790" s="21">
        <v>45888</v>
      </c>
      <c r="B7790" s="1" t="s">
        <v>13924</v>
      </c>
      <c r="C7790" t="s">
        <v>1221</v>
      </c>
      <c r="D7790" s="1">
        <v>-34.35</v>
      </c>
      <c r="E7790" t="s">
        <v>35</v>
      </c>
      <c r="F7790" s="2">
        <v>610148001</v>
      </c>
      <c r="G7790" s="2" t="s">
        <v>42</v>
      </c>
      <c r="L7790" s="2" t="s">
        <v>13925</v>
      </c>
      <c r="M7790" t="s">
        <v>43</v>
      </c>
      <c r="N7790" t="s">
        <v>42</v>
      </c>
      <c r="P7790" s="23">
        <v>136.88999999999999</v>
      </c>
      <c r="Q7790" s="4">
        <f t="shared" si="121"/>
        <v>-0.25093140477755865</v>
      </c>
      <c r="R7790" s="23" t="s">
        <v>1198</v>
      </c>
      <c r="T7790" s="23" t="s">
        <v>12141</v>
      </c>
    </row>
    <row r="7791" spans="1:20" x14ac:dyDescent="0.25">
      <c r="A7791" s="21">
        <v>45888</v>
      </c>
      <c r="B7791" s="1" t="s">
        <v>13926</v>
      </c>
      <c r="C7791" t="s">
        <v>13927</v>
      </c>
      <c r="D7791" s="43">
        <v>-13743.76</v>
      </c>
      <c r="E7791" t="s">
        <v>35</v>
      </c>
      <c r="F7791" s="2">
        <v>210101001</v>
      </c>
      <c r="G7791" s="2" t="s">
        <v>36</v>
      </c>
      <c r="L7791" s="2" t="s">
        <v>13928</v>
      </c>
      <c r="M7791" t="s">
        <v>303</v>
      </c>
      <c r="N7791" t="s">
        <v>304</v>
      </c>
      <c r="P7791" s="23">
        <v>136.88999999999999</v>
      </c>
      <c r="Q7791" s="4">
        <f t="shared" si="121"/>
        <v>-100.40002922054205</v>
      </c>
      <c r="R7791" s="23" t="s">
        <v>1198</v>
      </c>
    </row>
    <row r="7792" spans="1:20" x14ac:dyDescent="0.25">
      <c r="A7792" s="21">
        <v>45888</v>
      </c>
      <c r="B7792" s="1" t="s">
        <v>13929</v>
      </c>
      <c r="C7792" t="s">
        <v>1221</v>
      </c>
      <c r="D7792" s="43">
        <v>-1594.79</v>
      </c>
      <c r="E7792" t="s">
        <v>35</v>
      </c>
      <c r="F7792" s="2">
        <v>610148001</v>
      </c>
      <c r="G7792" s="2" t="s">
        <v>42</v>
      </c>
      <c r="L7792" s="2" t="s">
        <v>13930</v>
      </c>
      <c r="M7792" t="s">
        <v>43</v>
      </c>
      <c r="N7792" t="s">
        <v>42</v>
      </c>
      <c r="P7792" s="23">
        <v>136.88999999999999</v>
      </c>
      <c r="Q7792" s="4">
        <f t="shared" si="121"/>
        <v>-11.650157060413472</v>
      </c>
      <c r="R7792" s="23" t="s">
        <v>1198</v>
      </c>
      <c r="T7792" s="23" t="s">
        <v>12141</v>
      </c>
    </row>
    <row r="7793" spans="1:20" x14ac:dyDescent="0.25">
      <c r="A7793" s="21">
        <v>45888</v>
      </c>
      <c r="B7793" s="1" t="s">
        <v>13931</v>
      </c>
      <c r="C7793" t="s">
        <v>13932</v>
      </c>
      <c r="D7793" s="43">
        <v>-637919.49</v>
      </c>
      <c r="E7793" t="s">
        <v>35</v>
      </c>
      <c r="F7793" s="2">
        <v>210101001</v>
      </c>
      <c r="G7793" s="2" t="s">
        <v>36</v>
      </c>
      <c r="L7793" s="2" t="s">
        <v>13933</v>
      </c>
      <c r="M7793" t="s">
        <v>38</v>
      </c>
      <c r="N7793" t="s">
        <v>39</v>
      </c>
      <c r="P7793" s="23">
        <v>136.88999999999999</v>
      </c>
      <c r="Q7793" s="4">
        <f t="shared" si="121"/>
        <v>-4660.0883190883196</v>
      </c>
      <c r="R7793" s="23" t="s">
        <v>1198</v>
      </c>
    </row>
    <row r="7794" spans="1:20" x14ac:dyDescent="0.25">
      <c r="A7794" s="21">
        <v>45888</v>
      </c>
      <c r="B7794" s="1" t="s">
        <v>13934</v>
      </c>
      <c r="C7794" t="s">
        <v>1221</v>
      </c>
      <c r="D7794" s="1">
        <v>-119.09</v>
      </c>
      <c r="E7794" t="s">
        <v>35</v>
      </c>
      <c r="F7794" s="2">
        <v>610148001</v>
      </c>
      <c r="G7794" s="2" t="s">
        <v>42</v>
      </c>
      <c r="L7794" s="2" t="s">
        <v>13935</v>
      </c>
      <c r="M7794" t="s">
        <v>43</v>
      </c>
      <c r="N7794" t="s">
        <v>42</v>
      </c>
      <c r="P7794" s="23">
        <v>136.88999999999999</v>
      </c>
      <c r="Q7794" s="4">
        <f t="shared" si="121"/>
        <v>-0.86996858791730602</v>
      </c>
      <c r="R7794" s="23" t="s">
        <v>1198</v>
      </c>
      <c r="T7794" s="23" t="s">
        <v>12141</v>
      </c>
    </row>
    <row r="7795" spans="1:20" x14ac:dyDescent="0.25">
      <c r="A7795" s="21">
        <v>45888</v>
      </c>
      <c r="B7795" s="1" t="s">
        <v>13936</v>
      </c>
      <c r="C7795" t="s">
        <v>13937</v>
      </c>
      <c r="D7795" s="43">
        <v>-47638.76</v>
      </c>
      <c r="E7795" t="s">
        <v>35</v>
      </c>
      <c r="F7795" s="2">
        <v>210101001</v>
      </c>
      <c r="G7795" s="2" t="s">
        <v>36</v>
      </c>
      <c r="L7795" s="2" t="s">
        <v>13938</v>
      </c>
      <c r="M7795" t="s">
        <v>303</v>
      </c>
      <c r="N7795" t="s">
        <v>304</v>
      </c>
      <c r="P7795" s="23">
        <v>136.88999999999999</v>
      </c>
      <c r="Q7795" s="4">
        <f t="shared" si="121"/>
        <v>-348.00759734093072</v>
      </c>
      <c r="R7795" s="23" t="s">
        <v>1198</v>
      </c>
    </row>
    <row r="7796" spans="1:20" x14ac:dyDescent="0.25">
      <c r="A7796" s="32">
        <v>45888</v>
      </c>
      <c r="B7796" s="26" t="s">
        <v>13939</v>
      </c>
      <c r="C7796" s="27" t="s">
        <v>13940</v>
      </c>
      <c r="D7796" s="46">
        <v>-28747.57</v>
      </c>
      <c r="E7796" s="27" t="s">
        <v>35</v>
      </c>
      <c r="F7796" s="29">
        <v>610122005</v>
      </c>
      <c r="G7796" s="29" t="s">
        <v>765</v>
      </c>
      <c r="H7796" s="107"/>
      <c r="I7796" s="101"/>
      <c r="J7796" s="101"/>
      <c r="K7796" s="29"/>
      <c r="L7796" s="2" t="s">
        <v>13941</v>
      </c>
      <c r="M7796" s="27" t="s">
        <v>1202</v>
      </c>
      <c r="N7796" s="27" t="s">
        <v>1203</v>
      </c>
      <c r="O7796" s="27" t="s">
        <v>59</v>
      </c>
      <c r="P7796" s="31">
        <v>136.88999999999999</v>
      </c>
      <c r="Q7796" s="4">
        <f t="shared" si="121"/>
        <v>-210.0048944407919</v>
      </c>
      <c r="R7796" s="23" t="s">
        <v>1198</v>
      </c>
      <c r="T7796" s="23" t="s">
        <v>13942</v>
      </c>
    </row>
    <row r="7797" spans="1:20" x14ac:dyDescent="0.25">
      <c r="A7797" s="21">
        <v>45888</v>
      </c>
      <c r="B7797" s="1" t="s">
        <v>13943</v>
      </c>
      <c r="C7797" t="s">
        <v>1206</v>
      </c>
      <c r="D7797" s="1">
        <v>-28.74</v>
      </c>
      <c r="E7797" t="s">
        <v>35</v>
      </c>
      <c r="F7797" s="2">
        <v>610148001</v>
      </c>
      <c r="G7797" s="2" t="s">
        <v>42</v>
      </c>
      <c r="L7797" s="2" t="s">
        <v>13944</v>
      </c>
      <c r="M7797" t="s">
        <v>43</v>
      </c>
      <c r="N7797" t="s">
        <v>42</v>
      </c>
      <c r="P7797" s="23">
        <v>136.88999999999999</v>
      </c>
      <c r="Q7797" s="4">
        <f t="shared" si="121"/>
        <v>-0.20994959456497919</v>
      </c>
      <c r="R7797" s="23" t="s">
        <v>1198</v>
      </c>
      <c r="T7797" s="23" t="s">
        <v>12141</v>
      </c>
    </row>
    <row r="7798" spans="1:20" x14ac:dyDescent="0.25">
      <c r="A7798" s="21">
        <v>45888</v>
      </c>
      <c r="B7798" s="1" t="s">
        <v>13945</v>
      </c>
      <c r="C7798" t="s">
        <v>13904</v>
      </c>
      <c r="D7798" s="43">
        <v>200000</v>
      </c>
      <c r="E7798" t="s">
        <v>46</v>
      </c>
      <c r="F7798" s="2">
        <v>110114001</v>
      </c>
      <c r="G7798" s="2" t="s">
        <v>301</v>
      </c>
      <c r="L7798" s="2" t="s">
        <v>13946</v>
      </c>
      <c r="N7798" t="s">
        <v>13947</v>
      </c>
      <c r="P7798" s="23">
        <v>136.88999999999999</v>
      </c>
      <c r="Q7798" s="4">
        <f t="shared" si="121"/>
        <v>1461.0271020527432</v>
      </c>
      <c r="R7798" s="23" t="s">
        <v>1198</v>
      </c>
    </row>
    <row r="7799" spans="1:20" x14ac:dyDescent="0.25">
      <c r="A7799" s="21">
        <v>45888</v>
      </c>
      <c r="B7799" s="1" t="s">
        <v>13948</v>
      </c>
      <c r="C7799" t="s">
        <v>13904</v>
      </c>
      <c r="D7799" s="43">
        <v>200000</v>
      </c>
      <c r="E7799" t="s">
        <v>46</v>
      </c>
      <c r="F7799" s="2">
        <v>110114001</v>
      </c>
      <c r="G7799" s="2" t="s">
        <v>301</v>
      </c>
      <c r="L7799" s="2" t="s">
        <v>13949</v>
      </c>
      <c r="N7799" t="s">
        <v>13947</v>
      </c>
      <c r="P7799" s="23">
        <v>136.88999999999999</v>
      </c>
      <c r="Q7799" s="4">
        <f t="shared" si="121"/>
        <v>1461.0271020527432</v>
      </c>
      <c r="R7799" s="23" t="s">
        <v>1198</v>
      </c>
    </row>
    <row r="7800" spans="1:20" x14ac:dyDescent="0.25">
      <c r="A7800" s="21">
        <v>45889</v>
      </c>
      <c r="B7800" s="1" t="s">
        <v>13950</v>
      </c>
      <c r="C7800" t="s">
        <v>13951</v>
      </c>
      <c r="D7800" s="43">
        <v>9305.89</v>
      </c>
      <c r="E7800" t="s">
        <v>46</v>
      </c>
      <c r="F7800" s="2">
        <v>110114001</v>
      </c>
      <c r="G7800" s="2" t="s">
        <v>301</v>
      </c>
      <c r="L7800" s="2" t="s">
        <v>13952</v>
      </c>
      <c r="N7800" t="s">
        <v>13947</v>
      </c>
      <c r="P7800" s="23">
        <v>138.13</v>
      </c>
      <c r="Q7800" s="4">
        <f t="shared" si="121"/>
        <v>67.370520524143927</v>
      </c>
      <c r="R7800" s="23" t="s">
        <v>1198</v>
      </c>
    </row>
    <row r="7801" spans="1:20" x14ac:dyDescent="0.25">
      <c r="A7801" s="21">
        <v>45889</v>
      </c>
      <c r="B7801" s="1" t="s">
        <v>13953</v>
      </c>
      <c r="C7801" t="s">
        <v>13954</v>
      </c>
      <c r="D7801" s="43">
        <v>1000000</v>
      </c>
      <c r="E7801" t="s">
        <v>46</v>
      </c>
      <c r="F7801" s="2">
        <v>210115002</v>
      </c>
      <c r="G7801" s="2" t="s">
        <v>12156</v>
      </c>
      <c r="L7801" s="2" t="s">
        <v>13955</v>
      </c>
      <c r="N7801" t="s">
        <v>544</v>
      </c>
      <c r="P7801" s="23">
        <v>138.13</v>
      </c>
      <c r="Q7801" s="4">
        <f t="shared" si="121"/>
        <v>7239.5569391153267</v>
      </c>
      <c r="R7801" s="23" t="s">
        <v>1198</v>
      </c>
    </row>
    <row r="7802" spans="1:20" x14ac:dyDescent="0.25">
      <c r="A7802" s="21">
        <v>45889</v>
      </c>
      <c r="B7802" s="1" t="s">
        <v>13956</v>
      </c>
      <c r="C7802" t="s">
        <v>1221</v>
      </c>
      <c r="D7802" s="1">
        <v>-2.38</v>
      </c>
      <c r="E7802" t="s">
        <v>35</v>
      </c>
      <c r="F7802" s="2">
        <v>610148001</v>
      </c>
      <c r="G7802" s="2" t="s">
        <v>42</v>
      </c>
      <c r="L7802" s="2" t="s">
        <v>13957</v>
      </c>
      <c r="M7802" t="s">
        <v>43</v>
      </c>
      <c r="N7802" t="s">
        <v>42</v>
      </c>
      <c r="P7802" s="23">
        <v>138.13</v>
      </c>
      <c r="Q7802" s="4">
        <f t="shared" si="121"/>
        <v>-1.7230145515094476E-2</v>
      </c>
      <c r="R7802" s="23" t="s">
        <v>1198</v>
      </c>
      <c r="T7802" s="23" t="s">
        <v>12141</v>
      </c>
    </row>
    <row r="7803" spans="1:20" x14ac:dyDescent="0.25">
      <c r="A7803" s="21">
        <v>45889</v>
      </c>
      <c r="B7803" s="1" t="s">
        <v>13958</v>
      </c>
      <c r="C7803" t="s">
        <v>13959</v>
      </c>
      <c r="D7803" s="1">
        <v>-952.75</v>
      </c>
      <c r="E7803" t="s">
        <v>35</v>
      </c>
      <c r="F7803" s="2">
        <v>210101001</v>
      </c>
      <c r="G7803" s="2" t="s">
        <v>36</v>
      </c>
      <c r="L7803" s="2" t="s">
        <v>13960</v>
      </c>
      <c r="M7803" t="s">
        <v>729</v>
      </c>
      <c r="N7803" t="s">
        <v>730</v>
      </c>
      <c r="P7803" s="23">
        <v>138.13</v>
      </c>
      <c r="Q7803" s="4">
        <f t="shared" si="121"/>
        <v>-6.8974878737421275</v>
      </c>
      <c r="R7803" s="23" t="s">
        <v>1198</v>
      </c>
    </row>
    <row r="7804" spans="1:20" x14ac:dyDescent="0.25">
      <c r="A7804" s="21">
        <v>45889</v>
      </c>
      <c r="B7804" s="1" t="s">
        <v>13961</v>
      </c>
      <c r="C7804" t="s">
        <v>1221</v>
      </c>
      <c r="D7804" s="43">
        <v>-2500</v>
      </c>
      <c r="E7804" t="s">
        <v>35</v>
      </c>
      <c r="F7804" s="2">
        <v>610148001</v>
      </c>
      <c r="G7804" s="2" t="s">
        <v>42</v>
      </c>
      <c r="L7804" s="2" t="s">
        <v>13962</v>
      </c>
      <c r="M7804" t="s">
        <v>43</v>
      </c>
      <c r="N7804" t="s">
        <v>42</v>
      </c>
      <c r="P7804" s="23">
        <v>138.13</v>
      </c>
      <c r="Q7804" s="4">
        <f t="shared" si="121"/>
        <v>-18.098892347788315</v>
      </c>
      <c r="R7804" s="23" t="s">
        <v>1198</v>
      </c>
      <c r="T7804" s="23" t="s">
        <v>12141</v>
      </c>
    </row>
    <row r="7805" spans="1:20" x14ac:dyDescent="0.25">
      <c r="A7805" s="21">
        <v>45889</v>
      </c>
      <c r="B7805" s="1" t="s">
        <v>13963</v>
      </c>
      <c r="C7805" t="s">
        <v>13964</v>
      </c>
      <c r="D7805" s="43">
        <v>-1000000</v>
      </c>
      <c r="E7805" t="s">
        <v>35</v>
      </c>
      <c r="F7805" s="2">
        <v>210101001</v>
      </c>
      <c r="G7805" s="2" t="s">
        <v>36</v>
      </c>
      <c r="L7805" s="2" t="s">
        <v>13965</v>
      </c>
      <c r="M7805" t="s">
        <v>788</v>
      </c>
      <c r="N7805" t="s">
        <v>789</v>
      </c>
      <c r="P7805" s="23">
        <v>138.13</v>
      </c>
      <c r="Q7805" s="4">
        <f t="shared" si="121"/>
        <v>-7239.5569391153267</v>
      </c>
      <c r="R7805" s="23" t="s">
        <v>1198</v>
      </c>
    </row>
    <row r="7806" spans="1:20" x14ac:dyDescent="0.25">
      <c r="A7806" s="21">
        <v>45889</v>
      </c>
      <c r="B7806" s="1" t="s">
        <v>13966</v>
      </c>
      <c r="C7806" t="s">
        <v>1221</v>
      </c>
      <c r="D7806" s="43">
        <v>-1025.07</v>
      </c>
      <c r="E7806" t="s">
        <v>35</v>
      </c>
      <c r="F7806" s="2">
        <v>610148001</v>
      </c>
      <c r="G7806" s="2" t="s">
        <v>42</v>
      </c>
      <c r="L7806" s="2" t="s">
        <v>13967</v>
      </c>
      <c r="M7806" t="s">
        <v>43</v>
      </c>
      <c r="N7806" t="s">
        <v>42</v>
      </c>
      <c r="P7806" s="23">
        <v>138.13</v>
      </c>
      <c r="Q7806" s="4">
        <f t="shared" si="121"/>
        <v>-7.4210526315789469</v>
      </c>
      <c r="R7806" s="23" t="s">
        <v>1198</v>
      </c>
      <c r="T7806" s="23" t="s">
        <v>12141</v>
      </c>
    </row>
    <row r="7807" spans="1:20" x14ac:dyDescent="0.25">
      <c r="A7807" s="21">
        <v>45889</v>
      </c>
      <c r="B7807" s="1" t="s">
        <v>13968</v>
      </c>
      <c r="C7807" t="s">
        <v>13964</v>
      </c>
      <c r="D7807" s="43">
        <v>-410031.04</v>
      </c>
      <c r="E7807" t="s">
        <v>35</v>
      </c>
      <c r="F7807" s="2">
        <v>210101001</v>
      </c>
      <c r="G7807" s="2" t="s">
        <v>36</v>
      </c>
      <c r="L7807" s="2" t="s">
        <v>13969</v>
      </c>
      <c r="M7807" t="s">
        <v>788</v>
      </c>
      <c r="N7807" t="s">
        <v>789</v>
      </c>
      <c r="P7807" s="23">
        <v>138.13</v>
      </c>
      <c r="Q7807" s="4">
        <f t="shared" si="121"/>
        <v>-2968.4430608846737</v>
      </c>
      <c r="R7807" s="23" t="s">
        <v>1198</v>
      </c>
    </row>
    <row r="7808" spans="1:20" x14ac:dyDescent="0.25">
      <c r="A7808" s="21">
        <v>45890</v>
      </c>
      <c r="B7808" s="1" t="s">
        <v>13970</v>
      </c>
      <c r="C7808" t="s">
        <v>7493</v>
      </c>
      <c r="D7808" s="43">
        <v>1550000</v>
      </c>
      <c r="E7808" t="s">
        <v>46</v>
      </c>
      <c r="F7808" s="2">
        <v>210115002</v>
      </c>
      <c r="G7808" s="2" t="s">
        <v>12156</v>
      </c>
      <c r="L7808" s="2" t="s">
        <v>13971</v>
      </c>
      <c r="N7808" t="s">
        <v>7493</v>
      </c>
      <c r="P7808" s="23">
        <v>139.4</v>
      </c>
      <c r="Q7808" s="4">
        <f t="shared" si="121"/>
        <v>11119.081779053084</v>
      </c>
      <c r="R7808" s="23" t="s">
        <v>1198</v>
      </c>
    </row>
    <row r="7809" spans="1:20" x14ac:dyDescent="0.25">
      <c r="A7809" s="21">
        <v>45890</v>
      </c>
      <c r="B7809" s="1" t="s">
        <v>13972</v>
      </c>
      <c r="C7809" t="s">
        <v>1221</v>
      </c>
      <c r="D7809" s="43">
        <v>-1181.4100000000001</v>
      </c>
      <c r="E7809" t="s">
        <v>35</v>
      </c>
      <c r="F7809" s="2">
        <v>610148001</v>
      </c>
      <c r="G7809" s="2" t="s">
        <v>42</v>
      </c>
      <c r="L7809" s="2" t="s">
        <v>13973</v>
      </c>
      <c r="M7809" t="s">
        <v>43</v>
      </c>
      <c r="N7809" t="s">
        <v>42</v>
      </c>
      <c r="P7809" s="23">
        <v>139.4</v>
      </c>
      <c r="Q7809" s="4">
        <f t="shared" si="121"/>
        <v>-8.4749641319942608</v>
      </c>
      <c r="R7809" s="23" t="s">
        <v>1198</v>
      </c>
      <c r="T7809" s="23" t="s">
        <v>12141</v>
      </c>
    </row>
    <row r="7810" spans="1:20" x14ac:dyDescent="0.25">
      <c r="A7810" s="21">
        <v>45890</v>
      </c>
      <c r="B7810" s="1" t="s">
        <v>13974</v>
      </c>
      <c r="C7810" t="s">
        <v>13975</v>
      </c>
      <c r="D7810" s="43">
        <v>-472565.84</v>
      </c>
      <c r="E7810" t="s">
        <v>35</v>
      </c>
      <c r="F7810" s="2">
        <v>110114001</v>
      </c>
      <c r="G7810" s="2" t="s">
        <v>301</v>
      </c>
      <c r="L7810" s="2" t="s">
        <v>13976</v>
      </c>
      <c r="N7810" t="s">
        <v>2551</v>
      </c>
      <c r="P7810" s="23">
        <v>139.4</v>
      </c>
      <c r="Q7810" s="4">
        <f t="shared" si="121"/>
        <v>-3389.9988522238164</v>
      </c>
      <c r="R7810" s="23" t="s">
        <v>1198</v>
      </c>
    </row>
    <row r="7811" spans="1:20" x14ac:dyDescent="0.25">
      <c r="A7811" s="21">
        <v>45890</v>
      </c>
      <c r="B7811" s="1" t="s">
        <v>13977</v>
      </c>
      <c r="C7811" t="s">
        <v>1221</v>
      </c>
      <c r="D7811" s="43">
        <v>-12.81</v>
      </c>
      <c r="E7811" t="s">
        <v>35</v>
      </c>
      <c r="F7811" s="2">
        <v>610148001</v>
      </c>
      <c r="G7811" s="2" t="s">
        <v>42</v>
      </c>
      <c r="L7811" s="2" t="s">
        <v>13978</v>
      </c>
      <c r="M7811" t="s">
        <v>43</v>
      </c>
      <c r="N7811" t="s">
        <v>42</v>
      </c>
      <c r="P7811" s="23">
        <v>139.4</v>
      </c>
      <c r="Q7811" s="4">
        <f t="shared" si="121"/>
        <v>-9.1893830703012908E-2</v>
      </c>
      <c r="R7811" s="23" t="s">
        <v>1198</v>
      </c>
      <c r="T7811" s="23" t="s">
        <v>12141</v>
      </c>
    </row>
    <row r="7812" spans="1:20" x14ac:dyDescent="0.25">
      <c r="A7812" s="21">
        <v>45890</v>
      </c>
      <c r="B7812" s="1" t="s">
        <v>13979</v>
      </c>
      <c r="C7812" t="s">
        <v>13980</v>
      </c>
      <c r="D7812" s="43">
        <v>-5127.43</v>
      </c>
      <c r="E7812" t="s">
        <v>35</v>
      </c>
      <c r="F7812" s="2">
        <v>210101001</v>
      </c>
      <c r="G7812" s="2" t="s">
        <v>36</v>
      </c>
      <c r="L7812" s="2" t="s">
        <v>13981</v>
      </c>
      <c r="M7812" t="s">
        <v>303</v>
      </c>
      <c r="N7812" t="s">
        <v>304</v>
      </c>
      <c r="P7812" s="23">
        <v>139.4</v>
      </c>
      <c r="Q7812" s="4">
        <f t="shared" si="121"/>
        <v>-36.782137733142036</v>
      </c>
      <c r="R7812" s="23" t="s">
        <v>1198</v>
      </c>
    </row>
    <row r="7813" spans="1:20" x14ac:dyDescent="0.25">
      <c r="A7813" s="21">
        <v>45890</v>
      </c>
      <c r="B7813" s="1" t="s">
        <v>13982</v>
      </c>
      <c r="C7813" t="s">
        <v>1221</v>
      </c>
      <c r="D7813" s="43">
        <v>-98.13</v>
      </c>
      <c r="E7813" t="s">
        <v>35</v>
      </c>
      <c r="F7813" s="2">
        <v>610148001</v>
      </c>
      <c r="G7813" s="2" t="s">
        <v>42</v>
      </c>
      <c r="L7813" s="2" t="s">
        <v>13983</v>
      </c>
      <c r="M7813" t="s">
        <v>43</v>
      </c>
      <c r="N7813" t="s">
        <v>42</v>
      </c>
      <c r="P7813" s="23">
        <v>139.4</v>
      </c>
      <c r="Q7813" s="4">
        <f t="shared" si="121"/>
        <v>-0.70394548063127682</v>
      </c>
      <c r="R7813" s="23" t="s">
        <v>1198</v>
      </c>
      <c r="T7813" s="23" t="s">
        <v>12141</v>
      </c>
    </row>
    <row r="7814" spans="1:20" x14ac:dyDescent="0.25">
      <c r="A7814" s="21">
        <v>45890</v>
      </c>
      <c r="B7814" s="1" t="s">
        <v>13984</v>
      </c>
      <c r="C7814" t="s">
        <v>13985</v>
      </c>
      <c r="D7814" s="43">
        <v>-39253.699999999997</v>
      </c>
      <c r="E7814" t="s">
        <v>35</v>
      </c>
      <c r="F7814" s="2">
        <v>210101001</v>
      </c>
      <c r="G7814" s="2" t="s">
        <v>36</v>
      </c>
      <c r="L7814" s="2" t="s">
        <v>13986</v>
      </c>
      <c r="M7814" t="s">
        <v>788</v>
      </c>
      <c r="N7814" t="s">
        <v>789</v>
      </c>
      <c r="P7814" s="23">
        <v>139.4</v>
      </c>
      <c r="Q7814" s="4">
        <f t="shared" si="121"/>
        <v>-281.59038737446195</v>
      </c>
      <c r="R7814" s="23" t="s">
        <v>1198</v>
      </c>
    </row>
    <row r="7815" spans="1:20" x14ac:dyDescent="0.25">
      <c r="A7815" s="21">
        <v>45890</v>
      </c>
      <c r="B7815" s="1" t="s">
        <v>13987</v>
      </c>
      <c r="C7815" t="s">
        <v>1221</v>
      </c>
      <c r="D7815" s="43">
        <v>-2500</v>
      </c>
      <c r="E7815" t="s">
        <v>35</v>
      </c>
      <c r="F7815" s="2">
        <v>610148001</v>
      </c>
      <c r="G7815" s="2" t="s">
        <v>42</v>
      </c>
      <c r="L7815" s="2" t="s">
        <v>13988</v>
      </c>
      <c r="M7815" t="s">
        <v>43</v>
      </c>
      <c r="N7815" t="s">
        <v>42</v>
      </c>
      <c r="P7815" s="23">
        <v>139.4</v>
      </c>
      <c r="Q7815" s="4">
        <f t="shared" si="121"/>
        <v>-17.934002869440459</v>
      </c>
      <c r="R7815" s="23" t="s">
        <v>1198</v>
      </c>
      <c r="T7815" s="23" t="s">
        <v>12141</v>
      </c>
    </row>
    <row r="7816" spans="1:20" x14ac:dyDescent="0.25">
      <c r="A7816" s="21">
        <v>45890</v>
      </c>
      <c r="B7816" s="1" t="s">
        <v>13989</v>
      </c>
      <c r="C7816" t="s">
        <v>13975</v>
      </c>
      <c r="D7816" s="43">
        <v>-1000000</v>
      </c>
      <c r="E7816" t="s">
        <v>35</v>
      </c>
      <c r="F7816" s="2">
        <v>110114001</v>
      </c>
      <c r="G7816" s="2" t="s">
        <v>301</v>
      </c>
      <c r="L7816" s="2" t="s">
        <v>13990</v>
      </c>
      <c r="N7816" t="s">
        <v>2551</v>
      </c>
      <c r="P7816" s="23">
        <v>139.4</v>
      </c>
      <c r="Q7816" s="4">
        <f t="shared" si="121"/>
        <v>-7173.6011477761831</v>
      </c>
      <c r="R7816" s="23" t="s">
        <v>1198</v>
      </c>
    </row>
    <row r="7817" spans="1:20" x14ac:dyDescent="0.25">
      <c r="A7817" s="21">
        <v>45891</v>
      </c>
      <c r="B7817" s="1" t="s">
        <v>13991</v>
      </c>
      <c r="C7817" t="s">
        <v>544</v>
      </c>
      <c r="D7817" s="43">
        <v>450000</v>
      </c>
      <c r="E7817" t="s">
        <v>46</v>
      </c>
      <c r="F7817" s="2">
        <v>210115002</v>
      </c>
      <c r="G7817" s="2" t="s">
        <v>12156</v>
      </c>
      <c r="L7817" s="2" t="s">
        <v>13992</v>
      </c>
      <c r="N7817" t="s">
        <v>544</v>
      </c>
      <c r="P7817" s="23">
        <v>140.66</v>
      </c>
      <c r="Q7817" s="4">
        <f t="shared" si="121"/>
        <v>3199.2037537324045</v>
      </c>
      <c r="R7817" s="23" t="s">
        <v>1198</v>
      </c>
    </row>
    <row r="7818" spans="1:20" x14ac:dyDescent="0.25">
      <c r="A7818" s="21">
        <v>45891</v>
      </c>
      <c r="B7818" s="1" t="s">
        <v>13993</v>
      </c>
      <c r="C7818" t="s">
        <v>13994</v>
      </c>
      <c r="D7818" s="43">
        <v>-14066</v>
      </c>
      <c r="E7818" t="s">
        <v>35</v>
      </c>
      <c r="F7818" s="2">
        <v>212901001</v>
      </c>
      <c r="G7818" s="2" t="s">
        <v>121</v>
      </c>
      <c r="L7818" s="2" t="s">
        <v>13995</v>
      </c>
      <c r="M7818" t="s">
        <v>67</v>
      </c>
      <c r="N7818" t="s">
        <v>68</v>
      </c>
      <c r="P7818" s="23">
        <v>140.66</v>
      </c>
      <c r="Q7818" s="4">
        <f t="shared" si="121"/>
        <v>-100</v>
      </c>
      <c r="R7818" s="23" t="s">
        <v>1198</v>
      </c>
    </row>
    <row r="7819" spans="1:20" x14ac:dyDescent="0.25">
      <c r="A7819" s="21">
        <v>45891</v>
      </c>
      <c r="B7819" s="1" t="s">
        <v>13996</v>
      </c>
      <c r="C7819" t="s">
        <v>1221</v>
      </c>
      <c r="D7819" s="1">
        <v>-35.159999999999997</v>
      </c>
      <c r="E7819" t="s">
        <v>35</v>
      </c>
      <c r="F7819" s="2">
        <v>610148001</v>
      </c>
      <c r="G7819" s="2" t="s">
        <v>42</v>
      </c>
      <c r="L7819" s="2" t="s">
        <v>13997</v>
      </c>
      <c r="M7819" t="s">
        <v>43</v>
      </c>
      <c r="N7819" t="s">
        <v>42</v>
      </c>
      <c r="P7819" s="23">
        <v>140.66</v>
      </c>
      <c r="Q7819" s="4">
        <f t="shared" ref="Q7819:Q7882" si="122">D7819/P7819</f>
        <v>-0.24996445329162517</v>
      </c>
      <c r="R7819" s="23" t="s">
        <v>1198</v>
      </c>
      <c r="T7819" s="23" t="s">
        <v>12141</v>
      </c>
    </row>
    <row r="7820" spans="1:20" x14ac:dyDescent="0.25">
      <c r="A7820" s="21">
        <v>45891</v>
      </c>
      <c r="B7820" s="1" t="s">
        <v>13998</v>
      </c>
      <c r="C7820" t="s">
        <v>1221</v>
      </c>
      <c r="D7820" s="1">
        <v>-3.51</v>
      </c>
      <c r="E7820" t="s">
        <v>35</v>
      </c>
      <c r="F7820" s="2">
        <v>610148001</v>
      </c>
      <c r="G7820" s="2" t="s">
        <v>42</v>
      </c>
      <c r="L7820" s="2" t="s">
        <v>13999</v>
      </c>
      <c r="M7820" t="s">
        <v>43</v>
      </c>
      <c r="N7820" t="s">
        <v>42</v>
      </c>
      <c r="P7820" s="23">
        <v>140.66</v>
      </c>
      <c r="Q7820" s="4">
        <f t="shared" si="122"/>
        <v>-2.4953789279112754E-2</v>
      </c>
      <c r="R7820" s="23" t="s">
        <v>1198</v>
      </c>
      <c r="T7820" s="23" t="s">
        <v>12141</v>
      </c>
    </row>
    <row r="7821" spans="1:20" x14ac:dyDescent="0.25">
      <c r="A7821" s="21">
        <v>45891</v>
      </c>
      <c r="B7821" s="1" t="s">
        <v>14000</v>
      </c>
      <c r="C7821" t="s">
        <v>14001</v>
      </c>
      <c r="D7821" s="43">
        <v>-14066</v>
      </c>
      <c r="E7821" t="s">
        <v>35</v>
      </c>
      <c r="F7821" s="2">
        <v>212901001</v>
      </c>
      <c r="G7821" s="2" t="s">
        <v>121</v>
      </c>
      <c r="L7821" s="2" t="s">
        <v>14002</v>
      </c>
      <c r="M7821" t="s">
        <v>67</v>
      </c>
      <c r="N7821" t="s">
        <v>68</v>
      </c>
      <c r="P7821" s="23">
        <v>140.66</v>
      </c>
      <c r="Q7821" s="4">
        <f t="shared" si="122"/>
        <v>-100</v>
      </c>
      <c r="R7821" s="23" t="s">
        <v>1198</v>
      </c>
    </row>
    <row r="7822" spans="1:20" x14ac:dyDescent="0.25">
      <c r="A7822" s="21">
        <v>45891</v>
      </c>
      <c r="B7822" s="1" t="s">
        <v>14003</v>
      </c>
      <c r="C7822" t="s">
        <v>1221</v>
      </c>
      <c r="D7822" s="1">
        <v>-35.159999999999997</v>
      </c>
      <c r="E7822" t="s">
        <v>35</v>
      </c>
      <c r="F7822" s="2">
        <v>610148001</v>
      </c>
      <c r="G7822" s="2" t="s">
        <v>42</v>
      </c>
      <c r="L7822" s="2" t="s">
        <v>14004</v>
      </c>
      <c r="M7822" t="s">
        <v>43</v>
      </c>
      <c r="N7822" t="s">
        <v>42</v>
      </c>
      <c r="P7822" s="23">
        <v>140.66</v>
      </c>
      <c r="Q7822" s="4">
        <f t="shared" si="122"/>
        <v>-0.24996445329162517</v>
      </c>
      <c r="R7822" s="23" t="s">
        <v>1198</v>
      </c>
      <c r="T7822" s="23" t="s">
        <v>12141</v>
      </c>
    </row>
    <row r="7823" spans="1:20" x14ac:dyDescent="0.25">
      <c r="A7823" s="21">
        <v>45891</v>
      </c>
      <c r="B7823" s="1" t="s">
        <v>14005</v>
      </c>
      <c r="C7823" t="s">
        <v>14006</v>
      </c>
      <c r="D7823" s="43">
        <v>-2813.2</v>
      </c>
      <c r="E7823" t="s">
        <v>35</v>
      </c>
      <c r="F7823" s="2">
        <v>212901001</v>
      </c>
      <c r="G7823" s="2" t="s">
        <v>121</v>
      </c>
      <c r="L7823" s="2" t="s">
        <v>14007</v>
      </c>
      <c r="M7823" t="s">
        <v>67</v>
      </c>
      <c r="N7823" t="s">
        <v>68</v>
      </c>
      <c r="P7823" s="23">
        <v>140.66</v>
      </c>
      <c r="Q7823" s="4">
        <f t="shared" si="122"/>
        <v>-20</v>
      </c>
      <c r="R7823" s="23" t="s">
        <v>1198</v>
      </c>
    </row>
    <row r="7824" spans="1:20" x14ac:dyDescent="0.25">
      <c r="A7824" s="21">
        <v>45891</v>
      </c>
      <c r="B7824" s="1" t="s">
        <v>14008</v>
      </c>
      <c r="C7824" t="s">
        <v>1221</v>
      </c>
      <c r="D7824" s="1">
        <v>-7.03</v>
      </c>
      <c r="E7824" t="s">
        <v>35</v>
      </c>
      <c r="F7824" s="2">
        <v>610148001</v>
      </c>
      <c r="G7824" s="2" t="s">
        <v>42</v>
      </c>
      <c r="L7824" s="2" t="s">
        <v>14009</v>
      </c>
      <c r="M7824" t="s">
        <v>43</v>
      </c>
      <c r="N7824" t="s">
        <v>42</v>
      </c>
      <c r="P7824" s="23">
        <v>140.66</v>
      </c>
      <c r="Q7824" s="4">
        <f t="shared" si="122"/>
        <v>-4.9978671974975117E-2</v>
      </c>
      <c r="R7824" s="23" t="s">
        <v>1198</v>
      </c>
      <c r="T7824" s="23" t="s">
        <v>12141</v>
      </c>
    </row>
    <row r="7825" spans="1:20" x14ac:dyDescent="0.25">
      <c r="A7825" s="21">
        <v>45891</v>
      </c>
      <c r="B7825" s="1" t="s">
        <v>14010</v>
      </c>
      <c r="C7825" t="s">
        <v>14011</v>
      </c>
      <c r="D7825" s="43">
        <v>-1406.6</v>
      </c>
      <c r="E7825" t="s">
        <v>35</v>
      </c>
      <c r="F7825" s="2">
        <v>212901001</v>
      </c>
      <c r="G7825" s="2" t="s">
        <v>121</v>
      </c>
      <c r="L7825" s="2" t="s">
        <v>14012</v>
      </c>
      <c r="M7825" t="s">
        <v>67</v>
      </c>
      <c r="N7825" t="s">
        <v>68</v>
      </c>
      <c r="P7825" s="23">
        <v>140.66</v>
      </c>
      <c r="Q7825" s="4">
        <f t="shared" si="122"/>
        <v>-10</v>
      </c>
      <c r="R7825" s="23" t="s">
        <v>1198</v>
      </c>
    </row>
    <row r="7826" spans="1:20" x14ac:dyDescent="0.25">
      <c r="A7826" s="21">
        <v>45891</v>
      </c>
      <c r="B7826" s="1" t="s">
        <v>14013</v>
      </c>
      <c r="C7826" t="s">
        <v>1221</v>
      </c>
      <c r="D7826" s="1">
        <v>-51.17</v>
      </c>
      <c r="E7826" t="s">
        <v>35</v>
      </c>
      <c r="F7826" s="2">
        <v>610148001</v>
      </c>
      <c r="G7826" s="2" t="s">
        <v>42</v>
      </c>
      <c r="L7826" s="2" t="s">
        <v>14014</v>
      </c>
      <c r="M7826" t="s">
        <v>43</v>
      </c>
      <c r="N7826" t="s">
        <v>42</v>
      </c>
      <c r="P7826" s="23">
        <v>140.66</v>
      </c>
      <c r="Q7826" s="4">
        <f t="shared" si="122"/>
        <v>-0.36378501350774922</v>
      </c>
      <c r="R7826" s="23" t="s">
        <v>1198</v>
      </c>
      <c r="T7826" s="23" t="s">
        <v>12141</v>
      </c>
    </row>
    <row r="7827" spans="1:20" x14ac:dyDescent="0.25">
      <c r="A7827" s="21">
        <v>45891</v>
      </c>
      <c r="B7827" s="1" t="s">
        <v>14015</v>
      </c>
      <c r="C7827" t="s">
        <v>14016</v>
      </c>
      <c r="D7827" s="43">
        <v>-20470.87</v>
      </c>
      <c r="E7827" t="s">
        <v>35</v>
      </c>
      <c r="F7827" s="2">
        <v>210101001</v>
      </c>
      <c r="G7827" s="2" t="s">
        <v>36</v>
      </c>
      <c r="L7827" s="2" t="s">
        <v>14017</v>
      </c>
      <c r="M7827" t="s">
        <v>2635</v>
      </c>
      <c r="N7827" t="s">
        <v>2636</v>
      </c>
      <c r="P7827" s="23">
        <v>140.66</v>
      </c>
      <c r="Q7827" s="4">
        <f t="shared" si="122"/>
        <v>-145.53440921370679</v>
      </c>
      <c r="R7827" s="23" t="s">
        <v>1198</v>
      </c>
    </row>
    <row r="7828" spans="1:20" x14ac:dyDescent="0.25">
      <c r="A7828" s="21">
        <v>45891</v>
      </c>
      <c r="B7828" s="1" t="s">
        <v>14018</v>
      </c>
      <c r="C7828" t="s">
        <v>14019</v>
      </c>
      <c r="D7828" s="43">
        <v>-2813.2</v>
      </c>
      <c r="E7828" t="s">
        <v>35</v>
      </c>
      <c r="F7828" s="2">
        <v>212901001</v>
      </c>
      <c r="G7828" s="2" t="s">
        <v>121</v>
      </c>
      <c r="L7828" s="2" t="s">
        <v>14020</v>
      </c>
      <c r="M7828" t="s">
        <v>67</v>
      </c>
      <c r="N7828" t="s">
        <v>68</v>
      </c>
      <c r="P7828" s="23">
        <v>140.66</v>
      </c>
      <c r="Q7828" s="4">
        <f t="shared" si="122"/>
        <v>-20</v>
      </c>
      <c r="R7828" s="23" t="s">
        <v>1198</v>
      </c>
    </row>
    <row r="7829" spans="1:20" x14ac:dyDescent="0.25">
      <c r="A7829" s="21">
        <v>45891</v>
      </c>
      <c r="B7829" s="1" t="s">
        <v>14021</v>
      </c>
      <c r="C7829" t="s">
        <v>1221</v>
      </c>
      <c r="D7829" s="1">
        <v>-7.03</v>
      </c>
      <c r="E7829" t="s">
        <v>35</v>
      </c>
      <c r="F7829" s="2">
        <v>610148001</v>
      </c>
      <c r="G7829" s="2" t="s">
        <v>42</v>
      </c>
      <c r="L7829" s="2" t="s">
        <v>14022</v>
      </c>
      <c r="M7829" t="s">
        <v>43</v>
      </c>
      <c r="N7829" t="s">
        <v>42</v>
      </c>
      <c r="P7829" s="23">
        <v>140.66</v>
      </c>
      <c r="Q7829" s="4">
        <f t="shared" si="122"/>
        <v>-4.9978671974975117E-2</v>
      </c>
      <c r="R7829" s="23" t="s">
        <v>1198</v>
      </c>
      <c r="T7829" s="23" t="s">
        <v>12141</v>
      </c>
    </row>
    <row r="7830" spans="1:20" x14ac:dyDescent="0.25">
      <c r="A7830" s="32">
        <v>45891</v>
      </c>
      <c r="B7830" s="26" t="s">
        <v>14023</v>
      </c>
      <c r="C7830" s="27" t="s">
        <v>14024</v>
      </c>
      <c r="D7830" s="46">
        <v>-43604.6</v>
      </c>
      <c r="E7830" s="27" t="s">
        <v>35</v>
      </c>
      <c r="F7830" s="29">
        <v>610156001</v>
      </c>
      <c r="G7830" s="29" t="s">
        <v>91</v>
      </c>
      <c r="H7830" s="107"/>
      <c r="I7830" s="101"/>
      <c r="J7830" s="101"/>
      <c r="K7830" s="29"/>
      <c r="L7830" s="2" t="s">
        <v>14025</v>
      </c>
      <c r="M7830" s="27" t="s">
        <v>5015</v>
      </c>
      <c r="N7830" s="27" t="s">
        <v>1240</v>
      </c>
      <c r="O7830" s="27" t="s">
        <v>59</v>
      </c>
      <c r="P7830" s="31">
        <v>140.66</v>
      </c>
      <c r="Q7830" s="4">
        <f t="shared" si="122"/>
        <v>-310</v>
      </c>
      <c r="R7830" s="23" t="s">
        <v>1198</v>
      </c>
      <c r="T7830" s="23" t="s">
        <v>14026</v>
      </c>
    </row>
    <row r="7831" spans="1:20" x14ac:dyDescent="0.25">
      <c r="A7831" s="21">
        <v>45891</v>
      </c>
      <c r="B7831" s="1" t="s">
        <v>14027</v>
      </c>
      <c r="C7831" t="s">
        <v>1221</v>
      </c>
      <c r="D7831" s="1">
        <v>-109.01</v>
      </c>
      <c r="E7831" t="s">
        <v>35</v>
      </c>
      <c r="F7831" s="2">
        <v>610148001</v>
      </c>
      <c r="G7831" s="2" t="s">
        <v>42</v>
      </c>
      <c r="L7831" s="2" t="s">
        <v>14028</v>
      </c>
      <c r="M7831" t="s">
        <v>43</v>
      </c>
      <c r="N7831" t="s">
        <v>42</v>
      </c>
      <c r="P7831" s="23">
        <v>140.66</v>
      </c>
      <c r="Q7831" s="4">
        <f t="shared" si="122"/>
        <v>-0.77498933598748765</v>
      </c>
      <c r="R7831" s="23" t="s">
        <v>1198</v>
      </c>
      <c r="T7831" s="23" t="s">
        <v>12141</v>
      </c>
    </row>
    <row r="7832" spans="1:20" x14ac:dyDescent="0.25">
      <c r="A7832" s="21">
        <v>45891</v>
      </c>
      <c r="B7832" s="1" t="s">
        <v>14029</v>
      </c>
      <c r="C7832" t="s">
        <v>14030</v>
      </c>
      <c r="D7832" s="43">
        <v>-1406.66</v>
      </c>
      <c r="E7832" t="s">
        <v>35</v>
      </c>
      <c r="F7832" s="2">
        <v>210101001</v>
      </c>
      <c r="G7832" s="2" t="s">
        <v>36</v>
      </c>
      <c r="L7832" s="2" t="s">
        <v>14031</v>
      </c>
      <c r="M7832" t="s">
        <v>1239</v>
      </c>
      <c r="N7832" t="s">
        <v>1240</v>
      </c>
      <c r="P7832" s="23">
        <v>140.66</v>
      </c>
      <c r="Q7832" s="4">
        <f t="shared" si="122"/>
        <v>-10.000426560500498</v>
      </c>
      <c r="R7832" s="23" t="s">
        <v>1198</v>
      </c>
    </row>
    <row r="7833" spans="1:20" x14ac:dyDescent="0.25">
      <c r="A7833" s="21">
        <v>45891</v>
      </c>
      <c r="B7833" s="1" t="s">
        <v>14032</v>
      </c>
      <c r="C7833" t="s">
        <v>1221</v>
      </c>
      <c r="D7833" s="1">
        <v>-3.51</v>
      </c>
      <c r="E7833" t="s">
        <v>35</v>
      </c>
      <c r="F7833" s="2">
        <v>610148001</v>
      </c>
      <c r="G7833" s="2" t="s">
        <v>42</v>
      </c>
      <c r="L7833" s="2" t="s">
        <v>14033</v>
      </c>
      <c r="M7833" t="s">
        <v>43</v>
      </c>
      <c r="N7833" t="s">
        <v>42</v>
      </c>
      <c r="P7833" s="23">
        <v>140.66</v>
      </c>
      <c r="Q7833" s="4">
        <f t="shared" si="122"/>
        <v>-2.4953789279112754E-2</v>
      </c>
      <c r="R7833" s="23" t="s">
        <v>1198</v>
      </c>
      <c r="T7833" s="23" t="s">
        <v>12141</v>
      </c>
    </row>
    <row r="7834" spans="1:20" x14ac:dyDescent="0.25">
      <c r="A7834" s="21">
        <v>45891</v>
      </c>
      <c r="B7834" s="1" t="s">
        <v>14034</v>
      </c>
      <c r="C7834" t="s">
        <v>14035</v>
      </c>
      <c r="D7834" s="43">
        <v>-2813.2</v>
      </c>
      <c r="E7834" t="s">
        <v>35</v>
      </c>
      <c r="F7834" s="2">
        <v>212901001</v>
      </c>
      <c r="G7834" s="2" t="s">
        <v>121</v>
      </c>
      <c r="L7834" s="2" t="s">
        <v>14036</v>
      </c>
      <c r="M7834" t="s">
        <v>67</v>
      </c>
      <c r="N7834" t="s">
        <v>68</v>
      </c>
      <c r="P7834" s="23">
        <v>140.66</v>
      </c>
      <c r="Q7834" s="4">
        <f t="shared" si="122"/>
        <v>-20</v>
      </c>
      <c r="R7834" s="23" t="s">
        <v>1198</v>
      </c>
    </row>
    <row r="7835" spans="1:20" x14ac:dyDescent="0.25">
      <c r="A7835" s="21">
        <v>45891</v>
      </c>
      <c r="B7835" s="1" t="s">
        <v>14037</v>
      </c>
      <c r="C7835" t="s">
        <v>1221</v>
      </c>
      <c r="D7835" s="1">
        <v>-7.03</v>
      </c>
      <c r="E7835" t="s">
        <v>35</v>
      </c>
      <c r="F7835" s="2">
        <v>610148001</v>
      </c>
      <c r="G7835" s="2" t="s">
        <v>42</v>
      </c>
      <c r="L7835" s="2" t="s">
        <v>14038</v>
      </c>
      <c r="M7835" t="s">
        <v>43</v>
      </c>
      <c r="N7835" t="s">
        <v>42</v>
      </c>
      <c r="P7835" s="23">
        <v>140.66</v>
      </c>
      <c r="Q7835" s="4">
        <f t="shared" si="122"/>
        <v>-4.9978671974975117E-2</v>
      </c>
      <c r="R7835" s="23" t="s">
        <v>1198</v>
      </c>
      <c r="T7835" s="23" t="s">
        <v>12141</v>
      </c>
    </row>
    <row r="7836" spans="1:20" x14ac:dyDescent="0.25">
      <c r="A7836" s="21">
        <v>45891</v>
      </c>
      <c r="B7836" s="1" t="s">
        <v>14039</v>
      </c>
      <c r="C7836" t="s">
        <v>14040</v>
      </c>
      <c r="D7836" s="43">
        <v>-2813.2</v>
      </c>
      <c r="E7836" t="s">
        <v>35</v>
      </c>
      <c r="F7836" s="2">
        <v>212901001</v>
      </c>
      <c r="G7836" s="2" t="s">
        <v>121</v>
      </c>
      <c r="L7836" s="2" t="s">
        <v>14041</v>
      </c>
      <c r="M7836" t="s">
        <v>67</v>
      </c>
      <c r="N7836" t="s">
        <v>68</v>
      </c>
      <c r="P7836" s="23">
        <v>140.66</v>
      </c>
      <c r="Q7836" s="4">
        <f t="shared" si="122"/>
        <v>-20</v>
      </c>
      <c r="R7836" s="23" t="s">
        <v>1198</v>
      </c>
    </row>
    <row r="7837" spans="1:20" x14ac:dyDescent="0.25">
      <c r="A7837" s="21">
        <v>45891</v>
      </c>
      <c r="B7837" s="1" t="s">
        <v>14042</v>
      </c>
      <c r="C7837" t="s">
        <v>1221</v>
      </c>
      <c r="D7837" s="1">
        <v>-7.03</v>
      </c>
      <c r="E7837" t="s">
        <v>35</v>
      </c>
      <c r="F7837" s="2">
        <v>610148001</v>
      </c>
      <c r="G7837" s="2" t="s">
        <v>42</v>
      </c>
      <c r="L7837" s="2" t="s">
        <v>14043</v>
      </c>
      <c r="M7837" t="s">
        <v>43</v>
      </c>
      <c r="N7837" t="s">
        <v>42</v>
      </c>
      <c r="P7837" s="23">
        <v>140.66</v>
      </c>
      <c r="Q7837" s="4">
        <f t="shared" si="122"/>
        <v>-4.9978671974975117E-2</v>
      </c>
      <c r="R7837" s="23" t="s">
        <v>1198</v>
      </c>
      <c r="T7837" s="23" t="s">
        <v>12141</v>
      </c>
    </row>
    <row r="7838" spans="1:20" x14ac:dyDescent="0.25">
      <c r="A7838" s="21">
        <v>45891</v>
      </c>
      <c r="B7838" s="1" t="s">
        <v>14044</v>
      </c>
      <c r="C7838" t="s">
        <v>1221</v>
      </c>
      <c r="D7838" s="1">
        <v>-42.19</v>
      </c>
      <c r="E7838" t="s">
        <v>35</v>
      </c>
      <c r="F7838" s="2">
        <v>610148001</v>
      </c>
      <c r="G7838" s="2" t="s">
        <v>42</v>
      </c>
      <c r="L7838" s="2" t="s">
        <v>14045</v>
      </c>
      <c r="M7838" t="s">
        <v>43</v>
      </c>
      <c r="N7838" t="s">
        <v>42</v>
      </c>
      <c r="P7838" s="23">
        <v>140.66</v>
      </c>
      <c r="Q7838" s="4">
        <f t="shared" si="122"/>
        <v>-0.29994312526660033</v>
      </c>
      <c r="R7838" s="23" t="s">
        <v>1198</v>
      </c>
      <c r="T7838" s="23" t="s">
        <v>12141</v>
      </c>
    </row>
    <row r="7839" spans="1:20" x14ac:dyDescent="0.25">
      <c r="A7839" s="32">
        <v>45891</v>
      </c>
      <c r="B7839" s="26" t="s">
        <v>14046</v>
      </c>
      <c r="C7839" s="27" t="s">
        <v>14047</v>
      </c>
      <c r="D7839" s="46">
        <v>-16879.2</v>
      </c>
      <c r="E7839" s="27" t="s">
        <v>35</v>
      </c>
      <c r="F7839" s="29">
        <v>610156001</v>
      </c>
      <c r="G7839" s="29" t="s">
        <v>91</v>
      </c>
      <c r="H7839" s="107"/>
      <c r="I7839" s="101"/>
      <c r="J7839" s="101"/>
      <c r="K7839" s="29"/>
      <c r="L7839" s="2" t="s">
        <v>14048</v>
      </c>
      <c r="M7839" s="27" t="s">
        <v>93</v>
      </c>
      <c r="N7839" s="27" t="s">
        <v>94</v>
      </c>
      <c r="O7839" s="27" t="s">
        <v>59</v>
      </c>
      <c r="P7839" s="31">
        <v>140.66</v>
      </c>
      <c r="Q7839" s="4">
        <f t="shared" si="122"/>
        <v>-120.00000000000001</v>
      </c>
      <c r="R7839" s="23" t="s">
        <v>1198</v>
      </c>
      <c r="T7839" s="23" t="s">
        <v>14049</v>
      </c>
    </row>
    <row r="7840" spans="1:20" x14ac:dyDescent="0.25">
      <c r="A7840" s="21">
        <v>45891</v>
      </c>
      <c r="B7840" s="1" t="s">
        <v>14050</v>
      </c>
      <c r="C7840" t="s">
        <v>1221</v>
      </c>
      <c r="D7840" s="1">
        <v>-731.6</v>
      </c>
      <c r="E7840" t="s">
        <v>35</v>
      </c>
      <c r="F7840" s="2">
        <v>610148001</v>
      </c>
      <c r="G7840" s="2" t="s">
        <v>42</v>
      </c>
      <c r="L7840" s="2" t="s">
        <v>14051</v>
      </c>
      <c r="M7840" t="s">
        <v>43</v>
      </c>
      <c r="N7840" t="s">
        <v>42</v>
      </c>
      <c r="P7840" s="23">
        <v>140.66</v>
      </c>
      <c r="Q7840" s="4">
        <f t="shared" si="122"/>
        <v>-5.201194369401394</v>
      </c>
      <c r="R7840" s="23" t="s">
        <v>1198</v>
      </c>
      <c r="T7840" s="23" t="s">
        <v>12141</v>
      </c>
    </row>
    <row r="7841" spans="1:21" x14ac:dyDescent="0.25">
      <c r="A7841" s="21">
        <v>45891</v>
      </c>
      <c r="B7841" s="1" t="s">
        <v>14052</v>
      </c>
      <c r="C7841" t="s">
        <v>13642</v>
      </c>
      <c r="D7841" s="43">
        <v>-292641.71999999997</v>
      </c>
      <c r="E7841" t="s">
        <v>35</v>
      </c>
      <c r="F7841" s="2">
        <v>110114001</v>
      </c>
      <c r="G7841" s="2" t="s">
        <v>301</v>
      </c>
      <c r="L7841" s="2" t="s">
        <v>14053</v>
      </c>
      <c r="M7841" t="s">
        <v>38</v>
      </c>
      <c r="N7841" t="s">
        <v>39</v>
      </c>
      <c r="P7841" s="23">
        <v>140.66</v>
      </c>
      <c r="Q7841" s="4">
        <f t="shared" si="122"/>
        <v>-2080.4899758282381</v>
      </c>
      <c r="R7841" s="23" t="s">
        <v>1198</v>
      </c>
      <c r="S7841" s="33" t="s">
        <v>6924</v>
      </c>
      <c r="U7841" t="s">
        <v>28</v>
      </c>
    </row>
    <row r="7842" spans="1:21" x14ac:dyDescent="0.25">
      <c r="A7842" s="21">
        <v>45891</v>
      </c>
      <c r="B7842" s="1" t="s">
        <v>14054</v>
      </c>
      <c r="C7842" t="s">
        <v>1221</v>
      </c>
      <c r="D7842" s="1">
        <v>-36.799999999999997</v>
      </c>
      <c r="E7842" t="s">
        <v>35</v>
      </c>
      <c r="F7842" s="2">
        <v>610148001</v>
      </c>
      <c r="G7842" s="2" t="s">
        <v>42</v>
      </c>
      <c r="L7842" s="2" t="s">
        <v>14055</v>
      </c>
      <c r="M7842" t="s">
        <v>43</v>
      </c>
      <c r="N7842" t="s">
        <v>42</v>
      </c>
      <c r="P7842" s="23">
        <v>140.66</v>
      </c>
      <c r="Q7842" s="4">
        <f t="shared" si="122"/>
        <v>-0.26162377363856104</v>
      </c>
      <c r="R7842" s="23" t="s">
        <v>1198</v>
      </c>
      <c r="T7842" s="23" t="s">
        <v>12141</v>
      </c>
    </row>
    <row r="7843" spans="1:21" x14ac:dyDescent="0.25">
      <c r="A7843" s="21">
        <v>45891</v>
      </c>
      <c r="B7843" s="1" t="s">
        <v>14056</v>
      </c>
      <c r="C7843" t="s">
        <v>14057</v>
      </c>
      <c r="D7843" s="43">
        <v>-14722.72</v>
      </c>
      <c r="E7843" t="s">
        <v>35</v>
      </c>
      <c r="F7843" s="2">
        <v>210101001</v>
      </c>
      <c r="G7843" s="2" t="s">
        <v>36</v>
      </c>
      <c r="L7843" s="2" t="s">
        <v>14058</v>
      </c>
      <c r="M7843" t="s">
        <v>788</v>
      </c>
      <c r="N7843" t="s">
        <v>789</v>
      </c>
      <c r="P7843" s="23">
        <v>140.66</v>
      </c>
      <c r="Q7843" s="4">
        <f t="shared" si="122"/>
        <v>-104.66884686478032</v>
      </c>
      <c r="R7843" s="23" t="s">
        <v>1198</v>
      </c>
    </row>
    <row r="7844" spans="1:21" x14ac:dyDescent="0.25">
      <c r="A7844" s="21">
        <v>45891</v>
      </c>
      <c r="B7844" s="1" t="s">
        <v>14059</v>
      </c>
      <c r="C7844" t="s">
        <v>1221</v>
      </c>
      <c r="D7844" s="1">
        <v>-67.31</v>
      </c>
      <c r="E7844" t="s">
        <v>35</v>
      </c>
      <c r="F7844" s="2">
        <v>610148001</v>
      </c>
      <c r="G7844" s="2" t="s">
        <v>42</v>
      </c>
      <c r="L7844" s="2" t="s">
        <v>14060</v>
      </c>
      <c r="M7844" t="s">
        <v>43</v>
      </c>
      <c r="N7844" t="s">
        <v>42</v>
      </c>
      <c r="P7844" s="23">
        <v>140.66</v>
      </c>
      <c r="Q7844" s="4">
        <f t="shared" si="122"/>
        <v>-0.47852978814161812</v>
      </c>
      <c r="R7844" s="23" t="s">
        <v>1198</v>
      </c>
      <c r="T7844" s="23" t="s">
        <v>12141</v>
      </c>
    </row>
    <row r="7845" spans="1:21" x14ac:dyDescent="0.25">
      <c r="A7845" s="21">
        <v>45891</v>
      </c>
      <c r="B7845" s="1" t="s">
        <v>14061</v>
      </c>
      <c r="C7845" t="s">
        <v>14062</v>
      </c>
      <c r="D7845" s="43">
        <v>-26926.39</v>
      </c>
      <c r="E7845" t="s">
        <v>35</v>
      </c>
      <c r="F7845" s="2">
        <v>210101001</v>
      </c>
      <c r="G7845" s="2" t="s">
        <v>36</v>
      </c>
      <c r="L7845" s="2" t="s">
        <v>14063</v>
      </c>
      <c r="M7845" t="s">
        <v>534</v>
      </c>
      <c r="N7845" t="s">
        <v>535</v>
      </c>
      <c r="P7845" s="23">
        <v>140.66</v>
      </c>
      <c r="Q7845" s="4">
        <f t="shared" si="122"/>
        <v>-191.42890658325038</v>
      </c>
      <c r="R7845" s="23" t="s">
        <v>1198</v>
      </c>
    </row>
    <row r="7846" spans="1:21" x14ac:dyDescent="0.25">
      <c r="A7846" s="21">
        <v>45891</v>
      </c>
      <c r="B7846" s="1" t="s">
        <v>14064</v>
      </c>
      <c r="C7846" t="s">
        <v>1221</v>
      </c>
      <c r="D7846" s="1">
        <v>-35.18</v>
      </c>
      <c r="E7846" t="s">
        <v>35</v>
      </c>
      <c r="F7846" s="2">
        <v>610148001</v>
      </c>
      <c r="G7846" s="2" t="s">
        <v>42</v>
      </c>
      <c r="L7846" s="2" t="s">
        <v>14065</v>
      </c>
      <c r="M7846" t="s">
        <v>43</v>
      </c>
      <c r="N7846" t="s">
        <v>42</v>
      </c>
      <c r="P7846" s="23">
        <v>140.66</v>
      </c>
      <c r="Q7846" s="4">
        <f t="shared" si="122"/>
        <v>-0.2501066401251244</v>
      </c>
      <c r="R7846" s="23" t="s">
        <v>1198</v>
      </c>
      <c r="T7846" s="23" t="s">
        <v>12141</v>
      </c>
    </row>
    <row r="7847" spans="1:21" x14ac:dyDescent="0.25">
      <c r="A7847" s="21">
        <v>45891</v>
      </c>
      <c r="B7847" s="1" t="s">
        <v>14066</v>
      </c>
      <c r="C7847" t="s">
        <v>10983</v>
      </c>
      <c r="D7847" s="43">
        <v>-14072.32</v>
      </c>
      <c r="E7847" t="s">
        <v>35</v>
      </c>
      <c r="F7847" s="2">
        <v>110101002</v>
      </c>
      <c r="G7847" s="2" t="s">
        <v>6359</v>
      </c>
      <c r="L7847" s="2" t="s">
        <v>14067</v>
      </c>
      <c r="N7847" t="s">
        <v>10983</v>
      </c>
      <c r="P7847" s="23">
        <v>140.66</v>
      </c>
      <c r="Q7847" s="4">
        <f t="shared" si="122"/>
        <v>-100.04493103938576</v>
      </c>
      <c r="R7847" s="23" t="s">
        <v>1198</v>
      </c>
    </row>
    <row r="7848" spans="1:21" x14ac:dyDescent="0.25">
      <c r="A7848" s="21">
        <v>45891</v>
      </c>
      <c r="B7848" s="1" t="s">
        <v>14068</v>
      </c>
      <c r="C7848" t="s">
        <v>1221</v>
      </c>
      <c r="D7848" s="1">
        <v>-42.19</v>
      </c>
      <c r="E7848" t="s">
        <v>35</v>
      </c>
      <c r="F7848" s="2">
        <v>610148001</v>
      </c>
      <c r="G7848" s="2" t="s">
        <v>42</v>
      </c>
      <c r="L7848" s="2" t="s">
        <v>14069</v>
      </c>
      <c r="M7848" t="s">
        <v>43</v>
      </c>
      <c r="N7848" t="s">
        <v>42</v>
      </c>
      <c r="P7848" s="23">
        <v>140.66</v>
      </c>
      <c r="Q7848" s="4">
        <f t="shared" si="122"/>
        <v>-0.29994312526660033</v>
      </c>
      <c r="R7848" s="23" t="s">
        <v>1198</v>
      </c>
      <c r="T7848" s="23" t="s">
        <v>12141</v>
      </c>
    </row>
    <row r="7849" spans="1:21" x14ac:dyDescent="0.25">
      <c r="A7849" s="32">
        <v>45891</v>
      </c>
      <c r="B7849" s="26" t="s">
        <v>14070</v>
      </c>
      <c r="C7849" s="27" t="s">
        <v>54</v>
      </c>
      <c r="D7849" s="46">
        <v>-16879.2</v>
      </c>
      <c r="E7849" s="27" t="s">
        <v>35</v>
      </c>
      <c r="F7849" s="29">
        <v>610129001</v>
      </c>
      <c r="G7849" s="29" t="s">
        <v>55</v>
      </c>
      <c r="H7849" s="107"/>
      <c r="I7849" s="101"/>
      <c r="J7849" s="101"/>
      <c r="K7849" s="29"/>
      <c r="L7849" s="2" t="s">
        <v>14071</v>
      </c>
      <c r="M7849" s="27" t="s">
        <v>57</v>
      </c>
      <c r="N7849" s="27" t="s">
        <v>58</v>
      </c>
      <c r="O7849" s="27" t="s">
        <v>59</v>
      </c>
      <c r="P7849" s="31">
        <v>140.66</v>
      </c>
      <c r="Q7849" s="4">
        <f t="shared" si="122"/>
        <v>-120.00000000000001</v>
      </c>
      <c r="R7849" s="23" t="s">
        <v>1198</v>
      </c>
      <c r="T7849" s="23" t="s">
        <v>14072</v>
      </c>
    </row>
    <row r="7850" spans="1:21" x14ac:dyDescent="0.25">
      <c r="A7850" s="21">
        <v>45895</v>
      </c>
      <c r="B7850" s="1" t="s">
        <v>14073</v>
      </c>
      <c r="C7850" t="s">
        <v>544</v>
      </c>
      <c r="D7850" s="43">
        <v>1000000</v>
      </c>
      <c r="E7850" t="s">
        <v>46</v>
      </c>
      <c r="F7850" s="2">
        <v>210115002</v>
      </c>
      <c r="G7850" s="2" t="s">
        <v>12156</v>
      </c>
      <c r="L7850" s="2" t="s">
        <v>14074</v>
      </c>
      <c r="N7850" t="s">
        <v>544</v>
      </c>
      <c r="P7850" s="23">
        <v>143.04</v>
      </c>
      <c r="Q7850" s="4">
        <f t="shared" si="122"/>
        <v>6991.0514541387029</v>
      </c>
      <c r="R7850" s="23" t="s">
        <v>1198</v>
      </c>
    </row>
    <row r="7851" spans="1:21" x14ac:dyDescent="0.25">
      <c r="A7851" s="21">
        <v>45895</v>
      </c>
      <c r="B7851" s="1" t="s">
        <v>14075</v>
      </c>
      <c r="C7851" t="s">
        <v>14076</v>
      </c>
      <c r="D7851" s="43">
        <v>-626407.92000000004</v>
      </c>
      <c r="E7851" t="s">
        <v>35</v>
      </c>
      <c r="F7851" s="2">
        <v>110114001</v>
      </c>
      <c r="G7851" s="2" t="s">
        <v>301</v>
      </c>
      <c r="L7851" s="2" t="s">
        <v>14077</v>
      </c>
      <c r="M7851" t="s">
        <v>38</v>
      </c>
      <c r="N7851" t="s">
        <v>39</v>
      </c>
      <c r="P7851" s="23">
        <v>143.04</v>
      </c>
      <c r="Q7851" s="4">
        <f t="shared" si="122"/>
        <v>-4379.2500000000009</v>
      </c>
      <c r="R7851" s="23" t="s">
        <v>1198</v>
      </c>
      <c r="S7851" s="33" t="s">
        <v>6924</v>
      </c>
      <c r="U7851" t="s">
        <v>28</v>
      </c>
    </row>
    <row r="7852" spans="1:21" x14ac:dyDescent="0.25">
      <c r="A7852" s="21">
        <v>45895</v>
      </c>
      <c r="B7852" s="1" t="s">
        <v>14078</v>
      </c>
      <c r="C7852" t="s">
        <v>1221</v>
      </c>
      <c r="D7852" s="43">
        <v>-1566.01</v>
      </c>
      <c r="E7852" t="s">
        <v>35</v>
      </c>
      <c r="F7852" s="2">
        <v>610148001</v>
      </c>
      <c r="G7852" s="2" t="s">
        <v>42</v>
      </c>
      <c r="L7852" s="2" t="s">
        <v>14079</v>
      </c>
      <c r="M7852" t="s">
        <v>43</v>
      </c>
      <c r="N7852" t="s">
        <v>42</v>
      </c>
      <c r="P7852" s="23">
        <v>143.04</v>
      </c>
      <c r="Q7852" s="4">
        <f t="shared" si="122"/>
        <v>-10.94805648769575</v>
      </c>
      <c r="R7852" s="23" t="s">
        <v>1198</v>
      </c>
      <c r="T7852" s="23" t="s">
        <v>12141</v>
      </c>
    </row>
    <row r="7853" spans="1:21" x14ac:dyDescent="0.25">
      <c r="A7853" s="21">
        <v>45895</v>
      </c>
      <c r="B7853" s="1" t="s">
        <v>14080</v>
      </c>
      <c r="C7853" t="s">
        <v>1221</v>
      </c>
      <c r="D7853" s="1">
        <v>-539.26</v>
      </c>
      <c r="E7853" t="s">
        <v>35</v>
      </c>
      <c r="F7853" s="2">
        <v>610148001</v>
      </c>
      <c r="G7853" s="2" t="s">
        <v>42</v>
      </c>
      <c r="L7853" s="2" t="s">
        <v>14081</v>
      </c>
      <c r="M7853" t="s">
        <v>43</v>
      </c>
      <c r="N7853" t="s">
        <v>42</v>
      </c>
      <c r="P7853" s="23">
        <v>143.04</v>
      </c>
      <c r="Q7853" s="4">
        <f t="shared" si="122"/>
        <v>-3.7699944071588369</v>
      </c>
      <c r="R7853" s="23" t="s">
        <v>1198</v>
      </c>
      <c r="T7853" s="23" t="s">
        <v>12141</v>
      </c>
    </row>
    <row r="7854" spans="1:21" ht="15.75" x14ac:dyDescent="0.25">
      <c r="A7854" s="21">
        <v>45895</v>
      </c>
      <c r="B7854" s="1" t="s">
        <v>14082</v>
      </c>
      <c r="C7854" t="s">
        <v>14083</v>
      </c>
      <c r="D7854" s="43">
        <v>-215704.32000000001</v>
      </c>
      <c r="E7854" t="s">
        <v>35</v>
      </c>
      <c r="F7854" s="2">
        <v>110114001</v>
      </c>
      <c r="G7854" s="2" t="s">
        <v>301</v>
      </c>
      <c r="L7854" s="2" t="s">
        <v>14084</v>
      </c>
      <c r="M7854" t="s">
        <v>38</v>
      </c>
      <c r="N7854" t="s">
        <v>39</v>
      </c>
      <c r="P7854" s="23">
        <v>143.04</v>
      </c>
      <c r="Q7854" s="4">
        <f t="shared" si="122"/>
        <v>-1508.0000000000002</v>
      </c>
      <c r="R7854" s="23" t="s">
        <v>1198</v>
      </c>
      <c r="S7854" s="36" t="s">
        <v>6924</v>
      </c>
    </row>
    <row r="7855" spans="1:21" x14ac:dyDescent="0.25">
      <c r="A7855" s="21">
        <v>45895</v>
      </c>
      <c r="B7855" s="1" t="s">
        <v>14085</v>
      </c>
      <c r="C7855" t="s">
        <v>1221</v>
      </c>
      <c r="D7855" s="1">
        <v>-427.76</v>
      </c>
      <c r="E7855" t="s">
        <v>35</v>
      </c>
      <c r="F7855" s="2">
        <v>610148001</v>
      </c>
      <c r="G7855" s="2" t="s">
        <v>42</v>
      </c>
      <c r="L7855" s="2" t="s">
        <v>14086</v>
      </c>
      <c r="M7855" t="s">
        <v>43</v>
      </c>
      <c r="N7855" t="s">
        <v>42</v>
      </c>
      <c r="P7855" s="23">
        <v>143.04</v>
      </c>
      <c r="Q7855" s="4">
        <f t="shared" si="122"/>
        <v>-2.9904921700223714</v>
      </c>
      <c r="R7855" s="23" t="s">
        <v>1198</v>
      </c>
      <c r="T7855" s="23" t="s">
        <v>12141</v>
      </c>
    </row>
    <row r="7856" spans="1:21" x14ac:dyDescent="0.25">
      <c r="A7856" s="21">
        <v>45895</v>
      </c>
      <c r="B7856" s="1" t="s">
        <v>14087</v>
      </c>
      <c r="C7856" t="s">
        <v>14088</v>
      </c>
      <c r="D7856" s="43">
        <v>-171107.28</v>
      </c>
      <c r="E7856" t="s">
        <v>35</v>
      </c>
      <c r="F7856" s="2">
        <v>210101001</v>
      </c>
      <c r="G7856" s="2" t="s">
        <v>36</v>
      </c>
      <c r="L7856" s="2" t="s">
        <v>14089</v>
      </c>
      <c r="M7856" t="s">
        <v>1186</v>
      </c>
      <c r="N7856" t="s">
        <v>1187</v>
      </c>
      <c r="P7856" s="23">
        <v>143.04</v>
      </c>
      <c r="Q7856" s="4">
        <f t="shared" si="122"/>
        <v>-1196.2197986577182</v>
      </c>
      <c r="R7856" s="23" t="s">
        <v>1198</v>
      </c>
    </row>
    <row r="7857" spans="1:20" x14ac:dyDescent="0.25">
      <c r="A7857" s="21">
        <v>45896</v>
      </c>
      <c r="B7857" s="1" t="s">
        <v>14090</v>
      </c>
      <c r="C7857" t="s">
        <v>544</v>
      </c>
      <c r="D7857" s="43">
        <v>780000</v>
      </c>
      <c r="E7857" t="s">
        <v>46</v>
      </c>
      <c r="F7857" s="2">
        <v>210115002</v>
      </c>
      <c r="G7857" s="2" t="s">
        <v>12156</v>
      </c>
      <c r="L7857" s="2" t="s">
        <v>14091</v>
      </c>
      <c r="N7857" t="s">
        <v>544</v>
      </c>
      <c r="P7857" s="23">
        <v>144.37</v>
      </c>
      <c r="Q7857" s="4">
        <f t="shared" si="122"/>
        <v>5402.7845120177317</v>
      </c>
      <c r="R7857" s="23" t="s">
        <v>1198</v>
      </c>
    </row>
    <row r="7858" spans="1:20" x14ac:dyDescent="0.25">
      <c r="A7858" s="21">
        <v>45896</v>
      </c>
      <c r="B7858" s="1" t="s">
        <v>14092</v>
      </c>
      <c r="C7858" t="s">
        <v>544</v>
      </c>
      <c r="D7858" s="43">
        <v>200000</v>
      </c>
      <c r="E7858" t="s">
        <v>46</v>
      </c>
      <c r="F7858" s="2">
        <v>210115002</v>
      </c>
      <c r="G7858" s="2" t="s">
        <v>12156</v>
      </c>
      <c r="L7858" s="2" t="s">
        <v>14093</v>
      </c>
      <c r="N7858" t="s">
        <v>544</v>
      </c>
      <c r="P7858" s="23">
        <v>144.37</v>
      </c>
      <c r="Q7858" s="4">
        <f t="shared" si="122"/>
        <v>1385.3293620558288</v>
      </c>
      <c r="R7858" s="23" t="s">
        <v>1198</v>
      </c>
    </row>
    <row r="7859" spans="1:20" x14ac:dyDescent="0.25">
      <c r="A7859" s="21">
        <v>45896</v>
      </c>
      <c r="B7859" s="1" t="s">
        <v>14094</v>
      </c>
      <c r="C7859" t="s">
        <v>1221</v>
      </c>
      <c r="D7859" s="1">
        <v>-23.78</v>
      </c>
      <c r="E7859" t="s">
        <v>35</v>
      </c>
      <c r="F7859" s="2">
        <v>610148001</v>
      </c>
      <c r="G7859" s="2" t="s">
        <v>42</v>
      </c>
      <c r="L7859" s="2" t="s">
        <v>14095</v>
      </c>
      <c r="M7859" t="s">
        <v>43</v>
      </c>
      <c r="N7859" t="s">
        <v>42</v>
      </c>
      <c r="P7859" s="23">
        <v>144.37</v>
      </c>
      <c r="Q7859" s="4">
        <f t="shared" si="122"/>
        <v>-0.16471566114843805</v>
      </c>
      <c r="R7859" s="23" t="s">
        <v>1198</v>
      </c>
      <c r="T7859" s="23" t="s">
        <v>12141</v>
      </c>
    </row>
    <row r="7860" spans="1:20" x14ac:dyDescent="0.25">
      <c r="A7860" s="21">
        <v>45896</v>
      </c>
      <c r="B7860" s="1" t="s">
        <v>14096</v>
      </c>
      <c r="C7860" t="s">
        <v>14097</v>
      </c>
      <c r="D7860" s="43">
        <v>-9512.2900000000009</v>
      </c>
      <c r="E7860" t="s">
        <v>35</v>
      </c>
      <c r="F7860" s="2">
        <v>210101001</v>
      </c>
      <c r="G7860" s="2" t="s">
        <v>36</v>
      </c>
      <c r="L7860" s="2" t="s">
        <v>14098</v>
      </c>
      <c r="M7860" t="s">
        <v>1600</v>
      </c>
      <c r="N7860" t="s">
        <v>1601</v>
      </c>
      <c r="P7860" s="23">
        <v>144.37</v>
      </c>
      <c r="Q7860" s="4">
        <f t="shared" si="122"/>
        <v>-65.888273186950201</v>
      </c>
      <c r="R7860" s="23" t="s">
        <v>1198</v>
      </c>
    </row>
    <row r="7861" spans="1:20" x14ac:dyDescent="0.25">
      <c r="A7861" s="21">
        <v>45896</v>
      </c>
      <c r="B7861" s="1" t="s">
        <v>14099</v>
      </c>
      <c r="C7861" t="s">
        <v>1221</v>
      </c>
      <c r="D7861" s="43">
        <v>-1107.01</v>
      </c>
      <c r="E7861" t="s">
        <v>35</v>
      </c>
      <c r="F7861" s="2">
        <v>610148001</v>
      </c>
      <c r="G7861" s="2" t="s">
        <v>42</v>
      </c>
      <c r="L7861" s="2" t="s">
        <v>14100</v>
      </c>
      <c r="M7861" t="s">
        <v>43</v>
      </c>
      <c r="N7861" t="s">
        <v>42</v>
      </c>
      <c r="P7861" s="23">
        <v>144.37</v>
      </c>
      <c r="Q7861" s="4">
        <f t="shared" si="122"/>
        <v>-7.667867285447115</v>
      </c>
      <c r="R7861" s="23" t="s">
        <v>1198</v>
      </c>
      <c r="T7861" s="23" t="s">
        <v>12141</v>
      </c>
    </row>
    <row r="7862" spans="1:20" x14ac:dyDescent="0.25">
      <c r="A7862" s="21">
        <v>45896</v>
      </c>
      <c r="B7862" s="1" t="s">
        <v>14101</v>
      </c>
      <c r="C7862" t="s">
        <v>14102</v>
      </c>
      <c r="D7862" s="43">
        <v>-442807.33</v>
      </c>
      <c r="E7862" t="s">
        <v>35</v>
      </c>
      <c r="F7862" s="2">
        <v>210101001</v>
      </c>
      <c r="G7862" s="2" t="s">
        <v>36</v>
      </c>
      <c r="L7862" s="2" t="s">
        <v>14103</v>
      </c>
      <c r="M7862" t="s">
        <v>38</v>
      </c>
      <c r="N7862" t="s">
        <v>39</v>
      </c>
      <c r="P7862" s="23">
        <v>144.37</v>
      </c>
      <c r="Q7862" s="4">
        <f t="shared" si="122"/>
        <v>-3067.1699799127241</v>
      </c>
      <c r="R7862" s="23" t="s">
        <v>1198</v>
      </c>
    </row>
    <row r="7863" spans="1:20" x14ac:dyDescent="0.25">
      <c r="A7863" s="21">
        <v>45896</v>
      </c>
      <c r="B7863" s="1" t="s">
        <v>14104</v>
      </c>
      <c r="C7863" t="s">
        <v>1221</v>
      </c>
      <c r="D7863" s="1">
        <v>-544.27</v>
      </c>
      <c r="E7863" t="s">
        <v>35</v>
      </c>
      <c r="F7863" s="2">
        <v>610148001</v>
      </c>
      <c r="G7863" s="2" t="s">
        <v>42</v>
      </c>
      <c r="L7863" s="2" t="s">
        <v>14105</v>
      </c>
      <c r="M7863" t="s">
        <v>43</v>
      </c>
      <c r="N7863" t="s">
        <v>42</v>
      </c>
      <c r="P7863" s="23">
        <v>144.37</v>
      </c>
      <c r="Q7863" s="4">
        <f t="shared" si="122"/>
        <v>-3.7699660594306295</v>
      </c>
      <c r="R7863" s="23" t="s">
        <v>1198</v>
      </c>
      <c r="T7863" s="23" t="s">
        <v>12141</v>
      </c>
    </row>
    <row r="7864" spans="1:20" ht="15.75" x14ac:dyDescent="0.25">
      <c r="A7864" s="21">
        <v>45896</v>
      </c>
      <c r="B7864" s="1" t="s">
        <v>14106</v>
      </c>
      <c r="C7864" t="s">
        <v>14107</v>
      </c>
      <c r="D7864" s="43">
        <v>-217709.96</v>
      </c>
      <c r="E7864" t="s">
        <v>35</v>
      </c>
      <c r="F7864" s="2">
        <v>110114001</v>
      </c>
      <c r="G7864" s="2" t="s">
        <v>301</v>
      </c>
      <c r="L7864" s="2" t="s">
        <v>14108</v>
      </c>
      <c r="M7864" t="s">
        <v>38</v>
      </c>
      <c r="N7864" t="s">
        <v>39</v>
      </c>
      <c r="P7864" s="23">
        <v>144.37</v>
      </c>
      <c r="Q7864" s="4">
        <f t="shared" si="122"/>
        <v>-1508</v>
      </c>
      <c r="R7864" s="23" t="s">
        <v>1198</v>
      </c>
      <c r="S7864" s="36" t="s">
        <v>6924</v>
      </c>
    </row>
    <row r="7865" spans="1:20" x14ac:dyDescent="0.25">
      <c r="A7865" s="21">
        <v>45896</v>
      </c>
      <c r="B7865" s="1" t="s">
        <v>14109</v>
      </c>
      <c r="C7865" t="s">
        <v>1221</v>
      </c>
      <c r="D7865" s="1">
        <v>-251.2</v>
      </c>
      <c r="E7865" t="s">
        <v>35</v>
      </c>
      <c r="F7865" s="2">
        <v>610148001</v>
      </c>
      <c r="G7865" s="2" t="s">
        <v>42</v>
      </c>
      <c r="L7865" s="2" t="s">
        <v>14110</v>
      </c>
      <c r="M7865" t="s">
        <v>43</v>
      </c>
      <c r="N7865" t="s">
        <v>42</v>
      </c>
      <c r="P7865" s="23">
        <v>144.37</v>
      </c>
      <c r="Q7865" s="4">
        <f t="shared" si="122"/>
        <v>-1.7399736787421207</v>
      </c>
      <c r="R7865" s="23" t="s">
        <v>1198</v>
      </c>
      <c r="T7865" s="23" t="s">
        <v>12141</v>
      </c>
    </row>
    <row r="7866" spans="1:20" ht="15.75" x14ac:dyDescent="0.25">
      <c r="A7866" s="21">
        <v>45896</v>
      </c>
      <c r="B7866" s="1" t="s">
        <v>14111</v>
      </c>
      <c r="C7866" t="s">
        <v>14112</v>
      </c>
      <c r="D7866" s="43">
        <v>-100481.52</v>
      </c>
      <c r="E7866" t="s">
        <v>35</v>
      </c>
      <c r="F7866" s="2">
        <v>110114001</v>
      </c>
      <c r="G7866" s="2" t="s">
        <v>301</v>
      </c>
      <c r="L7866" s="2" t="s">
        <v>14113</v>
      </c>
      <c r="M7866" t="s">
        <v>38</v>
      </c>
      <c r="N7866" t="s">
        <v>39</v>
      </c>
      <c r="P7866" s="23">
        <v>144.37</v>
      </c>
      <c r="Q7866" s="4">
        <f t="shared" si="122"/>
        <v>-696</v>
      </c>
      <c r="R7866" s="23" t="s">
        <v>1198</v>
      </c>
      <c r="S7866" s="36" t="s">
        <v>6924</v>
      </c>
    </row>
    <row r="7867" spans="1:20" x14ac:dyDescent="0.25">
      <c r="A7867" s="21">
        <v>45896</v>
      </c>
      <c r="B7867" s="1" t="s">
        <v>14114</v>
      </c>
      <c r="C7867" t="s">
        <v>1221</v>
      </c>
      <c r="D7867" s="1">
        <v>-448.73</v>
      </c>
      <c r="E7867" t="s">
        <v>35</v>
      </c>
      <c r="F7867" s="2">
        <v>610148001</v>
      </c>
      <c r="G7867" s="2" t="s">
        <v>42</v>
      </c>
      <c r="L7867" s="2" t="s">
        <v>14115</v>
      </c>
      <c r="M7867" t="s">
        <v>43</v>
      </c>
      <c r="N7867" t="s">
        <v>42</v>
      </c>
      <c r="P7867" s="23">
        <v>144.37</v>
      </c>
      <c r="Q7867" s="4">
        <f t="shared" si="122"/>
        <v>-3.1081942231765605</v>
      </c>
      <c r="R7867" s="23" t="s">
        <v>1198</v>
      </c>
      <c r="T7867" s="23" t="s">
        <v>12141</v>
      </c>
    </row>
    <row r="7868" spans="1:20" x14ac:dyDescent="0.25">
      <c r="A7868" s="21">
        <v>45896</v>
      </c>
      <c r="B7868" s="1" t="s">
        <v>14116</v>
      </c>
      <c r="C7868" t="s">
        <v>14117</v>
      </c>
      <c r="D7868" s="43">
        <v>-179492.1</v>
      </c>
      <c r="E7868" t="s">
        <v>35</v>
      </c>
      <c r="F7868" s="2">
        <v>210101001</v>
      </c>
      <c r="G7868" s="2" t="s">
        <v>36</v>
      </c>
      <c r="L7868" s="2" t="s">
        <v>14118</v>
      </c>
      <c r="M7868" t="s">
        <v>976</v>
      </c>
      <c r="N7868" t="s">
        <v>977</v>
      </c>
      <c r="P7868" s="23">
        <v>144.37</v>
      </c>
      <c r="Q7868" s="4">
        <f t="shared" si="122"/>
        <v>-1243.2783819353051</v>
      </c>
      <c r="R7868" s="23" t="s">
        <v>1198</v>
      </c>
    </row>
    <row r="7869" spans="1:20" x14ac:dyDescent="0.25">
      <c r="A7869" s="32">
        <v>45896</v>
      </c>
      <c r="B7869" s="26" t="s">
        <v>14119</v>
      </c>
      <c r="C7869" s="27" t="s">
        <v>14120</v>
      </c>
      <c r="D7869" s="46">
        <v>-2887.4</v>
      </c>
      <c r="E7869" s="27" t="s">
        <v>35</v>
      </c>
      <c r="F7869" s="29">
        <v>610125001</v>
      </c>
      <c r="G7869" s="29" t="s">
        <v>5746</v>
      </c>
      <c r="H7869" s="107"/>
      <c r="I7869" s="101"/>
      <c r="J7869" s="101"/>
      <c r="K7869" s="29"/>
      <c r="L7869" s="2" t="s">
        <v>14121</v>
      </c>
      <c r="M7869" s="27" t="s">
        <v>13874</v>
      </c>
      <c r="N7869" s="27" t="s">
        <v>773</v>
      </c>
      <c r="O7869" s="27" t="s">
        <v>59</v>
      </c>
      <c r="P7869" s="31">
        <v>144.37</v>
      </c>
      <c r="Q7869" s="4">
        <f t="shared" si="122"/>
        <v>-20</v>
      </c>
      <c r="R7869" s="23" t="s">
        <v>1198</v>
      </c>
      <c r="T7869" s="23" t="s">
        <v>14122</v>
      </c>
    </row>
    <row r="7870" spans="1:20" x14ac:dyDescent="0.25">
      <c r="A7870" s="21">
        <v>45896</v>
      </c>
      <c r="B7870" s="1" t="s">
        <v>14123</v>
      </c>
      <c r="C7870" t="s">
        <v>1221</v>
      </c>
      <c r="D7870" s="43" t="s">
        <v>14124</v>
      </c>
      <c r="E7870" t="s">
        <v>35</v>
      </c>
      <c r="F7870" s="2">
        <v>610148001</v>
      </c>
      <c r="G7870" s="2" t="s">
        <v>42</v>
      </c>
      <c r="L7870" s="2" t="s">
        <v>14125</v>
      </c>
      <c r="M7870" t="s">
        <v>43</v>
      </c>
      <c r="N7870" t="s">
        <v>42</v>
      </c>
      <c r="P7870" s="23">
        <v>144.37</v>
      </c>
      <c r="Q7870" s="4">
        <f t="shared" si="122"/>
        <v>-4.9941123502112626E-2</v>
      </c>
      <c r="R7870" s="23" t="s">
        <v>1198</v>
      </c>
      <c r="T7870" s="23" t="s">
        <v>12141</v>
      </c>
    </row>
    <row r="7871" spans="1:20" x14ac:dyDescent="0.25">
      <c r="A7871" s="21">
        <v>45897</v>
      </c>
      <c r="B7871" s="1" t="s">
        <v>14126</v>
      </c>
      <c r="C7871" t="s">
        <v>7493</v>
      </c>
      <c r="D7871" s="43" t="s">
        <v>14127</v>
      </c>
      <c r="E7871" t="s">
        <v>46</v>
      </c>
      <c r="F7871" s="2">
        <v>210115002</v>
      </c>
      <c r="G7871" s="2" t="s">
        <v>12156</v>
      </c>
      <c r="L7871" s="2" t="s">
        <v>14128</v>
      </c>
      <c r="N7871" t="s">
        <v>7493</v>
      </c>
      <c r="P7871" s="23">
        <v>145.75</v>
      </c>
      <c r="Q7871" s="4">
        <f t="shared" si="122"/>
        <v>1715.2658662092624</v>
      </c>
      <c r="R7871" s="23" t="s">
        <v>1198</v>
      </c>
    </row>
    <row r="7872" spans="1:20" x14ac:dyDescent="0.25">
      <c r="A7872" s="21">
        <v>45897</v>
      </c>
      <c r="B7872" s="1" t="s">
        <v>14129</v>
      </c>
      <c r="C7872" t="s">
        <v>1221</v>
      </c>
      <c r="D7872" s="43" t="s">
        <v>14130</v>
      </c>
      <c r="E7872" t="s">
        <v>35</v>
      </c>
      <c r="F7872" s="2">
        <v>610148001</v>
      </c>
      <c r="G7872" s="2" t="s">
        <v>42</v>
      </c>
      <c r="L7872" s="2" t="s">
        <v>14131</v>
      </c>
      <c r="M7872" t="s">
        <v>43</v>
      </c>
      <c r="N7872" t="s">
        <v>42</v>
      </c>
      <c r="P7872" s="23">
        <v>145.75</v>
      </c>
      <c r="Q7872" s="4">
        <f t="shared" si="122"/>
        <v>-1.8849399656946828</v>
      </c>
      <c r="R7872" s="23" t="s">
        <v>1198</v>
      </c>
      <c r="T7872" s="23" t="s">
        <v>12141</v>
      </c>
    </row>
    <row r="7873" spans="1:20" ht="15.75" x14ac:dyDescent="0.25">
      <c r="A7873" s="21">
        <v>45897</v>
      </c>
      <c r="B7873" s="1" t="s">
        <v>14132</v>
      </c>
      <c r="C7873" t="s">
        <v>14133</v>
      </c>
      <c r="D7873" s="43" t="s">
        <v>14134</v>
      </c>
      <c r="E7873" t="s">
        <v>35</v>
      </c>
      <c r="F7873" s="2">
        <v>110114001</v>
      </c>
      <c r="G7873" s="2" t="s">
        <v>301</v>
      </c>
      <c r="L7873" s="2" t="s">
        <v>14135</v>
      </c>
      <c r="M7873" t="s">
        <v>38</v>
      </c>
      <c r="N7873" t="s">
        <v>39</v>
      </c>
      <c r="P7873" s="23">
        <v>145.75</v>
      </c>
      <c r="Q7873" s="4">
        <f t="shared" si="122"/>
        <v>-754</v>
      </c>
      <c r="R7873" s="23" t="s">
        <v>1198</v>
      </c>
      <c r="S7873" s="36" t="s">
        <v>14136</v>
      </c>
    </row>
    <row r="7874" spans="1:20" x14ac:dyDescent="0.25">
      <c r="A7874" s="21">
        <v>45897</v>
      </c>
      <c r="B7874" s="1" t="s">
        <v>14137</v>
      </c>
      <c r="C7874" t="s">
        <v>1221</v>
      </c>
      <c r="D7874" s="43" t="s">
        <v>14138</v>
      </c>
      <c r="E7874" t="s">
        <v>35</v>
      </c>
      <c r="F7874" s="2">
        <v>610148001</v>
      </c>
      <c r="G7874" s="2" t="s">
        <v>42</v>
      </c>
      <c r="L7874" s="2" t="s">
        <v>14139</v>
      </c>
      <c r="M7874" t="s">
        <v>43</v>
      </c>
      <c r="N7874" t="s">
        <v>42</v>
      </c>
      <c r="P7874" s="23">
        <v>145.75</v>
      </c>
      <c r="Q7874" s="4">
        <f t="shared" si="122"/>
        <v>-1.3339965694682676</v>
      </c>
      <c r="R7874" s="23" t="s">
        <v>1198</v>
      </c>
      <c r="T7874" s="23" t="s">
        <v>12141</v>
      </c>
    </row>
    <row r="7875" spans="1:20" ht="15.75" x14ac:dyDescent="0.25">
      <c r="A7875" s="21">
        <v>45897</v>
      </c>
      <c r="B7875" s="1" t="s">
        <v>14140</v>
      </c>
      <c r="C7875" t="s">
        <v>14141</v>
      </c>
      <c r="D7875" s="43" t="s">
        <v>14142</v>
      </c>
      <c r="E7875" t="s">
        <v>35</v>
      </c>
      <c r="F7875" s="2">
        <v>110114001</v>
      </c>
      <c r="G7875" s="2" t="s">
        <v>301</v>
      </c>
      <c r="L7875" s="2" t="s">
        <v>14143</v>
      </c>
      <c r="M7875" t="s">
        <v>38</v>
      </c>
      <c r="N7875" t="s">
        <v>39</v>
      </c>
      <c r="P7875" s="23">
        <v>145.75</v>
      </c>
      <c r="Q7875" s="4">
        <f t="shared" si="122"/>
        <v>-533.6</v>
      </c>
      <c r="R7875" s="23" t="s">
        <v>1198</v>
      </c>
      <c r="S7875" s="36" t="s">
        <v>14136</v>
      </c>
    </row>
    <row r="7876" spans="1:20" x14ac:dyDescent="0.25">
      <c r="A7876" s="21">
        <v>45897</v>
      </c>
      <c r="B7876" s="1" t="s">
        <v>14144</v>
      </c>
      <c r="C7876" t="s">
        <v>1221</v>
      </c>
      <c r="D7876" s="43" t="s">
        <v>14145</v>
      </c>
      <c r="E7876" t="s">
        <v>35</v>
      </c>
      <c r="F7876" s="2">
        <v>610148001</v>
      </c>
      <c r="G7876" s="2" t="s">
        <v>42</v>
      </c>
      <c r="L7876" s="2" t="s">
        <v>14146</v>
      </c>
      <c r="M7876" t="s">
        <v>43</v>
      </c>
      <c r="N7876" t="s">
        <v>42</v>
      </c>
      <c r="P7876" s="23">
        <v>145.75</v>
      </c>
      <c r="Q7876" s="4">
        <f t="shared" si="122"/>
        <v>-0.90051457975986282</v>
      </c>
      <c r="R7876" s="23" t="s">
        <v>1198</v>
      </c>
      <c r="T7876" s="23" t="s">
        <v>12141</v>
      </c>
    </row>
    <row r="7877" spans="1:20" x14ac:dyDescent="0.25">
      <c r="A7877" s="21">
        <v>45897</v>
      </c>
      <c r="B7877" s="1" t="s">
        <v>14147</v>
      </c>
      <c r="C7877" t="s">
        <v>14148</v>
      </c>
      <c r="D7877" s="43" t="s">
        <v>14149</v>
      </c>
      <c r="E7877" t="s">
        <v>35</v>
      </c>
      <c r="F7877" s="2">
        <v>210101001</v>
      </c>
      <c r="G7877" s="2" t="s">
        <v>36</v>
      </c>
      <c r="L7877" s="2" t="s">
        <v>14150</v>
      </c>
      <c r="M7877" t="s">
        <v>1318</v>
      </c>
      <c r="N7877" t="s">
        <v>1319</v>
      </c>
      <c r="P7877" s="23">
        <v>145.75</v>
      </c>
      <c r="Q7877" s="4">
        <f t="shared" si="122"/>
        <v>-360.21680960548883</v>
      </c>
      <c r="R7877" s="23" t="s">
        <v>1198</v>
      </c>
    </row>
    <row r="7878" spans="1:20" x14ac:dyDescent="0.25">
      <c r="A7878" s="21">
        <v>45897</v>
      </c>
      <c r="B7878" s="1" t="s">
        <v>14151</v>
      </c>
      <c r="C7878" t="s">
        <v>1221</v>
      </c>
      <c r="D7878" s="43" t="s">
        <v>14152</v>
      </c>
      <c r="E7878" t="s">
        <v>35</v>
      </c>
      <c r="F7878" s="2">
        <v>610148001</v>
      </c>
      <c r="G7878" s="2" t="s">
        <v>42</v>
      </c>
      <c r="L7878" s="2" t="s">
        <v>14153</v>
      </c>
      <c r="M7878" t="s">
        <v>43</v>
      </c>
      <c r="N7878" t="s">
        <v>42</v>
      </c>
      <c r="P7878" s="23">
        <v>145.75</v>
      </c>
      <c r="Q7878" s="4">
        <f t="shared" si="122"/>
        <v>-0.25516295025728986</v>
      </c>
      <c r="R7878" s="23" t="s">
        <v>1198</v>
      </c>
      <c r="T7878" s="23" t="s">
        <v>12141</v>
      </c>
    </row>
    <row r="7879" spans="1:20" x14ac:dyDescent="0.25">
      <c r="A7879" s="21">
        <v>45897</v>
      </c>
      <c r="B7879" s="1" t="s">
        <v>14154</v>
      </c>
      <c r="C7879" t="s">
        <v>14155</v>
      </c>
      <c r="D7879" s="43" t="s">
        <v>14156</v>
      </c>
      <c r="E7879" t="s">
        <v>35</v>
      </c>
      <c r="F7879" s="2">
        <v>210101001</v>
      </c>
      <c r="G7879" s="2" t="s">
        <v>36</v>
      </c>
      <c r="L7879" s="2" t="s">
        <v>14157</v>
      </c>
      <c r="M7879" t="s">
        <v>788</v>
      </c>
      <c r="N7879" t="s">
        <v>789</v>
      </c>
      <c r="P7879" s="23">
        <v>145.75</v>
      </c>
      <c r="Q7879" s="4">
        <f t="shared" si="122"/>
        <v>-102.07204116638079</v>
      </c>
      <c r="R7879" s="23" t="s">
        <v>1198</v>
      </c>
    </row>
    <row r="7880" spans="1:20" x14ac:dyDescent="0.25">
      <c r="A7880" s="21">
        <v>45901</v>
      </c>
      <c r="B7880" s="1">
        <v>517733274</v>
      </c>
      <c r="C7880" t="s">
        <v>14158</v>
      </c>
      <c r="D7880" s="43">
        <v>-918.31</v>
      </c>
      <c r="E7880" t="s">
        <v>35</v>
      </c>
      <c r="F7880" s="2">
        <v>110114001</v>
      </c>
      <c r="G7880" s="2" t="s">
        <v>301</v>
      </c>
      <c r="L7880" s="2" t="s">
        <v>14159</v>
      </c>
      <c r="M7880" t="s">
        <v>714</v>
      </c>
      <c r="N7880" t="s">
        <v>715</v>
      </c>
      <c r="P7880" s="23">
        <v>148.44</v>
      </c>
      <c r="Q7880" s="4">
        <f t="shared" si="122"/>
        <v>-6.186405281595257</v>
      </c>
      <c r="R7880" s="23" t="s">
        <v>109</v>
      </c>
      <c r="T7880" s="89"/>
    </row>
    <row r="7881" spans="1:20" x14ac:dyDescent="0.25">
      <c r="A7881" s="21">
        <v>45901</v>
      </c>
      <c r="B7881" s="1">
        <v>517733275</v>
      </c>
      <c r="C7881" t="s">
        <v>14160</v>
      </c>
      <c r="D7881" s="43">
        <v>-20306.59</v>
      </c>
      <c r="E7881" t="s">
        <v>35</v>
      </c>
      <c r="F7881" s="2">
        <v>110114001</v>
      </c>
      <c r="G7881" s="2" t="s">
        <v>301</v>
      </c>
      <c r="L7881" s="2" t="s">
        <v>14161</v>
      </c>
      <c r="M7881" t="s">
        <v>1376</v>
      </c>
      <c r="N7881" t="s">
        <v>1377</v>
      </c>
      <c r="P7881" s="23">
        <v>148.44</v>
      </c>
      <c r="Q7881" s="4">
        <f t="shared" si="122"/>
        <v>-136.79998652654271</v>
      </c>
      <c r="R7881" s="23" t="s">
        <v>109</v>
      </c>
      <c r="T7881" s="89"/>
    </row>
    <row r="7882" spans="1:20" x14ac:dyDescent="0.25">
      <c r="A7882" s="21">
        <v>45901</v>
      </c>
      <c r="B7882" s="1">
        <v>517733276</v>
      </c>
      <c r="C7882" t="s">
        <v>14162</v>
      </c>
      <c r="D7882" s="43">
        <v>-2066.2800000000002</v>
      </c>
      <c r="E7882" t="s">
        <v>35</v>
      </c>
      <c r="F7882" s="2">
        <v>210101001</v>
      </c>
      <c r="G7882" s="2" t="s">
        <v>36</v>
      </c>
      <c r="L7882" s="2" t="s">
        <v>14163</v>
      </c>
      <c r="M7882" t="s">
        <v>788</v>
      </c>
      <c r="N7882" t="s">
        <v>789</v>
      </c>
      <c r="P7882" s="23">
        <v>148.44</v>
      </c>
      <c r="Q7882" s="4">
        <f t="shared" si="122"/>
        <v>-13.919967663702508</v>
      </c>
      <c r="R7882" s="23" t="s">
        <v>109</v>
      </c>
      <c r="T7882" s="89"/>
    </row>
    <row r="7883" spans="1:20" x14ac:dyDescent="0.25">
      <c r="A7883" s="21">
        <v>45901</v>
      </c>
      <c r="B7883" s="1">
        <v>50973644</v>
      </c>
      <c r="C7883" t="s">
        <v>118</v>
      </c>
      <c r="D7883" s="43">
        <v>-58.22</v>
      </c>
      <c r="E7883" t="s">
        <v>35</v>
      </c>
      <c r="F7883" s="2">
        <v>610148001</v>
      </c>
      <c r="G7883" s="2" t="s">
        <v>42</v>
      </c>
      <c r="L7883" s="2" t="s">
        <v>14164</v>
      </c>
      <c r="M7883" t="s">
        <v>43</v>
      </c>
      <c r="N7883" t="s">
        <v>42</v>
      </c>
      <c r="P7883" s="23">
        <v>148.44</v>
      </c>
      <c r="Q7883" s="4">
        <f t="shared" ref="Q7883:Q7946" si="123">D7883/P7883</f>
        <v>-0.39221234168687685</v>
      </c>
      <c r="R7883" s="23" t="s">
        <v>109</v>
      </c>
      <c r="T7883" s="90" t="s">
        <v>14165</v>
      </c>
    </row>
    <row r="7884" spans="1:20" x14ac:dyDescent="0.25">
      <c r="A7884" s="21">
        <v>45902</v>
      </c>
      <c r="B7884" s="1">
        <v>130949159</v>
      </c>
      <c r="C7884" t="s">
        <v>107</v>
      </c>
      <c r="D7884" s="43">
        <v>100000</v>
      </c>
      <c r="E7884" t="s">
        <v>46</v>
      </c>
      <c r="F7884" s="2">
        <v>210115002</v>
      </c>
      <c r="G7884" s="2" t="s">
        <v>12156</v>
      </c>
      <c r="L7884" s="2" t="s">
        <v>14166</v>
      </c>
      <c r="N7884" t="s">
        <v>107</v>
      </c>
      <c r="P7884" s="23">
        <v>149.47</v>
      </c>
      <c r="Q7884" s="4">
        <f t="shared" si="123"/>
        <v>669.03057469726366</v>
      </c>
      <c r="R7884" s="23" t="s">
        <v>109</v>
      </c>
      <c r="T7884" s="91"/>
    </row>
    <row r="7885" spans="1:20" x14ac:dyDescent="0.25">
      <c r="A7885" s="21">
        <v>45904</v>
      </c>
      <c r="B7885" s="1">
        <v>417920232</v>
      </c>
      <c r="C7885" t="s">
        <v>14167</v>
      </c>
      <c r="D7885" s="43">
        <v>-51932.27</v>
      </c>
      <c r="E7885" t="s">
        <v>35</v>
      </c>
      <c r="F7885" s="2">
        <v>210101001</v>
      </c>
      <c r="G7885" s="2" t="s">
        <v>36</v>
      </c>
      <c r="L7885" s="2" t="s">
        <v>14168</v>
      </c>
      <c r="M7885" t="s">
        <v>38</v>
      </c>
      <c r="N7885" t="s">
        <v>39</v>
      </c>
      <c r="P7885" s="23">
        <v>151.76</v>
      </c>
      <c r="Q7885" s="4">
        <f t="shared" si="123"/>
        <v>-342.19998682129676</v>
      </c>
      <c r="R7885" s="23" t="s">
        <v>109</v>
      </c>
      <c r="T7885" s="91"/>
    </row>
    <row r="7886" spans="1:20" x14ac:dyDescent="0.25">
      <c r="A7886" s="21">
        <v>45904</v>
      </c>
      <c r="B7886" s="1">
        <v>417920232</v>
      </c>
      <c r="C7886" t="s">
        <v>306</v>
      </c>
      <c r="D7886" s="43">
        <v>-155.80000000000001</v>
      </c>
      <c r="E7886" t="s">
        <v>35</v>
      </c>
      <c r="F7886" s="2">
        <v>610148001</v>
      </c>
      <c r="G7886" s="2" t="s">
        <v>42</v>
      </c>
      <c r="L7886" s="2" t="s">
        <v>14169</v>
      </c>
      <c r="M7886" t="s">
        <v>43</v>
      </c>
      <c r="N7886" t="s">
        <v>42</v>
      </c>
      <c r="P7886" s="23">
        <v>151.76</v>
      </c>
      <c r="Q7886" s="4">
        <f t="shared" si="123"/>
        <v>-1.0266209804955193</v>
      </c>
      <c r="R7886" s="23" t="s">
        <v>109</v>
      </c>
      <c r="T7886" s="90" t="s">
        <v>14165</v>
      </c>
    </row>
    <row r="7887" spans="1:20" x14ac:dyDescent="0.25">
      <c r="A7887" s="21">
        <v>45905</v>
      </c>
      <c r="B7887" s="1">
        <v>274169169</v>
      </c>
      <c r="C7887" t="s">
        <v>14170</v>
      </c>
      <c r="D7887" s="43">
        <v>350000</v>
      </c>
      <c r="E7887" t="s">
        <v>46</v>
      </c>
      <c r="F7887" s="2">
        <v>110101003</v>
      </c>
      <c r="G7887" s="2" t="s">
        <v>6734</v>
      </c>
      <c r="L7887" s="2" t="s">
        <v>14171</v>
      </c>
      <c r="N7887" t="s">
        <v>14170</v>
      </c>
      <c r="P7887" s="23">
        <v>152.82</v>
      </c>
      <c r="Q7887" s="4">
        <f t="shared" si="123"/>
        <v>2290.2761418662481</v>
      </c>
      <c r="R7887" s="23" t="s">
        <v>109</v>
      </c>
      <c r="T7887" s="91"/>
    </row>
    <row r="7888" spans="1:20" x14ac:dyDescent="0.25">
      <c r="A7888" s="21">
        <v>45905</v>
      </c>
      <c r="B7888" s="1">
        <v>125702124</v>
      </c>
      <c r="C7888" t="s">
        <v>107</v>
      </c>
      <c r="D7888" s="43">
        <v>50000</v>
      </c>
      <c r="E7888" t="s">
        <v>46</v>
      </c>
      <c r="F7888" s="2">
        <v>210115002</v>
      </c>
      <c r="G7888" s="2" t="s">
        <v>12156</v>
      </c>
      <c r="L7888" s="2" t="s">
        <v>14172</v>
      </c>
      <c r="N7888" t="s">
        <v>107</v>
      </c>
      <c r="P7888" s="23">
        <v>152.82</v>
      </c>
      <c r="Q7888" s="4">
        <f t="shared" si="123"/>
        <v>327.18230598089258</v>
      </c>
      <c r="R7888" s="23" t="s">
        <v>109</v>
      </c>
      <c r="T7888" s="91"/>
    </row>
    <row r="7889" spans="1:20" x14ac:dyDescent="0.25">
      <c r="A7889" s="21">
        <v>45905</v>
      </c>
      <c r="B7889" s="1">
        <v>417975455</v>
      </c>
      <c r="C7889" t="s">
        <v>14173</v>
      </c>
      <c r="D7889" s="43">
        <v>-12225.6</v>
      </c>
      <c r="E7889" t="s">
        <v>35</v>
      </c>
      <c r="F7889" s="2">
        <v>212901001</v>
      </c>
      <c r="G7889" s="2" t="s">
        <v>121</v>
      </c>
      <c r="L7889" s="2" t="s">
        <v>14174</v>
      </c>
      <c r="M7889" t="s">
        <v>67</v>
      </c>
      <c r="N7889" t="s">
        <v>68</v>
      </c>
      <c r="P7889" s="23">
        <v>152.82</v>
      </c>
      <c r="Q7889" s="4">
        <f t="shared" si="123"/>
        <v>-80</v>
      </c>
      <c r="R7889" s="23" t="s">
        <v>109</v>
      </c>
      <c r="T7889" s="91"/>
    </row>
    <row r="7890" spans="1:20" x14ac:dyDescent="0.25">
      <c r="A7890" s="21">
        <v>45905</v>
      </c>
      <c r="B7890" s="1">
        <v>417975459</v>
      </c>
      <c r="C7890" t="s">
        <v>14175</v>
      </c>
      <c r="D7890" s="43">
        <v>-9169.2000000000007</v>
      </c>
      <c r="E7890" t="s">
        <v>35</v>
      </c>
      <c r="F7890" s="2">
        <v>212901001</v>
      </c>
      <c r="G7890" s="2" t="s">
        <v>121</v>
      </c>
      <c r="L7890" s="2" t="s">
        <v>14176</v>
      </c>
      <c r="M7890" t="s">
        <v>67</v>
      </c>
      <c r="N7890" t="s">
        <v>68</v>
      </c>
      <c r="P7890" s="23">
        <v>152.82</v>
      </c>
      <c r="Q7890" s="4">
        <f t="shared" si="123"/>
        <v>-60.000000000000007</v>
      </c>
      <c r="R7890" s="23" t="s">
        <v>109</v>
      </c>
      <c r="T7890" s="91"/>
    </row>
    <row r="7891" spans="1:20" x14ac:dyDescent="0.25">
      <c r="A7891" s="21">
        <v>45905</v>
      </c>
      <c r="B7891" s="1">
        <v>417975464</v>
      </c>
      <c r="C7891" t="s">
        <v>14177</v>
      </c>
      <c r="D7891" s="43">
        <v>-9169.2000000000007</v>
      </c>
      <c r="E7891" t="s">
        <v>35</v>
      </c>
      <c r="F7891" s="2">
        <v>212901001</v>
      </c>
      <c r="G7891" s="2" t="s">
        <v>121</v>
      </c>
      <c r="L7891" s="2" t="s">
        <v>14178</v>
      </c>
      <c r="M7891" t="s">
        <v>67</v>
      </c>
      <c r="N7891" t="s">
        <v>68</v>
      </c>
      <c r="P7891" s="23">
        <v>152.82</v>
      </c>
      <c r="Q7891" s="4">
        <f t="shared" si="123"/>
        <v>-60.000000000000007</v>
      </c>
      <c r="R7891" s="23" t="s">
        <v>109</v>
      </c>
      <c r="T7891" s="91"/>
    </row>
    <row r="7892" spans="1:20" x14ac:dyDescent="0.25">
      <c r="A7892" s="21">
        <v>45905</v>
      </c>
      <c r="B7892" s="1">
        <v>417975460</v>
      </c>
      <c r="C7892" t="s">
        <v>14179</v>
      </c>
      <c r="D7892" s="43">
        <v>-9169.2000000000007</v>
      </c>
      <c r="E7892" t="s">
        <v>35</v>
      </c>
      <c r="F7892" s="2">
        <v>212901001</v>
      </c>
      <c r="G7892" s="2" t="s">
        <v>121</v>
      </c>
      <c r="L7892" s="2" t="s">
        <v>14180</v>
      </c>
      <c r="M7892" t="s">
        <v>67</v>
      </c>
      <c r="N7892" t="s">
        <v>68</v>
      </c>
      <c r="P7892" s="23">
        <v>152.82</v>
      </c>
      <c r="Q7892" s="4">
        <f t="shared" si="123"/>
        <v>-60.000000000000007</v>
      </c>
      <c r="R7892" s="23" t="s">
        <v>109</v>
      </c>
      <c r="T7892" s="91"/>
    </row>
    <row r="7893" spans="1:20" x14ac:dyDescent="0.25">
      <c r="A7893" s="21">
        <v>45905</v>
      </c>
      <c r="B7893" s="1">
        <v>517975466</v>
      </c>
      <c r="C7893" t="s">
        <v>14181</v>
      </c>
      <c r="D7893" s="43">
        <v>-9169.2000000000007</v>
      </c>
      <c r="E7893" t="s">
        <v>35</v>
      </c>
      <c r="F7893" s="2">
        <v>212901001</v>
      </c>
      <c r="G7893" s="2" t="s">
        <v>121</v>
      </c>
      <c r="L7893" s="2" t="s">
        <v>14182</v>
      </c>
      <c r="M7893" t="s">
        <v>67</v>
      </c>
      <c r="N7893" t="s">
        <v>68</v>
      </c>
      <c r="P7893" s="23">
        <v>152.82</v>
      </c>
      <c r="Q7893" s="4">
        <f t="shared" si="123"/>
        <v>-60.000000000000007</v>
      </c>
      <c r="R7893" s="23" t="s">
        <v>109</v>
      </c>
      <c r="T7893" s="91"/>
    </row>
    <row r="7894" spans="1:20" x14ac:dyDescent="0.25">
      <c r="A7894" s="21">
        <v>45905</v>
      </c>
      <c r="B7894" s="1">
        <v>417975461</v>
      </c>
      <c r="C7894" t="s">
        <v>14183</v>
      </c>
      <c r="D7894" s="43">
        <v>-9169.2000000000007</v>
      </c>
      <c r="E7894" t="s">
        <v>35</v>
      </c>
      <c r="F7894" s="2">
        <v>212901001</v>
      </c>
      <c r="G7894" s="2" t="s">
        <v>121</v>
      </c>
      <c r="L7894" s="2" t="s">
        <v>14184</v>
      </c>
      <c r="M7894" t="s">
        <v>67</v>
      </c>
      <c r="N7894" t="s">
        <v>68</v>
      </c>
      <c r="P7894" s="23">
        <v>152.82</v>
      </c>
      <c r="Q7894" s="4">
        <f t="shared" si="123"/>
        <v>-60.000000000000007</v>
      </c>
      <c r="R7894" s="23" t="s">
        <v>109</v>
      </c>
      <c r="T7894" s="91"/>
    </row>
    <row r="7895" spans="1:20" x14ac:dyDescent="0.25">
      <c r="A7895" s="21">
        <v>45905</v>
      </c>
      <c r="B7895" s="1">
        <v>417975463</v>
      </c>
      <c r="C7895" t="s">
        <v>14185</v>
      </c>
      <c r="D7895" s="43">
        <v>-9169.2000000000007</v>
      </c>
      <c r="E7895" t="s">
        <v>35</v>
      </c>
      <c r="F7895" s="2">
        <v>212901001</v>
      </c>
      <c r="G7895" s="2" t="s">
        <v>121</v>
      </c>
      <c r="L7895" s="2" t="s">
        <v>14186</v>
      </c>
      <c r="M7895" t="s">
        <v>67</v>
      </c>
      <c r="N7895" t="s">
        <v>68</v>
      </c>
      <c r="P7895" s="23">
        <v>152.82</v>
      </c>
      <c r="Q7895" s="4">
        <f t="shared" si="123"/>
        <v>-60.000000000000007</v>
      </c>
      <c r="R7895" s="23" t="s">
        <v>109</v>
      </c>
      <c r="T7895" s="91"/>
    </row>
    <row r="7896" spans="1:20" x14ac:dyDescent="0.25">
      <c r="A7896" s="21">
        <v>45905</v>
      </c>
      <c r="B7896" s="1">
        <v>417975457</v>
      </c>
      <c r="C7896" t="s">
        <v>14187</v>
      </c>
      <c r="D7896" s="43">
        <v>-9169.2000000000007</v>
      </c>
      <c r="E7896" t="s">
        <v>35</v>
      </c>
      <c r="F7896" s="2">
        <v>212901001</v>
      </c>
      <c r="G7896" s="2" t="s">
        <v>121</v>
      </c>
      <c r="L7896" s="2" t="s">
        <v>14188</v>
      </c>
      <c r="M7896" t="s">
        <v>67</v>
      </c>
      <c r="N7896" t="s">
        <v>68</v>
      </c>
      <c r="P7896" s="23">
        <v>152.82</v>
      </c>
      <c r="Q7896" s="4">
        <f t="shared" si="123"/>
        <v>-60.000000000000007</v>
      </c>
      <c r="R7896" s="23" t="s">
        <v>109</v>
      </c>
      <c r="T7896" s="91"/>
    </row>
    <row r="7897" spans="1:20" x14ac:dyDescent="0.25">
      <c r="A7897" s="21">
        <v>45905</v>
      </c>
      <c r="B7897" s="1">
        <v>417975465</v>
      </c>
      <c r="C7897" t="s">
        <v>14189</v>
      </c>
      <c r="D7897" s="43">
        <v>-9169.2000000000007</v>
      </c>
      <c r="E7897" t="s">
        <v>35</v>
      </c>
      <c r="F7897" s="2">
        <v>212901001</v>
      </c>
      <c r="G7897" s="2" t="s">
        <v>121</v>
      </c>
      <c r="L7897" s="2" t="s">
        <v>14190</v>
      </c>
      <c r="M7897" t="s">
        <v>67</v>
      </c>
      <c r="N7897" t="s">
        <v>68</v>
      </c>
      <c r="P7897" s="23">
        <v>152.82</v>
      </c>
      <c r="Q7897" s="4">
        <f t="shared" si="123"/>
        <v>-60.000000000000007</v>
      </c>
      <c r="R7897" s="23" t="s">
        <v>109</v>
      </c>
      <c r="T7897" s="91"/>
    </row>
    <row r="7898" spans="1:20" x14ac:dyDescent="0.25">
      <c r="A7898" s="21">
        <v>45905</v>
      </c>
      <c r="B7898" s="1">
        <v>517975467</v>
      </c>
      <c r="C7898" t="s">
        <v>14191</v>
      </c>
      <c r="D7898" s="43">
        <v>-9169.2000000000007</v>
      </c>
      <c r="E7898" t="s">
        <v>35</v>
      </c>
      <c r="F7898" s="2">
        <v>212901001</v>
      </c>
      <c r="G7898" s="2" t="s">
        <v>121</v>
      </c>
      <c r="L7898" s="2" t="s">
        <v>14192</v>
      </c>
      <c r="M7898" t="s">
        <v>67</v>
      </c>
      <c r="N7898" t="s">
        <v>68</v>
      </c>
      <c r="P7898" s="23">
        <v>152.82</v>
      </c>
      <c r="Q7898" s="4">
        <f t="shared" si="123"/>
        <v>-60.000000000000007</v>
      </c>
      <c r="R7898" s="23" t="s">
        <v>109</v>
      </c>
      <c r="T7898" s="91"/>
    </row>
    <row r="7899" spans="1:20" x14ac:dyDescent="0.25">
      <c r="A7899" s="21">
        <v>45905</v>
      </c>
      <c r="B7899" s="1">
        <v>117975478</v>
      </c>
      <c r="C7899" t="s">
        <v>14193</v>
      </c>
      <c r="D7899" s="43">
        <v>-9169.2000000000007</v>
      </c>
      <c r="E7899" t="s">
        <v>35</v>
      </c>
      <c r="F7899" s="2">
        <v>212901001</v>
      </c>
      <c r="G7899" s="2" t="s">
        <v>121</v>
      </c>
      <c r="L7899" s="2" t="s">
        <v>14194</v>
      </c>
      <c r="M7899" t="s">
        <v>67</v>
      </c>
      <c r="N7899" t="s">
        <v>68</v>
      </c>
      <c r="P7899" s="23">
        <v>152.82</v>
      </c>
      <c r="Q7899" s="4">
        <f t="shared" si="123"/>
        <v>-60.000000000000007</v>
      </c>
      <c r="R7899" s="23" t="s">
        <v>109</v>
      </c>
      <c r="T7899" s="91"/>
    </row>
    <row r="7900" spans="1:20" x14ac:dyDescent="0.25">
      <c r="A7900" s="21">
        <v>45905</v>
      </c>
      <c r="B7900" s="1">
        <v>117975481</v>
      </c>
      <c r="C7900" t="s">
        <v>14195</v>
      </c>
      <c r="D7900" s="43">
        <v>-9169.2000000000007</v>
      </c>
      <c r="E7900" t="s">
        <v>35</v>
      </c>
      <c r="F7900" s="2">
        <v>212901001</v>
      </c>
      <c r="G7900" s="2" t="s">
        <v>121</v>
      </c>
      <c r="L7900" s="2" t="s">
        <v>14196</v>
      </c>
      <c r="M7900" t="s">
        <v>67</v>
      </c>
      <c r="N7900" t="s">
        <v>68</v>
      </c>
      <c r="P7900" s="23">
        <v>152.82</v>
      </c>
      <c r="Q7900" s="4">
        <f t="shared" si="123"/>
        <v>-60.000000000000007</v>
      </c>
      <c r="R7900" s="23" t="s">
        <v>109</v>
      </c>
      <c r="T7900" s="91"/>
    </row>
    <row r="7901" spans="1:20" x14ac:dyDescent="0.25">
      <c r="A7901" s="21">
        <v>45905</v>
      </c>
      <c r="B7901" s="1">
        <v>117975479</v>
      </c>
      <c r="C7901" t="s">
        <v>14197</v>
      </c>
      <c r="D7901" s="43">
        <v>-9169.2000000000007</v>
      </c>
      <c r="E7901" t="s">
        <v>35</v>
      </c>
      <c r="F7901" s="2">
        <v>212901001</v>
      </c>
      <c r="G7901" s="2" t="s">
        <v>121</v>
      </c>
      <c r="L7901" s="2" t="s">
        <v>14198</v>
      </c>
      <c r="M7901" t="s">
        <v>67</v>
      </c>
      <c r="N7901" t="s">
        <v>68</v>
      </c>
      <c r="P7901" s="23">
        <v>152.82</v>
      </c>
      <c r="Q7901" s="4">
        <f t="shared" si="123"/>
        <v>-60.000000000000007</v>
      </c>
      <c r="R7901" s="23" t="s">
        <v>109</v>
      </c>
      <c r="T7901" s="91"/>
    </row>
    <row r="7902" spans="1:20" x14ac:dyDescent="0.25">
      <c r="A7902" s="21">
        <v>45905</v>
      </c>
      <c r="B7902" s="1">
        <v>117975482</v>
      </c>
      <c r="C7902" t="s">
        <v>14199</v>
      </c>
      <c r="D7902" s="43">
        <v>-9169.2000000000007</v>
      </c>
      <c r="E7902" t="s">
        <v>35</v>
      </c>
      <c r="F7902" s="2">
        <v>212901001</v>
      </c>
      <c r="G7902" s="2" t="s">
        <v>121</v>
      </c>
      <c r="L7902" s="2" t="s">
        <v>14200</v>
      </c>
      <c r="M7902" t="s">
        <v>67</v>
      </c>
      <c r="N7902" t="s">
        <v>68</v>
      </c>
      <c r="P7902" s="23">
        <v>152.82</v>
      </c>
      <c r="Q7902" s="4">
        <f t="shared" si="123"/>
        <v>-60.000000000000007</v>
      </c>
      <c r="R7902" s="23" t="s">
        <v>109</v>
      </c>
      <c r="T7902" s="91"/>
    </row>
    <row r="7903" spans="1:20" x14ac:dyDescent="0.25">
      <c r="A7903" s="21">
        <v>45905</v>
      </c>
      <c r="B7903" s="1">
        <v>117975483</v>
      </c>
      <c r="C7903" t="s">
        <v>14201</v>
      </c>
      <c r="D7903" s="43">
        <v>-9169.2000000000007</v>
      </c>
      <c r="E7903" t="s">
        <v>35</v>
      </c>
      <c r="F7903" s="2">
        <v>212901001</v>
      </c>
      <c r="G7903" s="2" t="s">
        <v>121</v>
      </c>
      <c r="L7903" s="2" t="s">
        <v>14202</v>
      </c>
      <c r="M7903" t="s">
        <v>67</v>
      </c>
      <c r="N7903" t="s">
        <v>68</v>
      </c>
      <c r="P7903" s="23">
        <v>152.82</v>
      </c>
      <c r="Q7903" s="4">
        <f t="shared" si="123"/>
        <v>-60.000000000000007</v>
      </c>
      <c r="R7903" s="23" t="s">
        <v>109</v>
      </c>
      <c r="T7903" s="91"/>
    </row>
    <row r="7904" spans="1:20" x14ac:dyDescent="0.25">
      <c r="A7904" s="21">
        <v>45905</v>
      </c>
      <c r="B7904" s="1">
        <v>217975488</v>
      </c>
      <c r="C7904" t="s">
        <v>14203</v>
      </c>
      <c r="D7904" s="43">
        <v>-12225.6</v>
      </c>
      <c r="E7904" t="s">
        <v>35</v>
      </c>
      <c r="F7904" s="2">
        <v>212901001</v>
      </c>
      <c r="G7904" s="2" t="s">
        <v>121</v>
      </c>
      <c r="L7904" s="2" t="s">
        <v>14204</v>
      </c>
      <c r="M7904" t="s">
        <v>67</v>
      </c>
      <c r="N7904" t="s">
        <v>68</v>
      </c>
      <c r="P7904" s="23">
        <v>152.82</v>
      </c>
      <c r="Q7904" s="4">
        <f t="shared" si="123"/>
        <v>-80</v>
      </c>
      <c r="R7904" s="23" t="s">
        <v>109</v>
      </c>
      <c r="T7904" s="91"/>
    </row>
    <row r="7905" spans="1:20" x14ac:dyDescent="0.25">
      <c r="A7905" s="21">
        <v>45905</v>
      </c>
      <c r="B7905" s="1">
        <v>217975489</v>
      </c>
      <c r="C7905" t="s">
        <v>14205</v>
      </c>
      <c r="D7905" s="43">
        <v>-12225.6</v>
      </c>
      <c r="E7905" t="s">
        <v>35</v>
      </c>
      <c r="F7905" s="2">
        <v>212901001</v>
      </c>
      <c r="G7905" s="2" t="s">
        <v>121</v>
      </c>
      <c r="L7905" s="2" t="s">
        <v>14206</v>
      </c>
      <c r="M7905" t="s">
        <v>67</v>
      </c>
      <c r="N7905" t="s">
        <v>68</v>
      </c>
      <c r="P7905" s="23">
        <v>152.82</v>
      </c>
      <c r="Q7905" s="4">
        <f t="shared" si="123"/>
        <v>-80</v>
      </c>
      <c r="R7905" s="23" t="s">
        <v>109</v>
      </c>
      <c r="T7905" s="91"/>
    </row>
    <row r="7906" spans="1:20" x14ac:dyDescent="0.25">
      <c r="A7906" s="21">
        <v>45905</v>
      </c>
      <c r="B7906" s="1">
        <v>217975491</v>
      </c>
      <c r="C7906" t="s">
        <v>14207</v>
      </c>
      <c r="D7906" s="43">
        <v>-12225.6</v>
      </c>
      <c r="E7906" t="s">
        <v>35</v>
      </c>
      <c r="F7906" s="2">
        <v>212901001</v>
      </c>
      <c r="G7906" s="2" t="s">
        <v>121</v>
      </c>
      <c r="L7906" s="2" t="s">
        <v>14208</v>
      </c>
      <c r="M7906" t="s">
        <v>67</v>
      </c>
      <c r="N7906" t="s">
        <v>68</v>
      </c>
      <c r="P7906" s="23">
        <v>152.82</v>
      </c>
      <c r="Q7906" s="4">
        <f t="shared" si="123"/>
        <v>-80</v>
      </c>
      <c r="R7906" s="23" t="s">
        <v>109</v>
      </c>
      <c r="T7906" s="91"/>
    </row>
    <row r="7907" spans="1:20" x14ac:dyDescent="0.25">
      <c r="A7907" s="21">
        <v>45905</v>
      </c>
      <c r="B7907" s="1">
        <v>217975490</v>
      </c>
      <c r="C7907" t="s">
        <v>14209</v>
      </c>
      <c r="D7907" s="43">
        <v>-12225.6</v>
      </c>
      <c r="E7907" t="s">
        <v>35</v>
      </c>
      <c r="F7907" s="2">
        <v>212901001</v>
      </c>
      <c r="G7907" s="2" t="s">
        <v>121</v>
      </c>
      <c r="L7907" s="2" t="s">
        <v>14210</v>
      </c>
      <c r="M7907" t="s">
        <v>67</v>
      </c>
      <c r="N7907" t="s">
        <v>68</v>
      </c>
      <c r="P7907" s="23">
        <v>152.82</v>
      </c>
      <c r="Q7907" s="4">
        <f t="shared" si="123"/>
        <v>-80</v>
      </c>
      <c r="R7907" s="23" t="s">
        <v>109</v>
      </c>
      <c r="T7907" s="91"/>
    </row>
    <row r="7908" spans="1:20" x14ac:dyDescent="0.25">
      <c r="A7908" s="21">
        <v>45905</v>
      </c>
      <c r="B7908" s="1">
        <v>117975484</v>
      </c>
      <c r="C7908" t="s">
        <v>14211</v>
      </c>
      <c r="D7908" s="43">
        <v>-22923</v>
      </c>
      <c r="E7908" t="s">
        <v>35</v>
      </c>
      <c r="F7908" s="2">
        <v>212901001</v>
      </c>
      <c r="G7908" s="2" t="s">
        <v>121</v>
      </c>
      <c r="L7908" s="2" t="s">
        <v>14212</v>
      </c>
      <c r="M7908" t="s">
        <v>67</v>
      </c>
      <c r="N7908" t="s">
        <v>68</v>
      </c>
      <c r="P7908" s="23">
        <v>152.82</v>
      </c>
      <c r="Q7908" s="4">
        <f t="shared" si="123"/>
        <v>-150</v>
      </c>
      <c r="R7908" s="23" t="s">
        <v>109</v>
      </c>
      <c r="T7908" s="91"/>
    </row>
    <row r="7909" spans="1:20" x14ac:dyDescent="0.25">
      <c r="A7909" s="21">
        <v>45905</v>
      </c>
      <c r="B7909" s="1">
        <v>117975480</v>
      </c>
      <c r="C7909" t="s">
        <v>14213</v>
      </c>
      <c r="D7909" s="43">
        <v>-9169.2000000000007</v>
      </c>
      <c r="E7909" t="s">
        <v>35</v>
      </c>
      <c r="F7909" s="2">
        <v>212901001</v>
      </c>
      <c r="G7909" s="2" t="s">
        <v>121</v>
      </c>
      <c r="L7909" s="2" t="s">
        <v>14214</v>
      </c>
      <c r="M7909" t="s">
        <v>67</v>
      </c>
      <c r="N7909" t="s">
        <v>68</v>
      </c>
      <c r="P7909" s="23">
        <v>152.82</v>
      </c>
      <c r="Q7909" s="4">
        <f t="shared" si="123"/>
        <v>-60.000000000000007</v>
      </c>
      <c r="R7909" s="23" t="s">
        <v>109</v>
      </c>
      <c r="T7909" s="91"/>
    </row>
    <row r="7910" spans="1:20" x14ac:dyDescent="0.25">
      <c r="A7910" s="21">
        <v>45905</v>
      </c>
      <c r="B7910" s="1">
        <v>217975487</v>
      </c>
      <c r="C7910" t="s">
        <v>14215</v>
      </c>
      <c r="D7910" s="43">
        <v>-12225.6</v>
      </c>
      <c r="E7910" t="s">
        <v>35</v>
      </c>
      <c r="F7910" s="2">
        <v>212901001</v>
      </c>
      <c r="G7910" s="2" t="s">
        <v>121</v>
      </c>
      <c r="L7910" s="2" t="s">
        <v>14216</v>
      </c>
      <c r="M7910" t="s">
        <v>67</v>
      </c>
      <c r="N7910" t="s">
        <v>68</v>
      </c>
      <c r="P7910" s="23">
        <v>152.82</v>
      </c>
      <c r="Q7910" s="4">
        <f t="shared" si="123"/>
        <v>-80</v>
      </c>
      <c r="R7910" s="23" t="s">
        <v>109</v>
      </c>
      <c r="T7910" s="91"/>
    </row>
    <row r="7911" spans="1:20" x14ac:dyDescent="0.25">
      <c r="A7911" s="21">
        <v>45905</v>
      </c>
      <c r="B7911" s="1">
        <v>117975485</v>
      </c>
      <c r="C7911" t="s">
        <v>14217</v>
      </c>
      <c r="D7911" s="43">
        <v>-15282</v>
      </c>
      <c r="E7911" t="s">
        <v>35</v>
      </c>
      <c r="F7911" s="2">
        <v>212901001</v>
      </c>
      <c r="G7911" s="2" t="s">
        <v>121</v>
      </c>
      <c r="L7911" s="2" t="s">
        <v>14218</v>
      </c>
      <c r="M7911" t="s">
        <v>67</v>
      </c>
      <c r="N7911" t="s">
        <v>68</v>
      </c>
      <c r="P7911" s="23">
        <v>152.82</v>
      </c>
      <c r="Q7911" s="4">
        <f t="shared" si="123"/>
        <v>-100</v>
      </c>
      <c r="R7911" s="23" t="s">
        <v>109</v>
      </c>
      <c r="T7911" s="91"/>
    </row>
    <row r="7912" spans="1:20" x14ac:dyDescent="0.25">
      <c r="A7912" s="21">
        <v>45905</v>
      </c>
      <c r="B7912" s="1">
        <v>217975492</v>
      </c>
      <c r="C7912" t="s">
        <v>14219</v>
      </c>
      <c r="D7912" s="43">
        <v>-12225.6</v>
      </c>
      <c r="E7912" t="s">
        <v>35</v>
      </c>
      <c r="F7912" s="2">
        <v>212901001</v>
      </c>
      <c r="G7912" s="2" t="s">
        <v>121</v>
      </c>
      <c r="L7912" s="2" t="s">
        <v>14220</v>
      </c>
      <c r="M7912" t="s">
        <v>67</v>
      </c>
      <c r="N7912" t="s">
        <v>68</v>
      </c>
      <c r="P7912" s="23">
        <v>152.82</v>
      </c>
      <c r="Q7912" s="4">
        <f t="shared" si="123"/>
        <v>-80</v>
      </c>
      <c r="R7912" s="23" t="s">
        <v>109</v>
      </c>
      <c r="T7912" s="91"/>
    </row>
    <row r="7913" spans="1:20" x14ac:dyDescent="0.25">
      <c r="A7913" s="21">
        <v>45905</v>
      </c>
      <c r="B7913" s="1">
        <v>317975497</v>
      </c>
      <c r="C7913" t="s">
        <v>14221</v>
      </c>
      <c r="D7913" s="43">
        <v>-7641</v>
      </c>
      <c r="E7913" t="s">
        <v>35</v>
      </c>
      <c r="F7913" s="2">
        <v>212901001</v>
      </c>
      <c r="G7913" s="2" t="s">
        <v>121</v>
      </c>
      <c r="L7913" s="2" t="s">
        <v>14222</v>
      </c>
      <c r="M7913" t="s">
        <v>67</v>
      </c>
      <c r="N7913" t="s">
        <v>68</v>
      </c>
      <c r="P7913" s="23">
        <v>152.82</v>
      </c>
      <c r="Q7913" s="4">
        <f t="shared" si="123"/>
        <v>-50</v>
      </c>
      <c r="R7913" s="23" t="s">
        <v>109</v>
      </c>
      <c r="T7913" s="91"/>
    </row>
    <row r="7914" spans="1:20" x14ac:dyDescent="0.25">
      <c r="A7914" s="21">
        <v>45905</v>
      </c>
      <c r="B7914" s="1">
        <v>317975500</v>
      </c>
      <c r="C7914" t="s">
        <v>14223</v>
      </c>
      <c r="D7914" s="43">
        <v>-7641</v>
      </c>
      <c r="E7914" t="s">
        <v>35</v>
      </c>
      <c r="F7914" s="2">
        <v>212901001</v>
      </c>
      <c r="G7914" s="2" t="s">
        <v>121</v>
      </c>
      <c r="L7914" s="2" t="s">
        <v>14224</v>
      </c>
      <c r="M7914" t="s">
        <v>67</v>
      </c>
      <c r="N7914" t="s">
        <v>68</v>
      </c>
      <c r="P7914" s="23">
        <v>152.82</v>
      </c>
      <c r="Q7914" s="4">
        <f t="shared" si="123"/>
        <v>-50</v>
      </c>
      <c r="R7914" s="23" t="s">
        <v>109</v>
      </c>
      <c r="T7914" s="91"/>
    </row>
    <row r="7915" spans="1:20" x14ac:dyDescent="0.25">
      <c r="A7915" s="21">
        <v>45905</v>
      </c>
      <c r="B7915" s="1">
        <v>317975498</v>
      </c>
      <c r="C7915" t="s">
        <v>14225</v>
      </c>
      <c r="D7915" s="43">
        <v>-7641</v>
      </c>
      <c r="E7915" t="s">
        <v>35</v>
      </c>
      <c r="F7915" s="2">
        <v>212901001</v>
      </c>
      <c r="G7915" s="2" t="s">
        <v>121</v>
      </c>
      <c r="L7915" s="2" t="s">
        <v>14226</v>
      </c>
      <c r="M7915" t="s">
        <v>67</v>
      </c>
      <c r="N7915" t="s">
        <v>68</v>
      </c>
      <c r="P7915" s="23">
        <v>152.82</v>
      </c>
      <c r="Q7915" s="4">
        <f t="shared" si="123"/>
        <v>-50</v>
      </c>
      <c r="R7915" s="23" t="s">
        <v>109</v>
      </c>
      <c r="T7915" s="91"/>
    </row>
    <row r="7916" spans="1:20" x14ac:dyDescent="0.25">
      <c r="A7916" s="21">
        <v>45905</v>
      </c>
      <c r="B7916" s="1">
        <v>217975494</v>
      </c>
      <c r="C7916" t="s">
        <v>14227</v>
      </c>
      <c r="D7916" s="43">
        <v>-6418.44</v>
      </c>
      <c r="E7916" t="s">
        <v>35</v>
      </c>
      <c r="F7916" s="2">
        <v>212901001</v>
      </c>
      <c r="G7916" s="2" t="s">
        <v>121</v>
      </c>
      <c r="L7916" s="2" t="s">
        <v>14228</v>
      </c>
      <c r="M7916" t="s">
        <v>67</v>
      </c>
      <c r="N7916" t="s">
        <v>68</v>
      </c>
      <c r="P7916" s="23">
        <v>152.82</v>
      </c>
      <c r="Q7916" s="4">
        <f t="shared" si="123"/>
        <v>-42</v>
      </c>
      <c r="R7916" s="23" t="s">
        <v>109</v>
      </c>
      <c r="T7916" s="91"/>
    </row>
    <row r="7917" spans="1:20" x14ac:dyDescent="0.25">
      <c r="A7917" s="21">
        <v>45905</v>
      </c>
      <c r="B7917" s="1">
        <v>317975501</v>
      </c>
      <c r="C7917" t="s">
        <v>14229</v>
      </c>
      <c r="D7917" s="43">
        <v>-6112.8</v>
      </c>
      <c r="E7917" t="s">
        <v>35</v>
      </c>
      <c r="F7917" s="2">
        <v>212901001</v>
      </c>
      <c r="G7917" s="2" t="s">
        <v>121</v>
      </c>
      <c r="L7917" s="2" t="s">
        <v>14230</v>
      </c>
      <c r="M7917" t="s">
        <v>67</v>
      </c>
      <c r="N7917" t="s">
        <v>68</v>
      </c>
      <c r="P7917" s="23">
        <v>152.82</v>
      </c>
      <c r="Q7917" s="4">
        <f t="shared" si="123"/>
        <v>-40</v>
      </c>
      <c r="R7917" s="23" t="s">
        <v>109</v>
      </c>
      <c r="T7917" s="91"/>
    </row>
    <row r="7918" spans="1:20" x14ac:dyDescent="0.25">
      <c r="A7918" s="21">
        <v>45905</v>
      </c>
      <c r="B7918" s="1">
        <v>317975499</v>
      </c>
      <c r="C7918" t="s">
        <v>14231</v>
      </c>
      <c r="D7918" s="43">
        <v>-7641</v>
      </c>
      <c r="E7918" t="s">
        <v>35</v>
      </c>
      <c r="F7918" s="2">
        <v>212901001</v>
      </c>
      <c r="G7918" s="2" t="s">
        <v>121</v>
      </c>
      <c r="L7918" s="2" t="s">
        <v>14232</v>
      </c>
      <c r="M7918" t="s">
        <v>67</v>
      </c>
      <c r="N7918" t="s">
        <v>68</v>
      </c>
      <c r="P7918" s="23">
        <v>152.82</v>
      </c>
      <c r="Q7918" s="4">
        <f t="shared" si="123"/>
        <v>-50</v>
      </c>
      <c r="R7918" s="23" t="s">
        <v>109</v>
      </c>
      <c r="T7918" s="91"/>
    </row>
    <row r="7919" spans="1:20" x14ac:dyDescent="0.25">
      <c r="A7919" s="21">
        <v>45905</v>
      </c>
      <c r="B7919" s="1">
        <v>217975495</v>
      </c>
      <c r="C7919" t="s">
        <v>14233</v>
      </c>
      <c r="D7919" s="43">
        <v>-7641</v>
      </c>
      <c r="E7919" t="s">
        <v>35</v>
      </c>
      <c r="F7919" s="2">
        <v>212901001</v>
      </c>
      <c r="G7919" s="2" t="s">
        <v>121</v>
      </c>
      <c r="L7919" s="2" t="s">
        <v>14234</v>
      </c>
      <c r="M7919" t="s">
        <v>67</v>
      </c>
      <c r="N7919" t="s">
        <v>68</v>
      </c>
      <c r="P7919" s="23">
        <v>152.82</v>
      </c>
      <c r="Q7919" s="4">
        <f t="shared" si="123"/>
        <v>-50</v>
      </c>
      <c r="R7919" s="23" t="s">
        <v>109</v>
      </c>
      <c r="T7919" s="91"/>
    </row>
    <row r="7920" spans="1:20" x14ac:dyDescent="0.25">
      <c r="A7920" s="21">
        <v>45905</v>
      </c>
      <c r="B7920" s="1">
        <v>417975506</v>
      </c>
      <c r="C7920" t="s">
        <v>14235</v>
      </c>
      <c r="D7920" s="43">
        <v>-6112.8</v>
      </c>
      <c r="E7920" t="s">
        <v>35</v>
      </c>
      <c r="F7920" s="2">
        <v>212901001</v>
      </c>
      <c r="G7920" s="2" t="s">
        <v>121</v>
      </c>
      <c r="L7920" s="2" t="s">
        <v>14236</v>
      </c>
      <c r="M7920" t="s">
        <v>67</v>
      </c>
      <c r="N7920" t="s">
        <v>68</v>
      </c>
      <c r="P7920" s="23">
        <v>152.82</v>
      </c>
      <c r="Q7920" s="4">
        <f t="shared" si="123"/>
        <v>-40</v>
      </c>
      <c r="R7920" s="23" t="s">
        <v>109</v>
      </c>
      <c r="T7920" s="91"/>
    </row>
    <row r="7921" spans="1:20" x14ac:dyDescent="0.25">
      <c r="A7921" s="21">
        <v>45905</v>
      </c>
      <c r="B7921" s="1">
        <v>317975502</v>
      </c>
      <c r="C7921" t="s">
        <v>14237</v>
      </c>
      <c r="D7921" s="43">
        <v>-6112.8</v>
      </c>
      <c r="E7921" t="s">
        <v>35</v>
      </c>
      <c r="F7921" s="2">
        <v>212901001</v>
      </c>
      <c r="G7921" s="2" t="s">
        <v>121</v>
      </c>
      <c r="L7921" s="2" t="s">
        <v>14238</v>
      </c>
      <c r="M7921" t="s">
        <v>67</v>
      </c>
      <c r="N7921" t="s">
        <v>68</v>
      </c>
      <c r="P7921" s="23">
        <v>152.82</v>
      </c>
      <c r="Q7921" s="4">
        <f t="shared" si="123"/>
        <v>-40</v>
      </c>
      <c r="R7921" s="23" t="s">
        <v>109</v>
      </c>
      <c r="T7921" s="91"/>
    </row>
    <row r="7922" spans="1:20" x14ac:dyDescent="0.25">
      <c r="A7922" s="21">
        <v>45905</v>
      </c>
      <c r="B7922" s="1">
        <v>317975503</v>
      </c>
      <c r="C7922" t="s">
        <v>14239</v>
      </c>
      <c r="D7922" s="43">
        <v>-6112.8</v>
      </c>
      <c r="E7922" t="s">
        <v>35</v>
      </c>
      <c r="F7922" s="2">
        <v>212901001</v>
      </c>
      <c r="G7922" s="2" t="s">
        <v>121</v>
      </c>
      <c r="L7922" s="2" t="s">
        <v>14240</v>
      </c>
      <c r="M7922" t="s">
        <v>67</v>
      </c>
      <c r="N7922" t="s">
        <v>68</v>
      </c>
      <c r="P7922" s="23">
        <v>152.82</v>
      </c>
      <c r="Q7922" s="4">
        <f t="shared" si="123"/>
        <v>-40</v>
      </c>
      <c r="R7922" s="23" t="s">
        <v>109</v>
      </c>
      <c r="T7922" s="91"/>
    </row>
    <row r="7923" spans="1:20" x14ac:dyDescent="0.25">
      <c r="A7923" s="21">
        <v>45905</v>
      </c>
      <c r="B7923" s="1">
        <v>317975504</v>
      </c>
      <c r="C7923" t="s">
        <v>14241</v>
      </c>
      <c r="D7923" s="43">
        <v>-6112.8</v>
      </c>
      <c r="E7923" t="s">
        <v>35</v>
      </c>
      <c r="F7923" s="2">
        <v>212901001</v>
      </c>
      <c r="G7923" s="2" t="s">
        <v>121</v>
      </c>
      <c r="L7923" s="2" t="s">
        <v>14242</v>
      </c>
      <c r="M7923" t="s">
        <v>67</v>
      </c>
      <c r="N7923" t="s">
        <v>68</v>
      </c>
      <c r="P7923" s="23">
        <v>152.82</v>
      </c>
      <c r="Q7923" s="4">
        <f t="shared" si="123"/>
        <v>-40</v>
      </c>
      <c r="R7923" s="23" t="s">
        <v>109</v>
      </c>
      <c r="T7923" s="91"/>
    </row>
    <row r="7924" spans="1:20" x14ac:dyDescent="0.25">
      <c r="A7924" s="21">
        <v>45905</v>
      </c>
      <c r="B7924" s="1">
        <v>317975505</v>
      </c>
      <c r="C7924" t="s">
        <v>14243</v>
      </c>
      <c r="D7924" s="43">
        <v>-6112.8</v>
      </c>
      <c r="E7924" t="s">
        <v>35</v>
      </c>
      <c r="F7924" s="2">
        <v>212901001</v>
      </c>
      <c r="G7924" s="2" t="s">
        <v>121</v>
      </c>
      <c r="L7924" s="2" t="s">
        <v>14244</v>
      </c>
      <c r="M7924" t="s">
        <v>67</v>
      </c>
      <c r="N7924" t="s">
        <v>68</v>
      </c>
      <c r="P7924" s="23">
        <v>152.82</v>
      </c>
      <c r="Q7924" s="4">
        <f t="shared" si="123"/>
        <v>-40</v>
      </c>
      <c r="R7924" s="23" t="s">
        <v>109</v>
      </c>
      <c r="T7924" s="91"/>
    </row>
    <row r="7925" spans="1:20" x14ac:dyDescent="0.25">
      <c r="A7925" s="21">
        <v>45905</v>
      </c>
      <c r="B7925" s="1">
        <v>417975508</v>
      </c>
      <c r="C7925" t="s">
        <v>14245</v>
      </c>
      <c r="D7925" s="43">
        <v>-15282</v>
      </c>
      <c r="E7925" t="s">
        <v>35</v>
      </c>
      <c r="F7925" s="2">
        <v>212901001</v>
      </c>
      <c r="G7925" s="2" t="s">
        <v>121</v>
      </c>
      <c r="L7925" s="2" t="s">
        <v>14246</v>
      </c>
      <c r="M7925" t="s">
        <v>67</v>
      </c>
      <c r="N7925" t="s">
        <v>68</v>
      </c>
      <c r="P7925" s="23">
        <v>152.82</v>
      </c>
      <c r="Q7925" s="4">
        <f t="shared" si="123"/>
        <v>-100</v>
      </c>
      <c r="R7925" s="23" t="s">
        <v>109</v>
      </c>
      <c r="T7925" s="91"/>
    </row>
    <row r="7926" spans="1:20" x14ac:dyDescent="0.25">
      <c r="A7926" s="21">
        <v>45905</v>
      </c>
      <c r="B7926" s="1">
        <v>417975507</v>
      </c>
      <c r="C7926" t="s">
        <v>14247</v>
      </c>
      <c r="D7926" s="43">
        <v>-6112.8</v>
      </c>
      <c r="E7926" t="s">
        <v>35</v>
      </c>
      <c r="F7926" s="2">
        <v>212901001</v>
      </c>
      <c r="G7926" s="2" t="s">
        <v>121</v>
      </c>
      <c r="L7926" s="2" t="s">
        <v>14248</v>
      </c>
      <c r="M7926" t="s">
        <v>67</v>
      </c>
      <c r="N7926" t="s">
        <v>68</v>
      </c>
      <c r="P7926" s="23">
        <v>152.82</v>
      </c>
      <c r="Q7926" s="4">
        <f t="shared" si="123"/>
        <v>-40</v>
      </c>
      <c r="R7926" s="23" t="s">
        <v>109</v>
      </c>
      <c r="T7926" s="91"/>
    </row>
    <row r="7927" spans="1:20" x14ac:dyDescent="0.25">
      <c r="A7927" s="21">
        <v>45905</v>
      </c>
      <c r="B7927" s="1">
        <v>417975513</v>
      </c>
      <c r="C7927" t="s">
        <v>14249</v>
      </c>
      <c r="D7927" s="43">
        <v>-16810.2</v>
      </c>
      <c r="E7927" t="s">
        <v>35</v>
      </c>
      <c r="F7927" s="2">
        <v>212901001</v>
      </c>
      <c r="G7927" s="2" t="s">
        <v>121</v>
      </c>
      <c r="L7927" s="2" t="s">
        <v>14250</v>
      </c>
      <c r="M7927" t="s">
        <v>67</v>
      </c>
      <c r="N7927" t="s">
        <v>68</v>
      </c>
      <c r="P7927" s="23">
        <v>152.82</v>
      </c>
      <c r="Q7927" s="4">
        <f t="shared" si="123"/>
        <v>-110.00000000000001</v>
      </c>
      <c r="R7927" s="23" t="s">
        <v>109</v>
      </c>
      <c r="T7927" s="91"/>
    </row>
    <row r="7928" spans="1:20" x14ac:dyDescent="0.25">
      <c r="A7928" s="21">
        <v>45905</v>
      </c>
      <c r="B7928" s="1">
        <v>417975511</v>
      </c>
      <c r="C7928" t="s">
        <v>14251</v>
      </c>
      <c r="D7928" s="43">
        <v>-15282</v>
      </c>
      <c r="E7928" t="s">
        <v>35</v>
      </c>
      <c r="F7928" s="2">
        <v>212901001</v>
      </c>
      <c r="G7928" s="2" t="s">
        <v>121</v>
      </c>
      <c r="L7928" s="2" t="s">
        <v>14252</v>
      </c>
      <c r="M7928" t="s">
        <v>67</v>
      </c>
      <c r="N7928" t="s">
        <v>68</v>
      </c>
      <c r="P7928" s="23">
        <v>152.82</v>
      </c>
      <c r="Q7928" s="4">
        <f t="shared" si="123"/>
        <v>-100</v>
      </c>
      <c r="R7928" s="23" t="s">
        <v>109</v>
      </c>
      <c r="T7928" s="91"/>
    </row>
    <row r="7929" spans="1:20" x14ac:dyDescent="0.25">
      <c r="A7929" s="21">
        <v>45905</v>
      </c>
      <c r="B7929" s="1">
        <v>417975512</v>
      </c>
      <c r="C7929" t="s">
        <v>14253</v>
      </c>
      <c r="D7929" s="43">
        <v>-22923</v>
      </c>
      <c r="E7929" t="s">
        <v>35</v>
      </c>
      <c r="F7929" s="2">
        <v>212901001</v>
      </c>
      <c r="G7929" s="2" t="s">
        <v>121</v>
      </c>
      <c r="L7929" s="2" t="s">
        <v>14254</v>
      </c>
      <c r="M7929" t="s">
        <v>67</v>
      </c>
      <c r="N7929" t="s">
        <v>68</v>
      </c>
      <c r="P7929" s="23">
        <v>152.82</v>
      </c>
      <c r="Q7929" s="4">
        <f t="shared" si="123"/>
        <v>-150</v>
      </c>
      <c r="R7929" s="23" t="s">
        <v>109</v>
      </c>
      <c r="T7929" s="91"/>
    </row>
    <row r="7930" spans="1:20" x14ac:dyDescent="0.25">
      <c r="A7930" s="21">
        <v>45905</v>
      </c>
      <c r="B7930" s="1">
        <v>417975515</v>
      </c>
      <c r="C7930" t="s">
        <v>14255</v>
      </c>
      <c r="D7930" s="43">
        <v>-15282</v>
      </c>
      <c r="E7930" t="s">
        <v>35</v>
      </c>
      <c r="F7930" s="2">
        <v>212901001</v>
      </c>
      <c r="G7930" s="2" t="s">
        <v>121</v>
      </c>
      <c r="L7930" s="2" t="s">
        <v>14256</v>
      </c>
      <c r="M7930" t="s">
        <v>67</v>
      </c>
      <c r="N7930" t="s">
        <v>68</v>
      </c>
      <c r="P7930" s="23">
        <v>152.82</v>
      </c>
      <c r="Q7930" s="4">
        <f t="shared" si="123"/>
        <v>-100</v>
      </c>
      <c r="R7930" s="23" t="s">
        <v>109</v>
      </c>
      <c r="T7930" s="91"/>
    </row>
    <row r="7931" spans="1:20" x14ac:dyDescent="0.25">
      <c r="A7931" s="21">
        <v>45905</v>
      </c>
      <c r="B7931" s="1">
        <v>417975514</v>
      </c>
      <c r="C7931" t="s">
        <v>14257</v>
      </c>
      <c r="D7931" s="43">
        <v>-12225.6</v>
      </c>
      <c r="E7931" t="s">
        <v>35</v>
      </c>
      <c r="F7931" s="2">
        <v>212901001</v>
      </c>
      <c r="G7931" s="2" t="s">
        <v>121</v>
      </c>
      <c r="L7931" s="2" t="s">
        <v>14258</v>
      </c>
      <c r="M7931" t="s">
        <v>67</v>
      </c>
      <c r="N7931" t="s">
        <v>68</v>
      </c>
      <c r="P7931" s="23">
        <v>152.82</v>
      </c>
      <c r="Q7931" s="4">
        <f t="shared" si="123"/>
        <v>-80</v>
      </c>
      <c r="R7931" s="23" t="s">
        <v>109</v>
      </c>
      <c r="T7931" s="91"/>
    </row>
    <row r="7932" spans="1:20" x14ac:dyDescent="0.25">
      <c r="A7932" s="21">
        <v>45905</v>
      </c>
      <c r="B7932" s="1">
        <v>517975517</v>
      </c>
      <c r="C7932" t="s">
        <v>14259</v>
      </c>
      <c r="D7932" s="43">
        <v>-9169.2000000000007</v>
      </c>
      <c r="E7932" t="s">
        <v>35</v>
      </c>
      <c r="F7932" s="2">
        <v>212901001</v>
      </c>
      <c r="G7932" s="2" t="s">
        <v>121</v>
      </c>
      <c r="L7932" s="2" t="s">
        <v>14260</v>
      </c>
      <c r="M7932" t="s">
        <v>67</v>
      </c>
      <c r="N7932" t="s">
        <v>68</v>
      </c>
      <c r="P7932" s="23">
        <v>152.82</v>
      </c>
      <c r="Q7932" s="4">
        <f t="shared" si="123"/>
        <v>-60.000000000000007</v>
      </c>
      <c r="R7932" s="23" t="s">
        <v>109</v>
      </c>
      <c r="T7932" s="91"/>
    </row>
    <row r="7933" spans="1:20" x14ac:dyDescent="0.25">
      <c r="A7933" s="21">
        <v>45905</v>
      </c>
      <c r="B7933" s="1">
        <v>417975516</v>
      </c>
      <c r="C7933" t="s">
        <v>14261</v>
      </c>
      <c r="D7933" s="43">
        <v>-10697.4</v>
      </c>
      <c r="E7933" t="s">
        <v>35</v>
      </c>
      <c r="F7933" s="2">
        <v>212901001</v>
      </c>
      <c r="G7933" s="2" t="s">
        <v>121</v>
      </c>
      <c r="L7933" s="2" t="s">
        <v>14262</v>
      </c>
      <c r="M7933" t="s">
        <v>67</v>
      </c>
      <c r="N7933" t="s">
        <v>68</v>
      </c>
      <c r="P7933" s="23">
        <v>152.82</v>
      </c>
      <c r="Q7933" s="4">
        <f t="shared" si="123"/>
        <v>-70</v>
      </c>
      <c r="R7933" s="23" t="s">
        <v>109</v>
      </c>
      <c r="T7933" s="91"/>
    </row>
    <row r="7934" spans="1:20" x14ac:dyDescent="0.25">
      <c r="A7934" s="21">
        <v>45905</v>
      </c>
      <c r="B7934" s="1">
        <v>517975519</v>
      </c>
      <c r="C7934" t="s">
        <v>14261</v>
      </c>
      <c r="D7934" s="43">
        <v>-7641</v>
      </c>
      <c r="E7934" t="s">
        <v>35</v>
      </c>
      <c r="F7934" s="2">
        <v>212901001</v>
      </c>
      <c r="G7934" s="2" t="s">
        <v>121</v>
      </c>
      <c r="L7934" s="2" t="s">
        <v>14263</v>
      </c>
      <c r="M7934" t="s">
        <v>67</v>
      </c>
      <c r="N7934" t="s">
        <v>68</v>
      </c>
      <c r="P7934" s="23">
        <v>152.82</v>
      </c>
      <c r="Q7934" s="4">
        <f t="shared" si="123"/>
        <v>-50</v>
      </c>
      <c r="R7934" s="23" t="s">
        <v>109</v>
      </c>
      <c r="T7934" s="91"/>
    </row>
    <row r="7935" spans="1:20" x14ac:dyDescent="0.25">
      <c r="A7935" s="21">
        <v>45905</v>
      </c>
      <c r="B7935" s="1">
        <v>517975522</v>
      </c>
      <c r="C7935" t="s">
        <v>14264</v>
      </c>
      <c r="D7935" s="43">
        <v>-7641</v>
      </c>
      <c r="E7935" t="s">
        <v>35</v>
      </c>
      <c r="F7935" s="2">
        <v>212901001</v>
      </c>
      <c r="G7935" s="2" t="s">
        <v>121</v>
      </c>
      <c r="L7935" s="2" t="s">
        <v>14265</v>
      </c>
      <c r="M7935" t="s">
        <v>67</v>
      </c>
      <c r="N7935" t="s">
        <v>68</v>
      </c>
      <c r="P7935" s="23">
        <v>152.82</v>
      </c>
      <c r="Q7935" s="4">
        <f t="shared" si="123"/>
        <v>-50</v>
      </c>
      <c r="R7935" s="23" t="s">
        <v>109</v>
      </c>
      <c r="T7935" s="91"/>
    </row>
    <row r="7936" spans="1:20" x14ac:dyDescent="0.25">
      <c r="A7936" s="21">
        <v>45905</v>
      </c>
      <c r="B7936" s="1">
        <v>517975521</v>
      </c>
      <c r="C7936" t="s">
        <v>14266</v>
      </c>
      <c r="D7936" s="43">
        <v>-7641</v>
      </c>
      <c r="E7936" t="s">
        <v>35</v>
      </c>
      <c r="F7936" s="2">
        <v>212901001</v>
      </c>
      <c r="G7936" s="2" t="s">
        <v>121</v>
      </c>
      <c r="L7936" s="2" t="s">
        <v>14267</v>
      </c>
      <c r="M7936" t="s">
        <v>67</v>
      </c>
      <c r="N7936" t="s">
        <v>68</v>
      </c>
      <c r="P7936" s="23">
        <v>152.82</v>
      </c>
      <c r="Q7936" s="4">
        <f t="shared" si="123"/>
        <v>-50</v>
      </c>
      <c r="R7936" s="23" t="s">
        <v>109</v>
      </c>
      <c r="T7936" s="91"/>
    </row>
    <row r="7937" spans="1:20" x14ac:dyDescent="0.25">
      <c r="A7937" s="21">
        <v>45905</v>
      </c>
      <c r="B7937" s="1">
        <v>517975525</v>
      </c>
      <c r="C7937" t="s">
        <v>14268</v>
      </c>
      <c r="D7937" s="43">
        <v>-6418.44</v>
      </c>
      <c r="E7937" t="s">
        <v>35</v>
      </c>
      <c r="F7937" s="2">
        <v>212901001</v>
      </c>
      <c r="G7937" s="2" t="s">
        <v>121</v>
      </c>
      <c r="L7937" s="2" t="s">
        <v>14269</v>
      </c>
      <c r="M7937" t="s">
        <v>67</v>
      </c>
      <c r="N7937" t="s">
        <v>68</v>
      </c>
      <c r="P7937" s="23">
        <v>152.82</v>
      </c>
      <c r="Q7937" s="4">
        <f t="shared" si="123"/>
        <v>-42</v>
      </c>
      <c r="R7937" s="23" t="s">
        <v>109</v>
      </c>
      <c r="T7937" s="91"/>
    </row>
    <row r="7938" spans="1:20" x14ac:dyDescent="0.25">
      <c r="A7938" s="21">
        <v>45905</v>
      </c>
      <c r="B7938" s="1">
        <v>517975524</v>
      </c>
      <c r="C7938" t="s">
        <v>14270</v>
      </c>
      <c r="D7938" s="43">
        <v>-7641</v>
      </c>
      <c r="E7938" t="s">
        <v>35</v>
      </c>
      <c r="F7938" s="2">
        <v>212901001</v>
      </c>
      <c r="G7938" s="2" t="s">
        <v>121</v>
      </c>
      <c r="L7938" s="2" t="s">
        <v>14271</v>
      </c>
      <c r="M7938" t="s">
        <v>67</v>
      </c>
      <c r="N7938" t="s">
        <v>68</v>
      </c>
      <c r="P7938" s="23">
        <v>152.82</v>
      </c>
      <c r="Q7938" s="4">
        <f t="shared" si="123"/>
        <v>-50</v>
      </c>
      <c r="R7938" s="23" t="s">
        <v>109</v>
      </c>
      <c r="T7938" s="91"/>
    </row>
    <row r="7939" spans="1:20" x14ac:dyDescent="0.25">
      <c r="A7939" s="21">
        <v>45905</v>
      </c>
      <c r="B7939" s="1">
        <v>517975520</v>
      </c>
      <c r="C7939" t="s">
        <v>14268</v>
      </c>
      <c r="D7939" s="43">
        <v>-10697.4</v>
      </c>
      <c r="E7939" t="s">
        <v>35</v>
      </c>
      <c r="F7939" s="2">
        <v>212901001</v>
      </c>
      <c r="G7939" s="2" t="s">
        <v>121</v>
      </c>
      <c r="L7939" s="2" t="s">
        <v>14272</v>
      </c>
      <c r="M7939" t="s">
        <v>67</v>
      </c>
      <c r="N7939" t="s">
        <v>68</v>
      </c>
      <c r="P7939" s="23">
        <v>152.82</v>
      </c>
      <c r="Q7939" s="4">
        <f t="shared" si="123"/>
        <v>-70</v>
      </c>
      <c r="R7939" s="23" t="s">
        <v>109</v>
      </c>
      <c r="T7939" s="91"/>
    </row>
    <row r="7940" spans="1:20" x14ac:dyDescent="0.25">
      <c r="A7940" s="21">
        <v>45905</v>
      </c>
      <c r="B7940" s="1">
        <v>617975526</v>
      </c>
      <c r="C7940" t="s">
        <v>14273</v>
      </c>
      <c r="D7940" s="43">
        <v>-7641</v>
      </c>
      <c r="E7940" t="s">
        <v>35</v>
      </c>
      <c r="F7940" s="2">
        <v>212901001</v>
      </c>
      <c r="G7940" s="2" t="s">
        <v>121</v>
      </c>
      <c r="L7940" s="2" t="s">
        <v>14274</v>
      </c>
      <c r="M7940" t="s">
        <v>67</v>
      </c>
      <c r="N7940" t="s">
        <v>68</v>
      </c>
      <c r="P7940" s="23">
        <v>152.82</v>
      </c>
      <c r="Q7940" s="4">
        <f t="shared" si="123"/>
        <v>-50</v>
      </c>
      <c r="R7940" s="23" t="s">
        <v>109</v>
      </c>
      <c r="T7940" s="91"/>
    </row>
    <row r="7941" spans="1:20" x14ac:dyDescent="0.25">
      <c r="A7941" s="21">
        <v>45905</v>
      </c>
      <c r="B7941" s="1">
        <v>517975523</v>
      </c>
      <c r="C7941" t="s">
        <v>14275</v>
      </c>
      <c r="D7941" s="43">
        <v>-7641</v>
      </c>
      <c r="E7941" t="s">
        <v>35</v>
      </c>
      <c r="F7941" s="2">
        <v>212901001</v>
      </c>
      <c r="G7941" s="2" t="s">
        <v>121</v>
      </c>
      <c r="L7941" s="2" t="s">
        <v>14276</v>
      </c>
      <c r="M7941" t="s">
        <v>67</v>
      </c>
      <c r="N7941" t="s">
        <v>68</v>
      </c>
      <c r="P7941" s="23">
        <v>152.82</v>
      </c>
      <c r="Q7941" s="4">
        <f t="shared" si="123"/>
        <v>-50</v>
      </c>
      <c r="R7941" s="23" t="s">
        <v>109</v>
      </c>
      <c r="T7941" s="91"/>
    </row>
    <row r="7942" spans="1:20" x14ac:dyDescent="0.25">
      <c r="A7942" s="21">
        <v>45905</v>
      </c>
      <c r="B7942" s="1">
        <v>617975528</v>
      </c>
      <c r="C7942" t="s">
        <v>14277</v>
      </c>
      <c r="D7942" s="43">
        <v>-7641</v>
      </c>
      <c r="E7942" t="s">
        <v>35</v>
      </c>
      <c r="F7942" s="2">
        <v>212901001</v>
      </c>
      <c r="G7942" s="2" t="s">
        <v>121</v>
      </c>
      <c r="L7942" s="2" t="s">
        <v>14278</v>
      </c>
      <c r="M7942" t="s">
        <v>67</v>
      </c>
      <c r="N7942" t="s">
        <v>68</v>
      </c>
      <c r="P7942" s="23">
        <v>152.82</v>
      </c>
      <c r="Q7942" s="4">
        <f t="shared" si="123"/>
        <v>-50</v>
      </c>
      <c r="R7942" s="23" t="s">
        <v>109</v>
      </c>
      <c r="T7942" s="91"/>
    </row>
    <row r="7943" spans="1:20" x14ac:dyDescent="0.25">
      <c r="A7943" s="21">
        <v>45905</v>
      </c>
      <c r="B7943" s="1">
        <v>617975530</v>
      </c>
      <c r="C7943" t="s">
        <v>14279</v>
      </c>
      <c r="D7943" s="43">
        <v>-7641</v>
      </c>
      <c r="E7943" t="s">
        <v>35</v>
      </c>
      <c r="F7943" s="2">
        <v>212901001</v>
      </c>
      <c r="G7943" s="2" t="s">
        <v>121</v>
      </c>
      <c r="L7943" s="2" t="s">
        <v>14280</v>
      </c>
      <c r="M7943" t="s">
        <v>67</v>
      </c>
      <c r="N7943" t="s">
        <v>68</v>
      </c>
      <c r="P7943" s="23">
        <v>152.82</v>
      </c>
      <c r="Q7943" s="4">
        <f t="shared" si="123"/>
        <v>-50</v>
      </c>
      <c r="R7943" s="23" t="s">
        <v>109</v>
      </c>
      <c r="T7943" s="91"/>
    </row>
    <row r="7944" spans="1:20" x14ac:dyDescent="0.25">
      <c r="A7944" s="21">
        <v>45905</v>
      </c>
      <c r="B7944" s="1">
        <v>617975529</v>
      </c>
      <c r="C7944" t="s">
        <v>14281</v>
      </c>
      <c r="D7944" s="43">
        <v>-7641</v>
      </c>
      <c r="E7944" t="s">
        <v>35</v>
      </c>
      <c r="F7944" s="2">
        <v>212901001</v>
      </c>
      <c r="G7944" s="2" t="s">
        <v>121</v>
      </c>
      <c r="L7944" s="2" t="s">
        <v>14282</v>
      </c>
      <c r="M7944" t="s">
        <v>67</v>
      </c>
      <c r="N7944" t="s">
        <v>68</v>
      </c>
      <c r="P7944" s="23">
        <v>152.82</v>
      </c>
      <c r="Q7944" s="4">
        <f t="shared" si="123"/>
        <v>-50</v>
      </c>
      <c r="R7944" s="23" t="s">
        <v>109</v>
      </c>
      <c r="T7944" s="91"/>
    </row>
    <row r="7945" spans="1:20" x14ac:dyDescent="0.25">
      <c r="A7945" s="21">
        <v>45905</v>
      </c>
      <c r="B7945" s="1">
        <v>617975532</v>
      </c>
      <c r="C7945" t="s">
        <v>14283</v>
      </c>
      <c r="D7945" s="43">
        <v>-7641</v>
      </c>
      <c r="E7945" t="s">
        <v>35</v>
      </c>
      <c r="F7945" s="2">
        <v>212901001</v>
      </c>
      <c r="G7945" s="2" t="s">
        <v>121</v>
      </c>
      <c r="L7945" s="2" t="s">
        <v>14284</v>
      </c>
      <c r="M7945" t="s">
        <v>67</v>
      </c>
      <c r="N7945" t="s">
        <v>68</v>
      </c>
      <c r="P7945" s="23">
        <v>152.82</v>
      </c>
      <c r="Q7945" s="4">
        <f t="shared" si="123"/>
        <v>-50</v>
      </c>
      <c r="R7945" s="23" t="s">
        <v>109</v>
      </c>
      <c r="T7945" s="91"/>
    </row>
    <row r="7946" spans="1:20" x14ac:dyDescent="0.25">
      <c r="A7946" s="21">
        <v>45905</v>
      </c>
      <c r="B7946" s="1">
        <v>617975533</v>
      </c>
      <c r="C7946" t="s">
        <v>14285</v>
      </c>
      <c r="D7946" s="43">
        <v>-7641</v>
      </c>
      <c r="E7946" t="s">
        <v>35</v>
      </c>
      <c r="F7946" s="2">
        <v>212901001</v>
      </c>
      <c r="G7946" s="2" t="s">
        <v>121</v>
      </c>
      <c r="L7946" s="2" t="s">
        <v>14286</v>
      </c>
      <c r="M7946" t="s">
        <v>67</v>
      </c>
      <c r="N7946" t="s">
        <v>68</v>
      </c>
      <c r="P7946" s="23">
        <v>152.82</v>
      </c>
      <c r="Q7946" s="4">
        <f t="shared" si="123"/>
        <v>-50</v>
      </c>
      <c r="R7946" s="23" t="s">
        <v>109</v>
      </c>
      <c r="T7946" s="91"/>
    </row>
    <row r="7947" spans="1:20" x14ac:dyDescent="0.25">
      <c r="A7947" s="21">
        <v>45905</v>
      </c>
      <c r="B7947" s="1">
        <v>617975534</v>
      </c>
      <c r="C7947" t="s">
        <v>14287</v>
      </c>
      <c r="D7947" s="43">
        <v>-7641</v>
      </c>
      <c r="E7947" t="s">
        <v>35</v>
      </c>
      <c r="F7947" s="2">
        <v>212901001</v>
      </c>
      <c r="G7947" s="2" t="s">
        <v>121</v>
      </c>
      <c r="L7947" s="2" t="s">
        <v>14288</v>
      </c>
      <c r="M7947" t="s">
        <v>67</v>
      </c>
      <c r="N7947" t="s">
        <v>68</v>
      </c>
      <c r="P7947" s="23">
        <v>152.82</v>
      </c>
      <c r="Q7947" s="4">
        <f t="shared" ref="Q7947:Q8010" si="124">D7947/P7947</f>
        <v>-50</v>
      </c>
      <c r="R7947" s="23" t="s">
        <v>109</v>
      </c>
      <c r="T7947" s="91"/>
    </row>
    <row r="7948" spans="1:20" x14ac:dyDescent="0.25">
      <c r="A7948" s="21">
        <v>45905</v>
      </c>
      <c r="B7948" s="1">
        <v>617975535</v>
      </c>
      <c r="C7948" t="s">
        <v>14289</v>
      </c>
      <c r="D7948" s="43">
        <v>-7641</v>
      </c>
      <c r="E7948" t="s">
        <v>35</v>
      </c>
      <c r="F7948" s="2">
        <v>212901001</v>
      </c>
      <c r="G7948" s="2" t="s">
        <v>121</v>
      </c>
      <c r="L7948" s="2" t="s">
        <v>14290</v>
      </c>
      <c r="M7948" t="s">
        <v>67</v>
      </c>
      <c r="N7948" t="s">
        <v>68</v>
      </c>
      <c r="P7948" s="23">
        <v>152.82</v>
      </c>
      <c r="Q7948" s="4">
        <f t="shared" si="124"/>
        <v>-50</v>
      </c>
      <c r="R7948" s="23" t="s">
        <v>109</v>
      </c>
      <c r="T7948" s="91"/>
    </row>
    <row r="7949" spans="1:20" x14ac:dyDescent="0.25">
      <c r="A7949" s="21">
        <v>45905</v>
      </c>
      <c r="B7949" s="1">
        <v>717975538</v>
      </c>
      <c r="C7949" t="s">
        <v>14291</v>
      </c>
      <c r="D7949" s="43">
        <v>-3056.4</v>
      </c>
      <c r="E7949" t="s">
        <v>35</v>
      </c>
      <c r="F7949" s="2">
        <v>212901001</v>
      </c>
      <c r="G7949" s="2" t="s">
        <v>121</v>
      </c>
      <c r="L7949" s="2" t="s">
        <v>14292</v>
      </c>
      <c r="M7949" t="s">
        <v>67</v>
      </c>
      <c r="N7949" t="s">
        <v>68</v>
      </c>
      <c r="P7949" s="23">
        <v>152.82</v>
      </c>
      <c r="Q7949" s="4">
        <f t="shared" si="124"/>
        <v>-20</v>
      </c>
      <c r="R7949" s="23" t="s">
        <v>109</v>
      </c>
      <c r="T7949" s="91"/>
    </row>
    <row r="7950" spans="1:20" x14ac:dyDescent="0.25">
      <c r="A7950" s="21">
        <v>45905</v>
      </c>
      <c r="B7950" s="1">
        <v>617975536</v>
      </c>
      <c r="C7950" t="s">
        <v>14293</v>
      </c>
      <c r="D7950" s="43">
        <v>-3056.4</v>
      </c>
      <c r="E7950" t="s">
        <v>35</v>
      </c>
      <c r="F7950" s="2">
        <v>212901001</v>
      </c>
      <c r="G7950" s="2" t="s">
        <v>121</v>
      </c>
      <c r="L7950" s="2" t="s">
        <v>14294</v>
      </c>
      <c r="M7950" t="s">
        <v>67</v>
      </c>
      <c r="N7950" t="s">
        <v>68</v>
      </c>
      <c r="P7950" s="23">
        <v>152.82</v>
      </c>
      <c r="Q7950" s="4">
        <f t="shared" si="124"/>
        <v>-20</v>
      </c>
      <c r="R7950" s="23" t="s">
        <v>109</v>
      </c>
      <c r="T7950" s="91"/>
    </row>
    <row r="7951" spans="1:20" x14ac:dyDescent="0.25">
      <c r="A7951" s="21">
        <v>45905</v>
      </c>
      <c r="B7951" s="1">
        <v>717975537</v>
      </c>
      <c r="C7951" t="s">
        <v>14295</v>
      </c>
      <c r="D7951" s="43">
        <v>-3056.4</v>
      </c>
      <c r="E7951" t="s">
        <v>35</v>
      </c>
      <c r="F7951" s="2">
        <v>212901001</v>
      </c>
      <c r="G7951" s="2" t="s">
        <v>121</v>
      </c>
      <c r="L7951" s="2" t="s">
        <v>14296</v>
      </c>
      <c r="M7951" t="s">
        <v>67</v>
      </c>
      <c r="N7951" t="s">
        <v>68</v>
      </c>
      <c r="P7951" s="23">
        <v>152.82</v>
      </c>
      <c r="Q7951" s="4">
        <f t="shared" si="124"/>
        <v>-20</v>
      </c>
      <c r="R7951" s="23" t="s">
        <v>109</v>
      </c>
      <c r="T7951" s="91"/>
    </row>
    <row r="7952" spans="1:20" x14ac:dyDescent="0.25">
      <c r="A7952" s="21">
        <v>45905</v>
      </c>
      <c r="B7952" s="1">
        <v>717975540</v>
      </c>
      <c r="C7952" t="s">
        <v>14297</v>
      </c>
      <c r="D7952" s="43">
        <v>-15282</v>
      </c>
      <c r="E7952" t="s">
        <v>35</v>
      </c>
      <c r="F7952" s="2">
        <v>212901001</v>
      </c>
      <c r="G7952" s="2" t="s">
        <v>121</v>
      </c>
      <c r="L7952" s="2" t="s">
        <v>14298</v>
      </c>
      <c r="M7952" t="s">
        <v>67</v>
      </c>
      <c r="N7952" t="s">
        <v>68</v>
      </c>
      <c r="P7952" s="23">
        <v>152.82</v>
      </c>
      <c r="Q7952" s="4">
        <f t="shared" si="124"/>
        <v>-100</v>
      </c>
      <c r="R7952" s="23" t="s">
        <v>109</v>
      </c>
      <c r="T7952" s="91"/>
    </row>
    <row r="7953" spans="1:20" x14ac:dyDescent="0.25">
      <c r="A7953" s="21">
        <v>45905</v>
      </c>
      <c r="B7953" s="1">
        <v>717975539</v>
      </c>
      <c r="C7953" t="s">
        <v>14299</v>
      </c>
      <c r="D7953" s="43">
        <v>-3056.4</v>
      </c>
      <c r="E7953" t="s">
        <v>35</v>
      </c>
      <c r="F7953" s="2">
        <v>212901001</v>
      </c>
      <c r="G7953" s="2" t="s">
        <v>121</v>
      </c>
      <c r="L7953" s="2" t="s">
        <v>14300</v>
      </c>
      <c r="M7953" t="s">
        <v>67</v>
      </c>
      <c r="N7953" t="s">
        <v>68</v>
      </c>
      <c r="P7953" s="23">
        <v>152.82</v>
      </c>
      <c r="Q7953" s="4">
        <f t="shared" si="124"/>
        <v>-20</v>
      </c>
      <c r="R7953" s="23" t="s">
        <v>109</v>
      </c>
      <c r="T7953" s="91"/>
    </row>
    <row r="7954" spans="1:20" x14ac:dyDescent="0.25">
      <c r="A7954" s="21">
        <v>45905</v>
      </c>
      <c r="B7954" s="1">
        <v>717975543</v>
      </c>
      <c r="C7954" t="s">
        <v>14301</v>
      </c>
      <c r="D7954" s="43">
        <v>-4584.6000000000004</v>
      </c>
      <c r="E7954" t="s">
        <v>35</v>
      </c>
      <c r="F7954" s="2">
        <v>212901001</v>
      </c>
      <c r="G7954" s="2" t="s">
        <v>121</v>
      </c>
      <c r="L7954" s="2" t="s">
        <v>14302</v>
      </c>
      <c r="M7954" t="s">
        <v>67</v>
      </c>
      <c r="N7954" t="s">
        <v>68</v>
      </c>
      <c r="P7954" s="23">
        <v>152.82</v>
      </c>
      <c r="Q7954" s="4">
        <f t="shared" si="124"/>
        <v>-30.000000000000004</v>
      </c>
      <c r="R7954" s="23" t="s">
        <v>109</v>
      </c>
      <c r="T7954" s="91"/>
    </row>
    <row r="7955" spans="1:20" x14ac:dyDescent="0.25">
      <c r="A7955" s="21">
        <v>45905</v>
      </c>
      <c r="B7955" s="1">
        <v>717975542</v>
      </c>
      <c r="C7955" t="s">
        <v>14303</v>
      </c>
      <c r="D7955" s="43">
        <v>-21853.26</v>
      </c>
      <c r="E7955" t="s">
        <v>35</v>
      </c>
      <c r="F7955" s="2">
        <v>212901001</v>
      </c>
      <c r="G7955" s="2" t="s">
        <v>121</v>
      </c>
      <c r="L7955" s="2" t="s">
        <v>14304</v>
      </c>
      <c r="M7955" t="s">
        <v>67</v>
      </c>
      <c r="N7955" t="s">
        <v>68</v>
      </c>
      <c r="P7955" s="23">
        <v>152.82</v>
      </c>
      <c r="Q7955" s="4">
        <f t="shared" si="124"/>
        <v>-143</v>
      </c>
      <c r="R7955" s="23" t="s">
        <v>109</v>
      </c>
      <c r="T7955" s="91"/>
    </row>
    <row r="7956" spans="1:20" x14ac:dyDescent="0.25">
      <c r="A7956" s="21">
        <v>45905</v>
      </c>
      <c r="B7956" s="1">
        <v>717975544</v>
      </c>
      <c r="C7956" t="s">
        <v>14305</v>
      </c>
      <c r="D7956" s="43">
        <v>-6112.8</v>
      </c>
      <c r="E7956" t="s">
        <v>35</v>
      </c>
      <c r="F7956" s="2">
        <v>212901001</v>
      </c>
      <c r="G7956" s="2" t="s">
        <v>121</v>
      </c>
      <c r="L7956" s="2" t="s">
        <v>14306</v>
      </c>
      <c r="M7956" t="s">
        <v>67</v>
      </c>
      <c r="N7956" t="s">
        <v>68</v>
      </c>
      <c r="P7956" s="23">
        <v>152.82</v>
      </c>
      <c r="Q7956" s="4">
        <f t="shared" si="124"/>
        <v>-40</v>
      </c>
      <c r="R7956" s="23" t="s">
        <v>109</v>
      </c>
      <c r="T7956" s="91"/>
    </row>
    <row r="7957" spans="1:20" x14ac:dyDescent="0.25">
      <c r="A7957" s="21">
        <v>45905</v>
      </c>
      <c r="B7957" s="1">
        <v>717975541</v>
      </c>
      <c r="C7957" t="s">
        <v>14307</v>
      </c>
      <c r="D7957" s="43">
        <v>-30564</v>
      </c>
      <c r="E7957" t="s">
        <v>35</v>
      </c>
      <c r="F7957" s="2">
        <v>212901001</v>
      </c>
      <c r="G7957" s="2" t="s">
        <v>121</v>
      </c>
      <c r="L7957" s="2" t="s">
        <v>14308</v>
      </c>
      <c r="M7957" t="s">
        <v>67</v>
      </c>
      <c r="N7957" t="s">
        <v>68</v>
      </c>
      <c r="P7957" s="23">
        <v>152.82</v>
      </c>
      <c r="Q7957" s="4">
        <f t="shared" si="124"/>
        <v>-200</v>
      </c>
      <c r="R7957" s="23" t="s">
        <v>109</v>
      </c>
      <c r="T7957" s="91"/>
    </row>
    <row r="7958" spans="1:20" x14ac:dyDescent="0.25">
      <c r="A7958" s="21">
        <v>45905</v>
      </c>
      <c r="B7958" s="1">
        <v>50986330</v>
      </c>
      <c r="C7958" t="s">
        <v>14309</v>
      </c>
      <c r="D7958" s="43">
        <v>-21394.799999999999</v>
      </c>
      <c r="E7958" t="s">
        <v>35</v>
      </c>
      <c r="F7958" s="2">
        <v>212901001</v>
      </c>
      <c r="G7958" s="2" t="s">
        <v>121</v>
      </c>
      <c r="L7958" s="2" t="s">
        <v>14310</v>
      </c>
      <c r="M7958" t="s">
        <v>67</v>
      </c>
      <c r="N7958" t="s">
        <v>68</v>
      </c>
      <c r="P7958" s="23">
        <v>152.82</v>
      </c>
      <c r="Q7958" s="4">
        <f t="shared" si="124"/>
        <v>-140</v>
      </c>
      <c r="R7958" s="23" t="s">
        <v>109</v>
      </c>
      <c r="T7958" s="91"/>
    </row>
    <row r="7959" spans="1:20" x14ac:dyDescent="0.25">
      <c r="A7959" s="21">
        <v>45905</v>
      </c>
      <c r="B7959" s="1">
        <v>50986330</v>
      </c>
      <c r="C7959" t="s">
        <v>296</v>
      </c>
      <c r="D7959" s="43">
        <v>-32.090000000000003</v>
      </c>
      <c r="E7959" t="s">
        <v>35</v>
      </c>
      <c r="F7959" s="2">
        <v>610148001</v>
      </c>
      <c r="G7959" s="2" t="s">
        <v>42</v>
      </c>
      <c r="L7959" s="2" t="s">
        <v>14311</v>
      </c>
      <c r="M7959" t="s">
        <v>43</v>
      </c>
      <c r="N7959" t="s">
        <v>42</v>
      </c>
      <c r="P7959" s="23">
        <v>152.82</v>
      </c>
      <c r="Q7959" s="4">
        <f t="shared" si="124"/>
        <v>-0.20998560397853688</v>
      </c>
      <c r="R7959" s="23" t="s">
        <v>109</v>
      </c>
      <c r="T7959" s="90" t="s">
        <v>14165</v>
      </c>
    </row>
    <row r="7960" spans="1:20" x14ac:dyDescent="0.25">
      <c r="A7960" s="21">
        <v>45905</v>
      </c>
      <c r="B7960" s="1">
        <v>50986330</v>
      </c>
      <c r="C7960" t="s">
        <v>118</v>
      </c>
      <c r="D7960" s="43">
        <v>-1683.69</v>
      </c>
      <c r="E7960" t="s">
        <v>35</v>
      </c>
      <c r="F7960" s="2">
        <v>610148001</v>
      </c>
      <c r="G7960" s="2" t="s">
        <v>42</v>
      </c>
      <c r="L7960" s="2" t="s">
        <v>14312</v>
      </c>
      <c r="M7960" t="s">
        <v>43</v>
      </c>
      <c r="N7960" t="s">
        <v>42</v>
      </c>
      <c r="P7960" s="23">
        <v>152.82</v>
      </c>
      <c r="Q7960" s="4">
        <f t="shared" si="124"/>
        <v>-11.01747153513938</v>
      </c>
      <c r="R7960" s="23" t="s">
        <v>109</v>
      </c>
      <c r="T7960" s="90" t="s">
        <v>14165</v>
      </c>
    </row>
    <row r="7961" spans="1:20" x14ac:dyDescent="0.25">
      <c r="A7961" s="21">
        <v>45905</v>
      </c>
      <c r="B7961" s="1">
        <v>143052060</v>
      </c>
      <c r="C7961" t="s">
        <v>107</v>
      </c>
      <c r="D7961" s="43">
        <v>75000</v>
      </c>
      <c r="E7961" t="s">
        <v>46</v>
      </c>
      <c r="F7961" s="2">
        <v>210115002</v>
      </c>
      <c r="G7961" s="2" t="s">
        <v>12156</v>
      </c>
      <c r="L7961" s="2" t="s">
        <v>14313</v>
      </c>
      <c r="N7961" t="s">
        <v>107</v>
      </c>
      <c r="P7961" s="23">
        <v>152.82</v>
      </c>
      <c r="Q7961" s="4">
        <f t="shared" si="124"/>
        <v>490.77345897133887</v>
      </c>
      <c r="R7961" s="23" t="s">
        <v>109</v>
      </c>
      <c r="T7961" s="91"/>
    </row>
    <row r="7962" spans="1:20" x14ac:dyDescent="0.25">
      <c r="A7962" s="21">
        <v>45905</v>
      </c>
      <c r="C7962" t="s">
        <v>8641</v>
      </c>
      <c r="D7962" s="43">
        <v>-126.28</v>
      </c>
      <c r="E7962" t="s">
        <v>35</v>
      </c>
      <c r="F7962" s="2">
        <v>610148001</v>
      </c>
      <c r="G7962" s="2" t="s">
        <v>42</v>
      </c>
      <c r="L7962" s="2" t="s">
        <v>14314</v>
      </c>
      <c r="M7962" t="s">
        <v>43</v>
      </c>
      <c r="N7962" t="s">
        <v>42</v>
      </c>
      <c r="P7962" s="23">
        <v>152.82</v>
      </c>
      <c r="Q7962" s="4">
        <f t="shared" si="124"/>
        <v>-0.82633163198534232</v>
      </c>
      <c r="R7962" s="23" t="s">
        <v>109</v>
      </c>
      <c r="T7962" s="90" t="s">
        <v>14165</v>
      </c>
    </row>
    <row r="7963" spans="1:20" x14ac:dyDescent="0.25">
      <c r="A7963" s="21">
        <v>45905</v>
      </c>
      <c r="B7963" s="1">
        <v>313585</v>
      </c>
      <c r="C7963" t="s">
        <v>14315</v>
      </c>
      <c r="D7963" s="43">
        <v>-74129.58</v>
      </c>
      <c r="E7963" t="s">
        <v>35</v>
      </c>
      <c r="F7963" s="2">
        <v>213401001</v>
      </c>
      <c r="G7963" s="2" t="s">
        <v>126</v>
      </c>
      <c r="L7963" s="2" t="s">
        <v>14316</v>
      </c>
      <c r="M7963" t="s">
        <v>128</v>
      </c>
      <c r="N7963" t="s">
        <v>129</v>
      </c>
      <c r="P7963" s="23">
        <v>152.82</v>
      </c>
      <c r="Q7963" s="4">
        <f t="shared" si="124"/>
        <v>-485.0777385159011</v>
      </c>
      <c r="R7963" s="23" t="s">
        <v>109</v>
      </c>
      <c r="T7963" s="92" t="s">
        <v>14317</v>
      </c>
    </row>
    <row r="7964" spans="1:20" x14ac:dyDescent="0.25">
      <c r="A7964" s="21">
        <v>45908</v>
      </c>
      <c r="B7964" s="1">
        <v>143527219</v>
      </c>
      <c r="C7964" t="s">
        <v>107</v>
      </c>
      <c r="D7964" s="43">
        <v>1000</v>
      </c>
      <c r="E7964" t="s">
        <v>46</v>
      </c>
      <c r="F7964" s="2">
        <v>210115002</v>
      </c>
      <c r="G7964" s="2" t="s">
        <v>12156</v>
      </c>
      <c r="L7964" s="2" t="s">
        <v>14318</v>
      </c>
      <c r="N7964" t="s">
        <v>107</v>
      </c>
      <c r="P7964" s="23">
        <v>154.01</v>
      </c>
      <c r="Q7964" s="4">
        <f t="shared" si="124"/>
        <v>6.4930848646191812</v>
      </c>
      <c r="R7964" s="23" t="s">
        <v>109</v>
      </c>
      <c r="T7964" s="91"/>
    </row>
    <row r="7965" spans="1:20" x14ac:dyDescent="0.25">
      <c r="A7965" s="21">
        <v>45908</v>
      </c>
      <c r="B7965" s="1">
        <v>818156631</v>
      </c>
      <c r="C7965" t="s">
        <v>14319</v>
      </c>
      <c r="D7965" s="43">
        <v>-518.30999999999995</v>
      </c>
      <c r="E7965" t="s">
        <v>35</v>
      </c>
      <c r="F7965" s="2">
        <v>210101001</v>
      </c>
      <c r="G7965" s="2" t="s">
        <v>36</v>
      </c>
      <c r="L7965" s="2" t="s">
        <v>14320</v>
      </c>
      <c r="M7965" t="s">
        <v>1186</v>
      </c>
      <c r="N7965" t="s">
        <v>1187</v>
      </c>
      <c r="P7965" s="23">
        <v>154.01</v>
      </c>
      <c r="Q7965" s="4">
        <f t="shared" si="124"/>
        <v>-3.3654308161807673</v>
      </c>
      <c r="R7965" s="23" t="s">
        <v>109</v>
      </c>
      <c r="T7965" s="91"/>
    </row>
    <row r="7966" spans="1:20" x14ac:dyDescent="0.25">
      <c r="A7966" s="21">
        <v>45908</v>
      </c>
      <c r="B7966" s="1">
        <v>818156633</v>
      </c>
      <c r="C7966" t="s">
        <v>14321</v>
      </c>
      <c r="D7966" s="43">
        <v>-6055.2</v>
      </c>
      <c r="E7966" t="s">
        <v>35</v>
      </c>
      <c r="F7966" s="2">
        <v>210101001</v>
      </c>
      <c r="G7966" s="2" t="s">
        <v>36</v>
      </c>
      <c r="L7966" s="2" t="s">
        <v>14322</v>
      </c>
      <c r="M7966" t="s">
        <v>303</v>
      </c>
      <c r="N7966" t="s">
        <v>304</v>
      </c>
      <c r="P7966" s="23">
        <v>154.01</v>
      </c>
      <c r="Q7966" s="4">
        <f t="shared" si="124"/>
        <v>-39.316927472242064</v>
      </c>
      <c r="R7966" s="23" t="s">
        <v>109</v>
      </c>
      <c r="T7966" s="91"/>
    </row>
    <row r="7967" spans="1:20" x14ac:dyDescent="0.25">
      <c r="A7967" s="21">
        <v>45908</v>
      </c>
      <c r="B7967" s="1">
        <v>50995271</v>
      </c>
      <c r="C7967" t="s">
        <v>118</v>
      </c>
      <c r="D7967" s="43">
        <v>-16.43</v>
      </c>
      <c r="E7967" t="s">
        <v>35</v>
      </c>
      <c r="F7967" s="2">
        <v>610148001</v>
      </c>
      <c r="G7967" s="2" t="s">
        <v>42</v>
      </c>
      <c r="L7967" s="2" t="s">
        <v>14323</v>
      </c>
      <c r="M7967" t="s">
        <v>43</v>
      </c>
      <c r="N7967" t="s">
        <v>42</v>
      </c>
      <c r="P7967" s="23">
        <v>154.01</v>
      </c>
      <c r="Q7967" s="4">
        <f t="shared" si="124"/>
        <v>-0.10668138432569314</v>
      </c>
      <c r="R7967" s="23" t="s">
        <v>109</v>
      </c>
      <c r="T7967" s="90" t="s">
        <v>14165</v>
      </c>
    </row>
    <row r="7968" spans="1:20" x14ac:dyDescent="0.25">
      <c r="A7968" s="21">
        <v>45909</v>
      </c>
      <c r="B7968" s="1">
        <v>93938994</v>
      </c>
      <c r="C7968" t="s">
        <v>107</v>
      </c>
      <c r="D7968" s="43">
        <v>50000</v>
      </c>
      <c r="E7968" t="s">
        <v>46</v>
      </c>
      <c r="F7968" s="2">
        <v>210115002</v>
      </c>
      <c r="G7968" s="2" t="s">
        <v>12156</v>
      </c>
      <c r="L7968" s="2" t="s">
        <v>14324</v>
      </c>
      <c r="N7968" t="s">
        <v>107</v>
      </c>
      <c r="P7968" s="23">
        <v>154.97999999999999</v>
      </c>
      <c r="Q7968" s="4">
        <f t="shared" si="124"/>
        <v>322.62227384178607</v>
      </c>
      <c r="R7968" s="23" t="s">
        <v>109</v>
      </c>
      <c r="T7968" s="91"/>
    </row>
    <row r="7969" spans="1:20" x14ac:dyDescent="0.25">
      <c r="A7969" s="21">
        <v>45909</v>
      </c>
      <c r="B7969" s="1">
        <v>802358757</v>
      </c>
      <c r="C7969" t="s">
        <v>14325</v>
      </c>
      <c r="D7969" s="43">
        <v>-47580.12</v>
      </c>
      <c r="E7969" t="s">
        <v>35</v>
      </c>
      <c r="F7969" s="2">
        <v>210101001</v>
      </c>
      <c r="G7969" s="2" t="s">
        <v>36</v>
      </c>
      <c r="L7969" s="2" t="s">
        <v>14326</v>
      </c>
      <c r="M7969" t="s">
        <v>714</v>
      </c>
      <c r="N7969" t="s">
        <v>715</v>
      </c>
      <c r="P7969" s="23">
        <v>154.97999999999999</v>
      </c>
      <c r="Q7969" s="4">
        <f t="shared" si="124"/>
        <v>-307.00813008130086</v>
      </c>
      <c r="R7969" s="23" t="s">
        <v>109</v>
      </c>
      <c r="T7969" s="91"/>
    </row>
    <row r="7970" spans="1:20" x14ac:dyDescent="0.25">
      <c r="A7970" s="21">
        <v>45909</v>
      </c>
      <c r="B7970" s="1">
        <v>802358757</v>
      </c>
      <c r="C7970" t="s">
        <v>306</v>
      </c>
      <c r="D7970" s="43">
        <v>-142.74</v>
      </c>
      <c r="E7970" t="s">
        <v>35</v>
      </c>
      <c r="F7970" s="2">
        <v>610148001</v>
      </c>
      <c r="G7970" s="2" t="s">
        <v>42</v>
      </c>
      <c r="L7970" s="2" t="s">
        <v>14327</v>
      </c>
      <c r="M7970" t="s">
        <v>43</v>
      </c>
      <c r="N7970" t="s">
        <v>42</v>
      </c>
      <c r="P7970" s="23">
        <v>154.97999999999999</v>
      </c>
      <c r="Q7970" s="4">
        <f t="shared" si="124"/>
        <v>-0.92102206736353087</v>
      </c>
      <c r="R7970" s="23" t="s">
        <v>109</v>
      </c>
      <c r="T7970" s="90" t="s">
        <v>14165</v>
      </c>
    </row>
    <row r="7971" spans="1:20" x14ac:dyDescent="0.25">
      <c r="A7971" s="21">
        <v>45909</v>
      </c>
      <c r="B7971" s="1">
        <v>765587587</v>
      </c>
      <c r="C7971" t="s">
        <v>544</v>
      </c>
      <c r="D7971" s="43">
        <v>40000</v>
      </c>
      <c r="E7971" t="s">
        <v>46</v>
      </c>
      <c r="F7971" s="2">
        <v>210115002</v>
      </c>
      <c r="G7971" s="2" t="s">
        <v>12156</v>
      </c>
      <c r="L7971" s="2" t="s">
        <v>14328</v>
      </c>
      <c r="N7971" t="s">
        <v>544</v>
      </c>
      <c r="P7971" s="23">
        <v>154.97999999999999</v>
      </c>
      <c r="Q7971" s="4">
        <f t="shared" si="124"/>
        <v>258.09781907342887</v>
      </c>
      <c r="R7971" s="23" t="s">
        <v>109</v>
      </c>
      <c r="T7971" s="91"/>
    </row>
    <row r="7972" spans="1:20" x14ac:dyDescent="0.25">
      <c r="A7972" s="21">
        <v>45909</v>
      </c>
      <c r="B7972" s="1">
        <v>118194135</v>
      </c>
      <c r="C7972" t="s">
        <v>14329</v>
      </c>
      <c r="D7972" s="43">
        <v>-3132</v>
      </c>
      <c r="E7972" t="s">
        <v>35</v>
      </c>
      <c r="F7972" s="2">
        <v>210101001</v>
      </c>
      <c r="G7972" s="2" t="s">
        <v>36</v>
      </c>
      <c r="L7972" s="2" t="s">
        <v>14330</v>
      </c>
      <c r="M7972" t="s">
        <v>303</v>
      </c>
      <c r="N7972" t="s">
        <v>304</v>
      </c>
      <c r="P7972" s="23">
        <v>154.97999999999999</v>
      </c>
      <c r="Q7972" s="4">
        <f t="shared" si="124"/>
        <v>-20.20905923344948</v>
      </c>
      <c r="R7972" s="23" t="s">
        <v>109</v>
      </c>
      <c r="T7972" s="91"/>
    </row>
    <row r="7973" spans="1:20" x14ac:dyDescent="0.25">
      <c r="A7973" s="21">
        <v>45909</v>
      </c>
      <c r="B7973" s="1">
        <v>118194136</v>
      </c>
      <c r="C7973" t="s">
        <v>14331</v>
      </c>
      <c r="D7973" s="43">
        <v>-35154.61</v>
      </c>
      <c r="E7973" t="s">
        <v>35</v>
      </c>
      <c r="F7973" s="2">
        <v>210101001</v>
      </c>
      <c r="G7973" s="2" t="s">
        <v>36</v>
      </c>
      <c r="L7973" s="2" t="s">
        <v>14332</v>
      </c>
      <c r="M7973" t="s">
        <v>788</v>
      </c>
      <c r="N7973" t="s">
        <v>789</v>
      </c>
      <c r="P7973" s="23">
        <v>154.97999999999999</v>
      </c>
      <c r="Q7973" s="4">
        <f t="shared" si="124"/>
        <v>-226.83320428442383</v>
      </c>
      <c r="R7973" s="23" t="s">
        <v>109</v>
      </c>
      <c r="T7973" s="91"/>
    </row>
    <row r="7974" spans="1:20" x14ac:dyDescent="0.25">
      <c r="A7974" s="21">
        <v>45909</v>
      </c>
      <c r="B7974" s="1">
        <v>50926764</v>
      </c>
      <c r="C7974" t="s">
        <v>118</v>
      </c>
      <c r="D7974" s="43">
        <v>-95.71</v>
      </c>
      <c r="E7974" t="s">
        <v>35</v>
      </c>
      <c r="F7974" s="2">
        <v>610148001</v>
      </c>
      <c r="G7974" s="2" t="s">
        <v>42</v>
      </c>
      <c r="L7974" s="2" t="s">
        <v>14333</v>
      </c>
      <c r="M7974" t="s">
        <v>43</v>
      </c>
      <c r="N7974" t="s">
        <v>42</v>
      </c>
      <c r="P7974" s="23">
        <v>154.97999999999999</v>
      </c>
      <c r="Q7974" s="4">
        <f t="shared" si="124"/>
        <v>-0.61756355658794682</v>
      </c>
      <c r="R7974" s="23" t="s">
        <v>109</v>
      </c>
      <c r="T7974" s="90" t="s">
        <v>14165</v>
      </c>
    </row>
    <row r="7975" spans="1:20" x14ac:dyDescent="0.25">
      <c r="A7975" s="21">
        <v>45910</v>
      </c>
      <c r="B7975" s="1">
        <v>90810344</v>
      </c>
      <c r="C7975" t="s">
        <v>107</v>
      </c>
      <c r="D7975" s="43">
        <v>160000</v>
      </c>
      <c r="E7975" t="s">
        <v>46</v>
      </c>
      <c r="F7975" s="2">
        <v>210115002</v>
      </c>
      <c r="G7975" s="2" t="s">
        <v>12156</v>
      </c>
      <c r="L7975" s="2" t="s">
        <v>14334</v>
      </c>
      <c r="N7975" t="s">
        <v>107</v>
      </c>
      <c r="P7975" s="23">
        <v>156.37</v>
      </c>
      <c r="Q7975" s="4">
        <f t="shared" si="124"/>
        <v>1023.2141715162754</v>
      </c>
      <c r="R7975" s="23" t="s">
        <v>109</v>
      </c>
      <c r="T7975" s="91"/>
    </row>
    <row r="7976" spans="1:20" x14ac:dyDescent="0.25">
      <c r="A7976" s="21">
        <v>45910</v>
      </c>
      <c r="C7976" t="s">
        <v>8641</v>
      </c>
      <c r="D7976" s="43">
        <v>-154.01</v>
      </c>
      <c r="E7976" t="s">
        <v>35</v>
      </c>
      <c r="F7976" s="2">
        <v>610148001</v>
      </c>
      <c r="G7976" s="2" t="s">
        <v>42</v>
      </c>
      <c r="L7976" s="2" t="s">
        <v>14335</v>
      </c>
      <c r="M7976" t="s">
        <v>43</v>
      </c>
      <c r="N7976" t="s">
        <v>42</v>
      </c>
      <c r="P7976" s="23">
        <v>156.37</v>
      </c>
      <c r="Q7976" s="4">
        <f t="shared" si="124"/>
        <v>-0.98490759097013481</v>
      </c>
      <c r="R7976" s="23" t="s">
        <v>109</v>
      </c>
      <c r="T7976" s="90" t="s">
        <v>14165</v>
      </c>
    </row>
    <row r="7977" spans="1:20" x14ac:dyDescent="0.25">
      <c r="A7977" s="21">
        <v>45910</v>
      </c>
      <c r="B7977" s="1">
        <v>796076</v>
      </c>
      <c r="C7977" t="s">
        <v>14336</v>
      </c>
      <c r="D7977" s="43">
        <v>-160292.29999999999</v>
      </c>
      <c r="E7977" t="s">
        <v>35</v>
      </c>
      <c r="F7977" s="2">
        <v>210601001</v>
      </c>
      <c r="G7977" s="2" t="s">
        <v>494</v>
      </c>
      <c r="L7977" s="2" t="s">
        <v>14337</v>
      </c>
      <c r="M7977" t="s">
        <v>496</v>
      </c>
      <c r="N7977" t="s">
        <v>497</v>
      </c>
      <c r="P7977" s="23">
        <v>156.37</v>
      </c>
      <c r="Q7977" s="4">
        <f t="shared" si="124"/>
        <v>-1025.0834559058642</v>
      </c>
      <c r="R7977" s="23" t="s">
        <v>109</v>
      </c>
      <c r="T7977" s="92" t="s">
        <v>14338</v>
      </c>
    </row>
    <row r="7978" spans="1:20" x14ac:dyDescent="0.25">
      <c r="A7978" s="21">
        <v>45911</v>
      </c>
      <c r="B7978" s="1">
        <v>142645376</v>
      </c>
      <c r="C7978" t="s">
        <v>107</v>
      </c>
      <c r="D7978" s="43">
        <v>1670000</v>
      </c>
      <c r="E7978" t="s">
        <v>46</v>
      </c>
      <c r="F7978" s="2">
        <v>210115002</v>
      </c>
      <c r="G7978" s="2" t="s">
        <v>12156</v>
      </c>
      <c r="L7978" s="2" t="s">
        <v>14339</v>
      </c>
      <c r="N7978" t="s">
        <v>107</v>
      </c>
      <c r="P7978" s="23">
        <v>157.72999999999999</v>
      </c>
      <c r="Q7978" s="4">
        <f t="shared" si="124"/>
        <v>10587.713180751918</v>
      </c>
      <c r="R7978" s="23" t="s">
        <v>109</v>
      </c>
      <c r="T7978" s="91"/>
    </row>
    <row r="7979" spans="1:20" x14ac:dyDescent="0.25">
      <c r="A7979" s="21">
        <v>45912</v>
      </c>
      <c r="B7979" s="1">
        <v>99590875</v>
      </c>
      <c r="C7979" t="s">
        <v>14340</v>
      </c>
      <c r="D7979" s="43">
        <v>-1666196.63</v>
      </c>
      <c r="E7979" t="s">
        <v>35</v>
      </c>
      <c r="F7979" s="2">
        <v>110114001</v>
      </c>
      <c r="G7979" s="2" t="s">
        <v>301</v>
      </c>
      <c r="L7979" s="2" t="s">
        <v>14341</v>
      </c>
      <c r="M7979" t="s">
        <v>38</v>
      </c>
      <c r="N7979" t="s">
        <v>39</v>
      </c>
      <c r="P7979" s="23">
        <v>158.93</v>
      </c>
      <c r="Q7979" s="4">
        <f t="shared" si="124"/>
        <v>-10483.839614924809</v>
      </c>
      <c r="R7979" s="23" t="s">
        <v>109</v>
      </c>
      <c r="T7979" s="91"/>
    </row>
    <row r="7980" spans="1:20" x14ac:dyDescent="0.25">
      <c r="A7980" s="21">
        <v>45912</v>
      </c>
      <c r="B7980" s="1">
        <v>99590875</v>
      </c>
      <c r="C7980" t="s">
        <v>14342</v>
      </c>
      <c r="D7980" s="43">
        <v>-6664.78</v>
      </c>
      <c r="E7980" t="s">
        <v>35</v>
      </c>
      <c r="F7980" s="2">
        <v>610148001</v>
      </c>
      <c r="G7980" s="2" t="s">
        <v>42</v>
      </c>
      <c r="L7980" s="2" t="s">
        <v>14343</v>
      </c>
      <c r="M7980" t="s">
        <v>43</v>
      </c>
      <c r="N7980" t="s">
        <v>42</v>
      </c>
      <c r="P7980" s="23">
        <v>158.93</v>
      </c>
      <c r="Q7980" s="4">
        <f t="shared" si="124"/>
        <v>-41.935317435348892</v>
      </c>
      <c r="R7980" s="23" t="s">
        <v>109</v>
      </c>
      <c r="T7980" s="90" t="s">
        <v>14165</v>
      </c>
    </row>
    <row r="7981" spans="1:20" x14ac:dyDescent="0.25">
      <c r="A7981" s="21">
        <v>45912</v>
      </c>
      <c r="B7981" s="1">
        <v>99590875</v>
      </c>
      <c r="C7981" t="s">
        <v>14342</v>
      </c>
      <c r="D7981" s="43">
        <v>-26.3</v>
      </c>
      <c r="E7981" t="s">
        <v>35</v>
      </c>
      <c r="F7981" s="2">
        <v>610148001</v>
      </c>
      <c r="G7981" s="2" t="s">
        <v>42</v>
      </c>
      <c r="L7981" s="2" t="s">
        <v>14344</v>
      </c>
      <c r="M7981" t="s">
        <v>43</v>
      </c>
      <c r="N7981" t="s">
        <v>42</v>
      </c>
      <c r="P7981" s="23">
        <v>158.93</v>
      </c>
      <c r="Q7981" s="4">
        <f t="shared" si="124"/>
        <v>-0.16548165859183289</v>
      </c>
      <c r="R7981" s="23" t="s">
        <v>109</v>
      </c>
      <c r="T7981" s="90" t="s">
        <v>14165</v>
      </c>
    </row>
    <row r="7982" spans="1:20" x14ac:dyDescent="0.25">
      <c r="A7982" s="21">
        <v>45912</v>
      </c>
      <c r="B7982" s="1">
        <v>498864251</v>
      </c>
      <c r="C7982" t="s">
        <v>131</v>
      </c>
      <c r="D7982" s="43">
        <v>1000000</v>
      </c>
      <c r="E7982" t="s">
        <v>46</v>
      </c>
      <c r="F7982" s="2">
        <v>210115002</v>
      </c>
      <c r="G7982" s="2" t="s">
        <v>12156</v>
      </c>
      <c r="L7982" s="2" t="s">
        <v>14345</v>
      </c>
      <c r="N7982" t="s">
        <v>131</v>
      </c>
      <c r="P7982" s="23">
        <v>158.93</v>
      </c>
      <c r="Q7982" s="4">
        <f t="shared" si="124"/>
        <v>6292.0782734537215</v>
      </c>
      <c r="R7982" s="23" t="s">
        <v>109</v>
      </c>
      <c r="T7982" s="91"/>
    </row>
    <row r="7983" spans="1:20" x14ac:dyDescent="0.25">
      <c r="A7983" s="21">
        <v>45912</v>
      </c>
      <c r="B7983" s="1">
        <v>398865061</v>
      </c>
      <c r="C7983" t="s">
        <v>131</v>
      </c>
      <c r="D7983" s="43">
        <v>900000</v>
      </c>
      <c r="E7983" t="s">
        <v>46</v>
      </c>
      <c r="F7983" s="2">
        <v>210115002</v>
      </c>
      <c r="G7983" s="2" t="s">
        <v>12156</v>
      </c>
      <c r="L7983" s="2" t="s">
        <v>14346</v>
      </c>
      <c r="N7983" t="s">
        <v>131</v>
      </c>
      <c r="P7983" s="23">
        <v>158.93</v>
      </c>
      <c r="Q7983" s="4">
        <f t="shared" si="124"/>
        <v>5662.8704461083489</v>
      </c>
      <c r="R7983" s="23" t="s">
        <v>109</v>
      </c>
      <c r="T7983" s="91"/>
    </row>
    <row r="7984" spans="1:20" x14ac:dyDescent="0.25">
      <c r="A7984" s="21">
        <v>45912</v>
      </c>
      <c r="B7984" s="1">
        <v>118286651</v>
      </c>
      <c r="C7984" t="s">
        <v>14347</v>
      </c>
      <c r="D7984" s="43">
        <v>-2856.26</v>
      </c>
      <c r="E7984" t="s">
        <v>35</v>
      </c>
      <c r="F7984" s="2">
        <v>210101001</v>
      </c>
      <c r="G7984" s="2" t="s">
        <v>36</v>
      </c>
      <c r="L7984" s="2" t="s">
        <v>14348</v>
      </c>
      <c r="M7984" t="s">
        <v>976</v>
      </c>
      <c r="N7984" t="s">
        <v>977</v>
      </c>
      <c r="P7984" s="23">
        <v>158.93</v>
      </c>
      <c r="Q7984" s="4">
        <f t="shared" si="124"/>
        <v>-17.971811489334929</v>
      </c>
      <c r="R7984" s="23" t="s">
        <v>109</v>
      </c>
      <c r="T7984" s="91"/>
    </row>
    <row r="7985" spans="1:20" x14ac:dyDescent="0.25">
      <c r="A7985" s="21">
        <v>45912</v>
      </c>
      <c r="B7985" s="1">
        <v>218286653</v>
      </c>
      <c r="C7985" t="s">
        <v>14349</v>
      </c>
      <c r="D7985" s="43">
        <v>-113894.73</v>
      </c>
      <c r="E7985" t="s">
        <v>35</v>
      </c>
      <c r="F7985" s="2">
        <v>210101001</v>
      </c>
      <c r="G7985" s="2" t="s">
        <v>36</v>
      </c>
      <c r="L7985" s="2" t="s">
        <v>14350</v>
      </c>
      <c r="M7985" t="s">
        <v>38</v>
      </c>
      <c r="N7985" t="s">
        <v>39</v>
      </c>
      <c r="P7985" s="23">
        <v>158.93</v>
      </c>
      <c r="Q7985" s="4">
        <f t="shared" si="124"/>
        <v>-716.63455609387779</v>
      </c>
      <c r="R7985" s="23" t="s">
        <v>109</v>
      </c>
      <c r="T7985" s="91"/>
    </row>
    <row r="7986" spans="1:20" x14ac:dyDescent="0.25">
      <c r="A7986" s="21">
        <v>45912</v>
      </c>
      <c r="B7986" s="1">
        <v>218286654</v>
      </c>
      <c r="C7986" t="s">
        <v>14351</v>
      </c>
      <c r="D7986" s="43">
        <v>-25698.73</v>
      </c>
      <c r="E7986" t="s">
        <v>35</v>
      </c>
      <c r="F7986" s="2">
        <v>210101001</v>
      </c>
      <c r="G7986" s="2" t="s">
        <v>36</v>
      </c>
      <c r="L7986" s="2" t="s">
        <v>14352</v>
      </c>
      <c r="M7986" t="s">
        <v>38</v>
      </c>
      <c r="N7986" t="s">
        <v>39</v>
      </c>
      <c r="P7986" s="23">
        <v>158.93</v>
      </c>
      <c r="Q7986" s="4">
        <f t="shared" si="124"/>
        <v>-161.69842068835337</v>
      </c>
      <c r="R7986" s="23" t="s">
        <v>109</v>
      </c>
      <c r="T7986" s="91"/>
    </row>
    <row r="7987" spans="1:20" x14ac:dyDescent="0.25">
      <c r="A7987" s="21">
        <v>45912</v>
      </c>
      <c r="B7987" s="1">
        <v>118286652</v>
      </c>
      <c r="C7987" t="s">
        <v>14353</v>
      </c>
      <c r="D7987" s="43">
        <v>-3825</v>
      </c>
      <c r="E7987" t="s">
        <v>35</v>
      </c>
      <c r="F7987" s="2">
        <v>210101001</v>
      </c>
      <c r="G7987" s="2" t="s">
        <v>36</v>
      </c>
      <c r="L7987" s="2" t="s">
        <v>14354</v>
      </c>
      <c r="M7987" t="s">
        <v>114</v>
      </c>
      <c r="N7987" t="s">
        <v>115</v>
      </c>
      <c r="P7987" s="23">
        <v>158.93</v>
      </c>
      <c r="Q7987" s="4">
        <f t="shared" si="124"/>
        <v>-24.067199395960486</v>
      </c>
      <c r="R7987" s="23" t="s">
        <v>109</v>
      </c>
      <c r="T7987" s="91"/>
    </row>
    <row r="7988" spans="1:20" x14ac:dyDescent="0.25">
      <c r="A7988" s="21">
        <v>45912</v>
      </c>
      <c r="B7988" s="1">
        <v>218286655</v>
      </c>
      <c r="C7988" t="s">
        <v>7557</v>
      </c>
      <c r="D7988" s="43">
        <v>-6424.79</v>
      </c>
      <c r="E7988" t="s">
        <v>35</v>
      </c>
      <c r="F7988" s="2">
        <v>110101002</v>
      </c>
      <c r="G7988" s="2" t="s">
        <v>6359</v>
      </c>
      <c r="L7988" s="2" t="s">
        <v>14355</v>
      </c>
      <c r="N7988" t="s">
        <v>7557</v>
      </c>
      <c r="P7988" s="23">
        <v>158.93</v>
      </c>
      <c r="Q7988" s="4">
        <f t="shared" si="124"/>
        <v>-40.425281570502733</v>
      </c>
      <c r="R7988" s="23" t="s">
        <v>109</v>
      </c>
      <c r="T7988" s="91"/>
    </row>
    <row r="7989" spans="1:20" x14ac:dyDescent="0.25">
      <c r="A7989" s="32">
        <v>45912</v>
      </c>
      <c r="B7989" s="26">
        <v>218286656</v>
      </c>
      <c r="C7989" s="27" t="s">
        <v>54</v>
      </c>
      <c r="D7989" s="46">
        <v>-19071.599999999999</v>
      </c>
      <c r="E7989" s="27" t="s">
        <v>35</v>
      </c>
      <c r="F7989" s="29">
        <v>610129001</v>
      </c>
      <c r="G7989" s="29" t="s">
        <v>55</v>
      </c>
      <c r="H7989" s="107"/>
      <c r="I7989" s="101"/>
      <c r="J7989" s="101"/>
      <c r="K7989" s="29"/>
      <c r="L7989" s="2" t="s">
        <v>14356</v>
      </c>
      <c r="M7989" s="27" t="s">
        <v>57</v>
      </c>
      <c r="N7989" s="27" t="s">
        <v>58</v>
      </c>
      <c r="O7989" s="27" t="s">
        <v>59</v>
      </c>
      <c r="P7989" s="31">
        <v>158.93</v>
      </c>
      <c r="Q7989" s="4">
        <f t="shared" si="124"/>
        <v>-119.99999999999999</v>
      </c>
      <c r="R7989" s="23" t="s">
        <v>109</v>
      </c>
      <c r="T7989" s="92" t="s">
        <v>14357</v>
      </c>
    </row>
    <row r="7990" spans="1:20" x14ac:dyDescent="0.25">
      <c r="A7990" s="21">
        <v>45912</v>
      </c>
      <c r="B7990" s="1">
        <v>218286657</v>
      </c>
      <c r="C7990" t="s">
        <v>13642</v>
      </c>
      <c r="D7990" s="43">
        <v>-1000000</v>
      </c>
      <c r="E7990" t="s">
        <v>35</v>
      </c>
      <c r="F7990" s="2">
        <v>110114001</v>
      </c>
      <c r="G7990" s="2" t="s">
        <v>301</v>
      </c>
      <c r="L7990" s="2" t="s">
        <v>14358</v>
      </c>
      <c r="M7990" t="s">
        <v>38</v>
      </c>
      <c r="N7990" t="s">
        <v>39</v>
      </c>
      <c r="P7990" s="23">
        <v>158.93</v>
      </c>
      <c r="Q7990" s="4">
        <f t="shared" si="124"/>
        <v>-6292.0782734537215</v>
      </c>
      <c r="R7990" s="23" t="s">
        <v>109</v>
      </c>
      <c r="T7990" s="91"/>
    </row>
    <row r="7991" spans="1:20" x14ac:dyDescent="0.25">
      <c r="A7991" s="21">
        <v>45912</v>
      </c>
      <c r="B7991" s="1">
        <v>318286658</v>
      </c>
      <c r="C7991" t="s">
        <v>13642</v>
      </c>
      <c r="D7991" s="43">
        <v>-518731.93</v>
      </c>
      <c r="E7991" t="s">
        <v>35</v>
      </c>
      <c r="F7991" s="2">
        <v>110114001</v>
      </c>
      <c r="G7991" s="2" t="s">
        <v>301</v>
      </c>
      <c r="L7991" s="2" t="s">
        <v>14359</v>
      </c>
      <c r="M7991" t="s">
        <v>38</v>
      </c>
      <c r="N7991" t="s">
        <v>39</v>
      </c>
      <c r="P7991" s="23">
        <v>158.93</v>
      </c>
      <c r="Q7991" s="4">
        <f t="shared" si="124"/>
        <v>-3263.9019064997165</v>
      </c>
      <c r="R7991" s="23" t="s">
        <v>109</v>
      </c>
      <c r="T7991" s="91"/>
    </row>
    <row r="7992" spans="1:20" x14ac:dyDescent="0.25">
      <c r="A7992" s="21">
        <v>45912</v>
      </c>
      <c r="B7992" s="1">
        <v>318286659</v>
      </c>
      <c r="C7992" t="s">
        <v>14360</v>
      </c>
      <c r="D7992" s="43">
        <v>-8500</v>
      </c>
      <c r="E7992" t="s">
        <v>35</v>
      </c>
      <c r="F7992" s="2">
        <v>110114001</v>
      </c>
      <c r="G7992" s="2" t="s">
        <v>301</v>
      </c>
      <c r="L7992" s="2" t="s">
        <v>14361</v>
      </c>
      <c r="N7992" t="s">
        <v>2551</v>
      </c>
      <c r="P7992" s="23">
        <v>158.93</v>
      </c>
      <c r="Q7992" s="4">
        <f t="shared" si="124"/>
        <v>-53.482665324356631</v>
      </c>
      <c r="R7992" s="23" t="s">
        <v>109</v>
      </c>
      <c r="T7992" s="91"/>
    </row>
    <row r="7993" spans="1:20" x14ac:dyDescent="0.25">
      <c r="A7993" s="21">
        <v>45912</v>
      </c>
      <c r="B7993" s="1">
        <v>318286660</v>
      </c>
      <c r="C7993" t="s">
        <v>14362</v>
      </c>
      <c r="D7993" s="43">
        <v>-1589.3</v>
      </c>
      <c r="E7993" t="s">
        <v>35</v>
      </c>
      <c r="F7993" s="2">
        <v>212901001</v>
      </c>
      <c r="G7993" s="2" t="s">
        <v>121</v>
      </c>
      <c r="L7993" s="2" t="s">
        <v>14363</v>
      </c>
      <c r="M7993" t="s">
        <v>67</v>
      </c>
      <c r="N7993" t="s">
        <v>68</v>
      </c>
      <c r="P7993" s="23">
        <v>158.93</v>
      </c>
      <c r="Q7993" s="4">
        <f t="shared" si="124"/>
        <v>-10</v>
      </c>
      <c r="R7993" s="23" t="s">
        <v>109</v>
      </c>
      <c r="T7993" s="91"/>
    </row>
    <row r="7994" spans="1:20" x14ac:dyDescent="0.25">
      <c r="A7994" s="21">
        <v>45912</v>
      </c>
      <c r="B7994" s="1">
        <v>318286661</v>
      </c>
      <c r="C7994" t="s">
        <v>14364</v>
      </c>
      <c r="D7994" s="43">
        <v>-15893</v>
      </c>
      <c r="E7994" t="s">
        <v>35</v>
      </c>
      <c r="F7994" s="2">
        <v>212901001</v>
      </c>
      <c r="G7994" s="2" t="s">
        <v>121</v>
      </c>
      <c r="L7994" s="2" t="s">
        <v>14365</v>
      </c>
      <c r="M7994" t="s">
        <v>67</v>
      </c>
      <c r="N7994" t="s">
        <v>68</v>
      </c>
      <c r="P7994" s="23">
        <v>158.93</v>
      </c>
      <c r="Q7994" s="4">
        <f t="shared" si="124"/>
        <v>-100</v>
      </c>
      <c r="R7994" s="23" t="s">
        <v>109</v>
      </c>
      <c r="T7994" s="91"/>
    </row>
    <row r="7995" spans="1:20" x14ac:dyDescent="0.25">
      <c r="A7995" s="21">
        <v>45912</v>
      </c>
      <c r="B7995" s="1">
        <v>418286663</v>
      </c>
      <c r="C7995" t="s">
        <v>14366</v>
      </c>
      <c r="D7995" s="43">
        <v>-1589.3</v>
      </c>
      <c r="E7995" t="s">
        <v>35</v>
      </c>
      <c r="F7995" s="2">
        <v>212901001</v>
      </c>
      <c r="G7995" s="2" t="s">
        <v>121</v>
      </c>
      <c r="L7995" s="2" t="s">
        <v>14367</v>
      </c>
      <c r="M7995" t="s">
        <v>67</v>
      </c>
      <c r="N7995" t="s">
        <v>68</v>
      </c>
      <c r="P7995" s="23">
        <v>158.93</v>
      </c>
      <c r="Q7995" s="4">
        <f t="shared" si="124"/>
        <v>-10</v>
      </c>
      <c r="R7995" s="23" t="s">
        <v>109</v>
      </c>
      <c r="T7995" s="91"/>
    </row>
    <row r="7996" spans="1:20" x14ac:dyDescent="0.25">
      <c r="A7996" s="21">
        <v>45912</v>
      </c>
      <c r="B7996" s="1">
        <v>318286662</v>
      </c>
      <c r="C7996" t="s">
        <v>14368</v>
      </c>
      <c r="D7996" s="43">
        <v>-15893</v>
      </c>
      <c r="E7996" t="s">
        <v>35</v>
      </c>
      <c r="F7996" s="2">
        <v>212901001</v>
      </c>
      <c r="G7996" s="2" t="s">
        <v>121</v>
      </c>
      <c r="L7996" s="2" t="s">
        <v>14369</v>
      </c>
      <c r="M7996" t="s">
        <v>67</v>
      </c>
      <c r="N7996" t="s">
        <v>68</v>
      </c>
      <c r="P7996" s="23">
        <v>158.93</v>
      </c>
      <c r="Q7996" s="4">
        <f t="shared" si="124"/>
        <v>-100</v>
      </c>
      <c r="R7996" s="23" t="s">
        <v>109</v>
      </c>
      <c r="T7996" s="91"/>
    </row>
    <row r="7997" spans="1:20" x14ac:dyDescent="0.25">
      <c r="A7997" s="21">
        <v>45912</v>
      </c>
      <c r="B7997" s="1">
        <v>418286664</v>
      </c>
      <c r="C7997" t="s">
        <v>14370</v>
      </c>
      <c r="D7997" s="43">
        <v>-1589.3</v>
      </c>
      <c r="E7997" t="s">
        <v>35</v>
      </c>
      <c r="F7997" s="2">
        <v>212901001</v>
      </c>
      <c r="G7997" s="2" t="s">
        <v>121</v>
      </c>
      <c r="L7997" s="2" t="s">
        <v>14371</v>
      </c>
      <c r="M7997" t="s">
        <v>67</v>
      </c>
      <c r="N7997" t="s">
        <v>68</v>
      </c>
      <c r="P7997" s="23">
        <v>158.93</v>
      </c>
      <c r="Q7997" s="4">
        <f t="shared" si="124"/>
        <v>-10</v>
      </c>
      <c r="R7997" s="23" t="s">
        <v>109</v>
      </c>
      <c r="T7997" s="91"/>
    </row>
    <row r="7998" spans="1:20" x14ac:dyDescent="0.25">
      <c r="A7998" s="21">
        <v>45912</v>
      </c>
      <c r="B7998" s="1">
        <v>418286665</v>
      </c>
      <c r="C7998" t="s">
        <v>14372</v>
      </c>
      <c r="D7998" s="43">
        <v>-3178.6</v>
      </c>
      <c r="E7998" t="s">
        <v>35</v>
      </c>
      <c r="F7998" s="2">
        <v>212901001</v>
      </c>
      <c r="G7998" s="2" t="s">
        <v>121</v>
      </c>
      <c r="L7998" s="2" t="s">
        <v>14373</v>
      </c>
      <c r="M7998" t="s">
        <v>67</v>
      </c>
      <c r="N7998" t="s">
        <v>68</v>
      </c>
      <c r="P7998" s="23">
        <v>158.93</v>
      </c>
      <c r="Q7998" s="4">
        <f t="shared" si="124"/>
        <v>-20</v>
      </c>
      <c r="R7998" s="23" t="s">
        <v>109</v>
      </c>
      <c r="T7998" s="91"/>
    </row>
    <row r="7999" spans="1:20" x14ac:dyDescent="0.25">
      <c r="A7999" s="21">
        <v>45912</v>
      </c>
      <c r="B7999" s="1">
        <v>418286666</v>
      </c>
      <c r="C7999" t="s">
        <v>14374</v>
      </c>
      <c r="D7999" s="43">
        <v>-3178.6</v>
      </c>
      <c r="E7999" t="s">
        <v>35</v>
      </c>
      <c r="F7999" s="2">
        <v>212901001</v>
      </c>
      <c r="G7999" s="2" t="s">
        <v>121</v>
      </c>
      <c r="L7999" s="2" t="s">
        <v>14375</v>
      </c>
      <c r="M7999" t="s">
        <v>67</v>
      </c>
      <c r="N7999" t="s">
        <v>68</v>
      </c>
      <c r="P7999" s="23">
        <v>158.93</v>
      </c>
      <c r="Q7999" s="4">
        <f t="shared" si="124"/>
        <v>-20</v>
      </c>
      <c r="R7999" s="23" t="s">
        <v>109</v>
      </c>
      <c r="T7999" s="91"/>
    </row>
    <row r="8000" spans="1:20" x14ac:dyDescent="0.25">
      <c r="A8000" s="21">
        <v>45912</v>
      </c>
      <c r="B8000" s="1">
        <v>418286667</v>
      </c>
      <c r="C8000" t="s">
        <v>14376</v>
      </c>
      <c r="D8000" s="43">
        <v>-3178.6</v>
      </c>
      <c r="E8000" t="s">
        <v>35</v>
      </c>
      <c r="F8000" s="2">
        <v>212901001</v>
      </c>
      <c r="G8000" s="2" t="s">
        <v>121</v>
      </c>
      <c r="L8000" s="2" t="s">
        <v>14377</v>
      </c>
      <c r="M8000" t="s">
        <v>67</v>
      </c>
      <c r="N8000" t="s">
        <v>68</v>
      </c>
      <c r="P8000" s="23">
        <v>158.93</v>
      </c>
      <c r="Q8000" s="4">
        <f t="shared" si="124"/>
        <v>-20</v>
      </c>
      <c r="R8000" s="23" t="s">
        <v>109</v>
      </c>
      <c r="T8000" s="91"/>
    </row>
    <row r="8001" spans="1:23" x14ac:dyDescent="0.25">
      <c r="A8001" s="21">
        <v>45912</v>
      </c>
      <c r="B8001" s="1">
        <v>518286668</v>
      </c>
      <c r="C8001" t="s">
        <v>14378</v>
      </c>
      <c r="D8001" s="43">
        <v>-3178.6</v>
      </c>
      <c r="E8001" t="s">
        <v>35</v>
      </c>
      <c r="F8001" s="2">
        <v>212901001</v>
      </c>
      <c r="G8001" s="2" t="s">
        <v>121</v>
      </c>
      <c r="L8001" s="2" t="s">
        <v>14379</v>
      </c>
      <c r="M8001" t="s">
        <v>67</v>
      </c>
      <c r="N8001" t="s">
        <v>68</v>
      </c>
      <c r="P8001" s="23">
        <v>158.93</v>
      </c>
      <c r="Q8001" s="4">
        <f t="shared" si="124"/>
        <v>-20</v>
      </c>
      <c r="R8001" s="23" t="s">
        <v>109</v>
      </c>
      <c r="T8001" s="91"/>
    </row>
    <row r="8002" spans="1:23" x14ac:dyDescent="0.25">
      <c r="A8002" s="32">
        <v>45912</v>
      </c>
      <c r="B8002" s="26">
        <v>518286670</v>
      </c>
      <c r="C8002" s="27" t="s">
        <v>14380</v>
      </c>
      <c r="D8002" s="46">
        <v>-17482.3</v>
      </c>
      <c r="E8002" s="27" t="s">
        <v>35</v>
      </c>
      <c r="F8002" s="29">
        <v>610156001</v>
      </c>
      <c r="G8002" s="29" t="s">
        <v>91</v>
      </c>
      <c r="H8002" s="107"/>
      <c r="I8002" s="101"/>
      <c r="J8002" s="101"/>
      <c r="K8002" s="29"/>
      <c r="L8002" s="2" t="s">
        <v>14381</v>
      </c>
      <c r="M8002" s="27" t="s">
        <v>93</v>
      </c>
      <c r="N8002" s="27" t="s">
        <v>94</v>
      </c>
      <c r="O8002" s="27" t="s">
        <v>59</v>
      </c>
      <c r="P8002" s="31">
        <v>158.93</v>
      </c>
      <c r="Q8002" s="4">
        <f t="shared" si="124"/>
        <v>-109.99999999999999</v>
      </c>
      <c r="R8002" s="23" t="s">
        <v>109</v>
      </c>
      <c r="T8002" s="91"/>
    </row>
    <row r="8003" spans="1:23" x14ac:dyDescent="0.25">
      <c r="A8003" s="32">
        <v>45912</v>
      </c>
      <c r="B8003" s="26">
        <v>518286669</v>
      </c>
      <c r="C8003" s="27" t="s">
        <v>14382</v>
      </c>
      <c r="D8003" s="46">
        <v>-54830.85</v>
      </c>
      <c r="E8003" s="27" t="s">
        <v>35</v>
      </c>
      <c r="F8003" s="29">
        <v>610156001</v>
      </c>
      <c r="G8003" s="29" t="s">
        <v>91</v>
      </c>
      <c r="H8003" s="107"/>
      <c r="I8003" s="101"/>
      <c r="J8003" s="101"/>
      <c r="K8003" s="29"/>
      <c r="L8003" s="2" t="s">
        <v>14383</v>
      </c>
      <c r="M8003" s="27" t="s">
        <v>5015</v>
      </c>
      <c r="N8003" s="27" t="s">
        <v>1240</v>
      </c>
      <c r="O8003" s="27" t="s">
        <v>59</v>
      </c>
      <c r="P8003" s="31">
        <v>158.93</v>
      </c>
      <c r="Q8003" s="4">
        <f t="shared" si="124"/>
        <v>-345</v>
      </c>
      <c r="R8003" s="23" t="s">
        <v>109</v>
      </c>
      <c r="T8003" s="91"/>
    </row>
    <row r="8004" spans="1:23" x14ac:dyDescent="0.25">
      <c r="A8004" s="21">
        <v>45912</v>
      </c>
      <c r="B8004" s="1">
        <v>50926898</v>
      </c>
      <c r="C8004" t="s">
        <v>118</v>
      </c>
      <c r="D8004" s="43">
        <v>-4551.46</v>
      </c>
      <c r="E8004" t="s">
        <v>35</v>
      </c>
      <c r="F8004" s="2">
        <v>610148001</v>
      </c>
      <c r="G8004" s="2" t="s">
        <v>42</v>
      </c>
      <c r="L8004" s="2" t="s">
        <v>14384</v>
      </c>
      <c r="M8004" t="s">
        <v>43</v>
      </c>
      <c r="N8004" t="s">
        <v>42</v>
      </c>
      <c r="P8004" s="23">
        <v>158.93</v>
      </c>
      <c r="Q8004" s="4">
        <f t="shared" si="124"/>
        <v>-28.638142578493675</v>
      </c>
      <c r="R8004" s="23" t="s">
        <v>109</v>
      </c>
      <c r="T8004" s="90" t="s">
        <v>14165</v>
      </c>
    </row>
    <row r="8005" spans="1:23" x14ac:dyDescent="0.25">
      <c r="A8005" s="21">
        <v>45912</v>
      </c>
      <c r="B8005" s="1">
        <v>144909168</v>
      </c>
      <c r="C8005" t="s">
        <v>14385</v>
      </c>
      <c r="D8005" s="43">
        <v>-12140.8</v>
      </c>
      <c r="E8005" t="s">
        <v>35</v>
      </c>
      <c r="F8005" s="2">
        <v>210101001</v>
      </c>
      <c r="G8005" s="2" t="s">
        <v>36</v>
      </c>
      <c r="L8005" s="2" t="s">
        <v>14386</v>
      </c>
      <c r="M8005" t="s">
        <v>2645</v>
      </c>
      <c r="N8005" t="s">
        <v>1187</v>
      </c>
      <c r="P8005" s="23">
        <v>158.93</v>
      </c>
      <c r="Q8005" s="4">
        <f t="shared" si="124"/>
        <v>-76.390863902346936</v>
      </c>
      <c r="R8005" s="23" t="s">
        <v>109</v>
      </c>
      <c r="T8005" s="91"/>
    </row>
    <row r="8006" spans="1:23" x14ac:dyDescent="0.25">
      <c r="A8006" s="21">
        <v>45912</v>
      </c>
      <c r="B8006" s="1">
        <v>144952486</v>
      </c>
      <c r="C8006" t="s">
        <v>14387</v>
      </c>
      <c r="D8006" s="43">
        <v>-43882.15</v>
      </c>
      <c r="E8006" t="s">
        <v>35</v>
      </c>
      <c r="F8006" s="2">
        <v>210101001</v>
      </c>
      <c r="G8006" s="2" t="s">
        <v>36</v>
      </c>
      <c r="L8006" s="2" t="s">
        <v>14388</v>
      </c>
      <c r="M8006" t="s">
        <v>2635</v>
      </c>
      <c r="N8006" t="s">
        <v>2636</v>
      </c>
      <c r="P8006" s="23">
        <v>158.93</v>
      </c>
      <c r="Q8006" s="4">
        <f t="shared" si="124"/>
        <v>-276.10992260743723</v>
      </c>
      <c r="R8006" s="23" t="s">
        <v>109</v>
      </c>
      <c r="T8006" s="91"/>
    </row>
    <row r="8007" spans="1:23" x14ac:dyDescent="0.25">
      <c r="A8007" s="21">
        <v>45912</v>
      </c>
      <c r="B8007" s="1">
        <v>287399095</v>
      </c>
      <c r="C8007" t="s">
        <v>12850</v>
      </c>
      <c r="D8007" s="43">
        <v>540000</v>
      </c>
      <c r="E8007" t="s">
        <v>46</v>
      </c>
      <c r="F8007" s="2">
        <v>210115002</v>
      </c>
      <c r="G8007" s="2" t="s">
        <v>12156</v>
      </c>
      <c r="L8007" s="2" t="s">
        <v>14389</v>
      </c>
      <c r="N8007" t="s">
        <v>12850</v>
      </c>
      <c r="P8007" s="23">
        <v>158.93</v>
      </c>
      <c r="Q8007" s="4">
        <f t="shared" si="124"/>
        <v>3397.7222676650094</v>
      </c>
      <c r="R8007" s="23" t="s">
        <v>109</v>
      </c>
      <c r="T8007" s="91"/>
    </row>
    <row r="8008" spans="1:23" x14ac:dyDescent="0.25">
      <c r="A8008" s="21">
        <v>45912</v>
      </c>
      <c r="B8008" s="1">
        <v>218288138</v>
      </c>
      <c r="C8008" t="s">
        <v>14390</v>
      </c>
      <c r="D8008" s="43">
        <v>-7847.07</v>
      </c>
      <c r="E8008" t="s">
        <v>35</v>
      </c>
      <c r="F8008" s="2">
        <v>212901001</v>
      </c>
      <c r="G8008" s="2" t="s">
        <v>121</v>
      </c>
      <c r="L8008" s="2" t="s">
        <v>14391</v>
      </c>
      <c r="M8008" t="s">
        <v>67</v>
      </c>
      <c r="N8008" t="s">
        <v>68</v>
      </c>
      <c r="P8008" s="23">
        <v>158.93</v>
      </c>
      <c r="Q8008" s="4">
        <f t="shared" si="124"/>
        <v>-49.374378657270491</v>
      </c>
      <c r="R8008" s="23" t="s">
        <v>109</v>
      </c>
      <c r="T8008" s="91"/>
      <c r="V8008" t="s">
        <v>10700</v>
      </c>
      <c r="W8008" t="s">
        <v>14392</v>
      </c>
    </row>
    <row r="8009" spans="1:23" x14ac:dyDescent="0.25">
      <c r="A8009" s="21">
        <v>45912</v>
      </c>
      <c r="B8009" s="1">
        <v>218288137</v>
      </c>
      <c r="C8009" t="s">
        <v>14393</v>
      </c>
      <c r="D8009" s="43">
        <v>-6268.19</v>
      </c>
      <c r="E8009" t="s">
        <v>35</v>
      </c>
      <c r="F8009" s="2">
        <v>212901001</v>
      </c>
      <c r="G8009" s="2" t="s">
        <v>121</v>
      </c>
      <c r="L8009" s="2" t="s">
        <v>14394</v>
      </c>
      <c r="M8009" t="s">
        <v>67</v>
      </c>
      <c r="N8009" t="s">
        <v>68</v>
      </c>
      <c r="P8009" s="23">
        <v>158.93</v>
      </c>
      <c r="Q8009" s="4">
        <f t="shared" si="124"/>
        <v>-39.439942112879883</v>
      </c>
      <c r="R8009" s="23" t="s">
        <v>109</v>
      </c>
      <c r="T8009" s="91"/>
      <c r="V8009" t="s">
        <v>10700</v>
      </c>
      <c r="W8009" t="s">
        <v>14392</v>
      </c>
    </row>
    <row r="8010" spans="1:23" x14ac:dyDescent="0.25">
      <c r="A8010" s="21">
        <v>45912</v>
      </c>
      <c r="B8010" s="1">
        <v>218288135</v>
      </c>
      <c r="C8010" t="s">
        <v>14395</v>
      </c>
      <c r="D8010" s="43">
        <v>-78800.33</v>
      </c>
      <c r="E8010" t="s">
        <v>35</v>
      </c>
      <c r="F8010" s="2">
        <v>212901001</v>
      </c>
      <c r="G8010" s="2" t="s">
        <v>121</v>
      </c>
      <c r="L8010" s="2" t="s">
        <v>14396</v>
      </c>
      <c r="M8010" t="s">
        <v>67</v>
      </c>
      <c r="N8010" t="s">
        <v>68</v>
      </c>
      <c r="P8010" s="23">
        <v>158.93</v>
      </c>
      <c r="Q8010" s="4">
        <f t="shared" si="124"/>
        <v>-495.81784433398349</v>
      </c>
      <c r="R8010" s="23" t="s">
        <v>109</v>
      </c>
      <c r="T8010" s="91"/>
      <c r="V8010" t="s">
        <v>10700</v>
      </c>
      <c r="W8010" t="s">
        <v>14397</v>
      </c>
    </row>
    <row r="8011" spans="1:23" x14ac:dyDescent="0.25">
      <c r="A8011" s="21">
        <v>45912</v>
      </c>
      <c r="B8011" s="1">
        <v>218288139</v>
      </c>
      <c r="C8011" t="s">
        <v>14398</v>
      </c>
      <c r="D8011" s="43">
        <v>-5476.39</v>
      </c>
      <c r="E8011" t="s">
        <v>35</v>
      </c>
      <c r="F8011" s="2">
        <v>212901001</v>
      </c>
      <c r="G8011" s="2" t="s">
        <v>121</v>
      </c>
      <c r="L8011" s="2" t="s">
        <v>14399</v>
      </c>
      <c r="M8011" t="s">
        <v>67</v>
      </c>
      <c r="N8011" t="s">
        <v>68</v>
      </c>
      <c r="P8011" s="23">
        <v>158.93</v>
      </c>
      <c r="Q8011" s="4">
        <f t="shared" ref="Q8011:Q8074" si="125">D8011/P8011</f>
        <v>-34.457874535959228</v>
      </c>
      <c r="R8011" s="23" t="s">
        <v>109</v>
      </c>
      <c r="T8011" s="91"/>
      <c r="V8011" t="s">
        <v>10700</v>
      </c>
      <c r="W8011" t="s">
        <v>14392</v>
      </c>
    </row>
    <row r="8012" spans="1:23" x14ac:dyDescent="0.25">
      <c r="A8012" s="21">
        <v>45912</v>
      </c>
      <c r="B8012" s="1">
        <v>218288136</v>
      </c>
      <c r="C8012" t="s">
        <v>14400</v>
      </c>
      <c r="D8012" s="43">
        <v>-11717.76</v>
      </c>
      <c r="E8012" t="s">
        <v>35</v>
      </c>
      <c r="F8012" s="2">
        <v>212901001</v>
      </c>
      <c r="G8012" s="2" t="s">
        <v>121</v>
      </c>
      <c r="L8012" s="2" t="s">
        <v>14401</v>
      </c>
      <c r="M8012" t="s">
        <v>67</v>
      </c>
      <c r="N8012" t="s">
        <v>68</v>
      </c>
      <c r="P8012" s="23">
        <v>158.93</v>
      </c>
      <c r="Q8012" s="4">
        <f t="shared" si="125"/>
        <v>-73.729063109545081</v>
      </c>
      <c r="R8012" s="23" t="s">
        <v>109</v>
      </c>
      <c r="T8012" s="91"/>
      <c r="V8012" t="s">
        <v>12595</v>
      </c>
      <c r="W8012" t="s">
        <v>14392</v>
      </c>
    </row>
    <row r="8013" spans="1:23" x14ac:dyDescent="0.25">
      <c r="A8013" s="21">
        <v>45912</v>
      </c>
      <c r="B8013" s="1">
        <v>218288140</v>
      </c>
      <c r="C8013" t="s">
        <v>14402</v>
      </c>
      <c r="D8013" s="43">
        <v>-7866</v>
      </c>
      <c r="E8013" t="s">
        <v>35</v>
      </c>
      <c r="F8013" s="2">
        <v>212901001</v>
      </c>
      <c r="G8013" s="2" t="s">
        <v>121</v>
      </c>
      <c r="L8013" s="2" t="s">
        <v>14403</v>
      </c>
      <c r="M8013" t="s">
        <v>67</v>
      </c>
      <c r="N8013" t="s">
        <v>68</v>
      </c>
      <c r="P8013" s="23">
        <v>158.93</v>
      </c>
      <c r="Q8013" s="4">
        <f t="shared" si="125"/>
        <v>-49.493487698986975</v>
      </c>
      <c r="R8013" s="23" t="s">
        <v>109</v>
      </c>
      <c r="T8013" s="91"/>
      <c r="V8013" t="s">
        <v>10700</v>
      </c>
      <c r="W8013" t="s">
        <v>14392</v>
      </c>
    </row>
    <row r="8014" spans="1:23" x14ac:dyDescent="0.25">
      <c r="A8014" s="21">
        <v>45912</v>
      </c>
      <c r="B8014" s="1">
        <v>218288142</v>
      </c>
      <c r="C8014" t="s">
        <v>14404</v>
      </c>
      <c r="D8014" s="43">
        <v>-11829.75</v>
      </c>
      <c r="E8014" t="s">
        <v>35</v>
      </c>
      <c r="F8014" s="2">
        <v>212901001</v>
      </c>
      <c r="G8014" s="2" t="s">
        <v>121</v>
      </c>
      <c r="L8014" s="2" t="s">
        <v>14405</v>
      </c>
      <c r="M8014" t="s">
        <v>67</v>
      </c>
      <c r="N8014" t="s">
        <v>68</v>
      </c>
      <c r="P8014" s="23">
        <v>158.93</v>
      </c>
      <c r="Q8014" s="4">
        <f t="shared" si="125"/>
        <v>-74.433712955389169</v>
      </c>
      <c r="R8014" s="23" t="s">
        <v>109</v>
      </c>
      <c r="T8014" s="91"/>
      <c r="V8014" t="s">
        <v>10700</v>
      </c>
      <c r="W8014" t="s">
        <v>14392</v>
      </c>
    </row>
    <row r="8015" spans="1:23" x14ac:dyDescent="0.25">
      <c r="A8015" s="21">
        <v>45912</v>
      </c>
      <c r="B8015" s="1">
        <v>418288151</v>
      </c>
      <c r="C8015" t="s">
        <v>14406</v>
      </c>
      <c r="D8015" s="43">
        <v>-12553.73</v>
      </c>
      <c r="E8015" t="s">
        <v>35</v>
      </c>
      <c r="F8015" s="2">
        <v>212901001</v>
      </c>
      <c r="G8015" s="2" t="s">
        <v>121</v>
      </c>
      <c r="L8015" s="2" t="s">
        <v>14407</v>
      </c>
      <c r="M8015" t="s">
        <v>67</v>
      </c>
      <c r="N8015" t="s">
        <v>68</v>
      </c>
      <c r="P8015" s="23">
        <v>158.93</v>
      </c>
      <c r="Q8015" s="4">
        <f t="shared" si="125"/>
        <v>-78.989051783804186</v>
      </c>
      <c r="R8015" s="23" t="s">
        <v>109</v>
      </c>
      <c r="T8015" s="91"/>
      <c r="V8015" t="s">
        <v>10700</v>
      </c>
      <c r="W8015" t="s">
        <v>14392</v>
      </c>
    </row>
    <row r="8016" spans="1:23" x14ac:dyDescent="0.25">
      <c r="A8016" s="21">
        <v>45912</v>
      </c>
      <c r="B8016" s="1">
        <v>318288144</v>
      </c>
      <c r="C8016" t="s">
        <v>14408</v>
      </c>
      <c r="D8016" s="43">
        <v>-5477.96</v>
      </c>
      <c r="E8016" t="s">
        <v>35</v>
      </c>
      <c r="F8016" s="2">
        <v>212901001</v>
      </c>
      <c r="G8016" s="2" t="s">
        <v>121</v>
      </c>
      <c r="L8016" s="2" t="s">
        <v>14409</v>
      </c>
      <c r="M8016" t="s">
        <v>67</v>
      </c>
      <c r="N8016" t="s">
        <v>68</v>
      </c>
      <c r="P8016" s="23">
        <v>158.93</v>
      </c>
      <c r="Q8016" s="4">
        <f t="shared" si="125"/>
        <v>-34.467753098848547</v>
      </c>
      <c r="R8016" s="23" t="s">
        <v>109</v>
      </c>
      <c r="T8016" s="91"/>
      <c r="V8016" t="s">
        <v>10700</v>
      </c>
      <c r="W8016" t="s">
        <v>14392</v>
      </c>
    </row>
    <row r="8017" spans="1:23" x14ac:dyDescent="0.25">
      <c r="A8017" s="21">
        <v>45912</v>
      </c>
      <c r="B8017" s="1">
        <v>318288150</v>
      </c>
      <c r="C8017" t="s">
        <v>14410</v>
      </c>
      <c r="D8017" s="43">
        <v>-17285.63</v>
      </c>
      <c r="E8017" t="s">
        <v>35</v>
      </c>
      <c r="F8017" s="2">
        <v>212901001</v>
      </c>
      <c r="G8017" s="2" t="s">
        <v>121</v>
      </c>
      <c r="L8017" s="2" t="s">
        <v>14411</v>
      </c>
      <c r="M8017" t="s">
        <v>67</v>
      </c>
      <c r="N8017" t="s">
        <v>68</v>
      </c>
      <c r="P8017" s="23">
        <v>158.93</v>
      </c>
      <c r="Q8017" s="4">
        <f t="shared" si="125"/>
        <v>-108.76253696595985</v>
      </c>
      <c r="R8017" s="23" t="s">
        <v>109</v>
      </c>
      <c r="T8017" s="91"/>
      <c r="V8017" t="s">
        <v>12595</v>
      </c>
      <c r="W8017" t="s">
        <v>14392</v>
      </c>
    </row>
    <row r="8018" spans="1:23" x14ac:dyDescent="0.25">
      <c r="A8018" s="21">
        <v>45912</v>
      </c>
      <c r="B8018" s="1">
        <v>418288153</v>
      </c>
      <c r="C8018" t="s">
        <v>14412</v>
      </c>
      <c r="D8018" s="43">
        <v>-10742.99</v>
      </c>
      <c r="E8018" t="s">
        <v>35</v>
      </c>
      <c r="F8018" s="2">
        <v>212901001</v>
      </c>
      <c r="G8018" s="2" t="s">
        <v>121</v>
      </c>
      <c r="L8018" s="2" t="s">
        <v>14413</v>
      </c>
      <c r="M8018" t="s">
        <v>67</v>
      </c>
      <c r="N8018" t="s">
        <v>68</v>
      </c>
      <c r="P8018" s="23">
        <v>158.93</v>
      </c>
      <c r="Q8018" s="4">
        <f t="shared" si="125"/>
        <v>-67.595733970930596</v>
      </c>
      <c r="R8018" s="23" t="s">
        <v>109</v>
      </c>
      <c r="T8018" s="91"/>
      <c r="V8018" t="s">
        <v>10700</v>
      </c>
      <c r="W8018" t="s">
        <v>14392</v>
      </c>
    </row>
    <row r="8019" spans="1:23" x14ac:dyDescent="0.25">
      <c r="A8019" s="21">
        <v>45912</v>
      </c>
      <c r="B8019" s="1">
        <v>318288148</v>
      </c>
      <c r="C8019" t="s">
        <v>14414</v>
      </c>
      <c r="D8019" s="43">
        <v>-10627.85</v>
      </c>
      <c r="E8019" t="s">
        <v>35</v>
      </c>
      <c r="F8019" s="2">
        <v>212901001</v>
      </c>
      <c r="G8019" s="2" t="s">
        <v>121</v>
      </c>
      <c r="L8019" s="2" t="s">
        <v>14415</v>
      </c>
      <c r="M8019" t="s">
        <v>67</v>
      </c>
      <c r="N8019" t="s">
        <v>68</v>
      </c>
      <c r="P8019" s="23">
        <v>158.93</v>
      </c>
      <c r="Q8019" s="4">
        <f t="shared" si="125"/>
        <v>-66.87126407852513</v>
      </c>
      <c r="R8019" s="23" t="s">
        <v>109</v>
      </c>
      <c r="T8019" s="91"/>
      <c r="V8019" t="s">
        <v>10700</v>
      </c>
      <c r="W8019" t="s">
        <v>14392</v>
      </c>
    </row>
    <row r="8020" spans="1:23" x14ac:dyDescent="0.25">
      <c r="A8020" s="21">
        <v>45912</v>
      </c>
      <c r="B8020" s="1">
        <v>418288155</v>
      </c>
      <c r="C8020" t="s">
        <v>14416</v>
      </c>
      <c r="D8020" s="43">
        <v>-39367.83</v>
      </c>
      <c r="E8020" t="s">
        <v>35</v>
      </c>
      <c r="F8020" s="2">
        <v>212901001</v>
      </c>
      <c r="G8020" s="2" t="s">
        <v>121</v>
      </c>
      <c r="L8020" s="2" t="s">
        <v>14417</v>
      </c>
      <c r="M8020" t="s">
        <v>67</v>
      </c>
      <c r="N8020" t="s">
        <v>68</v>
      </c>
      <c r="P8020" s="23">
        <v>158.93</v>
      </c>
      <c r="Q8020" s="4">
        <f t="shared" si="125"/>
        <v>-247.70546781601962</v>
      </c>
      <c r="R8020" s="23" t="s">
        <v>109</v>
      </c>
      <c r="T8020" s="91"/>
      <c r="V8020" t="s">
        <v>12595</v>
      </c>
      <c r="W8020" t="s">
        <v>14392</v>
      </c>
    </row>
    <row r="8021" spans="1:23" x14ac:dyDescent="0.25">
      <c r="A8021" s="21">
        <v>45912</v>
      </c>
      <c r="B8021" s="1">
        <v>418288152</v>
      </c>
      <c r="C8021" t="s">
        <v>14418</v>
      </c>
      <c r="D8021" s="43">
        <v>-12553.73</v>
      </c>
      <c r="E8021" t="s">
        <v>35</v>
      </c>
      <c r="F8021" s="2">
        <v>212901001</v>
      </c>
      <c r="G8021" s="2" t="s">
        <v>121</v>
      </c>
      <c r="L8021" s="2" t="s">
        <v>14419</v>
      </c>
      <c r="M8021" t="s">
        <v>67</v>
      </c>
      <c r="N8021" t="s">
        <v>68</v>
      </c>
      <c r="P8021" s="23">
        <v>158.93</v>
      </c>
      <c r="Q8021" s="4">
        <f t="shared" si="125"/>
        <v>-78.989051783804186</v>
      </c>
      <c r="R8021" s="23" t="s">
        <v>109</v>
      </c>
      <c r="T8021" s="91"/>
      <c r="V8021" t="s">
        <v>10700</v>
      </c>
      <c r="W8021" t="s">
        <v>14392</v>
      </c>
    </row>
    <row r="8022" spans="1:23" x14ac:dyDescent="0.25">
      <c r="A8022" s="21">
        <v>45912</v>
      </c>
      <c r="B8022" s="1">
        <v>418288154</v>
      </c>
      <c r="C8022" t="s">
        <v>14420</v>
      </c>
      <c r="D8022" s="43">
        <v>-19651.580000000002</v>
      </c>
      <c r="E8022" t="s">
        <v>35</v>
      </c>
      <c r="F8022" s="2">
        <v>212901001</v>
      </c>
      <c r="G8022" s="2" t="s">
        <v>121</v>
      </c>
      <c r="L8022" s="2" t="s">
        <v>14421</v>
      </c>
      <c r="M8022" t="s">
        <v>67</v>
      </c>
      <c r="N8022" t="s">
        <v>68</v>
      </c>
      <c r="P8022" s="23">
        <v>158.93</v>
      </c>
      <c r="Q8022" s="4">
        <f t="shared" si="125"/>
        <v>-123.6492795570377</v>
      </c>
      <c r="R8022" s="23" t="s">
        <v>109</v>
      </c>
      <c r="T8022" s="91"/>
      <c r="V8022" t="s">
        <v>10700</v>
      </c>
      <c r="W8022" t="s">
        <v>14392</v>
      </c>
    </row>
    <row r="8023" spans="1:23" x14ac:dyDescent="0.25">
      <c r="A8023" s="21">
        <v>45912</v>
      </c>
      <c r="B8023" s="1">
        <v>418288156</v>
      </c>
      <c r="C8023" t="s">
        <v>14422</v>
      </c>
      <c r="D8023" s="43">
        <v>-7856.53</v>
      </c>
      <c r="E8023" t="s">
        <v>35</v>
      </c>
      <c r="F8023" s="2">
        <v>212901001</v>
      </c>
      <c r="G8023" s="2" t="s">
        <v>121</v>
      </c>
      <c r="L8023" s="2" t="s">
        <v>14423</v>
      </c>
      <c r="M8023" t="s">
        <v>67</v>
      </c>
      <c r="N8023" t="s">
        <v>68</v>
      </c>
      <c r="P8023" s="23">
        <v>158.93</v>
      </c>
      <c r="Q8023" s="4">
        <f t="shared" si="125"/>
        <v>-49.433901717737363</v>
      </c>
      <c r="R8023" s="23" t="s">
        <v>109</v>
      </c>
      <c r="T8023" s="91"/>
      <c r="V8023" t="s">
        <v>10700</v>
      </c>
      <c r="W8023" t="s">
        <v>14392</v>
      </c>
    </row>
    <row r="8024" spans="1:23" x14ac:dyDescent="0.25">
      <c r="A8024" s="21">
        <v>45912</v>
      </c>
      <c r="B8024" s="1">
        <v>318288145</v>
      </c>
      <c r="C8024" t="s">
        <v>14424</v>
      </c>
      <c r="D8024" s="43">
        <v>-11807.67</v>
      </c>
      <c r="E8024" t="s">
        <v>35</v>
      </c>
      <c r="F8024" s="2">
        <v>212901001</v>
      </c>
      <c r="G8024" s="2" t="s">
        <v>121</v>
      </c>
      <c r="L8024" s="2" t="s">
        <v>14425</v>
      </c>
      <c r="M8024" t="s">
        <v>67</v>
      </c>
      <c r="N8024" t="s">
        <v>68</v>
      </c>
      <c r="P8024" s="23">
        <v>158.93</v>
      </c>
      <c r="Q8024" s="4">
        <f t="shared" si="125"/>
        <v>-74.294783867111306</v>
      </c>
      <c r="R8024" s="23" t="s">
        <v>109</v>
      </c>
      <c r="T8024" s="91"/>
      <c r="V8024" t="s">
        <v>10700</v>
      </c>
      <c r="W8024" t="s">
        <v>14392</v>
      </c>
    </row>
    <row r="8025" spans="1:23" x14ac:dyDescent="0.25">
      <c r="A8025" s="21">
        <v>45912</v>
      </c>
      <c r="B8025" s="1">
        <v>418288158</v>
      </c>
      <c r="C8025" t="s">
        <v>14426</v>
      </c>
      <c r="D8025" s="43">
        <v>-12343.95</v>
      </c>
      <c r="E8025" t="s">
        <v>35</v>
      </c>
      <c r="F8025" s="2">
        <v>212901001</v>
      </c>
      <c r="G8025" s="2" t="s">
        <v>121</v>
      </c>
      <c r="L8025" s="2" t="s">
        <v>14427</v>
      </c>
      <c r="M8025" t="s">
        <v>67</v>
      </c>
      <c r="N8025" t="s">
        <v>68</v>
      </c>
      <c r="P8025" s="23">
        <v>158.93</v>
      </c>
      <c r="Q8025" s="4">
        <f t="shared" si="125"/>
        <v>-77.669099603599065</v>
      </c>
      <c r="R8025" s="23" t="s">
        <v>109</v>
      </c>
      <c r="T8025" s="91"/>
      <c r="V8025" t="s">
        <v>12595</v>
      </c>
      <c r="W8025" t="s">
        <v>14392</v>
      </c>
    </row>
    <row r="8026" spans="1:23" x14ac:dyDescent="0.25">
      <c r="A8026" s="21">
        <v>45912</v>
      </c>
      <c r="B8026" s="1">
        <v>418288160</v>
      </c>
      <c r="C8026" t="s">
        <v>14428</v>
      </c>
      <c r="D8026" s="43">
        <v>-17285.63</v>
      </c>
      <c r="E8026" t="s">
        <v>35</v>
      </c>
      <c r="F8026" s="2">
        <v>212901001</v>
      </c>
      <c r="G8026" s="2" t="s">
        <v>121</v>
      </c>
      <c r="L8026" s="2" t="s">
        <v>14429</v>
      </c>
      <c r="M8026" t="s">
        <v>67</v>
      </c>
      <c r="N8026" t="s">
        <v>68</v>
      </c>
      <c r="P8026" s="23">
        <v>158.93</v>
      </c>
      <c r="Q8026" s="4">
        <f t="shared" si="125"/>
        <v>-108.76253696595985</v>
      </c>
      <c r="R8026" s="23" t="s">
        <v>109</v>
      </c>
      <c r="T8026" s="91"/>
      <c r="V8026" t="s">
        <v>12595</v>
      </c>
      <c r="W8026" t="s">
        <v>14392</v>
      </c>
    </row>
    <row r="8027" spans="1:23" x14ac:dyDescent="0.25">
      <c r="A8027" s="21">
        <v>45912</v>
      </c>
      <c r="B8027" s="1">
        <v>518288165</v>
      </c>
      <c r="C8027" t="s">
        <v>14430</v>
      </c>
      <c r="D8027" s="43">
        <v>-5477.96</v>
      </c>
      <c r="E8027" t="s">
        <v>35</v>
      </c>
      <c r="F8027" s="2">
        <v>212901001</v>
      </c>
      <c r="G8027" s="2" t="s">
        <v>121</v>
      </c>
      <c r="L8027" s="2" t="s">
        <v>14431</v>
      </c>
      <c r="M8027" t="s">
        <v>67</v>
      </c>
      <c r="N8027" t="s">
        <v>68</v>
      </c>
      <c r="P8027" s="23">
        <v>158.93</v>
      </c>
      <c r="Q8027" s="4">
        <f t="shared" si="125"/>
        <v>-34.467753098848547</v>
      </c>
      <c r="R8027" s="23" t="s">
        <v>109</v>
      </c>
      <c r="T8027" s="91"/>
      <c r="V8027" t="s">
        <v>10700</v>
      </c>
      <c r="W8027" t="s">
        <v>14392</v>
      </c>
    </row>
    <row r="8028" spans="1:23" x14ac:dyDescent="0.25">
      <c r="A8028" s="21">
        <v>45912</v>
      </c>
      <c r="B8028" s="1">
        <v>518288163</v>
      </c>
      <c r="C8028" t="s">
        <v>14432</v>
      </c>
      <c r="D8028" s="43">
        <v>-5479.54</v>
      </c>
      <c r="E8028" t="s">
        <v>35</v>
      </c>
      <c r="F8028" s="2">
        <v>212901001</v>
      </c>
      <c r="G8028" s="2" t="s">
        <v>121</v>
      </c>
      <c r="L8028" s="2" t="s">
        <v>14433</v>
      </c>
      <c r="M8028" t="s">
        <v>67</v>
      </c>
      <c r="N8028" t="s">
        <v>68</v>
      </c>
      <c r="P8028" s="23">
        <v>158.93</v>
      </c>
      <c r="Q8028" s="4">
        <f t="shared" si="125"/>
        <v>-34.477694582520606</v>
      </c>
      <c r="R8028" s="23" t="s">
        <v>109</v>
      </c>
      <c r="T8028" s="91"/>
      <c r="V8028" t="s">
        <v>10700</v>
      </c>
      <c r="W8028" t="s">
        <v>14392</v>
      </c>
    </row>
    <row r="8029" spans="1:23" x14ac:dyDescent="0.25">
      <c r="A8029" s="21">
        <v>45912</v>
      </c>
      <c r="B8029" s="1">
        <v>518288161</v>
      </c>
      <c r="C8029" t="s">
        <v>14434</v>
      </c>
      <c r="D8029" s="43">
        <v>-5293.42</v>
      </c>
      <c r="E8029" t="s">
        <v>35</v>
      </c>
      <c r="F8029" s="2">
        <v>212901001</v>
      </c>
      <c r="G8029" s="2" t="s">
        <v>121</v>
      </c>
      <c r="L8029" s="2" t="s">
        <v>14435</v>
      </c>
      <c r="M8029" t="s">
        <v>67</v>
      </c>
      <c r="N8029" t="s">
        <v>68</v>
      </c>
      <c r="P8029" s="23">
        <v>158.93</v>
      </c>
      <c r="Q8029" s="4">
        <f t="shared" si="125"/>
        <v>-33.306612974265398</v>
      </c>
      <c r="R8029" s="23" t="s">
        <v>109</v>
      </c>
      <c r="T8029" s="91"/>
      <c r="V8029" t="s">
        <v>12595</v>
      </c>
      <c r="W8029" t="s">
        <v>14392</v>
      </c>
    </row>
    <row r="8030" spans="1:23" x14ac:dyDescent="0.25">
      <c r="A8030" s="21">
        <v>45912</v>
      </c>
      <c r="B8030" s="1">
        <v>418288159</v>
      </c>
      <c r="C8030" t="s">
        <v>14436</v>
      </c>
      <c r="D8030" s="43">
        <v>-14236.71</v>
      </c>
      <c r="E8030" t="s">
        <v>35</v>
      </c>
      <c r="F8030" s="2">
        <v>212901001</v>
      </c>
      <c r="G8030" s="2" t="s">
        <v>121</v>
      </c>
      <c r="L8030" s="2" t="s">
        <v>14437</v>
      </c>
      <c r="M8030" t="s">
        <v>67</v>
      </c>
      <c r="N8030" t="s">
        <v>68</v>
      </c>
      <c r="P8030" s="23">
        <v>158.93</v>
      </c>
      <c r="Q8030" s="4">
        <f t="shared" si="125"/>
        <v>-89.578493676461321</v>
      </c>
      <c r="R8030" s="23" t="s">
        <v>109</v>
      </c>
      <c r="T8030" s="91"/>
      <c r="V8030" t="s">
        <v>10700</v>
      </c>
      <c r="W8030" t="s">
        <v>14392</v>
      </c>
    </row>
    <row r="8031" spans="1:23" x14ac:dyDescent="0.25">
      <c r="A8031" s="21">
        <v>45912</v>
      </c>
      <c r="B8031" s="1">
        <v>518288162</v>
      </c>
      <c r="C8031" t="s">
        <v>14438</v>
      </c>
      <c r="D8031" s="43">
        <v>-7847.07</v>
      </c>
      <c r="E8031" t="s">
        <v>35</v>
      </c>
      <c r="F8031" s="2">
        <v>212901001</v>
      </c>
      <c r="G8031" s="2" t="s">
        <v>121</v>
      </c>
      <c r="L8031" s="2" t="s">
        <v>14439</v>
      </c>
      <c r="M8031" t="s">
        <v>67</v>
      </c>
      <c r="N8031" t="s">
        <v>68</v>
      </c>
      <c r="P8031" s="23">
        <v>158.93</v>
      </c>
      <c r="Q8031" s="4">
        <f t="shared" si="125"/>
        <v>-49.374378657270491</v>
      </c>
      <c r="R8031" s="23" t="s">
        <v>109</v>
      </c>
      <c r="T8031" s="91"/>
      <c r="V8031" t="s">
        <v>10700</v>
      </c>
      <c r="W8031" t="s">
        <v>14392</v>
      </c>
    </row>
    <row r="8032" spans="1:23" x14ac:dyDescent="0.25">
      <c r="A8032" s="21">
        <v>45912</v>
      </c>
      <c r="B8032" s="1">
        <v>518288164</v>
      </c>
      <c r="C8032" t="s">
        <v>14440</v>
      </c>
      <c r="D8032" s="43">
        <v>-23594.83</v>
      </c>
      <c r="E8032" t="s">
        <v>35</v>
      </c>
      <c r="F8032" s="2">
        <v>212901001</v>
      </c>
      <c r="G8032" s="2" t="s">
        <v>121</v>
      </c>
      <c r="L8032" s="2" t="s">
        <v>14441</v>
      </c>
      <c r="M8032" t="s">
        <v>67</v>
      </c>
      <c r="N8032" t="s">
        <v>68</v>
      </c>
      <c r="P8032" s="23">
        <v>158.93</v>
      </c>
      <c r="Q8032" s="4">
        <f t="shared" si="125"/>
        <v>-148.46051720883409</v>
      </c>
      <c r="R8032" s="23" t="s">
        <v>109</v>
      </c>
      <c r="T8032" s="91"/>
      <c r="V8032" t="s">
        <v>12595</v>
      </c>
      <c r="W8032" t="s">
        <v>14392</v>
      </c>
    </row>
    <row r="8033" spans="1:23" x14ac:dyDescent="0.25">
      <c r="A8033" s="21">
        <v>45912</v>
      </c>
      <c r="B8033" s="1">
        <v>518288168</v>
      </c>
      <c r="C8033" t="s">
        <v>14442</v>
      </c>
      <c r="D8033" s="43">
        <v>-11807.67</v>
      </c>
      <c r="E8033" t="s">
        <v>35</v>
      </c>
      <c r="F8033" s="2">
        <v>212901001</v>
      </c>
      <c r="G8033" s="2" t="s">
        <v>121</v>
      </c>
      <c r="L8033" s="2" t="s">
        <v>14443</v>
      </c>
      <c r="M8033" t="s">
        <v>67</v>
      </c>
      <c r="N8033" t="s">
        <v>68</v>
      </c>
      <c r="P8033" s="23">
        <v>158.93</v>
      </c>
      <c r="Q8033" s="4">
        <f t="shared" si="125"/>
        <v>-74.294783867111306</v>
      </c>
      <c r="R8033" s="23" t="s">
        <v>109</v>
      </c>
      <c r="T8033" s="91"/>
      <c r="V8033" t="s">
        <v>10700</v>
      </c>
      <c r="W8033" t="s">
        <v>14392</v>
      </c>
    </row>
    <row r="8034" spans="1:23" x14ac:dyDescent="0.25">
      <c r="A8034" s="21">
        <v>45912</v>
      </c>
      <c r="B8034" s="1">
        <v>618288173</v>
      </c>
      <c r="C8034" t="s">
        <v>14444</v>
      </c>
      <c r="D8034" s="43">
        <v>-60.3</v>
      </c>
      <c r="E8034" t="s">
        <v>35</v>
      </c>
      <c r="F8034" s="2">
        <v>212901001</v>
      </c>
      <c r="G8034" s="2" t="s">
        <v>121</v>
      </c>
      <c r="L8034" s="2" t="s">
        <v>14445</v>
      </c>
      <c r="M8034" t="s">
        <v>67</v>
      </c>
      <c r="N8034" t="s">
        <v>68</v>
      </c>
      <c r="P8034" s="23">
        <v>158.93</v>
      </c>
      <c r="Q8034" s="4">
        <f t="shared" si="125"/>
        <v>-0.37941231988925939</v>
      </c>
      <c r="R8034" s="23" t="s">
        <v>109</v>
      </c>
      <c r="T8034" s="91"/>
      <c r="V8034" t="s">
        <v>10700</v>
      </c>
      <c r="W8034" t="s">
        <v>14397</v>
      </c>
    </row>
    <row r="8035" spans="1:23" x14ac:dyDescent="0.25">
      <c r="A8035" s="21">
        <v>45912</v>
      </c>
      <c r="B8035" s="1">
        <v>618288172</v>
      </c>
      <c r="C8035" t="s">
        <v>14446</v>
      </c>
      <c r="D8035" s="43">
        <v>-56.01</v>
      </c>
      <c r="E8035" t="s">
        <v>35</v>
      </c>
      <c r="F8035" s="2">
        <v>212901001</v>
      </c>
      <c r="G8035" s="2" t="s">
        <v>121</v>
      </c>
      <c r="L8035" s="2" t="s">
        <v>14447</v>
      </c>
      <c r="M8035" t="s">
        <v>67</v>
      </c>
      <c r="N8035" t="s">
        <v>68</v>
      </c>
      <c r="P8035" s="23">
        <v>158.93</v>
      </c>
      <c r="Q8035" s="4">
        <f t="shared" si="125"/>
        <v>-0.35241930409614292</v>
      </c>
      <c r="R8035" s="23" t="s">
        <v>109</v>
      </c>
      <c r="T8035" s="91"/>
      <c r="V8035" t="s">
        <v>12595</v>
      </c>
      <c r="W8035" t="s">
        <v>14392</v>
      </c>
    </row>
    <row r="8036" spans="1:23" x14ac:dyDescent="0.25">
      <c r="A8036" s="21">
        <v>45912</v>
      </c>
      <c r="B8036" s="1">
        <v>518288167</v>
      </c>
      <c r="C8036" t="s">
        <v>14448</v>
      </c>
      <c r="D8036" s="43">
        <v>-6268.19</v>
      </c>
      <c r="E8036" t="s">
        <v>35</v>
      </c>
      <c r="F8036" s="2">
        <v>212901001</v>
      </c>
      <c r="G8036" s="2" t="s">
        <v>121</v>
      </c>
      <c r="L8036" s="2" t="s">
        <v>14449</v>
      </c>
      <c r="M8036" t="s">
        <v>67</v>
      </c>
      <c r="N8036" t="s">
        <v>68</v>
      </c>
      <c r="P8036" s="23">
        <v>158.93</v>
      </c>
      <c r="Q8036" s="4">
        <f t="shared" si="125"/>
        <v>-39.439942112879883</v>
      </c>
      <c r="R8036" s="23" t="s">
        <v>109</v>
      </c>
      <c r="T8036" s="91"/>
      <c r="V8036" t="s">
        <v>10700</v>
      </c>
      <c r="W8036" t="s">
        <v>14392</v>
      </c>
    </row>
    <row r="8037" spans="1:23" x14ac:dyDescent="0.25">
      <c r="A8037" s="21">
        <v>45912</v>
      </c>
      <c r="B8037" s="1">
        <v>518288169</v>
      </c>
      <c r="C8037" t="s">
        <v>14450</v>
      </c>
      <c r="D8037" s="43">
        <v>-11807.67</v>
      </c>
      <c r="E8037" t="s">
        <v>35</v>
      </c>
      <c r="F8037" s="2">
        <v>212901001</v>
      </c>
      <c r="G8037" s="2" t="s">
        <v>121</v>
      </c>
      <c r="L8037" s="2" t="s">
        <v>14451</v>
      </c>
      <c r="M8037" t="s">
        <v>67</v>
      </c>
      <c r="N8037" t="s">
        <v>68</v>
      </c>
      <c r="P8037" s="23">
        <v>158.93</v>
      </c>
      <c r="Q8037" s="4">
        <f t="shared" si="125"/>
        <v>-74.294783867111306</v>
      </c>
      <c r="R8037" s="23" t="s">
        <v>109</v>
      </c>
      <c r="T8037" s="91"/>
      <c r="V8037" t="s">
        <v>10700</v>
      </c>
      <c r="W8037" t="s">
        <v>14392</v>
      </c>
    </row>
    <row r="8038" spans="1:23" x14ac:dyDescent="0.25">
      <c r="A8038" s="21">
        <v>45912</v>
      </c>
      <c r="B8038" s="1">
        <v>618288171</v>
      </c>
      <c r="C8038" t="s">
        <v>14452</v>
      </c>
      <c r="D8038" s="43">
        <v>-60.3</v>
      </c>
      <c r="E8038" t="s">
        <v>35</v>
      </c>
      <c r="F8038" s="2">
        <v>212901001</v>
      </c>
      <c r="G8038" s="2" t="s">
        <v>121</v>
      </c>
      <c r="L8038" s="2" t="s">
        <v>14453</v>
      </c>
      <c r="M8038" t="s">
        <v>67</v>
      </c>
      <c r="N8038" t="s">
        <v>68</v>
      </c>
      <c r="P8038" s="23">
        <v>158.93</v>
      </c>
      <c r="Q8038" s="4">
        <f t="shared" si="125"/>
        <v>-0.37941231988925939</v>
      </c>
      <c r="R8038" s="23" t="s">
        <v>109</v>
      </c>
      <c r="T8038" s="91"/>
      <c r="V8038" t="s">
        <v>10700</v>
      </c>
      <c r="W8038" t="s">
        <v>14392</v>
      </c>
    </row>
    <row r="8039" spans="1:23" x14ac:dyDescent="0.25">
      <c r="A8039" s="21">
        <v>45912</v>
      </c>
      <c r="B8039" s="1">
        <v>618288174</v>
      </c>
      <c r="C8039" t="s">
        <v>14454</v>
      </c>
      <c r="D8039" s="43">
        <v>-60.3</v>
      </c>
      <c r="E8039" t="s">
        <v>35</v>
      </c>
      <c r="F8039" s="2">
        <v>212901001</v>
      </c>
      <c r="G8039" s="2" t="s">
        <v>121</v>
      </c>
      <c r="L8039" s="2" t="s">
        <v>14455</v>
      </c>
      <c r="M8039" t="s">
        <v>67</v>
      </c>
      <c r="N8039" t="s">
        <v>68</v>
      </c>
      <c r="P8039" s="23">
        <v>158.93</v>
      </c>
      <c r="Q8039" s="4">
        <f t="shared" si="125"/>
        <v>-0.37941231988925939</v>
      </c>
      <c r="R8039" s="23" t="s">
        <v>109</v>
      </c>
      <c r="T8039" s="91"/>
      <c r="V8039" t="s">
        <v>10700</v>
      </c>
      <c r="W8039" t="s">
        <v>14392</v>
      </c>
    </row>
    <row r="8040" spans="1:23" x14ac:dyDescent="0.25">
      <c r="A8040" s="21">
        <v>45912</v>
      </c>
      <c r="B8040" s="1">
        <v>318288146</v>
      </c>
      <c r="C8040" t="s">
        <v>14456</v>
      </c>
      <c r="D8040" s="43">
        <v>-11665.71</v>
      </c>
      <c r="E8040" t="s">
        <v>35</v>
      </c>
      <c r="F8040" s="2">
        <v>212901001</v>
      </c>
      <c r="G8040" s="2" t="s">
        <v>121</v>
      </c>
      <c r="L8040" s="2" t="s">
        <v>14457</v>
      </c>
      <c r="M8040" t="s">
        <v>67</v>
      </c>
      <c r="N8040" t="s">
        <v>68</v>
      </c>
      <c r="P8040" s="23">
        <v>158.93</v>
      </c>
      <c r="Q8040" s="4">
        <f t="shared" si="125"/>
        <v>-73.40156043541181</v>
      </c>
      <c r="R8040" s="23" t="s">
        <v>109</v>
      </c>
      <c r="T8040" s="91"/>
      <c r="V8040" t="s">
        <v>10700</v>
      </c>
      <c r="W8040" t="s">
        <v>14392</v>
      </c>
    </row>
    <row r="8041" spans="1:23" x14ac:dyDescent="0.25">
      <c r="A8041" s="21">
        <v>45912</v>
      </c>
      <c r="B8041" s="1">
        <v>718288178</v>
      </c>
      <c r="C8041" t="s">
        <v>14458</v>
      </c>
      <c r="D8041" s="43">
        <v>-60.3</v>
      </c>
      <c r="E8041" t="s">
        <v>35</v>
      </c>
      <c r="F8041" s="2">
        <v>212901001</v>
      </c>
      <c r="G8041" s="2" t="s">
        <v>121</v>
      </c>
      <c r="L8041" s="2" t="s">
        <v>14459</v>
      </c>
      <c r="M8041" t="s">
        <v>67</v>
      </c>
      <c r="N8041" t="s">
        <v>68</v>
      </c>
      <c r="P8041" s="23">
        <v>158.93</v>
      </c>
      <c r="Q8041" s="4">
        <f t="shared" si="125"/>
        <v>-0.37941231988925939</v>
      </c>
      <c r="R8041" s="23" t="s">
        <v>109</v>
      </c>
      <c r="T8041" s="91"/>
      <c r="V8041" t="s">
        <v>10700</v>
      </c>
      <c r="W8041" t="s">
        <v>14392</v>
      </c>
    </row>
    <row r="8042" spans="1:23" x14ac:dyDescent="0.25">
      <c r="A8042" s="21">
        <v>45912</v>
      </c>
      <c r="B8042" s="1">
        <v>618288176</v>
      </c>
      <c r="C8042" t="s">
        <v>14460</v>
      </c>
      <c r="D8042" s="43">
        <v>-60.3</v>
      </c>
      <c r="E8042" t="s">
        <v>35</v>
      </c>
      <c r="F8042" s="2">
        <v>212901001</v>
      </c>
      <c r="G8042" s="2" t="s">
        <v>121</v>
      </c>
      <c r="L8042" s="2" t="s">
        <v>14461</v>
      </c>
      <c r="M8042" t="s">
        <v>67</v>
      </c>
      <c r="N8042" t="s">
        <v>68</v>
      </c>
      <c r="P8042" s="23">
        <v>158.93</v>
      </c>
      <c r="Q8042" s="4">
        <f t="shared" si="125"/>
        <v>-0.37941231988925939</v>
      </c>
      <c r="R8042" s="23" t="s">
        <v>109</v>
      </c>
      <c r="T8042" s="91"/>
      <c r="V8042" t="s">
        <v>10700</v>
      </c>
      <c r="W8042" t="s">
        <v>14392</v>
      </c>
    </row>
    <row r="8043" spans="1:23" x14ac:dyDescent="0.25">
      <c r="A8043" s="21">
        <v>45912</v>
      </c>
      <c r="B8043" s="1">
        <v>718288179</v>
      </c>
      <c r="C8043" t="s">
        <v>14462</v>
      </c>
      <c r="D8043" s="43">
        <v>-51.72</v>
      </c>
      <c r="E8043" t="s">
        <v>35</v>
      </c>
      <c r="F8043" s="2">
        <v>212901001</v>
      </c>
      <c r="G8043" s="2" t="s">
        <v>121</v>
      </c>
      <c r="L8043" s="2" t="s">
        <v>14463</v>
      </c>
      <c r="M8043" t="s">
        <v>67</v>
      </c>
      <c r="N8043" t="s">
        <v>68</v>
      </c>
      <c r="P8043" s="23">
        <v>158.93</v>
      </c>
      <c r="Q8043" s="4">
        <f t="shared" si="125"/>
        <v>-0.32542628830302645</v>
      </c>
      <c r="R8043" s="23" t="s">
        <v>109</v>
      </c>
      <c r="T8043" s="91"/>
      <c r="V8043" t="s">
        <v>10700</v>
      </c>
      <c r="W8043" t="s">
        <v>14392</v>
      </c>
    </row>
    <row r="8044" spans="1:23" x14ac:dyDescent="0.25">
      <c r="A8044" s="21">
        <v>45912</v>
      </c>
      <c r="B8044" s="1">
        <v>618288175</v>
      </c>
      <c r="C8044" t="s">
        <v>14464</v>
      </c>
      <c r="D8044" s="43">
        <v>-60.3</v>
      </c>
      <c r="E8044" t="s">
        <v>35</v>
      </c>
      <c r="F8044" s="2">
        <v>212901001</v>
      </c>
      <c r="G8044" s="2" t="s">
        <v>121</v>
      </c>
      <c r="L8044" s="2" t="s">
        <v>14465</v>
      </c>
      <c r="M8044" t="s">
        <v>67</v>
      </c>
      <c r="N8044" t="s">
        <v>68</v>
      </c>
      <c r="P8044" s="23">
        <v>158.93</v>
      </c>
      <c r="Q8044" s="4">
        <f t="shared" si="125"/>
        <v>-0.37941231988925939</v>
      </c>
      <c r="R8044" s="23" t="s">
        <v>109</v>
      </c>
      <c r="T8044" s="91"/>
      <c r="V8044" t="s">
        <v>10700</v>
      </c>
      <c r="W8044" t="s">
        <v>14392</v>
      </c>
    </row>
    <row r="8045" spans="1:23" x14ac:dyDescent="0.25">
      <c r="A8045" s="21">
        <v>45912</v>
      </c>
      <c r="B8045" s="1">
        <v>318288147</v>
      </c>
      <c r="C8045" t="s">
        <v>14466</v>
      </c>
      <c r="D8045" s="43">
        <v>-63027.33</v>
      </c>
      <c r="E8045" t="s">
        <v>35</v>
      </c>
      <c r="F8045" s="2">
        <v>212901001</v>
      </c>
      <c r="G8045" s="2" t="s">
        <v>121</v>
      </c>
      <c r="L8045" s="2" t="s">
        <v>14467</v>
      </c>
      <c r="M8045" t="s">
        <v>67</v>
      </c>
      <c r="N8045" t="s">
        <v>68</v>
      </c>
      <c r="P8045" s="23">
        <v>158.93</v>
      </c>
      <c r="Q8045" s="4">
        <f t="shared" si="125"/>
        <v>-396.57289372679793</v>
      </c>
      <c r="R8045" s="23" t="s">
        <v>109</v>
      </c>
      <c r="T8045" s="91"/>
      <c r="V8045" t="s">
        <v>10700</v>
      </c>
      <c r="W8045" t="s">
        <v>14397</v>
      </c>
    </row>
    <row r="8046" spans="1:23" x14ac:dyDescent="0.25">
      <c r="A8046" s="21">
        <v>45912</v>
      </c>
      <c r="B8046" s="1">
        <v>718288181</v>
      </c>
      <c r="C8046" t="s">
        <v>14468</v>
      </c>
      <c r="D8046" s="43">
        <v>-60.3</v>
      </c>
      <c r="E8046" t="s">
        <v>35</v>
      </c>
      <c r="F8046" s="2">
        <v>212901001</v>
      </c>
      <c r="G8046" s="2" t="s">
        <v>121</v>
      </c>
      <c r="L8046" s="2" t="s">
        <v>14469</v>
      </c>
      <c r="M8046" t="s">
        <v>67</v>
      </c>
      <c r="N8046" t="s">
        <v>68</v>
      </c>
      <c r="P8046" s="23">
        <v>158.93</v>
      </c>
      <c r="Q8046" s="4">
        <f t="shared" si="125"/>
        <v>-0.37941231988925939</v>
      </c>
      <c r="R8046" s="23" t="s">
        <v>109</v>
      </c>
      <c r="T8046" s="91"/>
      <c r="V8046" t="s">
        <v>10700</v>
      </c>
      <c r="W8046" t="s">
        <v>14392</v>
      </c>
    </row>
    <row r="8047" spans="1:23" x14ac:dyDescent="0.25">
      <c r="A8047" s="21">
        <v>45912</v>
      </c>
      <c r="B8047" s="1">
        <v>218288143</v>
      </c>
      <c r="C8047" t="s">
        <v>14470</v>
      </c>
      <c r="D8047" s="43">
        <v>-10250.870000000001</v>
      </c>
      <c r="E8047" t="s">
        <v>35</v>
      </c>
      <c r="F8047" s="2">
        <v>212901001</v>
      </c>
      <c r="G8047" s="2" t="s">
        <v>121</v>
      </c>
      <c r="L8047" s="2" t="s">
        <v>14471</v>
      </c>
      <c r="M8047" t="s">
        <v>67</v>
      </c>
      <c r="N8047" t="s">
        <v>68</v>
      </c>
      <c r="P8047" s="23">
        <v>158.93</v>
      </c>
      <c r="Q8047" s="4">
        <f t="shared" si="125"/>
        <v>-64.499276410998561</v>
      </c>
      <c r="R8047" s="23" t="s">
        <v>109</v>
      </c>
      <c r="T8047" s="91"/>
      <c r="V8047" t="s">
        <v>10700</v>
      </c>
      <c r="W8047" t="s">
        <v>14392</v>
      </c>
    </row>
    <row r="8048" spans="1:23" x14ac:dyDescent="0.25">
      <c r="A8048" s="21">
        <v>45912</v>
      </c>
      <c r="B8048" s="1">
        <v>518288166</v>
      </c>
      <c r="C8048" t="s">
        <v>14472</v>
      </c>
      <c r="D8048" s="43">
        <v>-11807.67</v>
      </c>
      <c r="E8048" t="s">
        <v>35</v>
      </c>
      <c r="F8048" s="2">
        <v>212901001</v>
      </c>
      <c r="G8048" s="2" t="s">
        <v>121</v>
      </c>
      <c r="L8048" s="2" t="s">
        <v>14473</v>
      </c>
      <c r="M8048" t="s">
        <v>67</v>
      </c>
      <c r="N8048" t="s">
        <v>68</v>
      </c>
      <c r="P8048" s="23">
        <v>158.93</v>
      </c>
      <c r="Q8048" s="4">
        <f t="shared" si="125"/>
        <v>-74.294783867111306</v>
      </c>
      <c r="R8048" s="23" t="s">
        <v>109</v>
      </c>
      <c r="T8048" s="91"/>
      <c r="V8048" t="s">
        <v>10700</v>
      </c>
      <c r="W8048" t="s">
        <v>14392</v>
      </c>
    </row>
    <row r="8049" spans="1:23" x14ac:dyDescent="0.25">
      <c r="A8049" s="21">
        <v>45912</v>
      </c>
      <c r="B8049" s="1">
        <v>218288141</v>
      </c>
      <c r="C8049" t="s">
        <v>14474</v>
      </c>
      <c r="D8049" s="43">
        <v>-11730.38</v>
      </c>
      <c r="E8049" t="s">
        <v>35</v>
      </c>
      <c r="F8049" s="2">
        <v>212901001</v>
      </c>
      <c r="G8049" s="2" t="s">
        <v>121</v>
      </c>
      <c r="L8049" s="2" t="s">
        <v>14475</v>
      </c>
      <c r="M8049" t="s">
        <v>67</v>
      </c>
      <c r="N8049" t="s">
        <v>68</v>
      </c>
      <c r="P8049" s="23">
        <v>158.93</v>
      </c>
      <c r="Q8049" s="4">
        <f t="shared" si="125"/>
        <v>-73.808469137356056</v>
      </c>
      <c r="R8049" s="23" t="s">
        <v>109</v>
      </c>
      <c r="T8049" s="91"/>
      <c r="V8049" t="s">
        <v>10700</v>
      </c>
      <c r="W8049" t="s">
        <v>14392</v>
      </c>
    </row>
    <row r="8050" spans="1:23" x14ac:dyDescent="0.25">
      <c r="A8050" s="21">
        <v>45912</v>
      </c>
      <c r="B8050" s="1">
        <v>718288183</v>
      </c>
      <c r="C8050" t="s">
        <v>14476</v>
      </c>
      <c r="D8050" s="43">
        <v>-60.3</v>
      </c>
      <c r="E8050" t="s">
        <v>35</v>
      </c>
      <c r="F8050" s="2">
        <v>212901001</v>
      </c>
      <c r="G8050" s="2" t="s">
        <v>121</v>
      </c>
      <c r="L8050" s="2" t="s">
        <v>14477</v>
      </c>
      <c r="M8050" t="s">
        <v>67</v>
      </c>
      <c r="N8050" t="s">
        <v>68</v>
      </c>
      <c r="P8050" s="23">
        <v>158.93</v>
      </c>
      <c r="Q8050" s="4">
        <f t="shared" si="125"/>
        <v>-0.37941231988925939</v>
      </c>
      <c r="R8050" s="23" t="s">
        <v>109</v>
      </c>
      <c r="T8050" s="91"/>
      <c r="V8050" t="s">
        <v>10700</v>
      </c>
      <c r="W8050" t="s">
        <v>14392</v>
      </c>
    </row>
    <row r="8051" spans="1:23" x14ac:dyDescent="0.25">
      <c r="A8051" s="21">
        <v>45912</v>
      </c>
      <c r="B8051" s="1">
        <v>718288182</v>
      </c>
      <c r="C8051" t="s">
        <v>14478</v>
      </c>
      <c r="D8051" s="43">
        <v>-60.3</v>
      </c>
      <c r="E8051" t="s">
        <v>35</v>
      </c>
      <c r="F8051" s="2">
        <v>212901001</v>
      </c>
      <c r="G8051" s="2" t="s">
        <v>121</v>
      </c>
      <c r="L8051" s="2" t="s">
        <v>14479</v>
      </c>
      <c r="M8051" t="s">
        <v>67</v>
      </c>
      <c r="N8051" t="s">
        <v>68</v>
      </c>
      <c r="P8051" s="23">
        <v>158.93</v>
      </c>
      <c r="Q8051" s="4">
        <f t="shared" si="125"/>
        <v>-0.37941231988925939</v>
      </c>
      <c r="R8051" s="23" t="s">
        <v>109</v>
      </c>
      <c r="T8051" s="91"/>
      <c r="V8051" t="s">
        <v>10700</v>
      </c>
      <c r="W8051" t="s">
        <v>14392</v>
      </c>
    </row>
    <row r="8052" spans="1:23" x14ac:dyDescent="0.25">
      <c r="A8052" s="21">
        <v>45912</v>
      </c>
      <c r="B8052" s="1">
        <v>718288185</v>
      </c>
      <c r="C8052" t="s">
        <v>14480</v>
      </c>
      <c r="D8052" s="43">
        <v>-60.3</v>
      </c>
      <c r="E8052" t="s">
        <v>35</v>
      </c>
      <c r="F8052" s="2">
        <v>212901001</v>
      </c>
      <c r="G8052" s="2" t="s">
        <v>121</v>
      </c>
      <c r="L8052" s="2" t="s">
        <v>14481</v>
      </c>
      <c r="M8052" t="s">
        <v>67</v>
      </c>
      <c r="N8052" t="s">
        <v>68</v>
      </c>
      <c r="P8052" s="23">
        <v>158.93</v>
      </c>
      <c r="Q8052" s="4">
        <f t="shared" si="125"/>
        <v>-0.37941231988925939</v>
      </c>
      <c r="R8052" s="23" t="s">
        <v>109</v>
      </c>
      <c r="T8052" s="91"/>
      <c r="V8052" t="s">
        <v>10700</v>
      </c>
      <c r="W8052" t="s">
        <v>14392</v>
      </c>
    </row>
    <row r="8053" spans="1:23" x14ac:dyDescent="0.25">
      <c r="A8053" s="21">
        <v>45912</v>
      </c>
      <c r="B8053" s="1">
        <v>618288177</v>
      </c>
      <c r="C8053" t="s">
        <v>14482</v>
      </c>
      <c r="D8053" s="43">
        <v>-60.3</v>
      </c>
      <c r="E8053" t="s">
        <v>35</v>
      </c>
      <c r="F8053" s="2">
        <v>212901001</v>
      </c>
      <c r="G8053" s="2" t="s">
        <v>121</v>
      </c>
      <c r="L8053" s="2" t="s">
        <v>14483</v>
      </c>
      <c r="M8053" t="s">
        <v>67</v>
      </c>
      <c r="N8053" t="s">
        <v>68</v>
      </c>
      <c r="P8053" s="23">
        <v>158.93</v>
      </c>
      <c r="Q8053" s="4">
        <f t="shared" si="125"/>
        <v>-0.37941231988925939</v>
      </c>
      <c r="R8053" s="23" t="s">
        <v>109</v>
      </c>
      <c r="T8053" s="91"/>
      <c r="V8053" t="s">
        <v>10700</v>
      </c>
      <c r="W8053" t="s">
        <v>14397</v>
      </c>
    </row>
    <row r="8054" spans="1:23" x14ac:dyDescent="0.25">
      <c r="A8054" s="21">
        <v>45912</v>
      </c>
      <c r="B8054" s="1">
        <v>718288180</v>
      </c>
      <c r="C8054" t="s">
        <v>14484</v>
      </c>
      <c r="D8054" s="43">
        <v>-60.3</v>
      </c>
      <c r="E8054" t="s">
        <v>35</v>
      </c>
      <c r="F8054" s="2">
        <v>212901001</v>
      </c>
      <c r="G8054" s="2" t="s">
        <v>121</v>
      </c>
      <c r="L8054" s="2" t="s">
        <v>14485</v>
      </c>
      <c r="M8054" t="s">
        <v>67</v>
      </c>
      <c r="N8054" t="s">
        <v>68</v>
      </c>
      <c r="P8054" s="23">
        <v>158.93</v>
      </c>
      <c r="Q8054" s="4">
        <f t="shared" si="125"/>
        <v>-0.37941231988925939</v>
      </c>
      <c r="R8054" s="23" t="s">
        <v>109</v>
      </c>
      <c r="T8054" s="91"/>
      <c r="V8054" t="s">
        <v>10700</v>
      </c>
      <c r="W8054" t="s">
        <v>14392</v>
      </c>
    </row>
    <row r="8055" spans="1:23" x14ac:dyDescent="0.25">
      <c r="A8055" s="21">
        <v>45912</v>
      </c>
      <c r="B8055" s="1">
        <v>818288187</v>
      </c>
      <c r="C8055" t="s">
        <v>14486</v>
      </c>
      <c r="D8055" s="43">
        <v>-60.3</v>
      </c>
      <c r="E8055" t="s">
        <v>35</v>
      </c>
      <c r="F8055" s="2">
        <v>212901001</v>
      </c>
      <c r="G8055" s="2" t="s">
        <v>121</v>
      </c>
      <c r="L8055" s="2" t="s">
        <v>14487</v>
      </c>
      <c r="M8055" t="s">
        <v>67</v>
      </c>
      <c r="N8055" t="s">
        <v>68</v>
      </c>
      <c r="P8055" s="23">
        <v>158.93</v>
      </c>
      <c r="Q8055" s="4">
        <f t="shared" si="125"/>
        <v>-0.37941231988925939</v>
      </c>
      <c r="R8055" s="23" t="s">
        <v>109</v>
      </c>
      <c r="T8055" s="91"/>
      <c r="V8055" t="s">
        <v>12595</v>
      </c>
      <c r="W8055" t="s">
        <v>14392</v>
      </c>
    </row>
    <row r="8056" spans="1:23" x14ac:dyDescent="0.25">
      <c r="A8056" s="21">
        <v>45912</v>
      </c>
      <c r="B8056" s="1">
        <v>618288170</v>
      </c>
      <c r="C8056" t="s">
        <v>14488</v>
      </c>
      <c r="D8056" s="43">
        <v>-11353.41</v>
      </c>
      <c r="E8056" t="s">
        <v>35</v>
      </c>
      <c r="F8056" s="2">
        <v>212901001</v>
      </c>
      <c r="G8056" s="2" t="s">
        <v>121</v>
      </c>
      <c r="L8056" s="2" t="s">
        <v>14489</v>
      </c>
      <c r="M8056" t="s">
        <v>67</v>
      </c>
      <c r="N8056" t="s">
        <v>68</v>
      </c>
      <c r="P8056" s="23">
        <v>158.93</v>
      </c>
      <c r="Q8056" s="4">
        <f t="shared" si="125"/>
        <v>-71.436544390612212</v>
      </c>
      <c r="R8056" s="23" t="s">
        <v>109</v>
      </c>
      <c r="T8056" s="91"/>
      <c r="V8056" t="s">
        <v>10700</v>
      </c>
      <c r="W8056" t="s">
        <v>14392</v>
      </c>
    </row>
    <row r="8057" spans="1:23" x14ac:dyDescent="0.25">
      <c r="A8057" s="21">
        <v>45912</v>
      </c>
      <c r="B8057" s="1">
        <v>318288149</v>
      </c>
      <c r="C8057" t="s">
        <v>14490</v>
      </c>
      <c r="D8057" s="43">
        <v>-11567.92</v>
      </c>
      <c r="E8057" t="s">
        <v>35</v>
      </c>
      <c r="F8057" s="2">
        <v>212901001</v>
      </c>
      <c r="G8057" s="2" t="s">
        <v>121</v>
      </c>
      <c r="L8057" s="2" t="s">
        <v>14491</v>
      </c>
      <c r="M8057" t="s">
        <v>67</v>
      </c>
      <c r="N8057" t="s">
        <v>68</v>
      </c>
      <c r="P8057" s="23">
        <v>158.93</v>
      </c>
      <c r="Q8057" s="4">
        <f t="shared" si="125"/>
        <v>-72.786258101050777</v>
      </c>
      <c r="R8057" s="23" t="s">
        <v>109</v>
      </c>
      <c r="T8057" s="91"/>
      <c r="V8057" t="s">
        <v>10700</v>
      </c>
      <c r="W8057" t="s">
        <v>14392</v>
      </c>
    </row>
    <row r="8058" spans="1:23" x14ac:dyDescent="0.25">
      <c r="A8058" s="21">
        <v>45912</v>
      </c>
      <c r="B8058" s="1">
        <v>818288191</v>
      </c>
      <c r="C8058" t="s">
        <v>14492</v>
      </c>
      <c r="D8058" s="43">
        <v>-60.3</v>
      </c>
      <c r="E8058" t="s">
        <v>35</v>
      </c>
      <c r="F8058" s="2">
        <v>212901001</v>
      </c>
      <c r="G8058" s="2" t="s">
        <v>121</v>
      </c>
      <c r="L8058" s="2" t="s">
        <v>14493</v>
      </c>
      <c r="M8058" t="s">
        <v>67</v>
      </c>
      <c r="N8058" t="s">
        <v>68</v>
      </c>
      <c r="P8058" s="23">
        <v>158.93</v>
      </c>
      <c r="Q8058" s="4">
        <f t="shared" si="125"/>
        <v>-0.37941231988925939</v>
      </c>
      <c r="R8058" s="23" t="s">
        <v>109</v>
      </c>
      <c r="T8058" s="91"/>
      <c r="V8058" t="s">
        <v>10700</v>
      </c>
      <c r="W8058" t="s">
        <v>14392</v>
      </c>
    </row>
    <row r="8059" spans="1:23" x14ac:dyDescent="0.25">
      <c r="A8059" s="21">
        <v>45912</v>
      </c>
      <c r="B8059" s="1">
        <v>718288186</v>
      </c>
      <c r="C8059" t="s">
        <v>14494</v>
      </c>
      <c r="D8059" s="43">
        <v>-60.3</v>
      </c>
      <c r="E8059" t="s">
        <v>35</v>
      </c>
      <c r="F8059" s="2">
        <v>212901001</v>
      </c>
      <c r="G8059" s="2" t="s">
        <v>121</v>
      </c>
      <c r="L8059" s="2" t="s">
        <v>14495</v>
      </c>
      <c r="M8059" t="s">
        <v>67</v>
      </c>
      <c r="N8059" t="s">
        <v>68</v>
      </c>
      <c r="P8059" s="23">
        <v>158.93</v>
      </c>
      <c r="Q8059" s="4">
        <f t="shared" si="125"/>
        <v>-0.37941231988925939</v>
      </c>
      <c r="R8059" s="23" t="s">
        <v>109</v>
      </c>
      <c r="T8059" s="91"/>
      <c r="V8059" t="s">
        <v>10700</v>
      </c>
      <c r="W8059" t="s">
        <v>14392</v>
      </c>
    </row>
    <row r="8060" spans="1:23" x14ac:dyDescent="0.25">
      <c r="A8060" s="21">
        <v>45912</v>
      </c>
      <c r="B8060" s="1">
        <v>818288189</v>
      </c>
      <c r="C8060" t="s">
        <v>14496</v>
      </c>
      <c r="D8060" s="43">
        <v>-56.01</v>
      </c>
      <c r="E8060" t="s">
        <v>35</v>
      </c>
      <c r="F8060" s="2">
        <v>212901001</v>
      </c>
      <c r="G8060" s="2" t="s">
        <v>121</v>
      </c>
      <c r="L8060" s="2" t="s">
        <v>14497</v>
      </c>
      <c r="M8060" t="s">
        <v>67</v>
      </c>
      <c r="N8060" t="s">
        <v>68</v>
      </c>
      <c r="P8060" s="23">
        <v>158.93</v>
      </c>
      <c r="Q8060" s="4">
        <f t="shared" si="125"/>
        <v>-0.35241930409614292</v>
      </c>
      <c r="R8060" s="23" t="s">
        <v>109</v>
      </c>
      <c r="T8060" s="91"/>
      <c r="V8060" t="s">
        <v>10700</v>
      </c>
      <c r="W8060" t="s">
        <v>14392</v>
      </c>
    </row>
    <row r="8061" spans="1:23" x14ac:dyDescent="0.25">
      <c r="A8061" s="21">
        <v>45912</v>
      </c>
      <c r="B8061" s="1">
        <v>818288190</v>
      </c>
      <c r="C8061" t="s">
        <v>14498</v>
      </c>
      <c r="D8061" s="43">
        <v>-60.3</v>
      </c>
      <c r="E8061" t="s">
        <v>35</v>
      </c>
      <c r="F8061" s="2">
        <v>212901001</v>
      </c>
      <c r="G8061" s="2" t="s">
        <v>121</v>
      </c>
      <c r="L8061" s="2" t="s">
        <v>14499</v>
      </c>
      <c r="M8061" t="s">
        <v>67</v>
      </c>
      <c r="N8061" t="s">
        <v>68</v>
      </c>
      <c r="P8061" s="23">
        <v>158.93</v>
      </c>
      <c r="Q8061" s="4">
        <f t="shared" si="125"/>
        <v>-0.37941231988925939</v>
      </c>
      <c r="R8061" s="23" t="s">
        <v>109</v>
      </c>
      <c r="T8061" s="91"/>
      <c r="V8061" t="s">
        <v>10700</v>
      </c>
      <c r="W8061" t="s">
        <v>14392</v>
      </c>
    </row>
    <row r="8062" spans="1:23" x14ac:dyDescent="0.25">
      <c r="A8062" s="21">
        <v>45912</v>
      </c>
      <c r="B8062" s="1">
        <v>818288188</v>
      </c>
      <c r="C8062" t="s">
        <v>14500</v>
      </c>
      <c r="D8062" s="43">
        <v>-60.3</v>
      </c>
      <c r="E8062" t="s">
        <v>35</v>
      </c>
      <c r="F8062" s="2">
        <v>212901001</v>
      </c>
      <c r="G8062" s="2" t="s">
        <v>121</v>
      </c>
      <c r="L8062" s="2" t="s">
        <v>14501</v>
      </c>
      <c r="M8062" t="s">
        <v>67</v>
      </c>
      <c r="N8062" t="s">
        <v>68</v>
      </c>
      <c r="P8062" s="23">
        <v>158.93</v>
      </c>
      <c r="Q8062" s="4">
        <f t="shared" si="125"/>
        <v>-0.37941231988925939</v>
      </c>
      <c r="R8062" s="23" t="s">
        <v>109</v>
      </c>
      <c r="T8062" s="91"/>
      <c r="V8062" t="s">
        <v>12595</v>
      </c>
      <c r="W8062" t="s">
        <v>14392</v>
      </c>
    </row>
    <row r="8063" spans="1:23" x14ac:dyDescent="0.25">
      <c r="A8063" s="21">
        <v>45912</v>
      </c>
      <c r="B8063" s="1">
        <v>918288195</v>
      </c>
      <c r="C8063" t="s">
        <v>14502</v>
      </c>
      <c r="D8063" s="43">
        <v>-60.3</v>
      </c>
      <c r="E8063" t="s">
        <v>35</v>
      </c>
      <c r="F8063" s="2">
        <v>212901001</v>
      </c>
      <c r="G8063" s="2" t="s">
        <v>121</v>
      </c>
      <c r="L8063" s="2" t="s">
        <v>14503</v>
      </c>
      <c r="M8063" t="s">
        <v>67</v>
      </c>
      <c r="N8063" t="s">
        <v>68</v>
      </c>
      <c r="P8063" s="23">
        <v>158.93</v>
      </c>
      <c r="Q8063" s="4">
        <f t="shared" si="125"/>
        <v>-0.37941231988925939</v>
      </c>
      <c r="R8063" s="23" t="s">
        <v>109</v>
      </c>
      <c r="T8063" s="91"/>
      <c r="V8063" t="s">
        <v>10700</v>
      </c>
      <c r="W8063" t="s">
        <v>14392</v>
      </c>
    </row>
    <row r="8064" spans="1:23" x14ac:dyDescent="0.25">
      <c r="A8064" s="21">
        <v>45912</v>
      </c>
      <c r="B8064" s="1">
        <v>818288193</v>
      </c>
      <c r="C8064" t="s">
        <v>14504</v>
      </c>
      <c r="D8064" s="43">
        <v>-60.3</v>
      </c>
      <c r="E8064" t="s">
        <v>35</v>
      </c>
      <c r="F8064" s="2">
        <v>212901001</v>
      </c>
      <c r="G8064" s="2" t="s">
        <v>121</v>
      </c>
      <c r="L8064" s="2" t="s">
        <v>14505</v>
      </c>
      <c r="M8064" t="s">
        <v>67</v>
      </c>
      <c r="N8064" t="s">
        <v>68</v>
      </c>
      <c r="P8064" s="23">
        <v>158.93</v>
      </c>
      <c r="Q8064" s="4">
        <f t="shared" si="125"/>
        <v>-0.37941231988925939</v>
      </c>
      <c r="R8064" s="23" t="s">
        <v>109</v>
      </c>
      <c r="T8064" s="91"/>
      <c r="V8064" t="s">
        <v>12595</v>
      </c>
      <c r="W8064" t="s">
        <v>14392</v>
      </c>
    </row>
    <row r="8065" spans="1:23" x14ac:dyDescent="0.25">
      <c r="A8065" s="21">
        <v>45912</v>
      </c>
      <c r="B8065" s="1">
        <v>818288192</v>
      </c>
      <c r="C8065" t="s">
        <v>14506</v>
      </c>
      <c r="D8065" s="43">
        <v>-60.3</v>
      </c>
      <c r="E8065" t="s">
        <v>35</v>
      </c>
      <c r="F8065" s="2">
        <v>212901001</v>
      </c>
      <c r="G8065" s="2" t="s">
        <v>121</v>
      </c>
      <c r="L8065" s="2" t="s">
        <v>14507</v>
      </c>
      <c r="M8065" t="s">
        <v>67</v>
      </c>
      <c r="N8065" t="s">
        <v>68</v>
      </c>
      <c r="P8065" s="23">
        <v>158.93</v>
      </c>
      <c r="Q8065" s="4">
        <f t="shared" si="125"/>
        <v>-0.37941231988925939</v>
      </c>
      <c r="R8065" s="23" t="s">
        <v>109</v>
      </c>
      <c r="T8065" s="91"/>
      <c r="V8065" t="s">
        <v>10700</v>
      </c>
      <c r="W8065" t="s">
        <v>14392</v>
      </c>
    </row>
    <row r="8066" spans="1:23" x14ac:dyDescent="0.25">
      <c r="A8066" s="21">
        <v>45912</v>
      </c>
      <c r="B8066" s="1">
        <v>718288184</v>
      </c>
      <c r="C8066" t="s">
        <v>14508</v>
      </c>
      <c r="D8066" s="43">
        <v>-56.01</v>
      </c>
      <c r="E8066" t="s">
        <v>35</v>
      </c>
      <c r="F8066" s="2">
        <v>212901001</v>
      </c>
      <c r="G8066" s="2" t="s">
        <v>121</v>
      </c>
      <c r="L8066" s="2" t="s">
        <v>14509</v>
      </c>
      <c r="M8066" t="s">
        <v>67</v>
      </c>
      <c r="N8066" t="s">
        <v>68</v>
      </c>
      <c r="P8066" s="23">
        <v>158.93</v>
      </c>
      <c r="Q8066" s="4">
        <f t="shared" si="125"/>
        <v>-0.35241930409614292</v>
      </c>
      <c r="R8066" s="23" t="s">
        <v>109</v>
      </c>
      <c r="T8066" s="91"/>
      <c r="V8066" t="s">
        <v>10700</v>
      </c>
      <c r="W8066" t="s">
        <v>14392</v>
      </c>
    </row>
    <row r="8067" spans="1:23" x14ac:dyDescent="0.25">
      <c r="A8067" s="21">
        <v>45912</v>
      </c>
      <c r="B8067" s="1">
        <v>918288196</v>
      </c>
      <c r="C8067" t="s">
        <v>14510</v>
      </c>
      <c r="D8067" s="43">
        <v>-60.3</v>
      </c>
      <c r="E8067" t="s">
        <v>35</v>
      </c>
      <c r="F8067" s="2">
        <v>212901001</v>
      </c>
      <c r="G8067" s="2" t="s">
        <v>121</v>
      </c>
      <c r="L8067" s="2" t="s">
        <v>14511</v>
      </c>
      <c r="M8067" t="s">
        <v>67</v>
      </c>
      <c r="N8067" t="s">
        <v>68</v>
      </c>
      <c r="P8067" s="23">
        <v>158.93</v>
      </c>
      <c r="Q8067" s="4">
        <f t="shared" si="125"/>
        <v>-0.37941231988925939</v>
      </c>
      <c r="R8067" s="23" t="s">
        <v>109</v>
      </c>
      <c r="T8067" s="91"/>
      <c r="V8067" t="s">
        <v>12595</v>
      </c>
      <c r="W8067" t="s">
        <v>14392</v>
      </c>
    </row>
    <row r="8068" spans="1:23" x14ac:dyDescent="0.25">
      <c r="A8068" s="21">
        <v>45912</v>
      </c>
      <c r="B8068" s="1">
        <v>818288194</v>
      </c>
      <c r="C8068" t="s">
        <v>14512</v>
      </c>
      <c r="D8068" s="43">
        <v>-60.3</v>
      </c>
      <c r="E8068" t="s">
        <v>35</v>
      </c>
      <c r="F8068" s="2">
        <v>212901001</v>
      </c>
      <c r="G8068" s="2" t="s">
        <v>121</v>
      </c>
      <c r="L8068" s="2" t="s">
        <v>14513</v>
      </c>
      <c r="M8068" t="s">
        <v>67</v>
      </c>
      <c r="N8068" t="s">
        <v>68</v>
      </c>
      <c r="P8068" s="23">
        <v>158.93</v>
      </c>
      <c r="Q8068" s="4">
        <f t="shared" si="125"/>
        <v>-0.37941231988925939</v>
      </c>
      <c r="R8068" s="23" t="s">
        <v>109</v>
      </c>
      <c r="T8068" s="91"/>
      <c r="V8068" t="s">
        <v>12595</v>
      </c>
      <c r="W8068" t="s">
        <v>14392</v>
      </c>
    </row>
    <row r="8069" spans="1:23" x14ac:dyDescent="0.25">
      <c r="A8069" s="21">
        <v>45912</v>
      </c>
      <c r="B8069" s="1">
        <v>918288197</v>
      </c>
      <c r="C8069" t="s">
        <v>14514</v>
      </c>
      <c r="D8069" s="43">
        <v>-60.3</v>
      </c>
      <c r="E8069" t="s">
        <v>35</v>
      </c>
      <c r="F8069" s="2">
        <v>212901001</v>
      </c>
      <c r="G8069" s="2" t="s">
        <v>121</v>
      </c>
      <c r="L8069" s="2" t="s">
        <v>14515</v>
      </c>
      <c r="M8069" t="s">
        <v>67</v>
      </c>
      <c r="N8069" t="s">
        <v>68</v>
      </c>
      <c r="P8069" s="23">
        <v>158.93</v>
      </c>
      <c r="Q8069" s="4">
        <f t="shared" si="125"/>
        <v>-0.37941231988925939</v>
      </c>
      <c r="R8069" s="23" t="s">
        <v>109</v>
      </c>
      <c r="T8069" s="91"/>
      <c r="V8069" t="s">
        <v>10700</v>
      </c>
      <c r="W8069" t="s">
        <v>14392</v>
      </c>
    </row>
    <row r="8070" spans="1:23" x14ac:dyDescent="0.25">
      <c r="A8070" s="21">
        <v>45912</v>
      </c>
      <c r="B8070" s="1">
        <v>918288198</v>
      </c>
      <c r="C8070" t="s">
        <v>14516</v>
      </c>
      <c r="D8070" s="43">
        <v>-60.3</v>
      </c>
      <c r="E8070" t="s">
        <v>35</v>
      </c>
      <c r="F8070" s="2">
        <v>212901001</v>
      </c>
      <c r="G8070" s="2" t="s">
        <v>121</v>
      </c>
      <c r="L8070" s="2" t="s">
        <v>14517</v>
      </c>
      <c r="M8070" t="s">
        <v>67</v>
      </c>
      <c r="N8070" t="s">
        <v>68</v>
      </c>
      <c r="P8070" s="23">
        <v>158.93</v>
      </c>
      <c r="Q8070" s="4">
        <f t="shared" si="125"/>
        <v>-0.37941231988925939</v>
      </c>
      <c r="R8070" s="23" t="s">
        <v>109</v>
      </c>
      <c r="T8070" s="91"/>
      <c r="V8070" t="s">
        <v>10700</v>
      </c>
      <c r="W8070" t="s">
        <v>14392</v>
      </c>
    </row>
    <row r="8071" spans="1:23" x14ac:dyDescent="0.25">
      <c r="A8071" s="21">
        <v>45912</v>
      </c>
      <c r="B8071" s="1">
        <v>918288202</v>
      </c>
      <c r="C8071" t="s">
        <v>14518</v>
      </c>
      <c r="D8071" s="43">
        <v>-60.3</v>
      </c>
      <c r="E8071" t="s">
        <v>35</v>
      </c>
      <c r="F8071" s="2">
        <v>212901001</v>
      </c>
      <c r="G8071" s="2" t="s">
        <v>121</v>
      </c>
      <c r="L8071" s="2" t="s">
        <v>14519</v>
      </c>
      <c r="M8071" t="s">
        <v>67</v>
      </c>
      <c r="N8071" t="s">
        <v>68</v>
      </c>
      <c r="P8071" s="23">
        <v>158.93</v>
      </c>
      <c r="Q8071" s="4">
        <f t="shared" si="125"/>
        <v>-0.37941231988925939</v>
      </c>
      <c r="R8071" s="23" t="s">
        <v>109</v>
      </c>
      <c r="T8071" s="91"/>
      <c r="V8071" t="s">
        <v>12595</v>
      </c>
      <c r="W8071" t="s">
        <v>14392</v>
      </c>
    </row>
    <row r="8072" spans="1:23" x14ac:dyDescent="0.25">
      <c r="A8072" s="21">
        <v>45912</v>
      </c>
      <c r="B8072" s="1">
        <v>918288203</v>
      </c>
      <c r="C8072" t="s">
        <v>14520</v>
      </c>
      <c r="D8072" s="43">
        <v>-60.3</v>
      </c>
      <c r="E8072" t="s">
        <v>35</v>
      </c>
      <c r="F8072" s="2">
        <v>212901001</v>
      </c>
      <c r="G8072" s="2" t="s">
        <v>121</v>
      </c>
      <c r="L8072" s="2" t="s">
        <v>14521</v>
      </c>
      <c r="M8072" t="s">
        <v>67</v>
      </c>
      <c r="N8072" t="s">
        <v>68</v>
      </c>
      <c r="P8072" s="23">
        <v>158.93</v>
      </c>
      <c r="Q8072" s="4">
        <f t="shared" si="125"/>
        <v>-0.37941231988925939</v>
      </c>
      <c r="R8072" s="23" t="s">
        <v>109</v>
      </c>
      <c r="T8072" s="91"/>
      <c r="V8072" t="s">
        <v>10700</v>
      </c>
      <c r="W8072" t="s">
        <v>14392</v>
      </c>
    </row>
    <row r="8073" spans="1:23" x14ac:dyDescent="0.25">
      <c r="A8073" s="21">
        <v>45912</v>
      </c>
      <c r="B8073" s="1">
        <v>918288200</v>
      </c>
      <c r="C8073" t="s">
        <v>14522</v>
      </c>
      <c r="D8073" s="43">
        <v>-60.3</v>
      </c>
      <c r="E8073" t="s">
        <v>35</v>
      </c>
      <c r="F8073" s="2">
        <v>212901001</v>
      </c>
      <c r="G8073" s="2" t="s">
        <v>121</v>
      </c>
      <c r="L8073" s="2" t="s">
        <v>14523</v>
      </c>
      <c r="M8073" t="s">
        <v>67</v>
      </c>
      <c r="N8073" t="s">
        <v>68</v>
      </c>
      <c r="P8073" s="23">
        <v>158.93</v>
      </c>
      <c r="Q8073" s="4">
        <f t="shared" si="125"/>
        <v>-0.37941231988925939</v>
      </c>
      <c r="R8073" s="23" t="s">
        <v>109</v>
      </c>
      <c r="T8073" s="91"/>
      <c r="V8073" t="s">
        <v>10700</v>
      </c>
      <c r="W8073" t="s">
        <v>14392</v>
      </c>
    </row>
    <row r="8074" spans="1:23" x14ac:dyDescent="0.25">
      <c r="A8074" s="21">
        <v>45912</v>
      </c>
      <c r="B8074" s="1">
        <v>918288201</v>
      </c>
      <c r="C8074" t="s">
        <v>14524</v>
      </c>
      <c r="D8074" s="43">
        <v>-60.3</v>
      </c>
      <c r="E8074" t="s">
        <v>35</v>
      </c>
      <c r="F8074" s="2">
        <v>212901001</v>
      </c>
      <c r="G8074" s="2" t="s">
        <v>121</v>
      </c>
      <c r="L8074" s="2" t="s">
        <v>14525</v>
      </c>
      <c r="M8074" t="s">
        <v>67</v>
      </c>
      <c r="N8074" t="s">
        <v>68</v>
      </c>
      <c r="P8074" s="23">
        <v>158.93</v>
      </c>
      <c r="Q8074" s="4">
        <f t="shared" si="125"/>
        <v>-0.37941231988925939</v>
      </c>
      <c r="R8074" s="23" t="s">
        <v>109</v>
      </c>
      <c r="T8074" s="91"/>
      <c r="V8074" t="s">
        <v>10700</v>
      </c>
      <c r="W8074" t="s">
        <v>14392</v>
      </c>
    </row>
    <row r="8075" spans="1:23" x14ac:dyDescent="0.25">
      <c r="A8075" s="21">
        <v>45912</v>
      </c>
      <c r="B8075" s="1">
        <v>918288204</v>
      </c>
      <c r="C8075" t="s">
        <v>14526</v>
      </c>
      <c r="D8075" s="43">
        <v>-60.3</v>
      </c>
      <c r="E8075" t="s">
        <v>35</v>
      </c>
      <c r="F8075" s="2">
        <v>212901001</v>
      </c>
      <c r="G8075" s="2" t="s">
        <v>121</v>
      </c>
      <c r="L8075" s="2" t="s">
        <v>14527</v>
      </c>
      <c r="M8075" t="s">
        <v>67</v>
      </c>
      <c r="N8075" t="s">
        <v>68</v>
      </c>
      <c r="P8075" s="23">
        <v>158.93</v>
      </c>
      <c r="Q8075" s="4">
        <f t="shared" ref="Q8075:Q8138" si="126">D8075/P8075</f>
        <v>-0.37941231988925939</v>
      </c>
      <c r="R8075" s="23" t="s">
        <v>109</v>
      </c>
      <c r="T8075" s="91"/>
      <c r="V8075" t="s">
        <v>10700</v>
      </c>
      <c r="W8075" t="s">
        <v>14392</v>
      </c>
    </row>
    <row r="8076" spans="1:23" x14ac:dyDescent="0.25">
      <c r="A8076" s="21">
        <v>45912</v>
      </c>
      <c r="B8076" s="1">
        <v>18288205</v>
      </c>
      <c r="C8076" t="s">
        <v>14528</v>
      </c>
      <c r="D8076" s="43">
        <v>-60.3</v>
      </c>
      <c r="E8076" t="s">
        <v>35</v>
      </c>
      <c r="F8076" s="2">
        <v>212901001</v>
      </c>
      <c r="G8076" s="2" t="s">
        <v>121</v>
      </c>
      <c r="L8076" s="2" t="s">
        <v>14529</v>
      </c>
      <c r="M8076" t="s">
        <v>67</v>
      </c>
      <c r="N8076" t="s">
        <v>68</v>
      </c>
      <c r="P8076" s="23">
        <v>158.93</v>
      </c>
      <c r="Q8076" s="4">
        <f t="shared" si="126"/>
        <v>-0.37941231988925939</v>
      </c>
      <c r="R8076" s="23" t="s">
        <v>109</v>
      </c>
      <c r="T8076" s="91"/>
      <c r="V8076" t="s">
        <v>10700</v>
      </c>
      <c r="W8076" t="s">
        <v>14392</v>
      </c>
    </row>
    <row r="8077" spans="1:23" x14ac:dyDescent="0.25">
      <c r="A8077" s="21">
        <v>45912</v>
      </c>
      <c r="B8077" s="1">
        <v>18288206</v>
      </c>
      <c r="C8077" t="s">
        <v>14530</v>
      </c>
      <c r="D8077" s="43">
        <v>-56.01</v>
      </c>
      <c r="E8077" t="s">
        <v>35</v>
      </c>
      <c r="F8077" s="2">
        <v>212901001</v>
      </c>
      <c r="G8077" s="2" t="s">
        <v>121</v>
      </c>
      <c r="L8077" s="2" t="s">
        <v>14531</v>
      </c>
      <c r="M8077" t="s">
        <v>67</v>
      </c>
      <c r="N8077" t="s">
        <v>68</v>
      </c>
      <c r="P8077" s="23">
        <v>158.93</v>
      </c>
      <c r="Q8077" s="4">
        <f t="shared" si="126"/>
        <v>-0.35241930409614292</v>
      </c>
      <c r="R8077" s="23" t="s">
        <v>109</v>
      </c>
      <c r="T8077" s="91"/>
      <c r="V8077" t="s">
        <v>10700</v>
      </c>
      <c r="W8077" t="s">
        <v>14392</v>
      </c>
    </row>
    <row r="8078" spans="1:23" x14ac:dyDescent="0.25">
      <c r="A8078" s="21">
        <v>45912</v>
      </c>
      <c r="B8078" s="1">
        <v>50962128</v>
      </c>
      <c r="C8078" t="s">
        <v>118</v>
      </c>
      <c r="D8078" s="43">
        <v>-1331.65</v>
      </c>
      <c r="E8078" t="s">
        <v>35</v>
      </c>
      <c r="F8078" s="2">
        <v>610148001</v>
      </c>
      <c r="G8078" s="2" t="s">
        <v>42</v>
      </c>
      <c r="L8078" s="2" t="s">
        <v>14532</v>
      </c>
      <c r="M8078" t="s">
        <v>43</v>
      </c>
      <c r="N8078" t="s">
        <v>42</v>
      </c>
      <c r="P8078" s="23">
        <v>158.93</v>
      </c>
      <c r="Q8078" s="4">
        <f t="shared" si="126"/>
        <v>-8.378846032844649</v>
      </c>
      <c r="R8078" s="23" t="s">
        <v>109</v>
      </c>
      <c r="T8078" s="90" t="s">
        <v>14165</v>
      </c>
    </row>
    <row r="8079" spans="1:23" x14ac:dyDescent="0.25">
      <c r="A8079" s="21">
        <v>45912</v>
      </c>
      <c r="B8079" s="1">
        <v>98943285</v>
      </c>
      <c r="C8079" t="s">
        <v>131</v>
      </c>
      <c r="D8079" s="43">
        <v>725000</v>
      </c>
      <c r="E8079" t="s">
        <v>46</v>
      </c>
      <c r="F8079" s="2">
        <v>210115002</v>
      </c>
      <c r="G8079" s="2" t="s">
        <v>12156</v>
      </c>
      <c r="L8079" s="2" t="s">
        <v>14533</v>
      </c>
      <c r="N8079" t="s">
        <v>131</v>
      </c>
      <c r="P8079" s="23">
        <v>158.93</v>
      </c>
      <c r="Q8079" s="4">
        <f t="shared" si="126"/>
        <v>4561.756748253948</v>
      </c>
      <c r="R8079" s="23" t="s">
        <v>109</v>
      </c>
      <c r="T8079" s="91"/>
    </row>
    <row r="8080" spans="1:23" x14ac:dyDescent="0.25">
      <c r="A8080" s="21">
        <v>45916</v>
      </c>
      <c r="B8080" s="1">
        <v>601906497</v>
      </c>
      <c r="C8080" t="s">
        <v>14534</v>
      </c>
      <c r="D8080" s="43">
        <v>-678285.56</v>
      </c>
      <c r="E8080" t="s">
        <v>35</v>
      </c>
      <c r="F8080" s="2">
        <v>210101001</v>
      </c>
      <c r="G8080" s="2" t="s">
        <v>36</v>
      </c>
      <c r="L8080" s="2" t="s">
        <v>14535</v>
      </c>
      <c r="M8080" t="s">
        <v>38</v>
      </c>
      <c r="N8080" t="s">
        <v>39</v>
      </c>
      <c r="P8080" s="23">
        <v>160.44999999999999</v>
      </c>
      <c r="Q8080" s="4">
        <f t="shared" si="126"/>
        <v>-4227.3952009971963</v>
      </c>
      <c r="R8080" s="23" t="s">
        <v>109</v>
      </c>
      <c r="T8080" s="91"/>
    </row>
    <row r="8081" spans="1:20" x14ac:dyDescent="0.25">
      <c r="A8081" s="21">
        <v>45916</v>
      </c>
      <c r="B8081" s="1">
        <v>601906497</v>
      </c>
      <c r="C8081" t="s">
        <v>306</v>
      </c>
      <c r="D8081" s="43">
        <v>-2034.86</v>
      </c>
      <c r="E8081" t="s">
        <v>35</v>
      </c>
      <c r="F8081" s="2">
        <v>610148001</v>
      </c>
      <c r="G8081" s="2" t="s">
        <v>42</v>
      </c>
      <c r="L8081" s="2" t="s">
        <v>14536</v>
      </c>
      <c r="M8081" t="s">
        <v>43</v>
      </c>
      <c r="N8081" t="s">
        <v>42</v>
      </c>
      <c r="P8081" s="23">
        <v>160.44999999999999</v>
      </c>
      <c r="Q8081" s="4">
        <f t="shared" si="126"/>
        <v>-12.682206294795886</v>
      </c>
      <c r="R8081" s="23" t="s">
        <v>109</v>
      </c>
      <c r="T8081" s="90" t="s">
        <v>14165</v>
      </c>
    </row>
    <row r="8082" spans="1:20" x14ac:dyDescent="0.25">
      <c r="A8082" s="21">
        <v>45917</v>
      </c>
      <c r="B8082" s="1">
        <v>583580580</v>
      </c>
      <c r="C8082" t="s">
        <v>544</v>
      </c>
      <c r="D8082" s="43">
        <v>940000</v>
      </c>
      <c r="E8082" t="s">
        <v>46</v>
      </c>
      <c r="F8082" s="2">
        <v>210115002</v>
      </c>
      <c r="G8082" s="2" t="s">
        <v>12156</v>
      </c>
      <c r="L8082" s="2" t="s">
        <v>14537</v>
      </c>
      <c r="N8082" t="s">
        <v>544</v>
      </c>
      <c r="P8082" s="23">
        <v>161.88999999999999</v>
      </c>
      <c r="Q8082" s="4">
        <f t="shared" si="126"/>
        <v>5806.4117610723333</v>
      </c>
      <c r="R8082" s="23" t="s">
        <v>109</v>
      </c>
      <c r="T8082" s="91"/>
    </row>
    <row r="8083" spans="1:20" x14ac:dyDescent="0.25">
      <c r="A8083" s="21">
        <v>45917</v>
      </c>
      <c r="B8083" s="1">
        <v>518491324</v>
      </c>
      <c r="C8083" t="s">
        <v>13642</v>
      </c>
      <c r="D8083" s="43">
        <v>-27187.22</v>
      </c>
      <c r="E8083" t="s">
        <v>35</v>
      </c>
      <c r="F8083" s="2">
        <v>110114001</v>
      </c>
      <c r="G8083" s="2" t="s">
        <v>301</v>
      </c>
      <c r="L8083" s="2" t="s">
        <v>14538</v>
      </c>
      <c r="M8083" t="s">
        <v>38</v>
      </c>
      <c r="N8083" t="s">
        <v>39</v>
      </c>
      <c r="P8083" s="23">
        <v>161.88999999999999</v>
      </c>
      <c r="Q8083" s="4">
        <f t="shared" si="126"/>
        <v>-167.93637655197975</v>
      </c>
      <c r="R8083" s="23" t="s">
        <v>109</v>
      </c>
      <c r="T8083" s="91"/>
    </row>
    <row r="8084" spans="1:20" x14ac:dyDescent="0.25">
      <c r="A8084" s="21">
        <v>45917</v>
      </c>
      <c r="B8084" s="1">
        <v>518491325</v>
      </c>
      <c r="C8084" t="s">
        <v>14539</v>
      </c>
      <c r="D8084" s="43">
        <v>-40472.5</v>
      </c>
      <c r="E8084" t="s">
        <v>35</v>
      </c>
      <c r="F8084" s="2">
        <v>110114001</v>
      </c>
      <c r="G8084" s="2" t="s">
        <v>301</v>
      </c>
      <c r="L8084" s="2" t="s">
        <v>14540</v>
      </c>
      <c r="N8084" t="s">
        <v>2551</v>
      </c>
      <c r="P8084" s="23">
        <v>161.88999999999999</v>
      </c>
      <c r="Q8084" s="4">
        <f t="shared" si="126"/>
        <v>-250.00000000000003</v>
      </c>
      <c r="R8084" s="23" t="s">
        <v>109</v>
      </c>
      <c r="T8084" s="91"/>
    </row>
    <row r="8085" spans="1:20" x14ac:dyDescent="0.25">
      <c r="A8085" s="21">
        <v>45917</v>
      </c>
      <c r="B8085" s="1">
        <v>518491326</v>
      </c>
      <c r="C8085" t="s">
        <v>14541</v>
      </c>
      <c r="D8085" s="43">
        <v>-895957.77</v>
      </c>
      <c r="E8085" t="s">
        <v>35</v>
      </c>
      <c r="F8085" s="2">
        <v>210101001</v>
      </c>
      <c r="G8085" s="2" t="s">
        <v>36</v>
      </c>
      <c r="L8085" s="2" t="s">
        <v>14542</v>
      </c>
      <c r="M8085" t="s">
        <v>38</v>
      </c>
      <c r="N8085" t="s">
        <v>39</v>
      </c>
      <c r="P8085" s="23">
        <v>161.88999999999999</v>
      </c>
      <c r="Q8085" s="4">
        <f t="shared" si="126"/>
        <v>-5534.3614182469582</v>
      </c>
      <c r="R8085" s="23" t="s">
        <v>109</v>
      </c>
      <c r="T8085" s="91"/>
    </row>
    <row r="8086" spans="1:20" x14ac:dyDescent="0.25">
      <c r="A8086" s="21">
        <v>45917</v>
      </c>
      <c r="B8086" s="1">
        <v>50998780</v>
      </c>
      <c r="C8086" t="s">
        <v>118</v>
      </c>
      <c r="D8086" s="43">
        <v>-2409.04</v>
      </c>
      <c r="E8086" t="s">
        <v>35</v>
      </c>
      <c r="F8086" s="2">
        <v>610148001</v>
      </c>
      <c r="G8086" s="2" t="s">
        <v>42</v>
      </c>
      <c r="L8086" s="2" t="s">
        <v>14543</v>
      </c>
      <c r="M8086" t="s">
        <v>43</v>
      </c>
      <c r="N8086" t="s">
        <v>42</v>
      </c>
      <c r="P8086" s="23">
        <v>161.88999999999999</v>
      </c>
      <c r="Q8086" s="4">
        <f t="shared" si="126"/>
        <v>-14.880721477546484</v>
      </c>
      <c r="R8086" s="23" t="s">
        <v>109</v>
      </c>
      <c r="T8086" s="90" t="s">
        <v>14165</v>
      </c>
    </row>
    <row r="8087" spans="1:20" x14ac:dyDescent="0.25">
      <c r="A8087" s="21">
        <v>45919</v>
      </c>
      <c r="B8087" s="1">
        <v>101445521</v>
      </c>
      <c r="C8087" t="s">
        <v>107</v>
      </c>
      <c r="D8087" s="43">
        <v>750000</v>
      </c>
      <c r="E8087" t="s">
        <v>46</v>
      </c>
      <c r="F8087" s="2">
        <v>210115002</v>
      </c>
      <c r="G8087" s="2" t="s">
        <v>12156</v>
      </c>
      <c r="L8087" s="2" t="s">
        <v>14544</v>
      </c>
      <c r="N8087" t="s">
        <v>107</v>
      </c>
      <c r="P8087" s="23">
        <v>165.41</v>
      </c>
      <c r="Q8087" s="4">
        <f t="shared" si="126"/>
        <v>4534.1877758297569</v>
      </c>
      <c r="R8087" s="23" t="s">
        <v>109</v>
      </c>
      <c r="T8087" s="91"/>
    </row>
    <row r="8088" spans="1:20" x14ac:dyDescent="0.25">
      <c r="A8088" s="21">
        <v>45919</v>
      </c>
      <c r="B8088" s="1">
        <v>518545812</v>
      </c>
      <c r="C8088" t="s">
        <v>14545</v>
      </c>
      <c r="D8088" s="43">
        <v>-13092</v>
      </c>
      <c r="E8088" t="s">
        <v>35</v>
      </c>
      <c r="F8088" s="2">
        <v>212901001</v>
      </c>
      <c r="G8088" s="2" t="s">
        <v>121</v>
      </c>
      <c r="L8088" s="2" t="s">
        <v>14546</v>
      </c>
      <c r="M8088" t="s">
        <v>67</v>
      </c>
      <c r="N8088" t="s">
        <v>68</v>
      </c>
      <c r="P8088" s="23">
        <v>165.41</v>
      </c>
      <c r="Q8088" s="4">
        <f t="shared" si="126"/>
        <v>-79.148781814884231</v>
      </c>
      <c r="R8088" s="23" t="s">
        <v>109</v>
      </c>
      <c r="T8088" s="91"/>
    </row>
    <row r="8089" spans="1:20" x14ac:dyDescent="0.25">
      <c r="A8089" s="21">
        <v>45919</v>
      </c>
      <c r="B8089" s="1">
        <v>518545813</v>
      </c>
      <c r="C8089" t="s">
        <v>14547</v>
      </c>
      <c r="D8089" s="43">
        <v>-9819</v>
      </c>
      <c r="E8089" t="s">
        <v>35</v>
      </c>
      <c r="F8089" s="2">
        <v>212901001</v>
      </c>
      <c r="G8089" s="2" t="s">
        <v>121</v>
      </c>
      <c r="L8089" s="2" t="s">
        <v>14548</v>
      </c>
      <c r="M8089" t="s">
        <v>67</v>
      </c>
      <c r="N8089" t="s">
        <v>68</v>
      </c>
      <c r="P8089" s="23">
        <v>165.41</v>
      </c>
      <c r="Q8089" s="4">
        <f t="shared" si="126"/>
        <v>-59.36158636116317</v>
      </c>
      <c r="R8089" s="23" t="s">
        <v>109</v>
      </c>
      <c r="T8089" s="91"/>
    </row>
    <row r="8090" spans="1:20" x14ac:dyDescent="0.25">
      <c r="A8090" s="21">
        <v>45919</v>
      </c>
      <c r="B8090" s="1">
        <v>518545816</v>
      </c>
      <c r="C8090" t="s">
        <v>14549</v>
      </c>
      <c r="D8090" s="43">
        <v>-9819</v>
      </c>
      <c r="E8090" t="s">
        <v>35</v>
      </c>
      <c r="F8090" s="2">
        <v>212901001</v>
      </c>
      <c r="G8090" s="2" t="s">
        <v>121</v>
      </c>
      <c r="L8090" s="2" t="s">
        <v>14550</v>
      </c>
      <c r="M8090" t="s">
        <v>67</v>
      </c>
      <c r="N8090" t="s">
        <v>68</v>
      </c>
      <c r="P8090" s="23">
        <v>165.41</v>
      </c>
      <c r="Q8090" s="4">
        <f t="shared" si="126"/>
        <v>-59.36158636116317</v>
      </c>
      <c r="R8090" s="23" t="s">
        <v>109</v>
      </c>
      <c r="T8090" s="91"/>
    </row>
    <row r="8091" spans="1:20" x14ac:dyDescent="0.25">
      <c r="A8091" s="21">
        <v>45919</v>
      </c>
      <c r="B8091" s="1">
        <v>518545814</v>
      </c>
      <c r="C8091" t="s">
        <v>14551</v>
      </c>
      <c r="D8091" s="43">
        <v>-9819</v>
      </c>
      <c r="E8091" t="s">
        <v>35</v>
      </c>
      <c r="F8091" s="2">
        <v>212901001</v>
      </c>
      <c r="G8091" s="2" t="s">
        <v>121</v>
      </c>
      <c r="L8091" s="2" t="s">
        <v>14552</v>
      </c>
      <c r="M8091" t="s">
        <v>67</v>
      </c>
      <c r="N8091" t="s">
        <v>68</v>
      </c>
      <c r="P8091" s="23">
        <v>165.41</v>
      </c>
      <c r="Q8091" s="4">
        <f t="shared" si="126"/>
        <v>-59.36158636116317</v>
      </c>
      <c r="R8091" s="23" t="s">
        <v>109</v>
      </c>
      <c r="T8091" s="91"/>
    </row>
    <row r="8092" spans="1:20" x14ac:dyDescent="0.25">
      <c r="A8092" s="21">
        <v>45919</v>
      </c>
      <c r="B8092" s="1">
        <v>518545815</v>
      </c>
      <c r="C8092" t="s">
        <v>14553</v>
      </c>
      <c r="D8092" s="43">
        <v>-9819</v>
      </c>
      <c r="E8092" t="s">
        <v>35</v>
      </c>
      <c r="F8092" s="2">
        <v>212901001</v>
      </c>
      <c r="G8092" s="2" t="s">
        <v>121</v>
      </c>
      <c r="L8092" s="2" t="s">
        <v>14554</v>
      </c>
      <c r="M8092" t="s">
        <v>67</v>
      </c>
      <c r="N8092" t="s">
        <v>68</v>
      </c>
      <c r="P8092" s="23">
        <v>165.41</v>
      </c>
      <c r="Q8092" s="4">
        <f t="shared" si="126"/>
        <v>-59.36158636116317</v>
      </c>
      <c r="R8092" s="23" t="s">
        <v>109</v>
      </c>
      <c r="T8092" s="91"/>
    </row>
    <row r="8093" spans="1:20" x14ac:dyDescent="0.25">
      <c r="A8093" s="21">
        <v>45919</v>
      </c>
      <c r="B8093" s="1">
        <v>518545817</v>
      </c>
      <c r="C8093" t="s">
        <v>14555</v>
      </c>
      <c r="D8093" s="43">
        <v>-9819</v>
      </c>
      <c r="E8093" t="s">
        <v>35</v>
      </c>
      <c r="F8093" s="2">
        <v>212901001</v>
      </c>
      <c r="G8093" s="2" t="s">
        <v>121</v>
      </c>
      <c r="L8093" s="2" t="s">
        <v>14556</v>
      </c>
      <c r="M8093" t="s">
        <v>67</v>
      </c>
      <c r="N8093" t="s">
        <v>68</v>
      </c>
      <c r="P8093" s="23">
        <v>165.41</v>
      </c>
      <c r="Q8093" s="4">
        <f t="shared" si="126"/>
        <v>-59.36158636116317</v>
      </c>
      <c r="R8093" s="23" t="s">
        <v>109</v>
      </c>
      <c r="T8093" s="91"/>
    </row>
    <row r="8094" spans="1:20" x14ac:dyDescent="0.25">
      <c r="A8094" s="21">
        <v>45919</v>
      </c>
      <c r="B8094" s="1">
        <v>518545818</v>
      </c>
      <c r="C8094" t="s">
        <v>14557</v>
      </c>
      <c r="D8094" s="43">
        <v>-9819</v>
      </c>
      <c r="E8094" t="s">
        <v>35</v>
      </c>
      <c r="F8094" s="2">
        <v>212901001</v>
      </c>
      <c r="G8094" s="2" t="s">
        <v>121</v>
      </c>
      <c r="L8094" s="2" t="s">
        <v>14558</v>
      </c>
      <c r="M8094" t="s">
        <v>67</v>
      </c>
      <c r="N8094" t="s">
        <v>68</v>
      </c>
      <c r="P8094" s="23">
        <v>165.41</v>
      </c>
      <c r="Q8094" s="4">
        <f t="shared" si="126"/>
        <v>-59.36158636116317</v>
      </c>
      <c r="R8094" s="23" t="s">
        <v>109</v>
      </c>
      <c r="T8094" s="91"/>
    </row>
    <row r="8095" spans="1:20" x14ac:dyDescent="0.25">
      <c r="A8095" s="21">
        <v>45919</v>
      </c>
      <c r="B8095" s="1">
        <v>518545819</v>
      </c>
      <c r="C8095" t="s">
        <v>14559</v>
      </c>
      <c r="D8095" s="43">
        <v>-9819</v>
      </c>
      <c r="E8095" t="s">
        <v>35</v>
      </c>
      <c r="F8095" s="2">
        <v>212901001</v>
      </c>
      <c r="G8095" s="2" t="s">
        <v>121</v>
      </c>
      <c r="L8095" s="2" t="s">
        <v>14560</v>
      </c>
      <c r="M8095" t="s">
        <v>67</v>
      </c>
      <c r="N8095" t="s">
        <v>68</v>
      </c>
      <c r="P8095" s="23">
        <v>165.41</v>
      </c>
      <c r="Q8095" s="4">
        <f t="shared" si="126"/>
        <v>-59.36158636116317</v>
      </c>
      <c r="R8095" s="23" t="s">
        <v>109</v>
      </c>
      <c r="T8095" s="91"/>
    </row>
    <row r="8096" spans="1:20" x14ac:dyDescent="0.25">
      <c r="A8096" s="21">
        <v>45919</v>
      </c>
      <c r="B8096" s="1">
        <v>518545820</v>
      </c>
      <c r="C8096" t="s">
        <v>14561</v>
      </c>
      <c r="D8096" s="43">
        <v>-9819</v>
      </c>
      <c r="E8096" t="s">
        <v>35</v>
      </c>
      <c r="F8096" s="2">
        <v>212901001</v>
      </c>
      <c r="G8096" s="2" t="s">
        <v>121</v>
      </c>
      <c r="L8096" s="2" t="s">
        <v>14562</v>
      </c>
      <c r="M8096" t="s">
        <v>67</v>
      </c>
      <c r="N8096" t="s">
        <v>68</v>
      </c>
      <c r="P8096" s="23">
        <v>165.41</v>
      </c>
      <c r="Q8096" s="4">
        <f t="shared" si="126"/>
        <v>-59.36158636116317</v>
      </c>
      <c r="R8096" s="23" t="s">
        <v>109</v>
      </c>
      <c r="T8096" s="91"/>
    </row>
    <row r="8097" spans="1:20" x14ac:dyDescent="0.25">
      <c r="A8097" s="21">
        <v>45919</v>
      </c>
      <c r="B8097" s="1">
        <v>618545822</v>
      </c>
      <c r="C8097" t="s">
        <v>14563</v>
      </c>
      <c r="D8097" s="43">
        <v>-9819</v>
      </c>
      <c r="E8097" t="s">
        <v>35</v>
      </c>
      <c r="F8097" s="2">
        <v>212901001</v>
      </c>
      <c r="G8097" s="2" t="s">
        <v>121</v>
      </c>
      <c r="L8097" s="2" t="s">
        <v>14564</v>
      </c>
      <c r="M8097" t="s">
        <v>67</v>
      </c>
      <c r="N8097" t="s">
        <v>68</v>
      </c>
      <c r="P8097" s="23">
        <v>165.41</v>
      </c>
      <c r="Q8097" s="4">
        <f t="shared" si="126"/>
        <v>-59.36158636116317</v>
      </c>
      <c r="R8097" s="23" t="s">
        <v>109</v>
      </c>
      <c r="T8097" s="91"/>
    </row>
    <row r="8098" spans="1:20" x14ac:dyDescent="0.25">
      <c r="A8098" s="21">
        <v>45919</v>
      </c>
      <c r="B8098" s="1">
        <v>618545821</v>
      </c>
      <c r="C8098" t="s">
        <v>14565</v>
      </c>
      <c r="D8098" s="43">
        <v>-9819</v>
      </c>
      <c r="E8098" t="s">
        <v>35</v>
      </c>
      <c r="F8098" s="2">
        <v>212901001</v>
      </c>
      <c r="G8098" s="2" t="s">
        <v>121</v>
      </c>
      <c r="L8098" s="2" t="s">
        <v>14566</v>
      </c>
      <c r="M8098" t="s">
        <v>67</v>
      </c>
      <c r="N8098" t="s">
        <v>68</v>
      </c>
      <c r="P8098" s="23">
        <v>165.41</v>
      </c>
      <c r="Q8098" s="4">
        <f t="shared" si="126"/>
        <v>-59.36158636116317</v>
      </c>
      <c r="R8098" s="23" t="s">
        <v>109</v>
      </c>
      <c r="T8098" s="91"/>
    </row>
    <row r="8099" spans="1:20" x14ac:dyDescent="0.25">
      <c r="A8099" s="21">
        <v>45919</v>
      </c>
      <c r="B8099" s="1">
        <v>618545823</v>
      </c>
      <c r="C8099" t="s">
        <v>14567</v>
      </c>
      <c r="D8099" s="43">
        <v>-9819</v>
      </c>
      <c r="E8099" t="s">
        <v>35</v>
      </c>
      <c r="F8099" s="2">
        <v>212901001</v>
      </c>
      <c r="G8099" s="2" t="s">
        <v>121</v>
      </c>
      <c r="L8099" s="2" t="s">
        <v>14568</v>
      </c>
      <c r="M8099" t="s">
        <v>67</v>
      </c>
      <c r="N8099" t="s">
        <v>68</v>
      </c>
      <c r="P8099" s="23">
        <v>165.41</v>
      </c>
      <c r="Q8099" s="4">
        <f t="shared" si="126"/>
        <v>-59.36158636116317</v>
      </c>
      <c r="R8099" s="23" t="s">
        <v>109</v>
      </c>
      <c r="T8099" s="91"/>
    </row>
    <row r="8100" spans="1:20" x14ac:dyDescent="0.25">
      <c r="A8100" s="21">
        <v>45919</v>
      </c>
      <c r="B8100" s="1">
        <v>618545826</v>
      </c>
      <c r="C8100" t="s">
        <v>14569</v>
      </c>
      <c r="D8100" s="43">
        <v>-9819</v>
      </c>
      <c r="E8100" t="s">
        <v>35</v>
      </c>
      <c r="F8100" s="2">
        <v>212901001</v>
      </c>
      <c r="G8100" s="2" t="s">
        <v>121</v>
      </c>
      <c r="L8100" s="2" t="s">
        <v>14570</v>
      </c>
      <c r="M8100" t="s">
        <v>67</v>
      </c>
      <c r="N8100" t="s">
        <v>68</v>
      </c>
      <c r="P8100" s="23">
        <v>165.41</v>
      </c>
      <c r="Q8100" s="4">
        <f t="shared" si="126"/>
        <v>-59.36158636116317</v>
      </c>
      <c r="R8100" s="23" t="s">
        <v>109</v>
      </c>
      <c r="T8100" s="91"/>
    </row>
    <row r="8101" spans="1:20" x14ac:dyDescent="0.25">
      <c r="A8101" s="21">
        <v>45919</v>
      </c>
      <c r="B8101" s="1">
        <v>618545827</v>
      </c>
      <c r="C8101" t="s">
        <v>14571</v>
      </c>
      <c r="D8101" s="43">
        <v>-9819</v>
      </c>
      <c r="E8101" t="s">
        <v>35</v>
      </c>
      <c r="F8101" s="2">
        <v>212901001</v>
      </c>
      <c r="G8101" s="2" t="s">
        <v>121</v>
      </c>
      <c r="L8101" s="2" t="s">
        <v>14572</v>
      </c>
      <c r="M8101" t="s">
        <v>67</v>
      </c>
      <c r="N8101" t="s">
        <v>68</v>
      </c>
      <c r="P8101" s="23">
        <v>165.41</v>
      </c>
      <c r="Q8101" s="4">
        <f t="shared" si="126"/>
        <v>-59.36158636116317</v>
      </c>
      <c r="R8101" s="23" t="s">
        <v>109</v>
      </c>
      <c r="T8101" s="91"/>
    </row>
    <row r="8102" spans="1:20" x14ac:dyDescent="0.25">
      <c r="A8102" s="21">
        <v>45919</v>
      </c>
      <c r="B8102" s="1">
        <v>618545825</v>
      </c>
      <c r="C8102" t="s">
        <v>14573</v>
      </c>
      <c r="D8102" s="43">
        <v>-9819</v>
      </c>
      <c r="E8102" t="s">
        <v>35</v>
      </c>
      <c r="F8102" s="2">
        <v>212901001</v>
      </c>
      <c r="G8102" s="2" t="s">
        <v>121</v>
      </c>
      <c r="L8102" s="2" t="s">
        <v>14574</v>
      </c>
      <c r="M8102" t="s">
        <v>67</v>
      </c>
      <c r="N8102" t="s">
        <v>68</v>
      </c>
      <c r="P8102" s="23">
        <v>165.41</v>
      </c>
      <c r="Q8102" s="4">
        <f t="shared" si="126"/>
        <v>-59.36158636116317</v>
      </c>
      <c r="R8102" s="23" t="s">
        <v>109</v>
      </c>
      <c r="T8102" s="91"/>
    </row>
    <row r="8103" spans="1:20" x14ac:dyDescent="0.25">
      <c r="A8103" s="21">
        <v>45919</v>
      </c>
      <c r="B8103" s="1">
        <v>618545828</v>
      </c>
      <c r="C8103" t="s">
        <v>14575</v>
      </c>
      <c r="D8103" s="43">
        <v>-9819</v>
      </c>
      <c r="E8103" t="s">
        <v>35</v>
      </c>
      <c r="F8103" s="2">
        <v>212901001</v>
      </c>
      <c r="G8103" s="2" t="s">
        <v>121</v>
      </c>
      <c r="L8103" s="2" t="s">
        <v>14576</v>
      </c>
      <c r="M8103" t="s">
        <v>67</v>
      </c>
      <c r="N8103" t="s">
        <v>68</v>
      </c>
      <c r="P8103" s="23">
        <v>165.41</v>
      </c>
      <c r="Q8103" s="4">
        <f t="shared" si="126"/>
        <v>-59.36158636116317</v>
      </c>
      <c r="R8103" s="23" t="s">
        <v>109</v>
      </c>
      <c r="T8103" s="91"/>
    </row>
    <row r="8104" spans="1:20" x14ac:dyDescent="0.25">
      <c r="A8104" s="21">
        <v>45919</v>
      </c>
      <c r="B8104" s="1">
        <v>718545834</v>
      </c>
      <c r="C8104" t="s">
        <v>14577</v>
      </c>
      <c r="D8104" s="43">
        <v>-13092</v>
      </c>
      <c r="E8104" t="s">
        <v>35</v>
      </c>
      <c r="F8104" s="2">
        <v>212901001</v>
      </c>
      <c r="G8104" s="2" t="s">
        <v>121</v>
      </c>
      <c r="L8104" s="2" t="s">
        <v>14578</v>
      </c>
      <c r="M8104" t="s">
        <v>67</v>
      </c>
      <c r="N8104" t="s">
        <v>68</v>
      </c>
      <c r="P8104" s="23">
        <v>165.41</v>
      </c>
      <c r="Q8104" s="4">
        <f t="shared" si="126"/>
        <v>-79.148781814884231</v>
      </c>
      <c r="R8104" s="23" t="s">
        <v>109</v>
      </c>
      <c r="T8104" s="91"/>
    </row>
    <row r="8105" spans="1:20" x14ac:dyDescent="0.25">
      <c r="A8105" s="21">
        <v>45919</v>
      </c>
      <c r="B8105" s="1">
        <v>618545830</v>
      </c>
      <c r="C8105" t="s">
        <v>14579</v>
      </c>
      <c r="D8105" s="43">
        <v>-24547.5</v>
      </c>
      <c r="E8105" t="s">
        <v>35</v>
      </c>
      <c r="F8105" s="2">
        <v>212901001</v>
      </c>
      <c r="G8105" s="2" t="s">
        <v>121</v>
      </c>
      <c r="L8105" s="2" t="s">
        <v>14580</v>
      </c>
      <c r="M8105" t="s">
        <v>67</v>
      </c>
      <c r="N8105" t="s">
        <v>68</v>
      </c>
      <c r="P8105" s="23">
        <v>165.41</v>
      </c>
      <c r="Q8105" s="4">
        <f t="shared" si="126"/>
        <v>-148.40396590290794</v>
      </c>
      <c r="R8105" s="23" t="s">
        <v>109</v>
      </c>
      <c r="T8105" s="91"/>
    </row>
    <row r="8106" spans="1:20" x14ac:dyDescent="0.25">
      <c r="A8106" s="21">
        <v>45919</v>
      </c>
      <c r="B8106" s="1">
        <v>718545833</v>
      </c>
      <c r="C8106" t="s">
        <v>14581</v>
      </c>
      <c r="D8106" s="43">
        <v>-13092</v>
      </c>
      <c r="E8106" t="s">
        <v>35</v>
      </c>
      <c r="F8106" s="2">
        <v>212901001</v>
      </c>
      <c r="G8106" s="2" t="s">
        <v>121</v>
      </c>
      <c r="L8106" s="2" t="s">
        <v>14582</v>
      </c>
      <c r="M8106" t="s">
        <v>67</v>
      </c>
      <c r="N8106" t="s">
        <v>68</v>
      </c>
      <c r="P8106" s="23">
        <v>165.41</v>
      </c>
      <c r="Q8106" s="4">
        <f t="shared" si="126"/>
        <v>-79.148781814884231</v>
      </c>
      <c r="R8106" s="23" t="s">
        <v>109</v>
      </c>
      <c r="T8106" s="91"/>
    </row>
    <row r="8107" spans="1:20" x14ac:dyDescent="0.25">
      <c r="A8107" s="21">
        <v>45919</v>
      </c>
      <c r="B8107" s="1">
        <v>718545835</v>
      </c>
      <c r="C8107" t="s">
        <v>14583</v>
      </c>
      <c r="D8107" s="43">
        <v>-13092</v>
      </c>
      <c r="E8107" t="s">
        <v>35</v>
      </c>
      <c r="F8107" s="2">
        <v>212901001</v>
      </c>
      <c r="G8107" s="2" t="s">
        <v>121</v>
      </c>
      <c r="L8107" s="2" t="s">
        <v>14584</v>
      </c>
      <c r="M8107" t="s">
        <v>67</v>
      </c>
      <c r="N8107" t="s">
        <v>68</v>
      </c>
      <c r="P8107" s="23">
        <v>165.41</v>
      </c>
      <c r="Q8107" s="4">
        <f t="shared" si="126"/>
        <v>-79.148781814884231</v>
      </c>
      <c r="R8107" s="23" t="s">
        <v>109</v>
      </c>
      <c r="T8107" s="91"/>
    </row>
    <row r="8108" spans="1:20" x14ac:dyDescent="0.25">
      <c r="A8108" s="21">
        <v>45919</v>
      </c>
      <c r="B8108" s="1">
        <v>718545838</v>
      </c>
      <c r="C8108" t="s">
        <v>14585</v>
      </c>
      <c r="D8108" s="43">
        <v>-13092</v>
      </c>
      <c r="E8108" t="s">
        <v>35</v>
      </c>
      <c r="F8108" s="2">
        <v>212901001</v>
      </c>
      <c r="G8108" s="2" t="s">
        <v>121</v>
      </c>
      <c r="L8108" s="2" t="s">
        <v>14586</v>
      </c>
      <c r="M8108" t="s">
        <v>67</v>
      </c>
      <c r="N8108" t="s">
        <v>68</v>
      </c>
      <c r="P8108" s="23">
        <v>165.41</v>
      </c>
      <c r="Q8108" s="4">
        <f t="shared" si="126"/>
        <v>-79.148781814884231</v>
      </c>
      <c r="R8108" s="23" t="s">
        <v>109</v>
      </c>
      <c r="T8108" s="91"/>
    </row>
    <row r="8109" spans="1:20" x14ac:dyDescent="0.25">
      <c r="A8109" s="21">
        <v>45919</v>
      </c>
      <c r="B8109" s="1">
        <v>718545839</v>
      </c>
      <c r="C8109" t="s">
        <v>14587</v>
      </c>
      <c r="D8109" s="43">
        <v>-8182.5</v>
      </c>
      <c r="E8109" t="s">
        <v>35</v>
      </c>
      <c r="F8109" s="2">
        <v>212901001</v>
      </c>
      <c r="G8109" s="2" t="s">
        <v>121</v>
      </c>
      <c r="L8109" s="2" t="s">
        <v>14588</v>
      </c>
      <c r="M8109" t="s">
        <v>67</v>
      </c>
      <c r="N8109" t="s">
        <v>68</v>
      </c>
      <c r="P8109" s="23">
        <v>165.41</v>
      </c>
      <c r="Q8109" s="4">
        <f t="shared" si="126"/>
        <v>-49.467988634302642</v>
      </c>
      <c r="R8109" s="23" t="s">
        <v>109</v>
      </c>
      <c r="T8109" s="91"/>
    </row>
    <row r="8110" spans="1:20" x14ac:dyDescent="0.25">
      <c r="A8110" s="21">
        <v>45919</v>
      </c>
      <c r="B8110" s="1">
        <v>718545837</v>
      </c>
      <c r="C8110" t="s">
        <v>14589</v>
      </c>
      <c r="D8110" s="43">
        <v>-13092</v>
      </c>
      <c r="E8110" t="s">
        <v>35</v>
      </c>
      <c r="F8110" s="2">
        <v>212901001</v>
      </c>
      <c r="G8110" s="2" t="s">
        <v>121</v>
      </c>
      <c r="L8110" s="2" t="s">
        <v>14590</v>
      </c>
      <c r="M8110" t="s">
        <v>67</v>
      </c>
      <c r="N8110" t="s">
        <v>68</v>
      </c>
      <c r="P8110" s="23">
        <v>165.41</v>
      </c>
      <c r="Q8110" s="4">
        <f t="shared" si="126"/>
        <v>-79.148781814884231</v>
      </c>
      <c r="R8110" s="23" t="s">
        <v>109</v>
      </c>
      <c r="T8110" s="91"/>
    </row>
    <row r="8111" spans="1:20" x14ac:dyDescent="0.25">
      <c r="A8111" s="21">
        <v>45919</v>
      </c>
      <c r="B8111" s="1">
        <v>618545831</v>
      </c>
      <c r="C8111" t="s">
        <v>14591</v>
      </c>
      <c r="D8111" s="43">
        <v>-16365</v>
      </c>
      <c r="E8111" t="s">
        <v>35</v>
      </c>
      <c r="F8111" s="2">
        <v>212901001</v>
      </c>
      <c r="G8111" s="2" t="s">
        <v>121</v>
      </c>
      <c r="L8111" s="2" t="s">
        <v>14592</v>
      </c>
      <c r="M8111" t="s">
        <v>67</v>
      </c>
      <c r="N8111" t="s">
        <v>68</v>
      </c>
      <c r="P8111" s="23">
        <v>165.41</v>
      </c>
      <c r="Q8111" s="4">
        <f t="shared" si="126"/>
        <v>-98.935977268605285</v>
      </c>
      <c r="R8111" s="23" t="s">
        <v>109</v>
      </c>
      <c r="T8111" s="91"/>
    </row>
    <row r="8112" spans="1:20" x14ac:dyDescent="0.25">
      <c r="A8112" s="21">
        <v>45919</v>
      </c>
      <c r="B8112" s="1">
        <v>718545832</v>
      </c>
      <c r="C8112" t="s">
        <v>14593</v>
      </c>
      <c r="D8112" s="43">
        <v>-13092</v>
      </c>
      <c r="E8112" t="s">
        <v>35</v>
      </c>
      <c r="F8112" s="2">
        <v>212901001</v>
      </c>
      <c r="G8112" s="2" t="s">
        <v>121</v>
      </c>
      <c r="L8112" s="2" t="s">
        <v>14594</v>
      </c>
      <c r="M8112" t="s">
        <v>67</v>
      </c>
      <c r="N8112" t="s">
        <v>68</v>
      </c>
      <c r="P8112" s="23">
        <v>165.41</v>
      </c>
      <c r="Q8112" s="4">
        <f t="shared" si="126"/>
        <v>-79.148781814884231</v>
      </c>
      <c r="R8112" s="23" t="s">
        <v>109</v>
      </c>
      <c r="T8112" s="91"/>
    </row>
    <row r="8113" spans="1:20" x14ac:dyDescent="0.25">
      <c r="A8113" s="21">
        <v>45919</v>
      </c>
      <c r="B8113" s="1">
        <v>718545841</v>
      </c>
      <c r="C8113" t="s">
        <v>14595</v>
      </c>
      <c r="D8113" s="43">
        <v>-8182.5</v>
      </c>
      <c r="E8113" t="s">
        <v>35</v>
      </c>
      <c r="F8113" s="2">
        <v>212901001</v>
      </c>
      <c r="G8113" s="2" t="s">
        <v>121</v>
      </c>
      <c r="L8113" s="2" t="s">
        <v>14596</v>
      </c>
      <c r="M8113" t="s">
        <v>67</v>
      </c>
      <c r="N8113" t="s">
        <v>68</v>
      </c>
      <c r="P8113" s="23">
        <v>165.41</v>
      </c>
      <c r="Q8113" s="4">
        <f t="shared" si="126"/>
        <v>-49.467988634302642</v>
      </c>
      <c r="R8113" s="23" t="s">
        <v>109</v>
      </c>
      <c r="T8113" s="91"/>
    </row>
    <row r="8114" spans="1:20" x14ac:dyDescent="0.25">
      <c r="A8114" s="21">
        <v>45919</v>
      </c>
      <c r="B8114" s="1">
        <v>718545842</v>
      </c>
      <c r="C8114" t="s">
        <v>14597</v>
      </c>
      <c r="D8114" s="43">
        <v>-8182.5</v>
      </c>
      <c r="E8114" t="s">
        <v>35</v>
      </c>
      <c r="F8114" s="2">
        <v>212901001</v>
      </c>
      <c r="G8114" s="2" t="s">
        <v>121</v>
      </c>
      <c r="L8114" s="2" t="s">
        <v>14598</v>
      </c>
      <c r="M8114" t="s">
        <v>67</v>
      </c>
      <c r="N8114" t="s">
        <v>68</v>
      </c>
      <c r="P8114" s="23">
        <v>165.41</v>
      </c>
      <c r="Q8114" s="4">
        <f t="shared" si="126"/>
        <v>-49.467988634302642</v>
      </c>
      <c r="R8114" s="23" t="s">
        <v>109</v>
      </c>
      <c r="T8114" s="91"/>
    </row>
    <row r="8115" spans="1:20" x14ac:dyDescent="0.25">
      <c r="A8115" s="21">
        <v>45919</v>
      </c>
      <c r="B8115" s="1">
        <v>818545843</v>
      </c>
      <c r="C8115" t="s">
        <v>14599</v>
      </c>
      <c r="D8115" s="43">
        <v>-8182.5</v>
      </c>
      <c r="E8115" t="s">
        <v>35</v>
      </c>
      <c r="F8115" s="2">
        <v>212901001</v>
      </c>
      <c r="G8115" s="2" t="s">
        <v>121</v>
      </c>
      <c r="L8115" s="2" t="s">
        <v>14600</v>
      </c>
      <c r="M8115" t="s">
        <v>67</v>
      </c>
      <c r="N8115" t="s">
        <v>68</v>
      </c>
      <c r="P8115" s="23">
        <v>165.41</v>
      </c>
      <c r="Q8115" s="4">
        <f t="shared" si="126"/>
        <v>-49.467988634302642</v>
      </c>
      <c r="R8115" s="23" t="s">
        <v>109</v>
      </c>
      <c r="T8115" s="91"/>
    </row>
    <row r="8116" spans="1:20" x14ac:dyDescent="0.25">
      <c r="A8116" s="21">
        <v>45919</v>
      </c>
      <c r="B8116" s="1">
        <v>718545840</v>
      </c>
      <c r="C8116" t="s">
        <v>14601</v>
      </c>
      <c r="D8116" s="43">
        <v>-8182.5</v>
      </c>
      <c r="E8116" t="s">
        <v>35</v>
      </c>
      <c r="F8116" s="2">
        <v>212901001</v>
      </c>
      <c r="G8116" s="2" t="s">
        <v>121</v>
      </c>
      <c r="L8116" s="2" t="s">
        <v>14602</v>
      </c>
      <c r="M8116" t="s">
        <v>67</v>
      </c>
      <c r="N8116" t="s">
        <v>68</v>
      </c>
      <c r="P8116" s="23">
        <v>165.41</v>
      </c>
      <c r="Q8116" s="4">
        <f t="shared" si="126"/>
        <v>-49.467988634302642</v>
      </c>
      <c r="R8116" s="23" t="s">
        <v>109</v>
      </c>
      <c r="T8116" s="91"/>
    </row>
    <row r="8117" spans="1:20" x14ac:dyDescent="0.25">
      <c r="A8117" s="21">
        <v>45919</v>
      </c>
      <c r="B8117" s="1">
        <v>818545845</v>
      </c>
      <c r="C8117" t="s">
        <v>14603</v>
      </c>
      <c r="D8117" s="43">
        <v>-8182.5</v>
      </c>
      <c r="E8117" t="s">
        <v>35</v>
      </c>
      <c r="F8117" s="2">
        <v>212901001</v>
      </c>
      <c r="G8117" s="2" t="s">
        <v>121</v>
      </c>
      <c r="L8117" s="2" t="s">
        <v>14604</v>
      </c>
      <c r="M8117" t="s">
        <v>67</v>
      </c>
      <c r="N8117" t="s">
        <v>68</v>
      </c>
      <c r="P8117" s="23">
        <v>165.41</v>
      </c>
      <c r="Q8117" s="4">
        <f t="shared" si="126"/>
        <v>-49.467988634302642</v>
      </c>
      <c r="R8117" s="23" t="s">
        <v>109</v>
      </c>
      <c r="T8117" s="91"/>
    </row>
    <row r="8118" spans="1:20" x14ac:dyDescent="0.25">
      <c r="A8118" s="21">
        <v>45919</v>
      </c>
      <c r="B8118" s="1">
        <v>818545847</v>
      </c>
      <c r="C8118" t="s">
        <v>14605</v>
      </c>
      <c r="D8118" s="43">
        <v>-6546</v>
      </c>
      <c r="E8118" t="s">
        <v>35</v>
      </c>
      <c r="F8118" s="2">
        <v>212901001</v>
      </c>
      <c r="G8118" s="2" t="s">
        <v>121</v>
      </c>
      <c r="L8118" s="2" t="s">
        <v>14606</v>
      </c>
      <c r="M8118" t="s">
        <v>67</v>
      </c>
      <c r="N8118" t="s">
        <v>68</v>
      </c>
      <c r="P8118" s="23">
        <v>165.41</v>
      </c>
      <c r="Q8118" s="4">
        <f t="shared" si="126"/>
        <v>-39.574390907442115</v>
      </c>
      <c r="R8118" s="23" t="s">
        <v>109</v>
      </c>
      <c r="T8118" s="91"/>
    </row>
    <row r="8119" spans="1:20" x14ac:dyDescent="0.25">
      <c r="A8119" s="21">
        <v>45919</v>
      </c>
      <c r="B8119" s="1">
        <v>818545846</v>
      </c>
      <c r="C8119" t="s">
        <v>14607</v>
      </c>
      <c r="D8119" s="43">
        <v>-6546</v>
      </c>
      <c r="E8119" t="s">
        <v>35</v>
      </c>
      <c r="F8119" s="2">
        <v>212901001</v>
      </c>
      <c r="G8119" s="2" t="s">
        <v>121</v>
      </c>
      <c r="L8119" s="2" t="s">
        <v>14608</v>
      </c>
      <c r="M8119" t="s">
        <v>67</v>
      </c>
      <c r="N8119" t="s">
        <v>68</v>
      </c>
      <c r="P8119" s="23">
        <v>165.41</v>
      </c>
      <c r="Q8119" s="4">
        <f t="shared" si="126"/>
        <v>-39.574390907442115</v>
      </c>
      <c r="R8119" s="23" t="s">
        <v>109</v>
      </c>
      <c r="T8119" s="91"/>
    </row>
    <row r="8120" spans="1:20" x14ac:dyDescent="0.25">
      <c r="A8120" s="21">
        <v>45919</v>
      </c>
      <c r="B8120" s="1">
        <v>818545851</v>
      </c>
      <c r="C8120" t="s">
        <v>14609</v>
      </c>
      <c r="D8120" s="43">
        <v>-6546</v>
      </c>
      <c r="E8120" t="s">
        <v>35</v>
      </c>
      <c r="F8120" s="2">
        <v>212901001</v>
      </c>
      <c r="G8120" s="2" t="s">
        <v>121</v>
      </c>
      <c r="L8120" s="2" t="s">
        <v>14610</v>
      </c>
      <c r="M8120" t="s">
        <v>67</v>
      </c>
      <c r="N8120" t="s">
        <v>68</v>
      </c>
      <c r="P8120" s="23">
        <v>165.41</v>
      </c>
      <c r="Q8120" s="4">
        <f t="shared" si="126"/>
        <v>-39.574390907442115</v>
      </c>
      <c r="R8120" s="23" t="s">
        <v>109</v>
      </c>
      <c r="T8120" s="91"/>
    </row>
    <row r="8121" spans="1:20" x14ac:dyDescent="0.25">
      <c r="A8121" s="21">
        <v>45919</v>
      </c>
      <c r="B8121" s="1">
        <v>818545849</v>
      </c>
      <c r="C8121" t="s">
        <v>14611</v>
      </c>
      <c r="D8121" s="43">
        <v>-6546</v>
      </c>
      <c r="E8121" t="s">
        <v>35</v>
      </c>
      <c r="F8121" s="2">
        <v>212901001</v>
      </c>
      <c r="G8121" s="2" t="s">
        <v>121</v>
      </c>
      <c r="L8121" s="2" t="s">
        <v>14612</v>
      </c>
      <c r="M8121" t="s">
        <v>67</v>
      </c>
      <c r="N8121" t="s">
        <v>68</v>
      </c>
      <c r="P8121" s="23">
        <v>165.41</v>
      </c>
      <c r="Q8121" s="4">
        <f t="shared" si="126"/>
        <v>-39.574390907442115</v>
      </c>
      <c r="R8121" s="23" t="s">
        <v>109</v>
      </c>
      <c r="T8121" s="91"/>
    </row>
    <row r="8122" spans="1:20" x14ac:dyDescent="0.25">
      <c r="A8122" s="21">
        <v>45919</v>
      </c>
      <c r="B8122" s="1">
        <v>818545848</v>
      </c>
      <c r="C8122" t="s">
        <v>14613</v>
      </c>
      <c r="D8122" s="43">
        <v>-6546</v>
      </c>
      <c r="E8122" t="s">
        <v>35</v>
      </c>
      <c r="F8122" s="2">
        <v>212901001</v>
      </c>
      <c r="G8122" s="2" t="s">
        <v>121</v>
      </c>
      <c r="L8122" s="2" t="s">
        <v>14614</v>
      </c>
      <c r="M8122" t="s">
        <v>67</v>
      </c>
      <c r="N8122" t="s">
        <v>68</v>
      </c>
      <c r="P8122" s="23">
        <v>165.41</v>
      </c>
      <c r="Q8122" s="4">
        <f t="shared" si="126"/>
        <v>-39.574390907442115</v>
      </c>
      <c r="R8122" s="23" t="s">
        <v>109</v>
      </c>
      <c r="T8122" s="91"/>
    </row>
    <row r="8123" spans="1:20" x14ac:dyDescent="0.25">
      <c r="A8123" s="21">
        <v>45919</v>
      </c>
      <c r="B8123" s="1">
        <v>818545852</v>
      </c>
      <c r="C8123" t="s">
        <v>14615</v>
      </c>
      <c r="D8123" s="43">
        <v>-6546</v>
      </c>
      <c r="E8123" t="s">
        <v>35</v>
      </c>
      <c r="F8123" s="2">
        <v>212901001</v>
      </c>
      <c r="G8123" s="2" t="s">
        <v>121</v>
      </c>
      <c r="L8123" s="2" t="s">
        <v>14616</v>
      </c>
      <c r="M8123" t="s">
        <v>67</v>
      </c>
      <c r="N8123" t="s">
        <v>68</v>
      </c>
      <c r="P8123" s="23">
        <v>165.41</v>
      </c>
      <c r="Q8123" s="4">
        <f t="shared" si="126"/>
        <v>-39.574390907442115</v>
      </c>
      <c r="R8123" s="23" t="s">
        <v>109</v>
      </c>
      <c r="T8123" s="91"/>
    </row>
    <row r="8124" spans="1:20" x14ac:dyDescent="0.25">
      <c r="A8124" s="21">
        <v>45919</v>
      </c>
      <c r="B8124" s="1">
        <v>818545853</v>
      </c>
      <c r="C8124" t="s">
        <v>14617</v>
      </c>
      <c r="D8124" s="43">
        <v>-6546</v>
      </c>
      <c r="E8124" t="s">
        <v>35</v>
      </c>
      <c r="F8124" s="2">
        <v>212901001</v>
      </c>
      <c r="G8124" s="2" t="s">
        <v>121</v>
      </c>
      <c r="L8124" s="2" t="s">
        <v>14618</v>
      </c>
      <c r="M8124" t="s">
        <v>67</v>
      </c>
      <c r="N8124" t="s">
        <v>68</v>
      </c>
      <c r="P8124" s="23">
        <v>165.41</v>
      </c>
      <c r="Q8124" s="4">
        <f t="shared" si="126"/>
        <v>-39.574390907442115</v>
      </c>
      <c r="R8124" s="23" t="s">
        <v>109</v>
      </c>
      <c r="T8124" s="91"/>
    </row>
    <row r="8125" spans="1:20" x14ac:dyDescent="0.25">
      <c r="A8125" s="21">
        <v>45919</v>
      </c>
      <c r="B8125" s="1">
        <v>918545860</v>
      </c>
      <c r="C8125" t="s">
        <v>14619</v>
      </c>
      <c r="D8125" s="43">
        <v>-11455.5</v>
      </c>
      <c r="E8125" t="s">
        <v>35</v>
      </c>
      <c r="F8125" s="2">
        <v>212901001</v>
      </c>
      <c r="G8125" s="2" t="s">
        <v>121</v>
      </c>
      <c r="L8125" s="2" t="s">
        <v>14620</v>
      </c>
      <c r="M8125" t="s">
        <v>67</v>
      </c>
      <c r="N8125" t="s">
        <v>68</v>
      </c>
      <c r="P8125" s="23">
        <v>165.41</v>
      </c>
      <c r="Q8125" s="4">
        <f t="shared" si="126"/>
        <v>-69.255184088023697</v>
      </c>
      <c r="R8125" s="23" t="s">
        <v>109</v>
      </c>
      <c r="T8125" s="91"/>
    </row>
    <row r="8126" spans="1:20" x14ac:dyDescent="0.25">
      <c r="A8126" s="21">
        <v>45919</v>
      </c>
      <c r="B8126" s="1">
        <v>918545861</v>
      </c>
      <c r="C8126" t="s">
        <v>14621</v>
      </c>
      <c r="D8126" s="43">
        <v>-11455.5</v>
      </c>
      <c r="E8126" t="s">
        <v>35</v>
      </c>
      <c r="F8126" s="2">
        <v>212901001</v>
      </c>
      <c r="G8126" s="2" t="s">
        <v>121</v>
      </c>
      <c r="L8126" s="2" t="s">
        <v>14622</v>
      </c>
      <c r="M8126" t="s">
        <v>67</v>
      </c>
      <c r="N8126" t="s">
        <v>68</v>
      </c>
      <c r="P8126" s="23">
        <v>165.41</v>
      </c>
      <c r="Q8126" s="4">
        <f t="shared" si="126"/>
        <v>-69.255184088023697</v>
      </c>
      <c r="R8126" s="23" t="s">
        <v>109</v>
      </c>
      <c r="T8126" s="91"/>
    </row>
    <row r="8127" spans="1:20" x14ac:dyDescent="0.25">
      <c r="A8127" s="21">
        <v>45919</v>
      </c>
      <c r="B8127" s="1">
        <v>918545859</v>
      </c>
      <c r="C8127" t="s">
        <v>14623</v>
      </c>
      <c r="D8127" s="43">
        <v>-16365</v>
      </c>
      <c r="E8127" t="s">
        <v>35</v>
      </c>
      <c r="F8127" s="2">
        <v>212901001</v>
      </c>
      <c r="G8127" s="2" t="s">
        <v>121</v>
      </c>
      <c r="L8127" s="2" t="s">
        <v>14624</v>
      </c>
      <c r="M8127" t="s">
        <v>67</v>
      </c>
      <c r="N8127" t="s">
        <v>68</v>
      </c>
      <c r="P8127" s="23">
        <v>165.41</v>
      </c>
      <c r="Q8127" s="4">
        <f t="shared" si="126"/>
        <v>-98.935977268605285</v>
      </c>
      <c r="R8127" s="23" t="s">
        <v>109</v>
      </c>
      <c r="T8127" s="91"/>
    </row>
    <row r="8128" spans="1:20" x14ac:dyDescent="0.25">
      <c r="A8128" s="21">
        <v>45919</v>
      </c>
      <c r="B8128" s="1">
        <v>18545869</v>
      </c>
      <c r="C8128" t="s">
        <v>14625</v>
      </c>
      <c r="D8128" s="43">
        <v>-8182.5</v>
      </c>
      <c r="E8128" t="s">
        <v>35</v>
      </c>
      <c r="F8128" s="2">
        <v>212901001</v>
      </c>
      <c r="G8128" s="2" t="s">
        <v>121</v>
      </c>
      <c r="L8128" s="2" t="s">
        <v>14626</v>
      </c>
      <c r="M8128" t="s">
        <v>67</v>
      </c>
      <c r="N8128" t="s">
        <v>68</v>
      </c>
      <c r="P8128" s="23">
        <v>165.41</v>
      </c>
      <c r="Q8128" s="4">
        <f t="shared" si="126"/>
        <v>-49.467988634302642</v>
      </c>
      <c r="R8128" s="23" t="s">
        <v>109</v>
      </c>
      <c r="T8128" s="91"/>
    </row>
    <row r="8129" spans="1:20" x14ac:dyDescent="0.25">
      <c r="A8129" s="21">
        <v>45919</v>
      </c>
      <c r="B8129" s="1">
        <v>918545863</v>
      </c>
      <c r="C8129" t="s">
        <v>14627</v>
      </c>
      <c r="D8129" s="43">
        <v>-11455.5</v>
      </c>
      <c r="E8129" t="s">
        <v>35</v>
      </c>
      <c r="F8129" s="2">
        <v>212901001</v>
      </c>
      <c r="G8129" s="2" t="s">
        <v>121</v>
      </c>
      <c r="L8129" s="2" t="s">
        <v>14628</v>
      </c>
      <c r="M8129" t="s">
        <v>67</v>
      </c>
      <c r="N8129" t="s">
        <v>68</v>
      </c>
      <c r="P8129" s="23">
        <v>165.41</v>
      </c>
      <c r="Q8129" s="4">
        <f t="shared" si="126"/>
        <v>-69.255184088023697</v>
      </c>
      <c r="R8129" s="23" t="s">
        <v>109</v>
      </c>
      <c r="T8129" s="91"/>
    </row>
    <row r="8130" spans="1:20" x14ac:dyDescent="0.25">
      <c r="A8130" s="21">
        <v>45919</v>
      </c>
      <c r="B8130" s="1">
        <v>18545874</v>
      </c>
      <c r="C8130" t="s">
        <v>14629</v>
      </c>
      <c r="D8130" s="43">
        <v>-8182.5</v>
      </c>
      <c r="E8130" t="s">
        <v>35</v>
      </c>
      <c r="F8130" s="2">
        <v>212901001</v>
      </c>
      <c r="G8130" s="2" t="s">
        <v>121</v>
      </c>
      <c r="L8130" s="2" t="s">
        <v>14630</v>
      </c>
      <c r="M8130" t="s">
        <v>67</v>
      </c>
      <c r="N8130" t="s">
        <v>68</v>
      </c>
      <c r="P8130" s="23">
        <v>165.41</v>
      </c>
      <c r="Q8130" s="4">
        <f t="shared" si="126"/>
        <v>-49.467988634302642</v>
      </c>
      <c r="R8130" s="23" t="s">
        <v>109</v>
      </c>
      <c r="T8130" s="91"/>
    </row>
    <row r="8131" spans="1:20" x14ac:dyDescent="0.25">
      <c r="A8131" s="21">
        <v>45919</v>
      </c>
      <c r="B8131" s="1">
        <v>18545872</v>
      </c>
      <c r="C8131" t="s">
        <v>14631</v>
      </c>
      <c r="D8131" s="43">
        <v>-8182.5</v>
      </c>
      <c r="E8131" t="s">
        <v>35</v>
      </c>
      <c r="F8131" s="2">
        <v>212901001</v>
      </c>
      <c r="G8131" s="2" t="s">
        <v>121</v>
      </c>
      <c r="L8131" s="2" t="s">
        <v>14632</v>
      </c>
      <c r="M8131" t="s">
        <v>67</v>
      </c>
      <c r="N8131" t="s">
        <v>68</v>
      </c>
      <c r="P8131" s="23">
        <v>165.41</v>
      </c>
      <c r="Q8131" s="4">
        <f t="shared" si="126"/>
        <v>-49.467988634302642</v>
      </c>
      <c r="R8131" s="23" t="s">
        <v>109</v>
      </c>
      <c r="T8131" s="91"/>
    </row>
    <row r="8132" spans="1:20" x14ac:dyDescent="0.25">
      <c r="A8132" s="21">
        <v>45919</v>
      </c>
      <c r="B8132" s="1">
        <v>118545878</v>
      </c>
      <c r="C8132" t="s">
        <v>14633</v>
      </c>
      <c r="D8132" s="43">
        <v>-3273</v>
      </c>
      <c r="E8132" t="s">
        <v>35</v>
      </c>
      <c r="F8132" s="2">
        <v>212901001</v>
      </c>
      <c r="G8132" s="2" t="s">
        <v>121</v>
      </c>
      <c r="L8132" s="2" t="s">
        <v>14634</v>
      </c>
      <c r="M8132" t="s">
        <v>67</v>
      </c>
      <c r="N8132" t="s">
        <v>68</v>
      </c>
      <c r="P8132" s="23">
        <v>165.41</v>
      </c>
      <c r="Q8132" s="4">
        <f t="shared" si="126"/>
        <v>-19.787195453721058</v>
      </c>
      <c r="R8132" s="23" t="s">
        <v>109</v>
      </c>
      <c r="T8132" s="91"/>
    </row>
    <row r="8133" spans="1:20" x14ac:dyDescent="0.25">
      <c r="A8133" s="21">
        <v>45919</v>
      </c>
      <c r="B8133" s="1">
        <v>918545855</v>
      </c>
      <c r="C8133" t="s">
        <v>14635</v>
      </c>
      <c r="D8133" s="43">
        <v>-16365</v>
      </c>
      <c r="E8133" t="s">
        <v>35</v>
      </c>
      <c r="F8133" s="2">
        <v>212901001</v>
      </c>
      <c r="G8133" s="2" t="s">
        <v>121</v>
      </c>
      <c r="L8133" s="2" t="s">
        <v>14636</v>
      </c>
      <c r="M8133" t="s">
        <v>67</v>
      </c>
      <c r="N8133" t="s">
        <v>68</v>
      </c>
      <c r="P8133" s="23">
        <v>165.41</v>
      </c>
      <c r="Q8133" s="4">
        <f t="shared" si="126"/>
        <v>-98.935977268605285</v>
      </c>
      <c r="R8133" s="23" t="s">
        <v>109</v>
      </c>
      <c r="T8133" s="91"/>
    </row>
    <row r="8134" spans="1:20" x14ac:dyDescent="0.25">
      <c r="A8134" s="21">
        <v>45919</v>
      </c>
      <c r="B8134" s="1">
        <v>18545866</v>
      </c>
      <c r="C8134" t="s">
        <v>14637</v>
      </c>
      <c r="D8134" s="43">
        <v>-8182.5</v>
      </c>
      <c r="E8134" t="s">
        <v>35</v>
      </c>
      <c r="F8134" s="2">
        <v>212901001</v>
      </c>
      <c r="G8134" s="2" t="s">
        <v>121</v>
      </c>
      <c r="L8134" s="2" t="s">
        <v>14638</v>
      </c>
      <c r="M8134" t="s">
        <v>67</v>
      </c>
      <c r="N8134" t="s">
        <v>68</v>
      </c>
      <c r="P8134" s="23">
        <v>165.41</v>
      </c>
      <c r="Q8134" s="4">
        <f t="shared" si="126"/>
        <v>-49.467988634302642</v>
      </c>
      <c r="R8134" s="23" t="s">
        <v>109</v>
      </c>
      <c r="T8134" s="91"/>
    </row>
    <row r="8135" spans="1:20" x14ac:dyDescent="0.25">
      <c r="A8135" s="21">
        <v>45919</v>
      </c>
      <c r="B8135" s="1">
        <v>118545885</v>
      </c>
      <c r="C8135" t="s">
        <v>14639</v>
      </c>
      <c r="D8135" s="43">
        <v>-4909.5</v>
      </c>
      <c r="E8135" t="s">
        <v>35</v>
      </c>
      <c r="F8135" s="2">
        <v>212901001</v>
      </c>
      <c r="G8135" s="2" t="s">
        <v>121</v>
      </c>
      <c r="L8135" s="2" t="s">
        <v>14640</v>
      </c>
      <c r="M8135" t="s">
        <v>67</v>
      </c>
      <c r="N8135" t="s">
        <v>68</v>
      </c>
      <c r="P8135" s="23">
        <v>165.41</v>
      </c>
      <c r="Q8135" s="4">
        <f t="shared" si="126"/>
        <v>-29.680793180581585</v>
      </c>
      <c r="R8135" s="23" t="s">
        <v>109</v>
      </c>
      <c r="T8135" s="91"/>
    </row>
    <row r="8136" spans="1:20" x14ac:dyDescent="0.25">
      <c r="A8136" s="21">
        <v>45919</v>
      </c>
      <c r="B8136" s="1">
        <v>918545856</v>
      </c>
      <c r="C8136" t="s">
        <v>14641</v>
      </c>
      <c r="D8136" s="43">
        <v>-24547.5</v>
      </c>
      <c r="E8136" t="s">
        <v>35</v>
      </c>
      <c r="F8136" s="2">
        <v>212901001</v>
      </c>
      <c r="G8136" s="2" t="s">
        <v>121</v>
      </c>
      <c r="L8136" s="2" t="s">
        <v>14642</v>
      </c>
      <c r="M8136" t="s">
        <v>67</v>
      </c>
      <c r="N8136" t="s">
        <v>68</v>
      </c>
      <c r="P8136" s="23">
        <v>165.41</v>
      </c>
      <c r="Q8136" s="4">
        <f t="shared" si="126"/>
        <v>-148.40396590290794</v>
      </c>
      <c r="R8136" s="23" t="s">
        <v>109</v>
      </c>
      <c r="T8136" s="91"/>
    </row>
    <row r="8137" spans="1:20" x14ac:dyDescent="0.25">
      <c r="A8137" s="21">
        <v>45919</v>
      </c>
      <c r="B8137" s="1">
        <v>18545865</v>
      </c>
      <c r="C8137" t="s">
        <v>14643</v>
      </c>
      <c r="D8137" s="43">
        <v>-8182.5</v>
      </c>
      <c r="E8137" t="s">
        <v>35</v>
      </c>
      <c r="F8137" s="2">
        <v>212901001</v>
      </c>
      <c r="G8137" s="2" t="s">
        <v>121</v>
      </c>
      <c r="L8137" s="2" t="s">
        <v>14644</v>
      </c>
      <c r="M8137" t="s">
        <v>67</v>
      </c>
      <c r="N8137" t="s">
        <v>68</v>
      </c>
      <c r="P8137" s="23">
        <v>165.41</v>
      </c>
      <c r="Q8137" s="4">
        <f t="shared" si="126"/>
        <v>-49.467988634302642</v>
      </c>
      <c r="R8137" s="23" t="s">
        <v>109</v>
      </c>
      <c r="T8137" s="91"/>
    </row>
    <row r="8138" spans="1:20" x14ac:dyDescent="0.25">
      <c r="A8138" s="21">
        <v>45919</v>
      </c>
      <c r="B8138" s="1">
        <v>818545854</v>
      </c>
      <c r="C8138" t="s">
        <v>14645</v>
      </c>
      <c r="D8138" s="43">
        <v>-16365</v>
      </c>
      <c r="E8138" t="s">
        <v>35</v>
      </c>
      <c r="F8138" s="2">
        <v>212901001</v>
      </c>
      <c r="G8138" s="2" t="s">
        <v>121</v>
      </c>
      <c r="L8138" s="2" t="s">
        <v>14646</v>
      </c>
      <c r="M8138" t="s">
        <v>67</v>
      </c>
      <c r="N8138" t="s">
        <v>68</v>
      </c>
      <c r="P8138" s="23">
        <v>165.41</v>
      </c>
      <c r="Q8138" s="4">
        <f t="shared" si="126"/>
        <v>-98.935977268605285</v>
      </c>
      <c r="R8138" s="23" t="s">
        <v>109</v>
      </c>
      <c r="T8138" s="91"/>
    </row>
    <row r="8139" spans="1:20" x14ac:dyDescent="0.25">
      <c r="A8139" s="21">
        <v>45919</v>
      </c>
      <c r="B8139" s="1">
        <v>918545857</v>
      </c>
      <c r="C8139" t="s">
        <v>14647</v>
      </c>
      <c r="D8139" s="43">
        <v>-18001.5</v>
      </c>
      <c r="E8139" t="s">
        <v>35</v>
      </c>
      <c r="F8139" s="2">
        <v>212901001</v>
      </c>
      <c r="G8139" s="2" t="s">
        <v>121</v>
      </c>
      <c r="L8139" s="2" t="s">
        <v>14648</v>
      </c>
      <c r="M8139" t="s">
        <v>67</v>
      </c>
      <c r="N8139" t="s">
        <v>68</v>
      </c>
      <c r="P8139" s="23">
        <v>165.41</v>
      </c>
      <c r="Q8139" s="4">
        <f t="shared" ref="Q8139:Q8202" si="127">D8139/P8139</f>
        <v>-108.82957499546582</v>
      </c>
      <c r="R8139" s="23" t="s">
        <v>109</v>
      </c>
      <c r="T8139" s="91"/>
    </row>
    <row r="8140" spans="1:20" x14ac:dyDescent="0.25">
      <c r="A8140" s="21">
        <v>45919</v>
      </c>
      <c r="B8140" s="1">
        <v>918545858</v>
      </c>
      <c r="C8140" t="s">
        <v>14649</v>
      </c>
      <c r="D8140" s="43">
        <v>-13092</v>
      </c>
      <c r="E8140" t="s">
        <v>35</v>
      </c>
      <c r="F8140" s="2">
        <v>212901001</v>
      </c>
      <c r="G8140" s="2" t="s">
        <v>121</v>
      </c>
      <c r="L8140" s="2" t="s">
        <v>14650</v>
      </c>
      <c r="M8140" t="s">
        <v>67</v>
      </c>
      <c r="N8140" t="s">
        <v>68</v>
      </c>
      <c r="P8140" s="23">
        <v>165.41</v>
      </c>
      <c r="Q8140" s="4">
        <f t="shared" si="127"/>
        <v>-79.148781814884231</v>
      </c>
      <c r="R8140" s="23" t="s">
        <v>109</v>
      </c>
      <c r="T8140" s="91"/>
    </row>
    <row r="8141" spans="1:20" x14ac:dyDescent="0.25">
      <c r="A8141" s="21">
        <v>45919</v>
      </c>
      <c r="B8141" s="1">
        <v>218545886</v>
      </c>
      <c r="C8141" t="s">
        <v>14651</v>
      </c>
      <c r="D8141" s="43">
        <v>-6546</v>
      </c>
      <c r="E8141" t="s">
        <v>35</v>
      </c>
      <c r="F8141" s="2">
        <v>212901001</v>
      </c>
      <c r="G8141" s="2" t="s">
        <v>121</v>
      </c>
      <c r="L8141" s="2" t="s">
        <v>14652</v>
      </c>
      <c r="M8141" t="s">
        <v>67</v>
      </c>
      <c r="N8141" t="s">
        <v>68</v>
      </c>
      <c r="P8141" s="23">
        <v>165.41</v>
      </c>
      <c r="Q8141" s="4">
        <f t="shared" si="127"/>
        <v>-39.574390907442115</v>
      </c>
      <c r="R8141" s="23" t="s">
        <v>109</v>
      </c>
      <c r="T8141" s="91"/>
    </row>
    <row r="8142" spans="1:20" x14ac:dyDescent="0.25">
      <c r="A8142" s="21">
        <v>45919</v>
      </c>
      <c r="B8142" s="1">
        <v>18545871</v>
      </c>
      <c r="C8142" t="s">
        <v>14627</v>
      </c>
      <c r="D8142" s="43">
        <v>-8182.5</v>
      </c>
      <c r="E8142" t="s">
        <v>35</v>
      </c>
      <c r="F8142" s="2">
        <v>212901001</v>
      </c>
      <c r="G8142" s="2" t="s">
        <v>121</v>
      </c>
      <c r="L8142" s="2" t="s">
        <v>14653</v>
      </c>
      <c r="M8142" t="s">
        <v>67</v>
      </c>
      <c r="N8142" t="s">
        <v>68</v>
      </c>
      <c r="P8142" s="23">
        <v>165.41</v>
      </c>
      <c r="Q8142" s="4">
        <f t="shared" si="127"/>
        <v>-49.467988634302642</v>
      </c>
      <c r="R8142" s="23" t="s">
        <v>109</v>
      </c>
      <c r="T8142" s="91"/>
    </row>
    <row r="8143" spans="1:20" x14ac:dyDescent="0.25">
      <c r="A8143" s="21">
        <v>45919</v>
      </c>
      <c r="B8143" s="1">
        <v>18545873</v>
      </c>
      <c r="C8143" t="s">
        <v>14654</v>
      </c>
      <c r="D8143" s="43">
        <v>-8182.5</v>
      </c>
      <c r="E8143" t="s">
        <v>35</v>
      </c>
      <c r="F8143" s="2">
        <v>212901001</v>
      </c>
      <c r="G8143" s="2" t="s">
        <v>121</v>
      </c>
      <c r="L8143" s="2" t="s">
        <v>14655</v>
      </c>
      <c r="M8143" t="s">
        <v>67</v>
      </c>
      <c r="N8143" t="s">
        <v>68</v>
      </c>
      <c r="P8143" s="23">
        <v>165.41</v>
      </c>
      <c r="Q8143" s="4">
        <f t="shared" si="127"/>
        <v>-49.467988634302642</v>
      </c>
      <c r="R8143" s="23" t="s">
        <v>109</v>
      </c>
      <c r="T8143" s="91"/>
    </row>
    <row r="8144" spans="1:20" x14ac:dyDescent="0.25">
      <c r="A8144" s="21">
        <v>45919</v>
      </c>
      <c r="B8144" s="1">
        <v>18545870</v>
      </c>
      <c r="C8144" t="s">
        <v>14656</v>
      </c>
      <c r="D8144" s="43">
        <v>-8182.5</v>
      </c>
      <c r="E8144" t="s">
        <v>35</v>
      </c>
      <c r="F8144" s="2">
        <v>212901001</v>
      </c>
      <c r="G8144" s="2" t="s">
        <v>121</v>
      </c>
      <c r="L8144" s="2" t="s">
        <v>14657</v>
      </c>
      <c r="M8144" t="s">
        <v>67</v>
      </c>
      <c r="N8144" t="s">
        <v>68</v>
      </c>
      <c r="P8144" s="23">
        <v>165.41</v>
      </c>
      <c r="Q8144" s="4">
        <f t="shared" si="127"/>
        <v>-49.467988634302642</v>
      </c>
      <c r="R8144" s="23" t="s">
        <v>109</v>
      </c>
      <c r="T8144" s="91"/>
    </row>
    <row r="8145" spans="1:20" x14ac:dyDescent="0.25">
      <c r="A8145" s="21">
        <v>45919</v>
      </c>
      <c r="B8145" s="1">
        <v>118545875</v>
      </c>
      <c r="C8145" t="s">
        <v>14658</v>
      </c>
      <c r="D8145" s="43">
        <v>-8182.5</v>
      </c>
      <c r="E8145" t="s">
        <v>35</v>
      </c>
      <c r="F8145" s="2">
        <v>212901001</v>
      </c>
      <c r="G8145" s="2" t="s">
        <v>121</v>
      </c>
      <c r="L8145" s="2" t="s">
        <v>14659</v>
      </c>
      <c r="M8145" t="s">
        <v>67</v>
      </c>
      <c r="N8145" t="s">
        <v>68</v>
      </c>
      <c r="P8145" s="23">
        <v>165.41</v>
      </c>
      <c r="Q8145" s="4">
        <f t="shared" si="127"/>
        <v>-49.467988634302642</v>
      </c>
      <c r="R8145" s="23" t="s">
        <v>109</v>
      </c>
      <c r="T8145" s="91"/>
    </row>
    <row r="8146" spans="1:20" x14ac:dyDescent="0.25">
      <c r="A8146" s="21">
        <v>45919</v>
      </c>
      <c r="B8146" s="1">
        <v>118545883</v>
      </c>
      <c r="C8146" t="s">
        <v>14660</v>
      </c>
      <c r="D8146" s="43">
        <v>-23401.95</v>
      </c>
      <c r="E8146" t="s">
        <v>35</v>
      </c>
      <c r="F8146" s="2">
        <v>212901001</v>
      </c>
      <c r="G8146" s="2" t="s">
        <v>121</v>
      </c>
      <c r="L8146" s="2" t="s">
        <v>14661</v>
      </c>
      <c r="M8146" t="s">
        <v>67</v>
      </c>
      <c r="N8146" t="s">
        <v>68</v>
      </c>
      <c r="P8146" s="23">
        <v>165.41</v>
      </c>
      <c r="Q8146" s="4">
        <f t="shared" si="127"/>
        <v>-141.47844749410555</v>
      </c>
      <c r="R8146" s="23" t="s">
        <v>109</v>
      </c>
      <c r="T8146" s="91"/>
    </row>
    <row r="8147" spans="1:20" x14ac:dyDescent="0.25">
      <c r="A8147" s="21">
        <v>45919</v>
      </c>
      <c r="B8147" s="1">
        <v>918545862</v>
      </c>
      <c r="C8147" t="s">
        <v>14662</v>
      </c>
      <c r="D8147" s="43">
        <v>-8182.5</v>
      </c>
      <c r="E8147" t="s">
        <v>35</v>
      </c>
      <c r="F8147" s="2">
        <v>212901001</v>
      </c>
      <c r="G8147" s="2" t="s">
        <v>121</v>
      </c>
      <c r="L8147" s="2" t="s">
        <v>14663</v>
      </c>
      <c r="M8147" t="s">
        <v>67</v>
      </c>
      <c r="N8147" t="s">
        <v>68</v>
      </c>
      <c r="P8147" s="23">
        <v>165.41</v>
      </c>
      <c r="Q8147" s="4">
        <f t="shared" si="127"/>
        <v>-49.467988634302642</v>
      </c>
      <c r="R8147" s="23" t="s">
        <v>109</v>
      </c>
      <c r="T8147" s="91"/>
    </row>
    <row r="8148" spans="1:20" x14ac:dyDescent="0.25">
      <c r="A8148" s="21">
        <v>45919</v>
      </c>
      <c r="B8148" s="1">
        <v>118545881</v>
      </c>
      <c r="C8148" t="s">
        <v>14664</v>
      </c>
      <c r="D8148" s="43">
        <v>-16365</v>
      </c>
      <c r="E8148" t="s">
        <v>35</v>
      </c>
      <c r="F8148" s="2">
        <v>212901001</v>
      </c>
      <c r="G8148" s="2" t="s">
        <v>121</v>
      </c>
      <c r="L8148" s="2" t="s">
        <v>14665</v>
      </c>
      <c r="M8148" t="s">
        <v>67</v>
      </c>
      <c r="N8148" t="s">
        <v>68</v>
      </c>
      <c r="P8148" s="23">
        <v>165.41</v>
      </c>
      <c r="Q8148" s="4">
        <f t="shared" si="127"/>
        <v>-98.935977268605285</v>
      </c>
      <c r="R8148" s="23" t="s">
        <v>109</v>
      </c>
      <c r="T8148" s="91"/>
    </row>
    <row r="8149" spans="1:20" x14ac:dyDescent="0.25">
      <c r="A8149" s="21">
        <v>45919</v>
      </c>
      <c r="B8149" s="1">
        <v>18545868</v>
      </c>
      <c r="C8149" t="s">
        <v>14666</v>
      </c>
      <c r="D8149" s="43">
        <v>-8182.5</v>
      </c>
      <c r="E8149" t="s">
        <v>35</v>
      </c>
      <c r="F8149" s="2">
        <v>212901001</v>
      </c>
      <c r="G8149" s="2" t="s">
        <v>121</v>
      </c>
      <c r="L8149" s="2" t="s">
        <v>14667</v>
      </c>
      <c r="M8149" t="s">
        <v>67</v>
      </c>
      <c r="N8149" t="s">
        <v>68</v>
      </c>
      <c r="P8149" s="23">
        <v>165.41</v>
      </c>
      <c r="Q8149" s="4">
        <f t="shared" si="127"/>
        <v>-49.467988634302642</v>
      </c>
      <c r="R8149" s="23" t="s">
        <v>109</v>
      </c>
      <c r="T8149" s="91"/>
    </row>
    <row r="8150" spans="1:20" x14ac:dyDescent="0.25">
      <c r="A8150" s="21">
        <v>45919</v>
      </c>
      <c r="B8150" s="1">
        <v>918545864</v>
      </c>
      <c r="C8150" t="s">
        <v>14668</v>
      </c>
      <c r="D8150" s="43">
        <v>-8182.5</v>
      </c>
      <c r="E8150" t="s">
        <v>35</v>
      </c>
      <c r="F8150" s="2">
        <v>212901001</v>
      </c>
      <c r="G8150" s="2" t="s">
        <v>121</v>
      </c>
      <c r="L8150" s="2" t="s">
        <v>14669</v>
      </c>
      <c r="M8150" t="s">
        <v>67</v>
      </c>
      <c r="N8150" t="s">
        <v>68</v>
      </c>
      <c r="P8150" s="23">
        <v>165.41</v>
      </c>
      <c r="Q8150" s="4">
        <f t="shared" si="127"/>
        <v>-49.467988634302642</v>
      </c>
      <c r="R8150" s="23" t="s">
        <v>109</v>
      </c>
      <c r="T8150" s="91"/>
    </row>
    <row r="8151" spans="1:20" x14ac:dyDescent="0.25">
      <c r="A8151" s="21">
        <v>45919</v>
      </c>
      <c r="B8151" s="1">
        <v>118545880</v>
      </c>
      <c r="C8151" t="s">
        <v>14670</v>
      </c>
      <c r="D8151" s="43">
        <v>-3273</v>
      </c>
      <c r="E8151" t="s">
        <v>35</v>
      </c>
      <c r="F8151" s="2">
        <v>212901001</v>
      </c>
      <c r="G8151" s="2" t="s">
        <v>121</v>
      </c>
      <c r="L8151" s="2" t="s">
        <v>14671</v>
      </c>
      <c r="M8151" t="s">
        <v>67</v>
      </c>
      <c r="N8151" t="s">
        <v>68</v>
      </c>
      <c r="P8151" s="23">
        <v>165.41</v>
      </c>
      <c r="Q8151" s="4">
        <f t="shared" si="127"/>
        <v>-19.787195453721058</v>
      </c>
      <c r="R8151" s="23" t="s">
        <v>109</v>
      </c>
      <c r="T8151" s="91"/>
    </row>
    <row r="8152" spans="1:20" x14ac:dyDescent="0.25">
      <c r="A8152" s="21">
        <v>45919</v>
      </c>
      <c r="B8152" s="1">
        <v>118545882</v>
      </c>
      <c r="C8152" t="s">
        <v>14672</v>
      </c>
      <c r="D8152" s="43">
        <v>-32730</v>
      </c>
      <c r="E8152" t="s">
        <v>35</v>
      </c>
      <c r="F8152" s="2">
        <v>212901001</v>
      </c>
      <c r="G8152" s="2" t="s">
        <v>121</v>
      </c>
      <c r="L8152" s="2" t="s">
        <v>14673</v>
      </c>
      <c r="M8152" t="s">
        <v>67</v>
      </c>
      <c r="N8152" t="s">
        <v>68</v>
      </c>
      <c r="P8152" s="23">
        <v>165.41</v>
      </c>
      <c r="Q8152" s="4">
        <f t="shared" si="127"/>
        <v>-197.87195453721057</v>
      </c>
      <c r="R8152" s="23" t="s">
        <v>109</v>
      </c>
      <c r="T8152" s="91"/>
    </row>
    <row r="8153" spans="1:20" x14ac:dyDescent="0.25">
      <c r="A8153" s="21">
        <v>45919</v>
      </c>
      <c r="B8153" s="1">
        <v>18545867</v>
      </c>
      <c r="C8153" t="s">
        <v>14674</v>
      </c>
      <c r="D8153" s="43">
        <v>-8182.5</v>
      </c>
      <c r="E8153" t="s">
        <v>35</v>
      </c>
      <c r="F8153" s="2">
        <v>212901001</v>
      </c>
      <c r="G8153" s="2" t="s">
        <v>121</v>
      </c>
      <c r="L8153" s="2" t="s">
        <v>14675</v>
      </c>
      <c r="M8153" t="s">
        <v>67</v>
      </c>
      <c r="N8153" t="s">
        <v>68</v>
      </c>
      <c r="P8153" s="23">
        <v>165.41</v>
      </c>
      <c r="Q8153" s="4">
        <f t="shared" si="127"/>
        <v>-49.467988634302642</v>
      </c>
      <c r="R8153" s="23" t="s">
        <v>109</v>
      </c>
      <c r="T8153" s="91"/>
    </row>
    <row r="8154" spans="1:20" x14ac:dyDescent="0.25">
      <c r="A8154" s="21">
        <v>45919</v>
      </c>
      <c r="B8154" s="1">
        <v>118545877</v>
      </c>
      <c r="C8154" t="s">
        <v>14676</v>
      </c>
      <c r="D8154" s="43">
        <v>-3273</v>
      </c>
      <c r="E8154" t="s">
        <v>35</v>
      </c>
      <c r="F8154" s="2">
        <v>212901001</v>
      </c>
      <c r="G8154" s="2" t="s">
        <v>121</v>
      </c>
      <c r="L8154" s="2" t="s">
        <v>14677</v>
      </c>
      <c r="M8154" t="s">
        <v>67</v>
      </c>
      <c r="N8154" t="s">
        <v>68</v>
      </c>
      <c r="P8154" s="23">
        <v>165.41</v>
      </c>
      <c r="Q8154" s="4">
        <f t="shared" si="127"/>
        <v>-19.787195453721058</v>
      </c>
      <c r="R8154" s="23" t="s">
        <v>109</v>
      </c>
      <c r="T8154" s="91"/>
    </row>
    <row r="8155" spans="1:20" x14ac:dyDescent="0.25">
      <c r="A8155" s="21">
        <v>45919</v>
      </c>
      <c r="B8155" s="1">
        <v>118545879</v>
      </c>
      <c r="C8155" t="s">
        <v>14678</v>
      </c>
      <c r="D8155" s="43">
        <v>-3273</v>
      </c>
      <c r="E8155" t="s">
        <v>35</v>
      </c>
      <c r="F8155" s="2">
        <v>212901001</v>
      </c>
      <c r="G8155" s="2" t="s">
        <v>121</v>
      </c>
      <c r="L8155" s="2" t="s">
        <v>14679</v>
      </c>
      <c r="M8155" t="s">
        <v>67</v>
      </c>
      <c r="N8155" t="s">
        <v>68</v>
      </c>
      <c r="P8155" s="23">
        <v>165.41</v>
      </c>
      <c r="Q8155" s="4">
        <f t="shared" si="127"/>
        <v>-19.787195453721058</v>
      </c>
      <c r="R8155" s="23" t="s">
        <v>109</v>
      </c>
      <c r="T8155" s="91"/>
    </row>
    <row r="8156" spans="1:20" x14ac:dyDescent="0.25">
      <c r="A8156" s="21">
        <v>45919</v>
      </c>
      <c r="B8156" s="1">
        <v>118545876</v>
      </c>
      <c r="C8156" t="s">
        <v>14680</v>
      </c>
      <c r="D8156" s="43">
        <v>-6873.3</v>
      </c>
      <c r="E8156" t="s">
        <v>35</v>
      </c>
      <c r="F8156" s="2">
        <v>212901001</v>
      </c>
      <c r="G8156" s="2" t="s">
        <v>121</v>
      </c>
      <c r="L8156" s="2" t="s">
        <v>14681</v>
      </c>
      <c r="M8156" t="s">
        <v>67</v>
      </c>
      <c r="N8156" t="s">
        <v>68</v>
      </c>
      <c r="P8156" s="23">
        <v>165.41</v>
      </c>
      <c r="Q8156" s="4">
        <f t="shared" si="127"/>
        <v>-41.553110452814224</v>
      </c>
      <c r="R8156" s="23" t="s">
        <v>109</v>
      </c>
      <c r="T8156" s="91"/>
    </row>
    <row r="8157" spans="1:20" x14ac:dyDescent="0.25">
      <c r="A8157" s="21">
        <v>45919</v>
      </c>
      <c r="B8157" s="1">
        <v>50985709</v>
      </c>
      <c r="C8157" t="s">
        <v>14682</v>
      </c>
      <c r="D8157" s="43">
        <v>-22911</v>
      </c>
      <c r="E8157" t="s">
        <v>35</v>
      </c>
      <c r="F8157" s="2">
        <v>212901001</v>
      </c>
      <c r="G8157" s="2" t="s">
        <v>121</v>
      </c>
      <c r="L8157" s="2" t="s">
        <v>14683</v>
      </c>
      <c r="M8157" t="s">
        <v>67</v>
      </c>
      <c r="N8157" t="s">
        <v>68</v>
      </c>
      <c r="P8157" s="23">
        <v>165.41</v>
      </c>
      <c r="Q8157" s="4">
        <f t="shared" si="127"/>
        <v>-138.51036817604739</v>
      </c>
      <c r="R8157" s="23" t="s">
        <v>109</v>
      </c>
      <c r="T8157" s="91"/>
    </row>
    <row r="8158" spans="1:20" x14ac:dyDescent="0.25">
      <c r="A8158" s="21">
        <v>45919</v>
      </c>
      <c r="B8158" s="1">
        <v>50985709</v>
      </c>
      <c r="C8158" t="s">
        <v>296</v>
      </c>
      <c r="D8158" s="43">
        <v>-34.36</v>
      </c>
      <c r="E8158" t="s">
        <v>35</v>
      </c>
      <c r="F8158" s="2">
        <v>610148001</v>
      </c>
      <c r="G8158" s="2" t="s">
        <v>42</v>
      </c>
      <c r="L8158" s="2" t="s">
        <v>14684</v>
      </c>
      <c r="M8158" t="s">
        <v>43</v>
      </c>
      <c r="N8158" t="s">
        <v>42</v>
      </c>
      <c r="P8158" s="23">
        <v>165.41</v>
      </c>
      <c r="Q8158" s="4">
        <f t="shared" si="127"/>
        <v>-0.2077262559700139</v>
      </c>
      <c r="R8158" s="23" t="s">
        <v>109</v>
      </c>
      <c r="T8158" s="90" t="s">
        <v>14165</v>
      </c>
    </row>
    <row r="8159" spans="1:20" x14ac:dyDescent="0.25">
      <c r="A8159" s="21">
        <v>45919</v>
      </c>
      <c r="B8159" s="1">
        <v>50985709</v>
      </c>
      <c r="C8159" t="s">
        <v>118</v>
      </c>
      <c r="D8159" s="43">
        <v>-1810.37</v>
      </c>
      <c r="E8159" t="s">
        <v>35</v>
      </c>
      <c r="F8159" s="2">
        <v>610148001</v>
      </c>
      <c r="G8159" s="2" t="s">
        <v>42</v>
      </c>
      <c r="L8159" s="2" t="s">
        <v>14685</v>
      </c>
      <c r="M8159" t="s">
        <v>43</v>
      </c>
      <c r="N8159" t="s">
        <v>42</v>
      </c>
      <c r="P8159" s="23">
        <v>165.41</v>
      </c>
      <c r="Q8159" s="4">
        <f t="shared" si="127"/>
        <v>-10.944743364971888</v>
      </c>
      <c r="R8159" s="23" t="s">
        <v>109</v>
      </c>
      <c r="T8159" s="90" t="s">
        <v>14165</v>
      </c>
    </row>
    <row r="8160" spans="1:20" x14ac:dyDescent="0.25">
      <c r="A8160" s="21">
        <v>45919</v>
      </c>
      <c r="B8160" s="1">
        <v>113504011</v>
      </c>
      <c r="C8160" t="s">
        <v>107</v>
      </c>
      <c r="D8160" s="43">
        <v>680000</v>
      </c>
      <c r="E8160" t="s">
        <v>46</v>
      </c>
      <c r="F8160" s="2">
        <v>210115002</v>
      </c>
      <c r="G8160" s="2" t="s">
        <v>12156</v>
      </c>
      <c r="L8160" s="2" t="s">
        <v>14686</v>
      </c>
      <c r="N8160" t="s">
        <v>107</v>
      </c>
      <c r="P8160" s="23">
        <v>165.41</v>
      </c>
      <c r="Q8160" s="4">
        <f t="shared" si="127"/>
        <v>4110.9969167523122</v>
      </c>
      <c r="R8160" s="23" t="s">
        <v>109</v>
      </c>
      <c r="T8160" s="91"/>
    </row>
    <row r="8161" spans="1:20" x14ac:dyDescent="0.25">
      <c r="A8161" s="21">
        <v>45919</v>
      </c>
      <c r="B8161" s="1">
        <v>818550018</v>
      </c>
      <c r="C8161" t="s">
        <v>14687</v>
      </c>
      <c r="D8161" s="43">
        <v>-527176.98</v>
      </c>
      <c r="E8161" t="s">
        <v>35</v>
      </c>
      <c r="F8161" s="2">
        <v>210101001</v>
      </c>
      <c r="G8161" s="2" t="s">
        <v>36</v>
      </c>
      <c r="L8161" s="2" t="s">
        <v>14688</v>
      </c>
      <c r="M8161" t="s">
        <v>38</v>
      </c>
      <c r="N8161" t="s">
        <v>39</v>
      </c>
      <c r="P8161" s="23">
        <v>165.41</v>
      </c>
      <c r="Q8161" s="4">
        <f t="shared" si="127"/>
        <v>-3187.092557886464</v>
      </c>
      <c r="R8161" s="23" t="s">
        <v>109</v>
      </c>
      <c r="T8161" s="91"/>
    </row>
    <row r="8162" spans="1:20" x14ac:dyDescent="0.25">
      <c r="A8162" s="32">
        <v>45919</v>
      </c>
      <c r="B8162" s="26">
        <v>818550020</v>
      </c>
      <c r="C8162" s="27" t="s">
        <v>14689</v>
      </c>
      <c r="D8162" s="46">
        <v>-19849.2</v>
      </c>
      <c r="E8162" s="27" t="s">
        <v>35</v>
      </c>
      <c r="F8162" s="29">
        <v>610129001</v>
      </c>
      <c r="G8162" s="29" t="s">
        <v>55</v>
      </c>
      <c r="H8162" s="107"/>
      <c r="I8162" s="101"/>
      <c r="J8162" s="101"/>
      <c r="K8162" s="29"/>
      <c r="L8162" s="2" t="s">
        <v>14690</v>
      </c>
      <c r="M8162" s="27" t="s">
        <v>57</v>
      </c>
      <c r="N8162" s="27" t="s">
        <v>58</v>
      </c>
      <c r="O8162" s="27" t="s">
        <v>59</v>
      </c>
      <c r="P8162" s="31">
        <v>165.41</v>
      </c>
      <c r="Q8162" s="4">
        <f t="shared" si="127"/>
        <v>-120</v>
      </c>
      <c r="R8162" s="23" t="s">
        <v>109</v>
      </c>
      <c r="T8162" s="92" t="s">
        <v>14691</v>
      </c>
    </row>
    <row r="8163" spans="1:20" x14ac:dyDescent="0.25">
      <c r="A8163" s="21">
        <v>45919</v>
      </c>
      <c r="B8163" s="1">
        <v>818550019</v>
      </c>
      <c r="C8163" t="s">
        <v>7557</v>
      </c>
      <c r="D8163" s="43">
        <v>-17814.66</v>
      </c>
      <c r="E8163" t="s">
        <v>35</v>
      </c>
      <c r="F8163" s="2">
        <v>110101002</v>
      </c>
      <c r="G8163" s="2" t="s">
        <v>6359</v>
      </c>
      <c r="L8163" s="2" t="s">
        <v>14692</v>
      </c>
      <c r="N8163" t="s">
        <v>7557</v>
      </c>
      <c r="P8163" s="23">
        <v>165.41</v>
      </c>
      <c r="Q8163" s="4">
        <f t="shared" si="127"/>
        <v>-107.7000181367511</v>
      </c>
      <c r="R8163" s="23" t="s">
        <v>109</v>
      </c>
      <c r="T8163" s="91"/>
    </row>
    <row r="8164" spans="1:20" x14ac:dyDescent="0.25">
      <c r="A8164" s="21">
        <v>45919</v>
      </c>
      <c r="B8164" s="1">
        <v>818550022</v>
      </c>
      <c r="C8164" t="s">
        <v>14693</v>
      </c>
      <c r="D8164" s="43">
        <v>-16541</v>
      </c>
      <c r="E8164" t="s">
        <v>35</v>
      </c>
      <c r="F8164" s="2">
        <v>212901001</v>
      </c>
      <c r="G8164" s="2" t="s">
        <v>121</v>
      </c>
      <c r="L8164" s="2" t="s">
        <v>14694</v>
      </c>
      <c r="M8164" t="s">
        <v>67</v>
      </c>
      <c r="N8164" t="s">
        <v>68</v>
      </c>
      <c r="P8164" s="23">
        <v>165.41</v>
      </c>
      <c r="Q8164" s="4">
        <f t="shared" si="127"/>
        <v>-100</v>
      </c>
      <c r="R8164" s="23" t="s">
        <v>109</v>
      </c>
      <c r="T8164" s="91"/>
    </row>
    <row r="8165" spans="1:20" x14ac:dyDescent="0.25">
      <c r="A8165" s="21">
        <v>45919</v>
      </c>
      <c r="B8165" s="1">
        <v>818550021</v>
      </c>
      <c r="C8165" t="s">
        <v>14695</v>
      </c>
      <c r="D8165" s="43">
        <v>-16541</v>
      </c>
      <c r="E8165" t="s">
        <v>35</v>
      </c>
      <c r="F8165" s="2">
        <v>212901001</v>
      </c>
      <c r="G8165" s="2" t="s">
        <v>121</v>
      </c>
      <c r="L8165" s="2" t="s">
        <v>14696</v>
      </c>
      <c r="M8165" t="s">
        <v>67</v>
      </c>
      <c r="N8165" t="s">
        <v>68</v>
      </c>
      <c r="P8165" s="23">
        <v>165.41</v>
      </c>
      <c r="Q8165" s="4">
        <f t="shared" si="127"/>
        <v>-100</v>
      </c>
      <c r="R8165" s="23" t="s">
        <v>109</v>
      </c>
      <c r="T8165" s="91"/>
    </row>
    <row r="8166" spans="1:20" x14ac:dyDescent="0.25">
      <c r="A8166" s="21">
        <v>45919</v>
      </c>
      <c r="B8166" s="1">
        <v>918550024</v>
      </c>
      <c r="C8166" t="s">
        <v>14697</v>
      </c>
      <c r="D8166" s="43">
        <v>-3308.2</v>
      </c>
      <c r="E8166" t="s">
        <v>35</v>
      </c>
      <c r="F8166" s="2">
        <v>212901001</v>
      </c>
      <c r="G8166" s="2" t="s">
        <v>121</v>
      </c>
      <c r="L8166" s="2" t="s">
        <v>14698</v>
      </c>
      <c r="M8166" t="s">
        <v>67</v>
      </c>
      <c r="N8166" t="s">
        <v>68</v>
      </c>
      <c r="P8166" s="23">
        <v>165.41</v>
      </c>
      <c r="Q8166" s="4">
        <f t="shared" si="127"/>
        <v>-20</v>
      </c>
      <c r="R8166" s="23" t="s">
        <v>109</v>
      </c>
      <c r="T8166" s="91"/>
    </row>
    <row r="8167" spans="1:20" x14ac:dyDescent="0.25">
      <c r="A8167" s="21">
        <v>45919</v>
      </c>
      <c r="B8167" s="1">
        <v>918550023</v>
      </c>
      <c r="C8167" t="s">
        <v>14699</v>
      </c>
      <c r="D8167" s="43">
        <v>-4962.3</v>
      </c>
      <c r="E8167" t="s">
        <v>35</v>
      </c>
      <c r="F8167" s="2">
        <v>212901001</v>
      </c>
      <c r="G8167" s="2" t="s">
        <v>121</v>
      </c>
      <c r="L8167" s="2" t="s">
        <v>14700</v>
      </c>
      <c r="M8167" t="s">
        <v>67</v>
      </c>
      <c r="N8167" t="s">
        <v>68</v>
      </c>
      <c r="P8167" s="23">
        <v>165.41</v>
      </c>
      <c r="Q8167" s="4">
        <f t="shared" si="127"/>
        <v>-30</v>
      </c>
      <c r="R8167" s="23" t="s">
        <v>109</v>
      </c>
      <c r="T8167" s="91"/>
    </row>
    <row r="8168" spans="1:20" x14ac:dyDescent="0.25">
      <c r="A8168" s="21">
        <v>45919</v>
      </c>
      <c r="B8168" s="1">
        <v>918550026</v>
      </c>
      <c r="C8168" t="s">
        <v>14701</v>
      </c>
      <c r="D8168" s="43">
        <v>-3308.2</v>
      </c>
      <c r="E8168" t="s">
        <v>35</v>
      </c>
      <c r="F8168" s="2">
        <v>212901001</v>
      </c>
      <c r="G8168" s="2" t="s">
        <v>121</v>
      </c>
      <c r="L8168" s="2" t="s">
        <v>14702</v>
      </c>
      <c r="M8168" t="s">
        <v>67</v>
      </c>
      <c r="N8168" t="s">
        <v>68</v>
      </c>
      <c r="P8168" s="23">
        <v>165.41</v>
      </c>
      <c r="Q8168" s="4">
        <f t="shared" si="127"/>
        <v>-20</v>
      </c>
      <c r="R8168" s="23" t="s">
        <v>109</v>
      </c>
      <c r="T8168" s="91"/>
    </row>
    <row r="8169" spans="1:20" x14ac:dyDescent="0.25">
      <c r="A8169" s="21">
        <v>45919</v>
      </c>
      <c r="B8169" s="1">
        <v>918550027</v>
      </c>
      <c r="C8169" t="s">
        <v>14703</v>
      </c>
      <c r="D8169" s="43">
        <v>-3308.2</v>
      </c>
      <c r="E8169" t="s">
        <v>35</v>
      </c>
      <c r="F8169" s="2">
        <v>212901001</v>
      </c>
      <c r="G8169" s="2" t="s">
        <v>121</v>
      </c>
      <c r="L8169" s="2" t="s">
        <v>14704</v>
      </c>
      <c r="M8169" t="s">
        <v>67</v>
      </c>
      <c r="N8169" t="s">
        <v>68</v>
      </c>
      <c r="P8169" s="23">
        <v>165.41</v>
      </c>
      <c r="Q8169" s="4">
        <f t="shared" si="127"/>
        <v>-20</v>
      </c>
      <c r="R8169" s="23" t="s">
        <v>109</v>
      </c>
      <c r="T8169" s="91"/>
    </row>
    <row r="8170" spans="1:20" x14ac:dyDescent="0.25">
      <c r="A8170" s="21">
        <v>45919</v>
      </c>
      <c r="B8170" s="1">
        <v>918550030</v>
      </c>
      <c r="C8170" t="s">
        <v>14705</v>
      </c>
      <c r="D8170" s="43">
        <v>-3308.2</v>
      </c>
      <c r="E8170" t="s">
        <v>35</v>
      </c>
      <c r="F8170" s="2">
        <v>212901001</v>
      </c>
      <c r="G8170" s="2" t="s">
        <v>121</v>
      </c>
      <c r="L8170" s="2" t="s">
        <v>14706</v>
      </c>
      <c r="M8170" t="s">
        <v>67</v>
      </c>
      <c r="N8170" t="s">
        <v>68</v>
      </c>
      <c r="P8170" s="23">
        <v>165.41</v>
      </c>
      <c r="Q8170" s="4">
        <f t="shared" si="127"/>
        <v>-20</v>
      </c>
      <c r="R8170" s="23" t="s">
        <v>109</v>
      </c>
      <c r="T8170" s="91"/>
    </row>
    <row r="8171" spans="1:20" x14ac:dyDescent="0.25">
      <c r="A8171" s="32">
        <v>45919</v>
      </c>
      <c r="B8171" s="26">
        <v>918550031</v>
      </c>
      <c r="C8171" s="27" t="s">
        <v>14707</v>
      </c>
      <c r="D8171" s="46">
        <v>-52931.199999999997</v>
      </c>
      <c r="E8171" s="27" t="s">
        <v>35</v>
      </c>
      <c r="F8171" s="29">
        <v>610156001</v>
      </c>
      <c r="G8171" s="29" t="s">
        <v>91</v>
      </c>
      <c r="H8171" s="107"/>
      <c r="I8171" s="101"/>
      <c r="J8171" s="101"/>
      <c r="K8171" s="29"/>
      <c r="L8171" s="2" t="s">
        <v>14708</v>
      </c>
      <c r="M8171" s="27" t="s">
        <v>5015</v>
      </c>
      <c r="N8171" s="27" t="s">
        <v>1240</v>
      </c>
      <c r="O8171" s="27" t="s">
        <v>59</v>
      </c>
      <c r="P8171" s="31">
        <v>165.41</v>
      </c>
      <c r="Q8171" s="4">
        <f t="shared" si="127"/>
        <v>-320</v>
      </c>
      <c r="R8171" s="23" t="s">
        <v>109</v>
      </c>
      <c r="T8171" s="91"/>
    </row>
    <row r="8172" spans="1:20" x14ac:dyDescent="0.25">
      <c r="A8172" s="32">
        <v>45919</v>
      </c>
      <c r="B8172" s="26">
        <v>918550033</v>
      </c>
      <c r="C8172" s="27" t="s">
        <v>14709</v>
      </c>
      <c r="D8172" s="46">
        <v>-19849.2</v>
      </c>
      <c r="E8172" s="27" t="s">
        <v>35</v>
      </c>
      <c r="F8172" s="29">
        <v>610156001</v>
      </c>
      <c r="G8172" s="29" t="s">
        <v>91</v>
      </c>
      <c r="H8172" s="107"/>
      <c r="I8172" s="101"/>
      <c r="J8172" s="101"/>
      <c r="K8172" s="29"/>
      <c r="L8172" s="2" t="s">
        <v>14710</v>
      </c>
      <c r="M8172" s="27" t="s">
        <v>93</v>
      </c>
      <c r="N8172" s="27" t="s">
        <v>94</v>
      </c>
      <c r="O8172" s="27" t="s">
        <v>59</v>
      </c>
      <c r="P8172" s="31">
        <v>165.41</v>
      </c>
      <c r="Q8172" s="4">
        <f t="shared" si="127"/>
        <v>-120</v>
      </c>
      <c r="R8172" s="23" t="s">
        <v>109</v>
      </c>
      <c r="T8172" s="91"/>
    </row>
    <row r="8173" spans="1:20" x14ac:dyDescent="0.25">
      <c r="A8173" s="21">
        <v>45919</v>
      </c>
      <c r="B8173" s="1">
        <v>918550034</v>
      </c>
      <c r="C8173" t="s">
        <v>14711</v>
      </c>
      <c r="D8173" s="43">
        <v>-8488.5300000000007</v>
      </c>
      <c r="E8173" t="s">
        <v>35</v>
      </c>
      <c r="F8173" s="2">
        <v>210101001</v>
      </c>
      <c r="G8173" s="2" t="s">
        <v>36</v>
      </c>
      <c r="L8173" s="2" t="s">
        <v>14712</v>
      </c>
      <c r="M8173" t="s">
        <v>521</v>
      </c>
      <c r="N8173" t="s">
        <v>3364</v>
      </c>
      <c r="P8173" s="23">
        <v>165.41</v>
      </c>
      <c r="Q8173" s="4">
        <f t="shared" si="127"/>
        <v>-51.318118614352223</v>
      </c>
      <c r="R8173" s="23" t="s">
        <v>109</v>
      </c>
      <c r="T8173" s="91"/>
    </row>
    <row r="8174" spans="1:20" x14ac:dyDescent="0.25">
      <c r="A8174" s="21">
        <v>45919</v>
      </c>
      <c r="B8174" s="1">
        <v>50931801</v>
      </c>
      <c r="C8174" t="s">
        <v>118</v>
      </c>
      <c r="D8174" s="43">
        <v>-1743.46</v>
      </c>
      <c r="E8174" t="s">
        <v>35</v>
      </c>
      <c r="F8174" s="2">
        <v>610148001</v>
      </c>
      <c r="G8174" s="2" t="s">
        <v>42</v>
      </c>
      <c r="L8174" s="2" t="s">
        <v>14713</v>
      </c>
      <c r="M8174" t="s">
        <v>43</v>
      </c>
      <c r="N8174" t="s">
        <v>42</v>
      </c>
      <c r="P8174" s="23">
        <v>165.41</v>
      </c>
      <c r="Q8174" s="4">
        <f t="shared" si="127"/>
        <v>-10.540233359530863</v>
      </c>
      <c r="R8174" s="23" t="s">
        <v>109</v>
      </c>
      <c r="T8174" s="90" t="s">
        <v>14165</v>
      </c>
    </row>
    <row r="8175" spans="1:20" x14ac:dyDescent="0.25">
      <c r="A8175" s="21">
        <v>45923</v>
      </c>
      <c r="B8175" s="1">
        <v>133652726</v>
      </c>
      <c r="C8175" t="s">
        <v>14714</v>
      </c>
      <c r="D8175" s="43">
        <v>185000</v>
      </c>
      <c r="E8175" t="s">
        <v>46</v>
      </c>
      <c r="F8175" s="2">
        <v>210115002</v>
      </c>
      <c r="G8175" s="2" t="s">
        <v>12156</v>
      </c>
      <c r="L8175" s="2" t="s">
        <v>14715</v>
      </c>
      <c r="N8175" t="s">
        <v>14714</v>
      </c>
      <c r="P8175" s="23">
        <v>168.42</v>
      </c>
      <c r="Q8175" s="4">
        <f t="shared" si="127"/>
        <v>1098.4443652772832</v>
      </c>
      <c r="R8175" s="23" t="s">
        <v>109</v>
      </c>
      <c r="T8175" s="91"/>
    </row>
    <row r="8176" spans="1:20" x14ac:dyDescent="0.25">
      <c r="A8176" s="21">
        <v>45923</v>
      </c>
      <c r="B8176" s="1">
        <v>618667496</v>
      </c>
      <c r="C8176" t="s">
        <v>14716</v>
      </c>
      <c r="D8176" s="43">
        <v>-87335.24</v>
      </c>
      <c r="E8176" t="s">
        <v>35</v>
      </c>
      <c r="F8176" s="2">
        <v>110114001</v>
      </c>
      <c r="G8176" s="2" t="s">
        <v>301</v>
      </c>
      <c r="L8176" s="2" t="s">
        <v>14717</v>
      </c>
      <c r="M8176" t="s">
        <v>788</v>
      </c>
      <c r="N8176" t="s">
        <v>789</v>
      </c>
      <c r="P8176" s="23">
        <v>168.42</v>
      </c>
      <c r="Q8176" s="4">
        <f t="shared" si="127"/>
        <v>-518.55622847642803</v>
      </c>
      <c r="R8176" s="23" t="s">
        <v>109</v>
      </c>
      <c r="S8176" t="s">
        <v>14718</v>
      </c>
      <c r="T8176" s="91"/>
    </row>
    <row r="8177" spans="1:20" x14ac:dyDescent="0.25">
      <c r="A8177" s="21">
        <v>45923</v>
      </c>
      <c r="B8177" s="1">
        <v>618667495</v>
      </c>
      <c r="C8177" t="s">
        <v>14719</v>
      </c>
      <c r="D8177" s="43">
        <v>-95378.26</v>
      </c>
      <c r="E8177" t="s">
        <v>35</v>
      </c>
      <c r="F8177" s="2">
        <v>210101001</v>
      </c>
      <c r="G8177" s="2" t="s">
        <v>36</v>
      </c>
      <c r="L8177" s="2" t="s">
        <v>14720</v>
      </c>
      <c r="M8177" t="s">
        <v>1318</v>
      </c>
      <c r="N8177" t="s">
        <v>1319</v>
      </c>
      <c r="P8177" s="23">
        <v>168.42</v>
      </c>
      <c r="Q8177" s="4">
        <f t="shared" si="127"/>
        <v>-566.3119581997388</v>
      </c>
      <c r="R8177" s="23" t="s">
        <v>109</v>
      </c>
      <c r="T8177" s="91"/>
    </row>
    <row r="8178" spans="1:20" x14ac:dyDescent="0.25">
      <c r="A8178" s="21">
        <v>45923</v>
      </c>
      <c r="B8178" s="1">
        <v>50987706</v>
      </c>
      <c r="C8178" t="s">
        <v>118</v>
      </c>
      <c r="D8178" s="43">
        <v>-456.78</v>
      </c>
      <c r="E8178" t="s">
        <v>35</v>
      </c>
      <c r="F8178" s="2">
        <v>610148001</v>
      </c>
      <c r="G8178" s="2" t="s">
        <v>42</v>
      </c>
      <c r="L8178" s="2" t="s">
        <v>14721</v>
      </c>
      <c r="M8178" t="s">
        <v>43</v>
      </c>
      <c r="N8178" t="s">
        <v>42</v>
      </c>
      <c r="P8178" s="23">
        <v>168.42</v>
      </c>
      <c r="Q8178" s="4">
        <f t="shared" si="127"/>
        <v>-2.7121482009262556</v>
      </c>
      <c r="R8178" s="23" t="s">
        <v>109</v>
      </c>
      <c r="T8178" s="90" t="s">
        <v>14165</v>
      </c>
    </row>
    <row r="8179" spans="1:20" x14ac:dyDescent="0.25">
      <c r="A8179" s="21">
        <v>45922</v>
      </c>
      <c r="B8179" s="1">
        <v>141223155</v>
      </c>
      <c r="C8179" t="s">
        <v>107</v>
      </c>
      <c r="D8179" s="43">
        <v>500000</v>
      </c>
      <c r="E8179" t="s">
        <v>46</v>
      </c>
      <c r="F8179" s="2">
        <v>210115002</v>
      </c>
      <c r="G8179" s="2" t="s">
        <v>12156</v>
      </c>
      <c r="L8179" s="2" t="s">
        <v>14722</v>
      </c>
      <c r="N8179" t="s">
        <v>107</v>
      </c>
      <c r="P8179" s="23">
        <v>166.58</v>
      </c>
      <c r="Q8179" s="4">
        <f t="shared" si="127"/>
        <v>3001.5608116220433</v>
      </c>
      <c r="R8179" s="23" t="s">
        <v>109</v>
      </c>
      <c r="T8179" s="91"/>
    </row>
    <row r="8180" spans="1:20" x14ac:dyDescent="0.25">
      <c r="A8180" s="21">
        <v>45922</v>
      </c>
      <c r="B8180" s="1">
        <v>418639205</v>
      </c>
      <c r="C8180" t="s">
        <v>14723</v>
      </c>
      <c r="D8180" s="43">
        <v>-66632</v>
      </c>
      <c r="E8180" t="s">
        <v>35</v>
      </c>
      <c r="F8180" s="2">
        <v>110114001</v>
      </c>
      <c r="G8180" s="2" t="s">
        <v>301</v>
      </c>
      <c r="L8180" s="2" t="s">
        <v>14724</v>
      </c>
      <c r="N8180" t="s">
        <v>2551</v>
      </c>
      <c r="P8180" s="23">
        <v>166.58</v>
      </c>
      <c r="Q8180" s="4">
        <f t="shared" si="127"/>
        <v>-399.99999999999994</v>
      </c>
      <c r="R8180" s="23" t="s">
        <v>109</v>
      </c>
      <c r="T8180" s="91"/>
    </row>
    <row r="8181" spans="1:20" x14ac:dyDescent="0.25">
      <c r="A8181" s="21">
        <v>45922</v>
      </c>
      <c r="B8181" s="1">
        <v>418639208</v>
      </c>
      <c r="C8181" t="s">
        <v>14725</v>
      </c>
      <c r="D8181" s="43">
        <v>-179706.5</v>
      </c>
      <c r="E8181" t="s">
        <v>35</v>
      </c>
      <c r="F8181" s="2">
        <v>210101001</v>
      </c>
      <c r="G8181" s="2" t="s">
        <v>36</v>
      </c>
      <c r="L8181" s="2" t="s">
        <v>14726</v>
      </c>
      <c r="M8181" t="s">
        <v>788</v>
      </c>
      <c r="N8181" t="s">
        <v>789</v>
      </c>
      <c r="P8181" s="23">
        <v>166.58</v>
      </c>
      <c r="Q8181" s="4">
        <f t="shared" si="127"/>
        <v>-1078.7999759875133</v>
      </c>
      <c r="R8181" s="23" t="s">
        <v>109</v>
      </c>
      <c r="T8181" s="91"/>
    </row>
    <row r="8182" spans="1:20" x14ac:dyDescent="0.25">
      <c r="A8182" s="21">
        <v>45922</v>
      </c>
      <c r="B8182" s="1">
        <v>418639206</v>
      </c>
      <c r="C8182" t="s">
        <v>14727</v>
      </c>
      <c r="D8182" s="43">
        <v>-1334.6</v>
      </c>
      <c r="E8182" t="s">
        <v>35</v>
      </c>
      <c r="F8182" s="2">
        <v>210101001</v>
      </c>
      <c r="G8182" s="2" t="s">
        <v>36</v>
      </c>
      <c r="L8182" s="2" t="s">
        <v>14728</v>
      </c>
      <c r="M8182" t="s">
        <v>788</v>
      </c>
      <c r="N8182" t="s">
        <v>789</v>
      </c>
      <c r="P8182" s="23">
        <v>166.58</v>
      </c>
      <c r="Q8182" s="4">
        <f t="shared" si="127"/>
        <v>-8.0117661183815567</v>
      </c>
      <c r="R8182" s="23" t="s">
        <v>109</v>
      </c>
      <c r="T8182" s="91"/>
    </row>
    <row r="8183" spans="1:20" x14ac:dyDescent="0.25">
      <c r="A8183" s="21">
        <v>45922</v>
      </c>
      <c r="B8183" s="1">
        <v>418639207</v>
      </c>
      <c r="C8183" t="s">
        <v>14729</v>
      </c>
      <c r="D8183" s="43">
        <v>-80379.03</v>
      </c>
      <c r="E8183" t="s">
        <v>35</v>
      </c>
      <c r="F8183" s="2">
        <v>210101001</v>
      </c>
      <c r="G8183" s="2" t="s">
        <v>36</v>
      </c>
      <c r="L8183" s="2" t="s">
        <v>14730</v>
      </c>
      <c r="M8183" t="s">
        <v>788</v>
      </c>
      <c r="N8183" t="s">
        <v>789</v>
      </c>
      <c r="P8183" s="23">
        <v>166.58</v>
      </c>
      <c r="Q8183" s="4">
        <f t="shared" si="127"/>
        <v>-482.52509304838514</v>
      </c>
      <c r="R8183" s="23" t="s">
        <v>109</v>
      </c>
      <c r="T8183" s="91"/>
    </row>
    <row r="8184" spans="1:20" x14ac:dyDescent="0.25">
      <c r="A8184" s="21">
        <v>45922</v>
      </c>
      <c r="B8184" s="1">
        <v>418639209</v>
      </c>
      <c r="C8184" t="s">
        <v>14731</v>
      </c>
      <c r="D8184" s="43">
        <v>-86240.98</v>
      </c>
      <c r="E8184" t="s">
        <v>35</v>
      </c>
      <c r="F8184" s="2">
        <v>210101001</v>
      </c>
      <c r="G8184" s="2" t="s">
        <v>36</v>
      </c>
      <c r="L8184" s="2" t="s">
        <v>14732</v>
      </c>
      <c r="M8184" t="s">
        <v>751</v>
      </c>
      <c r="N8184" t="s">
        <v>752</v>
      </c>
      <c r="P8184" s="23">
        <v>166.58</v>
      </c>
      <c r="Q8184" s="4">
        <f t="shared" si="127"/>
        <v>-517.71509184776073</v>
      </c>
      <c r="R8184" s="23" t="s">
        <v>109</v>
      </c>
      <c r="T8184" s="91"/>
    </row>
    <row r="8185" spans="1:20" x14ac:dyDescent="0.25">
      <c r="A8185" s="21">
        <v>45922</v>
      </c>
      <c r="B8185" s="1">
        <v>418639210</v>
      </c>
      <c r="C8185" t="s">
        <v>14733</v>
      </c>
      <c r="D8185" s="43">
        <v>-86240.98</v>
      </c>
      <c r="E8185" t="s">
        <v>35</v>
      </c>
      <c r="F8185" s="2">
        <v>210101001</v>
      </c>
      <c r="G8185" s="2" t="s">
        <v>36</v>
      </c>
      <c r="L8185" s="2" t="s">
        <v>14734</v>
      </c>
      <c r="M8185" t="s">
        <v>751</v>
      </c>
      <c r="N8185" t="s">
        <v>752</v>
      </c>
      <c r="P8185" s="23">
        <v>166.58</v>
      </c>
      <c r="Q8185" s="4">
        <f t="shared" si="127"/>
        <v>-517.71509184776073</v>
      </c>
      <c r="R8185" s="23" t="s">
        <v>109</v>
      </c>
      <c r="T8185" s="91"/>
    </row>
    <row r="8186" spans="1:20" x14ac:dyDescent="0.25">
      <c r="A8186" s="21">
        <v>45922</v>
      </c>
      <c r="B8186" s="1">
        <v>50969300</v>
      </c>
      <c r="C8186" t="s">
        <v>118</v>
      </c>
      <c r="D8186" s="43">
        <v>-1251.33</v>
      </c>
      <c r="E8186" t="s">
        <v>35</v>
      </c>
      <c r="F8186" s="2">
        <v>610148001</v>
      </c>
      <c r="G8186" s="2" t="s">
        <v>42</v>
      </c>
      <c r="L8186" s="2" t="s">
        <v>14735</v>
      </c>
      <c r="M8186" t="s">
        <v>43</v>
      </c>
      <c r="N8186" t="s">
        <v>42</v>
      </c>
      <c r="P8186" s="23">
        <v>166.58</v>
      </c>
      <c r="Q8186" s="4">
        <f t="shared" si="127"/>
        <v>-7.511886180814022</v>
      </c>
      <c r="R8186" s="23" t="s">
        <v>109</v>
      </c>
      <c r="T8186" s="90" t="s">
        <v>14165</v>
      </c>
    </row>
    <row r="8187" spans="1:20" x14ac:dyDescent="0.25">
      <c r="A8187" s="21">
        <v>45924</v>
      </c>
      <c r="B8187" s="1">
        <v>160883983</v>
      </c>
      <c r="C8187" t="s">
        <v>544</v>
      </c>
      <c r="D8187" s="43">
        <v>680000</v>
      </c>
      <c r="E8187" t="s">
        <v>46</v>
      </c>
      <c r="F8187" s="2">
        <v>210115002</v>
      </c>
      <c r="G8187" s="2" t="s">
        <v>12156</v>
      </c>
      <c r="L8187" s="2" t="s">
        <v>14736</v>
      </c>
      <c r="N8187" t="s">
        <v>544</v>
      </c>
      <c r="P8187" s="23">
        <v>169.98</v>
      </c>
      <c r="Q8187" s="4">
        <f t="shared" si="127"/>
        <v>4000.4706436051301</v>
      </c>
      <c r="R8187" s="23" t="s">
        <v>109</v>
      </c>
      <c r="T8187" s="91"/>
    </row>
    <row r="8188" spans="1:20" x14ac:dyDescent="0.25">
      <c r="A8188" s="21">
        <v>45924</v>
      </c>
      <c r="B8188" s="1">
        <v>808459475</v>
      </c>
      <c r="C8188" t="s">
        <v>14737</v>
      </c>
      <c r="D8188" s="43">
        <v>-666418.38</v>
      </c>
      <c r="E8188" t="s">
        <v>35</v>
      </c>
      <c r="F8188" s="2">
        <v>110114001</v>
      </c>
      <c r="G8188" s="2" t="s">
        <v>301</v>
      </c>
      <c r="L8188" s="2" t="s">
        <v>14738</v>
      </c>
      <c r="M8188" t="s">
        <v>38</v>
      </c>
      <c r="N8188" t="s">
        <v>39</v>
      </c>
      <c r="P8188" s="23">
        <v>169.98</v>
      </c>
      <c r="Q8188" s="4">
        <f t="shared" si="127"/>
        <v>-3920.5693611013062</v>
      </c>
      <c r="R8188" s="23" t="s">
        <v>109</v>
      </c>
      <c r="S8188" t="s">
        <v>14739</v>
      </c>
      <c r="T8188" s="91"/>
    </row>
    <row r="8189" spans="1:20" x14ac:dyDescent="0.25">
      <c r="A8189" s="21">
        <v>45924</v>
      </c>
      <c r="B8189" s="1">
        <v>808459475</v>
      </c>
      <c r="C8189" t="s">
        <v>306</v>
      </c>
      <c r="D8189" s="43">
        <v>-1999.26</v>
      </c>
      <c r="E8189" t="s">
        <v>35</v>
      </c>
      <c r="F8189" s="2">
        <v>610148001</v>
      </c>
      <c r="G8189" s="2" t="s">
        <v>42</v>
      </c>
      <c r="L8189" s="2" t="s">
        <v>14740</v>
      </c>
      <c r="M8189" t="s">
        <v>43</v>
      </c>
      <c r="N8189" t="s">
        <v>42</v>
      </c>
      <c r="P8189" s="23">
        <v>169.98</v>
      </c>
      <c r="Q8189" s="4">
        <f t="shared" si="127"/>
        <v>-11.761736674902931</v>
      </c>
      <c r="R8189" s="23" t="s">
        <v>109</v>
      </c>
      <c r="T8189" s="90" t="s">
        <v>14165</v>
      </c>
    </row>
    <row r="8190" spans="1:20" x14ac:dyDescent="0.25">
      <c r="A8190" s="21">
        <v>45925</v>
      </c>
      <c r="B8190" s="1">
        <v>263468796</v>
      </c>
      <c r="C8190" t="s">
        <v>544</v>
      </c>
      <c r="D8190" s="43">
        <v>100000</v>
      </c>
      <c r="E8190" t="s">
        <v>46</v>
      </c>
      <c r="F8190" s="2">
        <v>210115002</v>
      </c>
      <c r="G8190" s="2" t="s">
        <v>12156</v>
      </c>
      <c r="L8190" s="2" t="s">
        <v>14741</v>
      </c>
      <c r="N8190" t="s">
        <v>544</v>
      </c>
      <c r="P8190" s="23">
        <v>169.98</v>
      </c>
      <c r="Q8190" s="4">
        <f t="shared" si="127"/>
        <v>588.30450641251912</v>
      </c>
      <c r="R8190" s="23" t="s">
        <v>109</v>
      </c>
      <c r="T8190" s="91"/>
    </row>
    <row r="8191" spans="1:20" x14ac:dyDescent="0.25">
      <c r="A8191" s="21">
        <v>45925</v>
      </c>
      <c r="B8191" s="1">
        <v>683397600</v>
      </c>
      <c r="C8191" t="s">
        <v>14742</v>
      </c>
      <c r="D8191" s="43">
        <v>44681</v>
      </c>
      <c r="E8191" t="s">
        <v>46</v>
      </c>
      <c r="F8191" s="2">
        <v>110106001</v>
      </c>
      <c r="G8191" s="2" t="s">
        <v>2034</v>
      </c>
      <c r="L8191" s="2" t="s">
        <v>14743</v>
      </c>
      <c r="N8191" t="s">
        <v>14744</v>
      </c>
      <c r="P8191" s="23">
        <v>169.98</v>
      </c>
      <c r="Q8191" s="4">
        <f t="shared" si="127"/>
        <v>262.86033651017766</v>
      </c>
      <c r="R8191" s="23" t="s">
        <v>109</v>
      </c>
      <c r="T8191" s="91"/>
    </row>
    <row r="8192" spans="1:20" x14ac:dyDescent="0.25">
      <c r="A8192" s="21">
        <v>45925</v>
      </c>
      <c r="B8192" s="1">
        <v>683397600</v>
      </c>
      <c r="C8192" t="s">
        <v>2037</v>
      </c>
      <c r="D8192" s="43">
        <v>-670.21</v>
      </c>
      <c r="E8192" t="s">
        <v>35</v>
      </c>
      <c r="F8192" s="2">
        <v>610148001</v>
      </c>
      <c r="G8192" s="2" t="s">
        <v>42</v>
      </c>
      <c r="L8192" s="2" t="s">
        <v>14745</v>
      </c>
      <c r="M8192" t="s">
        <v>43</v>
      </c>
      <c r="N8192" t="s">
        <v>42</v>
      </c>
      <c r="P8192" s="23">
        <v>169.98</v>
      </c>
      <c r="Q8192" s="4">
        <f t="shared" si="127"/>
        <v>-3.9428756324273446</v>
      </c>
      <c r="R8192" s="23" t="s">
        <v>109</v>
      </c>
      <c r="T8192" s="90" t="s">
        <v>14165</v>
      </c>
    </row>
    <row r="8193" spans="1:20" x14ac:dyDescent="0.25">
      <c r="A8193" s="21">
        <v>45926</v>
      </c>
      <c r="B8193" s="1">
        <v>161819313</v>
      </c>
      <c r="C8193" t="s">
        <v>107</v>
      </c>
      <c r="D8193" s="43">
        <v>910000</v>
      </c>
      <c r="E8193" t="s">
        <v>46</v>
      </c>
      <c r="F8193" s="2">
        <v>210115002</v>
      </c>
      <c r="G8193" s="2" t="s">
        <v>12156</v>
      </c>
      <c r="L8193" s="2" t="s">
        <v>14746</v>
      </c>
      <c r="N8193" t="s">
        <v>107</v>
      </c>
      <c r="P8193" s="23">
        <v>173.74</v>
      </c>
      <c r="Q8193" s="4">
        <f t="shared" si="127"/>
        <v>5237.71152296535</v>
      </c>
      <c r="R8193" s="23" t="s">
        <v>109</v>
      </c>
      <c r="T8193" s="91"/>
    </row>
    <row r="8194" spans="1:20" x14ac:dyDescent="0.25">
      <c r="A8194" s="21">
        <v>45926</v>
      </c>
      <c r="B8194" s="1">
        <v>161852521</v>
      </c>
      <c r="C8194" t="s">
        <v>107</v>
      </c>
      <c r="D8194" s="43">
        <v>400000</v>
      </c>
      <c r="E8194" t="s">
        <v>46</v>
      </c>
      <c r="F8194" s="2">
        <v>210115002</v>
      </c>
      <c r="G8194" s="2" t="s">
        <v>12156</v>
      </c>
      <c r="L8194" s="2" t="s">
        <v>14747</v>
      </c>
      <c r="N8194" t="s">
        <v>107</v>
      </c>
      <c r="P8194" s="23">
        <v>173.74</v>
      </c>
      <c r="Q8194" s="4">
        <f t="shared" si="127"/>
        <v>2302.2907793254285</v>
      </c>
      <c r="R8194" s="23" t="s">
        <v>109</v>
      </c>
      <c r="T8194" s="91"/>
    </row>
    <row r="8195" spans="1:20" x14ac:dyDescent="0.25">
      <c r="A8195" s="21">
        <v>45926</v>
      </c>
      <c r="B8195" s="1">
        <v>618733283</v>
      </c>
      <c r="C8195" t="s">
        <v>14748</v>
      </c>
      <c r="D8195" s="43">
        <v>-10311</v>
      </c>
      <c r="E8195" t="s">
        <v>35</v>
      </c>
      <c r="F8195" s="2">
        <v>212901001</v>
      </c>
      <c r="G8195" s="2" t="s">
        <v>121</v>
      </c>
      <c r="L8195" s="2" t="s">
        <v>14749</v>
      </c>
      <c r="M8195" t="s">
        <v>67</v>
      </c>
      <c r="N8195" t="s">
        <v>68</v>
      </c>
      <c r="P8195" s="23">
        <v>173.74</v>
      </c>
      <c r="Q8195" s="4">
        <f t="shared" si="127"/>
        <v>-59.347300564061236</v>
      </c>
      <c r="R8195" s="23" t="s">
        <v>109</v>
      </c>
      <c r="T8195" s="91"/>
    </row>
    <row r="8196" spans="1:20" x14ac:dyDescent="0.25">
      <c r="A8196" s="21">
        <v>45926</v>
      </c>
      <c r="B8196" s="1">
        <v>518733281</v>
      </c>
      <c r="C8196" t="s">
        <v>14750</v>
      </c>
      <c r="D8196" s="43">
        <v>-10311</v>
      </c>
      <c r="E8196" t="s">
        <v>35</v>
      </c>
      <c r="F8196" s="2">
        <v>212901001</v>
      </c>
      <c r="G8196" s="2" t="s">
        <v>121</v>
      </c>
      <c r="L8196" s="2" t="s">
        <v>14751</v>
      </c>
      <c r="M8196" t="s">
        <v>67</v>
      </c>
      <c r="N8196" t="s">
        <v>68</v>
      </c>
      <c r="P8196" s="23">
        <v>173.74</v>
      </c>
      <c r="Q8196" s="4">
        <f t="shared" si="127"/>
        <v>-59.347300564061236</v>
      </c>
      <c r="R8196" s="23" t="s">
        <v>109</v>
      </c>
      <c r="T8196" s="91"/>
    </row>
    <row r="8197" spans="1:20" x14ac:dyDescent="0.25">
      <c r="A8197" s="21">
        <v>45926</v>
      </c>
      <c r="B8197" s="1">
        <v>518733280</v>
      </c>
      <c r="C8197" t="s">
        <v>14752</v>
      </c>
      <c r="D8197" s="43">
        <v>-13748</v>
      </c>
      <c r="E8197" t="s">
        <v>35</v>
      </c>
      <c r="F8197" s="2">
        <v>212901001</v>
      </c>
      <c r="G8197" s="2" t="s">
        <v>121</v>
      </c>
      <c r="L8197" s="2" t="s">
        <v>14753</v>
      </c>
      <c r="M8197" t="s">
        <v>67</v>
      </c>
      <c r="N8197" t="s">
        <v>68</v>
      </c>
      <c r="P8197" s="23">
        <v>173.74</v>
      </c>
      <c r="Q8197" s="4">
        <f t="shared" si="127"/>
        <v>-79.129734085414981</v>
      </c>
      <c r="R8197" s="23" t="s">
        <v>109</v>
      </c>
      <c r="T8197" s="91"/>
    </row>
    <row r="8198" spans="1:20" x14ac:dyDescent="0.25">
      <c r="A8198" s="21">
        <v>45926</v>
      </c>
      <c r="B8198" s="1">
        <v>618733284</v>
      </c>
      <c r="C8198" t="s">
        <v>14754</v>
      </c>
      <c r="D8198" s="43">
        <v>-10311</v>
      </c>
      <c r="E8198" t="s">
        <v>35</v>
      </c>
      <c r="F8198" s="2">
        <v>212901001</v>
      </c>
      <c r="G8198" s="2" t="s">
        <v>121</v>
      </c>
      <c r="L8198" s="2" t="s">
        <v>14755</v>
      </c>
      <c r="M8198" t="s">
        <v>67</v>
      </c>
      <c r="N8198" t="s">
        <v>68</v>
      </c>
      <c r="P8198" s="23">
        <v>173.74</v>
      </c>
      <c r="Q8198" s="4">
        <f t="shared" si="127"/>
        <v>-59.347300564061236</v>
      </c>
      <c r="R8198" s="23" t="s">
        <v>109</v>
      </c>
      <c r="T8198" s="91"/>
    </row>
    <row r="8199" spans="1:20" x14ac:dyDescent="0.25">
      <c r="A8199" s="21">
        <v>45926</v>
      </c>
      <c r="B8199" s="1">
        <v>618733285</v>
      </c>
      <c r="C8199" t="s">
        <v>14756</v>
      </c>
      <c r="D8199" s="43">
        <v>-10311</v>
      </c>
      <c r="E8199" t="s">
        <v>35</v>
      </c>
      <c r="F8199" s="2">
        <v>212901001</v>
      </c>
      <c r="G8199" s="2" t="s">
        <v>121</v>
      </c>
      <c r="L8199" s="2" t="s">
        <v>14757</v>
      </c>
      <c r="M8199" t="s">
        <v>67</v>
      </c>
      <c r="N8199" t="s">
        <v>68</v>
      </c>
      <c r="P8199" s="23">
        <v>173.74</v>
      </c>
      <c r="Q8199" s="4">
        <f t="shared" si="127"/>
        <v>-59.347300564061236</v>
      </c>
      <c r="R8199" s="23" t="s">
        <v>109</v>
      </c>
      <c r="T8199" s="91"/>
    </row>
    <row r="8200" spans="1:20" x14ac:dyDescent="0.25">
      <c r="A8200" s="21">
        <v>45926</v>
      </c>
      <c r="B8200" s="1">
        <v>618733287</v>
      </c>
      <c r="C8200" t="s">
        <v>14758</v>
      </c>
      <c r="D8200" s="43">
        <v>-10311</v>
      </c>
      <c r="E8200" t="s">
        <v>35</v>
      </c>
      <c r="F8200" s="2">
        <v>212901001</v>
      </c>
      <c r="G8200" s="2" t="s">
        <v>121</v>
      </c>
      <c r="L8200" s="2" t="s">
        <v>14759</v>
      </c>
      <c r="M8200" t="s">
        <v>67</v>
      </c>
      <c r="N8200" t="s">
        <v>68</v>
      </c>
      <c r="P8200" s="23">
        <v>173.74</v>
      </c>
      <c r="Q8200" s="4">
        <f t="shared" si="127"/>
        <v>-59.347300564061236</v>
      </c>
      <c r="R8200" s="23" t="s">
        <v>109</v>
      </c>
      <c r="T8200" s="91"/>
    </row>
    <row r="8201" spans="1:20" x14ac:dyDescent="0.25">
      <c r="A8201" s="21">
        <v>45926</v>
      </c>
      <c r="B8201" s="1">
        <v>618733286</v>
      </c>
      <c r="C8201" t="s">
        <v>14760</v>
      </c>
      <c r="D8201" s="43">
        <v>-10311</v>
      </c>
      <c r="E8201" t="s">
        <v>35</v>
      </c>
      <c r="F8201" s="2">
        <v>212901001</v>
      </c>
      <c r="G8201" s="2" t="s">
        <v>121</v>
      </c>
      <c r="L8201" s="2" t="s">
        <v>14761</v>
      </c>
      <c r="M8201" t="s">
        <v>67</v>
      </c>
      <c r="N8201" t="s">
        <v>68</v>
      </c>
      <c r="P8201" s="23">
        <v>173.74</v>
      </c>
      <c r="Q8201" s="4">
        <f t="shared" si="127"/>
        <v>-59.347300564061236</v>
      </c>
      <c r="R8201" s="23" t="s">
        <v>109</v>
      </c>
      <c r="T8201" s="91"/>
    </row>
    <row r="8202" spans="1:20" x14ac:dyDescent="0.25">
      <c r="A8202" s="21">
        <v>45926</v>
      </c>
      <c r="B8202" s="1">
        <v>618733288</v>
      </c>
      <c r="C8202" t="s">
        <v>14762</v>
      </c>
      <c r="D8202" s="43">
        <v>-10311</v>
      </c>
      <c r="E8202" t="s">
        <v>35</v>
      </c>
      <c r="F8202" s="2">
        <v>212901001</v>
      </c>
      <c r="G8202" s="2" t="s">
        <v>121</v>
      </c>
      <c r="L8202" s="2" t="s">
        <v>14763</v>
      </c>
      <c r="M8202" t="s">
        <v>67</v>
      </c>
      <c r="N8202" t="s">
        <v>68</v>
      </c>
      <c r="P8202" s="23">
        <v>173.74</v>
      </c>
      <c r="Q8202" s="4">
        <f t="shared" si="127"/>
        <v>-59.347300564061236</v>
      </c>
      <c r="R8202" s="23" t="s">
        <v>109</v>
      </c>
      <c r="T8202" s="91"/>
    </row>
    <row r="8203" spans="1:20" x14ac:dyDescent="0.25">
      <c r="A8203" s="21">
        <v>45926</v>
      </c>
      <c r="B8203" s="1">
        <v>618733290</v>
      </c>
      <c r="C8203" t="s">
        <v>14764</v>
      </c>
      <c r="D8203" s="43">
        <v>-10311</v>
      </c>
      <c r="E8203" t="s">
        <v>35</v>
      </c>
      <c r="F8203" s="2">
        <v>212901001</v>
      </c>
      <c r="G8203" s="2" t="s">
        <v>121</v>
      </c>
      <c r="L8203" s="2" t="s">
        <v>14765</v>
      </c>
      <c r="M8203" t="s">
        <v>67</v>
      </c>
      <c r="N8203" t="s">
        <v>68</v>
      </c>
      <c r="P8203" s="23">
        <v>173.74</v>
      </c>
      <c r="Q8203" s="4">
        <f t="shared" ref="Q8203:Q8266" si="128">D8203/P8203</f>
        <v>-59.347300564061236</v>
      </c>
      <c r="R8203" s="23" t="s">
        <v>109</v>
      </c>
      <c r="T8203" s="91"/>
    </row>
    <row r="8204" spans="1:20" x14ac:dyDescent="0.25">
      <c r="A8204" s="21">
        <v>45926</v>
      </c>
      <c r="B8204" s="1">
        <v>618733289</v>
      </c>
      <c r="C8204" t="s">
        <v>14766</v>
      </c>
      <c r="D8204" s="43">
        <v>-10311</v>
      </c>
      <c r="E8204" t="s">
        <v>35</v>
      </c>
      <c r="F8204" s="2">
        <v>212901001</v>
      </c>
      <c r="G8204" s="2" t="s">
        <v>121</v>
      </c>
      <c r="L8204" s="2" t="s">
        <v>14767</v>
      </c>
      <c r="M8204" t="s">
        <v>67</v>
      </c>
      <c r="N8204" t="s">
        <v>68</v>
      </c>
      <c r="P8204" s="23">
        <v>173.74</v>
      </c>
      <c r="Q8204" s="4">
        <f t="shared" si="128"/>
        <v>-59.347300564061236</v>
      </c>
      <c r="R8204" s="23" t="s">
        <v>109</v>
      </c>
      <c r="T8204" s="91"/>
    </row>
    <row r="8205" spans="1:20" x14ac:dyDescent="0.25">
      <c r="A8205" s="21">
        <v>45926</v>
      </c>
      <c r="B8205" s="1">
        <v>518733282</v>
      </c>
      <c r="C8205" t="s">
        <v>14768</v>
      </c>
      <c r="D8205" s="43">
        <v>-10311</v>
      </c>
      <c r="E8205" t="s">
        <v>35</v>
      </c>
      <c r="F8205" s="2">
        <v>212901001</v>
      </c>
      <c r="G8205" s="2" t="s">
        <v>121</v>
      </c>
      <c r="L8205" s="2" t="s">
        <v>14769</v>
      </c>
      <c r="M8205" t="s">
        <v>67</v>
      </c>
      <c r="N8205" t="s">
        <v>68</v>
      </c>
      <c r="P8205" s="23">
        <v>173.74</v>
      </c>
      <c r="Q8205" s="4">
        <f t="shared" si="128"/>
        <v>-59.347300564061236</v>
      </c>
      <c r="R8205" s="23" t="s">
        <v>109</v>
      </c>
      <c r="T8205" s="91"/>
    </row>
    <row r="8206" spans="1:20" x14ac:dyDescent="0.25">
      <c r="A8206" s="21">
        <v>45926</v>
      </c>
      <c r="B8206" s="1">
        <v>718733293</v>
      </c>
      <c r="C8206" t="s">
        <v>14770</v>
      </c>
      <c r="D8206" s="43">
        <v>-10311</v>
      </c>
      <c r="E8206" t="s">
        <v>35</v>
      </c>
      <c r="F8206" s="2">
        <v>212901001</v>
      </c>
      <c r="G8206" s="2" t="s">
        <v>121</v>
      </c>
      <c r="L8206" s="2" t="s">
        <v>14771</v>
      </c>
      <c r="M8206" t="s">
        <v>67</v>
      </c>
      <c r="N8206" t="s">
        <v>68</v>
      </c>
      <c r="P8206" s="23">
        <v>173.74</v>
      </c>
      <c r="Q8206" s="4">
        <f t="shared" si="128"/>
        <v>-59.347300564061236</v>
      </c>
      <c r="R8206" s="23" t="s">
        <v>109</v>
      </c>
      <c r="T8206" s="91"/>
    </row>
    <row r="8207" spans="1:20" x14ac:dyDescent="0.25">
      <c r="A8207" s="21">
        <v>45926</v>
      </c>
      <c r="B8207" s="1">
        <v>718733295</v>
      </c>
      <c r="C8207" t="s">
        <v>14772</v>
      </c>
      <c r="D8207" s="43">
        <v>-10311</v>
      </c>
      <c r="E8207" t="s">
        <v>35</v>
      </c>
      <c r="F8207" s="2">
        <v>212901001</v>
      </c>
      <c r="G8207" s="2" t="s">
        <v>121</v>
      </c>
      <c r="L8207" s="2" t="s">
        <v>14773</v>
      </c>
      <c r="M8207" t="s">
        <v>67</v>
      </c>
      <c r="N8207" t="s">
        <v>68</v>
      </c>
      <c r="P8207" s="23">
        <v>173.74</v>
      </c>
      <c r="Q8207" s="4">
        <f t="shared" si="128"/>
        <v>-59.347300564061236</v>
      </c>
      <c r="R8207" s="23" t="s">
        <v>109</v>
      </c>
      <c r="T8207" s="91"/>
    </row>
    <row r="8208" spans="1:20" x14ac:dyDescent="0.25">
      <c r="A8208" s="21">
        <v>45926</v>
      </c>
      <c r="B8208" s="1">
        <v>618733291</v>
      </c>
      <c r="C8208" t="s">
        <v>14774</v>
      </c>
      <c r="D8208" s="43">
        <v>-10311</v>
      </c>
      <c r="E8208" t="s">
        <v>35</v>
      </c>
      <c r="F8208" s="2">
        <v>212901001</v>
      </c>
      <c r="G8208" s="2" t="s">
        <v>121</v>
      </c>
      <c r="L8208" s="2" t="s">
        <v>14775</v>
      </c>
      <c r="M8208" t="s">
        <v>67</v>
      </c>
      <c r="N8208" t="s">
        <v>68</v>
      </c>
      <c r="P8208" s="23">
        <v>173.74</v>
      </c>
      <c r="Q8208" s="4">
        <f t="shared" si="128"/>
        <v>-59.347300564061236</v>
      </c>
      <c r="R8208" s="23" t="s">
        <v>109</v>
      </c>
      <c r="T8208" s="91"/>
    </row>
    <row r="8209" spans="1:20" x14ac:dyDescent="0.25">
      <c r="A8209" s="21">
        <v>45926</v>
      </c>
      <c r="B8209" s="1">
        <v>718733294</v>
      </c>
      <c r="C8209" t="s">
        <v>14776</v>
      </c>
      <c r="D8209" s="43">
        <v>-10311</v>
      </c>
      <c r="E8209" t="s">
        <v>35</v>
      </c>
      <c r="F8209" s="2">
        <v>212901001</v>
      </c>
      <c r="G8209" s="2" t="s">
        <v>121</v>
      </c>
      <c r="L8209" s="2" t="s">
        <v>14777</v>
      </c>
      <c r="M8209" t="s">
        <v>67</v>
      </c>
      <c r="N8209" t="s">
        <v>68</v>
      </c>
      <c r="P8209" s="23">
        <v>173.74</v>
      </c>
      <c r="Q8209" s="4">
        <f t="shared" si="128"/>
        <v>-59.347300564061236</v>
      </c>
      <c r="R8209" s="23" t="s">
        <v>109</v>
      </c>
      <c r="T8209" s="91"/>
    </row>
    <row r="8210" spans="1:20" x14ac:dyDescent="0.25">
      <c r="A8210" s="21">
        <v>45926</v>
      </c>
      <c r="B8210" s="1">
        <v>718733292</v>
      </c>
      <c r="C8210" t="s">
        <v>14778</v>
      </c>
      <c r="D8210" s="43">
        <v>-10311</v>
      </c>
      <c r="E8210" t="s">
        <v>35</v>
      </c>
      <c r="F8210" s="2">
        <v>212901001</v>
      </c>
      <c r="G8210" s="2" t="s">
        <v>121</v>
      </c>
      <c r="L8210" s="2" t="s">
        <v>14779</v>
      </c>
      <c r="M8210" t="s">
        <v>67</v>
      </c>
      <c r="N8210" t="s">
        <v>68</v>
      </c>
      <c r="P8210" s="23">
        <v>173.74</v>
      </c>
      <c r="Q8210" s="4">
        <f t="shared" si="128"/>
        <v>-59.347300564061236</v>
      </c>
      <c r="R8210" s="23" t="s">
        <v>109</v>
      </c>
      <c r="T8210" s="91"/>
    </row>
    <row r="8211" spans="1:20" x14ac:dyDescent="0.25">
      <c r="A8211" s="21">
        <v>45926</v>
      </c>
      <c r="B8211" s="1">
        <v>818733304</v>
      </c>
      <c r="C8211" t="s">
        <v>14780</v>
      </c>
      <c r="D8211" s="43">
        <v>-13748</v>
      </c>
      <c r="E8211" t="s">
        <v>35</v>
      </c>
      <c r="F8211" s="2">
        <v>212901001</v>
      </c>
      <c r="G8211" s="2" t="s">
        <v>121</v>
      </c>
      <c r="L8211" s="2" t="s">
        <v>14781</v>
      </c>
      <c r="M8211" t="s">
        <v>67</v>
      </c>
      <c r="N8211" t="s">
        <v>68</v>
      </c>
      <c r="P8211" s="23">
        <v>173.74</v>
      </c>
      <c r="Q8211" s="4">
        <f t="shared" si="128"/>
        <v>-79.129734085414981</v>
      </c>
      <c r="R8211" s="23" t="s">
        <v>109</v>
      </c>
      <c r="T8211" s="91"/>
    </row>
    <row r="8212" spans="1:20" x14ac:dyDescent="0.25">
      <c r="A8212" s="21">
        <v>45926</v>
      </c>
      <c r="B8212" s="1">
        <v>718733297</v>
      </c>
      <c r="C8212" t="s">
        <v>14782</v>
      </c>
      <c r="D8212" s="43">
        <v>-25777.5</v>
      </c>
      <c r="E8212" t="s">
        <v>35</v>
      </c>
      <c r="F8212" s="2">
        <v>212901001</v>
      </c>
      <c r="G8212" s="2" t="s">
        <v>121</v>
      </c>
      <c r="L8212" s="2" t="s">
        <v>14783</v>
      </c>
      <c r="M8212" t="s">
        <v>67</v>
      </c>
      <c r="N8212" t="s">
        <v>68</v>
      </c>
      <c r="P8212" s="23">
        <v>173.74</v>
      </c>
      <c r="Q8212" s="4">
        <f t="shared" si="128"/>
        <v>-148.36825141015311</v>
      </c>
      <c r="R8212" s="23" t="s">
        <v>109</v>
      </c>
      <c r="T8212" s="91"/>
    </row>
    <row r="8213" spans="1:20" x14ac:dyDescent="0.25">
      <c r="A8213" s="21">
        <v>45926</v>
      </c>
      <c r="B8213" s="1">
        <v>718733299</v>
      </c>
      <c r="C8213" t="s">
        <v>14784</v>
      </c>
      <c r="D8213" s="43">
        <v>-13748</v>
      </c>
      <c r="E8213" t="s">
        <v>35</v>
      </c>
      <c r="F8213" s="2">
        <v>212901001</v>
      </c>
      <c r="G8213" s="2" t="s">
        <v>121</v>
      </c>
      <c r="L8213" s="2" t="s">
        <v>14785</v>
      </c>
      <c r="M8213" t="s">
        <v>67</v>
      </c>
      <c r="N8213" t="s">
        <v>68</v>
      </c>
      <c r="P8213" s="23">
        <v>173.74</v>
      </c>
      <c r="Q8213" s="4">
        <f t="shared" si="128"/>
        <v>-79.129734085414981</v>
      </c>
      <c r="R8213" s="23" t="s">
        <v>109</v>
      </c>
      <c r="T8213" s="91"/>
    </row>
    <row r="8214" spans="1:20" x14ac:dyDescent="0.25">
      <c r="A8214" s="21">
        <v>45926</v>
      </c>
      <c r="B8214" s="1">
        <v>818733303</v>
      </c>
      <c r="C8214" t="s">
        <v>14786</v>
      </c>
      <c r="D8214" s="43">
        <v>-13748</v>
      </c>
      <c r="E8214" t="s">
        <v>35</v>
      </c>
      <c r="F8214" s="2">
        <v>212901001</v>
      </c>
      <c r="G8214" s="2" t="s">
        <v>121</v>
      </c>
      <c r="L8214" s="2" t="s">
        <v>14787</v>
      </c>
      <c r="M8214" t="s">
        <v>67</v>
      </c>
      <c r="N8214" t="s">
        <v>68</v>
      </c>
      <c r="P8214" s="23">
        <v>173.74</v>
      </c>
      <c r="Q8214" s="4">
        <f t="shared" si="128"/>
        <v>-79.129734085414981</v>
      </c>
      <c r="R8214" s="23" t="s">
        <v>109</v>
      </c>
      <c r="T8214" s="91"/>
    </row>
    <row r="8215" spans="1:20" x14ac:dyDescent="0.25">
      <c r="A8215" s="21">
        <v>45926</v>
      </c>
      <c r="B8215" s="1">
        <v>818733302</v>
      </c>
      <c r="C8215" t="s">
        <v>14788</v>
      </c>
      <c r="D8215" s="43">
        <v>-13748</v>
      </c>
      <c r="E8215" t="s">
        <v>35</v>
      </c>
      <c r="F8215" s="2">
        <v>212901001</v>
      </c>
      <c r="G8215" s="2" t="s">
        <v>121</v>
      </c>
      <c r="L8215" s="2" t="s">
        <v>14789</v>
      </c>
      <c r="M8215" t="s">
        <v>67</v>
      </c>
      <c r="N8215" t="s">
        <v>68</v>
      </c>
      <c r="P8215" s="23">
        <v>173.74</v>
      </c>
      <c r="Q8215" s="4">
        <f t="shared" si="128"/>
        <v>-79.129734085414981</v>
      </c>
      <c r="R8215" s="23" t="s">
        <v>109</v>
      </c>
      <c r="T8215" s="91"/>
    </row>
    <row r="8216" spans="1:20" x14ac:dyDescent="0.25">
      <c r="A8216" s="21">
        <v>45926</v>
      </c>
      <c r="B8216" s="1">
        <v>718733301</v>
      </c>
      <c r="C8216" t="s">
        <v>14790</v>
      </c>
      <c r="D8216" s="43">
        <v>-13748</v>
      </c>
      <c r="E8216" t="s">
        <v>35</v>
      </c>
      <c r="F8216" s="2">
        <v>212901001</v>
      </c>
      <c r="G8216" s="2" t="s">
        <v>121</v>
      </c>
      <c r="L8216" s="2" t="s">
        <v>14791</v>
      </c>
      <c r="M8216" t="s">
        <v>67</v>
      </c>
      <c r="N8216" t="s">
        <v>68</v>
      </c>
      <c r="P8216" s="23">
        <v>173.74</v>
      </c>
      <c r="Q8216" s="4">
        <f t="shared" si="128"/>
        <v>-79.129734085414981</v>
      </c>
      <c r="R8216" s="23" t="s">
        <v>109</v>
      </c>
      <c r="T8216" s="91"/>
    </row>
    <row r="8217" spans="1:20" x14ac:dyDescent="0.25">
      <c r="A8217" s="21">
        <v>45926</v>
      </c>
      <c r="B8217" s="1">
        <v>818733305</v>
      </c>
      <c r="C8217" t="s">
        <v>14792</v>
      </c>
      <c r="D8217" s="43">
        <v>-8592.5</v>
      </c>
      <c r="E8217" t="s">
        <v>35</v>
      </c>
      <c r="F8217" s="2">
        <v>212901001</v>
      </c>
      <c r="G8217" s="2" t="s">
        <v>121</v>
      </c>
      <c r="L8217" s="2" t="s">
        <v>14793</v>
      </c>
      <c r="M8217" t="s">
        <v>67</v>
      </c>
      <c r="N8217" t="s">
        <v>68</v>
      </c>
      <c r="P8217" s="23">
        <v>173.74</v>
      </c>
      <c r="Q8217" s="4">
        <f t="shared" si="128"/>
        <v>-49.456083803384367</v>
      </c>
      <c r="R8217" s="23" t="s">
        <v>109</v>
      </c>
      <c r="T8217" s="91"/>
    </row>
    <row r="8218" spans="1:20" x14ac:dyDescent="0.25">
      <c r="A8218" s="21">
        <v>45926</v>
      </c>
      <c r="B8218" s="1">
        <v>918733311</v>
      </c>
      <c r="C8218" t="s">
        <v>14794</v>
      </c>
      <c r="D8218" s="43">
        <v>-8592.5</v>
      </c>
      <c r="E8218" t="s">
        <v>35</v>
      </c>
      <c r="F8218" s="2">
        <v>212901001</v>
      </c>
      <c r="G8218" s="2" t="s">
        <v>121</v>
      </c>
      <c r="L8218" s="2" t="s">
        <v>14795</v>
      </c>
      <c r="M8218" t="s">
        <v>67</v>
      </c>
      <c r="N8218" t="s">
        <v>68</v>
      </c>
      <c r="P8218" s="23">
        <v>173.74</v>
      </c>
      <c r="Q8218" s="4">
        <f t="shared" si="128"/>
        <v>-49.456083803384367</v>
      </c>
      <c r="R8218" s="23" t="s">
        <v>109</v>
      </c>
      <c r="T8218" s="91"/>
    </row>
    <row r="8219" spans="1:20" x14ac:dyDescent="0.25">
      <c r="A8219" s="21">
        <v>45926</v>
      </c>
      <c r="B8219" s="1">
        <v>718733298</v>
      </c>
      <c r="C8219" t="s">
        <v>14796</v>
      </c>
      <c r="D8219" s="43">
        <v>-17185</v>
      </c>
      <c r="E8219" t="s">
        <v>35</v>
      </c>
      <c r="F8219" s="2">
        <v>212901001</v>
      </c>
      <c r="G8219" s="2" t="s">
        <v>121</v>
      </c>
      <c r="L8219" s="2" t="s">
        <v>14797</v>
      </c>
      <c r="M8219" t="s">
        <v>67</v>
      </c>
      <c r="N8219" t="s">
        <v>68</v>
      </c>
      <c r="P8219" s="23">
        <v>173.74</v>
      </c>
      <c r="Q8219" s="4">
        <f t="shared" si="128"/>
        <v>-98.912167606768733</v>
      </c>
      <c r="R8219" s="23" t="s">
        <v>109</v>
      </c>
      <c r="T8219" s="91"/>
    </row>
    <row r="8220" spans="1:20" x14ac:dyDescent="0.25">
      <c r="A8220" s="21">
        <v>45926</v>
      </c>
      <c r="B8220" s="1">
        <v>718733300</v>
      </c>
      <c r="C8220" t="s">
        <v>14798</v>
      </c>
      <c r="D8220" s="43">
        <v>-13748</v>
      </c>
      <c r="E8220" t="s">
        <v>35</v>
      </c>
      <c r="F8220" s="2">
        <v>212901001</v>
      </c>
      <c r="G8220" s="2" t="s">
        <v>121</v>
      </c>
      <c r="L8220" s="2" t="s">
        <v>14799</v>
      </c>
      <c r="M8220" t="s">
        <v>67</v>
      </c>
      <c r="N8220" t="s">
        <v>68</v>
      </c>
      <c r="P8220" s="23">
        <v>173.74</v>
      </c>
      <c r="Q8220" s="4">
        <f t="shared" si="128"/>
        <v>-79.129734085414981</v>
      </c>
      <c r="R8220" s="23" t="s">
        <v>109</v>
      </c>
      <c r="T8220" s="91"/>
    </row>
    <row r="8221" spans="1:20" x14ac:dyDescent="0.25">
      <c r="A8221" s="21">
        <v>45926</v>
      </c>
      <c r="B8221" s="1">
        <v>918733313</v>
      </c>
      <c r="C8221" t="s">
        <v>14800</v>
      </c>
      <c r="D8221" s="43">
        <v>-6874</v>
      </c>
      <c r="E8221" t="s">
        <v>35</v>
      </c>
      <c r="F8221" s="2">
        <v>212901001</v>
      </c>
      <c r="G8221" s="2" t="s">
        <v>121</v>
      </c>
      <c r="L8221" s="2" t="s">
        <v>14801</v>
      </c>
      <c r="M8221" t="s">
        <v>67</v>
      </c>
      <c r="N8221" t="s">
        <v>68</v>
      </c>
      <c r="P8221" s="23">
        <v>173.74</v>
      </c>
      <c r="Q8221" s="4">
        <f t="shared" si="128"/>
        <v>-39.56486704270749</v>
      </c>
      <c r="R8221" s="23" t="s">
        <v>109</v>
      </c>
      <c r="T8221" s="91"/>
    </row>
    <row r="8222" spans="1:20" x14ac:dyDescent="0.25">
      <c r="A8222" s="21">
        <v>45926</v>
      </c>
      <c r="B8222" s="1">
        <v>818733307</v>
      </c>
      <c r="C8222" t="s">
        <v>14802</v>
      </c>
      <c r="D8222" s="43">
        <v>-8592.5</v>
      </c>
      <c r="E8222" t="s">
        <v>35</v>
      </c>
      <c r="F8222" s="2">
        <v>212901001</v>
      </c>
      <c r="G8222" s="2" t="s">
        <v>121</v>
      </c>
      <c r="L8222" s="2" t="s">
        <v>14803</v>
      </c>
      <c r="M8222" t="s">
        <v>67</v>
      </c>
      <c r="N8222" t="s">
        <v>68</v>
      </c>
      <c r="P8222" s="23">
        <v>173.74</v>
      </c>
      <c r="Q8222" s="4">
        <f t="shared" si="128"/>
        <v>-49.456083803384367</v>
      </c>
      <c r="R8222" s="23" t="s">
        <v>109</v>
      </c>
      <c r="T8222" s="91"/>
    </row>
    <row r="8223" spans="1:20" x14ac:dyDescent="0.25">
      <c r="A8223" s="21">
        <v>45926</v>
      </c>
      <c r="B8223" s="1">
        <v>918733316</v>
      </c>
      <c r="C8223" t="s">
        <v>14804</v>
      </c>
      <c r="D8223" s="43">
        <v>-6874</v>
      </c>
      <c r="E8223" t="s">
        <v>35</v>
      </c>
      <c r="F8223" s="2">
        <v>212901001</v>
      </c>
      <c r="G8223" s="2" t="s">
        <v>121</v>
      </c>
      <c r="L8223" s="2" t="s">
        <v>14805</v>
      </c>
      <c r="M8223" t="s">
        <v>67</v>
      </c>
      <c r="N8223" t="s">
        <v>68</v>
      </c>
      <c r="P8223" s="23">
        <v>173.74</v>
      </c>
      <c r="Q8223" s="4">
        <f t="shared" si="128"/>
        <v>-39.56486704270749</v>
      </c>
      <c r="R8223" s="23" t="s">
        <v>109</v>
      </c>
      <c r="T8223" s="91"/>
    </row>
    <row r="8224" spans="1:20" x14ac:dyDescent="0.25">
      <c r="A8224" s="21">
        <v>45926</v>
      </c>
      <c r="B8224" s="1">
        <v>918733315</v>
      </c>
      <c r="C8224" t="s">
        <v>14806</v>
      </c>
      <c r="D8224" s="43">
        <v>-6874</v>
      </c>
      <c r="E8224" t="s">
        <v>35</v>
      </c>
      <c r="F8224" s="2">
        <v>212901001</v>
      </c>
      <c r="G8224" s="2" t="s">
        <v>121</v>
      </c>
      <c r="L8224" s="2" t="s">
        <v>14807</v>
      </c>
      <c r="M8224" t="s">
        <v>67</v>
      </c>
      <c r="N8224" t="s">
        <v>68</v>
      </c>
      <c r="P8224" s="23">
        <v>173.74</v>
      </c>
      <c r="Q8224" s="4">
        <f t="shared" si="128"/>
        <v>-39.56486704270749</v>
      </c>
      <c r="R8224" s="23" t="s">
        <v>109</v>
      </c>
      <c r="T8224" s="91"/>
    </row>
    <row r="8225" spans="1:20" x14ac:dyDescent="0.25">
      <c r="A8225" s="21">
        <v>45926</v>
      </c>
      <c r="B8225" s="1">
        <v>918733317</v>
      </c>
      <c r="C8225" t="s">
        <v>14808</v>
      </c>
      <c r="D8225" s="43">
        <v>-6874</v>
      </c>
      <c r="E8225" t="s">
        <v>35</v>
      </c>
      <c r="F8225" s="2">
        <v>212901001</v>
      </c>
      <c r="G8225" s="2" t="s">
        <v>121</v>
      </c>
      <c r="L8225" s="2" t="s">
        <v>14809</v>
      </c>
      <c r="M8225" t="s">
        <v>67</v>
      </c>
      <c r="N8225" t="s">
        <v>68</v>
      </c>
      <c r="P8225" s="23">
        <v>173.74</v>
      </c>
      <c r="Q8225" s="4">
        <f t="shared" si="128"/>
        <v>-39.56486704270749</v>
      </c>
      <c r="R8225" s="23" t="s">
        <v>109</v>
      </c>
      <c r="T8225" s="91"/>
    </row>
    <row r="8226" spans="1:20" x14ac:dyDescent="0.25">
      <c r="A8226" s="21">
        <v>45926</v>
      </c>
      <c r="B8226" s="1">
        <v>18733320</v>
      </c>
      <c r="C8226" t="s">
        <v>14810</v>
      </c>
      <c r="D8226" s="43">
        <v>-17185</v>
      </c>
      <c r="E8226" t="s">
        <v>35</v>
      </c>
      <c r="F8226" s="2">
        <v>212901001</v>
      </c>
      <c r="G8226" s="2" t="s">
        <v>121</v>
      </c>
      <c r="L8226" s="2" t="s">
        <v>14811</v>
      </c>
      <c r="M8226" t="s">
        <v>67</v>
      </c>
      <c r="N8226" t="s">
        <v>68</v>
      </c>
      <c r="P8226" s="23">
        <v>173.74</v>
      </c>
      <c r="Q8226" s="4">
        <f t="shared" si="128"/>
        <v>-98.912167606768733</v>
      </c>
      <c r="R8226" s="23" t="s">
        <v>109</v>
      </c>
      <c r="T8226" s="91"/>
    </row>
    <row r="8227" spans="1:20" x14ac:dyDescent="0.25">
      <c r="A8227" s="21">
        <v>45926</v>
      </c>
      <c r="B8227" s="1">
        <v>18733326</v>
      </c>
      <c r="C8227" t="s">
        <v>14812</v>
      </c>
      <c r="D8227" s="43">
        <v>-12029.5</v>
      </c>
      <c r="E8227" t="s">
        <v>35</v>
      </c>
      <c r="F8227" s="2">
        <v>212901001</v>
      </c>
      <c r="G8227" s="2" t="s">
        <v>121</v>
      </c>
      <c r="L8227" s="2" t="s">
        <v>14813</v>
      </c>
      <c r="M8227" t="s">
        <v>67</v>
      </c>
      <c r="N8227" t="s">
        <v>68</v>
      </c>
      <c r="P8227" s="23">
        <v>173.74</v>
      </c>
      <c r="Q8227" s="4">
        <f t="shared" si="128"/>
        <v>-69.238517324738112</v>
      </c>
      <c r="R8227" s="23" t="s">
        <v>109</v>
      </c>
      <c r="T8227" s="91"/>
    </row>
    <row r="8228" spans="1:20" x14ac:dyDescent="0.25">
      <c r="A8228" s="21">
        <v>45926</v>
      </c>
      <c r="B8228" s="1">
        <v>18733324</v>
      </c>
      <c r="C8228" t="s">
        <v>14814</v>
      </c>
      <c r="D8228" s="43">
        <v>-17185</v>
      </c>
      <c r="E8228" t="s">
        <v>35</v>
      </c>
      <c r="F8228" s="2">
        <v>212901001</v>
      </c>
      <c r="G8228" s="2" t="s">
        <v>121</v>
      </c>
      <c r="L8228" s="2" t="s">
        <v>14815</v>
      </c>
      <c r="M8228" t="s">
        <v>67</v>
      </c>
      <c r="N8228" t="s">
        <v>68</v>
      </c>
      <c r="P8228" s="23">
        <v>173.74</v>
      </c>
      <c r="Q8228" s="4">
        <f t="shared" si="128"/>
        <v>-98.912167606768733</v>
      </c>
      <c r="R8228" s="23" t="s">
        <v>109</v>
      </c>
      <c r="T8228" s="91"/>
    </row>
    <row r="8229" spans="1:20" x14ac:dyDescent="0.25">
      <c r="A8229" s="21">
        <v>45926</v>
      </c>
      <c r="B8229" s="1">
        <v>18733323</v>
      </c>
      <c r="C8229" t="s">
        <v>14816</v>
      </c>
      <c r="D8229" s="43">
        <v>-13748</v>
      </c>
      <c r="E8229" t="s">
        <v>35</v>
      </c>
      <c r="F8229" s="2">
        <v>212901001</v>
      </c>
      <c r="G8229" s="2" t="s">
        <v>121</v>
      </c>
      <c r="L8229" s="2" t="s">
        <v>14817</v>
      </c>
      <c r="M8229" t="s">
        <v>67</v>
      </c>
      <c r="N8229" t="s">
        <v>68</v>
      </c>
      <c r="P8229" s="23">
        <v>173.74</v>
      </c>
      <c r="Q8229" s="4">
        <f t="shared" si="128"/>
        <v>-79.129734085414981</v>
      </c>
      <c r="R8229" s="23" t="s">
        <v>109</v>
      </c>
      <c r="T8229" s="91"/>
    </row>
    <row r="8230" spans="1:20" x14ac:dyDescent="0.25">
      <c r="A8230" s="21">
        <v>45926</v>
      </c>
      <c r="B8230" s="1">
        <v>918733318</v>
      </c>
      <c r="C8230" t="s">
        <v>14818</v>
      </c>
      <c r="D8230" s="43">
        <v>-6874</v>
      </c>
      <c r="E8230" t="s">
        <v>35</v>
      </c>
      <c r="F8230" s="2">
        <v>212901001</v>
      </c>
      <c r="G8230" s="2" t="s">
        <v>121</v>
      </c>
      <c r="L8230" s="2" t="s">
        <v>14819</v>
      </c>
      <c r="M8230" t="s">
        <v>67</v>
      </c>
      <c r="N8230" t="s">
        <v>68</v>
      </c>
      <c r="P8230" s="23">
        <v>173.74</v>
      </c>
      <c r="Q8230" s="4">
        <f t="shared" si="128"/>
        <v>-39.56486704270749</v>
      </c>
      <c r="R8230" s="23" t="s">
        <v>109</v>
      </c>
      <c r="T8230" s="91"/>
    </row>
    <row r="8231" spans="1:20" x14ac:dyDescent="0.25">
      <c r="A8231" s="21">
        <v>45926</v>
      </c>
      <c r="B8231" s="1">
        <v>918733319</v>
      </c>
      <c r="C8231" t="s">
        <v>14820</v>
      </c>
      <c r="D8231" s="43">
        <v>-17185</v>
      </c>
      <c r="E8231" t="s">
        <v>35</v>
      </c>
      <c r="F8231" s="2">
        <v>212901001</v>
      </c>
      <c r="G8231" s="2" t="s">
        <v>121</v>
      </c>
      <c r="L8231" s="2" t="s">
        <v>14821</v>
      </c>
      <c r="M8231" t="s">
        <v>67</v>
      </c>
      <c r="N8231" t="s">
        <v>68</v>
      </c>
      <c r="P8231" s="23">
        <v>173.74</v>
      </c>
      <c r="Q8231" s="4">
        <f t="shared" si="128"/>
        <v>-98.912167606768733</v>
      </c>
      <c r="R8231" s="23" t="s">
        <v>109</v>
      </c>
      <c r="T8231" s="91"/>
    </row>
    <row r="8232" spans="1:20" x14ac:dyDescent="0.25">
      <c r="A8232" s="21">
        <v>45926</v>
      </c>
      <c r="B8232" s="1">
        <v>18733322</v>
      </c>
      <c r="C8232" t="s">
        <v>14822</v>
      </c>
      <c r="D8232" s="43">
        <v>-18903.5</v>
      </c>
      <c r="E8232" t="s">
        <v>35</v>
      </c>
      <c r="F8232" s="2">
        <v>212901001</v>
      </c>
      <c r="G8232" s="2" t="s">
        <v>121</v>
      </c>
      <c r="L8232" s="2" t="s">
        <v>14823</v>
      </c>
      <c r="M8232" t="s">
        <v>67</v>
      </c>
      <c r="N8232" t="s">
        <v>68</v>
      </c>
      <c r="P8232" s="23">
        <v>173.74</v>
      </c>
      <c r="Q8232" s="4">
        <f t="shared" si="128"/>
        <v>-108.8033843674456</v>
      </c>
      <c r="R8232" s="23" t="s">
        <v>109</v>
      </c>
      <c r="T8232" s="91"/>
    </row>
    <row r="8233" spans="1:20" x14ac:dyDescent="0.25">
      <c r="A8233" s="21">
        <v>45926</v>
      </c>
      <c r="B8233" s="1">
        <v>18733325</v>
      </c>
      <c r="C8233" t="s">
        <v>14824</v>
      </c>
      <c r="D8233" s="43">
        <v>-12029.5</v>
      </c>
      <c r="E8233" t="s">
        <v>35</v>
      </c>
      <c r="F8233" s="2">
        <v>212901001</v>
      </c>
      <c r="G8233" s="2" t="s">
        <v>121</v>
      </c>
      <c r="L8233" s="2" t="s">
        <v>14825</v>
      </c>
      <c r="M8233" t="s">
        <v>67</v>
      </c>
      <c r="N8233" t="s">
        <v>68</v>
      </c>
      <c r="P8233" s="23">
        <v>173.74</v>
      </c>
      <c r="Q8233" s="4">
        <f t="shared" si="128"/>
        <v>-69.238517324738112</v>
      </c>
      <c r="R8233" s="23" t="s">
        <v>109</v>
      </c>
      <c r="T8233" s="91"/>
    </row>
    <row r="8234" spans="1:20" x14ac:dyDescent="0.25">
      <c r="A8234" s="21">
        <v>45926</v>
      </c>
      <c r="B8234" s="1">
        <v>818733309</v>
      </c>
      <c r="C8234" t="s">
        <v>14826</v>
      </c>
      <c r="D8234" s="43">
        <v>-8592.5</v>
      </c>
      <c r="E8234" t="s">
        <v>35</v>
      </c>
      <c r="F8234" s="2">
        <v>212901001</v>
      </c>
      <c r="G8234" s="2" t="s">
        <v>121</v>
      </c>
      <c r="L8234" s="2" t="s">
        <v>14827</v>
      </c>
      <c r="M8234" t="s">
        <v>67</v>
      </c>
      <c r="N8234" t="s">
        <v>68</v>
      </c>
      <c r="P8234" s="23">
        <v>173.74</v>
      </c>
      <c r="Q8234" s="4">
        <f t="shared" si="128"/>
        <v>-49.456083803384367</v>
      </c>
      <c r="R8234" s="23" t="s">
        <v>109</v>
      </c>
      <c r="T8234" s="91"/>
    </row>
    <row r="8235" spans="1:20" x14ac:dyDescent="0.25">
      <c r="A8235" s="21">
        <v>45926</v>
      </c>
      <c r="B8235" s="1">
        <v>918733312</v>
      </c>
      <c r="C8235" t="s">
        <v>14828</v>
      </c>
      <c r="D8235" s="43">
        <v>-6874</v>
      </c>
      <c r="E8235" t="s">
        <v>35</v>
      </c>
      <c r="F8235" s="2">
        <v>212901001</v>
      </c>
      <c r="G8235" s="2" t="s">
        <v>121</v>
      </c>
      <c r="L8235" s="2" t="s">
        <v>14829</v>
      </c>
      <c r="M8235" t="s">
        <v>67</v>
      </c>
      <c r="N8235" t="s">
        <v>68</v>
      </c>
      <c r="P8235" s="23">
        <v>173.74</v>
      </c>
      <c r="Q8235" s="4">
        <f t="shared" si="128"/>
        <v>-39.56486704270749</v>
      </c>
      <c r="R8235" s="23" t="s">
        <v>109</v>
      </c>
      <c r="T8235" s="91"/>
    </row>
    <row r="8236" spans="1:20" x14ac:dyDescent="0.25">
      <c r="A8236" s="21">
        <v>45926</v>
      </c>
      <c r="B8236" s="1">
        <v>118733334</v>
      </c>
      <c r="C8236" t="s">
        <v>14830</v>
      </c>
      <c r="D8236" s="43">
        <v>-8592.5</v>
      </c>
      <c r="E8236" t="s">
        <v>35</v>
      </c>
      <c r="F8236" s="2">
        <v>212901001</v>
      </c>
      <c r="G8236" s="2" t="s">
        <v>121</v>
      </c>
      <c r="L8236" s="2" t="s">
        <v>14831</v>
      </c>
      <c r="M8236" t="s">
        <v>67</v>
      </c>
      <c r="N8236" t="s">
        <v>68</v>
      </c>
      <c r="P8236" s="23">
        <v>173.74</v>
      </c>
      <c r="Q8236" s="4">
        <f t="shared" si="128"/>
        <v>-49.456083803384367</v>
      </c>
      <c r="R8236" s="23" t="s">
        <v>109</v>
      </c>
      <c r="T8236" s="91"/>
    </row>
    <row r="8237" spans="1:20" x14ac:dyDescent="0.25">
      <c r="A8237" s="21">
        <v>45926</v>
      </c>
      <c r="B8237" s="1">
        <v>118733332</v>
      </c>
      <c r="C8237" t="s">
        <v>14832</v>
      </c>
      <c r="D8237" s="43">
        <v>-8592.5</v>
      </c>
      <c r="E8237" t="s">
        <v>35</v>
      </c>
      <c r="F8237" s="2">
        <v>212901001</v>
      </c>
      <c r="G8237" s="2" t="s">
        <v>121</v>
      </c>
      <c r="L8237" s="2" t="s">
        <v>14833</v>
      </c>
      <c r="M8237" t="s">
        <v>67</v>
      </c>
      <c r="N8237" t="s">
        <v>68</v>
      </c>
      <c r="P8237" s="23">
        <v>173.74</v>
      </c>
      <c r="Q8237" s="4">
        <f t="shared" si="128"/>
        <v>-49.456083803384367</v>
      </c>
      <c r="R8237" s="23" t="s">
        <v>109</v>
      </c>
      <c r="T8237" s="91"/>
    </row>
    <row r="8238" spans="1:20" x14ac:dyDescent="0.25">
      <c r="A8238" s="21">
        <v>45926</v>
      </c>
      <c r="B8238" s="1">
        <v>818733310</v>
      </c>
      <c r="C8238" t="s">
        <v>14834</v>
      </c>
      <c r="D8238" s="43">
        <v>-8592.5</v>
      </c>
      <c r="E8238" t="s">
        <v>35</v>
      </c>
      <c r="F8238" s="2">
        <v>212901001</v>
      </c>
      <c r="G8238" s="2" t="s">
        <v>121</v>
      </c>
      <c r="L8238" s="2" t="s">
        <v>14835</v>
      </c>
      <c r="M8238" t="s">
        <v>67</v>
      </c>
      <c r="N8238" t="s">
        <v>68</v>
      </c>
      <c r="P8238" s="23">
        <v>173.74</v>
      </c>
      <c r="Q8238" s="4">
        <f t="shared" si="128"/>
        <v>-49.456083803384367</v>
      </c>
      <c r="R8238" s="23" t="s">
        <v>109</v>
      </c>
      <c r="T8238" s="91"/>
    </row>
    <row r="8239" spans="1:20" x14ac:dyDescent="0.25">
      <c r="A8239" s="21">
        <v>45926</v>
      </c>
      <c r="B8239" s="1">
        <v>118733335</v>
      </c>
      <c r="C8239" t="s">
        <v>14836</v>
      </c>
      <c r="D8239" s="43">
        <v>-8592.5</v>
      </c>
      <c r="E8239" t="s">
        <v>35</v>
      </c>
      <c r="F8239" s="2">
        <v>212901001</v>
      </c>
      <c r="G8239" s="2" t="s">
        <v>121</v>
      </c>
      <c r="L8239" s="2" t="s">
        <v>14837</v>
      </c>
      <c r="M8239" t="s">
        <v>67</v>
      </c>
      <c r="N8239" t="s">
        <v>68</v>
      </c>
      <c r="P8239" s="23">
        <v>173.74</v>
      </c>
      <c r="Q8239" s="4">
        <f t="shared" si="128"/>
        <v>-49.456083803384367</v>
      </c>
      <c r="R8239" s="23" t="s">
        <v>109</v>
      </c>
      <c r="T8239" s="91"/>
    </row>
    <row r="8240" spans="1:20" x14ac:dyDescent="0.25">
      <c r="A8240" s="21">
        <v>45926</v>
      </c>
      <c r="B8240" s="1">
        <v>118733339</v>
      </c>
      <c r="C8240" t="s">
        <v>14838</v>
      </c>
      <c r="D8240" s="43">
        <v>-8592.5</v>
      </c>
      <c r="E8240" t="s">
        <v>35</v>
      </c>
      <c r="F8240" s="2">
        <v>212901001</v>
      </c>
      <c r="G8240" s="2" t="s">
        <v>121</v>
      </c>
      <c r="L8240" s="2" t="s">
        <v>14839</v>
      </c>
      <c r="M8240" t="s">
        <v>67</v>
      </c>
      <c r="N8240" t="s">
        <v>68</v>
      </c>
      <c r="P8240" s="23">
        <v>173.74</v>
      </c>
      <c r="Q8240" s="4">
        <f t="shared" si="128"/>
        <v>-49.456083803384367</v>
      </c>
      <c r="R8240" s="23" t="s">
        <v>109</v>
      </c>
      <c r="T8240" s="91"/>
    </row>
    <row r="8241" spans="1:20" x14ac:dyDescent="0.25">
      <c r="A8241" s="21">
        <v>45926</v>
      </c>
      <c r="B8241" s="1">
        <v>118733331</v>
      </c>
      <c r="C8241" t="s">
        <v>14840</v>
      </c>
      <c r="D8241" s="43">
        <v>-8592.5</v>
      </c>
      <c r="E8241" t="s">
        <v>35</v>
      </c>
      <c r="F8241" s="2">
        <v>212901001</v>
      </c>
      <c r="G8241" s="2" t="s">
        <v>121</v>
      </c>
      <c r="L8241" s="2" t="s">
        <v>14841</v>
      </c>
      <c r="M8241" t="s">
        <v>67</v>
      </c>
      <c r="N8241" t="s">
        <v>68</v>
      </c>
      <c r="P8241" s="23">
        <v>173.74</v>
      </c>
      <c r="Q8241" s="4">
        <f t="shared" si="128"/>
        <v>-49.456083803384367</v>
      </c>
      <c r="R8241" s="23" t="s">
        <v>109</v>
      </c>
      <c r="T8241" s="91"/>
    </row>
    <row r="8242" spans="1:20" x14ac:dyDescent="0.25">
      <c r="A8242" s="21">
        <v>45926</v>
      </c>
      <c r="B8242" s="1">
        <v>18733328</v>
      </c>
      <c r="C8242" t="s">
        <v>14842</v>
      </c>
      <c r="D8242" s="43">
        <v>-12029.5</v>
      </c>
      <c r="E8242" t="s">
        <v>35</v>
      </c>
      <c r="F8242" s="2">
        <v>212901001</v>
      </c>
      <c r="G8242" s="2" t="s">
        <v>121</v>
      </c>
      <c r="L8242" s="2" t="s">
        <v>14843</v>
      </c>
      <c r="M8242" t="s">
        <v>67</v>
      </c>
      <c r="N8242" t="s">
        <v>68</v>
      </c>
      <c r="P8242" s="23">
        <v>173.74</v>
      </c>
      <c r="Q8242" s="4">
        <f t="shared" si="128"/>
        <v>-69.238517324738112</v>
      </c>
      <c r="R8242" s="23" t="s">
        <v>109</v>
      </c>
      <c r="T8242" s="91"/>
    </row>
    <row r="8243" spans="1:20" x14ac:dyDescent="0.25">
      <c r="A8243" s="21">
        <v>45926</v>
      </c>
      <c r="B8243" s="1">
        <v>218733341</v>
      </c>
      <c r="C8243" t="s">
        <v>14844</v>
      </c>
      <c r="D8243" s="43">
        <v>-8592.5</v>
      </c>
      <c r="E8243" t="s">
        <v>35</v>
      </c>
      <c r="F8243" s="2">
        <v>212901001</v>
      </c>
      <c r="G8243" s="2" t="s">
        <v>121</v>
      </c>
      <c r="L8243" s="2" t="s">
        <v>14845</v>
      </c>
      <c r="M8243" t="s">
        <v>67</v>
      </c>
      <c r="N8243" t="s">
        <v>68</v>
      </c>
      <c r="P8243" s="23">
        <v>173.74</v>
      </c>
      <c r="Q8243" s="4">
        <f t="shared" si="128"/>
        <v>-49.456083803384367</v>
      </c>
      <c r="R8243" s="23" t="s">
        <v>109</v>
      </c>
      <c r="T8243" s="91"/>
    </row>
    <row r="8244" spans="1:20" x14ac:dyDescent="0.25">
      <c r="A8244" s="21">
        <v>45926</v>
      </c>
      <c r="B8244" s="1">
        <v>918733314</v>
      </c>
      <c r="C8244" t="s">
        <v>14846</v>
      </c>
      <c r="D8244" s="43">
        <v>-6874</v>
      </c>
      <c r="E8244" t="s">
        <v>35</v>
      </c>
      <c r="F8244" s="2">
        <v>212901001</v>
      </c>
      <c r="G8244" s="2" t="s">
        <v>121</v>
      </c>
      <c r="L8244" s="2" t="s">
        <v>14847</v>
      </c>
      <c r="M8244" t="s">
        <v>67</v>
      </c>
      <c r="N8244" t="s">
        <v>68</v>
      </c>
      <c r="P8244" s="23">
        <v>173.74</v>
      </c>
      <c r="Q8244" s="4">
        <f t="shared" si="128"/>
        <v>-39.56486704270749</v>
      </c>
      <c r="R8244" s="23" t="s">
        <v>109</v>
      </c>
      <c r="T8244" s="91"/>
    </row>
    <row r="8245" spans="1:20" x14ac:dyDescent="0.25">
      <c r="A8245" s="21">
        <v>45926</v>
      </c>
      <c r="B8245" s="1">
        <v>218733340</v>
      </c>
      <c r="C8245" t="s">
        <v>14842</v>
      </c>
      <c r="D8245" s="43">
        <v>-8592.5</v>
      </c>
      <c r="E8245" t="s">
        <v>35</v>
      </c>
      <c r="F8245" s="2">
        <v>212901001</v>
      </c>
      <c r="G8245" s="2" t="s">
        <v>121</v>
      </c>
      <c r="L8245" s="2" t="s">
        <v>14848</v>
      </c>
      <c r="M8245" t="s">
        <v>67</v>
      </c>
      <c r="N8245" t="s">
        <v>68</v>
      </c>
      <c r="P8245" s="23">
        <v>173.74</v>
      </c>
      <c r="Q8245" s="4">
        <f t="shared" si="128"/>
        <v>-49.456083803384367</v>
      </c>
      <c r="R8245" s="23" t="s">
        <v>109</v>
      </c>
      <c r="T8245" s="91"/>
    </row>
    <row r="8246" spans="1:20" x14ac:dyDescent="0.25">
      <c r="A8246" s="21">
        <v>45926</v>
      </c>
      <c r="B8246" s="1">
        <v>118733338</v>
      </c>
      <c r="C8246" t="s">
        <v>14849</v>
      </c>
      <c r="D8246" s="43">
        <v>-8592.5</v>
      </c>
      <c r="E8246" t="s">
        <v>35</v>
      </c>
      <c r="F8246" s="2">
        <v>212901001</v>
      </c>
      <c r="G8246" s="2" t="s">
        <v>121</v>
      </c>
      <c r="L8246" s="2" t="s">
        <v>14850</v>
      </c>
      <c r="M8246" t="s">
        <v>67</v>
      </c>
      <c r="N8246" t="s">
        <v>68</v>
      </c>
      <c r="P8246" s="23">
        <v>173.74</v>
      </c>
      <c r="Q8246" s="4">
        <f t="shared" si="128"/>
        <v>-49.456083803384367</v>
      </c>
      <c r="R8246" s="23" t="s">
        <v>109</v>
      </c>
      <c r="T8246" s="91"/>
    </row>
    <row r="8247" spans="1:20" x14ac:dyDescent="0.25">
      <c r="A8247" s="21">
        <v>45926</v>
      </c>
      <c r="B8247" s="1">
        <v>218733345</v>
      </c>
      <c r="C8247" t="s">
        <v>14851</v>
      </c>
      <c r="D8247" s="43">
        <v>-3437</v>
      </c>
      <c r="E8247" t="s">
        <v>35</v>
      </c>
      <c r="F8247" s="2">
        <v>212901001</v>
      </c>
      <c r="G8247" s="2" t="s">
        <v>121</v>
      </c>
      <c r="L8247" s="2" t="s">
        <v>14852</v>
      </c>
      <c r="M8247" t="s">
        <v>67</v>
      </c>
      <c r="N8247" t="s">
        <v>68</v>
      </c>
      <c r="P8247" s="23">
        <v>173.74</v>
      </c>
      <c r="Q8247" s="4">
        <f t="shared" si="128"/>
        <v>-19.782433521353745</v>
      </c>
      <c r="R8247" s="23" t="s">
        <v>109</v>
      </c>
      <c r="T8247" s="91"/>
    </row>
    <row r="8248" spans="1:20" x14ac:dyDescent="0.25">
      <c r="A8248" s="21">
        <v>45926</v>
      </c>
      <c r="B8248" s="1">
        <v>318733349</v>
      </c>
      <c r="C8248" t="s">
        <v>14853</v>
      </c>
      <c r="D8248" s="43">
        <v>-24574.55</v>
      </c>
      <c r="E8248" t="s">
        <v>35</v>
      </c>
      <c r="F8248" s="2">
        <v>212901001</v>
      </c>
      <c r="G8248" s="2" t="s">
        <v>121</v>
      </c>
      <c r="L8248" s="2" t="s">
        <v>14854</v>
      </c>
      <c r="M8248" t="s">
        <v>67</v>
      </c>
      <c r="N8248" t="s">
        <v>68</v>
      </c>
      <c r="P8248" s="23">
        <v>173.74</v>
      </c>
      <c r="Q8248" s="4">
        <f t="shared" si="128"/>
        <v>-141.44439967767929</v>
      </c>
      <c r="R8248" s="23" t="s">
        <v>109</v>
      </c>
      <c r="T8248" s="91"/>
    </row>
    <row r="8249" spans="1:20" x14ac:dyDescent="0.25">
      <c r="A8249" s="21">
        <v>45926</v>
      </c>
      <c r="B8249" s="1">
        <v>218733344</v>
      </c>
      <c r="C8249" t="s">
        <v>14855</v>
      </c>
      <c r="D8249" s="43">
        <v>-3437</v>
      </c>
      <c r="E8249" t="s">
        <v>35</v>
      </c>
      <c r="F8249" s="2">
        <v>212901001</v>
      </c>
      <c r="G8249" s="2" t="s">
        <v>121</v>
      </c>
      <c r="L8249" s="2" t="s">
        <v>14856</v>
      </c>
      <c r="M8249" t="s">
        <v>67</v>
      </c>
      <c r="N8249" t="s">
        <v>68</v>
      </c>
      <c r="P8249" s="23">
        <v>173.74</v>
      </c>
      <c r="Q8249" s="4">
        <f t="shared" si="128"/>
        <v>-19.782433521353745</v>
      </c>
      <c r="R8249" s="23" t="s">
        <v>109</v>
      </c>
      <c r="T8249" s="91"/>
    </row>
    <row r="8250" spans="1:20" x14ac:dyDescent="0.25">
      <c r="A8250" s="21">
        <v>45926</v>
      </c>
      <c r="B8250" s="1">
        <v>218733343</v>
      </c>
      <c r="C8250" t="s">
        <v>14857</v>
      </c>
      <c r="D8250" s="43">
        <v>-3437</v>
      </c>
      <c r="E8250" t="s">
        <v>35</v>
      </c>
      <c r="F8250" s="2">
        <v>212901001</v>
      </c>
      <c r="G8250" s="2" t="s">
        <v>121</v>
      </c>
      <c r="L8250" s="2" t="s">
        <v>14858</v>
      </c>
      <c r="M8250" t="s">
        <v>67</v>
      </c>
      <c r="N8250" t="s">
        <v>68</v>
      </c>
      <c r="P8250" s="23">
        <v>173.74</v>
      </c>
      <c r="Q8250" s="4">
        <f t="shared" si="128"/>
        <v>-19.782433521353745</v>
      </c>
      <c r="R8250" s="23" t="s">
        <v>109</v>
      </c>
      <c r="T8250" s="91"/>
    </row>
    <row r="8251" spans="1:20" x14ac:dyDescent="0.25">
      <c r="A8251" s="21">
        <v>45926</v>
      </c>
      <c r="B8251" s="1">
        <v>218733347</v>
      </c>
      <c r="C8251" t="s">
        <v>14859</v>
      </c>
      <c r="D8251" s="43">
        <v>-17185</v>
      </c>
      <c r="E8251" t="s">
        <v>35</v>
      </c>
      <c r="F8251" s="2">
        <v>212901001</v>
      </c>
      <c r="G8251" s="2" t="s">
        <v>121</v>
      </c>
      <c r="L8251" s="2" t="s">
        <v>14860</v>
      </c>
      <c r="M8251" t="s">
        <v>67</v>
      </c>
      <c r="N8251" t="s">
        <v>68</v>
      </c>
      <c r="P8251" s="23">
        <v>173.74</v>
      </c>
      <c r="Q8251" s="4">
        <f t="shared" si="128"/>
        <v>-98.912167606768733</v>
      </c>
      <c r="R8251" s="23" t="s">
        <v>109</v>
      </c>
      <c r="T8251" s="91"/>
    </row>
    <row r="8252" spans="1:20" x14ac:dyDescent="0.25">
      <c r="A8252" s="21">
        <v>45926</v>
      </c>
      <c r="B8252" s="1">
        <v>218733346</v>
      </c>
      <c r="C8252" t="s">
        <v>14861</v>
      </c>
      <c r="D8252" s="43">
        <v>-3437</v>
      </c>
      <c r="E8252" t="s">
        <v>35</v>
      </c>
      <c r="F8252" s="2">
        <v>212901001</v>
      </c>
      <c r="G8252" s="2" t="s">
        <v>121</v>
      </c>
      <c r="L8252" s="2" t="s">
        <v>14862</v>
      </c>
      <c r="M8252" t="s">
        <v>67</v>
      </c>
      <c r="N8252" t="s">
        <v>68</v>
      </c>
      <c r="P8252" s="23">
        <v>173.74</v>
      </c>
      <c r="Q8252" s="4">
        <f t="shared" si="128"/>
        <v>-19.782433521353745</v>
      </c>
      <c r="R8252" s="23" t="s">
        <v>109</v>
      </c>
      <c r="T8252" s="91"/>
    </row>
    <row r="8253" spans="1:20" x14ac:dyDescent="0.25">
      <c r="A8253" s="21">
        <v>45926</v>
      </c>
      <c r="B8253" s="1">
        <v>218733348</v>
      </c>
      <c r="C8253" t="s">
        <v>14863</v>
      </c>
      <c r="D8253" s="43">
        <v>-34370</v>
      </c>
      <c r="E8253" t="s">
        <v>35</v>
      </c>
      <c r="F8253" s="2">
        <v>212901001</v>
      </c>
      <c r="G8253" s="2" t="s">
        <v>121</v>
      </c>
      <c r="L8253" s="2" t="s">
        <v>14864</v>
      </c>
      <c r="M8253" t="s">
        <v>67</v>
      </c>
      <c r="N8253" t="s">
        <v>68</v>
      </c>
      <c r="P8253" s="23">
        <v>173.74</v>
      </c>
      <c r="Q8253" s="4">
        <f t="shared" si="128"/>
        <v>-197.82433521353747</v>
      </c>
      <c r="R8253" s="23" t="s">
        <v>109</v>
      </c>
      <c r="T8253" s="91"/>
    </row>
    <row r="8254" spans="1:20" x14ac:dyDescent="0.25">
      <c r="A8254" s="21">
        <v>45926</v>
      </c>
      <c r="B8254" s="1">
        <v>18733321</v>
      </c>
      <c r="C8254" t="s">
        <v>14865</v>
      </c>
      <c r="D8254" s="43">
        <v>-25777.5</v>
      </c>
      <c r="E8254" t="s">
        <v>35</v>
      </c>
      <c r="F8254" s="2">
        <v>212901001</v>
      </c>
      <c r="G8254" s="2" t="s">
        <v>121</v>
      </c>
      <c r="L8254" s="2" t="s">
        <v>14866</v>
      </c>
      <c r="M8254" t="s">
        <v>67</v>
      </c>
      <c r="N8254" t="s">
        <v>68</v>
      </c>
      <c r="P8254" s="23">
        <v>173.74</v>
      </c>
      <c r="Q8254" s="4">
        <f t="shared" si="128"/>
        <v>-148.36825141015311</v>
      </c>
      <c r="R8254" s="23" t="s">
        <v>109</v>
      </c>
      <c r="T8254" s="91"/>
    </row>
    <row r="8255" spans="1:20" x14ac:dyDescent="0.25">
      <c r="A8255" s="21">
        <v>45926</v>
      </c>
      <c r="B8255" s="1">
        <v>318733351</v>
      </c>
      <c r="C8255" t="s">
        <v>14867</v>
      </c>
      <c r="D8255" s="43">
        <v>-6874</v>
      </c>
      <c r="E8255" t="s">
        <v>35</v>
      </c>
      <c r="F8255" s="2">
        <v>212901001</v>
      </c>
      <c r="G8255" s="2" t="s">
        <v>121</v>
      </c>
      <c r="L8255" s="2" t="s">
        <v>14868</v>
      </c>
      <c r="M8255" t="s">
        <v>67</v>
      </c>
      <c r="N8255" t="s">
        <v>68</v>
      </c>
      <c r="P8255" s="23">
        <v>173.74</v>
      </c>
      <c r="Q8255" s="4">
        <f t="shared" si="128"/>
        <v>-39.56486704270749</v>
      </c>
      <c r="R8255" s="23" t="s">
        <v>109</v>
      </c>
      <c r="T8255" s="91"/>
    </row>
    <row r="8256" spans="1:20" x14ac:dyDescent="0.25">
      <c r="A8256" s="21">
        <v>45926</v>
      </c>
      <c r="B8256" s="1">
        <v>818733308</v>
      </c>
      <c r="C8256" t="s">
        <v>14869</v>
      </c>
      <c r="D8256" s="43">
        <v>-8592.5</v>
      </c>
      <c r="E8256" t="s">
        <v>35</v>
      </c>
      <c r="F8256" s="2">
        <v>212901001</v>
      </c>
      <c r="G8256" s="2" t="s">
        <v>121</v>
      </c>
      <c r="L8256" s="2" t="s">
        <v>14870</v>
      </c>
      <c r="M8256" t="s">
        <v>67</v>
      </c>
      <c r="N8256" t="s">
        <v>68</v>
      </c>
      <c r="P8256" s="23">
        <v>173.74</v>
      </c>
      <c r="Q8256" s="4">
        <f t="shared" si="128"/>
        <v>-49.456083803384367</v>
      </c>
      <c r="R8256" s="23" t="s">
        <v>109</v>
      </c>
      <c r="T8256" s="91"/>
    </row>
    <row r="8257" spans="1:20" x14ac:dyDescent="0.25">
      <c r="A8257" s="21">
        <v>45926</v>
      </c>
      <c r="B8257" s="1">
        <v>318733350</v>
      </c>
      <c r="C8257" t="s">
        <v>14871</v>
      </c>
      <c r="D8257" s="43">
        <v>-5155.5</v>
      </c>
      <c r="E8257" t="s">
        <v>35</v>
      </c>
      <c r="F8257" s="2">
        <v>212901001</v>
      </c>
      <c r="G8257" s="2" t="s">
        <v>121</v>
      </c>
      <c r="L8257" s="2" t="s">
        <v>14872</v>
      </c>
      <c r="M8257" t="s">
        <v>67</v>
      </c>
      <c r="N8257" t="s">
        <v>68</v>
      </c>
      <c r="P8257" s="23">
        <v>173.74</v>
      </c>
      <c r="Q8257" s="4">
        <f t="shared" si="128"/>
        <v>-29.673650282030618</v>
      </c>
      <c r="R8257" s="23" t="s">
        <v>109</v>
      </c>
      <c r="T8257" s="91"/>
    </row>
    <row r="8258" spans="1:20" x14ac:dyDescent="0.25">
      <c r="A8258" s="21">
        <v>45926</v>
      </c>
      <c r="B8258" s="1">
        <v>18733327</v>
      </c>
      <c r="C8258" t="s">
        <v>14873</v>
      </c>
      <c r="D8258" s="43">
        <v>-8592.5</v>
      </c>
      <c r="E8258" t="s">
        <v>35</v>
      </c>
      <c r="F8258" s="2">
        <v>212901001</v>
      </c>
      <c r="G8258" s="2" t="s">
        <v>121</v>
      </c>
      <c r="L8258" s="2" t="s">
        <v>14874</v>
      </c>
      <c r="M8258" t="s">
        <v>67</v>
      </c>
      <c r="N8258" t="s">
        <v>68</v>
      </c>
      <c r="P8258" s="23">
        <v>173.74</v>
      </c>
      <c r="Q8258" s="4">
        <f t="shared" si="128"/>
        <v>-49.456083803384367</v>
      </c>
      <c r="R8258" s="23" t="s">
        <v>109</v>
      </c>
      <c r="T8258" s="91"/>
    </row>
    <row r="8259" spans="1:20" x14ac:dyDescent="0.25">
      <c r="A8259" s="21">
        <v>45926</v>
      </c>
      <c r="B8259" s="1">
        <v>118733330</v>
      </c>
      <c r="C8259" t="s">
        <v>14875</v>
      </c>
      <c r="D8259" s="43">
        <v>-8592.5</v>
      </c>
      <c r="E8259" t="s">
        <v>35</v>
      </c>
      <c r="F8259" s="2">
        <v>212901001</v>
      </c>
      <c r="G8259" s="2" t="s">
        <v>121</v>
      </c>
      <c r="L8259" s="2" t="s">
        <v>14876</v>
      </c>
      <c r="M8259" t="s">
        <v>67</v>
      </c>
      <c r="N8259" t="s">
        <v>68</v>
      </c>
      <c r="P8259" s="23">
        <v>173.74</v>
      </c>
      <c r="Q8259" s="4">
        <f t="shared" si="128"/>
        <v>-49.456083803384367</v>
      </c>
      <c r="R8259" s="23" t="s">
        <v>109</v>
      </c>
      <c r="T8259" s="91"/>
    </row>
    <row r="8260" spans="1:20" x14ac:dyDescent="0.25">
      <c r="A8260" s="21">
        <v>45926</v>
      </c>
      <c r="B8260" s="1">
        <v>118733329</v>
      </c>
      <c r="C8260" t="s">
        <v>14877</v>
      </c>
      <c r="D8260" s="43">
        <v>-8592.5</v>
      </c>
      <c r="E8260" t="s">
        <v>35</v>
      </c>
      <c r="F8260" s="2">
        <v>212901001</v>
      </c>
      <c r="G8260" s="2" t="s">
        <v>121</v>
      </c>
      <c r="L8260" s="2" t="s">
        <v>14878</v>
      </c>
      <c r="M8260" t="s">
        <v>67</v>
      </c>
      <c r="N8260" t="s">
        <v>68</v>
      </c>
      <c r="P8260" s="23">
        <v>173.74</v>
      </c>
      <c r="Q8260" s="4">
        <f t="shared" si="128"/>
        <v>-49.456083803384367</v>
      </c>
      <c r="R8260" s="23" t="s">
        <v>109</v>
      </c>
      <c r="T8260" s="91"/>
    </row>
    <row r="8261" spans="1:20" x14ac:dyDescent="0.25">
      <c r="A8261" s="21">
        <v>45926</v>
      </c>
      <c r="B8261" s="1">
        <v>118733337</v>
      </c>
      <c r="C8261" t="s">
        <v>14879</v>
      </c>
      <c r="D8261" s="43">
        <v>-8592.5</v>
      </c>
      <c r="E8261" t="s">
        <v>35</v>
      </c>
      <c r="F8261" s="2">
        <v>212901001</v>
      </c>
      <c r="G8261" s="2" t="s">
        <v>121</v>
      </c>
      <c r="L8261" s="2" t="s">
        <v>14880</v>
      </c>
      <c r="M8261" t="s">
        <v>67</v>
      </c>
      <c r="N8261" t="s">
        <v>68</v>
      </c>
      <c r="P8261" s="23">
        <v>173.74</v>
      </c>
      <c r="Q8261" s="4">
        <f t="shared" si="128"/>
        <v>-49.456083803384367</v>
      </c>
      <c r="R8261" s="23" t="s">
        <v>109</v>
      </c>
      <c r="T8261" s="91"/>
    </row>
    <row r="8262" spans="1:20" x14ac:dyDescent="0.25">
      <c r="A8262" s="21">
        <v>45926</v>
      </c>
      <c r="B8262" s="1">
        <v>118733336</v>
      </c>
      <c r="C8262" t="s">
        <v>14881</v>
      </c>
      <c r="D8262" s="43">
        <v>-68740</v>
      </c>
      <c r="E8262" t="s">
        <v>35</v>
      </c>
      <c r="F8262" s="2">
        <v>212901001</v>
      </c>
      <c r="G8262" s="2" t="s">
        <v>121</v>
      </c>
      <c r="L8262" s="2" t="s">
        <v>14882</v>
      </c>
      <c r="M8262" t="s">
        <v>67</v>
      </c>
      <c r="N8262" t="s">
        <v>68</v>
      </c>
      <c r="P8262" s="23">
        <v>173.74</v>
      </c>
      <c r="Q8262" s="4">
        <f t="shared" si="128"/>
        <v>-395.64867042707493</v>
      </c>
      <c r="R8262" s="23" t="s">
        <v>109</v>
      </c>
      <c r="T8262" s="91"/>
    </row>
    <row r="8263" spans="1:20" x14ac:dyDescent="0.25">
      <c r="A8263" s="21">
        <v>45926</v>
      </c>
      <c r="B8263" s="1">
        <v>218733342</v>
      </c>
      <c r="C8263" t="s">
        <v>14883</v>
      </c>
      <c r="D8263" s="43">
        <v>-68740</v>
      </c>
      <c r="E8263" t="s">
        <v>35</v>
      </c>
      <c r="F8263" s="2">
        <v>212901001</v>
      </c>
      <c r="G8263" s="2" t="s">
        <v>121</v>
      </c>
      <c r="L8263" s="2" t="s">
        <v>14884</v>
      </c>
      <c r="M8263" t="s">
        <v>67</v>
      </c>
      <c r="N8263" t="s">
        <v>68</v>
      </c>
      <c r="P8263" s="23">
        <v>173.74</v>
      </c>
      <c r="Q8263" s="4">
        <f t="shared" si="128"/>
        <v>-395.64867042707493</v>
      </c>
      <c r="R8263" s="23" t="s">
        <v>109</v>
      </c>
      <c r="T8263" s="91"/>
    </row>
    <row r="8264" spans="1:20" x14ac:dyDescent="0.25">
      <c r="A8264" s="21">
        <v>45926</v>
      </c>
      <c r="B8264" s="1">
        <v>50954051</v>
      </c>
      <c r="C8264" t="s">
        <v>14309</v>
      </c>
      <c r="D8264" s="43">
        <v>-24059</v>
      </c>
      <c r="E8264" t="s">
        <v>35</v>
      </c>
      <c r="F8264" s="2">
        <v>212901001</v>
      </c>
      <c r="G8264" s="2" t="s">
        <v>121</v>
      </c>
      <c r="L8264" s="2" t="s">
        <v>14885</v>
      </c>
      <c r="M8264" t="s">
        <v>67</v>
      </c>
      <c r="N8264" t="s">
        <v>68</v>
      </c>
      <c r="P8264" s="23">
        <v>173.74</v>
      </c>
      <c r="Q8264" s="4">
        <f t="shared" si="128"/>
        <v>-138.47703464947622</v>
      </c>
      <c r="R8264" s="23" t="s">
        <v>109</v>
      </c>
      <c r="T8264" s="91"/>
    </row>
    <row r="8265" spans="1:20" x14ac:dyDescent="0.25">
      <c r="A8265" s="21">
        <v>45926</v>
      </c>
      <c r="B8265" s="1">
        <v>50954051</v>
      </c>
      <c r="C8265" t="s">
        <v>296</v>
      </c>
      <c r="D8265" s="43">
        <v>-36.08</v>
      </c>
      <c r="E8265" t="s">
        <v>35</v>
      </c>
      <c r="F8265" s="2">
        <v>610148001</v>
      </c>
      <c r="G8265" s="2" t="s">
        <v>42</v>
      </c>
      <c r="L8265" s="2" t="s">
        <v>14886</v>
      </c>
      <c r="M8265" t="s">
        <v>43</v>
      </c>
      <c r="N8265" t="s">
        <v>42</v>
      </c>
      <c r="P8265" s="23">
        <v>173.74</v>
      </c>
      <c r="Q8265" s="4">
        <f t="shared" si="128"/>
        <v>-0.20766662829515364</v>
      </c>
      <c r="R8265" s="23" t="s">
        <v>109</v>
      </c>
      <c r="T8265" s="90" t="s">
        <v>14165</v>
      </c>
    </row>
    <row r="8266" spans="1:20" x14ac:dyDescent="0.25">
      <c r="A8266" s="21">
        <v>45926</v>
      </c>
      <c r="B8266" s="1">
        <v>50954051</v>
      </c>
      <c r="C8266" t="s">
        <v>118</v>
      </c>
      <c r="D8266" s="43">
        <v>-2205.2600000000002</v>
      </c>
      <c r="E8266" t="s">
        <v>35</v>
      </c>
      <c r="F8266" s="2">
        <v>610148001</v>
      </c>
      <c r="G8266" s="2" t="s">
        <v>42</v>
      </c>
      <c r="L8266" s="2" t="s">
        <v>14887</v>
      </c>
      <c r="M8266" t="s">
        <v>43</v>
      </c>
      <c r="N8266" t="s">
        <v>42</v>
      </c>
      <c r="P8266" s="23">
        <v>173.74</v>
      </c>
      <c r="Q8266" s="4">
        <f t="shared" si="128"/>
        <v>-12.692874410037989</v>
      </c>
      <c r="R8266" s="23" t="s">
        <v>109</v>
      </c>
      <c r="T8266" s="90" t="s">
        <v>14165</v>
      </c>
    </row>
    <row r="8267" spans="1:20" x14ac:dyDescent="0.25">
      <c r="A8267" s="21">
        <v>45926</v>
      </c>
      <c r="B8267" s="1">
        <v>424383556</v>
      </c>
      <c r="C8267" t="s">
        <v>14888</v>
      </c>
      <c r="D8267" s="43">
        <v>-382914.36</v>
      </c>
      <c r="E8267" t="s">
        <v>35</v>
      </c>
      <c r="F8267" s="2">
        <v>210101001</v>
      </c>
      <c r="G8267" s="2" t="s">
        <v>36</v>
      </c>
      <c r="L8267" s="2" t="s">
        <v>14889</v>
      </c>
      <c r="M8267" t="s">
        <v>38</v>
      </c>
      <c r="N8267" t="s">
        <v>39</v>
      </c>
      <c r="P8267" s="23">
        <v>173.74</v>
      </c>
      <c r="Q8267" s="4">
        <f t="shared" ref="Q8267:Q8330" si="129">D8267/P8267</f>
        <v>-2203.9505007482444</v>
      </c>
      <c r="R8267" s="23" t="s">
        <v>109</v>
      </c>
      <c r="T8267" s="91"/>
    </row>
    <row r="8268" spans="1:20" x14ac:dyDescent="0.25">
      <c r="A8268" s="21">
        <v>45926</v>
      </c>
      <c r="B8268" s="1">
        <v>424383556</v>
      </c>
      <c r="C8268" t="s">
        <v>306</v>
      </c>
      <c r="D8268" s="43">
        <v>-1148.74</v>
      </c>
      <c r="E8268" t="s">
        <v>35</v>
      </c>
      <c r="F8268" s="2">
        <v>610148001</v>
      </c>
      <c r="G8268" s="2" t="s">
        <v>42</v>
      </c>
      <c r="L8268" s="2" t="s">
        <v>14890</v>
      </c>
      <c r="M8268" t="s">
        <v>43</v>
      </c>
      <c r="N8268" t="s">
        <v>42</v>
      </c>
      <c r="P8268" s="23">
        <v>173.74</v>
      </c>
      <c r="Q8268" s="4">
        <f t="shared" si="129"/>
        <v>-6.6118337746057323</v>
      </c>
      <c r="R8268" s="23" t="s">
        <v>109</v>
      </c>
      <c r="T8268" s="90" t="s">
        <v>14165</v>
      </c>
    </row>
    <row r="8269" spans="1:20" x14ac:dyDescent="0.25">
      <c r="A8269" s="21">
        <v>45929</v>
      </c>
      <c r="B8269" s="1">
        <v>60827476</v>
      </c>
      <c r="C8269" t="s">
        <v>967</v>
      </c>
      <c r="D8269" s="43">
        <v>-263.47000000000003</v>
      </c>
      <c r="E8269" t="s">
        <v>35</v>
      </c>
      <c r="F8269" s="2">
        <v>610148001</v>
      </c>
      <c r="G8269" s="2" t="s">
        <v>42</v>
      </c>
      <c r="L8269" s="2" t="s">
        <v>14891</v>
      </c>
      <c r="M8269" t="s">
        <v>43</v>
      </c>
      <c r="N8269" t="s">
        <v>42</v>
      </c>
      <c r="P8269" s="23">
        <v>175.65</v>
      </c>
      <c r="Q8269" s="4">
        <f t="shared" si="129"/>
        <v>-1.4999715343011673</v>
      </c>
      <c r="R8269" s="23" t="s">
        <v>109</v>
      </c>
      <c r="T8269" s="90" t="s">
        <v>14165</v>
      </c>
    </row>
    <row r="8270" spans="1:20" x14ac:dyDescent="0.25">
      <c r="A8270" s="21">
        <v>45929</v>
      </c>
      <c r="B8270" s="1">
        <v>519023864</v>
      </c>
      <c r="C8270" t="s">
        <v>14892</v>
      </c>
      <c r="D8270" s="43">
        <v>28525.56</v>
      </c>
      <c r="E8270" t="s">
        <v>46</v>
      </c>
      <c r="F8270" s="2">
        <v>110106001</v>
      </c>
      <c r="G8270" s="2" t="s">
        <v>2034</v>
      </c>
      <c r="L8270" s="2" t="s">
        <v>14893</v>
      </c>
      <c r="N8270" t="s">
        <v>2036</v>
      </c>
      <c r="P8270" s="23">
        <v>175.65</v>
      </c>
      <c r="Q8270" s="4">
        <f t="shared" si="129"/>
        <v>162.4</v>
      </c>
      <c r="R8270" s="23" t="s">
        <v>109</v>
      </c>
      <c r="T8270" s="91"/>
    </row>
    <row r="8271" spans="1:20" x14ac:dyDescent="0.25">
      <c r="A8271" s="21">
        <v>45929</v>
      </c>
      <c r="B8271" s="1">
        <v>519023864</v>
      </c>
      <c r="C8271" t="s">
        <v>2037</v>
      </c>
      <c r="D8271" s="43">
        <v>-427.88</v>
      </c>
      <c r="E8271" t="s">
        <v>35</v>
      </c>
      <c r="F8271" s="2">
        <v>610148001</v>
      </c>
      <c r="G8271" s="2" t="s">
        <v>42</v>
      </c>
      <c r="L8271" s="2" t="s">
        <v>14894</v>
      </c>
      <c r="M8271" t="s">
        <v>43</v>
      </c>
      <c r="N8271" t="s">
        <v>42</v>
      </c>
      <c r="P8271" s="23">
        <v>175.65</v>
      </c>
      <c r="Q8271" s="4">
        <f t="shared" si="129"/>
        <v>-2.4359806433247937</v>
      </c>
      <c r="R8271" s="23" t="s">
        <v>109</v>
      </c>
      <c r="T8271" s="90" t="s">
        <v>14165</v>
      </c>
    </row>
    <row r="8272" spans="1:20" x14ac:dyDescent="0.25">
      <c r="A8272" s="21">
        <v>45930</v>
      </c>
      <c r="B8272" s="1">
        <v>62209493</v>
      </c>
      <c r="C8272" t="s">
        <v>14895</v>
      </c>
      <c r="D8272" s="43">
        <v>86531.59</v>
      </c>
      <c r="E8272" t="s">
        <v>46</v>
      </c>
      <c r="F8272" s="2">
        <v>110106001</v>
      </c>
      <c r="G8272" s="2" t="s">
        <v>2034</v>
      </c>
      <c r="L8272" s="2" t="s">
        <v>14896</v>
      </c>
      <c r="N8272" t="s">
        <v>2036</v>
      </c>
      <c r="P8272" s="23">
        <v>177.61</v>
      </c>
      <c r="Q8272" s="4">
        <f t="shared" si="129"/>
        <v>487.19998873937271</v>
      </c>
      <c r="R8272" s="23" t="s">
        <v>109</v>
      </c>
      <c r="T8272" s="91"/>
    </row>
    <row r="8273" spans="1:23" x14ac:dyDescent="0.25">
      <c r="A8273" s="21">
        <v>45930</v>
      </c>
      <c r="B8273" s="1">
        <v>62209493</v>
      </c>
      <c r="C8273" t="s">
        <v>14897</v>
      </c>
      <c r="D8273" s="43">
        <v>-1297.97</v>
      </c>
      <c r="E8273" t="s">
        <v>35</v>
      </c>
      <c r="F8273" s="2">
        <v>610148001</v>
      </c>
      <c r="G8273" s="2" t="s">
        <v>42</v>
      </c>
      <c r="L8273" s="2" t="s">
        <v>14898</v>
      </c>
      <c r="M8273" t="s">
        <v>43</v>
      </c>
      <c r="N8273" t="s">
        <v>42</v>
      </c>
      <c r="P8273" s="23">
        <v>177.61</v>
      </c>
      <c r="Q8273" s="4">
        <f t="shared" si="129"/>
        <v>-7.307978154383199</v>
      </c>
      <c r="R8273" s="23" t="s">
        <v>109</v>
      </c>
      <c r="T8273" s="90" t="s">
        <v>14165</v>
      </c>
    </row>
    <row r="8274" spans="1:23" x14ac:dyDescent="0.25">
      <c r="A8274" s="21">
        <v>45930</v>
      </c>
      <c r="B8274" s="1">
        <v>110836690</v>
      </c>
      <c r="C8274" t="s">
        <v>14899</v>
      </c>
      <c r="D8274" s="43">
        <v>-112805.63</v>
      </c>
      <c r="E8274" t="s">
        <v>35</v>
      </c>
      <c r="F8274" s="2">
        <v>210101001</v>
      </c>
      <c r="G8274" s="2" t="s">
        <v>36</v>
      </c>
      <c r="L8274" s="2" t="s">
        <v>14900</v>
      </c>
      <c r="M8274" t="s">
        <v>2635</v>
      </c>
      <c r="N8274" t="s">
        <v>2636</v>
      </c>
      <c r="P8274" s="23">
        <v>177.61</v>
      </c>
      <c r="Q8274" s="4">
        <f t="shared" si="129"/>
        <v>-635.13107370080513</v>
      </c>
      <c r="R8274" s="23" t="s">
        <v>109</v>
      </c>
      <c r="T8274" s="91"/>
    </row>
    <row r="8275" spans="1:23" x14ac:dyDescent="0.25">
      <c r="A8275" s="21">
        <v>45930</v>
      </c>
      <c r="B8275" s="1">
        <v>588907088</v>
      </c>
      <c r="C8275" t="s">
        <v>12850</v>
      </c>
      <c r="D8275" s="43">
        <v>370000</v>
      </c>
      <c r="E8275" t="s">
        <v>46</v>
      </c>
      <c r="F8275" s="2">
        <v>210115002</v>
      </c>
      <c r="G8275" s="2" t="s">
        <v>12156</v>
      </c>
      <c r="L8275" s="2" t="s">
        <v>14901</v>
      </c>
      <c r="N8275" t="s">
        <v>12850</v>
      </c>
      <c r="P8275" s="23">
        <v>177.61</v>
      </c>
      <c r="Q8275" s="4">
        <f t="shared" si="129"/>
        <v>2083.2160351331568</v>
      </c>
      <c r="R8275" s="23" t="s">
        <v>109</v>
      </c>
      <c r="T8275" s="91"/>
    </row>
    <row r="8276" spans="1:23" x14ac:dyDescent="0.25">
      <c r="A8276" s="21">
        <v>45930</v>
      </c>
      <c r="B8276" s="1">
        <v>154656811</v>
      </c>
      <c r="C8276" t="s">
        <v>14902</v>
      </c>
      <c r="D8276" s="43">
        <v>138450.54999999999</v>
      </c>
      <c r="E8276" t="s">
        <v>46</v>
      </c>
      <c r="F8276" s="2">
        <v>110106001</v>
      </c>
      <c r="G8276" s="2" t="s">
        <v>2034</v>
      </c>
      <c r="L8276" s="2" t="s">
        <v>14903</v>
      </c>
      <c r="N8276" t="s">
        <v>14904</v>
      </c>
      <c r="P8276" s="23">
        <v>177.61</v>
      </c>
      <c r="Q8276" s="4">
        <f t="shared" si="129"/>
        <v>779.52001576487794</v>
      </c>
      <c r="R8276" s="23" t="s">
        <v>109</v>
      </c>
      <c r="T8276" s="91"/>
    </row>
    <row r="8277" spans="1:23" x14ac:dyDescent="0.25">
      <c r="A8277" s="21">
        <v>45930</v>
      </c>
      <c r="B8277" s="1">
        <v>155809924</v>
      </c>
      <c r="C8277" t="s">
        <v>14905</v>
      </c>
      <c r="D8277" s="43">
        <v>486537.73</v>
      </c>
      <c r="E8277" t="s">
        <v>46</v>
      </c>
      <c r="F8277" s="2">
        <v>110106001</v>
      </c>
      <c r="G8277" s="2" t="s">
        <v>2034</v>
      </c>
      <c r="L8277" s="2" t="s">
        <v>14906</v>
      </c>
      <c r="N8277" t="s">
        <v>14907</v>
      </c>
      <c r="P8277" s="23">
        <v>177.61</v>
      </c>
      <c r="Q8277" s="4">
        <f t="shared" si="129"/>
        <v>2739.360002252125</v>
      </c>
      <c r="R8277" s="23" t="s">
        <v>109</v>
      </c>
      <c r="T8277" s="91"/>
    </row>
    <row r="8278" spans="1:23" x14ac:dyDescent="0.25">
      <c r="A8278" s="21">
        <v>45930</v>
      </c>
      <c r="B8278" s="1">
        <v>155907582</v>
      </c>
      <c r="C8278" t="s">
        <v>14908</v>
      </c>
      <c r="D8278" s="43">
        <v>69225.27</v>
      </c>
      <c r="E8278" t="s">
        <v>46</v>
      </c>
      <c r="F8278" s="2">
        <v>110106001</v>
      </c>
      <c r="G8278" s="2" t="s">
        <v>2034</v>
      </c>
      <c r="L8278" s="2" t="s">
        <v>14909</v>
      </c>
      <c r="N8278" t="s">
        <v>14910</v>
      </c>
      <c r="P8278" s="23">
        <v>177.61</v>
      </c>
      <c r="Q8278" s="4">
        <f t="shared" si="129"/>
        <v>389.75997973087101</v>
      </c>
      <c r="R8278" s="23" t="s">
        <v>109</v>
      </c>
      <c r="T8278" s="91"/>
    </row>
    <row r="8279" spans="1:23" x14ac:dyDescent="0.25">
      <c r="A8279" s="21">
        <v>45930</v>
      </c>
      <c r="B8279" s="1">
        <v>242460425</v>
      </c>
      <c r="C8279" t="s">
        <v>14911</v>
      </c>
      <c r="D8279" s="43">
        <v>-24344.7</v>
      </c>
      <c r="E8279" t="s">
        <v>35</v>
      </c>
      <c r="F8279" s="2">
        <v>110114001</v>
      </c>
      <c r="G8279" s="2" t="s">
        <v>301</v>
      </c>
      <c r="L8279" s="2" t="s">
        <v>14912</v>
      </c>
      <c r="M8279" t="s">
        <v>303</v>
      </c>
      <c r="N8279" t="s">
        <v>304</v>
      </c>
      <c r="P8279" s="23">
        <v>177.61</v>
      </c>
      <c r="Q8279" s="4">
        <f t="shared" si="129"/>
        <v>-137.06829570407072</v>
      </c>
      <c r="R8279" s="23" t="s">
        <v>109</v>
      </c>
      <c r="S8279" s="33" t="s">
        <v>14718</v>
      </c>
      <c r="T8279" s="91"/>
    </row>
    <row r="8280" spans="1:23" x14ac:dyDescent="0.25">
      <c r="A8280" s="21">
        <v>45930</v>
      </c>
      <c r="B8280" s="1">
        <v>242460425</v>
      </c>
      <c r="C8280" t="s">
        <v>306</v>
      </c>
      <c r="D8280" s="43">
        <v>-73.03</v>
      </c>
      <c r="E8280" t="s">
        <v>35</v>
      </c>
      <c r="F8280" s="2">
        <v>610148001</v>
      </c>
      <c r="G8280" s="2" t="s">
        <v>42</v>
      </c>
      <c r="L8280" s="2" t="s">
        <v>14913</v>
      </c>
      <c r="M8280" t="s">
        <v>43</v>
      </c>
      <c r="N8280" t="s">
        <v>42</v>
      </c>
      <c r="P8280" s="23">
        <v>177.61</v>
      </c>
      <c r="Q8280" s="4">
        <f t="shared" si="129"/>
        <v>-0.41118180282641742</v>
      </c>
      <c r="R8280" s="23" t="s">
        <v>109</v>
      </c>
      <c r="T8280" s="90" t="s">
        <v>14165</v>
      </c>
    </row>
    <row r="8281" spans="1:23" x14ac:dyDescent="0.25">
      <c r="A8281" s="21">
        <v>45930</v>
      </c>
      <c r="B8281" s="1">
        <v>525227690</v>
      </c>
      <c r="C8281" t="s">
        <v>14914</v>
      </c>
      <c r="D8281" s="43">
        <v>-342005.81</v>
      </c>
      <c r="E8281" t="s">
        <v>35</v>
      </c>
      <c r="F8281" s="2">
        <v>110114001</v>
      </c>
      <c r="G8281" s="2" t="s">
        <v>301</v>
      </c>
      <c r="L8281" s="2" t="s">
        <v>14915</v>
      </c>
      <c r="M8281" t="s">
        <v>38</v>
      </c>
      <c r="N8281" t="s">
        <v>39</v>
      </c>
      <c r="P8281" s="23">
        <v>177.61</v>
      </c>
      <c r="Q8281" s="4">
        <f t="shared" si="129"/>
        <v>-1925.5999662181182</v>
      </c>
      <c r="R8281" s="23" t="s">
        <v>109</v>
      </c>
      <c r="S8281" s="33" t="s">
        <v>14718</v>
      </c>
      <c r="T8281" s="91"/>
    </row>
    <row r="8282" spans="1:23" x14ac:dyDescent="0.25">
      <c r="A8282" s="21">
        <v>45930</v>
      </c>
      <c r="B8282" s="1">
        <v>525227690</v>
      </c>
      <c r="C8282" t="s">
        <v>306</v>
      </c>
      <c r="D8282" s="43">
        <v>-1026.02</v>
      </c>
      <c r="E8282" t="s">
        <v>35</v>
      </c>
      <c r="F8282" s="2">
        <v>610148001</v>
      </c>
      <c r="G8282" s="2" t="s">
        <v>42</v>
      </c>
      <c r="L8282" s="2" t="s">
        <v>14916</v>
      </c>
      <c r="M8282" t="s">
        <v>43</v>
      </c>
      <c r="N8282" t="s">
        <v>42</v>
      </c>
      <c r="P8282" s="23">
        <v>177.61</v>
      </c>
      <c r="Q8282" s="4">
        <f t="shared" si="129"/>
        <v>-5.7768143685603279</v>
      </c>
      <c r="R8282" s="23" t="s">
        <v>109</v>
      </c>
      <c r="T8282" s="90" t="s">
        <v>14165</v>
      </c>
    </row>
    <row r="8283" spans="1:23" x14ac:dyDescent="0.25">
      <c r="A8283" s="21">
        <v>45930</v>
      </c>
      <c r="B8283" s="1">
        <v>180544618</v>
      </c>
      <c r="C8283" t="s">
        <v>107</v>
      </c>
      <c r="D8283" s="43">
        <v>300000</v>
      </c>
      <c r="E8283" t="s">
        <v>46</v>
      </c>
      <c r="F8283" s="2">
        <v>210115002</v>
      </c>
      <c r="G8283" s="2" t="s">
        <v>12156</v>
      </c>
      <c r="L8283" s="2" t="s">
        <v>14917</v>
      </c>
      <c r="N8283" t="s">
        <v>107</v>
      </c>
      <c r="P8283" s="23">
        <v>177.61</v>
      </c>
      <c r="Q8283" s="4">
        <f t="shared" si="129"/>
        <v>1689.0940825403973</v>
      </c>
      <c r="R8283" s="23" t="s">
        <v>109</v>
      </c>
      <c r="T8283" s="91"/>
    </row>
    <row r="8284" spans="1:23" x14ac:dyDescent="0.25">
      <c r="A8284" s="21">
        <v>45930</v>
      </c>
      <c r="B8284" s="1">
        <v>18810974</v>
      </c>
      <c r="C8284" t="s">
        <v>14918</v>
      </c>
      <c r="D8284" s="43">
        <v>-1756.5</v>
      </c>
      <c r="E8284" t="s">
        <v>35</v>
      </c>
      <c r="F8284" s="2">
        <v>212901001</v>
      </c>
      <c r="G8284" s="2" t="s">
        <v>121</v>
      </c>
      <c r="L8284" s="2" t="s">
        <v>14919</v>
      </c>
      <c r="M8284" t="s">
        <v>67</v>
      </c>
      <c r="N8284" t="s">
        <v>68</v>
      </c>
      <c r="P8284" s="23">
        <v>177.61</v>
      </c>
      <c r="Q8284" s="4">
        <f t="shared" si="129"/>
        <v>-9.8896458532740272</v>
      </c>
      <c r="R8284" s="23" t="s">
        <v>109</v>
      </c>
      <c r="T8284" s="91"/>
      <c r="V8284" t="s">
        <v>10700</v>
      </c>
      <c r="W8284" t="s">
        <v>14392</v>
      </c>
    </row>
    <row r="8285" spans="1:23" x14ac:dyDescent="0.25">
      <c r="A8285" s="21">
        <v>45930</v>
      </c>
      <c r="B8285" s="1">
        <v>18810975</v>
      </c>
      <c r="C8285" t="s">
        <v>14920</v>
      </c>
      <c r="D8285" s="43">
        <v>-10539</v>
      </c>
      <c r="E8285" t="s">
        <v>35</v>
      </c>
      <c r="F8285" s="2">
        <v>212901001</v>
      </c>
      <c r="G8285" s="2" t="s">
        <v>121</v>
      </c>
      <c r="L8285" s="2" t="s">
        <v>14921</v>
      </c>
      <c r="M8285" t="s">
        <v>67</v>
      </c>
      <c r="N8285" t="s">
        <v>68</v>
      </c>
      <c r="P8285" s="23">
        <v>177.61</v>
      </c>
      <c r="Q8285" s="4">
        <f t="shared" si="129"/>
        <v>-59.33787511964416</v>
      </c>
      <c r="R8285" s="23" t="s">
        <v>109</v>
      </c>
      <c r="T8285" s="91"/>
      <c r="V8285" t="s">
        <v>10700</v>
      </c>
      <c r="W8285" t="s">
        <v>14392</v>
      </c>
    </row>
    <row r="8286" spans="1:23" x14ac:dyDescent="0.25">
      <c r="A8286" s="21">
        <v>45930</v>
      </c>
      <c r="B8286" s="1">
        <v>918810973</v>
      </c>
      <c r="C8286" t="s">
        <v>14922</v>
      </c>
      <c r="D8286" s="43">
        <v>-52695</v>
      </c>
      <c r="E8286" t="s">
        <v>35</v>
      </c>
      <c r="F8286" s="2">
        <v>212901001</v>
      </c>
      <c r="G8286" s="2" t="s">
        <v>121</v>
      </c>
      <c r="L8286" s="2" t="s">
        <v>14923</v>
      </c>
      <c r="M8286" t="s">
        <v>67</v>
      </c>
      <c r="N8286" t="s">
        <v>68</v>
      </c>
      <c r="P8286" s="23">
        <v>177.61</v>
      </c>
      <c r="Q8286" s="4">
        <f t="shared" si="129"/>
        <v>-296.68937559822081</v>
      </c>
      <c r="R8286" s="23" t="s">
        <v>109</v>
      </c>
      <c r="T8286" s="91"/>
      <c r="V8286" t="s">
        <v>10700</v>
      </c>
      <c r="W8286" t="s">
        <v>14397</v>
      </c>
    </row>
    <row r="8287" spans="1:23" x14ac:dyDescent="0.25">
      <c r="A8287" s="21">
        <v>45930</v>
      </c>
      <c r="B8287" s="1">
        <v>18810978</v>
      </c>
      <c r="C8287" t="s">
        <v>14924</v>
      </c>
      <c r="D8287" s="43">
        <v>-1756.5</v>
      </c>
      <c r="E8287" t="s">
        <v>35</v>
      </c>
      <c r="F8287" s="2">
        <v>212901001</v>
      </c>
      <c r="G8287" s="2" t="s">
        <v>121</v>
      </c>
      <c r="L8287" s="2" t="s">
        <v>14925</v>
      </c>
      <c r="M8287" t="s">
        <v>67</v>
      </c>
      <c r="N8287" t="s">
        <v>68</v>
      </c>
      <c r="P8287" s="23">
        <v>177.61</v>
      </c>
      <c r="Q8287" s="4">
        <f t="shared" si="129"/>
        <v>-9.8896458532740272</v>
      </c>
      <c r="R8287" s="23" t="s">
        <v>109</v>
      </c>
      <c r="T8287" s="91"/>
      <c r="V8287" t="s">
        <v>10700</v>
      </c>
      <c r="W8287" t="s">
        <v>14392</v>
      </c>
    </row>
    <row r="8288" spans="1:23" x14ac:dyDescent="0.25">
      <c r="A8288" s="21">
        <v>45930</v>
      </c>
      <c r="B8288" s="1">
        <v>18810979</v>
      </c>
      <c r="C8288" t="s">
        <v>14926</v>
      </c>
      <c r="D8288" s="43">
        <v>-1756.5</v>
      </c>
      <c r="E8288" t="s">
        <v>35</v>
      </c>
      <c r="F8288" s="2">
        <v>212901001</v>
      </c>
      <c r="G8288" s="2" t="s">
        <v>121</v>
      </c>
      <c r="L8288" s="2" t="s">
        <v>14927</v>
      </c>
      <c r="M8288" t="s">
        <v>67</v>
      </c>
      <c r="N8288" t="s">
        <v>68</v>
      </c>
      <c r="P8288" s="23">
        <v>177.61</v>
      </c>
      <c r="Q8288" s="4">
        <f t="shared" si="129"/>
        <v>-9.8896458532740272</v>
      </c>
      <c r="R8288" s="23" t="s">
        <v>109</v>
      </c>
      <c r="T8288" s="91"/>
      <c r="V8288" t="s">
        <v>10700</v>
      </c>
      <c r="W8288" t="s">
        <v>14392</v>
      </c>
    </row>
    <row r="8289" spans="1:23" x14ac:dyDescent="0.25">
      <c r="A8289" s="21">
        <v>45930</v>
      </c>
      <c r="B8289" s="1">
        <v>18810976</v>
      </c>
      <c r="C8289" t="s">
        <v>14928</v>
      </c>
      <c r="D8289" s="43">
        <v>-1756.5</v>
      </c>
      <c r="E8289" t="s">
        <v>35</v>
      </c>
      <c r="F8289" s="2">
        <v>212901001</v>
      </c>
      <c r="G8289" s="2" t="s">
        <v>121</v>
      </c>
      <c r="L8289" s="2" t="s">
        <v>14929</v>
      </c>
      <c r="M8289" t="s">
        <v>67</v>
      </c>
      <c r="N8289" t="s">
        <v>68</v>
      </c>
      <c r="P8289" s="23">
        <v>177.61</v>
      </c>
      <c r="Q8289" s="4">
        <f t="shared" si="129"/>
        <v>-9.8896458532740272</v>
      </c>
      <c r="R8289" s="23" t="s">
        <v>109</v>
      </c>
      <c r="T8289" s="91"/>
      <c r="V8289" t="s">
        <v>10700</v>
      </c>
      <c r="W8289" t="s">
        <v>14392</v>
      </c>
    </row>
    <row r="8290" spans="1:23" x14ac:dyDescent="0.25">
      <c r="A8290" s="21">
        <v>45930</v>
      </c>
      <c r="B8290" s="1">
        <v>18810977</v>
      </c>
      <c r="C8290" t="s">
        <v>14930</v>
      </c>
      <c r="D8290" s="43">
        <v>-1756.5</v>
      </c>
      <c r="E8290" t="s">
        <v>35</v>
      </c>
      <c r="F8290" s="2">
        <v>212901001</v>
      </c>
      <c r="G8290" s="2" t="s">
        <v>121</v>
      </c>
      <c r="L8290" s="2" t="s">
        <v>14931</v>
      </c>
      <c r="M8290" t="s">
        <v>67</v>
      </c>
      <c r="N8290" t="s">
        <v>68</v>
      </c>
      <c r="P8290" s="23">
        <v>177.61</v>
      </c>
      <c r="Q8290" s="4">
        <f t="shared" si="129"/>
        <v>-9.8896458532740272</v>
      </c>
      <c r="R8290" s="23" t="s">
        <v>109</v>
      </c>
      <c r="T8290" s="91"/>
      <c r="V8290" t="s">
        <v>10700</v>
      </c>
      <c r="W8290" t="s">
        <v>14392</v>
      </c>
    </row>
    <row r="8291" spans="1:23" x14ac:dyDescent="0.25">
      <c r="A8291" s="21">
        <v>45930</v>
      </c>
      <c r="B8291" s="1">
        <v>18810982</v>
      </c>
      <c r="C8291" t="s">
        <v>14932</v>
      </c>
      <c r="D8291" s="43">
        <v>-1756.5</v>
      </c>
      <c r="E8291" t="s">
        <v>35</v>
      </c>
      <c r="F8291" s="2">
        <v>212901001</v>
      </c>
      <c r="G8291" s="2" t="s">
        <v>121</v>
      </c>
      <c r="L8291" s="2" t="s">
        <v>14933</v>
      </c>
      <c r="M8291" t="s">
        <v>67</v>
      </c>
      <c r="N8291" t="s">
        <v>68</v>
      </c>
      <c r="P8291" s="23">
        <v>177.61</v>
      </c>
      <c r="Q8291" s="4">
        <f t="shared" si="129"/>
        <v>-9.8896458532740272</v>
      </c>
      <c r="R8291" s="23" t="s">
        <v>109</v>
      </c>
      <c r="T8291" s="91"/>
      <c r="V8291" t="s">
        <v>10700</v>
      </c>
      <c r="W8291" t="s">
        <v>14392</v>
      </c>
    </row>
    <row r="8292" spans="1:23" x14ac:dyDescent="0.25">
      <c r="A8292" s="21">
        <v>45930</v>
      </c>
      <c r="B8292" s="1">
        <v>18810980</v>
      </c>
      <c r="C8292" t="s">
        <v>14934</v>
      </c>
      <c r="D8292" s="43">
        <v>-1756.5</v>
      </c>
      <c r="E8292" t="s">
        <v>35</v>
      </c>
      <c r="F8292" s="2">
        <v>212901001</v>
      </c>
      <c r="G8292" s="2" t="s">
        <v>121</v>
      </c>
      <c r="L8292" s="2" t="s">
        <v>14935</v>
      </c>
      <c r="M8292" t="s">
        <v>67</v>
      </c>
      <c r="N8292" t="s">
        <v>68</v>
      </c>
      <c r="P8292" s="23">
        <v>177.61</v>
      </c>
      <c r="Q8292" s="4">
        <f t="shared" si="129"/>
        <v>-9.8896458532740272</v>
      </c>
      <c r="R8292" s="23" t="s">
        <v>109</v>
      </c>
      <c r="T8292" s="91"/>
      <c r="V8292" t="s">
        <v>10700</v>
      </c>
      <c r="W8292" t="s">
        <v>14392</v>
      </c>
    </row>
    <row r="8293" spans="1:23" x14ac:dyDescent="0.25">
      <c r="A8293" s="21">
        <v>45930</v>
      </c>
      <c r="B8293" s="1">
        <v>18810981</v>
      </c>
      <c r="C8293" t="s">
        <v>14936</v>
      </c>
      <c r="D8293" s="43">
        <v>-35130</v>
      </c>
      <c r="E8293" t="s">
        <v>35</v>
      </c>
      <c r="F8293" s="2">
        <v>212901001</v>
      </c>
      <c r="G8293" s="2" t="s">
        <v>121</v>
      </c>
      <c r="L8293" s="2" t="s">
        <v>14937</v>
      </c>
      <c r="M8293" t="s">
        <v>67</v>
      </c>
      <c r="N8293" t="s">
        <v>68</v>
      </c>
      <c r="P8293" s="23">
        <v>177.61</v>
      </c>
      <c r="Q8293" s="4">
        <f t="shared" si="129"/>
        <v>-197.79291706548054</v>
      </c>
      <c r="R8293" s="23" t="s">
        <v>109</v>
      </c>
      <c r="T8293" s="91"/>
      <c r="V8293" t="s">
        <v>10700</v>
      </c>
      <c r="W8293" t="s">
        <v>14397</v>
      </c>
    </row>
    <row r="8294" spans="1:23" x14ac:dyDescent="0.25">
      <c r="A8294" s="21">
        <v>45930</v>
      </c>
      <c r="B8294" s="1">
        <v>118810984</v>
      </c>
      <c r="C8294" t="s">
        <v>14938</v>
      </c>
      <c r="D8294" s="43">
        <v>-1756.5</v>
      </c>
      <c r="E8294" t="s">
        <v>35</v>
      </c>
      <c r="F8294" s="2">
        <v>212901001</v>
      </c>
      <c r="G8294" s="2" t="s">
        <v>121</v>
      </c>
      <c r="L8294" s="2" t="s">
        <v>14939</v>
      </c>
      <c r="M8294" t="s">
        <v>67</v>
      </c>
      <c r="N8294" t="s">
        <v>68</v>
      </c>
      <c r="P8294" s="23">
        <v>177.61</v>
      </c>
      <c r="Q8294" s="4">
        <f t="shared" si="129"/>
        <v>-9.8896458532740272</v>
      </c>
      <c r="R8294" s="23" t="s">
        <v>109</v>
      </c>
      <c r="T8294" s="91"/>
      <c r="V8294" t="s">
        <v>10700</v>
      </c>
      <c r="W8294" t="s">
        <v>14392</v>
      </c>
    </row>
    <row r="8295" spans="1:23" x14ac:dyDescent="0.25">
      <c r="A8295" s="21">
        <v>45930</v>
      </c>
      <c r="B8295" s="1">
        <v>118810983</v>
      </c>
      <c r="C8295" t="s">
        <v>14940</v>
      </c>
      <c r="D8295" s="43">
        <v>-1756.5</v>
      </c>
      <c r="E8295" t="s">
        <v>35</v>
      </c>
      <c r="F8295" s="2">
        <v>212901001</v>
      </c>
      <c r="G8295" s="2" t="s">
        <v>121</v>
      </c>
      <c r="L8295" s="2" t="s">
        <v>14941</v>
      </c>
      <c r="M8295" t="s">
        <v>67</v>
      </c>
      <c r="N8295" t="s">
        <v>68</v>
      </c>
      <c r="P8295" s="23">
        <v>177.61</v>
      </c>
      <c r="Q8295" s="4">
        <f t="shared" si="129"/>
        <v>-9.8896458532740272</v>
      </c>
      <c r="R8295" s="23" t="s">
        <v>109</v>
      </c>
      <c r="T8295" s="91"/>
      <c r="V8295" t="s">
        <v>10700</v>
      </c>
      <c r="W8295" t="s">
        <v>14392</v>
      </c>
    </row>
    <row r="8296" spans="1:23" x14ac:dyDescent="0.25">
      <c r="A8296" s="21">
        <v>45930</v>
      </c>
      <c r="B8296" s="1">
        <v>118810990</v>
      </c>
      <c r="C8296" t="s">
        <v>14942</v>
      </c>
      <c r="D8296" s="43">
        <v>-1756.5</v>
      </c>
      <c r="E8296" t="s">
        <v>35</v>
      </c>
      <c r="F8296" s="2">
        <v>212901001</v>
      </c>
      <c r="G8296" s="2" t="s">
        <v>121</v>
      </c>
      <c r="L8296" s="2" t="s">
        <v>14943</v>
      </c>
      <c r="M8296" t="s">
        <v>67</v>
      </c>
      <c r="N8296" t="s">
        <v>68</v>
      </c>
      <c r="P8296" s="23">
        <v>177.61</v>
      </c>
      <c r="Q8296" s="4">
        <f t="shared" si="129"/>
        <v>-9.8896458532740272</v>
      </c>
      <c r="R8296" s="23" t="s">
        <v>109</v>
      </c>
      <c r="T8296" s="91"/>
      <c r="V8296" t="s">
        <v>10700</v>
      </c>
      <c r="W8296" t="s">
        <v>14392</v>
      </c>
    </row>
    <row r="8297" spans="1:23" x14ac:dyDescent="0.25">
      <c r="A8297" s="21">
        <v>45930</v>
      </c>
      <c r="B8297" s="1">
        <v>118810985</v>
      </c>
      <c r="C8297" t="s">
        <v>14944</v>
      </c>
      <c r="D8297" s="43">
        <v>-10539</v>
      </c>
      <c r="E8297" t="s">
        <v>35</v>
      </c>
      <c r="F8297" s="2">
        <v>212901001</v>
      </c>
      <c r="G8297" s="2" t="s">
        <v>121</v>
      </c>
      <c r="L8297" s="2" t="s">
        <v>14945</v>
      </c>
      <c r="M8297" t="s">
        <v>67</v>
      </c>
      <c r="N8297" t="s">
        <v>68</v>
      </c>
      <c r="P8297" s="23">
        <v>177.61</v>
      </c>
      <c r="Q8297" s="4">
        <f t="shared" si="129"/>
        <v>-59.33787511964416</v>
      </c>
      <c r="R8297" s="23" t="s">
        <v>109</v>
      </c>
      <c r="T8297" s="91"/>
      <c r="V8297" t="s">
        <v>12595</v>
      </c>
      <c r="W8297" t="s">
        <v>14392</v>
      </c>
    </row>
    <row r="8298" spans="1:23" x14ac:dyDescent="0.25">
      <c r="A8298" s="21">
        <v>45930</v>
      </c>
      <c r="B8298" s="1">
        <v>118810987</v>
      </c>
      <c r="C8298" t="s">
        <v>14946</v>
      </c>
      <c r="D8298" s="43">
        <v>-1756.5</v>
      </c>
      <c r="E8298" t="s">
        <v>35</v>
      </c>
      <c r="F8298" s="2">
        <v>212901001</v>
      </c>
      <c r="G8298" s="2" t="s">
        <v>121</v>
      </c>
      <c r="L8298" s="2" t="s">
        <v>14947</v>
      </c>
      <c r="M8298" t="s">
        <v>67</v>
      </c>
      <c r="N8298" t="s">
        <v>68</v>
      </c>
      <c r="P8298" s="23">
        <v>177.61</v>
      </c>
      <c r="Q8298" s="4">
        <f t="shared" si="129"/>
        <v>-9.8896458532740272</v>
      </c>
      <c r="R8298" s="23" t="s">
        <v>109</v>
      </c>
      <c r="T8298" s="91"/>
      <c r="V8298" t="s">
        <v>10700</v>
      </c>
      <c r="W8298" t="s">
        <v>14392</v>
      </c>
    </row>
    <row r="8299" spans="1:23" x14ac:dyDescent="0.25">
      <c r="A8299" s="21">
        <v>45930</v>
      </c>
      <c r="B8299" s="1">
        <v>118810989</v>
      </c>
      <c r="C8299" t="s">
        <v>14948</v>
      </c>
      <c r="D8299" s="43">
        <v>-1756.5</v>
      </c>
      <c r="E8299" t="s">
        <v>35</v>
      </c>
      <c r="F8299" s="2">
        <v>212901001</v>
      </c>
      <c r="G8299" s="2" t="s">
        <v>121</v>
      </c>
      <c r="L8299" s="2" t="s">
        <v>14949</v>
      </c>
      <c r="M8299" t="s">
        <v>67</v>
      </c>
      <c r="N8299" t="s">
        <v>68</v>
      </c>
      <c r="P8299" s="23">
        <v>177.61</v>
      </c>
      <c r="Q8299" s="4">
        <f t="shared" si="129"/>
        <v>-9.8896458532740272</v>
      </c>
      <c r="R8299" s="23" t="s">
        <v>109</v>
      </c>
      <c r="T8299" s="91"/>
      <c r="V8299" t="s">
        <v>10700</v>
      </c>
      <c r="W8299" t="s">
        <v>14392</v>
      </c>
    </row>
    <row r="8300" spans="1:23" x14ac:dyDescent="0.25">
      <c r="A8300" s="21">
        <v>45930</v>
      </c>
      <c r="B8300" s="1">
        <v>118810986</v>
      </c>
      <c r="C8300" t="s">
        <v>14950</v>
      </c>
      <c r="D8300" s="43">
        <v>-1756.5</v>
      </c>
      <c r="E8300" t="s">
        <v>35</v>
      </c>
      <c r="F8300" s="2">
        <v>212901001</v>
      </c>
      <c r="G8300" s="2" t="s">
        <v>121</v>
      </c>
      <c r="L8300" s="2" t="s">
        <v>14951</v>
      </c>
      <c r="M8300" t="s">
        <v>67</v>
      </c>
      <c r="N8300" t="s">
        <v>68</v>
      </c>
      <c r="P8300" s="23">
        <v>177.61</v>
      </c>
      <c r="Q8300" s="4">
        <f t="shared" si="129"/>
        <v>-9.8896458532740272</v>
      </c>
      <c r="R8300" s="23" t="s">
        <v>109</v>
      </c>
      <c r="T8300" s="91"/>
      <c r="V8300" t="s">
        <v>10700</v>
      </c>
      <c r="W8300" t="s">
        <v>14392</v>
      </c>
    </row>
    <row r="8301" spans="1:23" x14ac:dyDescent="0.25">
      <c r="A8301" s="21">
        <v>45930</v>
      </c>
      <c r="B8301" s="1">
        <v>118810988</v>
      </c>
      <c r="C8301" t="s">
        <v>14952</v>
      </c>
      <c r="D8301" s="43">
        <v>-1756.5</v>
      </c>
      <c r="E8301" t="s">
        <v>35</v>
      </c>
      <c r="F8301" s="2">
        <v>212901001</v>
      </c>
      <c r="G8301" s="2" t="s">
        <v>121</v>
      </c>
      <c r="L8301" s="2" t="s">
        <v>14953</v>
      </c>
      <c r="M8301" t="s">
        <v>67</v>
      </c>
      <c r="N8301" t="s">
        <v>68</v>
      </c>
      <c r="P8301" s="23">
        <v>177.61</v>
      </c>
      <c r="Q8301" s="4">
        <f t="shared" si="129"/>
        <v>-9.8896458532740272</v>
      </c>
      <c r="R8301" s="23" t="s">
        <v>109</v>
      </c>
      <c r="T8301" s="91"/>
      <c r="V8301" t="s">
        <v>10700</v>
      </c>
      <c r="W8301" t="s">
        <v>14392</v>
      </c>
    </row>
    <row r="8302" spans="1:23" x14ac:dyDescent="0.25">
      <c r="A8302" s="21">
        <v>45930</v>
      </c>
      <c r="B8302" s="1">
        <v>118810991</v>
      </c>
      <c r="C8302" t="s">
        <v>14954</v>
      </c>
      <c r="D8302" s="43">
        <v>-1756.5</v>
      </c>
      <c r="E8302" t="s">
        <v>35</v>
      </c>
      <c r="F8302" s="2">
        <v>212901001</v>
      </c>
      <c r="G8302" s="2" t="s">
        <v>121</v>
      </c>
      <c r="L8302" s="2" t="s">
        <v>14955</v>
      </c>
      <c r="M8302" t="s">
        <v>67</v>
      </c>
      <c r="N8302" t="s">
        <v>68</v>
      </c>
      <c r="P8302" s="23">
        <v>177.61</v>
      </c>
      <c r="Q8302" s="4">
        <f t="shared" si="129"/>
        <v>-9.8896458532740272</v>
      </c>
      <c r="R8302" s="23" t="s">
        <v>109</v>
      </c>
      <c r="T8302" s="91"/>
      <c r="V8302" t="s">
        <v>10700</v>
      </c>
      <c r="W8302" t="s">
        <v>14392</v>
      </c>
    </row>
    <row r="8303" spans="1:23" x14ac:dyDescent="0.25">
      <c r="A8303" s="21">
        <v>45930</v>
      </c>
      <c r="B8303" s="1">
        <v>218810995</v>
      </c>
      <c r="C8303" t="s">
        <v>14956</v>
      </c>
      <c r="D8303" s="43">
        <v>-87500.05</v>
      </c>
      <c r="E8303" t="s">
        <v>35</v>
      </c>
      <c r="F8303" s="2">
        <v>212901001</v>
      </c>
      <c r="G8303" s="2" t="s">
        <v>121</v>
      </c>
      <c r="L8303" s="2" t="s">
        <v>14957</v>
      </c>
      <c r="M8303" t="s">
        <v>67</v>
      </c>
      <c r="N8303" t="s">
        <v>68</v>
      </c>
      <c r="P8303" s="23">
        <v>177.61</v>
      </c>
      <c r="Q8303" s="4">
        <f t="shared" si="129"/>
        <v>-492.65272225662966</v>
      </c>
      <c r="R8303" s="23" t="s">
        <v>109</v>
      </c>
      <c r="T8303" s="91"/>
      <c r="V8303" t="s">
        <v>10700</v>
      </c>
      <c r="W8303" t="s">
        <v>14397</v>
      </c>
    </row>
    <row r="8304" spans="1:23" x14ac:dyDescent="0.25">
      <c r="A8304" s="21">
        <v>45930</v>
      </c>
      <c r="B8304" s="1">
        <v>218810993</v>
      </c>
      <c r="C8304" t="s">
        <v>14958</v>
      </c>
      <c r="D8304" s="43">
        <v>-15808.5</v>
      </c>
      <c r="E8304" t="s">
        <v>35</v>
      </c>
      <c r="F8304" s="2">
        <v>212901001</v>
      </c>
      <c r="G8304" s="2" t="s">
        <v>121</v>
      </c>
      <c r="L8304" s="2" t="s">
        <v>14959</v>
      </c>
      <c r="M8304" t="s">
        <v>67</v>
      </c>
      <c r="N8304" t="s">
        <v>68</v>
      </c>
      <c r="P8304" s="23">
        <v>177.61</v>
      </c>
      <c r="Q8304" s="4">
        <f t="shared" si="129"/>
        <v>-89.006812679466236</v>
      </c>
      <c r="R8304" s="23" t="s">
        <v>109</v>
      </c>
      <c r="T8304" s="91"/>
      <c r="V8304" t="s">
        <v>10700</v>
      </c>
    </row>
    <row r="8305" spans="1:23" x14ac:dyDescent="0.25">
      <c r="A8305" s="21">
        <v>45930</v>
      </c>
      <c r="B8305" s="1">
        <v>218810997</v>
      </c>
      <c r="C8305" t="s">
        <v>14960</v>
      </c>
      <c r="D8305" s="43">
        <v>-6727.4</v>
      </c>
      <c r="E8305" t="s">
        <v>35</v>
      </c>
      <c r="F8305" s="2">
        <v>212901001</v>
      </c>
      <c r="G8305" s="2" t="s">
        <v>121</v>
      </c>
      <c r="L8305" s="2" t="s">
        <v>14961</v>
      </c>
      <c r="M8305" t="s">
        <v>67</v>
      </c>
      <c r="N8305" t="s">
        <v>68</v>
      </c>
      <c r="P8305" s="23">
        <v>177.61</v>
      </c>
      <c r="Q8305" s="4">
        <f t="shared" si="129"/>
        <v>-37.877371769607564</v>
      </c>
      <c r="R8305" s="23" t="s">
        <v>109</v>
      </c>
      <c r="T8305" s="91"/>
      <c r="V8305" t="s">
        <v>10700</v>
      </c>
      <c r="W8305" t="s">
        <v>14392</v>
      </c>
    </row>
    <row r="8306" spans="1:23" x14ac:dyDescent="0.25">
      <c r="A8306" s="21">
        <v>45930</v>
      </c>
      <c r="B8306" s="1">
        <v>218810994</v>
      </c>
      <c r="C8306" t="s">
        <v>14962</v>
      </c>
      <c r="D8306" s="43">
        <v>-15808.5</v>
      </c>
      <c r="E8306" t="s">
        <v>35</v>
      </c>
      <c r="F8306" s="2">
        <v>212901001</v>
      </c>
      <c r="G8306" s="2" t="s">
        <v>121</v>
      </c>
      <c r="L8306" s="2" t="s">
        <v>14963</v>
      </c>
      <c r="M8306" t="s">
        <v>67</v>
      </c>
      <c r="N8306" t="s">
        <v>68</v>
      </c>
      <c r="P8306" s="23">
        <v>177.61</v>
      </c>
      <c r="Q8306" s="4">
        <f t="shared" si="129"/>
        <v>-89.006812679466236</v>
      </c>
      <c r="R8306" s="23" t="s">
        <v>109</v>
      </c>
      <c r="T8306" s="91"/>
      <c r="V8306" t="s">
        <v>12595</v>
      </c>
      <c r="W8306" t="s">
        <v>14392</v>
      </c>
    </row>
    <row r="8307" spans="1:23" x14ac:dyDescent="0.25">
      <c r="A8307" s="21">
        <v>45930</v>
      </c>
      <c r="B8307" s="1">
        <v>218810992</v>
      </c>
      <c r="C8307" t="s">
        <v>14964</v>
      </c>
      <c r="D8307" s="43">
        <v>-15808.5</v>
      </c>
      <c r="E8307" t="s">
        <v>35</v>
      </c>
      <c r="F8307" s="2">
        <v>212901001</v>
      </c>
      <c r="G8307" s="2" t="s">
        <v>121</v>
      </c>
      <c r="L8307" s="2" t="s">
        <v>14965</v>
      </c>
      <c r="M8307" t="s">
        <v>67</v>
      </c>
      <c r="N8307" t="s">
        <v>68</v>
      </c>
      <c r="P8307" s="23">
        <v>177.61</v>
      </c>
      <c r="Q8307" s="4">
        <f t="shared" si="129"/>
        <v>-89.006812679466236</v>
      </c>
      <c r="R8307" s="23" t="s">
        <v>109</v>
      </c>
      <c r="T8307" s="91"/>
      <c r="V8307" t="s">
        <v>10700</v>
      </c>
    </row>
    <row r="8308" spans="1:23" x14ac:dyDescent="0.25">
      <c r="A8308" s="21">
        <v>45930</v>
      </c>
      <c r="B8308" s="1">
        <v>218810998</v>
      </c>
      <c r="C8308" t="s">
        <v>14966</v>
      </c>
      <c r="D8308" s="43">
        <v>-8485.65</v>
      </c>
      <c r="E8308" t="s">
        <v>35</v>
      </c>
      <c r="F8308" s="2">
        <v>212901001</v>
      </c>
      <c r="G8308" s="2" t="s">
        <v>121</v>
      </c>
      <c r="L8308" s="2" t="s">
        <v>14967</v>
      </c>
      <c r="M8308" t="s">
        <v>67</v>
      </c>
      <c r="N8308" t="s">
        <v>68</v>
      </c>
      <c r="P8308" s="23">
        <v>177.61</v>
      </c>
      <c r="Q8308" s="4">
        <f t="shared" si="129"/>
        <v>-47.776870671696408</v>
      </c>
      <c r="R8308" s="23" t="s">
        <v>109</v>
      </c>
      <c r="T8308" s="91"/>
      <c r="V8308" t="s">
        <v>10700</v>
      </c>
      <c r="W8308" t="s">
        <v>14392</v>
      </c>
    </row>
    <row r="8309" spans="1:23" x14ac:dyDescent="0.25">
      <c r="A8309" s="21">
        <v>45930</v>
      </c>
      <c r="B8309" s="1">
        <v>218810996</v>
      </c>
      <c r="C8309" t="s">
        <v>14968</v>
      </c>
      <c r="D8309" s="43">
        <v>-13727.05</v>
      </c>
      <c r="E8309" t="s">
        <v>35</v>
      </c>
      <c r="F8309" s="2">
        <v>212901001</v>
      </c>
      <c r="G8309" s="2" t="s">
        <v>121</v>
      </c>
      <c r="L8309" s="2" t="s">
        <v>14969</v>
      </c>
      <c r="M8309" t="s">
        <v>67</v>
      </c>
      <c r="N8309" t="s">
        <v>68</v>
      </c>
      <c r="P8309" s="23">
        <v>177.61</v>
      </c>
      <c r="Q8309" s="4">
        <f t="shared" si="129"/>
        <v>-77.287596419120533</v>
      </c>
      <c r="R8309" s="23" t="s">
        <v>109</v>
      </c>
      <c r="T8309" s="91"/>
      <c r="V8309" t="s">
        <v>12595</v>
      </c>
      <c r="W8309" t="s">
        <v>14392</v>
      </c>
    </row>
    <row r="8310" spans="1:23" x14ac:dyDescent="0.25">
      <c r="A8310" s="21">
        <v>45930</v>
      </c>
      <c r="B8310" s="1">
        <v>218810999</v>
      </c>
      <c r="C8310" t="s">
        <v>14970</v>
      </c>
      <c r="D8310" s="43">
        <v>-5455.69</v>
      </c>
      <c r="E8310" t="s">
        <v>35</v>
      </c>
      <c r="F8310" s="2">
        <v>212901001</v>
      </c>
      <c r="G8310" s="2" t="s">
        <v>121</v>
      </c>
      <c r="L8310" s="2" t="s">
        <v>14971</v>
      </c>
      <c r="M8310" t="s">
        <v>67</v>
      </c>
      <c r="N8310" t="s">
        <v>68</v>
      </c>
      <c r="P8310" s="23">
        <v>177.61</v>
      </c>
      <c r="Q8310" s="4">
        <f t="shared" si="129"/>
        <v>-30.717245650582733</v>
      </c>
      <c r="R8310" s="23" t="s">
        <v>109</v>
      </c>
      <c r="T8310" s="91"/>
      <c r="V8310" t="s">
        <v>10700</v>
      </c>
      <c r="W8310" t="s">
        <v>14392</v>
      </c>
    </row>
    <row r="8311" spans="1:23" x14ac:dyDescent="0.25">
      <c r="A8311" s="21">
        <v>45930</v>
      </c>
      <c r="B8311" s="1">
        <v>318811002</v>
      </c>
      <c r="C8311" t="s">
        <v>14972</v>
      </c>
      <c r="D8311" s="43">
        <v>-13140.38</v>
      </c>
      <c r="E8311" t="s">
        <v>35</v>
      </c>
      <c r="F8311" s="2">
        <v>212901001</v>
      </c>
      <c r="G8311" s="2" t="s">
        <v>121</v>
      </c>
      <c r="L8311" s="2" t="s">
        <v>14973</v>
      </c>
      <c r="M8311" t="s">
        <v>67</v>
      </c>
      <c r="N8311" t="s">
        <v>68</v>
      </c>
      <c r="P8311" s="23">
        <v>177.61</v>
      </c>
      <c r="Q8311" s="4">
        <f t="shared" si="129"/>
        <v>-73.984460334440612</v>
      </c>
      <c r="R8311" s="23" t="s">
        <v>109</v>
      </c>
      <c r="T8311" s="91"/>
      <c r="V8311" t="s">
        <v>10700</v>
      </c>
      <c r="W8311" t="s">
        <v>14392</v>
      </c>
    </row>
    <row r="8312" spans="1:23" x14ac:dyDescent="0.25">
      <c r="A8312" s="21">
        <v>45930</v>
      </c>
      <c r="B8312" s="1">
        <v>318811001</v>
      </c>
      <c r="C8312" t="s">
        <v>14974</v>
      </c>
      <c r="D8312" s="43">
        <v>-13416.15</v>
      </c>
      <c r="E8312" t="s">
        <v>35</v>
      </c>
      <c r="F8312" s="2">
        <v>212901001</v>
      </c>
      <c r="G8312" s="2" t="s">
        <v>121</v>
      </c>
      <c r="L8312" s="2" t="s">
        <v>14975</v>
      </c>
      <c r="M8312" t="s">
        <v>67</v>
      </c>
      <c r="N8312" t="s">
        <v>68</v>
      </c>
      <c r="P8312" s="23">
        <v>177.61</v>
      </c>
      <c r="Q8312" s="4">
        <f t="shared" si="129"/>
        <v>-75.537131918247837</v>
      </c>
      <c r="R8312" s="23" t="s">
        <v>109</v>
      </c>
      <c r="T8312" s="91"/>
      <c r="V8312" t="s">
        <v>10700</v>
      </c>
      <c r="W8312" t="s">
        <v>14392</v>
      </c>
    </row>
    <row r="8313" spans="1:23" x14ac:dyDescent="0.25">
      <c r="A8313" s="21">
        <v>45930</v>
      </c>
      <c r="B8313" s="1">
        <v>318811003</v>
      </c>
      <c r="C8313" t="s">
        <v>14976</v>
      </c>
      <c r="D8313" s="43">
        <v>-12920.81</v>
      </c>
      <c r="E8313" t="s">
        <v>35</v>
      </c>
      <c r="F8313" s="2">
        <v>212901001</v>
      </c>
      <c r="G8313" s="2" t="s">
        <v>121</v>
      </c>
      <c r="L8313" s="2" t="s">
        <v>14977</v>
      </c>
      <c r="M8313" t="s">
        <v>67</v>
      </c>
      <c r="N8313" t="s">
        <v>68</v>
      </c>
      <c r="P8313" s="23">
        <v>177.61</v>
      </c>
      <c r="Q8313" s="4">
        <f t="shared" si="129"/>
        <v>-72.748212375429304</v>
      </c>
      <c r="R8313" s="23" t="s">
        <v>109</v>
      </c>
      <c r="T8313" s="91"/>
      <c r="V8313" t="s">
        <v>10700</v>
      </c>
      <c r="W8313" t="s">
        <v>14392</v>
      </c>
    </row>
    <row r="8314" spans="1:23" x14ac:dyDescent="0.25">
      <c r="A8314" s="21">
        <v>45930</v>
      </c>
      <c r="B8314" s="1">
        <v>318811000</v>
      </c>
      <c r="C8314" t="s">
        <v>14978</v>
      </c>
      <c r="D8314" s="43">
        <v>-8506.73</v>
      </c>
      <c r="E8314" t="s">
        <v>35</v>
      </c>
      <c r="F8314" s="2">
        <v>212901001</v>
      </c>
      <c r="G8314" s="2" t="s">
        <v>121</v>
      </c>
      <c r="L8314" s="2" t="s">
        <v>14979</v>
      </c>
      <c r="M8314" t="s">
        <v>67</v>
      </c>
      <c r="N8314" t="s">
        <v>68</v>
      </c>
      <c r="P8314" s="23">
        <v>177.61</v>
      </c>
      <c r="Q8314" s="4">
        <f t="shared" si="129"/>
        <v>-47.895557682562909</v>
      </c>
      <c r="R8314" s="23" t="s">
        <v>109</v>
      </c>
      <c r="T8314" s="91"/>
      <c r="V8314" t="s">
        <v>10700</v>
      </c>
      <c r="W8314" t="s">
        <v>14392</v>
      </c>
    </row>
    <row r="8315" spans="1:23" x14ac:dyDescent="0.25">
      <c r="A8315" s="21">
        <v>45930</v>
      </c>
      <c r="B8315" s="1">
        <v>318811005</v>
      </c>
      <c r="C8315" t="s">
        <v>14980</v>
      </c>
      <c r="D8315" s="43">
        <v>-12896.22</v>
      </c>
      <c r="E8315" t="s">
        <v>35</v>
      </c>
      <c r="F8315" s="2">
        <v>212901001</v>
      </c>
      <c r="G8315" s="2" t="s">
        <v>121</v>
      </c>
      <c r="L8315" s="2" t="s">
        <v>14981</v>
      </c>
      <c r="M8315" t="s">
        <v>67</v>
      </c>
      <c r="N8315" t="s">
        <v>68</v>
      </c>
      <c r="P8315" s="23">
        <v>177.61</v>
      </c>
      <c r="Q8315" s="4">
        <f t="shared" si="129"/>
        <v>-72.609762963797081</v>
      </c>
      <c r="R8315" s="23" t="s">
        <v>109</v>
      </c>
      <c r="T8315" s="91"/>
      <c r="V8315" t="s">
        <v>10700</v>
      </c>
      <c r="W8315" t="s">
        <v>14392</v>
      </c>
    </row>
    <row r="8316" spans="1:23" x14ac:dyDescent="0.25">
      <c r="A8316" s="21">
        <v>45930</v>
      </c>
      <c r="B8316" s="1">
        <v>318811004</v>
      </c>
      <c r="C8316" t="s">
        <v>14982</v>
      </c>
      <c r="D8316" s="43">
        <v>-5847.39</v>
      </c>
      <c r="E8316" t="s">
        <v>35</v>
      </c>
      <c r="F8316" s="2">
        <v>212901001</v>
      </c>
      <c r="G8316" s="2" t="s">
        <v>121</v>
      </c>
      <c r="L8316" s="2" t="s">
        <v>14983</v>
      </c>
      <c r="M8316" t="s">
        <v>67</v>
      </c>
      <c r="N8316" t="s">
        <v>68</v>
      </c>
      <c r="P8316" s="23">
        <v>177.61</v>
      </c>
      <c r="Q8316" s="4">
        <f t="shared" si="129"/>
        <v>-32.922639491019652</v>
      </c>
      <c r="R8316" s="23" t="s">
        <v>109</v>
      </c>
      <c r="T8316" s="91"/>
      <c r="V8316" t="s">
        <v>10700</v>
      </c>
      <c r="W8316" t="s">
        <v>14392</v>
      </c>
    </row>
    <row r="8317" spans="1:23" x14ac:dyDescent="0.25">
      <c r="A8317" s="21">
        <v>45930</v>
      </c>
      <c r="B8317" s="1">
        <v>318811006</v>
      </c>
      <c r="C8317" t="s">
        <v>14984</v>
      </c>
      <c r="D8317" s="43">
        <v>-12738.14</v>
      </c>
      <c r="E8317" t="s">
        <v>35</v>
      </c>
      <c r="F8317" s="2">
        <v>212901001</v>
      </c>
      <c r="G8317" s="2" t="s">
        <v>121</v>
      </c>
      <c r="L8317" s="2" t="s">
        <v>14985</v>
      </c>
      <c r="M8317" t="s">
        <v>67</v>
      </c>
      <c r="N8317" t="s">
        <v>68</v>
      </c>
      <c r="P8317" s="23">
        <v>177.61</v>
      </c>
      <c r="Q8317" s="4">
        <f t="shared" si="129"/>
        <v>-71.719722988570453</v>
      </c>
      <c r="R8317" s="23" t="s">
        <v>109</v>
      </c>
      <c r="T8317" s="91"/>
      <c r="V8317" t="s">
        <v>10700</v>
      </c>
      <c r="W8317" t="s">
        <v>14392</v>
      </c>
    </row>
    <row r="8318" spans="1:23" x14ac:dyDescent="0.25">
      <c r="A8318" s="21">
        <v>45930</v>
      </c>
      <c r="B8318" s="1">
        <v>318811007</v>
      </c>
      <c r="C8318" t="s">
        <v>14986</v>
      </c>
      <c r="D8318" s="43">
        <v>-69935.05</v>
      </c>
      <c r="E8318" t="s">
        <v>35</v>
      </c>
      <c r="F8318" s="2">
        <v>212901001</v>
      </c>
      <c r="G8318" s="2" t="s">
        <v>121</v>
      </c>
      <c r="L8318" s="2" t="s">
        <v>14987</v>
      </c>
      <c r="M8318" t="s">
        <v>67</v>
      </c>
      <c r="N8318" t="s">
        <v>68</v>
      </c>
      <c r="P8318" s="23">
        <v>177.61</v>
      </c>
      <c r="Q8318" s="4">
        <f t="shared" si="129"/>
        <v>-393.75626372388939</v>
      </c>
      <c r="R8318" s="23" t="s">
        <v>109</v>
      </c>
      <c r="T8318" s="91"/>
      <c r="V8318" t="s">
        <v>10700</v>
      </c>
      <c r="W8318" t="s">
        <v>14397</v>
      </c>
    </row>
    <row r="8319" spans="1:23" x14ac:dyDescent="0.25">
      <c r="A8319" s="21">
        <v>45930</v>
      </c>
      <c r="B8319" s="1">
        <v>318811008</v>
      </c>
      <c r="C8319" t="s">
        <v>14988</v>
      </c>
      <c r="D8319" s="43">
        <v>-10212.290000000001</v>
      </c>
      <c r="E8319" t="s">
        <v>35</v>
      </c>
      <c r="F8319" s="2">
        <v>212901001</v>
      </c>
      <c r="G8319" s="2" t="s">
        <v>121</v>
      </c>
      <c r="L8319" s="2" t="s">
        <v>14989</v>
      </c>
      <c r="M8319" t="s">
        <v>67</v>
      </c>
      <c r="N8319" t="s">
        <v>68</v>
      </c>
      <c r="P8319" s="23">
        <v>177.61</v>
      </c>
      <c r="Q8319" s="4">
        <f t="shared" si="129"/>
        <v>-57.498395360621586</v>
      </c>
      <c r="R8319" s="23" t="s">
        <v>109</v>
      </c>
      <c r="T8319" s="91"/>
      <c r="V8319" t="s">
        <v>10700</v>
      </c>
      <c r="W8319" t="s">
        <v>14392</v>
      </c>
    </row>
    <row r="8320" spans="1:23" x14ac:dyDescent="0.25">
      <c r="A8320" s="21">
        <v>45930</v>
      </c>
      <c r="B8320" s="1">
        <v>418811011</v>
      </c>
      <c r="C8320" t="s">
        <v>14990</v>
      </c>
      <c r="D8320" s="43">
        <v>-13727.05</v>
      </c>
      <c r="E8320" t="s">
        <v>35</v>
      </c>
      <c r="F8320" s="2">
        <v>212901001</v>
      </c>
      <c r="G8320" s="2" t="s">
        <v>121</v>
      </c>
      <c r="L8320" s="2" t="s">
        <v>14991</v>
      </c>
      <c r="M8320" t="s">
        <v>67</v>
      </c>
      <c r="N8320" t="s">
        <v>68</v>
      </c>
      <c r="P8320" s="23">
        <v>177.61</v>
      </c>
      <c r="Q8320" s="4">
        <f t="shared" si="129"/>
        <v>-77.287596419120533</v>
      </c>
      <c r="R8320" s="23" t="s">
        <v>109</v>
      </c>
      <c r="T8320" s="91"/>
      <c r="V8320" t="s">
        <v>10700</v>
      </c>
      <c r="W8320" t="s">
        <v>14392</v>
      </c>
    </row>
    <row r="8321" spans="1:23" x14ac:dyDescent="0.25">
      <c r="A8321" s="21">
        <v>45930</v>
      </c>
      <c r="B8321" s="1">
        <v>418811009</v>
      </c>
      <c r="C8321" t="s">
        <v>14490</v>
      </c>
      <c r="D8321" s="43">
        <v>-12848.8</v>
      </c>
      <c r="E8321" t="s">
        <v>35</v>
      </c>
      <c r="F8321" s="2">
        <v>212901001</v>
      </c>
      <c r="G8321" s="2" t="s">
        <v>121</v>
      </c>
      <c r="L8321" s="2" t="s">
        <v>14992</v>
      </c>
      <c r="M8321" t="s">
        <v>67</v>
      </c>
      <c r="N8321" t="s">
        <v>68</v>
      </c>
      <c r="P8321" s="23">
        <v>177.61</v>
      </c>
      <c r="Q8321" s="4">
        <f t="shared" si="129"/>
        <v>-72.342773492483516</v>
      </c>
      <c r="R8321" s="23" t="s">
        <v>109</v>
      </c>
      <c r="T8321" s="91"/>
      <c r="V8321" t="s">
        <v>10700</v>
      </c>
      <c r="W8321" t="s">
        <v>14392</v>
      </c>
    </row>
    <row r="8322" spans="1:23" x14ac:dyDescent="0.25">
      <c r="A8322" s="21">
        <v>45930</v>
      </c>
      <c r="B8322" s="1">
        <v>418811010</v>
      </c>
      <c r="C8322" t="s">
        <v>14993</v>
      </c>
      <c r="D8322" s="43">
        <v>-18996.55</v>
      </c>
      <c r="E8322" t="s">
        <v>35</v>
      </c>
      <c r="F8322" s="2">
        <v>212901001</v>
      </c>
      <c r="G8322" s="2" t="s">
        <v>121</v>
      </c>
      <c r="L8322" s="2" t="s">
        <v>14994</v>
      </c>
      <c r="M8322" t="s">
        <v>67</v>
      </c>
      <c r="N8322" t="s">
        <v>68</v>
      </c>
      <c r="P8322" s="23">
        <v>177.61</v>
      </c>
      <c r="Q8322" s="4">
        <f t="shared" si="129"/>
        <v>-106.95653397894262</v>
      </c>
      <c r="R8322" s="23" t="s">
        <v>109</v>
      </c>
      <c r="T8322" s="91"/>
      <c r="V8322" t="s">
        <v>12595</v>
      </c>
      <c r="W8322" t="s">
        <v>14392</v>
      </c>
    </row>
    <row r="8323" spans="1:23" x14ac:dyDescent="0.25">
      <c r="A8323" s="21">
        <v>45930</v>
      </c>
      <c r="B8323" s="1">
        <v>418811013</v>
      </c>
      <c r="C8323" t="s">
        <v>14995</v>
      </c>
      <c r="D8323" s="43">
        <v>-13029.72</v>
      </c>
      <c r="E8323" t="s">
        <v>35</v>
      </c>
      <c r="F8323" s="2">
        <v>212901001</v>
      </c>
      <c r="G8323" s="2" t="s">
        <v>121</v>
      </c>
      <c r="L8323" s="2" t="s">
        <v>14996</v>
      </c>
      <c r="M8323" t="s">
        <v>67</v>
      </c>
      <c r="N8323" t="s">
        <v>68</v>
      </c>
      <c r="P8323" s="23">
        <v>177.61</v>
      </c>
      <c r="Q8323" s="4">
        <f t="shared" si="129"/>
        <v>-73.361409830527549</v>
      </c>
      <c r="R8323" s="23" t="s">
        <v>109</v>
      </c>
      <c r="T8323" s="91"/>
      <c r="V8323" t="s">
        <v>10700</v>
      </c>
      <c r="W8323" t="s">
        <v>14392</v>
      </c>
    </row>
    <row r="8324" spans="1:23" x14ac:dyDescent="0.25">
      <c r="A8324" s="21">
        <v>45930</v>
      </c>
      <c r="B8324" s="1">
        <v>418811014</v>
      </c>
      <c r="C8324" t="s">
        <v>14997</v>
      </c>
      <c r="D8324" s="43">
        <v>-17306.79</v>
      </c>
      <c r="E8324" t="s">
        <v>35</v>
      </c>
      <c r="F8324" s="2">
        <v>212901001</v>
      </c>
      <c r="G8324" s="2" t="s">
        <v>121</v>
      </c>
      <c r="L8324" s="2" t="s">
        <v>14998</v>
      </c>
      <c r="M8324" t="s">
        <v>67</v>
      </c>
      <c r="N8324" t="s">
        <v>68</v>
      </c>
      <c r="P8324" s="23">
        <v>177.61</v>
      </c>
      <c r="Q8324" s="4">
        <f t="shared" si="129"/>
        <v>-97.442655255897748</v>
      </c>
      <c r="R8324" s="23" t="s">
        <v>109</v>
      </c>
      <c r="T8324" s="91"/>
      <c r="V8324" t="s">
        <v>10700</v>
      </c>
      <c r="W8324" t="s">
        <v>14392</v>
      </c>
    </row>
    <row r="8325" spans="1:23" x14ac:dyDescent="0.25">
      <c r="A8325" s="21">
        <v>45930</v>
      </c>
      <c r="B8325" s="1">
        <v>418811012</v>
      </c>
      <c r="C8325" t="s">
        <v>14999</v>
      </c>
      <c r="D8325" s="43">
        <v>-13727.05</v>
      </c>
      <c r="E8325" t="s">
        <v>35</v>
      </c>
      <c r="F8325" s="2">
        <v>212901001</v>
      </c>
      <c r="G8325" s="2" t="s">
        <v>121</v>
      </c>
      <c r="L8325" s="2" t="s">
        <v>15000</v>
      </c>
      <c r="M8325" t="s">
        <v>67</v>
      </c>
      <c r="N8325" t="s">
        <v>68</v>
      </c>
      <c r="P8325" s="23">
        <v>177.61</v>
      </c>
      <c r="Q8325" s="4">
        <f t="shared" si="129"/>
        <v>-77.287596419120533</v>
      </c>
      <c r="R8325" s="23" t="s">
        <v>109</v>
      </c>
      <c r="T8325" s="91"/>
      <c r="V8325" t="s">
        <v>10700</v>
      </c>
      <c r="W8325" t="s">
        <v>14392</v>
      </c>
    </row>
    <row r="8326" spans="1:23" x14ac:dyDescent="0.25">
      <c r="A8326" s="21">
        <v>45930</v>
      </c>
      <c r="B8326" s="1">
        <v>418811015</v>
      </c>
      <c r="C8326" t="s">
        <v>15001</v>
      </c>
      <c r="D8326" s="43">
        <v>-43587.55</v>
      </c>
      <c r="E8326" t="s">
        <v>35</v>
      </c>
      <c r="F8326" s="2">
        <v>212901001</v>
      </c>
      <c r="G8326" s="2" t="s">
        <v>121</v>
      </c>
      <c r="L8326" s="2" t="s">
        <v>15002</v>
      </c>
      <c r="M8326" t="s">
        <v>67</v>
      </c>
      <c r="N8326" t="s">
        <v>68</v>
      </c>
      <c r="P8326" s="23">
        <v>177.61</v>
      </c>
      <c r="Q8326" s="4">
        <f t="shared" si="129"/>
        <v>-245.41157592477902</v>
      </c>
      <c r="R8326" s="23" t="s">
        <v>109</v>
      </c>
      <c r="T8326" s="91"/>
      <c r="V8326" t="s">
        <v>12595</v>
      </c>
      <c r="W8326" t="s">
        <v>14392</v>
      </c>
    </row>
    <row r="8327" spans="1:23" x14ac:dyDescent="0.25">
      <c r="A8327" s="21">
        <v>45930</v>
      </c>
      <c r="B8327" s="1">
        <v>518811019</v>
      </c>
      <c r="C8327" t="s">
        <v>15003</v>
      </c>
      <c r="D8327" s="43">
        <v>-18675.11</v>
      </c>
      <c r="E8327" t="s">
        <v>35</v>
      </c>
      <c r="F8327" s="2">
        <v>212901001</v>
      </c>
      <c r="G8327" s="2" t="s">
        <v>121</v>
      </c>
      <c r="L8327" s="2" t="s">
        <v>15004</v>
      </c>
      <c r="M8327" t="s">
        <v>67</v>
      </c>
      <c r="N8327" t="s">
        <v>68</v>
      </c>
      <c r="P8327" s="23">
        <v>177.61</v>
      </c>
      <c r="Q8327" s="4">
        <f t="shared" si="129"/>
        <v>-105.14672597263667</v>
      </c>
      <c r="R8327" s="23" t="s">
        <v>109</v>
      </c>
      <c r="T8327" s="91"/>
      <c r="V8327" t="s">
        <v>12595</v>
      </c>
      <c r="W8327" t="s">
        <v>14392</v>
      </c>
    </row>
    <row r="8328" spans="1:23" x14ac:dyDescent="0.25">
      <c r="A8328" s="21">
        <v>45930</v>
      </c>
      <c r="B8328" s="1">
        <v>418811016</v>
      </c>
      <c r="C8328" t="s">
        <v>15005</v>
      </c>
      <c r="D8328" s="43">
        <v>-8496.19</v>
      </c>
      <c r="E8328" t="s">
        <v>35</v>
      </c>
      <c r="F8328" s="2">
        <v>212901001</v>
      </c>
      <c r="G8328" s="2" t="s">
        <v>121</v>
      </c>
      <c r="L8328" s="2" t="s">
        <v>15006</v>
      </c>
      <c r="M8328" t="s">
        <v>67</v>
      </c>
      <c r="N8328" t="s">
        <v>68</v>
      </c>
      <c r="P8328" s="23">
        <v>177.61</v>
      </c>
      <c r="Q8328" s="4">
        <f t="shared" si="129"/>
        <v>-47.836214177129662</v>
      </c>
      <c r="R8328" s="23" t="s">
        <v>109</v>
      </c>
      <c r="T8328" s="91"/>
      <c r="V8328" t="s">
        <v>10700</v>
      </c>
      <c r="W8328" t="s">
        <v>14392</v>
      </c>
    </row>
    <row r="8329" spans="1:23" x14ac:dyDescent="0.25">
      <c r="A8329" s="21">
        <v>45930</v>
      </c>
      <c r="B8329" s="1">
        <v>518811020</v>
      </c>
      <c r="C8329" t="s">
        <v>15007</v>
      </c>
      <c r="D8329" s="43">
        <v>-5847.39</v>
      </c>
      <c r="E8329" t="s">
        <v>35</v>
      </c>
      <c r="F8329" s="2">
        <v>212901001</v>
      </c>
      <c r="G8329" s="2" t="s">
        <v>121</v>
      </c>
      <c r="L8329" s="2" t="s">
        <v>15008</v>
      </c>
      <c r="M8329" t="s">
        <v>67</v>
      </c>
      <c r="N8329" t="s">
        <v>68</v>
      </c>
      <c r="P8329" s="23">
        <v>177.61</v>
      </c>
      <c r="Q8329" s="4">
        <f t="shared" si="129"/>
        <v>-32.922639491019652</v>
      </c>
      <c r="R8329" s="23" t="s">
        <v>109</v>
      </c>
      <c r="T8329" s="91"/>
      <c r="V8329" t="s">
        <v>12595</v>
      </c>
      <c r="W8329" t="s">
        <v>14392</v>
      </c>
    </row>
    <row r="8330" spans="1:23" x14ac:dyDescent="0.25">
      <c r="A8330" s="21">
        <v>45930</v>
      </c>
      <c r="B8330" s="1">
        <v>518811018</v>
      </c>
      <c r="C8330" t="s">
        <v>15009</v>
      </c>
      <c r="D8330" s="43">
        <v>-12811.91</v>
      </c>
      <c r="E8330" t="s">
        <v>35</v>
      </c>
      <c r="F8330" s="2">
        <v>212901001</v>
      </c>
      <c r="G8330" s="2" t="s">
        <v>121</v>
      </c>
      <c r="L8330" s="2" t="s">
        <v>15010</v>
      </c>
      <c r="M8330" t="s">
        <v>67</v>
      </c>
      <c r="N8330" t="s">
        <v>68</v>
      </c>
      <c r="P8330" s="23">
        <v>177.61</v>
      </c>
      <c r="Q8330" s="4">
        <f t="shared" si="129"/>
        <v>-72.135071223467136</v>
      </c>
      <c r="R8330" s="23" t="s">
        <v>109</v>
      </c>
      <c r="T8330" s="91"/>
      <c r="V8330" t="s">
        <v>10700</v>
      </c>
      <c r="W8330" t="s">
        <v>14392</v>
      </c>
    </row>
    <row r="8331" spans="1:23" x14ac:dyDescent="0.25">
      <c r="A8331" s="21">
        <v>45930</v>
      </c>
      <c r="B8331" s="1">
        <v>418811017</v>
      </c>
      <c r="C8331" t="s">
        <v>15011</v>
      </c>
      <c r="D8331" s="43">
        <v>-13727.05</v>
      </c>
      <c r="E8331" t="s">
        <v>35</v>
      </c>
      <c r="F8331" s="2">
        <v>212901001</v>
      </c>
      <c r="G8331" s="2" t="s">
        <v>121</v>
      </c>
      <c r="L8331" s="2" t="s">
        <v>15012</v>
      </c>
      <c r="M8331" t="s">
        <v>67</v>
      </c>
      <c r="N8331" t="s">
        <v>68</v>
      </c>
      <c r="P8331" s="23">
        <v>177.61</v>
      </c>
      <c r="Q8331" s="4">
        <f t="shared" ref="Q8331:Q8394" si="130">D8331/P8331</f>
        <v>-77.287596419120533</v>
      </c>
      <c r="R8331" s="23" t="s">
        <v>109</v>
      </c>
      <c r="T8331" s="91"/>
      <c r="V8331" t="s">
        <v>12595</v>
      </c>
      <c r="W8331" t="s">
        <v>14392</v>
      </c>
    </row>
    <row r="8332" spans="1:23" x14ac:dyDescent="0.25">
      <c r="A8332" s="21">
        <v>45930</v>
      </c>
      <c r="B8332" s="1">
        <v>518811021</v>
      </c>
      <c r="C8332" t="s">
        <v>15013</v>
      </c>
      <c r="D8332" s="43">
        <v>-8485.65</v>
      </c>
      <c r="E8332" t="s">
        <v>35</v>
      </c>
      <c r="F8332" s="2">
        <v>212901001</v>
      </c>
      <c r="G8332" s="2" t="s">
        <v>121</v>
      </c>
      <c r="L8332" s="2" t="s">
        <v>15014</v>
      </c>
      <c r="M8332" t="s">
        <v>67</v>
      </c>
      <c r="N8332" t="s">
        <v>68</v>
      </c>
      <c r="P8332" s="23">
        <v>177.61</v>
      </c>
      <c r="Q8332" s="4">
        <f t="shared" si="130"/>
        <v>-47.776870671696408</v>
      </c>
      <c r="R8332" s="23" t="s">
        <v>109</v>
      </c>
      <c r="T8332" s="91"/>
      <c r="V8332" t="s">
        <v>10700</v>
      </c>
      <c r="W8332" t="s">
        <v>14392</v>
      </c>
    </row>
    <row r="8333" spans="1:23" x14ac:dyDescent="0.25">
      <c r="A8333" s="21">
        <v>45930</v>
      </c>
      <c r="B8333" s="1">
        <v>518811022</v>
      </c>
      <c r="C8333" t="s">
        <v>15015</v>
      </c>
      <c r="D8333" s="43">
        <v>-5926.43</v>
      </c>
      <c r="E8333" t="s">
        <v>35</v>
      </c>
      <c r="F8333" s="2">
        <v>212901001</v>
      </c>
      <c r="G8333" s="2" t="s">
        <v>121</v>
      </c>
      <c r="L8333" s="2" t="s">
        <v>15016</v>
      </c>
      <c r="M8333" t="s">
        <v>67</v>
      </c>
      <c r="N8333" t="s">
        <v>68</v>
      </c>
      <c r="P8333" s="23">
        <v>177.61</v>
      </c>
      <c r="Q8333" s="4">
        <f t="shared" si="130"/>
        <v>-33.367659478632959</v>
      </c>
      <c r="R8333" s="23" t="s">
        <v>109</v>
      </c>
      <c r="T8333" s="91"/>
      <c r="V8333" t="s">
        <v>10700</v>
      </c>
      <c r="W8333" t="s">
        <v>14392</v>
      </c>
    </row>
    <row r="8334" spans="1:23" x14ac:dyDescent="0.25">
      <c r="A8334" s="21">
        <v>45930</v>
      </c>
      <c r="B8334" s="1">
        <v>518811024</v>
      </c>
      <c r="C8334" t="s">
        <v>15017</v>
      </c>
      <c r="D8334" s="43">
        <v>-5743.76</v>
      </c>
      <c r="E8334" t="s">
        <v>35</v>
      </c>
      <c r="F8334" s="2">
        <v>212901001</v>
      </c>
      <c r="G8334" s="2" t="s">
        <v>121</v>
      </c>
      <c r="L8334" s="2" t="s">
        <v>15018</v>
      </c>
      <c r="M8334" t="s">
        <v>67</v>
      </c>
      <c r="N8334" t="s">
        <v>68</v>
      </c>
      <c r="P8334" s="23">
        <v>177.61</v>
      </c>
      <c r="Q8334" s="4">
        <f t="shared" si="130"/>
        <v>-32.339170091774108</v>
      </c>
      <c r="R8334" s="23" t="s">
        <v>109</v>
      </c>
      <c r="T8334" s="91"/>
      <c r="V8334" t="s">
        <v>10700</v>
      </c>
      <c r="W8334" t="s">
        <v>14392</v>
      </c>
    </row>
    <row r="8335" spans="1:23" x14ac:dyDescent="0.25">
      <c r="A8335" s="21">
        <v>45930</v>
      </c>
      <c r="B8335" s="1">
        <v>518811025</v>
      </c>
      <c r="C8335" t="s">
        <v>15019</v>
      </c>
      <c r="D8335" s="43">
        <v>-12896.22</v>
      </c>
      <c r="E8335" t="s">
        <v>35</v>
      </c>
      <c r="F8335" s="2">
        <v>212901001</v>
      </c>
      <c r="G8335" s="2" t="s">
        <v>121</v>
      </c>
      <c r="L8335" s="2" t="s">
        <v>15020</v>
      </c>
      <c r="M8335" t="s">
        <v>67</v>
      </c>
      <c r="N8335" t="s">
        <v>68</v>
      </c>
      <c r="P8335" s="23">
        <v>177.61</v>
      </c>
      <c r="Q8335" s="4">
        <f t="shared" si="130"/>
        <v>-72.609762963797081</v>
      </c>
      <c r="R8335" s="23" t="s">
        <v>109</v>
      </c>
      <c r="T8335" s="91"/>
      <c r="V8335" t="s">
        <v>10700</v>
      </c>
      <c r="W8335" t="s">
        <v>14392</v>
      </c>
    </row>
    <row r="8336" spans="1:23" x14ac:dyDescent="0.25">
      <c r="A8336" s="21">
        <v>45930</v>
      </c>
      <c r="B8336" s="1">
        <v>518811023</v>
      </c>
      <c r="C8336" t="s">
        <v>15021</v>
      </c>
      <c r="D8336" s="43">
        <v>-25583.42</v>
      </c>
      <c r="E8336" t="s">
        <v>35</v>
      </c>
      <c r="F8336" s="2">
        <v>212901001</v>
      </c>
      <c r="G8336" s="2" t="s">
        <v>121</v>
      </c>
      <c r="L8336" s="2" t="s">
        <v>15022</v>
      </c>
      <c r="M8336" t="s">
        <v>67</v>
      </c>
      <c r="N8336" t="s">
        <v>68</v>
      </c>
      <c r="P8336" s="23">
        <v>177.61</v>
      </c>
      <c r="Q8336" s="4">
        <f t="shared" si="130"/>
        <v>-144.04267777715216</v>
      </c>
      <c r="R8336" s="23" t="s">
        <v>109</v>
      </c>
      <c r="T8336" s="91"/>
      <c r="V8336" t="s">
        <v>12595</v>
      </c>
      <c r="W8336" t="s">
        <v>14392</v>
      </c>
    </row>
    <row r="8337" spans="1:23" x14ac:dyDescent="0.25">
      <c r="A8337" s="21">
        <v>45930</v>
      </c>
      <c r="B8337" s="1">
        <v>618811027</v>
      </c>
      <c r="C8337" t="s">
        <v>15023</v>
      </c>
      <c r="D8337" s="43">
        <v>-13474.11</v>
      </c>
      <c r="E8337" t="s">
        <v>35</v>
      </c>
      <c r="F8337" s="2">
        <v>212901001</v>
      </c>
      <c r="G8337" s="2" t="s">
        <v>121</v>
      </c>
      <c r="L8337" s="2" t="s">
        <v>15024</v>
      </c>
      <c r="M8337" t="s">
        <v>67</v>
      </c>
      <c r="N8337" t="s">
        <v>68</v>
      </c>
      <c r="P8337" s="23">
        <v>177.61</v>
      </c>
      <c r="Q8337" s="4">
        <f t="shared" si="130"/>
        <v>-75.86346489499465</v>
      </c>
      <c r="R8337" s="23" t="s">
        <v>109</v>
      </c>
      <c r="T8337" s="91"/>
      <c r="V8337" t="s">
        <v>10700</v>
      </c>
      <c r="W8337" t="s">
        <v>14392</v>
      </c>
    </row>
    <row r="8338" spans="1:23" x14ac:dyDescent="0.25">
      <c r="A8338" s="21">
        <v>45930</v>
      </c>
      <c r="B8338" s="1">
        <v>618811028</v>
      </c>
      <c r="C8338" t="s">
        <v>15025</v>
      </c>
      <c r="D8338" s="43">
        <v>-12896.22</v>
      </c>
      <c r="E8338" t="s">
        <v>35</v>
      </c>
      <c r="F8338" s="2">
        <v>212901001</v>
      </c>
      <c r="G8338" s="2" t="s">
        <v>121</v>
      </c>
      <c r="L8338" s="2" t="s">
        <v>15026</v>
      </c>
      <c r="M8338" t="s">
        <v>67</v>
      </c>
      <c r="N8338" t="s">
        <v>68</v>
      </c>
      <c r="P8338" s="23">
        <v>177.61</v>
      </c>
      <c r="Q8338" s="4">
        <f t="shared" si="130"/>
        <v>-72.609762963797081</v>
      </c>
      <c r="R8338" s="23" t="s">
        <v>109</v>
      </c>
      <c r="T8338" s="91"/>
      <c r="V8338" t="s">
        <v>10700</v>
      </c>
      <c r="W8338" t="s">
        <v>14392</v>
      </c>
    </row>
    <row r="8339" spans="1:23" x14ac:dyDescent="0.25">
      <c r="A8339" s="21">
        <v>45930</v>
      </c>
      <c r="B8339" s="1">
        <v>618811026</v>
      </c>
      <c r="C8339" t="s">
        <v>15027</v>
      </c>
      <c r="D8339" s="43">
        <v>-6727.4</v>
      </c>
      <c r="E8339" t="s">
        <v>35</v>
      </c>
      <c r="F8339" s="2">
        <v>212901001</v>
      </c>
      <c r="G8339" s="2" t="s">
        <v>121</v>
      </c>
      <c r="L8339" s="2" t="s">
        <v>15028</v>
      </c>
      <c r="M8339" t="s">
        <v>67</v>
      </c>
      <c r="N8339" t="s">
        <v>68</v>
      </c>
      <c r="P8339" s="23">
        <v>177.61</v>
      </c>
      <c r="Q8339" s="4">
        <f t="shared" si="130"/>
        <v>-37.877371769607564</v>
      </c>
      <c r="R8339" s="23" t="s">
        <v>109</v>
      </c>
      <c r="T8339" s="91"/>
      <c r="V8339" t="s">
        <v>10700</v>
      </c>
      <c r="W8339" t="s">
        <v>14392</v>
      </c>
    </row>
    <row r="8340" spans="1:23" x14ac:dyDescent="0.25">
      <c r="A8340" s="21">
        <v>45930</v>
      </c>
      <c r="B8340" s="1">
        <v>618811031</v>
      </c>
      <c r="C8340" t="s">
        <v>15029</v>
      </c>
      <c r="D8340" s="43">
        <v>-7026</v>
      </c>
      <c r="E8340" t="s">
        <v>35</v>
      </c>
      <c r="F8340" s="2">
        <v>212901001</v>
      </c>
      <c r="G8340" s="2" t="s">
        <v>121</v>
      </c>
      <c r="L8340" s="2" t="s">
        <v>15030</v>
      </c>
      <c r="M8340" t="s">
        <v>67</v>
      </c>
      <c r="N8340" t="s">
        <v>68</v>
      </c>
      <c r="P8340" s="23">
        <v>177.61</v>
      </c>
      <c r="Q8340" s="4">
        <f t="shared" si="130"/>
        <v>-39.558583413096109</v>
      </c>
      <c r="R8340" s="23" t="s">
        <v>109</v>
      </c>
      <c r="T8340" s="91"/>
      <c r="V8340" t="s">
        <v>10700</v>
      </c>
      <c r="W8340" t="s">
        <v>14397</v>
      </c>
    </row>
    <row r="8341" spans="1:23" x14ac:dyDescent="0.25">
      <c r="A8341" s="21">
        <v>45930</v>
      </c>
      <c r="B8341" s="1">
        <v>618811032</v>
      </c>
      <c r="C8341" t="s">
        <v>15031</v>
      </c>
      <c r="D8341" s="43">
        <v>-7026</v>
      </c>
      <c r="E8341" t="s">
        <v>35</v>
      </c>
      <c r="F8341" s="2">
        <v>212901001</v>
      </c>
      <c r="G8341" s="2" t="s">
        <v>121</v>
      </c>
      <c r="L8341" s="2" t="s">
        <v>15032</v>
      </c>
      <c r="M8341" t="s">
        <v>67</v>
      </c>
      <c r="N8341" t="s">
        <v>68</v>
      </c>
      <c r="P8341" s="23">
        <v>177.61</v>
      </c>
      <c r="Q8341" s="4">
        <f t="shared" si="130"/>
        <v>-39.558583413096109</v>
      </c>
      <c r="R8341" s="23" t="s">
        <v>109</v>
      </c>
      <c r="T8341" s="91"/>
      <c r="V8341" t="s">
        <v>10700</v>
      </c>
      <c r="W8341" t="s">
        <v>14397</v>
      </c>
    </row>
    <row r="8342" spans="1:23" x14ac:dyDescent="0.25">
      <c r="A8342" s="21">
        <v>45930</v>
      </c>
      <c r="B8342" s="1">
        <v>618811029</v>
      </c>
      <c r="C8342" t="s">
        <v>15033</v>
      </c>
      <c r="D8342" s="43">
        <v>-13140.38</v>
      </c>
      <c r="E8342" t="s">
        <v>35</v>
      </c>
      <c r="F8342" s="2">
        <v>212901001</v>
      </c>
      <c r="G8342" s="2" t="s">
        <v>121</v>
      </c>
      <c r="L8342" s="2" t="s">
        <v>15034</v>
      </c>
      <c r="M8342" t="s">
        <v>67</v>
      </c>
      <c r="N8342" t="s">
        <v>68</v>
      </c>
      <c r="P8342" s="23">
        <v>177.61</v>
      </c>
      <c r="Q8342" s="4">
        <f t="shared" si="130"/>
        <v>-73.984460334440612</v>
      </c>
      <c r="R8342" s="23" t="s">
        <v>109</v>
      </c>
      <c r="T8342" s="91"/>
      <c r="V8342" t="s">
        <v>10700</v>
      </c>
      <c r="W8342" t="s">
        <v>14392</v>
      </c>
    </row>
    <row r="8343" spans="1:23" x14ac:dyDescent="0.25">
      <c r="A8343" s="21">
        <v>45930</v>
      </c>
      <c r="B8343" s="1">
        <v>618811030</v>
      </c>
      <c r="C8343" t="s">
        <v>15035</v>
      </c>
      <c r="D8343" s="43">
        <v>-7026</v>
      </c>
      <c r="E8343" t="s">
        <v>35</v>
      </c>
      <c r="F8343" s="2">
        <v>212901001</v>
      </c>
      <c r="G8343" s="2" t="s">
        <v>121</v>
      </c>
      <c r="L8343" s="2" t="s">
        <v>15036</v>
      </c>
      <c r="M8343" t="s">
        <v>67</v>
      </c>
      <c r="N8343" t="s">
        <v>68</v>
      </c>
      <c r="P8343" s="23">
        <v>177.61</v>
      </c>
      <c r="Q8343" s="4">
        <f t="shared" si="130"/>
        <v>-39.558583413096109</v>
      </c>
      <c r="R8343" s="23" t="s">
        <v>109</v>
      </c>
      <c r="T8343" s="91"/>
      <c r="V8343" t="s">
        <v>12595</v>
      </c>
      <c r="W8343" t="s">
        <v>14392</v>
      </c>
    </row>
    <row r="8344" spans="1:23" x14ac:dyDescent="0.25">
      <c r="A8344" s="21">
        <v>45930</v>
      </c>
      <c r="B8344" s="1">
        <v>718811036</v>
      </c>
      <c r="C8344" t="s">
        <v>15037</v>
      </c>
      <c r="D8344" s="43">
        <v>-7026</v>
      </c>
      <c r="E8344" t="s">
        <v>35</v>
      </c>
      <c r="F8344" s="2">
        <v>212901001</v>
      </c>
      <c r="G8344" s="2" t="s">
        <v>121</v>
      </c>
      <c r="L8344" s="2" t="s">
        <v>15038</v>
      </c>
      <c r="M8344" t="s">
        <v>67</v>
      </c>
      <c r="N8344" t="s">
        <v>68</v>
      </c>
      <c r="P8344" s="23">
        <v>177.61</v>
      </c>
      <c r="Q8344" s="4">
        <f t="shared" si="130"/>
        <v>-39.558583413096109</v>
      </c>
      <c r="R8344" s="23" t="s">
        <v>109</v>
      </c>
      <c r="T8344" s="91"/>
      <c r="V8344" t="s">
        <v>12595</v>
      </c>
      <c r="W8344" t="s">
        <v>14392</v>
      </c>
    </row>
    <row r="8345" spans="1:23" x14ac:dyDescent="0.25">
      <c r="A8345" s="21">
        <v>45930</v>
      </c>
      <c r="B8345" s="1">
        <v>718811037</v>
      </c>
      <c r="C8345" t="s">
        <v>15039</v>
      </c>
      <c r="D8345" s="43">
        <v>-7026</v>
      </c>
      <c r="E8345" t="s">
        <v>35</v>
      </c>
      <c r="F8345" s="2">
        <v>212901001</v>
      </c>
      <c r="G8345" s="2" t="s">
        <v>121</v>
      </c>
      <c r="L8345" s="2" t="s">
        <v>15040</v>
      </c>
      <c r="M8345" t="s">
        <v>67</v>
      </c>
      <c r="N8345" t="s">
        <v>68</v>
      </c>
      <c r="P8345" s="23">
        <v>177.61</v>
      </c>
      <c r="Q8345" s="4">
        <f t="shared" si="130"/>
        <v>-39.558583413096109</v>
      </c>
      <c r="R8345" s="23" t="s">
        <v>109</v>
      </c>
      <c r="T8345" s="91"/>
      <c r="V8345" t="s">
        <v>10700</v>
      </c>
      <c r="W8345" t="s">
        <v>14397</v>
      </c>
    </row>
    <row r="8346" spans="1:23" x14ac:dyDescent="0.25">
      <c r="A8346" s="21">
        <v>45930</v>
      </c>
      <c r="B8346" s="1">
        <v>618811034</v>
      </c>
      <c r="C8346" t="s">
        <v>15041</v>
      </c>
      <c r="D8346" s="43">
        <v>-7026</v>
      </c>
      <c r="E8346" t="s">
        <v>35</v>
      </c>
      <c r="F8346" s="2">
        <v>212901001</v>
      </c>
      <c r="G8346" s="2" t="s">
        <v>121</v>
      </c>
      <c r="L8346" s="2" t="s">
        <v>15042</v>
      </c>
      <c r="M8346" t="s">
        <v>67</v>
      </c>
      <c r="N8346" t="s">
        <v>68</v>
      </c>
      <c r="P8346" s="23">
        <v>177.61</v>
      </c>
      <c r="Q8346" s="4">
        <f t="shared" si="130"/>
        <v>-39.558583413096109</v>
      </c>
      <c r="R8346" s="23" t="s">
        <v>109</v>
      </c>
      <c r="T8346" s="91"/>
      <c r="V8346" t="s">
        <v>12595</v>
      </c>
      <c r="W8346" t="s">
        <v>14392</v>
      </c>
    </row>
    <row r="8347" spans="1:23" x14ac:dyDescent="0.25">
      <c r="A8347" s="21">
        <v>45930</v>
      </c>
      <c r="B8347" s="1">
        <v>718811039</v>
      </c>
      <c r="C8347" t="s">
        <v>15043</v>
      </c>
      <c r="D8347" s="43">
        <v>-7026</v>
      </c>
      <c r="E8347" t="s">
        <v>35</v>
      </c>
      <c r="F8347" s="2">
        <v>212901001</v>
      </c>
      <c r="G8347" s="2" t="s">
        <v>121</v>
      </c>
      <c r="L8347" s="2" t="s">
        <v>15044</v>
      </c>
      <c r="M8347" t="s">
        <v>67</v>
      </c>
      <c r="N8347" t="s">
        <v>68</v>
      </c>
      <c r="P8347" s="23">
        <v>177.61</v>
      </c>
      <c r="Q8347" s="4">
        <f t="shared" si="130"/>
        <v>-39.558583413096109</v>
      </c>
      <c r="R8347" s="23" t="s">
        <v>109</v>
      </c>
      <c r="T8347" s="91"/>
      <c r="V8347" t="s">
        <v>10700</v>
      </c>
      <c r="W8347" t="s">
        <v>14392</v>
      </c>
    </row>
    <row r="8348" spans="1:23" x14ac:dyDescent="0.25">
      <c r="A8348" s="21">
        <v>45930</v>
      </c>
      <c r="B8348" s="1">
        <v>618811033</v>
      </c>
      <c r="C8348" t="s">
        <v>15045</v>
      </c>
      <c r="D8348" s="43">
        <v>-7026</v>
      </c>
      <c r="E8348" t="s">
        <v>35</v>
      </c>
      <c r="F8348" s="2">
        <v>212901001</v>
      </c>
      <c r="G8348" s="2" t="s">
        <v>121</v>
      </c>
      <c r="L8348" s="2" t="s">
        <v>15046</v>
      </c>
      <c r="M8348" t="s">
        <v>67</v>
      </c>
      <c r="N8348" t="s">
        <v>68</v>
      </c>
      <c r="P8348" s="23">
        <v>177.61</v>
      </c>
      <c r="Q8348" s="4">
        <f t="shared" si="130"/>
        <v>-39.558583413096109</v>
      </c>
      <c r="R8348" s="23" t="s">
        <v>109</v>
      </c>
      <c r="T8348" s="91"/>
      <c r="V8348" t="s">
        <v>10700</v>
      </c>
      <c r="W8348" t="s">
        <v>14392</v>
      </c>
    </row>
    <row r="8349" spans="1:23" x14ac:dyDescent="0.25">
      <c r="A8349" s="21">
        <v>45930</v>
      </c>
      <c r="B8349" s="1">
        <v>718811035</v>
      </c>
      <c r="C8349" t="s">
        <v>15047</v>
      </c>
      <c r="D8349" s="43">
        <v>-7026</v>
      </c>
      <c r="E8349" t="s">
        <v>35</v>
      </c>
      <c r="F8349" s="2">
        <v>212901001</v>
      </c>
      <c r="G8349" s="2" t="s">
        <v>121</v>
      </c>
      <c r="L8349" s="2" t="s">
        <v>15048</v>
      </c>
      <c r="M8349" t="s">
        <v>67</v>
      </c>
      <c r="N8349" t="s">
        <v>68</v>
      </c>
      <c r="P8349" s="23">
        <v>177.61</v>
      </c>
      <c r="Q8349" s="4">
        <f t="shared" si="130"/>
        <v>-39.558583413096109</v>
      </c>
      <c r="R8349" s="23" t="s">
        <v>109</v>
      </c>
      <c r="T8349" s="91"/>
      <c r="V8349" t="s">
        <v>10700</v>
      </c>
      <c r="W8349" t="s">
        <v>14392</v>
      </c>
    </row>
    <row r="8350" spans="1:23" x14ac:dyDescent="0.25">
      <c r="A8350" s="21">
        <v>45930</v>
      </c>
      <c r="B8350" s="1">
        <v>718811040</v>
      </c>
      <c r="C8350" t="s">
        <v>15049</v>
      </c>
      <c r="D8350" s="43">
        <v>-7026</v>
      </c>
      <c r="E8350" t="s">
        <v>35</v>
      </c>
      <c r="F8350" s="2">
        <v>212901001</v>
      </c>
      <c r="G8350" s="2" t="s">
        <v>121</v>
      </c>
      <c r="L8350" s="2" t="s">
        <v>15050</v>
      </c>
      <c r="M8350" t="s">
        <v>67</v>
      </c>
      <c r="N8350" t="s">
        <v>68</v>
      </c>
      <c r="P8350" s="23">
        <v>177.61</v>
      </c>
      <c r="Q8350" s="4">
        <f t="shared" si="130"/>
        <v>-39.558583413096109</v>
      </c>
      <c r="R8350" s="23" t="s">
        <v>109</v>
      </c>
      <c r="T8350" s="91"/>
      <c r="V8350" t="s">
        <v>10700</v>
      </c>
      <c r="W8350" t="s">
        <v>14392</v>
      </c>
    </row>
    <row r="8351" spans="1:23" x14ac:dyDescent="0.25">
      <c r="A8351" s="21">
        <v>45930</v>
      </c>
      <c r="B8351" s="1">
        <v>718811038</v>
      </c>
      <c r="C8351" t="s">
        <v>15051</v>
      </c>
      <c r="D8351" s="43">
        <v>-7026</v>
      </c>
      <c r="E8351" t="s">
        <v>35</v>
      </c>
      <c r="F8351" s="2">
        <v>212901001</v>
      </c>
      <c r="G8351" s="2" t="s">
        <v>121</v>
      </c>
      <c r="L8351" s="2" t="s">
        <v>15052</v>
      </c>
      <c r="M8351" t="s">
        <v>67</v>
      </c>
      <c r="N8351" t="s">
        <v>68</v>
      </c>
      <c r="P8351" s="23">
        <v>177.61</v>
      </c>
      <c r="Q8351" s="4">
        <f t="shared" si="130"/>
        <v>-39.558583413096109</v>
      </c>
      <c r="R8351" s="23" t="s">
        <v>109</v>
      </c>
      <c r="T8351" s="91"/>
      <c r="V8351" t="s">
        <v>10700</v>
      </c>
      <c r="W8351" t="s">
        <v>14392</v>
      </c>
    </row>
    <row r="8352" spans="1:23" x14ac:dyDescent="0.25">
      <c r="A8352" s="21">
        <v>45930</v>
      </c>
      <c r="B8352" s="1">
        <v>718811041</v>
      </c>
      <c r="C8352" t="s">
        <v>15053</v>
      </c>
      <c r="D8352" s="43">
        <v>-7026</v>
      </c>
      <c r="E8352" t="s">
        <v>35</v>
      </c>
      <c r="F8352" s="2">
        <v>212901001</v>
      </c>
      <c r="G8352" s="2" t="s">
        <v>121</v>
      </c>
      <c r="L8352" s="2" t="s">
        <v>15054</v>
      </c>
      <c r="M8352" t="s">
        <v>67</v>
      </c>
      <c r="N8352" t="s">
        <v>68</v>
      </c>
      <c r="P8352" s="23">
        <v>177.61</v>
      </c>
      <c r="Q8352" s="4">
        <f t="shared" si="130"/>
        <v>-39.558583413096109</v>
      </c>
      <c r="R8352" s="23" t="s">
        <v>109</v>
      </c>
      <c r="T8352" s="91"/>
      <c r="V8352" t="s">
        <v>10700</v>
      </c>
      <c r="W8352" t="s">
        <v>14392</v>
      </c>
    </row>
    <row r="8353" spans="1:23" x14ac:dyDescent="0.25">
      <c r="A8353" s="21">
        <v>45930</v>
      </c>
      <c r="B8353" s="1">
        <v>718811042</v>
      </c>
      <c r="C8353" t="s">
        <v>15055</v>
      </c>
      <c r="D8353" s="43">
        <v>-7026</v>
      </c>
      <c r="E8353" t="s">
        <v>35</v>
      </c>
      <c r="F8353" s="2">
        <v>212901001</v>
      </c>
      <c r="G8353" s="2" t="s">
        <v>121</v>
      </c>
      <c r="L8353" s="2" t="s">
        <v>15056</v>
      </c>
      <c r="M8353" t="s">
        <v>67</v>
      </c>
      <c r="N8353" t="s">
        <v>68</v>
      </c>
      <c r="P8353" s="23">
        <v>177.61</v>
      </c>
      <c r="Q8353" s="4">
        <f t="shared" si="130"/>
        <v>-39.558583413096109</v>
      </c>
      <c r="R8353" s="23" t="s">
        <v>109</v>
      </c>
      <c r="T8353" s="91"/>
      <c r="V8353" t="s">
        <v>10700</v>
      </c>
      <c r="W8353" t="s">
        <v>14392</v>
      </c>
    </row>
    <row r="8354" spans="1:23" x14ac:dyDescent="0.25">
      <c r="A8354" s="21">
        <v>45930</v>
      </c>
      <c r="B8354" s="1">
        <v>818811044</v>
      </c>
      <c r="C8354" t="s">
        <v>15057</v>
      </c>
      <c r="D8354" s="43">
        <v>-7026</v>
      </c>
      <c r="E8354" t="s">
        <v>35</v>
      </c>
      <c r="F8354" s="2">
        <v>212901001</v>
      </c>
      <c r="G8354" s="2" t="s">
        <v>121</v>
      </c>
      <c r="L8354" s="2" t="s">
        <v>15058</v>
      </c>
      <c r="M8354" t="s">
        <v>67</v>
      </c>
      <c r="N8354" t="s">
        <v>68</v>
      </c>
      <c r="P8354" s="23">
        <v>177.61</v>
      </c>
      <c r="Q8354" s="4">
        <f t="shared" si="130"/>
        <v>-39.558583413096109</v>
      </c>
      <c r="R8354" s="23" t="s">
        <v>109</v>
      </c>
      <c r="T8354" s="91"/>
      <c r="V8354" t="s">
        <v>10700</v>
      </c>
      <c r="W8354" t="s">
        <v>14392</v>
      </c>
    </row>
    <row r="8355" spans="1:23" x14ac:dyDescent="0.25">
      <c r="A8355" s="21">
        <v>45930</v>
      </c>
      <c r="B8355" s="1">
        <v>718811043</v>
      </c>
      <c r="C8355" t="s">
        <v>15059</v>
      </c>
      <c r="D8355" s="43">
        <v>-7026</v>
      </c>
      <c r="E8355" t="s">
        <v>35</v>
      </c>
      <c r="F8355" s="2">
        <v>212901001</v>
      </c>
      <c r="G8355" s="2" t="s">
        <v>121</v>
      </c>
      <c r="L8355" s="2" t="s">
        <v>15060</v>
      </c>
      <c r="M8355" t="s">
        <v>67</v>
      </c>
      <c r="N8355" t="s">
        <v>68</v>
      </c>
      <c r="P8355" s="23">
        <v>177.61</v>
      </c>
      <c r="Q8355" s="4">
        <f t="shared" si="130"/>
        <v>-39.558583413096109</v>
      </c>
      <c r="R8355" s="23" t="s">
        <v>109</v>
      </c>
      <c r="T8355" s="91"/>
      <c r="V8355" t="s">
        <v>10700</v>
      </c>
      <c r="W8355" t="s">
        <v>14392</v>
      </c>
    </row>
    <row r="8356" spans="1:23" x14ac:dyDescent="0.25">
      <c r="A8356" s="21">
        <v>45930</v>
      </c>
      <c r="B8356" s="1">
        <v>818811045</v>
      </c>
      <c r="C8356" t="s">
        <v>15061</v>
      </c>
      <c r="D8356" s="43">
        <v>-7026</v>
      </c>
      <c r="E8356" t="s">
        <v>35</v>
      </c>
      <c r="F8356" s="2">
        <v>212901001</v>
      </c>
      <c r="G8356" s="2" t="s">
        <v>121</v>
      </c>
      <c r="L8356" s="2" t="s">
        <v>15062</v>
      </c>
      <c r="M8356" t="s">
        <v>67</v>
      </c>
      <c r="N8356" t="s">
        <v>68</v>
      </c>
      <c r="P8356" s="23">
        <v>177.61</v>
      </c>
      <c r="Q8356" s="4">
        <f t="shared" si="130"/>
        <v>-39.558583413096109</v>
      </c>
      <c r="R8356" s="23" t="s">
        <v>109</v>
      </c>
      <c r="T8356" s="91"/>
      <c r="V8356" t="s">
        <v>10700</v>
      </c>
      <c r="W8356" t="s">
        <v>14392</v>
      </c>
    </row>
    <row r="8357" spans="1:23" x14ac:dyDescent="0.25">
      <c r="A8357" s="21">
        <v>45930</v>
      </c>
      <c r="B8357" s="1">
        <v>818811046</v>
      </c>
      <c r="C8357" t="s">
        <v>15063</v>
      </c>
      <c r="D8357" s="43">
        <v>-7026</v>
      </c>
      <c r="E8357" t="s">
        <v>35</v>
      </c>
      <c r="F8357" s="2">
        <v>212901001</v>
      </c>
      <c r="G8357" s="2" t="s">
        <v>121</v>
      </c>
      <c r="L8357" s="2" t="s">
        <v>15064</v>
      </c>
      <c r="M8357" t="s">
        <v>67</v>
      </c>
      <c r="N8357" t="s">
        <v>68</v>
      </c>
      <c r="P8357" s="23">
        <v>177.61</v>
      </c>
      <c r="Q8357" s="4">
        <f t="shared" si="130"/>
        <v>-39.558583413096109</v>
      </c>
      <c r="R8357" s="23" t="s">
        <v>109</v>
      </c>
      <c r="T8357" s="91"/>
      <c r="V8357" t="s">
        <v>10700</v>
      </c>
      <c r="W8357" t="s">
        <v>14397</v>
      </c>
    </row>
    <row r="8358" spans="1:23" x14ac:dyDescent="0.25">
      <c r="A8358" s="21">
        <v>45930</v>
      </c>
      <c r="B8358" s="1">
        <v>818811047</v>
      </c>
      <c r="C8358" t="s">
        <v>15065</v>
      </c>
      <c r="D8358" s="43">
        <v>-7026</v>
      </c>
      <c r="E8358" t="s">
        <v>35</v>
      </c>
      <c r="F8358" s="2">
        <v>212901001</v>
      </c>
      <c r="G8358" s="2" t="s">
        <v>121</v>
      </c>
      <c r="L8358" s="2" t="s">
        <v>15066</v>
      </c>
      <c r="M8358" t="s">
        <v>67</v>
      </c>
      <c r="N8358" t="s">
        <v>68</v>
      </c>
      <c r="P8358" s="23">
        <v>177.61</v>
      </c>
      <c r="Q8358" s="4">
        <f t="shared" si="130"/>
        <v>-39.558583413096109</v>
      </c>
      <c r="R8358" s="23" t="s">
        <v>109</v>
      </c>
      <c r="T8358" s="91"/>
      <c r="V8358" t="s">
        <v>10700</v>
      </c>
      <c r="W8358" t="s">
        <v>14392</v>
      </c>
    </row>
    <row r="8359" spans="1:23" x14ac:dyDescent="0.25">
      <c r="A8359" s="21">
        <v>45930</v>
      </c>
      <c r="B8359" s="1">
        <v>818811048</v>
      </c>
      <c r="C8359" t="s">
        <v>15067</v>
      </c>
      <c r="D8359" s="43">
        <v>-7026</v>
      </c>
      <c r="E8359" t="s">
        <v>35</v>
      </c>
      <c r="F8359" s="2">
        <v>212901001</v>
      </c>
      <c r="G8359" s="2" t="s">
        <v>121</v>
      </c>
      <c r="L8359" s="2" t="s">
        <v>15068</v>
      </c>
      <c r="M8359" t="s">
        <v>67</v>
      </c>
      <c r="N8359" t="s">
        <v>68</v>
      </c>
      <c r="P8359" s="23">
        <v>177.61</v>
      </c>
      <c r="Q8359" s="4">
        <f t="shared" si="130"/>
        <v>-39.558583413096109</v>
      </c>
      <c r="R8359" s="23" t="s">
        <v>109</v>
      </c>
      <c r="T8359" s="91"/>
      <c r="V8359" t="s">
        <v>10700</v>
      </c>
      <c r="W8359" t="s">
        <v>14392</v>
      </c>
    </row>
    <row r="8360" spans="1:23" x14ac:dyDescent="0.25">
      <c r="A8360" s="21">
        <v>45930</v>
      </c>
      <c r="B8360" s="1">
        <v>818811051</v>
      </c>
      <c r="C8360" t="s">
        <v>15069</v>
      </c>
      <c r="D8360" s="43">
        <v>-7026</v>
      </c>
      <c r="E8360" t="s">
        <v>35</v>
      </c>
      <c r="F8360" s="2">
        <v>212901001</v>
      </c>
      <c r="G8360" s="2" t="s">
        <v>121</v>
      </c>
      <c r="L8360" s="2" t="s">
        <v>15070</v>
      </c>
      <c r="M8360" t="s">
        <v>67</v>
      </c>
      <c r="N8360" t="s">
        <v>68</v>
      </c>
      <c r="P8360" s="23">
        <v>177.61</v>
      </c>
      <c r="Q8360" s="4">
        <f t="shared" si="130"/>
        <v>-39.558583413096109</v>
      </c>
      <c r="R8360" s="23" t="s">
        <v>109</v>
      </c>
      <c r="T8360" s="91"/>
      <c r="V8360" t="s">
        <v>12595</v>
      </c>
      <c r="W8360" t="s">
        <v>14392</v>
      </c>
    </row>
    <row r="8361" spans="1:23" x14ac:dyDescent="0.25">
      <c r="A8361" s="21">
        <v>45930</v>
      </c>
      <c r="B8361" s="1">
        <v>918811053</v>
      </c>
      <c r="C8361" t="s">
        <v>15071</v>
      </c>
      <c r="D8361" s="43">
        <v>-7026</v>
      </c>
      <c r="E8361" t="s">
        <v>35</v>
      </c>
      <c r="F8361" s="2">
        <v>212901001</v>
      </c>
      <c r="G8361" s="2" t="s">
        <v>121</v>
      </c>
      <c r="L8361" s="2" t="s">
        <v>15072</v>
      </c>
      <c r="M8361" t="s">
        <v>67</v>
      </c>
      <c r="N8361" t="s">
        <v>68</v>
      </c>
      <c r="P8361" s="23">
        <v>177.61</v>
      </c>
      <c r="Q8361" s="4">
        <f t="shared" si="130"/>
        <v>-39.558583413096109</v>
      </c>
      <c r="R8361" s="23" t="s">
        <v>109</v>
      </c>
      <c r="T8361" s="91"/>
      <c r="V8361" t="s">
        <v>10700</v>
      </c>
      <c r="W8361" t="s">
        <v>14392</v>
      </c>
    </row>
    <row r="8362" spans="1:23" x14ac:dyDescent="0.25">
      <c r="A8362" s="21">
        <v>45930</v>
      </c>
      <c r="B8362" s="1">
        <v>818811049</v>
      </c>
      <c r="C8362" t="s">
        <v>15073</v>
      </c>
      <c r="D8362" s="43">
        <v>-7026</v>
      </c>
      <c r="E8362" t="s">
        <v>35</v>
      </c>
      <c r="F8362" s="2">
        <v>212901001</v>
      </c>
      <c r="G8362" s="2" t="s">
        <v>121</v>
      </c>
      <c r="L8362" s="2" t="s">
        <v>15074</v>
      </c>
      <c r="M8362" t="s">
        <v>67</v>
      </c>
      <c r="N8362" t="s">
        <v>68</v>
      </c>
      <c r="P8362" s="23">
        <v>177.61</v>
      </c>
      <c r="Q8362" s="4">
        <f t="shared" si="130"/>
        <v>-39.558583413096109</v>
      </c>
      <c r="R8362" s="23" t="s">
        <v>109</v>
      </c>
      <c r="T8362" s="91"/>
      <c r="V8362" t="s">
        <v>10700</v>
      </c>
      <c r="W8362" t="s">
        <v>14392</v>
      </c>
    </row>
    <row r="8363" spans="1:23" x14ac:dyDescent="0.25">
      <c r="A8363" s="21">
        <v>45930</v>
      </c>
      <c r="B8363" s="1">
        <v>818811052</v>
      </c>
      <c r="C8363" t="s">
        <v>15075</v>
      </c>
      <c r="D8363" s="43">
        <v>-7026</v>
      </c>
      <c r="E8363" t="s">
        <v>35</v>
      </c>
      <c r="F8363" s="2">
        <v>212901001</v>
      </c>
      <c r="G8363" s="2" t="s">
        <v>121</v>
      </c>
      <c r="L8363" s="2" t="s">
        <v>15076</v>
      </c>
      <c r="M8363" t="s">
        <v>67</v>
      </c>
      <c r="N8363" t="s">
        <v>68</v>
      </c>
      <c r="P8363" s="23">
        <v>177.61</v>
      </c>
      <c r="Q8363" s="4">
        <f t="shared" si="130"/>
        <v>-39.558583413096109</v>
      </c>
      <c r="R8363" s="23" t="s">
        <v>109</v>
      </c>
      <c r="T8363" s="91"/>
      <c r="V8363" t="s">
        <v>10700</v>
      </c>
      <c r="W8363" t="s">
        <v>14392</v>
      </c>
    </row>
    <row r="8364" spans="1:23" x14ac:dyDescent="0.25">
      <c r="A8364" s="21">
        <v>45930</v>
      </c>
      <c r="B8364" s="1">
        <v>918811054</v>
      </c>
      <c r="C8364" t="s">
        <v>15077</v>
      </c>
      <c r="D8364" s="43">
        <v>-7026</v>
      </c>
      <c r="E8364" t="s">
        <v>35</v>
      </c>
      <c r="F8364" s="2">
        <v>212901001</v>
      </c>
      <c r="G8364" s="2" t="s">
        <v>121</v>
      </c>
      <c r="L8364" s="2" t="s">
        <v>15078</v>
      </c>
      <c r="M8364" t="s">
        <v>67</v>
      </c>
      <c r="N8364" t="s">
        <v>68</v>
      </c>
      <c r="P8364" s="23">
        <v>177.61</v>
      </c>
      <c r="Q8364" s="4">
        <f t="shared" si="130"/>
        <v>-39.558583413096109</v>
      </c>
      <c r="R8364" s="23" t="s">
        <v>109</v>
      </c>
      <c r="T8364" s="91"/>
      <c r="V8364" t="s">
        <v>10700</v>
      </c>
      <c r="W8364" t="s">
        <v>14392</v>
      </c>
    </row>
    <row r="8365" spans="1:23" x14ac:dyDescent="0.25">
      <c r="A8365" s="21">
        <v>45930</v>
      </c>
      <c r="B8365" s="1">
        <v>918811056</v>
      </c>
      <c r="C8365" t="s">
        <v>15079</v>
      </c>
      <c r="D8365" s="43">
        <v>-7026</v>
      </c>
      <c r="E8365" t="s">
        <v>35</v>
      </c>
      <c r="F8365" s="2">
        <v>212901001</v>
      </c>
      <c r="G8365" s="2" t="s">
        <v>121</v>
      </c>
      <c r="L8365" s="2" t="s">
        <v>15080</v>
      </c>
      <c r="M8365" t="s">
        <v>67</v>
      </c>
      <c r="N8365" t="s">
        <v>68</v>
      </c>
      <c r="P8365" s="23">
        <v>177.61</v>
      </c>
      <c r="Q8365" s="4">
        <f t="shared" si="130"/>
        <v>-39.558583413096109</v>
      </c>
      <c r="R8365" s="23" t="s">
        <v>109</v>
      </c>
      <c r="T8365" s="91"/>
      <c r="V8365" t="s">
        <v>12595</v>
      </c>
      <c r="W8365" t="s">
        <v>14392</v>
      </c>
    </row>
    <row r="8366" spans="1:23" x14ac:dyDescent="0.25">
      <c r="A8366" s="21">
        <v>45930</v>
      </c>
      <c r="B8366" s="1">
        <v>918811059</v>
      </c>
      <c r="C8366" t="s">
        <v>15081</v>
      </c>
      <c r="D8366" s="43">
        <v>-7026</v>
      </c>
      <c r="E8366" t="s">
        <v>35</v>
      </c>
      <c r="F8366" s="2">
        <v>212901001</v>
      </c>
      <c r="G8366" s="2" t="s">
        <v>121</v>
      </c>
      <c r="L8366" s="2" t="s">
        <v>15082</v>
      </c>
      <c r="M8366" t="s">
        <v>67</v>
      </c>
      <c r="N8366" t="s">
        <v>68</v>
      </c>
      <c r="P8366" s="23">
        <v>177.61</v>
      </c>
      <c r="Q8366" s="4">
        <f t="shared" si="130"/>
        <v>-39.558583413096109</v>
      </c>
      <c r="R8366" s="23" t="s">
        <v>109</v>
      </c>
      <c r="T8366" s="91"/>
      <c r="V8366" t="s">
        <v>10700</v>
      </c>
      <c r="W8366" t="s">
        <v>14392</v>
      </c>
    </row>
    <row r="8367" spans="1:23" x14ac:dyDescent="0.25">
      <c r="A8367" s="21">
        <v>45930</v>
      </c>
      <c r="B8367" s="1">
        <v>918811058</v>
      </c>
      <c r="C8367" t="s">
        <v>15083</v>
      </c>
      <c r="D8367" s="43">
        <v>-7026</v>
      </c>
      <c r="E8367" t="s">
        <v>35</v>
      </c>
      <c r="F8367" s="2">
        <v>212901001</v>
      </c>
      <c r="G8367" s="2" t="s">
        <v>121</v>
      </c>
      <c r="L8367" s="2" t="s">
        <v>15084</v>
      </c>
      <c r="M8367" t="s">
        <v>67</v>
      </c>
      <c r="N8367" t="s">
        <v>68</v>
      </c>
      <c r="P8367" s="23">
        <v>177.61</v>
      </c>
      <c r="Q8367" s="4">
        <f t="shared" si="130"/>
        <v>-39.558583413096109</v>
      </c>
      <c r="R8367" s="23" t="s">
        <v>109</v>
      </c>
      <c r="T8367" s="91"/>
      <c r="V8367" t="s">
        <v>12595</v>
      </c>
      <c r="W8367" t="s">
        <v>14392</v>
      </c>
    </row>
    <row r="8368" spans="1:23" x14ac:dyDescent="0.25">
      <c r="A8368" s="21">
        <v>45930</v>
      </c>
      <c r="B8368" s="1">
        <v>918811055</v>
      </c>
      <c r="C8368" t="s">
        <v>15085</v>
      </c>
      <c r="D8368" s="43">
        <v>-7026</v>
      </c>
      <c r="E8368" t="s">
        <v>35</v>
      </c>
      <c r="F8368" s="2">
        <v>212901001</v>
      </c>
      <c r="G8368" s="2" t="s">
        <v>121</v>
      </c>
      <c r="L8368" s="2" t="s">
        <v>15086</v>
      </c>
      <c r="M8368" t="s">
        <v>67</v>
      </c>
      <c r="N8368" t="s">
        <v>68</v>
      </c>
      <c r="P8368" s="23">
        <v>177.61</v>
      </c>
      <c r="Q8368" s="4">
        <f t="shared" si="130"/>
        <v>-39.558583413096109</v>
      </c>
      <c r="R8368" s="23" t="s">
        <v>109</v>
      </c>
      <c r="T8368" s="91"/>
      <c r="V8368" t="s">
        <v>10700</v>
      </c>
      <c r="W8368" t="s">
        <v>14392</v>
      </c>
    </row>
    <row r="8369" spans="1:23" x14ac:dyDescent="0.25">
      <c r="A8369" s="21">
        <v>45930</v>
      </c>
      <c r="B8369" s="1">
        <v>918811057</v>
      </c>
      <c r="C8369" t="s">
        <v>15087</v>
      </c>
      <c r="D8369" s="43">
        <v>-7026</v>
      </c>
      <c r="E8369" t="s">
        <v>35</v>
      </c>
      <c r="F8369" s="2">
        <v>212901001</v>
      </c>
      <c r="G8369" s="2" t="s">
        <v>121</v>
      </c>
      <c r="L8369" s="2" t="s">
        <v>15088</v>
      </c>
      <c r="M8369" t="s">
        <v>67</v>
      </c>
      <c r="N8369" t="s">
        <v>68</v>
      </c>
      <c r="P8369" s="23">
        <v>177.61</v>
      </c>
      <c r="Q8369" s="4">
        <f t="shared" si="130"/>
        <v>-39.558583413096109</v>
      </c>
      <c r="R8369" s="23" t="s">
        <v>109</v>
      </c>
      <c r="T8369" s="91"/>
      <c r="V8369" t="s">
        <v>12595</v>
      </c>
      <c r="W8369" t="s">
        <v>14392</v>
      </c>
    </row>
    <row r="8370" spans="1:23" x14ac:dyDescent="0.25">
      <c r="A8370" s="21">
        <v>45930</v>
      </c>
      <c r="B8370" s="1">
        <v>918811060</v>
      </c>
      <c r="C8370" t="s">
        <v>15089</v>
      </c>
      <c r="D8370" s="43">
        <v>-7026</v>
      </c>
      <c r="E8370" t="s">
        <v>35</v>
      </c>
      <c r="F8370" s="2">
        <v>212901001</v>
      </c>
      <c r="G8370" s="2" t="s">
        <v>121</v>
      </c>
      <c r="L8370" s="2" t="s">
        <v>15090</v>
      </c>
      <c r="M8370" t="s">
        <v>67</v>
      </c>
      <c r="N8370" t="s">
        <v>68</v>
      </c>
      <c r="P8370" s="23">
        <v>177.61</v>
      </c>
      <c r="Q8370" s="4">
        <f t="shared" si="130"/>
        <v>-39.558583413096109</v>
      </c>
      <c r="R8370" s="23" t="s">
        <v>109</v>
      </c>
      <c r="T8370" s="91"/>
      <c r="V8370" t="s">
        <v>12595</v>
      </c>
      <c r="W8370" t="s">
        <v>14392</v>
      </c>
    </row>
    <row r="8371" spans="1:23" x14ac:dyDescent="0.25">
      <c r="A8371" s="21">
        <v>45930</v>
      </c>
      <c r="B8371" s="1">
        <v>918811061</v>
      </c>
      <c r="C8371" t="s">
        <v>15091</v>
      </c>
      <c r="D8371" s="43">
        <v>-7026</v>
      </c>
      <c r="E8371" t="s">
        <v>35</v>
      </c>
      <c r="F8371" s="2">
        <v>212901001</v>
      </c>
      <c r="G8371" s="2" t="s">
        <v>121</v>
      </c>
      <c r="L8371" s="2" t="s">
        <v>15092</v>
      </c>
      <c r="M8371" t="s">
        <v>67</v>
      </c>
      <c r="N8371" t="s">
        <v>68</v>
      </c>
      <c r="P8371" s="23">
        <v>177.61</v>
      </c>
      <c r="Q8371" s="4">
        <f t="shared" si="130"/>
        <v>-39.558583413096109</v>
      </c>
      <c r="R8371" s="23" t="s">
        <v>109</v>
      </c>
      <c r="T8371" s="91"/>
      <c r="V8371" t="s">
        <v>10700</v>
      </c>
      <c r="W8371" t="s">
        <v>14392</v>
      </c>
    </row>
    <row r="8372" spans="1:23" x14ac:dyDescent="0.25">
      <c r="A8372" s="21">
        <v>45930</v>
      </c>
      <c r="B8372" s="1">
        <v>18811065</v>
      </c>
      <c r="C8372" t="s">
        <v>15093</v>
      </c>
      <c r="D8372" s="43">
        <v>-7026</v>
      </c>
      <c r="E8372" t="s">
        <v>35</v>
      </c>
      <c r="F8372" s="2">
        <v>212901001</v>
      </c>
      <c r="G8372" s="2" t="s">
        <v>121</v>
      </c>
      <c r="L8372" s="2" t="s">
        <v>15094</v>
      </c>
      <c r="M8372" t="s">
        <v>67</v>
      </c>
      <c r="N8372" t="s">
        <v>68</v>
      </c>
      <c r="P8372" s="23">
        <v>177.61</v>
      </c>
      <c r="Q8372" s="4">
        <f t="shared" si="130"/>
        <v>-39.558583413096109</v>
      </c>
      <c r="R8372" s="23" t="s">
        <v>109</v>
      </c>
      <c r="T8372" s="91"/>
      <c r="V8372" t="s">
        <v>10700</v>
      </c>
      <c r="W8372" t="s">
        <v>14392</v>
      </c>
    </row>
    <row r="8373" spans="1:23" x14ac:dyDescent="0.25">
      <c r="A8373" s="21">
        <v>45930</v>
      </c>
      <c r="B8373" s="1">
        <v>18811062</v>
      </c>
      <c r="C8373" t="s">
        <v>15095</v>
      </c>
      <c r="D8373" s="43">
        <v>-7026</v>
      </c>
      <c r="E8373" t="s">
        <v>35</v>
      </c>
      <c r="F8373" s="2">
        <v>212901001</v>
      </c>
      <c r="G8373" s="2" t="s">
        <v>121</v>
      </c>
      <c r="L8373" s="2" t="s">
        <v>15096</v>
      </c>
      <c r="M8373" t="s">
        <v>67</v>
      </c>
      <c r="N8373" t="s">
        <v>68</v>
      </c>
      <c r="P8373" s="23">
        <v>177.61</v>
      </c>
      <c r="Q8373" s="4">
        <f t="shared" si="130"/>
        <v>-39.558583413096109</v>
      </c>
      <c r="R8373" s="23" t="s">
        <v>109</v>
      </c>
      <c r="T8373" s="91"/>
      <c r="V8373" t="s">
        <v>12595</v>
      </c>
      <c r="W8373" t="s">
        <v>14392</v>
      </c>
    </row>
    <row r="8374" spans="1:23" x14ac:dyDescent="0.25">
      <c r="A8374" s="21">
        <v>45930</v>
      </c>
      <c r="B8374" s="1">
        <v>18811066</v>
      </c>
      <c r="C8374" t="s">
        <v>15097</v>
      </c>
      <c r="D8374" s="43">
        <v>-7026</v>
      </c>
      <c r="E8374" t="s">
        <v>35</v>
      </c>
      <c r="F8374" s="2">
        <v>212901001</v>
      </c>
      <c r="G8374" s="2" t="s">
        <v>121</v>
      </c>
      <c r="L8374" s="2" t="s">
        <v>15098</v>
      </c>
      <c r="M8374" t="s">
        <v>67</v>
      </c>
      <c r="N8374" t="s">
        <v>68</v>
      </c>
      <c r="P8374" s="23">
        <v>177.61</v>
      </c>
      <c r="Q8374" s="4">
        <f t="shared" si="130"/>
        <v>-39.558583413096109</v>
      </c>
      <c r="R8374" s="23" t="s">
        <v>109</v>
      </c>
      <c r="T8374" s="91"/>
      <c r="V8374" t="s">
        <v>10700</v>
      </c>
      <c r="W8374" t="s">
        <v>14392</v>
      </c>
    </row>
    <row r="8375" spans="1:23" x14ac:dyDescent="0.25">
      <c r="A8375" s="21">
        <v>45930</v>
      </c>
      <c r="B8375" s="1">
        <v>18811064</v>
      </c>
      <c r="C8375" t="s">
        <v>15099</v>
      </c>
      <c r="D8375" s="43">
        <v>-7026</v>
      </c>
      <c r="E8375" t="s">
        <v>35</v>
      </c>
      <c r="F8375" s="2">
        <v>212901001</v>
      </c>
      <c r="G8375" s="2" t="s">
        <v>121</v>
      </c>
      <c r="L8375" s="2" t="s">
        <v>15100</v>
      </c>
      <c r="M8375" t="s">
        <v>67</v>
      </c>
      <c r="N8375" t="s">
        <v>68</v>
      </c>
      <c r="P8375" s="23">
        <v>177.61</v>
      </c>
      <c r="Q8375" s="4">
        <f t="shared" si="130"/>
        <v>-39.558583413096109</v>
      </c>
      <c r="R8375" s="23" t="s">
        <v>109</v>
      </c>
      <c r="T8375" s="91"/>
      <c r="V8375" t="s">
        <v>10700</v>
      </c>
      <c r="W8375" t="s">
        <v>14392</v>
      </c>
    </row>
    <row r="8376" spans="1:23" x14ac:dyDescent="0.25">
      <c r="A8376" s="21">
        <v>45930</v>
      </c>
      <c r="B8376" s="1">
        <v>18811068</v>
      </c>
      <c r="C8376" t="s">
        <v>15101</v>
      </c>
      <c r="D8376" s="43">
        <v>-7026</v>
      </c>
      <c r="E8376" t="s">
        <v>35</v>
      </c>
      <c r="F8376" s="2">
        <v>212901001</v>
      </c>
      <c r="G8376" s="2" t="s">
        <v>121</v>
      </c>
      <c r="L8376" s="2" t="s">
        <v>15102</v>
      </c>
      <c r="M8376" t="s">
        <v>67</v>
      </c>
      <c r="N8376" t="s">
        <v>68</v>
      </c>
      <c r="P8376" s="23">
        <v>177.61</v>
      </c>
      <c r="Q8376" s="4">
        <f t="shared" si="130"/>
        <v>-39.558583413096109</v>
      </c>
      <c r="R8376" s="23" t="s">
        <v>109</v>
      </c>
      <c r="T8376" s="91"/>
      <c r="V8376" t="s">
        <v>10700</v>
      </c>
      <c r="W8376" t="s">
        <v>14392</v>
      </c>
    </row>
    <row r="8377" spans="1:23" x14ac:dyDescent="0.25">
      <c r="A8377" s="21">
        <v>45930</v>
      </c>
      <c r="B8377" s="1">
        <v>18811067</v>
      </c>
      <c r="C8377" t="s">
        <v>15103</v>
      </c>
      <c r="D8377" s="43">
        <v>-7026</v>
      </c>
      <c r="E8377" t="s">
        <v>35</v>
      </c>
      <c r="F8377" s="2">
        <v>212901001</v>
      </c>
      <c r="G8377" s="2" t="s">
        <v>121</v>
      </c>
      <c r="L8377" s="2" t="s">
        <v>15104</v>
      </c>
      <c r="M8377" t="s">
        <v>67</v>
      </c>
      <c r="N8377" t="s">
        <v>68</v>
      </c>
      <c r="P8377" s="23">
        <v>177.61</v>
      </c>
      <c r="Q8377" s="4">
        <f t="shared" si="130"/>
        <v>-39.558583413096109</v>
      </c>
      <c r="R8377" s="23" t="s">
        <v>109</v>
      </c>
      <c r="T8377" s="91"/>
      <c r="V8377" t="s">
        <v>10700</v>
      </c>
      <c r="W8377" t="s">
        <v>14392</v>
      </c>
    </row>
    <row r="8378" spans="1:23" x14ac:dyDescent="0.25">
      <c r="A8378" s="21">
        <v>45930</v>
      </c>
      <c r="B8378" s="1">
        <v>18811063</v>
      </c>
      <c r="C8378" t="s">
        <v>15105</v>
      </c>
      <c r="D8378" s="43">
        <v>-7026</v>
      </c>
      <c r="E8378" t="s">
        <v>35</v>
      </c>
      <c r="F8378" s="2">
        <v>212901001</v>
      </c>
      <c r="G8378" s="2" t="s">
        <v>121</v>
      </c>
      <c r="L8378" s="2" t="s">
        <v>15106</v>
      </c>
      <c r="M8378" t="s">
        <v>67</v>
      </c>
      <c r="N8378" t="s">
        <v>68</v>
      </c>
      <c r="P8378" s="23">
        <v>177.61</v>
      </c>
      <c r="Q8378" s="4">
        <f t="shared" si="130"/>
        <v>-39.558583413096109</v>
      </c>
      <c r="R8378" s="23" t="s">
        <v>109</v>
      </c>
      <c r="T8378" s="91"/>
      <c r="V8378" t="s">
        <v>10700</v>
      </c>
      <c r="W8378" t="s">
        <v>14392</v>
      </c>
    </row>
    <row r="8379" spans="1:23" x14ac:dyDescent="0.25">
      <c r="A8379" s="21">
        <v>45930</v>
      </c>
      <c r="B8379" s="1">
        <v>18811069</v>
      </c>
      <c r="C8379" t="s">
        <v>15107</v>
      </c>
      <c r="D8379" s="43">
        <v>-7026</v>
      </c>
      <c r="E8379" t="s">
        <v>35</v>
      </c>
      <c r="F8379" s="2">
        <v>212901001</v>
      </c>
      <c r="G8379" s="2" t="s">
        <v>121</v>
      </c>
      <c r="L8379" s="2" t="s">
        <v>15108</v>
      </c>
      <c r="M8379" t="s">
        <v>67</v>
      </c>
      <c r="N8379" t="s">
        <v>68</v>
      </c>
      <c r="P8379" s="23">
        <v>177.61</v>
      </c>
      <c r="Q8379" s="4">
        <f t="shared" si="130"/>
        <v>-39.558583413096109</v>
      </c>
      <c r="R8379" s="23" t="s">
        <v>109</v>
      </c>
      <c r="T8379" s="91"/>
      <c r="V8379" t="s">
        <v>10700</v>
      </c>
      <c r="W8379" t="s">
        <v>14392</v>
      </c>
    </row>
    <row r="8380" spans="1:23" x14ac:dyDescent="0.25">
      <c r="A8380" s="21">
        <v>45930</v>
      </c>
      <c r="B8380" s="1">
        <v>118811073</v>
      </c>
      <c r="C8380" t="s">
        <v>15109</v>
      </c>
      <c r="D8380" s="43">
        <v>-308.25</v>
      </c>
      <c r="E8380" t="s">
        <v>35</v>
      </c>
      <c r="F8380" s="2">
        <v>212901001</v>
      </c>
      <c r="G8380" s="2" t="s">
        <v>121</v>
      </c>
      <c r="L8380" s="2" t="s">
        <v>15110</v>
      </c>
      <c r="M8380" t="s">
        <v>67</v>
      </c>
      <c r="N8380" t="s">
        <v>68</v>
      </c>
      <c r="P8380" s="23">
        <v>177.61</v>
      </c>
      <c r="Q8380" s="4">
        <f t="shared" si="130"/>
        <v>-1.7355441698102583</v>
      </c>
      <c r="R8380" s="23" t="s">
        <v>109</v>
      </c>
      <c r="T8380" s="91"/>
      <c r="V8380" t="s">
        <v>10700</v>
      </c>
      <c r="W8380" t="s">
        <v>14397</v>
      </c>
    </row>
    <row r="8381" spans="1:23" x14ac:dyDescent="0.25">
      <c r="A8381" s="21">
        <v>45930</v>
      </c>
      <c r="B8381" s="1">
        <v>118811074</v>
      </c>
      <c r="C8381" t="s">
        <v>15111</v>
      </c>
      <c r="D8381" s="43">
        <v>-308.25</v>
      </c>
      <c r="E8381" t="s">
        <v>35</v>
      </c>
      <c r="F8381" s="2">
        <v>212901001</v>
      </c>
      <c r="G8381" s="2" t="s">
        <v>121</v>
      </c>
      <c r="L8381" s="2" t="s">
        <v>15112</v>
      </c>
      <c r="M8381" t="s">
        <v>67</v>
      </c>
      <c r="N8381" t="s">
        <v>68</v>
      </c>
      <c r="P8381" s="23">
        <v>177.61</v>
      </c>
      <c r="Q8381" s="4">
        <f t="shared" si="130"/>
        <v>-1.7355441698102583</v>
      </c>
      <c r="R8381" s="23" t="s">
        <v>109</v>
      </c>
      <c r="T8381" s="91"/>
      <c r="V8381" t="s">
        <v>12595</v>
      </c>
      <c r="W8381" t="s">
        <v>14392</v>
      </c>
    </row>
    <row r="8382" spans="1:23" x14ac:dyDescent="0.25">
      <c r="A8382" s="21">
        <v>45930</v>
      </c>
      <c r="B8382" s="1">
        <v>18811070</v>
      </c>
      <c r="C8382" t="s">
        <v>15113</v>
      </c>
      <c r="D8382" s="43">
        <v>-7026</v>
      </c>
      <c r="E8382" t="s">
        <v>35</v>
      </c>
      <c r="F8382" s="2">
        <v>212901001</v>
      </c>
      <c r="G8382" s="2" t="s">
        <v>121</v>
      </c>
      <c r="L8382" s="2" t="s">
        <v>15114</v>
      </c>
      <c r="M8382" t="s">
        <v>67</v>
      </c>
      <c r="N8382" t="s">
        <v>68</v>
      </c>
      <c r="P8382" s="23">
        <v>177.61</v>
      </c>
      <c r="Q8382" s="4">
        <f t="shared" si="130"/>
        <v>-39.558583413096109</v>
      </c>
      <c r="R8382" s="23" t="s">
        <v>109</v>
      </c>
      <c r="T8382" s="91"/>
      <c r="V8382" t="s">
        <v>10700</v>
      </c>
      <c r="W8382" t="s">
        <v>14392</v>
      </c>
    </row>
    <row r="8383" spans="1:23" x14ac:dyDescent="0.25">
      <c r="A8383" s="21">
        <v>45930</v>
      </c>
      <c r="B8383" s="1">
        <v>118811072</v>
      </c>
      <c r="C8383" t="s">
        <v>15115</v>
      </c>
      <c r="D8383" s="43">
        <v>-308.25</v>
      </c>
      <c r="E8383" t="s">
        <v>35</v>
      </c>
      <c r="F8383" s="2">
        <v>212901001</v>
      </c>
      <c r="G8383" s="2" t="s">
        <v>121</v>
      </c>
      <c r="L8383" s="2" t="s">
        <v>15116</v>
      </c>
      <c r="M8383" t="s">
        <v>67</v>
      </c>
      <c r="N8383" t="s">
        <v>68</v>
      </c>
      <c r="P8383" s="23">
        <v>177.61</v>
      </c>
      <c r="Q8383" s="4">
        <f t="shared" si="130"/>
        <v>-1.7355441698102583</v>
      </c>
      <c r="R8383" s="23" t="s">
        <v>109</v>
      </c>
      <c r="T8383" s="91"/>
      <c r="V8383" t="s">
        <v>10700</v>
      </c>
      <c r="W8383" t="s">
        <v>14392</v>
      </c>
    </row>
    <row r="8384" spans="1:23" x14ac:dyDescent="0.25">
      <c r="A8384" s="21">
        <v>45930</v>
      </c>
      <c r="B8384" s="1">
        <v>118811071</v>
      </c>
      <c r="C8384" t="s">
        <v>15117</v>
      </c>
      <c r="D8384" s="43">
        <v>-308.25</v>
      </c>
      <c r="E8384" t="s">
        <v>35</v>
      </c>
      <c r="F8384" s="2">
        <v>212901001</v>
      </c>
      <c r="G8384" s="2" t="s">
        <v>121</v>
      </c>
      <c r="L8384" s="2" t="s">
        <v>15118</v>
      </c>
      <c r="M8384" t="s">
        <v>67</v>
      </c>
      <c r="N8384" t="s">
        <v>68</v>
      </c>
      <c r="P8384" s="23">
        <v>177.61</v>
      </c>
      <c r="Q8384" s="4">
        <f t="shared" si="130"/>
        <v>-1.7355441698102583</v>
      </c>
      <c r="R8384" s="23" t="s">
        <v>109</v>
      </c>
      <c r="T8384" s="91"/>
      <c r="V8384" t="s">
        <v>10700</v>
      </c>
      <c r="W8384" t="s">
        <v>14392</v>
      </c>
    </row>
    <row r="8385" spans="1:23" x14ac:dyDescent="0.25">
      <c r="A8385" s="21">
        <v>45930</v>
      </c>
      <c r="B8385" s="1">
        <v>118811076</v>
      </c>
      <c r="C8385" t="s">
        <v>15119</v>
      </c>
      <c r="D8385" s="43">
        <v>-308.25</v>
      </c>
      <c r="E8385" t="s">
        <v>35</v>
      </c>
      <c r="F8385" s="2">
        <v>212901001</v>
      </c>
      <c r="G8385" s="2" t="s">
        <v>121</v>
      </c>
      <c r="L8385" s="2" t="s">
        <v>15120</v>
      </c>
      <c r="M8385" t="s">
        <v>67</v>
      </c>
      <c r="N8385" t="s">
        <v>68</v>
      </c>
      <c r="P8385" s="23">
        <v>177.61</v>
      </c>
      <c r="Q8385" s="4">
        <f t="shared" si="130"/>
        <v>-1.7355441698102583</v>
      </c>
      <c r="R8385" s="23" t="s">
        <v>109</v>
      </c>
      <c r="T8385" s="91"/>
      <c r="V8385" t="s">
        <v>10700</v>
      </c>
      <c r="W8385" t="s">
        <v>14392</v>
      </c>
    </row>
    <row r="8386" spans="1:23" x14ac:dyDescent="0.25">
      <c r="A8386" s="21">
        <v>45930</v>
      </c>
      <c r="B8386" s="1">
        <v>118811077</v>
      </c>
      <c r="C8386" t="s">
        <v>15121</v>
      </c>
      <c r="D8386" s="43">
        <v>-308.25</v>
      </c>
      <c r="E8386" t="s">
        <v>35</v>
      </c>
      <c r="F8386" s="2">
        <v>212901001</v>
      </c>
      <c r="G8386" s="2" t="s">
        <v>121</v>
      </c>
      <c r="L8386" s="2" t="s">
        <v>15122</v>
      </c>
      <c r="M8386" t="s">
        <v>67</v>
      </c>
      <c r="N8386" t="s">
        <v>68</v>
      </c>
      <c r="P8386" s="23">
        <v>177.61</v>
      </c>
      <c r="Q8386" s="4">
        <f t="shared" si="130"/>
        <v>-1.7355441698102583</v>
      </c>
      <c r="R8386" s="23" t="s">
        <v>109</v>
      </c>
      <c r="T8386" s="91"/>
      <c r="V8386" t="s">
        <v>10700</v>
      </c>
      <c r="W8386" t="s">
        <v>14392</v>
      </c>
    </row>
    <row r="8387" spans="1:23" x14ac:dyDescent="0.25">
      <c r="A8387" s="21">
        <v>45930</v>
      </c>
      <c r="B8387" s="1">
        <v>118811075</v>
      </c>
      <c r="C8387" t="s">
        <v>15123</v>
      </c>
      <c r="D8387" s="43">
        <v>-286.8</v>
      </c>
      <c r="E8387" t="s">
        <v>35</v>
      </c>
      <c r="F8387" s="2">
        <v>212901001</v>
      </c>
      <c r="G8387" s="2" t="s">
        <v>121</v>
      </c>
      <c r="L8387" s="2" t="s">
        <v>15124</v>
      </c>
      <c r="M8387" t="s">
        <v>67</v>
      </c>
      <c r="N8387" t="s">
        <v>68</v>
      </c>
      <c r="P8387" s="23">
        <v>177.61</v>
      </c>
      <c r="Q8387" s="4">
        <f t="shared" si="130"/>
        <v>-1.6147739429086199</v>
      </c>
      <c r="R8387" s="23" t="s">
        <v>109</v>
      </c>
      <c r="T8387" s="91"/>
      <c r="V8387" t="s">
        <v>10700</v>
      </c>
      <c r="W8387" t="s">
        <v>14392</v>
      </c>
    </row>
    <row r="8388" spans="1:23" x14ac:dyDescent="0.25">
      <c r="A8388" s="21">
        <v>45930</v>
      </c>
      <c r="B8388" s="1">
        <v>118811079</v>
      </c>
      <c r="C8388" t="s">
        <v>15125</v>
      </c>
      <c r="D8388" s="43">
        <v>-308.25</v>
      </c>
      <c r="E8388" t="s">
        <v>35</v>
      </c>
      <c r="F8388" s="2">
        <v>212901001</v>
      </c>
      <c r="G8388" s="2" t="s">
        <v>121</v>
      </c>
      <c r="L8388" s="2" t="s">
        <v>15126</v>
      </c>
      <c r="M8388" t="s">
        <v>67</v>
      </c>
      <c r="N8388" t="s">
        <v>68</v>
      </c>
      <c r="P8388" s="23">
        <v>177.61</v>
      </c>
      <c r="Q8388" s="4">
        <f t="shared" si="130"/>
        <v>-1.7355441698102583</v>
      </c>
      <c r="R8388" s="23" t="s">
        <v>109</v>
      </c>
      <c r="T8388" s="91"/>
      <c r="V8388" t="s">
        <v>10700</v>
      </c>
      <c r="W8388" t="s">
        <v>14392</v>
      </c>
    </row>
    <row r="8389" spans="1:23" x14ac:dyDescent="0.25">
      <c r="A8389" s="21">
        <v>45930</v>
      </c>
      <c r="B8389" s="1">
        <v>118811078</v>
      </c>
      <c r="C8389" t="s">
        <v>15127</v>
      </c>
      <c r="D8389" s="43">
        <v>-308.25</v>
      </c>
      <c r="E8389" t="s">
        <v>35</v>
      </c>
      <c r="F8389" s="2">
        <v>212901001</v>
      </c>
      <c r="G8389" s="2" t="s">
        <v>121</v>
      </c>
      <c r="L8389" s="2" t="s">
        <v>15128</v>
      </c>
      <c r="M8389" t="s">
        <v>67</v>
      </c>
      <c r="N8389" t="s">
        <v>68</v>
      </c>
      <c r="P8389" s="23">
        <v>177.61</v>
      </c>
      <c r="Q8389" s="4">
        <f t="shared" si="130"/>
        <v>-1.7355441698102583</v>
      </c>
      <c r="R8389" s="23" t="s">
        <v>109</v>
      </c>
      <c r="T8389" s="91"/>
      <c r="V8389" t="s">
        <v>10700</v>
      </c>
      <c r="W8389" t="s">
        <v>14392</v>
      </c>
    </row>
    <row r="8390" spans="1:23" x14ac:dyDescent="0.25">
      <c r="A8390" s="21">
        <v>45930</v>
      </c>
      <c r="B8390" s="1">
        <v>218811081</v>
      </c>
      <c r="C8390" t="s">
        <v>15129</v>
      </c>
      <c r="D8390" s="43">
        <v>-308.25</v>
      </c>
      <c r="E8390" t="s">
        <v>35</v>
      </c>
      <c r="F8390" s="2">
        <v>212901001</v>
      </c>
      <c r="G8390" s="2" t="s">
        <v>121</v>
      </c>
      <c r="L8390" s="2" t="s">
        <v>15130</v>
      </c>
      <c r="M8390" t="s">
        <v>67</v>
      </c>
      <c r="N8390" t="s">
        <v>68</v>
      </c>
      <c r="P8390" s="23">
        <v>177.61</v>
      </c>
      <c r="Q8390" s="4">
        <f t="shared" si="130"/>
        <v>-1.7355441698102583</v>
      </c>
      <c r="R8390" s="23" t="s">
        <v>109</v>
      </c>
      <c r="T8390" s="91"/>
      <c r="V8390" t="s">
        <v>10700</v>
      </c>
      <c r="W8390" t="s">
        <v>14392</v>
      </c>
    </row>
    <row r="8391" spans="1:23" x14ac:dyDescent="0.25">
      <c r="A8391" s="21">
        <v>45930</v>
      </c>
      <c r="B8391" s="1">
        <v>218811083</v>
      </c>
      <c r="C8391" t="s">
        <v>15131</v>
      </c>
      <c r="D8391" s="43">
        <v>-308.25</v>
      </c>
      <c r="E8391" t="s">
        <v>35</v>
      </c>
      <c r="F8391" s="2">
        <v>212901001</v>
      </c>
      <c r="G8391" s="2" t="s">
        <v>121</v>
      </c>
      <c r="L8391" s="2" t="s">
        <v>15132</v>
      </c>
      <c r="M8391" t="s">
        <v>67</v>
      </c>
      <c r="N8391" t="s">
        <v>68</v>
      </c>
      <c r="P8391" s="23">
        <v>177.61</v>
      </c>
      <c r="Q8391" s="4">
        <f t="shared" si="130"/>
        <v>-1.7355441698102583</v>
      </c>
      <c r="R8391" s="23" t="s">
        <v>109</v>
      </c>
      <c r="T8391" s="91"/>
      <c r="V8391" t="s">
        <v>10700</v>
      </c>
      <c r="W8391" t="s">
        <v>14392</v>
      </c>
    </row>
    <row r="8392" spans="1:23" x14ac:dyDescent="0.25">
      <c r="A8392" s="21">
        <v>45930</v>
      </c>
      <c r="B8392" s="1">
        <v>218811080</v>
      </c>
      <c r="C8392" t="s">
        <v>15133</v>
      </c>
      <c r="D8392" s="43">
        <v>-308.25</v>
      </c>
      <c r="E8392" t="s">
        <v>35</v>
      </c>
      <c r="F8392" s="2">
        <v>212901001</v>
      </c>
      <c r="G8392" s="2" t="s">
        <v>121</v>
      </c>
      <c r="L8392" s="2" t="s">
        <v>15134</v>
      </c>
      <c r="M8392" t="s">
        <v>67</v>
      </c>
      <c r="N8392" t="s">
        <v>68</v>
      </c>
      <c r="P8392" s="23">
        <v>177.61</v>
      </c>
      <c r="Q8392" s="4">
        <f t="shared" si="130"/>
        <v>-1.7355441698102583</v>
      </c>
      <c r="R8392" s="23" t="s">
        <v>109</v>
      </c>
      <c r="T8392" s="91"/>
      <c r="V8392" t="s">
        <v>10700</v>
      </c>
      <c r="W8392" t="s">
        <v>14392</v>
      </c>
    </row>
    <row r="8393" spans="1:23" x14ac:dyDescent="0.25">
      <c r="A8393" s="21">
        <v>45930</v>
      </c>
      <c r="B8393" s="1">
        <v>218811082</v>
      </c>
      <c r="C8393" t="s">
        <v>15135</v>
      </c>
      <c r="D8393" s="43">
        <v>-308.25</v>
      </c>
      <c r="E8393" t="s">
        <v>35</v>
      </c>
      <c r="F8393" s="2">
        <v>212901001</v>
      </c>
      <c r="G8393" s="2" t="s">
        <v>121</v>
      </c>
      <c r="L8393" s="2" t="s">
        <v>15136</v>
      </c>
      <c r="M8393" t="s">
        <v>67</v>
      </c>
      <c r="N8393" t="s">
        <v>68</v>
      </c>
      <c r="P8393" s="23">
        <v>177.61</v>
      </c>
      <c r="Q8393" s="4">
        <f t="shared" si="130"/>
        <v>-1.7355441698102583</v>
      </c>
      <c r="R8393" s="23" t="s">
        <v>109</v>
      </c>
      <c r="T8393" s="91"/>
      <c r="V8393" t="s">
        <v>10700</v>
      </c>
      <c r="W8393" t="s">
        <v>14397</v>
      </c>
    </row>
    <row r="8394" spans="1:23" x14ac:dyDescent="0.25">
      <c r="A8394" s="21">
        <v>45930</v>
      </c>
      <c r="B8394" s="1">
        <v>218811084</v>
      </c>
      <c r="C8394" t="s">
        <v>15137</v>
      </c>
      <c r="D8394" s="43">
        <v>-265.35000000000002</v>
      </c>
      <c r="E8394" t="s">
        <v>35</v>
      </c>
      <c r="F8394" s="2">
        <v>212901001</v>
      </c>
      <c r="G8394" s="2" t="s">
        <v>121</v>
      </c>
      <c r="L8394" s="2" t="s">
        <v>15138</v>
      </c>
      <c r="M8394" t="s">
        <v>67</v>
      </c>
      <c r="N8394" t="s">
        <v>68</v>
      </c>
      <c r="P8394" s="23">
        <v>177.61</v>
      </c>
      <c r="Q8394" s="4">
        <f t="shared" si="130"/>
        <v>-1.4940037160069817</v>
      </c>
      <c r="R8394" s="23" t="s">
        <v>109</v>
      </c>
      <c r="T8394" s="91"/>
      <c r="V8394" t="s">
        <v>10700</v>
      </c>
      <c r="W8394" t="s">
        <v>14392</v>
      </c>
    </row>
    <row r="8395" spans="1:23" x14ac:dyDescent="0.25">
      <c r="A8395" s="21">
        <v>45930</v>
      </c>
      <c r="B8395" s="1">
        <v>218811085</v>
      </c>
      <c r="C8395" t="s">
        <v>14484</v>
      </c>
      <c r="D8395" s="43">
        <v>-308.25</v>
      </c>
      <c r="E8395" t="s">
        <v>35</v>
      </c>
      <c r="F8395" s="2">
        <v>212901001</v>
      </c>
      <c r="G8395" s="2" t="s">
        <v>121</v>
      </c>
      <c r="L8395" s="2" t="s">
        <v>15139</v>
      </c>
      <c r="M8395" t="s">
        <v>67</v>
      </c>
      <c r="N8395" t="s">
        <v>68</v>
      </c>
      <c r="P8395" s="23">
        <v>177.61</v>
      </c>
      <c r="Q8395" s="4">
        <f t="shared" ref="Q8395:Q8458" si="131">D8395/P8395</f>
        <v>-1.7355441698102583</v>
      </c>
      <c r="R8395" s="23" t="s">
        <v>109</v>
      </c>
      <c r="T8395" s="91"/>
      <c r="V8395" t="s">
        <v>10700</v>
      </c>
      <c r="W8395" t="s">
        <v>14392</v>
      </c>
    </row>
    <row r="8396" spans="1:23" x14ac:dyDescent="0.25">
      <c r="A8396" s="21">
        <v>45930</v>
      </c>
      <c r="B8396" s="1">
        <v>318811089</v>
      </c>
      <c r="C8396" t="s">
        <v>15140</v>
      </c>
      <c r="D8396" s="43">
        <v>-308.25</v>
      </c>
      <c r="E8396" t="s">
        <v>35</v>
      </c>
      <c r="F8396" s="2">
        <v>212901001</v>
      </c>
      <c r="G8396" s="2" t="s">
        <v>121</v>
      </c>
      <c r="L8396" s="2" t="s">
        <v>15141</v>
      </c>
      <c r="M8396" t="s">
        <v>67</v>
      </c>
      <c r="N8396" t="s">
        <v>68</v>
      </c>
      <c r="P8396" s="23">
        <v>177.61</v>
      </c>
      <c r="Q8396" s="4">
        <f t="shared" si="131"/>
        <v>-1.7355441698102583</v>
      </c>
      <c r="R8396" s="23" t="s">
        <v>109</v>
      </c>
      <c r="T8396" s="91"/>
      <c r="V8396" t="s">
        <v>12595</v>
      </c>
      <c r="W8396" t="s">
        <v>14392</v>
      </c>
    </row>
    <row r="8397" spans="1:23" x14ac:dyDescent="0.25">
      <c r="A8397" s="21">
        <v>45930</v>
      </c>
      <c r="B8397" s="1">
        <v>218811087</v>
      </c>
      <c r="C8397" t="s">
        <v>15142</v>
      </c>
      <c r="D8397" s="43">
        <v>-308.25</v>
      </c>
      <c r="E8397" t="s">
        <v>35</v>
      </c>
      <c r="F8397" s="2">
        <v>212901001</v>
      </c>
      <c r="G8397" s="2" t="s">
        <v>121</v>
      </c>
      <c r="L8397" s="2" t="s">
        <v>15143</v>
      </c>
      <c r="M8397" t="s">
        <v>67</v>
      </c>
      <c r="N8397" t="s">
        <v>68</v>
      </c>
      <c r="P8397" s="23">
        <v>177.61</v>
      </c>
      <c r="Q8397" s="4">
        <f t="shared" si="131"/>
        <v>-1.7355441698102583</v>
      </c>
      <c r="R8397" s="23" t="s">
        <v>109</v>
      </c>
      <c r="T8397" s="91"/>
      <c r="V8397" t="s">
        <v>10700</v>
      </c>
      <c r="W8397" t="s">
        <v>14392</v>
      </c>
    </row>
    <row r="8398" spans="1:23" x14ac:dyDescent="0.25">
      <c r="A8398" s="21">
        <v>45930</v>
      </c>
      <c r="B8398" s="1">
        <v>218811086</v>
      </c>
      <c r="C8398" t="s">
        <v>15144</v>
      </c>
      <c r="D8398" s="43">
        <v>-308.25</v>
      </c>
      <c r="E8398" t="s">
        <v>35</v>
      </c>
      <c r="F8398" s="2">
        <v>212901001</v>
      </c>
      <c r="G8398" s="2" t="s">
        <v>121</v>
      </c>
      <c r="L8398" s="2" t="s">
        <v>15145</v>
      </c>
      <c r="M8398" t="s">
        <v>67</v>
      </c>
      <c r="N8398" t="s">
        <v>68</v>
      </c>
      <c r="P8398" s="23">
        <v>177.61</v>
      </c>
      <c r="Q8398" s="4">
        <f t="shared" si="131"/>
        <v>-1.7355441698102583</v>
      </c>
      <c r="R8398" s="23" t="s">
        <v>109</v>
      </c>
      <c r="T8398" s="91"/>
      <c r="V8398" t="s">
        <v>10700</v>
      </c>
      <c r="W8398" t="s">
        <v>14392</v>
      </c>
    </row>
    <row r="8399" spans="1:23" x14ac:dyDescent="0.25">
      <c r="A8399" s="21">
        <v>45930</v>
      </c>
      <c r="B8399" s="1">
        <v>318811092</v>
      </c>
      <c r="C8399" t="s">
        <v>15146</v>
      </c>
      <c r="D8399" s="43">
        <v>-308.25</v>
      </c>
      <c r="E8399" t="s">
        <v>35</v>
      </c>
      <c r="F8399" s="2">
        <v>212901001</v>
      </c>
      <c r="G8399" s="2" t="s">
        <v>121</v>
      </c>
      <c r="L8399" s="2" t="s">
        <v>15147</v>
      </c>
      <c r="M8399" t="s">
        <v>67</v>
      </c>
      <c r="N8399" t="s">
        <v>68</v>
      </c>
      <c r="P8399" s="23">
        <v>177.61</v>
      </c>
      <c r="Q8399" s="4">
        <f t="shared" si="131"/>
        <v>-1.7355441698102583</v>
      </c>
      <c r="R8399" s="23" t="s">
        <v>109</v>
      </c>
      <c r="T8399" s="91"/>
      <c r="V8399" t="s">
        <v>10700</v>
      </c>
      <c r="W8399" t="s">
        <v>14392</v>
      </c>
    </row>
    <row r="8400" spans="1:23" x14ac:dyDescent="0.25">
      <c r="A8400" s="21">
        <v>45930</v>
      </c>
      <c r="B8400" s="1">
        <v>318811088</v>
      </c>
      <c r="C8400" t="s">
        <v>15148</v>
      </c>
      <c r="D8400" s="43">
        <v>-308.25</v>
      </c>
      <c r="E8400" t="s">
        <v>35</v>
      </c>
      <c r="F8400" s="2">
        <v>212901001</v>
      </c>
      <c r="G8400" s="2" t="s">
        <v>121</v>
      </c>
      <c r="L8400" s="2" t="s">
        <v>15149</v>
      </c>
      <c r="M8400" t="s">
        <v>67</v>
      </c>
      <c r="N8400" t="s">
        <v>68</v>
      </c>
      <c r="P8400" s="23">
        <v>177.61</v>
      </c>
      <c r="Q8400" s="4">
        <f t="shared" si="131"/>
        <v>-1.7355441698102583</v>
      </c>
      <c r="R8400" s="23" t="s">
        <v>109</v>
      </c>
      <c r="T8400" s="91"/>
      <c r="V8400" t="s">
        <v>12595</v>
      </c>
      <c r="W8400" t="s">
        <v>14392</v>
      </c>
    </row>
    <row r="8401" spans="1:23" x14ac:dyDescent="0.25">
      <c r="A8401" s="21">
        <v>45930</v>
      </c>
      <c r="B8401" s="1">
        <v>318811095</v>
      </c>
      <c r="C8401" t="s">
        <v>15150</v>
      </c>
      <c r="D8401" s="43">
        <v>-308.25</v>
      </c>
      <c r="E8401" t="s">
        <v>35</v>
      </c>
      <c r="F8401" s="2">
        <v>212901001</v>
      </c>
      <c r="G8401" s="2" t="s">
        <v>121</v>
      </c>
      <c r="L8401" s="2" t="s">
        <v>15151</v>
      </c>
      <c r="M8401" t="s">
        <v>67</v>
      </c>
      <c r="N8401" t="s">
        <v>68</v>
      </c>
      <c r="P8401" s="23">
        <v>177.61</v>
      </c>
      <c r="Q8401" s="4">
        <f t="shared" si="131"/>
        <v>-1.7355441698102583</v>
      </c>
      <c r="R8401" s="23" t="s">
        <v>109</v>
      </c>
      <c r="T8401" s="91"/>
      <c r="V8401" t="s">
        <v>10700</v>
      </c>
      <c r="W8401" t="s">
        <v>14392</v>
      </c>
    </row>
    <row r="8402" spans="1:23" x14ac:dyDescent="0.25">
      <c r="A8402" s="21">
        <v>45930</v>
      </c>
      <c r="B8402" s="1">
        <v>318811091</v>
      </c>
      <c r="C8402" t="s">
        <v>15152</v>
      </c>
      <c r="D8402" s="43">
        <v>-308.25</v>
      </c>
      <c r="E8402" t="s">
        <v>35</v>
      </c>
      <c r="F8402" s="2">
        <v>212901001</v>
      </c>
      <c r="G8402" s="2" t="s">
        <v>121</v>
      </c>
      <c r="L8402" s="2" t="s">
        <v>15153</v>
      </c>
      <c r="M8402" t="s">
        <v>67</v>
      </c>
      <c r="N8402" t="s">
        <v>68</v>
      </c>
      <c r="P8402" s="23">
        <v>177.61</v>
      </c>
      <c r="Q8402" s="4">
        <f t="shared" si="131"/>
        <v>-1.7355441698102583</v>
      </c>
      <c r="R8402" s="23" t="s">
        <v>109</v>
      </c>
      <c r="T8402" s="91"/>
      <c r="V8402" t="s">
        <v>12595</v>
      </c>
      <c r="W8402" t="s">
        <v>14392</v>
      </c>
    </row>
    <row r="8403" spans="1:23" x14ac:dyDescent="0.25">
      <c r="A8403" s="21">
        <v>45930</v>
      </c>
      <c r="B8403" s="1">
        <v>318811096</v>
      </c>
      <c r="C8403" t="s">
        <v>15154</v>
      </c>
      <c r="D8403" s="43">
        <v>-308.25</v>
      </c>
      <c r="E8403" t="s">
        <v>35</v>
      </c>
      <c r="F8403" s="2">
        <v>212901001</v>
      </c>
      <c r="G8403" s="2" t="s">
        <v>121</v>
      </c>
      <c r="L8403" s="2" t="s">
        <v>15155</v>
      </c>
      <c r="M8403" t="s">
        <v>67</v>
      </c>
      <c r="N8403" t="s">
        <v>68</v>
      </c>
      <c r="P8403" s="23">
        <v>177.61</v>
      </c>
      <c r="Q8403" s="4">
        <f t="shared" si="131"/>
        <v>-1.7355441698102583</v>
      </c>
      <c r="R8403" s="23" t="s">
        <v>109</v>
      </c>
      <c r="T8403" s="91"/>
      <c r="V8403" t="s">
        <v>12595</v>
      </c>
      <c r="W8403" t="s">
        <v>14392</v>
      </c>
    </row>
    <row r="8404" spans="1:23" x14ac:dyDescent="0.25">
      <c r="A8404" s="21">
        <v>45930</v>
      </c>
      <c r="B8404" s="1">
        <v>318811090</v>
      </c>
      <c r="C8404" t="s">
        <v>15156</v>
      </c>
      <c r="D8404" s="43">
        <v>-243.9</v>
      </c>
      <c r="E8404" t="s">
        <v>35</v>
      </c>
      <c r="F8404" s="2">
        <v>212901001</v>
      </c>
      <c r="G8404" s="2" t="s">
        <v>121</v>
      </c>
      <c r="L8404" s="2" t="s">
        <v>15157</v>
      </c>
      <c r="M8404" t="s">
        <v>67</v>
      </c>
      <c r="N8404" t="s">
        <v>68</v>
      </c>
      <c r="P8404" s="23">
        <v>177.61</v>
      </c>
      <c r="Q8404" s="4">
        <f t="shared" si="131"/>
        <v>-1.373233489105343</v>
      </c>
      <c r="R8404" s="23" t="s">
        <v>109</v>
      </c>
      <c r="T8404" s="91"/>
      <c r="V8404" t="s">
        <v>10700</v>
      </c>
      <c r="W8404" t="s">
        <v>14392</v>
      </c>
    </row>
    <row r="8405" spans="1:23" x14ac:dyDescent="0.25">
      <c r="A8405" s="21">
        <v>45930</v>
      </c>
      <c r="B8405" s="1">
        <v>318811093</v>
      </c>
      <c r="C8405" t="s">
        <v>15158</v>
      </c>
      <c r="D8405" s="43">
        <v>-308.25</v>
      </c>
      <c r="E8405" t="s">
        <v>35</v>
      </c>
      <c r="F8405" s="2">
        <v>212901001</v>
      </c>
      <c r="G8405" s="2" t="s">
        <v>121</v>
      </c>
      <c r="L8405" s="2" t="s">
        <v>15159</v>
      </c>
      <c r="M8405" t="s">
        <v>67</v>
      </c>
      <c r="N8405" t="s">
        <v>68</v>
      </c>
      <c r="P8405" s="23">
        <v>177.61</v>
      </c>
      <c r="Q8405" s="4">
        <f t="shared" si="131"/>
        <v>-1.7355441698102583</v>
      </c>
      <c r="R8405" s="23" t="s">
        <v>109</v>
      </c>
      <c r="T8405" s="91"/>
      <c r="V8405" t="s">
        <v>12595</v>
      </c>
      <c r="W8405" t="s">
        <v>14392</v>
      </c>
    </row>
    <row r="8406" spans="1:23" x14ac:dyDescent="0.25">
      <c r="A8406" s="21">
        <v>45930</v>
      </c>
      <c r="B8406" s="1">
        <v>318811094</v>
      </c>
      <c r="C8406" t="s">
        <v>15160</v>
      </c>
      <c r="D8406" s="43">
        <v>-286.8</v>
      </c>
      <c r="E8406" t="s">
        <v>35</v>
      </c>
      <c r="F8406" s="2">
        <v>212901001</v>
      </c>
      <c r="G8406" s="2" t="s">
        <v>121</v>
      </c>
      <c r="L8406" s="2" t="s">
        <v>15161</v>
      </c>
      <c r="M8406" t="s">
        <v>67</v>
      </c>
      <c r="N8406" t="s">
        <v>68</v>
      </c>
      <c r="P8406" s="23">
        <v>177.61</v>
      </c>
      <c r="Q8406" s="4">
        <f t="shared" si="131"/>
        <v>-1.6147739429086199</v>
      </c>
      <c r="R8406" s="23" t="s">
        <v>109</v>
      </c>
      <c r="T8406" s="91"/>
      <c r="V8406" t="s">
        <v>10700</v>
      </c>
      <c r="W8406" t="s">
        <v>14392</v>
      </c>
    </row>
    <row r="8407" spans="1:23" x14ac:dyDescent="0.25">
      <c r="A8407" s="21">
        <v>45930</v>
      </c>
      <c r="B8407" s="1">
        <v>418811098</v>
      </c>
      <c r="C8407" t="s">
        <v>15162</v>
      </c>
      <c r="D8407" s="43">
        <v>-308.25</v>
      </c>
      <c r="E8407" t="s">
        <v>35</v>
      </c>
      <c r="F8407" s="2">
        <v>212901001</v>
      </c>
      <c r="G8407" s="2" t="s">
        <v>121</v>
      </c>
      <c r="L8407" s="2" t="s">
        <v>15163</v>
      </c>
      <c r="M8407" t="s">
        <v>67</v>
      </c>
      <c r="N8407" t="s">
        <v>68</v>
      </c>
      <c r="P8407" s="23">
        <v>177.61</v>
      </c>
      <c r="Q8407" s="4">
        <f t="shared" si="131"/>
        <v>-1.7355441698102583</v>
      </c>
      <c r="R8407" s="23" t="s">
        <v>109</v>
      </c>
      <c r="T8407" s="91"/>
      <c r="V8407" t="s">
        <v>10700</v>
      </c>
      <c r="W8407" t="s">
        <v>14392</v>
      </c>
    </row>
    <row r="8408" spans="1:23" x14ac:dyDescent="0.25">
      <c r="A8408" s="21">
        <v>45930</v>
      </c>
      <c r="B8408" s="1">
        <v>418811101</v>
      </c>
      <c r="C8408" t="s">
        <v>15164</v>
      </c>
      <c r="D8408" s="43">
        <v>-308.25</v>
      </c>
      <c r="E8408" t="s">
        <v>35</v>
      </c>
      <c r="F8408" s="2">
        <v>212901001</v>
      </c>
      <c r="G8408" s="2" t="s">
        <v>121</v>
      </c>
      <c r="L8408" s="2" t="s">
        <v>15165</v>
      </c>
      <c r="M8408" t="s">
        <v>67</v>
      </c>
      <c r="N8408" t="s">
        <v>68</v>
      </c>
      <c r="P8408" s="23">
        <v>177.61</v>
      </c>
      <c r="Q8408" s="4">
        <f t="shared" si="131"/>
        <v>-1.7355441698102583</v>
      </c>
      <c r="R8408" s="23" t="s">
        <v>109</v>
      </c>
      <c r="T8408" s="91"/>
      <c r="V8408" t="s">
        <v>10700</v>
      </c>
      <c r="W8408" t="s">
        <v>14392</v>
      </c>
    </row>
    <row r="8409" spans="1:23" x14ac:dyDescent="0.25">
      <c r="A8409" s="21">
        <v>45930</v>
      </c>
      <c r="B8409" s="1">
        <v>418811100</v>
      </c>
      <c r="C8409" t="s">
        <v>15166</v>
      </c>
      <c r="D8409" s="43">
        <v>-308.25</v>
      </c>
      <c r="E8409" t="s">
        <v>35</v>
      </c>
      <c r="F8409" s="2">
        <v>212901001</v>
      </c>
      <c r="G8409" s="2" t="s">
        <v>121</v>
      </c>
      <c r="L8409" s="2" t="s">
        <v>15167</v>
      </c>
      <c r="M8409" t="s">
        <v>67</v>
      </c>
      <c r="N8409" t="s">
        <v>68</v>
      </c>
      <c r="P8409" s="23">
        <v>177.61</v>
      </c>
      <c r="Q8409" s="4">
        <f t="shared" si="131"/>
        <v>-1.7355441698102583</v>
      </c>
      <c r="R8409" s="23" t="s">
        <v>109</v>
      </c>
      <c r="T8409" s="91"/>
      <c r="V8409" t="s">
        <v>12595</v>
      </c>
      <c r="W8409" t="s">
        <v>14392</v>
      </c>
    </row>
    <row r="8410" spans="1:23" x14ac:dyDescent="0.25">
      <c r="A8410" s="21">
        <v>45930</v>
      </c>
      <c r="B8410" s="1">
        <v>418811103</v>
      </c>
      <c r="C8410" t="s">
        <v>15168</v>
      </c>
      <c r="D8410" s="43">
        <v>-308.25</v>
      </c>
      <c r="E8410" t="s">
        <v>35</v>
      </c>
      <c r="F8410" s="2">
        <v>212901001</v>
      </c>
      <c r="G8410" s="2" t="s">
        <v>121</v>
      </c>
      <c r="L8410" s="2" t="s">
        <v>15169</v>
      </c>
      <c r="M8410" t="s">
        <v>67</v>
      </c>
      <c r="N8410" t="s">
        <v>68</v>
      </c>
      <c r="P8410" s="23">
        <v>177.61</v>
      </c>
      <c r="Q8410" s="4">
        <f t="shared" si="131"/>
        <v>-1.7355441698102583</v>
      </c>
      <c r="R8410" s="23" t="s">
        <v>109</v>
      </c>
      <c r="T8410" s="91"/>
      <c r="V8410" t="s">
        <v>10700</v>
      </c>
      <c r="W8410" t="s">
        <v>14392</v>
      </c>
    </row>
    <row r="8411" spans="1:23" x14ac:dyDescent="0.25">
      <c r="A8411" s="21">
        <v>45930</v>
      </c>
      <c r="B8411" s="1">
        <v>418811097</v>
      </c>
      <c r="C8411" t="s">
        <v>15170</v>
      </c>
      <c r="D8411" s="43">
        <v>-308.25</v>
      </c>
      <c r="E8411" t="s">
        <v>35</v>
      </c>
      <c r="F8411" s="2">
        <v>212901001</v>
      </c>
      <c r="G8411" s="2" t="s">
        <v>121</v>
      </c>
      <c r="L8411" s="2" t="s">
        <v>15171</v>
      </c>
      <c r="M8411" t="s">
        <v>67</v>
      </c>
      <c r="N8411" t="s">
        <v>68</v>
      </c>
      <c r="P8411" s="23">
        <v>177.61</v>
      </c>
      <c r="Q8411" s="4">
        <f t="shared" si="131"/>
        <v>-1.7355441698102583</v>
      </c>
      <c r="R8411" s="23" t="s">
        <v>109</v>
      </c>
      <c r="T8411" s="91"/>
      <c r="V8411" t="s">
        <v>10700</v>
      </c>
      <c r="W8411" t="s">
        <v>14392</v>
      </c>
    </row>
    <row r="8412" spans="1:23" x14ac:dyDescent="0.25">
      <c r="A8412" s="21">
        <v>45930</v>
      </c>
      <c r="B8412" s="1">
        <v>418811104</v>
      </c>
      <c r="C8412" t="s">
        <v>15172</v>
      </c>
      <c r="D8412" s="43">
        <v>-308.25</v>
      </c>
      <c r="E8412" t="s">
        <v>35</v>
      </c>
      <c r="F8412" s="2">
        <v>212901001</v>
      </c>
      <c r="G8412" s="2" t="s">
        <v>121</v>
      </c>
      <c r="L8412" s="2" t="s">
        <v>15173</v>
      </c>
      <c r="M8412" t="s">
        <v>67</v>
      </c>
      <c r="N8412" t="s">
        <v>68</v>
      </c>
      <c r="P8412" s="23">
        <v>177.61</v>
      </c>
      <c r="Q8412" s="4">
        <f t="shared" si="131"/>
        <v>-1.7355441698102583</v>
      </c>
      <c r="R8412" s="23" t="s">
        <v>109</v>
      </c>
      <c r="T8412" s="91"/>
      <c r="V8412" t="s">
        <v>10700</v>
      </c>
      <c r="W8412" t="s">
        <v>14392</v>
      </c>
    </row>
    <row r="8413" spans="1:23" x14ac:dyDescent="0.25">
      <c r="A8413" s="21">
        <v>45930</v>
      </c>
      <c r="B8413" s="1">
        <v>418811099</v>
      </c>
      <c r="C8413" t="s">
        <v>15174</v>
      </c>
      <c r="D8413" s="43">
        <v>-308.25</v>
      </c>
      <c r="E8413" t="s">
        <v>35</v>
      </c>
      <c r="F8413" s="2">
        <v>212901001</v>
      </c>
      <c r="G8413" s="2" t="s">
        <v>121</v>
      </c>
      <c r="L8413" s="2" t="s">
        <v>15175</v>
      </c>
      <c r="M8413" t="s">
        <v>67</v>
      </c>
      <c r="N8413" t="s">
        <v>68</v>
      </c>
      <c r="P8413" s="23">
        <v>177.61</v>
      </c>
      <c r="Q8413" s="4">
        <f t="shared" si="131"/>
        <v>-1.7355441698102583</v>
      </c>
      <c r="R8413" s="23" t="s">
        <v>109</v>
      </c>
      <c r="T8413" s="91"/>
      <c r="V8413" t="s">
        <v>10700</v>
      </c>
      <c r="W8413" t="s">
        <v>14392</v>
      </c>
    </row>
    <row r="8414" spans="1:23" x14ac:dyDescent="0.25">
      <c r="A8414" s="21">
        <v>45930</v>
      </c>
      <c r="B8414" s="1">
        <v>418811102</v>
      </c>
      <c r="C8414" t="s">
        <v>15176</v>
      </c>
      <c r="D8414" s="43">
        <v>-308.25</v>
      </c>
      <c r="E8414" t="s">
        <v>35</v>
      </c>
      <c r="F8414" s="2">
        <v>212901001</v>
      </c>
      <c r="G8414" s="2" t="s">
        <v>121</v>
      </c>
      <c r="L8414" s="2" t="s">
        <v>15177</v>
      </c>
      <c r="M8414" t="s">
        <v>67</v>
      </c>
      <c r="N8414" t="s">
        <v>68</v>
      </c>
      <c r="P8414" s="23">
        <v>177.61</v>
      </c>
      <c r="Q8414" s="4">
        <f t="shared" si="131"/>
        <v>-1.7355441698102583</v>
      </c>
      <c r="R8414" s="23" t="s">
        <v>109</v>
      </c>
      <c r="T8414" s="91"/>
      <c r="V8414" t="s">
        <v>10700</v>
      </c>
      <c r="W8414" t="s">
        <v>14392</v>
      </c>
    </row>
    <row r="8415" spans="1:23" x14ac:dyDescent="0.25">
      <c r="A8415" s="21">
        <v>45930</v>
      </c>
      <c r="B8415" s="1">
        <v>418811105</v>
      </c>
      <c r="C8415" t="s">
        <v>15178</v>
      </c>
      <c r="D8415" s="43">
        <v>-308.25</v>
      </c>
      <c r="E8415" t="s">
        <v>35</v>
      </c>
      <c r="F8415" s="2">
        <v>212901001</v>
      </c>
      <c r="G8415" s="2" t="s">
        <v>121</v>
      </c>
      <c r="L8415" s="2" t="s">
        <v>15179</v>
      </c>
      <c r="M8415" t="s">
        <v>67</v>
      </c>
      <c r="N8415" t="s">
        <v>68</v>
      </c>
      <c r="P8415" s="23">
        <v>177.61</v>
      </c>
      <c r="Q8415" s="4">
        <f t="shared" si="131"/>
        <v>-1.7355441698102583</v>
      </c>
      <c r="R8415" s="23" t="s">
        <v>109</v>
      </c>
      <c r="T8415" s="91"/>
      <c r="V8415" t="s">
        <v>10700</v>
      </c>
      <c r="W8415" t="s">
        <v>14392</v>
      </c>
    </row>
    <row r="8416" spans="1:23" x14ac:dyDescent="0.25">
      <c r="A8416" s="21">
        <v>45930</v>
      </c>
      <c r="B8416" s="1">
        <v>50995305</v>
      </c>
      <c r="C8416" t="s">
        <v>118</v>
      </c>
      <c r="D8416" s="43">
        <v>-2633.79</v>
      </c>
      <c r="E8416" t="s">
        <v>35</v>
      </c>
      <c r="F8416" s="2">
        <v>610148001</v>
      </c>
      <c r="G8416" s="2" t="s">
        <v>42</v>
      </c>
      <c r="L8416" s="2" t="s">
        <v>15180</v>
      </c>
      <c r="M8416" t="s">
        <v>43</v>
      </c>
      <c r="N8416" t="s">
        <v>42</v>
      </c>
      <c r="P8416" s="23">
        <v>177.61</v>
      </c>
      <c r="Q8416" s="4">
        <f t="shared" si="131"/>
        <v>-14.829063678846911</v>
      </c>
      <c r="R8416" s="23" t="s">
        <v>109</v>
      </c>
      <c r="T8416" s="90" t="s">
        <v>14165</v>
      </c>
    </row>
    <row r="8417" spans="1:20" x14ac:dyDescent="0.25">
      <c r="A8417" s="21">
        <v>45930</v>
      </c>
      <c r="C8417" t="s">
        <v>1192</v>
      </c>
      <c r="D8417" s="43">
        <v>-0.5</v>
      </c>
      <c r="E8417" t="s">
        <v>35</v>
      </c>
      <c r="F8417" s="2">
        <v>610148001</v>
      </c>
      <c r="G8417" s="2" t="s">
        <v>42</v>
      </c>
      <c r="L8417" s="2" t="s">
        <v>15181</v>
      </c>
      <c r="M8417" t="s">
        <v>43</v>
      </c>
      <c r="N8417" t="s">
        <v>42</v>
      </c>
      <c r="P8417" s="23">
        <v>177.61</v>
      </c>
      <c r="Q8417" s="4">
        <f t="shared" si="131"/>
        <v>-2.8151568042339955E-3</v>
      </c>
      <c r="R8417" s="23" t="s">
        <v>109</v>
      </c>
      <c r="T8417" s="90" t="s">
        <v>14165</v>
      </c>
    </row>
    <row r="8418" spans="1:20" x14ac:dyDescent="0.25">
      <c r="A8418" s="21">
        <v>45930</v>
      </c>
      <c r="C8418" t="s">
        <v>1194</v>
      </c>
      <c r="D8418" s="43">
        <v>-0.5</v>
      </c>
      <c r="E8418" t="s">
        <v>35</v>
      </c>
      <c r="F8418" s="2">
        <v>610148001</v>
      </c>
      <c r="G8418" s="2" t="s">
        <v>42</v>
      </c>
      <c r="L8418" s="2" t="s">
        <v>15182</v>
      </c>
      <c r="M8418" t="s">
        <v>43</v>
      </c>
      <c r="N8418" t="s">
        <v>42</v>
      </c>
      <c r="P8418" s="23">
        <v>177.61</v>
      </c>
      <c r="Q8418" s="4">
        <f t="shared" si="131"/>
        <v>-2.8151568042339955E-3</v>
      </c>
      <c r="R8418" s="23" t="s">
        <v>109</v>
      </c>
      <c r="T8418" s="90" t="s">
        <v>14165</v>
      </c>
    </row>
    <row r="8419" spans="1:20" x14ac:dyDescent="0.25">
      <c r="A8419" s="21">
        <v>45901</v>
      </c>
      <c r="B8419" s="1" t="s">
        <v>15183</v>
      </c>
      <c r="C8419" t="s">
        <v>2540</v>
      </c>
      <c r="D8419" s="43" t="s">
        <v>10261</v>
      </c>
      <c r="E8419" t="s">
        <v>35</v>
      </c>
      <c r="F8419" s="2">
        <v>610148001</v>
      </c>
      <c r="G8419" s="2" t="s">
        <v>42</v>
      </c>
      <c r="L8419" s="2" t="s">
        <v>15184</v>
      </c>
      <c r="M8419" t="s">
        <v>43</v>
      </c>
      <c r="N8419" t="s">
        <v>42</v>
      </c>
      <c r="P8419" s="23">
        <v>148.44</v>
      </c>
      <c r="R8419" s="23" t="s">
        <v>1198</v>
      </c>
      <c r="T8419" s="93" t="s">
        <v>14165</v>
      </c>
    </row>
    <row r="8420" spans="1:20" x14ac:dyDescent="0.25">
      <c r="A8420" s="21">
        <v>45901</v>
      </c>
      <c r="B8420" s="1" t="s">
        <v>15185</v>
      </c>
      <c r="C8420" t="s">
        <v>15186</v>
      </c>
      <c r="D8420" s="43" t="s">
        <v>15187</v>
      </c>
      <c r="E8420" t="s">
        <v>46</v>
      </c>
      <c r="F8420" s="2">
        <v>110106001</v>
      </c>
      <c r="G8420" s="2" t="s">
        <v>2034</v>
      </c>
      <c r="L8420" s="2" t="s">
        <v>15188</v>
      </c>
      <c r="N8420" t="s">
        <v>15189</v>
      </c>
      <c r="P8420" s="23">
        <v>148.44</v>
      </c>
      <c r="Q8420" s="4">
        <f t="shared" ref="Q8420:Q8483" si="132">D8420/P8420</f>
        <v>5096.8699811371598</v>
      </c>
      <c r="R8420" s="23" t="s">
        <v>1198</v>
      </c>
      <c r="T8420" s="79"/>
    </row>
    <row r="8421" spans="1:20" x14ac:dyDescent="0.25">
      <c r="A8421" s="21">
        <v>45903</v>
      </c>
      <c r="B8421" s="1" t="s">
        <v>15190</v>
      </c>
      <c r="C8421" t="s">
        <v>15191</v>
      </c>
      <c r="D8421" s="43" t="s">
        <v>15192</v>
      </c>
      <c r="E8421" t="s">
        <v>35</v>
      </c>
      <c r="F8421" s="2">
        <v>210101001</v>
      </c>
      <c r="G8421" s="2" t="s">
        <v>36</v>
      </c>
      <c r="L8421" s="2" t="s">
        <v>15193</v>
      </c>
      <c r="M8421" t="s">
        <v>788</v>
      </c>
      <c r="N8421" t="s">
        <v>789</v>
      </c>
      <c r="P8421" s="23">
        <v>150.80000000000001</v>
      </c>
      <c r="Q8421" s="4">
        <f t="shared" si="132"/>
        <v>-9.1347480106100782</v>
      </c>
      <c r="R8421" s="23" t="s">
        <v>1198</v>
      </c>
    </row>
    <row r="8422" spans="1:20" x14ac:dyDescent="0.25">
      <c r="A8422" s="21">
        <v>45903</v>
      </c>
      <c r="B8422" s="1" t="s">
        <v>15194</v>
      </c>
      <c r="C8422" t="s">
        <v>1221</v>
      </c>
      <c r="D8422" s="43" t="s">
        <v>15195</v>
      </c>
      <c r="E8422" t="s">
        <v>35</v>
      </c>
      <c r="F8422" s="2">
        <v>610148001</v>
      </c>
      <c r="G8422" s="2" t="s">
        <v>42</v>
      </c>
      <c r="L8422" s="2" t="s">
        <v>15196</v>
      </c>
      <c r="M8422" t="s">
        <v>43</v>
      </c>
      <c r="N8422" t="s">
        <v>42</v>
      </c>
      <c r="P8422" s="23">
        <v>150.80000000000001</v>
      </c>
      <c r="Q8422" s="4">
        <f t="shared" si="132"/>
        <v>-2.2811671087533153E-2</v>
      </c>
      <c r="R8422" s="23" t="s">
        <v>1198</v>
      </c>
      <c r="T8422" s="93" t="s">
        <v>14165</v>
      </c>
    </row>
    <row r="8423" spans="1:20" x14ac:dyDescent="0.25">
      <c r="A8423" s="21">
        <v>45903</v>
      </c>
      <c r="B8423" s="1" t="s">
        <v>15197</v>
      </c>
      <c r="C8423" t="s">
        <v>1221</v>
      </c>
      <c r="D8423" s="43" t="s">
        <v>15198</v>
      </c>
      <c r="E8423" t="s">
        <v>35</v>
      </c>
      <c r="F8423" s="2">
        <v>610148001</v>
      </c>
      <c r="G8423" s="2" t="s">
        <v>42</v>
      </c>
      <c r="L8423" s="2" t="s">
        <v>15199</v>
      </c>
      <c r="M8423" t="s">
        <v>43</v>
      </c>
      <c r="N8423" t="s">
        <v>42</v>
      </c>
      <c r="P8423" s="23">
        <v>150.80000000000001</v>
      </c>
      <c r="Q8423" s="4">
        <f t="shared" si="132"/>
        <v>-0.25762599469496023</v>
      </c>
      <c r="R8423" s="23" t="s">
        <v>1198</v>
      </c>
      <c r="T8423" s="93" t="s">
        <v>14165</v>
      </c>
    </row>
    <row r="8424" spans="1:20" x14ac:dyDescent="0.25">
      <c r="A8424" s="21">
        <v>45903</v>
      </c>
      <c r="B8424" s="1" t="s">
        <v>15200</v>
      </c>
      <c r="C8424" t="s">
        <v>15201</v>
      </c>
      <c r="D8424" s="43" t="s">
        <v>15202</v>
      </c>
      <c r="E8424" t="s">
        <v>35</v>
      </c>
      <c r="F8424" s="2">
        <v>210101001</v>
      </c>
      <c r="G8424" s="2" t="s">
        <v>36</v>
      </c>
      <c r="L8424" s="2" t="s">
        <v>15203</v>
      </c>
      <c r="M8424" t="s">
        <v>788</v>
      </c>
      <c r="N8424" t="s">
        <v>789</v>
      </c>
      <c r="P8424" s="23">
        <v>150.80000000000001</v>
      </c>
      <c r="Q8424" s="4">
        <f t="shared" si="132"/>
        <v>-103.07208222811671</v>
      </c>
      <c r="R8424" s="23" t="s">
        <v>1198</v>
      </c>
    </row>
    <row r="8425" spans="1:20" x14ac:dyDescent="0.25">
      <c r="A8425" s="21">
        <v>45903</v>
      </c>
      <c r="B8425" s="1" t="s">
        <v>15204</v>
      </c>
      <c r="C8425" t="s">
        <v>1221</v>
      </c>
      <c r="D8425" s="43" t="s">
        <v>15205</v>
      </c>
      <c r="E8425" t="s">
        <v>35</v>
      </c>
      <c r="F8425" s="2">
        <v>610148001</v>
      </c>
      <c r="G8425" s="2" t="s">
        <v>42</v>
      </c>
      <c r="L8425" s="2" t="s">
        <v>15206</v>
      </c>
      <c r="M8425" t="s">
        <v>43</v>
      </c>
      <c r="N8425" t="s">
        <v>42</v>
      </c>
      <c r="P8425" s="23">
        <v>150.80000000000001</v>
      </c>
      <c r="Q8425" s="4">
        <f t="shared" si="132"/>
        <v>-1.2994031830238726</v>
      </c>
      <c r="R8425" s="23" t="s">
        <v>1198</v>
      </c>
      <c r="T8425" s="93" t="s">
        <v>14165</v>
      </c>
    </row>
    <row r="8426" spans="1:20" x14ac:dyDescent="0.25">
      <c r="A8426" s="21">
        <v>45903</v>
      </c>
      <c r="B8426" s="1" t="s">
        <v>15207</v>
      </c>
      <c r="C8426" t="s">
        <v>15208</v>
      </c>
      <c r="D8426" s="43" t="s">
        <v>15209</v>
      </c>
      <c r="E8426" t="s">
        <v>35</v>
      </c>
      <c r="F8426" s="2">
        <v>210101001</v>
      </c>
      <c r="G8426" s="2" t="s">
        <v>36</v>
      </c>
      <c r="L8426" s="2" t="s">
        <v>15210</v>
      </c>
      <c r="M8426" t="s">
        <v>714</v>
      </c>
      <c r="N8426" t="s">
        <v>715</v>
      </c>
      <c r="P8426" s="23">
        <v>150.80000000000001</v>
      </c>
      <c r="Q8426" s="4">
        <f t="shared" si="132"/>
        <v>-519.76697612732096</v>
      </c>
      <c r="R8426" s="23" t="s">
        <v>1198</v>
      </c>
    </row>
    <row r="8427" spans="1:20" x14ac:dyDescent="0.25">
      <c r="A8427" s="21">
        <v>45903</v>
      </c>
      <c r="B8427" s="1" t="s">
        <v>15211</v>
      </c>
      <c r="C8427" t="s">
        <v>1221</v>
      </c>
      <c r="D8427" s="43" t="s">
        <v>15212</v>
      </c>
      <c r="E8427" t="s">
        <v>35</v>
      </c>
      <c r="F8427" s="2">
        <v>610148001</v>
      </c>
      <c r="G8427" s="2" t="s">
        <v>42</v>
      </c>
      <c r="L8427" s="2" t="s">
        <v>15213</v>
      </c>
      <c r="M8427" t="s">
        <v>43</v>
      </c>
      <c r="N8427" t="s">
        <v>42</v>
      </c>
      <c r="P8427" s="23">
        <v>150.80000000000001</v>
      </c>
      <c r="Q8427" s="4">
        <f t="shared" si="132"/>
        <v>-5.3303713527851455</v>
      </c>
      <c r="R8427" s="23" t="s">
        <v>1198</v>
      </c>
      <c r="T8427" s="93" t="s">
        <v>14165</v>
      </c>
    </row>
    <row r="8428" spans="1:20" x14ac:dyDescent="0.25">
      <c r="A8428" s="21">
        <v>45903</v>
      </c>
      <c r="B8428" s="1" t="s">
        <v>15214</v>
      </c>
      <c r="C8428" t="s">
        <v>14347</v>
      </c>
      <c r="D8428" s="43" t="s">
        <v>15215</v>
      </c>
      <c r="E8428" t="s">
        <v>35</v>
      </c>
      <c r="F8428" s="2">
        <v>210101001</v>
      </c>
      <c r="G8428" s="2" t="s">
        <v>36</v>
      </c>
      <c r="L8428" s="2" t="s">
        <v>15216</v>
      </c>
      <c r="M8428" t="s">
        <v>976</v>
      </c>
      <c r="N8428" t="s">
        <v>977</v>
      </c>
      <c r="P8428" s="23">
        <v>150.80000000000001</v>
      </c>
      <c r="Q8428" s="4">
        <f t="shared" si="132"/>
        <v>-2132.1598806366046</v>
      </c>
      <c r="R8428" s="23" t="s">
        <v>1198</v>
      </c>
    </row>
    <row r="8429" spans="1:20" x14ac:dyDescent="0.25">
      <c r="A8429" s="21">
        <v>45905</v>
      </c>
      <c r="B8429" s="1" t="s">
        <v>15217</v>
      </c>
      <c r="C8429" t="s">
        <v>7643</v>
      </c>
      <c r="D8429" s="43" t="s">
        <v>15218</v>
      </c>
      <c r="E8429" t="s">
        <v>35</v>
      </c>
      <c r="F8429" s="2">
        <v>610148001</v>
      </c>
      <c r="G8429" s="2" t="s">
        <v>42</v>
      </c>
      <c r="L8429" s="2" t="s">
        <v>15219</v>
      </c>
      <c r="M8429" t="s">
        <v>43</v>
      </c>
      <c r="N8429" t="s">
        <v>42</v>
      </c>
      <c r="P8429" s="23">
        <v>152.82</v>
      </c>
      <c r="Q8429" s="4">
        <f t="shared" si="132"/>
        <v>-5.7256903546656197</v>
      </c>
      <c r="R8429" s="23" t="s">
        <v>1198</v>
      </c>
      <c r="T8429" s="93" t="s">
        <v>14165</v>
      </c>
    </row>
    <row r="8430" spans="1:20" x14ac:dyDescent="0.25">
      <c r="A8430" s="21">
        <v>45905</v>
      </c>
      <c r="B8430" s="1" t="s">
        <v>15220</v>
      </c>
      <c r="C8430" t="s">
        <v>7640</v>
      </c>
      <c r="D8430" s="43" t="s">
        <v>15221</v>
      </c>
      <c r="E8430" t="s">
        <v>35</v>
      </c>
      <c r="F8430" s="2">
        <v>110101003</v>
      </c>
      <c r="G8430" s="2" t="s">
        <v>6734</v>
      </c>
      <c r="L8430" s="2" t="s">
        <v>15222</v>
      </c>
      <c r="N8430" t="s">
        <v>7640</v>
      </c>
      <c r="P8430" s="23">
        <v>152.82</v>
      </c>
      <c r="Q8430" s="4">
        <f t="shared" si="132"/>
        <v>-2290.2761418662481</v>
      </c>
      <c r="R8430" s="23" t="s">
        <v>1198</v>
      </c>
    </row>
    <row r="8431" spans="1:20" x14ac:dyDescent="0.25">
      <c r="A8431" s="21">
        <v>45905</v>
      </c>
      <c r="B8431" s="1" t="s">
        <v>15223</v>
      </c>
      <c r="C8431" t="s">
        <v>7493</v>
      </c>
      <c r="D8431" s="43" t="s">
        <v>15224</v>
      </c>
      <c r="E8431" t="s">
        <v>46</v>
      </c>
      <c r="F8431" s="2">
        <v>210115002</v>
      </c>
      <c r="G8431" s="2" t="s">
        <v>12156</v>
      </c>
      <c r="L8431" s="2" t="s">
        <v>15225</v>
      </c>
      <c r="N8431" t="s">
        <v>7493</v>
      </c>
      <c r="P8431" s="23">
        <v>152.82</v>
      </c>
      <c r="Q8431" s="4">
        <f t="shared" si="132"/>
        <v>9815.4691794267765</v>
      </c>
      <c r="R8431" s="23" t="s">
        <v>1198</v>
      </c>
    </row>
    <row r="8432" spans="1:20" x14ac:dyDescent="0.25">
      <c r="A8432" s="21">
        <v>45905</v>
      </c>
      <c r="B8432" s="1" t="s">
        <v>15226</v>
      </c>
      <c r="C8432" t="s">
        <v>107</v>
      </c>
      <c r="D8432" s="43" t="s">
        <v>15227</v>
      </c>
      <c r="E8432" t="s">
        <v>46</v>
      </c>
      <c r="F8432" s="2">
        <v>210115002</v>
      </c>
      <c r="G8432" s="2" t="s">
        <v>12156</v>
      </c>
      <c r="L8432" s="2" t="s">
        <v>15228</v>
      </c>
      <c r="N8432" t="s">
        <v>107</v>
      </c>
      <c r="P8432" s="23">
        <v>152.82</v>
      </c>
      <c r="Q8432" s="4">
        <f t="shared" si="132"/>
        <v>850.67399555032068</v>
      </c>
      <c r="R8432" s="23" t="s">
        <v>1198</v>
      </c>
    </row>
    <row r="8433" spans="1:20" x14ac:dyDescent="0.25">
      <c r="A8433" s="21">
        <v>45905</v>
      </c>
      <c r="B8433" s="1" t="s">
        <v>15229</v>
      </c>
      <c r="C8433" t="s">
        <v>15230</v>
      </c>
      <c r="D8433" s="43">
        <v>-15282</v>
      </c>
      <c r="E8433" t="s">
        <v>35</v>
      </c>
      <c r="F8433" s="2">
        <v>212901001</v>
      </c>
      <c r="G8433" s="2" t="s">
        <v>121</v>
      </c>
      <c r="L8433" s="2" t="s">
        <v>15231</v>
      </c>
      <c r="M8433" t="s">
        <v>67</v>
      </c>
      <c r="N8433" t="s">
        <v>68</v>
      </c>
      <c r="P8433" s="23">
        <v>152.82</v>
      </c>
      <c r="Q8433" s="4">
        <f t="shared" si="132"/>
        <v>-100</v>
      </c>
      <c r="R8433" s="23" t="s">
        <v>1198</v>
      </c>
    </row>
    <row r="8434" spans="1:20" x14ac:dyDescent="0.25">
      <c r="A8434" s="21">
        <v>45905</v>
      </c>
      <c r="B8434" s="1" t="s">
        <v>15232</v>
      </c>
      <c r="C8434" t="s">
        <v>1221</v>
      </c>
      <c r="D8434" s="43">
        <v>-38.200000000000003</v>
      </c>
      <c r="E8434" t="s">
        <v>35</v>
      </c>
      <c r="F8434" s="2">
        <v>610148001</v>
      </c>
      <c r="G8434" s="2" t="s">
        <v>42</v>
      </c>
      <c r="L8434" s="2" t="s">
        <v>15233</v>
      </c>
      <c r="M8434" t="s">
        <v>43</v>
      </c>
      <c r="N8434" t="s">
        <v>42</v>
      </c>
      <c r="P8434" s="23">
        <v>152.82</v>
      </c>
      <c r="Q8434" s="4">
        <f t="shared" si="132"/>
        <v>-0.24996728176940194</v>
      </c>
      <c r="R8434" s="23" t="s">
        <v>1198</v>
      </c>
      <c r="T8434" s="93" t="s">
        <v>14165</v>
      </c>
    </row>
    <row r="8435" spans="1:20" x14ac:dyDescent="0.25">
      <c r="A8435" s="21">
        <v>45905</v>
      </c>
      <c r="B8435" s="1" t="s">
        <v>15234</v>
      </c>
      <c r="C8435" t="s">
        <v>15235</v>
      </c>
      <c r="D8435" s="43">
        <v>-3056.4</v>
      </c>
      <c r="E8435" t="s">
        <v>35</v>
      </c>
      <c r="F8435" s="2">
        <v>212901001</v>
      </c>
      <c r="G8435" s="2" t="s">
        <v>121</v>
      </c>
      <c r="L8435" s="2" t="s">
        <v>15236</v>
      </c>
      <c r="M8435" t="s">
        <v>67</v>
      </c>
      <c r="N8435" t="s">
        <v>68</v>
      </c>
      <c r="P8435" s="23">
        <v>152.82</v>
      </c>
      <c r="Q8435" s="4">
        <f t="shared" si="132"/>
        <v>-20</v>
      </c>
      <c r="R8435" s="23" t="s">
        <v>1198</v>
      </c>
    </row>
    <row r="8436" spans="1:20" x14ac:dyDescent="0.25">
      <c r="A8436" s="21">
        <v>45905</v>
      </c>
      <c r="B8436" s="1" t="s">
        <v>15237</v>
      </c>
      <c r="C8436" t="s">
        <v>1221</v>
      </c>
      <c r="D8436" s="43">
        <v>-7.64</v>
      </c>
      <c r="E8436" t="s">
        <v>35</v>
      </c>
      <c r="F8436" s="2">
        <v>610148001</v>
      </c>
      <c r="G8436" s="2" t="s">
        <v>42</v>
      </c>
      <c r="L8436" s="2" t="s">
        <v>15238</v>
      </c>
      <c r="M8436" t="s">
        <v>43</v>
      </c>
      <c r="N8436" t="s">
        <v>42</v>
      </c>
      <c r="P8436" s="23">
        <v>152.82</v>
      </c>
      <c r="Q8436" s="4">
        <f t="shared" si="132"/>
        <v>-4.9993456353880382E-2</v>
      </c>
      <c r="R8436" s="23" t="s">
        <v>1198</v>
      </c>
      <c r="T8436" s="93" t="s">
        <v>14165</v>
      </c>
    </row>
    <row r="8437" spans="1:20" x14ac:dyDescent="0.25">
      <c r="A8437" s="21">
        <v>45905</v>
      </c>
      <c r="B8437" s="1" t="s">
        <v>15239</v>
      </c>
      <c r="C8437" t="s">
        <v>15240</v>
      </c>
      <c r="D8437" s="43">
        <v>-3056.4</v>
      </c>
      <c r="E8437" t="s">
        <v>35</v>
      </c>
      <c r="F8437" s="2">
        <v>212901001</v>
      </c>
      <c r="G8437" s="2" t="s">
        <v>121</v>
      </c>
      <c r="L8437" s="2" t="s">
        <v>15241</v>
      </c>
      <c r="M8437" t="s">
        <v>67</v>
      </c>
      <c r="N8437" t="s">
        <v>68</v>
      </c>
      <c r="P8437" s="23">
        <v>152.82</v>
      </c>
      <c r="Q8437" s="4">
        <f t="shared" si="132"/>
        <v>-20</v>
      </c>
      <c r="R8437" s="23" t="s">
        <v>1198</v>
      </c>
    </row>
    <row r="8438" spans="1:20" x14ac:dyDescent="0.25">
      <c r="A8438" s="21">
        <v>45905</v>
      </c>
      <c r="B8438" s="1" t="s">
        <v>15242</v>
      </c>
      <c r="C8438" t="s">
        <v>1221</v>
      </c>
      <c r="D8438" s="43">
        <v>-7.64</v>
      </c>
      <c r="E8438" t="s">
        <v>35</v>
      </c>
      <c r="F8438" s="2">
        <v>610148001</v>
      </c>
      <c r="G8438" s="2" t="s">
        <v>42</v>
      </c>
      <c r="L8438" s="2" t="s">
        <v>15243</v>
      </c>
      <c r="M8438" t="s">
        <v>43</v>
      </c>
      <c r="N8438" t="s">
        <v>42</v>
      </c>
      <c r="P8438" s="23">
        <v>152.82</v>
      </c>
      <c r="Q8438" s="4">
        <f t="shared" si="132"/>
        <v>-4.9993456353880382E-2</v>
      </c>
      <c r="R8438" s="23" t="s">
        <v>1198</v>
      </c>
      <c r="T8438" s="93" t="s">
        <v>14165</v>
      </c>
    </row>
    <row r="8439" spans="1:20" x14ac:dyDescent="0.25">
      <c r="A8439" s="21">
        <v>45905</v>
      </c>
      <c r="B8439" s="1" t="s">
        <v>15244</v>
      </c>
      <c r="C8439" t="s">
        <v>15245</v>
      </c>
      <c r="D8439" s="43">
        <v>-3056.4</v>
      </c>
      <c r="E8439" t="s">
        <v>35</v>
      </c>
      <c r="F8439" s="2">
        <v>212901001</v>
      </c>
      <c r="G8439" s="2" t="s">
        <v>121</v>
      </c>
      <c r="L8439" s="2" t="s">
        <v>15246</v>
      </c>
      <c r="M8439" t="s">
        <v>67</v>
      </c>
      <c r="N8439" t="s">
        <v>68</v>
      </c>
      <c r="P8439" s="23">
        <v>152.82</v>
      </c>
      <c r="Q8439" s="4">
        <f t="shared" si="132"/>
        <v>-20</v>
      </c>
      <c r="R8439" s="23" t="s">
        <v>1198</v>
      </c>
    </row>
    <row r="8440" spans="1:20" x14ac:dyDescent="0.25">
      <c r="A8440" s="21">
        <v>45905</v>
      </c>
      <c r="B8440" s="1" t="s">
        <v>15247</v>
      </c>
      <c r="C8440" t="s">
        <v>1221</v>
      </c>
      <c r="D8440" s="43">
        <v>-7.64</v>
      </c>
      <c r="E8440" t="s">
        <v>35</v>
      </c>
      <c r="F8440" s="2">
        <v>610148001</v>
      </c>
      <c r="G8440" s="2" t="s">
        <v>42</v>
      </c>
      <c r="L8440" s="2" t="s">
        <v>15248</v>
      </c>
      <c r="M8440" t="s">
        <v>43</v>
      </c>
      <c r="N8440" t="s">
        <v>42</v>
      </c>
      <c r="P8440" s="23">
        <v>152.82</v>
      </c>
      <c r="Q8440" s="4">
        <f t="shared" si="132"/>
        <v>-4.9993456353880382E-2</v>
      </c>
      <c r="R8440" s="23" t="s">
        <v>1198</v>
      </c>
      <c r="T8440" s="93" t="s">
        <v>14165</v>
      </c>
    </row>
    <row r="8441" spans="1:20" x14ac:dyDescent="0.25">
      <c r="A8441" s="32">
        <v>45905</v>
      </c>
      <c r="B8441" s="26" t="s">
        <v>15249</v>
      </c>
      <c r="C8441" s="27" t="s">
        <v>15250</v>
      </c>
      <c r="D8441" s="46">
        <v>-45081.9</v>
      </c>
      <c r="E8441" s="27" t="s">
        <v>35</v>
      </c>
      <c r="F8441" s="29">
        <v>610156001</v>
      </c>
      <c r="G8441" s="29" t="s">
        <v>91</v>
      </c>
      <c r="H8441" s="107"/>
      <c r="I8441" s="101"/>
      <c r="J8441" s="101"/>
      <c r="K8441" s="29"/>
      <c r="L8441" s="2" t="s">
        <v>15251</v>
      </c>
      <c r="M8441" s="27" t="s">
        <v>5015</v>
      </c>
      <c r="N8441" s="27" t="s">
        <v>1240</v>
      </c>
      <c r="O8441" s="27" t="s">
        <v>59</v>
      </c>
      <c r="P8441" s="31">
        <v>152.82</v>
      </c>
      <c r="Q8441" s="4">
        <f t="shared" si="132"/>
        <v>-295</v>
      </c>
      <c r="R8441" s="23" t="s">
        <v>1198</v>
      </c>
      <c r="T8441" s="23" t="s">
        <v>15252</v>
      </c>
    </row>
    <row r="8442" spans="1:20" x14ac:dyDescent="0.25">
      <c r="A8442" s="21">
        <v>45905</v>
      </c>
      <c r="B8442" s="1" t="s">
        <v>15253</v>
      </c>
      <c r="C8442" t="s">
        <v>1221</v>
      </c>
      <c r="D8442" s="43">
        <v>-112.7</v>
      </c>
      <c r="E8442" t="s">
        <v>35</v>
      </c>
      <c r="F8442" s="2">
        <v>610148001</v>
      </c>
      <c r="G8442" s="2" t="s">
        <v>42</v>
      </c>
      <c r="L8442" s="2" t="s">
        <v>15254</v>
      </c>
      <c r="M8442" t="s">
        <v>43</v>
      </c>
      <c r="N8442" t="s">
        <v>42</v>
      </c>
      <c r="P8442" s="23">
        <v>152.82</v>
      </c>
      <c r="Q8442" s="4">
        <f t="shared" si="132"/>
        <v>-0.73746891768093181</v>
      </c>
      <c r="R8442" s="23" t="s">
        <v>1198</v>
      </c>
      <c r="T8442" s="93" t="s">
        <v>14165</v>
      </c>
    </row>
    <row r="8443" spans="1:20" x14ac:dyDescent="0.25">
      <c r="A8443" s="21">
        <v>45905</v>
      </c>
      <c r="B8443" s="1" t="s">
        <v>15255</v>
      </c>
      <c r="C8443" t="s">
        <v>15256</v>
      </c>
      <c r="D8443" s="43">
        <v>-696</v>
      </c>
      <c r="E8443" t="s">
        <v>35</v>
      </c>
      <c r="F8443" s="2">
        <v>210101001</v>
      </c>
      <c r="G8443" s="2" t="s">
        <v>36</v>
      </c>
      <c r="L8443" s="2" t="s">
        <v>15257</v>
      </c>
      <c r="M8443" t="s">
        <v>788</v>
      </c>
      <c r="N8443" t="s">
        <v>789</v>
      </c>
      <c r="P8443" s="23">
        <v>152.82</v>
      </c>
      <c r="Q8443" s="4">
        <f t="shared" si="132"/>
        <v>-4.5543776992540241</v>
      </c>
      <c r="R8443" s="23" t="s">
        <v>1198</v>
      </c>
    </row>
    <row r="8444" spans="1:20" x14ac:dyDescent="0.25">
      <c r="A8444" s="21">
        <v>45905</v>
      </c>
      <c r="B8444" s="1" t="s">
        <v>15258</v>
      </c>
      <c r="C8444" t="s">
        <v>1221</v>
      </c>
      <c r="D8444" s="43">
        <v>-1.74</v>
      </c>
      <c r="E8444" t="s">
        <v>35</v>
      </c>
      <c r="F8444" s="2">
        <v>610148001</v>
      </c>
      <c r="G8444" s="2" t="s">
        <v>42</v>
      </c>
      <c r="L8444" s="2" t="s">
        <v>15259</v>
      </c>
      <c r="M8444" t="s">
        <v>43</v>
      </c>
      <c r="N8444" t="s">
        <v>42</v>
      </c>
      <c r="P8444" s="23">
        <v>152.82</v>
      </c>
      <c r="Q8444" s="4">
        <f t="shared" si="132"/>
        <v>-1.1385944248135061E-2</v>
      </c>
      <c r="R8444" s="23" t="s">
        <v>1198</v>
      </c>
      <c r="T8444" s="93" t="s">
        <v>14165</v>
      </c>
    </row>
    <row r="8445" spans="1:20" x14ac:dyDescent="0.25">
      <c r="A8445" s="21">
        <v>45905</v>
      </c>
      <c r="B8445" s="1" t="s">
        <v>15260</v>
      </c>
      <c r="C8445" t="s">
        <v>15261</v>
      </c>
      <c r="D8445" s="43">
        <v>-3056.4</v>
      </c>
      <c r="E8445" t="s">
        <v>35</v>
      </c>
      <c r="F8445" s="2">
        <v>212901001</v>
      </c>
      <c r="G8445" s="2" t="s">
        <v>121</v>
      </c>
      <c r="L8445" s="2" t="s">
        <v>15262</v>
      </c>
      <c r="M8445" t="s">
        <v>67</v>
      </c>
      <c r="N8445" t="s">
        <v>68</v>
      </c>
      <c r="P8445" s="23">
        <v>152.82</v>
      </c>
      <c r="Q8445" s="4">
        <f t="shared" si="132"/>
        <v>-20</v>
      </c>
      <c r="R8445" s="23" t="s">
        <v>1198</v>
      </c>
    </row>
    <row r="8446" spans="1:20" x14ac:dyDescent="0.25">
      <c r="A8446" s="21">
        <v>45905</v>
      </c>
      <c r="B8446" s="1" t="s">
        <v>15263</v>
      </c>
      <c r="C8446" t="s">
        <v>1221</v>
      </c>
      <c r="D8446" s="43">
        <v>-7.64</v>
      </c>
      <c r="E8446" t="s">
        <v>35</v>
      </c>
      <c r="F8446" s="2">
        <v>610148001</v>
      </c>
      <c r="G8446" s="2" t="s">
        <v>42</v>
      </c>
      <c r="L8446" s="2" t="s">
        <v>15264</v>
      </c>
      <c r="M8446" t="s">
        <v>43</v>
      </c>
      <c r="N8446" t="s">
        <v>42</v>
      </c>
      <c r="P8446" s="23">
        <v>152.82</v>
      </c>
      <c r="Q8446" s="4">
        <f t="shared" si="132"/>
        <v>-4.9993456353880382E-2</v>
      </c>
      <c r="R8446" s="23" t="s">
        <v>1198</v>
      </c>
      <c r="T8446" s="93" t="s">
        <v>14165</v>
      </c>
    </row>
    <row r="8447" spans="1:20" x14ac:dyDescent="0.25">
      <c r="A8447" s="21">
        <v>45905</v>
      </c>
      <c r="B8447" s="1" t="s">
        <v>15265</v>
      </c>
      <c r="C8447" t="s">
        <v>15266</v>
      </c>
      <c r="D8447" s="43">
        <v>-4584.6000000000004</v>
      </c>
      <c r="E8447" t="s">
        <v>35</v>
      </c>
      <c r="F8447" s="2">
        <v>212901001</v>
      </c>
      <c r="G8447" s="2" t="s">
        <v>121</v>
      </c>
      <c r="L8447" s="2" t="s">
        <v>15267</v>
      </c>
      <c r="M8447" t="s">
        <v>67</v>
      </c>
      <c r="N8447" t="s">
        <v>68</v>
      </c>
      <c r="P8447" s="23">
        <v>152.82</v>
      </c>
      <c r="Q8447" s="4">
        <f t="shared" si="132"/>
        <v>-30.000000000000004</v>
      </c>
      <c r="R8447" s="23" t="s">
        <v>1198</v>
      </c>
    </row>
    <row r="8448" spans="1:20" x14ac:dyDescent="0.25">
      <c r="A8448" s="21">
        <v>45905</v>
      </c>
      <c r="B8448" s="1" t="s">
        <v>15268</v>
      </c>
      <c r="C8448" t="s">
        <v>1221</v>
      </c>
      <c r="D8448" s="43">
        <v>-11.46</v>
      </c>
      <c r="E8448" t="s">
        <v>35</v>
      </c>
      <c r="F8448" s="2">
        <v>610148001</v>
      </c>
      <c r="G8448" s="2" t="s">
        <v>42</v>
      </c>
      <c r="L8448" s="2" t="s">
        <v>15269</v>
      </c>
      <c r="M8448" t="s">
        <v>43</v>
      </c>
      <c r="N8448" t="s">
        <v>42</v>
      </c>
      <c r="P8448" s="23">
        <v>152.82</v>
      </c>
      <c r="Q8448" s="4">
        <f t="shared" si="132"/>
        <v>-7.4990184530820583E-2</v>
      </c>
      <c r="R8448" s="23" t="s">
        <v>1198</v>
      </c>
      <c r="T8448" s="93" t="s">
        <v>14165</v>
      </c>
    </row>
    <row r="8449" spans="1:20" x14ac:dyDescent="0.25">
      <c r="A8449" s="21">
        <v>45905</v>
      </c>
      <c r="B8449" s="1" t="s">
        <v>15270</v>
      </c>
      <c r="C8449" t="s">
        <v>15271</v>
      </c>
      <c r="D8449" s="43">
        <v>-15282</v>
      </c>
      <c r="E8449" t="s">
        <v>35</v>
      </c>
      <c r="F8449" s="2">
        <v>212901001</v>
      </c>
      <c r="G8449" s="2" t="s">
        <v>121</v>
      </c>
      <c r="L8449" s="2" t="s">
        <v>15272</v>
      </c>
      <c r="M8449" t="s">
        <v>67</v>
      </c>
      <c r="N8449" t="s">
        <v>68</v>
      </c>
      <c r="P8449" s="23">
        <v>152.82</v>
      </c>
      <c r="Q8449" s="4">
        <f t="shared" si="132"/>
        <v>-100</v>
      </c>
      <c r="R8449" s="23" t="s">
        <v>1198</v>
      </c>
    </row>
    <row r="8450" spans="1:20" x14ac:dyDescent="0.25">
      <c r="A8450" s="21">
        <v>45905</v>
      </c>
      <c r="B8450" s="1" t="s">
        <v>15273</v>
      </c>
      <c r="C8450" t="s">
        <v>1221</v>
      </c>
      <c r="D8450" s="43">
        <v>-38.200000000000003</v>
      </c>
      <c r="E8450" t="s">
        <v>35</v>
      </c>
      <c r="F8450" s="2">
        <v>610148001</v>
      </c>
      <c r="G8450" s="2" t="s">
        <v>42</v>
      </c>
      <c r="L8450" s="2" t="s">
        <v>15274</v>
      </c>
      <c r="M8450" t="s">
        <v>43</v>
      </c>
      <c r="N8450" t="s">
        <v>42</v>
      </c>
      <c r="P8450" s="23">
        <v>152.82</v>
      </c>
      <c r="Q8450" s="4">
        <f t="shared" si="132"/>
        <v>-0.24996728176940194</v>
      </c>
      <c r="R8450" s="23" t="s">
        <v>1198</v>
      </c>
      <c r="T8450" s="93" t="s">
        <v>14165</v>
      </c>
    </row>
    <row r="8451" spans="1:20" x14ac:dyDescent="0.25">
      <c r="A8451" s="21">
        <v>45905</v>
      </c>
      <c r="B8451" s="1" t="s">
        <v>15275</v>
      </c>
      <c r="C8451" t="s">
        <v>15276</v>
      </c>
      <c r="D8451" s="43">
        <v>-3056.4</v>
      </c>
      <c r="E8451" t="s">
        <v>35</v>
      </c>
      <c r="F8451" s="2">
        <v>212901001</v>
      </c>
      <c r="G8451" s="2" t="s">
        <v>121</v>
      </c>
      <c r="L8451" s="2" t="s">
        <v>15277</v>
      </c>
      <c r="M8451" t="s">
        <v>67</v>
      </c>
      <c r="N8451" t="s">
        <v>68</v>
      </c>
      <c r="P8451" s="23">
        <v>152.82</v>
      </c>
      <c r="Q8451" s="4">
        <f t="shared" si="132"/>
        <v>-20</v>
      </c>
      <c r="R8451" s="23" t="s">
        <v>1198</v>
      </c>
    </row>
    <row r="8452" spans="1:20" x14ac:dyDescent="0.25">
      <c r="A8452" s="21">
        <v>45905</v>
      </c>
      <c r="B8452" s="1" t="s">
        <v>15278</v>
      </c>
      <c r="C8452" t="s">
        <v>1221</v>
      </c>
      <c r="D8452" s="43">
        <v>-7.64</v>
      </c>
      <c r="E8452" t="s">
        <v>35</v>
      </c>
      <c r="F8452" s="2">
        <v>610148001</v>
      </c>
      <c r="G8452" s="2" t="s">
        <v>42</v>
      </c>
      <c r="L8452" s="2" t="s">
        <v>15279</v>
      </c>
      <c r="M8452" t="s">
        <v>43</v>
      </c>
      <c r="N8452" t="s">
        <v>42</v>
      </c>
      <c r="P8452" s="23">
        <v>152.82</v>
      </c>
      <c r="Q8452" s="4">
        <f t="shared" si="132"/>
        <v>-4.9993456353880382E-2</v>
      </c>
      <c r="R8452" s="23" t="s">
        <v>1198</v>
      </c>
      <c r="T8452" s="93" t="s">
        <v>14165</v>
      </c>
    </row>
    <row r="8453" spans="1:20" x14ac:dyDescent="0.25">
      <c r="A8453" s="21">
        <v>45905</v>
      </c>
      <c r="B8453" s="1" t="s">
        <v>15280</v>
      </c>
      <c r="C8453" t="s">
        <v>1221</v>
      </c>
      <c r="D8453" s="43">
        <v>-2523.52</v>
      </c>
      <c r="E8453" t="s">
        <v>35</v>
      </c>
      <c r="F8453" s="2">
        <v>610148001</v>
      </c>
      <c r="G8453" s="2" t="s">
        <v>42</v>
      </c>
      <c r="L8453" s="2" t="s">
        <v>15281</v>
      </c>
      <c r="M8453" t="s">
        <v>43</v>
      </c>
      <c r="N8453" t="s">
        <v>42</v>
      </c>
      <c r="P8453" s="23">
        <v>152.82</v>
      </c>
      <c r="Q8453" s="4">
        <f t="shared" si="132"/>
        <v>-16.513021855778039</v>
      </c>
      <c r="R8453" s="23" t="s">
        <v>1198</v>
      </c>
      <c r="T8453" s="93" t="s">
        <v>14165</v>
      </c>
    </row>
    <row r="8454" spans="1:20" x14ac:dyDescent="0.25">
      <c r="A8454" s="21">
        <v>45905</v>
      </c>
      <c r="B8454" s="1" t="s">
        <v>15282</v>
      </c>
      <c r="C8454" t="s">
        <v>15283</v>
      </c>
      <c r="D8454" s="43">
        <v>-1009409.72</v>
      </c>
      <c r="E8454" t="s">
        <v>35</v>
      </c>
      <c r="F8454" s="2">
        <v>110114001</v>
      </c>
      <c r="G8454" s="2" t="s">
        <v>301</v>
      </c>
      <c r="L8454" s="2" t="s">
        <v>15284</v>
      </c>
      <c r="M8454" t="s">
        <v>38</v>
      </c>
      <c r="N8454" t="s">
        <v>39</v>
      </c>
      <c r="P8454" s="23">
        <v>152.82</v>
      </c>
      <c r="Q8454" s="4">
        <f t="shared" si="132"/>
        <v>-6605.2199973825418</v>
      </c>
      <c r="R8454" s="23" t="s">
        <v>1198</v>
      </c>
      <c r="S8454" s="33" t="s">
        <v>14718</v>
      </c>
    </row>
    <row r="8455" spans="1:20" x14ac:dyDescent="0.25">
      <c r="A8455" s="21">
        <v>45905</v>
      </c>
      <c r="B8455" s="1" t="s">
        <v>15285</v>
      </c>
      <c r="C8455" t="s">
        <v>1221</v>
      </c>
      <c r="D8455" s="43">
        <v>-6.82</v>
      </c>
      <c r="E8455" t="s">
        <v>35</v>
      </c>
      <c r="F8455" s="2">
        <v>610148001</v>
      </c>
      <c r="G8455" s="2" t="s">
        <v>42</v>
      </c>
      <c r="L8455" s="2" t="s">
        <v>15286</v>
      </c>
      <c r="M8455" t="s">
        <v>43</v>
      </c>
      <c r="N8455" t="s">
        <v>42</v>
      </c>
      <c r="P8455" s="23">
        <v>152.82</v>
      </c>
      <c r="Q8455" s="4">
        <f t="shared" si="132"/>
        <v>-4.4627666535793746E-2</v>
      </c>
      <c r="R8455" s="23" t="s">
        <v>1198</v>
      </c>
      <c r="T8455" s="93" t="s">
        <v>14165</v>
      </c>
    </row>
    <row r="8456" spans="1:20" x14ac:dyDescent="0.25">
      <c r="A8456" s="21">
        <v>45905</v>
      </c>
      <c r="B8456" s="1" t="s">
        <v>15287</v>
      </c>
      <c r="C8456" t="s">
        <v>15288</v>
      </c>
      <c r="D8456" s="43">
        <v>-2731.66</v>
      </c>
      <c r="E8456" t="s">
        <v>35</v>
      </c>
      <c r="F8456" s="2">
        <v>210101001</v>
      </c>
      <c r="G8456" s="2" t="s">
        <v>36</v>
      </c>
      <c r="L8456" s="2" t="s">
        <v>15289</v>
      </c>
      <c r="M8456" t="s">
        <v>1239</v>
      </c>
      <c r="N8456" t="s">
        <v>1240</v>
      </c>
      <c r="P8456" s="23">
        <v>152.82</v>
      </c>
      <c r="Q8456" s="4">
        <f t="shared" si="132"/>
        <v>-17.8750163591153</v>
      </c>
      <c r="R8456" s="23" t="s">
        <v>1198</v>
      </c>
    </row>
    <row r="8457" spans="1:20" x14ac:dyDescent="0.25">
      <c r="A8457" s="21">
        <v>45905</v>
      </c>
      <c r="B8457" s="1" t="s">
        <v>15290</v>
      </c>
      <c r="C8457" t="s">
        <v>1221</v>
      </c>
      <c r="D8457" s="43">
        <v>-3.82</v>
      </c>
      <c r="E8457" t="s">
        <v>35</v>
      </c>
      <c r="F8457" s="2">
        <v>610148001</v>
      </c>
      <c r="G8457" s="2" t="s">
        <v>42</v>
      </c>
      <c r="L8457" s="2" t="s">
        <v>15291</v>
      </c>
      <c r="M8457" t="s">
        <v>43</v>
      </c>
      <c r="N8457" t="s">
        <v>42</v>
      </c>
      <c r="P8457" s="23">
        <v>152.82</v>
      </c>
      <c r="Q8457" s="4">
        <f t="shared" si="132"/>
        <v>-2.4996728176940191E-2</v>
      </c>
      <c r="R8457" s="23" t="s">
        <v>1198</v>
      </c>
      <c r="T8457" s="93" t="s">
        <v>14165</v>
      </c>
    </row>
    <row r="8458" spans="1:20" x14ac:dyDescent="0.25">
      <c r="A8458" s="21">
        <v>45905</v>
      </c>
      <c r="B8458" s="1" t="s">
        <v>15292</v>
      </c>
      <c r="C8458" t="s">
        <v>15293</v>
      </c>
      <c r="D8458" s="43">
        <v>-1528.2</v>
      </c>
      <c r="E8458" t="s">
        <v>35</v>
      </c>
      <c r="F8458" s="2">
        <v>212901001</v>
      </c>
      <c r="G8458" s="2" t="s">
        <v>121</v>
      </c>
      <c r="L8458" s="2" t="s">
        <v>15294</v>
      </c>
      <c r="M8458" t="s">
        <v>67</v>
      </c>
      <c r="N8458" t="s">
        <v>68</v>
      </c>
      <c r="P8458" s="23">
        <v>152.82</v>
      </c>
      <c r="Q8458" s="4">
        <f t="shared" si="132"/>
        <v>-10</v>
      </c>
      <c r="R8458" s="23" t="s">
        <v>1198</v>
      </c>
    </row>
    <row r="8459" spans="1:20" x14ac:dyDescent="0.25">
      <c r="A8459" s="21">
        <v>45905</v>
      </c>
      <c r="B8459" s="1" t="s">
        <v>15295</v>
      </c>
      <c r="C8459" t="s">
        <v>1221</v>
      </c>
      <c r="D8459" s="43">
        <v>-45.84</v>
      </c>
      <c r="E8459" t="s">
        <v>35</v>
      </c>
      <c r="F8459" s="2">
        <v>610148001</v>
      </c>
      <c r="G8459" s="2" t="s">
        <v>42</v>
      </c>
      <c r="L8459" s="2" t="s">
        <v>15296</v>
      </c>
      <c r="M8459" t="s">
        <v>43</v>
      </c>
      <c r="N8459" t="s">
        <v>42</v>
      </c>
      <c r="P8459" s="23">
        <v>152.82</v>
      </c>
      <c r="Q8459" s="4">
        <f t="shared" si="132"/>
        <v>-0.29996073812328233</v>
      </c>
      <c r="R8459" s="23" t="s">
        <v>1198</v>
      </c>
      <c r="T8459" s="93" t="s">
        <v>14165</v>
      </c>
    </row>
    <row r="8460" spans="1:20" x14ac:dyDescent="0.25">
      <c r="A8460" s="32">
        <v>45905</v>
      </c>
      <c r="B8460" s="26" t="s">
        <v>15297</v>
      </c>
      <c r="C8460" s="27" t="s">
        <v>54</v>
      </c>
      <c r="D8460" s="46">
        <v>-18338.400000000001</v>
      </c>
      <c r="E8460" s="27" t="s">
        <v>35</v>
      </c>
      <c r="F8460" s="29">
        <v>610129001</v>
      </c>
      <c r="G8460" s="29" t="s">
        <v>55</v>
      </c>
      <c r="H8460" s="107"/>
      <c r="I8460" s="101"/>
      <c r="J8460" s="101"/>
      <c r="K8460" s="29"/>
      <c r="L8460" s="2" t="s">
        <v>15298</v>
      </c>
      <c r="M8460" s="27" t="s">
        <v>57</v>
      </c>
      <c r="N8460" s="27" t="s">
        <v>58</v>
      </c>
      <c r="O8460" s="27" t="s">
        <v>59</v>
      </c>
      <c r="P8460" s="31">
        <v>152.82</v>
      </c>
      <c r="Q8460" s="4">
        <f t="shared" si="132"/>
        <v>-120.00000000000001</v>
      </c>
      <c r="R8460" s="23" t="s">
        <v>1198</v>
      </c>
      <c r="T8460" s="23" t="s">
        <v>15299</v>
      </c>
    </row>
    <row r="8461" spans="1:20" x14ac:dyDescent="0.25">
      <c r="A8461" s="21">
        <v>45905</v>
      </c>
      <c r="B8461" s="1" t="s">
        <v>15300</v>
      </c>
      <c r="C8461" t="s">
        <v>1221</v>
      </c>
      <c r="D8461" s="43">
        <v>-23.62</v>
      </c>
      <c r="E8461" t="s">
        <v>35</v>
      </c>
      <c r="F8461" s="2">
        <v>610148001</v>
      </c>
      <c r="G8461" s="2" t="s">
        <v>42</v>
      </c>
      <c r="L8461" s="2" t="s">
        <v>15301</v>
      </c>
      <c r="M8461" t="s">
        <v>43</v>
      </c>
      <c r="N8461" t="s">
        <v>42</v>
      </c>
      <c r="P8461" s="23">
        <v>152.82</v>
      </c>
      <c r="Q8461" s="4">
        <f t="shared" si="132"/>
        <v>-0.15456092134537366</v>
      </c>
      <c r="R8461" s="23" t="s">
        <v>1198</v>
      </c>
      <c r="T8461" s="93" t="s">
        <v>14165</v>
      </c>
    </row>
    <row r="8462" spans="1:20" x14ac:dyDescent="0.25">
      <c r="A8462" s="21">
        <v>45905</v>
      </c>
      <c r="B8462" s="1" t="s">
        <v>15302</v>
      </c>
      <c r="C8462" t="s">
        <v>7557</v>
      </c>
      <c r="D8462" s="43">
        <v>-9450.15</v>
      </c>
      <c r="E8462" t="s">
        <v>35</v>
      </c>
      <c r="F8462" s="2">
        <v>110101002</v>
      </c>
      <c r="G8462" s="2" t="s">
        <v>6359</v>
      </c>
      <c r="L8462" s="2" t="s">
        <v>15303</v>
      </c>
      <c r="N8462" t="s">
        <v>7557</v>
      </c>
      <c r="P8462" s="23">
        <v>152.82</v>
      </c>
      <c r="Q8462" s="4">
        <f t="shared" si="132"/>
        <v>-61.838437377306633</v>
      </c>
      <c r="R8462" s="23" t="s">
        <v>1198</v>
      </c>
    </row>
    <row r="8463" spans="1:20" x14ac:dyDescent="0.25">
      <c r="A8463" s="21">
        <v>45905</v>
      </c>
      <c r="B8463" s="1" t="s">
        <v>15304</v>
      </c>
      <c r="C8463" t="s">
        <v>1221</v>
      </c>
      <c r="D8463" s="43">
        <v>-42.02</v>
      </c>
      <c r="E8463" t="s">
        <v>35</v>
      </c>
      <c r="F8463" s="2">
        <v>610148001</v>
      </c>
      <c r="G8463" s="2" t="s">
        <v>42</v>
      </c>
      <c r="L8463" s="2" t="s">
        <v>15305</v>
      </c>
      <c r="M8463" t="s">
        <v>43</v>
      </c>
      <c r="N8463" t="s">
        <v>42</v>
      </c>
      <c r="P8463" s="23">
        <v>152.82</v>
      </c>
      <c r="Q8463" s="4">
        <f t="shared" si="132"/>
        <v>-0.27496400994634213</v>
      </c>
      <c r="R8463" s="23" t="s">
        <v>1198</v>
      </c>
      <c r="T8463" s="93" t="s">
        <v>14165</v>
      </c>
    </row>
    <row r="8464" spans="1:20" x14ac:dyDescent="0.25">
      <c r="A8464" s="32">
        <v>45905</v>
      </c>
      <c r="B8464" s="26" t="s">
        <v>15306</v>
      </c>
      <c r="C8464" s="27" t="s">
        <v>15307</v>
      </c>
      <c r="D8464" s="46">
        <v>-16810.2</v>
      </c>
      <c r="E8464" s="27" t="s">
        <v>35</v>
      </c>
      <c r="F8464" s="29">
        <v>610156001</v>
      </c>
      <c r="G8464" s="29" t="s">
        <v>91</v>
      </c>
      <c r="H8464" s="107"/>
      <c r="I8464" s="101"/>
      <c r="J8464" s="101"/>
      <c r="K8464" s="29"/>
      <c r="L8464" s="2" t="s">
        <v>15308</v>
      </c>
      <c r="M8464" s="27" t="s">
        <v>93</v>
      </c>
      <c r="N8464" s="27" t="s">
        <v>94</v>
      </c>
      <c r="O8464" s="27" t="s">
        <v>59</v>
      </c>
      <c r="P8464" s="31">
        <v>152.82</v>
      </c>
      <c r="Q8464" s="4">
        <f t="shared" si="132"/>
        <v>-110.00000000000001</v>
      </c>
      <c r="R8464" s="23" t="s">
        <v>1198</v>
      </c>
      <c r="T8464" s="23" t="s">
        <v>15309</v>
      </c>
    </row>
    <row r="8465" spans="1:20" x14ac:dyDescent="0.25">
      <c r="A8465" s="21">
        <v>45905</v>
      </c>
      <c r="B8465" s="1" t="s">
        <v>15310</v>
      </c>
      <c r="C8465" t="s">
        <v>1221</v>
      </c>
      <c r="D8465" s="43">
        <v>-111.15</v>
      </c>
      <c r="E8465" t="s">
        <v>35</v>
      </c>
      <c r="F8465" s="2">
        <v>610148001</v>
      </c>
      <c r="G8465" s="2" t="s">
        <v>42</v>
      </c>
      <c r="L8465" s="2" t="s">
        <v>15311</v>
      </c>
      <c r="M8465" t="s">
        <v>43</v>
      </c>
      <c r="N8465" t="s">
        <v>42</v>
      </c>
      <c r="P8465" s="23">
        <v>152.82</v>
      </c>
      <c r="Q8465" s="4">
        <f t="shared" si="132"/>
        <v>-0.72732626619552421</v>
      </c>
      <c r="R8465" s="23" t="s">
        <v>1198</v>
      </c>
      <c r="T8465" s="93" t="s">
        <v>14165</v>
      </c>
    </row>
    <row r="8466" spans="1:20" x14ac:dyDescent="0.25">
      <c r="A8466" s="21">
        <v>45905</v>
      </c>
      <c r="B8466" s="1" t="s">
        <v>15312</v>
      </c>
      <c r="C8466" t="s">
        <v>15313</v>
      </c>
      <c r="D8466" s="43">
        <v>-44460</v>
      </c>
      <c r="E8466" t="s">
        <v>35</v>
      </c>
      <c r="F8466" s="2">
        <v>110114001</v>
      </c>
      <c r="G8466" s="2" t="s">
        <v>301</v>
      </c>
      <c r="L8466" s="2" t="s">
        <v>15314</v>
      </c>
      <c r="N8466" t="s">
        <v>2551</v>
      </c>
      <c r="P8466" s="23">
        <v>152.82</v>
      </c>
      <c r="Q8466" s="4">
        <f t="shared" si="132"/>
        <v>-290.93050647820968</v>
      </c>
      <c r="R8466" s="23" t="s">
        <v>1198</v>
      </c>
    </row>
    <row r="8467" spans="1:20" x14ac:dyDescent="0.25">
      <c r="A8467" s="21">
        <v>45905</v>
      </c>
      <c r="B8467" s="1" t="s">
        <v>15315</v>
      </c>
      <c r="C8467" t="s">
        <v>1221</v>
      </c>
      <c r="D8467" s="43">
        <v>-1069.51</v>
      </c>
      <c r="E8467" t="s">
        <v>35</v>
      </c>
      <c r="F8467" s="2">
        <v>610148001</v>
      </c>
      <c r="G8467" s="2" t="s">
        <v>42</v>
      </c>
      <c r="L8467" s="2" t="s">
        <v>15316</v>
      </c>
      <c r="M8467" t="s">
        <v>43</v>
      </c>
      <c r="N8467" t="s">
        <v>42</v>
      </c>
      <c r="P8467" s="23">
        <v>152.82</v>
      </c>
      <c r="Q8467" s="4">
        <f t="shared" si="132"/>
        <v>-6.9984949613924883</v>
      </c>
      <c r="R8467" s="23" t="s">
        <v>1198</v>
      </c>
      <c r="T8467" s="93" t="s">
        <v>14165</v>
      </c>
    </row>
    <row r="8468" spans="1:20" x14ac:dyDescent="0.25">
      <c r="A8468" s="21">
        <v>45905</v>
      </c>
      <c r="B8468" s="1" t="s">
        <v>15317</v>
      </c>
      <c r="C8468" t="s">
        <v>15318</v>
      </c>
      <c r="D8468" s="43">
        <v>-427805.26</v>
      </c>
      <c r="E8468" t="s">
        <v>35</v>
      </c>
      <c r="F8468" s="2">
        <v>210101001</v>
      </c>
      <c r="G8468" s="2" t="s">
        <v>36</v>
      </c>
      <c r="L8468" s="2" t="s">
        <v>15319</v>
      </c>
      <c r="M8468" t="s">
        <v>38</v>
      </c>
      <c r="N8468" t="s">
        <v>39</v>
      </c>
      <c r="P8468" s="23">
        <v>152.82</v>
      </c>
      <c r="Q8468" s="4">
        <f t="shared" si="132"/>
        <v>-2799.4062295511062</v>
      </c>
      <c r="R8468" s="23" t="s">
        <v>1198</v>
      </c>
    </row>
    <row r="8469" spans="1:20" x14ac:dyDescent="0.25">
      <c r="A8469" s="21">
        <v>45905</v>
      </c>
      <c r="B8469" s="1" t="s">
        <v>15320</v>
      </c>
      <c r="C8469" t="s">
        <v>1221</v>
      </c>
      <c r="D8469" s="43">
        <v>-11.46</v>
      </c>
      <c r="E8469" t="s">
        <v>35</v>
      </c>
      <c r="F8469" s="2">
        <v>610148001</v>
      </c>
      <c r="G8469" s="2" t="s">
        <v>42</v>
      </c>
      <c r="L8469" s="2" t="s">
        <v>15321</v>
      </c>
      <c r="M8469" t="s">
        <v>43</v>
      </c>
      <c r="N8469" t="s">
        <v>42</v>
      </c>
      <c r="P8469" s="23">
        <v>152.82</v>
      </c>
      <c r="Q8469" s="4">
        <f t="shared" si="132"/>
        <v>-7.4990184530820583E-2</v>
      </c>
      <c r="R8469" s="23" t="s">
        <v>1198</v>
      </c>
      <c r="T8469" s="93" t="s">
        <v>14165</v>
      </c>
    </row>
    <row r="8470" spans="1:20" x14ac:dyDescent="0.25">
      <c r="A8470" s="21">
        <v>45905</v>
      </c>
      <c r="B8470" s="1" t="s">
        <v>15322</v>
      </c>
      <c r="C8470" t="s">
        <v>15323</v>
      </c>
      <c r="D8470" s="43">
        <v>-4584.6000000000004</v>
      </c>
      <c r="E8470" t="s">
        <v>35</v>
      </c>
      <c r="F8470" s="2">
        <v>212901001</v>
      </c>
      <c r="G8470" s="2" t="s">
        <v>121</v>
      </c>
      <c r="L8470" s="2" t="s">
        <v>15324</v>
      </c>
      <c r="M8470" t="s">
        <v>67</v>
      </c>
      <c r="N8470" t="s">
        <v>68</v>
      </c>
      <c r="P8470" s="23">
        <v>152.82</v>
      </c>
      <c r="Q8470" s="4">
        <f t="shared" si="132"/>
        <v>-30.000000000000004</v>
      </c>
      <c r="R8470" s="23" t="s">
        <v>1198</v>
      </c>
    </row>
    <row r="8471" spans="1:20" x14ac:dyDescent="0.25">
      <c r="A8471" s="21">
        <v>45905</v>
      </c>
      <c r="B8471" s="1" t="s">
        <v>15325</v>
      </c>
      <c r="C8471" t="s">
        <v>15326</v>
      </c>
      <c r="D8471" s="43">
        <v>-176.72</v>
      </c>
      <c r="E8471" t="s">
        <v>35</v>
      </c>
      <c r="F8471" s="2">
        <v>213201001</v>
      </c>
      <c r="G8471" s="2" t="s">
        <v>1245</v>
      </c>
      <c r="L8471" s="2" t="s">
        <v>15327</v>
      </c>
      <c r="M8471" t="s">
        <v>1247</v>
      </c>
      <c r="N8471" t="s">
        <v>1248</v>
      </c>
      <c r="P8471" s="23">
        <v>152.82</v>
      </c>
      <c r="Q8471" s="4">
        <f t="shared" si="132"/>
        <v>-1.1563931422588667</v>
      </c>
      <c r="R8471" s="23" t="s">
        <v>1198</v>
      </c>
      <c r="T8471" s="23" t="s">
        <v>15328</v>
      </c>
    </row>
    <row r="8472" spans="1:20" x14ac:dyDescent="0.25">
      <c r="A8472" s="21">
        <v>45905</v>
      </c>
      <c r="B8472" s="1" t="s">
        <v>15329</v>
      </c>
      <c r="C8472" t="s">
        <v>15330</v>
      </c>
      <c r="D8472" s="43">
        <v>-712.8</v>
      </c>
      <c r="E8472" t="s">
        <v>35</v>
      </c>
      <c r="F8472" s="2">
        <v>213101001</v>
      </c>
      <c r="G8472" s="2" t="s">
        <v>1252</v>
      </c>
      <c r="L8472" s="2" t="s">
        <v>15331</v>
      </c>
      <c r="M8472" t="s">
        <v>1254</v>
      </c>
      <c r="N8472" t="s">
        <v>1255</v>
      </c>
      <c r="P8472" s="23">
        <v>152.82</v>
      </c>
      <c r="Q8472" s="4">
        <f t="shared" si="132"/>
        <v>-4.6643109540636045</v>
      </c>
      <c r="R8472" s="23" t="s">
        <v>1198</v>
      </c>
      <c r="T8472" s="23" t="s">
        <v>15328</v>
      </c>
    </row>
    <row r="8473" spans="1:20" x14ac:dyDescent="0.25">
      <c r="A8473" s="21">
        <v>45910</v>
      </c>
      <c r="B8473" s="1" t="s">
        <v>15332</v>
      </c>
      <c r="C8473" t="s">
        <v>15333</v>
      </c>
      <c r="D8473" s="43">
        <v>195900.34</v>
      </c>
      <c r="E8473" t="s">
        <v>46</v>
      </c>
      <c r="F8473" s="2">
        <v>110106001</v>
      </c>
      <c r="G8473" s="2" t="s">
        <v>2034</v>
      </c>
      <c r="L8473" s="2" t="s">
        <v>15334</v>
      </c>
      <c r="N8473" t="s">
        <v>13520</v>
      </c>
      <c r="P8473" s="23">
        <v>156.37</v>
      </c>
      <c r="Q8473" s="4">
        <f t="shared" si="132"/>
        <v>1252.8000255803543</v>
      </c>
      <c r="R8473" s="23" t="s">
        <v>1198</v>
      </c>
    </row>
    <row r="8474" spans="1:20" x14ac:dyDescent="0.25">
      <c r="A8474" s="21">
        <v>45910</v>
      </c>
      <c r="B8474" s="1" t="s">
        <v>15335</v>
      </c>
      <c r="C8474" t="s">
        <v>1221</v>
      </c>
      <c r="D8474" s="43">
        <v>-187.17</v>
      </c>
      <c r="E8474" t="s">
        <v>35</v>
      </c>
      <c r="F8474" s="2">
        <v>610148001</v>
      </c>
      <c r="G8474" s="2" t="s">
        <v>42</v>
      </c>
      <c r="L8474" s="2" t="s">
        <v>15336</v>
      </c>
      <c r="M8474" t="s">
        <v>43</v>
      </c>
      <c r="N8474" t="s">
        <v>42</v>
      </c>
      <c r="P8474" s="23">
        <v>156.37</v>
      </c>
      <c r="Q8474" s="4">
        <f t="shared" si="132"/>
        <v>-1.1969687280168828</v>
      </c>
      <c r="R8474" s="23" t="s">
        <v>1198</v>
      </c>
      <c r="T8474" s="93" t="s">
        <v>14165</v>
      </c>
    </row>
    <row r="8475" spans="1:20" x14ac:dyDescent="0.25">
      <c r="A8475" s="21">
        <v>45910</v>
      </c>
      <c r="B8475" s="1" t="s">
        <v>15337</v>
      </c>
      <c r="C8475" t="s">
        <v>15338</v>
      </c>
      <c r="D8475" s="43">
        <v>-74871.820000000007</v>
      </c>
      <c r="E8475" t="s">
        <v>35</v>
      </c>
      <c r="F8475" s="2">
        <v>210101001</v>
      </c>
      <c r="G8475" s="2" t="s">
        <v>36</v>
      </c>
      <c r="L8475" s="2" t="s">
        <v>15339</v>
      </c>
      <c r="M8475" t="s">
        <v>1376</v>
      </c>
      <c r="N8475" t="s">
        <v>1377</v>
      </c>
      <c r="P8475" s="23">
        <v>156.37</v>
      </c>
      <c r="Q8475" s="4">
        <f t="shared" si="132"/>
        <v>-478.81192044509817</v>
      </c>
      <c r="R8475" s="23" t="s">
        <v>1198</v>
      </c>
    </row>
    <row r="8476" spans="1:20" x14ac:dyDescent="0.25">
      <c r="A8476" s="21">
        <v>45910</v>
      </c>
      <c r="B8476" s="1" t="s">
        <v>15340</v>
      </c>
      <c r="C8476" t="s">
        <v>15341</v>
      </c>
      <c r="D8476" s="43">
        <v>48975.08</v>
      </c>
      <c r="E8476" t="s">
        <v>46</v>
      </c>
      <c r="F8476" s="2">
        <v>110106001</v>
      </c>
      <c r="G8476" s="2" t="s">
        <v>2034</v>
      </c>
      <c r="L8476" s="2" t="s">
        <v>15342</v>
      </c>
      <c r="N8476" t="s">
        <v>15343</v>
      </c>
      <c r="P8476" s="23">
        <v>156.37</v>
      </c>
      <c r="Q8476" s="4">
        <f t="shared" si="132"/>
        <v>313.19997441964574</v>
      </c>
      <c r="R8476" s="23" t="s">
        <v>1198</v>
      </c>
    </row>
    <row r="8477" spans="1:20" x14ac:dyDescent="0.25">
      <c r="A8477" s="32">
        <v>45912</v>
      </c>
      <c r="B8477" s="26" t="s">
        <v>15344</v>
      </c>
      <c r="C8477" s="27" t="s">
        <v>15345</v>
      </c>
      <c r="D8477" s="46">
        <v>-6865.73</v>
      </c>
      <c r="E8477" s="27" t="s">
        <v>35</v>
      </c>
      <c r="F8477" s="29">
        <v>610122005</v>
      </c>
      <c r="G8477" s="29" t="s">
        <v>765</v>
      </c>
      <c r="H8477" s="107"/>
      <c r="I8477" s="101"/>
      <c r="J8477" s="101"/>
      <c r="K8477" s="29"/>
      <c r="L8477" s="2" t="s">
        <v>15346</v>
      </c>
      <c r="M8477" s="27" t="s">
        <v>1202</v>
      </c>
      <c r="N8477" s="27" t="s">
        <v>1203</v>
      </c>
      <c r="O8477" s="27" t="s">
        <v>59</v>
      </c>
      <c r="P8477" s="31">
        <v>158.93</v>
      </c>
      <c r="Q8477" s="4">
        <f t="shared" si="132"/>
        <v>-43.199710564399417</v>
      </c>
      <c r="R8477" s="23" t="s">
        <v>1198</v>
      </c>
      <c r="T8477" s="23" t="s">
        <v>15347</v>
      </c>
    </row>
    <row r="8478" spans="1:20" x14ac:dyDescent="0.25">
      <c r="A8478" s="21">
        <v>45912</v>
      </c>
      <c r="B8478" s="1" t="s">
        <v>15348</v>
      </c>
      <c r="C8478" t="s">
        <v>1206</v>
      </c>
      <c r="D8478" s="43">
        <v>-6.86</v>
      </c>
      <c r="E8478" t="s">
        <v>35</v>
      </c>
      <c r="F8478" s="2">
        <v>610148001</v>
      </c>
      <c r="G8478" s="2" t="s">
        <v>42</v>
      </c>
      <c r="L8478" s="2" t="s">
        <v>15349</v>
      </c>
      <c r="M8478" t="s">
        <v>43</v>
      </c>
      <c r="N8478" t="s">
        <v>42</v>
      </c>
      <c r="P8478" s="23">
        <v>158.93</v>
      </c>
      <c r="Q8478" s="4">
        <f t="shared" si="132"/>
        <v>-4.3163656955892533E-2</v>
      </c>
      <c r="R8478" s="23" t="s">
        <v>1198</v>
      </c>
      <c r="T8478" s="93" t="s">
        <v>14165</v>
      </c>
    </row>
    <row r="8479" spans="1:20" x14ac:dyDescent="0.25">
      <c r="A8479" s="32">
        <v>45912</v>
      </c>
      <c r="B8479" s="26" t="s">
        <v>15350</v>
      </c>
      <c r="C8479" s="27" t="s">
        <v>15351</v>
      </c>
      <c r="D8479" s="46">
        <v>-6865.73</v>
      </c>
      <c r="E8479" s="27" t="s">
        <v>35</v>
      </c>
      <c r="F8479" s="29">
        <v>610122005</v>
      </c>
      <c r="G8479" s="29" t="s">
        <v>765</v>
      </c>
      <c r="H8479" s="107"/>
      <c r="I8479" s="101"/>
      <c r="J8479" s="101"/>
      <c r="K8479" s="29"/>
      <c r="L8479" s="2" t="s">
        <v>15352</v>
      </c>
      <c r="M8479" s="27" t="s">
        <v>1202</v>
      </c>
      <c r="N8479" s="27" t="s">
        <v>1203</v>
      </c>
      <c r="O8479" s="27" t="s">
        <v>59</v>
      </c>
      <c r="P8479" s="31">
        <v>158.93</v>
      </c>
      <c r="Q8479" s="4">
        <f t="shared" si="132"/>
        <v>-43.199710564399417</v>
      </c>
      <c r="R8479" s="23" t="s">
        <v>1198</v>
      </c>
      <c r="T8479" s="23" t="s">
        <v>15347</v>
      </c>
    </row>
    <row r="8480" spans="1:20" x14ac:dyDescent="0.25">
      <c r="A8480" s="21">
        <v>45912</v>
      </c>
      <c r="B8480" s="1" t="s">
        <v>15348</v>
      </c>
      <c r="C8480" t="s">
        <v>1206</v>
      </c>
      <c r="D8480" s="43">
        <v>-6.86</v>
      </c>
      <c r="E8480" t="s">
        <v>35</v>
      </c>
      <c r="F8480" s="2">
        <v>610148001</v>
      </c>
      <c r="G8480" s="2" t="s">
        <v>42</v>
      </c>
      <c r="L8480" s="2" t="s">
        <v>15353</v>
      </c>
      <c r="M8480" t="s">
        <v>43</v>
      </c>
      <c r="N8480" t="s">
        <v>42</v>
      </c>
      <c r="P8480" s="23">
        <v>158.93</v>
      </c>
      <c r="Q8480" s="4">
        <f t="shared" si="132"/>
        <v>-4.3163656955892533E-2</v>
      </c>
      <c r="R8480" s="23" t="s">
        <v>1198</v>
      </c>
      <c r="T8480" s="93" t="s">
        <v>14165</v>
      </c>
    </row>
    <row r="8481" spans="1:20" x14ac:dyDescent="0.25">
      <c r="A8481" s="21">
        <v>45912</v>
      </c>
      <c r="B8481" s="1" t="s">
        <v>15354</v>
      </c>
      <c r="C8481" t="s">
        <v>544</v>
      </c>
      <c r="D8481" s="43">
        <v>600000</v>
      </c>
      <c r="E8481" t="s">
        <v>46</v>
      </c>
      <c r="F8481" s="2">
        <v>210115002</v>
      </c>
      <c r="G8481" s="2" t="s">
        <v>12156</v>
      </c>
      <c r="L8481" s="2" t="s">
        <v>15355</v>
      </c>
      <c r="N8481" t="s">
        <v>544</v>
      </c>
      <c r="P8481" s="23">
        <v>158.93</v>
      </c>
      <c r="Q8481" s="4">
        <f t="shared" si="132"/>
        <v>3775.2469640722329</v>
      </c>
      <c r="R8481" s="23" t="s">
        <v>1198</v>
      </c>
    </row>
    <row r="8482" spans="1:20" x14ac:dyDescent="0.25">
      <c r="A8482" s="21">
        <v>45912</v>
      </c>
      <c r="B8482" s="1" t="s">
        <v>15356</v>
      </c>
      <c r="C8482" t="s">
        <v>15357</v>
      </c>
      <c r="D8482" s="43">
        <v>-9463.7999999999993</v>
      </c>
      <c r="E8482" t="s">
        <v>35</v>
      </c>
      <c r="F8482" s="2">
        <v>212901001</v>
      </c>
      <c r="G8482" s="2" t="s">
        <v>121</v>
      </c>
      <c r="L8482" s="2" t="s">
        <v>15358</v>
      </c>
      <c r="M8482" t="s">
        <v>67</v>
      </c>
      <c r="N8482" t="s">
        <v>68</v>
      </c>
      <c r="P8482" s="23">
        <v>158.93</v>
      </c>
      <c r="Q8482" s="4">
        <f t="shared" si="132"/>
        <v>-59.546970364311328</v>
      </c>
      <c r="R8482" s="23" t="s">
        <v>1198</v>
      </c>
    </row>
    <row r="8483" spans="1:20" x14ac:dyDescent="0.25">
      <c r="A8483" s="21">
        <v>45912</v>
      </c>
      <c r="B8483" s="1" t="s">
        <v>15359</v>
      </c>
      <c r="C8483" t="s">
        <v>1221</v>
      </c>
      <c r="D8483" s="43">
        <v>-23.65</v>
      </c>
      <c r="E8483" t="s">
        <v>35</v>
      </c>
      <c r="F8483" s="2">
        <v>610148001</v>
      </c>
      <c r="G8483" s="2" t="s">
        <v>42</v>
      </c>
      <c r="L8483" s="2" t="s">
        <v>15360</v>
      </c>
      <c r="M8483" t="s">
        <v>43</v>
      </c>
      <c r="N8483" t="s">
        <v>42</v>
      </c>
      <c r="P8483" s="23">
        <v>158.93</v>
      </c>
      <c r="Q8483" s="4">
        <f t="shared" si="132"/>
        <v>-0.1488076511671805</v>
      </c>
      <c r="R8483" s="23" t="s">
        <v>1198</v>
      </c>
      <c r="T8483" s="93" t="s">
        <v>14165</v>
      </c>
    </row>
    <row r="8484" spans="1:20" x14ac:dyDescent="0.25">
      <c r="A8484" s="21">
        <v>45912</v>
      </c>
      <c r="B8484" s="1" t="s">
        <v>15361</v>
      </c>
      <c r="C8484" t="s">
        <v>15362</v>
      </c>
      <c r="D8484" s="43">
        <v>-15773</v>
      </c>
      <c r="E8484" t="s">
        <v>35</v>
      </c>
      <c r="F8484" s="2">
        <v>212901001</v>
      </c>
      <c r="G8484" s="2" t="s">
        <v>121</v>
      </c>
      <c r="L8484" s="2" t="s">
        <v>15363</v>
      </c>
      <c r="M8484" t="s">
        <v>67</v>
      </c>
      <c r="N8484" t="s">
        <v>68</v>
      </c>
      <c r="P8484" s="23">
        <v>158.93</v>
      </c>
      <c r="Q8484" s="4">
        <f t="shared" ref="Q8484:Q8547" si="133">D8484/P8484</f>
        <v>-99.244950607185544</v>
      </c>
      <c r="R8484" s="23" t="s">
        <v>1198</v>
      </c>
    </row>
    <row r="8485" spans="1:20" x14ac:dyDescent="0.25">
      <c r="A8485" s="21">
        <v>45912</v>
      </c>
      <c r="B8485" s="1" t="s">
        <v>15364</v>
      </c>
      <c r="C8485" t="s">
        <v>1221</v>
      </c>
      <c r="D8485" s="43">
        <v>-39.43</v>
      </c>
      <c r="E8485" t="s">
        <v>35</v>
      </c>
      <c r="F8485" s="2">
        <v>610148001</v>
      </c>
      <c r="G8485" s="2" t="s">
        <v>42</v>
      </c>
      <c r="L8485" s="2" t="s">
        <v>15365</v>
      </c>
      <c r="M8485" t="s">
        <v>43</v>
      </c>
      <c r="N8485" t="s">
        <v>42</v>
      </c>
      <c r="P8485" s="23">
        <v>158.93</v>
      </c>
      <c r="Q8485" s="4">
        <f t="shared" si="133"/>
        <v>-0.24809664632228023</v>
      </c>
      <c r="R8485" s="23" t="s">
        <v>1198</v>
      </c>
      <c r="T8485" s="93" t="s">
        <v>14165</v>
      </c>
    </row>
    <row r="8486" spans="1:20" x14ac:dyDescent="0.25">
      <c r="A8486" s="21">
        <v>45912</v>
      </c>
      <c r="B8486" s="1" t="s">
        <v>15366</v>
      </c>
      <c r="C8486" t="s">
        <v>15367</v>
      </c>
      <c r="D8486" s="43">
        <v>-7886.5</v>
      </c>
      <c r="E8486" t="s">
        <v>35</v>
      </c>
      <c r="F8486" s="2">
        <v>212901001</v>
      </c>
      <c r="G8486" s="2" t="s">
        <v>121</v>
      </c>
      <c r="L8486" s="2" t="s">
        <v>15368</v>
      </c>
      <c r="M8486" t="s">
        <v>67</v>
      </c>
      <c r="N8486" t="s">
        <v>68</v>
      </c>
      <c r="P8486" s="23">
        <v>158.93</v>
      </c>
      <c r="Q8486" s="4">
        <f t="shared" si="133"/>
        <v>-49.622475303592772</v>
      </c>
      <c r="R8486" s="23" t="s">
        <v>1198</v>
      </c>
    </row>
    <row r="8487" spans="1:20" x14ac:dyDescent="0.25">
      <c r="A8487" s="21">
        <v>45912</v>
      </c>
      <c r="B8487" s="1" t="s">
        <v>15369</v>
      </c>
      <c r="C8487" t="s">
        <v>1221</v>
      </c>
      <c r="D8487" s="43">
        <v>-19.71</v>
      </c>
      <c r="E8487" t="s">
        <v>35</v>
      </c>
      <c r="F8487" s="2">
        <v>610148001</v>
      </c>
      <c r="G8487" s="2" t="s">
        <v>42</v>
      </c>
      <c r="L8487" s="2" t="s">
        <v>15370</v>
      </c>
      <c r="M8487" t="s">
        <v>43</v>
      </c>
      <c r="N8487" t="s">
        <v>42</v>
      </c>
      <c r="P8487" s="23">
        <v>158.93</v>
      </c>
      <c r="Q8487" s="4">
        <f t="shared" si="133"/>
        <v>-0.12401686276977286</v>
      </c>
      <c r="R8487" s="23" t="s">
        <v>1198</v>
      </c>
      <c r="T8487" s="93" t="s">
        <v>14165</v>
      </c>
    </row>
    <row r="8488" spans="1:20" x14ac:dyDescent="0.25">
      <c r="A8488" s="21">
        <v>45912</v>
      </c>
      <c r="B8488" s="1" t="s">
        <v>15371</v>
      </c>
      <c r="C8488" t="s">
        <v>15372</v>
      </c>
      <c r="D8488" s="43">
        <v>-7886.5</v>
      </c>
      <c r="E8488" t="s">
        <v>35</v>
      </c>
      <c r="F8488" s="2">
        <v>212901001</v>
      </c>
      <c r="G8488" s="2" t="s">
        <v>121</v>
      </c>
      <c r="L8488" s="2" t="s">
        <v>15373</v>
      </c>
      <c r="M8488" t="s">
        <v>67</v>
      </c>
      <c r="N8488" t="s">
        <v>68</v>
      </c>
      <c r="P8488" s="23">
        <v>158.93</v>
      </c>
      <c r="Q8488" s="4">
        <f t="shared" si="133"/>
        <v>-49.622475303592772</v>
      </c>
      <c r="R8488" s="23" t="s">
        <v>1198</v>
      </c>
    </row>
    <row r="8489" spans="1:20" x14ac:dyDescent="0.25">
      <c r="A8489" s="21">
        <v>45912</v>
      </c>
      <c r="B8489" s="1" t="s">
        <v>15374</v>
      </c>
      <c r="C8489" t="s">
        <v>1221</v>
      </c>
      <c r="D8489" s="43">
        <v>-19.71</v>
      </c>
      <c r="E8489" t="s">
        <v>35</v>
      </c>
      <c r="F8489" s="2">
        <v>610148001</v>
      </c>
      <c r="G8489" s="2" t="s">
        <v>42</v>
      </c>
      <c r="L8489" s="2" t="s">
        <v>15375</v>
      </c>
      <c r="M8489" t="s">
        <v>43</v>
      </c>
      <c r="N8489" t="s">
        <v>42</v>
      </c>
      <c r="P8489" s="23">
        <v>158.93</v>
      </c>
      <c r="Q8489" s="4">
        <f t="shared" si="133"/>
        <v>-0.12401686276977286</v>
      </c>
      <c r="R8489" s="23" t="s">
        <v>1198</v>
      </c>
      <c r="T8489" s="93" t="s">
        <v>14165</v>
      </c>
    </row>
    <row r="8490" spans="1:20" x14ac:dyDescent="0.25">
      <c r="A8490" s="21">
        <v>45912</v>
      </c>
      <c r="B8490" s="1" t="s">
        <v>15376</v>
      </c>
      <c r="C8490" t="s">
        <v>15377</v>
      </c>
      <c r="D8490" s="43">
        <v>-7886.5</v>
      </c>
      <c r="E8490" t="s">
        <v>35</v>
      </c>
      <c r="F8490" s="2">
        <v>212901001</v>
      </c>
      <c r="G8490" s="2" t="s">
        <v>121</v>
      </c>
      <c r="L8490" s="2" t="s">
        <v>15378</v>
      </c>
      <c r="M8490" t="s">
        <v>67</v>
      </c>
      <c r="N8490" t="s">
        <v>68</v>
      </c>
      <c r="P8490" s="23">
        <v>158.93</v>
      </c>
      <c r="Q8490" s="4">
        <f t="shared" si="133"/>
        <v>-49.622475303592772</v>
      </c>
      <c r="R8490" s="23" t="s">
        <v>1198</v>
      </c>
    </row>
    <row r="8491" spans="1:20" x14ac:dyDescent="0.25">
      <c r="A8491" s="21">
        <v>45912</v>
      </c>
      <c r="B8491" s="1" t="s">
        <v>15379</v>
      </c>
      <c r="C8491" t="s">
        <v>1221</v>
      </c>
      <c r="D8491" s="43">
        <v>-19.71</v>
      </c>
      <c r="E8491" t="s">
        <v>35</v>
      </c>
      <c r="F8491" s="2">
        <v>610148001</v>
      </c>
      <c r="G8491" s="2" t="s">
        <v>42</v>
      </c>
      <c r="L8491" s="2" t="s">
        <v>15380</v>
      </c>
      <c r="M8491" t="s">
        <v>43</v>
      </c>
      <c r="N8491" t="s">
        <v>42</v>
      </c>
      <c r="P8491" s="23">
        <v>158.93</v>
      </c>
      <c r="Q8491" s="4">
        <f t="shared" si="133"/>
        <v>-0.12401686276977286</v>
      </c>
      <c r="R8491" s="23" t="s">
        <v>1198</v>
      </c>
      <c r="T8491" s="93" t="s">
        <v>14165</v>
      </c>
    </row>
    <row r="8492" spans="1:20" x14ac:dyDescent="0.25">
      <c r="A8492" s="21">
        <v>45912</v>
      </c>
      <c r="B8492" s="1" t="s">
        <v>15381</v>
      </c>
      <c r="C8492" t="s">
        <v>15382</v>
      </c>
      <c r="D8492" s="43">
        <v>-7886.5</v>
      </c>
      <c r="E8492" t="s">
        <v>35</v>
      </c>
      <c r="F8492" s="2">
        <v>212901001</v>
      </c>
      <c r="G8492" s="2" t="s">
        <v>121</v>
      </c>
      <c r="L8492" s="2" t="s">
        <v>15383</v>
      </c>
      <c r="M8492" t="s">
        <v>67</v>
      </c>
      <c r="N8492" t="s">
        <v>68</v>
      </c>
      <c r="P8492" s="23">
        <v>158.93</v>
      </c>
      <c r="Q8492" s="4">
        <f t="shared" si="133"/>
        <v>-49.622475303592772</v>
      </c>
      <c r="R8492" s="23" t="s">
        <v>1198</v>
      </c>
    </row>
    <row r="8493" spans="1:20" x14ac:dyDescent="0.25">
      <c r="A8493" s="21">
        <v>45912</v>
      </c>
      <c r="B8493" s="1" t="s">
        <v>15384</v>
      </c>
      <c r="C8493" t="s">
        <v>1221</v>
      </c>
      <c r="D8493" s="43">
        <v>-19.71</v>
      </c>
      <c r="E8493" t="s">
        <v>35</v>
      </c>
      <c r="F8493" s="2">
        <v>610148001</v>
      </c>
      <c r="G8493" s="2" t="s">
        <v>42</v>
      </c>
      <c r="L8493" s="2" t="s">
        <v>15385</v>
      </c>
      <c r="M8493" t="s">
        <v>43</v>
      </c>
      <c r="N8493" t="s">
        <v>42</v>
      </c>
      <c r="P8493" s="23">
        <v>158.93</v>
      </c>
      <c r="Q8493" s="4">
        <f t="shared" si="133"/>
        <v>-0.12401686276977286</v>
      </c>
      <c r="R8493" s="23" t="s">
        <v>1198</v>
      </c>
      <c r="T8493" s="93" t="s">
        <v>14165</v>
      </c>
    </row>
    <row r="8494" spans="1:20" x14ac:dyDescent="0.25">
      <c r="A8494" s="21">
        <v>45912</v>
      </c>
      <c r="B8494" s="1" t="s">
        <v>15386</v>
      </c>
      <c r="C8494" t="s">
        <v>15387</v>
      </c>
      <c r="D8494" s="43">
        <v>-9463.7999999999993</v>
      </c>
      <c r="E8494" t="s">
        <v>35</v>
      </c>
      <c r="F8494" s="2">
        <v>212901001</v>
      </c>
      <c r="G8494" s="2" t="s">
        <v>121</v>
      </c>
      <c r="L8494" s="2" t="s">
        <v>15388</v>
      </c>
      <c r="M8494" t="s">
        <v>67</v>
      </c>
      <c r="N8494" t="s">
        <v>68</v>
      </c>
      <c r="P8494" s="23">
        <v>158.93</v>
      </c>
      <c r="Q8494" s="4">
        <f t="shared" si="133"/>
        <v>-59.546970364311328</v>
      </c>
      <c r="R8494" s="23" t="s">
        <v>1198</v>
      </c>
    </row>
    <row r="8495" spans="1:20" x14ac:dyDescent="0.25">
      <c r="A8495" s="21">
        <v>45912</v>
      </c>
      <c r="B8495" s="1" t="s">
        <v>15389</v>
      </c>
      <c r="C8495" t="s">
        <v>1221</v>
      </c>
      <c r="D8495" s="43">
        <v>-23.65</v>
      </c>
      <c r="E8495" t="s">
        <v>35</v>
      </c>
      <c r="F8495" s="2">
        <v>610148001</v>
      </c>
      <c r="G8495" s="2" t="s">
        <v>42</v>
      </c>
      <c r="L8495" s="2" t="s">
        <v>15390</v>
      </c>
      <c r="M8495" t="s">
        <v>43</v>
      </c>
      <c r="N8495" t="s">
        <v>42</v>
      </c>
      <c r="P8495" s="23">
        <v>158.93</v>
      </c>
      <c r="Q8495" s="4">
        <f t="shared" si="133"/>
        <v>-0.1488076511671805</v>
      </c>
      <c r="R8495" s="23" t="s">
        <v>1198</v>
      </c>
      <c r="T8495" s="93" t="s">
        <v>14165</v>
      </c>
    </row>
    <row r="8496" spans="1:20" x14ac:dyDescent="0.25">
      <c r="A8496" s="21">
        <v>45912</v>
      </c>
      <c r="B8496" s="1" t="s">
        <v>15391</v>
      </c>
      <c r="C8496" t="s">
        <v>15392</v>
      </c>
      <c r="D8496" s="43">
        <v>-6309.2</v>
      </c>
      <c r="E8496" t="s">
        <v>35</v>
      </c>
      <c r="F8496" s="2">
        <v>212901001</v>
      </c>
      <c r="G8496" s="2" t="s">
        <v>121</v>
      </c>
      <c r="L8496" s="2" t="s">
        <v>15393</v>
      </c>
      <c r="M8496" t="s">
        <v>67</v>
      </c>
      <c r="N8496" t="s">
        <v>68</v>
      </c>
      <c r="P8496" s="23">
        <v>158.93</v>
      </c>
      <c r="Q8496" s="4">
        <f t="shared" si="133"/>
        <v>-39.697980242874216</v>
      </c>
      <c r="R8496" s="23" t="s">
        <v>1198</v>
      </c>
    </row>
    <row r="8497" spans="1:20" x14ac:dyDescent="0.25">
      <c r="A8497" s="21">
        <v>45912</v>
      </c>
      <c r="B8497" s="1" t="s">
        <v>15394</v>
      </c>
      <c r="C8497" t="s">
        <v>1221</v>
      </c>
      <c r="D8497" s="43">
        <v>-15.77</v>
      </c>
      <c r="E8497" t="s">
        <v>35</v>
      </c>
      <c r="F8497" s="2">
        <v>610148001</v>
      </c>
      <c r="G8497" s="2" t="s">
        <v>42</v>
      </c>
      <c r="L8497" s="2" t="s">
        <v>15395</v>
      </c>
      <c r="M8497" t="s">
        <v>43</v>
      </c>
      <c r="N8497" t="s">
        <v>42</v>
      </c>
      <c r="P8497" s="23">
        <v>158.93</v>
      </c>
      <c r="Q8497" s="4">
        <f t="shared" si="133"/>
        <v>-9.9226074372365192E-2</v>
      </c>
      <c r="R8497" s="23" t="s">
        <v>1198</v>
      </c>
      <c r="T8497" s="93" t="s">
        <v>14165</v>
      </c>
    </row>
    <row r="8498" spans="1:20" x14ac:dyDescent="0.25">
      <c r="A8498" s="21">
        <v>45912</v>
      </c>
      <c r="B8498" s="1" t="s">
        <v>15396</v>
      </c>
      <c r="C8498" t="s">
        <v>15397</v>
      </c>
      <c r="D8498" s="43">
        <v>-6309.2</v>
      </c>
      <c r="E8498" t="s">
        <v>35</v>
      </c>
      <c r="F8498" s="2">
        <v>212901001</v>
      </c>
      <c r="G8498" s="2" t="s">
        <v>121</v>
      </c>
      <c r="L8498" s="2" t="s">
        <v>15398</v>
      </c>
      <c r="M8498" t="s">
        <v>67</v>
      </c>
      <c r="N8498" t="s">
        <v>68</v>
      </c>
      <c r="P8498" s="23">
        <v>158.93</v>
      </c>
      <c r="Q8498" s="4">
        <f t="shared" si="133"/>
        <v>-39.697980242874216</v>
      </c>
      <c r="R8498" s="23" t="s">
        <v>1198</v>
      </c>
    </row>
    <row r="8499" spans="1:20" x14ac:dyDescent="0.25">
      <c r="A8499" s="21">
        <v>45912</v>
      </c>
      <c r="B8499" s="1" t="s">
        <v>15399</v>
      </c>
      <c r="C8499" t="s">
        <v>1221</v>
      </c>
      <c r="D8499" s="43">
        <v>-15.77</v>
      </c>
      <c r="E8499" t="s">
        <v>35</v>
      </c>
      <c r="F8499" s="2">
        <v>610148001</v>
      </c>
      <c r="G8499" s="2" t="s">
        <v>42</v>
      </c>
      <c r="L8499" s="2" t="s">
        <v>15400</v>
      </c>
      <c r="M8499" t="s">
        <v>43</v>
      </c>
      <c r="N8499" t="s">
        <v>42</v>
      </c>
      <c r="P8499" s="23">
        <v>158.93</v>
      </c>
      <c r="Q8499" s="4">
        <f t="shared" si="133"/>
        <v>-9.9226074372365192E-2</v>
      </c>
      <c r="R8499" s="23" t="s">
        <v>1198</v>
      </c>
      <c r="T8499" s="93" t="s">
        <v>14165</v>
      </c>
    </row>
    <row r="8500" spans="1:20" x14ac:dyDescent="0.25">
      <c r="A8500" s="21">
        <v>45912</v>
      </c>
      <c r="B8500" s="1" t="s">
        <v>15401</v>
      </c>
      <c r="C8500" t="s">
        <v>15402</v>
      </c>
      <c r="D8500" s="43">
        <v>-6309.2</v>
      </c>
      <c r="E8500" t="s">
        <v>35</v>
      </c>
      <c r="F8500" s="2">
        <v>212901001</v>
      </c>
      <c r="G8500" s="2" t="s">
        <v>121</v>
      </c>
      <c r="L8500" s="2" t="s">
        <v>15403</v>
      </c>
      <c r="M8500" t="s">
        <v>67</v>
      </c>
      <c r="N8500" t="s">
        <v>68</v>
      </c>
      <c r="P8500" s="23">
        <v>158.93</v>
      </c>
      <c r="Q8500" s="4">
        <f t="shared" si="133"/>
        <v>-39.697980242874216</v>
      </c>
      <c r="R8500" s="23" t="s">
        <v>1198</v>
      </c>
    </row>
    <row r="8501" spans="1:20" x14ac:dyDescent="0.25">
      <c r="A8501" s="21">
        <v>45912</v>
      </c>
      <c r="B8501" s="1" t="s">
        <v>15404</v>
      </c>
      <c r="C8501" t="s">
        <v>1221</v>
      </c>
      <c r="D8501" s="43">
        <v>-15.77</v>
      </c>
      <c r="E8501" t="s">
        <v>35</v>
      </c>
      <c r="F8501" s="2">
        <v>610148001</v>
      </c>
      <c r="G8501" s="2" t="s">
        <v>42</v>
      </c>
      <c r="L8501" s="2" t="s">
        <v>15405</v>
      </c>
      <c r="M8501" t="s">
        <v>43</v>
      </c>
      <c r="N8501" t="s">
        <v>42</v>
      </c>
      <c r="P8501" s="23">
        <v>158.93</v>
      </c>
      <c r="Q8501" s="4">
        <f t="shared" si="133"/>
        <v>-9.9226074372365192E-2</v>
      </c>
      <c r="R8501" s="23" t="s">
        <v>1198</v>
      </c>
      <c r="T8501" s="93" t="s">
        <v>14165</v>
      </c>
    </row>
    <row r="8502" spans="1:20" x14ac:dyDescent="0.25">
      <c r="A8502" s="21">
        <v>45912</v>
      </c>
      <c r="B8502" s="1" t="s">
        <v>15406</v>
      </c>
      <c r="C8502" t="s">
        <v>15407</v>
      </c>
      <c r="D8502" s="43">
        <v>-17350.3</v>
      </c>
      <c r="E8502" t="s">
        <v>35</v>
      </c>
      <c r="F8502" s="2">
        <v>212901001</v>
      </c>
      <c r="G8502" s="2" t="s">
        <v>121</v>
      </c>
      <c r="L8502" s="2" t="s">
        <v>15408</v>
      </c>
      <c r="M8502" t="s">
        <v>67</v>
      </c>
      <c r="N8502" t="s">
        <v>68</v>
      </c>
      <c r="P8502" s="23">
        <v>158.93</v>
      </c>
      <c r="Q8502" s="4">
        <f t="shared" si="133"/>
        <v>-109.1694456679041</v>
      </c>
      <c r="R8502" s="23" t="s">
        <v>1198</v>
      </c>
    </row>
    <row r="8503" spans="1:20" x14ac:dyDescent="0.25">
      <c r="A8503" s="21">
        <v>45912</v>
      </c>
      <c r="B8503" s="1" t="s">
        <v>15409</v>
      </c>
      <c r="C8503" t="s">
        <v>1221</v>
      </c>
      <c r="D8503" s="43">
        <v>-43.37</v>
      </c>
      <c r="E8503" t="s">
        <v>35</v>
      </c>
      <c r="F8503" s="2">
        <v>610148001</v>
      </c>
      <c r="G8503" s="2" t="s">
        <v>42</v>
      </c>
      <c r="L8503" s="2" t="s">
        <v>15410</v>
      </c>
      <c r="M8503" t="s">
        <v>43</v>
      </c>
      <c r="N8503" t="s">
        <v>42</v>
      </c>
      <c r="P8503" s="23">
        <v>158.93</v>
      </c>
      <c r="Q8503" s="4">
        <f t="shared" si="133"/>
        <v>-0.2728874347196879</v>
      </c>
      <c r="R8503" s="23" t="s">
        <v>1198</v>
      </c>
      <c r="T8503" s="93" t="s">
        <v>14165</v>
      </c>
    </row>
    <row r="8504" spans="1:20" x14ac:dyDescent="0.25">
      <c r="A8504" s="21">
        <v>45912</v>
      </c>
      <c r="B8504" s="1" t="s">
        <v>15411</v>
      </c>
      <c r="C8504" t="s">
        <v>15412</v>
      </c>
      <c r="D8504" s="43">
        <v>-11041.1</v>
      </c>
      <c r="E8504" t="s">
        <v>35</v>
      </c>
      <c r="F8504" s="2">
        <v>212901001</v>
      </c>
      <c r="G8504" s="2" t="s">
        <v>121</v>
      </c>
      <c r="L8504" s="2" t="s">
        <v>15413</v>
      </c>
      <c r="M8504" t="s">
        <v>67</v>
      </c>
      <c r="N8504" t="s">
        <v>68</v>
      </c>
      <c r="P8504" s="23">
        <v>158.93</v>
      </c>
      <c r="Q8504" s="4">
        <f t="shared" si="133"/>
        <v>-69.471465425029891</v>
      </c>
      <c r="R8504" s="23" t="s">
        <v>1198</v>
      </c>
    </row>
    <row r="8505" spans="1:20" x14ac:dyDescent="0.25">
      <c r="A8505" s="21">
        <v>45912</v>
      </c>
      <c r="B8505" s="1" t="s">
        <v>15414</v>
      </c>
      <c r="C8505" t="s">
        <v>1221</v>
      </c>
      <c r="D8505" s="43">
        <v>-27.6</v>
      </c>
      <c r="E8505" t="s">
        <v>35</v>
      </c>
      <c r="F8505" s="2">
        <v>610148001</v>
      </c>
      <c r="G8505" s="2" t="s">
        <v>42</v>
      </c>
      <c r="L8505" s="2" t="s">
        <v>15415</v>
      </c>
      <c r="M8505" t="s">
        <v>43</v>
      </c>
      <c r="N8505" t="s">
        <v>42</v>
      </c>
      <c r="P8505" s="23">
        <v>158.93</v>
      </c>
      <c r="Q8505" s="4">
        <f t="shared" si="133"/>
        <v>-0.17366136034732271</v>
      </c>
      <c r="R8505" s="23" t="s">
        <v>1198</v>
      </c>
      <c r="T8505" s="93" t="s">
        <v>14165</v>
      </c>
    </row>
    <row r="8506" spans="1:20" x14ac:dyDescent="0.25">
      <c r="A8506" s="21">
        <v>45912</v>
      </c>
      <c r="B8506" s="1" t="s">
        <v>15416</v>
      </c>
      <c r="C8506" t="s">
        <v>15417</v>
      </c>
      <c r="D8506" s="43">
        <v>-9463.7999999999993</v>
      </c>
      <c r="E8506" t="s">
        <v>35</v>
      </c>
      <c r="F8506" s="2">
        <v>212901001</v>
      </c>
      <c r="G8506" s="2" t="s">
        <v>121</v>
      </c>
      <c r="L8506" s="2" t="s">
        <v>15418</v>
      </c>
      <c r="M8506" t="s">
        <v>67</v>
      </c>
      <c r="N8506" t="s">
        <v>68</v>
      </c>
      <c r="P8506" s="23">
        <v>158.93</v>
      </c>
      <c r="Q8506" s="4">
        <f t="shared" si="133"/>
        <v>-59.546970364311328</v>
      </c>
      <c r="R8506" s="23" t="s">
        <v>1198</v>
      </c>
    </row>
    <row r="8507" spans="1:20" x14ac:dyDescent="0.25">
      <c r="A8507" s="21">
        <v>45912</v>
      </c>
      <c r="B8507" s="1" t="s">
        <v>15419</v>
      </c>
      <c r="C8507" t="s">
        <v>1221</v>
      </c>
      <c r="D8507" s="43">
        <v>-23.65</v>
      </c>
      <c r="E8507" t="s">
        <v>35</v>
      </c>
      <c r="F8507" s="2">
        <v>610148001</v>
      </c>
      <c r="G8507" s="2" t="s">
        <v>42</v>
      </c>
      <c r="L8507" s="2" t="s">
        <v>15420</v>
      </c>
      <c r="M8507" t="s">
        <v>43</v>
      </c>
      <c r="N8507" t="s">
        <v>42</v>
      </c>
      <c r="P8507" s="23">
        <v>158.93</v>
      </c>
      <c r="Q8507" s="4">
        <f t="shared" si="133"/>
        <v>-0.1488076511671805</v>
      </c>
      <c r="R8507" s="23" t="s">
        <v>1198</v>
      </c>
      <c r="T8507" s="93" t="s">
        <v>14165</v>
      </c>
    </row>
    <row r="8508" spans="1:20" x14ac:dyDescent="0.25">
      <c r="A8508" s="21">
        <v>45912</v>
      </c>
      <c r="B8508" s="1" t="s">
        <v>15421</v>
      </c>
      <c r="C8508" t="s">
        <v>15422</v>
      </c>
      <c r="D8508" s="43">
        <v>-9463.7999999999993</v>
      </c>
      <c r="E8508" t="s">
        <v>35</v>
      </c>
      <c r="F8508" s="2">
        <v>212901001</v>
      </c>
      <c r="G8508" s="2" t="s">
        <v>121</v>
      </c>
      <c r="L8508" s="2" t="s">
        <v>15423</v>
      </c>
      <c r="M8508" t="s">
        <v>67</v>
      </c>
      <c r="N8508" t="s">
        <v>68</v>
      </c>
      <c r="P8508" s="23">
        <v>158.93</v>
      </c>
      <c r="Q8508" s="4">
        <f t="shared" si="133"/>
        <v>-59.546970364311328</v>
      </c>
      <c r="R8508" s="23" t="s">
        <v>1198</v>
      </c>
    </row>
    <row r="8509" spans="1:20" x14ac:dyDescent="0.25">
      <c r="A8509" s="21">
        <v>45912</v>
      </c>
      <c r="B8509" s="1" t="s">
        <v>15424</v>
      </c>
      <c r="C8509" t="s">
        <v>1221</v>
      </c>
      <c r="D8509" s="43">
        <v>-23.65</v>
      </c>
      <c r="E8509" t="s">
        <v>35</v>
      </c>
      <c r="F8509" s="2">
        <v>610148001</v>
      </c>
      <c r="G8509" s="2" t="s">
        <v>42</v>
      </c>
      <c r="L8509" s="2" t="s">
        <v>15425</v>
      </c>
      <c r="M8509" t="s">
        <v>43</v>
      </c>
      <c r="N8509" t="s">
        <v>42</v>
      </c>
      <c r="P8509" s="23">
        <v>158.93</v>
      </c>
      <c r="Q8509" s="4">
        <f t="shared" si="133"/>
        <v>-0.1488076511671805</v>
      </c>
      <c r="R8509" s="23" t="s">
        <v>1198</v>
      </c>
      <c r="T8509" s="93" t="s">
        <v>14165</v>
      </c>
    </row>
    <row r="8510" spans="1:20" x14ac:dyDescent="0.25">
      <c r="A8510" s="21">
        <v>45912</v>
      </c>
      <c r="B8510" s="1" t="s">
        <v>15426</v>
      </c>
      <c r="C8510" t="s">
        <v>15427</v>
      </c>
      <c r="D8510" s="43">
        <v>-6309.2</v>
      </c>
      <c r="E8510" t="s">
        <v>35</v>
      </c>
      <c r="F8510" s="2">
        <v>212901001</v>
      </c>
      <c r="G8510" s="2" t="s">
        <v>121</v>
      </c>
      <c r="L8510" s="2" t="s">
        <v>15428</v>
      </c>
      <c r="M8510" t="s">
        <v>67</v>
      </c>
      <c r="N8510" t="s">
        <v>68</v>
      </c>
      <c r="P8510" s="23">
        <v>158.93</v>
      </c>
      <c r="Q8510" s="4">
        <f t="shared" si="133"/>
        <v>-39.697980242874216</v>
      </c>
      <c r="R8510" s="23" t="s">
        <v>1198</v>
      </c>
    </row>
    <row r="8511" spans="1:20" x14ac:dyDescent="0.25">
      <c r="A8511" s="21">
        <v>45912</v>
      </c>
      <c r="B8511" s="1" t="s">
        <v>15429</v>
      </c>
      <c r="C8511" t="s">
        <v>1221</v>
      </c>
      <c r="D8511" s="43">
        <v>-15.77</v>
      </c>
      <c r="E8511" t="s">
        <v>35</v>
      </c>
      <c r="F8511" s="2">
        <v>610148001</v>
      </c>
      <c r="G8511" s="2" t="s">
        <v>42</v>
      </c>
      <c r="L8511" s="2" t="s">
        <v>15430</v>
      </c>
      <c r="M8511" t="s">
        <v>43</v>
      </c>
      <c r="N8511" t="s">
        <v>42</v>
      </c>
      <c r="P8511" s="23">
        <v>158.93</v>
      </c>
      <c r="Q8511" s="4">
        <f t="shared" si="133"/>
        <v>-9.9226074372365192E-2</v>
      </c>
      <c r="R8511" s="23" t="s">
        <v>1198</v>
      </c>
      <c r="T8511" s="93" t="s">
        <v>14165</v>
      </c>
    </row>
    <row r="8512" spans="1:20" x14ac:dyDescent="0.25">
      <c r="A8512" s="21">
        <v>45912</v>
      </c>
      <c r="B8512" s="1" t="s">
        <v>15431</v>
      </c>
      <c r="C8512" t="s">
        <v>15432</v>
      </c>
      <c r="D8512" s="43">
        <v>-6309.2</v>
      </c>
      <c r="E8512" t="s">
        <v>35</v>
      </c>
      <c r="F8512" s="2">
        <v>212901001</v>
      </c>
      <c r="G8512" s="2" t="s">
        <v>121</v>
      </c>
      <c r="L8512" s="2" t="s">
        <v>15433</v>
      </c>
      <c r="M8512" t="s">
        <v>67</v>
      </c>
      <c r="N8512" t="s">
        <v>68</v>
      </c>
      <c r="P8512" s="23">
        <v>158.93</v>
      </c>
      <c r="Q8512" s="4">
        <f t="shared" si="133"/>
        <v>-39.697980242874216</v>
      </c>
      <c r="R8512" s="23" t="s">
        <v>1198</v>
      </c>
    </row>
    <row r="8513" spans="1:20" x14ac:dyDescent="0.25">
      <c r="A8513" s="21">
        <v>45912</v>
      </c>
      <c r="B8513" s="1" t="s">
        <v>15434</v>
      </c>
      <c r="C8513" t="s">
        <v>1221</v>
      </c>
      <c r="D8513" s="43">
        <v>-15.77</v>
      </c>
      <c r="E8513" t="s">
        <v>35</v>
      </c>
      <c r="F8513" s="2">
        <v>610148001</v>
      </c>
      <c r="G8513" s="2" t="s">
        <v>42</v>
      </c>
      <c r="L8513" s="2" t="s">
        <v>15435</v>
      </c>
      <c r="M8513" t="s">
        <v>43</v>
      </c>
      <c r="N8513" t="s">
        <v>42</v>
      </c>
      <c r="P8513" s="23">
        <v>158.93</v>
      </c>
      <c r="Q8513" s="4">
        <f t="shared" si="133"/>
        <v>-9.9226074372365192E-2</v>
      </c>
      <c r="R8513" s="23" t="s">
        <v>1198</v>
      </c>
      <c r="T8513" s="93" t="s">
        <v>14165</v>
      </c>
    </row>
    <row r="8514" spans="1:20" x14ac:dyDescent="0.25">
      <c r="A8514" s="21">
        <v>45912</v>
      </c>
      <c r="B8514" s="1" t="s">
        <v>15436</v>
      </c>
      <c r="C8514" t="s">
        <v>15437</v>
      </c>
      <c r="D8514" s="43">
        <v>-12618.4</v>
      </c>
      <c r="E8514" t="s">
        <v>35</v>
      </c>
      <c r="F8514" s="2">
        <v>212901001</v>
      </c>
      <c r="G8514" s="2" t="s">
        <v>121</v>
      </c>
      <c r="L8514" s="2" t="s">
        <v>15438</v>
      </c>
      <c r="M8514" t="s">
        <v>67</v>
      </c>
      <c r="N8514" t="s">
        <v>68</v>
      </c>
      <c r="P8514" s="23">
        <v>158.93</v>
      </c>
      <c r="Q8514" s="4">
        <f t="shared" si="133"/>
        <v>-79.395960485748432</v>
      </c>
      <c r="R8514" s="23" t="s">
        <v>1198</v>
      </c>
    </row>
    <row r="8515" spans="1:20" x14ac:dyDescent="0.25">
      <c r="A8515" s="21">
        <v>45912</v>
      </c>
      <c r="B8515" s="1" t="s">
        <v>15439</v>
      </c>
      <c r="C8515" t="s">
        <v>1221</v>
      </c>
      <c r="D8515" s="43">
        <v>-31.54</v>
      </c>
      <c r="E8515" t="s">
        <v>35</v>
      </c>
      <c r="F8515" s="2">
        <v>610148001</v>
      </c>
      <c r="G8515" s="2" t="s">
        <v>42</v>
      </c>
      <c r="L8515" s="2" t="s">
        <v>15440</v>
      </c>
      <c r="M8515" t="s">
        <v>43</v>
      </c>
      <c r="N8515" t="s">
        <v>42</v>
      </c>
      <c r="P8515" s="23">
        <v>158.93</v>
      </c>
      <c r="Q8515" s="4">
        <f t="shared" si="133"/>
        <v>-0.19845214874473038</v>
      </c>
      <c r="R8515" s="23" t="s">
        <v>1198</v>
      </c>
      <c r="T8515" s="93" t="s">
        <v>14165</v>
      </c>
    </row>
    <row r="8516" spans="1:20" x14ac:dyDescent="0.25">
      <c r="A8516" s="21">
        <v>45912</v>
      </c>
      <c r="B8516" s="1" t="s">
        <v>15441</v>
      </c>
      <c r="C8516" t="s">
        <v>15442</v>
      </c>
      <c r="D8516" s="43">
        <v>-7886.5</v>
      </c>
      <c r="E8516" t="s">
        <v>35</v>
      </c>
      <c r="F8516" s="2">
        <v>212901001</v>
      </c>
      <c r="G8516" s="2" t="s">
        <v>121</v>
      </c>
      <c r="L8516" s="2" t="s">
        <v>15443</v>
      </c>
      <c r="M8516" t="s">
        <v>67</v>
      </c>
      <c r="N8516" t="s">
        <v>68</v>
      </c>
      <c r="P8516" s="23">
        <v>158.93</v>
      </c>
      <c r="Q8516" s="4">
        <f t="shared" si="133"/>
        <v>-49.622475303592772</v>
      </c>
      <c r="R8516" s="23" t="s">
        <v>1198</v>
      </c>
    </row>
    <row r="8517" spans="1:20" x14ac:dyDescent="0.25">
      <c r="A8517" s="21">
        <v>45912</v>
      </c>
      <c r="B8517" s="1" t="s">
        <v>15444</v>
      </c>
      <c r="C8517" t="s">
        <v>1221</v>
      </c>
      <c r="D8517" s="43">
        <v>-19.71</v>
      </c>
      <c r="E8517" t="s">
        <v>35</v>
      </c>
      <c r="F8517" s="2">
        <v>610148001</v>
      </c>
      <c r="G8517" s="2" t="s">
        <v>42</v>
      </c>
      <c r="L8517" s="2" t="s">
        <v>15445</v>
      </c>
      <c r="M8517" t="s">
        <v>43</v>
      </c>
      <c r="N8517" t="s">
        <v>42</v>
      </c>
      <c r="P8517" s="23">
        <v>158.93</v>
      </c>
      <c r="Q8517" s="4">
        <f t="shared" si="133"/>
        <v>-0.12401686276977286</v>
      </c>
      <c r="R8517" s="23" t="s">
        <v>1198</v>
      </c>
      <c r="T8517" s="93" t="s">
        <v>14165</v>
      </c>
    </row>
    <row r="8518" spans="1:20" x14ac:dyDescent="0.25">
      <c r="A8518" s="21">
        <v>45912</v>
      </c>
      <c r="B8518" s="1" t="s">
        <v>15446</v>
      </c>
      <c r="C8518" t="s">
        <v>15447</v>
      </c>
      <c r="D8518" s="43">
        <v>-9463.7999999999993</v>
      </c>
      <c r="E8518" t="s">
        <v>35</v>
      </c>
      <c r="F8518" s="2">
        <v>212901001</v>
      </c>
      <c r="G8518" s="2" t="s">
        <v>121</v>
      </c>
      <c r="L8518" s="2" t="s">
        <v>15448</v>
      </c>
      <c r="M8518" t="s">
        <v>67</v>
      </c>
      <c r="N8518" t="s">
        <v>68</v>
      </c>
      <c r="P8518" s="23">
        <v>158.93</v>
      </c>
      <c r="Q8518" s="4">
        <f t="shared" si="133"/>
        <v>-59.546970364311328</v>
      </c>
      <c r="R8518" s="23" t="s">
        <v>1198</v>
      </c>
    </row>
    <row r="8519" spans="1:20" x14ac:dyDescent="0.25">
      <c r="A8519" s="21">
        <v>45912</v>
      </c>
      <c r="B8519" s="1" t="s">
        <v>15449</v>
      </c>
      <c r="C8519" t="s">
        <v>1221</v>
      </c>
      <c r="D8519" s="43">
        <v>-23.65</v>
      </c>
      <c r="E8519" t="s">
        <v>35</v>
      </c>
      <c r="F8519" s="2">
        <v>610148001</v>
      </c>
      <c r="G8519" s="2" t="s">
        <v>42</v>
      </c>
      <c r="L8519" s="2" t="s">
        <v>15450</v>
      </c>
      <c r="M8519" t="s">
        <v>43</v>
      </c>
      <c r="N8519" t="s">
        <v>42</v>
      </c>
      <c r="P8519" s="23">
        <v>158.93</v>
      </c>
      <c r="Q8519" s="4">
        <f t="shared" si="133"/>
        <v>-0.1488076511671805</v>
      </c>
      <c r="R8519" s="23" t="s">
        <v>1198</v>
      </c>
      <c r="T8519" s="93" t="s">
        <v>14165</v>
      </c>
    </row>
    <row r="8520" spans="1:20" x14ac:dyDescent="0.25">
      <c r="A8520" s="21">
        <v>45912</v>
      </c>
      <c r="B8520" s="1" t="s">
        <v>15451</v>
      </c>
      <c r="C8520" t="s">
        <v>15452</v>
      </c>
      <c r="D8520" s="43">
        <v>-7886.5</v>
      </c>
      <c r="E8520" t="s">
        <v>35</v>
      </c>
      <c r="F8520" s="2">
        <v>212901001</v>
      </c>
      <c r="G8520" s="2" t="s">
        <v>121</v>
      </c>
      <c r="L8520" s="2" t="s">
        <v>15453</v>
      </c>
      <c r="M8520" t="s">
        <v>67</v>
      </c>
      <c r="N8520" t="s">
        <v>68</v>
      </c>
      <c r="P8520" s="23">
        <v>158.93</v>
      </c>
      <c r="Q8520" s="4">
        <f t="shared" si="133"/>
        <v>-49.622475303592772</v>
      </c>
      <c r="R8520" s="23" t="s">
        <v>1198</v>
      </c>
    </row>
    <row r="8521" spans="1:20" x14ac:dyDescent="0.25">
      <c r="A8521" s="21">
        <v>45912</v>
      </c>
      <c r="B8521" s="1" t="s">
        <v>15454</v>
      </c>
      <c r="C8521" t="s">
        <v>1221</v>
      </c>
      <c r="D8521" s="43">
        <v>-19.71</v>
      </c>
      <c r="E8521" t="s">
        <v>35</v>
      </c>
      <c r="F8521" s="2">
        <v>610148001</v>
      </c>
      <c r="G8521" s="2" t="s">
        <v>42</v>
      </c>
      <c r="L8521" s="2" t="s">
        <v>15455</v>
      </c>
      <c r="M8521" t="s">
        <v>43</v>
      </c>
      <c r="N8521" t="s">
        <v>42</v>
      </c>
      <c r="P8521" s="23">
        <v>158.93</v>
      </c>
      <c r="Q8521" s="4">
        <f t="shared" si="133"/>
        <v>-0.12401686276977286</v>
      </c>
      <c r="R8521" s="23" t="s">
        <v>1198</v>
      </c>
      <c r="T8521" s="93" t="s">
        <v>14165</v>
      </c>
    </row>
    <row r="8522" spans="1:20" x14ac:dyDescent="0.25">
      <c r="A8522" s="21">
        <v>45912</v>
      </c>
      <c r="B8522" s="1" t="s">
        <v>15456</v>
      </c>
      <c r="C8522" t="s">
        <v>15457</v>
      </c>
      <c r="D8522" s="43">
        <v>-7886.5</v>
      </c>
      <c r="E8522" t="s">
        <v>35</v>
      </c>
      <c r="F8522" s="2">
        <v>212901001</v>
      </c>
      <c r="G8522" s="2" t="s">
        <v>121</v>
      </c>
      <c r="L8522" s="2" t="s">
        <v>15458</v>
      </c>
      <c r="M8522" t="s">
        <v>67</v>
      </c>
      <c r="N8522" t="s">
        <v>68</v>
      </c>
      <c r="P8522" s="23">
        <v>158.93</v>
      </c>
      <c r="Q8522" s="4">
        <f t="shared" si="133"/>
        <v>-49.622475303592772</v>
      </c>
      <c r="R8522" s="23" t="s">
        <v>1198</v>
      </c>
    </row>
    <row r="8523" spans="1:20" x14ac:dyDescent="0.25">
      <c r="A8523" s="21">
        <v>45912</v>
      </c>
      <c r="B8523" s="1" t="s">
        <v>15459</v>
      </c>
      <c r="C8523" t="s">
        <v>1221</v>
      </c>
      <c r="D8523" s="43">
        <v>-19.71</v>
      </c>
      <c r="E8523" t="s">
        <v>35</v>
      </c>
      <c r="F8523" s="2">
        <v>610148001</v>
      </c>
      <c r="G8523" s="2" t="s">
        <v>42</v>
      </c>
      <c r="L8523" s="2" t="s">
        <v>15460</v>
      </c>
      <c r="M8523" t="s">
        <v>43</v>
      </c>
      <c r="N8523" t="s">
        <v>42</v>
      </c>
      <c r="P8523" s="23">
        <v>158.93</v>
      </c>
      <c r="Q8523" s="4">
        <f t="shared" si="133"/>
        <v>-0.12401686276977286</v>
      </c>
      <c r="R8523" s="23" t="s">
        <v>1198</v>
      </c>
      <c r="T8523" s="93" t="s">
        <v>14165</v>
      </c>
    </row>
    <row r="8524" spans="1:20" x14ac:dyDescent="0.25">
      <c r="A8524" s="21">
        <v>45912</v>
      </c>
      <c r="B8524" s="1" t="s">
        <v>15461</v>
      </c>
      <c r="C8524" t="s">
        <v>15462</v>
      </c>
      <c r="D8524" s="43">
        <v>-9463.7999999999993</v>
      </c>
      <c r="E8524" t="s">
        <v>35</v>
      </c>
      <c r="F8524" s="2">
        <v>212901001</v>
      </c>
      <c r="G8524" s="2" t="s">
        <v>121</v>
      </c>
      <c r="L8524" s="2" t="s">
        <v>15463</v>
      </c>
      <c r="M8524" t="s">
        <v>67</v>
      </c>
      <c r="N8524" t="s">
        <v>68</v>
      </c>
      <c r="P8524" s="23">
        <v>158.93</v>
      </c>
      <c r="Q8524" s="4">
        <f t="shared" si="133"/>
        <v>-59.546970364311328</v>
      </c>
      <c r="R8524" s="23" t="s">
        <v>1198</v>
      </c>
    </row>
    <row r="8525" spans="1:20" x14ac:dyDescent="0.25">
      <c r="A8525" s="21">
        <v>45912</v>
      </c>
      <c r="B8525" s="1" t="s">
        <v>15464</v>
      </c>
      <c r="C8525" t="s">
        <v>1221</v>
      </c>
      <c r="D8525" s="43">
        <v>-23.65</v>
      </c>
      <c r="E8525" t="s">
        <v>35</v>
      </c>
      <c r="F8525" s="2">
        <v>610148001</v>
      </c>
      <c r="G8525" s="2" t="s">
        <v>42</v>
      </c>
      <c r="L8525" s="2" t="s">
        <v>15465</v>
      </c>
      <c r="M8525" t="s">
        <v>43</v>
      </c>
      <c r="N8525" t="s">
        <v>42</v>
      </c>
      <c r="P8525" s="23">
        <v>158.93</v>
      </c>
      <c r="Q8525" s="4">
        <f t="shared" si="133"/>
        <v>-0.1488076511671805</v>
      </c>
      <c r="R8525" s="23" t="s">
        <v>1198</v>
      </c>
      <c r="T8525" s="93" t="s">
        <v>14165</v>
      </c>
    </row>
    <row r="8526" spans="1:20" x14ac:dyDescent="0.25">
      <c r="A8526" s="21">
        <v>45912</v>
      </c>
      <c r="B8526" s="1" t="s">
        <v>15466</v>
      </c>
      <c r="C8526" t="s">
        <v>15467</v>
      </c>
      <c r="D8526" s="43">
        <v>-6309.2</v>
      </c>
      <c r="E8526" t="s">
        <v>35</v>
      </c>
      <c r="F8526" s="2">
        <v>212901001</v>
      </c>
      <c r="G8526" s="2" t="s">
        <v>121</v>
      </c>
      <c r="L8526" s="2" t="s">
        <v>15468</v>
      </c>
      <c r="M8526" t="s">
        <v>67</v>
      </c>
      <c r="N8526" t="s">
        <v>68</v>
      </c>
      <c r="P8526" s="23">
        <v>158.93</v>
      </c>
      <c r="Q8526" s="4">
        <f t="shared" si="133"/>
        <v>-39.697980242874216</v>
      </c>
      <c r="R8526" s="23" t="s">
        <v>1198</v>
      </c>
    </row>
    <row r="8527" spans="1:20" x14ac:dyDescent="0.25">
      <c r="A8527" s="21">
        <v>45912</v>
      </c>
      <c r="B8527" s="1" t="s">
        <v>15469</v>
      </c>
      <c r="C8527" t="s">
        <v>1221</v>
      </c>
      <c r="D8527" s="43">
        <v>-15.77</v>
      </c>
      <c r="E8527" t="s">
        <v>35</v>
      </c>
      <c r="F8527" s="2">
        <v>610148001</v>
      </c>
      <c r="G8527" s="2" t="s">
        <v>42</v>
      </c>
      <c r="L8527" s="2" t="s">
        <v>15470</v>
      </c>
      <c r="M8527" t="s">
        <v>43</v>
      </c>
      <c r="N8527" t="s">
        <v>42</v>
      </c>
      <c r="P8527" s="23">
        <v>158.93</v>
      </c>
      <c r="Q8527" s="4">
        <f t="shared" si="133"/>
        <v>-9.9226074372365192E-2</v>
      </c>
      <c r="R8527" s="23" t="s">
        <v>1198</v>
      </c>
      <c r="T8527" s="93" t="s">
        <v>14165</v>
      </c>
    </row>
    <row r="8528" spans="1:20" x14ac:dyDescent="0.25">
      <c r="A8528" s="21">
        <v>45912</v>
      </c>
      <c r="B8528" s="1" t="s">
        <v>15471</v>
      </c>
      <c r="C8528" t="s">
        <v>15472</v>
      </c>
      <c r="D8528" s="43">
        <v>-11041.1</v>
      </c>
      <c r="E8528" t="s">
        <v>35</v>
      </c>
      <c r="F8528" s="2">
        <v>212901001</v>
      </c>
      <c r="G8528" s="2" t="s">
        <v>121</v>
      </c>
      <c r="L8528" s="2" t="s">
        <v>15473</v>
      </c>
      <c r="M8528" t="s">
        <v>67</v>
      </c>
      <c r="N8528" t="s">
        <v>68</v>
      </c>
      <c r="P8528" s="23">
        <v>158.93</v>
      </c>
      <c r="Q8528" s="4">
        <f t="shared" si="133"/>
        <v>-69.471465425029891</v>
      </c>
      <c r="R8528" s="23" t="s">
        <v>1198</v>
      </c>
    </row>
    <row r="8529" spans="1:20" x14ac:dyDescent="0.25">
      <c r="A8529" s="21">
        <v>45912</v>
      </c>
      <c r="B8529" s="1" t="s">
        <v>15474</v>
      </c>
      <c r="C8529" t="s">
        <v>1221</v>
      </c>
      <c r="D8529" s="43">
        <v>-27.6</v>
      </c>
      <c r="E8529" t="s">
        <v>35</v>
      </c>
      <c r="F8529" s="2">
        <v>610148001</v>
      </c>
      <c r="G8529" s="2" t="s">
        <v>42</v>
      </c>
      <c r="L8529" s="2" t="s">
        <v>15475</v>
      </c>
      <c r="M8529" t="s">
        <v>43</v>
      </c>
      <c r="N8529" t="s">
        <v>42</v>
      </c>
      <c r="P8529" s="23">
        <v>158.93</v>
      </c>
      <c r="Q8529" s="4">
        <f t="shared" si="133"/>
        <v>-0.17366136034732271</v>
      </c>
      <c r="R8529" s="23" t="s">
        <v>1198</v>
      </c>
      <c r="T8529" s="93" t="s">
        <v>14165</v>
      </c>
    </row>
    <row r="8530" spans="1:20" x14ac:dyDescent="0.25">
      <c r="A8530" s="21">
        <v>45912</v>
      </c>
      <c r="B8530" s="1" t="s">
        <v>15476</v>
      </c>
      <c r="C8530" t="s">
        <v>15477</v>
      </c>
      <c r="D8530" s="43">
        <v>-7886.5</v>
      </c>
      <c r="E8530" t="s">
        <v>35</v>
      </c>
      <c r="F8530" s="2">
        <v>212901001</v>
      </c>
      <c r="G8530" s="2" t="s">
        <v>121</v>
      </c>
      <c r="L8530" s="2" t="s">
        <v>15478</v>
      </c>
      <c r="M8530" t="s">
        <v>67</v>
      </c>
      <c r="N8530" t="s">
        <v>68</v>
      </c>
      <c r="P8530" s="23">
        <v>158.93</v>
      </c>
      <c r="Q8530" s="4">
        <f t="shared" si="133"/>
        <v>-49.622475303592772</v>
      </c>
      <c r="R8530" s="23" t="s">
        <v>1198</v>
      </c>
    </row>
    <row r="8531" spans="1:20" x14ac:dyDescent="0.25">
      <c r="A8531" s="21">
        <v>45912</v>
      </c>
      <c r="B8531" s="1" t="s">
        <v>15479</v>
      </c>
      <c r="C8531" t="s">
        <v>1221</v>
      </c>
      <c r="D8531" s="43">
        <v>-19.71</v>
      </c>
      <c r="E8531" t="s">
        <v>35</v>
      </c>
      <c r="F8531" s="2">
        <v>610148001</v>
      </c>
      <c r="G8531" s="2" t="s">
        <v>42</v>
      </c>
      <c r="L8531" s="2" t="s">
        <v>15480</v>
      </c>
      <c r="M8531" t="s">
        <v>43</v>
      </c>
      <c r="N8531" t="s">
        <v>42</v>
      </c>
      <c r="P8531" s="23">
        <v>158.93</v>
      </c>
      <c r="Q8531" s="4">
        <f t="shared" si="133"/>
        <v>-0.12401686276977286</v>
      </c>
      <c r="R8531" s="23" t="s">
        <v>1198</v>
      </c>
      <c r="T8531" s="93" t="s">
        <v>14165</v>
      </c>
    </row>
    <row r="8532" spans="1:20" x14ac:dyDescent="0.25">
      <c r="A8532" s="21">
        <v>45912</v>
      </c>
      <c r="B8532" s="1" t="s">
        <v>15481</v>
      </c>
      <c r="C8532" t="s">
        <v>15482</v>
      </c>
      <c r="D8532" s="43">
        <v>-9463.7999999999993</v>
      </c>
      <c r="E8532" t="s">
        <v>35</v>
      </c>
      <c r="F8532" s="2">
        <v>212901001</v>
      </c>
      <c r="G8532" s="2" t="s">
        <v>121</v>
      </c>
      <c r="L8532" s="2" t="s">
        <v>15483</v>
      </c>
      <c r="M8532" t="s">
        <v>67</v>
      </c>
      <c r="N8532" t="s">
        <v>68</v>
      </c>
      <c r="P8532" s="23">
        <v>158.93</v>
      </c>
      <c r="Q8532" s="4">
        <f t="shared" si="133"/>
        <v>-59.546970364311328</v>
      </c>
      <c r="R8532" s="23" t="s">
        <v>1198</v>
      </c>
    </row>
    <row r="8533" spans="1:20" x14ac:dyDescent="0.25">
      <c r="A8533" s="21">
        <v>45912</v>
      </c>
      <c r="B8533" s="1" t="s">
        <v>15484</v>
      </c>
      <c r="C8533" t="s">
        <v>1221</v>
      </c>
      <c r="D8533" s="43">
        <v>-23.65</v>
      </c>
      <c r="E8533" t="s">
        <v>35</v>
      </c>
      <c r="F8533" s="2">
        <v>610148001</v>
      </c>
      <c r="G8533" s="2" t="s">
        <v>42</v>
      </c>
      <c r="L8533" s="2" t="s">
        <v>15485</v>
      </c>
      <c r="M8533" t="s">
        <v>43</v>
      </c>
      <c r="N8533" t="s">
        <v>42</v>
      </c>
      <c r="P8533" s="23">
        <v>158.93</v>
      </c>
      <c r="Q8533" s="4">
        <f t="shared" si="133"/>
        <v>-0.1488076511671805</v>
      </c>
      <c r="R8533" s="23" t="s">
        <v>1198</v>
      </c>
      <c r="T8533" s="93" t="s">
        <v>14165</v>
      </c>
    </row>
    <row r="8534" spans="1:20" x14ac:dyDescent="0.25">
      <c r="A8534" s="21">
        <v>45912</v>
      </c>
      <c r="B8534" s="1" t="s">
        <v>15486</v>
      </c>
      <c r="C8534" t="s">
        <v>15487</v>
      </c>
      <c r="D8534" s="43">
        <v>-12618.4</v>
      </c>
      <c r="E8534" t="s">
        <v>35</v>
      </c>
      <c r="F8534" s="2">
        <v>212901001</v>
      </c>
      <c r="G8534" s="2" t="s">
        <v>121</v>
      </c>
      <c r="L8534" s="2" t="s">
        <v>15488</v>
      </c>
      <c r="M8534" t="s">
        <v>67</v>
      </c>
      <c r="N8534" t="s">
        <v>68</v>
      </c>
      <c r="P8534" s="23">
        <v>158.93</v>
      </c>
      <c r="Q8534" s="4">
        <f t="shared" si="133"/>
        <v>-79.395960485748432</v>
      </c>
      <c r="R8534" s="23" t="s">
        <v>1198</v>
      </c>
    </row>
    <row r="8535" spans="1:20" x14ac:dyDescent="0.25">
      <c r="A8535" s="21">
        <v>45912</v>
      </c>
      <c r="B8535" s="1" t="s">
        <v>15489</v>
      </c>
      <c r="C8535" t="s">
        <v>1221</v>
      </c>
      <c r="D8535" s="43">
        <v>-31.54</v>
      </c>
      <c r="E8535" t="s">
        <v>35</v>
      </c>
      <c r="F8535" s="2">
        <v>610148001</v>
      </c>
      <c r="G8535" s="2" t="s">
        <v>42</v>
      </c>
      <c r="L8535" s="2" t="s">
        <v>15490</v>
      </c>
      <c r="M8535" t="s">
        <v>43</v>
      </c>
      <c r="N8535" t="s">
        <v>42</v>
      </c>
      <c r="P8535" s="23">
        <v>158.93</v>
      </c>
      <c r="Q8535" s="4">
        <f t="shared" si="133"/>
        <v>-0.19845214874473038</v>
      </c>
      <c r="R8535" s="23" t="s">
        <v>1198</v>
      </c>
      <c r="T8535" s="93" t="s">
        <v>14165</v>
      </c>
    </row>
    <row r="8536" spans="1:20" x14ac:dyDescent="0.25">
      <c r="A8536" s="21">
        <v>45912</v>
      </c>
      <c r="B8536" s="1" t="s">
        <v>15491</v>
      </c>
      <c r="C8536" t="s">
        <v>15492</v>
      </c>
      <c r="D8536" s="43">
        <v>-7886.5</v>
      </c>
      <c r="E8536" t="s">
        <v>35</v>
      </c>
      <c r="F8536" s="2">
        <v>212901001</v>
      </c>
      <c r="G8536" s="2" t="s">
        <v>121</v>
      </c>
      <c r="L8536" s="2" t="s">
        <v>15493</v>
      </c>
      <c r="M8536" t="s">
        <v>67</v>
      </c>
      <c r="N8536" t="s">
        <v>68</v>
      </c>
      <c r="P8536" s="23">
        <v>158.93</v>
      </c>
      <c r="Q8536" s="4">
        <f t="shared" si="133"/>
        <v>-49.622475303592772</v>
      </c>
      <c r="R8536" s="23" t="s">
        <v>1198</v>
      </c>
    </row>
    <row r="8537" spans="1:20" x14ac:dyDescent="0.25">
      <c r="A8537" s="21">
        <v>45912</v>
      </c>
      <c r="B8537" s="1" t="s">
        <v>15494</v>
      </c>
      <c r="C8537" t="s">
        <v>1221</v>
      </c>
      <c r="D8537" s="43">
        <v>-19.71</v>
      </c>
      <c r="E8537" t="s">
        <v>35</v>
      </c>
      <c r="F8537" s="2">
        <v>610148001</v>
      </c>
      <c r="G8537" s="2" t="s">
        <v>42</v>
      </c>
      <c r="L8537" s="2" t="s">
        <v>15495</v>
      </c>
      <c r="M8537" t="s">
        <v>43</v>
      </c>
      <c r="N8537" t="s">
        <v>42</v>
      </c>
      <c r="P8537" s="23">
        <v>158.93</v>
      </c>
      <c r="Q8537" s="4">
        <f t="shared" si="133"/>
        <v>-0.12401686276977286</v>
      </c>
      <c r="R8537" s="23" t="s">
        <v>1198</v>
      </c>
      <c r="T8537" s="93" t="s">
        <v>14165</v>
      </c>
    </row>
    <row r="8538" spans="1:20" x14ac:dyDescent="0.25">
      <c r="A8538" s="21">
        <v>45912</v>
      </c>
      <c r="B8538" s="1" t="s">
        <v>15496</v>
      </c>
      <c r="C8538" t="s">
        <v>15497</v>
      </c>
      <c r="D8538" s="43">
        <v>-3154.6</v>
      </c>
      <c r="E8538" t="s">
        <v>35</v>
      </c>
      <c r="F8538" s="2">
        <v>212901001</v>
      </c>
      <c r="G8538" s="2" t="s">
        <v>121</v>
      </c>
      <c r="L8538" s="2" t="s">
        <v>15498</v>
      </c>
      <c r="M8538" t="s">
        <v>67</v>
      </c>
      <c r="N8538" t="s">
        <v>68</v>
      </c>
      <c r="P8538" s="23">
        <v>158.93</v>
      </c>
      <c r="Q8538" s="4">
        <f t="shared" si="133"/>
        <v>-19.848990121437108</v>
      </c>
      <c r="R8538" s="23" t="s">
        <v>1198</v>
      </c>
    </row>
    <row r="8539" spans="1:20" x14ac:dyDescent="0.25">
      <c r="A8539" s="21">
        <v>45912</v>
      </c>
      <c r="B8539" s="1" t="s">
        <v>15499</v>
      </c>
      <c r="C8539" t="s">
        <v>1221</v>
      </c>
      <c r="D8539" s="43">
        <v>-7.88</v>
      </c>
      <c r="E8539" t="s">
        <v>35</v>
      </c>
      <c r="F8539" s="2">
        <v>610148001</v>
      </c>
      <c r="G8539" s="2" t="s">
        <v>42</v>
      </c>
      <c r="L8539" s="2" t="s">
        <v>15500</v>
      </c>
      <c r="M8539" t="s">
        <v>43</v>
      </c>
      <c r="N8539" t="s">
        <v>42</v>
      </c>
      <c r="P8539" s="23">
        <v>158.93</v>
      </c>
      <c r="Q8539" s="4">
        <f t="shared" si="133"/>
        <v>-4.9581576794815327E-2</v>
      </c>
      <c r="R8539" s="23" t="s">
        <v>1198</v>
      </c>
      <c r="T8539" s="93" t="s">
        <v>14165</v>
      </c>
    </row>
    <row r="8540" spans="1:20" x14ac:dyDescent="0.25">
      <c r="A8540" s="21">
        <v>45912</v>
      </c>
      <c r="B8540" s="1" t="s">
        <v>15501</v>
      </c>
      <c r="C8540" t="s">
        <v>15502</v>
      </c>
      <c r="D8540" s="43">
        <v>-9463.7999999999993</v>
      </c>
      <c r="E8540" t="s">
        <v>35</v>
      </c>
      <c r="F8540" s="2">
        <v>212901001</v>
      </c>
      <c r="G8540" s="2" t="s">
        <v>121</v>
      </c>
      <c r="L8540" s="2" t="s">
        <v>15503</v>
      </c>
      <c r="M8540" t="s">
        <v>67</v>
      </c>
      <c r="N8540" t="s">
        <v>68</v>
      </c>
      <c r="P8540" s="23">
        <v>158.93</v>
      </c>
      <c r="Q8540" s="4">
        <f t="shared" si="133"/>
        <v>-59.546970364311328</v>
      </c>
      <c r="R8540" s="23" t="s">
        <v>1198</v>
      </c>
    </row>
    <row r="8541" spans="1:20" x14ac:dyDescent="0.25">
      <c r="A8541" s="21">
        <v>45912</v>
      </c>
      <c r="B8541" s="1" t="s">
        <v>15504</v>
      </c>
      <c r="C8541" t="s">
        <v>1221</v>
      </c>
      <c r="D8541" s="43">
        <v>-23.65</v>
      </c>
      <c r="E8541" t="s">
        <v>35</v>
      </c>
      <c r="F8541" s="2">
        <v>610148001</v>
      </c>
      <c r="G8541" s="2" t="s">
        <v>42</v>
      </c>
      <c r="L8541" s="2" t="s">
        <v>15505</v>
      </c>
      <c r="M8541" t="s">
        <v>43</v>
      </c>
      <c r="N8541" t="s">
        <v>42</v>
      </c>
      <c r="P8541" s="23">
        <v>158.93</v>
      </c>
      <c r="Q8541" s="4">
        <f t="shared" si="133"/>
        <v>-0.1488076511671805</v>
      </c>
      <c r="R8541" s="23" t="s">
        <v>1198</v>
      </c>
      <c r="T8541" s="93" t="s">
        <v>14165</v>
      </c>
    </row>
    <row r="8542" spans="1:20" x14ac:dyDescent="0.25">
      <c r="A8542" s="21">
        <v>45912</v>
      </c>
      <c r="B8542" s="1" t="s">
        <v>15506</v>
      </c>
      <c r="C8542" t="s">
        <v>15507</v>
      </c>
      <c r="D8542" s="43">
        <v>-9463.7999999999993</v>
      </c>
      <c r="E8542" t="s">
        <v>35</v>
      </c>
      <c r="F8542" s="2">
        <v>212901001</v>
      </c>
      <c r="G8542" s="2" t="s">
        <v>121</v>
      </c>
      <c r="L8542" s="2" t="s">
        <v>15508</v>
      </c>
      <c r="M8542" t="s">
        <v>67</v>
      </c>
      <c r="N8542" t="s">
        <v>68</v>
      </c>
      <c r="P8542" s="23">
        <v>158.93</v>
      </c>
      <c r="Q8542" s="4">
        <f t="shared" si="133"/>
        <v>-59.546970364311328</v>
      </c>
      <c r="R8542" s="23" t="s">
        <v>1198</v>
      </c>
    </row>
    <row r="8543" spans="1:20" x14ac:dyDescent="0.25">
      <c r="A8543" s="21">
        <v>45912</v>
      </c>
      <c r="B8543" s="1" t="s">
        <v>15509</v>
      </c>
      <c r="C8543" t="s">
        <v>1221</v>
      </c>
      <c r="D8543" s="43">
        <v>-23.65</v>
      </c>
      <c r="E8543" t="s">
        <v>35</v>
      </c>
      <c r="F8543" s="2">
        <v>610148001</v>
      </c>
      <c r="G8543" s="2" t="s">
        <v>42</v>
      </c>
      <c r="L8543" s="2" t="s">
        <v>15510</v>
      </c>
      <c r="M8543" t="s">
        <v>43</v>
      </c>
      <c r="N8543" t="s">
        <v>42</v>
      </c>
      <c r="P8543" s="23">
        <v>158.93</v>
      </c>
      <c r="Q8543" s="4">
        <f t="shared" si="133"/>
        <v>-0.1488076511671805</v>
      </c>
      <c r="R8543" s="23" t="s">
        <v>1198</v>
      </c>
      <c r="T8543" s="93" t="s">
        <v>14165</v>
      </c>
    </row>
    <row r="8544" spans="1:20" x14ac:dyDescent="0.25">
      <c r="A8544" s="21">
        <v>45912</v>
      </c>
      <c r="B8544" s="1" t="s">
        <v>15511</v>
      </c>
      <c r="C8544" t="s">
        <v>15512</v>
      </c>
      <c r="D8544" s="43">
        <v>-7886.5</v>
      </c>
      <c r="E8544" t="s">
        <v>35</v>
      </c>
      <c r="F8544" s="2">
        <v>212901001</v>
      </c>
      <c r="G8544" s="2" t="s">
        <v>121</v>
      </c>
      <c r="L8544" s="2" t="s">
        <v>15513</v>
      </c>
      <c r="M8544" t="s">
        <v>67</v>
      </c>
      <c r="N8544" t="s">
        <v>68</v>
      </c>
      <c r="P8544" s="23">
        <v>158.93</v>
      </c>
      <c r="Q8544" s="4">
        <f t="shared" si="133"/>
        <v>-49.622475303592772</v>
      </c>
      <c r="R8544" s="23" t="s">
        <v>1198</v>
      </c>
    </row>
    <row r="8545" spans="1:20" x14ac:dyDescent="0.25">
      <c r="A8545" s="21">
        <v>45912</v>
      </c>
      <c r="B8545" s="1" t="s">
        <v>15514</v>
      </c>
      <c r="C8545" t="s">
        <v>1221</v>
      </c>
      <c r="D8545" s="43">
        <v>-19.71</v>
      </c>
      <c r="E8545" t="s">
        <v>35</v>
      </c>
      <c r="F8545" s="2">
        <v>610148001</v>
      </c>
      <c r="G8545" s="2" t="s">
        <v>42</v>
      </c>
      <c r="L8545" s="2" t="s">
        <v>15515</v>
      </c>
      <c r="M8545" t="s">
        <v>43</v>
      </c>
      <c r="N8545" t="s">
        <v>42</v>
      </c>
      <c r="P8545" s="23">
        <v>158.93</v>
      </c>
      <c r="Q8545" s="4">
        <f t="shared" si="133"/>
        <v>-0.12401686276977286</v>
      </c>
      <c r="R8545" s="23" t="s">
        <v>1198</v>
      </c>
      <c r="T8545" s="93" t="s">
        <v>14165</v>
      </c>
    </row>
    <row r="8546" spans="1:20" x14ac:dyDescent="0.25">
      <c r="A8546" s="21">
        <v>45912</v>
      </c>
      <c r="B8546" s="1" t="s">
        <v>15516</v>
      </c>
      <c r="C8546" t="s">
        <v>15517</v>
      </c>
      <c r="D8546" s="43">
        <v>-7886.5</v>
      </c>
      <c r="E8546" t="s">
        <v>35</v>
      </c>
      <c r="F8546" s="2">
        <v>212901001</v>
      </c>
      <c r="G8546" s="2" t="s">
        <v>121</v>
      </c>
      <c r="L8546" s="2" t="s">
        <v>15518</v>
      </c>
      <c r="M8546" t="s">
        <v>67</v>
      </c>
      <c r="N8546" t="s">
        <v>68</v>
      </c>
      <c r="P8546" s="23">
        <v>158.93</v>
      </c>
      <c r="Q8546" s="4">
        <f t="shared" si="133"/>
        <v>-49.622475303592772</v>
      </c>
      <c r="R8546" s="23" t="s">
        <v>1198</v>
      </c>
    </row>
    <row r="8547" spans="1:20" x14ac:dyDescent="0.25">
      <c r="A8547" s="21">
        <v>45912</v>
      </c>
      <c r="B8547" s="1" t="s">
        <v>15519</v>
      </c>
      <c r="C8547" t="s">
        <v>1221</v>
      </c>
      <c r="D8547" s="43">
        <v>-19.71</v>
      </c>
      <c r="E8547" t="s">
        <v>35</v>
      </c>
      <c r="F8547" s="2">
        <v>610148001</v>
      </c>
      <c r="G8547" s="2" t="s">
        <v>42</v>
      </c>
      <c r="L8547" s="2" t="s">
        <v>15520</v>
      </c>
      <c r="M8547" t="s">
        <v>43</v>
      </c>
      <c r="N8547" t="s">
        <v>42</v>
      </c>
      <c r="P8547" s="23">
        <v>158.93</v>
      </c>
      <c r="Q8547" s="4">
        <f t="shared" si="133"/>
        <v>-0.12401686276977286</v>
      </c>
      <c r="R8547" s="23" t="s">
        <v>1198</v>
      </c>
      <c r="T8547" s="93" t="s">
        <v>14165</v>
      </c>
    </row>
    <row r="8548" spans="1:20" x14ac:dyDescent="0.25">
      <c r="A8548" s="21">
        <v>45912</v>
      </c>
      <c r="B8548" s="1" t="s">
        <v>15521</v>
      </c>
      <c r="C8548" t="s">
        <v>15522</v>
      </c>
      <c r="D8548" s="43">
        <v>-7886.5</v>
      </c>
      <c r="E8548" t="s">
        <v>35</v>
      </c>
      <c r="F8548" s="2">
        <v>212901001</v>
      </c>
      <c r="G8548" s="2" t="s">
        <v>121</v>
      </c>
      <c r="L8548" s="2" t="s">
        <v>15523</v>
      </c>
      <c r="M8548" t="s">
        <v>67</v>
      </c>
      <c r="N8548" t="s">
        <v>68</v>
      </c>
      <c r="P8548" s="23">
        <v>158.93</v>
      </c>
      <c r="Q8548" s="4">
        <f t="shared" ref="Q8548:Q8611" si="134">D8548/P8548</f>
        <v>-49.622475303592772</v>
      </c>
      <c r="R8548" s="23" t="s">
        <v>1198</v>
      </c>
    </row>
    <row r="8549" spans="1:20" x14ac:dyDescent="0.25">
      <c r="A8549" s="21">
        <v>45912</v>
      </c>
      <c r="B8549" s="1" t="s">
        <v>15524</v>
      </c>
      <c r="C8549" t="s">
        <v>1221</v>
      </c>
      <c r="D8549" s="43">
        <v>-19.71</v>
      </c>
      <c r="E8549" t="s">
        <v>35</v>
      </c>
      <c r="F8549" s="2">
        <v>610148001</v>
      </c>
      <c r="G8549" s="2" t="s">
        <v>42</v>
      </c>
      <c r="L8549" s="2" t="s">
        <v>15525</v>
      </c>
      <c r="M8549" t="s">
        <v>43</v>
      </c>
      <c r="N8549" t="s">
        <v>42</v>
      </c>
      <c r="P8549" s="23">
        <v>158.93</v>
      </c>
      <c r="Q8549" s="4">
        <f t="shared" si="134"/>
        <v>-0.12401686276977286</v>
      </c>
      <c r="R8549" s="23" t="s">
        <v>1198</v>
      </c>
      <c r="T8549" s="93" t="s">
        <v>14165</v>
      </c>
    </row>
    <row r="8550" spans="1:20" x14ac:dyDescent="0.25">
      <c r="A8550" s="21">
        <v>45912</v>
      </c>
      <c r="B8550" s="1" t="s">
        <v>15526</v>
      </c>
      <c r="C8550" t="s">
        <v>15527</v>
      </c>
      <c r="D8550" s="43">
        <v>-3154.6</v>
      </c>
      <c r="E8550" t="s">
        <v>35</v>
      </c>
      <c r="F8550" s="2">
        <v>212901001</v>
      </c>
      <c r="G8550" s="2" t="s">
        <v>121</v>
      </c>
      <c r="L8550" s="2" t="s">
        <v>15528</v>
      </c>
      <c r="M8550" t="s">
        <v>67</v>
      </c>
      <c r="N8550" t="s">
        <v>68</v>
      </c>
      <c r="P8550" s="23">
        <v>158.93</v>
      </c>
      <c r="Q8550" s="4">
        <f t="shared" si="134"/>
        <v>-19.848990121437108</v>
      </c>
      <c r="R8550" s="23" t="s">
        <v>1198</v>
      </c>
    </row>
    <row r="8551" spans="1:20" x14ac:dyDescent="0.25">
      <c r="A8551" s="21">
        <v>45912</v>
      </c>
      <c r="B8551" s="1" t="s">
        <v>15529</v>
      </c>
      <c r="C8551" t="s">
        <v>1221</v>
      </c>
      <c r="D8551" s="43">
        <v>-7.88</v>
      </c>
      <c r="E8551" t="s">
        <v>35</v>
      </c>
      <c r="F8551" s="2">
        <v>610148001</v>
      </c>
      <c r="G8551" s="2" t="s">
        <v>42</v>
      </c>
      <c r="L8551" s="2" t="s">
        <v>15530</v>
      </c>
      <c r="M8551" t="s">
        <v>43</v>
      </c>
      <c r="N8551" t="s">
        <v>42</v>
      </c>
      <c r="P8551" s="23">
        <v>158.93</v>
      </c>
      <c r="Q8551" s="4">
        <f t="shared" si="134"/>
        <v>-4.9581576794815327E-2</v>
      </c>
      <c r="R8551" s="23" t="s">
        <v>1198</v>
      </c>
      <c r="T8551" s="93" t="s">
        <v>14165</v>
      </c>
    </row>
    <row r="8552" spans="1:20" x14ac:dyDescent="0.25">
      <c r="A8552" s="21">
        <v>45912</v>
      </c>
      <c r="B8552" s="1" t="s">
        <v>15531</v>
      </c>
      <c r="C8552" t="s">
        <v>15532</v>
      </c>
      <c r="D8552" s="43">
        <v>-3154.6</v>
      </c>
      <c r="E8552" t="s">
        <v>35</v>
      </c>
      <c r="F8552" s="2">
        <v>212901001</v>
      </c>
      <c r="G8552" s="2" t="s">
        <v>121</v>
      </c>
      <c r="L8552" s="2" t="s">
        <v>15533</v>
      </c>
      <c r="M8552" t="s">
        <v>67</v>
      </c>
      <c r="N8552" t="s">
        <v>68</v>
      </c>
      <c r="P8552" s="23">
        <v>158.93</v>
      </c>
      <c r="Q8552" s="4">
        <f t="shared" si="134"/>
        <v>-19.848990121437108</v>
      </c>
      <c r="R8552" s="23" t="s">
        <v>1198</v>
      </c>
    </row>
    <row r="8553" spans="1:20" x14ac:dyDescent="0.25">
      <c r="A8553" s="21">
        <v>45912</v>
      </c>
      <c r="B8553" s="1" t="s">
        <v>15534</v>
      </c>
      <c r="C8553" t="s">
        <v>1221</v>
      </c>
      <c r="D8553" s="43">
        <v>-7.88</v>
      </c>
      <c r="E8553" t="s">
        <v>35</v>
      </c>
      <c r="F8553" s="2">
        <v>610148001</v>
      </c>
      <c r="G8553" s="2" t="s">
        <v>42</v>
      </c>
      <c r="L8553" s="2" t="s">
        <v>15535</v>
      </c>
      <c r="M8553" t="s">
        <v>43</v>
      </c>
      <c r="N8553" t="s">
        <v>42</v>
      </c>
      <c r="P8553" s="23">
        <v>158.93</v>
      </c>
      <c r="Q8553" s="4">
        <f t="shared" si="134"/>
        <v>-4.9581576794815327E-2</v>
      </c>
      <c r="R8553" s="23" t="s">
        <v>1198</v>
      </c>
      <c r="T8553" s="93" t="s">
        <v>14165</v>
      </c>
    </row>
    <row r="8554" spans="1:20" x14ac:dyDescent="0.25">
      <c r="A8554" s="21">
        <v>45912</v>
      </c>
      <c r="B8554" s="1" t="s">
        <v>15536</v>
      </c>
      <c r="C8554" t="s">
        <v>1221</v>
      </c>
      <c r="D8554" s="43">
        <v>-31.54</v>
      </c>
      <c r="E8554" t="s">
        <v>35</v>
      </c>
      <c r="F8554" s="2">
        <v>610148001</v>
      </c>
      <c r="G8554" s="2" t="s">
        <v>42</v>
      </c>
      <c r="L8554" s="2" t="s">
        <v>15537</v>
      </c>
      <c r="M8554" t="s">
        <v>43</v>
      </c>
      <c r="N8554" t="s">
        <v>42</v>
      </c>
      <c r="P8554" s="23">
        <v>158.93</v>
      </c>
      <c r="Q8554" s="4">
        <f t="shared" si="134"/>
        <v>-0.19845214874473038</v>
      </c>
      <c r="R8554" s="23" t="s">
        <v>1198</v>
      </c>
      <c r="T8554" s="93" t="s">
        <v>14165</v>
      </c>
    </row>
    <row r="8555" spans="1:20" x14ac:dyDescent="0.25">
      <c r="A8555" s="21">
        <v>45912</v>
      </c>
      <c r="B8555" s="1" t="s">
        <v>15538</v>
      </c>
      <c r="C8555" t="s">
        <v>15539</v>
      </c>
      <c r="D8555" s="43">
        <v>-12618.4</v>
      </c>
      <c r="E8555" t="s">
        <v>35</v>
      </c>
      <c r="F8555" s="2">
        <v>212901001</v>
      </c>
      <c r="G8555" s="2" t="s">
        <v>121</v>
      </c>
      <c r="L8555" s="2" t="s">
        <v>15540</v>
      </c>
      <c r="M8555" t="s">
        <v>67</v>
      </c>
      <c r="N8555" t="s">
        <v>68</v>
      </c>
      <c r="P8555" s="23">
        <v>158.93</v>
      </c>
      <c r="Q8555" s="4">
        <f t="shared" si="134"/>
        <v>-79.395960485748432</v>
      </c>
      <c r="R8555" s="23" t="s">
        <v>1198</v>
      </c>
    </row>
    <row r="8556" spans="1:20" x14ac:dyDescent="0.25">
      <c r="A8556" s="21">
        <v>45912</v>
      </c>
      <c r="B8556" s="1" t="s">
        <v>15541</v>
      </c>
      <c r="C8556" t="s">
        <v>1221</v>
      </c>
      <c r="D8556" s="43">
        <v>-31.54</v>
      </c>
      <c r="E8556" t="s">
        <v>35</v>
      </c>
      <c r="F8556" s="2">
        <v>610148001</v>
      </c>
      <c r="G8556" s="2" t="s">
        <v>42</v>
      </c>
      <c r="L8556" s="2" t="s">
        <v>15542</v>
      </c>
      <c r="M8556" t="s">
        <v>43</v>
      </c>
      <c r="N8556" t="s">
        <v>42</v>
      </c>
      <c r="P8556" s="23">
        <v>158.93</v>
      </c>
      <c r="Q8556" s="4">
        <f t="shared" si="134"/>
        <v>-0.19845214874473038</v>
      </c>
      <c r="R8556" s="23" t="s">
        <v>1198</v>
      </c>
      <c r="T8556" s="93" t="s">
        <v>14165</v>
      </c>
    </row>
    <row r="8557" spans="1:20" x14ac:dyDescent="0.25">
      <c r="A8557" s="21">
        <v>45912</v>
      </c>
      <c r="B8557" s="1" t="s">
        <v>15543</v>
      </c>
      <c r="C8557" t="s">
        <v>15544</v>
      </c>
      <c r="D8557" s="43">
        <v>-12618.4</v>
      </c>
      <c r="E8557" t="s">
        <v>35</v>
      </c>
      <c r="F8557" s="2">
        <v>212901001</v>
      </c>
      <c r="G8557" s="2" t="s">
        <v>121</v>
      </c>
      <c r="L8557" s="2" t="s">
        <v>15545</v>
      </c>
      <c r="M8557" t="s">
        <v>67</v>
      </c>
      <c r="N8557" t="s">
        <v>68</v>
      </c>
      <c r="P8557" s="23">
        <v>158.93</v>
      </c>
      <c r="Q8557" s="4">
        <f t="shared" si="134"/>
        <v>-79.395960485748432</v>
      </c>
      <c r="R8557" s="23" t="s">
        <v>1198</v>
      </c>
    </row>
    <row r="8558" spans="1:20" x14ac:dyDescent="0.25">
      <c r="A8558" s="21">
        <v>45912</v>
      </c>
      <c r="B8558" s="1" t="s">
        <v>15546</v>
      </c>
      <c r="C8558" t="s">
        <v>1221</v>
      </c>
      <c r="D8558" s="43">
        <v>-19.71</v>
      </c>
      <c r="E8558" t="s">
        <v>35</v>
      </c>
      <c r="F8558" s="2">
        <v>610148001</v>
      </c>
      <c r="G8558" s="2" t="s">
        <v>42</v>
      </c>
      <c r="L8558" s="2" t="s">
        <v>15547</v>
      </c>
      <c r="M8558" t="s">
        <v>43</v>
      </c>
      <c r="N8558" t="s">
        <v>42</v>
      </c>
      <c r="P8558" s="23">
        <v>158.93</v>
      </c>
      <c r="Q8558" s="4">
        <f t="shared" si="134"/>
        <v>-0.12401686276977286</v>
      </c>
      <c r="R8558" s="23" t="s">
        <v>1198</v>
      </c>
      <c r="T8558" s="93" t="s">
        <v>14165</v>
      </c>
    </row>
    <row r="8559" spans="1:20" x14ac:dyDescent="0.25">
      <c r="A8559" s="21">
        <v>45912</v>
      </c>
      <c r="B8559" s="1" t="s">
        <v>15548</v>
      </c>
      <c r="C8559" t="s">
        <v>15549</v>
      </c>
      <c r="D8559" s="43">
        <v>-7886.5</v>
      </c>
      <c r="E8559" t="s">
        <v>35</v>
      </c>
      <c r="F8559" s="2">
        <v>212901001</v>
      </c>
      <c r="G8559" s="2" t="s">
        <v>121</v>
      </c>
      <c r="L8559" s="2" t="s">
        <v>15550</v>
      </c>
      <c r="M8559" t="s">
        <v>67</v>
      </c>
      <c r="N8559" t="s">
        <v>68</v>
      </c>
      <c r="P8559" s="23">
        <v>158.93</v>
      </c>
      <c r="Q8559" s="4">
        <f t="shared" si="134"/>
        <v>-49.622475303592772</v>
      </c>
      <c r="R8559" s="23" t="s">
        <v>1198</v>
      </c>
    </row>
    <row r="8560" spans="1:20" x14ac:dyDescent="0.25">
      <c r="A8560" s="21">
        <v>45912</v>
      </c>
      <c r="B8560" s="1" t="s">
        <v>15551</v>
      </c>
      <c r="C8560" t="s">
        <v>1221</v>
      </c>
      <c r="D8560" s="43">
        <v>-19.71</v>
      </c>
      <c r="E8560" t="s">
        <v>35</v>
      </c>
      <c r="F8560" s="2">
        <v>610148001</v>
      </c>
      <c r="G8560" s="2" t="s">
        <v>42</v>
      </c>
      <c r="L8560" s="2" t="s">
        <v>15552</v>
      </c>
      <c r="M8560" t="s">
        <v>43</v>
      </c>
      <c r="N8560" t="s">
        <v>42</v>
      </c>
      <c r="P8560" s="23">
        <v>158.93</v>
      </c>
      <c r="Q8560" s="4">
        <f t="shared" si="134"/>
        <v>-0.12401686276977286</v>
      </c>
      <c r="R8560" s="23" t="s">
        <v>1198</v>
      </c>
      <c r="T8560" s="93" t="s">
        <v>14165</v>
      </c>
    </row>
    <row r="8561" spans="1:20" x14ac:dyDescent="0.25">
      <c r="A8561" s="21">
        <v>45912</v>
      </c>
      <c r="B8561" s="1" t="s">
        <v>15553</v>
      </c>
      <c r="C8561" t="s">
        <v>15554</v>
      </c>
      <c r="D8561" s="43">
        <v>-7886.5</v>
      </c>
      <c r="E8561" t="s">
        <v>35</v>
      </c>
      <c r="F8561" s="2">
        <v>212901001</v>
      </c>
      <c r="G8561" s="2" t="s">
        <v>121</v>
      </c>
      <c r="L8561" s="2" t="s">
        <v>15555</v>
      </c>
      <c r="M8561" t="s">
        <v>67</v>
      </c>
      <c r="N8561" t="s">
        <v>68</v>
      </c>
      <c r="P8561" s="23">
        <v>158.93</v>
      </c>
      <c r="Q8561" s="4">
        <f t="shared" si="134"/>
        <v>-49.622475303592772</v>
      </c>
      <c r="R8561" s="23" t="s">
        <v>1198</v>
      </c>
    </row>
    <row r="8562" spans="1:20" x14ac:dyDescent="0.25">
      <c r="A8562" s="21">
        <v>45912</v>
      </c>
      <c r="B8562" s="1" t="s">
        <v>15556</v>
      </c>
      <c r="C8562" t="s">
        <v>1221</v>
      </c>
      <c r="D8562" s="43">
        <v>-19.71</v>
      </c>
      <c r="E8562" t="s">
        <v>35</v>
      </c>
      <c r="F8562" s="2">
        <v>610148001</v>
      </c>
      <c r="G8562" s="2" t="s">
        <v>42</v>
      </c>
      <c r="L8562" s="2" t="s">
        <v>15557</v>
      </c>
      <c r="M8562" t="s">
        <v>43</v>
      </c>
      <c r="N8562" t="s">
        <v>42</v>
      </c>
      <c r="P8562" s="23">
        <v>158.93</v>
      </c>
      <c r="Q8562" s="4">
        <f t="shared" si="134"/>
        <v>-0.12401686276977286</v>
      </c>
      <c r="R8562" s="23" t="s">
        <v>1198</v>
      </c>
      <c r="T8562" s="93" t="s">
        <v>14165</v>
      </c>
    </row>
    <row r="8563" spans="1:20" x14ac:dyDescent="0.25">
      <c r="A8563" s="21">
        <v>45912</v>
      </c>
      <c r="B8563" s="1" t="s">
        <v>15558</v>
      </c>
      <c r="C8563" t="s">
        <v>15559</v>
      </c>
      <c r="D8563" s="43">
        <v>-7886.5</v>
      </c>
      <c r="E8563" t="s">
        <v>35</v>
      </c>
      <c r="F8563" s="2">
        <v>212901001</v>
      </c>
      <c r="G8563" s="2" t="s">
        <v>121</v>
      </c>
      <c r="L8563" s="2" t="s">
        <v>15560</v>
      </c>
      <c r="M8563" t="s">
        <v>67</v>
      </c>
      <c r="N8563" t="s">
        <v>68</v>
      </c>
      <c r="P8563" s="23">
        <v>158.93</v>
      </c>
      <c r="Q8563" s="4">
        <f t="shared" si="134"/>
        <v>-49.622475303592772</v>
      </c>
      <c r="R8563" s="23" t="s">
        <v>1198</v>
      </c>
    </row>
    <row r="8564" spans="1:20" x14ac:dyDescent="0.25">
      <c r="A8564" s="21">
        <v>45912</v>
      </c>
      <c r="B8564" s="1" t="s">
        <v>15561</v>
      </c>
      <c r="C8564" t="s">
        <v>1221</v>
      </c>
      <c r="D8564" s="43">
        <v>-56.38</v>
      </c>
      <c r="E8564" t="s">
        <v>35</v>
      </c>
      <c r="F8564" s="2">
        <v>610148001</v>
      </c>
      <c r="G8564" s="2" t="s">
        <v>42</v>
      </c>
      <c r="L8564" s="2" t="s">
        <v>15562</v>
      </c>
      <c r="M8564" t="s">
        <v>43</v>
      </c>
      <c r="N8564" t="s">
        <v>42</v>
      </c>
      <c r="P8564" s="23">
        <v>158.93</v>
      </c>
      <c r="Q8564" s="4">
        <f t="shared" si="134"/>
        <v>-0.35474737305732085</v>
      </c>
      <c r="R8564" s="23" t="s">
        <v>1198</v>
      </c>
      <c r="T8564" s="93" t="s">
        <v>14165</v>
      </c>
    </row>
    <row r="8565" spans="1:20" x14ac:dyDescent="0.25">
      <c r="A8565" s="21">
        <v>45912</v>
      </c>
      <c r="B8565" s="1" t="s">
        <v>15563</v>
      </c>
      <c r="C8565" t="s">
        <v>15564</v>
      </c>
      <c r="D8565" s="43">
        <v>-22555.39</v>
      </c>
      <c r="E8565" t="s">
        <v>35</v>
      </c>
      <c r="F8565" s="2">
        <v>212901001</v>
      </c>
      <c r="G8565" s="2" t="s">
        <v>121</v>
      </c>
      <c r="L8565" s="2" t="s">
        <v>15565</v>
      </c>
      <c r="M8565" t="s">
        <v>67</v>
      </c>
      <c r="N8565" t="s">
        <v>68</v>
      </c>
      <c r="P8565" s="23">
        <v>158.93</v>
      </c>
      <c r="Q8565" s="4">
        <f t="shared" si="134"/>
        <v>-141.92027936827535</v>
      </c>
      <c r="R8565" s="23" t="s">
        <v>1198</v>
      </c>
    </row>
    <row r="8566" spans="1:20" x14ac:dyDescent="0.25">
      <c r="A8566" s="21">
        <v>45912</v>
      </c>
      <c r="B8566" s="1" t="s">
        <v>15566</v>
      </c>
      <c r="C8566" t="s">
        <v>1221</v>
      </c>
      <c r="D8566" s="43">
        <v>-11.82</v>
      </c>
      <c r="E8566" t="s">
        <v>35</v>
      </c>
      <c r="F8566" s="2">
        <v>610148001</v>
      </c>
      <c r="G8566" s="2" t="s">
        <v>42</v>
      </c>
      <c r="L8566" s="2" t="s">
        <v>15567</v>
      </c>
      <c r="M8566" t="s">
        <v>43</v>
      </c>
      <c r="N8566" t="s">
        <v>42</v>
      </c>
      <c r="P8566" s="23">
        <v>158.93</v>
      </c>
      <c r="Q8566" s="4">
        <f t="shared" si="134"/>
        <v>-7.4372365192222983E-2</v>
      </c>
      <c r="R8566" s="23" t="s">
        <v>1198</v>
      </c>
      <c r="T8566" s="93" t="s">
        <v>14165</v>
      </c>
    </row>
    <row r="8567" spans="1:20" x14ac:dyDescent="0.25">
      <c r="A8567" s="21">
        <v>45912</v>
      </c>
      <c r="B8567" s="1" t="s">
        <v>15568</v>
      </c>
      <c r="C8567" t="s">
        <v>15569</v>
      </c>
      <c r="D8567" s="43">
        <v>-4731.8999999999996</v>
      </c>
      <c r="E8567" t="s">
        <v>35</v>
      </c>
      <c r="F8567" s="2">
        <v>212901001</v>
      </c>
      <c r="G8567" s="2" t="s">
        <v>121</v>
      </c>
      <c r="L8567" s="2" t="s">
        <v>15570</v>
      </c>
      <c r="M8567" t="s">
        <v>67</v>
      </c>
      <c r="N8567" t="s">
        <v>68</v>
      </c>
      <c r="P8567" s="23">
        <v>158.93</v>
      </c>
      <c r="Q8567" s="4">
        <f t="shared" si="134"/>
        <v>-29.773485182155664</v>
      </c>
      <c r="R8567" s="23" t="s">
        <v>1198</v>
      </c>
    </row>
    <row r="8568" spans="1:20" x14ac:dyDescent="0.25">
      <c r="A8568" s="21">
        <v>45912</v>
      </c>
      <c r="B8568" s="1" t="s">
        <v>15571</v>
      </c>
      <c r="C8568" t="s">
        <v>1221</v>
      </c>
      <c r="D8568" s="43">
        <v>-15.77</v>
      </c>
      <c r="E8568" t="s">
        <v>35</v>
      </c>
      <c r="F8568" s="2">
        <v>610148001</v>
      </c>
      <c r="G8568" s="2" t="s">
        <v>42</v>
      </c>
      <c r="L8568" s="2" t="s">
        <v>15572</v>
      </c>
      <c r="M8568" t="s">
        <v>43</v>
      </c>
      <c r="N8568" t="s">
        <v>42</v>
      </c>
      <c r="P8568" s="23">
        <v>158.93</v>
      </c>
      <c r="Q8568" s="4">
        <f t="shared" si="134"/>
        <v>-9.9226074372365192E-2</v>
      </c>
      <c r="R8568" s="23" t="s">
        <v>1198</v>
      </c>
      <c r="T8568" s="93" t="s">
        <v>14165</v>
      </c>
    </row>
    <row r="8569" spans="1:20" x14ac:dyDescent="0.25">
      <c r="A8569" s="21">
        <v>45912</v>
      </c>
      <c r="B8569" s="1" t="s">
        <v>15573</v>
      </c>
      <c r="C8569" t="s">
        <v>15574</v>
      </c>
      <c r="D8569" s="43">
        <v>-6309.2</v>
      </c>
      <c r="E8569" t="s">
        <v>35</v>
      </c>
      <c r="F8569" s="2">
        <v>212901001</v>
      </c>
      <c r="G8569" s="2" t="s">
        <v>121</v>
      </c>
      <c r="L8569" s="2" t="s">
        <v>15575</v>
      </c>
      <c r="M8569" t="s">
        <v>67</v>
      </c>
      <c r="N8569" t="s">
        <v>68</v>
      </c>
      <c r="P8569" s="23">
        <v>158.93</v>
      </c>
      <c r="Q8569" s="4">
        <f t="shared" si="134"/>
        <v>-39.697980242874216</v>
      </c>
      <c r="R8569" s="23" t="s">
        <v>1198</v>
      </c>
    </row>
    <row r="8570" spans="1:20" x14ac:dyDescent="0.25">
      <c r="A8570" s="21">
        <v>45912</v>
      </c>
      <c r="B8570" s="1" t="s">
        <v>15576</v>
      </c>
      <c r="C8570" t="s">
        <v>1221</v>
      </c>
      <c r="D8570" s="43">
        <v>-23.65</v>
      </c>
      <c r="E8570" t="s">
        <v>35</v>
      </c>
      <c r="F8570" s="2">
        <v>610148001</v>
      </c>
      <c r="G8570" s="2" t="s">
        <v>42</v>
      </c>
      <c r="L8570" s="2" t="s">
        <v>15577</v>
      </c>
      <c r="M8570" t="s">
        <v>43</v>
      </c>
      <c r="N8570" t="s">
        <v>42</v>
      </c>
      <c r="P8570" s="23">
        <v>158.93</v>
      </c>
      <c r="Q8570" s="4">
        <f t="shared" si="134"/>
        <v>-0.1488076511671805</v>
      </c>
      <c r="R8570" s="23" t="s">
        <v>1198</v>
      </c>
      <c r="T8570" s="93" t="s">
        <v>14165</v>
      </c>
    </row>
    <row r="8571" spans="1:20" x14ac:dyDescent="0.25">
      <c r="A8571" s="21">
        <v>45912</v>
      </c>
      <c r="B8571" s="1" t="s">
        <v>15578</v>
      </c>
      <c r="C8571" t="s">
        <v>15579</v>
      </c>
      <c r="D8571" s="43">
        <v>-9463.7999999999993</v>
      </c>
      <c r="E8571" t="s">
        <v>35</v>
      </c>
      <c r="F8571" s="2">
        <v>212901001</v>
      </c>
      <c r="G8571" s="2" t="s">
        <v>121</v>
      </c>
      <c r="L8571" s="2" t="s">
        <v>15580</v>
      </c>
      <c r="M8571" t="s">
        <v>67</v>
      </c>
      <c r="N8571" t="s">
        <v>68</v>
      </c>
      <c r="P8571" s="23">
        <v>158.93</v>
      </c>
      <c r="Q8571" s="4">
        <f t="shared" si="134"/>
        <v>-59.546970364311328</v>
      </c>
      <c r="R8571" s="23" t="s">
        <v>1198</v>
      </c>
    </row>
    <row r="8572" spans="1:20" x14ac:dyDescent="0.25">
      <c r="A8572" s="21">
        <v>45912</v>
      </c>
      <c r="B8572" s="1" t="s">
        <v>15581</v>
      </c>
      <c r="C8572" t="s">
        <v>1221</v>
      </c>
      <c r="D8572" s="43">
        <v>-59.14</v>
      </c>
      <c r="E8572" t="s">
        <v>35</v>
      </c>
      <c r="F8572" s="2">
        <v>610148001</v>
      </c>
      <c r="G8572" s="2" t="s">
        <v>42</v>
      </c>
      <c r="L8572" s="2" t="s">
        <v>15582</v>
      </c>
      <c r="M8572" t="s">
        <v>43</v>
      </c>
      <c r="N8572" t="s">
        <v>42</v>
      </c>
      <c r="P8572" s="23">
        <v>158.93</v>
      </c>
      <c r="Q8572" s="4">
        <f t="shared" si="134"/>
        <v>-0.3721135090920531</v>
      </c>
      <c r="R8572" s="23" t="s">
        <v>1198</v>
      </c>
      <c r="T8572" s="93" t="s">
        <v>14165</v>
      </c>
    </row>
    <row r="8573" spans="1:20" x14ac:dyDescent="0.25">
      <c r="A8573" s="21">
        <v>45912</v>
      </c>
      <c r="B8573" s="1" t="s">
        <v>15583</v>
      </c>
      <c r="C8573" t="s">
        <v>15584</v>
      </c>
      <c r="D8573" s="43">
        <v>-23659.5</v>
      </c>
      <c r="E8573" t="s">
        <v>35</v>
      </c>
      <c r="F8573" s="2">
        <v>212901001</v>
      </c>
      <c r="G8573" s="2" t="s">
        <v>121</v>
      </c>
      <c r="L8573" s="2" t="s">
        <v>15585</v>
      </c>
      <c r="M8573" t="s">
        <v>67</v>
      </c>
      <c r="N8573" t="s">
        <v>68</v>
      </c>
      <c r="P8573" s="23">
        <v>158.93</v>
      </c>
      <c r="Q8573" s="4">
        <f t="shared" si="134"/>
        <v>-148.86742591077834</v>
      </c>
      <c r="R8573" s="23" t="s">
        <v>1198</v>
      </c>
    </row>
    <row r="8574" spans="1:20" x14ac:dyDescent="0.25">
      <c r="A8574" s="21">
        <v>45912</v>
      </c>
      <c r="B8574" s="1" t="s">
        <v>15586</v>
      </c>
      <c r="C8574" t="s">
        <v>1221</v>
      </c>
      <c r="D8574" s="43">
        <v>-39.43</v>
      </c>
      <c r="E8574" t="s">
        <v>35</v>
      </c>
      <c r="F8574" s="2">
        <v>610148001</v>
      </c>
      <c r="G8574" s="2" t="s">
        <v>42</v>
      </c>
      <c r="L8574" s="2" t="s">
        <v>15587</v>
      </c>
      <c r="M8574" t="s">
        <v>43</v>
      </c>
      <c r="N8574" t="s">
        <v>42</v>
      </c>
      <c r="P8574" s="23">
        <v>158.93</v>
      </c>
      <c r="Q8574" s="4">
        <f t="shared" si="134"/>
        <v>-0.24809664632228023</v>
      </c>
      <c r="R8574" s="23" t="s">
        <v>1198</v>
      </c>
      <c r="T8574" s="93" t="s">
        <v>14165</v>
      </c>
    </row>
    <row r="8575" spans="1:20" x14ac:dyDescent="0.25">
      <c r="A8575" s="21">
        <v>45912</v>
      </c>
      <c r="B8575" s="1" t="s">
        <v>15588</v>
      </c>
      <c r="C8575" t="s">
        <v>15589</v>
      </c>
      <c r="D8575" s="43">
        <v>-15773</v>
      </c>
      <c r="E8575" t="s">
        <v>35</v>
      </c>
      <c r="F8575" s="2">
        <v>212901001</v>
      </c>
      <c r="G8575" s="2" t="s">
        <v>121</v>
      </c>
      <c r="L8575" s="2" t="s">
        <v>15590</v>
      </c>
      <c r="M8575" t="s">
        <v>67</v>
      </c>
      <c r="N8575" t="s">
        <v>68</v>
      </c>
      <c r="P8575" s="23">
        <v>158.93</v>
      </c>
      <c r="Q8575" s="4">
        <f t="shared" si="134"/>
        <v>-99.244950607185544</v>
      </c>
      <c r="R8575" s="23" t="s">
        <v>1198</v>
      </c>
    </row>
    <row r="8576" spans="1:20" x14ac:dyDescent="0.25">
      <c r="A8576" s="21">
        <v>45912</v>
      </c>
      <c r="B8576" s="1" t="s">
        <v>15591</v>
      </c>
      <c r="C8576" t="s">
        <v>1221</v>
      </c>
      <c r="D8576" s="43">
        <v>-19.71</v>
      </c>
      <c r="E8576" t="s">
        <v>35</v>
      </c>
      <c r="F8576" s="2">
        <v>610148001</v>
      </c>
      <c r="G8576" s="2" t="s">
        <v>42</v>
      </c>
      <c r="L8576" s="2" t="s">
        <v>15592</v>
      </c>
      <c r="M8576" t="s">
        <v>43</v>
      </c>
      <c r="N8576" t="s">
        <v>42</v>
      </c>
      <c r="P8576" s="23">
        <v>158.93</v>
      </c>
      <c r="Q8576" s="4">
        <f t="shared" si="134"/>
        <v>-0.12401686276977286</v>
      </c>
      <c r="R8576" s="23" t="s">
        <v>1198</v>
      </c>
      <c r="T8576" s="93" t="s">
        <v>14165</v>
      </c>
    </row>
    <row r="8577" spans="1:20" x14ac:dyDescent="0.25">
      <c r="A8577" s="21">
        <v>45912</v>
      </c>
      <c r="B8577" s="1" t="s">
        <v>15593</v>
      </c>
      <c r="C8577" t="s">
        <v>15594</v>
      </c>
      <c r="D8577" s="43">
        <v>-7886.5</v>
      </c>
      <c r="E8577" t="s">
        <v>35</v>
      </c>
      <c r="F8577" s="2">
        <v>212901001</v>
      </c>
      <c r="G8577" s="2" t="s">
        <v>121</v>
      </c>
      <c r="L8577" s="2" t="s">
        <v>15595</v>
      </c>
      <c r="M8577" t="s">
        <v>67</v>
      </c>
      <c r="N8577" t="s">
        <v>68</v>
      </c>
      <c r="P8577" s="23">
        <v>158.93</v>
      </c>
      <c r="Q8577" s="4">
        <f t="shared" si="134"/>
        <v>-49.622475303592772</v>
      </c>
      <c r="R8577" s="23" t="s">
        <v>1198</v>
      </c>
    </row>
    <row r="8578" spans="1:20" x14ac:dyDescent="0.25">
      <c r="A8578" s="21">
        <v>45912</v>
      </c>
      <c r="B8578" s="1" t="s">
        <v>15596</v>
      </c>
      <c r="C8578" t="s">
        <v>1221</v>
      </c>
      <c r="D8578" s="43">
        <v>-23.65</v>
      </c>
      <c r="E8578" t="s">
        <v>35</v>
      </c>
      <c r="F8578" s="2">
        <v>610148001</v>
      </c>
      <c r="G8578" s="2" t="s">
        <v>42</v>
      </c>
      <c r="L8578" s="2" t="s">
        <v>15597</v>
      </c>
      <c r="M8578" t="s">
        <v>43</v>
      </c>
      <c r="N8578" t="s">
        <v>42</v>
      </c>
      <c r="P8578" s="23">
        <v>158.93</v>
      </c>
      <c r="Q8578" s="4">
        <f t="shared" si="134"/>
        <v>-0.1488076511671805</v>
      </c>
      <c r="R8578" s="23" t="s">
        <v>1198</v>
      </c>
      <c r="T8578" s="93" t="s">
        <v>14165</v>
      </c>
    </row>
    <row r="8579" spans="1:20" x14ac:dyDescent="0.25">
      <c r="A8579" s="21">
        <v>45912</v>
      </c>
      <c r="B8579" s="1" t="s">
        <v>15598</v>
      </c>
      <c r="C8579" t="s">
        <v>15599</v>
      </c>
      <c r="D8579" s="43">
        <v>-9463.7999999999993</v>
      </c>
      <c r="E8579" t="s">
        <v>35</v>
      </c>
      <c r="F8579" s="2">
        <v>212901001</v>
      </c>
      <c r="G8579" s="2" t="s">
        <v>121</v>
      </c>
      <c r="L8579" s="2" t="s">
        <v>15600</v>
      </c>
      <c r="M8579" t="s">
        <v>67</v>
      </c>
      <c r="N8579" t="s">
        <v>68</v>
      </c>
      <c r="P8579" s="23">
        <v>158.93</v>
      </c>
      <c r="Q8579" s="4">
        <f t="shared" si="134"/>
        <v>-59.546970364311328</v>
      </c>
      <c r="R8579" s="23" t="s">
        <v>1198</v>
      </c>
    </row>
    <row r="8580" spans="1:20" x14ac:dyDescent="0.25">
      <c r="A8580" s="21">
        <v>45912</v>
      </c>
      <c r="B8580" s="1" t="s">
        <v>15601</v>
      </c>
      <c r="C8580" t="s">
        <v>1221</v>
      </c>
      <c r="D8580" s="43">
        <v>-23.65</v>
      </c>
      <c r="E8580" t="s">
        <v>35</v>
      </c>
      <c r="F8580" s="2">
        <v>610148001</v>
      </c>
      <c r="G8580" s="2" t="s">
        <v>42</v>
      </c>
      <c r="L8580" s="2" t="s">
        <v>15602</v>
      </c>
      <c r="M8580" t="s">
        <v>43</v>
      </c>
      <c r="N8580" t="s">
        <v>42</v>
      </c>
      <c r="P8580" s="23">
        <v>158.93</v>
      </c>
      <c r="Q8580" s="4">
        <f t="shared" si="134"/>
        <v>-0.1488076511671805</v>
      </c>
      <c r="R8580" s="23" t="s">
        <v>1198</v>
      </c>
      <c r="T8580" s="93" t="s">
        <v>14165</v>
      </c>
    </row>
    <row r="8581" spans="1:20" x14ac:dyDescent="0.25">
      <c r="A8581" s="21">
        <v>45912</v>
      </c>
      <c r="B8581" s="1" t="s">
        <v>15603</v>
      </c>
      <c r="C8581" t="s">
        <v>15604</v>
      </c>
      <c r="D8581" s="43">
        <v>-9463.7999999999993</v>
      </c>
      <c r="E8581" t="s">
        <v>35</v>
      </c>
      <c r="F8581" s="2">
        <v>212901001</v>
      </c>
      <c r="G8581" s="2" t="s">
        <v>121</v>
      </c>
      <c r="L8581" s="2" t="s">
        <v>15605</v>
      </c>
      <c r="M8581" t="s">
        <v>67</v>
      </c>
      <c r="N8581" t="s">
        <v>68</v>
      </c>
      <c r="P8581" s="23">
        <v>158.93</v>
      </c>
      <c r="Q8581" s="4">
        <f t="shared" si="134"/>
        <v>-59.546970364311328</v>
      </c>
      <c r="R8581" s="23" t="s">
        <v>1198</v>
      </c>
    </row>
    <row r="8582" spans="1:20" x14ac:dyDescent="0.25">
      <c r="A8582" s="21">
        <v>45912</v>
      </c>
      <c r="B8582" s="1" t="s">
        <v>15606</v>
      </c>
      <c r="C8582" t="s">
        <v>1221</v>
      </c>
      <c r="D8582" s="43">
        <v>-31.54</v>
      </c>
      <c r="E8582" t="s">
        <v>35</v>
      </c>
      <c r="F8582" s="2">
        <v>610148001</v>
      </c>
      <c r="G8582" s="2" t="s">
        <v>42</v>
      </c>
      <c r="L8582" s="2" t="s">
        <v>15607</v>
      </c>
      <c r="M8582" t="s">
        <v>43</v>
      </c>
      <c r="N8582" t="s">
        <v>42</v>
      </c>
      <c r="P8582" s="23">
        <v>158.93</v>
      </c>
      <c r="Q8582" s="4">
        <f t="shared" si="134"/>
        <v>-0.19845214874473038</v>
      </c>
      <c r="R8582" s="23" t="s">
        <v>1198</v>
      </c>
      <c r="T8582" s="93" t="s">
        <v>14165</v>
      </c>
    </row>
    <row r="8583" spans="1:20" x14ac:dyDescent="0.25">
      <c r="A8583" s="21">
        <v>45912</v>
      </c>
      <c r="B8583" s="1" t="s">
        <v>15608</v>
      </c>
      <c r="C8583" t="s">
        <v>15609</v>
      </c>
      <c r="D8583" s="43">
        <v>-12618.4</v>
      </c>
      <c r="E8583" t="s">
        <v>35</v>
      </c>
      <c r="F8583" s="2">
        <v>212901001</v>
      </c>
      <c r="G8583" s="2" t="s">
        <v>121</v>
      </c>
      <c r="L8583" s="2" t="s">
        <v>15610</v>
      </c>
      <c r="M8583" t="s">
        <v>67</v>
      </c>
      <c r="N8583" t="s">
        <v>68</v>
      </c>
      <c r="P8583" s="23">
        <v>158.93</v>
      </c>
      <c r="Q8583" s="4">
        <f t="shared" si="134"/>
        <v>-79.395960485748432</v>
      </c>
      <c r="R8583" s="23" t="s">
        <v>1198</v>
      </c>
    </row>
    <row r="8584" spans="1:20" x14ac:dyDescent="0.25">
      <c r="A8584" s="21">
        <v>45912</v>
      </c>
      <c r="B8584" s="1" t="s">
        <v>15611</v>
      </c>
      <c r="C8584" t="s">
        <v>1221</v>
      </c>
      <c r="D8584" s="43">
        <v>-31.54</v>
      </c>
      <c r="E8584" t="s">
        <v>35</v>
      </c>
      <c r="F8584" s="2">
        <v>610148001</v>
      </c>
      <c r="G8584" s="2" t="s">
        <v>42</v>
      </c>
      <c r="L8584" s="2" t="s">
        <v>15612</v>
      </c>
      <c r="M8584" t="s">
        <v>43</v>
      </c>
      <c r="N8584" t="s">
        <v>42</v>
      </c>
      <c r="P8584" s="23">
        <v>158.93</v>
      </c>
      <c r="Q8584" s="4">
        <f t="shared" si="134"/>
        <v>-0.19845214874473038</v>
      </c>
      <c r="R8584" s="23" t="s">
        <v>1198</v>
      </c>
      <c r="T8584" s="93" t="s">
        <v>14165</v>
      </c>
    </row>
    <row r="8585" spans="1:20" x14ac:dyDescent="0.25">
      <c r="A8585" s="21">
        <v>45912</v>
      </c>
      <c r="B8585" s="1" t="s">
        <v>15613</v>
      </c>
      <c r="C8585" t="s">
        <v>15614</v>
      </c>
      <c r="D8585" s="43">
        <v>-12618.4</v>
      </c>
      <c r="E8585" t="s">
        <v>35</v>
      </c>
      <c r="F8585" s="2">
        <v>212901001</v>
      </c>
      <c r="G8585" s="2" t="s">
        <v>121</v>
      </c>
      <c r="L8585" s="2" t="s">
        <v>15615</v>
      </c>
      <c r="M8585" t="s">
        <v>67</v>
      </c>
      <c r="N8585" t="s">
        <v>68</v>
      </c>
      <c r="P8585" s="23">
        <v>158.93</v>
      </c>
      <c r="Q8585" s="4">
        <f t="shared" si="134"/>
        <v>-79.395960485748432</v>
      </c>
      <c r="R8585" s="23" t="s">
        <v>1198</v>
      </c>
    </row>
    <row r="8586" spans="1:20" x14ac:dyDescent="0.25">
      <c r="A8586" s="21">
        <v>45912</v>
      </c>
      <c r="B8586" s="1" t="s">
        <v>15616</v>
      </c>
      <c r="C8586" t="s">
        <v>1221</v>
      </c>
      <c r="D8586" s="43">
        <v>-59.14</v>
      </c>
      <c r="E8586" t="s">
        <v>35</v>
      </c>
      <c r="F8586" s="2">
        <v>610148001</v>
      </c>
      <c r="G8586" s="2" t="s">
        <v>42</v>
      </c>
      <c r="L8586" s="2" t="s">
        <v>15617</v>
      </c>
      <c r="M8586" t="s">
        <v>43</v>
      </c>
      <c r="N8586" t="s">
        <v>42</v>
      </c>
      <c r="P8586" s="23">
        <v>158.93</v>
      </c>
      <c r="Q8586" s="4">
        <f t="shared" si="134"/>
        <v>-0.3721135090920531</v>
      </c>
      <c r="R8586" s="23" t="s">
        <v>1198</v>
      </c>
      <c r="T8586" s="93" t="s">
        <v>14165</v>
      </c>
    </row>
    <row r="8587" spans="1:20" x14ac:dyDescent="0.25">
      <c r="A8587" s="21">
        <v>45912</v>
      </c>
      <c r="B8587" s="1" t="s">
        <v>15618</v>
      </c>
      <c r="C8587" t="s">
        <v>15619</v>
      </c>
      <c r="D8587" s="43">
        <v>-23659.5</v>
      </c>
      <c r="E8587" t="s">
        <v>35</v>
      </c>
      <c r="F8587" s="2">
        <v>212901001</v>
      </c>
      <c r="G8587" s="2" t="s">
        <v>121</v>
      </c>
      <c r="L8587" s="2" t="s">
        <v>15620</v>
      </c>
      <c r="M8587" t="s">
        <v>67</v>
      </c>
      <c r="N8587" t="s">
        <v>68</v>
      </c>
      <c r="P8587" s="23">
        <v>158.93</v>
      </c>
      <c r="Q8587" s="4">
        <f t="shared" si="134"/>
        <v>-148.86742591077834</v>
      </c>
      <c r="R8587" s="23" t="s">
        <v>1198</v>
      </c>
    </row>
    <row r="8588" spans="1:20" x14ac:dyDescent="0.25">
      <c r="A8588" s="21">
        <v>45912</v>
      </c>
      <c r="B8588" s="1" t="s">
        <v>15621</v>
      </c>
      <c r="C8588" t="s">
        <v>1221</v>
      </c>
      <c r="D8588" s="43">
        <v>-27.6</v>
      </c>
      <c r="E8588" t="s">
        <v>35</v>
      </c>
      <c r="F8588" s="2">
        <v>610148001</v>
      </c>
      <c r="G8588" s="2" t="s">
        <v>42</v>
      </c>
      <c r="L8588" s="2" t="s">
        <v>15622</v>
      </c>
      <c r="M8588" t="s">
        <v>43</v>
      </c>
      <c r="N8588" t="s">
        <v>42</v>
      </c>
      <c r="P8588" s="23">
        <v>158.93</v>
      </c>
      <c r="Q8588" s="4">
        <f t="shared" si="134"/>
        <v>-0.17366136034732271</v>
      </c>
      <c r="R8588" s="23" t="s">
        <v>1198</v>
      </c>
      <c r="T8588" s="93" t="s">
        <v>14165</v>
      </c>
    </row>
    <row r="8589" spans="1:20" x14ac:dyDescent="0.25">
      <c r="A8589" s="21">
        <v>45912</v>
      </c>
      <c r="B8589" s="1" t="s">
        <v>15623</v>
      </c>
      <c r="C8589" t="s">
        <v>15522</v>
      </c>
      <c r="D8589" s="43">
        <v>-11041.1</v>
      </c>
      <c r="E8589" t="s">
        <v>35</v>
      </c>
      <c r="F8589" s="2">
        <v>212901001</v>
      </c>
      <c r="G8589" s="2" t="s">
        <v>121</v>
      </c>
      <c r="L8589" s="2" t="s">
        <v>15624</v>
      </c>
      <c r="M8589" t="s">
        <v>67</v>
      </c>
      <c r="N8589" t="s">
        <v>68</v>
      </c>
      <c r="P8589" s="23">
        <v>158.93</v>
      </c>
      <c r="Q8589" s="4">
        <f t="shared" si="134"/>
        <v>-69.471465425029891</v>
      </c>
      <c r="R8589" s="23" t="s">
        <v>1198</v>
      </c>
    </row>
    <row r="8590" spans="1:20" x14ac:dyDescent="0.25">
      <c r="A8590" s="21">
        <v>45912</v>
      </c>
      <c r="B8590" s="1" t="s">
        <v>15625</v>
      </c>
      <c r="C8590" t="s">
        <v>1221</v>
      </c>
      <c r="D8590" s="43">
        <v>-31.54</v>
      </c>
      <c r="E8590" t="s">
        <v>35</v>
      </c>
      <c r="F8590" s="2">
        <v>610148001</v>
      </c>
      <c r="G8590" s="2" t="s">
        <v>42</v>
      </c>
      <c r="L8590" s="2" t="s">
        <v>15626</v>
      </c>
      <c r="M8590" t="s">
        <v>43</v>
      </c>
      <c r="N8590" t="s">
        <v>42</v>
      </c>
      <c r="P8590" s="23">
        <v>158.93</v>
      </c>
      <c r="Q8590" s="4">
        <f t="shared" si="134"/>
        <v>-0.19845214874473038</v>
      </c>
      <c r="R8590" s="23" t="s">
        <v>1198</v>
      </c>
      <c r="T8590" s="93" t="s">
        <v>14165</v>
      </c>
    </row>
    <row r="8591" spans="1:20" x14ac:dyDescent="0.25">
      <c r="A8591" s="21">
        <v>45912</v>
      </c>
      <c r="B8591" s="1" t="s">
        <v>15627</v>
      </c>
      <c r="C8591" t="s">
        <v>15628</v>
      </c>
      <c r="D8591" s="43">
        <v>-12618.4</v>
      </c>
      <c r="E8591" t="s">
        <v>35</v>
      </c>
      <c r="F8591" s="2">
        <v>212901001</v>
      </c>
      <c r="G8591" s="2" t="s">
        <v>121</v>
      </c>
      <c r="L8591" s="2" t="s">
        <v>15629</v>
      </c>
      <c r="M8591" t="s">
        <v>67</v>
      </c>
      <c r="N8591" t="s">
        <v>68</v>
      </c>
      <c r="P8591" s="23">
        <v>158.93</v>
      </c>
      <c r="Q8591" s="4">
        <f t="shared" si="134"/>
        <v>-79.395960485748432</v>
      </c>
      <c r="R8591" s="23" t="s">
        <v>1198</v>
      </c>
    </row>
    <row r="8592" spans="1:20" x14ac:dyDescent="0.25">
      <c r="A8592" s="21">
        <v>45912</v>
      </c>
      <c r="B8592" s="1" t="s">
        <v>15630</v>
      </c>
      <c r="C8592" t="s">
        <v>1221</v>
      </c>
      <c r="D8592" s="43">
        <v>-39.43</v>
      </c>
      <c r="E8592" t="s">
        <v>35</v>
      </c>
      <c r="F8592" s="2">
        <v>610148001</v>
      </c>
      <c r="G8592" s="2" t="s">
        <v>42</v>
      </c>
      <c r="L8592" s="2" t="s">
        <v>15631</v>
      </c>
      <c r="M8592" t="s">
        <v>43</v>
      </c>
      <c r="N8592" t="s">
        <v>42</v>
      </c>
      <c r="P8592" s="23">
        <v>158.93</v>
      </c>
      <c r="Q8592" s="4">
        <f t="shared" si="134"/>
        <v>-0.24809664632228023</v>
      </c>
      <c r="R8592" s="23" t="s">
        <v>1198</v>
      </c>
      <c r="T8592" s="93" t="s">
        <v>14165</v>
      </c>
    </row>
    <row r="8593" spans="1:20" x14ac:dyDescent="0.25">
      <c r="A8593" s="21">
        <v>45912</v>
      </c>
      <c r="B8593" s="1" t="s">
        <v>15632</v>
      </c>
      <c r="C8593" t="s">
        <v>15633</v>
      </c>
      <c r="D8593" s="43">
        <v>-15773</v>
      </c>
      <c r="E8593" t="s">
        <v>35</v>
      </c>
      <c r="F8593" s="2">
        <v>212901001</v>
      </c>
      <c r="G8593" s="2" t="s">
        <v>121</v>
      </c>
      <c r="L8593" s="2" t="s">
        <v>15634</v>
      </c>
      <c r="M8593" t="s">
        <v>67</v>
      </c>
      <c r="N8593" t="s">
        <v>68</v>
      </c>
      <c r="P8593" s="23">
        <v>158.93</v>
      </c>
      <c r="Q8593" s="4">
        <f t="shared" si="134"/>
        <v>-99.244950607185544</v>
      </c>
      <c r="R8593" s="23" t="s">
        <v>1198</v>
      </c>
    </row>
    <row r="8594" spans="1:20" x14ac:dyDescent="0.25">
      <c r="A8594" s="21">
        <v>45912</v>
      </c>
      <c r="B8594" s="1" t="s">
        <v>15635</v>
      </c>
      <c r="C8594" t="s">
        <v>1221</v>
      </c>
      <c r="D8594" s="43">
        <v>-19.71</v>
      </c>
      <c r="E8594" t="s">
        <v>35</v>
      </c>
      <c r="F8594" s="2">
        <v>610148001</v>
      </c>
      <c r="G8594" s="2" t="s">
        <v>42</v>
      </c>
      <c r="L8594" s="2" t="s">
        <v>15636</v>
      </c>
      <c r="M8594" t="s">
        <v>43</v>
      </c>
      <c r="N8594" t="s">
        <v>42</v>
      </c>
      <c r="P8594" s="23">
        <v>158.93</v>
      </c>
      <c r="Q8594" s="4">
        <f t="shared" si="134"/>
        <v>-0.12401686276977286</v>
      </c>
      <c r="R8594" s="23" t="s">
        <v>1198</v>
      </c>
      <c r="T8594" s="93" t="s">
        <v>14165</v>
      </c>
    </row>
    <row r="8595" spans="1:20" x14ac:dyDescent="0.25">
      <c r="A8595" s="21">
        <v>45912</v>
      </c>
      <c r="B8595" s="1" t="s">
        <v>15637</v>
      </c>
      <c r="C8595" t="s">
        <v>15638</v>
      </c>
      <c r="D8595" s="43">
        <v>-7886.5</v>
      </c>
      <c r="E8595" t="s">
        <v>35</v>
      </c>
      <c r="F8595" s="2">
        <v>212901001</v>
      </c>
      <c r="G8595" s="2" t="s">
        <v>121</v>
      </c>
      <c r="L8595" s="2" t="s">
        <v>15639</v>
      </c>
      <c r="M8595" t="s">
        <v>67</v>
      </c>
      <c r="N8595" t="s">
        <v>68</v>
      </c>
      <c r="P8595" s="23">
        <v>158.93</v>
      </c>
      <c r="Q8595" s="4">
        <f t="shared" si="134"/>
        <v>-49.622475303592772</v>
      </c>
      <c r="R8595" s="23" t="s">
        <v>1198</v>
      </c>
    </row>
    <row r="8596" spans="1:20" x14ac:dyDescent="0.25">
      <c r="A8596" s="21">
        <v>45912</v>
      </c>
      <c r="B8596" s="1" t="s">
        <v>15640</v>
      </c>
      <c r="C8596" t="s">
        <v>1221</v>
      </c>
      <c r="D8596" s="43">
        <v>-19.71</v>
      </c>
      <c r="E8596" t="s">
        <v>35</v>
      </c>
      <c r="F8596" s="2">
        <v>610148001</v>
      </c>
      <c r="G8596" s="2" t="s">
        <v>42</v>
      </c>
      <c r="L8596" s="2" t="s">
        <v>15641</v>
      </c>
      <c r="M8596" t="s">
        <v>43</v>
      </c>
      <c r="N8596" t="s">
        <v>42</v>
      </c>
      <c r="P8596" s="23">
        <v>158.93</v>
      </c>
      <c r="Q8596" s="4">
        <f t="shared" si="134"/>
        <v>-0.12401686276977286</v>
      </c>
      <c r="R8596" s="23" t="s">
        <v>1198</v>
      </c>
      <c r="T8596" s="93" t="s">
        <v>14165</v>
      </c>
    </row>
    <row r="8597" spans="1:20" x14ac:dyDescent="0.25">
      <c r="A8597" s="21">
        <v>45912</v>
      </c>
      <c r="B8597" s="1" t="s">
        <v>15642</v>
      </c>
      <c r="C8597" t="s">
        <v>15643</v>
      </c>
      <c r="D8597" s="43">
        <v>-7886.5</v>
      </c>
      <c r="E8597" t="s">
        <v>35</v>
      </c>
      <c r="F8597" s="2">
        <v>212901001</v>
      </c>
      <c r="G8597" s="2" t="s">
        <v>121</v>
      </c>
      <c r="L8597" s="2" t="s">
        <v>15644</v>
      </c>
      <c r="M8597" t="s">
        <v>67</v>
      </c>
      <c r="N8597" t="s">
        <v>68</v>
      </c>
      <c r="P8597" s="23">
        <v>158.93</v>
      </c>
      <c r="Q8597" s="4">
        <f t="shared" si="134"/>
        <v>-49.622475303592772</v>
      </c>
      <c r="R8597" s="23" t="s">
        <v>1198</v>
      </c>
    </row>
    <row r="8598" spans="1:20" x14ac:dyDescent="0.25">
      <c r="A8598" s="21">
        <v>45912</v>
      </c>
      <c r="B8598" s="1" t="s">
        <v>15645</v>
      </c>
      <c r="C8598" t="s">
        <v>1221</v>
      </c>
      <c r="D8598" s="43">
        <v>-23.65</v>
      </c>
      <c r="E8598" t="s">
        <v>35</v>
      </c>
      <c r="F8598" s="2">
        <v>610148001</v>
      </c>
      <c r="G8598" s="2" t="s">
        <v>42</v>
      </c>
      <c r="L8598" s="2" t="s">
        <v>15646</v>
      </c>
      <c r="M8598" t="s">
        <v>43</v>
      </c>
      <c r="N8598" t="s">
        <v>42</v>
      </c>
      <c r="P8598" s="23">
        <v>158.93</v>
      </c>
      <c r="Q8598" s="4">
        <f t="shared" si="134"/>
        <v>-0.1488076511671805</v>
      </c>
      <c r="R8598" s="23" t="s">
        <v>1198</v>
      </c>
      <c r="T8598" s="93" t="s">
        <v>14165</v>
      </c>
    </row>
    <row r="8599" spans="1:20" x14ac:dyDescent="0.25">
      <c r="A8599" s="21">
        <v>45912</v>
      </c>
      <c r="B8599" s="1" t="s">
        <v>15647</v>
      </c>
      <c r="C8599" t="s">
        <v>15648</v>
      </c>
      <c r="D8599" s="43">
        <v>-9463.7999999999993</v>
      </c>
      <c r="E8599" t="s">
        <v>35</v>
      </c>
      <c r="F8599" s="2">
        <v>212901001</v>
      </c>
      <c r="G8599" s="2" t="s">
        <v>121</v>
      </c>
      <c r="L8599" s="2" t="s">
        <v>15649</v>
      </c>
      <c r="M8599" t="s">
        <v>67</v>
      </c>
      <c r="N8599" t="s">
        <v>68</v>
      </c>
      <c r="P8599" s="23">
        <v>158.93</v>
      </c>
      <c r="Q8599" s="4">
        <f t="shared" si="134"/>
        <v>-59.546970364311328</v>
      </c>
      <c r="R8599" s="23" t="s">
        <v>1198</v>
      </c>
    </row>
    <row r="8600" spans="1:20" x14ac:dyDescent="0.25">
      <c r="A8600" s="21">
        <v>45912</v>
      </c>
      <c r="B8600" s="1" t="s">
        <v>15650</v>
      </c>
      <c r="C8600" t="s">
        <v>1221</v>
      </c>
      <c r="D8600" s="43">
        <v>-19.71</v>
      </c>
      <c r="E8600" t="s">
        <v>35</v>
      </c>
      <c r="F8600" s="2">
        <v>610148001</v>
      </c>
      <c r="G8600" s="2" t="s">
        <v>42</v>
      </c>
      <c r="L8600" s="2" t="s">
        <v>15651</v>
      </c>
      <c r="M8600" t="s">
        <v>43</v>
      </c>
      <c r="N8600" t="s">
        <v>42</v>
      </c>
      <c r="P8600" s="23">
        <v>158.93</v>
      </c>
      <c r="Q8600" s="4">
        <f t="shared" si="134"/>
        <v>-0.12401686276977286</v>
      </c>
      <c r="R8600" s="23" t="s">
        <v>1198</v>
      </c>
      <c r="T8600" s="93" t="s">
        <v>14165</v>
      </c>
    </row>
    <row r="8601" spans="1:20" x14ac:dyDescent="0.25">
      <c r="A8601" s="21">
        <v>45912</v>
      </c>
      <c r="B8601" s="1" t="s">
        <v>15652</v>
      </c>
      <c r="C8601" t="s">
        <v>15653</v>
      </c>
      <c r="D8601" s="43">
        <v>-7886.5</v>
      </c>
      <c r="E8601" t="s">
        <v>35</v>
      </c>
      <c r="F8601" s="2">
        <v>212901001</v>
      </c>
      <c r="G8601" s="2" t="s">
        <v>121</v>
      </c>
      <c r="L8601" s="2" t="s">
        <v>15654</v>
      </c>
      <c r="M8601" t="s">
        <v>67</v>
      </c>
      <c r="N8601" t="s">
        <v>68</v>
      </c>
      <c r="P8601" s="23">
        <v>158.93</v>
      </c>
      <c r="Q8601" s="4">
        <f t="shared" si="134"/>
        <v>-49.622475303592772</v>
      </c>
      <c r="R8601" s="23" t="s">
        <v>1198</v>
      </c>
    </row>
    <row r="8602" spans="1:20" x14ac:dyDescent="0.25">
      <c r="A8602" s="21">
        <v>45912</v>
      </c>
      <c r="B8602" s="1" t="s">
        <v>15655</v>
      </c>
      <c r="C8602" t="s">
        <v>1221</v>
      </c>
      <c r="D8602" s="43">
        <v>-55.2</v>
      </c>
      <c r="E8602" t="s">
        <v>35</v>
      </c>
      <c r="F8602" s="2">
        <v>610148001</v>
      </c>
      <c r="G8602" s="2" t="s">
        <v>42</v>
      </c>
      <c r="L8602" s="2" t="s">
        <v>15656</v>
      </c>
      <c r="M8602" t="s">
        <v>43</v>
      </c>
      <c r="N8602" t="s">
        <v>42</v>
      </c>
      <c r="P8602" s="23">
        <v>158.93</v>
      </c>
      <c r="Q8602" s="4">
        <f t="shared" si="134"/>
        <v>-0.34732272069464543</v>
      </c>
      <c r="R8602" s="23" t="s">
        <v>1198</v>
      </c>
      <c r="T8602" s="93" t="s">
        <v>14165</v>
      </c>
    </row>
    <row r="8603" spans="1:20" x14ac:dyDescent="0.25">
      <c r="A8603" s="21">
        <v>45912</v>
      </c>
      <c r="B8603" s="1" t="s">
        <v>15657</v>
      </c>
      <c r="C8603" t="s">
        <v>15658</v>
      </c>
      <c r="D8603" s="43">
        <v>-22082.2</v>
      </c>
      <c r="E8603" t="s">
        <v>35</v>
      </c>
      <c r="F8603" s="2">
        <v>212901001</v>
      </c>
      <c r="G8603" s="2" t="s">
        <v>121</v>
      </c>
      <c r="L8603" s="2" t="s">
        <v>15659</v>
      </c>
      <c r="M8603" t="s">
        <v>67</v>
      </c>
      <c r="N8603" t="s">
        <v>68</v>
      </c>
      <c r="P8603" s="23">
        <v>158.93</v>
      </c>
      <c r="Q8603" s="4">
        <f t="shared" si="134"/>
        <v>-138.94293085005978</v>
      </c>
      <c r="R8603" s="23" t="s">
        <v>1198</v>
      </c>
    </row>
    <row r="8604" spans="1:20" x14ac:dyDescent="0.25">
      <c r="A8604" s="21">
        <v>45912</v>
      </c>
      <c r="B8604" s="1" t="s">
        <v>15660</v>
      </c>
      <c r="C8604" t="s">
        <v>1221</v>
      </c>
      <c r="D8604" s="43">
        <v>-23.65</v>
      </c>
      <c r="E8604" t="s">
        <v>35</v>
      </c>
      <c r="F8604" s="2">
        <v>610148001</v>
      </c>
      <c r="G8604" s="2" t="s">
        <v>42</v>
      </c>
      <c r="L8604" s="2" t="s">
        <v>15661</v>
      </c>
      <c r="M8604" t="s">
        <v>43</v>
      </c>
      <c r="N8604" t="s">
        <v>42</v>
      </c>
      <c r="P8604" s="23">
        <v>158.93</v>
      </c>
      <c r="Q8604" s="4">
        <f t="shared" si="134"/>
        <v>-0.1488076511671805</v>
      </c>
      <c r="R8604" s="23" t="s">
        <v>1198</v>
      </c>
      <c r="T8604" s="93" t="s">
        <v>14165</v>
      </c>
    </row>
    <row r="8605" spans="1:20" x14ac:dyDescent="0.25">
      <c r="A8605" s="21">
        <v>45912</v>
      </c>
      <c r="B8605" s="1" t="s">
        <v>15662</v>
      </c>
      <c r="C8605" t="s">
        <v>15663</v>
      </c>
      <c r="D8605" s="43">
        <v>-9463.7999999999993</v>
      </c>
      <c r="E8605" t="s">
        <v>35</v>
      </c>
      <c r="F8605" s="2">
        <v>212901001</v>
      </c>
      <c r="G8605" s="2" t="s">
        <v>121</v>
      </c>
      <c r="L8605" s="2" t="s">
        <v>15664</v>
      </c>
      <c r="M8605" t="s">
        <v>67</v>
      </c>
      <c r="N8605" t="s">
        <v>68</v>
      </c>
      <c r="P8605" s="23">
        <v>158.93</v>
      </c>
      <c r="Q8605" s="4">
        <f t="shared" si="134"/>
        <v>-59.546970364311328</v>
      </c>
      <c r="R8605" s="23" t="s">
        <v>1198</v>
      </c>
    </row>
    <row r="8606" spans="1:20" x14ac:dyDescent="0.25">
      <c r="A8606" s="21">
        <v>45912</v>
      </c>
      <c r="B8606" s="1" t="s">
        <v>15665</v>
      </c>
      <c r="C8606" t="s">
        <v>1221</v>
      </c>
      <c r="D8606" s="43">
        <v>-23.65</v>
      </c>
      <c r="E8606" t="s">
        <v>35</v>
      </c>
      <c r="F8606" s="2">
        <v>610148001</v>
      </c>
      <c r="G8606" s="2" t="s">
        <v>42</v>
      </c>
      <c r="L8606" s="2" t="s">
        <v>15666</v>
      </c>
      <c r="M8606" t="s">
        <v>43</v>
      </c>
      <c r="N8606" t="s">
        <v>42</v>
      </c>
      <c r="P8606" s="23">
        <v>158.93</v>
      </c>
      <c r="Q8606" s="4">
        <f t="shared" si="134"/>
        <v>-0.1488076511671805</v>
      </c>
      <c r="R8606" s="23" t="s">
        <v>1198</v>
      </c>
      <c r="T8606" s="93" t="s">
        <v>14165</v>
      </c>
    </row>
    <row r="8607" spans="1:20" x14ac:dyDescent="0.25">
      <c r="A8607" s="21">
        <v>45912</v>
      </c>
      <c r="B8607" s="1" t="s">
        <v>15667</v>
      </c>
      <c r="C8607" t="s">
        <v>15668</v>
      </c>
      <c r="D8607" s="43">
        <v>-9463.7999999999993</v>
      </c>
      <c r="E8607" t="s">
        <v>35</v>
      </c>
      <c r="F8607" s="2">
        <v>212901001</v>
      </c>
      <c r="G8607" s="2" t="s">
        <v>121</v>
      </c>
      <c r="L8607" s="2" t="s">
        <v>15669</v>
      </c>
      <c r="M8607" t="s">
        <v>67</v>
      </c>
      <c r="N8607" t="s">
        <v>68</v>
      </c>
      <c r="P8607" s="23">
        <v>158.93</v>
      </c>
      <c r="Q8607" s="4">
        <f t="shared" si="134"/>
        <v>-59.546970364311328</v>
      </c>
      <c r="R8607" s="23" t="s">
        <v>1198</v>
      </c>
    </row>
    <row r="8608" spans="1:20" x14ac:dyDescent="0.25">
      <c r="A8608" s="21">
        <v>45912</v>
      </c>
      <c r="B8608" s="1" t="s">
        <v>15670</v>
      </c>
      <c r="C8608" t="s">
        <v>1221</v>
      </c>
      <c r="D8608" s="43">
        <v>-19.71</v>
      </c>
      <c r="E8608" t="s">
        <v>35</v>
      </c>
      <c r="F8608" s="2">
        <v>610148001</v>
      </c>
      <c r="G8608" s="2" t="s">
        <v>42</v>
      </c>
      <c r="L8608" s="2" t="s">
        <v>15671</v>
      </c>
      <c r="M8608" t="s">
        <v>43</v>
      </c>
      <c r="N8608" t="s">
        <v>42</v>
      </c>
      <c r="P8608" s="23">
        <v>158.93</v>
      </c>
      <c r="Q8608" s="4">
        <f t="shared" si="134"/>
        <v>-0.12401686276977286</v>
      </c>
      <c r="R8608" s="23" t="s">
        <v>1198</v>
      </c>
      <c r="T8608" s="93" t="s">
        <v>14165</v>
      </c>
    </row>
    <row r="8609" spans="1:20" x14ac:dyDescent="0.25">
      <c r="A8609" s="21">
        <v>45912</v>
      </c>
      <c r="B8609" s="1" t="s">
        <v>15672</v>
      </c>
      <c r="C8609" t="s">
        <v>15673</v>
      </c>
      <c r="D8609" s="43">
        <v>-7886.5</v>
      </c>
      <c r="E8609" t="s">
        <v>35</v>
      </c>
      <c r="F8609" s="2">
        <v>212901001</v>
      </c>
      <c r="G8609" s="2" t="s">
        <v>121</v>
      </c>
      <c r="L8609" s="2" t="s">
        <v>15674</v>
      </c>
      <c r="M8609" t="s">
        <v>67</v>
      </c>
      <c r="N8609" t="s">
        <v>68</v>
      </c>
      <c r="P8609" s="23">
        <v>158.93</v>
      </c>
      <c r="Q8609" s="4">
        <f t="shared" si="134"/>
        <v>-49.622475303592772</v>
      </c>
      <c r="R8609" s="23" t="s">
        <v>1198</v>
      </c>
    </row>
    <row r="8610" spans="1:20" x14ac:dyDescent="0.25">
      <c r="A8610" s="21">
        <v>45912</v>
      </c>
      <c r="B8610" s="1" t="s">
        <v>15675</v>
      </c>
      <c r="C8610" t="s">
        <v>1221</v>
      </c>
      <c r="D8610" s="43">
        <v>-7.88</v>
      </c>
      <c r="E8610" t="s">
        <v>35</v>
      </c>
      <c r="F8610" s="2">
        <v>610148001</v>
      </c>
      <c r="G8610" s="2" t="s">
        <v>42</v>
      </c>
      <c r="L8610" s="2" t="s">
        <v>15676</v>
      </c>
      <c r="M8610" t="s">
        <v>43</v>
      </c>
      <c r="N8610" t="s">
        <v>42</v>
      </c>
      <c r="P8610" s="23">
        <v>158.93</v>
      </c>
      <c r="Q8610" s="4">
        <f t="shared" si="134"/>
        <v>-4.9581576794815327E-2</v>
      </c>
      <c r="R8610" s="23" t="s">
        <v>1198</v>
      </c>
      <c r="T8610" s="93" t="s">
        <v>14165</v>
      </c>
    </row>
    <row r="8611" spans="1:20" x14ac:dyDescent="0.25">
      <c r="A8611" s="21">
        <v>45912</v>
      </c>
      <c r="B8611" s="1" t="s">
        <v>15677</v>
      </c>
      <c r="C8611" t="s">
        <v>15678</v>
      </c>
      <c r="D8611" s="43">
        <v>-3154.6</v>
      </c>
      <c r="E8611" t="s">
        <v>35</v>
      </c>
      <c r="F8611" s="2">
        <v>212901001</v>
      </c>
      <c r="G8611" s="2" t="s">
        <v>121</v>
      </c>
      <c r="L8611" s="2" t="s">
        <v>15679</v>
      </c>
      <c r="M8611" t="s">
        <v>67</v>
      </c>
      <c r="N8611" t="s">
        <v>68</v>
      </c>
      <c r="P8611" s="23">
        <v>158.93</v>
      </c>
      <c r="Q8611" s="4">
        <f t="shared" si="134"/>
        <v>-19.848990121437108</v>
      </c>
      <c r="R8611" s="23" t="s">
        <v>1198</v>
      </c>
    </row>
    <row r="8612" spans="1:20" x14ac:dyDescent="0.25">
      <c r="A8612" s="21">
        <v>45912</v>
      </c>
      <c r="B8612" s="1" t="s">
        <v>15680</v>
      </c>
      <c r="C8612" t="s">
        <v>1221</v>
      </c>
      <c r="D8612" s="43">
        <v>-78.86</v>
      </c>
      <c r="E8612" t="s">
        <v>35</v>
      </c>
      <c r="F8612" s="2">
        <v>610148001</v>
      </c>
      <c r="G8612" s="2" t="s">
        <v>42</v>
      </c>
      <c r="L8612" s="2" t="s">
        <v>15681</v>
      </c>
      <c r="M8612" t="s">
        <v>43</v>
      </c>
      <c r="N8612" t="s">
        <v>42</v>
      </c>
      <c r="P8612" s="23">
        <v>158.93</v>
      </c>
      <c r="Q8612" s="4">
        <f t="shared" ref="Q8612:Q8675" si="135">D8612/P8612</f>
        <v>-0.49619329264456047</v>
      </c>
      <c r="R8612" s="23" t="s">
        <v>1198</v>
      </c>
      <c r="T8612" s="93" t="s">
        <v>14165</v>
      </c>
    </row>
    <row r="8613" spans="1:20" x14ac:dyDescent="0.25">
      <c r="A8613" s="21">
        <v>45912</v>
      </c>
      <c r="B8613" s="1" t="s">
        <v>15682</v>
      </c>
      <c r="C8613" t="s">
        <v>15683</v>
      </c>
      <c r="D8613" s="43">
        <v>-31546</v>
      </c>
      <c r="E8613" t="s">
        <v>35</v>
      </c>
      <c r="F8613" s="2">
        <v>212901001</v>
      </c>
      <c r="G8613" s="2" t="s">
        <v>121</v>
      </c>
      <c r="L8613" s="2" t="s">
        <v>15684</v>
      </c>
      <c r="M8613" t="s">
        <v>67</v>
      </c>
      <c r="N8613" t="s">
        <v>68</v>
      </c>
      <c r="P8613" s="23">
        <v>158.93</v>
      </c>
      <c r="Q8613" s="4">
        <f t="shared" si="135"/>
        <v>-198.48990121437109</v>
      </c>
      <c r="R8613" s="23" t="s">
        <v>1198</v>
      </c>
    </row>
    <row r="8614" spans="1:20" x14ac:dyDescent="0.25">
      <c r="A8614" s="21">
        <v>45912</v>
      </c>
      <c r="B8614" s="1" t="s">
        <v>15685</v>
      </c>
      <c r="C8614" t="s">
        <v>1221</v>
      </c>
      <c r="D8614" s="43">
        <v>-31.54</v>
      </c>
      <c r="E8614" t="s">
        <v>35</v>
      </c>
      <c r="F8614" s="2">
        <v>610148001</v>
      </c>
      <c r="G8614" s="2" t="s">
        <v>42</v>
      </c>
      <c r="L8614" s="2" t="s">
        <v>15686</v>
      </c>
      <c r="M8614" t="s">
        <v>43</v>
      </c>
      <c r="N8614" t="s">
        <v>42</v>
      </c>
      <c r="P8614" s="23">
        <v>158.93</v>
      </c>
      <c r="Q8614" s="4">
        <f t="shared" si="135"/>
        <v>-0.19845214874473038</v>
      </c>
      <c r="R8614" s="23" t="s">
        <v>1198</v>
      </c>
      <c r="T8614" s="93" t="s">
        <v>14165</v>
      </c>
    </row>
    <row r="8615" spans="1:20" x14ac:dyDescent="0.25">
      <c r="A8615" s="21">
        <v>45912</v>
      </c>
      <c r="B8615" s="1" t="s">
        <v>15687</v>
      </c>
      <c r="C8615" t="s">
        <v>15688</v>
      </c>
      <c r="D8615" s="43">
        <v>-12618.4</v>
      </c>
      <c r="E8615" t="s">
        <v>35</v>
      </c>
      <c r="F8615" s="2">
        <v>212901001</v>
      </c>
      <c r="G8615" s="2" t="s">
        <v>121</v>
      </c>
      <c r="L8615" s="2" t="s">
        <v>15689</v>
      </c>
      <c r="M8615" t="s">
        <v>67</v>
      </c>
      <c r="N8615" t="s">
        <v>68</v>
      </c>
      <c r="P8615" s="23">
        <v>158.93</v>
      </c>
      <c r="Q8615" s="4">
        <f t="shared" si="135"/>
        <v>-79.395960485748432</v>
      </c>
      <c r="R8615" s="23" t="s">
        <v>1198</v>
      </c>
    </row>
    <row r="8616" spans="1:20" x14ac:dyDescent="0.25">
      <c r="A8616" s="21">
        <v>45912</v>
      </c>
      <c r="B8616" s="1" t="s">
        <v>15690</v>
      </c>
      <c r="C8616" t="s">
        <v>1221</v>
      </c>
      <c r="D8616" s="43">
        <v>-15.77</v>
      </c>
      <c r="E8616" t="s">
        <v>35</v>
      </c>
      <c r="F8616" s="2">
        <v>610148001</v>
      </c>
      <c r="G8616" s="2" t="s">
        <v>42</v>
      </c>
      <c r="L8616" s="2" t="s">
        <v>15691</v>
      </c>
      <c r="M8616" t="s">
        <v>43</v>
      </c>
      <c r="N8616" t="s">
        <v>42</v>
      </c>
      <c r="P8616" s="23">
        <v>158.93</v>
      </c>
      <c r="Q8616" s="4">
        <f t="shared" si="135"/>
        <v>-9.9226074372365192E-2</v>
      </c>
      <c r="R8616" s="23" t="s">
        <v>1198</v>
      </c>
      <c r="T8616" s="93" t="s">
        <v>14165</v>
      </c>
    </row>
    <row r="8617" spans="1:20" x14ac:dyDescent="0.25">
      <c r="A8617" s="21">
        <v>45912</v>
      </c>
      <c r="B8617" s="1" t="s">
        <v>15692</v>
      </c>
      <c r="C8617" t="s">
        <v>15693</v>
      </c>
      <c r="D8617" s="43">
        <v>-6309.2</v>
      </c>
      <c r="E8617" t="s">
        <v>35</v>
      </c>
      <c r="F8617" s="2">
        <v>212901001</v>
      </c>
      <c r="G8617" s="2" t="s">
        <v>121</v>
      </c>
      <c r="L8617" s="2" t="s">
        <v>15694</v>
      </c>
      <c r="M8617" t="s">
        <v>67</v>
      </c>
      <c r="N8617" t="s">
        <v>68</v>
      </c>
      <c r="P8617" s="23">
        <v>158.93</v>
      </c>
      <c r="Q8617" s="4">
        <f t="shared" si="135"/>
        <v>-39.697980242874216</v>
      </c>
      <c r="R8617" s="23" t="s">
        <v>1198</v>
      </c>
    </row>
    <row r="8618" spans="1:20" x14ac:dyDescent="0.25">
      <c r="A8618" s="21">
        <v>45912</v>
      </c>
      <c r="B8618" s="1" t="s">
        <v>15695</v>
      </c>
      <c r="C8618" t="s">
        <v>1221</v>
      </c>
      <c r="D8618" s="43">
        <v>-39.43</v>
      </c>
      <c r="E8618" t="s">
        <v>35</v>
      </c>
      <c r="F8618" s="2">
        <v>610148001</v>
      </c>
      <c r="G8618" s="2" t="s">
        <v>42</v>
      </c>
      <c r="L8618" s="2" t="s">
        <v>15696</v>
      </c>
      <c r="M8618" t="s">
        <v>43</v>
      </c>
      <c r="N8618" t="s">
        <v>42</v>
      </c>
      <c r="P8618" s="23">
        <v>158.93</v>
      </c>
      <c r="Q8618" s="4">
        <f t="shared" si="135"/>
        <v>-0.24809664632228023</v>
      </c>
      <c r="R8618" s="23" t="s">
        <v>1198</v>
      </c>
      <c r="T8618" s="93" t="s">
        <v>14165</v>
      </c>
    </row>
    <row r="8619" spans="1:20" x14ac:dyDescent="0.25">
      <c r="A8619" s="21">
        <v>45912</v>
      </c>
      <c r="B8619" s="1" t="s">
        <v>15697</v>
      </c>
      <c r="C8619" t="s">
        <v>15698</v>
      </c>
      <c r="D8619" s="43">
        <v>-15773</v>
      </c>
      <c r="E8619" t="s">
        <v>35</v>
      </c>
      <c r="F8619" s="2">
        <v>212901001</v>
      </c>
      <c r="G8619" s="2" t="s">
        <v>121</v>
      </c>
      <c r="L8619" s="2" t="s">
        <v>15699</v>
      </c>
      <c r="M8619" t="s">
        <v>67</v>
      </c>
      <c r="N8619" t="s">
        <v>68</v>
      </c>
      <c r="P8619" s="23">
        <v>158.93</v>
      </c>
      <c r="Q8619" s="4">
        <f t="shared" si="135"/>
        <v>-99.244950607185544</v>
      </c>
      <c r="R8619" s="23" t="s">
        <v>1198</v>
      </c>
    </row>
    <row r="8620" spans="1:20" x14ac:dyDescent="0.25">
      <c r="A8620" s="21">
        <v>45912</v>
      </c>
      <c r="B8620" s="1" t="s">
        <v>15700</v>
      </c>
      <c r="C8620" t="s">
        <v>1221</v>
      </c>
      <c r="D8620" s="43">
        <v>-39.43</v>
      </c>
      <c r="E8620" t="s">
        <v>35</v>
      </c>
      <c r="F8620" s="2">
        <v>610148001</v>
      </c>
      <c r="G8620" s="2" t="s">
        <v>42</v>
      </c>
      <c r="L8620" s="2" t="s">
        <v>15701</v>
      </c>
      <c r="M8620" t="s">
        <v>43</v>
      </c>
      <c r="N8620" t="s">
        <v>42</v>
      </c>
      <c r="P8620" s="23">
        <v>158.93</v>
      </c>
      <c r="Q8620" s="4">
        <f t="shared" si="135"/>
        <v>-0.24809664632228023</v>
      </c>
      <c r="R8620" s="23" t="s">
        <v>1198</v>
      </c>
      <c r="T8620" s="93" t="s">
        <v>14165</v>
      </c>
    </row>
    <row r="8621" spans="1:20" x14ac:dyDescent="0.25">
      <c r="A8621" s="21">
        <v>45912</v>
      </c>
      <c r="B8621" s="1" t="s">
        <v>15702</v>
      </c>
      <c r="C8621" t="s">
        <v>15703</v>
      </c>
      <c r="D8621" s="43">
        <v>-15773</v>
      </c>
      <c r="E8621" t="s">
        <v>35</v>
      </c>
      <c r="F8621" s="2">
        <v>212901001</v>
      </c>
      <c r="G8621" s="2" t="s">
        <v>121</v>
      </c>
      <c r="L8621" s="2" t="s">
        <v>15704</v>
      </c>
      <c r="M8621" t="s">
        <v>67</v>
      </c>
      <c r="N8621" t="s">
        <v>68</v>
      </c>
      <c r="P8621" s="23">
        <v>158.93</v>
      </c>
      <c r="Q8621" s="4">
        <f t="shared" si="135"/>
        <v>-99.244950607185544</v>
      </c>
      <c r="R8621" s="23" t="s">
        <v>1198</v>
      </c>
    </row>
    <row r="8622" spans="1:20" x14ac:dyDescent="0.25">
      <c r="A8622" s="32">
        <v>45923</v>
      </c>
      <c r="B8622" s="26" t="s">
        <v>15705</v>
      </c>
      <c r="C8622" s="27" t="s">
        <v>15706</v>
      </c>
      <c r="D8622" s="46">
        <v>-18188.89</v>
      </c>
      <c r="E8622" s="27" t="s">
        <v>35</v>
      </c>
      <c r="F8622" s="29">
        <v>610122005</v>
      </c>
      <c r="G8622" s="29" t="s">
        <v>765</v>
      </c>
      <c r="H8622" s="107"/>
      <c r="I8622" s="101"/>
      <c r="J8622" s="101"/>
      <c r="K8622" s="29"/>
      <c r="L8622" s="2" t="s">
        <v>15707</v>
      </c>
      <c r="M8622" s="27" t="s">
        <v>1202</v>
      </c>
      <c r="N8622" s="27" t="s">
        <v>1203</v>
      </c>
      <c r="O8622" s="27" t="s">
        <v>59</v>
      </c>
      <c r="P8622" s="31">
        <v>168.42</v>
      </c>
      <c r="Q8622" s="4">
        <f t="shared" si="135"/>
        <v>-107.99720935755849</v>
      </c>
      <c r="R8622" s="23" t="s">
        <v>1198</v>
      </c>
      <c r="T8622" s="23" t="s">
        <v>15708</v>
      </c>
    </row>
    <row r="8623" spans="1:20" x14ac:dyDescent="0.25">
      <c r="A8623" s="21">
        <v>45923</v>
      </c>
      <c r="B8623" s="1" t="s">
        <v>15709</v>
      </c>
      <c r="C8623" t="s">
        <v>1206</v>
      </c>
      <c r="D8623" s="43">
        <v>-18.18</v>
      </c>
      <c r="E8623" t="s">
        <v>35</v>
      </c>
      <c r="F8623" s="2">
        <v>610148001</v>
      </c>
      <c r="G8623" s="2" t="s">
        <v>42</v>
      </c>
      <c r="L8623" s="2" t="s">
        <v>15710</v>
      </c>
      <c r="M8623" t="s">
        <v>43</v>
      </c>
      <c r="N8623" t="s">
        <v>42</v>
      </c>
      <c r="P8623" s="23">
        <v>168.42</v>
      </c>
      <c r="Q8623" s="4">
        <f t="shared" si="135"/>
        <v>-0.10794442465265408</v>
      </c>
      <c r="R8623" s="23" t="s">
        <v>1198</v>
      </c>
      <c r="T8623" s="93" t="s">
        <v>14165</v>
      </c>
    </row>
    <row r="8624" spans="1:20" x14ac:dyDescent="0.25">
      <c r="A8624" s="21">
        <v>45924</v>
      </c>
      <c r="B8624" s="1" t="s">
        <v>15711</v>
      </c>
      <c r="C8624" t="s">
        <v>15712</v>
      </c>
      <c r="D8624" s="43">
        <v>66251.399999999994</v>
      </c>
      <c r="E8624" t="s">
        <v>46</v>
      </c>
      <c r="F8624" s="2">
        <v>110106001</v>
      </c>
      <c r="G8624" s="2" t="s">
        <v>2034</v>
      </c>
      <c r="L8624" s="2" t="s">
        <v>15713</v>
      </c>
      <c r="N8624" t="s">
        <v>15714</v>
      </c>
      <c r="P8624" s="23">
        <v>169.98</v>
      </c>
      <c r="Q8624" s="4">
        <f t="shared" si="135"/>
        <v>389.75997176138367</v>
      </c>
      <c r="R8624" s="23" t="s">
        <v>1198</v>
      </c>
    </row>
    <row r="8625" spans="1:20" x14ac:dyDescent="0.25">
      <c r="A8625" s="21">
        <v>45925</v>
      </c>
      <c r="B8625" s="1" t="s">
        <v>15715</v>
      </c>
      <c r="C8625" t="s">
        <v>544</v>
      </c>
      <c r="D8625" s="43">
        <v>3420000</v>
      </c>
      <c r="E8625" t="s">
        <v>46</v>
      </c>
      <c r="F8625" s="2">
        <v>210115002</v>
      </c>
      <c r="G8625" s="2" t="s">
        <v>12156</v>
      </c>
      <c r="L8625" s="2" t="s">
        <v>15716</v>
      </c>
      <c r="N8625" t="s">
        <v>544</v>
      </c>
      <c r="P8625" s="23">
        <v>169.98</v>
      </c>
      <c r="Q8625" s="4">
        <f t="shared" si="135"/>
        <v>20120.014119308154</v>
      </c>
      <c r="R8625" s="23" t="s">
        <v>1198</v>
      </c>
    </row>
    <row r="8626" spans="1:20" x14ac:dyDescent="0.25">
      <c r="A8626" s="21">
        <v>45925</v>
      </c>
      <c r="B8626" s="1" t="s">
        <v>15717</v>
      </c>
      <c r="C8626" t="s">
        <v>1221</v>
      </c>
      <c r="D8626" s="43">
        <v>-107.4</v>
      </c>
      <c r="E8626" t="s">
        <v>35</v>
      </c>
      <c r="F8626" s="2">
        <v>610148001</v>
      </c>
      <c r="G8626" s="2" t="s">
        <v>42</v>
      </c>
      <c r="L8626" s="2" t="s">
        <v>15718</v>
      </c>
      <c r="M8626" t="s">
        <v>43</v>
      </c>
      <c r="N8626" t="s">
        <v>42</v>
      </c>
      <c r="P8626" s="23">
        <v>169.98</v>
      </c>
      <c r="Q8626" s="4">
        <f t="shared" si="135"/>
        <v>-0.63183903988704559</v>
      </c>
      <c r="R8626" s="23" t="s">
        <v>1198</v>
      </c>
      <c r="T8626" s="93" t="s">
        <v>14165</v>
      </c>
    </row>
    <row r="8627" spans="1:20" x14ac:dyDescent="0.25">
      <c r="A8627" s="21">
        <v>45925</v>
      </c>
      <c r="B8627" s="1" t="s">
        <v>15719</v>
      </c>
      <c r="C8627" t="s">
        <v>15720</v>
      </c>
      <c r="D8627" s="43">
        <v>-42962.5</v>
      </c>
      <c r="E8627" t="s">
        <v>35</v>
      </c>
      <c r="F8627" s="2">
        <v>110114001</v>
      </c>
      <c r="G8627" s="2" t="s">
        <v>301</v>
      </c>
      <c r="L8627" s="2" t="s">
        <v>15721</v>
      </c>
      <c r="N8627" t="s">
        <v>2551</v>
      </c>
      <c r="P8627" s="23">
        <v>169.98</v>
      </c>
      <c r="Q8627" s="4">
        <f t="shared" si="135"/>
        <v>-252.75032356747855</v>
      </c>
      <c r="R8627" s="23" t="s">
        <v>1198</v>
      </c>
    </row>
    <row r="8628" spans="1:20" x14ac:dyDescent="0.25">
      <c r="A8628" s="21">
        <v>45925</v>
      </c>
      <c r="B8628" s="1" t="s">
        <v>15722</v>
      </c>
      <c r="C8628" t="s">
        <v>1221</v>
      </c>
      <c r="D8628" s="43">
        <v>-1241.77</v>
      </c>
      <c r="E8628" t="s">
        <v>35</v>
      </c>
      <c r="F8628" s="2">
        <v>610148001</v>
      </c>
      <c r="G8628" s="2" t="s">
        <v>42</v>
      </c>
      <c r="L8628" s="2" t="s">
        <v>15723</v>
      </c>
      <c r="M8628" t="s">
        <v>43</v>
      </c>
      <c r="N8628" t="s">
        <v>42</v>
      </c>
      <c r="P8628" s="23">
        <v>169.98</v>
      </c>
      <c r="Q8628" s="4">
        <f t="shared" si="135"/>
        <v>-7.3053888692787394</v>
      </c>
      <c r="R8628" s="23" t="s">
        <v>1198</v>
      </c>
      <c r="T8628" s="93" t="s">
        <v>14165</v>
      </c>
    </row>
    <row r="8629" spans="1:20" x14ac:dyDescent="0.25">
      <c r="A8629" s="21">
        <v>45925</v>
      </c>
      <c r="B8629" s="1" t="s">
        <v>15724</v>
      </c>
      <c r="C8629" t="s">
        <v>15725</v>
      </c>
      <c r="D8629" s="43">
        <v>-496709.91</v>
      </c>
      <c r="E8629" t="s">
        <v>35</v>
      </c>
      <c r="F8629" s="2">
        <v>210101001</v>
      </c>
      <c r="G8629" s="2" t="s">
        <v>36</v>
      </c>
      <c r="L8629" s="2" t="s">
        <v>15726</v>
      </c>
      <c r="M8629" t="s">
        <v>38</v>
      </c>
      <c r="N8629" t="s">
        <v>39</v>
      </c>
      <c r="P8629" s="23">
        <v>169.98</v>
      </c>
      <c r="Q8629" s="4">
        <f t="shared" si="135"/>
        <v>-2922.1667843275682</v>
      </c>
      <c r="R8629" s="23" t="s">
        <v>1198</v>
      </c>
    </row>
    <row r="8630" spans="1:20" x14ac:dyDescent="0.25">
      <c r="A8630" s="21">
        <v>45925</v>
      </c>
      <c r="B8630" s="1" t="s">
        <v>15727</v>
      </c>
      <c r="C8630" t="s">
        <v>1221</v>
      </c>
      <c r="D8630" s="43">
        <v>-2206.1</v>
      </c>
      <c r="E8630" t="s">
        <v>35</v>
      </c>
      <c r="F8630" s="2">
        <v>610148001</v>
      </c>
      <c r="G8630" s="2" t="s">
        <v>42</v>
      </c>
      <c r="L8630" s="2" t="s">
        <v>15728</v>
      </c>
      <c r="M8630" t="s">
        <v>43</v>
      </c>
      <c r="N8630" t="s">
        <v>42</v>
      </c>
      <c r="P8630" s="23">
        <v>169.98</v>
      </c>
      <c r="Q8630" s="4">
        <f t="shared" si="135"/>
        <v>-12.978585715966585</v>
      </c>
      <c r="R8630" s="23" t="s">
        <v>1198</v>
      </c>
      <c r="T8630" s="93" t="s">
        <v>14165</v>
      </c>
    </row>
    <row r="8631" spans="1:20" x14ac:dyDescent="0.25">
      <c r="A8631" s="21">
        <v>45925</v>
      </c>
      <c r="B8631" s="1" t="s">
        <v>15729</v>
      </c>
      <c r="C8631" t="s">
        <v>14340</v>
      </c>
      <c r="D8631" s="43">
        <v>-882443.06</v>
      </c>
      <c r="E8631" t="s">
        <v>35</v>
      </c>
      <c r="F8631" s="2">
        <v>110114001</v>
      </c>
      <c r="G8631" s="2" t="s">
        <v>301</v>
      </c>
      <c r="L8631" s="2" t="s">
        <v>15730</v>
      </c>
      <c r="M8631" t="s">
        <v>38</v>
      </c>
      <c r="N8631" t="s">
        <v>39</v>
      </c>
      <c r="P8631" s="23">
        <v>169.98</v>
      </c>
      <c r="Q8631" s="4">
        <f t="shared" si="135"/>
        <v>-5191.4522885045308</v>
      </c>
      <c r="R8631" s="23" t="s">
        <v>1198</v>
      </c>
    </row>
    <row r="8632" spans="1:20" x14ac:dyDescent="0.25">
      <c r="A8632" s="21">
        <v>45925</v>
      </c>
      <c r="B8632" s="1" t="s">
        <v>15731</v>
      </c>
      <c r="C8632" t="s">
        <v>1221</v>
      </c>
      <c r="D8632" s="43">
        <v>-2500</v>
      </c>
      <c r="E8632" t="s">
        <v>35</v>
      </c>
      <c r="F8632" s="2">
        <v>610148001</v>
      </c>
      <c r="G8632" s="2" t="s">
        <v>42</v>
      </c>
      <c r="L8632" s="2" t="s">
        <v>15732</v>
      </c>
      <c r="M8632" t="s">
        <v>43</v>
      </c>
      <c r="N8632" t="s">
        <v>42</v>
      </c>
      <c r="P8632" s="23">
        <v>169.98</v>
      </c>
      <c r="Q8632" s="4">
        <f t="shared" si="135"/>
        <v>-14.707612660312979</v>
      </c>
      <c r="R8632" s="23" t="s">
        <v>1198</v>
      </c>
      <c r="T8632" s="93" t="s">
        <v>14165</v>
      </c>
    </row>
    <row r="8633" spans="1:20" x14ac:dyDescent="0.25">
      <c r="A8633" s="21">
        <v>45925</v>
      </c>
      <c r="B8633" s="1" t="s">
        <v>15733</v>
      </c>
      <c r="C8633" t="s">
        <v>14340</v>
      </c>
      <c r="D8633" s="43">
        <v>-1000000</v>
      </c>
      <c r="E8633" t="s">
        <v>35</v>
      </c>
      <c r="F8633" s="2">
        <v>110114001</v>
      </c>
      <c r="G8633" s="2" t="s">
        <v>301</v>
      </c>
      <c r="L8633" s="2" t="s">
        <v>15734</v>
      </c>
      <c r="M8633" t="s">
        <v>38</v>
      </c>
      <c r="N8633" t="s">
        <v>39</v>
      </c>
      <c r="P8633" s="23">
        <v>169.98</v>
      </c>
      <c r="Q8633" s="4">
        <f t="shared" si="135"/>
        <v>-5883.0450641251919</v>
      </c>
      <c r="R8633" s="23" t="s">
        <v>1198</v>
      </c>
    </row>
    <row r="8634" spans="1:20" x14ac:dyDescent="0.25">
      <c r="A8634" s="21">
        <v>45925</v>
      </c>
      <c r="B8634" s="1" t="s">
        <v>15735</v>
      </c>
      <c r="C8634" t="s">
        <v>1221</v>
      </c>
      <c r="D8634" s="43">
        <v>-2500</v>
      </c>
      <c r="E8634" t="s">
        <v>35</v>
      </c>
      <c r="F8634" s="2">
        <v>610148001</v>
      </c>
      <c r="G8634" s="2" t="s">
        <v>42</v>
      </c>
      <c r="L8634" s="2" t="s">
        <v>15736</v>
      </c>
      <c r="M8634" t="s">
        <v>43</v>
      </c>
      <c r="N8634" t="s">
        <v>42</v>
      </c>
      <c r="P8634" s="23">
        <v>169.98</v>
      </c>
      <c r="Q8634" s="4">
        <f t="shared" si="135"/>
        <v>-14.707612660312979</v>
      </c>
      <c r="R8634" s="23" t="s">
        <v>1198</v>
      </c>
      <c r="T8634" s="93" t="s">
        <v>14165</v>
      </c>
    </row>
    <row r="8635" spans="1:20" x14ac:dyDescent="0.25">
      <c r="A8635" s="21">
        <v>45925</v>
      </c>
      <c r="B8635" s="1" t="s">
        <v>15737</v>
      </c>
      <c r="C8635" t="s">
        <v>14340</v>
      </c>
      <c r="D8635" s="43">
        <v>-1000000</v>
      </c>
      <c r="E8635" t="s">
        <v>35</v>
      </c>
      <c r="F8635" s="2">
        <v>110114001</v>
      </c>
      <c r="G8635" s="2" t="s">
        <v>301</v>
      </c>
      <c r="L8635" s="2" t="s">
        <v>15738</v>
      </c>
      <c r="M8635" t="s">
        <v>38</v>
      </c>
      <c r="N8635" t="s">
        <v>39</v>
      </c>
      <c r="P8635" s="23">
        <v>169.98</v>
      </c>
      <c r="Q8635" s="4">
        <f t="shared" si="135"/>
        <v>-5883.0450641251919</v>
      </c>
      <c r="R8635" s="23" t="s">
        <v>1198</v>
      </c>
    </row>
    <row r="8636" spans="1:20" x14ac:dyDescent="0.25">
      <c r="A8636" s="21">
        <v>45926</v>
      </c>
      <c r="B8636" s="1" t="s">
        <v>15739</v>
      </c>
      <c r="C8636" t="s">
        <v>544</v>
      </c>
      <c r="D8636" s="43">
        <v>2420000</v>
      </c>
      <c r="E8636" t="s">
        <v>46</v>
      </c>
      <c r="F8636" s="2">
        <v>210115002</v>
      </c>
      <c r="G8636" s="2" t="s">
        <v>12156</v>
      </c>
      <c r="L8636" s="2" t="s">
        <v>15740</v>
      </c>
      <c r="N8636" t="s">
        <v>544</v>
      </c>
      <c r="P8636" s="23">
        <v>173.74</v>
      </c>
      <c r="Q8636" s="4">
        <f t="shared" si="135"/>
        <v>13928.859214918844</v>
      </c>
      <c r="R8636" s="23" t="s">
        <v>1198</v>
      </c>
    </row>
    <row r="8637" spans="1:20" x14ac:dyDescent="0.25">
      <c r="A8637" s="21">
        <v>45926</v>
      </c>
      <c r="B8637" s="1" t="s">
        <v>15741</v>
      </c>
      <c r="C8637" t="s">
        <v>15742</v>
      </c>
      <c r="D8637" s="43">
        <v>-1205193.6000000001</v>
      </c>
      <c r="E8637" t="s">
        <v>35</v>
      </c>
      <c r="F8637" s="2">
        <v>110110001</v>
      </c>
      <c r="G8637" s="2" t="s">
        <v>1276</v>
      </c>
      <c r="L8637" s="2" t="s">
        <v>15743</v>
      </c>
      <c r="N8637" t="s">
        <v>15744</v>
      </c>
      <c r="P8637" s="23">
        <v>173.74</v>
      </c>
      <c r="Q8637" s="4">
        <f t="shared" si="135"/>
        <v>-6936.7652814550484</v>
      </c>
      <c r="R8637" s="23" t="s">
        <v>1198</v>
      </c>
    </row>
    <row r="8638" spans="1:20" x14ac:dyDescent="0.25">
      <c r="A8638" s="21">
        <v>45926</v>
      </c>
      <c r="B8638" s="1" t="s">
        <v>15745</v>
      </c>
      <c r="C8638" t="s">
        <v>1221</v>
      </c>
      <c r="D8638" s="43">
        <v>-3012.98</v>
      </c>
      <c r="E8638" t="s">
        <v>35</v>
      </c>
      <c r="F8638" s="2">
        <v>610148001</v>
      </c>
      <c r="G8638" s="2" t="s">
        <v>42</v>
      </c>
      <c r="L8638" s="2" t="s">
        <v>15746</v>
      </c>
      <c r="M8638" t="s">
        <v>43</v>
      </c>
      <c r="N8638" t="s">
        <v>42</v>
      </c>
      <c r="P8638" s="23">
        <v>173.74</v>
      </c>
      <c r="Q8638" s="4">
        <f t="shared" si="135"/>
        <v>-17.341890180729827</v>
      </c>
      <c r="R8638" s="23" t="s">
        <v>1198</v>
      </c>
      <c r="T8638" s="93" t="s">
        <v>14165</v>
      </c>
    </row>
    <row r="8639" spans="1:20" x14ac:dyDescent="0.25">
      <c r="A8639" s="21">
        <v>45926</v>
      </c>
      <c r="B8639" s="1" t="s">
        <v>15747</v>
      </c>
      <c r="C8639" t="s">
        <v>15748</v>
      </c>
      <c r="D8639" s="43">
        <v>-1205193.6000000001</v>
      </c>
      <c r="E8639" t="s">
        <v>35</v>
      </c>
      <c r="F8639" s="2">
        <v>110110001</v>
      </c>
      <c r="G8639" s="2" t="s">
        <v>1276</v>
      </c>
      <c r="L8639" s="2" t="s">
        <v>15749</v>
      </c>
      <c r="N8639" t="s">
        <v>15744</v>
      </c>
      <c r="P8639" s="23">
        <v>173.74</v>
      </c>
      <c r="Q8639" s="4">
        <f t="shared" si="135"/>
        <v>-6936.7652814550484</v>
      </c>
      <c r="R8639" s="23" t="s">
        <v>1198</v>
      </c>
    </row>
    <row r="8640" spans="1:20" x14ac:dyDescent="0.25">
      <c r="A8640" s="21">
        <v>45926</v>
      </c>
      <c r="B8640" s="1" t="s">
        <v>15750</v>
      </c>
      <c r="C8640" t="s">
        <v>1221</v>
      </c>
      <c r="D8640" s="43">
        <v>-3012.98</v>
      </c>
      <c r="E8640" t="s">
        <v>35</v>
      </c>
      <c r="F8640" s="2">
        <v>610148001</v>
      </c>
      <c r="G8640" s="2" t="s">
        <v>42</v>
      </c>
      <c r="L8640" s="2" t="s">
        <v>15751</v>
      </c>
      <c r="M8640" t="s">
        <v>43</v>
      </c>
      <c r="N8640" t="s">
        <v>42</v>
      </c>
      <c r="P8640" s="23">
        <v>173.74</v>
      </c>
      <c r="Q8640" s="4">
        <f t="shared" si="135"/>
        <v>-17.341890180729827</v>
      </c>
      <c r="R8640" s="23" t="s">
        <v>1198</v>
      </c>
      <c r="T8640" s="93" t="s">
        <v>14165</v>
      </c>
    </row>
    <row r="8641" spans="1:20" x14ac:dyDescent="0.25">
      <c r="A8641" s="21">
        <v>45926</v>
      </c>
      <c r="B8641" s="1" t="s">
        <v>15752</v>
      </c>
      <c r="C8641" t="s">
        <v>544</v>
      </c>
      <c r="D8641" s="43">
        <v>2000000</v>
      </c>
      <c r="E8641" t="s">
        <v>46</v>
      </c>
      <c r="F8641" s="2">
        <v>210115002</v>
      </c>
      <c r="G8641" s="2" t="s">
        <v>12156</v>
      </c>
      <c r="L8641" s="2" t="s">
        <v>15753</v>
      </c>
      <c r="N8641" t="s">
        <v>544</v>
      </c>
      <c r="P8641" s="23">
        <v>173.74</v>
      </c>
      <c r="Q8641" s="4">
        <f t="shared" si="135"/>
        <v>11511.453896627143</v>
      </c>
      <c r="R8641" s="23" t="s">
        <v>1198</v>
      </c>
    </row>
    <row r="8642" spans="1:20" x14ac:dyDescent="0.25">
      <c r="A8642" s="21">
        <v>45926</v>
      </c>
      <c r="B8642" s="1" t="s">
        <v>15754</v>
      </c>
      <c r="C8642" t="s">
        <v>15240</v>
      </c>
      <c r="D8642" s="43">
        <v>-3474.8</v>
      </c>
      <c r="E8642" t="s">
        <v>35</v>
      </c>
      <c r="F8642" s="2">
        <v>212901001</v>
      </c>
      <c r="G8642" s="2" t="s">
        <v>121</v>
      </c>
      <c r="L8642" s="2" t="s">
        <v>15755</v>
      </c>
      <c r="M8642" t="s">
        <v>67</v>
      </c>
      <c r="N8642" t="s">
        <v>68</v>
      </c>
      <c r="P8642" s="23">
        <v>173.74</v>
      </c>
      <c r="Q8642" s="4">
        <f t="shared" si="135"/>
        <v>-20</v>
      </c>
      <c r="R8642" s="23" t="s">
        <v>1198</v>
      </c>
    </row>
    <row r="8643" spans="1:20" x14ac:dyDescent="0.25">
      <c r="A8643" s="21">
        <v>45926</v>
      </c>
      <c r="B8643" s="1" t="s">
        <v>15756</v>
      </c>
      <c r="C8643" t="s">
        <v>1221</v>
      </c>
      <c r="D8643" s="43">
        <v>-8.68</v>
      </c>
      <c r="E8643" t="s">
        <v>35</v>
      </c>
      <c r="F8643" s="2">
        <v>610148001</v>
      </c>
      <c r="G8643" s="2" t="s">
        <v>42</v>
      </c>
      <c r="L8643" s="2" t="s">
        <v>15757</v>
      </c>
      <c r="M8643" t="s">
        <v>43</v>
      </c>
      <c r="N8643" t="s">
        <v>42</v>
      </c>
      <c r="P8643" s="23">
        <v>173.74</v>
      </c>
      <c r="Q8643" s="4">
        <f t="shared" si="135"/>
        <v>-4.9959709911361803E-2</v>
      </c>
      <c r="R8643" s="23" t="s">
        <v>1198</v>
      </c>
      <c r="T8643" s="93" t="s">
        <v>14165</v>
      </c>
    </row>
    <row r="8644" spans="1:20" x14ac:dyDescent="0.25">
      <c r="A8644" s="32">
        <v>45926</v>
      </c>
      <c r="B8644" s="26" t="s">
        <v>15758</v>
      </c>
      <c r="C8644" s="27" t="s">
        <v>15250</v>
      </c>
      <c r="D8644" s="46">
        <v>-9555.7000000000007</v>
      </c>
      <c r="E8644" s="27" t="s">
        <v>35</v>
      </c>
      <c r="F8644" s="29">
        <v>610156001</v>
      </c>
      <c r="G8644" s="29" t="s">
        <v>91</v>
      </c>
      <c r="H8644" s="107"/>
      <c r="I8644" s="101"/>
      <c r="J8644" s="101"/>
      <c r="K8644" s="29"/>
      <c r="L8644" s="2" t="s">
        <v>15759</v>
      </c>
      <c r="M8644" s="27" t="s">
        <v>5015</v>
      </c>
      <c r="N8644" s="27" t="s">
        <v>1240</v>
      </c>
      <c r="O8644" s="27" t="s">
        <v>59</v>
      </c>
      <c r="P8644" s="31">
        <v>173.74</v>
      </c>
      <c r="Q8644" s="4">
        <f t="shared" si="135"/>
        <v>-55</v>
      </c>
      <c r="R8644" s="23" t="s">
        <v>1198</v>
      </c>
      <c r="T8644" s="23" t="s">
        <v>15760</v>
      </c>
    </row>
    <row r="8645" spans="1:20" x14ac:dyDescent="0.25">
      <c r="A8645" s="21">
        <v>45926</v>
      </c>
      <c r="B8645" s="1" t="s">
        <v>15761</v>
      </c>
      <c r="C8645" t="s">
        <v>1221</v>
      </c>
      <c r="D8645" s="43">
        <v>-23.88</v>
      </c>
      <c r="E8645" t="s">
        <v>35</v>
      </c>
      <c r="F8645" s="2">
        <v>610148001</v>
      </c>
      <c r="G8645" s="2" t="s">
        <v>42</v>
      </c>
      <c r="L8645" s="2" t="s">
        <v>15762</v>
      </c>
      <c r="M8645" t="s">
        <v>43</v>
      </c>
      <c r="N8645" t="s">
        <v>42</v>
      </c>
      <c r="P8645" s="23">
        <v>173.74</v>
      </c>
      <c r="Q8645" s="4">
        <f t="shared" si="135"/>
        <v>-0.13744675952572807</v>
      </c>
      <c r="R8645" s="23" t="s">
        <v>1198</v>
      </c>
      <c r="T8645" s="93" t="s">
        <v>14165</v>
      </c>
    </row>
    <row r="8646" spans="1:20" x14ac:dyDescent="0.25">
      <c r="A8646" s="21">
        <v>45926</v>
      </c>
      <c r="B8646" s="1" t="s">
        <v>15763</v>
      </c>
      <c r="C8646" t="s">
        <v>15230</v>
      </c>
      <c r="D8646" s="43">
        <v>-17374</v>
      </c>
      <c r="E8646" t="s">
        <v>35</v>
      </c>
      <c r="F8646" s="2">
        <v>212901001</v>
      </c>
      <c r="G8646" s="2" t="s">
        <v>121</v>
      </c>
      <c r="L8646" s="2" t="s">
        <v>15764</v>
      </c>
      <c r="M8646" t="s">
        <v>67</v>
      </c>
      <c r="N8646" t="s">
        <v>68</v>
      </c>
      <c r="P8646" s="23">
        <v>173.74</v>
      </c>
      <c r="Q8646" s="4">
        <f t="shared" si="135"/>
        <v>-100</v>
      </c>
      <c r="R8646" s="23" t="s">
        <v>1198</v>
      </c>
    </row>
    <row r="8647" spans="1:20" x14ac:dyDescent="0.25">
      <c r="A8647" s="21">
        <v>45926</v>
      </c>
      <c r="B8647" s="1" t="s">
        <v>15765</v>
      </c>
      <c r="C8647" t="s">
        <v>1221</v>
      </c>
      <c r="D8647" s="43">
        <v>-43.43</v>
      </c>
      <c r="E8647" t="s">
        <v>35</v>
      </c>
      <c r="F8647" s="2">
        <v>610148001</v>
      </c>
      <c r="G8647" s="2" t="s">
        <v>42</v>
      </c>
      <c r="L8647" s="2" t="s">
        <v>15766</v>
      </c>
      <c r="M8647" t="s">
        <v>43</v>
      </c>
      <c r="N8647" t="s">
        <v>42</v>
      </c>
      <c r="P8647" s="23">
        <v>173.74</v>
      </c>
      <c r="Q8647" s="4">
        <f t="shared" si="135"/>
        <v>-0.24997122136525843</v>
      </c>
      <c r="R8647" s="23" t="s">
        <v>1198</v>
      </c>
      <c r="T8647" s="93" t="s">
        <v>14165</v>
      </c>
    </row>
    <row r="8648" spans="1:20" x14ac:dyDescent="0.25">
      <c r="A8648" s="21">
        <v>45926</v>
      </c>
      <c r="B8648" s="1" t="s">
        <v>15767</v>
      </c>
      <c r="C8648" t="s">
        <v>15768</v>
      </c>
      <c r="D8648" s="43">
        <v>-666.38</v>
      </c>
      <c r="E8648" t="s">
        <v>35</v>
      </c>
      <c r="F8648" s="2">
        <v>210101001</v>
      </c>
      <c r="G8648" s="2" t="s">
        <v>36</v>
      </c>
      <c r="L8648" s="2" t="s">
        <v>15769</v>
      </c>
      <c r="M8648" t="s">
        <v>1866</v>
      </c>
      <c r="N8648" t="s">
        <v>1867</v>
      </c>
      <c r="P8648" s="23">
        <v>173.74</v>
      </c>
      <c r="Q8648" s="4">
        <f t="shared" si="135"/>
        <v>-3.8355013238171978</v>
      </c>
      <c r="R8648" s="23" t="s">
        <v>1198</v>
      </c>
    </row>
    <row r="8649" spans="1:20" x14ac:dyDescent="0.25">
      <c r="A8649" s="21">
        <v>45926</v>
      </c>
      <c r="B8649" s="1" t="s">
        <v>15770</v>
      </c>
      <c r="C8649" t="s">
        <v>1221</v>
      </c>
      <c r="D8649" s="43">
        <v>-1.66</v>
      </c>
      <c r="E8649" t="s">
        <v>35</v>
      </c>
      <c r="F8649" s="2">
        <v>610148001</v>
      </c>
      <c r="G8649" s="2" t="s">
        <v>42</v>
      </c>
      <c r="L8649" s="2" t="s">
        <v>15771</v>
      </c>
      <c r="M8649" t="s">
        <v>43</v>
      </c>
      <c r="N8649" t="s">
        <v>42</v>
      </c>
      <c r="P8649" s="23">
        <v>173.74</v>
      </c>
      <c r="Q8649" s="4">
        <f t="shared" si="135"/>
        <v>-9.5545067342005293E-3</v>
      </c>
      <c r="R8649" s="23" t="s">
        <v>1198</v>
      </c>
      <c r="T8649" s="93" t="s">
        <v>14165</v>
      </c>
    </row>
    <row r="8650" spans="1:20" x14ac:dyDescent="0.25">
      <c r="A8650" s="21">
        <v>45926</v>
      </c>
      <c r="B8650" s="1" t="s">
        <v>15772</v>
      </c>
      <c r="C8650" t="s">
        <v>15271</v>
      </c>
      <c r="D8650" s="43">
        <v>-17374</v>
      </c>
      <c r="E8650" t="s">
        <v>35</v>
      </c>
      <c r="F8650" s="2">
        <v>212901001</v>
      </c>
      <c r="G8650" s="2" t="s">
        <v>121</v>
      </c>
      <c r="L8650" s="2" t="s">
        <v>15773</v>
      </c>
      <c r="M8650" t="s">
        <v>67</v>
      </c>
      <c r="N8650" t="s">
        <v>68</v>
      </c>
      <c r="P8650" s="23">
        <v>173.74</v>
      </c>
      <c r="Q8650" s="4">
        <f t="shared" si="135"/>
        <v>-100</v>
      </c>
      <c r="R8650" s="23" t="s">
        <v>1198</v>
      </c>
    </row>
    <row r="8651" spans="1:20" x14ac:dyDescent="0.25">
      <c r="A8651" s="21">
        <v>45926</v>
      </c>
      <c r="B8651" s="1" t="s">
        <v>15774</v>
      </c>
      <c r="C8651" t="s">
        <v>1221</v>
      </c>
      <c r="D8651" s="43">
        <v>-43.43</v>
      </c>
      <c r="E8651" t="s">
        <v>35</v>
      </c>
      <c r="F8651" s="2">
        <v>610148001</v>
      </c>
      <c r="G8651" s="2" t="s">
        <v>42</v>
      </c>
      <c r="L8651" s="2" t="s">
        <v>15775</v>
      </c>
      <c r="M8651" t="s">
        <v>43</v>
      </c>
      <c r="N8651" t="s">
        <v>42</v>
      </c>
      <c r="P8651" s="23">
        <v>173.74</v>
      </c>
      <c r="Q8651" s="4">
        <f t="shared" si="135"/>
        <v>-0.24997122136525843</v>
      </c>
      <c r="R8651" s="23" t="s">
        <v>1198</v>
      </c>
      <c r="T8651" s="93" t="s">
        <v>14165</v>
      </c>
    </row>
    <row r="8652" spans="1:20" x14ac:dyDescent="0.25">
      <c r="A8652" s="21">
        <v>45926</v>
      </c>
      <c r="B8652" s="1" t="s">
        <v>15776</v>
      </c>
      <c r="C8652" t="s">
        <v>15245</v>
      </c>
      <c r="D8652" s="43">
        <v>-3474.8</v>
      </c>
      <c r="E8652" t="s">
        <v>35</v>
      </c>
      <c r="F8652" s="2">
        <v>212901001</v>
      </c>
      <c r="G8652" s="2" t="s">
        <v>121</v>
      </c>
      <c r="L8652" s="2" t="s">
        <v>15777</v>
      </c>
      <c r="M8652" t="s">
        <v>67</v>
      </c>
      <c r="N8652" t="s">
        <v>68</v>
      </c>
      <c r="P8652" s="23">
        <v>173.74</v>
      </c>
      <c r="Q8652" s="4">
        <f t="shared" si="135"/>
        <v>-20</v>
      </c>
      <c r="R8652" s="23" t="s">
        <v>1198</v>
      </c>
    </row>
    <row r="8653" spans="1:20" x14ac:dyDescent="0.25">
      <c r="A8653" s="21">
        <v>45926</v>
      </c>
      <c r="B8653" s="1" t="s">
        <v>15778</v>
      </c>
      <c r="C8653" t="s">
        <v>1221</v>
      </c>
      <c r="D8653" s="43">
        <v>-8.68</v>
      </c>
      <c r="E8653" t="s">
        <v>35</v>
      </c>
      <c r="F8653" s="2">
        <v>610148001</v>
      </c>
      <c r="G8653" s="2" t="s">
        <v>42</v>
      </c>
      <c r="L8653" s="2" t="s">
        <v>15779</v>
      </c>
      <c r="M8653" t="s">
        <v>43</v>
      </c>
      <c r="N8653" t="s">
        <v>42</v>
      </c>
      <c r="P8653" s="23">
        <v>173.74</v>
      </c>
      <c r="Q8653" s="4">
        <f t="shared" si="135"/>
        <v>-4.9959709911361803E-2</v>
      </c>
      <c r="R8653" s="23" t="s">
        <v>1198</v>
      </c>
      <c r="T8653" s="93" t="s">
        <v>14165</v>
      </c>
    </row>
    <row r="8654" spans="1:20" x14ac:dyDescent="0.25">
      <c r="A8654" s="21">
        <v>45926</v>
      </c>
      <c r="B8654" s="1" t="s">
        <v>15780</v>
      </c>
      <c r="C8654" t="s">
        <v>15261</v>
      </c>
      <c r="D8654" s="43">
        <v>-3474.8</v>
      </c>
      <c r="E8654" t="s">
        <v>35</v>
      </c>
      <c r="F8654" s="2">
        <v>212901001</v>
      </c>
      <c r="G8654" s="2" t="s">
        <v>121</v>
      </c>
      <c r="L8654" s="2" t="s">
        <v>15781</v>
      </c>
      <c r="M8654" t="s">
        <v>67</v>
      </c>
      <c r="N8654" t="s">
        <v>68</v>
      </c>
      <c r="P8654" s="23">
        <v>173.74</v>
      </c>
      <c r="Q8654" s="4">
        <f t="shared" si="135"/>
        <v>-20</v>
      </c>
      <c r="R8654" s="23" t="s">
        <v>1198</v>
      </c>
    </row>
    <row r="8655" spans="1:20" x14ac:dyDescent="0.25">
      <c r="A8655" s="21">
        <v>45926</v>
      </c>
      <c r="B8655" s="1" t="s">
        <v>15782</v>
      </c>
      <c r="C8655" t="s">
        <v>1221</v>
      </c>
      <c r="D8655" s="43">
        <v>-8.68</v>
      </c>
      <c r="E8655" t="s">
        <v>35</v>
      </c>
      <c r="F8655" s="2">
        <v>610148001</v>
      </c>
      <c r="G8655" s="2" t="s">
        <v>42</v>
      </c>
      <c r="L8655" s="2" t="s">
        <v>15783</v>
      </c>
      <c r="M8655" t="s">
        <v>43</v>
      </c>
      <c r="N8655" t="s">
        <v>42</v>
      </c>
      <c r="P8655" s="23">
        <v>173.74</v>
      </c>
      <c r="Q8655" s="4">
        <f t="shared" si="135"/>
        <v>-4.9959709911361803E-2</v>
      </c>
      <c r="R8655" s="23" t="s">
        <v>1198</v>
      </c>
      <c r="T8655" s="93" t="s">
        <v>14165</v>
      </c>
    </row>
    <row r="8656" spans="1:20" x14ac:dyDescent="0.25">
      <c r="A8656" s="21">
        <v>45926</v>
      </c>
      <c r="B8656" s="1" t="s">
        <v>15784</v>
      </c>
      <c r="C8656" t="s">
        <v>15276</v>
      </c>
      <c r="D8656" s="43">
        <v>-3474.8</v>
      </c>
      <c r="E8656" t="s">
        <v>35</v>
      </c>
      <c r="F8656" s="2">
        <v>212901001</v>
      </c>
      <c r="G8656" s="2" t="s">
        <v>121</v>
      </c>
      <c r="L8656" s="2" t="s">
        <v>15785</v>
      </c>
      <c r="M8656" t="s">
        <v>67</v>
      </c>
      <c r="N8656" t="s">
        <v>68</v>
      </c>
      <c r="P8656" s="23">
        <v>173.74</v>
      </c>
      <c r="Q8656" s="4">
        <f t="shared" si="135"/>
        <v>-20</v>
      </c>
      <c r="R8656" s="23" t="s">
        <v>1198</v>
      </c>
    </row>
    <row r="8657" spans="1:20" x14ac:dyDescent="0.25">
      <c r="A8657" s="21">
        <v>45926</v>
      </c>
      <c r="B8657" s="1" t="s">
        <v>15786</v>
      </c>
      <c r="C8657" t="s">
        <v>1221</v>
      </c>
      <c r="D8657" s="43">
        <v>-8.68</v>
      </c>
      <c r="E8657" t="s">
        <v>35</v>
      </c>
      <c r="F8657" s="2">
        <v>610148001</v>
      </c>
      <c r="G8657" s="2" t="s">
        <v>42</v>
      </c>
      <c r="L8657" s="2" t="s">
        <v>15787</v>
      </c>
      <c r="M8657" t="s">
        <v>43</v>
      </c>
      <c r="N8657" t="s">
        <v>42</v>
      </c>
      <c r="P8657" s="23">
        <v>173.74</v>
      </c>
      <c r="Q8657" s="4">
        <f t="shared" si="135"/>
        <v>-4.9959709911361803E-2</v>
      </c>
      <c r="R8657" s="23" t="s">
        <v>1198</v>
      </c>
      <c r="T8657" s="93" t="s">
        <v>14165</v>
      </c>
    </row>
    <row r="8658" spans="1:20" x14ac:dyDescent="0.25">
      <c r="A8658" s="32">
        <v>45926</v>
      </c>
      <c r="B8658" s="26" t="s">
        <v>15788</v>
      </c>
      <c r="C8658" s="27" t="s">
        <v>15789</v>
      </c>
      <c r="D8658" s="46">
        <v>-38657.15</v>
      </c>
      <c r="E8658" s="27" t="s">
        <v>35</v>
      </c>
      <c r="F8658" s="29">
        <v>610156001</v>
      </c>
      <c r="G8658" s="29" t="s">
        <v>91</v>
      </c>
      <c r="H8658" s="107"/>
      <c r="I8658" s="101"/>
      <c r="J8658" s="101"/>
      <c r="K8658" s="29"/>
      <c r="L8658" s="2" t="s">
        <v>15790</v>
      </c>
      <c r="M8658" s="27" t="s">
        <v>5015</v>
      </c>
      <c r="N8658" s="27" t="s">
        <v>1240</v>
      </c>
      <c r="O8658" s="27" t="s">
        <v>59</v>
      </c>
      <c r="P8658" s="31">
        <v>173.74</v>
      </c>
      <c r="Q8658" s="4">
        <f t="shared" si="135"/>
        <v>-222.5</v>
      </c>
      <c r="R8658" s="23" t="s">
        <v>1198</v>
      </c>
      <c r="T8658" s="23" t="s">
        <v>15760</v>
      </c>
    </row>
    <row r="8659" spans="1:20" x14ac:dyDescent="0.25">
      <c r="A8659" s="21">
        <v>45926</v>
      </c>
      <c r="B8659" s="1" t="s">
        <v>15791</v>
      </c>
      <c r="C8659" t="s">
        <v>1221</v>
      </c>
      <c r="D8659" s="43">
        <v>-96.64</v>
      </c>
      <c r="E8659" t="s">
        <v>35</v>
      </c>
      <c r="F8659" s="2">
        <v>610148001</v>
      </c>
      <c r="G8659" s="2" t="s">
        <v>42</v>
      </c>
      <c r="L8659" s="2" t="s">
        <v>15792</v>
      </c>
      <c r="M8659" t="s">
        <v>43</v>
      </c>
      <c r="N8659" t="s">
        <v>42</v>
      </c>
      <c r="P8659" s="23">
        <v>173.74</v>
      </c>
      <c r="Q8659" s="4">
        <f t="shared" si="135"/>
        <v>-0.55623345228502352</v>
      </c>
      <c r="R8659" s="23" t="s">
        <v>1198</v>
      </c>
      <c r="T8659" s="93" t="s">
        <v>14165</v>
      </c>
    </row>
    <row r="8660" spans="1:20" x14ac:dyDescent="0.25">
      <c r="A8660" s="21">
        <v>45926</v>
      </c>
      <c r="B8660" s="1" t="s">
        <v>15793</v>
      </c>
      <c r="C8660" t="s">
        <v>1221</v>
      </c>
      <c r="D8660" s="43">
        <v>-1064.8900000000001</v>
      </c>
      <c r="E8660" t="s">
        <v>35</v>
      </c>
      <c r="F8660" s="2">
        <v>610148001</v>
      </c>
      <c r="G8660" s="2" t="s">
        <v>42</v>
      </c>
      <c r="L8660" s="2" t="s">
        <v>15794</v>
      </c>
      <c r="M8660" t="s">
        <v>43</v>
      </c>
      <c r="N8660" t="s">
        <v>42</v>
      </c>
      <c r="P8660" s="23">
        <v>173.74</v>
      </c>
      <c r="Q8660" s="4">
        <f t="shared" si="135"/>
        <v>-6.1292160699896403</v>
      </c>
      <c r="R8660" s="23" t="s">
        <v>1198</v>
      </c>
      <c r="T8660" s="93" t="s">
        <v>14165</v>
      </c>
    </row>
    <row r="8661" spans="1:20" x14ac:dyDescent="0.25">
      <c r="A8661" s="21">
        <v>45926</v>
      </c>
      <c r="B8661" s="1" t="s">
        <v>15795</v>
      </c>
      <c r="C8661" t="s">
        <v>1221</v>
      </c>
      <c r="D8661" s="43">
        <v>-36.68</v>
      </c>
      <c r="E8661" t="s">
        <v>35</v>
      </c>
      <c r="F8661" s="2">
        <v>610148001</v>
      </c>
      <c r="G8661" s="2" t="s">
        <v>42</v>
      </c>
      <c r="L8661" s="2" t="s">
        <v>15796</v>
      </c>
      <c r="M8661" t="s">
        <v>43</v>
      </c>
      <c r="N8661" t="s">
        <v>42</v>
      </c>
      <c r="P8661" s="23">
        <v>173.74</v>
      </c>
      <c r="Q8661" s="4">
        <f t="shared" si="135"/>
        <v>-0.2111200644641418</v>
      </c>
      <c r="R8661" s="23" t="s">
        <v>1198</v>
      </c>
      <c r="T8661" s="93" t="s">
        <v>14165</v>
      </c>
    </row>
    <row r="8662" spans="1:20" x14ac:dyDescent="0.25">
      <c r="A8662" s="21">
        <v>45926</v>
      </c>
      <c r="B8662" s="1" t="s">
        <v>15797</v>
      </c>
      <c r="C8662" t="s">
        <v>15798</v>
      </c>
      <c r="D8662" s="43">
        <v>-425957.17</v>
      </c>
      <c r="E8662" t="s">
        <v>35</v>
      </c>
      <c r="F8662" s="2">
        <v>110114001</v>
      </c>
      <c r="G8662" s="2" t="s">
        <v>301</v>
      </c>
      <c r="L8662" s="2" t="s">
        <v>15799</v>
      </c>
      <c r="N8662" t="s">
        <v>2551</v>
      </c>
      <c r="P8662" s="23">
        <v>173.74</v>
      </c>
      <c r="Q8662" s="4">
        <f t="shared" si="135"/>
        <v>-2451.6931621963854</v>
      </c>
      <c r="R8662" s="23" t="s">
        <v>1198</v>
      </c>
    </row>
    <row r="8663" spans="1:20" x14ac:dyDescent="0.25">
      <c r="A8663" s="21">
        <v>45926</v>
      </c>
      <c r="B8663" s="1" t="s">
        <v>15800</v>
      </c>
      <c r="C8663" t="s">
        <v>15801</v>
      </c>
      <c r="D8663" s="43">
        <v>-14674.11</v>
      </c>
      <c r="E8663" t="s">
        <v>35</v>
      </c>
      <c r="F8663" s="2">
        <v>110101002</v>
      </c>
      <c r="G8663" s="2" t="s">
        <v>6359</v>
      </c>
      <c r="L8663" s="2" t="s">
        <v>15802</v>
      </c>
      <c r="N8663" t="s">
        <v>15801</v>
      </c>
      <c r="P8663" s="23">
        <v>173.74</v>
      </c>
      <c r="Q8663" s="4">
        <f t="shared" si="135"/>
        <v>-84.46017036951767</v>
      </c>
      <c r="R8663" s="23" t="s">
        <v>1198</v>
      </c>
    </row>
    <row r="8664" spans="1:20" x14ac:dyDescent="0.25">
      <c r="A8664" s="21">
        <v>45926</v>
      </c>
      <c r="B8664" s="1" t="s">
        <v>15803</v>
      </c>
      <c r="C8664" t="s">
        <v>1221</v>
      </c>
      <c r="D8664" s="43">
        <v>-957.28</v>
      </c>
      <c r="E8664" t="s">
        <v>35</v>
      </c>
      <c r="F8664" s="2">
        <v>610148001</v>
      </c>
      <c r="G8664" s="2" t="s">
        <v>42</v>
      </c>
      <c r="L8664" s="2" t="s">
        <v>15804</v>
      </c>
      <c r="M8664" t="s">
        <v>43</v>
      </c>
      <c r="N8664" t="s">
        <v>42</v>
      </c>
      <c r="P8664" s="23">
        <v>173.74</v>
      </c>
      <c r="Q8664" s="4">
        <f t="shared" si="135"/>
        <v>-5.5098422930816158</v>
      </c>
      <c r="R8664" s="23" t="s">
        <v>1198</v>
      </c>
      <c r="T8664" s="93" t="s">
        <v>14165</v>
      </c>
    </row>
    <row r="8665" spans="1:20" x14ac:dyDescent="0.25">
      <c r="A8665" s="21">
        <v>45926</v>
      </c>
      <c r="B8665" s="1" t="s">
        <v>15805</v>
      </c>
      <c r="C8665" t="s">
        <v>1221</v>
      </c>
      <c r="D8665" s="43">
        <v>-876.67</v>
      </c>
      <c r="E8665" t="s">
        <v>35</v>
      </c>
      <c r="F8665" s="2">
        <v>610148001</v>
      </c>
      <c r="G8665" s="2" t="s">
        <v>42</v>
      </c>
      <c r="L8665" s="2" t="s">
        <v>15806</v>
      </c>
      <c r="M8665" t="s">
        <v>43</v>
      </c>
      <c r="N8665" t="s">
        <v>42</v>
      </c>
      <c r="P8665" s="23">
        <v>173.74</v>
      </c>
      <c r="Q8665" s="4">
        <f t="shared" si="135"/>
        <v>-5.0458731437780591</v>
      </c>
      <c r="R8665" s="23" t="s">
        <v>1198</v>
      </c>
      <c r="T8665" s="93" t="s">
        <v>14165</v>
      </c>
    </row>
    <row r="8666" spans="1:20" x14ac:dyDescent="0.25">
      <c r="A8666" s="21">
        <v>45926</v>
      </c>
      <c r="B8666" s="1" t="s">
        <v>15807</v>
      </c>
      <c r="C8666" t="s">
        <v>15808</v>
      </c>
      <c r="D8666" s="43">
        <v>-382914.36</v>
      </c>
      <c r="E8666" t="s">
        <v>35</v>
      </c>
      <c r="F8666" s="2">
        <v>210101001</v>
      </c>
      <c r="G8666" s="2" t="s">
        <v>36</v>
      </c>
      <c r="L8666" s="2" t="s">
        <v>15809</v>
      </c>
      <c r="N8666" t="s">
        <v>3849</v>
      </c>
      <c r="P8666" s="23">
        <v>173.74</v>
      </c>
      <c r="Q8666" s="4">
        <f t="shared" si="135"/>
        <v>-2203.9505007482444</v>
      </c>
      <c r="R8666" s="23" t="s">
        <v>1198</v>
      </c>
    </row>
    <row r="8667" spans="1:20" x14ac:dyDescent="0.25">
      <c r="A8667" s="21">
        <v>45926</v>
      </c>
      <c r="B8667" s="1" t="s">
        <v>15810</v>
      </c>
      <c r="C8667" t="s">
        <v>15811</v>
      </c>
      <c r="D8667" s="43">
        <v>-350668.94</v>
      </c>
      <c r="E8667" t="s">
        <v>35</v>
      </c>
      <c r="F8667" s="2">
        <v>110114001</v>
      </c>
      <c r="G8667" s="2" t="s">
        <v>301</v>
      </c>
      <c r="L8667" s="2" t="s">
        <v>15812</v>
      </c>
      <c r="N8667" t="s">
        <v>2551</v>
      </c>
      <c r="P8667" s="23">
        <v>173.74</v>
      </c>
      <c r="Q8667" s="4">
        <f t="shared" si="135"/>
        <v>-2018.354667894555</v>
      </c>
      <c r="R8667" s="23" t="s">
        <v>1198</v>
      </c>
    </row>
    <row r="8668" spans="1:20" x14ac:dyDescent="0.25">
      <c r="A8668" s="21">
        <v>45926</v>
      </c>
      <c r="B8668" s="1" t="s">
        <v>15813</v>
      </c>
      <c r="C8668" t="s">
        <v>1221</v>
      </c>
      <c r="D8668" s="43">
        <v>-1118.72</v>
      </c>
      <c r="E8668" t="s">
        <v>35</v>
      </c>
      <c r="F8668" s="2">
        <v>610148001</v>
      </c>
      <c r="G8668" s="2" t="s">
        <v>42</v>
      </c>
      <c r="L8668" s="2" t="s">
        <v>15814</v>
      </c>
      <c r="M8668" t="s">
        <v>43</v>
      </c>
      <c r="N8668" t="s">
        <v>42</v>
      </c>
      <c r="P8668" s="23">
        <v>173.74</v>
      </c>
      <c r="Q8668" s="4">
        <f t="shared" si="135"/>
        <v>-6.4390468516173591</v>
      </c>
      <c r="R8668" s="23" t="s">
        <v>1198</v>
      </c>
      <c r="T8668" s="93" t="s">
        <v>14165</v>
      </c>
    </row>
    <row r="8669" spans="1:20" x14ac:dyDescent="0.25">
      <c r="A8669" s="21">
        <v>45926</v>
      </c>
      <c r="B8669" s="1" t="s">
        <v>15815</v>
      </c>
      <c r="C8669" t="s">
        <v>15816</v>
      </c>
      <c r="D8669" s="43">
        <v>-447490.37</v>
      </c>
      <c r="E8669" t="s">
        <v>35</v>
      </c>
      <c r="F8669" s="2">
        <v>210101001</v>
      </c>
      <c r="G8669" s="2" t="s">
        <v>36</v>
      </c>
      <c r="L8669" s="2" t="s">
        <v>15817</v>
      </c>
      <c r="M8669" t="s">
        <v>788</v>
      </c>
      <c r="N8669" t="s">
        <v>789</v>
      </c>
      <c r="P8669" s="23">
        <v>173.74</v>
      </c>
      <c r="Q8669" s="4">
        <f t="shared" si="135"/>
        <v>-2575.6323817198108</v>
      </c>
      <c r="R8669" s="23" t="s">
        <v>1198</v>
      </c>
    </row>
    <row r="8670" spans="1:20" x14ac:dyDescent="0.25">
      <c r="A8670" s="21">
        <v>45926</v>
      </c>
      <c r="B8670" s="1" t="s">
        <v>15818</v>
      </c>
      <c r="C8670" t="s">
        <v>1221</v>
      </c>
      <c r="D8670" s="43">
        <v>-158.69999999999999</v>
      </c>
      <c r="E8670" t="s">
        <v>35</v>
      </c>
      <c r="F8670" s="2">
        <v>610148001</v>
      </c>
      <c r="G8670" s="2" t="s">
        <v>42</v>
      </c>
      <c r="L8670" s="2" t="s">
        <v>15819</v>
      </c>
      <c r="M8670" t="s">
        <v>43</v>
      </c>
      <c r="N8670" t="s">
        <v>42</v>
      </c>
      <c r="P8670" s="23">
        <v>173.74</v>
      </c>
      <c r="Q8670" s="4">
        <f t="shared" si="135"/>
        <v>-0.91343386669736382</v>
      </c>
      <c r="R8670" s="23" t="s">
        <v>1198</v>
      </c>
      <c r="T8670" s="93" t="s">
        <v>14165</v>
      </c>
    </row>
    <row r="8671" spans="1:20" x14ac:dyDescent="0.25">
      <c r="A8671" s="21">
        <v>45926</v>
      </c>
      <c r="B8671" s="1" t="s">
        <v>15820</v>
      </c>
      <c r="C8671" t="s">
        <v>15821</v>
      </c>
      <c r="D8671" s="43">
        <v>-63480.94</v>
      </c>
      <c r="E8671" t="s">
        <v>35</v>
      </c>
      <c r="F8671" s="2">
        <v>210101001</v>
      </c>
      <c r="G8671" s="2" t="s">
        <v>36</v>
      </c>
      <c r="L8671" s="2" t="s">
        <v>15822</v>
      </c>
      <c r="M8671" t="s">
        <v>38</v>
      </c>
      <c r="N8671" t="s">
        <v>39</v>
      </c>
      <c r="P8671" s="23">
        <v>173.74</v>
      </c>
      <c r="Q8671" s="4">
        <f t="shared" si="135"/>
        <v>-365.37895706227698</v>
      </c>
      <c r="R8671" s="23" t="s">
        <v>1198</v>
      </c>
    </row>
    <row r="8672" spans="1:20" x14ac:dyDescent="0.25">
      <c r="A8672" s="21">
        <v>45926</v>
      </c>
      <c r="B8672" s="1" t="s">
        <v>15823</v>
      </c>
      <c r="C8672" t="s">
        <v>1221</v>
      </c>
      <c r="D8672" s="43">
        <v>-138.66</v>
      </c>
      <c r="E8672" t="s">
        <v>35</v>
      </c>
      <c r="F8672" s="2">
        <v>610148001</v>
      </c>
      <c r="G8672" s="2" t="s">
        <v>42</v>
      </c>
      <c r="L8672" s="2" t="s">
        <v>15824</v>
      </c>
      <c r="M8672" t="s">
        <v>43</v>
      </c>
      <c r="N8672" t="s">
        <v>42</v>
      </c>
      <c r="P8672" s="23">
        <v>173.74</v>
      </c>
      <c r="Q8672" s="4">
        <f t="shared" si="135"/>
        <v>-0.7980890986531598</v>
      </c>
      <c r="R8672" s="23" t="s">
        <v>1198</v>
      </c>
      <c r="T8672" s="93" t="s">
        <v>14165</v>
      </c>
    </row>
    <row r="8673" spans="1:20" x14ac:dyDescent="0.25">
      <c r="A8673" s="21">
        <v>45926</v>
      </c>
      <c r="B8673" s="1" t="s">
        <v>15825</v>
      </c>
      <c r="C8673" t="s">
        <v>15826</v>
      </c>
      <c r="D8673" s="43">
        <v>-55465.83</v>
      </c>
      <c r="E8673" t="s">
        <v>35</v>
      </c>
      <c r="F8673" s="2">
        <v>210101001</v>
      </c>
      <c r="G8673" s="2" t="s">
        <v>36</v>
      </c>
      <c r="L8673" s="2" t="s">
        <v>15827</v>
      </c>
      <c r="M8673" t="s">
        <v>1325</v>
      </c>
      <c r="N8673" t="s">
        <v>1326</v>
      </c>
      <c r="P8673" s="23">
        <v>173.74</v>
      </c>
      <c r="Q8673" s="4">
        <f t="shared" si="135"/>
        <v>-319.24617244157935</v>
      </c>
      <c r="R8673" s="23" t="s">
        <v>1198</v>
      </c>
    </row>
    <row r="8674" spans="1:20" x14ac:dyDescent="0.25">
      <c r="A8674" s="21">
        <v>45926</v>
      </c>
      <c r="B8674" s="1" t="s">
        <v>15828</v>
      </c>
      <c r="C8674" t="s">
        <v>1221</v>
      </c>
      <c r="D8674" s="43">
        <v>-371.79</v>
      </c>
      <c r="E8674" t="s">
        <v>35</v>
      </c>
      <c r="F8674" s="2">
        <v>610148001</v>
      </c>
      <c r="G8674" s="2" t="s">
        <v>42</v>
      </c>
      <c r="L8674" s="2" t="s">
        <v>15829</v>
      </c>
      <c r="M8674" t="s">
        <v>43</v>
      </c>
      <c r="N8674" t="s">
        <v>42</v>
      </c>
      <c r="P8674" s="23">
        <v>173.74</v>
      </c>
      <c r="Q8674" s="4">
        <f t="shared" si="135"/>
        <v>-2.139921722113503</v>
      </c>
      <c r="R8674" s="23" t="s">
        <v>1198</v>
      </c>
      <c r="T8674" s="93" t="s">
        <v>14165</v>
      </c>
    </row>
    <row r="8675" spans="1:20" x14ac:dyDescent="0.25">
      <c r="A8675" s="21">
        <v>45926</v>
      </c>
      <c r="B8675" s="1" t="s">
        <v>15830</v>
      </c>
      <c r="C8675" t="s">
        <v>15831</v>
      </c>
      <c r="D8675" s="43">
        <v>-148718.07</v>
      </c>
      <c r="E8675" t="s">
        <v>35</v>
      </c>
      <c r="F8675" s="2">
        <v>210101001</v>
      </c>
      <c r="G8675" s="2" t="s">
        <v>36</v>
      </c>
      <c r="L8675" s="2" t="s">
        <v>15832</v>
      </c>
      <c r="M8675" t="s">
        <v>760</v>
      </c>
      <c r="N8675" t="s">
        <v>761</v>
      </c>
      <c r="P8675" s="23">
        <v>173.74</v>
      </c>
      <c r="Q8675" s="4">
        <f t="shared" si="135"/>
        <v>-855.98060320018419</v>
      </c>
      <c r="R8675" s="23" t="s">
        <v>1198</v>
      </c>
    </row>
    <row r="8676" spans="1:20" x14ac:dyDescent="0.25">
      <c r="A8676" s="21">
        <v>45926</v>
      </c>
      <c r="B8676" s="1" t="s">
        <v>15833</v>
      </c>
      <c r="C8676" t="s">
        <v>1221</v>
      </c>
      <c r="D8676" s="43">
        <v>-52.12</v>
      </c>
      <c r="E8676" t="s">
        <v>35</v>
      </c>
      <c r="F8676" s="2">
        <v>610148001</v>
      </c>
      <c r="G8676" s="2" t="s">
        <v>42</v>
      </c>
      <c r="L8676" s="2" t="s">
        <v>15834</v>
      </c>
      <c r="M8676" t="s">
        <v>43</v>
      </c>
      <c r="N8676" t="s">
        <v>42</v>
      </c>
      <c r="P8676" s="23">
        <v>173.74</v>
      </c>
      <c r="Q8676" s="4">
        <f t="shared" ref="Q8676:Q8739" si="136">D8676/P8676</f>
        <v>-0.29998848854610333</v>
      </c>
      <c r="R8676" s="23" t="s">
        <v>1198</v>
      </c>
      <c r="T8676" s="93" t="s">
        <v>14165</v>
      </c>
    </row>
    <row r="8677" spans="1:20" x14ac:dyDescent="0.25">
      <c r="A8677" s="32">
        <v>45926</v>
      </c>
      <c r="B8677" s="26" t="s">
        <v>15835</v>
      </c>
      <c r="C8677" s="27" t="s">
        <v>54</v>
      </c>
      <c r="D8677" s="46">
        <v>-20848.8</v>
      </c>
      <c r="E8677" s="27" t="s">
        <v>35</v>
      </c>
      <c r="F8677" s="29">
        <v>610129001</v>
      </c>
      <c r="G8677" s="29" t="s">
        <v>55</v>
      </c>
      <c r="H8677" s="107"/>
      <c r="I8677" s="101"/>
      <c r="J8677" s="101"/>
      <c r="K8677" s="29"/>
      <c r="L8677" s="2" t="s">
        <v>15836</v>
      </c>
      <c r="M8677" s="27" t="s">
        <v>57</v>
      </c>
      <c r="N8677" s="27" t="s">
        <v>58</v>
      </c>
      <c r="O8677" s="27" t="s">
        <v>59</v>
      </c>
      <c r="P8677" s="31">
        <v>173.74</v>
      </c>
      <c r="Q8677" s="4">
        <f t="shared" si="136"/>
        <v>-119.99999999999999</v>
      </c>
      <c r="R8677" s="23" t="s">
        <v>1198</v>
      </c>
      <c r="T8677" s="23" t="s">
        <v>15837</v>
      </c>
    </row>
    <row r="8678" spans="1:20" x14ac:dyDescent="0.25">
      <c r="A8678" s="21">
        <v>45926</v>
      </c>
      <c r="B8678" s="1" t="s">
        <v>15838</v>
      </c>
      <c r="C8678" t="s">
        <v>1221</v>
      </c>
      <c r="D8678" s="43">
        <v>-13.03</v>
      </c>
      <c r="E8678" t="s">
        <v>35</v>
      </c>
      <c r="F8678" s="2">
        <v>610148001</v>
      </c>
      <c r="G8678" s="2" t="s">
        <v>42</v>
      </c>
      <c r="L8678" s="2" t="s">
        <v>15839</v>
      </c>
      <c r="M8678" t="s">
        <v>43</v>
      </c>
      <c r="N8678" t="s">
        <v>42</v>
      </c>
      <c r="P8678" s="23">
        <v>173.74</v>
      </c>
      <c r="Q8678" s="4">
        <f t="shared" si="136"/>
        <v>-7.4997122136525832E-2</v>
      </c>
      <c r="R8678" s="23" t="s">
        <v>1198</v>
      </c>
      <c r="T8678" s="93" t="s">
        <v>14165</v>
      </c>
    </row>
    <row r="8679" spans="1:20" x14ac:dyDescent="0.25">
      <c r="A8679" s="21">
        <v>45926</v>
      </c>
      <c r="B8679" s="1" t="s">
        <v>15840</v>
      </c>
      <c r="C8679" t="s">
        <v>15293</v>
      </c>
      <c r="D8679" s="43">
        <v>-5212.2</v>
      </c>
      <c r="E8679" t="s">
        <v>35</v>
      </c>
      <c r="F8679" s="2">
        <v>212901001</v>
      </c>
      <c r="G8679" s="2" t="s">
        <v>121</v>
      </c>
      <c r="L8679" s="2" t="s">
        <v>15841</v>
      </c>
      <c r="M8679" t="s">
        <v>67</v>
      </c>
      <c r="N8679" t="s">
        <v>68</v>
      </c>
      <c r="P8679" s="23">
        <v>173.74</v>
      </c>
      <c r="Q8679" s="4">
        <f t="shared" si="136"/>
        <v>-29.999999999999996</v>
      </c>
      <c r="R8679" s="23" t="s">
        <v>1198</v>
      </c>
    </row>
    <row r="8680" spans="1:20" x14ac:dyDescent="0.25">
      <c r="A8680" s="21">
        <v>45926</v>
      </c>
      <c r="B8680" s="1" t="s">
        <v>15842</v>
      </c>
      <c r="C8680" t="s">
        <v>1221</v>
      </c>
      <c r="D8680" s="43">
        <v>-47.77</v>
      </c>
      <c r="E8680" t="s">
        <v>35</v>
      </c>
      <c r="F8680" s="2">
        <v>610148001</v>
      </c>
      <c r="G8680" s="2" t="s">
        <v>42</v>
      </c>
      <c r="L8680" s="2" t="s">
        <v>15843</v>
      </c>
      <c r="M8680" t="s">
        <v>43</v>
      </c>
      <c r="N8680" t="s">
        <v>42</v>
      </c>
      <c r="P8680" s="23">
        <v>173.74</v>
      </c>
      <c r="Q8680" s="4">
        <f t="shared" si="136"/>
        <v>-0.27495107632093935</v>
      </c>
      <c r="R8680" s="23" t="s">
        <v>1198</v>
      </c>
      <c r="T8680" s="93" t="s">
        <v>14165</v>
      </c>
    </row>
    <row r="8681" spans="1:20" x14ac:dyDescent="0.25">
      <c r="A8681" s="32">
        <v>45926</v>
      </c>
      <c r="B8681" s="26" t="s">
        <v>15844</v>
      </c>
      <c r="C8681" s="27" t="s">
        <v>15307</v>
      </c>
      <c r="D8681" s="46">
        <v>-19111.400000000001</v>
      </c>
      <c r="E8681" s="27" t="s">
        <v>35</v>
      </c>
      <c r="F8681" s="29">
        <v>610156001</v>
      </c>
      <c r="G8681" s="29" t="s">
        <v>91</v>
      </c>
      <c r="H8681" s="107"/>
      <c r="I8681" s="101"/>
      <c r="J8681" s="101"/>
      <c r="K8681" s="29"/>
      <c r="L8681" s="2" t="s">
        <v>15845</v>
      </c>
      <c r="M8681" s="27" t="s">
        <v>93</v>
      </c>
      <c r="N8681" s="27" t="s">
        <v>94</v>
      </c>
      <c r="O8681" s="27" t="s">
        <v>59</v>
      </c>
      <c r="P8681" s="31">
        <v>173.74</v>
      </c>
      <c r="Q8681" s="4">
        <f t="shared" si="136"/>
        <v>-110</v>
      </c>
      <c r="R8681" s="23" t="s">
        <v>1198</v>
      </c>
      <c r="T8681" s="23" t="s">
        <v>15846</v>
      </c>
    </row>
    <row r="8682" spans="1:20" x14ac:dyDescent="0.25">
      <c r="A8682" s="21">
        <v>45926</v>
      </c>
      <c r="B8682" s="1" t="s">
        <v>15847</v>
      </c>
      <c r="C8682" t="s">
        <v>15808</v>
      </c>
      <c r="D8682" s="43">
        <v>382914.36</v>
      </c>
      <c r="E8682" t="s">
        <v>46</v>
      </c>
      <c r="F8682" s="2">
        <v>210101001</v>
      </c>
      <c r="G8682" s="2" t="s">
        <v>36</v>
      </c>
      <c r="L8682" s="2" t="s">
        <v>15848</v>
      </c>
      <c r="N8682" t="s">
        <v>2353</v>
      </c>
      <c r="P8682" s="23">
        <v>173.74</v>
      </c>
      <c r="Q8682" s="4">
        <f t="shared" si="136"/>
        <v>2203.9505007482444</v>
      </c>
      <c r="R8682" s="23" t="s">
        <v>1198</v>
      </c>
    </row>
    <row r="8683" spans="1:20" x14ac:dyDescent="0.25">
      <c r="A8683" s="21">
        <v>45929</v>
      </c>
      <c r="B8683" s="1" t="s">
        <v>15849</v>
      </c>
      <c r="C8683" t="s">
        <v>544</v>
      </c>
      <c r="D8683" s="43">
        <v>300000</v>
      </c>
      <c r="E8683" t="s">
        <v>46</v>
      </c>
      <c r="F8683" s="2">
        <v>210115002</v>
      </c>
      <c r="G8683" s="2" t="s">
        <v>12156</v>
      </c>
      <c r="L8683" s="2" t="s">
        <v>15850</v>
      </c>
      <c r="N8683" t="s">
        <v>544</v>
      </c>
      <c r="P8683" s="23">
        <v>175.65</v>
      </c>
      <c r="Q8683" s="4">
        <f t="shared" si="136"/>
        <v>1707.9419299743809</v>
      </c>
      <c r="R8683" s="23" t="s">
        <v>1198</v>
      </c>
    </row>
    <row r="8684" spans="1:20" x14ac:dyDescent="0.25">
      <c r="A8684" s="21">
        <v>45929</v>
      </c>
      <c r="B8684" s="1" t="s">
        <v>15851</v>
      </c>
      <c r="C8684" t="s">
        <v>544</v>
      </c>
      <c r="D8684" s="43">
        <v>1300000</v>
      </c>
      <c r="E8684" t="s">
        <v>46</v>
      </c>
      <c r="F8684" s="2">
        <v>210115002</v>
      </c>
      <c r="G8684" s="2" t="s">
        <v>12156</v>
      </c>
      <c r="L8684" s="2" t="s">
        <v>15852</v>
      </c>
      <c r="N8684" t="s">
        <v>544</v>
      </c>
      <c r="P8684" s="23">
        <v>175.65</v>
      </c>
      <c r="Q8684" s="4">
        <f t="shared" si="136"/>
        <v>7401.0816965556505</v>
      </c>
      <c r="R8684" s="23" t="s">
        <v>1198</v>
      </c>
    </row>
    <row r="8685" spans="1:20" x14ac:dyDescent="0.25">
      <c r="A8685" s="21">
        <v>45929</v>
      </c>
      <c r="B8685" s="1" t="s">
        <v>15853</v>
      </c>
      <c r="C8685" t="s">
        <v>1221</v>
      </c>
      <c r="D8685" s="43">
        <v>-2500</v>
      </c>
      <c r="E8685" t="s">
        <v>35</v>
      </c>
      <c r="F8685" s="2">
        <v>610148001</v>
      </c>
      <c r="G8685" s="2" t="s">
        <v>42</v>
      </c>
      <c r="L8685" s="2" t="s">
        <v>15854</v>
      </c>
      <c r="M8685" t="s">
        <v>43</v>
      </c>
      <c r="N8685" t="s">
        <v>42</v>
      </c>
      <c r="P8685" s="23">
        <v>175.65</v>
      </c>
      <c r="Q8685" s="4">
        <f t="shared" si="136"/>
        <v>-14.232849416453174</v>
      </c>
      <c r="R8685" s="23" t="s">
        <v>1198</v>
      </c>
      <c r="T8685" s="93" t="s">
        <v>14165</v>
      </c>
    </row>
    <row r="8686" spans="1:20" x14ac:dyDescent="0.25">
      <c r="A8686" s="21">
        <v>45929</v>
      </c>
      <c r="B8686" s="1" t="s">
        <v>15855</v>
      </c>
      <c r="C8686" t="s">
        <v>15856</v>
      </c>
      <c r="D8686" s="43">
        <v>-1000000</v>
      </c>
      <c r="E8686" t="s">
        <v>35</v>
      </c>
      <c r="F8686" s="2">
        <v>110114001</v>
      </c>
      <c r="G8686" s="2" t="s">
        <v>301</v>
      </c>
      <c r="L8686" s="2" t="s">
        <v>15857</v>
      </c>
      <c r="M8686" t="s">
        <v>38</v>
      </c>
      <c r="N8686" t="s">
        <v>39</v>
      </c>
      <c r="P8686" s="23">
        <v>175.65</v>
      </c>
      <c r="Q8686" s="4">
        <f t="shared" si="136"/>
        <v>-5693.1397665812692</v>
      </c>
      <c r="R8686" s="23" t="s">
        <v>1198</v>
      </c>
      <c r="S8686" s="33" t="s">
        <v>14718</v>
      </c>
    </row>
    <row r="8687" spans="1:20" x14ac:dyDescent="0.25">
      <c r="A8687" s="21">
        <v>45929</v>
      </c>
      <c r="B8687" s="1" t="s">
        <v>15858</v>
      </c>
      <c r="C8687" t="s">
        <v>1221</v>
      </c>
      <c r="D8687" s="43">
        <v>-1657.98</v>
      </c>
      <c r="E8687" t="s">
        <v>35</v>
      </c>
      <c r="F8687" s="2">
        <v>610148001</v>
      </c>
      <c r="G8687" s="2" t="s">
        <v>42</v>
      </c>
      <c r="L8687" s="2" t="s">
        <v>15859</v>
      </c>
      <c r="M8687" t="s">
        <v>43</v>
      </c>
      <c r="N8687" t="s">
        <v>42</v>
      </c>
      <c r="P8687" s="23">
        <v>175.65</v>
      </c>
      <c r="Q8687" s="4">
        <f t="shared" si="136"/>
        <v>-9.4391118701964132</v>
      </c>
      <c r="R8687" s="23" t="s">
        <v>1198</v>
      </c>
      <c r="T8687" s="93" t="s">
        <v>14165</v>
      </c>
    </row>
    <row r="8688" spans="1:20" x14ac:dyDescent="0.25">
      <c r="A8688" s="21">
        <v>45929</v>
      </c>
      <c r="B8688" s="1" t="s">
        <v>15860</v>
      </c>
      <c r="C8688" t="s">
        <v>15856</v>
      </c>
      <c r="D8688" s="43">
        <v>-663195.94999999995</v>
      </c>
      <c r="E8688" t="s">
        <v>35</v>
      </c>
      <c r="F8688" s="2">
        <v>110114001</v>
      </c>
      <c r="G8688" s="2" t="s">
        <v>301</v>
      </c>
      <c r="L8688" s="2" t="s">
        <v>15861</v>
      </c>
      <c r="M8688" t="s">
        <v>38</v>
      </c>
      <c r="N8688" t="s">
        <v>39</v>
      </c>
      <c r="P8688" s="23">
        <v>175.65</v>
      </c>
      <c r="Q8688" s="4">
        <f t="shared" si="136"/>
        <v>-3775.667235980643</v>
      </c>
      <c r="R8688" s="23" t="s">
        <v>1198</v>
      </c>
      <c r="S8688" s="33" t="s">
        <v>14718</v>
      </c>
    </row>
    <row r="8689" spans="1:20" x14ac:dyDescent="0.25">
      <c r="A8689" s="21">
        <v>45929</v>
      </c>
      <c r="B8689" s="1" t="s">
        <v>15862</v>
      </c>
      <c r="C8689" t="s">
        <v>1221</v>
      </c>
      <c r="D8689" s="43">
        <v>-794.64</v>
      </c>
      <c r="E8689" t="s">
        <v>35</v>
      </c>
      <c r="F8689" s="2">
        <v>610148001</v>
      </c>
      <c r="G8689" s="2" t="s">
        <v>42</v>
      </c>
      <c r="L8689" s="2" t="s">
        <v>15863</v>
      </c>
      <c r="M8689" t="s">
        <v>43</v>
      </c>
      <c r="N8689" t="s">
        <v>42</v>
      </c>
      <c r="P8689" s="23">
        <v>175.65</v>
      </c>
      <c r="Q8689" s="4">
        <f t="shared" si="136"/>
        <v>-4.5239965841161398</v>
      </c>
      <c r="R8689" s="23" t="s">
        <v>1198</v>
      </c>
      <c r="T8689" s="93" t="s">
        <v>14165</v>
      </c>
    </row>
    <row r="8690" spans="1:20" x14ac:dyDescent="0.25">
      <c r="A8690" s="21">
        <v>45929</v>
      </c>
      <c r="B8690" s="1" t="s">
        <v>15864</v>
      </c>
      <c r="C8690" t="s">
        <v>15865</v>
      </c>
      <c r="D8690" s="43">
        <v>-317856.24</v>
      </c>
      <c r="E8690" t="s">
        <v>35</v>
      </c>
      <c r="F8690" s="2">
        <v>110114001</v>
      </c>
      <c r="G8690" s="2" t="s">
        <v>301</v>
      </c>
      <c r="L8690" s="2" t="s">
        <v>15866</v>
      </c>
      <c r="M8690" t="s">
        <v>38</v>
      </c>
      <c r="N8690" t="s">
        <v>39</v>
      </c>
      <c r="P8690" s="23">
        <v>175.65</v>
      </c>
      <c r="Q8690" s="4">
        <f t="shared" si="136"/>
        <v>-1809.6</v>
      </c>
      <c r="R8690" s="23" t="s">
        <v>1198</v>
      </c>
      <c r="S8690" s="33" t="s">
        <v>14718</v>
      </c>
    </row>
    <row r="8691" spans="1:20" x14ac:dyDescent="0.25">
      <c r="A8691" s="21">
        <v>45929</v>
      </c>
      <c r="B8691" s="1" t="s">
        <v>15867</v>
      </c>
      <c r="C8691" t="s">
        <v>1221</v>
      </c>
      <c r="D8691" s="43">
        <v>-43.91</v>
      </c>
      <c r="E8691" t="s">
        <v>35</v>
      </c>
      <c r="F8691" s="2">
        <v>610148001</v>
      </c>
      <c r="G8691" s="2" t="s">
        <v>42</v>
      </c>
      <c r="L8691" s="2" t="s">
        <v>15868</v>
      </c>
      <c r="M8691" t="s">
        <v>43</v>
      </c>
      <c r="N8691" t="s">
        <v>42</v>
      </c>
      <c r="P8691" s="23">
        <v>175.65</v>
      </c>
      <c r="Q8691" s="4">
        <f t="shared" si="136"/>
        <v>-0.24998576715058352</v>
      </c>
      <c r="R8691" s="23" t="s">
        <v>1198</v>
      </c>
      <c r="T8691" s="93" t="s">
        <v>14165</v>
      </c>
    </row>
    <row r="8692" spans="1:20" x14ac:dyDescent="0.25">
      <c r="A8692" s="21">
        <v>45929</v>
      </c>
      <c r="B8692" s="1" t="s">
        <v>15869</v>
      </c>
      <c r="C8692" t="s">
        <v>100</v>
      </c>
      <c r="D8692" s="84">
        <v>-17565</v>
      </c>
      <c r="E8692" t="s">
        <v>35</v>
      </c>
      <c r="F8692" s="2">
        <v>610124003</v>
      </c>
      <c r="G8692" s="2" t="s">
        <v>101</v>
      </c>
      <c r="L8692" s="2" t="s">
        <v>15870</v>
      </c>
      <c r="M8692" t="s">
        <v>103</v>
      </c>
      <c r="N8692" t="s">
        <v>104</v>
      </c>
      <c r="O8692" s="27" t="s">
        <v>59</v>
      </c>
      <c r="P8692" s="23">
        <v>175.65</v>
      </c>
      <c r="Q8692" s="4">
        <f t="shared" si="136"/>
        <v>-100</v>
      </c>
      <c r="R8692" s="23" t="s">
        <v>1198</v>
      </c>
      <c r="T8692" s="23" t="s">
        <v>15871</v>
      </c>
    </row>
    <row r="8693" spans="1:20" x14ac:dyDescent="0.25">
      <c r="A8693" s="21">
        <v>45929</v>
      </c>
      <c r="B8693" s="1" t="s">
        <v>15872</v>
      </c>
      <c r="C8693" t="s">
        <v>544</v>
      </c>
      <c r="D8693" s="43">
        <v>1000000</v>
      </c>
      <c r="E8693" t="s">
        <v>46</v>
      </c>
      <c r="F8693" s="2">
        <v>210115002</v>
      </c>
      <c r="G8693" s="2" t="s">
        <v>12156</v>
      </c>
      <c r="L8693" s="2" t="s">
        <v>15873</v>
      </c>
      <c r="N8693" t="s">
        <v>544</v>
      </c>
      <c r="P8693" s="23">
        <v>175.65</v>
      </c>
      <c r="Q8693" s="4">
        <f t="shared" si="136"/>
        <v>5693.1397665812692</v>
      </c>
      <c r="R8693" s="23" t="s">
        <v>1198</v>
      </c>
    </row>
    <row r="8694" spans="1:20" x14ac:dyDescent="0.25">
      <c r="A8694" s="21">
        <v>45929</v>
      </c>
      <c r="B8694" s="1" t="s">
        <v>15874</v>
      </c>
      <c r="C8694" t="s">
        <v>15875</v>
      </c>
      <c r="D8694" s="43">
        <v>-19637.64</v>
      </c>
      <c r="E8694" t="s">
        <v>35</v>
      </c>
      <c r="F8694" s="2">
        <v>210101001</v>
      </c>
      <c r="G8694" s="2" t="s">
        <v>36</v>
      </c>
      <c r="L8694" s="2" t="s">
        <v>15876</v>
      </c>
      <c r="M8694" t="s">
        <v>3326</v>
      </c>
      <c r="N8694" t="s">
        <v>3327</v>
      </c>
      <c r="P8694" s="23">
        <v>175.65</v>
      </c>
      <c r="Q8694" s="4">
        <f t="shared" si="136"/>
        <v>-111.799829205807</v>
      </c>
      <c r="R8694" s="23" t="s">
        <v>1198</v>
      </c>
    </row>
    <row r="8695" spans="1:20" x14ac:dyDescent="0.25">
      <c r="A8695" s="21">
        <v>45929</v>
      </c>
      <c r="B8695" s="1" t="s">
        <v>15877</v>
      </c>
      <c r="C8695" t="s">
        <v>1221</v>
      </c>
      <c r="D8695" s="43">
        <v>-49.09</v>
      </c>
      <c r="E8695" t="s">
        <v>35</v>
      </c>
      <c r="F8695" s="2">
        <v>610148001</v>
      </c>
      <c r="G8695" s="2" t="s">
        <v>42</v>
      </c>
      <c r="L8695" s="2" t="s">
        <v>15878</v>
      </c>
      <c r="M8695" t="s">
        <v>43</v>
      </c>
      <c r="N8695" t="s">
        <v>42</v>
      </c>
      <c r="P8695" s="23">
        <v>175.65</v>
      </c>
      <c r="Q8695" s="4">
        <f t="shared" si="136"/>
        <v>-0.27947623114147452</v>
      </c>
      <c r="R8695" s="23" t="s">
        <v>1198</v>
      </c>
      <c r="T8695" s="93" t="s">
        <v>14165</v>
      </c>
    </row>
    <row r="8696" spans="1:20" x14ac:dyDescent="0.25">
      <c r="A8696" s="21">
        <v>45929</v>
      </c>
      <c r="B8696" s="1" t="s">
        <v>15879</v>
      </c>
      <c r="C8696" t="s">
        <v>15880</v>
      </c>
      <c r="D8696" s="43">
        <v>-324021.06</v>
      </c>
      <c r="E8696" t="s">
        <v>35</v>
      </c>
      <c r="F8696" s="2">
        <v>210101001</v>
      </c>
      <c r="G8696" s="2" t="s">
        <v>36</v>
      </c>
      <c r="L8696" s="2" t="s">
        <v>15881</v>
      </c>
      <c r="M8696" t="s">
        <v>3326</v>
      </c>
      <c r="N8696" t="s">
        <v>3327</v>
      </c>
      <c r="P8696" s="23">
        <v>175.65</v>
      </c>
      <c r="Q8696" s="4">
        <f t="shared" si="136"/>
        <v>-1844.6971818958154</v>
      </c>
      <c r="R8696" s="23" t="s">
        <v>1198</v>
      </c>
    </row>
    <row r="8697" spans="1:20" x14ac:dyDescent="0.25">
      <c r="A8697" s="21">
        <v>45929</v>
      </c>
      <c r="B8697" s="1" t="s">
        <v>15882</v>
      </c>
      <c r="C8697" t="s">
        <v>1221</v>
      </c>
      <c r="D8697" s="43">
        <v>-810.05</v>
      </c>
      <c r="E8697" t="s">
        <v>35</v>
      </c>
      <c r="F8697" s="2">
        <v>610148001</v>
      </c>
      <c r="G8697" s="2" t="s">
        <v>42</v>
      </c>
      <c r="L8697" s="2" t="s">
        <v>15883</v>
      </c>
      <c r="M8697" t="s">
        <v>43</v>
      </c>
      <c r="N8697" t="s">
        <v>42</v>
      </c>
      <c r="P8697" s="23">
        <v>175.65</v>
      </c>
      <c r="Q8697" s="4">
        <f t="shared" si="136"/>
        <v>-4.6117278679191571</v>
      </c>
      <c r="R8697" s="23" t="s">
        <v>1198</v>
      </c>
      <c r="T8697" s="93" t="s">
        <v>14165</v>
      </c>
    </row>
    <row r="8698" spans="1:20" x14ac:dyDescent="0.25">
      <c r="A8698" s="21">
        <v>45929</v>
      </c>
      <c r="B8698" s="1" t="s">
        <v>15884</v>
      </c>
      <c r="C8698" t="s">
        <v>15885</v>
      </c>
      <c r="D8698" s="43">
        <v>-225832.86</v>
      </c>
      <c r="E8698" t="s">
        <v>35</v>
      </c>
      <c r="F8698" s="2">
        <v>210101001</v>
      </c>
      <c r="G8698" s="2" t="s">
        <v>36</v>
      </c>
      <c r="L8698" s="2" t="s">
        <v>15886</v>
      </c>
      <c r="M8698" t="s">
        <v>3326</v>
      </c>
      <c r="N8698" t="s">
        <v>3327</v>
      </c>
      <c r="P8698" s="23">
        <v>175.65</v>
      </c>
      <c r="Q8698" s="4">
        <f t="shared" si="136"/>
        <v>-1285.6980358667804</v>
      </c>
      <c r="R8698" s="23" t="s">
        <v>1198</v>
      </c>
    </row>
    <row r="8699" spans="1:20" x14ac:dyDescent="0.25">
      <c r="A8699" s="21">
        <v>45929</v>
      </c>
      <c r="B8699" s="1" t="s">
        <v>15887</v>
      </c>
      <c r="C8699" t="s">
        <v>1221</v>
      </c>
      <c r="D8699" s="43">
        <v>-564.58000000000004</v>
      </c>
      <c r="E8699" t="s">
        <v>35</v>
      </c>
      <c r="F8699" s="2">
        <v>610148001</v>
      </c>
      <c r="G8699" s="2" t="s">
        <v>42</v>
      </c>
      <c r="L8699" s="2" t="s">
        <v>15888</v>
      </c>
      <c r="M8699" t="s">
        <v>43</v>
      </c>
      <c r="N8699" t="s">
        <v>42</v>
      </c>
      <c r="P8699" s="23">
        <v>175.65</v>
      </c>
      <c r="Q8699" s="4">
        <f t="shared" si="136"/>
        <v>-3.2142328494164532</v>
      </c>
      <c r="R8699" s="23" t="s">
        <v>1198</v>
      </c>
      <c r="T8699" s="93" t="s">
        <v>14165</v>
      </c>
    </row>
    <row r="8700" spans="1:20" x14ac:dyDescent="0.25">
      <c r="A8700" s="21">
        <v>45929</v>
      </c>
      <c r="B8700" s="1" t="s">
        <v>15889</v>
      </c>
      <c r="C8700" t="s">
        <v>15890</v>
      </c>
      <c r="D8700" s="43">
        <v>-196376.4</v>
      </c>
      <c r="E8700" t="s">
        <v>35</v>
      </c>
      <c r="F8700" s="2">
        <v>210101001</v>
      </c>
      <c r="G8700" s="2" t="s">
        <v>36</v>
      </c>
      <c r="L8700" s="2" t="s">
        <v>15891</v>
      </c>
      <c r="M8700" t="s">
        <v>3326</v>
      </c>
      <c r="N8700" t="s">
        <v>3327</v>
      </c>
      <c r="P8700" s="23">
        <v>175.65</v>
      </c>
      <c r="Q8700" s="4">
        <f t="shared" si="136"/>
        <v>-1117.9982920580699</v>
      </c>
      <c r="R8700" s="23" t="s">
        <v>1198</v>
      </c>
    </row>
    <row r="8701" spans="1:20" x14ac:dyDescent="0.25">
      <c r="A8701" s="21">
        <v>45929</v>
      </c>
      <c r="B8701" s="1" t="s">
        <v>15892</v>
      </c>
      <c r="C8701" t="s">
        <v>1221</v>
      </c>
      <c r="D8701" s="43">
        <v>-490.94</v>
      </c>
      <c r="E8701" t="s">
        <v>35</v>
      </c>
      <c r="F8701" s="2">
        <v>610148001</v>
      </c>
      <c r="G8701" s="2" t="s">
        <v>42</v>
      </c>
      <c r="L8701" s="2" t="s">
        <v>15893</v>
      </c>
      <c r="M8701" t="s">
        <v>43</v>
      </c>
      <c r="N8701" t="s">
        <v>42</v>
      </c>
      <c r="P8701" s="23">
        <v>175.65</v>
      </c>
      <c r="Q8701" s="4">
        <f t="shared" si="136"/>
        <v>-2.7949900370054084</v>
      </c>
      <c r="R8701" s="23" t="s">
        <v>1198</v>
      </c>
      <c r="T8701" s="93" t="s">
        <v>14165</v>
      </c>
    </row>
    <row r="8702" spans="1:20" x14ac:dyDescent="0.25">
      <c r="A8702" s="21">
        <v>45929</v>
      </c>
      <c r="B8702" s="1" t="s">
        <v>15894</v>
      </c>
      <c r="C8702" t="s">
        <v>15895</v>
      </c>
      <c r="D8702" s="43">
        <v>-235651.68</v>
      </c>
      <c r="E8702" t="s">
        <v>35</v>
      </c>
      <c r="F8702" s="2">
        <v>210101001</v>
      </c>
      <c r="G8702" s="2" t="s">
        <v>36</v>
      </c>
      <c r="L8702" s="2" t="s">
        <v>15896</v>
      </c>
      <c r="M8702" t="s">
        <v>3326</v>
      </c>
      <c r="N8702" t="s">
        <v>3327</v>
      </c>
      <c r="P8702" s="23">
        <v>175.65</v>
      </c>
      <c r="Q8702" s="4">
        <f t="shared" si="136"/>
        <v>-1341.5979504696838</v>
      </c>
      <c r="R8702" s="23" t="s">
        <v>1198</v>
      </c>
    </row>
    <row r="8703" spans="1:20" x14ac:dyDescent="0.25">
      <c r="A8703" s="21">
        <v>45929</v>
      </c>
      <c r="B8703" s="1" t="s">
        <v>15897</v>
      </c>
      <c r="C8703" t="s">
        <v>1221</v>
      </c>
      <c r="D8703" s="43">
        <v>-589.12</v>
      </c>
      <c r="E8703" t="s">
        <v>35</v>
      </c>
      <c r="F8703" s="2">
        <v>610148001</v>
      </c>
      <c r="G8703" s="2" t="s">
        <v>42</v>
      </c>
      <c r="L8703" s="2" t="s">
        <v>15898</v>
      </c>
      <c r="M8703" t="s">
        <v>43</v>
      </c>
      <c r="N8703" t="s">
        <v>42</v>
      </c>
      <c r="P8703" s="23">
        <v>175.65</v>
      </c>
      <c r="Q8703" s="4">
        <f t="shared" si="136"/>
        <v>-3.3539424992883573</v>
      </c>
      <c r="R8703" s="23" t="s">
        <v>1198</v>
      </c>
      <c r="T8703" s="93" t="s">
        <v>14165</v>
      </c>
    </row>
    <row r="8704" spans="1:20" x14ac:dyDescent="0.25">
      <c r="A8704" s="21">
        <v>45930</v>
      </c>
      <c r="B8704" s="1" t="s">
        <v>12145</v>
      </c>
      <c r="C8704" s="2" t="s">
        <v>10260</v>
      </c>
      <c r="D8704" s="43" t="s">
        <v>10261</v>
      </c>
      <c r="E8704" t="s">
        <v>35</v>
      </c>
      <c r="F8704" s="2">
        <v>610148001</v>
      </c>
      <c r="G8704" t="s">
        <v>42</v>
      </c>
      <c r="H8704" s="64"/>
      <c r="I8704" s="23"/>
      <c r="J8704" s="23"/>
      <c r="K8704"/>
      <c r="L8704" s="2" t="s">
        <v>15899</v>
      </c>
      <c r="M8704" t="s">
        <v>43</v>
      </c>
      <c r="N8704" t="s">
        <v>42</v>
      </c>
      <c r="P8704" s="23">
        <f>VLOOKUP(A8704,[3]Hoja1!$G$3:$H$32,2,FALSE)</f>
        <v>177.61</v>
      </c>
      <c r="Q8704" s="4">
        <f t="shared" si="136"/>
        <v>-2.8151568042339955E-3</v>
      </c>
      <c r="R8704" s="23" t="s">
        <v>40</v>
      </c>
      <c r="T8704" s="23" t="s">
        <v>14165</v>
      </c>
    </row>
    <row r="8705" spans="1:20" x14ac:dyDescent="0.25">
      <c r="A8705" s="21">
        <v>45930</v>
      </c>
      <c r="B8705" s="1" t="s">
        <v>12147</v>
      </c>
      <c r="C8705" s="2" t="s">
        <v>10263</v>
      </c>
      <c r="D8705" s="43" t="s">
        <v>10261</v>
      </c>
      <c r="E8705" t="s">
        <v>35</v>
      </c>
      <c r="F8705" s="2">
        <v>610148001</v>
      </c>
      <c r="G8705" t="s">
        <v>42</v>
      </c>
      <c r="H8705" s="64"/>
      <c r="I8705" s="23"/>
      <c r="J8705" s="23"/>
      <c r="K8705"/>
      <c r="L8705" s="2" t="s">
        <v>15900</v>
      </c>
      <c r="M8705" t="s">
        <v>43</v>
      </c>
      <c r="N8705" t="s">
        <v>42</v>
      </c>
      <c r="P8705" s="23">
        <f>VLOOKUP(A8705,[3]Hoja1!$G$3:$H$32,2,FALSE)</f>
        <v>177.61</v>
      </c>
      <c r="Q8705" s="4">
        <f t="shared" si="136"/>
        <v>-2.8151568042339955E-3</v>
      </c>
      <c r="R8705" s="23" t="s">
        <v>40</v>
      </c>
      <c r="T8705" s="23" t="s">
        <v>14165</v>
      </c>
    </row>
    <row r="8706" spans="1:20" x14ac:dyDescent="0.25">
      <c r="A8706" s="21">
        <v>45912</v>
      </c>
      <c r="B8706" s="1">
        <v>142</v>
      </c>
      <c r="C8706" t="s">
        <v>51</v>
      </c>
      <c r="D8706" s="43">
        <v>-118.29</v>
      </c>
      <c r="E8706" t="s">
        <v>35</v>
      </c>
      <c r="F8706" s="2">
        <v>610148001</v>
      </c>
      <c r="G8706" s="2" t="s">
        <v>42</v>
      </c>
      <c r="L8706" s="2" t="s">
        <v>15901</v>
      </c>
      <c r="M8706" t="s">
        <v>43</v>
      </c>
      <c r="N8706" t="s">
        <v>42</v>
      </c>
      <c r="P8706" s="23">
        <v>158.93</v>
      </c>
      <c r="Q8706" s="4">
        <f t="shared" si="136"/>
        <v>-0.7442899389668407</v>
      </c>
      <c r="R8706" s="23" t="s">
        <v>53</v>
      </c>
      <c r="T8706" s="23" t="s">
        <v>14165</v>
      </c>
    </row>
    <row r="8707" spans="1:20" x14ac:dyDescent="0.25">
      <c r="A8707" s="21">
        <v>45912</v>
      </c>
      <c r="B8707" s="1">
        <v>141</v>
      </c>
      <c r="C8707" t="s">
        <v>15902</v>
      </c>
      <c r="D8707" s="43">
        <v>-39432.5</v>
      </c>
      <c r="E8707" t="s">
        <v>35</v>
      </c>
      <c r="F8707" s="2">
        <v>840101001</v>
      </c>
      <c r="G8707" s="2" t="s">
        <v>12151</v>
      </c>
      <c r="L8707" s="2" t="s">
        <v>15903</v>
      </c>
      <c r="M8707" t="s">
        <v>67</v>
      </c>
      <c r="N8707" t="s">
        <v>68</v>
      </c>
      <c r="P8707" s="23">
        <v>158.93</v>
      </c>
      <c r="Q8707" s="4">
        <f t="shared" si="136"/>
        <v>-248.11237651796387</v>
      </c>
      <c r="R8707" s="23" t="s">
        <v>53</v>
      </c>
    </row>
    <row r="8708" spans="1:20" x14ac:dyDescent="0.25">
      <c r="A8708" s="21">
        <v>45912</v>
      </c>
      <c r="B8708" s="1">
        <v>140</v>
      </c>
      <c r="C8708" t="s">
        <v>51</v>
      </c>
      <c r="D8708" s="43">
        <v>-118.29</v>
      </c>
      <c r="E8708" t="s">
        <v>35</v>
      </c>
      <c r="F8708" s="2">
        <v>610148001</v>
      </c>
      <c r="G8708" s="2" t="s">
        <v>42</v>
      </c>
      <c r="L8708" s="2" t="s">
        <v>15904</v>
      </c>
      <c r="M8708" t="s">
        <v>43</v>
      </c>
      <c r="N8708" t="s">
        <v>42</v>
      </c>
      <c r="P8708" s="23">
        <v>158.93</v>
      </c>
      <c r="Q8708" s="4">
        <f t="shared" si="136"/>
        <v>-0.7442899389668407</v>
      </c>
      <c r="R8708" s="23" t="s">
        <v>53</v>
      </c>
      <c r="T8708" s="23" t="s">
        <v>14165</v>
      </c>
    </row>
    <row r="8709" spans="1:20" x14ac:dyDescent="0.25">
      <c r="A8709" s="21">
        <v>45912</v>
      </c>
      <c r="B8709" s="1">
        <v>139</v>
      </c>
      <c r="C8709" t="s">
        <v>15905</v>
      </c>
      <c r="D8709" s="43">
        <v>-39432.5</v>
      </c>
      <c r="E8709" t="s">
        <v>35</v>
      </c>
      <c r="F8709" s="2">
        <v>840101001</v>
      </c>
      <c r="G8709" s="2" t="s">
        <v>12151</v>
      </c>
      <c r="L8709" s="2" t="s">
        <v>15906</v>
      </c>
      <c r="M8709" t="s">
        <v>67</v>
      </c>
      <c r="N8709" t="s">
        <v>68</v>
      </c>
      <c r="P8709" s="23">
        <v>158.93</v>
      </c>
      <c r="Q8709" s="4">
        <f t="shared" si="136"/>
        <v>-248.11237651796387</v>
      </c>
      <c r="R8709" s="23" t="s">
        <v>53</v>
      </c>
    </row>
    <row r="8710" spans="1:20" x14ac:dyDescent="0.25">
      <c r="A8710" s="21">
        <v>45912</v>
      </c>
      <c r="B8710" s="1">
        <v>138</v>
      </c>
      <c r="C8710" t="s">
        <v>12850</v>
      </c>
      <c r="D8710" s="43">
        <v>80000</v>
      </c>
      <c r="E8710" t="s">
        <v>46</v>
      </c>
      <c r="F8710" s="2">
        <v>210115002</v>
      </c>
      <c r="G8710" s="2" t="s">
        <v>12156</v>
      </c>
      <c r="L8710" s="2" t="s">
        <v>15907</v>
      </c>
      <c r="N8710" t="s">
        <v>12850</v>
      </c>
      <c r="P8710" s="23">
        <v>158.93</v>
      </c>
      <c r="Q8710" s="4">
        <f t="shared" si="136"/>
        <v>503.3662618762977</v>
      </c>
      <c r="R8710" s="23" t="s">
        <v>53</v>
      </c>
    </row>
    <row r="8711" spans="1:20" x14ac:dyDescent="0.25">
      <c r="A8711" s="21">
        <v>45930</v>
      </c>
      <c r="B8711" s="1">
        <v>149</v>
      </c>
      <c r="C8711" t="s">
        <v>84</v>
      </c>
      <c r="D8711" s="43">
        <v>-0.5</v>
      </c>
      <c r="E8711" t="s">
        <v>35</v>
      </c>
      <c r="F8711" s="2">
        <v>610148001</v>
      </c>
      <c r="G8711" s="2" t="s">
        <v>42</v>
      </c>
      <c r="L8711" s="2" t="s">
        <v>15908</v>
      </c>
      <c r="M8711" t="s">
        <v>43</v>
      </c>
      <c r="N8711" t="s">
        <v>42</v>
      </c>
      <c r="P8711" s="23">
        <v>177.61</v>
      </c>
      <c r="Q8711" s="4">
        <f t="shared" si="136"/>
        <v>-2.8151568042339955E-3</v>
      </c>
      <c r="R8711" s="23" t="s">
        <v>53</v>
      </c>
      <c r="T8711" s="23" t="s">
        <v>14165</v>
      </c>
    </row>
    <row r="8712" spans="1:20" x14ac:dyDescent="0.25">
      <c r="A8712" s="21">
        <v>45930</v>
      </c>
      <c r="B8712" s="1">
        <v>148</v>
      </c>
      <c r="C8712" t="s">
        <v>86</v>
      </c>
      <c r="D8712" s="43">
        <v>-0.5</v>
      </c>
      <c r="E8712" t="s">
        <v>35</v>
      </c>
      <c r="F8712" s="2">
        <v>610148001</v>
      </c>
      <c r="G8712" s="2" t="s">
        <v>42</v>
      </c>
      <c r="L8712" s="2" t="s">
        <v>15909</v>
      </c>
      <c r="M8712" t="s">
        <v>43</v>
      </c>
      <c r="N8712" t="s">
        <v>42</v>
      </c>
      <c r="P8712" s="23">
        <v>177.61</v>
      </c>
      <c r="Q8712" s="4">
        <f t="shared" si="136"/>
        <v>-2.8151568042339955E-3</v>
      </c>
      <c r="R8712" s="23" t="s">
        <v>53</v>
      </c>
      <c r="T8712" s="23" t="s">
        <v>14165</v>
      </c>
    </row>
    <row r="8713" spans="1:20" x14ac:dyDescent="0.25">
      <c r="A8713" s="21">
        <v>45930</v>
      </c>
      <c r="B8713" s="1">
        <v>147</v>
      </c>
      <c r="C8713" t="s">
        <v>51</v>
      </c>
      <c r="D8713" s="43">
        <v>-131.72999999999999</v>
      </c>
      <c r="E8713" t="s">
        <v>35</v>
      </c>
      <c r="F8713" s="2">
        <v>610148001</v>
      </c>
      <c r="G8713" s="2" t="s">
        <v>42</v>
      </c>
      <c r="L8713" s="2" t="s">
        <v>15910</v>
      </c>
      <c r="M8713" t="s">
        <v>43</v>
      </c>
      <c r="N8713" t="s">
        <v>42</v>
      </c>
      <c r="P8713" s="23">
        <v>177.61</v>
      </c>
      <c r="Q8713" s="4">
        <f t="shared" si="136"/>
        <v>-0.74168121164348844</v>
      </c>
      <c r="R8713" s="23" t="s">
        <v>53</v>
      </c>
      <c r="T8713" s="23" t="s">
        <v>14165</v>
      </c>
    </row>
    <row r="8714" spans="1:20" x14ac:dyDescent="0.25">
      <c r="A8714" s="21">
        <v>45930</v>
      </c>
      <c r="B8714" s="1">
        <v>146</v>
      </c>
      <c r="C8714" t="s">
        <v>15902</v>
      </c>
      <c r="D8714" s="43">
        <v>-43912.5</v>
      </c>
      <c r="E8714" t="s">
        <v>35</v>
      </c>
      <c r="F8714" s="2">
        <v>840101001</v>
      </c>
      <c r="G8714" s="2" t="s">
        <v>12151</v>
      </c>
      <c r="L8714" s="2" t="s">
        <v>15911</v>
      </c>
      <c r="M8714" t="s">
        <v>67</v>
      </c>
      <c r="N8714" t="s">
        <v>68</v>
      </c>
      <c r="P8714" s="23">
        <v>177.61</v>
      </c>
      <c r="Q8714" s="4">
        <f t="shared" si="136"/>
        <v>-247.24114633185067</v>
      </c>
      <c r="R8714" s="23" t="s">
        <v>53</v>
      </c>
    </row>
    <row r="8715" spans="1:20" x14ac:dyDescent="0.25">
      <c r="A8715" s="21">
        <v>45930</v>
      </c>
      <c r="B8715" s="1">
        <v>145</v>
      </c>
      <c r="C8715" t="s">
        <v>51</v>
      </c>
      <c r="D8715" s="43">
        <v>-131.72999999999999</v>
      </c>
      <c r="E8715" t="s">
        <v>35</v>
      </c>
      <c r="F8715" s="2">
        <v>610148001</v>
      </c>
      <c r="G8715" s="2" t="s">
        <v>42</v>
      </c>
      <c r="L8715" s="2" t="s">
        <v>15912</v>
      </c>
      <c r="M8715" t="s">
        <v>43</v>
      </c>
      <c r="N8715" t="s">
        <v>42</v>
      </c>
      <c r="P8715" s="23">
        <v>177.61</v>
      </c>
      <c r="Q8715" s="4">
        <f t="shared" si="136"/>
        <v>-0.74168121164348844</v>
      </c>
      <c r="R8715" s="23" t="s">
        <v>53</v>
      </c>
      <c r="T8715" s="23" t="s">
        <v>14165</v>
      </c>
    </row>
    <row r="8716" spans="1:20" x14ac:dyDescent="0.25">
      <c r="A8716" s="21">
        <v>45930</v>
      </c>
      <c r="B8716" s="1">
        <v>144</v>
      </c>
      <c r="C8716" t="s">
        <v>15905</v>
      </c>
      <c r="D8716" s="43">
        <v>-43912.5</v>
      </c>
      <c r="E8716" t="s">
        <v>35</v>
      </c>
      <c r="F8716" s="2">
        <v>840101001</v>
      </c>
      <c r="G8716" s="2" t="s">
        <v>12151</v>
      </c>
      <c r="L8716" s="2" t="s">
        <v>15913</v>
      </c>
      <c r="M8716" t="s">
        <v>67</v>
      </c>
      <c r="N8716" t="s">
        <v>68</v>
      </c>
      <c r="P8716" s="23">
        <v>177.61</v>
      </c>
      <c r="Q8716" s="4">
        <f t="shared" si="136"/>
        <v>-247.24114633185067</v>
      </c>
      <c r="R8716" s="23" t="s">
        <v>53</v>
      </c>
    </row>
    <row r="8717" spans="1:20" x14ac:dyDescent="0.25">
      <c r="A8717" s="21">
        <v>45930</v>
      </c>
      <c r="B8717" s="1">
        <v>143</v>
      </c>
      <c r="C8717" t="s">
        <v>107</v>
      </c>
      <c r="D8717" s="43">
        <v>90000</v>
      </c>
      <c r="E8717" t="s">
        <v>46</v>
      </c>
      <c r="F8717" s="2">
        <v>210115002</v>
      </c>
      <c r="G8717" s="2" t="s">
        <v>12156</v>
      </c>
      <c r="L8717" s="2" t="s">
        <v>15914</v>
      </c>
      <c r="N8717" t="s">
        <v>107</v>
      </c>
      <c r="P8717" s="23">
        <v>177.61</v>
      </c>
      <c r="Q8717" s="4">
        <f t="shared" si="136"/>
        <v>506.72822476211923</v>
      </c>
      <c r="R8717" s="23" t="s">
        <v>53</v>
      </c>
    </row>
    <row r="8718" spans="1:20" x14ac:dyDescent="0.25">
      <c r="A8718" s="27"/>
      <c r="B8718" s="26"/>
      <c r="C8718" s="27"/>
      <c r="D8718" s="26"/>
      <c r="E8718" s="27"/>
      <c r="F8718" s="29"/>
      <c r="G8718" s="29"/>
      <c r="H8718" s="107"/>
      <c r="I8718" s="101"/>
      <c r="J8718" s="101"/>
      <c r="K8718" s="29"/>
      <c r="L8718" s="29"/>
      <c r="M8718" s="27"/>
      <c r="N8718" s="27"/>
      <c r="O8718" s="27"/>
      <c r="P8718" s="31"/>
    </row>
    <row r="8719" spans="1:20" x14ac:dyDescent="0.25">
      <c r="A8719" s="27"/>
      <c r="B8719" s="26"/>
      <c r="C8719" s="27"/>
      <c r="D8719" s="26"/>
      <c r="E8719" s="27"/>
      <c r="F8719" s="29"/>
      <c r="G8719" s="29"/>
      <c r="H8719" s="107"/>
      <c r="I8719" s="101"/>
      <c r="J8719" s="101"/>
      <c r="K8719" s="29"/>
      <c r="L8719" s="29"/>
      <c r="M8719" s="27"/>
      <c r="N8719" s="27"/>
      <c r="O8719" s="27"/>
      <c r="P8719" s="31"/>
    </row>
  </sheetData>
  <mergeCells count="1">
    <mergeCell ref="C8:G8"/>
  </mergeCells>
  <phoneticPr fontId="13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D209F7-5F67-4B20-ABBA-80401704EF2B}">
          <x14:formula1>
            <xm:f>Hoja2!$B:$B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37CC-2123-46F7-BEF5-F33E35AAD8EC}">
  <dimension ref="A1:B76"/>
  <sheetViews>
    <sheetView workbookViewId="0">
      <selection sqref="A1:XFD1048576"/>
    </sheetView>
  </sheetViews>
  <sheetFormatPr baseColWidth="10" defaultRowHeight="15" x14ac:dyDescent="0.25"/>
  <cols>
    <col min="1" max="1" width="11.7109375" bestFit="1" customWidth="1"/>
    <col min="2" max="2" width="38.28515625" bestFit="1" customWidth="1"/>
  </cols>
  <sheetData>
    <row r="1" spans="1:2" x14ac:dyDescent="0.25">
      <c r="A1" t="s">
        <v>15915</v>
      </c>
      <c r="B1" t="s">
        <v>15916</v>
      </c>
    </row>
    <row r="2" spans="1:2" x14ac:dyDescent="0.25">
      <c r="A2" t="s">
        <v>15920</v>
      </c>
      <c r="B2" t="s">
        <v>15922</v>
      </c>
    </row>
    <row r="3" spans="1:2" x14ac:dyDescent="0.25">
      <c r="A3" t="s">
        <v>15923</v>
      </c>
      <c r="B3" t="s">
        <v>15924</v>
      </c>
    </row>
    <row r="4" spans="1:2" x14ac:dyDescent="0.25">
      <c r="A4" t="s">
        <v>15925</v>
      </c>
      <c r="B4" t="s">
        <v>15926</v>
      </c>
    </row>
    <row r="5" spans="1:2" x14ac:dyDescent="0.25">
      <c r="A5" t="s">
        <v>15927</v>
      </c>
      <c r="B5" t="s">
        <v>15928</v>
      </c>
    </row>
    <row r="6" spans="1:2" x14ac:dyDescent="0.25">
      <c r="A6" t="s">
        <v>15929</v>
      </c>
      <c r="B6" t="s">
        <v>42</v>
      </c>
    </row>
    <row r="7" spans="1:2" x14ac:dyDescent="0.25">
      <c r="A7" t="s">
        <v>15930</v>
      </c>
      <c r="B7" t="s">
        <v>15931</v>
      </c>
    </row>
    <row r="8" spans="1:2" x14ac:dyDescent="0.25">
      <c r="A8" t="s">
        <v>15932</v>
      </c>
      <c r="B8" t="s">
        <v>4357</v>
      </c>
    </row>
    <row r="9" spans="1:2" x14ac:dyDescent="0.25">
      <c r="A9" t="s">
        <v>15933</v>
      </c>
      <c r="B9" t="s">
        <v>15934</v>
      </c>
    </row>
    <row r="10" spans="1:2" x14ac:dyDescent="0.25">
      <c r="A10" t="s">
        <v>15935</v>
      </c>
      <c r="B10" t="s">
        <v>15936</v>
      </c>
    </row>
    <row r="11" spans="1:2" x14ac:dyDescent="0.25">
      <c r="A11" t="s">
        <v>15937</v>
      </c>
      <c r="B11" t="s">
        <v>15938</v>
      </c>
    </row>
    <row r="12" spans="1:2" x14ac:dyDescent="0.25">
      <c r="A12" t="s">
        <v>15939</v>
      </c>
      <c r="B12" t="s">
        <v>15940</v>
      </c>
    </row>
    <row r="13" spans="1:2" x14ac:dyDescent="0.25">
      <c r="A13" t="s">
        <v>15941</v>
      </c>
      <c r="B13" t="s">
        <v>15942</v>
      </c>
    </row>
    <row r="14" spans="1:2" x14ac:dyDescent="0.25">
      <c r="A14" t="s">
        <v>15943</v>
      </c>
      <c r="B14" t="s">
        <v>15944</v>
      </c>
    </row>
    <row r="15" spans="1:2" x14ac:dyDescent="0.25">
      <c r="A15" t="s">
        <v>15945</v>
      </c>
      <c r="B15" t="s">
        <v>15946</v>
      </c>
    </row>
    <row r="16" spans="1:2" x14ac:dyDescent="0.25">
      <c r="A16" t="s">
        <v>15947</v>
      </c>
      <c r="B16" t="s">
        <v>15948</v>
      </c>
    </row>
    <row r="17" spans="1:2" x14ac:dyDescent="0.25">
      <c r="A17" t="s">
        <v>15949</v>
      </c>
      <c r="B17" t="s">
        <v>15950</v>
      </c>
    </row>
    <row r="18" spans="1:2" x14ac:dyDescent="0.25">
      <c r="A18" t="s">
        <v>15951</v>
      </c>
      <c r="B18" t="s">
        <v>15952</v>
      </c>
    </row>
    <row r="19" spans="1:2" x14ac:dyDescent="0.25">
      <c r="A19" t="s">
        <v>15953</v>
      </c>
      <c r="B19" t="s">
        <v>15954</v>
      </c>
    </row>
    <row r="20" spans="1:2" x14ac:dyDescent="0.25">
      <c r="A20" t="s">
        <v>15955</v>
      </c>
      <c r="B20" t="s">
        <v>3855</v>
      </c>
    </row>
    <row r="21" spans="1:2" x14ac:dyDescent="0.25">
      <c r="A21" t="s">
        <v>15956</v>
      </c>
      <c r="B21" t="s">
        <v>15957</v>
      </c>
    </row>
    <row r="22" spans="1:2" x14ac:dyDescent="0.25">
      <c r="A22" t="s">
        <v>15958</v>
      </c>
      <c r="B22" t="s">
        <v>15959</v>
      </c>
    </row>
    <row r="23" spans="1:2" x14ac:dyDescent="0.25">
      <c r="A23" t="s">
        <v>15960</v>
      </c>
      <c r="B23" t="s">
        <v>15961</v>
      </c>
    </row>
    <row r="24" spans="1:2" x14ac:dyDescent="0.25">
      <c r="A24" t="s">
        <v>15962</v>
      </c>
      <c r="B24" t="s">
        <v>15963</v>
      </c>
    </row>
    <row r="25" spans="1:2" x14ac:dyDescent="0.25">
      <c r="A25" t="s">
        <v>15964</v>
      </c>
      <c r="B25" t="s">
        <v>15965</v>
      </c>
    </row>
    <row r="26" spans="1:2" x14ac:dyDescent="0.25">
      <c r="A26" t="s">
        <v>15966</v>
      </c>
      <c r="B26" t="s">
        <v>15967</v>
      </c>
    </row>
    <row r="27" spans="1:2" x14ac:dyDescent="0.25">
      <c r="A27" t="s">
        <v>15968</v>
      </c>
      <c r="B27" t="s">
        <v>15969</v>
      </c>
    </row>
    <row r="28" spans="1:2" x14ac:dyDescent="0.25">
      <c r="A28" t="s">
        <v>15970</v>
      </c>
      <c r="B28" t="s">
        <v>15971</v>
      </c>
    </row>
    <row r="29" spans="1:2" x14ac:dyDescent="0.25">
      <c r="A29" t="s">
        <v>15972</v>
      </c>
      <c r="B29" t="s">
        <v>15973</v>
      </c>
    </row>
    <row r="30" spans="1:2" x14ac:dyDescent="0.25">
      <c r="A30" t="s">
        <v>15974</v>
      </c>
      <c r="B30" t="s">
        <v>15975</v>
      </c>
    </row>
    <row r="31" spans="1:2" x14ac:dyDescent="0.25">
      <c r="A31" t="s">
        <v>15976</v>
      </c>
      <c r="B31" t="s">
        <v>15977</v>
      </c>
    </row>
    <row r="32" spans="1:2" x14ac:dyDescent="0.25">
      <c r="A32" t="s">
        <v>15978</v>
      </c>
      <c r="B32" t="s">
        <v>15979</v>
      </c>
    </row>
    <row r="33" spans="1:2" x14ac:dyDescent="0.25">
      <c r="A33" t="s">
        <v>15980</v>
      </c>
      <c r="B33" t="s">
        <v>15981</v>
      </c>
    </row>
    <row r="34" spans="1:2" x14ac:dyDescent="0.25">
      <c r="A34" t="s">
        <v>15982</v>
      </c>
      <c r="B34" t="s">
        <v>15983</v>
      </c>
    </row>
    <row r="35" spans="1:2" x14ac:dyDescent="0.25">
      <c r="A35" t="s">
        <v>15984</v>
      </c>
      <c r="B35" t="s">
        <v>15985</v>
      </c>
    </row>
    <row r="36" spans="1:2" x14ac:dyDescent="0.25">
      <c r="A36" t="s">
        <v>15986</v>
      </c>
      <c r="B36" t="s">
        <v>15987</v>
      </c>
    </row>
    <row r="37" spans="1:2" x14ac:dyDescent="0.25">
      <c r="A37" t="s">
        <v>15988</v>
      </c>
      <c r="B37" t="s">
        <v>15989</v>
      </c>
    </row>
    <row r="38" spans="1:2" x14ac:dyDescent="0.25">
      <c r="A38" t="s">
        <v>15990</v>
      </c>
      <c r="B38" t="s">
        <v>15991</v>
      </c>
    </row>
    <row r="39" spans="1:2" x14ac:dyDescent="0.25">
      <c r="A39" t="s">
        <v>15992</v>
      </c>
      <c r="B39" t="s">
        <v>15993</v>
      </c>
    </row>
    <row r="40" spans="1:2" x14ac:dyDescent="0.25">
      <c r="A40" t="s">
        <v>15994</v>
      </c>
      <c r="B40" t="s">
        <v>5746</v>
      </c>
    </row>
    <row r="41" spans="1:2" x14ac:dyDescent="0.25">
      <c r="A41" t="s">
        <v>15995</v>
      </c>
      <c r="B41" t="s">
        <v>15996</v>
      </c>
    </row>
    <row r="42" spans="1:2" x14ac:dyDescent="0.25">
      <c r="A42" t="s">
        <v>15997</v>
      </c>
      <c r="B42" t="s">
        <v>15998</v>
      </c>
    </row>
    <row r="43" spans="1:2" x14ac:dyDescent="0.25">
      <c r="A43" t="s">
        <v>15999</v>
      </c>
      <c r="B43" t="s">
        <v>15921</v>
      </c>
    </row>
    <row r="44" spans="1:2" x14ac:dyDescent="0.25">
      <c r="A44" t="s">
        <v>16000</v>
      </c>
      <c r="B44" t="s">
        <v>16001</v>
      </c>
    </row>
    <row r="45" spans="1:2" x14ac:dyDescent="0.25">
      <c r="A45" t="s">
        <v>16002</v>
      </c>
      <c r="B45" t="s">
        <v>16003</v>
      </c>
    </row>
    <row r="46" spans="1:2" x14ac:dyDescent="0.25">
      <c r="A46" t="s">
        <v>16004</v>
      </c>
      <c r="B46" t="s">
        <v>16005</v>
      </c>
    </row>
    <row r="47" spans="1:2" x14ac:dyDescent="0.25">
      <c r="A47" t="s">
        <v>16006</v>
      </c>
      <c r="B47" t="s">
        <v>16007</v>
      </c>
    </row>
    <row r="48" spans="1:2" x14ac:dyDescent="0.25">
      <c r="A48" t="s">
        <v>16008</v>
      </c>
      <c r="B48" t="s">
        <v>16009</v>
      </c>
    </row>
    <row r="49" spans="1:2" x14ac:dyDescent="0.25">
      <c r="A49" t="s">
        <v>16010</v>
      </c>
      <c r="B49" t="s">
        <v>16011</v>
      </c>
    </row>
    <row r="50" spans="1:2" x14ac:dyDescent="0.25">
      <c r="A50" t="s">
        <v>15919</v>
      </c>
      <c r="B50" t="s">
        <v>16012</v>
      </c>
    </row>
    <row r="51" spans="1:2" x14ac:dyDescent="0.25">
      <c r="A51" t="s">
        <v>16013</v>
      </c>
      <c r="B51" t="s">
        <v>16014</v>
      </c>
    </row>
    <row r="52" spans="1:2" x14ac:dyDescent="0.25">
      <c r="A52" t="s">
        <v>16015</v>
      </c>
      <c r="B52" t="s">
        <v>16016</v>
      </c>
    </row>
    <row r="53" spans="1:2" x14ac:dyDescent="0.25">
      <c r="A53" t="s">
        <v>16017</v>
      </c>
      <c r="B53" t="s">
        <v>16018</v>
      </c>
    </row>
    <row r="54" spans="1:2" x14ac:dyDescent="0.25">
      <c r="A54" t="s">
        <v>16019</v>
      </c>
      <c r="B54" t="s">
        <v>16020</v>
      </c>
    </row>
    <row r="55" spans="1:2" x14ac:dyDescent="0.25">
      <c r="A55" t="s">
        <v>16021</v>
      </c>
      <c r="B55" t="s">
        <v>16022</v>
      </c>
    </row>
    <row r="56" spans="1:2" x14ac:dyDescent="0.25">
      <c r="A56" t="s">
        <v>16023</v>
      </c>
      <c r="B56" t="s">
        <v>16024</v>
      </c>
    </row>
    <row r="57" spans="1:2" x14ac:dyDescent="0.25">
      <c r="A57" t="s">
        <v>16025</v>
      </c>
      <c r="B57" t="s">
        <v>16026</v>
      </c>
    </row>
    <row r="58" spans="1:2" x14ac:dyDescent="0.25">
      <c r="A58" t="s">
        <v>16027</v>
      </c>
      <c r="B58" t="s">
        <v>16028</v>
      </c>
    </row>
    <row r="59" spans="1:2" x14ac:dyDescent="0.25">
      <c r="A59" t="s">
        <v>16029</v>
      </c>
      <c r="B59" t="s">
        <v>16030</v>
      </c>
    </row>
    <row r="60" spans="1:2" x14ac:dyDescent="0.25">
      <c r="A60" t="s">
        <v>16031</v>
      </c>
      <c r="B60" t="s">
        <v>16032</v>
      </c>
    </row>
    <row r="61" spans="1:2" x14ac:dyDescent="0.25">
      <c r="A61" t="s">
        <v>16033</v>
      </c>
      <c r="B61" t="s">
        <v>16034</v>
      </c>
    </row>
    <row r="62" spans="1:2" x14ac:dyDescent="0.25">
      <c r="A62" t="s">
        <v>16035</v>
      </c>
      <c r="B62" t="s">
        <v>16036</v>
      </c>
    </row>
    <row r="63" spans="1:2" x14ac:dyDescent="0.25">
      <c r="A63" t="s">
        <v>16037</v>
      </c>
      <c r="B63" t="s">
        <v>16038</v>
      </c>
    </row>
    <row r="64" spans="1:2" x14ac:dyDescent="0.25">
      <c r="A64" t="s">
        <v>16039</v>
      </c>
      <c r="B64" t="s">
        <v>16040</v>
      </c>
    </row>
    <row r="65" spans="1:2" x14ac:dyDescent="0.25">
      <c r="A65" t="s">
        <v>16041</v>
      </c>
      <c r="B65" t="s">
        <v>16042</v>
      </c>
    </row>
    <row r="66" spans="1:2" x14ac:dyDescent="0.25">
      <c r="A66" t="s">
        <v>16043</v>
      </c>
      <c r="B66" t="s">
        <v>16044</v>
      </c>
    </row>
    <row r="67" spans="1:2" x14ac:dyDescent="0.25">
      <c r="A67" t="s">
        <v>16045</v>
      </c>
      <c r="B67" t="s">
        <v>16046</v>
      </c>
    </row>
    <row r="68" spans="1:2" x14ac:dyDescent="0.25">
      <c r="A68" t="s">
        <v>15917</v>
      </c>
      <c r="B68" t="s">
        <v>16047</v>
      </c>
    </row>
    <row r="69" spans="1:2" x14ac:dyDescent="0.25">
      <c r="A69" t="s">
        <v>16048</v>
      </c>
      <c r="B69" t="s">
        <v>16049</v>
      </c>
    </row>
    <row r="70" spans="1:2" x14ac:dyDescent="0.25">
      <c r="A70" t="s">
        <v>16050</v>
      </c>
      <c r="B70" t="s">
        <v>16051</v>
      </c>
    </row>
    <row r="71" spans="1:2" x14ac:dyDescent="0.25">
      <c r="A71" t="s">
        <v>16052</v>
      </c>
      <c r="B71" t="s">
        <v>16053</v>
      </c>
    </row>
    <row r="72" spans="1:2" x14ac:dyDescent="0.25">
      <c r="A72" t="s">
        <v>16054</v>
      </c>
      <c r="B72" t="s">
        <v>16055</v>
      </c>
    </row>
    <row r="73" spans="1:2" x14ac:dyDescent="0.25">
      <c r="A73" t="s">
        <v>16056</v>
      </c>
      <c r="B73" t="s">
        <v>16057</v>
      </c>
    </row>
    <row r="74" spans="1:2" x14ac:dyDescent="0.25">
      <c r="A74" t="s">
        <v>16058</v>
      </c>
      <c r="B74" t="s">
        <v>16059</v>
      </c>
    </row>
    <row r="75" spans="1:2" x14ac:dyDescent="0.25">
      <c r="A75" t="s">
        <v>16060</v>
      </c>
      <c r="B75" t="s">
        <v>16061</v>
      </c>
    </row>
    <row r="76" spans="1:2" x14ac:dyDescent="0.25">
      <c r="A76" t="s">
        <v>16062</v>
      </c>
      <c r="B76" t="s">
        <v>15918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AB17-2C9A-439B-9019-BC03CDD6C595}">
  <dimension ref="A1:B76"/>
  <sheetViews>
    <sheetView topLeftCell="A75" workbookViewId="0">
      <selection sqref="A1:XFD1048576"/>
    </sheetView>
  </sheetViews>
  <sheetFormatPr baseColWidth="10" defaultRowHeight="15" x14ac:dyDescent="0.25"/>
  <sheetData>
    <row r="1" spans="1:2" x14ac:dyDescent="0.25">
      <c r="A1" t="s">
        <v>15915</v>
      </c>
      <c r="B1" t="s">
        <v>15916</v>
      </c>
    </row>
    <row r="2" spans="1:2" x14ac:dyDescent="0.25">
      <c r="A2" t="s">
        <v>15920</v>
      </c>
      <c r="B2" t="s">
        <v>15922</v>
      </c>
    </row>
    <row r="3" spans="1:2" x14ac:dyDescent="0.25">
      <c r="A3" t="s">
        <v>15923</v>
      </c>
      <c r="B3" t="s">
        <v>15924</v>
      </c>
    </row>
    <row r="4" spans="1:2" x14ac:dyDescent="0.25">
      <c r="A4" t="s">
        <v>15925</v>
      </c>
      <c r="B4" t="s">
        <v>15926</v>
      </c>
    </row>
    <row r="5" spans="1:2" x14ac:dyDescent="0.25">
      <c r="A5" t="s">
        <v>15927</v>
      </c>
      <c r="B5" t="s">
        <v>15928</v>
      </c>
    </row>
    <row r="6" spans="1:2" x14ac:dyDescent="0.25">
      <c r="A6" t="s">
        <v>15929</v>
      </c>
      <c r="B6" t="s">
        <v>42</v>
      </c>
    </row>
    <row r="7" spans="1:2" x14ac:dyDescent="0.25">
      <c r="A7" t="s">
        <v>15930</v>
      </c>
      <c r="B7" t="s">
        <v>15931</v>
      </c>
    </row>
    <row r="8" spans="1:2" x14ac:dyDescent="0.25">
      <c r="A8" t="s">
        <v>15932</v>
      </c>
      <c r="B8" t="s">
        <v>4357</v>
      </c>
    </row>
    <row r="9" spans="1:2" x14ac:dyDescent="0.25">
      <c r="A9" t="s">
        <v>15933</v>
      </c>
      <c r="B9" t="s">
        <v>15934</v>
      </c>
    </row>
    <row r="10" spans="1:2" x14ac:dyDescent="0.25">
      <c r="A10" t="s">
        <v>15935</v>
      </c>
      <c r="B10" t="s">
        <v>15936</v>
      </c>
    </row>
    <row r="11" spans="1:2" x14ac:dyDescent="0.25">
      <c r="A11" t="s">
        <v>15937</v>
      </c>
      <c r="B11" t="s">
        <v>15938</v>
      </c>
    </row>
    <row r="12" spans="1:2" x14ac:dyDescent="0.25">
      <c r="A12" t="s">
        <v>15939</v>
      </c>
      <c r="B12" t="s">
        <v>15940</v>
      </c>
    </row>
    <row r="13" spans="1:2" x14ac:dyDescent="0.25">
      <c r="A13" t="s">
        <v>15941</v>
      </c>
      <c r="B13" t="s">
        <v>15942</v>
      </c>
    </row>
    <row r="14" spans="1:2" x14ac:dyDescent="0.25">
      <c r="A14" t="s">
        <v>15943</v>
      </c>
      <c r="B14" t="s">
        <v>15944</v>
      </c>
    </row>
    <row r="15" spans="1:2" x14ac:dyDescent="0.25">
      <c r="A15" t="s">
        <v>15945</v>
      </c>
      <c r="B15" t="s">
        <v>15946</v>
      </c>
    </row>
    <row r="16" spans="1:2" x14ac:dyDescent="0.25">
      <c r="A16" t="s">
        <v>15947</v>
      </c>
      <c r="B16" t="s">
        <v>15948</v>
      </c>
    </row>
    <row r="17" spans="1:2" x14ac:dyDescent="0.25">
      <c r="A17" t="s">
        <v>15949</v>
      </c>
      <c r="B17" t="s">
        <v>15950</v>
      </c>
    </row>
    <row r="18" spans="1:2" x14ac:dyDescent="0.25">
      <c r="A18" t="s">
        <v>15951</v>
      </c>
      <c r="B18" t="s">
        <v>15952</v>
      </c>
    </row>
    <row r="19" spans="1:2" x14ac:dyDescent="0.25">
      <c r="A19" t="s">
        <v>15953</v>
      </c>
      <c r="B19" t="s">
        <v>15954</v>
      </c>
    </row>
    <row r="20" spans="1:2" x14ac:dyDescent="0.25">
      <c r="A20" t="s">
        <v>15955</v>
      </c>
      <c r="B20" t="s">
        <v>3855</v>
      </c>
    </row>
    <row r="21" spans="1:2" x14ac:dyDescent="0.25">
      <c r="A21" t="s">
        <v>15956</v>
      </c>
      <c r="B21" t="s">
        <v>15957</v>
      </c>
    </row>
    <row r="22" spans="1:2" x14ac:dyDescent="0.25">
      <c r="A22" t="s">
        <v>15958</v>
      </c>
      <c r="B22" t="s">
        <v>15959</v>
      </c>
    </row>
    <row r="23" spans="1:2" x14ac:dyDescent="0.25">
      <c r="A23" t="s">
        <v>15960</v>
      </c>
      <c r="B23" t="s">
        <v>15961</v>
      </c>
    </row>
    <row r="24" spans="1:2" x14ac:dyDescent="0.25">
      <c r="A24" t="s">
        <v>15962</v>
      </c>
      <c r="B24" t="s">
        <v>15963</v>
      </c>
    </row>
    <row r="25" spans="1:2" x14ac:dyDescent="0.25">
      <c r="A25" t="s">
        <v>15964</v>
      </c>
      <c r="B25" t="s">
        <v>15965</v>
      </c>
    </row>
    <row r="26" spans="1:2" x14ac:dyDescent="0.25">
      <c r="A26" t="s">
        <v>15966</v>
      </c>
      <c r="B26" t="s">
        <v>15967</v>
      </c>
    </row>
    <row r="27" spans="1:2" x14ac:dyDescent="0.25">
      <c r="A27" t="s">
        <v>15968</v>
      </c>
      <c r="B27" t="s">
        <v>15969</v>
      </c>
    </row>
    <row r="28" spans="1:2" x14ac:dyDescent="0.25">
      <c r="A28" t="s">
        <v>15970</v>
      </c>
      <c r="B28" t="s">
        <v>15971</v>
      </c>
    </row>
    <row r="29" spans="1:2" x14ac:dyDescent="0.25">
      <c r="A29" t="s">
        <v>15972</v>
      </c>
      <c r="B29" t="s">
        <v>15973</v>
      </c>
    </row>
    <row r="30" spans="1:2" x14ac:dyDescent="0.25">
      <c r="A30" t="s">
        <v>15974</v>
      </c>
      <c r="B30" t="s">
        <v>15975</v>
      </c>
    </row>
    <row r="31" spans="1:2" x14ac:dyDescent="0.25">
      <c r="A31" t="s">
        <v>15976</v>
      </c>
      <c r="B31" t="s">
        <v>15977</v>
      </c>
    </row>
    <row r="32" spans="1:2" x14ac:dyDescent="0.25">
      <c r="A32" t="s">
        <v>15978</v>
      </c>
      <c r="B32" t="s">
        <v>15979</v>
      </c>
    </row>
    <row r="33" spans="1:2" x14ac:dyDescent="0.25">
      <c r="A33" t="s">
        <v>15980</v>
      </c>
      <c r="B33" t="s">
        <v>15981</v>
      </c>
    </row>
    <row r="34" spans="1:2" x14ac:dyDescent="0.25">
      <c r="A34" t="s">
        <v>15982</v>
      </c>
      <c r="B34" t="s">
        <v>15983</v>
      </c>
    </row>
    <row r="35" spans="1:2" x14ac:dyDescent="0.25">
      <c r="A35" t="s">
        <v>15984</v>
      </c>
      <c r="B35" t="s">
        <v>15985</v>
      </c>
    </row>
    <row r="36" spans="1:2" x14ac:dyDescent="0.25">
      <c r="A36" t="s">
        <v>15986</v>
      </c>
      <c r="B36" t="s">
        <v>15987</v>
      </c>
    </row>
    <row r="37" spans="1:2" x14ac:dyDescent="0.25">
      <c r="A37" t="s">
        <v>15988</v>
      </c>
      <c r="B37" t="s">
        <v>15989</v>
      </c>
    </row>
    <row r="38" spans="1:2" x14ac:dyDescent="0.25">
      <c r="A38" t="s">
        <v>15990</v>
      </c>
      <c r="B38" t="s">
        <v>15991</v>
      </c>
    </row>
    <row r="39" spans="1:2" x14ac:dyDescent="0.25">
      <c r="A39" t="s">
        <v>15992</v>
      </c>
      <c r="B39" t="s">
        <v>15993</v>
      </c>
    </row>
    <row r="40" spans="1:2" x14ac:dyDescent="0.25">
      <c r="A40" t="s">
        <v>15994</v>
      </c>
      <c r="B40" t="s">
        <v>5746</v>
      </c>
    </row>
    <row r="41" spans="1:2" x14ac:dyDescent="0.25">
      <c r="A41" t="s">
        <v>15995</v>
      </c>
      <c r="B41" t="s">
        <v>15996</v>
      </c>
    </row>
    <row r="42" spans="1:2" x14ac:dyDescent="0.25">
      <c r="A42" t="s">
        <v>15997</v>
      </c>
      <c r="B42" t="s">
        <v>15998</v>
      </c>
    </row>
    <row r="43" spans="1:2" x14ac:dyDescent="0.25">
      <c r="A43" t="s">
        <v>15999</v>
      </c>
      <c r="B43" t="s">
        <v>15921</v>
      </c>
    </row>
    <row r="44" spans="1:2" x14ac:dyDescent="0.25">
      <c r="A44" t="s">
        <v>16000</v>
      </c>
      <c r="B44" t="s">
        <v>16001</v>
      </c>
    </row>
    <row r="45" spans="1:2" x14ac:dyDescent="0.25">
      <c r="A45" t="s">
        <v>16002</v>
      </c>
      <c r="B45" t="s">
        <v>16003</v>
      </c>
    </row>
    <row r="46" spans="1:2" x14ac:dyDescent="0.25">
      <c r="A46" t="s">
        <v>16004</v>
      </c>
      <c r="B46" t="s">
        <v>16005</v>
      </c>
    </row>
    <row r="47" spans="1:2" x14ac:dyDescent="0.25">
      <c r="A47" t="s">
        <v>16006</v>
      </c>
      <c r="B47" t="s">
        <v>16007</v>
      </c>
    </row>
    <row r="48" spans="1:2" x14ac:dyDescent="0.25">
      <c r="A48" t="s">
        <v>16008</v>
      </c>
      <c r="B48" t="s">
        <v>16009</v>
      </c>
    </row>
    <row r="49" spans="1:2" x14ac:dyDescent="0.25">
      <c r="A49" t="s">
        <v>16010</v>
      </c>
      <c r="B49" t="s">
        <v>16011</v>
      </c>
    </row>
    <row r="50" spans="1:2" x14ac:dyDescent="0.25">
      <c r="A50" t="s">
        <v>15919</v>
      </c>
      <c r="B50" t="s">
        <v>16012</v>
      </c>
    </row>
    <row r="51" spans="1:2" x14ac:dyDescent="0.25">
      <c r="A51" t="s">
        <v>16013</v>
      </c>
      <c r="B51" t="s">
        <v>16014</v>
      </c>
    </row>
    <row r="52" spans="1:2" x14ac:dyDescent="0.25">
      <c r="A52" t="s">
        <v>16015</v>
      </c>
      <c r="B52" t="s">
        <v>16016</v>
      </c>
    </row>
    <row r="53" spans="1:2" x14ac:dyDescent="0.25">
      <c r="A53" t="s">
        <v>16017</v>
      </c>
      <c r="B53" t="s">
        <v>16018</v>
      </c>
    </row>
    <row r="54" spans="1:2" x14ac:dyDescent="0.25">
      <c r="A54" t="s">
        <v>16019</v>
      </c>
      <c r="B54" t="s">
        <v>16020</v>
      </c>
    </row>
    <row r="55" spans="1:2" x14ac:dyDescent="0.25">
      <c r="A55" t="s">
        <v>16021</v>
      </c>
      <c r="B55" t="s">
        <v>16022</v>
      </c>
    </row>
    <row r="56" spans="1:2" x14ac:dyDescent="0.25">
      <c r="A56" t="s">
        <v>16023</v>
      </c>
      <c r="B56" t="s">
        <v>16024</v>
      </c>
    </row>
    <row r="57" spans="1:2" x14ac:dyDescent="0.25">
      <c r="A57" t="s">
        <v>16025</v>
      </c>
      <c r="B57" t="s">
        <v>16026</v>
      </c>
    </row>
    <row r="58" spans="1:2" x14ac:dyDescent="0.25">
      <c r="A58" t="s">
        <v>16027</v>
      </c>
      <c r="B58" t="s">
        <v>16028</v>
      </c>
    </row>
    <row r="59" spans="1:2" x14ac:dyDescent="0.25">
      <c r="A59" t="s">
        <v>16029</v>
      </c>
      <c r="B59" t="s">
        <v>16030</v>
      </c>
    </row>
    <row r="60" spans="1:2" x14ac:dyDescent="0.25">
      <c r="A60" t="s">
        <v>16031</v>
      </c>
      <c r="B60" t="s">
        <v>16032</v>
      </c>
    </row>
    <row r="61" spans="1:2" x14ac:dyDescent="0.25">
      <c r="A61" t="s">
        <v>16033</v>
      </c>
      <c r="B61" t="s">
        <v>16034</v>
      </c>
    </row>
    <row r="62" spans="1:2" x14ac:dyDescent="0.25">
      <c r="A62" t="s">
        <v>16035</v>
      </c>
      <c r="B62" t="s">
        <v>16036</v>
      </c>
    </row>
    <row r="63" spans="1:2" x14ac:dyDescent="0.25">
      <c r="A63" t="s">
        <v>16037</v>
      </c>
      <c r="B63" t="s">
        <v>16038</v>
      </c>
    </row>
    <row r="64" spans="1:2" x14ac:dyDescent="0.25">
      <c r="A64" t="s">
        <v>16039</v>
      </c>
      <c r="B64" t="s">
        <v>16040</v>
      </c>
    </row>
    <row r="65" spans="1:2" x14ac:dyDescent="0.25">
      <c r="A65" t="s">
        <v>16041</v>
      </c>
      <c r="B65" t="s">
        <v>16042</v>
      </c>
    </row>
    <row r="66" spans="1:2" x14ac:dyDescent="0.25">
      <c r="A66" t="s">
        <v>16043</v>
      </c>
      <c r="B66" t="s">
        <v>16044</v>
      </c>
    </row>
    <row r="67" spans="1:2" x14ac:dyDescent="0.25">
      <c r="A67" t="s">
        <v>16045</v>
      </c>
      <c r="B67" t="s">
        <v>16046</v>
      </c>
    </row>
    <row r="68" spans="1:2" x14ac:dyDescent="0.25">
      <c r="A68" t="s">
        <v>15917</v>
      </c>
      <c r="B68" t="s">
        <v>16047</v>
      </c>
    </row>
    <row r="69" spans="1:2" x14ac:dyDescent="0.25">
      <c r="A69" t="s">
        <v>16048</v>
      </c>
      <c r="B69" t="s">
        <v>16049</v>
      </c>
    </row>
    <row r="70" spans="1:2" x14ac:dyDescent="0.25">
      <c r="A70" t="s">
        <v>16050</v>
      </c>
      <c r="B70" t="s">
        <v>16051</v>
      </c>
    </row>
    <row r="71" spans="1:2" x14ac:dyDescent="0.25">
      <c r="A71" t="s">
        <v>16052</v>
      </c>
      <c r="B71" t="s">
        <v>16053</v>
      </c>
    </row>
    <row r="72" spans="1:2" x14ac:dyDescent="0.25">
      <c r="A72" t="s">
        <v>16054</v>
      </c>
      <c r="B72" t="s">
        <v>16055</v>
      </c>
    </row>
    <row r="73" spans="1:2" x14ac:dyDescent="0.25">
      <c r="A73" t="s">
        <v>16056</v>
      </c>
      <c r="B73" t="s">
        <v>16057</v>
      </c>
    </row>
    <row r="74" spans="1:2" x14ac:dyDescent="0.25">
      <c r="A74" t="s">
        <v>16058</v>
      </c>
      <c r="B74" t="s">
        <v>16059</v>
      </c>
    </row>
    <row r="75" spans="1:2" x14ac:dyDescent="0.25">
      <c r="A75" t="s">
        <v>16060</v>
      </c>
      <c r="B75" t="s">
        <v>16061</v>
      </c>
    </row>
    <row r="76" spans="1:2" x14ac:dyDescent="0.25">
      <c r="A76" t="s">
        <v>16062</v>
      </c>
      <c r="B76" t="s">
        <v>15918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D71C2-CBCE-4865-8528-1AFACE54D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SAPROV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Sidney Borge</cp:lastModifiedBy>
  <dcterms:created xsi:type="dcterms:W3CDTF">2025-12-13T13:57:11Z</dcterms:created>
  <dcterms:modified xsi:type="dcterms:W3CDTF">2026-03-06T00:41:58Z</dcterms:modified>
</cp:coreProperties>
</file>